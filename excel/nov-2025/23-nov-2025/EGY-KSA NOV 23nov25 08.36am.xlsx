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BIG_DATA\big_data_egy_oct_9222\9222_OUTPUT\"/>
    </mc:Choice>
  </mc:AlternateContent>
  <xr:revisionPtr revIDLastSave="0" documentId="13_ncr:1_{AB828111-7980-4EC5-97BC-DD8483F6C0A0}" xr6:coauthVersionLast="47" xr6:coauthVersionMax="47" xr10:uidLastSave="{00000000-0000-0000-0000-000000000000}"/>
  <bookViews>
    <workbookView xWindow="-108" yWindow="-108" windowWidth="23256" windowHeight="12456" firstSheet="68" activeTab="69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5" r:id="rId4"/>
    <sheet name="HBE-MED LF LEGACY" sheetId="6" r:id="rId5"/>
    <sheet name="HBE-MED — FOCUS MODE" sheetId="7" r:id="rId6"/>
    <sheet name="ATZ-MED" sheetId="8" r:id="rId7"/>
    <sheet name="ATZ-MED LF LEGACY" sheetId="9" r:id="rId8"/>
    <sheet name="ATZ-MED — FOCUS MODE" sheetId="10" r:id="rId9"/>
    <sheet name="CAI-JED" sheetId="11" r:id="rId10"/>
    <sheet name="CAI-JED LF LEGACY" sheetId="12" r:id="rId11"/>
    <sheet name="CAI-JED — FOCUS MODE" sheetId="13" r:id="rId12"/>
    <sheet name="HBE-JED" sheetId="14" r:id="rId13"/>
    <sheet name="HBE-JED LF LEGACY" sheetId="15" r:id="rId14"/>
    <sheet name="HBE-JED — FOCUS MODE" sheetId="16" r:id="rId15"/>
    <sheet name="ATZ-JED" sheetId="17" r:id="rId16"/>
    <sheet name="ATZ-JED LF LEGACY" sheetId="18" r:id="rId17"/>
    <sheet name="ATZ-JED — FOCUS MODE" sheetId="19" r:id="rId18"/>
    <sheet name="LXR-JED" sheetId="20" r:id="rId19"/>
    <sheet name="LXR-JED LF LEGACY" sheetId="21" r:id="rId20"/>
    <sheet name="LXR-JED — FOCUS MODE" sheetId="22" r:id="rId21"/>
    <sheet name="ASW-JED" sheetId="23" r:id="rId22"/>
    <sheet name="ASW-JED LF LEGACY" sheetId="24" r:id="rId23"/>
    <sheet name="ASW-JED — FOCUS MODE" sheetId="25" r:id="rId24"/>
    <sheet name="SSH-JED" sheetId="26" r:id="rId25"/>
    <sheet name="SSH-JED LF LEGACY" sheetId="27" r:id="rId26"/>
    <sheet name="SSH-JED — FOCUS MODE" sheetId="28" r:id="rId27"/>
    <sheet name="HRG-JED" sheetId="29" r:id="rId28"/>
    <sheet name="HRG-JED LF LEGACY" sheetId="30" r:id="rId29"/>
    <sheet name="HRG-JED — FOCUS MODE" sheetId="31" r:id="rId30"/>
    <sheet name="CAI-RUH" sheetId="32" r:id="rId31"/>
    <sheet name="CAI-RUH LF LEGACY" sheetId="33" r:id="rId32"/>
    <sheet name="CAI-RUH — FOCUS MODE" sheetId="34" r:id="rId33"/>
    <sheet name="ATZ-RUH" sheetId="35" r:id="rId34"/>
    <sheet name="ATZ-RUH LF LEGACY" sheetId="36" r:id="rId35"/>
    <sheet name="ATZ-RUH — FOCUS MODE" sheetId="37" r:id="rId36"/>
    <sheet name="CAI-DMM" sheetId="38" r:id="rId37"/>
    <sheet name="CAI-DMM LF LEGACY" sheetId="39" r:id="rId38"/>
    <sheet name="CAI-DMM — FOCUS MODE" sheetId="40" r:id="rId39"/>
    <sheet name="ATZ-DMM" sheetId="41" r:id="rId40"/>
    <sheet name="ATZ-DMM LF LEGACY" sheetId="42" r:id="rId41"/>
    <sheet name="ATZ-DMM — FOCUS MODE" sheetId="43" r:id="rId42"/>
    <sheet name="CAI-TUU" sheetId="44" r:id="rId43"/>
    <sheet name="CAI-TUU LF LEGACY" sheetId="45" r:id="rId44"/>
    <sheet name="CAI-TUU — FOCUS MODE" sheetId="46" r:id="rId45"/>
    <sheet name="ATZ-TUU" sheetId="47" r:id="rId46"/>
    <sheet name="ATZ-TUU LF LEGACY" sheetId="48" r:id="rId47"/>
    <sheet name="ATZ-TUU — FOCUS MODE" sheetId="49" r:id="rId48"/>
    <sheet name="CAI-AJF" sheetId="50" r:id="rId49"/>
    <sheet name="CAI-AJF LF LEGACY" sheetId="51" r:id="rId50"/>
    <sheet name="CAI-AJF — FOCUS MODE" sheetId="52" r:id="rId51"/>
    <sheet name="ATZ-AJF" sheetId="53" r:id="rId52"/>
    <sheet name="ATZ-AJF LF LEGACY" sheetId="54" r:id="rId53"/>
    <sheet name="ATZ-AJF — FOCUS MODE" sheetId="55" r:id="rId54"/>
    <sheet name="CAI-YNB" sheetId="56" r:id="rId55"/>
    <sheet name="CAI-YNB LF LEGACY" sheetId="57" r:id="rId56"/>
    <sheet name="CAI-YNB — FOCUS MODE" sheetId="58" r:id="rId57"/>
    <sheet name="CAI-AHB" sheetId="59" r:id="rId58"/>
    <sheet name="CAI-AHB LF LEGACY" sheetId="60" r:id="rId59"/>
    <sheet name="CAI-AHB — FOCUS MODE" sheetId="61" r:id="rId60"/>
    <sheet name="ATZ-AHB" sheetId="62" r:id="rId61"/>
    <sheet name="ATZ-AHB LF LEGACY" sheetId="63" r:id="rId62"/>
    <sheet name="ATZ-AHB — FOCUS MODE" sheetId="64" r:id="rId63"/>
    <sheet name="CAI-ELQ" sheetId="65" r:id="rId64"/>
    <sheet name="CAI-ELQ LF LEGACY" sheetId="66" r:id="rId65"/>
    <sheet name="CAI-ELQ — FOCUS MODE" sheetId="67" r:id="rId66"/>
    <sheet name="ATZ-ELQ" sheetId="68" r:id="rId67"/>
    <sheet name="ATZ-ELQ LF LEGACY" sheetId="69" r:id="rId68"/>
    <sheet name="ATZ-ELQ — FOCUS MODE" sheetId="70" r:id="rId69"/>
    <sheet name="CAI-GIZ" sheetId="71" r:id="rId70"/>
    <sheet name="CAI-GIZ LF LEGACY" sheetId="72" r:id="rId71"/>
    <sheet name="CAI-GIZ — FOCUS MODE" sheetId="73" r:id="rId72"/>
    <sheet name="LF_ALL_ROUTES1" sheetId="74" r:id="rId73"/>
  </sheets>
  <definedNames>
    <definedName name="_xlnm._FilterDatabase" localSheetId="61" hidden="1">'ATZ-AHB LF LEGACY'!$A$1:$AI$2</definedName>
    <definedName name="_xlnm._FilterDatabase" localSheetId="52" hidden="1">'ATZ-AJF LF LEGACY'!$A$1:$AI$2</definedName>
    <definedName name="_xlnm._FilterDatabase" localSheetId="40" hidden="1">'ATZ-DMM LF LEGACY'!$A$1:$AI$3</definedName>
    <definedName name="_xlnm._FilterDatabase" localSheetId="67" hidden="1">'ATZ-ELQ LF LEGACY'!$A$1:$AI$3</definedName>
    <definedName name="_xlnm._FilterDatabase" localSheetId="16" hidden="1">'ATZ-JED LF LEGACY'!$A$1:$AI$16</definedName>
    <definedName name="_xlnm._FilterDatabase" localSheetId="7" hidden="1">'ATZ-MED LF LEGACY'!$A$1:$AI$4</definedName>
    <definedName name="_xlnm._FilterDatabase" localSheetId="34" hidden="1">'ATZ-RUH LF LEGACY'!$A$1:$AI$4</definedName>
    <definedName name="_xlnm._FilterDatabase" localSheetId="46" hidden="1">'ATZ-TUU LF LEGACY'!$A$1:$AI$2</definedName>
    <definedName name="_xlnm._FilterDatabase" localSheetId="58" hidden="1">'CAI-AHB LF LEGACY'!$A$1:$AI$4</definedName>
    <definedName name="_xlnm._FilterDatabase" localSheetId="49" hidden="1">'CAI-AJF LF LEGACY'!$A$1:$AI$4</definedName>
    <definedName name="_xlnm._FilterDatabase" localSheetId="37" hidden="1">'CAI-DMM LF LEGACY'!$A$1:$AI$5</definedName>
    <definedName name="_xlnm._FilterDatabase" localSheetId="64" hidden="1">'CAI-ELQ LF LEGACY'!$A$1:$AI$4</definedName>
    <definedName name="_xlnm._FilterDatabase" localSheetId="70" hidden="1">'CAI-GIZ LF LEGACY'!$A$1:$AI$3</definedName>
    <definedName name="_xlnm._FilterDatabase" localSheetId="10" hidden="1">'CAI-JED LF LEGACY'!$A$1:$AI$35</definedName>
    <definedName name="_xlnm._FilterDatabase" localSheetId="1" hidden="1">'CAI-MED LF LEGACY'!$A$1:$AI$7</definedName>
    <definedName name="_xlnm._FilterDatabase" localSheetId="31" hidden="1">'CAI-RUH LF LEGACY'!$A$1:$AI$10</definedName>
    <definedName name="_xlnm._FilterDatabase" localSheetId="43" hidden="1">'CAI-TUU LF LEGACY'!$A$1:$AI$4</definedName>
    <definedName name="_xlnm._FilterDatabase" localSheetId="55" hidden="1">'CAI-YNB LF LEGACY'!$A$1:$AI$8</definedName>
    <definedName name="_xlnm._FilterDatabase" localSheetId="13" hidden="1">'HBE-JED LF LEGACY'!$A$1:$AI$13</definedName>
    <definedName name="_xlnm._FilterDatabase" localSheetId="4" hidden="1">'HBE-MED LF LEGACY'!$A$1:$AI$5</definedName>
    <definedName name="_xlnm._FilterDatabase" localSheetId="72" hidden="1">LF_ALL_ROUTES1!$A$1:$AI$123</definedName>
    <definedName name="_xlnm._FilterDatabase" localSheetId="19" hidden="1">'LXR-JED LF LEGACY'!$A$1:$AI$5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24" i="74" l="1"/>
  <c r="AH124" i="74"/>
  <c r="AG124" i="74"/>
  <c r="AF124" i="74"/>
  <c r="AE124" i="74"/>
  <c r="AD124" i="74"/>
  <c r="AC124" i="74"/>
  <c r="AB124" i="74"/>
  <c r="AA124" i="74"/>
  <c r="Z124" i="74"/>
  <c r="Y124" i="74"/>
  <c r="X124" i="74"/>
  <c r="W124" i="74"/>
  <c r="V124" i="74"/>
  <c r="U124" i="74"/>
  <c r="T124" i="74"/>
  <c r="S124" i="74"/>
  <c r="R124" i="74"/>
  <c r="Q124" i="74"/>
  <c r="P124" i="74"/>
  <c r="N124" i="74"/>
  <c r="M124" i="74"/>
  <c r="L124" i="74"/>
  <c r="J124" i="74"/>
  <c r="I124" i="74"/>
  <c r="H124" i="74"/>
  <c r="G124" i="74"/>
  <c r="C124" i="74"/>
  <c r="AI4" i="72"/>
  <c r="AH4" i="72"/>
  <c r="AG4" i="72"/>
  <c r="AF4" i="72"/>
  <c r="AE4" i="72"/>
  <c r="AD4" i="72"/>
  <c r="AC4" i="72"/>
  <c r="AB4" i="72"/>
  <c r="AA4" i="72"/>
  <c r="Z4" i="72"/>
  <c r="Y4" i="72"/>
  <c r="X4" i="72"/>
  <c r="W4" i="72"/>
  <c r="V4" i="72"/>
  <c r="U4" i="72"/>
  <c r="T4" i="72"/>
  <c r="S4" i="72"/>
  <c r="R4" i="72"/>
  <c r="Q4" i="72"/>
  <c r="P4" i="72"/>
  <c r="N4" i="72"/>
  <c r="M4" i="72"/>
  <c r="L4" i="72"/>
  <c r="J4" i="72"/>
  <c r="I4" i="72"/>
  <c r="H4" i="72"/>
  <c r="G4" i="72"/>
  <c r="C4" i="72"/>
  <c r="AI4" i="69"/>
  <c r="AH4" i="69"/>
  <c r="AG4" i="69"/>
  <c r="AF4" i="69"/>
  <c r="AE4" i="69"/>
  <c r="AD4" i="69"/>
  <c r="AC4" i="69"/>
  <c r="AB4" i="69"/>
  <c r="AA4" i="69"/>
  <c r="Z4" i="69"/>
  <c r="Y4" i="69"/>
  <c r="X4" i="69"/>
  <c r="W4" i="69"/>
  <c r="V4" i="69"/>
  <c r="U4" i="69"/>
  <c r="T4" i="69"/>
  <c r="S4" i="69"/>
  <c r="R4" i="69"/>
  <c r="Q4" i="69"/>
  <c r="P4" i="69"/>
  <c r="N4" i="69"/>
  <c r="M4" i="69"/>
  <c r="L4" i="69"/>
  <c r="J4" i="69"/>
  <c r="I4" i="69"/>
  <c r="H4" i="69"/>
  <c r="G4" i="69"/>
  <c r="C4" i="69"/>
  <c r="AI5" i="66"/>
  <c r="AH5" i="66"/>
  <c r="AG5" i="66"/>
  <c r="AF5" i="66"/>
  <c r="AE5" i="66"/>
  <c r="AD5" i="66"/>
  <c r="AC5" i="66"/>
  <c r="AB5" i="66"/>
  <c r="AA5" i="66"/>
  <c r="Z5" i="66"/>
  <c r="Y5" i="66"/>
  <c r="X5" i="66"/>
  <c r="W5" i="66"/>
  <c r="V5" i="66"/>
  <c r="U5" i="66"/>
  <c r="T5" i="66"/>
  <c r="S5" i="66"/>
  <c r="R5" i="66"/>
  <c r="Q5" i="66"/>
  <c r="P5" i="66"/>
  <c r="N5" i="66"/>
  <c r="M5" i="66"/>
  <c r="L5" i="66"/>
  <c r="J5" i="66"/>
  <c r="I5" i="66"/>
  <c r="H5" i="66"/>
  <c r="G5" i="66"/>
  <c r="C5" i="66"/>
  <c r="AI3" i="63"/>
  <c r="AH3" i="63"/>
  <c r="AG3" i="63"/>
  <c r="AF3" i="63"/>
  <c r="AE3" i="63"/>
  <c r="AD3" i="63"/>
  <c r="AC3" i="63"/>
  <c r="AB3" i="63"/>
  <c r="AA3" i="63"/>
  <c r="Z3" i="63"/>
  <c r="Y3" i="63"/>
  <c r="X3" i="63"/>
  <c r="W3" i="63"/>
  <c r="V3" i="63"/>
  <c r="U3" i="63"/>
  <c r="T3" i="63"/>
  <c r="S3" i="63"/>
  <c r="R3" i="63"/>
  <c r="Q3" i="63"/>
  <c r="P3" i="63"/>
  <c r="N3" i="63"/>
  <c r="M3" i="63"/>
  <c r="L3" i="63"/>
  <c r="J3" i="63"/>
  <c r="I3" i="63"/>
  <c r="H3" i="63"/>
  <c r="G3" i="63"/>
  <c r="C3" i="63"/>
  <c r="AI5" i="60"/>
  <c r="AH5" i="60"/>
  <c r="AG5" i="60"/>
  <c r="AF5" i="60"/>
  <c r="AE5" i="60"/>
  <c r="AD5" i="60"/>
  <c r="AC5" i="60"/>
  <c r="AB5" i="60"/>
  <c r="AA5" i="60"/>
  <c r="Z5" i="60"/>
  <c r="Y5" i="60"/>
  <c r="X5" i="60"/>
  <c r="W5" i="60"/>
  <c r="V5" i="60"/>
  <c r="U5" i="60"/>
  <c r="T5" i="60"/>
  <c r="S5" i="60"/>
  <c r="R5" i="60"/>
  <c r="Q5" i="60"/>
  <c r="P5" i="60"/>
  <c r="N5" i="60"/>
  <c r="M5" i="60"/>
  <c r="L5" i="60"/>
  <c r="J5" i="60"/>
  <c r="I5" i="60"/>
  <c r="H5" i="60"/>
  <c r="G5" i="60"/>
  <c r="C5" i="60"/>
  <c r="AI9" i="57"/>
  <c r="AH9" i="57"/>
  <c r="AG9" i="57"/>
  <c r="AF9" i="57"/>
  <c r="AE9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N9" i="57"/>
  <c r="M9" i="57"/>
  <c r="L9" i="57"/>
  <c r="J9" i="57"/>
  <c r="I9" i="57"/>
  <c r="H9" i="57"/>
  <c r="G9" i="57"/>
  <c r="C9" i="57"/>
  <c r="AI3" i="54"/>
  <c r="AH3" i="54"/>
  <c r="AG3" i="54"/>
  <c r="AF3" i="54"/>
  <c r="AE3" i="54"/>
  <c r="AD3" i="54"/>
  <c r="AC3" i="54"/>
  <c r="AB3" i="54"/>
  <c r="AA3" i="54"/>
  <c r="Z3" i="54"/>
  <c r="Y3" i="54"/>
  <c r="X3" i="54"/>
  <c r="W3" i="54"/>
  <c r="V3" i="54"/>
  <c r="U3" i="54"/>
  <c r="T3" i="54"/>
  <c r="S3" i="54"/>
  <c r="R3" i="54"/>
  <c r="Q3" i="54"/>
  <c r="P3" i="54"/>
  <c r="N3" i="54"/>
  <c r="M3" i="54"/>
  <c r="L3" i="54"/>
  <c r="J3" i="54"/>
  <c r="I3" i="54"/>
  <c r="H3" i="54"/>
  <c r="G3" i="54"/>
  <c r="C3" i="54"/>
  <c r="AI5" i="51"/>
  <c r="AH5" i="51"/>
  <c r="AG5" i="51"/>
  <c r="AF5" i="51"/>
  <c r="AE5" i="51"/>
  <c r="AD5" i="51"/>
  <c r="AC5" i="51"/>
  <c r="AB5" i="51"/>
  <c r="AA5" i="51"/>
  <c r="Z5" i="51"/>
  <c r="Y5" i="51"/>
  <c r="X5" i="51"/>
  <c r="W5" i="51"/>
  <c r="V5" i="51"/>
  <c r="U5" i="51"/>
  <c r="T5" i="51"/>
  <c r="S5" i="51"/>
  <c r="R5" i="51"/>
  <c r="Q5" i="51"/>
  <c r="P5" i="51"/>
  <c r="N5" i="51"/>
  <c r="M5" i="51"/>
  <c r="L5" i="51"/>
  <c r="J5" i="51"/>
  <c r="I5" i="51"/>
  <c r="H5" i="51"/>
  <c r="G5" i="51"/>
  <c r="C5" i="51"/>
  <c r="AI3" i="48"/>
  <c r="AH3" i="48"/>
  <c r="AG3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N3" i="48"/>
  <c r="M3" i="48"/>
  <c r="L3" i="48"/>
  <c r="J3" i="48"/>
  <c r="I3" i="48"/>
  <c r="H3" i="48"/>
  <c r="G3" i="48"/>
  <c r="C3" i="48"/>
  <c r="AI5" i="45"/>
  <c r="AH5" i="45"/>
  <c r="AG5" i="45"/>
  <c r="AF5" i="45"/>
  <c r="AE5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N5" i="45"/>
  <c r="M5" i="45"/>
  <c r="L5" i="45"/>
  <c r="J5" i="45"/>
  <c r="I5" i="45"/>
  <c r="H5" i="45"/>
  <c r="G5" i="45"/>
  <c r="C5" i="45"/>
  <c r="AI4" i="42"/>
  <c r="AH4" i="42"/>
  <c r="AG4" i="42"/>
  <c r="AF4" i="42"/>
  <c r="AE4" i="42"/>
  <c r="AD4" i="42"/>
  <c r="AC4" i="42"/>
  <c r="AB4" i="42"/>
  <c r="AA4" i="42"/>
  <c r="Z4" i="42"/>
  <c r="Y4" i="42"/>
  <c r="X4" i="42"/>
  <c r="W4" i="42"/>
  <c r="V4" i="42"/>
  <c r="U4" i="42"/>
  <c r="T4" i="42"/>
  <c r="S4" i="42"/>
  <c r="R4" i="42"/>
  <c r="Q4" i="42"/>
  <c r="P4" i="42"/>
  <c r="N4" i="42"/>
  <c r="M4" i="42"/>
  <c r="L4" i="42"/>
  <c r="J4" i="42"/>
  <c r="I4" i="42"/>
  <c r="H4" i="42"/>
  <c r="G4" i="42"/>
  <c r="C4" i="42"/>
  <c r="AI6" i="39"/>
  <c r="AH6" i="39"/>
  <c r="AG6" i="39"/>
  <c r="AF6" i="39"/>
  <c r="AE6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N6" i="39"/>
  <c r="M6" i="39"/>
  <c r="L6" i="39"/>
  <c r="J6" i="39"/>
  <c r="I6" i="39"/>
  <c r="H6" i="39"/>
  <c r="G6" i="39"/>
  <c r="C6" i="39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N5" i="36"/>
  <c r="M5" i="36"/>
  <c r="L5" i="36"/>
  <c r="J5" i="36"/>
  <c r="I5" i="36"/>
  <c r="H5" i="36"/>
  <c r="G5" i="36"/>
  <c r="C5" i="36"/>
  <c r="AI11" i="33"/>
  <c r="AH11" i="33"/>
  <c r="AG11" i="33"/>
  <c r="AF11" i="33"/>
  <c r="AE11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N11" i="33"/>
  <c r="M11" i="33"/>
  <c r="L11" i="33"/>
  <c r="J11" i="33"/>
  <c r="I11" i="33"/>
  <c r="H11" i="33"/>
  <c r="G11" i="33"/>
  <c r="C11" i="33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N6" i="21"/>
  <c r="M6" i="21"/>
  <c r="L6" i="21"/>
  <c r="J6" i="21"/>
  <c r="I6" i="21"/>
  <c r="H6" i="21"/>
  <c r="G6" i="21"/>
  <c r="C6" i="21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N17" i="18"/>
  <c r="M17" i="18"/>
  <c r="L17" i="18"/>
  <c r="J17" i="18"/>
  <c r="I17" i="18"/>
  <c r="H17" i="18"/>
  <c r="G17" i="18"/>
  <c r="C17" i="18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N14" i="15"/>
  <c r="M14" i="15"/>
  <c r="L14" i="15"/>
  <c r="J14" i="15"/>
  <c r="I14" i="15"/>
  <c r="H14" i="15"/>
  <c r="G14" i="15"/>
  <c r="C14" i="15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N36" i="12"/>
  <c r="M36" i="12"/>
  <c r="L36" i="12"/>
  <c r="J36" i="12"/>
  <c r="I36" i="12"/>
  <c r="H36" i="12"/>
  <c r="G36" i="12"/>
  <c r="C36" i="12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N5" i="9"/>
  <c r="M5" i="9"/>
  <c r="L5" i="9"/>
  <c r="J5" i="9"/>
  <c r="I5" i="9"/>
  <c r="H5" i="9"/>
  <c r="G5" i="9"/>
  <c r="C5" i="9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N6" i="6"/>
  <c r="M6" i="6"/>
  <c r="L6" i="6"/>
  <c r="J6" i="6"/>
  <c r="I6" i="6"/>
  <c r="H6" i="6"/>
  <c r="G6" i="6"/>
  <c r="C6" i="6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N8" i="2"/>
  <c r="M8" i="2"/>
  <c r="L8" i="2"/>
  <c r="J8" i="2"/>
  <c r="I8" i="2"/>
  <c r="H8" i="2"/>
  <c r="G8" i="2"/>
  <c r="C8" i="2"/>
</calcChain>
</file>

<file path=xl/sharedStrings.xml><?xml version="1.0" encoding="utf-8"?>
<sst xmlns="http://schemas.openxmlformats.org/spreadsheetml/2006/main" count="22028" uniqueCount="1249">
  <si>
    <t>COMPREHENSIVE REPORT</t>
  </si>
  <si>
    <t>CAI-MED</t>
  </si>
  <si>
    <t>FROM</t>
  </si>
  <si>
    <t>TO</t>
  </si>
  <si>
    <t>THIS REPORT GENERATED AT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</si>
  <si>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</si>
  <si>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</si>
  <si>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</si>
  <si>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</si>
  <si>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</si>
  <si>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</si>
  <si>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</si>
  <si>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</si>
  <si>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</si>
  <si>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</si>
  <si>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</si>
  <si>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</si>
  <si>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</si>
  <si>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</si>
  <si>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</si>
  <si>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</si>
  <si>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</si>
  <si>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</si>
  <si>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</si>
  <si>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</si>
  <si>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</si>
  <si>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</si>
  <si>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</si>
  <si>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</si>
  <si>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9,719 EGP</t>
  </si>
  <si>
    <t>Cabin: 10 KG / Check-in: 25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</si>
  <si>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</si>
  <si>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11,640 EGP</t>
  </si>
  <si>
    <t>Cabin: 10 KG / Check-in: 2 x 40 KG</t>
  </si>
  <si>
    <t>15,354 EGP</t>
  </si>
  <si>
    <t>Saudia</t>
  </si>
  <si>
    <t>SV-318</t>
  </si>
  <si>
    <t>Cabin: 7 KG | Check-in: 1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</si>
  <si>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</si>
  <si>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</si>
  <si>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23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</si>
  <si>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</si>
  <si>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Cabin: 7 KG / Check-in: 2 x 46 KG</t>
  </si>
  <si>
    <t>11,686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</si>
  <si>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</si>
  <si>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</si>
  <si>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15,323 EGP</t>
  </si>
  <si>
    <t>SV-380</t>
  </si>
  <si>
    <t>Cabin: 7 KG | Check-in: 2 PIECE</t>
  </si>
  <si>
    <t>20,419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</si>
  <si>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</si>
  <si>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</si>
  <si>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22,724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</si>
  <si>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</si>
  <si>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</si>
  <si>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</si>
  <si>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</si>
  <si>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</si>
  <si>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Cabin: 7 KG / Check-in: 30 KG</t>
  </si>
  <si>
    <t>12,921 EGP</t>
  </si>
  <si>
    <t>Cabin: 7 KG / Check-in: 2 x 40 KG</t>
  </si>
  <si>
    <t>14,073 EGP</t>
  </si>
  <si>
    <t>XY-794</t>
  </si>
  <si>
    <t>EgyptAir</t>
  </si>
  <si>
    <t>MS-639</t>
  </si>
  <si>
    <t>12,198 EGP</t>
  </si>
  <si>
    <t>MS-693</t>
  </si>
  <si>
    <t>MS-695</t>
  </si>
  <si>
    <t>MS-675</t>
  </si>
  <si>
    <t>14,887 EGP</t>
  </si>
  <si>
    <t>MS-677</t>
  </si>
  <si>
    <t>Air Cairo</t>
  </si>
  <si>
    <t>SM495</t>
  </si>
  <si>
    <t>20KG + 7KG CABIN</t>
  </si>
  <si>
    <t>FULLY BOOKED</t>
  </si>
  <si>
    <t>CLOSED</t>
  </si>
  <si>
    <t>V6 &amp; G1 &amp; I9 &amp; P161 &amp; N2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</si>
  <si>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</si>
  <si>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</si>
  <si>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10,872 EGP</t>
  </si>
  <si>
    <t>SM-493</t>
  </si>
  <si>
    <t>Cabin: 7 KG | Check-in: 30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</si>
  <si>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</si>
  <si>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10,175 EGP</t>
  </si>
  <si>
    <t>SM493</t>
  </si>
  <si>
    <t>G2</t>
  </si>
  <si>
    <t>G1 &amp; U3 &amp; O12 &amp; I8 &amp; E65 &amp; P87 &amp; N2</t>
  </si>
  <si>
    <t>SM487</t>
  </si>
  <si>
    <t>W4 &amp; T10 &amp; X10 &amp; U10 &amp; O10 &amp; I10 &amp; P125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</si>
  <si>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</si>
  <si>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22,968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</si>
  <si>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</si>
  <si>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</si>
  <si>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</si>
  <si>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</si>
  <si>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</si>
  <si>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</si>
  <si>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Cabin: 0 KG | Check-in: 15 KG</t>
  </si>
  <si>
    <t>10,744 EGP</t>
  </si>
  <si>
    <t>13,376 EGP</t>
  </si>
  <si>
    <t>16,373 EGP</t>
  </si>
  <si>
    <t>14,201 EGP</t>
  </si>
  <si>
    <t>15,482 EGP</t>
  </si>
  <si>
    <t>16,250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</si>
  <si>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</si>
  <si>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</si>
  <si>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</si>
  <si>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</si>
  <si>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11,768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</si>
  <si>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</si>
  <si>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13,689 EGP</t>
  </si>
  <si>
    <t>26,528 EGP</t>
  </si>
  <si>
    <t>L1 &amp; O3 &amp; I8 &amp; P168</t>
  </si>
  <si>
    <t>12,280 EGP</t>
  </si>
  <si>
    <t>13,561 EGP</t>
  </si>
  <si>
    <t>14,713 EGP</t>
  </si>
  <si>
    <t>17,871 EGP</t>
  </si>
  <si>
    <t>12,664 EGP</t>
  </si>
  <si>
    <t>11,000 EGP</t>
  </si>
  <si>
    <t>13,433 EGP</t>
  </si>
  <si>
    <t>18,050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</si>
  <si>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</si>
  <si>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G2 &amp; X7 &amp; U11 &amp; O11 &amp; I10 &amp; P135 &amp; N3</t>
  </si>
  <si>
    <t>8,951 EGP</t>
  </si>
  <si>
    <t>11,225 EGP</t>
  </si>
  <si>
    <t>L1</t>
  </si>
  <si>
    <t>L4 &amp; X8 &amp; U11 &amp; O11 &amp; I10 &amp; P135</t>
  </si>
  <si>
    <t>19,894 EGP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</si>
  <si>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</si>
  <si>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</si>
  <si>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</si>
  <si>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</si>
  <si>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</si>
  <si>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</si>
  <si>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</si>
  <si>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</si>
  <si>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</si>
  <si>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</si>
  <si>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</si>
  <si>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</si>
  <si>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</si>
  <si>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</si>
  <si>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</si>
  <si>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</si>
  <si>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</si>
  <si>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</si>
  <si>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</si>
  <si>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</si>
  <si>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</si>
  <si>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</si>
  <si>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</si>
  <si>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</si>
  <si>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</si>
  <si>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</si>
  <si>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</si>
  <si>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</si>
  <si>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</si>
  <si>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</si>
  <si>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</si>
  <si>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V6</t>
  </si>
  <si>
    <t>G1</t>
  </si>
  <si>
    <t>I9</t>
  </si>
  <si>
    <t>P161</t>
  </si>
  <si>
    <t>N2</t>
  </si>
  <si>
    <t>TUESDAY</t>
  </si>
  <si>
    <t>W4</t>
  </si>
  <si>
    <t>T10</t>
  </si>
  <si>
    <t>X10</t>
  </si>
  <si>
    <t>U10</t>
  </si>
  <si>
    <t>O10</t>
  </si>
  <si>
    <t>I10</t>
  </si>
  <si>
    <t>P125</t>
  </si>
  <si>
    <t>U3</t>
  </si>
  <si>
    <t>O12</t>
  </si>
  <si>
    <t>I8</t>
  </si>
  <si>
    <t>E65</t>
  </si>
  <si>
    <t>P87</t>
  </si>
  <si>
    <t>THURSDAY</t>
  </si>
  <si>
    <t>O3</t>
  </si>
  <si>
    <t>P168</t>
  </si>
  <si>
    <t>SATURDAY</t>
  </si>
  <si>
    <t>X7</t>
  </si>
  <si>
    <t>U11</t>
  </si>
  <si>
    <t>O11</t>
  </si>
  <si>
    <t>P135</t>
  </si>
  <si>
    <t>N3</t>
  </si>
  <si>
    <t>SUNDAY</t>
  </si>
  <si>
    <t>L4</t>
  </si>
  <si>
    <t>X8</t>
  </si>
  <si>
    <t>TOTAL</t>
  </si>
  <si>
    <t>DATE</t>
  </si>
  <si>
    <t>ROUTE</t>
  </si>
  <si>
    <t>TUE</t>
  </si>
  <si>
    <t>THU</t>
  </si>
  <si>
    <t>SAT</t>
  </si>
  <si>
    <t>SUN</t>
  </si>
  <si>
    <t>MON</t>
  </si>
  <si>
    <t>HBE-MED</t>
  </si>
  <si>
    <t>SM485</t>
  </si>
  <si>
    <t>V5 &amp; T5 &amp; X4 &amp; E41 &amp; P125</t>
  </si>
  <si>
    <t>Indirect competition route CAI – MED - diversion ratio &amp; passenger leakage</t>
  </si>
  <si>
    <t>05:30</t>
  </si>
  <si>
    <t>3 FOR SAME CLASS</t>
  </si>
  <si>
    <t>19:40</t>
  </si>
  <si>
    <t>2 FOR SAME CLASS</t>
  </si>
  <si>
    <t>08:05</t>
  </si>
  <si>
    <t>+9 FOR SAME CLASS</t>
  </si>
  <si>
    <t>01:35</t>
  </si>
  <si>
    <t>06:55</t>
  </si>
  <si>
    <t>14:35</t>
  </si>
  <si>
    <t>G1 &amp; I3 &amp; P175</t>
  </si>
  <si>
    <t>22:50</t>
  </si>
  <si>
    <t>4 FOR SAME CLASS</t>
  </si>
  <si>
    <t>08:25</t>
  </si>
  <si>
    <t>1 FOR SAME CLASS</t>
  </si>
  <si>
    <t>21:30</t>
  </si>
  <si>
    <t>04:25</t>
  </si>
  <si>
    <t>MS-679</t>
  </si>
  <si>
    <t>23,173 EGP</t>
  </si>
  <si>
    <t>G3 &amp; X3 &amp; I8 &amp; P166</t>
  </si>
  <si>
    <t>9 FOR SAME CLASS</t>
  </si>
  <si>
    <t>10:25</t>
  </si>
  <si>
    <t>14,337 EGP</t>
  </si>
  <si>
    <t>5 FOR SAME CLASS</t>
  </si>
  <si>
    <t>22:35</t>
  </si>
  <si>
    <t>16:45</t>
  </si>
  <si>
    <t>L3 &amp; X10 &amp; U11 &amp; O11 &amp; I10 &amp; P135</t>
  </si>
  <si>
    <t>17:50</t>
  </si>
  <si>
    <t>V5</t>
  </si>
  <si>
    <t>T5</t>
  </si>
  <si>
    <t>X4</t>
  </si>
  <si>
    <t>E41</t>
  </si>
  <si>
    <t>WEDNESDAY</t>
  </si>
  <si>
    <t>I3</t>
  </si>
  <si>
    <t>P175</t>
  </si>
  <si>
    <t>G3</t>
  </si>
  <si>
    <t>X3</t>
  </si>
  <si>
    <t>P166</t>
  </si>
  <si>
    <t>L3</t>
  </si>
  <si>
    <t>CAI-MED AS ALTERNATIVE ROUTE</t>
  </si>
  <si>
    <t>ATZ-MED</t>
  </si>
  <si>
    <t>SM-487</t>
  </si>
  <si>
    <t>8,203 EGP</t>
  </si>
  <si>
    <t>T4</t>
  </si>
  <si>
    <t>T11 &amp; X20 &amp; U10 &amp; O11 &amp; I19 &amp; P50</t>
  </si>
  <si>
    <t>06:45</t>
  </si>
  <si>
    <t>SM-489</t>
  </si>
  <si>
    <t>8,856 EGP</t>
  </si>
  <si>
    <t>SM489</t>
  </si>
  <si>
    <t>W9</t>
  </si>
  <si>
    <t>S1 &amp; W1 &amp; T19 &amp; X18 &amp; U18 &amp; O22 &amp; I23 &amp; P50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</si>
  <si>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</si>
  <si>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T6</t>
  </si>
  <si>
    <t>Y1 &amp; S1 &amp; W1 &amp; T17 &amp; X19 &amp; U5 &amp; O4 &amp; I9 &amp; P97</t>
  </si>
  <si>
    <t>T11</t>
  </si>
  <si>
    <t>X20</t>
  </si>
  <si>
    <t>I19</t>
  </si>
  <si>
    <t>P50</t>
  </si>
  <si>
    <t>S1</t>
  </si>
  <si>
    <t>W1</t>
  </si>
  <si>
    <t>T19</t>
  </si>
  <si>
    <t>X18</t>
  </si>
  <si>
    <t>U18</t>
  </si>
  <si>
    <t>O22</t>
  </si>
  <si>
    <t>I23</t>
  </si>
  <si>
    <t>Y1</t>
  </si>
  <si>
    <t>T17</t>
  </si>
  <si>
    <t>X19</t>
  </si>
  <si>
    <t>U5</t>
  </si>
  <si>
    <t>O4</t>
  </si>
  <si>
    <t>P97</t>
  </si>
  <si>
    <t>CAI-JED</t>
  </si>
  <si>
    <t>F3-764</t>
  </si>
  <si>
    <t>F3-756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</si>
  <si>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</si>
  <si>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9,591 EGP</t>
  </si>
  <si>
    <t>11,512 EGP</t>
  </si>
  <si>
    <t>F3-762</t>
  </si>
  <si>
    <t>F3-754</t>
  </si>
  <si>
    <t>12,792 EGP</t>
  </si>
  <si>
    <t>Air Arabia Egypt</t>
  </si>
  <si>
    <t>E5-361</t>
  </si>
  <si>
    <t>Cabin: 10 KG / Check-in: 30 KG</t>
  </si>
  <si>
    <t>9,848 EGP</t>
  </si>
  <si>
    <t>11,486 EGP</t>
  </si>
  <si>
    <t>Nile Air</t>
  </si>
  <si>
    <t>NP-127</t>
  </si>
  <si>
    <t>10,193 EGP</t>
  </si>
  <si>
    <t>NP-227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</si>
  <si>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</si>
  <si>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NP-327</t>
  </si>
  <si>
    <t>XY-568</t>
  </si>
  <si>
    <t>Cabin: 7 KG | Check-in: 20 KG</t>
  </si>
  <si>
    <t>10,231 EGP</t>
  </si>
  <si>
    <t>XY-572</t>
  </si>
  <si>
    <t>XY-574</t>
  </si>
  <si>
    <t>XY-578</t>
  </si>
  <si>
    <t>XY-584</t>
  </si>
  <si>
    <t>XY-590</t>
  </si>
  <si>
    <t>XY-566</t>
  </si>
  <si>
    <t>13,945 EGP</t>
  </si>
  <si>
    <t>XY-570</t>
  </si>
  <si>
    <t>SV-308</t>
  </si>
  <si>
    <t>14,176 EGP</t>
  </si>
  <si>
    <t>SV-6892</t>
  </si>
  <si>
    <t>18,120 EGP</t>
  </si>
  <si>
    <t>SV-6665</t>
  </si>
  <si>
    <t>19,989 EGP</t>
  </si>
  <si>
    <t>SV-6894</t>
  </si>
  <si>
    <t>SV-6896</t>
  </si>
  <si>
    <t>SV-302</t>
  </si>
  <si>
    <t>20,578 EGP</t>
  </si>
  <si>
    <t>SV-330</t>
  </si>
  <si>
    <t>SV-382</t>
  </si>
  <si>
    <t>SV-386</t>
  </si>
  <si>
    <t>SV-388</t>
  </si>
  <si>
    <t>SV-300</t>
  </si>
  <si>
    <t>23,844 EGP</t>
  </si>
  <si>
    <t>SV-304</t>
  </si>
  <si>
    <t>MS-643</t>
  </si>
  <si>
    <t>20,732 EGP</t>
  </si>
  <si>
    <t>MS-661</t>
  </si>
  <si>
    <t>MS-663</t>
  </si>
  <si>
    <t>MS-665</t>
  </si>
  <si>
    <t>MS-667</t>
  </si>
  <si>
    <t>MS-669</t>
  </si>
  <si>
    <t>MS-671</t>
  </si>
  <si>
    <t>MS-673</t>
  </si>
  <si>
    <t>SM475</t>
  </si>
  <si>
    <t>S4 &amp; X4 &amp; U12 &amp; O11 &amp; I19 &amp; P130</t>
  </si>
  <si>
    <t>SM477</t>
  </si>
  <si>
    <t>X4 &amp; U16 &amp; O8 &amp; I20 &amp; P132</t>
  </si>
  <si>
    <t>SM459</t>
  </si>
  <si>
    <t>G7 &amp; S26 &amp; W28 &amp; T10 &amp; X11 &amp; U12 &amp; O14 &amp; I21 &amp; P50</t>
  </si>
  <si>
    <t>11,230 EGP</t>
  </si>
  <si>
    <t>12,152 EGP</t>
  </si>
  <si>
    <t>Cabin: 10 KG | Check-in: 40 KG</t>
  </si>
  <si>
    <t>9,705 EGP</t>
  </si>
  <si>
    <t>11,342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</si>
  <si>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</si>
  <si>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SM-471</t>
  </si>
  <si>
    <t>10,500 EGP</t>
  </si>
  <si>
    <t>SM471</t>
  </si>
  <si>
    <t>V4 &amp; L11 &amp; G11 &amp; S11 &amp; W12 &amp; T11 &amp; X28 &amp; U10 &amp; O11 &amp; I21 &amp; P46</t>
  </si>
  <si>
    <t>SM-475</t>
  </si>
  <si>
    <t>L2</t>
  </si>
  <si>
    <t>V6 &amp; L10 &amp; G26 &amp; S28 &amp; W12 &amp; T19 &amp; X21 &amp; U29 &amp; O11 &amp; I10 &amp; P2 &amp; N1</t>
  </si>
  <si>
    <t>SM479</t>
  </si>
  <si>
    <t>S4 &amp; T1 &amp; X9 &amp; U10 &amp; O10 &amp; I5 &amp; P139 &amp; N3</t>
  </si>
  <si>
    <t>S7 &amp; W12 &amp; T12 &amp; X10 &amp; U12 &amp; O22 &amp; I10 &amp; P95</t>
  </si>
  <si>
    <t>S11 &amp; U18 &amp; O22 &amp; I6 &amp; E40 &amp; P80</t>
  </si>
  <si>
    <t>SM423</t>
  </si>
  <si>
    <t>S5 &amp; W2 &amp; T11 &amp; X11 &amp; U17 &amp; O23 &amp; I20 &amp; P90</t>
  </si>
  <si>
    <t>12,114 EGP</t>
  </si>
  <si>
    <t>32,603 EGP</t>
  </si>
  <si>
    <t>17,223 EGP</t>
  </si>
  <si>
    <t>16,122 EGP</t>
  </si>
  <si>
    <t>E5-327</t>
  </si>
  <si>
    <t>11,428 EGP</t>
  </si>
  <si>
    <t>13,065 EGP</t>
  </si>
  <si>
    <t>Nesma Airlines</t>
  </si>
  <si>
    <t>NE-172</t>
  </si>
  <si>
    <t>13,599 EGP</t>
  </si>
  <si>
    <t>15,277 EGP</t>
  </si>
  <si>
    <t>22,154 EGP</t>
  </si>
  <si>
    <t>S4 &amp; W3 &amp; T11 &amp; X19 &amp; U17 &amp; O18 &amp; I18 &amp; P90</t>
  </si>
  <si>
    <t>G2 &amp; S18 &amp; W18 &amp; T18 &amp; X20 &amp; U16 &amp; O18 &amp; I18 &amp; P51</t>
  </si>
  <si>
    <t>T11 &amp; X21 &amp; U18 &amp; O18 &amp; I18 &amp; P90 &amp; N3</t>
  </si>
  <si>
    <t>S3 &amp; W6 &amp; T11 &amp; X12 &amp; U12 &amp; O10 &amp; I11 &amp; P114</t>
  </si>
  <si>
    <t>V14 &amp; L17 &amp; G33 &amp; S33 &amp; W18 &amp; T24 &amp; X10 &amp; U11 &amp; O9 &amp; I10</t>
  </si>
  <si>
    <t>23,037 EGP</t>
  </si>
  <si>
    <t>SM-423</t>
  </si>
  <si>
    <t>K6 &amp; V24 &amp; L23 &amp; G11 &amp; S22 &amp; W12 &amp; T9 &amp; X12 &amp; U21 &amp; O11 &amp; I10 &amp; N4</t>
  </si>
  <si>
    <t>SM-479</t>
  </si>
  <si>
    <t>12,139 EGP</t>
  </si>
  <si>
    <t>K3</t>
  </si>
  <si>
    <t>K3 &amp; L5 &amp; S3 &amp; W2 &amp; T3 &amp; X13 &amp; U6 &amp; O4 &amp; I5 &amp; P132</t>
  </si>
  <si>
    <t>SM449</t>
  </si>
  <si>
    <t>V9 &amp; L10 &amp; G25 &amp; S31 &amp; W22 &amp; T20 &amp; X19 &amp; U11 &amp; O11 &amp; I21</t>
  </si>
  <si>
    <t>L3 &amp; G11 &amp; S21 &amp; W9 &amp; T9 &amp; X23 &amp; U12 &amp; O5 &amp; I21 &amp; P65</t>
  </si>
  <si>
    <t>SM431</t>
  </si>
  <si>
    <t>V4 &amp; L10 &amp; G25 &amp; S46 &amp; W9 &amp; T20 &amp; X5 &amp; U5 &amp; O5 &amp; I5 &amp; P45</t>
  </si>
  <si>
    <t>X1 &amp; U12 &amp; O11 &amp; I21 &amp; P135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</si>
  <si>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</si>
  <si>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NE-170</t>
  </si>
  <si>
    <t>K3 &amp; V22 &amp; L31 &amp; G8 &amp; S9 &amp; W9 &amp; T9 &amp; X9 &amp; U8 &amp; O8 &amp; I17 &amp; P45</t>
  </si>
  <si>
    <t>11,281 EGP</t>
  </si>
  <si>
    <t>V1</t>
  </si>
  <si>
    <t>K10 &amp; V29 &amp; L41 &amp; G11 &amp; S11 &amp; W11 &amp; T10 &amp; X18 &amp; U11 &amp; O11 &amp; I10</t>
  </si>
  <si>
    <t>SM-477</t>
  </si>
  <si>
    <t>K6</t>
  </si>
  <si>
    <t>K3 &amp; V10 &amp; L35 &amp; G38 &amp; S10 &amp; W11 &amp; T11 &amp; X11 &amp; U12 &amp; O22 &amp; I10</t>
  </si>
  <si>
    <t>K9 &amp; V11 &amp; L24 &amp; G11 &amp; S14 &amp; W11 &amp; T9 &amp; X11 &amp; U23 &amp; O11 &amp; I10 &amp; P35 &amp; N1</t>
  </si>
  <si>
    <t>Q2 &amp; K25 &amp; V29 &amp; L26 &amp; G10 &amp; S12 &amp; W21 &amp; T13 &amp; X9 &amp; U12 &amp; O11 &amp; I10</t>
  </si>
  <si>
    <t>11,931 EGP</t>
  </si>
  <si>
    <t>13,568 EGP</t>
  </si>
  <si>
    <t>E5-321</t>
  </si>
  <si>
    <t>12,804 EGP</t>
  </si>
  <si>
    <t>14,441 EGP</t>
  </si>
  <si>
    <t>14,585 EGP</t>
  </si>
  <si>
    <t>15,994 EGP</t>
  </si>
  <si>
    <t>17,146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</si>
  <si>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</si>
  <si>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14,342 EGP</t>
  </si>
  <si>
    <t>17,275 EGP</t>
  </si>
  <si>
    <t>11,356 EGP</t>
  </si>
  <si>
    <t>12,993 EGP</t>
  </si>
  <si>
    <t>12,244 EGP</t>
  </si>
  <si>
    <t>13,881 EGP</t>
  </si>
  <si>
    <t>34,178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</si>
  <si>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</si>
  <si>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</si>
  <si>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</si>
  <si>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</si>
  <si>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14,393 EGP</t>
  </si>
  <si>
    <t>20,783 EGP</t>
  </si>
  <si>
    <t>17,915 EGP</t>
  </si>
  <si>
    <t>19,195 EGP</t>
  </si>
  <si>
    <t>20,348 EGP</t>
  </si>
  <si>
    <t>25,521 EGP</t>
  </si>
  <si>
    <t>15,366 EGP</t>
  </si>
  <si>
    <t>17,313 EGP</t>
  </si>
  <si>
    <t>M1</t>
  </si>
  <si>
    <t>H4 &amp; Q10 &amp; K13 &amp; V20 &amp; L18 &amp; G16 &amp; S21 &amp; W12 &amp; T11 &amp; X11 &amp; U12 &amp; O11 &amp; I10 &amp; N3</t>
  </si>
  <si>
    <t>V1 &amp; G15 &amp; S21 &amp; W20 &amp; T42 &amp; X9 &amp; U12 &amp; O11 &amp; I10 &amp; P45</t>
  </si>
  <si>
    <t>G5 &amp; X7 &amp; U11 &amp; O11 &amp; I10 &amp; P135 &amp; N1</t>
  </si>
  <si>
    <t>Y3 &amp; K8 &amp; V9 &amp; L15 &amp; G9 &amp; S10 &amp; W18 &amp; T9 &amp; X9 &amp; P90</t>
  </si>
  <si>
    <t>S2</t>
  </si>
  <si>
    <t>L8 &amp; G21 &amp; S20 &amp; W10 &amp; T8 &amp; X20 &amp; P90</t>
  </si>
  <si>
    <t>G2 &amp; S10 &amp; W12 &amp; T11 &amp; X11 &amp; U23 &amp; O11 &amp; I10 &amp; P90</t>
  </si>
  <si>
    <t>V4 &amp; L11 &amp; G29 &amp; S12 &amp; W9 &amp; T10 &amp; X4 &amp; U5 &amp; O5 &amp; I5 &amp; E40 &amp; P46</t>
  </si>
  <si>
    <t>G7 &amp; S9 &amp; W11 &amp; T10 &amp; X10 &amp; U12 &amp; O22 &amp; I10 &amp; P89</t>
  </si>
  <si>
    <t>V5 &amp; L10 &amp; G23 &amp; S11 &amp; W7 &amp; T9 &amp; X9 &amp; U5 &amp; O5 &amp; I5 &amp; P90</t>
  </si>
  <si>
    <t>13,305 EGP</t>
  </si>
  <si>
    <t>10,968 EGP</t>
  </si>
  <si>
    <t>12,605 EGP</t>
  </si>
  <si>
    <t>NE-176</t>
  </si>
  <si>
    <t>S4</t>
  </si>
  <si>
    <t>U12</t>
  </si>
  <si>
    <t>P130</t>
  </si>
  <si>
    <t>U16</t>
  </si>
  <si>
    <t>O8</t>
  </si>
  <si>
    <t>I20</t>
  </si>
  <si>
    <t>P132</t>
  </si>
  <si>
    <t>G7</t>
  </si>
  <si>
    <t>S26</t>
  </si>
  <si>
    <t>W28</t>
  </si>
  <si>
    <t>X11</t>
  </si>
  <si>
    <t>O14</t>
  </si>
  <si>
    <t>I21</t>
  </si>
  <si>
    <t>V4</t>
  </si>
  <si>
    <t>L11</t>
  </si>
  <si>
    <t>G11</t>
  </si>
  <si>
    <t>S11</t>
  </si>
  <si>
    <t>W12</t>
  </si>
  <si>
    <t>X28</t>
  </si>
  <si>
    <t>P46</t>
  </si>
  <si>
    <t>T1</t>
  </si>
  <si>
    <t>X9</t>
  </si>
  <si>
    <t>I5</t>
  </si>
  <si>
    <t>P139</t>
  </si>
  <si>
    <t>S7</t>
  </si>
  <si>
    <t>T12</t>
  </si>
  <si>
    <t>P95</t>
  </si>
  <si>
    <t>I6</t>
  </si>
  <si>
    <t>E40</t>
  </si>
  <si>
    <t>P80</t>
  </si>
  <si>
    <t>S5</t>
  </si>
  <si>
    <t>W2</t>
  </si>
  <si>
    <t>U17</t>
  </si>
  <si>
    <t>O23</t>
  </si>
  <si>
    <t>P90</t>
  </si>
  <si>
    <t>L10</t>
  </si>
  <si>
    <t>G26</t>
  </si>
  <si>
    <t>S28</t>
  </si>
  <si>
    <t>X21</t>
  </si>
  <si>
    <t>U29</t>
  </si>
  <si>
    <t>P2</t>
  </si>
  <si>
    <t>N1</t>
  </si>
  <si>
    <t>W3</t>
  </si>
  <si>
    <t>O18</t>
  </si>
  <si>
    <t>I18</t>
  </si>
  <si>
    <t>S18</t>
  </si>
  <si>
    <t>W18</t>
  </si>
  <si>
    <t>T18</t>
  </si>
  <si>
    <t>P51</t>
  </si>
  <si>
    <t>S3</t>
  </si>
  <si>
    <t>W6</t>
  </si>
  <si>
    <t>X12</t>
  </si>
  <si>
    <t>I11</t>
  </si>
  <si>
    <t>P114</t>
  </si>
  <si>
    <t>V14</t>
  </si>
  <si>
    <t>L17</t>
  </si>
  <si>
    <t>G33</t>
  </si>
  <si>
    <t>S33</t>
  </si>
  <si>
    <t>T24</t>
  </si>
  <si>
    <t>O9</t>
  </si>
  <si>
    <t>V9</t>
  </si>
  <si>
    <t>G25</t>
  </si>
  <si>
    <t>S31</t>
  </si>
  <si>
    <t>W22</t>
  </si>
  <si>
    <t>T20</t>
  </si>
  <si>
    <t>S21</t>
  </si>
  <si>
    <t>T9</t>
  </si>
  <si>
    <t>X23</t>
  </si>
  <si>
    <t>O5</t>
  </si>
  <si>
    <t>P65</t>
  </si>
  <si>
    <t>S46</t>
  </si>
  <si>
    <t>X5</t>
  </si>
  <si>
    <t>P45</t>
  </si>
  <si>
    <t>X1</t>
  </si>
  <si>
    <t>L5</t>
  </si>
  <si>
    <t>T3</t>
  </si>
  <si>
    <t>X13</t>
  </si>
  <si>
    <t>U6</t>
  </si>
  <si>
    <t>V24</t>
  </si>
  <si>
    <t>L23</t>
  </si>
  <si>
    <t>S22</t>
  </si>
  <si>
    <t>U21</t>
  </si>
  <si>
    <t>N4</t>
  </si>
  <si>
    <t>FRIDAY</t>
  </si>
  <si>
    <t>K9</t>
  </si>
  <si>
    <t>V11</t>
  </si>
  <si>
    <t>L24</t>
  </si>
  <si>
    <t>S14</t>
  </si>
  <si>
    <t>W11</t>
  </si>
  <si>
    <t>U23</t>
  </si>
  <si>
    <t>P35</t>
  </si>
  <si>
    <t>V10</t>
  </si>
  <si>
    <t>L35</t>
  </si>
  <si>
    <t>G38</t>
  </si>
  <si>
    <t>S10</t>
  </si>
  <si>
    <t>V22</t>
  </si>
  <si>
    <t>L31</t>
  </si>
  <si>
    <t>G8</t>
  </si>
  <si>
    <t>S9</t>
  </si>
  <si>
    <t>U8</t>
  </si>
  <si>
    <t>I17</t>
  </si>
  <si>
    <t>K10</t>
  </si>
  <si>
    <t>V29</t>
  </si>
  <si>
    <t>L41</t>
  </si>
  <si>
    <t>Q2</t>
  </si>
  <si>
    <t>K25</t>
  </si>
  <si>
    <t>L26</t>
  </si>
  <si>
    <t>G10</t>
  </si>
  <si>
    <t>S12</t>
  </si>
  <si>
    <t>W21</t>
  </si>
  <si>
    <t>T13</t>
  </si>
  <si>
    <t>G15</t>
  </si>
  <si>
    <t>W20</t>
  </si>
  <si>
    <t>T42</t>
  </si>
  <si>
    <t>G5</t>
  </si>
  <si>
    <t>Y3</t>
  </si>
  <si>
    <t>K8</t>
  </si>
  <si>
    <t>L15</t>
  </si>
  <si>
    <t>G9</t>
  </si>
  <si>
    <t>H4</t>
  </si>
  <si>
    <t>Q10</t>
  </si>
  <si>
    <t>K13</t>
  </si>
  <si>
    <t>V20</t>
  </si>
  <si>
    <t>L18</t>
  </si>
  <si>
    <t>G16</t>
  </si>
  <si>
    <t>G29</t>
  </si>
  <si>
    <t>P89</t>
  </si>
  <si>
    <t>L8</t>
  </si>
  <si>
    <t>G21</t>
  </si>
  <si>
    <t>S20</t>
  </si>
  <si>
    <t>W10</t>
  </si>
  <si>
    <t>T8</t>
  </si>
  <si>
    <t>G23</t>
  </si>
  <si>
    <t>W7</t>
  </si>
  <si>
    <t>HBE-JED</t>
  </si>
  <si>
    <t>SV-410</t>
  </si>
  <si>
    <t>19,183 EGP</t>
  </si>
  <si>
    <t>MS-655</t>
  </si>
  <si>
    <t>19,375 EGP</t>
  </si>
  <si>
    <t>SM457</t>
  </si>
  <si>
    <t>S1 &amp; X14 &amp; U12 &amp; O9 &amp; I9 &amp; P134</t>
  </si>
  <si>
    <t>SM451</t>
  </si>
  <si>
    <t>S6 &amp; W2 &amp; T8 &amp; X13 &amp; U4 &amp; O8 &amp; I8 &amp; P131</t>
  </si>
  <si>
    <t>Indirect competition route CAI – JED - diversion ratio &amp; passenger leakage</t>
  </si>
  <si>
    <t>23:45</t>
  </si>
  <si>
    <t>11:45</t>
  </si>
  <si>
    <t>21:20</t>
  </si>
  <si>
    <t>00:20</t>
  </si>
  <si>
    <t>11:50</t>
  </si>
  <si>
    <t>03:15</t>
  </si>
  <si>
    <t>20:50</t>
  </si>
  <si>
    <t>23:50</t>
  </si>
  <si>
    <t>20:05</t>
  </si>
  <si>
    <t>F3-774</t>
  </si>
  <si>
    <t>Hand baggage only</t>
  </si>
  <si>
    <t>Cabin: 10 KG</t>
  </si>
  <si>
    <t>11,499 EGP</t>
  </si>
  <si>
    <t>Cabin: 10 KG / Check-in: 20 KG</t>
  </si>
  <si>
    <t>11,806 EGP</t>
  </si>
  <si>
    <t>Cabin: 10 KG / Check-in: 32 KG</t>
  </si>
  <si>
    <t>SV-332</t>
  </si>
  <si>
    <t>20,719 EGP</t>
  </si>
  <si>
    <t>X5 &amp; U4 &amp; O5 &amp; I5 &amp; P161</t>
  </si>
  <si>
    <t>09:35</t>
  </si>
  <si>
    <t>01:20</t>
  </si>
  <si>
    <t>08:20</t>
  </si>
  <si>
    <t>8 FOR SAME CLASS</t>
  </si>
  <si>
    <t>22:40</t>
  </si>
  <si>
    <t>11:40</t>
  </si>
  <si>
    <t>7 FOR SAME CLASS</t>
  </si>
  <si>
    <t>09:25</t>
  </si>
  <si>
    <t>01:15</t>
  </si>
  <si>
    <t>K1 &amp; S3 &amp; W9 &amp; T19 &amp; X17 &amp; P130</t>
  </si>
  <si>
    <t>T9 &amp; X9 &amp; U9 &amp; O9 &amp; I9 &amp; P135</t>
  </si>
  <si>
    <t>SM473</t>
  </si>
  <si>
    <t>S1 &amp; T4 &amp; X9 &amp; P166</t>
  </si>
  <si>
    <t>05:25</t>
  </si>
  <si>
    <t>E5-393</t>
  </si>
  <si>
    <t>11,044 EGP</t>
  </si>
  <si>
    <t>12,136 EGP</t>
  </si>
  <si>
    <t>12,825 EGP</t>
  </si>
  <si>
    <t>S13 &amp; W10 &amp; T5 &amp; X5 &amp; U5 &amp; O5 &amp; I5 &amp; P126 &amp; N5</t>
  </si>
  <si>
    <t>6 FOR SAME CLASS</t>
  </si>
  <si>
    <t>22:30</t>
  </si>
  <si>
    <t>SM-451</t>
  </si>
  <si>
    <t>G7 &amp; S40 &amp; W28 &amp; T33 &amp; X18 &amp; P50 &amp; N2</t>
  </si>
  <si>
    <t>10:30</t>
  </si>
  <si>
    <t>13:25</t>
  </si>
  <si>
    <t>19:25</t>
  </si>
  <si>
    <t>K3 &amp; V9 &amp; L10 &amp; G7 &amp; S18 &amp; W18 &amp; T9 &amp; X9 &amp; P95</t>
  </si>
  <si>
    <t>L2 &amp; S8 &amp; W17 &amp; T9 &amp; X9 &amp; P135</t>
  </si>
  <si>
    <t>E5-325</t>
  </si>
  <si>
    <t>11,801 EGP</t>
  </si>
  <si>
    <t>12,949 EGP</t>
  </si>
  <si>
    <t>13,667 EGP</t>
  </si>
  <si>
    <t>16,634 EGP</t>
  </si>
  <si>
    <t>04:05</t>
  </si>
  <si>
    <t>01:00</t>
  </si>
  <si>
    <t>10 FOR SAME CLASS</t>
  </si>
  <si>
    <t>11 FOR SAME CLASS</t>
  </si>
  <si>
    <t>11,264 EGP</t>
  </si>
  <si>
    <t>12,413 EGP</t>
  </si>
  <si>
    <t>13,131 EGP</t>
  </si>
  <si>
    <t>G5 &amp; S11 &amp; W4 &amp; T5 &amp; X5 &amp; U5 &amp; O5 &amp; I4 &amp; P135</t>
  </si>
  <si>
    <t>G6 &amp; S3 &amp; W1 &amp; T18 &amp; X17 &amp; P135</t>
  </si>
  <si>
    <t>10:55</t>
  </si>
  <si>
    <t>04:55</t>
  </si>
  <si>
    <t>X14</t>
  </si>
  <si>
    <t>P134</t>
  </si>
  <si>
    <t>S6</t>
  </si>
  <si>
    <t>U4</t>
  </si>
  <si>
    <t>P131</t>
  </si>
  <si>
    <t>K1</t>
  </si>
  <si>
    <t>X17</t>
  </si>
  <si>
    <t>U9</t>
  </si>
  <si>
    <t>S13</t>
  </si>
  <si>
    <t>P126</t>
  </si>
  <si>
    <t>N5</t>
  </si>
  <si>
    <t>S40</t>
  </si>
  <si>
    <t>T33</t>
  </si>
  <si>
    <t>S8</t>
  </si>
  <si>
    <t>W17</t>
  </si>
  <si>
    <t>I4</t>
  </si>
  <si>
    <t>G6</t>
  </si>
  <si>
    <t>CAI-JED AS ALTERNATIVE ROUTE</t>
  </si>
  <si>
    <t>ATZ-JED</t>
  </si>
  <si>
    <t>SM-453</t>
  </si>
  <si>
    <t>7,619 EGP</t>
  </si>
  <si>
    <t>SM453</t>
  </si>
  <si>
    <t>L1 &amp; G4 &amp; S16 &amp; W3 &amp; T10 &amp; X18 &amp; U21 &amp; O5 &amp; I5 &amp; P52</t>
  </si>
  <si>
    <t>SM-491</t>
  </si>
  <si>
    <t>8,285 EGP</t>
  </si>
  <si>
    <t>SM491</t>
  </si>
  <si>
    <t>G2 &amp; S5 &amp; W3 &amp; T5 &amp; X10 &amp; U12 &amp; O22 &amp; I11 &amp; P100</t>
  </si>
  <si>
    <t>SM421</t>
  </si>
  <si>
    <t>S1 &amp; X1 &amp; U39 &amp; O31 &amp; I18 &amp; P90</t>
  </si>
  <si>
    <t>MS-8261</t>
  </si>
  <si>
    <t>MS-8223</t>
  </si>
  <si>
    <t>10,628 EGP</t>
  </si>
  <si>
    <t>G1 &amp; S4 &amp; W20 &amp; T4 &amp; X10 &amp; U17 &amp; O30 &amp; I10 &amp; P45</t>
  </si>
  <si>
    <t>SM-455</t>
  </si>
  <si>
    <t>SM455</t>
  </si>
  <si>
    <t>G6 &amp; S15 &amp; W12 &amp; T10 &amp; X9 &amp; U41 &amp; O10 &amp; I2 &amp; P50</t>
  </si>
  <si>
    <t>9,937 EGP</t>
  </si>
  <si>
    <t>F3-778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</si>
  <si>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</si>
  <si>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7,030 EGP</t>
  </si>
  <si>
    <t>7,785 EGP</t>
  </si>
  <si>
    <t>8,093 EGP</t>
  </si>
  <si>
    <t>L1 &amp; G4 &amp; X3 &amp; U14 &amp; O10 &amp; I12 &amp; P134</t>
  </si>
  <si>
    <t>E45 &amp; P135</t>
  </si>
  <si>
    <t>S1 &amp; W2 &amp; X12 &amp; U21 &amp; O18 &amp; I16 &amp; P109</t>
  </si>
  <si>
    <t>S13 &amp; W28 &amp; T15 &amp; X25 &amp; O2 &amp; I1 &amp; P95</t>
  </si>
  <si>
    <t>S2 &amp; W1 &amp; T9 &amp; X23 &amp; U5 &amp; O3 &amp; I2 &amp; P135</t>
  </si>
  <si>
    <t>7,132 EGP</t>
  </si>
  <si>
    <t>G3 &amp; S12 &amp; W17 &amp; T22 &amp; X46 &amp; U1 &amp; O1</t>
  </si>
  <si>
    <t>Y1 &amp; G1 &amp; S18 &amp; W11 &amp; T5 &amp; X4 &amp; P85</t>
  </si>
  <si>
    <t>Y2 &amp; G22 &amp; S19 &amp; W25 &amp; T2 &amp; X11 &amp; P90</t>
  </si>
  <si>
    <t>5,109 EGP</t>
  </si>
  <si>
    <t>5,865 EGP</t>
  </si>
  <si>
    <t>6,172 EGP</t>
  </si>
  <si>
    <t>8,310 EGP</t>
  </si>
  <si>
    <t>Y1 &amp; S2 &amp; W18 &amp; T23 &amp; X12 &amp; U20 &amp; P45</t>
  </si>
  <si>
    <t>W8</t>
  </si>
  <si>
    <t>W6 &amp; T30 &amp; X18 &amp; U22 &amp; O3 &amp; I2 &amp; E37 &amp; P45</t>
  </si>
  <si>
    <t>P100</t>
  </si>
  <si>
    <t>U39</t>
  </si>
  <si>
    <t>O31</t>
  </si>
  <si>
    <t>G4</t>
  </si>
  <si>
    <t>S16</t>
  </si>
  <si>
    <t>P52</t>
  </si>
  <si>
    <t>O30</t>
  </si>
  <si>
    <t>S15</t>
  </si>
  <si>
    <t>U41</t>
  </si>
  <si>
    <t>I2</t>
  </si>
  <si>
    <t>E45</t>
  </si>
  <si>
    <t>U14</t>
  </si>
  <si>
    <t>I12</t>
  </si>
  <si>
    <t>I16</t>
  </si>
  <si>
    <t>P109</t>
  </si>
  <si>
    <t>T15</t>
  </si>
  <si>
    <t>X25</t>
  </si>
  <si>
    <t>O2</t>
  </si>
  <si>
    <t>I1</t>
  </si>
  <si>
    <t>T22</t>
  </si>
  <si>
    <t>X46</t>
  </si>
  <si>
    <t>U1</t>
  </si>
  <si>
    <t>O1</t>
  </si>
  <si>
    <t>P85</t>
  </si>
  <si>
    <t>Y2</t>
  </si>
  <si>
    <t>G22</t>
  </si>
  <si>
    <t>S19</t>
  </si>
  <si>
    <t>W25</t>
  </si>
  <si>
    <t>T2</t>
  </si>
  <si>
    <t>T30</t>
  </si>
  <si>
    <t>U22</t>
  </si>
  <si>
    <t>E37</t>
  </si>
  <si>
    <t>T23</t>
  </si>
  <si>
    <t>U20</t>
  </si>
  <si>
    <t>LXR-JED</t>
  </si>
  <si>
    <t>SM481</t>
  </si>
  <si>
    <t>NIL</t>
  </si>
  <si>
    <t>SM429</t>
  </si>
  <si>
    <t>SM483</t>
  </si>
  <si>
    <t>SM981</t>
  </si>
  <si>
    <t>NP-551</t>
  </si>
  <si>
    <t>NE-675</t>
  </si>
  <si>
    <t>15,571 EGP</t>
  </si>
  <si>
    <t>23,242 EGP</t>
  </si>
  <si>
    <t>ASW-JED</t>
  </si>
  <si>
    <t>SSH-JED</t>
  </si>
  <si>
    <t>SV-326</t>
  </si>
  <si>
    <t>17,057 EGP</t>
  </si>
  <si>
    <t>19,951 EGP</t>
  </si>
  <si>
    <t>HRG-JED</t>
  </si>
  <si>
    <t>CAI-RUH</t>
  </si>
  <si>
    <t>F3-606</t>
  </si>
  <si>
    <t>6,646 EGP</t>
  </si>
  <si>
    <t>8,567 EGP</t>
  </si>
  <si>
    <t>F3-608</t>
  </si>
  <si>
    <t>F3-612</t>
  </si>
  <si>
    <t>18,299 EGP</t>
  </si>
  <si>
    <t>F3-616</t>
  </si>
  <si>
    <t>XY-274</t>
  </si>
  <si>
    <t>9,463 EGP</t>
  </si>
  <si>
    <t>XY-264</t>
  </si>
  <si>
    <t>7,798 EGP</t>
  </si>
  <si>
    <t>9,079 EGP</t>
  </si>
  <si>
    <t>XY-268</t>
  </si>
  <si>
    <t>XY-270</t>
  </si>
  <si>
    <t>XY-276</t>
  </si>
  <si>
    <t>XY-266</t>
  </si>
  <si>
    <t>8,695 EGP</t>
  </si>
  <si>
    <t>9,975 EGP</t>
  </si>
  <si>
    <t>11,128 EGP</t>
  </si>
  <si>
    <t>XY-272</t>
  </si>
  <si>
    <t>NP-251</t>
  </si>
  <si>
    <t>7,363 EGP</t>
  </si>
  <si>
    <t>E5-410</t>
  </si>
  <si>
    <t>7,859 EGP</t>
  </si>
  <si>
    <t>9,496 EGP</t>
  </si>
  <si>
    <t>SM-469</t>
  </si>
  <si>
    <t>7,901 EGP</t>
  </si>
  <si>
    <t>SM469</t>
  </si>
  <si>
    <t>L1 &amp; G8 &amp; S18 &amp; W9 &amp; T37 &amp; X9 &amp; U7 &amp; O8 &amp; I26</t>
  </si>
  <si>
    <t>SV-310</t>
  </si>
  <si>
    <t>13,650 EGP</t>
  </si>
  <si>
    <t>SV-312</t>
  </si>
  <si>
    <t>SV-320</t>
  </si>
  <si>
    <t>SV-6632</t>
  </si>
  <si>
    <t>17,492 EGP</t>
  </si>
  <si>
    <t>SV-6693</t>
  </si>
  <si>
    <t>SV-6905</t>
  </si>
  <si>
    <t>SV-314</t>
  </si>
  <si>
    <t>20,425 EGP</t>
  </si>
  <si>
    <t>SV-418</t>
  </si>
  <si>
    <t>MS-647</t>
  </si>
  <si>
    <t>20,911 EGP</t>
  </si>
  <si>
    <t>MS-649</t>
  </si>
  <si>
    <t>MS-651</t>
  </si>
  <si>
    <t>8,182 EGP</t>
  </si>
  <si>
    <t>10,103 EGP</t>
  </si>
  <si>
    <t>12,024 EGP</t>
  </si>
  <si>
    <t>L3 &amp; G8 &amp; S17 &amp; W29 &amp; T18 &amp; X9 &amp; U8 &amp; O43 &amp; I1</t>
  </si>
  <si>
    <t>NE-160</t>
  </si>
  <si>
    <t>8,746 EGP</t>
  </si>
  <si>
    <t>8,836 EGP</t>
  </si>
  <si>
    <t>10,473 EGP</t>
  </si>
  <si>
    <t>19,759 EGP</t>
  </si>
  <si>
    <t>SV-324</t>
  </si>
  <si>
    <t>20,963 EGP</t>
  </si>
  <si>
    <t>7,414 EGP</t>
  </si>
  <si>
    <t>9,335 EGP</t>
  </si>
  <si>
    <t>SM-461</t>
  </si>
  <si>
    <t>SM461</t>
  </si>
  <si>
    <t>L5 &amp; G17 &amp; S18 &amp; W38 &amp; X7 &amp; U18 &amp; O8 &amp; I27</t>
  </si>
  <si>
    <t>8,733 EGP</t>
  </si>
  <si>
    <t>V2 &amp; L8 &amp; G36 &amp; S7 &amp; W5 &amp; T4 &amp; X21 &amp; U7 &amp; O30 &amp; I4</t>
  </si>
  <si>
    <t>8,592 EGP</t>
  </si>
  <si>
    <t>E5-415</t>
  </si>
  <si>
    <t>8,721 EGP</t>
  </si>
  <si>
    <t>10,358 EGP</t>
  </si>
  <si>
    <t>13,907 EGP</t>
  </si>
  <si>
    <t>13,958 EGP</t>
  </si>
  <si>
    <t>18,529 EGP</t>
  </si>
  <si>
    <t>10,487 EGP</t>
  </si>
  <si>
    <t>12,408 EGP</t>
  </si>
  <si>
    <t>NP-151</t>
  </si>
  <si>
    <t>9,181 EGP</t>
  </si>
  <si>
    <t>9,886 EGP</t>
  </si>
  <si>
    <t>9,540 EGP</t>
  </si>
  <si>
    <t>V3 &amp; L15 &amp; G30 &amp; S18 &amp; W9 &amp; T7 &amp; X12 &amp; U10 &amp; O6 &amp; I3</t>
  </si>
  <si>
    <t>9,812 EGP</t>
  </si>
  <si>
    <t>11,449 EGP</t>
  </si>
  <si>
    <t>NE-164</t>
  </si>
  <si>
    <t>10,052 EGP</t>
  </si>
  <si>
    <t>11,947 EGP</t>
  </si>
  <si>
    <t>16,199 EGP</t>
  </si>
  <si>
    <t>18,581 EGP</t>
  </si>
  <si>
    <t>22,064 EGP</t>
  </si>
  <si>
    <t>10,833 EGP</t>
  </si>
  <si>
    <t>15,866 EGP</t>
  </si>
  <si>
    <t>12,370 EGP</t>
  </si>
  <si>
    <t>Q9</t>
  </si>
  <si>
    <t>Q2 &amp; K22 &amp; V7 &amp; L9 &amp; G12 &amp; S15 &amp; W8 &amp; T6 &amp; X4 &amp; U9 &amp; O5 &amp; I6</t>
  </si>
  <si>
    <t>H6 &amp; Q11 &amp; K9 &amp; V7 &amp; L16 &amp; G10 &amp; S3 &amp; W13 &amp; T5 &amp; X5 &amp; U4 &amp; O7 &amp; I7</t>
  </si>
  <si>
    <t>15,904 EGP</t>
  </si>
  <si>
    <t>24,945 EGP</t>
  </si>
  <si>
    <t>NP-153</t>
  </si>
  <si>
    <t>12,088 EGP</t>
  </si>
  <si>
    <t>NP-351</t>
  </si>
  <si>
    <t>12,331 EGP</t>
  </si>
  <si>
    <t>13,753 EGP</t>
  </si>
  <si>
    <t>12,335 EGP</t>
  </si>
  <si>
    <t>13,972 EGP</t>
  </si>
  <si>
    <t>18,555 EGP</t>
  </si>
  <si>
    <t>19,708 EGP</t>
  </si>
  <si>
    <t>20,476 EGP</t>
  </si>
  <si>
    <t>21,757 EGP</t>
  </si>
  <si>
    <t>22,909 EGP</t>
  </si>
  <si>
    <t>13,817 EGP</t>
  </si>
  <si>
    <t>15,738 EGP</t>
  </si>
  <si>
    <t>16,429 EGP</t>
  </si>
  <si>
    <t>M9</t>
  </si>
  <si>
    <t>M10 &amp; H21 &amp; K12 &amp; V14 &amp; L11 &amp; G12 &amp; S6 &amp; W10 &amp; T3 &amp; X4 &amp; U8 &amp; O9 &amp; I3</t>
  </si>
  <si>
    <t>22,358 EGP</t>
  </si>
  <si>
    <t>28,556 EGP</t>
  </si>
  <si>
    <t>K2 &amp; V19 &amp; L28 &amp; G7 &amp; S19 &amp; W6 &amp; T7 &amp; X4 &amp; U6 &amp; O7 &amp; I5</t>
  </si>
  <si>
    <t>NE-162</t>
  </si>
  <si>
    <t>9,348 EGP</t>
  </si>
  <si>
    <t>9,847 EGP</t>
  </si>
  <si>
    <t>11,678 EGP</t>
  </si>
  <si>
    <t>NP-353</t>
  </si>
  <si>
    <t>T37</t>
  </si>
  <si>
    <t>U7</t>
  </si>
  <si>
    <t>I26</t>
  </si>
  <si>
    <t>S17</t>
  </si>
  <si>
    <t>W29</t>
  </si>
  <si>
    <t>O43</t>
  </si>
  <si>
    <t>G17</t>
  </si>
  <si>
    <t>W38</t>
  </si>
  <si>
    <t>I27</t>
  </si>
  <si>
    <t>V2</t>
  </si>
  <si>
    <t>G36</t>
  </si>
  <si>
    <t>W5</t>
  </si>
  <si>
    <t>V3</t>
  </si>
  <si>
    <t>G30</t>
  </si>
  <si>
    <t>T7</t>
  </si>
  <si>
    <t>O6</t>
  </si>
  <si>
    <t>K22</t>
  </si>
  <si>
    <t>V7</t>
  </si>
  <si>
    <t>L9</t>
  </si>
  <si>
    <t>G12</t>
  </si>
  <si>
    <t>H6</t>
  </si>
  <si>
    <t>Q11</t>
  </si>
  <si>
    <t>L16</t>
  </si>
  <si>
    <t>W13</t>
  </si>
  <si>
    <t>O7</t>
  </si>
  <si>
    <t>I7</t>
  </si>
  <si>
    <t>M10</t>
  </si>
  <si>
    <t>H21</t>
  </si>
  <si>
    <t>K12</t>
  </si>
  <si>
    <t>K2</t>
  </si>
  <si>
    <t>V19</t>
  </si>
  <si>
    <t>L28</t>
  </si>
  <si>
    <t>ATZ-RUH</t>
  </si>
  <si>
    <t>XY-284</t>
  </si>
  <si>
    <t>Cabin: 7 KG</t>
  </si>
  <si>
    <t>10,884 EGP</t>
  </si>
  <si>
    <t>12,011 EGP</t>
  </si>
  <si>
    <t>13,074 EGP</t>
  </si>
  <si>
    <t>SM-463</t>
  </si>
  <si>
    <t>SM463</t>
  </si>
  <si>
    <t>Q1 &amp; K20 &amp; V20 &amp; L15 &amp; G10 &amp; S20 &amp; W13 &amp; T4 &amp; X7 &amp; U11 &amp; O5</t>
  </si>
  <si>
    <t>MS-8245</t>
  </si>
  <si>
    <t>20,220 EGP</t>
  </si>
  <si>
    <t>Indirect competition route CAI – RUH - diversion ratio &amp; passenger leakage</t>
  </si>
  <si>
    <t>13:50</t>
  </si>
  <si>
    <t>15:05</t>
  </si>
  <si>
    <t>15:10</t>
  </si>
  <si>
    <t>12:10</t>
  </si>
  <si>
    <t>17:10</t>
  </si>
  <si>
    <t>SM-465</t>
  </si>
  <si>
    <t>13,996 EGP</t>
  </si>
  <si>
    <t>SM465</t>
  </si>
  <si>
    <t>H9</t>
  </si>
  <si>
    <t>Y1 &amp; H4 &amp; V2 &amp; L12 &amp; G14 &amp; S26 &amp; W16 &amp; T17 &amp; X18 &amp; U32 &amp; O3</t>
  </si>
  <si>
    <t>MS-8239</t>
  </si>
  <si>
    <t>22,013 EGP</t>
  </si>
  <si>
    <t>09:55</t>
  </si>
  <si>
    <t>16,007 EGP</t>
  </si>
  <si>
    <t>17,133 EGP</t>
  </si>
  <si>
    <t>17,927 EGP</t>
  </si>
  <si>
    <t>00:35</t>
  </si>
  <si>
    <t>12:55</t>
  </si>
  <si>
    <t>02:05</t>
  </si>
  <si>
    <t>16:25</t>
  </si>
  <si>
    <t>10,756 EGP</t>
  </si>
  <si>
    <t>K4</t>
  </si>
  <si>
    <t>H1 &amp; Q18 &amp; K15 &amp; V7 &amp; L1 &amp; S1 &amp; W12 &amp; T16 &amp; X12 &amp; U13 &amp; O6 &amp; I1</t>
  </si>
  <si>
    <t>18,081 EGP</t>
  </si>
  <si>
    <t>10:15</t>
  </si>
  <si>
    <t>Q1</t>
  </si>
  <si>
    <t>K20</t>
  </si>
  <si>
    <t>L12</t>
  </si>
  <si>
    <t>G14</t>
  </si>
  <si>
    <t>W16</t>
  </si>
  <si>
    <t>U32</t>
  </si>
  <si>
    <t>H1</t>
  </si>
  <si>
    <t>Q18</t>
  </si>
  <si>
    <t>K15</t>
  </si>
  <si>
    <t>T16</t>
  </si>
  <si>
    <t>U13</t>
  </si>
  <si>
    <t>CAI-RUH AS ALTERNATIVE ROUTE</t>
  </si>
  <si>
    <t>CAI-DMM</t>
  </si>
  <si>
    <t>F3-912</t>
  </si>
  <si>
    <t>XY-855</t>
  </si>
  <si>
    <t>XY-895</t>
  </si>
  <si>
    <t>NP-231</t>
  </si>
  <si>
    <t>13,791 EGP</t>
  </si>
  <si>
    <t>MS-683</t>
  </si>
  <si>
    <t>16,801 EGP</t>
  </si>
  <si>
    <t>MS-681</t>
  </si>
  <si>
    <t>19,695 EGP</t>
  </si>
  <si>
    <t>MS-687</t>
  </si>
  <si>
    <t>SV-6447</t>
  </si>
  <si>
    <t>NE-154</t>
  </si>
  <si>
    <t>10,475 EGP</t>
  </si>
  <si>
    <t>SM-433</t>
  </si>
  <si>
    <t>10,526 EGP</t>
  </si>
  <si>
    <t>SM433</t>
  </si>
  <si>
    <t>K14 &amp; V20 &amp; L30 &amp; G21 &amp; S7 &amp; T1 &amp; X1 &amp; U7 &amp; O19 &amp; I4</t>
  </si>
  <si>
    <t>Cabin: 7 KG | Check-in: 40 KG</t>
  </si>
  <si>
    <t>NP-131</t>
  </si>
  <si>
    <t>19,746 EGP</t>
  </si>
  <si>
    <t>22,576 EGP</t>
  </si>
  <si>
    <t>16,852 EGP</t>
  </si>
  <si>
    <t>25,470 EGP</t>
  </si>
  <si>
    <t>NE-152</t>
  </si>
  <si>
    <t>9,245 EGP</t>
  </si>
  <si>
    <t>NE-150</t>
  </si>
  <si>
    <t>16,506 EGP</t>
  </si>
  <si>
    <t>NP-331</t>
  </si>
  <si>
    <t>H3 &amp; Q31 &amp; K18 &amp; V7 &amp; L10 &amp; G8 &amp; S8 &amp; W17 &amp; T9 &amp; X7 &amp; U9 &amp; O7 &amp; I7</t>
  </si>
  <si>
    <t>28,416 EGP</t>
  </si>
  <si>
    <t>13,087 EGP</t>
  </si>
  <si>
    <t>M6 &amp; H16 &amp; Q3 &amp; K16 &amp; V7 &amp; L11 &amp; G27 &amp; S13 &amp; W12 &amp; T8 &amp; X5 &amp; U3 &amp; O5 &amp; I4</t>
  </si>
  <si>
    <t>14,969 EGP</t>
  </si>
  <si>
    <t>16,890 EGP</t>
  </si>
  <si>
    <t>25,598 EGP</t>
  </si>
  <si>
    <t>17,018 EGP</t>
  </si>
  <si>
    <t>29,978 EGP</t>
  </si>
  <si>
    <t>NP-233</t>
  </si>
  <si>
    <t>16,071 EGP</t>
  </si>
  <si>
    <t>B1 &amp; M21 &amp; H21 &amp; Q9 &amp; V12 &amp; L12 &amp; G8 &amp; S6 &amp; W9 &amp; T10 &amp; X2 &amp; U4 &amp; O7 &amp; I3</t>
  </si>
  <si>
    <t>E5-315</t>
  </si>
  <si>
    <t>16,135 EGP</t>
  </si>
  <si>
    <t>17,772 EGP</t>
  </si>
  <si>
    <t>43,181 EGP</t>
  </si>
  <si>
    <t>NP-133</t>
  </si>
  <si>
    <t>29,927 EGP</t>
  </si>
  <si>
    <t>K14</t>
  </si>
  <si>
    <t>L30</t>
  </si>
  <si>
    <t>O19</t>
  </si>
  <si>
    <t>H3</t>
  </si>
  <si>
    <t>Q31</t>
  </si>
  <si>
    <t>K18</t>
  </si>
  <si>
    <t>M6</t>
  </si>
  <si>
    <t>H16</t>
  </si>
  <si>
    <t>Q3</t>
  </si>
  <si>
    <t>K16</t>
  </si>
  <si>
    <t>G27</t>
  </si>
  <si>
    <t>B1</t>
  </si>
  <si>
    <t>M21</t>
  </si>
  <si>
    <t>V12</t>
  </si>
  <si>
    <t>X2</t>
  </si>
  <si>
    <t>ATZ-DMM</t>
  </si>
  <si>
    <t>SM-437</t>
  </si>
  <si>
    <t>12,267 EGP</t>
  </si>
  <si>
    <t>SM437</t>
  </si>
  <si>
    <t>Q6 &amp; K15 &amp; V15 &amp; L15 &amp; G15 &amp; S20 &amp; W14 &amp; T18 &amp; X14 &amp; U15 &amp; O15 &amp; I14</t>
  </si>
  <si>
    <t>Indirect competition route CAI – DMM - diversion ratio &amp; passenger leakage</t>
  </si>
  <si>
    <t>10:45</t>
  </si>
  <si>
    <t>23:20</t>
  </si>
  <si>
    <t>18:10</t>
  </si>
  <si>
    <t>H8</t>
  </si>
  <si>
    <t>Y2 &amp; M1 &amp; H2 &amp; Q10 &amp; K15 &amp; V10 &amp; L15 &amp; G30 &amp; S16 &amp; W19 &amp; T20 &amp; X20 &amp; U5 &amp; O4 &amp; I1</t>
  </si>
  <si>
    <t>23:10</t>
  </si>
  <si>
    <t>09:10</t>
  </si>
  <si>
    <t>23:30</t>
  </si>
  <si>
    <t>Q6</t>
  </si>
  <si>
    <t>V15</t>
  </si>
  <si>
    <t>W14</t>
  </si>
  <si>
    <t>U15</t>
  </si>
  <si>
    <t>O15</t>
  </si>
  <si>
    <t>I14</t>
  </si>
  <si>
    <t>H2</t>
  </si>
  <si>
    <t>W19</t>
  </si>
  <si>
    <t>CAI-DMM AS ALTERNATIVE ROUTE</t>
  </si>
  <si>
    <t>CAI-TUU</t>
  </si>
  <si>
    <t>E5-599</t>
  </si>
  <si>
    <t>6,866 EGP</t>
  </si>
  <si>
    <t>8,503 EGP</t>
  </si>
  <si>
    <t>NP-117</t>
  </si>
  <si>
    <t>7,670 EGP</t>
  </si>
  <si>
    <t>MS-811</t>
  </si>
  <si>
    <t>13,228 EGP</t>
  </si>
  <si>
    <t>NE-120</t>
  </si>
  <si>
    <t>6,620 EGP</t>
  </si>
  <si>
    <t>SM-325</t>
  </si>
  <si>
    <t>7,542 EGP</t>
  </si>
  <si>
    <t>SM325</t>
  </si>
  <si>
    <t>U2 &amp; O28 &amp; I63</t>
  </si>
  <si>
    <t>7,584 EGP</t>
  </si>
  <si>
    <t>9,221 EGP</t>
  </si>
  <si>
    <t>8,477 EGP</t>
  </si>
  <si>
    <t>8,515 EGP</t>
  </si>
  <si>
    <t>8,131 EGP</t>
  </si>
  <si>
    <t>T9 &amp; X13 &amp; U10 &amp; O20 &amp; I40</t>
  </si>
  <si>
    <t>NP-107</t>
  </si>
  <si>
    <t>7,129 EGP</t>
  </si>
  <si>
    <t>8,766 EGP</t>
  </si>
  <si>
    <t>11,166 EGP</t>
  </si>
  <si>
    <t>21,782 EGP</t>
  </si>
  <si>
    <t>12,447 EGP</t>
  </si>
  <si>
    <t>H1 &amp; Q1 &amp; K12 &amp; V21 &amp; L18 &amp; G5 &amp; T7 &amp; X12 &amp; U9 &amp; O8 &amp; I18</t>
  </si>
  <si>
    <t>7,608 EGP</t>
  </si>
  <si>
    <t>NP-307</t>
  </si>
  <si>
    <t>U2</t>
  </si>
  <si>
    <t>O28</t>
  </si>
  <si>
    <t>I63</t>
  </si>
  <si>
    <t>O20</t>
  </si>
  <si>
    <t>I40</t>
  </si>
  <si>
    <t>V21</t>
  </si>
  <si>
    <t>ATZ-TUU</t>
  </si>
  <si>
    <t>SM-327</t>
  </si>
  <si>
    <t>7,222 EGP</t>
  </si>
  <si>
    <t>SM327</t>
  </si>
  <si>
    <t>O36 &amp; I50</t>
  </si>
  <si>
    <t>Indirect competition route CAI – TUU - diversion ratio &amp; passenger leakage</t>
  </si>
  <si>
    <t>11:55</t>
  </si>
  <si>
    <t>23:35</t>
  </si>
  <si>
    <t>O36</t>
  </si>
  <si>
    <t>I50</t>
  </si>
  <si>
    <t>CAI-TUU AS ALTERNATIVE ROUTE</t>
  </si>
  <si>
    <t>CAI-AJF</t>
  </si>
  <si>
    <t>SM-321</t>
  </si>
  <si>
    <t>7,478 EGP</t>
  </si>
  <si>
    <t>SM321</t>
  </si>
  <si>
    <t>Q1 &amp; G52 &amp; S23 &amp; W20 &amp; T9 &amp; X34 &amp; O1 &amp; I9</t>
  </si>
  <si>
    <t>8,298 EGP</t>
  </si>
  <si>
    <t>V25 &amp; L22 &amp; G14 &amp; S25 &amp; W3 &amp; T15 &amp; X24 &amp; U8 &amp; O4 &amp; I17</t>
  </si>
  <si>
    <t>NP-119</t>
  </si>
  <si>
    <t>9,092 EGP</t>
  </si>
  <si>
    <t>NP-109</t>
  </si>
  <si>
    <t>8,246 EGP</t>
  </si>
  <si>
    <t>10,808 EGP</t>
  </si>
  <si>
    <t>Q8</t>
  </si>
  <si>
    <t>Q16 &amp; K14 &amp; V34 &amp; L13 &amp; G3 &amp; S6 &amp; W16 &amp; T12 &amp; X8 &amp; U9 &amp; O14 &amp; I4</t>
  </si>
  <si>
    <t>8,016 EGP</t>
  </si>
  <si>
    <t>G52</t>
  </si>
  <si>
    <t>S23</t>
  </si>
  <si>
    <t>X34</t>
  </si>
  <si>
    <t>V25</t>
  </si>
  <si>
    <t>L22</t>
  </si>
  <si>
    <t>S25</t>
  </si>
  <si>
    <t>X24</t>
  </si>
  <si>
    <t>Q16</t>
  </si>
  <si>
    <t>V34</t>
  </si>
  <si>
    <t>L13</t>
  </si>
  <si>
    <t>ATZ-AJF</t>
  </si>
  <si>
    <t>SM-323</t>
  </si>
  <si>
    <t>6,582 EGP</t>
  </si>
  <si>
    <t>SM323</t>
  </si>
  <si>
    <t>X36 &amp; U14 &amp; O19 &amp; I44</t>
  </si>
  <si>
    <t>Indirect competition route CAI – AJF - diversion ratio &amp; passenger leakage</t>
  </si>
  <si>
    <t>07:25</t>
  </si>
  <si>
    <t>X36</t>
  </si>
  <si>
    <t>I44</t>
  </si>
  <si>
    <t>CAI-AJF AS ALTERNATIVE ROUTE</t>
  </si>
  <si>
    <t>CAI-YNB</t>
  </si>
  <si>
    <t>SM441</t>
  </si>
  <si>
    <t>S6 &amp; W10 &amp; T10 &amp; X10 &amp; P143</t>
  </si>
  <si>
    <t>NE-180</t>
  </si>
  <si>
    <t>15,290 EGP</t>
  </si>
  <si>
    <t>NP-103</t>
  </si>
  <si>
    <t>15,315 EGP</t>
  </si>
  <si>
    <t>L8 &amp; G18 &amp; S29 &amp; W3 &amp; T4 &amp; X2 &amp; P115</t>
  </si>
  <si>
    <t>V6 &amp; L25 &amp; G18 &amp; S9 &amp; W7 &amp; T12 &amp; X10 &amp; P92</t>
  </si>
  <si>
    <t>Q1 &amp; V1 &amp; L6 &amp; G18 &amp; S10 &amp; W2 &amp; T4 &amp; X2 &amp; P135</t>
  </si>
  <si>
    <t>Q2 &amp; K10 &amp; V13 &amp; L18 &amp; G18 &amp; S29 &amp; W3 &amp; T4 &amp; X2 &amp; P80</t>
  </si>
  <si>
    <t>SM-441</t>
  </si>
  <si>
    <t>18,350 EGP</t>
  </si>
  <si>
    <t>B9</t>
  </si>
  <si>
    <t>B7 &amp; M1 &amp; H11 &amp; Q16 &amp; K16 &amp; V18 &amp; L17 &amp; G18 &amp; S9 &amp; W3 &amp; T4 &amp; X1 &amp; P45</t>
  </si>
  <si>
    <t>V9 &amp; L11 &amp; G20 &amp; S24 &amp; W19 &amp; T4 &amp; X2 &amp; P90</t>
  </si>
  <si>
    <t>P143</t>
  </si>
  <si>
    <t>G18</t>
  </si>
  <si>
    <t>S29</t>
  </si>
  <si>
    <t>P115</t>
  </si>
  <si>
    <t>L25</t>
  </si>
  <si>
    <t>P92</t>
  </si>
  <si>
    <t>L6</t>
  </si>
  <si>
    <t>V13</t>
  </si>
  <si>
    <t>B7</t>
  </si>
  <si>
    <t>H11</t>
  </si>
  <si>
    <t>V18</t>
  </si>
  <si>
    <t>G20</t>
  </si>
  <si>
    <t>S24</t>
  </si>
  <si>
    <t>CAI-AHB</t>
  </si>
  <si>
    <t>NP-143</t>
  </si>
  <si>
    <t>16,596 EGP</t>
  </si>
  <si>
    <t>SM447</t>
  </si>
  <si>
    <t>B5 &amp; M15 &amp; H14 &amp; Q20 &amp; K27 &amp; V27 &amp; L9 &amp; G9 &amp; S8 &amp; W8 &amp; T10 &amp; X15 &amp; U3 &amp; O3 &amp; I6</t>
  </si>
  <si>
    <t>SM443</t>
  </si>
  <si>
    <t>LAST SEATS</t>
  </si>
  <si>
    <t>Y4</t>
  </si>
  <si>
    <t>Y20 &amp; B15 &amp; M15 &amp; H25 &amp; Q12 &amp; K9 &amp; V8 &amp; L9 &amp; G9 &amp; S8 &amp; W13 &amp; T9 &amp; X8 &amp; U6 &amp; O6 &amp; I3</t>
  </si>
  <si>
    <t>E5-511</t>
  </si>
  <si>
    <t>15,618 EGP</t>
  </si>
  <si>
    <t>17,255 EGP</t>
  </si>
  <si>
    <t>NP-243</t>
  </si>
  <si>
    <t>Y73 &amp; B5 &amp; M9 &amp; H7 &amp; Q21 &amp; L9 &amp; G3 &amp; S10 &amp; W8 &amp; T9 &amp; X7 &amp; U5 &amp; O7 &amp; I6</t>
  </si>
  <si>
    <t>13,855 EGP</t>
  </si>
  <si>
    <t>B5</t>
  </si>
  <si>
    <t>M15</t>
  </si>
  <si>
    <t>H14</t>
  </si>
  <si>
    <t>Q20</t>
  </si>
  <si>
    <t>K27</t>
  </si>
  <si>
    <t>V27</t>
  </si>
  <si>
    <t>X15</t>
  </si>
  <si>
    <t>Y20</t>
  </si>
  <si>
    <t>B15</t>
  </si>
  <si>
    <t>H25</t>
  </si>
  <si>
    <t>Q12</t>
  </si>
  <si>
    <t>V8</t>
  </si>
  <si>
    <t>Y73</t>
  </si>
  <si>
    <t>H7</t>
  </si>
  <si>
    <t>Q21</t>
  </si>
  <si>
    <t>ATZ-AHB</t>
  </si>
  <si>
    <t>SM445</t>
  </si>
  <si>
    <t>L9 &amp; G20 &amp; S20 &amp; W20 &amp; T38 &amp; X18 &amp; U27 &amp; O27</t>
  </si>
  <si>
    <t>Indirect competition route CAI – AHB - diversion ratio &amp; passenger leakage</t>
  </si>
  <si>
    <t>17:25</t>
  </si>
  <si>
    <t>T38</t>
  </si>
  <si>
    <t>U27</t>
  </si>
  <si>
    <t>O27</t>
  </si>
  <si>
    <t>CAI-AHB AS ALTERNATIVE ROUTE</t>
  </si>
  <si>
    <t>CAI-ELQ</t>
  </si>
  <si>
    <t>NP-105</t>
  </si>
  <si>
    <t>7,978 EGP</t>
  </si>
  <si>
    <t>E5-591</t>
  </si>
  <si>
    <t>8,494 EGP</t>
  </si>
  <si>
    <t>10,131 EGP</t>
  </si>
  <si>
    <t>MS-633</t>
  </si>
  <si>
    <t>12,831 EGP</t>
  </si>
  <si>
    <t>NE-140</t>
  </si>
  <si>
    <t>8,771 EGP</t>
  </si>
  <si>
    <t>9,770 EGP</t>
  </si>
  <si>
    <t>10,073 EGP</t>
  </si>
  <si>
    <t>11,710 EGP</t>
  </si>
  <si>
    <t>14,252 EGP</t>
  </si>
  <si>
    <t>9,693 EGP</t>
  </si>
  <si>
    <t>SM-427</t>
  </si>
  <si>
    <t>9,860 EGP</t>
  </si>
  <si>
    <t>SM427</t>
  </si>
  <si>
    <t>Q2 &amp; K8 &amp; V10 &amp; L9 &amp; G17 &amp; S10 &amp; W10 &amp; T21 &amp; X16 &amp; U3 &amp; O6 &amp; I8</t>
  </si>
  <si>
    <t>10,552 EGP</t>
  </si>
  <si>
    <t>12,189 EGP</t>
  </si>
  <si>
    <t>11,038 EGP</t>
  </si>
  <si>
    <t>15,725 EGP</t>
  </si>
  <si>
    <t>12,293 EGP</t>
  </si>
  <si>
    <t>M16 &amp; H41 &amp; K9 &amp; V7 &amp; L9 &amp; G10 &amp; S8 &amp; W5 &amp; T6 &amp; X7 &amp; U9 &amp; O11</t>
  </si>
  <si>
    <t>NP-115</t>
  </si>
  <si>
    <t>13,932 EGP</t>
  </si>
  <si>
    <t>19,208 EGP</t>
  </si>
  <si>
    <t>H1 &amp; K2 &amp; V44 &amp; L9 &amp; G10 &amp; S15 &amp; W11 &amp; T10 &amp; X12 &amp; U5 &amp; O8 &amp; I4 &amp; N2</t>
  </si>
  <si>
    <t>9,207 EGP</t>
  </si>
  <si>
    <t>T21</t>
  </si>
  <si>
    <t>X16</t>
  </si>
  <si>
    <t>M16</t>
  </si>
  <si>
    <t>H41</t>
  </si>
  <si>
    <t>V44</t>
  </si>
  <si>
    <t>ATZ-ELQ</t>
  </si>
  <si>
    <t>SM-435</t>
  </si>
  <si>
    <t>10,359 EGP</t>
  </si>
  <si>
    <t>SM435</t>
  </si>
  <si>
    <t>V6 &amp; L12 &amp; G13 &amp; S15 &amp; W5 &amp; X7 &amp; U15 &amp; O14 &amp; I19</t>
  </si>
  <si>
    <t>Indirect competition route CAI – ELQ - diversion ratio &amp; passenger leakage</t>
  </si>
  <si>
    <t>V2 &amp; L10 &amp; G15 &amp; S16 &amp; W15 &amp; T11 &amp; X7 &amp; U9 &amp; O5</t>
  </si>
  <si>
    <t>20:10</t>
  </si>
  <si>
    <t>G13</t>
  </si>
  <si>
    <t>W15</t>
  </si>
  <si>
    <t>CAI-ELQ AS ALTERNATIVE ROUTE</t>
  </si>
  <si>
    <t>CAI-GIZ</t>
  </si>
  <si>
    <t>NP-141</t>
  </si>
  <si>
    <t>12,536 EGP</t>
  </si>
  <si>
    <t>E5-585</t>
  </si>
  <si>
    <t>13,309 EGP</t>
  </si>
  <si>
    <t>14,946 EGP</t>
  </si>
  <si>
    <t>SM-329</t>
  </si>
  <si>
    <t>15,136 EGP</t>
  </si>
  <si>
    <t>SM329</t>
  </si>
  <si>
    <t>H1 &amp; Q10 &amp; K29 &amp; V20 &amp; L8 &amp; G7 &amp; S9 &amp; W9 &amp; T10 &amp; X6 &amp; U8 &amp; O9 &amp; I4</t>
  </si>
  <si>
    <t>17,198 EGP</t>
  </si>
  <si>
    <t>M5 &amp; H20 &amp; Q16 &amp; K8 &amp; V5 &amp; L9 &amp; G7 &amp; S9 &amp; W7 &amp; T10 &amp; X9 &amp; U9 &amp; O9 &amp; I2</t>
  </si>
  <si>
    <t>K29</t>
  </si>
  <si>
    <t>X6</t>
  </si>
  <si>
    <t>M5</t>
  </si>
  <si>
    <t>H20</t>
  </si>
  <si>
    <t>WED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</si>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</sst>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4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b/>
      <i/>
      <sz val="14"/>
      <color rgb="FF8B0000"/>
      <name val="Calibri"/>
    </font>
    <font>
      <b/>
      <sz val="11"/>
      <name val="Calibri"/>
    </font>
    <font>
      <b/>
      <i/>
      <sz val="12"/>
      <color rgb="FFFF000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D9E1F2"/>
        <bgColor rgb="FFD9E1F2"/>
      </patternFill>
    </fill>
    <fill>
      <patternFill patternType="solid">
        <fgColor rgb="FFFFFF99"/>
        <bgColor rgb="FFFFFF99"/>
      </patternFill>
    </fill>
    <fill>
      <patternFill patternType="solid">
        <fgColor rgb="FFD3D3D3"/>
      </patternFill>
    </fill>
    <fill>
      <patternFill patternType="solid">
        <fgColor rgb="FFC5D9F1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B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8B0000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167" fontId="15" fillId="0" borderId="1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167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67" fontId="19" fillId="0" borderId="20" xfId="0" applyNumberFormat="1" applyFont="1" applyBorder="1" applyAlignment="1">
      <alignment horizontal="center" vertical="center"/>
    </xf>
    <xf numFmtId="49" fontId="15" fillId="8" borderId="21" xfId="0" applyNumberFormat="1" applyFont="1" applyFill="1" applyBorder="1" applyAlignment="1">
      <alignment horizontal="center" vertical="center"/>
    </xf>
    <xf numFmtId="167" fontId="15" fillId="8" borderId="21" xfId="0" applyNumberFormat="1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6" fontId="20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67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167" fontId="18" fillId="0" borderId="21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167" fontId="15" fillId="11" borderId="21" xfId="0" applyNumberFormat="1" applyFont="1" applyFill="1" applyBorder="1" applyAlignment="1">
      <alignment horizontal="center" vertical="center"/>
    </xf>
    <xf numFmtId="0" fontId="15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67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49" fontId="15" fillId="12" borderId="21" xfId="0" applyNumberFormat="1" applyFont="1" applyFill="1" applyBorder="1" applyAlignment="1">
      <alignment horizontal="center" vertical="center"/>
    </xf>
    <xf numFmtId="167" fontId="15" fillId="12" borderId="21" xfId="0" applyNumberFormat="1" applyFont="1" applyFill="1" applyBorder="1" applyAlignment="1">
      <alignment horizontal="center" vertical="center"/>
    </xf>
    <xf numFmtId="0" fontId="15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6" fontId="20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67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0" fontId="24" fillId="13" borderId="25" xfId="0" applyFont="1" applyFill="1" applyBorder="1" applyAlignment="1">
      <alignment horizontal="center" vertical="center"/>
    </xf>
    <xf numFmtId="169" fontId="8" fillId="14" borderId="25" xfId="0" applyNumberFormat="1" applyFont="1" applyFill="1" applyBorder="1" applyAlignment="1">
      <alignment horizontal="center" vertical="center"/>
    </xf>
    <xf numFmtId="168" fontId="8" fillId="14" borderId="25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166" fontId="8" fillId="14" borderId="25" xfId="0" applyNumberFormat="1" applyFont="1" applyFill="1" applyBorder="1" applyAlignment="1">
      <alignment horizontal="center" vertical="center"/>
    </xf>
    <xf numFmtId="1" fontId="8" fillId="14" borderId="25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7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69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66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0" fontId="25" fillId="17" borderId="25" xfId="0" applyFont="1" applyFill="1" applyBorder="1" applyAlignment="1">
      <alignment horizontal="center" vertical="center"/>
    </xf>
    <xf numFmtId="170" fontId="10" fillId="0" borderId="2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171" fontId="10" fillId="0" borderId="25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70" fontId="11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center" vertical="center"/>
    </xf>
    <xf numFmtId="171" fontId="11" fillId="0" borderId="25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170" fontId="10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0" fontId="10" fillId="18" borderId="27" xfId="0" applyNumberFormat="1" applyFont="1" applyFill="1" applyBorder="1" applyAlignment="1">
      <alignment horizontal="center" vertical="center"/>
    </xf>
    <xf numFmtId="0" fontId="10" fillId="18" borderId="27" xfId="0" applyFont="1" applyFill="1" applyBorder="1" applyAlignment="1">
      <alignment horizontal="center" vertical="center"/>
    </xf>
    <xf numFmtId="49" fontId="26" fillId="18" borderId="27" xfId="0" applyNumberFormat="1" applyFont="1" applyFill="1" applyBorder="1" applyAlignment="1">
      <alignment horizontal="center" vertical="center"/>
    </xf>
    <xf numFmtId="171" fontId="10" fillId="18" borderId="27" xfId="0" applyNumberFormat="1" applyFont="1" applyFill="1" applyBorder="1" applyAlignment="1">
      <alignment horizontal="center" vertical="center"/>
    </xf>
    <xf numFmtId="170" fontId="10" fillId="18" borderId="25" xfId="0" applyNumberFormat="1" applyFont="1" applyFill="1" applyBorder="1" applyAlignment="1">
      <alignment horizontal="center" vertical="center"/>
    </xf>
    <xf numFmtId="0" fontId="10" fillId="18" borderId="25" xfId="0" applyFont="1" applyFill="1" applyBorder="1" applyAlignment="1">
      <alignment horizontal="center" vertical="center"/>
    </xf>
    <xf numFmtId="49" fontId="26" fillId="18" borderId="25" xfId="0" applyNumberFormat="1" applyFont="1" applyFill="1" applyBorder="1" applyAlignment="1">
      <alignment horizontal="center" vertical="center"/>
    </xf>
    <xf numFmtId="171" fontId="10" fillId="18" borderId="25" xfId="0" applyNumberFormat="1" applyFont="1" applyFill="1" applyBorder="1" applyAlignment="1">
      <alignment horizontal="center" vertical="center"/>
    </xf>
    <xf numFmtId="1" fontId="10" fillId="18" borderId="25" xfId="0" applyNumberFormat="1" applyFont="1" applyFill="1" applyBorder="1" applyAlignment="1">
      <alignment horizontal="center" vertical="center"/>
    </xf>
    <xf numFmtId="170" fontId="8" fillId="18" borderId="25" xfId="0" applyNumberFormat="1" applyFont="1" applyFill="1" applyBorder="1" applyAlignment="1">
      <alignment horizontal="center" vertical="center"/>
    </xf>
    <xf numFmtId="0" fontId="8" fillId="18" borderId="25" xfId="0" applyFont="1" applyFill="1" applyBorder="1" applyAlignment="1">
      <alignment horizontal="center" vertical="center"/>
    </xf>
    <xf numFmtId="49" fontId="6" fillId="18" borderId="25" xfId="0" applyNumberFormat="1" applyFont="1" applyFill="1" applyBorder="1" applyAlignment="1">
      <alignment horizontal="center" vertical="center"/>
    </xf>
    <xf numFmtId="171" fontId="8" fillId="18" borderId="25" xfId="0" applyNumberFormat="1" applyFont="1" applyFill="1" applyBorder="1" applyAlignment="1">
      <alignment horizontal="center" vertical="center"/>
    </xf>
    <xf numFmtId="170" fontId="11" fillId="0" borderId="27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49" fontId="11" fillId="0" borderId="27" xfId="0" applyNumberFormat="1" applyFont="1" applyBorder="1" applyAlignment="1">
      <alignment horizontal="center" vertical="center"/>
    </xf>
    <xf numFmtId="171" fontId="11" fillId="0" borderId="27" xfId="0" applyNumberFormat="1" applyFont="1" applyBorder="1" applyAlignment="1">
      <alignment horizontal="center" vertical="center"/>
    </xf>
    <xf numFmtId="1" fontId="11" fillId="0" borderId="27" xfId="0" applyNumberFormat="1" applyFont="1" applyBorder="1" applyAlignment="1">
      <alignment horizontal="center" vertical="center"/>
    </xf>
    <xf numFmtId="170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171" fontId="8" fillId="0" borderId="27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27" fillId="19" borderId="25" xfId="0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69" fontId="27" fillId="16" borderId="25" xfId="0" applyNumberFormat="1" applyFont="1" applyFill="1" applyBorder="1" applyAlignment="1">
      <alignment horizontal="center" vertical="center"/>
    </xf>
    <xf numFmtId="0" fontId="27" fillId="16" borderId="25" xfId="0" applyFont="1" applyFill="1" applyBorder="1" applyAlignment="1">
      <alignment horizontal="center" vertical="center"/>
    </xf>
    <xf numFmtId="49" fontId="27" fillId="16" borderId="25" xfId="0" applyNumberFormat="1" applyFont="1" applyFill="1" applyBorder="1" applyAlignment="1">
      <alignment horizontal="center" vertical="center"/>
    </xf>
    <xf numFmtId="166" fontId="27" fillId="16" borderId="25" xfId="0" applyNumberFormat="1" applyFont="1" applyFill="1" applyBorder="1" applyAlignment="1">
      <alignment horizontal="center" vertical="center"/>
    </xf>
    <xf numFmtId="1" fontId="27" fillId="16" borderId="25" xfId="0" applyNumberFormat="1" applyFont="1" applyFill="1" applyBorder="1" applyAlignment="1">
      <alignment horizontal="center" vertical="center"/>
    </xf>
    <xf numFmtId="49" fontId="15" fillId="20" borderId="3" xfId="0" applyNumberFormat="1" applyFont="1" applyFill="1" applyBorder="1" applyAlignment="1">
      <alignment horizontal="center" vertical="center"/>
    </xf>
    <xf numFmtId="167" fontId="15" fillId="20" borderId="3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49" fontId="9" fillId="20" borderId="10" xfId="0" applyNumberFormat="1" applyFont="1" applyFill="1" applyBorder="1" applyAlignment="1">
      <alignment horizontal="center" vertical="center"/>
    </xf>
    <xf numFmtId="166" fontId="20" fillId="20" borderId="11" xfId="0" applyNumberFormat="1" applyFont="1" applyFill="1" applyBorder="1" applyAlignment="1">
      <alignment horizontal="center" vertical="center"/>
    </xf>
    <xf numFmtId="1" fontId="9" fillId="20" borderId="11" xfId="0" applyNumberFormat="1" applyFont="1" applyFill="1" applyBorder="1" applyAlignment="1">
      <alignment horizontal="center" vertical="center"/>
    </xf>
    <xf numFmtId="168" fontId="9" fillId="20" borderId="11" xfId="0" applyNumberFormat="1" applyFont="1" applyFill="1" applyBorder="1" applyAlignment="1">
      <alignment horizontal="center" vertical="center"/>
    </xf>
    <xf numFmtId="49" fontId="8" fillId="20" borderId="11" xfId="0" applyNumberFormat="1" applyFont="1" applyFill="1" applyBorder="1" applyAlignment="1">
      <alignment horizontal="center" vertical="center"/>
    </xf>
    <xf numFmtId="167" fontId="9" fillId="20" borderId="11" xfId="0" applyNumberFormat="1" applyFont="1" applyFill="1" applyBorder="1" applyAlignment="1">
      <alignment horizontal="center" vertical="center"/>
    </xf>
    <xf numFmtId="49" fontId="9" fillId="20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8" fillId="0" borderId="25" xfId="0" applyFont="1" applyBorder="1" applyAlignment="1">
      <alignment horizontal="center" vertical="center"/>
    </xf>
    <xf numFmtId="170" fontId="10" fillId="18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170" fontId="10" fillId="0" borderId="27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171" fontId="10" fillId="0" borderId="27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6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19" fillId="20" borderId="21" xfId="0" applyNumberFormat="1" applyFont="1" applyFill="1" applyBorder="1" applyAlignment="1">
      <alignment horizontal="center" vertical="center"/>
    </xf>
    <xf numFmtId="167" fontId="19" fillId="20" borderId="21" xfId="0" applyNumberFormat="1" applyFont="1" applyFill="1" applyBorder="1" applyAlignment="1">
      <alignment horizontal="center" vertical="center"/>
    </xf>
    <xf numFmtId="0" fontId="19" fillId="20" borderId="21" xfId="0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8" fontId="9" fillId="20" borderId="17" xfId="0" applyNumberFormat="1" applyFont="1" applyFill="1" applyBorder="1" applyAlignment="1">
      <alignment horizontal="center" vertical="center"/>
    </xf>
    <xf numFmtId="49" fontId="8" fillId="20" borderId="17" xfId="0" applyNumberFormat="1" applyFont="1" applyFill="1" applyBorder="1" applyAlignment="1">
      <alignment horizontal="center" vertical="center"/>
    </xf>
    <xf numFmtId="167" fontId="9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166" fontId="20" fillId="12" borderId="11" xfId="0" applyNumberFormat="1" applyFont="1" applyFill="1" applyBorder="1" applyAlignment="1">
      <alignment horizontal="center" vertical="center"/>
    </xf>
    <xf numFmtId="49" fontId="19" fillId="20" borderId="3" xfId="0" applyNumberFormat="1" applyFont="1" applyFill="1" applyBorder="1" applyAlignment="1">
      <alignment horizontal="center" vertical="center"/>
    </xf>
    <xf numFmtId="167" fontId="19" fillId="20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8" borderId="21" xfId="0" applyNumberFormat="1" applyFont="1" applyFill="1" applyBorder="1" applyAlignment="1">
      <alignment horizontal="center" vertical="center"/>
    </xf>
    <xf numFmtId="167" fontId="19" fillId="8" borderId="21" xfId="0" applyNumberFormat="1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170" fontId="8" fillId="18" borderId="27" xfId="0" applyNumberFormat="1" applyFont="1" applyFill="1" applyBorder="1" applyAlignment="1">
      <alignment horizontal="center" vertical="center"/>
    </xf>
    <xf numFmtId="0" fontId="8" fillId="18" borderId="27" xfId="0" applyFont="1" applyFill="1" applyBorder="1" applyAlignment="1">
      <alignment horizontal="center" vertical="center"/>
    </xf>
    <xf numFmtId="49" fontId="6" fillId="18" borderId="27" xfId="0" applyNumberFormat="1" applyFont="1" applyFill="1" applyBorder="1" applyAlignment="1">
      <alignment horizontal="center" vertical="center"/>
    </xf>
    <xf numFmtId="171" fontId="8" fillId="18" borderId="27" xfId="0" applyNumberFormat="1" applyFont="1" applyFill="1" applyBorder="1" applyAlignment="1">
      <alignment horizontal="center" vertical="center"/>
    </xf>
    <xf numFmtId="1" fontId="8" fillId="18" borderId="25" xfId="0" applyNumberFormat="1" applyFont="1" applyFill="1" applyBorder="1" applyAlignment="1">
      <alignment horizontal="center" vertical="center"/>
    </xf>
    <xf numFmtId="1" fontId="10" fillId="18" borderId="27" xfId="0" applyNumberFormat="1" applyFont="1" applyFill="1" applyBorder="1" applyAlignment="1">
      <alignment horizontal="center" vertical="center"/>
    </xf>
    <xf numFmtId="166" fontId="9" fillId="10" borderId="11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166" fontId="9" fillId="20" borderId="11" xfId="0" applyNumberFormat="1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6" fontId="29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67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166" fontId="29" fillId="12" borderId="11" xfId="0" applyNumberFormat="1" applyFont="1" applyFill="1" applyBorder="1" applyAlignment="1">
      <alignment horizontal="center" vertical="center"/>
    </xf>
    <xf numFmtId="166" fontId="29" fillId="11" borderId="11" xfId="0" applyNumberFormat="1" applyFont="1" applyFill="1" applyBorder="1" applyAlignment="1">
      <alignment horizontal="center" vertical="center"/>
    </xf>
    <xf numFmtId="166" fontId="29" fillId="20" borderId="17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67" fontId="15" fillId="0" borderId="21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70" fontId="10" fillId="18" borderId="29" xfId="0" applyNumberFormat="1" applyFont="1" applyFill="1" applyBorder="1" applyAlignment="1">
      <alignment horizontal="center" vertical="center"/>
    </xf>
    <xf numFmtId="0" fontId="10" fillId="18" borderId="29" xfId="0" applyFont="1" applyFill="1" applyBorder="1" applyAlignment="1">
      <alignment horizontal="center" vertical="center"/>
    </xf>
    <xf numFmtId="170" fontId="10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6" fontId="29" fillId="20" borderId="11" xfId="0" applyNumberFormat="1" applyFont="1" applyFill="1" applyBorder="1" applyAlignment="1">
      <alignment horizontal="center" vertical="center"/>
    </xf>
    <xf numFmtId="166" fontId="29" fillId="8" borderId="11" xfId="0" applyNumberFormat="1" applyFont="1" applyFill="1" applyBorder="1" applyAlignment="1">
      <alignment horizontal="center" vertical="center"/>
    </xf>
    <xf numFmtId="49" fontId="15" fillId="10" borderId="21" xfId="0" applyNumberFormat="1" applyFont="1" applyFill="1" applyBorder="1" applyAlignment="1">
      <alignment horizontal="center" vertical="center"/>
    </xf>
    <xf numFmtId="167" fontId="15" fillId="10" borderId="21" xfId="0" applyNumberFormat="1" applyFont="1" applyFill="1" applyBorder="1" applyAlignment="1">
      <alignment horizontal="center" vertical="center"/>
    </xf>
    <xf numFmtId="166" fontId="9" fillId="10" borderId="17" xfId="0" applyNumberFormat="1" applyFont="1" applyFill="1" applyBorder="1" applyAlignment="1">
      <alignment horizontal="center" vertical="center"/>
    </xf>
    <xf numFmtId="166" fontId="29" fillId="10" borderId="11" xfId="0" applyNumberFormat="1" applyFont="1" applyFill="1" applyBorder="1" applyAlignment="1">
      <alignment horizontal="center" vertical="center"/>
    </xf>
    <xf numFmtId="166" fontId="9" fillId="8" borderId="17" xfId="0" applyNumberFormat="1" applyFont="1" applyFill="1" applyBorder="1" applyAlignment="1">
      <alignment horizontal="center" vertical="center"/>
    </xf>
    <xf numFmtId="166" fontId="9" fillId="11" borderId="17" xfId="0" applyNumberFormat="1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165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12" fillId="3" borderId="0" xfId="0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3" fillId="2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49" fontId="28" fillId="0" borderId="20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116">
  <autoFilter ref="A1:H116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84">
  <autoFilter ref="A1:H8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81">
  <autoFilter ref="A1:H8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438">
  <autoFilter ref="A1:H43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118">
  <autoFilter ref="A1:H11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105">
  <autoFilter ref="A1:H10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8">
  <autoFilter ref="A1:H8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SSH_JED" displayName="FocusMode_SSH_JED" ref="A1:H6">
  <autoFilter ref="A1:H6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CAI_RUH" displayName="FocusMode_CAI_RUH" ref="A1:H340">
  <autoFilter ref="A1:H34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ATZ_RUH" displayName="FocusMode_ATZ_RUH" ref="A1:H93">
  <autoFilter ref="A1:H9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CAI_DMM" displayName="FocusMode_CAI_DMM" ref="A1:H98">
  <autoFilter ref="A1:H9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ATZ_DMM" displayName="FocusMode_ATZ_DMM" ref="A1:H80">
  <autoFilter ref="A1:H8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CAI_TUU" displayName="FocusMode_CAI_TUU" ref="A1:H25">
  <autoFilter ref="A1:H2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ATZ_TUU" displayName="FocusMode_ATZ_TUU" ref="A1:H33">
  <autoFilter ref="A1:H33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CAI_AJF" displayName="FocusMode_CAI_AJF" ref="A1:H7">
  <autoFilter ref="A1:H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TZ_AJF" displayName="FocusMode_ATZ_AJF" ref="A1:H13">
  <autoFilter ref="A1:H1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CAI_YNB" displayName="FocusMode_CAI_YNB" ref="A1:H11">
  <autoFilter ref="A1:H1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AHB" displayName="FocusMode_CAI_AHB" ref="A1:H10">
  <autoFilter ref="A1:H1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TZ_AHB" displayName="FocusMode_ATZ_AHB" ref="A1:H13">
  <autoFilter ref="A1:H13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CAI_ELQ" displayName="FocusMode_CAI_ELQ" ref="A1:H27">
  <autoFilter ref="A1:H27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ATZ_ELQ" displayName="FocusMode_ATZ_ELQ" ref="A1:H36">
  <autoFilter ref="A1:H36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CAI_GIZ" displayName="FocusMode_CAI_GIZ" ref="A1:H8">
  <autoFilter ref="A1:H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39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332031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45984.358512518593</v>
      </c>
      <c r="H2" s="287"/>
      <c r="I2" s="287"/>
      <c r="J2" s="287"/>
      <c r="K2" s="292">
        <v>45984.358512519051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26</v>
      </c>
      <c r="C6" s="9">
        <v>0.22916666666666671</v>
      </c>
      <c r="D6" s="8" t="s">
        <v>27</v>
      </c>
      <c r="E6" s="8" t="s">
        <v>28</v>
      </c>
      <c r="F6" s="8" t="s">
        <v>29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26</v>
      </c>
      <c r="C7" s="16">
        <v>0.22916666666666671</v>
      </c>
      <c r="D7" s="15" t="s">
        <v>30</v>
      </c>
      <c r="E7" s="15" t="s">
        <v>31</v>
      </c>
      <c r="F7" s="15" t="s">
        <v>32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26</v>
      </c>
      <c r="C8" s="16">
        <v>0.22916666666666671</v>
      </c>
      <c r="D8" s="15" t="s">
        <v>33</v>
      </c>
      <c r="E8" s="15" t="s">
        <v>31</v>
      </c>
      <c r="F8" s="15" t="s">
        <v>34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35</v>
      </c>
      <c r="B9" s="17" t="s">
        <v>36</v>
      </c>
      <c r="C9" s="18">
        <v>0.35069444444444442</v>
      </c>
      <c r="D9" s="17" t="s">
        <v>37</v>
      </c>
      <c r="E9" s="17" t="s">
        <v>38</v>
      </c>
      <c r="F9" s="17" t="s">
        <v>39</v>
      </c>
      <c r="G9" s="277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35</v>
      </c>
      <c r="B10" s="15" t="s">
        <v>36</v>
      </c>
      <c r="C10" s="16">
        <v>0.35069444444444442</v>
      </c>
      <c r="D10" s="15" t="s">
        <v>40</v>
      </c>
      <c r="E10" s="15" t="s">
        <v>41</v>
      </c>
      <c r="F10" s="15" t="s">
        <v>39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35</v>
      </c>
      <c r="B11" s="15" t="s">
        <v>36</v>
      </c>
      <c r="C11" s="16">
        <v>0.35069444444444442</v>
      </c>
      <c r="D11" s="15" t="s">
        <v>42</v>
      </c>
      <c r="E11" s="15" t="s">
        <v>41</v>
      </c>
      <c r="F11" s="15" t="s">
        <v>43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35</v>
      </c>
      <c r="B12" s="19" t="s">
        <v>44</v>
      </c>
      <c r="C12" s="20">
        <v>0.18402777777777779</v>
      </c>
      <c r="D12" s="19" t="s">
        <v>42</v>
      </c>
      <c r="E12" s="19" t="s">
        <v>45</v>
      </c>
      <c r="F12" s="19" t="s">
        <v>46</v>
      </c>
      <c r="G12" s="277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35</v>
      </c>
      <c r="B13" s="19" t="s">
        <v>47</v>
      </c>
      <c r="C13" s="20">
        <v>0.89583333333333337</v>
      </c>
      <c r="D13" s="19" t="s">
        <v>48</v>
      </c>
      <c r="E13" s="19" t="s">
        <v>45</v>
      </c>
      <c r="F13" s="19" t="s">
        <v>49</v>
      </c>
      <c r="G13" s="277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35</v>
      </c>
      <c r="B14" s="15" t="s">
        <v>47</v>
      </c>
      <c r="C14" s="16">
        <v>0.89583333333333337</v>
      </c>
      <c r="D14" s="15" t="s">
        <v>42</v>
      </c>
      <c r="E14" s="15" t="s">
        <v>41</v>
      </c>
      <c r="F14" s="15" t="s">
        <v>49</v>
      </c>
      <c r="G14" s="277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35</v>
      </c>
      <c r="B15" s="19" t="s">
        <v>50</v>
      </c>
      <c r="C15" s="20">
        <v>0.22916666666666671</v>
      </c>
      <c r="D15" s="19" t="s">
        <v>48</v>
      </c>
      <c r="E15" s="19" t="s">
        <v>51</v>
      </c>
      <c r="F15" s="19" t="s">
        <v>52</v>
      </c>
      <c r="G15" s="277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35</v>
      </c>
      <c r="B16" s="15" t="s">
        <v>50</v>
      </c>
      <c r="C16" s="16">
        <v>0.22916666666666671</v>
      </c>
      <c r="D16" s="15" t="s">
        <v>42</v>
      </c>
      <c r="E16" s="15" t="s">
        <v>53</v>
      </c>
      <c r="F16" s="15" t="s">
        <v>52</v>
      </c>
      <c r="G16" s="277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7" t="s">
        <v>54</v>
      </c>
      <c r="B17" s="17" t="s">
        <v>55</v>
      </c>
      <c r="C17" s="18">
        <v>0.60763888888888895</v>
      </c>
      <c r="D17" s="17" t="s">
        <v>56</v>
      </c>
      <c r="E17" s="17" t="s">
        <v>57</v>
      </c>
      <c r="F17" s="17" t="s">
        <v>32</v>
      </c>
      <c r="G17" s="277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5" t="s">
        <v>54</v>
      </c>
      <c r="B18" s="15" t="s">
        <v>55</v>
      </c>
      <c r="C18" s="16">
        <v>0.60763888888888895</v>
      </c>
      <c r="D18" s="15" t="s">
        <v>58</v>
      </c>
      <c r="E18" s="15" t="s">
        <v>53</v>
      </c>
      <c r="F18" s="15" t="s">
        <v>59</v>
      </c>
      <c r="G18" s="277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54</v>
      </c>
      <c r="B19" s="15" t="s">
        <v>55</v>
      </c>
      <c r="C19" s="16">
        <v>0.60763888888888895</v>
      </c>
      <c r="D19" s="15" t="s">
        <v>60</v>
      </c>
      <c r="E19" s="15" t="s">
        <v>53</v>
      </c>
      <c r="F19" s="15" t="s">
        <v>61</v>
      </c>
      <c r="G19" s="277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9" t="s">
        <v>54</v>
      </c>
      <c r="B20" s="19" t="s">
        <v>62</v>
      </c>
      <c r="C20" s="20">
        <v>0.43402777777777768</v>
      </c>
      <c r="D20" s="19" t="s">
        <v>56</v>
      </c>
      <c r="E20" s="19" t="s">
        <v>51</v>
      </c>
      <c r="F20" s="19" t="s">
        <v>32</v>
      </c>
      <c r="G20" s="277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5" t="s">
        <v>54</v>
      </c>
      <c r="B21" s="15" t="s">
        <v>62</v>
      </c>
      <c r="C21" s="16">
        <v>0.43402777777777768</v>
      </c>
      <c r="D21" s="15" t="s">
        <v>58</v>
      </c>
      <c r="E21" s="15" t="s">
        <v>53</v>
      </c>
      <c r="F21" s="15" t="s">
        <v>59</v>
      </c>
      <c r="G21" s="277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54</v>
      </c>
      <c r="B22" s="15" t="s">
        <v>62</v>
      </c>
      <c r="C22" s="16">
        <v>0.43402777777777768</v>
      </c>
      <c r="D22" s="15" t="s">
        <v>60</v>
      </c>
      <c r="E22" s="15" t="s">
        <v>53</v>
      </c>
      <c r="F22" s="15" t="s">
        <v>61</v>
      </c>
      <c r="G22" s="277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7" t="s">
        <v>63</v>
      </c>
      <c r="B23" s="17" t="s">
        <v>64</v>
      </c>
      <c r="C23" s="18">
        <v>0.33680555555555558</v>
      </c>
      <c r="D23" s="17" t="s">
        <v>48</v>
      </c>
      <c r="E23" s="17" t="s">
        <v>38</v>
      </c>
      <c r="F23" s="17" t="s">
        <v>65</v>
      </c>
      <c r="G23" s="277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63</v>
      </c>
      <c r="B24" s="19" t="s">
        <v>66</v>
      </c>
      <c r="C24" s="20">
        <v>6.5972222222222224E-2</v>
      </c>
      <c r="D24" s="19" t="s">
        <v>48</v>
      </c>
      <c r="E24" s="19" t="s">
        <v>45</v>
      </c>
      <c r="F24" s="19" t="s">
        <v>65</v>
      </c>
      <c r="G24" s="277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63</v>
      </c>
      <c r="B25" s="19" t="s">
        <v>67</v>
      </c>
      <c r="C25" s="20">
        <v>0.28125</v>
      </c>
      <c r="D25" s="19" t="s">
        <v>48</v>
      </c>
      <c r="E25" s="19" t="s">
        <v>45</v>
      </c>
      <c r="F25" s="19" t="s">
        <v>65</v>
      </c>
      <c r="G25" s="277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63</v>
      </c>
      <c r="B26" s="19" t="s">
        <v>68</v>
      </c>
      <c r="C26" s="20">
        <v>0.94097222222222221</v>
      </c>
      <c r="D26" s="19" t="s">
        <v>48</v>
      </c>
      <c r="E26" s="19" t="s">
        <v>45</v>
      </c>
      <c r="F26" s="19" t="s">
        <v>69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63</v>
      </c>
      <c r="B27" s="19" t="s">
        <v>70</v>
      </c>
      <c r="C27" s="20">
        <v>0.69791666666666663</v>
      </c>
      <c r="D27" s="19" t="s">
        <v>48</v>
      </c>
      <c r="E27" s="19" t="s">
        <v>45</v>
      </c>
      <c r="F27" s="19" t="s">
        <v>69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21" t="s">
        <v>71</v>
      </c>
      <c r="B28" s="21" t="s">
        <v>72</v>
      </c>
      <c r="C28" s="22">
        <v>0.86805555555555547</v>
      </c>
      <c r="D28" s="21" t="s">
        <v>73</v>
      </c>
      <c r="E28" s="23"/>
      <c r="F28" s="21" t="s">
        <v>74</v>
      </c>
      <c r="G28" s="278"/>
      <c r="H28" s="24" t="s">
        <v>72</v>
      </c>
      <c r="I28" s="25">
        <v>0.99439999999999995</v>
      </c>
      <c r="J28" s="26">
        <v>179</v>
      </c>
      <c r="K28" s="27">
        <v>45983</v>
      </c>
      <c r="L28" s="26">
        <v>6</v>
      </c>
      <c r="M28" s="26">
        <v>0</v>
      </c>
      <c r="N28" s="26">
        <v>4</v>
      </c>
      <c r="O28" s="28" t="s">
        <v>75</v>
      </c>
      <c r="P28" s="29">
        <v>0.86805555555555547</v>
      </c>
      <c r="Q28" s="26">
        <v>180</v>
      </c>
      <c r="R28" s="30" t="s">
        <v>76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4.4" customHeight="1" x14ac:dyDescent="0.3">
      <c r="A29" s="282"/>
      <c r="B29" s="283"/>
      <c r="C29" s="283"/>
      <c r="D29" s="283"/>
      <c r="E29" s="283"/>
      <c r="F29" s="283"/>
      <c r="G29" s="280"/>
      <c r="H29" s="284"/>
      <c r="I29" s="284"/>
      <c r="J29" s="284"/>
      <c r="K29" s="284"/>
      <c r="L29" s="284"/>
      <c r="M29" s="284"/>
      <c r="N29" s="284"/>
      <c r="O29" s="285"/>
      <c r="P29" s="284"/>
      <c r="Q29" s="280"/>
      <c r="R29" s="281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22.05" customHeight="1" x14ac:dyDescent="0.3">
      <c r="A30" s="290" t="s">
        <v>5</v>
      </c>
      <c r="B30" s="291"/>
      <c r="C30" s="291"/>
      <c r="D30" s="291"/>
      <c r="E30" s="291"/>
      <c r="F30" s="291"/>
      <c r="G30" s="5">
        <v>45986</v>
      </c>
      <c r="H30" s="274" t="s">
        <v>6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24" customHeight="1" x14ac:dyDescent="0.3">
      <c r="A31" s="31" t="s">
        <v>7</v>
      </c>
      <c r="B31" s="31" t="s">
        <v>8</v>
      </c>
      <c r="C31" s="32" t="s">
        <v>9</v>
      </c>
      <c r="D31" s="31" t="s">
        <v>10</v>
      </c>
      <c r="E31" s="31" t="s">
        <v>11</v>
      </c>
      <c r="F31" s="31" t="s">
        <v>12</v>
      </c>
      <c r="G31" s="33" t="s">
        <v>13</v>
      </c>
      <c r="H31" s="31" t="s">
        <v>14</v>
      </c>
      <c r="I31" s="34" t="s">
        <v>15</v>
      </c>
      <c r="J31" s="35" t="s">
        <v>16</v>
      </c>
      <c r="K31" s="36" t="s">
        <v>17</v>
      </c>
      <c r="L31" s="35" t="s">
        <v>18</v>
      </c>
      <c r="M31" s="35" t="s">
        <v>19</v>
      </c>
      <c r="N31" s="35" t="s">
        <v>20</v>
      </c>
      <c r="O31" s="31" t="s">
        <v>21</v>
      </c>
      <c r="P31" s="32" t="s">
        <v>22</v>
      </c>
      <c r="Q31" s="35" t="s">
        <v>23</v>
      </c>
      <c r="R31" s="31" t="s">
        <v>24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8" t="s">
        <v>25</v>
      </c>
      <c r="B32" s="8" t="s">
        <v>26</v>
      </c>
      <c r="C32" s="9">
        <v>0.22916666666666671</v>
      </c>
      <c r="D32" s="8" t="s">
        <v>27</v>
      </c>
      <c r="E32" s="8" t="s">
        <v>77</v>
      </c>
      <c r="F32" s="8" t="s">
        <v>29</v>
      </c>
      <c r="G32" s="276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5" t="s">
        <v>25</v>
      </c>
      <c r="B33" s="15" t="s">
        <v>26</v>
      </c>
      <c r="C33" s="16">
        <v>0.22916666666666671</v>
      </c>
      <c r="D33" s="15" t="s">
        <v>33</v>
      </c>
      <c r="E33" s="15" t="s">
        <v>78</v>
      </c>
      <c r="F33" s="15" t="s">
        <v>79</v>
      </c>
      <c r="G33" s="277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25</v>
      </c>
      <c r="B34" s="15" t="s">
        <v>26</v>
      </c>
      <c r="C34" s="16">
        <v>0.22916666666666671</v>
      </c>
      <c r="D34" s="15" t="s">
        <v>30</v>
      </c>
      <c r="E34" s="15" t="s">
        <v>78</v>
      </c>
      <c r="F34" s="15" t="s">
        <v>32</v>
      </c>
      <c r="G34" s="277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37" t="s">
        <v>71</v>
      </c>
      <c r="B35" s="37" t="s">
        <v>80</v>
      </c>
      <c r="C35" s="38">
        <v>0.81944444444444453</v>
      </c>
      <c r="D35" s="37" t="s">
        <v>81</v>
      </c>
      <c r="E35" s="37" t="s">
        <v>82</v>
      </c>
      <c r="F35" s="37" t="s">
        <v>83</v>
      </c>
      <c r="G35" s="277"/>
      <c r="H35" s="39" t="s">
        <v>84</v>
      </c>
      <c r="I35" s="40">
        <v>0.9889</v>
      </c>
      <c r="J35" s="41">
        <v>178</v>
      </c>
      <c r="K35" s="42">
        <v>45982</v>
      </c>
      <c r="L35" s="41">
        <v>4</v>
      </c>
      <c r="M35" s="41">
        <v>0</v>
      </c>
      <c r="N35" s="41">
        <v>0</v>
      </c>
      <c r="O35" s="43" t="s">
        <v>85</v>
      </c>
      <c r="P35" s="44">
        <v>0.81944444444444453</v>
      </c>
      <c r="Q35" s="41">
        <v>180</v>
      </c>
      <c r="R35" s="45" t="s">
        <v>86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46" t="s">
        <v>71</v>
      </c>
      <c r="B36" s="46" t="s">
        <v>87</v>
      </c>
      <c r="C36" s="47">
        <v>0.11805555555555559</v>
      </c>
      <c r="D36" s="46" t="s">
        <v>73</v>
      </c>
      <c r="E36" s="48"/>
      <c r="F36" s="46" t="s">
        <v>74</v>
      </c>
      <c r="G36" s="277"/>
      <c r="H36" s="49" t="s">
        <v>87</v>
      </c>
      <c r="I36" s="50">
        <v>0.99439999999999995</v>
      </c>
      <c r="J36" s="51">
        <v>179</v>
      </c>
      <c r="K36" s="52">
        <v>45984</v>
      </c>
      <c r="L36" s="51">
        <v>5</v>
      </c>
      <c r="M36" s="51">
        <v>4</v>
      </c>
      <c r="N36" s="51">
        <v>1</v>
      </c>
      <c r="O36" s="53" t="s">
        <v>75</v>
      </c>
      <c r="P36" s="54">
        <v>0.11805555555555559</v>
      </c>
      <c r="Q36" s="51">
        <v>180</v>
      </c>
      <c r="R36" s="55" t="s">
        <v>88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7" t="s">
        <v>63</v>
      </c>
      <c r="B37" s="17" t="s">
        <v>64</v>
      </c>
      <c r="C37" s="18">
        <v>0.33680555555555558</v>
      </c>
      <c r="D37" s="17" t="s">
        <v>48</v>
      </c>
      <c r="E37" s="17" t="s">
        <v>38</v>
      </c>
      <c r="F37" s="17" t="s">
        <v>39</v>
      </c>
      <c r="G37" s="277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9" t="s">
        <v>63</v>
      </c>
      <c r="B38" s="19" t="s">
        <v>66</v>
      </c>
      <c r="C38" s="20">
        <v>6.5972222222222224E-2</v>
      </c>
      <c r="D38" s="19" t="s">
        <v>48</v>
      </c>
      <c r="E38" s="19" t="s">
        <v>45</v>
      </c>
      <c r="F38" s="19" t="s">
        <v>39</v>
      </c>
      <c r="G38" s="277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63</v>
      </c>
      <c r="B39" s="19" t="s">
        <v>67</v>
      </c>
      <c r="C39" s="20">
        <v>0.28819444444444448</v>
      </c>
      <c r="D39" s="19" t="s">
        <v>48</v>
      </c>
      <c r="E39" s="19" t="s">
        <v>45</v>
      </c>
      <c r="F39" s="19" t="s">
        <v>39</v>
      </c>
      <c r="G39" s="277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63</v>
      </c>
      <c r="B40" s="19" t="s">
        <v>68</v>
      </c>
      <c r="C40" s="20">
        <v>0.94097222222222221</v>
      </c>
      <c r="D40" s="19" t="s">
        <v>48</v>
      </c>
      <c r="E40" s="19" t="s">
        <v>89</v>
      </c>
      <c r="F40" s="19" t="s">
        <v>90</v>
      </c>
      <c r="G40" s="277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63</v>
      </c>
      <c r="B41" s="19" t="s">
        <v>70</v>
      </c>
      <c r="C41" s="20">
        <v>0.69791666666666663</v>
      </c>
      <c r="D41" s="19" t="s">
        <v>48</v>
      </c>
      <c r="E41" s="19" t="s">
        <v>91</v>
      </c>
      <c r="F41" s="19" t="s">
        <v>90</v>
      </c>
      <c r="G41" s="277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7" t="s">
        <v>54</v>
      </c>
      <c r="B42" s="17" t="s">
        <v>55</v>
      </c>
      <c r="C42" s="18">
        <v>0.60763888888888895</v>
      </c>
      <c r="D42" s="17" t="s">
        <v>56</v>
      </c>
      <c r="E42" s="17" t="s">
        <v>82</v>
      </c>
      <c r="F42" s="17" t="s">
        <v>32</v>
      </c>
      <c r="G42" s="277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54</v>
      </c>
      <c r="B43" s="15" t="s">
        <v>55</v>
      </c>
      <c r="C43" s="16">
        <v>0.60763888888888895</v>
      </c>
      <c r="D43" s="15" t="s">
        <v>58</v>
      </c>
      <c r="E43" s="15" t="s">
        <v>92</v>
      </c>
      <c r="F43" s="15" t="s">
        <v>59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54</v>
      </c>
      <c r="B44" s="15" t="s">
        <v>55</v>
      </c>
      <c r="C44" s="16">
        <v>0.60763888888888895</v>
      </c>
      <c r="D44" s="15" t="s">
        <v>60</v>
      </c>
      <c r="E44" s="15" t="s">
        <v>92</v>
      </c>
      <c r="F44" s="15" t="s">
        <v>61</v>
      </c>
      <c r="G44" s="277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7" t="s">
        <v>35</v>
      </c>
      <c r="B45" s="17" t="s">
        <v>36</v>
      </c>
      <c r="C45" s="18">
        <v>0.35069444444444442</v>
      </c>
      <c r="D45" s="17" t="s">
        <v>48</v>
      </c>
      <c r="E45" s="17" t="s">
        <v>28</v>
      </c>
      <c r="F45" s="17" t="s">
        <v>46</v>
      </c>
      <c r="G45" s="277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35</v>
      </c>
      <c r="B46" s="19" t="s">
        <v>44</v>
      </c>
      <c r="C46" s="20">
        <v>0.18402777777777779</v>
      </c>
      <c r="D46" s="19" t="s">
        <v>48</v>
      </c>
      <c r="E46" s="19" t="s">
        <v>93</v>
      </c>
      <c r="F46" s="19" t="s">
        <v>46</v>
      </c>
      <c r="G46" s="277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5" t="s">
        <v>35</v>
      </c>
      <c r="B47" s="15" t="s">
        <v>44</v>
      </c>
      <c r="C47" s="16">
        <v>0.18402777777777779</v>
      </c>
      <c r="D47" s="15" t="s">
        <v>42</v>
      </c>
      <c r="E47" s="15" t="s">
        <v>94</v>
      </c>
      <c r="F47" s="15" t="s">
        <v>46</v>
      </c>
      <c r="G47" s="277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35</v>
      </c>
      <c r="B48" s="19" t="s">
        <v>47</v>
      </c>
      <c r="C48" s="20">
        <v>0.89583333333333337</v>
      </c>
      <c r="D48" s="19" t="s">
        <v>48</v>
      </c>
      <c r="E48" s="19" t="s">
        <v>95</v>
      </c>
      <c r="F48" s="19" t="s">
        <v>49</v>
      </c>
      <c r="G48" s="277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5" t="s">
        <v>35</v>
      </c>
      <c r="B49" s="15" t="s">
        <v>47</v>
      </c>
      <c r="C49" s="16">
        <v>0.89583333333333337</v>
      </c>
      <c r="D49" s="15" t="s">
        <v>42</v>
      </c>
      <c r="E49" s="15" t="s">
        <v>96</v>
      </c>
      <c r="F49" s="15" t="s">
        <v>49</v>
      </c>
      <c r="G49" s="277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35</v>
      </c>
      <c r="B50" s="19" t="s">
        <v>50</v>
      </c>
      <c r="C50" s="20">
        <v>0.22916666666666671</v>
      </c>
      <c r="D50" s="19" t="s">
        <v>48</v>
      </c>
      <c r="E50" s="19" t="s">
        <v>51</v>
      </c>
      <c r="F50" s="19" t="s">
        <v>52</v>
      </c>
      <c r="G50" s="277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56" t="s">
        <v>35</v>
      </c>
      <c r="B51" s="56" t="s">
        <v>50</v>
      </c>
      <c r="C51" s="57">
        <v>0.22916666666666671</v>
      </c>
      <c r="D51" s="56" t="s">
        <v>42</v>
      </c>
      <c r="E51" s="56" t="s">
        <v>53</v>
      </c>
      <c r="F51" s="56" t="s">
        <v>52</v>
      </c>
      <c r="G51" s="278"/>
      <c r="H51" s="58"/>
      <c r="I51" s="59"/>
      <c r="J51" s="59"/>
      <c r="K51" s="59"/>
      <c r="L51" s="59"/>
      <c r="M51" s="59"/>
      <c r="N51" s="59"/>
      <c r="O51" s="60"/>
      <c r="P51" s="59"/>
      <c r="Q51" s="61"/>
      <c r="R51" s="62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4.4" customHeight="1" x14ac:dyDescent="0.3">
      <c r="A52" s="282"/>
      <c r="B52" s="283"/>
      <c r="C52" s="283"/>
      <c r="D52" s="283"/>
      <c r="E52" s="283"/>
      <c r="F52" s="283"/>
      <c r="G52" s="280"/>
      <c r="H52" s="284"/>
      <c r="I52" s="284"/>
      <c r="J52" s="284"/>
      <c r="K52" s="284"/>
      <c r="L52" s="284"/>
      <c r="M52" s="284"/>
      <c r="N52" s="284"/>
      <c r="O52" s="285"/>
      <c r="P52" s="284"/>
      <c r="Q52" s="280"/>
      <c r="R52" s="281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22.05" customHeight="1" x14ac:dyDescent="0.3">
      <c r="A53" s="290" t="s">
        <v>5</v>
      </c>
      <c r="B53" s="291"/>
      <c r="C53" s="291"/>
      <c r="D53" s="291"/>
      <c r="E53" s="291"/>
      <c r="F53" s="291"/>
      <c r="G53" s="5">
        <v>45987</v>
      </c>
      <c r="H53" s="274" t="s">
        <v>6</v>
      </c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24" customHeight="1" x14ac:dyDescent="0.3">
      <c r="A54" s="31" t="s">
        <v>7</v>
      </c>
      <c r="B54" s="31" t="s">
        <v>8</v>
      </c>
      <c r="C54" s="32" t="s">
        <v>9</v>
      </c>
      <c r="D54" s="31" t="s">
        <v>10</v>
      </c>
      <c r="E54" s="31" t="s">
        <v>11</v>
      </c>
      <c r="F54" s="31" t="s">
        <v>12</v>
      </c>
      <c r="G54" s="33" t="s">
        <v>13</v>
      </c>
      <c r="H54" s="31" t="s">
        <v>14</v>
      </c>
      <c r="I54" s="34" t="s">
        <v>15</v>
      </c>
      <c r="J54" s="35" t="s">
        <v>16</v>
      </c>
      <c r="K54" s="36" t="s">
        <v>17</v>
      </c>
      <c r="L54" s="35" t="s">
        <v>18</v>
      </c>
      <c r="M54" s="35" t="s">
        <v>19</v>
      </c>
      <c r="N54" s="35" t="s">
        <v>20</v>
      </c>
      <c r="O54" s="31" t="s">
        <v>21</v>
      </c>
      <c r="P54" s="32" t="s">
        <v>22</v>
      </c>
      <c r="Q54" s="35" t="s">
        <v>23</v>
      </c>
      <c r="R54" s="31" t="s">
        <v>24</v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8" t="s">
        <v>25</v>
      </c>
      <c r="B55" s="8" t="s">
        <v>26</v>
      </c>
      <c r="C55" s="9">
        <v>0.22916666666666671</v>
      </c>
      <c r="D55" s="8" t="s">
        <v>97</v>
      </c>
      <c r="E55" s="8" t="s">
        <v>77</v>
      </c>
      <c r="F55" s="8" t="s">
        <v>98</v>
      </c>
      <c r="G55" s="276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7" t="s">
        <v>63</v>
      </c>
      <c r="B56" s="17" t="s">
        <v>68</v>
      </c>
      <c r="C56" s="18">
        <v>0.95138888888888884</v>
      </c>
      <c r="D56" s="17" t="s">
        <v>48</v>
      </c>
      <c r="E56" s="17" t="s">
        <v>38</v>
      </c>
      <c r="F56" s="17" t="s">
        <v>99</v>
      </c>
      <c r="G56" s="277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63</v>
      </c>
      <c r="B57" s="19" t="s">
        <v>67</v>
      </c>
      <c r="C57" s="20">
        <v>0.28819444444444448</v>
      </c>
      <c r="D57" s="19" t="s">
        <v>48</v>
      </c>
      <c r="E57" s="19" t="s">
        <v>51</v>
      </c>
      <c r="F57" s="19" t="s">
        <v>100</v>
      </c>
      <c r="G57" s="277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7" t="s">
        <v>54</v>
      </c>
      <c r="B58" s="17" t="s">
        <v>55</v>
      </c>
      <c r="C58" s="18">
        <v>0.60763888888888895</v>
      </c>
      <c r="D58" s="17" t="s">
        <v>56</v>
      </c>
      <c r="E58" s="17" t="s">
        <v>57</v>
      </c>
      <c r="F58" s="17" t="s">
        <v>101</v>
      </c>
      <c r="G58" s="277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5" t="s">
        <v>54</v>
      </c>
      <c r="B59" s="15" t="s">
        <v>55</v>
      </c>
      <c r="C59" s="16">
        <v>0.60763888888888895</v>
      </c>
      <c r="D59" s="15" t="s">
        <v>58</v>
      </c>
      <c r="E59" s="15" t="s">
        <v>53</v>
      </c>
      <c r="F59" s="15" t="s">
        <v>102</v>
      </c>
      <c r="G59" s="277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54</v>
      </c>
      <c r="B60" s="15" t="s">
        <v>55</v>
      </c>
      <c r="C60" s="16">
        <v>0.60763888888888895</v>
      </c>
      <c r="D60" s="15" t="s">
        <v>60</v>
      </c>
      <c r="E60" s="15" t="s">
        <v>53</v>
      </c>
      <c r="F60" s="15" t="s">
        <v>103</v>
      </c>
      <c r="G60" s="277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7" t="s">
        <v>35</v>
      </c>
      <c r="B61" s="17" t="s">
        <v>36</v>
      </c>
      <c r="C61" s="18">
        <v>0.35069444444444442</v>
      </c>
      <c r="D61" s="17" t="s">
        <v>48</v>
      </c>
      <c r="E61" s="17" t="s">
        <v>104</v>
      </c>
      <c r="F61" s="17" t="s">
        <v>46</v>
      </c>
      <c r="G61" s="277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35</v>
      </c>
      <c r="B62" s="19" t="s">
        <v>47</v>
      </c>
      <c r="C62" s="20">
        <v>0.89583333333333337</v>
      </c>
      <c r="D62" s="19" t="s">
        <v>42</v>
      </c>
      <c r="E62" s="19" t="s">
        <v>45</v>
      </c>
      <c r="F62" s="19" t="s">
        <v>46</v>
      </c>
      <c r="G62" s="277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5" t="s">
        <v>35</v>
      </c>
      <c r="B63" s="15" t="s">
        <v>47</v>
      </c>
      <c r="C63" s="16">
        <v>0.89583333333333337</v>
      </c>
      <c r="D63" s="15" t="s">
        <v>48</v>
      </c>
      <c r="E63" s="15" t="s">
        <v>41</v>
      </c>
      <c r="F63" s="15" t="s">
        <v>46</v>
      </c>
      <c r="G63" s="277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35</v>
      </c>
      <c r="B64" s="19" t="s">
        <v>44</v>
      </c>
      <c r="C64" s="20">
        <v>0.18402777777777779</v>
      </c>
      <c r="D64" s="19" t="s">
        <v>42</v>
      </c>
      <c r="E64" s="19" t="s">
        <v>45</v>
      </c>
      <c r="F64" s="19" t="s">
        <v>46</v>
      </c>
      <c r="G64" s="277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35</v>
      </c>
      <c r="B65" s="15" t="s">
        <v>44</v>
      </c>
      <c r="C65" s="16">
        <v>0.18402777777777779</v>
      </c>
      <c r="D65" s="15" t="s">
        <v>48</v>
      </c>
      <c r="E65" s="15" t="s">
        <v>41</v>
      </c>
      <c r="F65" s="15" t="s">
        <v>46</v>
      </c>
      <c r="G65" s="277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63" t="s">
        <v>35</v>
      </c>
      <c r="B66" s="63" t="s">
        <v>50</v>
      </c>
      <c r="C66" s="64">
        <v>0.22916666666666671</v>
      </c>
      <c r="D66" s="63" t="s">
        <v>48</v>
      </c>
      <c r="E66" s="63" t="s">
        <v>51</v>
      </c>
      <c r="F66" s="63" t="s">
        <v>52</v>
      </c>
      <c r="G66" s="278"/>
      <c r="H66" s="58"/>
      <c r="I66" s="59"/>
      <c r="J66" s="59"/>
      <c r="K66" s="59"/>
      <c r="L66" s="59"/>
      <c r="M66" s="59"/>
      <c r="N66" s="59"/>
      <c r="O66" s="60"/>
      <c r="P66" s="59"/>
      <c r="Q66" s="61"/>
      <c r="R66" s="62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4.4" customHeight="1" x14ac:dyDescent="0.3">
      <c r="A67" s="282"/>
      <c r="B67" s="283"/>
      <c r="C67" s="283"/>
      <c r="D67" s="283"/>
      <c r="E67" s="283"/>
      <c r="F67" s="283"/>
      <c r="G67" s="280"/>
      <c r="H67" s="284"/>
      <c r="I67" s="284"/>
      <c r="J67" s="284"/>
      <c r="K67" s="284"/>
      <c r="L67" s="284"/>
      <c r="M67" s="284"/>
      <c r="N67" s="284"/>
      <c r="O67" s="285"/>
      <c r="P67" s="284"/>
      <c r="Q67" s="280"/>
      <c r="R67" s="281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22.05" customHeight="1" x14ac:dyDescent="0.3">
      <c r="A68" s="290" t="s">
        <v>5</v>
      </c>
      <c r="B68" s="291"/>
      <c r="C68" s="291"/>
      <c r="D68" s="291"/>
      <c r="E68" s="291"/>
      <c r="F68" s="291"/>
      <c r="G68" s="5">
        <v>45988</v>
      </c>
      <c r="H68" s="274" t="s">
        <v>6</v>
      </c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24" customHeight="1" x14ac:dyDescent="0.3">
      <c r="A69" s="31" t="s">
        <v>7</v>
      </c>
      <c r="B69" s="31" t="s">
        <v>8</v>
      </c>
      <c r="C69" s="32" t="s">
        <v>9</v>
      </c>
      <c r="D69" s="31" t="s">
        <v>10</v>
      </c>
      <c r="E69" s="31" t="s">
        <v>11</v>
      </c>
      <c r="F69" s="31" t="s">
        <v>12</v>
      </c>
      <c r="G69" s="33" t="s">
        <v>13</v>
      </c>
      <c r="H69" s="31" t="s">
        <v>14</v>
      </c>
      <c r="I69" s="34" t="s">
        <v>15</v>
      </c>
      <c r="J69" s="35" t="s">
        <v>16</v>
      </c>
      <c r="K69" s="36" t="s">
        <v>17</v>
      </c>
      <c r="L69" s="35" t="s">
        <v>18</v>
      </c>
      <c r="M69" s="35" t="s">
        <v>19</v>
      </c>
      <c r="N69" s="35" t="s">
        <v>20</v>
      </c>
      <c r="O69" s="31" t="s">
        <v>21</v>
      </c>
      <c r="P69" s="32" t="s">
        <v>22</v>
      </c>
      <c r="Q69" s="35" t="s">
        <v>23</v>
      </c>
      <c r="R69" s="31" t="s">
        <v>24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8" t="s">
        <v>54</v>
      </c>
      <c r="B70" s="8" t="s">
        <v>55</v>
      </c>
      <c r="C70" s="9">
        <v>0.60763888888888895</v>
      </c>
      <c r="D70" s="8" t="s">
        <v>56</v>
      </c>
      <c r="E70" s="8" t="s">
        <v>105</v>
      </c>
      <c r="F70" s="8" t="s">
        <v>32</v>
      </c>
      <c r="G70" s="276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5" t="s">
        <v>54</v>
      </c>
      <c r="B71" s="15" t="s">
        <v>55</v>
      </c>
      <c r="C71" s="16">
        <v>0.60763888888888895</v>
      </c>
      <c r="D71" s="15" t="s">
        <v>58</v>
      </c>
      <c r="E71" s="15" t="s">
        <v>106</v>
      </c>
      <c r="F71" s="15" t="s">
        <v>59</v>
      </c>
      <c r="G71" s="277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5" t="s">
        <v>54</v>
      </c>
      <c r="B72" s="15" t="s">
        <v>55</v>
      </c>
      <c r="C72" s="16">
        <v>0.60763888888888895</v>
      </c>
      <c r="D72" s="15" t="s">
        <v>60</v>
      </c>
      <c r="E72" s="15" t="s">
        <v>106</v>
      </c>
      <c r="F72" s="15" t="s">
        <v>61</v>
      </c>
      <c r="G72" s="277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9" t="s">
        <v>54</v>
      </c>
      <c r="B73" s="19" t="s">
        <v>62</v>
      </c>
      <c r="C73" s="20">
        <v>0.43402777777777768</v>
      </c>
      <c r="D73" s="19" t="s">
        <v>56</v>
      </c>
      <c r="E73" s="19" t="s">
        <v>107</v>
      </c>
      <c r="F73" s="19" t="s">
        <v>101</v>
      </c>
      <c r="G73" s="277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54</v>
      </c>
      <c r="B74" s="15" t="s">
        <v>62</v>
      </c>
      <c r="C74" s="16">
        <v>0.43402777777777768</v>
      </c>
      <c r="D74" s="15" t="s">
        <v>58</v>
      </c>
      <c r="E74" s="15" t="s">
        <v>106</v>
      </c>
      <c r="F74" s="15" t="s">
        <v>102</v>
      </c>
      <c r="G74" s="277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5" t="s">
        <v>54</v>
      </c>
      <c r="B75" s="15" t="s">
        <v>62</v>
      </c>
      <c r="C75" s="16">
        <v>0.43402777777777768</v>
      </c>
      <c r="D75" s="15" t="s">
        <v>60</v>
      </c>
      <c r="E75" s="15" t="s">
        <v>106</v>
      </c>
      <c r="F75" s="15" t="s">
        <v>103</v>
      </c>
      <c r="G75" s="277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7" t="s">
        <v>25</v>
      </c>
      <c r="B76" s="17" t="s">
        <v>26</v>
      </c>
      <c r="C76" s="18">
        <v>0.22916666666666671</v>
      </c>
      <c r="D76" s="17" t="s">
        <v>27</v>
      </c>
      <c r="E76" s="17" t="s">
        <v>104</v>
      </c>
      <c r="F76" s="17" t="s">
        <v>108</v>
      </c>
      <c r="G76" s="277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25</v>
      </c>
      <c r="B77" s="15" t="s">
        <v>26</v>
      </c>
      <c r="C77" s="16">
        <v>0.22916666666666671</v>
      </c>
      <c r="D77" s="15" t="s">
        <v>30</v>
      </c>
      <c r="E77" s="15" t="s">
        <v>109</v>
      </c>
      <c r="F77" s="15" t="s">
        <v>110</v>
      </c>
      <c r="G77" s="277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5" t="s">
        <v>25</v>
      </c>
      <c r="B78" s="15" t="s">
        <v>26</v>
      </c>
      <c r="C78" s="16">
        <v>0.22916666666666671</v>
      </c>
      <c r="D78" s="15" t="s">
        <v>33</v>
      </c>
      <c r="E78" s="15" t="s">
        <v>109</v>
      </c>
      <c r="F78" s="15" t="s">
        <v>34</v>
      </c>
      <c r="G78" s="277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7" t="s">
        <v>35</v>
      </c>
      <c r="B79" s="17" t="s">
        <v>47</v>
      </c>
      <c r="C79" s="18">
        <v>0.89583333333333337</v>
      </c>
      <c r="D79" s="17" t="s">
        <v>42</v>
      </c>
      <c r="E79" s="17" t="s">
        <v>82</v>
      </c>
      <c r="F79" s="17" t="s">
        <v>46</v>
      </c>
      <c r="G79" s="277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35</v>
      </c>
      <c r="B80" s="19" t="s">
        <v>50</v>
      </c>
      <c r="C80" s="20">
        <v>0.22916666666666671</v>
      </c>
      <c r="D80" s="19" t="s">
        <v>42</v>
      </c>
      <c r="E80" s="19" t="s">
        <v>51</v>
      </c>
      <c r="F80" s="19" t="s">
        <v>111</v>
      </c>
      <c r="G80" s="277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7" t="s">
        <v>63</v>
      </c>
      <c r="B81" s="17" t="s">
        <v>70</v>
      </c>
      <c r="C81" s="18">
        <v>0.69791666666666663</v>
      </c>
      <c r="D81" s="17" t="s">
        <v>48</v>
      </c>
      <c r="E81" s="17" t="s">
        <v>82</v>
      </c>
      <c r="F81" s="17" t="s">
        <v>90</v>
      </c>
      <c r="G81" s="277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9" t="s">
        <v>63</v>
      </c>
      <c r="B82" s="19" t="s">
        <v>66</v>
      </c>
      <c r="C82" s="20">
        <v>6.5972222222222224E-2</v>
      </c>
      <c r="D82" s="19" t="s">
        <v>48</v>
      </c>
      <c r="E82" s="19" t="s">
        <v>91</v>
      </c>
      <c r="F82" s="19" t="s">
        <v>90</v>
      </c>
      <c r="G82" s="277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9" t="s">
        <v>63</v>
      </c>
      <c r="B83" s="19" t="s">
        <v>67</v>
      </c>
      <c r="C83" s="20">
        <v>0.27430555555555552</v>
      </c>
      <c r="D83" s="19" t="s">
        <v>48</v>
      </c>
      <c r="E83" s="19" t="s">
        <v>89</v>
      </c>
      <c r="F83" s="19" t="s">
        <v>90</v>
      </c>
      <c r="G83" s="277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65" t="s">
        <v>71</v>
      </c>
      <c r="B84" s="65" t="s">
        <v>84</v>
      </c>
      <c r="C84" s="66">
        <v>0.38194444444444442</v>
      </c>
      <c r="D84" s="65" t="s">
        <v>73</v>
      </c>
      <c r="E84" s="67"/>
      <c r="F84" s="65" t="s">
        <v>74</v>
      </c>
      <c r="G84" s="278"/>
      <c r="H84" s="68" t="s">
        <v>84</v>
      </c>
      <c r="I84" s="69">
        <v>1</v>
      </c>
      <c r="J84" s="70">
        <v>180</v>
      </c>
      <c r="K84" s="71">
        <v>45970</v>
      </c>
      <c r="L84" s="70">
        <v>0</v>
      </c>
      <c r="M84" s="70">
        <v>0</v>
      </c>
      <c r="N84" s="70">
        <v>0</v>
      </c>
      <c r="O84" s="72" t="s">
        <v>75</v>
      </c>
      <c r="P84" s="73">
        <v>0.38194444444444442</v>
      </c>
      <c r="Q84" s="70">
        <v>180</v>
      </c>
      <c r="R84" s="74" t="s">
        <v>112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4.4" customHeight="1" x14ac:dyDescent="0.3">
      <c r="A85" s="282"/>
      <c r="B85" s="283"/>
      <c r="C85" s="283"/>
      <c r="D85" s="283"/>
      <c r="E85" s="283"/>
      <c r="F85" s="283"/>
      <c r="G85" s="280"/>
      <c r="H85" s="284"/>
      <c r="I85" s="284"/>
      <c r="J85" s="284"/>
      <c r="K85" s="284"/>
      <c r="L85" s="284"/>
      <c r="M85" s="284"/>
      <c r="N85" s="284"/>
      <c r="O85" s="285"/>
      <c r="P85" s="284"/>
      <c r="Q85" s="280"/>
      <c r="R85" s="28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22.05" customHeight="1" x14ac:dyDescent="0.3">
      <c r="A86" s="290" t="s">
        <v>5</v>
      </c>
      <c r="B86" s="291"/>
      <c r="C86" s="291"/>
      <c r="D86" s="291"/>
      <c r="E86" s="291"/>
      <c r="F86" s="291"/>
      <c r="G86" s="5">
        <v>45989</v>
      </c>
      <c r="H86" s="274" t="s">
        <v>6</v>
      </c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24" customHeight="1" x14ac:dyDescent="0.3">
      <c r="A87" s="31" t="s">
        <v>7</v>
      </c>
      <c r="B87" s="31" t="s">
        <v>8</v>
      </c>
      <c r="C87" s="32" t="s">
        <v>9</v>
      </c>
      <c r="D87" s="31" t="s">
        <v>10</v>
      </c>
      <c r="E87" s="31" t="s">
        <v>11</v>
      </c>
      <c r="F87" s="31" t="s">
        <v>12</v>
      </c>
      <c r="G87" s="33" t="s">
        <v>13</v>
      </c>
      <c r="H87" s="31" t="s">
        <v>14</v>
      </c>
      <c r="I87" s="34" t="s">
        <v>15</v>
      </c>
      <c r="J87" s="35" t="s">
        <v>16</v>
      </c>
      <c r="K87" s="36" t="s">
        <v>17</v>
      </c>
      <c r="L87" s="35" t="s">
        <v>18</v>
      </c>
      <c r="M87" s="35" t="s">
        <v>19</v>
      </c>
      <c r="N87" s="35" t="s">
        <v>20</v>
      </c>
      <c r="O87" s="31" t="s">
        <v>21</v>
      </c>
      <c r="P87" s="32" t="s">
        <v>22</v>
      </c>
      <c r="Q87" s="35" t="s">
        <v>23</v>
      </c>
      <c r="R87" s="31" t="s">
        <v>24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8" t="s">
        <v>25</v>
      </c>
      <c r="B88" s="8" t="s">
        <v>26</v>
      </c>
      <c r="C88" s="9">
        <v>0.22916666666666671</v>
      </c>
      <c r="D88" s="8" t="s">
        <v>27</v>
      </c>
      <c r="E88" s="8" t="s">
        <v>28</v>
      </c>
      <c r="F88" s="8" t="s">
        <v>108</v>
      </c>
      <c r="G88" s="276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5" t="s">
        <v>25</v>
      </c>
      <c r="B89" s="15" t="s">
        <v>26</v>
      </c>
      <c r="C89" s="16">
        <v>0.22916666666666671</v>
      </c>
      <c r="D89" s="15" t="s">
        <v>30</v>
      </c>
      <c r="E89" s="15" t="s">
        <v>31</v>
      </c>
      <c r="F89" s="15" t="s">
        <v>110</v>
      </c>
      <c r="G89" s="277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5" t="s">
        <v>25</v>
      </c>
      <c r="B90" s="15" t="s">
        <v>26</v>
      </c>
      <c r="C90" s="16">
        <v>0.22916666666666671</v>
      </c>
      <c r="D90" s="15" t="s">
        <v>33</v>
      </c>
      <c r="E90" s="15" t="s">
        <v>31</v>
      </c>
      <c r="F90" s="15" t="s">
        <v>34</v>
      </c>
      <c r="G90" s="277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7" t="s">
        <v>54</v>
      </c>
      <c r="B91" s="17" t="s">
        <v>55</v>
      </c>
      <c r="C91" s="18">
        <v>0.60763888888888895</v>
      </c>
      <c r="D91" s="17" t="s">
        <v>56</v>
      </c>
      <c r="E91" s="17" t="s">
        <v>105</v>
      </c>
      <c r="F91" s="17" t="s">
        <v>113</v>
      </c>
      <c r="G91" s="277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5" t="s">
        <v>54</v>
      </c>
      <c r="B92" s="15" t="s">
        <v>55</v>
      </c>
      <c r="C92" s="16">
        <v>0.60763888888888895</v>
      </c>
      <c r="D92" s="15" t="s">
        <v>58</v>
      </c>
      <c r="E92" s="15" t="s">
        <v>106</v>
      </c>
      <c r="F92" s="15" t="s">
        <v>114</v>
      </c>
      <c r="G92" s="277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54</v>
      </c>
      <c r="B93" s="15" t="s">
        <v>55</v>
      </c>
      <c r="C93" s="16">
        <v>0.60763888888888895</v>
      </c>
      <c r="D93" s="15" t="s">
        <v>60</v>
      </c>
      <c r="E93" s="15" t="s">
        <v>106</v>
      </c>
      <c r="F93" s="15" t="s">
        <v>115</v>
      </c>
      <c r="G93" s="277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7" t="s">
        <v>63</v>
      </c>
      <c r="B94" s="17" t="s">
        <v>68</v>
      </c>
      <c r="C94" s="18">
        <v>0.94097222222222221</v>
      </c>
      <c r="D94" s="17" t="s">
        <v>48</v>
      </c>
      <c r="E94" s="17" t="s">
        <v>38</v>
      </c>
      <c r="F94" s="17" t="s">
        <v>99</v>
      </c>
      <c r="G94" s="277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9" t="s">
        <v>63</v>
      </c>
      <c r="B95" s="19" t="s">
        <v>70</v>
      </c>
      <c r="C95" s="20">
        <v>0.69791666666666663</v>
      </c>
      <c r="D95" s="19" t="s">
        <v>48</v>
      </c>
      <c r="E95" s="19" t="s">
        <v>45</v>
      </c>
      <c r="F95" s="19" t="s">
        <v>69</v>
      </c>
      <c r="G95" s="277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9" t="s">
        <v>63</v>
      </c>
      <c r="B96" s="19" t="s">
        <v>66</v>
      </c>
      <c r="C96" s="20">
        <v>6.5972222222222224E-2</v>
      </c>
      <c r="D96" s="19" t="s">
        <v>48</v>
      </c>
      <c r="E96" s="19" t="s">
        <v>45</v>
      </c>
      <c r="F96" s="19" t="s">
        <v>100</v>
      </c>
      <c r="G96" s="277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7" t="s">
        <v>35</v>
      </c>
      <c r="B97" s="17" t="s">
        <v>36</v>
      </c>
      <c r="C97" s="18">
        <v>0.35069444444444442</v>
      </c>
      <c r="D97" s="17" t="s">
        <v>42</v>
      </c>
      <c r="E97" s="17" t="s">
        <v>38</v>
      </c>
      <c r="F97" s="17" t="s">
        <v>116</v>
      </c>
      <c r="G97" s="277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9" t="s">
        <v>35</v>
      </c>
      <c r="B98" s="19" t="s">
        <v>47</v>
      </c>
      <c r="C98" s="20">
        <v>0.89583333333333337</v>
      </c>
      <c r="D98" s="19" t="s">
        <v>42</v>
      </c>
      <c r="E98" s="19" t="s">
        <v>45</v>
      </c>
      <c r="F98" s="19" t="s">
        <v>116</v>
      </c>
      <c r="G98" s="277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9" t="s">
        <v>35</v>
      </c>
      <c r="B99" s="19" t="s">
        <v>44</v>
      </c>
      <c r="C99" s="20">
        <v>0.18402777777777779</v>
      </c>
      <c r="D99" s="19" t="s">
        <v>42</v>
      </c>
      <c r="E99" s="19" t="s">
        <v>45</v>
      </c>
      <c r="F99" s="19" t="s">
        <v>116</v>
      </c>
      <c r="G99" s="277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63" t="s">
        <v>35</v>
      </c>
      <c r="B100" s="63" t="s">
        <v>50</v>
      </c>
      <c r="C100" s="64">
        <v>0.22916666666666671</v>
      </c>
      <c r="D100" s="63" t="s">
        <v>42</v>
      </c>
      <c r="E100" s="63" t="s">
        <v>51</v>
      </c>
      <c r="F100" s="63" t="s">
        <v>111</v>
      </c>
      <c r="G100" s="278"/>
      <c r="H100" s="58"/>
      <c r="I100" s="59"/>
      <c r="J100" s="59"/>
      <c r="K100" s="59"/>
      <c r="L100" s="59"/>
      <c r="M100" s="59"/>
      <c r="N100" s="59"/>
      <c r="O100" s="60"/>
      <c r="P100" s="59"/>
      <c r="Q100" s="61"/>
      <c r="R100" s="62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4.4" customHeight="1" x14ac:dyDescent="0.3">
      <c r="A101" s="279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22.05" customHeight="1" x14ac:dyDescent="0.3">
      <c r="A102" s="290" t="s">
        <v>5</v>
      </c>
      <c r="B102" s="291"/>
      <c r="C102" s="291"/>
      <c r="D102" s="291"/>
      <c r="E102" s="291"/>
      <c r="F102" s="291"/>
      <c r="G102" s="5">
        <v>45990</v>
      </c>
      <c r="H102" s="274" t="s">
        <v>6</v>
      </c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24" customHeight="1" x14ac:dyDescent="0.3">
      <c r="A103" s="31" t="s">
        <v>7</v>
      </c>
      <c r="B103" s="31" t="s">
        <v>8</v>
      </c>
      <c r="C103" s="32" t="s">
        <v>9</v>
      </c>
      <c r="D103" s="31" t="s">
        <v>10</v>
      </c>
      <c r="E103" s="31" t="s">
        <v>11</v>
      </c>
      <c r="F103" s="31" t="s">
        <v>12</v>
      </c>
      <c r="G103" s="33" t="s">
        <v>13</v>
      </c>
      <c r="H103" s="31" t="s">
        <v>14</v>
      </c>
      <c r="I103" s="34" t="s">
        <v>15</v>
      </c>
      <c r="J103" s="35" t="s">
        <v>16</v>
      </c>
      <c r="K103" s="36" t="s">
        <v>17</v>
      </c>
      <c r="L103" s="35" t="s">
        <v>18</v>
      </c>
      <c r="M103" s="35" t="s">
        <v>19</v>
      </c>
      <c r="N103" s="35" t="s">
        <v>20</v>
      </c>
      <c r="O103" s="31" t="s">
        <v>21</v>
      </c>
      <c r="P103" s="32" t="s">
        <v>22</v>
      </c>
      <c r="Q103" s="35" t="s">
        <v>23</v>
      </c>
      <c r="R103" s="31" t="s">
        <v>24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8" t="s">
        <v>25</v>
      </c>
      <c r="B104" s="8" t="s">
        <v>26</v>
      </c>
      <c r="C104" s="9">
        <v>0.22916666666666671</v>
      </c>
      <c r="D104" s="8" t="s">
        <v>27</v>
      </c>
      <c r="E104" s="8" t="s">
        <v>77</v>
      </c>
      <c r="F104" s="8" t="s">
        <v>98</v>
      </c>
      <c r="G104" s="276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5" t="s">
        <v>25</v>
      </c>
      <c r="B105" s="15" t="s">
        <v>26</v>
      </c>
      <c r="C105" s="16">
        <v>0.22916666666666671</v>
      </c>
      <c r="D105" s="15" t="s">
        <v>30</v>
      </c>
      <c r="E105" s="15" t="s">
        <v>78</v>
      </c>
      <c r="F105" s="15" t="s">
        <v>117</v>
      </c>
      <c r="G105" s="277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5" t="s">
        <v>25</v>
      </c>
      <c r="B106" s="15" t="s">
        <v>26</v>
      </c>
      <c r="C106" s="16">
        <v>0.22916666666666671</v>
      </c>
      <c r="D106" s="15" t="s">
        <v>33</v>
      </c>
      <c r="E106" s="15" t="s">
        <v>78</v>
      </c>
      <c r="F106" s="15" t="s">
        <v>34</v>
      </c>
      <c r="G106" s="277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7" t="s">
        <v>54</v>
      </c>
      <c r="B107" s="17" t="s">
        <v>55</v>
      </c>
      <c r="C107" s="18">
        <v>0.60763888888888895</v>
      </c>
      <c r="D107" s="17" t="s">
        <v>56</v>
      </c>
      <c r="E107" s="17" t="s">
        <v>104</v>
      </c>
      <c r="F107" s="17" t="s">
        <v>118</v>
      </c>
      <c r="G107" s="277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5" t="s">
        <v>54</v>
      </c>
      <c r="B108" s="15" t="s">
        <v>55</v>
      </c>
      <c r="C108" s="16">
        <v>0.60763888888888895</v>
      </c>
      <c r="D108" s="15" t="s">
        <v>58</v>
      </c>
      <c r="E108" s="15" t="s">
        <v>109</v>
      </c>
      <c r="F108" s="15" t="s">
        <v>113</v>
      </c>
      <c r="G108" s="277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5" t="s">
        <v>54</v>
      </c>
      <c r="B109" s="15" t="s">
        <v>55</v>
      </c>
      <c r="C109" s="16">
        <v>0.60763888888888895</v>
      </c>
      <c r="D109" s="15" t="s">
        <v>60</v>
      </c>
      <c r="E109" s="15" t="s">
        <v>109</v>
      </c>
      <c r="F109" s="15" t="s">
        <v>119</v>
      </c>
      <c r="G109" s="277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9" t="s">
        <v>54</v>
      </c>
      <c r="B110" s="19" t="s">
        <v>62</v>
      </c>
      <c r="C110" s="20">
        <v>0.43402777777777768</v>
      </c>
      <c r="D110" s="19" t="s">
        <v>56</v>
      </c>
      <c r="E110" s="19" t="s">
        <v>91</v>
      </c>
      <c r="F110" s="19" t="s">
        <v>118</v>
      </c>
      <c r="G110" s="277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5" t="s">
        <v>54</v>
      </c>
      <c r="B111" s="15" t="s">
        <v>62</v>
      </c>
      <c r="C111" s="16">
        <v>0.43402777777777768</v>
      </c>
      <c r="D111" s="15" t="s">
        <v>58</v>
      </c>
      <c r="E111" s="15" t="s">
        <v>92</v>
      </c>
      <c r="F111" s="15" t="s">
        <v>113</v>
      </c>
      <c r="G111" s="277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5" t="s">
        <v>54</v>
      </c>
      <c r="B112" s="15" t="s">
        <v>62</v>
      </c>
      <c r="C112" s="16">
        <v>0.43402777777777768</v>
      </c>
      <c r="D112" s="15" t="s">
        <v>60</v>
      </c>
      <c r="E112" s="15" t="s">
        <v>92</v>
      </c>
      <c r="F112" s="15" t="s">
        <v>119</v>
      </c>
      <c r="G112" s="277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7" t="s">
        <v>63</v>
      </c>
      <c r="B113" s="17" t="s">
        <v>68</v>
      </c>
      <c r="C113" s="18">
        <v>0.94097222222222221</v>
      </c>
      <c r="D113" s="17" t="s">
        <v>48</v>
      </c>
      <c r="E113" s="17" t="s">
        <v>38</v>
      </c>
      <c r="F113" s="17" t="s">
        <v>65</v>
      </c>
      <c r="G113" s="277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9" t="s">
        <v>63</v>
      </c>
      <c r="B114" s="19" t="s">
        <v>66</v>
      </c>
      <c r="C114" s="20">
        <v>6.5972222222222224E-2</v>
      </c>
      <c r="D114" s="19" t="s">
        <v>48</v>
      </c>
      <c r="E114" s="19" t="s">
        <v>45</v>
      </c>
      <c r="F114" s="19" t="s">
        <v>65</v>
      </c>
      <c r="G114" s="277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9" t="s">
        <v>63</v>
      </c>
      <c r="B115" s="19" t="s">
        <v>70</v>
      </c>
      <c r="C115" s="20">
        <v>0.69791666666666663</v>
      </c>
      <c r="D115" s="19" t="s">
        <v>48</v>
      </c>
      <c r="E115" s="19" t="s">
        <v>45</v>
      </c>
      <c r="F115" s="19" t="s">
        <v>69</v>
      </c>
      <c r="G115" s="277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9" t="s">
        <v>63</v>
      </c>
      <c r="B116" s="19" t="s">
        <v>64</v>
      </c>
      <c r="C116" s="20">
        <v>0.33680555555555558</v>
      </c>
      <c r="D116" s="19" t="s">
        <v>48</v>
      </c>
      <c r="E116" s="19" t="s">
        <v>45</v>
      </c>
      <c r="F116" s="19" t="s">
        <v>120</v>
      </c>
      <c r="G116" s="277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9" t="s">
        <v>63</v>
      </c>
      <c r="B117" s="19" t="s">
        <v>67</v>
      </c>
      <c r="C117" s="20">
        <v>0.2986111111111111</v>
      </c>
      <c r="D117" s="19" t="s">
        <v>48</v>
      </c>
      <c r="E117" s="19" t="s">
        <v>121</v>
      </c>
      <c r="F117" s="19" t="s">
        <v>90</v>
      </c>
      <c r="G117" s="277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7" t="s">
        <v>35</v>
      </c>
      <c r="B118" s="17" t="s">
        <v>36</v>
      </c>
      <c r="C118" s="18">
        <v>0.35416666666666669</v>
      </c>
      <c r="D118" s="17" t="s">
        <v>42</v>
      </c>
      <c r="E118" s="17" t="s">
        <v>38</v>
      </c>
      <c r="F118" s="17" t="s">
        <v>116</v>
      </c>
      <c r="G118" s="277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9" t="s">
        <v>35</v>
      </c>
      <c r="B119" s="19" t="s">
        <v>47</v>
      </c>
      <c r="C119" s="20">
        <v>0.89583333333333337</v>
      </c>
      <c r="D119" s="19" t="s">
        <v>42</v>
      </c>
      <c r="E119" s="19" t="s">
        <v>45</v>
      </c>
      <c r="F119" s="19" t="s">
        <v>116</v>
      </c>
      <c r="G119" s="277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9" t="s">
        <v>35</v>
      </c>
      <c r="B120" s="19" t="s">
        <v>44</v>
      </c>
      <c r="C120" s="20">
        <v>0.18402777777777779</v>
      </c>
      <c r="D120" s="19" t="s">
        <v>42</v>
      </c>
      <c r="E120" s="19" t="s">
        <v>45</v>
      </c>
      <c r="F120" s="19" t="s">
        <v>116</v>
      </c>
      <c r="G120" s="277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9" t="s">
        <v>35</v>
      </c>
      <c r="B121" s="19" t="s">
        <v>50</v>
      </c>
      <c r="C121" s="20">
        <v>0.22916666666666671</v>
      </c>
      <c r="D121" s="19" t="s">
        <v>42</v>
      </c>
      <c r="E121" s="19" t="s">
        <v>51</v>
      </c>
      <c r="F121" s="19" t="s">
        <v>111</v>
      </c>
      <c r="G121" s="277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75" t="s">
        <v>71</v>
      </c>
      <c r="B122" s="75" t="s">
        <v>84</v>
      </c>
      <c r="C122" s="76">
        <v>0.2361111111111111</v>
      </c>
      <c r="D122" s="75" t="s">
        <v>73</v>
      </c>
      <c r="E122" s="77"/>
      <c r="F122" s="75" t="s">
        <v>74</v>
      </c>
      <c r="G122" s="278"/>
      <c r="H122" s="78" t="s">
        <v>84</v>
      </c>
      <c r="I122" s="79">
        <v>0.99439999999999995</v>
      </c>
      <c r="J122" s="80">
        <v>179</v>
      </c>
      <c r="K122" s="81">
        <v>45977</v>
      </c>
      <c r="L122" s="80">
        <v>1</v>
      </c>
      <c r="M122" s="80">
        <v>0</v>
      </c>
      <c r="N122" s="80">
        <v>0</v>
      </c>
      <c r="O122" s="82" t="s">
        <v>75</v>
      </c>
      <c r="P122" s="83">
        <v>0.2361111111111111</v>
      </c>
      <c r="Q122" s="80">
        <v>180</v>
      </c>
      <c r="R122" s="84" t="s">
        <v>122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4.4" customHeight="1" x14ac:dyDescent="0.3">
      <c r="A123" s="282"/>
      <c r="B123" s="283"/>
      <c r="C123" s="283"/>
      <c r="D123" s="283"/>
      <c r="E123" s="283"/>
      <c r="F123" s="283"/>
      <c r="G123" s="280"/>
      <c r="H123" s="284"/>
      <c r="I123" s="284"/>
      <c r="J123" s="284"/>
      <c r="K123" s="284"/>
      <c r="L123" s="284"/>
      <c r="M123" s="284"/>
      <c r="N123" s="284"/>
      <c r="O123" s="285"/>
      <c r="P123" s="284"/>
      <c r="Q123" s="280"/>
      <c r="R123" s="28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22.05" customHeight="1" x14ac:dyDescent="0.3">
      <c r="A124" s="290" t="s">
        <v>5</v>
      </c>
      <c r="B124" s="291"/>
      <c r="C124" s="291"/>
      <c r="D124" s="291"/>
      <c r="E124" s="291"/>
      <c r="F124" s="291"/>
      <c r="G124" s="5">
        <v>45991</v>
      </c>
      <c r="H124" s="274" t="s">
        <v>6</v>
      </c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24" customHeight="1" x14ac:dyDescent="0.3">
      <c r="A125" s="31" t="s">
        <v>7</v>
      </c>
      <c r="B125" s="31" t="s">
        <v>8</v>
      </c>
      <c r="C125" s="32" t="s">
        <v>9</v>
      </c>
      <c r="D125" s="31" t="s">
        <v>10</v>
      </c>
      <c r="E125" s="31" t="s">
        <v>11</v>
      </c>
      <c r="F125" s="31" t="s">
        <v>12</v>
      </c>
      <c r="G125" s="33" t="s">
        <v>13</v>
      </c>
      <c r="H125" s="31" t="s">
        <v>14</v>
      </c>
      <c r="I125" s="34" t="s">
        <v>15</v>
      </c>
      <c r="J125" s="35" t="s">
        <v>16</v>
      </c>
      <c r="K125" s="36" t="s">
        <v>17</v>
      </c>
      <c r="L125" s="35" t="s">
        <v>18</v>
      </c>
      <c r="M125" s="35" t="s">
        <v>19</v>
      </c>
      <c r="N125" s="35" t="s">
        <v>20</v>
      </c>
      <c r="O125" s="31" t="s">
        <v>21</v>
      </c>
      <c r="P125" s="32" t="s">
        <v>22</v>
      </c>
      <c r="Q125" s="35" t="s">
        <v>23</v>
      </c>
      <c r="R125" s="31" t="s">
        <v>24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8" t="s">
        <v>25</v>
      </c>
      <c r="B126" s="8" t="s">
        <v>26</v>
      </c>
      <c r="C126" s="9">
        <v>0.22916666666666671</v>
      </c>
      <c r="D126" s="8" t="s">
        <v>27</v>
      </c>
      <c r="E126" s="8" t="s">
        <v>28</v>
      </c>
      <c r="F126" s="8" t="s">
        <v>123</v>
      </c>
      <c r="G126" s="276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5" t="s">
        <v>25</v>
      </c>
      <c r="B127" s="15" t="s">
        <v>26</v>
      </c>
      <c r="C127" s="16">
        <v>0.22916666666666671</v>
      </c>
      <c r="D127" s="15" t="s">
        <v>30</v>
      </c>
      <c r="E127" s="15" t="s">
        <v>31</v>
      </c>
      <c r="F127" s="15" t="s">
        <v>79</v>
      </c>
      <c r="G127" s="277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5" t="s">
        <v>25</v>
      </c>
      <c r="B128" s="15" t="s">
        <v>26</v>
      </c>
      <c r="C128" s="16">
        <v>0.22916666666666671</v>
      </c>
      <c r="D128" s="15" t="s">
        <v>33</v>
      </c>
      <c r="E128" s="15" t="s">
        <v>31</v>
      </c>
      <c r="F128" s="15" t="s">
        <v>34</v>
      </c>
      <c r="G128" s="277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17" t="s">
        <v>54</v>
      </c>
      <c r="B129" s="17" t="s">
        <v>55</v>
      </c>
      <c r="C129" s="18">
        <v>0.60763888888888895</v>
      </c>
      <c r="D129" s="17" t="s">
        <v>56</v>
      </c>
      <c r="E129" s="17" t="s">
        <v>104</v>
      </c>
      <c r="F129" s="17" t="s">
        <v>118</v>
      </c>
      <c r="G129" s="277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5" customHeight="1" x14ac:dyDescent="0.3">
      <c r="A130" s="15" t="s">
        <v>54</v>
      </c>
      <c r="B130" s="15" t="s">
        <v>55</v>
      </c>
      <c r="C130" s="16">
        <v>0.60763888888888895</v>
      </c>
      <c r="D130" s="15" t="s">
        <v>58</v>
      </c>
      <c r="E130" s="15" t="s">
        <v>109</v>
      </c>
      <c r="F130" s="15" t="s">
        <v>113</v>
      </c>
      <c r="G130" s="277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5" t="s">
        <v>54</v>
      </c>
      <c r="B131" s="15" t="s">
        <v>55</v>
      </c>
      <c r="C131" s="16">
        <v>0.60763888888888895</v>
      </c>
      <c r="D131" s="15" t="s">
        <v>60</v>
      </c>
      <c r="E131" s="15" t="s">
        <v>109</v>
      </c>
      <c r="F131" s="15" t="s">
        <v>119</v>
      </c>
      <c r="G131" s="277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7" t="s">
        <v>63</v>
      </c>
      <c r="B132" s="17" t="s">
        <v>68</v>
      </c>
      <c r="C132" s="18">
        <v>0.94097222222222221</v>
      </c>
      <c r="D132" s="17" t="s">
        <v>48</v>
      </c>
      <c r="E132" s="17" t="s">
        <v>38</v>
      </c>
      <c r="F132" s="17" t="s">
        <v>39</v>
      </c>
      <c r="G132" s="277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19" t="s">
        <v>63</v>
      </c>
      <c r="B133" s="19" t="s">
        <v>66</v>
      </c>
      <c r="C133" s="20">
        <v>6.5972222222222224E-2</v>
      </c>
      <c r="D133" s="19" t="s">
        <v>48</v>
      </c>
      <c r="E133" s="19" t="s">
        <v>45</v>
      </c>
      <c r="F133" s="19" t="s">
        <v>39</v>
      </c>
      <c r="G133" s="277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5" customHeight="1" x14ac:dyDescent="0.3">
      <c r="A134" s="85" t="s">
        <v>71</v>
      </c>
      <c r="B134" s="85" t="s">
        <v>80</v>
      </c>
      <c r="C134" s="86">
        <v>0.74305555555555547</v>
      </c>
      <c r="D134" s="85" t="s">
        <v>81</v>
      </c>
      <c r="E134" s="85" t="s">
        <v>104</v>
      </c>
      <c r="F134" s="85" t="s">
        <v>124</v>
      </c>
      <c r="G134" s="277"/>
      <c r="H134" s="87" t="s">
        <v>84</v>
      </c>
      <c r="I134" s="88">
        <v>0.99439999999999995</v>
      </c>
      <c r="J134" s="89">
        <v>179</v>
      </c>
      <c r="K134" s="90">
        <v>45977</v>
      </c>
      <c r="L134" s="89">
        <v>2</v>
      </c>
      <c r="M134" s="89">
        <v>0</v>
      </c>
      <c r="N134" s="89">
        <v>0</v>
      </c>
      <c r="O134" s="91" t="s">
        <v>125</v>
      </c>
      <c r="P134" s="92">
        <v>0.74305555555555547</v>
      </c>
      <c r="Q134" s="89">
        <v>180</v>
      </c>
      <c r="R134" s="93" t="s">
        <v>126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15" customHeight="1" x14ac:dyDescent="0.3">
      <c r="A135" s="17" t="s">
        <v>35</v>
      </c>
      <c r="B135" s="17" t="s">
        <v>36</v>
      </c>
      <c r="C135" s="18">
        <v>0.35069444444444442</v>
      </c>
      <c r="D135" s="17" t="s">
        <v>42</v>
      </c>
      <c r="E135" s="17" t="s">
        <v>104</v>
      </c>
      <c r="F135" s="17" t="s">
        <v>46</v>
      </c>
      <c r="G135" s="277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15" customHeight="1" x14ac:dyDescent="0.3">
      <c r="A136" s="19" t="s">
        <v>35</v>
      </c>
      <c r="B136" s="19" t="s">
        <v>44</v>
      </c>
      <c r="C136" s="20">
        <v>0.18402777777777779</v>
      </c>
      <c r="D136" s="19" t="s">
        <v>42</v>
      </c>
      <c r="E136" s="19" t="s">
        <v>45</v>
      </c>
      <c r="F136" s="19" t="s">
        <v>46</v>
      </c>
      <c r="G136" s="277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19" t="s">
        <v>35</v>
      </c>
      <c r="B137" s="19" t="s">
        <v>50</v>
      </c>
      <c r="C137" s="20">
        <v>0.22916666666666671</v>
      </c>
      <c r="D137" s="19" t="s">
        <v>42</v>
      </c>
      <c r="E137" s="19" t="s">
        <v>51</v>
      </c>
      <c r="F137" s="19" t="s">
        <v>127</v>
      </c>
      <c r="G137" s="277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63" t="s">
        <v>35</v>
      </c>
      <c r="B138" s="63" t="s">
        <v>47</v>
      </c>
      <c r="C138" s="64">
        <v>0.89583333333333337</v>
      </c>
      <c r="D138" s="63" t="s">
        <v>42</v>
      </c>
      <c r="E138" s="63" t="s">
        <v>89</v>
      </c>
      <c r="F138" s="63" t="s">
        <v>49</v>
      </c>
      <c r="G138" s="278"/>
      <c r="H138" s="58"/>
      <c r="I138" s="59"/>
      <c r="J138" s="59"/>
      <c r="K138" s="59"/>
      <c r="L138" s="59"/>
      <c r="M138" s="59"/>
      <c r="N138" s="59"/>
      <c r="O138" s="60"/>
      <c r="P138" s="59"/>
      <c r="Q138" s="61"/>
      <c r="R138" s="62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4.4" customHeight="1" x14ac:dyDescent="0.3">
      <c r="A139" s="279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1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</sheetData>
  <mergeCells count="37">
    <mergeCell ref="G126:G138"/>
    <mergeCell ref="G70:G84"/>
    <mergeCell ref="H4:R4"/>
    <mergeCell ref="J1:M1"/>
    <mergeCell ref="A123:R123"/>
    <mergeCell ref="G104:G122"/>
    <mergeCell ref="A124:F124"/>
    <mergeCell ref="H102:R102"/>
    <mergeCell ref="A2:F2"/>
    <mergeCell ref="A3:R3"/>
    <mergeCell ref="A101:R101"/>
    <mergeCell ref="H30:R30"/>
    <mergeCell ref="H53:R53"/>
    <mergeCell ref="A139:R139"/>
    <mergeCell ref="H68:R68"/>
    <mergeCell ref="A85:R85"/>
    <mergeCell ref="G2:J2"/>
    <mergeCell ref="A4:F4"/>
    <mergeCell ref="A53:F53"/>
    <mergeCell ref="G32:G51"/>
    <mergeCell ref="A29:R29"/>
    <mergeCell ref="A68:F68"/>
    <mergeCell ref="G88:G100"/>
    <mergeCell ref="A52:R52"/>
    <mergeCell ref="A102:F102"/>
    <mergeCell ref="K2:R2"/>
    <mergeCell ref="A67:R67"/>
    <mergeCell ref="A30:F30"/>
    <mergeCell ref="H124:R124"/>
    <mergeCell ref="D1:F1"/>
    <mergeCell ref="A1:C1"/>
    <mergeCell ref="G1:H1"/>
    <mergeCell ref="H86:R86"/>
    <mergeCell ref="G6:G28"/>
    <mergeCell ref="G55:G66"/>
    <mergeCell ref="A86:F86"/>
    <mergeCell ref="O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72</v>
      </c>
      <c r="D2" s="98">
        <v>0.86805555555555547</v>
      </c>
      <c r="E2" s="97" t="s">
        <v>1</v>
      </c>
      <c r="F2" s="97" t="s">
        <v>158</v>
      </c>
      <c r="G2" s="99">
        <v>0.99439999999999995</v>
      </c>
      <c r="H2" s="100">
        <v>180</v>
      </c>
      <c r="I2" s="100">
        <v>179</v>
      </c>
      <c r="J2" s="100">
        <v>161</v>
      </c>
      <c r="K2" s="96">
        <v>45983</v>
      </c>
      <c r="L2" s="100">
        <v>0</v>
      </c>
      <c r="M2" s="100">
        <v>4</v>
      </c>
      <c r="N2" s="100">
        <v>6</v>
      </c>
      <c r="O2" s="97" t="s">
        <v>75</v>
      </c>
      <c r="P2" s="101"/>
      <c r="Q2" s="101"/>
      <c r="R2" s="101"/>
      <c r="S2" s="101"/>
      <c r="T2" s="101"/>
      <c r="U2" s="101"/>
      <c r="V2" s="100" t="s">
        <v>159</v>
      </c>
      <c r="W2" s="101"/>
      <c r="X2" s="100" t="s">
        <v>160</v>
      </c>
      <c r="Y2" s="101"/>
      <c r="Z2" s="101"/>
      <c r="AA2" s="101"/>
      <c r="AB2" s="101"/>
      <c r="AC2" s="101"/>
      <c r="AD2" s="101"/>
      <c r="AE2" s="100" t="s">
        <v>161</v>
      </c>
      <c r="AF2" s="101"/>
      <c r="AG2" s="101"/>
      <c r="AH2" s="100" t="s">
        <v>162</v>
      </c>
      <c r="AI2" s="100" t="s">
        <v>163</v>
      </c>
    </row>
    <row r="3" spans="1:35" ht="18" x14ac:dyDescent="0.3">
      <c r="A3" s="102" t="s">
        <v>164</v>
      </c>
      <c r="B3" s="103">
        <v>45986</v>
      </c>
      <c r="C3" s="104" t="s">
        <v>87</v>
      </c>
      <c r="D3" s="105">
        <v>0.11805555555555559</v>
      </c>
      <c r="E3" s="104" t="s">
        <v>1</v>
      </c>
      <c r="F3" s="104" t="s">
        <v>158</v>
      </c>
      <c r="G3" s="106">
        <v>0.99439999999999995</v>
      </c>
      <c r="H3" s="107">
        <v>180</v>
      </c>
      <c r="I3" s="107">
        <v>179</v>
      </c>
      <c r="J3" s="107">
        <v>125</v>
      </c>
      <c r="K3" s="103">
        <v>45984</v>
      </c>
      <c r="L3" s="107">
        <v>4</v>
      </c>
      <c r="M3" s="107">
        <v>1</v>
      </c>
      <c r="N3" s="107">
        <v>5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7" t="s">
        <v>165</v>
      </c>
      <c r="AA3" s="107" t="s">
        <v>166</v>
      </c>
      <c r="AB3" s="107" t="s">
        <v>167</v>
      </c>
      <c r="AC3" s="107" t="s">
        <v>168</v>
      </c>
      <c r="AD3" s="107" t="s">
        <v>169</v>
      </c>
      <c r="AE3" s="107" t="s">
        <v>170</v>
      </c>
      <c r="AF3" s="108"/>
      <c r="AG3" s="108"/>
      <c r="AH3" s="107" t="s">
        <v>171</v>
      </c>
      <c r="AI3" s="108"/>
    </row>
    <row r="4" spans="1:35" ht="18" x14ac:dyDescent="0.3">
      <c r="A4" s="95" t="s">
        <v>164</v>
      </c>
      <c r="B4" s="96">
        <v>45986</v>
      </c>
      <c r="C4" s="97" t="s">
        <v>84</v>
      </c>
      <c r="D4" s="98">
        <v>0.81944444444444453</v>
      </c>
      <c r="E4" s="97" t="s">
        <v>1</v>
      </c>
      <c r="F4" s="97" t="s">
        <v>158</v>
      </c>
      <c r="G4" s="99">
        <v>0.9889</v>
      </c>
      <c r="H4" s="100">
        <v>180</v>
      </c>
      <c r="I4" s="100">
        <v>178</v>
      </c>
      <c r="J4" s="100">
        <v>152</v>
      </c>
      <c r="K4" s="96">
        <v>45982</v>
      </c>
      <c r="L4" s="100">
        <v>0</v>
      </c>
      <c r="M4" s="100">
        <v>0</v>
      </c>
      <c r="N4" s="100">
        <v>4</v>
      </c>
      <c r="O4" s="97" t="s">
        <v>85</v>
      </c>
      <c r="P4" s="101"/>
      <c r="Q4" s="101"/>
      <c r="R4" s="101"/>
      <c r="S4" s="101"/>
      <c r="T4" s="101"/>
      <c r="U4" s="101"/>
      <c r="V4" s="101"/>
      <c r="W4" s="101"/>
      <c r="X4" s="100" t="s">
        <v>160</v>
      </c>
      <c r="Y4" s="101"/>
      <c r="Z4" s="101"/>
      <c r="AA4" s="101"/>
      <c r="AB4" s="101"/>
      <c r="AC4" s="100" t="s">
        <v>172</v>
      </c>
      <c r="AD4" s="100" t="s">
        <v>173</v>
      </c>
      <c r="AE4" s="100" t="s">
        <v>174</v>
      </c>
      <c r="AF4" s="100" t="s">
        <v>175</v>
      </c>
      <c r="AG4" s="101"/>
      <c r="AH4" s="100" t="s">
        <v>176</v>
      </c>
      <c r="AI4" s="100" t="s">
        <v>163</v>
      </c>
    </row>
    <row r="5" spans="1:35" ht="18" x14ac:dyDescent="0.3">
      <c r="A5" s="102" t="s">
        <v>177</v>
      </c>
      <c r="B5" s="103">
        <v>45988</v>
      </c>
      <c r="C5" s="104" t="s">
        <v>84</v>
      </c>
      <c r="D5" s="105">
        <v>0.38194444444444442</v>
      </c>
      <c r="E5" s="104" t="s">
        <v>1</v>
      </c>
      <c r="F5" s="104" t="s">
        <v>158</v>
      </c>
      <c r="G5" s="106">
        <v>1</v>
      </c>
      <c r="H5" s="107">
        <v>180</v>
      </c>
      <c r="I5" s="107">
        <v>180</v>
      </c>
      <c r="J5" s="107">
        <v>168</v>
      </c>
      <c r="K5" s="103">
        <v>45970</v>
      </c>
      <c r="L5" s="107">
        <v>0</v>
      </c>
      <c r="M5" s="107">
        <v>0</v>
      </c>
      <c r="N5" s="107">
        <v>0</v>
      </c>
      <c r="O5" s="104" t="s">
        <v>75</v>
      </c>
      <c r="P5" s="108"/>
      <c r="Q5" s="108"/>
      <c r="R5" s="108"/>
      <c r="S5" s="108"/>
      <c r="T5" s="108"/>
      <c r="U5" s="108"/>
      <c r="V5" s="108"/>
      <c r="W5" s="107" t="s">
        <v>125</v>
      </c>
      <c r="X5" s="108"/>
      <c r="Y5" s="108"/>
      <c r="Z5" s="108"/>
      <c r="AA5" s="108"/>
      <c r="AB5" s="108"/>
      <c r="AC5" s="108"/>
      <c r="AD5" s="107" t="s">
        <v>178</v>
      </c>
      <c r="AE5" s="107" t="s">
        <v>174</v>
      </c>
      <c r="AF5" s="108"/>
      <c r="AG5" s="108"/>
      <c r="AH5" s="107" t="s">
        <v>179</v>
      </c>
      <c r="AI5" s="108"/>
    </row>
    <row r="6" spans="1:35" ht="18" x14ac:dyDescent="0.3">
      <c r="A6" s="95" t="s">
        <v>180</v>
      </c>
      <c r="B6" s="96">
        <v>45990</v>
      </c>
      <c r="C6" s="97" t="s">
        <v>84</v>
      </c>
      <c r="D6" s="98">
        <v>0.2361111111111111</v>
      </c>
      <c r="E6" s="97" t="s">
        <v>1</v>
      </c>
      <c r="F6" s="97" t="s">
        <v>158</v>
      </c>
      <c r="G6" s="99">
        <v>0.99439999999999995</v>
      </c>
      <c r="H6" s="100">
        <v>180</v>
      </c>
      <c r="I6" s="100">
        <v>179</v>
      </c>
      <c r="J6" s="100">
        <v>138</v>
      </c>
      <c r="K6" s="96">
        <v>45977</v>
      </c>
      <c r="L6" s="100">
        <v>0</v>
      </c>
      <c r="M6" s="100">
        <v>0</v>
      </c>
      <c r="N6" s="100">
        <v>1</v>
      </c>
      <c r="O6" s="97" t="s">
        <v>75</v>
      </c>
      <c r="P6" s="101"/>
      <c r="Q6" s="101"/>
      <c r="R6" s="101"/>
      <c r="S6" s="101"/>
      <c r="T6" s="101"/>
      <c r="U6" s="101"/>
      <c r="V6" s="101"/>
      <c r="W6" s="101"/>
      <c r="X6" s="100" t="s">
        <v>85</v>
      </c>
      <c r="Y6" s="101"/>
      <c r="Z6" s="101"/>
      <c r="AA6" s="101"/>
      <c r="AB6" s="100" t="s">
        <v>181</v>
      </c>
      <c r="AC6" s="100" t="s">
        <v>182</v>
      </c>
      <c r="AD6" s="100" t="s">
        <v>183</v>
      </c>
      <c r="AE6" s="100" t="s">
        <v>170</v>
      </c>
      <c r="AF6" s="101"/>
      <c r="AG6" s="101"/>
      <c r="AH6" s="100" t="s">
        <v>184</v>
      </c>
      <c r="AI6" s="100" t="s">
        <v>185</v>
      </c>
    </row>
    <row r="7" spans="1:35" ht="18" x14ac:dyDescent="0.3">
      <c r="A7" s="102" t="s">
        <v>186</v>
      </c>
      <c r="B7" s="103">
        <v>45991</v>
      </c>
      <c r="C7" s="104" t="s">
        <v>84</v>
      </c>
      <c r="D7" s="105">
        <v>0.74305555555555547</v>
      </c>
      <c r="E7" s="104" t="s">
        <v>1</v>
      </c>
      <c r="F7" s="104" t="s">
        <v>158</v>
      </c>
      <c r="G7" s="106">
        <v>0.99439999999999995</v>
      </c>
      <c r="H7" s="107">
        <v>180</v>
      </c>
      <c r="I7" s="107">
        <v>179</v>
      </c>
      <c r="J7" s="107">
        <v>135</v>
      </c>
      <c r="K7" s="103">
        <v>45977</v>
      </c>
      <c r="L7" s="107">
        <v>0</v>
      </c>
      <c r="M7" s="107">
        <v>0</v>
      </c>
      <c r="N7" s="107">
        <v>2</v>
      </c>
      <c r="O7" s="104" t="s">
        <v>125</v>
      </c>
      <c r="P7" s="108"/>
      <c r="Q7" s="108"/>
      <c r="R7" s="108"/>
      <c r="S7" s="108"/>
      <c r="T7" s="108"/>
      <c r="U7" s="108"/>
      <c r="V7" s="108"/>
      <c r="W7" s="107" t="s">
        <v>187</v>
      </c>
      <c r="X7" s="108"/>
      <c r="Y7" s="108"/>
      <c r="Z7" s="108"/>
      <c r="AA7" s="108"/>
      <c r="AB7" s="107" t="s">
        <v>188</v>
      </c>
      <c r="AC7" s="107" t="s">
        <v>182</v>
      </c>
      <c r="AD7" s="107" t="s">
        <v>183</v>
      </c>
      <c r="AE7" s="107" t="s">
        <v>170</v>
      </c>
      <c r="AF7" s="108"/>
      <c r="AG7" s="108"/>
      <c r="AH7" s="107" t="s">
        <v>184</v>
      </c>
      <c r="AI7" s="108"/>
    </row>
    <row r="8" spans="1:35" ht="18" x14ac:dyDescent="0.3">
      <c r="A8" s="109" t="s">
        <v>189</v>
      </c>
      <c r="B8" s="110"/>
      <c r="C8" s="111">
        <f>COUNTA(C2:C7)</f>
        <v>6</v>
      </c>
      <c r="D8" s="110"/>
      <c r="E8" s="110"/>
      <c r="F8" s="110"/>
      <c r="G8" s="112">
        <f>AVERAGE(G2:G7)</f>
        <v>0.99441666666666662</v>
      </c>
      <c r="H8" s="113">
        <f>SUM(H2:H7)</f>
        <v>1080</v>
      </c>
      <c r="I8" s="113">
        <f>SUM(I2:I7)</f>
        <v>1074</v>
      </c>
      <c r="J8" s="113">
        <f>SUM(J2:J7)</f>
        <v>879</v>
      </c>
      <c r="K8" s="110"/>
      <c r="L8" s="113">
        <f>SUM(L2:L7)</f>
        <v>4</v>
      </c>
      <c r="M8" s="113">
        <f>SUM(M2:M7)</f>
        <v>5</v>
      </c>
      <c r="N8" s="113">
        <f>SUM(N2:N7)</f>
        <v>18</v>
      </c>
      <c r="O8" s="110"/>
      <c r="P8" s="113">
        <f t="shared" ref="P8:AI8" si="0">SUMPRODUCT(--IFERROR(VALUE(SUBSTITUTE(SUBSTITUTE(SUBSTITUTE(SUBSTITUTE(SUBSTITUTE(SUBSTITUTE(SUBSTITUTE(SUBSTITUTE(SUBSTITUTE(SUBSTITUTE(SUBSTITUTE(SUBSTITUTE(SUBSTITUTE(SUBSTITUTE(SUBSTITUTE(SUBSTITUTE(SUBSTITUTE(SUBSTITUTE(SUBSTITUTE(SUBSTITUTE(P2:P7,"Y",""),"B",""),"M",""),"H",""),"Q",""),"K",""),"V",""),"L",""),"G",""),"S",""),"W",""),"T",""),"X",""),"U",""),"O",""),"I",""),"E",""),"A",""),"P",""),"N","")),0))</f>
        <v>0</v>
      </c>
      <c r="Q8" s="113">
        <f t="shared" si="0"/>
        <v>0</v>
      </c>
      <c r="R8" s="113">
        <f t="shared" si="0"/>
        <v>0</v>
      </c>
      <c r="S8" s="113">
        <f t="shared" si="0"/>
        <v>0</v>
      </c>
      <c r="T8" s="113">
        <f t="shared" si="0"/>
        <v>0</v>
      </c>
      <c r="U8" s="113">
        <f t="shared" si="0"/>
        <v>0</v>
      </c>
      <c r="V8" s="113">
        <f t="shared" si="0"/>
        <v>0</v>
      </c>
      <c r="W8" s="113">
        <f t="shared" si="0"/>
        <v>0</v>
      </c>
      <c r="X8" s="113">
        <f t="shared" si="0"/>
        <v>0</v>
      </c>
      <c r="Y8" s="113">
        <f t="shared" si="0"/>
        <v>0</v>
      </c>
      <c r="Z8" s="113">
        <f t="shared" si="0"/>
        <v>0</v>
      </c>
      <c r="AA8" s="113">
        <f t="shared" si="0"/>
        <v>0</v>
      </c>
      <c r="AB8" s="113">
        <f t="shared" si="0"/>
        <v>0</v>
      </c>
      <c r="AC8" s="113">
        <f t="shared" si="0"/>
        <v>0</v>
      </c>
      <c r="AD8" s="113">
        <f t="shared" si="0"/>
        <v>0</v>
      </c>
      <c r="AE8" s="113">
        <f t="shared" si="0"/>
        <v>0</v>
      </c>
      <c r="AF8" s="113">
        <f t="shared" si="0"/>
        <v>0</v>
      </c>
      <c r="AG8" s="113">
        <f t="shared" si="0"/>
        <v>0</v>
      </c>
      <c r="AH8" s="113">
        <f t="shared" si="0"/>
        <v>0</v>
      </c>
      <c r="AI8" s="113">
        <f t="shared" si="0"/>
        <v>0</v>
      </c>
    </row>
  </sheetData>
  <autoFilter ref="A1:AI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25</v>
      </c>
      <c r="C2" s="117" t="s">
        <v>26</v>
      </c>
      <c r="D2" s="116" t="s">
        <v>1</v>
      </c>
      <c r="E2" s="118">
        <v>1.229166666666667</v>
      </c>
      <c r="F2" s="116" t="s">
        <v>27</v>
      </c>
      <c r="G2" s="119">
        <v>5</v>
      </c>
      <c r="H2" s="120" t="s">
        <v>29</v>
      </c>
    </row>
    <row r="3" spans="1:8" ht="18" x14ac:dyDescent="0.3">
      <c r="A3" s="121">
        <v>45985</v>
      </c>
      <c r="B3" s="122" t="s">
        <v>25</v>
      </c>
      <c r="C3" s="123" t="s">
        <v>26</v>
      </c>
      <c r="D3" s="122" t="s">
        <v>1</v>
      </c>
      <c r="E3" s="124">
        <v>1.229166666666667</v>
      </c>
      <c r="F3" s="122" t="s">
        <v>30</v>
      </c>
      <c r="G3" s="125">
        <v>5</v>
      </c>
      <c r="H3" s="122" t="s">
        <v>32</v>
      </c>
    </row>
    <row r="4" spans="1:8" ht="18" x14ac:dyDescent="0.3">
      <c r="A4" s="121">
        <v>45985</v>
      </c>
      <c r="B4" s="122" t="s">
        <v>25</v>
      </c>
      <c r="C4" s="123" t="s">
        <v>26</v>
      </c>
      <c r="D4" s="122" t="s">
        <v>1</v>
      </c>
      <c r="E4" s="124">
        <v>1.229166666666667</v>
      </c>
      <c r="F4" s="122" t="s">
        <v>33</v>
      </c>
      <c r="G4" s="125">
        <v>5</v>
      </c>
      <c r="H4" s="122" t="s">
        <v>34</v>
      </c>
    </row>
    <row r="5" spans="1:8" ht="18" x14ac:dyDescent="0.3">
      <c r="A5" s="126">
        <v>45985</v>
      </c>
      <c r="B5" s="116" t="s">
        <v>35</v>
      </c>
      <c r="C5" s="117" t="s">
        <v>36</v>
      </c>
      <c r="D5" s="116" t="s">
        <v>1</v>
      </c>
      <c r="E5" s="118">
        <v>1.350694444444444</v>
      </c>
      <c r="F5" s="116" t="s">
        <v>37</v>
      </c>
      <c r="G5" s="119">
        <v>9</v>
      </c>
      <c r="H5" s="116" t="s">
        <v>39</v>
      </c>
    </row>
    <row r="6" spans="1:8" ht="18" x14ac:dyDescent="0.3">
      <c r="A6" s="121">
        <v>45985</v>
      </c>
      <c r="B6" s="122" t="s">
        <v>35</v>
      </c>
      <c r="C6" s="123" t="s">
        <v>36</v>
      </c>
      <c r="D6" s="122" t="s">
        <v>1</v>
      </c>
      <c r="E6" s="124">
        <v>1.350694444444444</v>
      </c>
      <c r="F6" s="122" t="s">
        <v>40</v>
      </c>
      <c r="G6" s="125">
        <v>9</v>
      </c>
      <c r="H6" s="122" t="s">
        <v>39</v>
      </c>
    </row>
    <row r="7" spans="1:8" ht="18" x14ac:dyDescent="0.3">
      <c r="A7" s="121">
        <v>45985</v>
      </c>
      <c r="B7" s="122" t="s">
        <v>35</v>
      </c>
      <c r="C7" s="123" t="s">
        <v>36</v>
      </c>
      <c r="D7" s="122" t="s">
        <v>1</v>
      </c>
      <c r="E7" s="124">
        <v>1.350694444444444</v>
      </c>
      <c r="F7" s="122" t="s">
        <v>42</v>
      </c>
      <c r="G7" s="125">
        <v>9</v>
      </c>
      <c r="H7" s="122" t="s">
        <v>43</v>
      </c>
    </row>
    <row r="8" spans="1:8" ht="18" x14ac:dyDescent="0.3">
      <c r="A8" s="127">
        <v>45985</v>
      </c>
      <c r="B8" s="128" t="s">
        <v>35</v>
      </c>
      <c r="C8" s="129" t="s">
        <v>44</v>
      </c>
      <c r="D8" s="128" t="s">
        <v>1</v>
      </c>
      <c r="E8" s="130">
        <v>1.1840277777777779</v>
      </c>
      <c r="F8" s="128" t="s">
        <v>42</v>
      </c>
      <c r="G8" s="131">
        <v>9</v>
      </c>
      <c r="H8" s="128" t="s">
        <v>46</v>
      </c>
    </row>
    <row r="9" spans="1:8" ht="18" x14ac:dyDescent="0.3">
      <c r="A9" s="127">
        <v>45985</v>
      </c>
      <c r="B9" s="128" t="s">
        <v>35</v>
      </c>
      <c r="C9" s="129" t="s">
        <v>47</v>
      </c>
      <c r="D9" s="128" t="s">
        <v>1</v>
      </c>
      <c r="E9" s="130">
        <v>1.895833333333333</v>
      </c>
      <c r="F9" s="128" t="s">
        <v>48</v>
      </c>
      <c r="G9" s="131">
        <v>9</v>
      </c>
      <c r="H9" s="128" t="s">
        <v>49</v>
      </c>
    </row>
    <row r="10" spans="1:8" ht="18" x14ac:dyDescent="0.3">
      <c r="A10" s="121">
        <v>45985</v>
      </c>
      <c r="B10" s="122" t="s">
        <v>35</v>
      </c>
      <c r="C10" s="123" t="s">
        <v>47</v>
      </c>
      <c r="D10" s="122" t="s">
        <v>1</v>
      </c>
      <c r="E10" s="124">
        <v>1.895833333333333</v>
      </c>
      <c r="F10" s="122" t="s">
        <v>42</v>
      </c>
      <c r="G10" s="125">
        <v>9</v>
      </c>
      <c r="H10" s="122" t="s">
        <v>49</v>
      </c>
    </row>
    <row r="11" spans="1:8" ht="18" x14ac:dyDescent="0.3">
      <c r="A11" s="127">
        <v>45985</v>
      </c>
      <c r="B11" s="128" t="s">
        <v>35</v>
      </c>
      <c r="C11" s="129" t="s">
        <v>50</v>
      </c>
      <c r="D11" s="128" t="s">
        <v>1</v>
      </c>
      <c r="E11" s="130">
        <v>1.229166666666667</v>
      </c>
      <c r="F11" s="128" t="s">
        <v>48</v>
      </c>
      <c r="G11" s="131">
        <v>4</v>
      </c>
      <c r="H11" s="128" t="s">
        <v>52</v>
      </c>
    </row>
    <row r="12" spans="1:8" ht="18" x14ac:dyDescent="0.3">
      <c r="A12" s="121">
        <v>45985</v>
      </c>
      <c r="B12" s="122" t="s">
        <v>35</v>
      </c>
      <c r="C12" s="123" t="s">
        <v>50</v>
      </c>
      <c r="D12" s="122" t="s">
        <v>1</v>
      </c>
      <c r="E12" s="124">
        <v>1.229166666666667</v>
      </c>
      <c r="F12" s="122" t="s">
        <v>42</v>
      </c>
      <c r="G12" s="125">
        <v>4</v>
      </c>
      <c r="H12" s="122" t="s">
        <v>52</v>
      </c>
    </row>
    <row r="13" spans="1:8" ht="18" x14ac:dyDescent="0.3">
      <c r="A13" s="126">
        <v>45985</v>
      </c>
      <c r="B13" s="116" t="s">
        <v>54</v>
      </c>
      <c r="C13" s="117" t="s">
        <v>55</v>
      </c>
      <c r="D13" s="116" t="s">
        <v>1</v>
      </c>
      <c r="E13" s="118">
        <v>1.6076388888888891</v>
      </c>
      <c r="F13" s="116" t="s">
        <v>56</v>
      </c>
      <c r="G13" s="119">
        <v>4</v>
      </c>
      <c r="H13" s="116" t="s">
        <v>32</v>
      </c>
    </row>
    <row r="14" spans="1:8" ht="18" x14ac:dyDescent="0.3">
      <c r="A14" s="121">
        <v>45985</v>
      </c>
      <c r="B14" s="122" t="s">
        <v>54</v>
      </c>
      <c r="C14" s="123" t="s">
        <v>55</v>
      </c>
      <c r="D14" s="122" t="s">
        <v>1</v>
      </c>
      <c r="E14" s="124">
        <v>1.6076388888888891</v>
      </c>
      <c r="F14" s="122" t="s">
        <v>58</v>
      </c>
      <c r="G14" s="125">
        <v>4</v>
      </c>
      <c r="H14" s="122" t="s">
        <v>59</v>
      </c>
    </row>
    <row r="15" spans="1:8" ht="18" x14ac:dyDescent="0.3">
      <c r="A15" s="121">
        <v>45985</v>
      </c>
      <c r="B15" s="122" t="s">
        <v>54</v>
      </c>
      <c r="C15" s="123" t="s">
        <v>55</v>
      </c>
      <c r="D15" s="122" t="s">
        <v>1</v>
      </c>
      <c r="E15" s="124">
        <v>1.6076388888888891</v>
      </c>
      <c r="F15" s="122" t="s">
        <v>60</v>
      </c>
      <c r="G15" s="125">
        <v>4</v>
      </c>
      <c r="H15" s="122" t="s">
        <v>61</v>
      </c>
    </row>
    <row r="16" spans="1:8" ht="18" x14ac:dyDescent="0.3">
      <c r="A16" s="127">
        <v>45985</v>
      </c>
      <c r="B16" s="128" t="s">
        <v>54</v>
      </c>
      <c r="C16" s="129" t="s">
        <v>62</v>
      </c>
      <c r="D16" s="128" t="s">
        <v>1</v>
      </c>
      <c r="E16" s="130">
        <v>1.4340277777777779</v>
      </c>
      <c r="F16" s="128" t="s">
        <v>56</v>
      </c>
      <c r="G16" s="131">
        <v>4</v>
      </c>
      <c r="H16" s="128" t="s">
        <v>32</v>
      </c>
    </row>
    <row r="17" spans="1:8" ht="18" x14ac:dyDescent="0.3">
      <c r="A17" s="121">
        <v>45985</v>
      </c>
      <c r="B17" s="122" t="s">
        <v>54</v>
      </c>
      <c r="C17" s="123" t="s">
        <v>62</v>
      </c>
      <c r="D17" s="122" t="s">
        <v>1</v>
      </c>
      <c r="E17" s="124">
        <v>1.4340277777777779</v>
      </c>
      <c r="F17" s="122" t="s">
        <v>58</v>
      </c>
      <c r="G17" s="125">
        <v>4</v>
      </c>
      <c r="H17" s="122" t="s">
        <v>59</v>
      </c>
    </row>
    <row r="18" spans="1:8" ht="18" x14ac:dyDescent="0.3">
      <c r="A18" s="121">
        <v>45985</v>
      </c>
      <c r="B18" s="122" t="s">
        <v>54</v>
      </c>
      <c r="C18" s="123" t="s">
        <v>62</v>
      </c>
      <c r="D18" s="122" t="s">
        <v>1</v>
      </c>
      <c r="E18" s="124">
        <v>1.4340277777777779</v>
      </c>
      <c r="F18" s="122" t="s">
        <v>60</v>
      </c>
      <c r="G18" s="125">
        <v>4</v>
      </c>
      <c r="H18" s="122" t="s">
        <v>61</v>
      </c>
    </row>
    <row r="19" spans="1:8" ht="18" x14ac:dyDescent="0.3">
      <c r="A19" s="126">
        <v>45985</v>
      </c>
      <c r="B19" s="116" t="s">
        <v>63</v>
      </c>
      <c r="C19" s="117" t="s">
        <v>64</v>
      </c>
      <c r="D19" s="116" t="s">
        <v>1</v>
      </c>
      <c r="E19" s="118">
        <v>1.336805555555556</v>
      </c>
      <c r="F19" s="116" t="s">
        <v>48</v>
      </c>
      <c r="G19" s="119">
        <v>9</v>
      </c>
      <c r="H19" s="116" t="s">
        <v>65</v>
      </c>
    </row>
    <row r="20" spans="1:8" ht="18" x14ac:dyDescent="0.3">
      <c r="A20" s="127">
        <v>45985</v>
      </c>
      <c r="B20" s="128" t="s">
        <v>63</v>
      </c>
      <c r="C20" s="129" t="s">
        <v>66</v>
      </c>
      <c r="D20" s="128" t="s">
        <v>1</v>
      </c>
      <c r="E20" s="130">
        <v>1.0659722222222221</v>
      </c>
      <c r="F20" s="128" t="s">
        <v>48</v>
      </c>
      <c r="G20" s="131">
        <v>9</v>
      </c>
      <c r="H20" s="128" t="s">
        <v>65</v>
      </c>
    </row>
    <row r="21" spans="1:8" ht="18" x14ac:dyDescent="0.3">
      <c r="A21" s="127">
        <v>45985</v>
      </c>
      <c r="B21" s="128" t="s">
        <v>63</v>
      </c>
      <c r="C21" s="129" t="s">
        <v>67</v>
      </c>
      <c r="D21" s="128" t="s">
        <v>1</v>
      </c>
      <c r="E21" s="130">
        <v>1.28125</v>
      </c>
      <c r="F21" s="128" t="s">
        <v>48</v>
      </c>
      <c r="G21" s="131">
        <v>9</v>
      </c>
      <c r="H21" s="128" t="s">
        <v>65</v>
      </c>
    </row>
    <row r="22" spans="1:8" ht="18" x14ac:dyDescent="0.3">
      <c r="A22" s="127">
        <v>45985</v>
      </c>
      <c r="B22" s="128" t="s">
        <v>63</v>
      </c>
      <c r="C22" s="129" t="s">
        <v>68</v>
      </c>
      <c r="D22" s="128" t="s">
        <v>1</v>
      </c>
      <c r="E22" s="130">
        <v>1.9409722222222221</v>
      </c>
      <c r="F22" s="128" t="s">
        <v>48</v>
      </c>
      <c r="G22" s="131">
        <v>9</v>
      </c>
      <c r="H22" s="128" t="s">
        <v>69</v>
      </c>
    </row>
    <row r="23" spans="1:8" ht="18" x14ac:dyDescent="0.3">
      <c r="A23" s="127">
        <v>45985</v>
      </c>
      <c r="B23" s="128" t="s">
        <v>63</v>
      </c>
      <c r="C23" s="129" t="s">
        <v>70</v>
      </c>
      <c r="D23" s="128" t="s">
        <v>1</v>
      </c>
      <c r="E23" s="130">
        <v>1.697916666666667</v>
      </c>
      <c r="F23" s="128" t="s">
        <v>48</v>
      </c>
      <c r="G23" s="131">
        <v>9</v>
      </c>
      <c r="H23" s="128" t="s">
        <v>69</v>
      </c>
    </row>
    <row r="24" spans="1:8" ht="18" x14ac:dyDescent="0.3">
      <c r="A24" s="132">
        <v>45985</v>
      </c>
      <c r="B24" s="133" t="s">
        <v>71</v>
      </c>
      <c r="C24" s="134" t="s">
        <v>72</v>
      </c>
      <c r="D24" s="133" t="s">
        <v>1</v>
      </c>
      <c r="E24" s="135">
        <v>1.868055555555556</v>
      </c>
      <c r="F24" s="133" t="s">
        <v>73</v>
      </c>
      <c r="G24" s="133"/>
      <c r="H24" s="133" t="s">
        <v>74</v>
      </c>
    </row>
    <row r="25" spans="1:8" ht="18" x14ac:dyDescent="0.3">
      <c r="A25" s="115">
        <v>45986</v>
      </c>
      <c r="B25" s="116" t="s">
        <v>25</v>
      </c>
      <c r="C25" s="117" t="s">
        <v>26</v>
      </c>
      <c r="D25" s="116" t="s">
        <v>1</v>
      </c>
      <c r="E25" s="118">
        <v>1.229166666666667</v>
      </c>
      <c r="F25" s="116" t="s">
        <v>27</v>
      </c>
      <c r="G25" s="119">
        <v>3</v>
      </c>
      <c r="H25" s="120" t="s">
        <v>29</v>
      </c>
    </row>
    <row r="26" spans="1:8" ht="18" x14ac:dyDescent="0.3">
      <c r="A26" s="121">
        <v>45986</v>
      </c>
      <c r="B26" s="122" t="s">
        <v>25</v>
      </c>
      <c r="C26" s="123" t="s">
        <v>26</v>
      </c>
      <c r="D26" s="122" t="s">
        <v>1</v>
      </c>
      <c r="E26" s="124">
        <v>1.229166666666667</v>
      </c>
      <c r="F26" s="122" t="s">
        <v>33</v>
      </c>
      <c r="G26" s="125">
        <v>3</v>
      </c>
      <c r="H26" s="122" t="s">
        <v>79</v>
      </c>
    </row>
    <row r="27" spans="1:8" ht="18" x14ac:dyDescent="0.3">
      <c r="A27" s="121">
        <v>45986</v>
      </c>
      <c r="B27" s="122" t="s">
        <v>25</v>
      </c>
      <c r="C27" s="123" t="s">
        <v>26</v>
      </c>
      <c r="D27" s="122" t="s">
        <v>1</v>
      </c>
      <c r="E27" s="124">
        <v>1.229166666666667</v>
      </c>
      <c r="F27" s="122" t="s">
        <v>30</v>
      </c>
      <c r="G27" s="125">
        <v>3</v>
      </c>
      <c r="H27" s="122" t="s">
        <v>32</v>
      </c>
    </row>
    <row r="28" spans="1:8" ht="18" x14ac:dyDescent="0.3">
      <c r="A28" s="136">
        <v>45986</v>
      </c>
      <c r="B28" s="137" t="s">
        <v>71</v>
      </c>
      <c r="C28" s="138" t="s">
        <v>80</v>
      </c>
      <c r="D28" s="137" t="s">
        <v>1</v>
      </c>
      <c r="E28" s="139">
        <v>1.819444444444444</v>
      </c>
      <c r="F28" s="137" t="s">
        <v>81</v>
      </c>
      <c r="G28" s="140">
        <v>2</v>
      </c>
      <c r="H28" s="137" t="s">
        <v>83</v>
      </c>
    </row>
    <row r="29" spans="1:8" ht="18" x14ac:dyDescent="0.3">
      <c r="A29" s="141">
        <v>45986</v>
      </c>
      <c r="B29" s="142" t="s">
        <v>71</v>
      </c>
      <c r="C29" s="143" t="s">
        <v>87</v>
      </c>
      <c r="D29" s="142" t="s">
        <v>1</v>
      </c>
      <c r="E29" s="144">
        <v>1.118055555555556</v>
      </c>
      <c r="F29" s="142" t="s">
        <v>73</v>
      </c>
      <c r="G29" s="142"/>
      <c r="H29" s="142" t="s">
        <v>74</v>
      </c>
    </row>
    <row r="30" spans="1:8" ht="18" x14ac:dyDescent="0.3">
      <c r="A30" s="126">
        <v>45986</v>
      </c>
      <c r="B30" s="116" t="s">
        <v>63</v>
      </c>
      <c r="C30" s="117" t="s">
        <v>64</v>
      </c>
      <c r="D30" s="116" t="s">
        <v>1</v>
      </c>
      <c r="E30" s="118">
        <v>1.336805555555556</v>
      </c>
      <c r="F30" s="116" t="s">
        <v>48</v>
      </c>
      <c r="G30" s="119">
        <v>9</v>
      </c>
      <c r="H30" s="116" t="s">
        <v>39</v>
      </c>
    </row>
    <row r="31" spans="1:8" ht="18" x14ac:dyDescent="0.3">
      <c r="A31" s="127">
        <v>45986</v>
      </c>
      <c r="B31" s="128" t="s">
        <v>63</v>
      </c>
      <c r="C31" s="129" t="s">
        <v>66</v>
      </c>
      <c r="D31" s="128" t="s">
        <v>1</v>
      </c>
      <c r="E31" s="130">
        <v>1.0659722222222221</v>
      </c>
      <c r="F31" s="128" t="s">
        <v>48</v>
      </c>
      <c r="G31" s="131">
        <v>9</v>
      </c>
      <c r="H31" s="128" t="s">
        <v>39</v>
      </c>
    </row>
    <row r="32" spans="1:8" ht="18" x14ac:dyDescent="0.3">
      <c r="A32" s="127">
        <v>45986</v>
      </c>
      <c r="B32" s="128" t="s">
        <v>63</v>
      </c>
      <c r="C32" s="129" t="s">
        <v>67</v>
      </c>
      <c r="D32" s="128" t="s">
        <v>1</v>
      </c>
      <c r="E32" s="130">
        <v>1.288194444444444</v>
      </c>
      <c r="F32" s="128" t="s">
        <v>48</v>
      </c>
      <c r="G32" s="131">
        <v>9</v>
      </c>
      <c r="H32" s="128" t="s">
        <v>39</v>
      </c>
    </row>
    <row r="33" spans="1:8" ht="18" x14ac:dyDescent="0.3">
      <c r="A33" s="127">
        <v>45986</v>
      </c>
      <c r="B33" s="128" t="s">
        <v>63</v>
      </c>
      <c r="C33" s="129" t="s">
        <v>68</v>
      </c>
      <c r="D33" s="128" t="s">
        <v>1</v>
      </c>
      <c r="E33" s="130">
        <v>1.9409722222222221</v>
      </c>
      <c r="F33" s="128" t="s">
        <v>48</v>
      </c>
      <c r="G33" s="131">
        <v>1</v>
      </c>
      <c r="H33" s="128" t="s">
        <v>90</v>
      </c>
    </row>
    <row r="34" spans="1:8" ht="18" x14ac:dyDescent="0.3">
      <c r="A34" s="127">
        <v>45986</v>
      </c>
      <c r="B34" s="128" t="s">
        <v>63</v>
      </c>
      <c r="C34" s="129" t="s">
        <v>70</v>
      </c>
      <c r="D34" s="128" t="s">
        <v>1</v>
      </c>
      <c r="E34" s="130">
        <v>1.697916666666667</v>
      </c>
      <c r="F34" s="128" t="s">
        <v>48</v>
      </c>
      <c r="G34" s="131">
        <v>2</v>
      </c>
      <c r="H34" s="128" t="s">
        <v>90</v>
      </c>
    </row>
    <row r="35" spans="1:8" ht="18" x14ac:dyDescent="0.3">
      <c r="A35" s="126">
        <v>45986</v>
      </c>
      <c r="B35" s="116" t="s">
        <v>54</v>
      </c>
      <c r="C35" s="117" t="s">
        <v>55</v>
      </c>
      <c r="D35" s="116" t="s">
        <v>1</v>
      </c>
      <c r="E35" s="118">
        <v>1.6076388888888891</v>
      </c>
      <c r="F35" s="116" t="s">
        <v>56</v>
      </c>
      <c r="G35" s="119">
        <v>2</v>
      </c>
      <c r="H35" s="116" t="s">
        <v>32</v>
      </c>
    </row>
    <row r="36" spans="1:8" ht="18" x14ac:dyDescent="0.3">
      <c r="A36" s="121">
        <v>45986</v>
      </c>
      <c r="B36" s="122" t="s">
        <v>54</v>
      </c>
      <c r="C36" s="123" t="s">
        <v>55</v>
      </c>
      <c r="D36" s="122" t="s">
        <v>1</v>
      </c>
      <c r="E36" s="124">
        <v>1.6076388888888891</v>
      </c>
      <c r="F36" s="122" t="s">
        <v>58</v>
      </c>
      <c r="G36" s="125">
        <v>2</v>
      </c>
      <c r="H36" s="122" t="s">
        <v>59</v>
      </c>
    </row>
    <row r="37" spans="1:8" ht="18" x14ac:dyDescent="0.3">
      <c r="A37" s="121">
        <v>45986</v>
      </c>
      <c r="B37" s="122" t="s">
        <v>54</v>
      </c>
      <c r="C37" s="123" t="s">
        <v>55</v>
      </c>
      <c r="D37" s="122" t="s">
        <v>1</v>
      </c>
      <c r="E37" s="124">
        <v>1.6076388888888891</v>
      </c>
      <c r="F37" s="122" t="s">
        <v>60</v>
      </c>
      <c r="G37" s="125">
        <v>2</v>
      </c>
      <c r="H37" s="122" t="s">
        <v>61</v>
      </c>
    </row>
    <row r="38" spans="1:8" ht="18" x14ac:dyDescent="0.3">
      <c r="A38" s="126">
        <v>45986</v>
      </c>
      <c r="B38" s="116" t="s">
        <v>35</v>
      </c>
      <c r="C38" s="117" t="s">
        <v>36</v>
      </c>
      <c r="D38" s="116" t="s">
        <v>1</v>
      </c>
      <c r="E38" s="118">
        <v>1.350694444444444</v>
      </c>
      <c r="F38" s="116" t="s">
        <v>48</v>
      </c>
      <c r="G38" s="119">
        <v>5</v>
      </c>
      <c r="H38" s="116" t="s">
        <v>46</v>
      </c>
    </row>
    <row r="39" spans="1:8" ht="18" x14ac:dyDescent="0.3">
      <c r="A39" s="127">
        <v>45986</v>
      </c>
      <c r="B39" s="128" t="s">
        <v>35</v>
      </c>
      <c r="C39" s="129" t="s">
        <v>44</v>
      </c>
      <c r="D39" s="128" t="s">
        <v>1</v>
      </c>
      <c r="E39" s="130">
        <v>1.1840277777777779</v>
      </c>
      <c r="F39" s="128" t="s">
        <v>48</v>
      </c>
      <c r="G39" s="131">
        <v>7</v>
      </c>
      <c r="H39" s="128" t="s">
        <v>46</v>
      </c>
    </row>
    <row r="40" spans="1:8" ht="18" x14ac:dyDescent="0.3">
      <c r="A40" s="121">
        <v>45986</v>
      </c>
      <c r="B40" s="122" t="s">
        <v>35</v>
      </c>
      <c r="C40" s="123" t="s">
        <v>44</v>
      </c>
      <c r="D40" s="122" t="s">
        <v>1</v>
      </c>
      <c r="E40" s="124">
        <v>1.1840277777777779</v>
      </c>
      <c r="F40" s="122" t="s">
        <v>42</v>
      </c>
      <c r="G40" s="125">
        <v>7</v>
      </c>
      <c r="H40" s="122" t="s">
        <v>46</v>
      </c>
    </row>
    <row r="41" spans="1:8" ht="18" x14ac:dyDescent="0.3">
      <c r="A41" s="127">
        <v>45986</v>
      </c>
      <c r="B41" s="128" t="s">
        <v>35</v>
      </c>
      <c r="C41" s="129" t="s">
        <v>47</v>
      </c>
      <c r="D41" s="128" t="s">
        <v>1</v>
      </c>
      <c r="E41" s="130">
        <v>1.895833333333333</v>
      </c>
      <c r="F41" s="128" t="s">
        <v>48</v>
      </c>
      <c r="G41" s="131">
        <v>6</v>
      </c>
      <c r="H41" s="128" t="s">
        <v>49</v>
      </c>
    </row>
    <row r="42" spans="1:8" ht="18" x14ac:dyDescent="0.3">
      <c r="A42" s="121">
        <v>45986</v>
      </c>
      <c r="B42" s="122" t="s">
        <v>35</v>
      </c>
      <c r="C42" s="123" t="s">
        <v>47</v>
      </c>
      <c r="D42" s="122" t="s">
        <v>1</v>
      </c>
      <c r="E42" s="124">
        <v>1.895833333333333</v>
      </c>
      <c r="F42" s="122" t="s">
        <v>42</v>
      </c>
      <c r="G42" s="125">
        <v>6</v>
      </c>
      <c r="H42" s="122" t="s">
        <v>49</v>
      </c>
    </row>
    <row r="43" spans="1:8" ht="18" x14ac:dyDescent="0.3">
      <c r="A43" s="127">
        <v>45986</v>
      </c>
      <c r="B43" s="128" t="s">
        <v>35</v>
      </c>
      <c r="C43" s="129" t="s">
        <v>50</v>
      </c>
      <c r="D43" s="128" t="s">
        <v>1</v>
      </c>
      <c r="E43" s="130">
        <v>1.229166666666667</v>
      </c>
      <c r="F43" s="128" t="s">
        <v>48</v>
      </c>
      <c r="G43" s="131">
        <v>4</v>
      </c>
      <c r="H43" s="128" t="s">
        <v>52</v>
      </c>
    </row>
    <row r="44" spans="1:8" ht="18" x14ac:dyDescent="0.3">
      <c r="A44" s="145">
        <v>45986</v>
      </c>
      <c r="B44" s="146" t="s">
        <v>35</v>
      </c>
      <c r="C44" s="147" t="s">
        <v>50</v>
      </c>
      <c r="D44" s="146" t="s">
        <v>1</v>
      </c>
      <c r="E44" s="148">
        <v>1.229166666666667</v>
      </c>
      <c r="F44" s="146" t="s">
        <v>42</v>
      </c>
      <c r="G44" s="149">
        <v>4</v>
      </c>
      <c r="H44" s="146" t="s">
        <v>52</v>
      </c>
    </row>
    <row r="45" spans="1:8" ht="18" x14ac:dyDescent="0.3">
      <c r="A45" s="115">
        <v>45987</v>
      </c>
      <c r="B45" s="116" t="s">
        <v>25</v>
      </c>
      <c r="C45" s="117" t="s">
        <v>26</v>
      </c>
      <c r="D45" s="116" t="s">
        <v>1</v>
      </c>
      <c r="E45" s="118">
        <v>1.229166666666667</v>
      </c>
      <c r="F45" s="116" t="s">
        <v>97</v>
      </c>
      <c r="G45" s="119">
        <v>3</v>
      </c>
      <c r="H45" s="120" t="s">
        <v>98</v>
      </c>
    </row>
    <row r="46" spans="1:8" ht="18" x14ac:dyDescent="0.3">
      <c r="A46" s="126">
        <v>45987</v>
      </c>
      <c r="B46" s="116" t="s">
        <v>63</v>
      </c>
      <c r="C46" s="117" t="s">
        <v>68</v>
      </c>
      <c r="D46" s="116" t="s">
        <v>1</v>
      </c>
      <c r="E46" s="118">
        <v>1.9513888888888891</v>
      </c>
      <c r="F46" s="116" t="s">
        <v>48</v>
      </c>
      <c r="G46" s="119">
        <v>9</v>
      </c>
      <c r="H46" s="116" t="s">
        <v>99</v>
      </c>
    </row>
    <row r="47" spans="1:8" ht="18" x14ac:dyDescent="0.3">
      <c r="A47" s="127">
        <v>45987</v>
      </c>
      <c r="B47" s="128" t="s">
        <v>63</v>
      </c>
      <c r="C47" s="129" t="s">
        <v>67</v>
      </c>
      <c r="D47" s="128" t="s">
        <v>1</v>
      </c>
      <c r="E47" s="130">
        <v>1.288194444444444</v>
      </c>
      <c r="F47" s="128" t="s">
        <v>48</v>
      </c>
      <c r="G47" s="131">
        <v>4</v>
      </c>
      <c r="H47" s="128" t="s">
        <v>100</v>
      </c>
    </row>
    <row r="48" spans="1:8" ht="18" x14ac:dyDescent="0.3">
      <c r="A48" s="126">
        <v>45987</v>
      </c>
      <c r="B48" s="116" t="s">
        <v>54</v>
      </c>
      <c r="C48" s="117" t="s">
        <v>55</v>
      </c>
      <c r="D48" s="116" t="s">
        <v>1</v>
      </c>
      <c r="E48" s="118">
        <v>1.6076388888888891</v>
      </c>
      <c r="F48" s="116" t="s">
        <v>56</v>
      </c>
      <c r="G48" s="119">
        <v>4</v>
      </c>
      <c r="H48" s="116" t="s">
        <v>101</v>
      </c>
    </row>
    <row r="49" spans="1:8" ht="18" x14ac:dyDescent="0.3">
      <c r="A49" s="121">
        <v>45987</v>
      </c>
      <c r="B49" s="122" t="s">
        <v>54</v>
      </c>
      <c r="C49" s="123" t="s">
        <v>55</v>
      </c>
      <c r="D49" s="122" t="s">
        <v>1</v>
      </c>
      <c r="E49" s="124">
        <v>1.6076388888888891</v>
      </c>
      <c r="F49" s="122" t="s">
        <v>58</v>
      </c>
      <c r="G49" s="125">
        <v>4</v>
      </c>
      <c r="H49" s="122" t="s">
        <v>102</v>
      </c>
    </row>
    <row r="50" spans="1:8" ht="18" x14ac:dyDescent="0.3">
      <c r="A50" s="121">
        <v>45987</v>
      </c>
      <c r="B50" s="122" t="s">
        <v>54</v>
      </c>
      <c r="C50" s="123" t="s">
        <v>55</v>
      </c>
      <c r="D50" s="122" t="s">
        <v>1</v>
      </c>
      <c r="E50" s="124">
        <v>1.6076388888888891</v>
      </c>
      <c r="F50" s="122" t="s">
        <v>60</v>
      </c>
      <c r="G50" s="125">
        <v>4</v>
      </c>
      <c r="H50" s="122" t="s">
        <v>103</v>
      </c>
    </row>
    <row r="51" spans="1:8" ht="18" x14ac:dyDescent="0.3">
      <c r="A51" s="126">
        <v>45987</v>
      </c>
      <c r="B51" s="116" t="s">
        <v>35</v>
      </c>
      <c r="C51" s="117" t="s">
        <v>36</v>
      </c>
      <c r="D51" s="116" t="s">
        <v>1</v>
      </c>
      <c r="E51" s="118">
        <v>1.350694444444444</v>
      </c>
      <c r="F51" s="116" t="s">
        <v>48</v>
      </c>
      <c r="G51" s="119">
        <v>1</v>
      </c>
      <c r="H51" s="116" t="s">
        <v>46</v>
      </c>
    </row>
    <row r="52" spans="1:8" ht="18" x14ac:dyDescent="0.3">
      <c r="A52" s="127">
        <v>45987</v>
      </c>
      <c r="B52" s="128" t="s">
        <v>35</v>
      </c>
      <c r="C52" s="129" t="s">
        <v>47</v>
      </c>
      <c r="D52" s="128" t="s">
        <v>1</v>
      </c>
      <c r="E52" s="130">
        <v>1.895833333333333</v>
      </c>
      <c r="F52" s="128" t="s">
        <v>42</v>
      </c>
      <c r="G52" s="131">
        <v>9</v>
      </c>
      <c r="H52" s="128" t="s">
        <v>46</v>
      </c>
    </row>
    <row r="53" spans="1:8" ht="18" x14ac:dyDescent="0.3">
      <c r="A53" s="121">
        <v>45987</v>
      </c>
      <c r="B53" s="122" t="s">
        <v>35</v>
      </c>
      <c r="C53" s="123" t="s">
        <v>47</v>
      </c>
      <c r="D53" s="122" t="s">
        <v>1</v>
      </c>
      <c r="E53" s="124">
        <v>1.895833333333333</v>
      </c>
      <c r="F53" s="122" t="s">
        <v>48</v>
      </c>
      <c r="G53" s="125">
        <v>9</v>
      </c>
      <c r="H53" s="122" t="s">
        <v>46</v>
      </c>
    </row>
    <row r="54" spans="1:8" ht="18" x14ac:dyDescent="0.3">
      <c r="A54" s="127">
        <v>45987</v>
      </c>
      <c r="B54" s="128" t="s">
        <v>35</v>
      </c>
      <c r="C54" s="129" t="s">
        <v>44</v>
      </c>
      <c r="D54" s="128" t="s">
        <v>1</v>
      </c>
      <c r="E54" s="130">
        <v>1.1840277777777779</v>
      </c>
      <c r="F54" s="128" t="s">
        <v>42</v>
      </c>
      <c r="G54" s="131">
        <v>9</v>
      </c>
      <c r="H54" s="128" t="s">
        <v>46</v>
      </c>
    </row>
    <row r="55" spans="1:8" ht="18" x14ac:dyDescent="0.3">
      <c r="A55" s="121">
        <v>45987</v>
      </c>
      <c r="B55" s="122" t="s">
        <v>35</v>
      </c>
      <c r="C55" s="123" t="s">
        <v>44</v>
      </c>
      <c r="D55" s="122" t="s">
        <v>1</v>
      </c>
      <c r="E55" s="124">
        <v>1.1840277777777779</v>
      </c>
      <c r="F55" s="122" t="s">
        <v>48</v>
      </c>
      <c r="G55" s="125">
        <v>9</v>
      </c>
      <c r="H55" s="122" t="s">
        <v>46</v>
      </c>
    </row>
    <row r="56" spans="1:8" ht="18" x14ac:dyDescent="0.3">
      <c r="A56" s="150">
        <v>45987</v>
      </c>
      <c r="B56" s="151" t="s">
        <v>35</v>
      </c>
      <c r="C56" s="152" t="s">
        <v>50</v>
      </c>
      <c r="D56" s="151" t="s">
        <v>1</v>
      </c>
      <c r="E56" s="153">
        <v>1.229166666666667</v>
      </c>
      <c r="F56" s="151" t="s">
        <v>48</v>
      </c>
      <c r="G56" s="154">
        <v>4</v>
      </c>
      <c r="H56" s="151" t="s">
        <v>52</v>
      </c>
    </row>
    <row r="57" spans="1:8" ht="18" x14ac:dyDescent="0.3">
      <c r="A57" s="115">
        <v>45988</v>
      </c>
      <c r="B57" s="116" t="s">
        <v>54</v>
      </c>
      <c r="C57" s="117" t="s">
        <v>55</v>
      </c>
      <c r="D57" s="116" t="s">
        <v>1</v>
      </c>
      <c r="E57" s="118">
        <v>1.6076388888888891</v>
      </c>
      <c r="F57" s="116" t="s">
        <v>56</v>
      </c>
      <c r="G57" s="119">
        <v>9</v>
      </c>
      <c r="H57" s="120" t="s">
        <v>32</v>
      </c>
    </row>
    <row r="58" spans="1:8" ht="18" x14ac:dyDescent="0.3">
      <c r="A58" s="121">
        <v>45988</v>
      </c>
      <c r="B58" s="122" t="s">
        <v>54</v>
      </c>
      <c r="C58" s="123" t="s">
        <v>55</v>
      </c>
      <c r="D58" s="122" t="s">
        <v>1</v>
      </c>
      <c r="E58" s="124">
        <v>1.6076388888888891</v>
      </c>
      <c r="F58" s="122" t="s">
        <v>58</v>
      </c>
      <c r="G58" s="125">
        <v>9</v>
      </c>
      <c r="H58" s="122" t="s">
        <v>59</v>
      </c>
    </row>
    <row r="59" spans="1:8" ht="18" x14ac:dyDescent="0.3">
      <c r="A59" s="121">
        <v>45988</v>
      </c>
      <c r="B59" s="122" t="s">
        <v>54</v>
      </c>
      <c r="C59" s="123" t="s">
        <v>55</v>
      </c>
      <c r="D59" s="122" t="s">
        <v>1</v>
      </c>
      <c r="E59" s="124">
        <v>1.6076388888888891</v>
      </c>
      <c r="F59" s="122" t="s">
        <v>60</v>
      </c>
      <c r="G59" s="125">
        <v>9</v>
      </c>
      <c r="H59" s="122" t="s">
        <v>61</v>
      </c>
    </row>
    <row r="60" spans="1:8" ht="18" x14ac:dyDescent="0.3">
      <c r="A60" s="127">
        <v>45988</v>
      </c>
      <c r="B60" s="128" t="s">
        <v>54</v>
      </c>
      <c r="C60" s="129" t="s">
        <v>62</v>
      </c>
      <c r="D60" s="128" t="s">
        <v>1</v>
      </c>
      <c r="E60" s="130">
        <v>1.4340277777777779</v>
      </c>
      <c r="F60" s="128" t="s">
        <v>56</v>
      </c>
      <c r="G60" s="131">
        <v>9</v>
      </c>
      <c r="H60" s="128" t="s">
        <v>101</v>
      </c>
    </row>
    <row r="61" spans="1:8" ht="18" x14ac:dyDescent="0.3">
      <c r="A61" s="121">
        <v>45988</v>
      </c>
      <c r="B61" s="122" t="s">
        <v>54</v>
      </c>
      <c r="C61" s="123" t="s">
        <v>62</v>
      </c>
      <c r="D61" s="122" t="s">
        <v>1</v>
      </c>
      <c r="E61" s="124">
        <v>1.4340277777777779</v>
      </c>
      <c r="F61" s="122" t="s">
        <v>58</v>
      </c>
      <c r="G61" s="125">
        <v>9</v>
      </c>
      <c r="H61" s="122" t="s">
        <v>102</v>
      </c>
    </row>
    <row r="62" spans="1:8" ht="18" x14ac:dyDescent="0.3">
      <c r="A62" s="121">
        <v>45988</v>
      </c>
      <c r="B62" s="122" t="s">
        <v>54</v>
      </c>
      <c r="C62" s="123" t="s">
        <v>62</v>
      </c>
      <c r="D62" s="122" t="s">
        <v>1</v>
      </c>
      <c r="E62" s="124">
        <v>1.4340277777777779</v>
      </c>
      <c r="F62" s="122" t="s">
        <v>60</v>
      </c>
      <c r="G62" s="125">
        <v>9</v>
      </c>
      <c r="H62" s="122" t="s">
        <v>103</v>
      </c>
    </row>
    <row r="63" spans="1:8" ht="18" x14ac:dyDescent="0.3">
      <c r="A63" s="126">
        <v>45988</v>
      </c>
      <c r="B63" s="116" t="s">
        <v>25</v>
      </c>
      <c r="C63" s="117" t="s">
        <v>26</v>
      </c>
      <c r="D63" s="116" t="s">
        <v>1</v>
      </c>
      <c r="E63" s="118">
        <v>1.229166666666667</v>
      </c>
      <c r="F63" s="116" t="s">
        <v>27</v>
      </c>
      <c r="G63" s="119">
        <v>1</v>
      </c>
      <c r="H63" s="116" t="s">
        <v>108</v>
      </c>
    </row>
    <row r="64" spans="1:8" ht="18" x14ac:dyDescent="0.3">
      <c r="A64" s="121">
        <v>45988</v>
      </c>
      <c r="B64" s="122" t="s">
        <v>25</v>
      </c>
      <c r="C64" s="123" t="s">
        <v>26</v>
      </c>
      <c r="D64" s="122" t="s">
        <v>1</v>
      </c>
      <c r="E64" s="124">
        <v>1.229166666666667</v>
      </c>
      <c r="F64" s="122" t="s">
        <v>30</v>
      </c>
      <c r="G64" s="125">
        <v>1</v>
      </c>
      <c r="H64" s="122" t="s">
        <v>110</v>
      </c>
    </row>
    <row r="65" spans="1:8" ht="18" x14ac:dyDescent="0.3">
      <c r="A65" s="121">
        <v>45988</v>
      </c>
      <c r="B65" s="122" t="s">
        <v>25</v>
      </c>
      <c r="C65" s="123" t="s">
        <v>26</v>
      </c>
      <c r="D65" s="122" t="s">
        <v>1</v>
      </c>
      <c r="E65" s="124">
        <v>1.229166666666667</v>
      </c>
      <c r="F65" s="122" t="s">
        <v>33</v>
      </c>
      <c r="G65" s="125">
        <v>1</v>
      </c>
      <c r="H65" s="122" t="s">
        <v>34</v>
      </c>
    </row>
    <row r="66" spans="1:8" ht="18" x14ac:dyDescent="0.3">
      <c r="A66" s="126">
        <v>45988</v>
      </c>
      <c r="B66" s="116" t="s">
        <v>35</v>
      </c>
      <c r="C66" s="117" t="s">
        <v>47</v>
      </c>
      <c r="D66" s="116" t="s">
        <v>1</v>
      </c>
      <c r="E66" s="118">
        <v>1.895833333333333</v>
      </c>
      <c r="F66" s="116" t="s">
        <v>42</v>
      </c>
      <c r="G66" s="119">
        <v>2</v>
      </c>
      <c r="H66" s="116" t="s">
        <v>46</v>
      </c>
    </row>
    <row r="67" spans="1:8" ht="18" x14ac:dyDescent="0.3">
      <c r="A67" s="127">
        <v>45988</v>
      </c>
      <c r="B67" s="128" t="s">
        <v>35</v>
      </c>
      <c r="C67" s="129" t="s">
        <v>50</v>
      </c>
      <c r="D67" s="128" t="s">
        <v>1</v>
      </c>
      <c r="E67" s="130">
        <v>1.229166666666667</v>
      </c>
      <c r="F67" s="128" t="s">
        <v>42</v>
      </c>
      <c r="G67" s="131">
        <v>4</v>
      </c>
      <c r="H67" s="128" t="s">
        <v>111</v>
      </c>
    </row>
    <row r="68" spans="1:8" ht="18" x14ac:dyDescent="0.3">
      <c r="A68" s="126">
        <v>45988</v>
      </c>
      <c r="B68" s="116" t="s">
        <v>63</v>
      </c>
      <c r="C68" s="117" t="s">
        <v>70</v>
      </c>
      <c r="D68" s="116" t="s">
        <v>1</v>
      </c>
      <c r="E68" s="118">
        <v>1.697916666666667</v>
      </c>
      <c r="F68" s="116" t="s">
        <v>48</v>
      </c>
      <c r="G68" s="119">
        <v>2</v>
      </c>
      <c r="H68" s="116" t="s">
        <v>90</v>
      </c>
    </row>
    <row r="69" spans="1:8" ht="18" x14ac:dyDescent="0.3">
      <c r="A69" s="127">
        <v>45988</v>
      </c>
      <c r="B69" s="128" t="s">
        <v>63</v>
      </c>
      <c r="C69" s="129" t="s">
        <v>66</v>
      </c>
      <c r="D69" s="128" t="s">
        <v>1</v>
      </c>
      <c r="E69" s="130">
        <v>1.0659722222222221</v>
      </c>
      <c r="F69" s="128" t="s">
        <v>48</v>
      </c>
      <c r="G69" s="131">
        <v>2</v>
      </c>
      <c r="H69" s="128" t="s">
        <v>90</v>
      </c>
    </row>
    <row r="70" spans="1:8" ht="18" x14ac:dyDescent="0.3">
      <c r="A70" s="127">
        <v>45988</v>
      </c>
      <c r="B70" s="128" t="s">
        <v>63</v>
      </c>
      <c r="C70" s="129" t="s">
        <v>67</v>
      </c>
      <c r="D70" s="128" t="s">
        <v>1</v>
      </c>
      <c r="E70" s="130">
        <v>1.274305555555556</v>
      </c>
      <c r="F70" s="128" t="s">
        <v>48</v>
      </c>
      <c r="G70" s="131">
        <v>1</v>
      </c>
      <c r="H70" s="128" t="s">
        <v>90</v>
      </c>
    </row>
    <row r="71" spans="1:8" ht="18" x14ac:dyDescent="0.3">
      <c r="A71" s="132">
        <v>45988</v>
      </c>
      <c r="B71" s="133" t="s">
        <v>71</v>
      </c>
      <c r="C71" s="134" t="s">
        <v>84</v>
      </c>
      <c r="D71" s="133" t="s">
        <v>1</v>
      </c>
      <c r="E71" s="135">
        <v>1.381944444444444</v>
      </c>
      <c r="F71" s="133" t="s">
        <v>73</v>
      </c>
      <c r="G71" s="133"/>
      <c r="H71" s="133" t="s">
        <v>74</v>
      </c>
    </row>
    <row r="72" spans="1:8" ht="18" x14ac:dyDescent="0.3">
      <c r="A72" s="115">
        <v>45989</v>
      </c>
      <c r="B72" s="116" t="s">
        <v>25</v>
      </c>
      <c r="C72" s="117" t="s">
        <v>26</v>
      </c>
      <c r="D72" s="116" t="s">
        <v>1</v>
      </c>
      <c r="E72" s="118">
        <v>1.229166666666667</v>
      </c>
      <c r="F72" s="116" t="s">
        <v>27</v>
      </c>
      <c r="G72" s="119">
        <v>5</v>
      </c>
      <c r="H72" s="120" t="s">
        <v>108</v>
      </c>
    </row>
    <row r="73" spans="1:8" ht="18" x14ac:dyDescent="0.3">
      <c r="A73" s="121">
        <v>45989</v>
      </c>
      <c r="B73" s="122" t="s">
        <v>25</v>
      </c>
      <c r="C73" s="123" t="s">
        <v>26</v>
      </c>
      <c r="D73" s="122" t="s">
        <v>1</v>
      </c>
      <c r="E73" s="124">
        <v>1.229166666666667</v>
      </c>
      <c r="F73" s="122" t="s">
        <v>30</v>
      </c>
      <c r="G73" s="125">
        <v>5</v>
      </c>
      <c r="H73" s="122" t="s">
        <v>110</v>
      </c>
    </row>
    <row r="74" spans="1:8" ht="18" x14ac:dyDescent="0.3">
      <c r="A74" s="121">
        <v>45989</v>
      </c>
      <c r="B74" s="122" t="s">
        <v>25</v>
      </c>
      <c r="C74" s="123" t="s">
        <v>26</v>
      </c>
      <c r="D74" s="122" t="s">
        <v>1</v>
      </c>
      <c r="E74" s="124">
        <v>1.229166666666667</v>
      </c>
      <c r="F74" s="122" t="s">
        <v>33</v>
      </c>
      <c r="G74" s="125">
        <v>5</v>
      </c>
      <c r="H74" s="122" t="s">
        <v>34</v>
      </c>
    </row>
    <row r="75" spans="1:8" ht="18" x14ac:dyDescent="0.3">
      <c r="A75" s="126">
        <v>45989</v>
      </c>
      <c r="B75" s="116" t="s">
        <v>54</v>
      </c>
      <c r="C75" s="117" t="s">
        <v>55</v>
      </c>
      <c r="D75" s="116" t="s">
        <v>1</v>
      </c>
      <c r="E75" s="118">
        <v>1.6076388888888891</v>
      </c>
      <c r="F75" s="116" t="s">
        <v>56</v>
      </c>
      <c r="G75" s="119">
        <v>9</v>
      </c>
      <c r="H75" s="116" t="s">
        <v>113</v>
      </c>
    </row>
    <row r="76" spans="1:8" ht="18" x14ac:dyDescent="0.3">
      <c r="A76" s="121">
        <v>45989</v>
      </c>
      <c r="B76" s="122" t="s">
        <v>54</v>
      </c>
      <c r="C76" s="123" t="s">
        <v>55</v>
      </c>
      <c r="D76" s="122" t="s">
        <v>1</v>
      </c>
      <c r="E76" s="124">
        <v>1.6076388888888891</v>
      </c>
      <c r="F76" s="122" t="s">
        <v>58</v>
      </c>
      <c r="G76" s="125">
        <v>9</v>
      </c>
      <c r="H76" s="122" t="s">
        <v>114</v>
      </c>
    </row>
    <row r="77" spans="1:8" ht="18" x14ac:dyDescent="0.3">
      <c r="A77" s="121">
        <v>45989</v>
      </c>
      <c r="B77" s="122" t="s">
        <v>54</v>
      </c>
      <c r="C77" s="123" t="s">
        <v>55</v>
      </c>
      <c r="D77" s="122" t="s">
        <v>1</v>
      </c>
      <c r="E77" s="124">
        <v>1.6076388888888891</v>
      </c>
      <c r="F77" s="122" t="s">
        <v>60</v>
      </c>
      <c r="G77" s="125">
        <v>9</v>
      </c>
      <c r="H77" s="122" t="s">
        <v>115</v>
      </c>
    </row>
    <row r="78" spans="1:8" ht="18" x14ac:dyDescent="0.3">
      <c r="A78" s="126">
        <v>45989</v>
      </c>
      <c r="B78" s="116" t="s">
        <v>63</v>
      </c>
      <c r="C78" s="117" t="s">
        <v>68</v>
      </c>
      <c r="D78" s="116" t="s">
        <v>1</v>
      </c>
      <c r="E78" s="118">
        <v>1.9409722222222221</v>
      </c>
      <c r="F78" s="116" t="s">
        <v>48</v>
      </c>
      <c r="G78" s="119">
        <v>9</v>
      </c>
      <c r="H78" s="116" t="s">
        <v>99</v>
      </c>
    </row>
    <row r="79" spans="1:8" ht="18" x14ac:dyDescent="0.3">
      <c r="A79" s="127">
        <v>45989</v>
      </c>
      <c r="B79" s="128" t="s">
        <v>63</v>
      </c>
      <c r="C79" s="129" t="s">
        <v>70</v>
      </c>
      <c r="D79" s="128" t="s">
        <v>1</v>
      </c>
      <c r="E79" s="130">
        <v>1.697916666666667</v>
      </c>
      <c r="F79" s="128" t="s">
        <v>48</v>
      </c>
      <c r="G79" s="131">
        <v>9</v>
      </c>
      <c r="H79" s="128" t="s">
        <v>69</v>
      </c>
    </row>
    <row r="80" spans="1:8" ht="18" x14ac:dyDescent="0.3">
      <c r="A80" s="127">
        <v>45989</v>
      </c>
      <c r="B80" s="128" t="s">
        <v>63</v>
      </c>
      <c r="C80" s="129" t="s">
        <v>66</v>
      </c>
      <c r="D80" s="128" t="s">
        <v>1</v>
      </c>
      <c r="E80" s="130">
        <v>1.0659722222222221</v>
      </c>
      <c r="F80" s="128" t="s">
        <v>48</v>
      </c>
      <c r="G80" s="131">
        <v>9</v>
      </c>
      <c r="H80" s="128" t="s">
        <v>100</v>
      </c>
    </row>
    <row r="81" spans="1:8" ht="18" x14ac:dyDescent="0.3">
      <c r="A81" s="126">
        <v>45989</v>
      </c>
      <c r="B81" s="116" t="s">
        <v>35</v>
      </c>
      <c r="C81" s="117" t="s">
        <v>36</v>
      </c>
      <c r="D81" s="116" t="s">
        <v>1</v>
      </c>
      <c r="E81" s="118">
        <v>1.350694444444444</v>
      </c>
      <c r="F81" s="116" t="s">
        <v>42</v>
      </c>
      <c r="G81" s="119">
        <v>9</v>
      </c>
      <c r="H81" s="116" t="s">
        <v>116</v>
      </c>
    </row>
    <row r="82" spans="1:8" ht="18" x14ac:dyDescent="0.3">
      <c r="A82" s="127">
        <v>45989</v>
      </c>
      <c r="B82" s="128" t="s">
        <v>35</v>
      </c>
      <c r="C82" s="129" t="s">
        <v>47</v>
      </c>
      <c r="D82" s="128" t="s">
        <v>1</v>
      </c>
      <c r="E82" s="130">
        <v>1.895833333333333</v>
      </c>
      <c r="F82" s="128" t="s">
        <v>42</v>
      </c>
      <c r="G82" s="131">
        <v>9</v>
      </c>
      <c r="H82" s="128" t="s">
        <v>116</v>
      </c>
    </row>
    <row r="83" spans="1:8" ht="18" x14ac:dyDescent="0.3">
      <c r="A83" s="127">
        <v>45989</v>
      </c>
      <c r="B83" s="128" t="s">
        <v>35</v>
      </c>
      <c r="C83" s="129" t="s">
        <v>44</v>
      </c>
      <c r="D83" s="128" t="s">
        <v>1</v>
      </c>
      <c r="E83" s="130">
        <v>1.1840277777777779</v>
      </c>
      <c r="F83" s="128" t="s">
        <v>42</v>
      </c>
      <c r="G83" s="131">
        <v>9</v>
      </c>
      <c r="H83" s="128" t="s">
        <v>116</v>
      </c>
    </row>
    <row r="84" spans="1:8" ht="18" x14ac:dyDescent="0.3">
      <c r="A84" s="150">
        <v>45989</v>
      </c>
      <c r="B84" s="151" t="s">
        <v>35</v>
      </c>
      <c r="C84" s="152" t="s">
        <v>50</v>
      </c>
      <c r="D84" s="151" t="s">
        <v>1</v>
      </c>
      <c r="E84" s="153">
        <v>1.229166666666667</v>
      </c>
      <c r="F84" s="151" t="s">
        <v>42</v>
      </c>
      <c r="G84" s="154">
        <v>4</v>
      </c>
      <c r="H84" s="151" t="s">
        <v>111</v>
      </c>
    </row>
    <row r="85" spans="1:8" ht="18" x14ac:dyDescent="0.3">
      <c r="A85" s="115">
        <v>45990</v>
      </c>
      <c r="B85" s="116" t="s">
        <v>25</v>
      </c>
      <c r="C85" s="117" t="s">
        <v>26</v>
      </c>
      <c r="D85" s="116" t="s">
        <v>1</v>
      </c>
      <c r="E85" s="118">
        <v>1.229166666666667</v>
      </c>
      <c r="F85" s="116" t="s">
        <v>27</v>
      </c>
      <c r="G85" s="119">
        <v>3</v>
      </c>
      <c r="H85" s="120" t="s">
        <v>98</v>
      </c>
    </row>
    <row r="86" spans="1:8" ht="18" x14ac:dyDescent="0.3">
      <c r="A86" s="121">
        <v>45990</v>
      </c>
      <c r="B86" s="122" t="s">
        <v>25</v>
      </c>
      <c r="C86" s="123" t="s">
        <v>26</v>
      </c>
      <c r="D86" s="122" t="s">
        <v>1</v>
      </c>
      <c r="E86" s="124">
        <v>1.229166666666667</v>
      </c>
      <c r="F86" s="122" t="s">
        <v>30</v>
      </c>
      <c r="G86" s="125">
        <v>3</v>
      </c>
      <c r="H86" s="122" t="s">
        <v>117</v>
      </c>
    </row>
    <row r="87" spans="1:8" ht="18" x14ac:dyDescent="0.3">
      <c r="A87" s="121">
        <v>45990</v>
      </c>
      <c r="B87" s="122" t="s">
        <v>25</v>
      </c>
      <c r="C87" s="123" t="s">
        <v>26</v>
      </c>
      <c r="D87" s="122" t="s">
        <v>1</v>
      </c>
      <c r="E87" s="124">
        <v>1.229166666666667</v>
      </c>
      <c r="F87" s="122" t="s">
        <v>33</v>
      </c>
      <c r="G87" s="125">
        <v>3</v>
      </c>
      <c r="H87" s="122" t="s">
        <v>34</v>
      </c>
    </row>
    <row r="88" spans="1:8" ht="18" x14ac:dyDescent="0.3">
      <c r="A88" s="126">
        <v>45990</v>
      </c>
      <c r="B88" s="116" t="s">
        <v>54</v>
      </c>
      <c r="C88" s="117" t="s">
        <v>55</v>
      </c>
      <c r="D88" s="116" t="s">
        <v>1</v>
      </c>
      <c r="E88" s="118">
        <v>1.6076388888888891</v>
      </c>
      <c r="F88" s="116" t="s">
        <v>56</v>
      </c>
      <c r="G88" s="119">
        <v>1</v>
      </c>
      <c r="H88" s="116" t="s">
        <v>118</v>
      </c>
    </row>
    <row r="89" spans="1:8" ht="18" x14ac:dyDescent="0.3">
      <c r="A89" s="121">
        <v>45990</v>
      </c>
      <c r="B89" s="122" t="s">
        <v>54</v>
      </c>
      <c r="C89" s="123" t="s">
        <v>55</v>
      </c>
      <c r="D89" s="122" t="s">
        <v>1</v>
      </c>
      <c r="E89" s="124">
        <v>1.6076388888888891</v>
      </c>
      <c r="F89" s="122" t="s">
        <v>58</v>
      </c>
      <c r="G89" s="125">
        <v>1</v>
      </c>
      <c r="H89" s="122" t="s">
        <v>113</v>
      </c>
    </row>
    <row r="90" spans="1:8" ht="18" x14ac:dyDescent="0.3">
      <c r="A90" s="121">
        <v>45990</v>
      </c>
      <c r="B90" s="122" t="s">
        <v>54</v>
      </c>
      <c r="C90" s="123" t="s">
        <v>55</v>
      </c>
      <c r="D90" s="122" t="s">
        <v>1</v>
      </c>
      <c r="E90" s="124">
        <v>1.6076388888888891</v>
      </c>
      <c r="F90" s="122" t="s">
        <v>60</v>
      </c>
      <c r="G90" s="125">
        <v>1</v>
      </c>
      <c r="H90" s="122" t="s">
        <v>119</v>
      </c>
    </row>
    <row r="91" spans="1:8" ht="18" x14ac:dyDescent="0.3">
      <c r="A91" s="127">
        <v>45990</v>
      </c>
      <c r="B91" s="128" t="s">
        <v>54</v>
      </c>
      <c r="C91" s="129" t="s">
        <v>62</v>
      </c>
      <c r="D91" s="128" t="s">
        <v>1</v>
      </c>
      <c r="E91" s="130">
        <v>1.4340277777777779</v>
      </c>
      <c r="F91" s="128" t="s">
        <v>56</v>
      </c>
      <c r="G91" s="131">
        <v>2</v>
      </c>
      <c r="H91" s="128" t="s">
        <v>118</v>
      </c>
    </row>
    <row r="92" spans="1:8" ht="18" x14ac:dyDescent="0.3">
      <c r="A92" s="121">
        <v>45990</v>
      </c>
      <c r="B92" s="122" t="s">
        <v>54</v>
      </c>
      <c r="C92" s="123" t="s">
        <v>62</v>
      </c>
      <c r="D92" s="122" t="s">
        <v>1</v>
      </c>
      <c r="E92" s="124">
        <v>1.4340277777777779</v>
      </c>
      <c r="F92" s="122" t="s">
        <v>58</v>
      </c>
      <c r="G92" s="125">
        <v>2</v>
      </c>
      <c r="H92" s="122" t="s">
        <v>113</v>
      </c>
    </row>
    <row r="93" spans="1:8" ht="18" x14ac:dyDescent="0.3">
      <c r="A93" s="121">
        <v>45990</v>
      </c>
      <c r="B93" s="122" t="s">
        <v>54</v>
      </c>
      <c r="C93" s="123" t="s">
        <v>62</v>
      </c>
      <c r="D93" s="122" t="s">
        <v>1</v>
      </c>
      <c r="E93" s="124">
        <v>1.4340277777777779</v>
      </c>
      <c r="F93" s="122" t="s">
        <v>60</v>
      </c>
      <c r="G93" s="125">
        <v>2</v>
      </c>
      <c r="H93" s="122" t="s">
        <v>119</v>
      </c>
    </row>
    <row r="94" spans="1:8" ht="18" x14ac:dyDescent="0.3">
      <c r="A94" s="126">
        <v>45990</v>
      </c>
      <c r="B94" s="116" t="s">
        <v>63</v>
      </c>
      <c r="C94" s="117" t="s">
        <v>68</v>
      </c>
      <c r="D94" s="116" t="s">
        <v>1</v>
      </c>
      <c r="E94" s="118">
        <v>1.9409722222222221</v>
      </c>
      <c r="F94" s="116" t="s">
        <v>48</v>
      </c>
      <c r="G94" s="119">
        <v>9</v>
      </c>
      <c r="H94" s="116" t="s">
        <v>65</v>
      </c>
    </row>
    <row r="95" spans="1:8" ht="18" x14ac:dyDescent="0.3">
      <c r="A95" s="127">
        <v>45990</v>
      </c>
      <c r="B95" s="128" t="s">
        <v>63</v>
      </c>
      <c r="C95" s="129" t="s">
        <v>66</v>
      </c>
      <c r="D95" s="128" t="s">
        <v>1</v>
      </c>
      <c r="E95" s="130">
        <v>1.0659722222222221</v>
      </c>
      <c r="F95" s="128" t="s">
        <v>48</v>
      </c>
      <c r="G95" s="131">
        <v>9</v>
      </c>
      <c r="H95" s="128" t="s">
        <v>65</v>
      </c>
    </row>
    <row r="96" spans="1:8" ht="18" x14ac:dyDescent="0.3">
      <c r="A96" s="127">
        <v>45990</v>
      </c>
      <c r="B96" s="128" t="s">
        <v>63</v>
      </c>
      <c r="C96" s="129" t="s">
        <v>70</v>
      </c>
      <c r="D96" s="128" t="s">
        <v>1</v>
      </c>
      <c r="E96" s="130">
        <v>1.697916666666667</v>
      </c>
      <c r="F96" s="128" t="s">
        <v>48</v>
      </c>
      <c r="G96" s="131">
        <v>9</v>
      </c>
      <c r="H96" s="128" t="s">
        <v>69</v>
      </c>
    </row>
    <row r="97" spans="1:8" ht="18" x14ac:dyDescent="0.3">
      <c r="A97" s="127">
        <v>45990</v>
      </c>
      <c r="B97" s="128" t="s">
        <v>63</v>
      </c>
      <c r="C97" s="129" t="s">
        <v>64</v>
      </c>
      <c r="D97" s="128" t="s">
        <v>1</v>
      </c>
      <c r="E97" s="130">
        <v>1.336805555555556</v>
      </c>
      <c r="F97" s="128" t="s">
        <v>48</v>
      </c>
      <c r="G97" s="131">
        <v>9</v>
      </c>
      <c r="H97" s="128" t="s">
        <v>120</v>
      </c>
    </row>
    <row r="98" spans="1:8" ht="18" x14ac:dyDescent="0.3">
      <c r="A98" s="127">
        <v>45990</v>
      </c>
      <c r="B98" s="128" t="s">
        <v>63</v>
      </c>
      <c r="C98" s="129" t="s">
        <v>67</v>
      </c>
      <c r="D98" s="128" t="s">
        <v>1</v>
      </c>
      <c r="E98" s="130">
        <v>1.2986111111111109</v>
      </c>
      <c r="F98" s="128" t="s">
        <v>48</v>
      </c>
      <c r="G98" s="131">
        <v>8</v>
      </c>
      <c r="H98" s="128" t="s">
        <v>90</v>
      </c>
    </row>
    <row r="99" spans="1:8" ht="18" x14ac:dyDescent="0.3">
      <c r="A99" s="126">
        <v>45990</v>
      </c>
      <c r="B99" s="116" t="s">
        <v>35</v>
      </c>
      <c r="C99" s="117" t="s">
        <v>36</v>
      </c>
      <c r="D99" s="116" t="s">
        <v>1</v>
      </c>
      <c r="E99" s="118">
        <v>1.354166666666667</v>
      </c>
      <c r="F99" s="116" t="s">
        <v>42</v>
      </c>
      <c r="G99" s="119">
        <v>9</v>
      </c>
      <c r="H99" s="116" t="s">
        <v>116</v>
      </c>
    </row>
    <row r="100" spans="1:8" ht="18" x14ac:dyDescent="0.3">
      <c r="A100" s="127">
        <v>45990</v>
      </c>
      <c r="B100" s="128" t="s">
        <v>35</v>
      </c>
      <c r="C100" s="129" t="s">
        <v>47</v>
      </c>
      <c r="D100" s="128" t="s">
        <v>1</v>
      </c>
      <c r="E100" s="130">
        <v>1.895833333333333</v>
      </c>
      <c r="F100" s="128" t="s">
        <v>42</v>
      </c>
      <c r="G100" s="131">
        <v>9</v>
      </c>
      <c r="H100" s="128" t="s">
        <v>116</v>
      </c>
    </row>
    <row r="101" spans="1:8" ht="18" x14ac:dyDescent="0.3">
      <c r="A101" s="127">
        <v>45990</v>
      </c>
      <c r="B101" s="128" t="s">
        <v>35</v>
      </c>
      <c r="C101" s="129" t="s">
        <v>44</v>
      </c>
      <c r="D101" s="128" t="s">
        <v>1</v>
      </c>
      <c r="E101" s="130">
        <v>1.1840277777777779</v>
      </c>
      <c r="F101" s="128" t="s">
        <v>42</v>
      </c>
      <c r="G101" s="131">
        <v>9</v>
      </c>
      <c r="H101" s="128" t="s">
        <v>116</v>
      </c>
    </row>
    <row r="102" spans="1:8" ht="18" x14ac:dyDescent="0.3">
      <c r="A102" s="127">
        <v>45990</v>
      </c>
      <c r="B102" s="128" t="s">
        <v>35</v>
      </c>
      <c r="C102" s="129" t="s">
        <v>50</v>
      </c>
      <c r="D102" s="128" t="s">
        <v>1</v>
      </c>
      <c r="E102" s="130">
        <v>1.229166666666667</v>
      </c>
      <c r="F102" s="128" t="s">
        <v>42</v>
      </c>
      <c r="G102" s="131">
        <v>4</v>
      </c>
      <c r="H102" s="128" t="s">
        <v>111</v>
      </c>
    </row>
    <row r="103" spans="1:8" ht="18" x14ac:dyDescent="0.3">
      <c r="A103" s="132">
        <v>45990</v>
      </c>
      <c r="B103" s="133" t="s">
        <v>71</v>
      </c>
      <c r="C103" s="134" t="s">
        <v>84</v>
      </c>
      <c r="D103" s="133" t="s">
        <v>1</v>
      </c>
      <c r="E103" s="135">
        <v>1.2361111111111109</v>
      </c>
      <c r="F103" s="133" t="s">
        <v>73</v>
      </c>
      <c r="G103" s="133"/>
      <c r="H103" s="133" t="s">
        <v>74</v>
      </c>
    </row>
    <row r="104" spans="1:8" ht="18" x14ac:dyDescent="0.3">
      <c r="A104" s="115">
        <v>45991</v>
      </c>
      <c r="B104" s="116" t="s">
        <v>25</v>
      </c>
      <c r="C104" s="117" t="s">
        <v>26</v>
      </c>
      <c r="D104" s="116" t="s">
        <v>1</v>
      </c>
      <c r="E104" s="118">
        <v>1.229166666666667</v>
      </c>
      <c r="F104" s="116" t="s">
        <v>27</v>
      </c>
      <c r="G104" s="119">
        <v>5</v>
      </c>
      <c r="H104" s="120" t="s">
        <v>123</v>
      </c>
    </row>
    <row r="105" spans="1:8" ht="18" x14ac:dyDescent="0.3">
      <c r="A105" s="121">
        <v>45991</v>
      </c>
      <c r="B105" s="122" t="s">
        <v>25</v>
      </c>
      <c r="C105" s="123" t="s">
        <v>26</v>
      </c>
      <c r="D105" s="122" t="s">
        <v>1</v>
      </c>
      <c r="E105" s="124">
        <v>1.229166666666667</v>
      </c>
      <c r="F105" s="122" t="s">
        <v>30</v>
      </c>
      <c r="G105" s="125">
        <v>5</v>
      </c>
      <c r="H105" s="122" t="s">
        <v>79</v>
      </c>
    </row>
    <row r="106" spans="1:8" ht="18" x14ac:dyDescent="0.3">
      <c r="A106" s="121">
        <v>45991</v>
      </c>
      <c r="B106" s="122" t="s">
        <v>25</v>
      </c>
      <c r="C106" s="123" t="s">
        <v>26</v>
      </c>
      <c r="D106" s="122" t="s">
        <v>1</v>
      </c>
      <c r="E106" s="124">
        <v>1.229166666666667</v>
      </c>
      <c r="F106" s="122" t="s">
        <v>33</v>
      </c>
      <c r="G106" s="125">
        <v>5</v>
      </c>
      <c r="H106" s="122" t="s">
        <v>34</v>
      </c>
    </row>
    <row r="107" spans="1:8" ht="18" x14ac:dyDescent="0.3">
      <c r="A107" s="126">
        <v>45991</v>
      </c>
      <c r="B107" s="116" t="s">
        <v>54</v>
      </c>
      <c r="C107" s="117" t="s">
        <v>55</v>
      </c>
      <c r="D107" s="116" t="s">
        <v>1</v>
      </c>
      <c r="E107" s="118">
        <v>1.6076388888888891</v>
      </c>
      <c r="F107" s="116" t="s">
        <v>56</v>
      </c>
      <c r="G107" s="119">
        <v>1</v>
      </c>
      <c r="H107" s="116" t="s">
        <v>118</v>
      </c>
    </row>
    <row r="108" spans="1:8" ht="18" x14ac:dyDescent="0.3">
      <c r="A108" s="121">
        <v>45991</v>
      </c>
      <c r="B108" s="122" t="s">
        <v>54</v>
      </c>
      <c r="C108" s="123" t="s">
        <v>55</v>
      </c>
      <c r="D108" s="122" t="s">
        <v>1</v>
      </c>
      <c r="E108" s="124">
        <v>1.6076388888888891</v>
      </c>
      <c r="F108" s="122" t="s">
        <v>58</v>
      </c>
      <c r="G108" s="125">
        <v>1</v>
      </c>
      <c r="H108" s="122" t="s">
        <v>113</v>
      </c>
    </row>
    <row r="109" spans="1:8" ht="18" x14ac:dyDescent="0.3">
      <c r="A109" s="121">
        <v>45991</v>
      </c>
      <c r="B109" s="122" t="s">
        <v>54</v>
      </c>
      <c r="C109" s="123" t="s">
        <v>55</v>
      </c>
      <c r="D109" s="122" t="s">
        <v>1</v>
      </c>
      <c r="E109" s="124">
        <v>1.6076388888888891</v>
      </c>
      <c r="F109" s="122" t="s">
        <v>60</v>
      </c>
      <c r="G109" s="125">
        <v>1</v>
      </c>
      <c r="H109" s="122" t="s">
        <v>119</v>
      </c>
    </row>
    <row r="110" spans="1:8" ht="18" x14ac:dyDescent="0.3">
      <c r="A110" s="126">
        <v>45991</v>
      </c>
      <c r="B110" s="116" t="s">
        <v>63</v>
      </c>
      <c r="C110" s="117" t="s">
        <v>68</v>
      </c>
      <c r="D110" s="116" t="s">
        <v>1</v>
      </c>
      <c r="E110" s="118">
        <v>1.9409722222222221</v>
      </c>
      <c r="F110" s="116" t="s">
        <v>48</v>
      </c>
      <c r="G110" s="119">
        <v>9</v>
      </c>
      <c r="H110" s="116" t="s">
        <v>39</v>
      </c>
    </row>
    <row r="111" spans="1:8" ht="18" x14ac:dyDescent="0.3">
      <c r="A111" s="127">
        <v>45991</v>
      </c>
      <c r="B111" s="128" t="s">
        <v>63</v>
      </c>
      <c r="C111" s="129" t="s">
        <v>66</v>
      </c>
      <c r="D111" s="128" t="s">
        <v>1</v>
      </c>
      <c r="E111" s="130">
        <v>1.0659722222222221</v>
      </c>
      <c r="F111" s="128" t="s">
        <v>48</v>
      </c>
      <c r="G111" s="131">
        <v>9</v>
      </c>
      <c r="H111" s="128" t="s">
        <v>39</v>
      </c>
    </row>
    <row r="112" spans="1:8" ht="18" x14ac:dyDescent="0.3">
      <c r="A112" s="136">
        <v>45991</v>
      </c>
      <c r="B112" s="137" t="s">
        <v>71</v>
      </c>
      <c r="C112" s="138" t="s">
        <v>80</v>
      </c>
      <c r="D112" s="137" t="s">
        <v>1</v>
      </c>
      <c r="E112" s="139">
        <v>1.743055555555556</v>
      </c>
      <c r="F112" s="137" t="s">
        <v>81</v>
      </c>
      <c r="G112" s="140">
        <v>1</v>
      </c>
      <c r="H112" s="137" t="s">
        <v>124</v>
      </c>
    </row>
    <row r="113" spans="1:8" ht="18" x14ac:dyDescent="0.3">
      <c r="A113" s="126">
        <v>45991</v>
      </c>
      <c r="B113" s="116" t="s">
        <v>35</v>
      </c>
      <c r="C113" s="117" t="s">
        <v>36</v>
      </c>
      <c r="D113" s="116" t="s">
        <v>1</v>
      </c>
      <c r="E113" s="118">
        <v>1.350694444444444</v>
      </c>
      <c r="F113" s="116" t="s">
        <v>42</v>
      </c>
      <c r="G113" s="119">
        <v>1</v>
      </c>
      <c r="H113" s="116" t="s">
        <v>46</v>
      </c>
    </row>
    <row r="114" spans="1:8" ht="18" x14ac:dyDescent="0.3">
      <c r="A114" s="127">
        <v>45991</v>
      </c>
      <c r="B114" s="128" t="s">
        <v>35</v>
      </c>
      <c r="C114" s="129" t="s">
        <v>44</v>
      </c>
      <c r="D114" s="128" t="s">
        <v>1</v>
      </c>
      <c r="E114" s="130">
        <v>1.1840277777777779</v>
      </c>
      <c r="F114" s="128" t="s">
        <v>42</v>
      </c>
      <c r="G114" s="131">
        <v>9</v>
      </c>
      <c r="H114" s="128" t="s">
        <v>46</v>
      </c>
    </row>
    <row r="115" spans="1:8" ht="18" x14ac:dyDescent="0.3">
      <c r="A115" s="127">
        <v>45991</v>
      </c>
      <c r="B115" s="128" t="s">
        <v>35</v>
      </c>
      <c r="C115" s="129" t="s">
        <v>50</v>
      </c>
      <c r="D115" s="128" t="s">
        <v>1</v>
      </c>
      <c r="E115" s="130">
        <v>1.229166666666667</v>
      </c>
      <c r="F115" s="128" t="s">
        <v>42</v>
      </c>
      <c r="G115" s="131">
        <v>4</v>
      </c>
      <c r="H115" s="128" t="s">
        <v>127</v>
      </c>
    </row>
    <row r="116" spans="1:8" ht="18" x14ac:dyDescent="0.3">
      <c r="A116" s="150">
        <v>45991</v>
      </c>
      <c r="B116" s="151" t="s">
        <v>35</v>
      </c>
      <c r="C116" s="152" t="s">
        <v>47</v>
      </c>
      <c r="D116" s="151" t="s">
        <v>1</v>
      </c>
      <c r="E116" s="153">
        <v>1.895833333333333</v>
      </c>
      <c r="F116" s="151" t="s">
        <v>42</v>
      </c>
      <c r="G116" s="154">
        <v>1</v>
      </c>
      <c r="H116" s="151" t="s">
        <v>49</v>
      </c>
    </row>
  </sheetData>
  <dataValidations count="6">
    <dataValidation type="custom" allowBlank="1" showInputMessage="1" promptTitle="LOAD FACTOR ANALYSIS" prompt="SM495_x000d__x000a_LF 99.4%_x000d__x000a_SOLD 179_x000d__x000a_LST-SOLD 22NOV_x000d__x000a_WEEKLY 6_x000d__x000a_TO-DAY NIL_x000d__x000a_Y-DAY 4_x000d__x000a_LOWEST AVAIL CLOSED_x000d__x000a_CAPACITY 180_x000d__x000a_CLASSES V6 &amp; G1 &amp; I9 &amp; +2 more" sqref="A24 B24 C24 D24 E24 F24 G24 H24" xr:uid="{00000000-0002-0000-0200-000000000000}">
      <formula1>TRUE</formula1>
    </dataValidation>
    <dataValidation type="custom" allowBlank="1" showInputMessage="1" promptTitle="LOAD FACTOR ANALYSIS" prompt="SM-493_x000d__x000a_LF 98.9%_x000d__x000a_SOLD 178_x000d__x000a_LST-SOLD 21NOV_x000d__x000a_WEEKLY 4_x000d__x000a_TO-DAY NIL_x000d__x000a_Y-DAY NIL_x000d__x000a_LOWEST AVAIL G2_x000d__x000a_CAPACITY 180_x000d__x000a_CLASSES G1 &amp; U3 &amp; O12 &amp; +4 more" sqref="A28 B28 C28 D28 E28 F28 G28 H28" xr:uid="{00000000-0002-0000-0200-000001000000}">
      <formula1>TRUE</formula1>
    </dataValidation>
    <dataValidation type="custom" allowBlank="1" showInputMessage="1" promptTitle="LOAD FACTOR ANALYSIS" prompt="SM487_x000d__x000a_LF 99.4%_x000d__x000a_SOLD 179_x000d__x000a_LST-SOLD 23NOV_x000d__x000a_WEEKLY 5_x000d__x000a_TO-DAY 4_x000d__x000a_Y-DAY 1_x000d__x000a_LOWEST AVAIL CLOSED_x000d__x000a_CAPACITY 180_x000d__x000a_CLASSES W4 &amp; T10 &amp; X10 &amp; +4 more" sqref="A29 B29 C29 D29 E29 F29 G29 H29" xr:uid="{00000000-0002-0000-0200-000002000000}">
      <formula1>TRUE</formula1>
    </dataValidation>
    <dataValidation type="custom" allowBlank="1" showInputMessage="1" promptTitle="LOAD FACTOR ANALYSIS" prompt="SM493_x000d__x000a_LF 1.0%_x000d__x000a_SOLD 180_x000d__x000a_LST-SOLD 09NOV_x000d__x000a_WEEKLY NIL_x000d__x000a_TO-DAY NIL_x000d__x000a_Y-DAY NIL_x000d__x000a_LOWEST AVAIL CLOSED_x000d__x000a_CAPACITY 180_x000d__x000a_CLASSES L1 &amp; O3 &amp; I8 &amp; +1 more" sqref="A71 B71 C71 D71 E71 F71 G71 H71" xr:uid="{00000000-0002-0000-0200-000003000000}">
      <formula1>TRUE</formula1>
    </dataValidation>
    <dataValidation type="custom" allowBlank="1" showInputMessage="1" promptTitle="LOAD FACTOR ANALYSIS" prompt="SM493_x000d__x000a_LF 99.4%_x000d__x000a_SOLD 179_x000d__x000a_LST-SOLD 16NOV_x000d__x000a_WEEKLY 1_x000d__x000a_TO-DAY NIL_x000d__x000a_Y-DAY NIL_x000d__x000a_LOWEST AVAIL CLOSED_x000d__x000a_CAPACITY 180_x000d__x000a_CLASSES G2 &amp; X7 &amp; U11 &amp; +4 more" sqref="A103 B103 C103 D103 E103 F103 G103 H103" xr:uid="{00000000-0002-0000-0200-000004000000}">
      <formula1>TRUE</formula1>
    </dataValidation>
    <dataValidation type="custom" allowBlank="1" showInputMessage="1" promptTitle="LOAD FACTOR ANALYSIS" prompt="SM-493_x000d__x000a_LF 99.4%_x000d__x000a_SOLD 179_x000d__x000a_LST-SOLD 16NOV_x000d__x000a_WEEKLY 2_x000d__x000a_TO-DAY NIL_x000d__x000a_Y-DAY NIL_x000d__x000a_LOWEST AVAIL L1_x000d__x000a_CAPACITY 180_x000d__x000a_CLASSES L4 &amp; X8 &amp; U11 &amp; +3 more" sqref="A112 B112 C112 D112 E112 F112 G112 H112" xr:uid="{00000000-0002-0000-0200-000005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79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332031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197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45984.358519391863</v>
      </c>
      <c r="H2" s="287"/>
      <c r="I2" s="287"/>
      <c r="J2" s="287"/>
      <c r="K2" s="292">
        <v>45984.358519392408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65" t="s">
        <v>71</v>
      </c>
      <c r="B6" s="165" t="s">
        <v>198</v>
      </c>
      <c r="C6" s="166">
        <v>0.15972222222222221</v>
      </c>
      <c r="D6" s="165" t="s">
        <v>73</v>
      </c>
      <c r="E6" s="167"/>
      <c r="F6" s="165" t="s">
        <v>74</v>
      </c>
      <c r="G6" s="276"/>
      <c r="H6" s="168" t="s">
        <v>198</v>
      </c>
      <c r="I6" s="169">
        <v>1</v>
      </c>
      <c r="J6" s="170">
        <v>180</v>
      </c>
      <c r="K6" s="171">
        <v>45983</v>
      </c>
      <c r="L6" s="170">
        <v>47</v>
      </c>
      <c r="M6" s="170">
        <v>0</v>
      </c>
      <c r="N6" s="170">
        <v>3</v>
      </c>
      <c r="O6" s="172" t="s">
        <v>75</v>
      </c>
      <c r="P6" s="173">
        <v>0.15972222222222221</v>
      </c>
      <c r="Q6" s="170">
        <v>180</v>
      </c>
      <c r="R6" s="174" t="s">
        <v>199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200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26</v>
      </c>
      <c r="C8" s="20" t="s">
        <v>201</v>
      </c>
      <c r="D8" s="19" t="s">
        <v>27</v>
      </c>
      <c r="E8" s="19" t="s">
        <v>202</v>
      </c>
      <c r="F8" s="19" t="s">
        <v>29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71</v>
      </c>
      <c r="B9" s="19" t="s">
        <v>80</v>
      </c>
      <c r="C9" s="20" t="s">
        <v>203</v>
      </c>
      <c r="D9" s="19" t="s">
        <v>81</v>
      </c>
      <c r="E9" s="19" t="s">
        <v>204</v>
      </c>
      <c r="F9" s="19" t="s">
        <v>83</v>
      </c>
      <c r="G9" s="277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25</v>
      </c>
      <c r="B10" s="19" t="s">
        <v>26</v>
      </c>
      <c r="C10" s="20" t="s">
        <v>201</v>
      </c>
      <c r="D10" s="19" t="s">
        <v>33</v>
      </c>
      <c r="E10" s="19" t="s">
        <v>202</v>
      </c>
      <c r="F10" s="19" t="s">
        <v>79</v>
      </c>
      <c r="G10" s="277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63</v>
      </c>
      <c r="B11" s="19" t="s">
        <v>64</v>
      </c>
      <c r="C11" s="20" t="s">
        <v>205</v>
      </c>
      <c r="D11" s="19" t="s">
        <v>48</v>
      </c>
      <c r="E11" s="19" t="s">
        <v>206</v>
      </c>
      <c r="F11" s="19" t="s">
        <v>39</v>
      </c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63</v>
      </c>
      <c r="B12" s="19" t="s">
        <v>66</v>
      </c>
      <c r="C12" s="20" t="s">
        <v>207</v>
      </c>
      <c r="D12" s="19" t="s">
        <v>48</v>
      </c>
      <c r="E12" s="19" t="s">
        <v>206</v>
      </c>
      <c r="F12" s="19" t="s">
        <v>39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63</v>
      </c>
      <c r="B13" s="19" t="s">
        <v>67</v>
      </c>
      <c r="C13" s="20" t="s">
        <v>208</v>
      </c>
      <c r="D13" s="19" t="s">
        <v>48</v>
      </c>
      <c r="E13" s="19" t="s">
        <v>206</v>
      </c>
      <c r="F13" s="19" t="s">
        <v>39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25</v>
      </c>
      <c r="B14" s="19" t="s">
        <v>26</v>
      </c>
      <c r="C14" s="20" t="s">
        <v>201</v>
      </c>
      <c r="D14" s="19" t="s">
        <v>30</v>
      </c>
      <c r="E14" s="19" t="s">
        <v>202</v>
      </c>
      <c r="F14" s="19" t="s">
        <v>32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54</v>
      </c>
      <c r="B15" s="19" t="s">
        <v>55</v>
      </c>
      <c r="C15" s="20" t="s">
        <v>209</v>
      </c>
      <c r="D15" s="19" t="s">
        <v>56</v>
      </c>
      <c r="E15" s="19" t="s">
        <v>204</v>
      </c>
      <c r="F15" s="19" t="s">
        <v>32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54</v>
      </c>
      <c r="B16" s="19" t="s">
        <v>55</v>
      </c>
      <c r="C16" s="20" t="s">
        <v>209</v>
      </c>
      <c r="D16" s="19" t="s">
        <v>58</v>
      </c>
      <c r="E16" s="19" t="s">
        <v>204</v>
      </c>
      <c r="F16" s="19" t="s">
        <v>59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63" t="s">
        <v>54</v>
      </c>
      <c r="B17" s="63" t="s">
        <v>55</v>
      </c>
      <c r="C17" s="64" t="s">
        <v>209</v>
      </c>
      <c r="D17" s="63" t="s">
        <v>60</v>
      </c>
      <c r="E17" s="63" t="s">
        <v>204</v>
      </c>
      <c r="F17" s="63" t="s">
        <v>61</v>
      </c>
      <c r="G17" s="278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9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2.05" customHeight="1" x14ac:dyDescent="0.3">
      <c r="A19" s="290" t="s">
        <v>5</v>
      </c>
      <c r="B19" s="291"/>
      <c r="C19" s="291"/>
      <c r="D19" s="291"/>
      <c r="E19" s="291"/>
      <c r="F19" s="291"/>
      <c r="G19" s="5">
        <v>45987</v>
      </c>
      <c r="H19" s="274" t="s">
        <v>6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4" customHeight="1" x14ac:dyDescent="0.3">
      <c r="A20" s="31" t="s">
        <v>7</v>
      </c>
      <c r="B20" s="31" t="s">
        <v>8</v>
      </c>
      <c r="C20" s="32" t="s">
        <v>9</v>
      </c>
      <c r="D20" s="31" t="s">
        <v>10</v>
      </c>
      <c r="E20" s="31" t="s">
        <v>11</v>
      </c>
      <c r="F20" s="31" t="s">
        <v>12</v>
      </c>
      <c r="G20" s="33" t="s">
        <v>13</v>
      </c>
      <c r="H20" s="31" t="s">
        <v>14</v>
      </c>
      <c r="I20" s="34" t="s">
        <v>15</v>
      </c>
      <c r="J20" s="35" t="s">
        <v>16</v>
      </c>
      <c r="K20" s="36" t="s">
        <v>17</v>
      </c>
      <c r="L20" s="35" t="s">
        <v>18</v>
      </c>
      <c r="M20" s="35" t="s">
        <v>19</v>
      </c>
      <c r="N20" s="35" t="s">
        <v>20</v>
      </c>
      <c r="O20" s="31" t="s">
        <v>21</v>
      </c>
      <c r="P20" s="32" t="s">
        <v>22</v>
      </c>
      <c r="Q20" s="35" t="s">
        <v>23</v>
      </c>
      <c r="R20" s="31" t="s">
        <v>24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37" t="s">
        <v>71</v>
      </c>
      <c r="B21" s="37" t="s">
        <v>198</v>
      </c>
      <c r="C21" s="38">
        <v>0.77777777777777779</v>
      </c>
      <c r="D21" s="37" t="s">
        <v>73</v>
      </c>
      <c r="E21" s="181"/>
      <c r="F21" s="37" t="s">
        <v>74</v>
      </c>
      <c r="G21" s="276"/>
      <c r="H21" s="39" t="s">
        <v>198</v>
      </c>
      <c r="I21" s="40">
        <v>0.99439999999999995</v>
      </c>
      <c r="J21" s="41">
        <v>179</v>
      </c>
      <c r="K21" s="42">
        <v>45976</v>
      </c>
      <c r="L21" s="41">
        <v>0</v>
      </c>
      <c r="M21" s="41">
        <v>0</v>
      </c>
      <c r="N21" s="41">
        <v>0</v>
      </c>
      <c r="O21" s="43" t="s">
        <v>75</v>
      </c>
      <c r="P21" s="44">
        <v>0.77777777777777779</v>
      </c>
      <c r="Q21" s="41">
        <v>180</v>
      </c>
      <c r="R21" s="45" t="s">
        <v>210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8" x14ac:dyDescent="0.3">
      <c r="A22" s="300" t="s">
        <v>200</v>
      </c>
      <c r="B22" s="301"/>
      <c r="C22" s="301"/>
      <c r="D22" s="301"/>
      <c r="E22" s="301"/>
      <c r="F22" s="301"/>
      <c r="G22" s="277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25</v>
      </c>
      <c r="B23" s="19" t="s">
        <v>26</v>
      </c>
      <c r="C23" s="20" t="s">
        <v>201</v>
      </c>
      <c r="D23" s="19" t="s">
        <v>97</v>
      </c>
      <c r="E23" s="19" t="s">
        <v>202</v>
      </c>
      <c r="F23" s="19" t="s">
        <v>98</v>
      </c>
      <c r="G23" s="277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63</v>
      </c>
      <c r="B24" s="19" t="s">
        <v>68</v>
      </c>
      <c r="C24" s="20" t="s">
        <v>211</v>
      </c>
      <c r="D24" s="19" t="s">
        <v>48</v>
      </c>
      <c r="E24" s="19" t="s">
        <v>206</v>
      </c>
      <c r="F24" s="19" t="s">
        <v>99</v>
      </c>
      <c r="G24" s="277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54</v>
      </c>
      <c r="B25" s="19" t="s">
        <v>55</v>
      </c>
      <c r="C25" s="20" t="s">
        <v>209</v>
      </c>
      <c r="D25" s="19" t="s">
        <v>56</v>
      </c>
      <c r="E25" s="19" t="s">
        <v>212</v>
      </c>
      <c r="F25" s="19" t="s">
        <v>101</v>
      </c>
      <c r="G25" s="277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35</v>
      </c>
      <c r="B26" s="19" t="s">
        <v>36</v>
      </c>
      <c r="C26" s="20" t="s">
        <v>213</v>
      </c>
      <c r="D26" s="19" t="s">
        <v>48</v>
      </c>
      <c r="E26" s="19" t="s">
        <v>214</v>
      </c>
      <c r="F26" s="19" t="s">
        <v>46</v>
      </c>
      <c r="G26" s="277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35</v>
      </c>
      <c r="B27" s="19" t="s">
        <v>47</v>
      </c>
      <c r="C27" s="20" t="s">
        <v>215</v>
      </c>
      <c r="D27" s="19" t="s">
        <v>42</v>
      </c>
      <c r="E27" s="19" t="s">
        <v>206</v>
      </c>
      <c r="F27" s="19" t="s">
        <v>46</v>
      </c>
      <c r="G27" s="277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35</v>
      </c>
      <c r="B28" s="19" t="s">
        <v>47</v>
      </c>
      <c r="C28" s="20" t="s">
        <v>215</v>
      </c>
      <c r="D28" s="19" t="s">
        <v>48</v>
      </c>
      <c r="E28" s="19" t="s">
        <v>206</v>
      </c>
      <c r="F28" s="19" t="s">
        <v>46</v>
      </c>
      <c r="G28" s="277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35</v>
      </c>
      <c r="B29" s="19" t="s">
        <v>44</v>
      </c>
      <c r="C29" s="20" t="s">
        <v>216</v>
      </c>
      <c r="D29" s="19" t="s">
        <v>42</v>
      </c>
      <c r="E29" s="19" t="s">
        <v>206</v>
      </c>
      <c r="F29" s="19" t="s">
        <v>46</v>
      </c>
      <c r="G29" s="277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44</v>
      </c>
      <c r="C30" s="20" t="s">
        <v>216</v>
      </c>
      <c r="D30" s="19" t="s">
        <v>48</v>
      </c>
      <c r="E30" s="19" t="s">
        <v>206</v>
      </c>
      <c r="F30" s="19" t="s">
        <v>46</v>
      </c>
      <c r="G30" s="277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54</v>
      </c>
      <c r="B31" s="19" t="s">
        <v>55</v>
      </c>
      <c r="C31" s="20" t="s">
        <v>209</v>
      </c>
      <c r="D31" s="19" t="s">
        <v>58</v>
      </c>
      <c r="E31" s="19" t="s">
        <v>212</v>
      </c>
      <c r="F31" s="19" t="s">
        <v>102</v>
      </c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63" t="s">
        <v>54</v>
      </c>
      <c r="B32" s="63" t="s">
        <v>55</v>
      </c>
      <c r="C32" s="64" t="s">
        <v>209</v>
      </c>
      <c r="D32" s="63" t="s">
        <v>60</v>
      </c>
      <c r="E32" s="63" t="s">
        <v>212</v>
      </c>
      <c r="F32" s="63" t="s">
        <v>103</v>
      </c>
      <c r="G32" s="278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4.4" customHeight="1" x14ac:dyDescent="0.3">
      <c r="A33" s="279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1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22.05" customHeight="1" x14ac:dyDescent="0.3">
      <c r="A34" s="290" t="s">
        <v>5</v>
      </c>
      <c r="B34" s="291"/>
      <c r="C34" s="291"/>
      <c r="D34" s="291"/>
      <c r="E34" s="291"/>
      <c r="F34" s="291"/>
      <c r="G34" s="5">
        <v>45988</v>
      </c>
      <c r="H34" s="274" t="s">
        <v>6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4" customHeight="1" x14ac:dyDescent="0.3">
      <c r="A35" s="31" t="s">
        <v>7</v>
      </c>
      <c r="B35" s="31" t="s">
        <v>8</v>
      </c>
      <c r="C35" s="32" t="s">
        <v>9</v>
      </c>
      <c r="D35" s="31" t="s">
        <v>10</v>
      </c>
      <c r="E35" s="31" t="s">
        <v>11</v>
      </c>
      <c r="F35" s="31" t="s">
        <v>12</v>
      </c>
      <c r="G35" s="33" t="s">
        <v>13</v>
      </c>
      <c r="H35" s="31" t="s">
        <v>14</v>
      </c>
      <c r="I35" s="34" t="s">
        <v>15</v>
      </c>
      <c r="J35" s="35" t="s">
        <v>16</v>
      </c>
      <c r="K35" s="36" t="s">
        <v>17</v>
      </c>
      <c r="L35" s="35" t="s">
        <v>18</v>
      </c>
      <c r="M35" s="35" t="s">
        <v>19</v>
      </c>
      <c r="N35" s="35" t="s">
        <v>20</v>
      </c>
      <c r="O35" s="31" t="s">
        <v>21</v>
      </c>
      <c r="P35" s="32" t="s">
        <v>22</v>
      </c>
      <c r="Q35" s="35" t="s">
        <v>23</v>
      </c>
      <c r="R35" s="31" t="s">
        <v>24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8" t="s">
        <v>63</v>
      </c>
      <c r="B36" s="8" t="s">
        <v>217</v>
      </c>
      <c r="C36" s="9">
        <v>0.3576388888888889</v>
      </c>
      <c r="D36" s="8" t="s">
        <v>48</v>
      </c>
      <c r="E36" s="8" t="s">
        <v>57</v>
      </c>
      <c r="F36" s="8" t="s">
        <v>218</v>
      </c>
      <c r="G36" s="276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82" t="s">
        <v>71</v>
      </c>
      <c r="B37" s="182" t="s">
        <v>198</v>
      </c>
      <c r="C37" s="183">
        <v>0.47916666666666669</v>
      </c>
      <c r="D37" s="182" t="s">
        <v>73</v>
      </c>
      <c r="E37" s="184"/>
      <c r="F37" s="182" t="s">
        <v>74</v>
      </c>
      <c r="G37" s="277"/>
      <c r="H37" s="49" t="s">
        <v>198</v>
      </c>
      <c r="I37" s="50">
        <v>1</v>
      </c>
      <c r="J37" s="51">
        <v>180</v>
      </c>
      <c r="K37" s="52">
        <v>45980</v>
      </c>
      <c r="L37" s="51">
        <v>2</v>
      </c>
      <c r="M37" s="51">
        <v>0</v>
      </c>
      <c r="N37" s="51">
        <v>0</v>
      </c>
      <c r="O37" s="53" t="s">
        <v>75</v>
      </c>
      <c r="P37" s="54">
        <v>0.47916666666666669</v>
      </c>
      <c r="Q37" s="51">
        <v>180</v>
      </c>
      <c r="R37" s="55" t="s">
        <v>219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8" x14ac:dyDescent="0.3">
      <c r="A38" s="300" t="s">
        <v>200</v>
      </c>
      <c r="B38" s="301"/>
      <c r="C38" s="301"/>
      <c r="D38" s="301"/>
      <c r="E38" s="301"/>
      <c r="F38" s="301"/>
      <c r="G38" s="277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54</v>
      </c>
      <c r="B39" s="19" t="s">
        <v>55</v>
      </c>
      <c r="C39" s="20" t="s">
        <v>209</v>
      </c>
      <c r="D39" s="19" t="s">
        <v>56</v>
      </c>
      <c r="E39" s="19" t="s">
        <v>220</v>
      </c>
      <c r="F39" s="19" t="s">
        <v>32</v>
      </c>
      <c r="G39" s="277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25</v>
      </c>
      <c r="B40" s="19" t="s">
        <v>26</v>
      </c>
      <c r="C40" s="20" t="s">
        <v>201</v>
      </c>
      <c r="D40" s="19" t="s">
        <v>27</v>
      </c>
      <c r="E40" s="19" t="s">
        <v>214</v>
      </c>
      <c r="F40" s="19" t="s">
        <v>108</v>
      </c>
      <c r="G40" s="277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54</v>
      </c>
      <c r="B41" s="19" t="s">
        <v>55</v>
      </c>
      <c r="C41" s="20" t="s">
        <v>209</v>
      </c>
      <c r="D41" s="19" t="s">
        <v>58</v>
      </c>
      <c r="E41" s="19" t="s">
        <v>220</v>
      </c>
      <c r="F41" s="19" t="s">
        <v>59</v>
      </c>
      <c r="G41" s="277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25</v>
      </c>
      <c r="B42" s="19" t="s">
        <v>26</v>
      </c>
      <c r="C42" s="20" t="s">
        <v>201</v>
      </c>
      <c r="D42" s="19" t="s">
        <v>30</v>
      </c>
      <c r="E42" s="19" t="s">
        <v>214</v>
      </c>
      <c r="F42" s="19" t="s">
        <v>110</v>
      </c>
      <c r="G42" s="277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54</v>
      </c>
      <c r="B43" s="19" t="s">
        <v>55</v>
      </c>
      <c r="C43" s="20" t="s">
        <v>209</v>
      </c>
      <c r="D43" s="19" t="s">
        <v>60</v>
      </c>
      <c r="E43" s="19" t="s">
        <v>220</v>
      </c>
      <c r="F43" s="19" t="s">
        <v>61</v>
      </c>
      <c r="G43" s="277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54</v>
      </c>
      <c r="B44" s="19" t="s">
        <v>62</v>
      </c>
      <c r="C44" s="20" t="s">
        <v>221</v>
      </c>
      <c r="D44" s="19" t="s">
        <v>56</v>
      </c>
      <c r="E44" s="19" t="s">
        <v>220</v>
      </c>
      <c r="F44" s="19" t="s">
        <v>101</v>
      </c>
      <c r="G44" s="277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35</v>
      </c>
      <c r="B45" s="19" t="s">
        <v>47</v>
      </c>
      <c r="C45" s="20" t="s">
        <v>215</v>
      </c>
      <c r="D45" s="19" t="s">
        <v>42</v>
      </c>
      <c r="E45" s="19" t="s">
        <v>204</v>
      </c>
      <c r="F45" s="19" t="s">
        <v>46</v>
      </c>
      <c r="G45" s="277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25</v>
      </c>
      <c r="B46" s="19" t="s">
        <v>26</v>
      </c>
      <c r="C46" s="20" t="s">
        <v>201</v>
      </c>
      <c r="D46" s="19" t="s">
        <v>33</v>
      </c>
      <c r="E46" s="19" t="s">
        <v>214</v>
      </c>
      <c r="F46" s="19" t="s">
        <v>34</v>
      </c>
      <c r="G46" s="277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54</v>
      </c>
      <c r="B47" s="19" t="s">
        <v>62</v>
      </c>
      <c r="C47" s="20" t="s">
        <v>221</v>
      </c>
      <c r="D47" s="19" t="s">
        <v>58</v>
      </c>
      <c r="E47" s="19" t="s">
        <v>220</v>
      </c>
      <c r="F47" s="19" t="s">
        <v>102</v>
      </c>
      <c r="G47" s="277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63" t="s">
        <v>54</v>
      </c>
      <c r="B48" s="63" t="s">
        <v>62</v>
      </c>
      <c r="C48" s="64" t="s">
        <v>221</v>
      </c>
      <c r="D48" s="63" t="s">
        <v>60</v>
      </c>
      <c r="E48" s="63" t="s">
        <v>220</v>
      </c>
      <c r="F48" s="63" t="s">
        <v>103</v>
      </c>
      <c r="G48" s="278"/>
      <c r="H48" s="178"/>
      <c r="I48" s="178"/>
      <c r="J48" s="178"/>
      <c r="K48" s="178"/>
      <c r="L48" s="178"/>
      <c r="M48" s="178"/>
      <c r="N48" s="178"/>
      <c r="O48" s="179"/>
      <c r="P48" s="178"/>
      <c r="Q48" s="180"/>
      <c r="R48" s="180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4.4" customHeight="1" x14ac:dyDescent="0.3">
      <c r="A49" s="282"/>
      <c r="B49" s="283"/>
      <c r="C49" s="283"/>
      <c r="D49" s="283"/>
      <c r="E49" s="283"/>
      <c r="F49" s="283"/>
      <c r="G49" s="280"/>
      <c r="H49" s="284"/>
      <c r="I49" s="284"/>
      <c r="J49" s="284"/>
      <c r="K49" s="284"/>
      <c r="L49" s="284"/>
      <c r="M49" s="284"/>
      <c r="N49" s="284"/>
      <c r="O49" s="285"/>
      <c r="P49" s="284"/>
      <c r="Q49" s="280"/>
      <c r="R49" s="281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22.05" customHeight="1" x14ac:dyDescent="0.3">
      <c r="A50" s="290" t="s">
        <v>5</v>
      </c>
      <c r="B50" s="291"/>
      <c r="C50" s="291"/>
      <c r="D50" s="291"/>
      <c r="E50" s="291"/>
      <c r="F50" s="291"/>
      <c r="G50" s="5">
        <v>45989</v>
      </c>
      <c r="H50" s="274" t="s">
        <v>6</v>
      </c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24" customHeight="1" x14ac:dyDescent="0.3">
      <c r="A51" s="31" t="s">
        <v>7</v>
      </c>
      <c r="B51" s="31" t="s">
        <v>8</v>
      </c>
      <c r="C51" s="32" t="s">
        <v>9</v>
      </c>
      <c r="D51" s="31" t="s">
        <v>10</v>
      </c>
      <c r="E51" s="31" t="s">
        <v>11</v>
      </c>
      <c r="F51" s="31" t="s">
        <v>12</v>
      </c>
      <c r="G51" s="33" t="s">
        <v>13</v>
      </c>
      <c r="H51" s="31" t="s">
        <v>14</v>
      </c>
      <c r="I51" s="34" t="s">
        <v>15</v>
      </c>
      <c r="J51" s="35" t="s">
        <v>16</v>
      </c>
      <c r="K51" s="36" t="s">
        <v>17</v>
      </c>
      <c r="L51" s="35" t="s">
        <v>18</v>
      </c>
      <c r="M51" s="35" t="s">
        <v>19</v>
      </c>
      <c r="N51" s="35" t="s">
        <v>20</v>
      </c>
      <c r="O51" s="31" t="s">
        <v>21</v>
      </c>
      <c r="P51" s="32" t="s">
        <v>22</v>
      </c>
      <c r="Q51" s="35" t="s">
        <v>23</v>
      </c>
      <c r="R51" s="31" t="s">
        <v>24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8" t="s">
        <v>63</v>
      </c>
      <c r="B52" s="8" t="s">
        <v>217</v>
      </c>
      <c r="C52" s="9">
        <v>0.3576388888888889</v>
      </c>
      <c r="D52" s="8" t="s">
        <v>48</v>
      </c>
      <c r="E52" s="8" t="s">
        <v>38</v>
      </c>
      <c r="F52" s="8" t="s">
        <v>222</v>
      </c>
      <c r="G52" s="276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8" x14ac:dyDescent="0.3">
      <c r="A53" s="300" t="s">
        <v>200</v>
      </c>
      <c r="B53" s="301"/>
      <c r="C53" s="301"/>
      <c r="D53" s="301"/>
      <c r="E53" s="301"/>
      <c r="F53" s="301"/>
      <c r="G53" s="277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25</v>
      </c>
      <c r="B54" s="19" t="s">
        <v>26</v>
      </c>
      <c r="C54" s="20" t="s">
        <v>201</v>
      </c>
      <c r="D54" s="19" t="s">
        <v>27</v>
      </c>
      <c r="E54" s="19" t="s">
        <v>223</v>
      </c>
      <c r="F54" s="19" t="s">
        <v>108</v>
      </c>
      <c r="G54" s="277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54</v>
      </c>
      <c r="B55" s="19" t="s">
        <v>55</v>
      </c>
      <c r="C55" s="20" t="s">
        <v>209</v>
      </c>
      <c r="D55" s="19" t="s">
        <v>56</v>
      </c>
      <c r="E55" s="19" t="s">
        <v>220</v>
      </c>
      <c r="F55" s="19" t="s">
        <v>113</v>
      </c>
      <c r="G55" s="277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63</v>
      </c>
      <c r="B56" s="19" t="s">
        <v>68</v>
      </c>
      <c r="C56" s="20" t="s">
        <v>224</v>
      </c>
      <c r="D56" s="19" t="s">
        <v>48</v>
      </c>
      <c r="E56" s="19" t="s">
        <v>206</v>
      </c>
      <c r="F56" s="19" t="s">
        <v>99</v>
      </c>
      <c r="G56" s="277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54</v>
      </c>
      <c r="B57" s="19" t="s">
        <v>55</v>
      </c>
      <c r="C57" s="20" t="s">
        <v>209</v>
      </c>
      <c r="D57" s="19" t="s">
        <v>58</v>
      </c>
      <c r="E57" s="19" t="s">
        <v>220</v>
      </c>
      <c r="F57" s="19" t="s">
        <v>114</v>
      </c>
      <c r="G57" s="277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25</v>
      </c>
      <c r="B58" s="19" t="s">
        <v>26</v>
      </c>
      <c r="C58" s="20" t="s">
        <v>201</v>
      </c>
      <c r="D58" s="19" t="s">
        <v>30</v>
      </c>
      <c r="E58" s="19" t="s">
        <v>223</v>
      </c>
      <c r="F58" s="19" t="s">
        <v>110</v>
      </c>
      <c r="G58" s="277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54</v>
      </c>
      <c r="B59" s="19" t="s">
        <v>55</v>
      </c>
      <c r="C59" s="20" t="s">
        <v>209</v>
      </c>
      <c r="D59" s="19" t="s">
        <v>60</v>
      </c>
      <c r="E59" s="19" t="s">
        <v>220</v>
      </c>
      <c r="F59" s="19" t="s">
        <v>115</v>
      </c>
      <c r="G59" s="277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63</v>
      </c>
      <c r="B60" s="19" t="s">
        <v>70</v>
      </c>
      <c r="C60" s="20" t="s">
        <v>225</v>
      </c>
      <c r="D60" s="19" t="s">
        <v>48</v>
      </c>
      <c r="E60" s="19" t="s">
        <v>206</v>
      </c>
      <c r="F60" s="19" t="s">
        <v>69</v>
      </c>
      <c r="G60" s="277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25</v>
      </c>
      <c r="B61" s="19" t="s">
        <v>26</v>
      </c>
      <c r="C61" s="20" t="s">
        <v>201</v>
      </c>
      <c r="D61" s="19" t="s">
        <v>33</v>
      </c>
      <c r="E61" s="19" t="s">
        <v>223</v>
      </c>
      <c r="F61" s="19" t="s">
        <v>34</v>
      </c>
      <c r="G61" s="277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63</v>
      </c>
      <c r="B62" s="19" t="s">
        <v>66</v>
      </c>
      <c r="C62" s="20" t="s">
        <v>207</v>
      </c>
      <c r="D62" s="19" t="s">
        <v>48</v>
      </c>
      <c r="E62" s="19" t="s">
        <v>206</v>
      </c>
      <c r="F62" s="19" t="s">
        <v>100</v>
      </c>
      <c r="G62" s="277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63" t="s">
        <v>35</v>
      </c>
      <c r="B63" s="63" t="s">
        <v>36</v>
      </c>
      <c r="C63" s="64" t="s">
        <v>213</v>
      </c>
      <c r="D63" s="63" t="s">
        <v>42</v>
      </c>
      <c r="E63" s="63" t="s">
        <v>206</v>
      </c>
      <c r="F63" s="63" t="s">
        <v>116</v>
      </c>
      <c r="G63" s="278"/>
      <c r="H63" s="178"/>
      <c r="I63" s="178"/>
      <c r="J63" s="178"/>
      <c r="K63" s="178"/>
      <c r="L63" s="178"/>
      <c r="M63" s="178"/>
      <c r="N63" s="178"/>
      <c r="O63" s="179"/>
      <c r="P63" s="178"/>
      <c r="Q63" s="180"/>
      <c r="R63" s="180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4.4" customHeight="1" x14ac:dyDescent="0.3">
      <c r="A64" s="279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1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22.05" customHeight="1" x14ac:dyDescent="0.3">
      <c r="A65" s="290" t="s">
        <v>5</v>
      </c>
      <c r="B65" s="291"/>
      <c r="C65" s="291"/>
      <c r="D65" s="291"/>
      <c r="E65" s="291"/>
      <c r="F65" s="291"/>
      <c r="G65" s="5">
        <v>45991</v>
      </c>
      <c r="H65" s="274" t="s">
        <v>6</v>
      </c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24" customHeight="1" x14ac:dyDescent="0.3">
      <c r="A66" s="31" t="s">
        <v>7</v>
      </c>
      <c r="B66" s="31" t="s">
        <v>8</v>
      </c>
      <c r="C66" s="32" t="s">
        <v>9</v>
      </c>
      <c r="D66" s="31" t="s">
        <v>10</v>
      </c>
      <c r="E66" s="31" t="s">
        <v>11</v>
      </c>
      <c r="F66" s="31" t="s">
        <v>12</v>
      </c>
      <c r="G66" s="33" t="s">
        <v>13</v>
      </c>
      <c r="H66" s="31" t="s">
        <v>14</v>
      </c>
      <c r="I66" s="34" t="s">
        <v>15</v>
      </c>
      <c r="J66" s="35" t="s">
        <v>16</v>
      </c>
      <c r="K66" s="36" t="s">
        <v>17</v>
      </c>
      <c r="L66" s="35" t="s">
        <v>18</v>
      </c>
      <c r="M66" s="35" t="s">
        <v>19</v>
      </c>
      <c r="N66" s="35" t="s">
        <v>20</v>
      </c>
      <c r="O66" s="31" t="s">
        <v>21</v>
      </c>
      <c r="P66" s="32" t="s">
        <v>22</v>
      </c>
      <c r="Q66" s="35" t="s">
        <v>23</v>
      </c>
      <c r="R66" s="31" t="s">
        <v>24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82" t="s">
        <v>71</v>
      </c>
      <c r="B67" s="182" t="s">
        <v>198</v>
      </c>
      <c r="C67" s="183">
        <v>0.2361111111111111</v>
      </c>
      <c r="D67" s="182" t="s">
        <v>73</v>
      </c>
      <c r="E67" s="184"/>
      <c r="F67" s="182" t="s">
        <v>74</v>
      </c>
      <c r="G67" s="276"/>
      <c r="H67" s="49" t="s">
        <v>198</v>
      </c>
      <c r="I67" s="50">
        <v>1</v>
      </c>
      <c r="J67" s="51">
        <v>180</v>
      </c>
      <c r="K67" s="52">
        <v>45977</v>
      </c>
      <c r="L67" s="51">
        <v>2</v>
      </c>
      <c r="M67" s="51">
        <v>0</v>
      </c>
      <c r="N67" s="51">
        <v>0</v>
      </c>
      <c r="O67" s="53" t="s">
        <v>75</v>
      </c>
      <c r="P67" s="54">
        <v>0.2361111111111111</v>
      </c>
      <c r="Q67" s="51">
        <v>180</v>
      </c>
      <c r="R67" s="55" t="s">
        <v>226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8" x14ac:dyDescent="0.3">
      <c r="A68" s="300" t="s">
        <v>200</v>
      </c>
      <c r="B68" s="301"/>
      <c r="C68" s="301"/>
      <c r="D68" s="301"/>
      <c r="E68" s="301"/>
      <c r="F68" s="301"/>
      <c r="G68" s="277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25</v>
      </c>
      <c r="B69" s="19" t="s">
        <v>26</v>
      </c>
      <c r="C69" s="20" t="s">
        <v>201</v>
      </c>
      <c r="D69" s="19" t="s">
        <v>27</v>
      </c>
      <c r="E69" s="19" t="s">
        <v>223</v>
      </c>
      <c r="F69" s="19" t="s">
        <v>123</v>
      </c>
      <c r="G69" s="277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25</v>
      </c>
      <c r="B70" s="19" t="s">
        <v>26</v>
      </c>
      <c r="C70" s="20" t="s">
        <v>201</v>
      </c>
      <c r="D70" s="19" t="s">
        <v>30</v>
      </c>
      <c r="E70" s="19" t="s">
        <v>223</v>
      </c>
      <c r="F70" s="19" t="s">
        <v>79</v>
      </c>
      <c r="G70" s="277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9" t="s">
        <v>54</v>
      </c>
      <c r="B71" s="19" t="s">
        <v>55</v>
      </c>
      <c r="C71" s="20" t="s">
        <v>209</v>
      </c>
      <c r="D71" s="19" t="s">
        <v>56</v>
      </c>
      <c r="E71" s="19" t="s">
        <v>214</v>
      </c>
      <c r="F71" s="19" t="s">
        <v>118</v>
      </c>
      <c r="G71" s="277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9" t="s">
        <v>63</v>
      </c>
      <c r="B72" s="19" t="s">
        <v>68</v>
      </c>
      <c r="C72" s="20" t="s">
        <v>224</v>
      </c>
      <c r="D72" s="19" t="s">
        <v>48</v>
      </c>
      <c r="E72" s="19" t="s">
        <v>206</v>
      </c>
      <c r="F72" s="19" t="s">
        <v>39</v>
      </c>
      <c r="G72" s="277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9" t="s">
        <v>63</v>
      </c>
      <c r="B73" s="19" t="s">
        <v>66</v>
      </c>
      <c r="C73" s="20" t="s">
        <v>207</v>
      </c>
      <c r="D73" s="19" t="s">
        <v>48</v>
      </c>
      <c r="E73" s="19" t="s">
        <v>206</v>
      </c>
      <c r="F73" s="19" t="s">
        <v>39</v>
      </c>
      <c r="G73" s="277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9" t="s">
        <v>71</v>
      </c>
      <c r="B74" s="19" t="s">
        <v>80</v>
      </c>
      <c r="C74" s="20" t="s">
        <v>227</v>
      </c>
      <c r="D74" s="19" t="s">
        <v>81</v>
      </c>
      <c r="E74" s="19" t="s">
        <v>214</v>
      </c>
      <c r="F74" s="19" t="s">
        <v>124</v>
      </c>
      <c r="G74" s="277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54</v>
      </c>
      <c r="B75" s="19" t="s">
        <v>55</v>
      </c>
      <c r="C75" s="20" t="s">
        <v>209</v>
      </c>
      <c r="D75" s="19" t="s">
        <v>58</v>
      </c>
      <c r="E75" s="19" t="s">
        <v>214</v>
      </c>
      <c r="F75" s="19" t="s">
        <v>113</v>
      </c>
      <c r="G75" s="277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9" t="s">
        <v>54</v>
      </c>
      <c r="B76" s="19" t="s">
        <v>55</v>
      </c>
      <c r="C76" s="20" t="s">
        <v>209</v>
      </c>
      <c r="D76" s="19" t="s">
        <v>60</v>
      </c>
      <c r="E76" s="19" t="s">
        <v>214</v>
      </c>
      <c r="F76" s="19" t="s">
        <v>119</v>
      </c>
      <c r="G76" s="277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9" t="s">
        <v>35</v>
      </c>
      <c r="B77" s="19" t="s">
        <v>36</v>
      </c>
      <c r="C77" s="20" t="s">
        <v>213</v>
      </c>
      <c r="D77" s="19" t="s">
        <v>42</v>
      </c>
      <c r="E77" s="19" t="s">
        <v>214</v>
      </c>
      <c r="F77" s="19" t="s">
        <v>46</v>
      </c>
      <c r="G77" s="277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63" t="s">
        <v>35</v>
      </c>
      <c r="B78" s="63" t="s">
        <v>44</v>
      </c>
      <c r="C78" s="64" t="s">
        <v>216</v>
      </c>
      <c r="D78" s="63" t="s">
        <v>42</v>
      </c>
      <c r="E78" s="63" t="s">
        <v>206</v>
      </c>
      <c r="F78" s="63" t="s">
        <v>46</v>
      </c>
      <c r="G78" s="278"/>
      <c r="H78" s="178"/>
      <c r="I78" s="178"/>
      <c r="J78" s="178"/>
      <c r="K78" s="178"/>
      <c r="L78" s="178"/>
      <c r="M78" s="178"/>
      <c r="N78" s="178"/>
      <c r="O78" s="179"/>
      <c r="P78" s="178"/>
      <c r="Q78" s="180"/>
      <c r="R78" s="180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4.4" customHeight="1" x14ac:dyDescent="0.3">
      <c r="A79" s="279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</sheetData>
  <mergeCells count="34">
    <mergeCell ref="O1:Q1"/>
    <mergeCell ref="A50:F50"/>
    <mergeCell ref="H4:R4"/>
    <mergeCell ref="H50:R50"/>
    <mergeCell ref="A18:R18"/>
    <mergeCell ref="A2:F2"/>
    <mergeCell ref="A3:R3"/>
    <mergeCell ref="H34:R34"/>
    <mergeCell ref="A33:R33"/>
    <mergeCell ref="G36:G48"/>
    <mergeCell ref="J1:M1"/>
    <mergeCell ref="D1:F1"/>
    <mergeCell ref="A1:C1"/>
    <mergeCell ref="G1:H1"/>
    <mergeCell ref="K2:R2"/>
    <mergeCell ref="A34:F34"/>
    <mergeCell ref="H19:R19"/>
    <mergeCell ref="G6:G17"/>
    <mergeCell ref="H65:R65"/>
    <mergeCell ref="A64:R64"/>
    <mergeCell ref="A49:R49"/>
    <mergeCell ref="G52:G63"/>
    <mergeCell ref="G21:G32"/>
    <mergeCell ref="A22:F22"/>
    <mergeCell ref="G2:J2"/>
    <mergeCell ref="A4:F4"/>
    <mergeCell ref="A53:F53"/>
    <mergeCell ref="A38:F38"/>
    <mergeCell ref="A79:R79"/>
    <mergeCell ref="A7:F7"/>
    <mergeCell ref="A65:F65"/>
    <mergeCell ref="G67:G78"/>
    <mergeCell ref="A19:F19"/>
    <mergeCell ref="A68:F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10937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164</v>
      </c>
      <c r="B2" s="96">
        <v>45986</v>
      </c>
      <c r="C2" s="97" t="s">
        <v>198</v>
      </c>
      <c r="D2" s="98">
        <v>0.15972222222222221</v>
      </c>
      <c r="E2" s="97" t="s">
        <v>197</v>
      </c>
      <c r="F2" s="97" t="s">
        <v>158</v>
      </c>
      <c r="G2" s="99">
        <v>1</v>
      </c>
      <c r="H2" s="100">
        <v>180</v>
      </c>
      <c r="I2" s="100">
        <v>180</v>
      </c>
      <c r="J2" s="100">
        <v>166</v>
      </c>
      <c r="K2" s="96">
        <v>45983</v>
      </c>
      <c r="L2" s="100">
        <v>0</v>
      </c>
      <c r="M2" s="100">
        <v>3</v>
      </c>
      <c r="N2" s="100">
        <v>47</v>
      </c>
      <c r="O2" s="97" t="s">
        <v>75</v>
      </c>
      <c r="P2" s="101"/>
      <c r="Q2" s="101"/>
      <c r="R2" s="101"/>
      <c r="S2" s="101"/>
      <c r="T2" s="101"/>
      <c r="U2" s="101"/>
      <c r="V2" s="100" t="s">
        <v>228</v>
      </c>
      <c r="W2" s="101"/>
      <c r="X2" s="101"/>
      <c r="Y2" s="101"/>
      <c r="Z2" s="101"/>
      <c r="AA2" s="100" t="s">
        <v>229</v>
      </c>
      <c r="AB2" s="100" t="s">
        <v>230</v>
      </c>
      <c r="AC2" s="101"/>
      <c r="AD2" s="101"/>
      <c r="AE2" s="101"/>
      <c r="AF2" s="100" t="s">
        <v>231</v>
      </c>
      <c r="AG2" s="101"/>
      <c r="AH2" s="100" t="s">
        <v>171</v>
      </c>
      <c r="AI2" s="101"/>
    </row>
    <row r="3" spans="1:35" ht="18" x14ac:dyDescent="0.3">
      <c r="A3" s="102" t="s">
        <v>232</v>
      </c>
      <c r="B3" s="103">
        <v>45987</v>
      </c>
      <c r="C3" s="104" t="s">
        <v>198</v>
      </c>
      <c r="D3" s="105">
        <v>0.77777777777777779</v>
      </c>
      <c r="E3" s="104" t="s">
        <v>197</v>
      </c>
      <c r="F3" s="104" t="s">
        <v>158</v>
      </c>
      <c r="G3" s="106">
        <v>0.99439999999999995</v>
      </c>
      <c r="H3" s="107">
        <v>180</v>
      </c>
      <c r="I3" s="107">
        <v>179</v>
      </c>
      <c r="J3" s="107">
        <v>175</v>
      </c>
      <c r="K3" s="103">
        <v>45976</v>
      </c>
      <c r="L3" s="107">
        <v>0</v>
      </c>
      <c r="M3" s="107">
        <v>0</v>
      </c>
      <c r="N3" s="107">
        <v>0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7" t="s">
        <v>160</v>
      </c>
      <c r="Y3" s="108"/>
      <c r="Z3" s="108"/>
      <c r="AA3" s="108"/>
      <c r="AB3" s="108"/>
      <c r="AC3" s="108"/>
      <c r="AD3" s="108"/>
      <c r="AE3" s="107" t="s">
        <v>233</v>
      </c>
      <c r="AF3" s="108"/>
      <c r="AG3" s="108"/>
      <c r="AH3" s="107" t="s">
        <v>234</v>
      </c>
      <c r="AI3" s="108"/>
    </row>
    <row r="4" spans="1:35" ht="18" x14ac:dyDescent="0.3">
      <c r="A4" s="95" t="s">
        <v>177</v>
      </c>
      <c r="B4" s="96">
        <v>45988</v>
      </c>
      <c r="C4" s="97" t="s">
        <v>198</v>
      </c>
      <c r="D4" s="98">
        <v>0.47916666666666669</v>
      </c>
      <c r="E4" s="97" t="s">
        <v>197</v>
      </c>
      <c r="F4" s="97" t="s">
        <v>158</v>
      </c>
      <c r="G4" s="99">
        <v>1</v>
      </c>
      <c r="H4" s="100">
        <v>180</v>
      </c>
      <c r="I4" s="100">
        <v>180</v>
      </c>
      <c r="J4" s="100">
        <v>166</v>
      </c>
      <c r="K4" s="96">
        <v>45980</v>
      </c>
      <c r="L4" s="100">
        <v>0</v>
      </c>
      <c r="M4" s="100">
        <v>0</v>
      </c>
      <c r="N4" s="100">
        <v>2</v>
      </c>
      <c r="O4" s="97" t="s">
        <v>75</v>
      </c>
      <c r="P4" s="101"/>
      <c r="Q4" s="101"/>
      <c r="R4" s="101"/>
      <c r="S4" s="101"/>
      <c r="T4" s="101"/>
      <c r="U4" s="101"/>
      <c r="V4" s="101"/>
      <c r="W4" s="101"/>
      <c r="X4" s="100" t="s">
        <v>235</v>
      </c>
      <c r="Y4" s="101"/>
      <c r="Z4" s="101"/>
      <c r="AA4" s="101"/>
      <c r="AB4" s="100" t="s">
        <v>236</v>
      </c>
      <c r="AC4" s="101"/>
      <c r="AD4" s="101"/>
      <c r="AE4" s="100" t="s">
        <v>174</v>
      </c>
      <c r="AF4" s="101"/>
      <c r="AG4" s="101"/>
      <c r="AH4" s="100" t="s">
        <v>237</v>
      </c>
      <c r="AI4" s="101"/>
    </row>
    <row r="5" spans="1:35" ht="18" x14ac:dyDescent="0.3">
      <c r="A5" s="102" t="s">
        <v>186</v>
      </c>
      <c r="B5" s="103">
        <v>45991</v>
      </c>
      <c r="C5" s="104" t="s">
        <v>198</v>
      </c>
      <c r="D5" s="105">
        <v>0.2361111111111111</v>
      </c>
      <c r="E5" s="104" t="s">
        <v>197</v>
      </c>
      <c r="F5" s="104" t="s">
        <v>158</v>
      </c>
      <c r="G5" s="106">
        <v>1</v>
      </c>
      <c r="H5" s="107">
        <v>180</v>
      </c>
      <c r="I5" s="107">
        <v>180</v>
      </c>
      <c r="J5" s="107">
        <v>135</v>
      </c>
      <c r="K5" s="103">
        <v>45977</v>
      </c>
      <c r="L5" s="107">
        <v>0</v>
      </c>
      <c r="M5" s="107">
        <v>0</v>
      </c>
      <c r="N5" s="107">
        <v>2</v>
      </c>
      <c r="O5" s="104" t="s">
        <v>75</v>
      </c>
      <c r="P5" s="108"/>
      <c r="Q5" s="108"/>
      <c r="R5" s="108"/>
      <c r="S5" s="108"/>
      <c r="T5" s="108"/>
      <c r="U5" s="108"/>
      <c r="V5" s="108"/>
      <c r="W5" s="107" t="s">
        <v>238</v>
      </c>
      <c r="X5" s="108"/>
      <c r="Y5" s="108"/>
      <c r="Z5" s="108"/>
      <c r="AA5" s="108"/>
      <c r="AB5" s="107" t="s">
        <v>167</v>
      </c>
      <c r="AC5" s="107" t="s">
        <v>182</v>
      </c>
      <c r="AD5" s="107" t="s">
        <v>183</v>
      </c>
      <c r="AE5" s="107" t="s">
        <v>170</v>
      </c>
      <c r="AF5" s="108"/>
      <c r="AG5" s="108"/>
      <c r="AH5" s="107" t="s">
        <v>184</v>
      </c>
      <c r="AI5" s="108"/>
    </row>
    <row r="6" spans="1:35" ht="18" x14ac:dyDescent="0.3">
      <c r="A6" s="109" t="s">
        <v>189</v>
      </c>
      <c r="B6" s="110"/>
      <c r="C6" s="111">
        <f>COUNTA(C2:C5)</f>
        <v>4</v>
      </c>
      <c r="D6" s="110"/>
      <c r="E6" s="110"/>
      <c r="F6" s="110"/>
      <c r="G6" s="112">
        <f>AVERAGE(G2:G5)</f>
        <v>0.99859999999999993</v>
      </c>
      <c r="H6" s="113">
        <f>SUM(H2:H5)</f>
        <v>720</v>
      </c>
      <c r="I6" s="113">
        <f>SUM(I2:I5)</f>
        <v>719</v>
      </c>
      <c r="J6" s="113">
        <f>SUM(J2:J5)</f>
        <v>642</v>
      </c>
      <c r="K6" s="110"/>
      <c r="L6" s="113">
        <f>SUM(L2:L5)</f>
        <v>0</v>
      </c>
      <c r="M6" s="113">
        <f>SUM(M2:M5)</f>
        <v>3</v>
      </c>
      <c r="N6" s="113">
        <f>SUM(N2:N5)</f>
        <v>51</v>
      </c>
      <c r="O6" s="110"/>
      <c r="P6" s="113">
        <f t="shared" ref="P6:AI6" si="0">SUMPRODUCT(--IFERROR(VALUE(SUBSTITUTE(SUBSTITUTE(SUBSTITUTE(SUBSTITUTE(SUBSTITUTE(SUBSTITUTE(SUBSTITUTE(SUBSTITUTE(SUBSTITUTE(SUBSTITUTE(SUBSTITUTE(SUBSTITUTE(SUBSTITUTE(SUBSTITUTE(SUBSTITUTE(SUBSTITUTE(SUBSTITUTE(SUBSTITUTE(SUBSTITUTE(SUBSTITUTE(P2:P5,"Y",""),"B",""),"M",""),"H",""),"Q",""),"K",""),"V",""),"L",""),"G",""),"S",""),"W",""),"T",""),"X",""),"U",""),"O",""),"I",""),"E",""),"A",""),"P",""),"N","")),0))</f>
        <v>0</v>
      </c>
      <c r="Q6" s="113">
        <f t="shared" si="0"/>
        <v>0</v>
      </c>
      <c r="R6" s="113">
        <f t="shared" si="0"/>
        <v>0</v>
      </c>
      <c r="S6" s="113">
        <f t="shared" si="0"/>
        <v>0</v>
      </c>
      <c r="T6" s="113">
        <f t="shared" si="0"/>
        <v>0</v>
      </c>
      <c r="U6" s="113">
        <f t="shared" si="0"/>
        <v>0</v>
      </c>
      <c r="V6" s="113">
        <f t="shared" si="0"/>
        <v>0</v>
      </c>
      <c r="W6" s="113">
        <f t="shared" si="0"/>
        <v>0</v>
      </c>
      <c r="X6" s="113">
        <f t="shared" si="0"/>
        <v>0</v>
      </c>
      <c r="Y6" s="113">
        <f t="shared" si="0"/>
        <v>0</v>
      </c>
      <c r="Z6" s="113">
        <f t="shared" si="0"/>
        <v>0</v>
      </c>
      <c r="AA6" s="113">
        <f t="shared" si="0"/>
        <v>0</v>
      </c>
      <c r="AB6" s="113">
        <f t="shared" si="0"/>
        <v>0</v>
      </c>
      <c r="AC6" s="113">
        <f t="shared" si="0"/>
        <v>0</v>
      </c>
      <c r="AD6" s="113">
        <f t="shared" si="0"/>
        <v>0</v>
      </c>
      <c r="AE6" s="113">
        <f t="shared" si="0"/>
        <v>0</v>
      </c>
      <c r="AF6" s="113">
        <f t="shared" si="0"/>
        <v>0</v>
      </c>
      <c r="AG6" s="113">
        <f t="shared" si="0"/>
        <v>0</v>
      </c>
      <c r="AH6" s="113">
        <f t="shared" si="0"/>
        <v>0</v>
      </c>
      <c r="AI6" s="113">
        <f t="shared" si="0"/>
        <v>0</v>
      </c>
    </row>
  </sheetData>
  <autoFilter ref="A1:AI5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4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2.109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239</v>
      </c>
      <c r="F2" s="185"/>
      <c r="G2" s="185"/>
      <c r="H2" s="3"/>
    </row>
    <row r="3" spans="1:8" ht="18" x14ac:dyDescent="0.3">
      <c r="A3" s="115">
        <v>45985</v>
      </c>
      <c r="B3" s="116" t="s">
        <v>25</v>
      </c>
      <c r="C3" s="117" t="s">
        <v>26</v>
      </c>
      <c r="D3" s="116" t="s">
        <v>1</v>
      </c>
      <c r="E3" s="118">
        <v>1.229166666666667</v>
      </c>
      <c r="F3" s="116" t="s">
        <v>27</v>
      </c>
      <c r="G3" s="119">
        <v>5</v>
      </c>
      <c r="H3" s="120" t="s">
        <v>29</v>
      </c>
    </row>
    <row r="4" spans="1:8" ht="18" x14ac:dyDescent="0.3">
      <c r="A4" s="121">
        <v>45985</v>
      </c>
      <c r="B4" s="122" t="s">
        <v>25</v>
      </c>
      <c r="C4" s="123" t="s">
        <v>26</v>
      </c>
      <c r="D4" s="122" t="s">
        <v>1</v>
      </c>
      <c r="E4" s="124">
        <v>1.229166666666667</v>
      </c>
      <c r="F4" s="122" t="s">
        <v>30</v>
      </c>
      <c r="G4" s="125">
        <v>5</v>
      </c>
      <c r="H4" s="122" t="s">
        <v>32</v>
      </c>
    </row>
    <row r="5" spans="1:8" ht="18" x14ac:dyDescent="0.3">
      <c r="A5" s="126">
        <v>45985</v>
      </c>
      <c r="B5" s="116" t="s">
        <v>35</v>
      </c>
      <c r="C5" s="117" t="s">
        <v>36</v>
      </c>
      <c r="D5" s="116" t="s">
        <v>1</v>
      </c>
      <c r="E5" s="118">
        <v>1.350694444444444</v>
      </c>
      <c r="F5" s="116" t="s">
        <v>37</v>
      </c>
      <c r="G5" s="119">
        <v>9</v>
      </c>
      <c r="H5" s="116" t="s">
        <v>39</v>
      </c>
    </row>
    <row r="6" spans="1:8" ht="18" x14ac:dyDescent="0.3">
      <c r="A6" s="121">
        <v>45985</v>
      </c>
      <c r="B6" s="122" t="s">
        <v>35</v>
      </c>
      <c r="C6" s="123" t="s">
        <v>36</v>
      </c>
      <c r="D6" s="122" t="s">
        <v>1</v>
      </c>
      <c r="E6" s="124">
        <v>1.350694444444444</v>
      </c>
      <c r="F6" s="122" t="s">
        <v>40</v>
      </c>
      <c r="G6" s="125">
        <v>9</v>
      </c>
      <c r="H6" s="122" t="s">
        <v>39</v>
      </c>
    </row>
    <row r="7" spans="1:8" ht="18" x14ac:dyDescent="0.3">
      <c r="A7" s="121">
        <v>45985</v>
      </c>
      <c r="B7" s="122" t="s">
        <v>35</v>
      </c>
      <c r="C7" s="123" t="s">
        <v>36</v>
      </c>
      <c r="D7" s="122" t="s">
        <v>1</v>
      </c>
      <c r="E7" s="124">
        <v>1.350694444444444</v>
      </c>
      <c r="F7" s="122" t="s">
        <v>42</v>
      </c>
      <c r="G7" s="125">
        <v>9</v>
      </c>
      <c r="H7" s="122" t="s">
        <v>43</v>
      </c>
    </row>
    <row r="8" spans="1:8" ht="18" x14ac:dyDescent="0.3">
      <c r="A8" s="126">
        <v>45985</v>
      </c>
      <c r="B8" s="116" t="s">
        <v>54</v>
      </c>
      <c r="C8" s="117" t="s">
        <v>55</v>
      </c>
      <c r="D8" s="116" t="s">
        <v>1</v>
      </c>
      <c r="E8" s="118">
        <v>1.6076388888888891</v>
      </c>
      <c r="F8" s="116" t="s">
        <v>56</v>
      </c>
      <c r="G8" s="119">
        <v>4</v>
      </c>
      <c r="H8" s="116" t="s">
        <v>32</v>
      </c>
    </row>
    <row r="9" spans="1:8" ht="18" x14ac:dyDescent="0.3">
      <c r="A9" s="127">
        <v>45985</v>
      </c>
      <c r="B9" s="128" t="s">
        <v>54</v>
      </c>
      <c r="C9" s="129" t="s">
        <v>62</v>
      </c>
      <c r="D9" s="128" t="s">
        <v>1</v>
      </c>
      <c r="E9" s="130">
        <v>1.4340277777777779</v>
      </c>
      <c r="F9" s="128" t="s">
        <v>56</v>
      </c>
      <c r="G9" s="131">
        <v>4</v>
      </c>
      <c r="H9" s="128" t="s">
        <v>32</v>
      </c>
    </row>
    <row r="10" spans="1:8" ht="18" x14ac:dyDescent="0.3">
      <c r="A10" s="126">
        <v>45985</v>
      </c>
      <c r="B10" s="116" t="s">
        <v>63</v>
      </c>
      <c r="C10" s="117" t="s">
        <v>64</v>
      </c>
      <c r="D10" s="116" t="s">
        <v>1</v>
      </c>
      <c r="E10" s="118">
        <v>1.336805555555556</v>
      </c>
      <c r="F10" s="116" t="s">
        <v>48</v>
      </c>
      <c r="G10" s="119">
        <v>9</v>
      </c>
      <c r="H10" s="116" t="s">
        <v>65</v>
      </c>
    </row>
    <row r="11" spans="1:8" ht="18" x14ac:dyDescent="0.3">
      <c r="A11" s="127">
        <v>45985</v>
      </c>
      <c r="B11" s="128" t="s">
        <v>63</v>
      </c>
      <c r="C11" s="129" t="s">
        <v>66</v>
      </c>
      <c r="D11" s="128" t="s">
        <v>1</v>
      </c>
      <c r="E11" s="130">
        <v>1.0659722222222221</v>
      </c>
      <c r="F11" s="128" t="s">
        <v>48</v>
      </c>
      <c r="G11" s="131">
        <v>9</v>
      </c>
      <c r="H11" s="128" t="s">
        <v>65</v>
      </c>
    </row>
    <row r="12" spans="1:8" ht="18" x14ac:dyDescent="0.3">
      <c r="A12" s="150">
        <v>45985</v>
      </c>
      <c r="B12" s="151" t="s">
        <v>63</v>
      </c>
      <c r="C12" s="152" t="s">
        <v>67</v>
      </c>
      <c r="D12" s="151" t="s">
        <v>1</v>
      </c>
      <c r="E12" s="153">
        <v>1.28125</v>
      </c>
      <c r="F12" s="151" t="s">
        <v>48</v>
      </c>
      <c r="G12" s="154">
        <v>9</v>
      </c>
      <c r="H12" s="151" t="s">
        <v>65</v>
      </c>
    </row>
    <row r="13" spans="1:8" ht="18" x14ac:dyDescent="0.3">
      <c r="A13" s="187">
        <v>45986</v>
      </c>
      <c r="B13" s="137" t="s">
        <v>71</v>
      </c>
      <c r="C13" s="138" t="s">
        <v>198</v>
      </c>
      <c r="D13" s="137" t="s">
        <v>197</v>
      </c>
      <c r="E13" s="139">
        <v>1.1597222222222221</v>
      </c>
      <c r="F13" s="137" t="s">
        <v>73</v>
      </c>
      <c r="G13" s="137"/>
      <c r="H13" s="188" t="s">
        <v>74</v>
      </c>
    </row>
    <row r="14" spans="1:8" ht="15.6" x14ac:dyDescent="0.3">
      <c r="A14" s="185"/>
      <c r="B14" s="185"/>
      <c r="C14" s="185"/>
      <c r="D14" s="185"/>
      <c r="E14" s="186" t="s">
        <v>239</v>
      </c>
      <c r="F14" s="185"/>
      <c r="G14" s="185"/>
      <c r="H14" s="3"/>
    </row>
    <row r="15" spans="1:8" ht="18" x14ac:dyDescent="0.3">
      <c r="A15" s="126">
        <v>45986</v>
      </c>
      <c r="B15" s="116" t="s">
        <v>25</v>
      </c>
      <c r="C15" s="117" t="s">
        <v>26</v>
      </c>
      <c r="D15" s="116" t="s">
        <v>1</v>
      </c>
      <c r="E15" s="118">
        <v>1.229166666666667</v>
      </c>
      <c r="F15" s="116" t="s">
        <v>27</v>
      </c>
      <c r="G15" s="119">
        <v>3</v>
      </c>
      <c r="H15" s="116" t="s">
        <v>29</v>
      </c>
    </row>
    <row r="16" spans="1:8" ht="18" x14ac:dyDescent="0.3">
      <c r="A16" s="121">
        <v>45986</v>
      </c>
      <c r="B16" s="122" t="s">
        <v>25</v>
      </c>
      <c r="C16" s="123" t="s">
        <v>26</v>
      </c>
      <c r="D16" s="122" t="s">
        <v>1</v>
      </c>
      <c r="E16" s="124">
        <v>1.229166666666667</v>
      </c>
      <c r="F16" s="122" t="s">
        <v>33</v>
      </c>
      <c r="G16" s="125">
        <v>3</v>
      </c>
      <c r="H16" s="122" t="s">
        <v>79</v>
      </c>
    </row>
    <row r="17" spans="1:8" ht="18" x14ac:dyDescent="0.3">
      <c r="A17" s="121">
        <v>45986</v>
      </c>
      <c r="B17" s="122" t="s">
        <v>25</v>
      </c>
      <c r="C17" s="123" t="s">
        <v>26</v>
      </c>
      <c r="D17" s="122" t="s">
        <v>1</v>
      </c>
      <c r="E17" s="124">
        <v>1.229166666666667</v>
      </c>
      <c r="F17" s="122" t="s">
        <v>30</v>
      </c>
      <c r="G17" s="125">
        <v>3</v>
      </c>
      <c r="H17" s="122" t="s">
        <v>32</v>
      </c>
    </row>
    <row r="18" spans="1:8" ht="18" x14ac:dyDescent="0.3">
      <c r="A18" s="136">
        <v>45986</v>
      </c>
      <c r="B18" s="137" t="s">
        <v>71</v>
      </c>
      <c r="C18" s="138" t="s">
        <v>80</v>
      </c>
      <c r="D18" s="137" t="s">
        <v>1</v>
      </c>
      <c r="E18" s="139">
        <v>1.819444444444444</v>
      </c>
      <c r="F18" s="137" t="s">
        <v>81</v>
      </c>
      <c r="G18" s="140">
        <v>2</v>
      </c>
      <c r="H18" s="137" t="s">
        <v>83</v>
      </c>
    </row>
    <row r="19" spans="1:8" ht="18" x14ac:dyDescent="0.3">
      <c r="A19" s="126">
        <v>45986</v>
      </c>
      <c r="B19" s="116" t="s">
        <v>63</v>
      </c>
      <c r="C19" s="117" t="s">
        <v>64</v>
      </c>
      <c r="D19" s="116" t="s">
        <v>1</v>
      </c>
      <c r="E19" s="118">
        <v>1.336805555555556</v>
      </c>
      <c r="F19" s="116" t="s">
        <v>48</v>
      </c>
      <c r="G19" s="119">
        <v>9</v>
      </c>
      <c r="H19" s="116" t="s">
        <v>39</v>
      </c>
    </row>
    <row r="20" spans="1:8" ht="18" x14ac:dyDescent="0.3">
      <c r="A20" s="127">
        <v>45986</v>
      </c>
      <c r="B20" s="128" t="s">
        <v>63</v>
      </c>
      <c r="C20" s="129" t="s">
        <v>66</v>
      </c>
      <c r="D20" s="128" t="s">
        <v>1</v>
      </c>
      <c r="E20" s="130">
        <v>1.0659722222222221</v>
      </c>
      <c r="F20" s="128" t="s">
        <v>48</v>
      </c>
      <c r="G20" s="131">
        <v>9</v>
      </c>
      <c r="H20" s="128" t="s">
        <v>39</v>
      </c>
    </row>
    <row r="21" spans="1:8" ht="18" x14ac:dyDescent="0.3">
      <c r="A21" s="127">
        <v>45986</v>
      </c>
      <c r="B21" s="128" t="s">
        <v>63</v>
      </c>
      <c r="C21" s="129" t="s">
        <v>67</v>
      </c>
      <c r="D21" s="128" t="s">
        <v>1</v>
      </c>
      <c r="E21" s="130">
        <v>1.288194444444444</v>
      </c>
      <c r="F21" s="128" t="s">
        <v>48</v>
      </c>
      <c r="G21" s="131">
        <v>9</v>
      </c>
      <c r="H21" s="128" t="s">
        <v>39</v>
      </c>
    </row>
    <row r="22" spans="1:8" ht="18" x14ac:dyDescent="0.3">
      <c r="A22" s="126">
        <v>45986</v>
      </c>
      <c r="B22" s="116" t="s">
        <v>54</v>
      </c>
      <c r="C22" s="117" t="s">
        <v>55</v>
      </c>
      <c r="D22" s="116" t="s">
        <v>1</v>
      </c>
      <c r="E22" s="118">
        <v>1.6076388888888891</v>
      </c>
      <c r="F22" s="116" t="s">
        <v>56</v>
      </c>
      <c r="G22" s="119">
        <v>2</v>
      </c>
      <c r="H22" s="116" t="s">
        <v>32</v>
      </c>
    </row>
    <row r="23" spans="1:8" ht="18" x14ac:dyDescent="0.3">
      <c r="A23" s="121">
        <v>45986</v>
      </c>
      <c r="B23" s="122" t="s">
        <v>54</v>
      </c>
      <c r="C23" s="123" t="s">
        <v>55</v>
      </c>
      <c r="D23" s="122" t="s">
        <v>1</v>
      </c>
      <c r="E23" s="124">
        <v>1.6076388888888891</v>
      </c>
      <c r="F23" s="122" t="s">
        <v>58</v>
      </c>
      <c r="G23" s="125">
        <v>2</v>
      </c>
      <c r="H23" s="122" t="s">
        <v>59</v>
      </c>
    </row>
    <row r="24" spans="1:8" ht="18" x14ac:dyDescent="0.3">
      <c r="A24" s="145">
        <v>45986</v>
      </c>
      <c r="B24" s="146" t="s">
        <v>54</v>
      </c>
      <c r="C24" s="147" t="s">
        <v>55</v>
      </c>
      <c r="D24" s="146" t="s">
        <v>1</v>
      </c>
      <c r="E24" s="148">
        <v>1.6076388888888891</v>
      </c>
      <c r="F24" s="146" t="s">
        <v>60</v>
      </c>
      <c r="G24" s="149">
        <v>2</v>
      </c>
      <c r="H24" s="146" t="s">
        <v>61</v>
      </c>
    </row>
    <row r="25" spans="1:8" ht="18" x14ac:dyDescent="0.3">
      <c r="A25" s="187">
        <v>45987</v>
      </c>
      <c r="B25" s="137" t="s">
        <v>71</v>
      </c>
      <c r="C25" s="138" t="s">
        <v>198</v>
      </c>
      <c r="D25" s="137" t="s">
        <v>197</v>
      </c>
      <c r="E25" s="139">
        <v>1.7777777777777779</v>
      </c>
      <c r="F25" s="137" t="s">
        <v>73</v>
      </c>
      <c r="G25" s="137"/>
      <c r="H25" s="188" t="s">
        <v>74</v>
      </c>
    </row>
    <row r="26" spans="1:8" ht="15.6" x14ac:dyDescent="0.3">
      <c r="A26" s="185"/>
      <c r="B26" s="185"/>
      <c r="C26" s="185"/>
      <c r="D26" s="185"/>
      <c r="E26" s="186" t="s">
        <v>239</v>
      </c>
      <c r="F26" s="185"/>
      <c r="G26" s="185"/>
      <c r="H26" s="3"/>
    </row>
    <row r="27" spans="1:8" ht="18" x14ac:dyDescent="0.3">
      <c r="A27" s="126">
        <v>45987</v>
      </c>
      <c r="B27" s="116" t="s">
        <v>25</v>
      </c>
      <c r="C27" s="117" t="s">
        <v>26</v>
      </c>
      <c r="D27" s="116" t="s">
        <v>1</v>
      </c>
      <c r="E27" s="118">
        <v>1.229166666666667</v>
      </c>
      <c r="F27" s="116" t="s">
        <v>97</v>
      </c>
      <c r="G27" s="119">
        <v>3</v>
      </c>
      <c r="H27" s="116" t="s">
        <v>98</v>
      </c>
    </row>
    <row r="28" spans="1:8" ht="18" x14ac:dyDescent="0.3">
      <c r="A28" s="126">
        <v>45987</v>
      </c>
      <c r="B28" s="116" t="s">
        <v>63</v>
      </c>
      <c r="C28" s="117" t="s">
        <v>68</v>
      </c>
      <c r="D28" s="116" t="s">
        <v>1</v>
      </c>
      <c r="E28" s="118">
        <v>1.9513888888888891</v>
      </c>
      <c r="F28" s="116" t="s">
        <v>48</v>
      </c>
      <c r="G28" s="119">
        <v>9</v>
      </c>
      <c r="H28" s="116" t="s">
        <v>99</v>
      </c>
    </row>
    <row r="29" spans="1:8" ht="18" x14ac:dyDescent="0.3">
      <c r="A29" s="126">
        <v>45987</v>
      </c>
      <c r="B29" s="116" t="s">
        <v>54</v>
      </c>
      <c r="C29" s="117" t="s">
        <v>55</v>
      </c>
      <c r="D29" s="116" t="s">
        <v>1</v>
      </c>
      <c r="E29" s="118">
        <v>1.6076388888888891</v>
      </c>
      <c r="F29" s="116" t="s">
        <v>56</v>
      </c>
      <c r="G29" s="119">
        <v>4</v>
      </c>
      <c r="H29" s="116" t="s">
        <v>101</v>
      </c>
    </row>
    <row r="30" spans="1:8" ht="18" x14ac:dyDescent="0.3">
      <c r="A30" s="121">
        <v>45987</v>
      </c>
      <c r="B30" s="122" t="s">
        <v>54</v>
      </c>
      <c r="C30" s="123" t="s">
        <v>55</v>
      </c>
      <c r="D30" s="122" t="s">
        <v>1</v>
      </c>
      <c r="E30" s="124">
        <v>1.6076388888888891</v>
      </c>
      <c r="F30" s="122" t="s">
        <v>58</v>
      </c>
      <c r="G30" s="125">
        <v>4</v>
      </c>
      <c r="H30" s="122" t="s">
        <v>102</v>
      </c>
    </row>
    <row r="31" spans="1:8" ht="18" x14ac:dyDescent="0.3">
      <c r="A31" s="121">
        <v>45987</v>
      </c>
      <c r="B31" s="122" t="s">
        <v>54</v>
      </c>
      <c r="C31" s="123" t="s">
        <v>55</v>
      </c>
      <c r="D31" s="122" t="s">
        <v>1</v>
      </c>
      <c r="E31" s="124">
        <v>1.6076388888888891</v>
      </c>
      <c r="F31" s="122" t="s">
        <v>60</v>
      </c>
      <c r="G31" s="125">
        <v>4</v>
      </c>
      <c r="H31" s="122" t="s">
        <v>103</v>
      </c>
    </row>
    <row r="32" spans="1:8" ht="18" x14ac:dyDescent="0.3">
      <c r="A32" s="126">
        <v>45987</v>
      </c>
      <c r="B32" s="116" t="s">
        <v>35</v>
      </c>
      <c r="C32" s="117" t="s">
        <v>36</v>
      </c>
      <c r="D32" s="116" t="s">
        <v>1</v>
      </c>
      <c r="E32" s="118">
        <v>1.350694444444444</v>
      </c>
      <c r="F32" s="116" t="s">
        <v>48</v>
      </c>
      <c r="G32" s="119">
        <v>1</v>
      </c>
      <c r="H32" s="116" t="s">
        <v>46</v>
      </c>
    </row>
    <row r="33" spans="1:8" ht="18" x14ac:dyDescent="0.3">
      <c r="A33" s="127">
        <v>45987</v>
      </c>
      <c r="B33" s="128" t="s">
        <v>35</v>
      </c>
      <c r="C33" s="129" t="s">
        <v>47</v>
      </c>
      <c r="D33" s="128" t="s">
        <v>1</v>
      </c>
      <c r="E33" s="130">
        <v>1.895833333333333</v>
      </c>
      <c r="F33" s="128" t="s">
        <v>42</v>
      </c>
      <c r="G33" s="131">
        <v>9</v>
      </c>
      <c r="H33" s="128" t="s">
        <v>46</v>
      </c>
    </row>
    <row r="34" spans="1:8" ht="18" x14ac:dyDescent="0.3">
      <c r="A34" s="121">
        <v>45987</v>
      </c>
      <c r="B34" s="122" t="s">
        <v>35</v>
      </c>
      <c r="C34" s="123" t="s">
        <v>47</v>
      </c>
      <c r="D34" s="122" t="s">
        <v>1</v>
      </c>
      <c r="E34" s="124">
        <v>1.895833333333333</v>
      </c>
      <c r="F34" s="122" t="s">
        <v>48</v>
      </c>
      <c r="G34" s="125">
        <v>9</v>
      </c>
      <c r="H34" s="122" t="s">
        <v>46</v>
      </c>
    </row>
    <row r="35" spans="1:8" ht="18" x14ac:dyDescent="0.3">
      <c r="A35" s="127">
        <v>45987</v>
      </c>
      <c r="B35" s="128" t="s">
        <v>35</v>
      </c>
      <c r="C35" s="129" t="s">
        <v>44</v>
      </c>
      <c r="D35" s="128" t="s">
        <v>1</v>
      </c>
      <c r="E35" s="130">
        <v>1.1840277777777779</v>
      </c>
      <c r="F35" s="128" t="s">
        <v>42</v>
      </c>
      <c r="G35" s="131">
        <v>9</v>
      </c>
      <c r="H35" s="128" t="s">
        <v>46</v>
      </c>
    </row>
    <row r="36" spans="1:8" ht="18" x14ac:dyDescent="0.3">
      <c r="A36" s="145">
        <v>45987</v>
      </c>
      <c r="B36" s="146" t="s">
        <v>35</v>
      </c>
      <c r="C36" s="147" t="s">
        <v>44</v>
      </c>
      <c r="D36" s="146" t="s">
        <v>1</v>
      </c>
      <c r="E36" s="148">
        <v>1.1840277777777779</v>
      </c>
      <c r="F36" s="146" t="s">
        <v>48</v>
      </c>
      <c r="G36" s="149">
        <v>9</v>
      </c>
      <c r="H36" s="146" t="s">
        <v>46</v>
      </c>
    </row>
    <row r="37" spans="1:8" ht="18" x14ac:dyDescent="0.3">
      <c r="A37" s="115">
        <v>45988</v>
      </c>
      <c r="B37" s="116" t="s">
        <v>63</v>
      </c>
      <c r="C37" s="117" t="s">
        <v>217</v>
      </c>
      <c r="D37" s="116" t="s">
        <v>197</v>
      </c>
      <c r="E37" s="118">
        <v>1.3576388888888891</v>
      </c>
      <c r="F37" s="116" t="s">
        <v>48</v>
      </c>
      <c r="G37" s="119">
        <v>4</v>
      </c>
      <c r="H37" s="120" t="s">
        <v>218</v>
      </c>
    </row>
    <row r="38" spans="1:8" ht="18" x14ac:dyDescent="0.3">
      <c r="A38" s="136">
        <v>45988</v>
      </c>
      <c r="B38" s="137" t="s">
        <v>71</v>
      </c>
      <c r="C38" s="138" t="s">
        <v>198</v>
      </c>
      <c r="D38" s="137" t="s">
        <v>197</v>
      </c>
      <c r="E38" s="139">
        <v>1.479166666666667</v>
      </c>
      <c r="F38" s="137" t="s">
        <v>73</v>
      </c>
      <c r="G38" s="137"/>
      <c r="H38" s="137" t="s">
        <v>74</v>
      </c>
    </row>
    <row r="39" spans="1:8" ht="15.6" x14ac:dyDescent="0.3">
      <c r="A39" s="185"/>
      <c r="B39" s="185"/>
      <c r="C39" s="185"/>
      <c r="D39" s="185"/>
      <c r="E39" s="186" t="s">
        <v>239</v>
      </c>
      <c r="F39" s="185"/>
      <c r="G39" s="185"/>
      <c r="H39" s="3"/>
    </row>
    <row r="40" spans="1:8" ht="18" x14ac:dyDescent="0.3">
      <c r="A40" s="126">
        <v>45988</v>
      </c>
      <c r="B40" s="116" t="s">
        <v>54</v>
      </c>
      <c r="C40" s="117" t="s">
        <v>55</v>
      </c>
      <c r="D40" s="116" t="s">
        <v>1</v>
      </c>
      <c r="E40" s="118">
        <v>1.6076388888888891</v>
      </c>
      <c r="F40" s="116" t="s">
        <v>56</v>
      </c>
      <c r="G40" s="119">
        <v>9</v>
      </c>
      <c r="H40" s="116" t="s">
        <v>32</v>
      </c>
    </row>
    <row r="41" spans="1:8" ht="18" x14ac:dyDescent="0.3">
      <c r="A41" s="121">
        <v>45988</v>
      </c>
      <c r="B41" s="122" t="s">
        <v>54</v>
      </c>
      <c r="C41" s="123" t="s">
        <v>55</v>
      </c>
      <c r="D41" s="122" t="s">
        <v>1</v>
      </c>
      <c r="E41" s="124">
        <v>1.6076388888888891</v>
      </c>
      <c r="F41" s="122" t="s">
        <v>58</v>
      </c>
      <c r="G41" s="125">
        <v>9</v>
      </c>
      <c r="H41" s="122" t="s">
        <v>59</v>
      </c>
    </row>
    <row r="42" spans="1:8" ht="18" x14ac:dyDescent="0.3">
      <c r="A42" s="121">
        <v>45988</v>
      </c>
      <c r="B42" s="122" t="s">
        <v>54</v>
      </c>
      <c r="C42" s="123" t="s">
        <v>55</v>
      </c>
      <c r="D42" s="122" t="s">
        <v>1</v>
      </c>
      <c r="E42" s="124">
        <v>1.6076388888888891</v>
      </c>
      <c r="F42" s="122" t="s">
        <v>60</v>
      </c>
      <c r="G42" s="125">
        <v>9</v>
      </c>
      <c r="H42" s="122" t="s">
        <v>61</v>
      </c>
    </row>
    <row r="43" spans="1:8" ht="18" x14ac:dyDescent="0.3">
      <c r="A43" s="127">
        <v>45988</v>
      </c>
      <c r="B43" s="128" t="s">
        <v>54</v>
      </c>
      <c r="C43" s="129" t="s">
        <v>62</v>
      </c>
      <c r="D43" s="128" t="s">
        <v>1</v>
      </c>
      <c r="E43" s="130">
        <v>1.4340277777777779</v>
      </c>
      <c r="F43" s="128" t="s">
        <v>56</v>
      </c>
      <c r="G43" s="131">
        <v>9</v>
      </c>
      <c r="H43" s="128" t="s">
        <v>101</v>
      </c>
    </row>
    <row r="44" spans="1:8" ht="18" x14ac:dyDescent="0.3">
      <c r="A44" s="121">
        <v>45988</v>
      </c>
      <c r="B44" s="122" t="s">
        <v>54</v>
      </c>
      <c r="C44" s="123" t="s">
        <v>62</v>
      </c>
      <c r="D44" s="122" t="s">
        <v>1</v>
      </c>
      <c r="E44" s="124">
        <v>1.4340277777777779</v>
      </c>
      <c r="F44" s="122" t="s">
        <v>58</v>
      </c>
      <c r="G44" s="125">
        <v>9</v>
      </c>
      <c r="H44" s="122" t="s">
        <v>102</v>
      </c>
    </row>
    <row r="45" spans="1:8" ht="18" x14ac:dyDescent="0.3">
      <c r="A45" s="121">
        <v>45988</v>
      </c>
      <c r="B45" s="122" t="s">
        <v>54</v>
      </c>
      <c r="C45" s="123" t="s">
        <v>62</v>
      </c>
      <c r="D45" s="122" t="s">
        <v>1</v>
      </c>
      <c r="E45" s="124">
        <v>1.4340277777777779</v>
      </c>
      <c r="F45" s="122" t="s">
        <v>60</v>
      </c>
      <c r="G45" s="125">
        <v>9</v>
      </c>
      <c r="H45" s="122" t="s">
        <v>103</v>
      </c>
    </row>
    <row r="46" spans="1:8" ht="18" x14ac:dyDescent="0.3">
      <c r="A46" s="126">
        <v>45988</v>
      </c>
      <c r="B46" s="116" t="s">
        <v>25</v>
      </c>
      <c r="C46" s="117" t="s">
        <v>26</v>
      </c>
      <c r="D46" s="116" t="s">
        <v>1</v>
      </c>
      <c r="E46" s="118">
        <v>1.229166666666667</v>
      </c>
      <c r="F46" s="116" t="s">
        <v>27</v>
      </c>
      <c r="G46" s="119">
        <v>1</v>
      </c>
      <c r="H46" s="116" t="s">
        <v>108</v>
      </c>
    </row>
    <row r="47" spans="1:8" ht="18" x14ac:dyDescent="0.3">
      <c r="A47" s="121">
        <v>45988</v>
      </c>
      <c r="B47" s="122" t="s">
        <v>25</v>
      </c>
      <c r="C47" s="123" t="s">
        <v>26</v>
      </c>
      <c r="D47" s="122" t="s">
        <v>1</v>
      </c>
      <c r="E47" s="124">
        <v>1.229166666666667</v>
      </c>
      <c r="F47" s="122" t="s">
        <v>30</v>
      </c>
      <c r="G47" s="125">
        <v>1</v>
      </c>
      <c r="H47" s="122" t="s">
        <v>110</v>
      </c>
    </row>
    <row r="48" spans="1:8" ht="18" x14ac:dyDescent="0.3">
      <c r="A48" s="121">
        <v>45988</v>
      </c>
      <c r="B48" s="122" t="s">
        <v>25</v>
      </c>
      <c r="C48" s="123" t="s">
        <v>26</v>
      </c>
      <c r="D48" s="122" t="s">
        <v>1</v>
      </c>
      <c r="E48" s="124">
        <v>1.229166666666667</v>
      </c>
      <c r="F48" s="122" t="s">
        <v>33</v>
      </c>
      <c r="G48" s="125">
        <v>1</v>
      </c>
      <c r="H48" s="122" t="s">
        <v>34</v>
      </c>
    </row>
    <row r="49" spans="1:8" ht="18" x14ac:dyDescent="0.3">
      <c r="A49" s="189">
        <v>45988</v>
      </c>
      <c r="B49" s="190" t="s">
        <v>35</v>
      </c>
      <c r="C49" s="191" t="s">
        <v>47</v>
      </c>
      <c r="D49" s="190" t="s">
        <v>1</v>
      </c>
      <c r="E49" s="192">
        <v>1.895833333333333</v>
      </c>
      <c r="F49" s="190" t="s">
        <v>42</v>
      </c>
      <c r="G49" s="193">
        <v>2</v>
      </c>
      <c r="H49" s="190" t="s">
        <v>46</v>
      </c>
    </row>
    <row r="50" spans="1:8" ht="18" x14ac:dyDescent="0.3">
      <c r="A50" s="115">
        <v>45989</v>
      </c>
      <c r="B50" s="116" t="s">
        <v>63</v>
      </c>
      <c r="C50" s="117" t="s">
        <v>217</v>
      </c>
      <c r="D50" s="116" t="s">
        <v>197</v>
      </c>
      <c r="E50" s="118">
        <v>1.3576388888888891</v>
      </c>
      <c r="F50" s="116" t="s">
        <v>48</v>
      </c>
      <c r="G50" s="119">
        <v>9</v>
      </c>
      <c r="H50" s="120" t="s">
        <v>222</v>
      </c>
    </row>
    <row r="51" spans="1:8" ht="15.6" x14ac:dyDescent="0.3">
      <c r="A51" s="185"/>
      <c r="B51" s="185"/>
      <c r="C51" s="185"/>
      <c r="D51" s="185"/>
      <c r="E51" s="186" t="s">
        <v>239</v>
      </c>
      <c r="F51" s="185"/>
      <c r="G51" s="185"/>
      <c r="H51" s="3"/>
    </row>
    <row r="52" spans="1:8" ht="18" x14ac:dyDescent="0.3">
      <c r="A52" s="126">
        <v>45989</v>
      </c>
      <c r="B52" s="116" t="s">
        <v>25</v>
      </c>
      <c r="C52" s="117" t="s">
        <v>26</v>
      </c>
      <c r="D52" s="116" t="s">
        <v>1</v>
      </c>
      <c r="E52" s="118">
        <v>1.229166666666667</v>
      </c>
      <c r="F52" s="116" t="s">
        <v>27</v>
      </c>
      <c r="G52" s="119">
        <v>5</v>
      </c>
      <c r="H52" s="116" t="s">
        <v>108</v>
      </c>
    </row>
    <row r="53" spans="1:8" ht="18" x14ac:dyDescent="0.3">
      <c r="A53" s="121">
        <v>45989</v>
      </c>
      <c r="B53" s="122" t="s">
        <v>25</v>
      </c>
      <c r="C53" s="123" t="s">
        <v>26</v>
      </c>
      <c r="D53" s="122" t="s">
        <v>1</v>
      </c>
      <c r="E53" s="124">
        <v>1.229166666666667</v>
      </c>
      <c r="F53" s="122" t="s">
        <v>30</v>
      </c>
      <c r="G53" s="125">
        <v>5</v>
      </c>
      <c r="H53" s="122" t="s">
        <v>110</v>
      </c>
    </row>
    <row r="54" spans="1:8" ht="18" x14ac:dyDescent="0.3">
      <c r="A54" s="121">
        <v>45989</v>
      </c>
      <c r="B54" s="122" t="s">
        <v>25</v>
      </c>
      <c r="C54" s="123" t="s">
        <v>26</v>
      </c>
      <c r="D54" s="122" t="s">
        <v>1</v>
      </c>
      <c r="E54" s="124">
        <v>1.229166666666667</v>
      </c>
      <c r="F54" s="122" t="s">
        <v>33</v>
      </c>
      <c r="G54" s="125">
        <v>5</v>
      </c>
      <c r="H54" s="122" t="s">
        <v>34</v>
      </c>
    </row>
    <row r="55" spans="1:8" ht="18" x14ac:dyDescent="0.3">
      <c r="A55" s="126">
        <v>45989</v>
      </c>
      <c r="B55" s="116" t="s">
        <v>54</v>
      </c>
      <c r="C55" s="117" t="s">
        <v>55</v>
      </c>
      <c r="D55" s="116" t="s">
        <v>1</v>
      </c>
      <c r="E55" s="118">
        <v>1.6076388888888891</v>
      </c>
      <c r="F55" s="116" t="s">
        <v>56</v>
      </c>
      <c r="G55" s="119">
        <v>9</v>
      </c>
      <c r="H55" s="116" t="s">
        <v>113</v>
      </c>
    </row>
    <row r="56" spans="1:8" ht="18" x14ac:dyDescent="0.3">
      <c r="A56" s="121">
        <v>45989</v>
      </c>
      <c r="B56" s="122" t="s">
        <v>54</v>
      </c>
      <c r="C56" s="123" t="s">
        <v>55</v>
      </c>
      <c r="D56" s="122" t="s">
        <v>1</v>
      </c>
      <c r="E56" s="124">
        <v>1.6076388888888891</v>
      </c>
      <c r="F56" s="122" t="s">
        <v>58</v>
      </c>
      <c r="G56" s="125">
        <v>9</v>
      </c>
      <c r="H56" s="122" t="s">
        <v>114</v>
      </c>
    </row>
    <row r="57" spans="1:8" ht="18" x14ac:dyDescent="0.3">
      <c r="A57" s="121">
        <v>45989</v>
      </c>
      <c r="B57" s="122" t="s">
        <v>54</v>
      </c>
      <c r="C57" s="123" t="s">
        <v>55</v>
      </c>
      <c r="D57" s="122" t="s">
        <v>1</v>
      </c>
      <c r="E57" s="124">
        <v>1.6076388888888891</v>
      </c>
      <c r="F57" s="122" t="s">
        <v>60</v>
      </c>
      <c r="G57" s="125">
        <v>9</v>
      </c>
      <c r="H57" s="122" t="s">
        <v>115</v>
      </c>
    </row>
    <row r="58" spans="1:8" ht="18" x14ac:dyDescent="0.3">
      <c r="A58" s="126">
        <v>45989</v>
      </c>
      <c r="B58" s="116" t="s">
        <v>63</v>
      </c>
      <c r="C58" s="117" t="s">
        <v>68</v>
      </c>
      <c r="D58" s="116" t="s">
        <v>1</v>
      </c>
      <c r="E58" s="118">
        <v>1.9409722222222221</v>
      </c>
      <c r="F58" s="116" t="s">
        <v>48</v>
      </c>
      <c r="G58" s="119">
        <v>9</v>
      </c>
      <c r="H58" s="116" t="s">
        <v>99</v>
      </c>
    </row>
    <row r="59" spans="1:8" ht="18" x14ac:dyDescent="0.3">
      <c r="A59" s="127">
        <v>45989</v>
      </c>
      <c r="B59" s="128" t="s">
        <v>63</v>
      </c>
      <c r="C59" s="129" t="s">
        <v>70</v>
      </c>
      <c r="D59" s="128" t="s">
        <v>1</v>
      </c>
      <c r="E59" s="130">
        <v>1.697916666666667</v>
      </c>
      <c r="F59" s="128" t="s">
        <v>48</v>
      </c>
      <c r="G59" s="131">
        <v>9</v>
      </c>
      <c r="H59" s="128" t="s">
        <v>69</v>
      </c>
    </row>
    <row r="60" spans="1:8" ht="18" x14ac:dyDescent="0.3">
      <c r="A60" s="127">
        <v>45989</v>
      </c>
      <c r="B60" s="128" t="s">
        <v>63</v>
      </c>
      <c r="C60" s="129" t="s">
        <v>66</v>
      </c>
      <c r="D60" s="128" t="s">
        <v>1</v>
      </c>
      <c r="E60" s="130">
        <v>1.0659722222222221</v>
      </c>
      <c r="F60" s="128" t="s">
        <v>48</v>
      </c>
      <c r="G60" s="131">
        <v>9</v>
      </c>
      <c r="H60" s="128" t="s">
        <v>100</v>
      </c>
    </row>
    <row r="61" spans="1:8" ht="18" x14ac:dyDescent="0.3">
      <c r="A61" s="189">
        <v>45989</v>
      </c>
      <c r="B61" s="190" t="s">
        <v>35</v>
      </c>
      <c r="C61" s="191" t="s">
        <v>36</v>
      </c>
      <c r="D61" s="190" t="s">
        <v>1</v>
      </c>
      <c r="E61" s="192">
        <v>1.350694444444444</v>
      </c>
      <c r="F61" s="190" t="s">
        <v>42</v>
      </c>
      <c r="G61" s="193">
        <v>9</v>
      </c>
      <c r="H61" s="190" t="s">
        <v>116</v>
      </c>
    </row>
    <row r="62" spans="1:8" ht="15.6" x14ac:dyDescent="0.3">
      <c r="A62" s="185"/>
      <c r="B62" s="185"/>
      <c r="C62" s="185"/>
      <c r="D62" s="185"/>
      <c r="E62" s="186" t="s">
        <v>239</v>
      </c>
      <c r="F62" s="185"/>
      <c r="G62" s="185"/>
      <c r="H62" s="3"/>
    </row>
    <row r="63" spans="1:8" ht="18" x14ac:dyDescent="0.3">
      <c r="A63" s="115">
        <v>45990</v>
      </c>
      <c r="B63" s="116" t="s">
        <v>25</v>
      </c>
      <c r="C63" s="117" t="s">
        <v>26</v>
      </c>
      <c r="D63" s="116" t="s">
        <v>1</v>
      </c>
      <c r="E63" s="118">
        <v>1.229166666666667</v>
      </c>
      <c r="F63" s="116" t="s">
        <v>27</v>
      </c>
      <c r="G63" s="119">
        <v>3</v>
      </c>
      <c r="H63" s="120" t="s">
        <v>98</v>
      </c>
    </row>
    <row r="64" spans="1:8" ht="18" x14ac:dyDescent="0.3">
      <c r="A64" s="121">
        <v>45990</v>
      </c>
      <c r="B64" s="122" t="s">
        <v>25</v>
      </c>
      <c r="C64" s="123" t="s">
        <v>26</v>
      </c>
      <c r="D64" s="122" t="s">
        <v>1</v>
      </c>
      <c r="E64" s="124">
        <v>1.229166666666667</v>
      </c>
      <c r="F64" s="122" t="s">
        <v>30</v>
      </c>
      <c r="G64" s="125">
        <v>3</v>
      </c>
      <c r="H64" s="122" t="s">
        <v>117</v>
      </c>
    </row>
    <row r="65" spans="1:8" ht="18" x14ac:dyDescent="0.3">
      <c r="A65" s="126">
        <v>45990</v>
      </c>
      <c r="B65" s="116" t="s">
        <v>54</v>
      </c>
      <c r="C65" s="117" t="s">
        <v>55</v>
      </c>
      <c r="D65" s="116" t="s">
        <v>1</v>
      </c>
      <c r="E65" s="118">
        <v>1.6076388888888891</v>
      </c>
      <c r="F65" s="116" t="s">
        <v>56</v>
      </c>
      <c r="G65" s="119">
        <v>1</v>
      </c>
      <c r="H65" s="116" t="s">
        <v>118</v>
      </c>
    </row>
    <row r="66" spans="1:8" ht="18" x14ac:dyDescent="0.3">
      <c r="A66" s="121">
        <v>45990</v>
      </c>
      <c r="B66" s="122" t="s">
        <v>54</v>
      </c>
      <c r="C66" s="123" t="s">
        <v>55</v>
      </c>
      <c r="D66" s="122" t="s">
        <v>1</v>
      </c>
      <c r="E66" s="124">
        <v>1.6076388888888891</v>
      </c>
      <c r="F66" s="122" t="s">
        <v>58</v>
      </c>
      <c r="G66" s="125">
        <v>1</v>
      </c>
      <c r="H66" s="122" t="s">
        <v>113</v>
      </c>
    </row>
    <row r="67" spans="1:8" ht="18" x14ac:dyDescent="0.3">
      <c r="A67" s="121">
        <v>45990</v>
      </c>
      <c r="B67" s="122" t="s">
        <v>54</v>
      </c>
      <c r="C67" s="123" t="s">
        <v>55</v>
      </c>
      <c r="D67" s="122" t="s">
        <v>1</v>
      </c>
      <c r="E67" s="124">
        <v>1.6076388888888891</v>
      </c>
      <c r="F67" s="122" t="s">
        <v>60</v>
      </c>
      <c r="G67" s="125">
        <v>1</v>
      </c>
      <c r="H67" s="122" t="s">
        <v>119</v>
      </c>
    </row>
    <row r="68" spans="1:8" ht="18" x14ac:dyDescent="0.3">
      <c r="A68" s="127">
        <v>45990</v>
      </c>
      <c r="B68" s="128" t="s">
        <v>54</v>
      </c>
      <c r="C68" s="129" t="s">
        <v>62</v>
      </c>
      <c r="D68" s="128" t="s">
        <v>1</v>
      </c>
      <c r="E68" s="130">
        <v>1.4340277777777779</v>
      </c>
      <c r="F68" s="128" t="s">
        <v>56</v>
      </c>
      <c r="G68" s="131">
        <v>2</v>
      </c>
      <c r="H68" s="128" t="s">
        <v>118</v>
      </c>
    </row>
    <row r="69" spans="1:8" ht="18" x14ac:dyDescent="0.3">
      <c r="A69" s="121">
        <v>45990</v>
      </c>
      <c r="B69" s="122" t="s">
        <v>54</v>
      </c>
      <c r="C69" s="123" t="s">
        <v>62</v>
      </c>
      <c r="D69" s="122" t="s">
        <v>1</v>
      </c>
      <c r="E69" s="124">
        <v>1.4340277777777779</v>
      </c>
      <c r="F69" s="122" t="s">
        <v>58</v>
      </c>
      <c r="G69" s="125">
        <v>2</v>
      </c>
      <c r="H69" s="122" t="s">
        <v>113</v>
      </c>
    </row>
    <row r="70" spans="1:8" ht="18" x14ac:dyDescent="0.3">
      <c r="A70" s="121">
        <v>45990</v>
      </c>
      <c r="B70" s="122" t="s">
        <v>54</v>
      </c>
      <c r="C70" s="123" t="s">
        <v>62</v>
      </c>
      <c r="D70" s="122" t="s">
        <v>1</v>
      </c>
      <c r="E70" s="124">
        <v>1.4340277777777779</v>
      </c>
      <c r="F70" s="122" t="s">
        <v>60</v>
      </c>
      <c r="G70" s="125">
        <v>2</v>
      </c>
      <c r="H70" s="122" t="s">
        <v>119</v>
      </c>
    </row>
    <row r="71" spans="1:8" ht="18" x14ac:dyDescent="0.3">
      <c r="A71" s="126">
        <v>45990</v>
      </c>
      <c r="B71" s="116" t="s">
        <v>63</v>
      </c>
      <c r="C71" s="117" t="s">
        <v>68</v>
      </c>
      <c r="D71" s="116" t="s">
        <v>1</v>
      </c>
      <c r="E71" s="118">
        <v>1.9409722222222221</v>
      </c>
      <c r="F71" s="116" t="s">
        <v>48</v>
      </c>
      <c r="G71" s="119">
        <v>9</v>
      </c>
      <c r="H71" s="116" t="s">
        <v>65</v>
      </c>
    </row>
    <row r="72" spans="1:8" ht="18" x14ac:dyDescent="0.3">
      <c r="A72" s="150">
        <v>45990</v>
      </c>
      <c r="B72" s="151" t="s">
        <v>63</v>
      </c>
      <c r="C72" s="152" t="s">
        <v>66</v>
      </c>
      <c r="D72" s="151" t="s">
        <v>1</v>
      </c>
      <c r="E72" s="153">
        <v>1.0659722222222221</v>
      </c>
      <c r="F72" s="151" t="s">
        <v>48</v>
      </c>
      <c r="G72" s="154">
        <v>9</v>
      </c>
      <c r="H72" s="151" t="s">
        <v>65</v>
      </c>
    </row>
    <row r="73" spans="1:8" ht="18" x14ac:dyDescent="0.3">
      <c r="A73" s="187">
        <v>45991</v>
      </c>
      <c r="B73" s="137" t="s">
        <v>71</v>
      </c>
      <c r="C73" s="138" t="s">
        <v>198</v>
      </c>
      <c r="D73" s="137" t="s">
        <v>197</v>
      </c>
      <c r="E73" s="139">
        <v>1.2361111111111109</v>
      </c>
      <c r="F73" s="137" t="s">
        <v>73</v>
      </c>
      <c r="G73" s="137"/>
      <c r="H73" s="188" t="s">
        <v>74</v>
      </c>
    </row>
    <row r="74" spans="1:8" ht="15.6" x14ac:dyDescent="0.3">
      <c r="A74" s="185"/>
      <c r="B74" s="185"/>
      <c r="C74" s="185"/>
      <c r="D74" s="185"/>
      <c r="E74" s="186" t="s">
        <v>239</v>
      </c>
      <c r="F74" s="185"/>
      <c r="G74" s="185"/>
      <c r="H74" s="3"/>
    </row>
    <row r="75" spans="1:8" ht="18" x14ac:dyDescent="0.3">
      <c r="A75" s="126">
        <v>45991</v>
      </c>
      <c r="B75" s="116" t="s">
        <v>25</v>
      </c>
      <c r="C75" s="117" t="s">
        <v>26</v>
      </c>
      <c r="D75" s="116" t="s">
        <v>1</v>
      </c>
      <c r="E75" s="118">
        <v>1.229166666666667</v>
      </c>
      <c r="F75" s="116" t="s">
        <v>27</v>
      </c>
      <c r="G75" s="119">
        <v>5</v>
      </c>
      <c r="H75" s="116" t="s">
        <v>123</v>
      </c>
    </row>
    <row r="76" spans="1:8" ht="18" x14ac:dyDescent="0.3">
      <c r="A76" s="121">
        <v>45991</v>
      </c>
      <c r="B76" s="122" t="s">
        <v>25</v>
      </c>
      <c r="C76" s="123" t="s">
        <v>26</v>
      </c>
      <c r="D76" s="122" t="s">
        <v>1</v>
      </c>
      <c r="E76" s="124">
        <v>1.229166666666667</v>
      </c>
      <c r="F76" s="122" t="s">
        <v>30</v>
      </c>
      <c r="G76" s="125">
        <v>5</v>
      </c>
      <c r="H76" s="122" t="s">
        <v>79</v>
      </c>
    </row>
    <row r="77" spans="1:8" ht="18" x14ac:dyDescent="0.3">
      <c r="A77" s="126">
        <v>45991</v>
      </c>
      <c r="B77" s="116" t="s">
        <v>54</v>
      </c>
      <c r="C77" s="117" t="s">
        <v>55</v>
      </c>
      <c r="D77" s="116" t="s">
        <v>1</v>
      </c>
      <c r="E77" s="118">
        <v>1.6076388888888891</v>
      </c>
      <c r="F77" s="116" t="s">
        <v>56</v>
      </c>
      <c r="G77" s="119">
        <v>1</v>
      </c>
      <c r="H77" s="116" t="s">
        <v>118</v>
      </c>
    </row>
    <row r="78" spans="1:8" ht="18" x14ac:dyDescent="0.3">
      <c r="A78" s="121">
        <v>45991</v>
      </c>
      <c r="B78" s="122" t="s">
        <v>54</v>
      </c>
      <c r="C78" s="123" t="s">
        <v>55</v>
      </c>
      <c r="D78" s="122" t="s">
        <v>1</v>
      </c>
      <c r="E78" s="124">
        <v>1.6076388888888891</v>
      </c>
      <c r="F78" s="122" t="s">
        <v>58</v>
      </c>
      <c r="G78" s="125">
        <v>1</v>
      </c>
      <c r="H78" s="122" t="s">
        <v>113</v>
      </c>
    </row>
    <row r="79" spans="1:8" ht="18" x14ac:dyDescent="0.3">
      <c r="A79" s="121">
        <v>45991</v>
      </c>
      <c r="B79" s="122" t="s">
        <v>54</v>
      </c>
      <c r="C79" s="123" t="s">
        <v>55</v>
      </c>
      <c r="D79" s="122" t="s">
        <v>1</v>
      </c>
      <c r="E79" s="124">
        <v>1.6076388888888891</v>
      </c>
      <c r="F79" s="122" t="s">
        <v>60</v>
      </c>
      <c r="G79" s="125">
        <v>1</v>
      </c>
      <c r="H79" s="122" t="s">
        <v>119</v>
      </c>
    </row>
    <row r="80" spans="1:8" ht="18" x14ac:dyDescent="0.3">
      <c r="A80" s="126">
        <v>45991</v>
      </c>
      <c r="B80" s="116" t="s">
        <v>63</v>
      </c>
      <c r="C80" s="117" t="s">
        <v>68</v>
      </c>
      <c r="D80" s="116" t="s">
        <v>1</v>
      </c>
      <c r="E80" s="118">
        <v>1.9409722222222221</v>
      </c>
      <c r="F80" s="116" t="s">
        <v>48</v>
      </c>
      <c r="G80" s="119">
        <v>9</v>
      </c>
      <c r="H80" s="116" t="s">
        <v>39</v>
      </c>
    </row>
    <row r="81" spans="1:8" ht="18" x14ac:dyDescent="0.3">
      <c r="A81" s="127">
        <v>45991</v>
      </c>
      <c r="B81" s="128" t="s">
        <v>63</v>
      </c>
      <c r="C81" s="129" t="s">
        <v>66</v>
      </c>
      <c r="D81" s="128" t="s">
        <v>1</v>
      </c>
      <c r="E81" s="130">
        <v>1.0659722222222221</v>
      </c>
      <c r="F81" s="128" t="s">
        <v>48</v>
      </c>
      <c r="G81" s="131">
        <v>9</v>
      </c>
      <c r="H81" s="128" t="s">
        <v>39</v>
      </c>
    </row>
    <row r="82" spans="1:8" ht="18" x14ac:dyDescent="0.3">
      <c r="A82" s="136">
        <v>45991</v>
      </c>
      <c r="B82" s="137" t="s">
        <v>71</v>
      </c>
      <c r="C82" s="138" t="s">
        <v>80</v>
      </c>
      <c r="D82" s="137" t="s">
        <v>1</v>
      </c>
      <c r="E82" s="139">
        <v>1.743055555555556</v>
      </c>
      <c r="F82" s="137" t="s">
        <v>81</v>
      </c>
      <c r="G82" s="140">
        <v>1</v>
      </c>
      <c r="H82" s="137" t="s">
        <v>124</v>
      </c>
    </row>
    <row r="83" spans="1:8" ht="18" x14ac:dyDescent="0.3">
      <c r="A83" s="126">
        <v>45991</v>
      </c>
      <c r="B83" s="116" t="s">
        <v>35</v>
      </c>
      <c r="C83" s="117" t="s">
        <v>36</v>
      </c>
      <c r="D83" s="116" t="s">
        <v>1</v>
      </c>
      <c r="E83" s="118">
        <v>1.350694444444444</v>
      </c>
      <c r="F83" s="116" t="s">
        <v>42</v>
      </c>
      <c r="G83" s="119">
        <v>1</v>
      </c>
      <c r="H83" s="116" t="s">
        <v>46</v>
      </c>
    </row>
    <row r="84" spans="1:8" ht="18" x14ac:dyDescent="0.3">
      <c r="A84" s="150">
        <v>45991</v>
      </c>
      <c r="B84" s="151" t="s">
        <v>35</v>
      </c>
      <c r="C84" s="152" t="s">
        <v>44</v>
      </c>
      <c r="D84" s="151" t="s">
        <v>1</v>
      </c>
      <c r="E84" s="153">
        <v>1.1840277777777779</v>
      </c>
      <c r="F84" s="151" t="s">
        <v>42</v>
      </c>
      <c r="G84" s="154">
        <v>9</v>
      </c>
      <c r="H84" s="151" t="s">
        <v>46</v>
      </c>
    </row>
  </sheetData>
  <dataValidations count="5">
    <dataValidation type="custom" allowBlank="1" showInputMessage="1" promptTitle="LOAD FACTOR ANALYSIS" prompt="SM485_x000d__x000a_LF 1.0%_x000d__x000a_SOLD 180_x000d__x000a_LST-SOLD 22NOV_x000d__x000a_WEEKLY 47_x000d__x000a_TO-DAY NIL_x000d__x000a_Y-DAY 3_x000d__x000a_LOWEST AVAIL CLOSED_x000d__x000a_CAPACITY 180_x000d__x000a_CLASSES V5 &amp; T5 &amp; X4 &amp; +2 more" sqref="A13 B13 C13 D13 E13 F13 G13 H13" xr:uid="{00000000-0002-0000-0600-000000000000}">
      <formula1>TRUE</formula1>
    </dataValidation>
    <dataValidation type="custom" allowBlank="1" showInputMessage="1" promptTitle="LOAD FACTOR ANALYSIS" prompt="SM-493_x000d__x000a_LF -_x000d__x000a_SOLD -_x000d__x000a_LST-SOLD -_x000d__x000a_WEEKLY -_x000d__x000a_TO-DAY -_x000d__x000a_Y-DAY -_x000d__x000a_LOWEST AVAIL -_x000d__x000a_CAPACITY -_x000d__x000a_CLASSES -" sqref="A18 A82 B18 B82 C18 C82 D18 D82 E18 E82 F18 F82 G18 G82 H18 H82" xr:uid="{00000000-0002-0000-0600-000001000000}">
      <formula1>TRUE</formula1>
    </dataValidation>
    <dataValidation type="custom" allowBlank="1" showInputMessage="1" promptTitle="LOAD FACTOR ANALYSIS" prompt="SM485_x000d__x000a_LF 99.4%_x000d__x000a_SOLD 179_x000d__x000a_LST-SOLD 15NOV_x000d__x000a_WEEKLY NIL_x000d__x000a_TO-DAY NIL_x000d__x000a_Y-DAY NIL_x000d__x000a_LOWEST AVAIL CLOSED_x000d__x000a_CAPACITY 180_x000d__x000a_CLASSES G1 &amp; I3 &amp; P175" sqref="A25 B25 C25 D25 E25 F25 G25 H25" xr:uid="{00000000-0002-0000-0600-000002000000}">
      <formula1>TRUE</formula1>
    </dataValidation>
    <dataValidation type="custom" allowBlank="1" showInputMessage="1" promptTitle="LOAD FACTOR ANALYSIS" prompt="SM485_x000d__x000a_LF 1.0%_x000d__x000a_SOLD 180_x000d__x000a_LST-SOLD 19NOV_x000d__x000a_WEEKLY 2_x000d__x000a_TO-DAY NIL_x000d__x000a_Y-DAY NIL_x000d__x000a_LOWEST AVAIL CLOSED_x000d__x000a_CAPACITY 180_x000d__x000a_CLASSES G3 &amp; X3 &amp; I8 &amp; +1 more" sqref="A38 B38 C38 D38 E38 F38 G38 H38" xr:uid="{00000000-0002-0000-0600-000003000000}">
      <formula1>TRUE</formula1>
    </dataValidation>
    <dataValidation type="custom" allowBlank="1" showInputMessage="1" promptTitle="LOAD FACTOR ANALYSIS" prompt="SM485_x000d__x000a_LF 1.0%_x000d__x000a_SOLD 180_x000d__x000a_LST-SOLD 16NOV_x000d__x000a_WEEKLY 2_x000d__x000a_TO-DAY NIL_x000d__x000a_Y-DAY NIL_x000d__x000a_LOWEST AVAIL CLOSED_x000d__x000a_CAPACITY 180_x000d__x000a_CLASSES L3 &amp; X10 &amp; U11 &amp; +3 more" sqref="A73 B73 C73 D73 E73 F73 G73 H73" xr:uid="{00000000-0002-0000-0600-00000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4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109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240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45984.358523020986</v>
      </c>
      <c r="H2" s="287"/>
      <c r="I2" s="287"/>
      <c r="J2" s="287"/>
      <c r="K2" s="292">
        <v>45984.358523021518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5" t="s">
        <v>71</v>
      </c>
      <c r="B6" s="85" t="s">
        <v>241</v>
      </c>
      <c r="C6" s="86">
        <v>0.64583333333333337</v>
      </c>
      <c r="D6" s="85" t="s">
        <v>81</v>
      </c>
      <c r="E6" s="85" t="s">
        <v>57</v>
      </c>
      <c r="F6" s="85" t="s">
        <v>242</v>
      </c>
      <c r="G6" s="276"/>
      <c r="H6" s="87" t="s">
        <v>87</v>
      </c>
      <c r="I6" s="194">
        <v>0.67220000000000002</v>
      </c>
      <c r="J6" s="89">
        <v>121</v>
      </c>
      <c r="K6" s="90">
        <v>45983</v>
      </c>
      <c r="L6" s="89">
        <v>82</v>
      </c>
      <c r="M6" s="89">
        <v>0</v>
      </c>
      <c r="N6" s="89">
        <v>5</v>
      </c>
      <c r="O6" s="91" t="s">
        <v>243</v>
      </c>
      <c r="P6" s="92">
        <v>0.64583333333333337</v>
      </c>
      <c r="Q6" s="89">
        <v>180</v>
      </c>
      <c r="R6" s="93" t="s">
        <v>244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200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26</v>
      </c>
      <c r="C8" s="20" t="s">
        <v>201</v>
      </c>
      <c r="D8" s="19" t="s">
        <v>27</v>
      </c>
      <c r="E8" s="19" t="s">
        <v>223</v>
      </c>
      <c r="F8" s="19" t="s">
        <v>29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35</v>
      </c>
      <c r="B9" s="19" t="s">
        <v>36</v>
      </c>
      <c r="C9" s="20" t="s">
        <v>213</v>
      </c>
      <c r="D9" s="19" t="s">
        <v>37</v>
      </c>
      <c r="E9" s="19" t="s">
        <v>206</v>
      </c>
      <c r="F9" s="19" t="s">
        <v>39</v>
      </c>
      <c r="G9" s="277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35</v>
      </c>
      <c r="B10" s="19" t="s">
        <v>36</v>
      </c>
      <c r="C10" s="20" t="s">
        <v>213</v>
      </c>
      <c r="D10" s="19" t="s">
        <v>40</v>
      </c>
      <c r="E10" s="19" t="s">
        <v>206</v>
      </c>
      <c r="F10" s="19" t="s">
        <v>39</v>
      </c>
      <c r="G10" s="277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26</v>
      </c>
      <c r="C11" s="20" t="s">
        <v>201</v>
      </c>
      <c r="D11" s="19" t="s">
        <v>30</v>
      </c>
      <c r="E11" s="19" t="s">
        <v>223</v>
      </c>
      <c r="F11" s="19" t="s">
        <v>32</v>
      </c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54</v>
      </c>
      <c r="B12" s="19" t="s">
        <v>55</v>
      </c>
      <c r="C12" s="20" t="s">
        <v>209</v>
      </c>
      <c r="D12" s="19" t="s">
        <v>56</v>
      </c>
      <c r="E12" s="19" t="s">
        <v>212</v>
      </c>
      <c r="F12" s="19" t="s">
        <v>32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54</v>
      </c>
      <c r="B13" s="19" t="s">
        <v>62</v>
      </c>
      <c r="C13" s="20" t="s">
        <v>221</v>
      </c>
      <c r="D13" s="19" t="s">
        <v>56</v>
      </c>
      <c r="E13" s="19" t="s">
        <v>212</v>
      </c>
      <c r="F13" s="19" t="s">
        <v>32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36</v>
      </c>
      <c r="C14" s="20" t="s">
        <v>213</v>
      </c>
      <c r="D14" s="19" t="s">
        <v>42</v>
      </c>
      <c r="E14" s="19" t="s">
        <v>206</v>
      </c>
      <c r="F14" s="19" t="s">
        <v>43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63</v>
      </c>
      <c r="B15" s="19" t="s">
        <v>64</v>
      </c>
      <c r="C15" s="20" t="s">
        <v>205</v>
      </c>
      <c r="D15" s="19" t="s">
        <v>48</v>
      </c>
      <c r="E15" s="19" t="s">
        <v>206</v>
      </c>
      <c r="F15" s="19" t="s">
        <v>65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63</v>
      </c>
      <c r="B16" s="19" t="s">
        <v>66</v>
      </c>
      <c r="C16" s="20" t="s">
        <v>207</v>
      </c>
      <c r="D16" s="19" t="s">
        <v>48</v>
      </c>
      <c r="E16" s="19" t="s">
        <v>206</v>
      </c>
      <c r="F16" s="19" t="s">
        <v>65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63" t="s">
        <v>63</v>
      </c>
      <c r="B17" s="63" t="s">
        <v>67</v>
      </c>
      <c r="C17" s="64" t="s">
        <v>245</v>
      </c>
      <c r="D17" s="63" t="s">
        <v>48</v>
      </c>
      <c r="E17" s="63" t="s">
        <v>206</v>
      </c>
      <c r="F17" s="63" t="s">
        <v>65</v>
      </c>
      <c r="G17" s="278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9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2.05" customHeight="1" x14ac:dyDescent="0.3">
      <c r="A19" s="290" t="s">
        <v>5</v>
      </c>
      <c r="B19" s="291"/>
      <c r="C19" s="291"/>
      <c r="D19" s="291"/>
      <c r="E19" s="291"/>
      <c r="F19" s="291"/>
      <c r="G19" s="5">
        <v>45987</v>
      </c>
      <c r="H19" s="274" t="s">
        <v>6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4" customHeight="1" x14ac:dyDescent="0.3">
      <c r="A20" s="31" t="s">
        <v>7</v>
      </c>
      <c r="B20" s="31" t="s">
        <v>8</v>
      </c>
      <c r="C20" s="32" t="s">
        <v>9</v>
      </c>
      <c r="D20" s="31" t="s">
        <v>10</v>
      </c>
      <c r="E20" s="31" t="s">
        <v>11</v>
      </c>
      <c r="F20" s="31" t="s">
        <v>12</v>
      </c>
      <c r="G20" s="33" t="s">
        <v>13</v>
      </c>
      <c r="H20" s="31" t="s">
        <v>14</v>
      </c>
      <c r="I20" s="34" t="s">
        <v>15</v>
      </c>
      <c r="J20" s="35" t="s">
        <v>16</v>
      </c>
      <c r="K20" s="36" t="s">
        <v>17</v>
      </c>
      <c r="L20" s="35" t="s">
        <v>18</v>
      </c>
      <c r="M20" s="35" t="s">
        <v>19</v>
      </c>
      <c r="N20" s="35" t="s">
        <v>20</v>
      </c>
      <c r="O20" s="31" t="s">
        <v>21</v>
      </c>
      <c r="P20" s="32" t="s">
        <v>22</v>
      </c>
      <c r="Q20" s="35" t="s">
        <v>23</v>
      </c>
      <c r="R20" s="31" t="s">
        <v>24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5" t="s">
        <v>71</v>
      </c>
      <c r="B21" s="195" t="s">
        <v>246</v>
      </c>
      <c r="C21" s="196">
        <v>0.46180555555555558</v>
      </c>
      <c r="D21" s="195" t="s">
        <v>81</v>
      </c>
      <c r="E21" s="195" t="s">
        <v>38</v>
      </c>
      <c r="F21" s="195" t="s">
        <v>247</v>
      </c>
      <c r="G21" s="276"/>
      <c r="H21" s="197" t="s">
        <v>248</v>
      </c>
      <c r="I21" s="198">
        <v>0.84440000000000004</v>
      </c>
      <c r="J21" s="199">
        <v>152</v>
      </c>
      <c r="K21" s="200">
        <v>45983</v>
      </c>
      <c r="L21" s="199">
        <v>50</v>
      </c>
      <c r="M21" s="199">
        <v>0</v>
      </c>
      <c r="N21" s="199">
        <v>6</v>
      </c>
      <c r="O21" s="201" t="s">
        <v>249</v>
      </c>
      <c r="P21" s="202">
        <v>0.46180555555555558</v>
      </c>
      <c r="Q21" s="199">
        <v>180</v>
      </c>
      <c r="R21" s="203" t="s">
        <v>250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8" x14ac:dyDescent="0.3">
      <c r="A22" s="300" t="s">
        <v>200</v>
      </c>
      <c r="B22" s="301"/>
      <c r="C22" s="301"/>
      <c r="D22" s="301"/>
      <c r="E22" s="301"/>
      <c r="F22" s="301"/>
      <c r="G22" s="277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25</v>
      </c>
      <c r="B23" s="19" t="s">
        <v>26</v>
      </c>
      <c r="C23" s="20" t="s">
        <v>201</v>
      </c>
      <c r="D23" s="19" t="s">
        <v>97</v>
      </c>
      <c r="E23" s="19" t="s">
        <v>202</v>
      </c>
      <c r="F23" s="19" t="s">
        <v>98</v>
      </c>
      <c r="G23" s="277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63</v>
      </c>
      <c r="B24" s="19" t="s">
        <v>68</v>
      </c>
      <c r="C24" s="20" t="s">
        <v>211</v>
      </c>
      <c r="D24" s="19" t="s">
        <v>48</v>
      </c>
      <c r="E24" s="19" t="s">
        <v>206</v>
      </c>
      <c r="F24" s="19" t="s">
        <v>99</v>
      </c>
      <c r="G24" s="277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54</v>
      </c>
      <c r="B25" s="19" t="s">
        <v>55</v>
      </c>
      <c r="C25" s="20" t="s">
        <v>209</v>
      </c>
      <c r="D25" s="19" t="s">
        <v>56</v>
      </c>
      <c r="E25" s="19" t="s">
        <v>212</v>
      </c>
      <c r="F25" s="19" t="s">
        <v>101</v>
      </c>
      <c r="G25" s="277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35</v>
      </c>
      <c r="B26" s="19" t="s">
        <v>36</v>
      </c>
      <c r="C26" s="20" t="s">
        <v>213</v>
      </c>
      <c r="D26" s="19" t="s">
        <v>48</v>
      </c>
      <c r="E26" s="19" t="s">
        <v>214</v>
      </c>
      <c r="F26" s="19" t="s">
        <v>46</v>
      </c>
      <c r="G26" s="277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35</v>
      </c>
      <c r="B27" s="19" t="s">
        <v>47</v>
      </c>
      <c r="C27" s="20" t="s">
        <v>215</v>
      </c>
      <c r="D27" s="19" t="s">
        <v>42</v>
      </c>
      <c r="E27" s="19" t="s">
        <v>206</v>
      </c>
      <c r="F27" s="19" t="s">
        <v>46</v>
      </c>
      <c r="G27" s="277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35</v>
      </c>
      <c r="B28" s="19" t="s">
        <v>47</v>
      </c>
      <c r="C28" s="20" t="s">
        <v>215</v>
      </c>
      <c r="D28" s="19" t="s">
        <v>48</v>
      </c>
      <c r="E28" s="19" t="s">
        <v>206</v>
      </c>
      <c r="F28" s="19" t="s">
        <v>46</v>
      </c>
      <c r="G28" s="277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35</v>
      </c>
      <c r="B29" s="19" t="s">
        <v>44</v>
      </c>
      <c r="C29" s="20" t="s">
        <v>216</v>
      </c>
      <c r="D29" s="19" t="s">
        <v>42</v>
      </c>
      <c r="E29" s="19" t="s">
        <v>206</v>
      </c>
      <c r="F29" s="19" t="s">
        <v>46</v>
      </c>
      <c r="G29" s="277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44</v>
      </c>
      <c r="C30" s="20" t="s">
        <v>216</v>
      </c>
      <c r="D30" s="19" t="s">
        <v>48</v>
      </c>
      <c r="E30" s="19" t="s">
        <v>206</v>
      </c>
      <c r="F30" s="19" t="s">
        <v>46</v>
      </c>
      <c r="G30" s="277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54</v>
      </c>
      <c r="B31" s="19" t="s">
        <v>55</v>
      </c>
      <c r="C31" s="20" t="s">
        <v>209</v>
      </c>
      <c r="D31" s="19" t="s">
        <v>58</v>
      </c>
      <c r="E31" s="19" t="s">
        <v>212</v>
      </c>
      <c r="F31" s="19" t="s">
        <v>102</v>
      </c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63" t="s">
        <v>54</v>
      </c>
      <c r="B32" s="63" t="s">
        <v>55</v>
      </c>
      <c r="C32" s="64" t="s">
        <v>209</v>
      </c>
      <c r="D32" s="63" t="s">
        <v>60</v>
      </c>
      <c r="E32" s="63" t="s">
        <v>212</v>
      </c>
      <c r="F32" s="63" t="s">
        <v>103</v>
      </c>
      <c r="G32" s="278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4.4" customHeight="1" x14ac:dyDescent="0.3">
      <c r="A33" s="279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1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22.05" customHeight="1" x14ac:dyDescent="0.3">
      <c r="A34" s="290" t="s">
        <v>5</v>
      </c>
      <c r="B34" s="291"/>
      <c r="C34" s="291"/>
      <c r="D34" s="291"/>
      <c r="E34" s="291"/>
      <c r="F34" s="291"/>
      <c r="G34" s="5">
        <v>45990</v>
      </c>
      <c r="H34" s="274" t="s">
        <v>6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4" customHeight="1" x14ac:dyDescent="0.3">
      <c r="A35" s="31" t="s">
        <v>7</v>
      </c>
      <c r="B35" s="31" t="s">
        <v>8</v>
      </c>
      <c r="C35" s="32" t="s">
        <v>9</v>
      </c>
      <c r="D35" s="31" t="s">
        <v>10</v>
      </c>
      <c r="E35" s="31" t="s">
        <v>11</v>
      </c>
      <c r="F35" s="31" t="s">
        <v>12</v>
      </c>
      <c r="G35" s="33" t="s">
        <v>13</v>
      </c>
      <c r="H35" s="31" t="s">
        <v>14</v>
      </c>
      <c r="I35" s="34" t="s">
        <v>15</v>
      </c>
      <c r="J35" s="35" t="s">
        <v>16</v>
      </c>
      <c r="K35" s="36" t="s">
        <v>17</v>
      </c>
      <c r="L35" s="35" t="s">
        <v>18</v>
      </c>
      <c r="M35" s="35" t="s">
        <v>19</v>
      </c>
      <c r="N35" s="35" t="s">
        <v>20</v>
      </c>
      <c r="O35" s="31" t="s">
        <v>21</v>
      </c>
      <c r="P35" s="32" t="s">
        <v>22</v>
      </c>
      <c r="Q35" s="35" t="s">
        <v>23</v>
      </c>
      <c r="R35" s="31" t="s">
        <v>24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82" t="s">
        <v>71</v>
      </c>
      <c r="B36" s="182" t="s">
        <v>241</v>
      </c>
      <c r="C36" s="183">
        <v>0.80208333333333337</v>
      </c>
      <c r="D36" s="182" t="s">
        <v>81</v>
      </c>
      <c r="E36" s="182" t="s">
        <v>251</v>
      </c>
      <c r="F36" s="182" t="s">
        <v>242</v>
      </c>
      <c r="G36" s="276"/>
      <c r="H36" s="49" t="s">
        <v>87</v>
      </c>
      <c r="I36" s="50">
        <v>0.85560000000000003</v>
      </c>
      <c r="J36" s="51">
        <v>154</v>
      </c>
      <c r="K36" s="52">
        <v>45983</v>
      </c>
      <c r="L36" s="51">
        <v>18</v>
      </c>
      <c r="M36" s="51">
        <v>0</v>
      </c>
      <c r="N36" s="51">
        <v>3</v>
      </c>
      <c r="O36" s="53" t="s">
        <v>252</v>
      </c>
      <c r="P36" s="54">
        <v>0.80208333333333337</v>
      </c>
      <c r="Q36" s="51">
        <v>180</v>
      </c>
      <c r="R36" s="55" t="s">
        <v>253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8" x14ac:dyDescent="0.3">
      <c r="A37" s="300" t="s">
        <v>200</v>
      </c>
      <c r="B37" s="301"/>
      <c r="C37" s="301"/>
      <c r="D37" s="301"/>
      <c r="E37" s="301"/>
      <c r="F37" s="301"/>
      <c r="G37" s="277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9" t="s">
        <v>25</v>
      </c>
      <c r="B38" s="19" t="s">
        <v>26</v>
      </c>
      <c r="C38" s="20" t="s">
        <v>201</v>
      </c>
      <c r="D38" s="19" t="s">
        <v>27</v>
      </c>
      <c r="E38" s="19" t="s">
        <v>202</v>
      </c>
      <c r="F38" s="19" t="s">
        <v>98</v>
      </c>
      <c r="G38" s="277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54</v>
      </c>
      <c r="B39" s="19" t="s">
        <v>55</v>
      </c>
      <c r="C39" s="20" t="s">
        <v>209</v>
      </c>
      <c r="D39" s="19" t="s">
        <v>56</v>
      </c>
      <c r="E39" s="19" t="s">
        <v>214</v>
      </c>
      <c r="F39" s="19" t="s">
        <v>118</v>
      </c>
      <c r="G39" s="277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54</v>
      </c>
      <c r="B40" s="19" t="s">
        <v>62</v>
      </c>
      <c r="C40" s="20" t="s">
        <v>221</v>
      </c>
      <c r="D40" s="19" t="s">
        <v>56</v>
      </c>
      <c r="E40" s="19" t="s">
        <v>204</v>
      </c>
      <c r="F40" s="19" t="s">
        <v>118</v>
      </c>
      <c r="G40" s="277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63</v>
      </c>
      <c r="B41" s="19" t="s">
        <v>68</v>
      </c>
      <c r="C41" s="20" t="s">
        <v>224</v>
      </c>
      <c r="D41" s="19" t="s">
        <v>48</v>
      </c>
      <c r="E41" s="19" t="s">
        <v>206</v>
      </c>
      <c r="F41" s="19" t="s">
        <v>65</v>
      </c>
      <c r="G41" s="277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63</v>
      </c>
      <c r="B42" s="19" t="s">
        <v>66</v>
      </c>
      <c r="C42" s="20" t="s">
        <v>207</v>
      </c>
      <c r="D42" s="19" t="s">
        <v>48</v>
      </c>
      <c r="E42" s="19" t="s">
        <v>206</v>
      </c>
      <c r="F42" s="19" t="s">
        <v>65</v>
      </c>
      <c r="G42" s="277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54</v>
      </c>
      <c r="B43" s="19" t="s">
        <v>55</v>
      </c>
      <c r="C43" s="20" t="s">
        <v>209</v>
      </c>
      <c r="D43" s="19" t="s">
        <v>58</v>
      </c>
      <c r="E43" s="19" t="s">
        <v>214</v>
      </c>
      <c r="F43" s="19" t="s">
        <v>113</v>
      </c>
      <c r="G43" s="277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54</v>
      </c>
      <c r="B44" s="19" t="s">
        <v>62</v>
      </c>
      <c r="C44" s="20" t="s">
        <v>221</v>
      </c>
      <c r="D44" s="19" t="s">
        <v>58</v>
      </c>
      <c r="E44" s="19" t="s">
        <v>204</v>
      </c>
      <c r="F44" s="19" t="s">
        <v>113</v>
      </c>
      <c r="G44" s="277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25</v>
      </c>
      <c r="B45" s="19" t="s">
        <v>26</v>
      </c>
      <c r="C45" s="20" t="s">
        <v>201</v>
      </c>
      <c r="D45" s="19" t="s">
        <v>30</v>
      </c>
      <c r="E45" s="19" t="s">
        <v>202</v>
      </c>
      <c r="F45" s="19" t="s">
        <v>117</v>
      </c>
      <c r="G45" s="277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54</v>
      </c>
      <c r="B46" s="19" t="s">
        <v>55</v>
      </c>
      <c r="C46" s="20" t="s">
        <v>209</v>
      </c>
      <c r="D46" s="19" t="s">
        <v>60</v>
      </c>
      <c r="E46" s="19" t="s">
        <v>214</v>
      </c>
      <c r="F46" s="19" t="s">
        <v>119</v>
      </c>
      <c r="G46" s="277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63" t="s">
        <v>54</v>
      </c>
      <c r="B47" s="63" t="s">
        <v>62</v>
      </c>
      <c r="C47" s="64" t="s">
        <v>221</v>
      </c>
      <c r="D47" s="63" t="s">
        <v>60</v>
      </c>
      <c r="E47" s="63" t="s">
        <v>204</v>
      </c>
      <c r="F47" s="63" t="s">
        <v>119</v>
      </c>
      <c r="G47" s="278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4.4" customHeight="1" x14ac:dyDescent="0.3">
      <c r="A48" s="279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1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</sheetData>
  <mergeCells count="24">
    <mergeCell ref="J1:M1"/>
    <mergeCell ref="A19:F19"/>
    <mergeCell ref="K2:R2"/>
    <mergeCell ref="G21:G32"/>
    <mergeCell ref="A22:F22"/>
    <mergeCell ref="G2:J2"/>
    <mergeCell ref="A4:F4"/>
    <mergeCell ref="G36:G47"/>
    <mergeCell ref="A34:F34"/>
    <mergeCell ref="H19:R19"/>
    <mergeCell ref="D1:F1"/>
    <mergeCell ref="G6:G17"/>
    <mergeCell ref="A48:R48"/>
    <mergeCell ref="A1:C1"/>
    <mergeCell ref="G1:H1"/>
    <mergeCell ref="A7:F7"/>
    <mergeCell ref="O1:Q1"/>
    <mergeCell ref="A37:F37"/>
    <mergeCell ref="H4:R4"/>
    <mergeCell ref="A18:R18"/>
    <mergeCell ref="A2:F2"/>
    <mergeCell ref="A3:R3"/>
    <mergeCell ref="H34:R34"/>
    <mergeCell ref="A33:R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87</v>
      </c>
      <c r="D2" s="98">
        <v>0.64583333333333337</v>
      </c>
      <c r="E2" s="97" t="s">
        <v>240</v>
      </c>
      <c r="F2" s="97" t="s">
        <v>158</v>
      </c>
      <c r="G2" s="99">
        <v>0.67220000000000002</v>
      </c>
      <c r="H2" s="100">
        <v>180</v>
      </c>
      <c r="I2" s="100">
        <v>121</v>
      </c>
      <c r="J2" s="100">
        <v>50</v>
      </c>
      <c r="K2" s="96">
        <v>45983</v>
      </c>
      <c r="L2" s="100">
        <v>0</v>
      </c>
      <c r="M2" s="100">
        <v>5</v>
      </c>
      <c r="N2" s="100">
        <v>82</v>
      </c>
      <c r="O2" s="97" t="s">
        <v>243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0" t="s">
        <v>254</v>
      </c>
      <c r="AB2" s="100" t="s">
        <v>255</v>
      </c>
      <c r="AC2" s="100" t="s">
        <v>168</v>
      </c>
      <c r="AD2" s="100" t="s">
        <v>183</v>
      </c>
      <c r="AE2" s="100" t="s">
        <v>256</v>
      </c>
      <c r="AF2" s="101"/>
      <c r="AG2" s="101"/>
      <c r="AH2" s="100" t="s">
        <v>257</v>
      </c>
      <c r="AI2" s="101"/>
    </row>
    <row r="3" spans="1:35" ht="18" x14ac:dyDescent="0.3">
      <c r="A3" s="102" t="s">
        <v>232</v>
      </c>
      <c r="B3" s="103">
        <v>45987</v>
      </c>
      <c r="C3" s="104" t="s">
        <v>248</v>
      </c>
      <c r="D3" s="105">
        <v>0.46180555555555558</v>
      </c>
      <c r="E3" s="104" t="s">
        <v>240</v>
      </c>
      <c r="F3" s="104" t="s">
        <v>158</v>
      </c>
      <c r="G3" s="106">
        <v>0.84440000000000004</v>
      </c>
      <c r="H3" s="107">
        <v>180</v>
      </c>
      <c r="I3" s="107">
        <v>152</v>
      </c>
      <c r="J3" s="107">
        <v>50</v>
      </c>
      <c r="K3" s="103">
        <v>45983</v>
      </c>
      <c r="L3" s="107">
        <v>0</v>
      </c>
      <c r="M3" s="107">
        <v>6</v>
      </c>
      <c r="N3" s="107">
        <v>50</v>
      </c>
      <c r="O3" s="104" t="s">
        <v>249</v>
      </c>
      <c r="P3" s="108"/>
      <c r="Q3" s="108"/>
      <c r="R3" s="108"/>
      <c r="S3" s="108"/>
      <c r="T3" s="108"/>
      <c r="U3" s="108"/>
      <c r="V3" s="108"/>
      <c r="W3" s="108"/>
      <c r="X3" s="108"/>
      <c r="Y3" s="107" t="s">
        <v>258</v>
      </c>
      <c r="Z3" s="107" t="s">
        <v>259</v>
      </c>
      <c r="AA3" s="107" t="s">
        <v>260</v>
      </c>
      <c r="AB3" s="107" t="s">
        <v>261</v>
      </c>
      <c r="AC3" s="107" t="s">
        <v>262</v>
      </c>
      <c r="AD3" s="107" t="s">
        <v>263</v>
      </c>
      <c r="AE3" s="107" t="s">
        <v>264</v>
      </c>
      <c r="AF3" s="108"/>
      <c r="AG3" s="108"/>
      <c r="AH3" s="107" t="s">
        <v>257</v>
      </c>
      <c r="AI3" s="108"/>
    </row>
    <row r="4" spans="1:35" ht="18" x14ac:dyDescent="0.3">
      <c r="A4" s="95" t="s">
        <v>180</v>
      </c>
      <c r="B4" s="96">
        <v>45990</v>
      </c>
      <c r="C4" s="97" t="s">
        <v>87</v>
      </c>
      <c r="D4" s="98">
        <v>0.80208333333333337</v>
      </c>
      <c r="E4" s="97" t="s">
        <v>240</v>
      </c>
      <c r="F4" s="97" t="s">
        <v>158</v>
      </c>
      <c r="G4" s="99">
        <v>0.85560000000000003</v>
      </c>
      <c r="H4" s="100">
        <v>180</v>
      </c>
      <c r="I4" s="100">
        <v>154</v>
      </c>
      <c r="J4" s="100">
        <v>97</v>
      </c>
      <c r="K4" s="96">
        <v>45983</v>
      </c>
      <c r="L4" s="100">
        <v>0</v>
      </c>
      <c r="M4" s="100">
        <v>3</v>
      </c>
      <c r="N4" s="100">
        <v>18</v>
      </c>
      <c r="O4" s="97" t="s">
        <v>252</v>
      </c>
      <c r="P4" s="100" t="s">
        <v>265</v>
      </c>
      <c r="Q4" s="101"/>
      <c r="R4" s="101"/>
      <c r="S4" s="101"/>
      <c r="T4" s="101"/>
      <c r="U4" s="101"/>
      <c r="V4" s="101"/>
      <c r="W4" s="101"/>
      <c r="X4" s="101"/>
      <c r="Y4" s="100" t="s">
        <v>258</v>
      </c>
      <c r="Z4" s="100" t="s">
        <v>259</v>
      </c>
      <c r="AA4" s="100" t="s">
        <v>266</v>
      </c>
      <c r="AB4" s="100" t="s">
        <v>267</v>
      </c>
      <c r="AC4" s="100" t="s">
        <v>268</v>
      </c>
      <c r="AD4" s="100" t="s">
        <v>269</v>
      </c>
      <c r="AE4" s="100" t="s">
        <v>161</v>
      </c>
      <c r="AF4" s="101"/>
      <c r="AG4" s="101"/>
      <c r="AH4" s="100" t="s">
        <v>270</v>
      </c>
      <c r="AI4" s="101"/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0.79073333333333329</v>
      </c>
      <c r="H5" s="113">
        <f>SUM(H2:H4)</f>
        <v>540</v>
      </c>
      <c r="I5" s="113">
        <f>SUM(I2:I4)</f>
        <v>427</v>
      </c>
      <c r="J5" s="113">
        <f>SUM(J2:J4)</f>
        <v>197</v>
      </c>
      <c r="K5" s="110"/>
      <c r="L5" s="113">
        <f>SUM(L2:L4)</f>
        <v>0</v>
      </c>
      <c r="M5" s="113">
        <f>SUM(M2:M4)</f>
        <v>14</v>
      </c>
      <c r="N5" s="113">
        <f>SUM(N2:N4)</f>
        <v>150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1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77734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87">
        <v>45985</v>
      </c>
      <c r="B2" s="137" t="s">
        <v>71</v>
      </c>
      <c r="C2" s="138" t="s">
        <v>241</v>
      </c>
      <c r="D2" s="137" t="s">
        <v>240</v>
      </c>
      <c r="E2" s="139">
        <v>1.645833333333333</v>
      </c>
      <c r="F2" s="137" t="s">
        <v>81</v>
      </c>
      <c r="G2" s="140">
        <v>4</v>
      </c>
      <c r="H2" s="188" t="s">
        <v>242</v>
      </c>
    </row>
    <row r="3" spans="1:8" ht="15.6" x14ac:dyDescent="0.3">
      <c r="A3" s="185"/>
      <c r="B3" s="185"/>
      <c r="C3" s="185"/>
      <c r="D3" s="185"/>
      <c r="E3" s="186" t="s">
        <v>239</v>
      </c>
      <c r="F3" s="185"/>
      <c r="G3" s="185"/>
      <c r="H3" s="3"/>
    </row>
    <row r="4" spans="1:8" ht="18" x14ac:dyDescent="0.3">
      <c r="A4" s="126">
        <v>45985</v>
      </c>
      <c r="B4" s="116" t="s">
        <v>25</v>
      </c>
      <c r="C4" s="117" t="s">
        <v>26</v>
      </c>
      <c r="D4" s="116" t="s">
        <v>1</v>
      </c>
      <c r="E4" s="118">
        <v>1.229166666666667</v>
      </c>
      <c r="F4" s="116" t="s">
        <v>27</v>
      </c>
      <c r="G4" s="119">
        <v>5</v>
      </c>
      <c r="H4" s="116" t="s">
        <v>29</v>
      </c>
    </row>
    <row r="5" spans="1:8" ht="18" x14ac:dyDescent="0.3">
      <c r="A5" s="121">
        <v>45985</v>
      </c>
      <c r="B5" s="122" t="s">
        <v>25</v>
      </c>
      <c r="C5" s="123" t="s">
        <v>26</v>
      </c>
      <c r="D5" s="122" t="s">
        <v>1</v>
      </c>
      <c r="E5" s="124">
        <v>1.229166666666667</v>
      </c>
      <c r="F5" s="122" t="s">
        <v>30</v>
      </c>
      <c r="G5" s="125">
        <v>5</v>
      </c>
      <c r="H5" s="122" t="s">
        <v>32</v>
      </c>
    </row>
    <row r="6" spans="1:8" ht="18" x14ac:dyDescent="0.3">
      <c r="A6" s="126">
        <v>45985</v>
      </c>
      <c r="B6" s="116" t="s">
        <v>35</v>
      </c>
      <c r="C6" s="117" t="s">
        <v>36</v>
      </c>
      <c r="D6" s="116" t="s">
        <v>1</v>
      </c>
      <c r="E6" s="118">
        <v>1.350694444444444</v>
      </c>
      <c r="F6" s="116" t="s">
        <v>37</v>
      </c>
      <c r="G6" s="119">
        <v>9</v>
      </c>
      <c r="H6" s="116" t="s">
        <v>39</v>
      </c>
    </row>
    <row r="7" spans="1:8" ht="18" x14ac:dyDescent="0.3">
      <c r="A7" s="121">
        <v>45985</v>
      </c>
      <c r="B7" s="122" t="s">
        <v>35</v>
      </c>
      <c r="C7" s="123" t="s">
        <v>36</v>
      </c>
      <c r="D7" s="122" t="s">
        <v>1</v>
      </c>
      <c r="E7" s="124">
        <v>1.350694444444444</v>
      </c>
      <c r="F7" s="122" t="s">
        <v>40</v>
      </c>
      <c r="G7" s="125">
        <v>9</v>
      </c>
      <c r="H7" s="122" t="s">
        <v>39</v>
      </c>
    </row>
    <row r="8" spans="1:8" ht="18" x14ac:dyDescent="0.3">
      <c r="A8" s="121">
        <v>45985</v>
      </c>
      <c r="B8" s="122" t="s">
        <v>35</v>
      </c>
      <c r="C8" s="123" t="s">
        <v>36</v>
      </c>
      <c r="D8" s="122" t="s">
        <v>1</v>
      </c>
      <c r="E8" s="124">
        <v>1.350694444444444</v>
      </c>
      <c r="F8" s="122" t="s">
        <v>42</v>
      </c>
      <c r="G8" s="125">
        <v>9</v>
      </c>
      <c r="H8" s="122" t="s">
        <v>43</v>
      </c>
    </row>
    <row r="9" spans="1:8" ht="18" x14ac:dyDescent="0.3">
      <c r="A9" s="126">
        <v>45985</v>
      </c>
      <c r="B9" s="116" t="s">
        <v>54</v>
      </c>
      <c r="C9" s="117" t="s">
        <v>55</v>
      </c>
      <c r="D9" s="116" t="s">
        <v>1</v>
      </c>
      <c r="E9" s="118">
        <v>1.6076388888888891</v>
      </c>
      <c r="F9" s="116" t="s">
        <v>56</v>
      </c>
      <c r="G9" s="119">
        <v>4</v>
      </c>
      <c r="H9" s="116" t="s">
        <v>32</v>
      </c>
    </row>
    <row r="10" spans="1:8" ht="18" x14ac:dyDescent="0.3">
      <c r="A10" s="127">
        <v>45985</v>
      </c>
      <c r="B10" s="128" t="s">
        <v>54</v>
      </c>
      <c r="C10" s="129" t="s">
        <v>62</v>
      </c>
      <c r="D10" s="128" t="s">
        <v>1</v>
      </c>
      <c r="E10" s="130">
        <v>1.4340277777777779</v>
      </c>
      <c r="F10" s="128" t="s">
        <v>56</v>
      </c>
      <c r="G10" s="131">
        <v>4</v>
      </c>
      <c r="H10" s="128" t="s">
        <v>32</v>
      </c>
    </row>
    <row r="11" spans="1:8" ht="18" x14ac:dyDescent="0.3">
      <c r="A11" s="126">
        <v>45985</v>
      </c>
      <c r="B11" s="116" t="s">
        <v>63</v>
      </c>
      <c r="C11" s="117" t="s">
        <v>64</v>
      </c>
      <c r="D11" s="116" t="s">
        <v>1</v>
      </c>
      <c r="E11" s="118">
        <v>1.336805555555556</v>
      </c>
      <c r="F11" s="116" t="s">
        <v>48</v>
      </c>
      <c r="G11" s="119">
        <v>9</v>
      </c>
      <c r="H11" s="116" t="s">
        <v>65</v>
      </c>
    </row>
    <row r="12" spans="1:8" ht="18" x14ac:dyDescent="0.3">
      <c r="A12" s="127">
        <v>45985</v>
      </c>
      <c r="B12" s="128" t="s">
        <v>63</v>
      </c>
      <c r="C12" s="129" t="s">
        <v>66</v>
      </c>
      <c r="D12" s="128" t="s">
        <v>1</v>
      </c>
      <c r="E12" s="130">
        <v>1.0659722222222221</v>
      </c>
      <c r="F12" s="128" t="s">
        <v>48</v>
      </c>
      <c r="G12" s="131">
        <v>9</v>
      </c>
      <c r="H12" s="128" t="s">
        <v>65</v>
      </c>
    </row>
    <row r="13" spans="1:8" ht="18" x14ac:dyDescent="0.3">
      <c r="A13" s="150">
        <v>45985</v>
      </c>
      <c r="B13" s="151" t="s">
        <v>63</v>
      </c>
      <c r="C13" s="152" t="s">
        <v>67</v>
      </c>
      <c r="D13" s="151" t="s">
        <v>1</v>
      </c>
      <c r="E13" s="153">
        <v>1.28125</v>
      </c>
      <c r="F13" s="151" t="s">
        <v>48</v>
      </c>
      <c r="G13" s="154">
        <v>9</v>
      </c>
      <c r="H13" s="151" t="s">
        <v>65</v>
      </c>
    </row>
    <row r="14" spans="1:8" ht="15.6" x14ac:dyDescent="0.3">
      <c r="A14" s="185"/>
      <c r="B14" s="185"/>
      <c r="C14" s="185"/>
      <c r="D14" s="185"/>
      <c r="E14" s="186" t="s">
        <v>239</v>
      </c>
      <c r="F14" s="185"/>
      <c r="G14" s="185"/>
      <c r="H14" s="3"/>
    </row>
    <row r="15" spans="1:8" ht="18" x14ac:dyDescent="0.3">
      <c r="A15" s="115">
        <v>45986</v>
      </c>
      <c r="B15" s="116" t="s">
        <v>25</v>
      </c>
      <c r="C15" s="117" t="s">
        <v>26</v>
      </c>
      <c r="D15" s="116" t="s">
        <v>1</v>
      </c>
      <c r="E15" s="118">
        <v>1.229166666666667</v>
      </c>
      <c r="F15" s="116" t="s">
        <v>27</v>
      </c>
      <c r="G15" s="119">
        <v>3</v>
      </c>
      <c r="H15" s="120" t="s">
        <v>29</v>
      </c>
    </row>
    <row r="16" spans="1:8" ht="18" x14ac:dyDescent="0.3">
      <c r="A16" s="121">
        <v>45986</v>
      </c>
      <c r="B16" s="122" t="s">
        <v>25</v>
      </c>
      <c r="C16" s="123" t="s">
        <v>26</v>
      </c>
      <c r="D16" s="122" t="s">
        <v>1</v>
      </c>
      <c r="E16" s="124">
        <v>1.229166666666667</v>
      </c>
      <c r="F16" s="122" t="s">
        <v>33</v>
      </c>
      <c r="G16" s="125">
        <v>3</v>
      </c>
      <c r="H16" s="122" t="s">
        <v>79</v>
      </c>
    </row>
    <row r="17" spans="1:8" ht="18" x14ac:dyDescent="0.3">
      <c r="A17" s="121">
        <v>45986</v>
      </c>
      <c r="B17" s="122" t="s">
        <v>25</v>
      </c>
      <c r="C17" s="123" t="s">
        <v>26</v>
      </c>
      <c r="D17" s="122" t="s">
        <v>1</v>
      </c>
      <c r="E17" s="124">
        <v>1.229166666666667</v>
      </c>
      <c r="F17" s="122" t="s">
        <v>30</v>
      </c>
      <c r="G17" s="125">
        <v>3</v>
      </c>
      <c r="H17" s="122" t="s">
        <v>32</v>
      </c>
    </row>
    <row r="18" spans="1:8" ht="18" x14ac:dyDescent="0.3">
      <c r="A18" s="136">
        <v>45986</v>
      </c>
      <c r="B18" s="137" t="s">
        <v>71</v>
      </c>
      <c r="C18" s="138" t="s">
        <v>80</v>
      </c>
      <c r="D18" s="137" t="s">
        <v>1</v>
      </c>
      <c r="E18" s="139">
        <v>1.819444444444444</v>
      </c>
      <c r="F18" s="137" t="s">
        <v>81</v>
      </c>
      <c r="G18" s="140">
        <v>2</v>
      </c>
      <c r="H18" s="137" t="s">
        <v>83</v>
      </c>
    </row>
    <row r="19" spans="1:8" ht="18" x14ac:dyDescent="0.3">
      <c r="A19" s="126">
        <v>45986</v>
      </c>
      <c r="B19" s="116" t="s">
        <v>63</v>
      </c>
      <c r="C19" s="117" t="s">
        <v>64</v>
      </c>
      <c r="D19" s="116" t="s">
        <v>1</v>
      </c>
      <c r="E19" s="118">
        <v>1.336805555555556</v>
      </c>
      <c r="F19" s="116" t="s">
        <v>48</v>
      </c>
      <c r="G19" s="119">
        <v>9</v>
      </c>
      <c r="H19" s="116" t="s">
        <v>39</v>
      </c>
    </row>
    <row r="20" spans="1:8" ht="18" x14ac:dyDescent="0.3">
      <c r="A20" s="127">
        <v>45986</v>
      </c>
      <c r="B20" s="128" t="s">
        <v>63</v>
      </c>
      <c r="C20" s="129" t="s">
        <v>66</v>
      </c>
      <c r="D20" s="128" t="s">
        <v>1</v>
      </c>
      <c r="E20" s="130">
        <v>1.0659722222222221</v>
      </c>
      <c r="F20" s="128" t="s">
        <v>48</v>
      </c>
      <c r="G20" s="131">
        <v>9</v>
      </c>
      <c r="H20" s="128" t="s">
        <v>39</v>
      </c>
    </row>
    <row r="21" spans="1:8" ht="18" x14ac:dyDescent="0.3">
      <c r="A21" s="127">
        <v>45986</v>
      </c>
      <c r="B21" s="128" t="s">
        <v>63</v>
      </c>
      <c r="C21" s="129" t="s">
        <v>67</v>
      </c>
      <c r="D21" s="128" t="s">
        <v>1</v>
      </c>
      <c r="E21" s="130">
        <v>1.288194444444444</v>
      </c>
      <c r="F21" s="128" t="s">
        <v>48</v>
      </c>
      <c r="G21" s="131">
        <v>9</v>
      </c>
      <c r="H21" s="128" t="s">
        <v>39</v>
      </c>
    </row>
    <row r="22" spans="1:8" ht="18" x14ac:dyDescent="0.3">
      <c r="A22" s="126">
        <v>45986</v>
      </c>
      <c r="B22" s="116" t="s">
        <v>54</v>
      </c>
      <c r="C22" s="117" t="s">
        <v>55</v>
      </c>
      <c r="D22" s="116" t="s">
        <v>1</v>
      </c>
      <c r="E22" s="118">
        <v>1.6076388888888891</v>
      </c>
      <c r="F22" s="116" t="s">
        <v>56</v>
      </c>
      <c r="G22" s="119">
        <v>2</v>
      </c>
      <c r="H22" s="116" t="s">
        <v>32</v>
      </c>
    </row>
    <row r="23" spans="1:8" ht="18" x14ac:dyDescent="0.3">
      <c r="A23" s="121">
        <v>45986</v>
      </c>
      <c r="B23" s="122" t="s">
        <v>54</v>
      </c>
      <c r="C23" s="123" t="s">
        <v>55</v>
      </c>
      <c r="D23" s="122" t="s">
        <v>1</v>
      </c>
      <c r="E23" s="124">
        <v>1.6076388888888891</v>
      </c>
      <c r="F23" s="122" t="s">
        <v>58</v>
      </c>
      <c r="G23" s="125">
        <v>2</v>
      </c>
      <c r="H23" s="122" t="s">
        <v>59</v>
      </c>
    </row>
    <row r="24" spans="1:8" ht="18" x14ac:dyDescent="0.3">
      <c r="A24" s="145">
        <v>45986</v>
      </c>
      <c r="B24" s="146" t="s">
        <v>54</v>
      </c>
      <c r="C24" s="147" t="s">
        <v>55</v>
      </c>
      <c r="D24" s="146" t="s">
        <v>1</v>
      </c>
      <c r="E24" s="148">
        <v>1.6076388888888891</v>
      </c>
      <c r="F24" s="146" t="s">
        <v>60</v>
      </c>
      <c r="G24" s="149">
        <v>2</v>
      </c>
      <c r="H24" s="146" t="s">
        <v>61</v>
      </c>
    </row>
    <row r="25" spans="1:8" ht="18" x14ac:dyDescent="0.3">
      <c r="A25" s="187">
        <v>45987</v>
      </c>
      <c r="B25" s="137" t="s">
        <v>71</v>
      </c>
      <c r="C25" s="138" t="s">
        <v>246</v>
      </c>
      <c r="D25" s="137" t="s">
        <v>240</v>
      </c>
      <c r="E25" s="139">
        <v>1.461805555555556</v>
      </c>
      <c r="F25" s="137" t="s">
        <v>81</v>
      </c>
      <c r="G25" s="140">
        <v>9</v>
      </c>
      <c r="H25" s="188" t="s">
        <v>247</v>
      </c>
    </row>
    <row r="26" spans="1:8" ht="15.6" x14ac:dyDescent="0.3">
      <c r="A26" s="185"/>
      <c r="B26" s="185"/>
      <c r="C26" s="185"/>
      <c r="D26" s="185"/>
      <c r="E26" s="186" t="s">
        <v>239</v>
      </c>
      <c r="F26" s="185"/>
      <c r="G26" s="185"/>
      <c r="H26" s="3"/>
    </row>
    <row r="27" spans="1:8" ht="18" x14ac:dyDescent="0.3">
      <c r="A27" s="126">
        <v>45987</v>
      </c>
      <c r="B27" s="116" t="s">
        <v>25</v>
      </c>
      <c r="C27" s="117" t="s">
        <v>26</v>
      </c>
      <c r="D27" s="116" t="s">
        <v>1</v>
      </c>
      <c r="E27" s="118">
        <v>1.229166666666667</v>
      </c>
      <c r="F27" s="116" t="s">
        <v>97</v>
      </c>
      <c r="G27" s="119">
        <v>3</v>
      </c>
      <c r="H27" s="116" t="s">
        <v>98</v>
      </c>
    </row>
    <row r="28" spans="1:8" ht="18" x14ac:dyDescent="0.3">
      <c r="A28" s="126">
        <v>45987</v>
      </c>
      <c r="B28" s="116" t="s">
        <v>63</v>
      </c>
      <c r="C28" s="117" t="s">
        <v>68</v>
      </c>
      <c r="D28" s="116" t="s">
        <v>1</v>
      </c>
      <c r="E28" s="118">
        <v>1.9513888888888891</v>
      </c>
      <c r="F28" s="116" t="s">
        <v>48</v>
      </c>
      <c r="G28" s="119">
        <v>9</v>
      </c>
      <c r="H28" s="116" t="s">
        <v>99</v>
      </c>
    </row>
    <row r="29" spans="1:8" ht="18" x14ac:dyDescent="0.3">
      <c r="A29" s="126">
        <v>45987</v>
      </c>
      <c r="B29" s="116" t="s">
        <v>54</v>
      </c>
      <c r="C29" s="117" t="s">
        <v>55</v>
      </c>
      <c r="D29" s="116" t="s">
        <v>1</v>
      </c>
      <c r="E29" s="118">
        <v>1.6076388888888891</v>
      </c>
      <c r="F29" s="116" t="s">
        <v>56</v>
      </c>
      <c r="G29" s="119">
        <v>4</v>
      </c>
      <c r="H29" s="116" t="s">
        <v>101</v>
      </c>
    </row>
    <row r="30" spans="1:8" ht="18" x14ac:dyDescent="0.3">
      <c r="A30" s="121">
        <v>45987</v>
      </c>
      <c r="B30" s="122" t="s">
        <v>54</v>
      </c>
      <c r="C30" s="123" t="s">
        <v>55</v>
      </c>
      <c r="D30" s="122" t="s">
        <v>1</v>
      </c>
      <c r="E30" s="124">
        <v>1.6076388888888891</v>
      </c>
      <c r="F30" s="122" t="s">
        <v>58</v>
      </c>
      <c r="G30" s="125">
        <v>4</v>
      </c>
      <c r="H30" s="122" t="s">
        <v>102</v>
      </c>
    </row>
    <row r="31" spans="1:8" ht="18" x14ac:dyDescent="0.3">
      <c r="A31" s="121">
        <v>45987</v>
      </c>
      <c r="B31" s="122" t="s">
        <v>54</v>
      </c>
      <c r="C31" s="123" t="s">
        <v>55</v>
      </c>
      <c r="D31" s="122" t="s">
        <v>1</v>
      </c>
      <c r="E31" s="124">
        <v>1.6076388888888891</v>
      </c>
      <c r="F31" s="122" t="s">
        <v>60</v>
      </c>
      <c r="G31" s="125">
        <v>4</v>
      </c>
      <c r="H31" s="122" t="s">
        <v>103</v>
      </c>
    </row>
    <row r="32" spans="1:8" ht="18" x14ac:dyDescent="0.3">
      <c r="A32" s="126">
        <v>45987</v>
      </c>
      <c r="B32" s="116" t="s">
        <v>35</v>
      </c>
      <c r="C32" s="117" t="s">
        <v>36</v>
      </c>
      <c r="D32" s="116" t="s">
        <v>1</v>
      </c>
      <c r="E32" s="118">
        <v>1.350694444444444</v>
      </c>
      <c r="F32" s="116" t="s">
        <v>48</v>
      </c>
      <c r="G32" s="119">
        <v>1</v>
      </c>
      <c r="H32" s="116" t="s">
        <v>46</v>
      </c>
    </row>
    <row r="33" spans="1:8" ht="18" x14ac:dyDescent="0.3">
      <c r="A33" s="127">
        <v>45987</v>
      </c>
      <c r="B33" s="128" t="s">
        <v>35</v>
      </c>
      <c r="C33" s="129" t="s">
        <v>47</v>
      </c>
      <c r="D33" s="128" t="s">
        <v>1</v>
      </c>
      <c r="E33" s="130">
        <v>1.895833333333333</v>
      </c>
      <c r="F33" s="128" t="s">
        <v>42</v>
      </c>
      <c r="G33" s="131">
        <v>9</v>
      </c>
      <c r="H33" s="128" t="s">
        <v>46</v>
      </c>
    </row>
    <row r="34" spans="1:8" ht="18" x14ac:dyDescent="0.3">
      <c r="A34" s="121">
        <v>45987</v>
      </c>
      <c r="B34" s="122" t="s">
        <v>35</v>
      </c>
      <c r="C34" s="123" t="s">
        <v>47</v>
      </c>
      <c r="D34" s="122" t="s">
        <v>1</v>
      </c>
      <c r="E34" s="124">
        <v>1.895833333333333</v>
      </c>
      <c r="F34" s="122" t="s">
        <v>48</v>
      </c>
      <c r="G34" s="125">
        <v>9</v>
      </c>
      <c r="H34" s="122" t="s">
        <v>46</v>
      </c>
    </row>
    <row r="35" spans="1:8" ht="18" x14ac:dyDescent="0.3">
      <c r="A35" s="127">
        <v>45987</v>
      </c>
      <c r="B35" s="128" t="s">
        <v>35</v>
      </c>
      <c r="C35" s="129" t="s">
        <v>44</v>
      </c>
      <c r="D35" s="128" t="s">
        <v>1</v>
      </c>
      <c r="E35" s="130">
        <v>1.1840277777777779</v>
      </c>
      <c r="F35" s="128" t="s">
        <v>42</v>
      </c>
      <c r="G35" s="131">
        <v>9</v>
      </c>
      <c r="H35" s="128" t="s">
        <v>46</v>
      </c>
    </row>
    <row r="36" spans="1:8" ht="18" x14ac:dyDescent="0.3">
      <c r="A36" s="145">
        <v>45987</v>
      </c>
      <c r="B36" s="146" t="s">
        <v>35</v>
      </c>
      <c r="C36" s="147" t="s">
        <v>44</v>
      </c>
      <c r="D36" s="146" t="s">
        <v>1</v>
      </c>
      <c r="E36" s="148">
        <v>1.1840277777777779</v>
      </c>
      <c r="F36" s="146" t="s">
        <v>48</v>
      </c>
      <c r="G36" s="149">
        <v>9</v>
      </c>
      <c r="H36" s="146" t="s">
        <v>46</v>
      </c>
    </row>
    <row r="37" spans="1:8" ht="15.6" x14ac:dyDescent="0.3">
      <c r="A37" s="185"/>
      <c r="B37" s="185"/>
      <c r="C37" s="185"/>
      <c r="D37" s="185"/>
      <c r="E37" s="186" t="s">
        <v>239</v>
      </c>
      <c r="F37" s="185"/>
      <c r="G37" s="185"/>
      <c r="H37" s="3"/>
    </row>
    <row r="38" spans="1:8" ht="18" x14ac:dyDescent="0.3">
      <c r="A38" s="115">
        <v>45988</v>
      </c>
      <c r="B38" s="116" t="s">
        <v>54</v>
      </c>
      <c r="C38" s="117" t="s">
        <v>55</v>
      </c>
      <c r="D38" s="116" t="s">
        <v>1</v>
      </c>
      <c r="E38" s="118">
        <v>1.6076388888888891</v>
      </c>
      <c r="F38" s="116" t="s">
        <v>56</v>
      </c>
      <c r="G38" s="119">
        <v>9</v>
      </c>
      <c r="H38" s="120" t="s">
        <v>32</v>
      </c>
    </row>
    <row r="39" spans="1:8" ht="18" x14ac:dyDescent="0.3">
      <c r="A39" s="121">
        <v>45988</v>
      </c>
      <c r="B39" s="122" t="s">
        <v>54</v>
      </c>
      <c r="C39" s="123" t="s">
        <v>55</v>
      </c>
      <c r="D39" s="122" t="s">
        <v>1</v>
      </c>
      <c r="E39" s="124">
        <v>1.6076388888888891</v>
      </c>
      <c r="F39" s="122" t="s">
        <v>58</v>
      </c>
      <c r="G39" s="125">
        <v>9</v>
      </c>
      <c r="H39" s="122" t="s">
        <v>59</v>
      </c>
    </row>
    <row r="40" spans="1:8" ht="18" x14ac:dyDescent="0.3">
      <c r="A40" s="121">
        <v>45988</v>
      </c>
      <c r="B40" s="122" t="s">
        <v>54</v>
      </c>
      <c r="C40" s="123" t="s">
        <v>55</v>
      </c>
      <c r="D40" s="122" t="s">
        <v>1</v>
      </c>
      <c r="E40" s="124">
        <v>1.6076388888888891</v>
      </c>
      <c r="F40" s="122" t="s">
        <v>60</v>
      </c>
      <c r="G40" s="125">
        <v>9</v>
      </c>
      <c r="H40" s="122" t="s">
        <v>61</v>
      </c>
    </row>
    <row r="41" spans="1:8" ht="18" x14ac:dyDescent="0.3">
      <c r="A41" s="127">
        <v>45988</v>
      </c>
      <c r="B41" s="128" t="s">
        <v>54</v>
      </c>
      <c r="C41" s="129" t="s">
        <v>62</v>
      </c>
      <c r="D41" s="128" t="s">
        <v>1</v>
      </c>
      <c r="E41" s="130">
        <v>1.4340277777777779</v>
      </c>
      <c r="F41" s="128" t="s">
        <v>56</v>
      </c>
      <c r="G41" s="131">
        <v>9</v>
      </c>
      <c r="H41" s="128" t="s">
        <v>101</v>
      </c>
    </row>
    <row r="42" spans="1:8" ht="18" x14ac:dyDescent="0.3">
      <c r="A42" s="121">
        <v>45988</v>
      </c>
      <c r="B42" s="122" t="s">
        <v>54</v>
      </c>
      <c r="C42" s="123" t="s">
        <v>62</v>
      </c>
      <c r="D42" s="122" t="s">
        <v>1</v>
      </c>
      <c r="E42" s="124">
        <v>1.4340277777777779</v>
      </c>
      <c r="F42" s="122" t="s">
        <v>58</v>
      </c>
      <c r="G42" s="125">
        <v>9</v>
      </c>
      <c r="H42" s="122" t="s">
        <v>102</v>
      </c>
    </row>
    <row r="43" spans="1:8" ht="18" x14ac:dyDescent="0.3">
      <c r="A43" s="121">
        <v>45988</v>
      </c>
      <c r="B43" s="122" t="s">
        <v>54</v>
      </c>
      <c r="C43" s="123" t="s">
        <v>62</v>
      </c>
      <c r="D43" s="122" t="s">
        <v>1</v>
      </c>
      <c r="E43" s="124">
        <v>1.4340277777777779</v>
      </c>
      <c r="F43" s="122" t="s">
        <v>60</v>
      </c>
      <c r="G43" s="125">
        <v>9</v>
      </c>
      <c r="H43" s="122" t="s">
        <v>103</v>
      </c>
    </row>
    <row r="44" spans="1:8" ht="18" x14ac:dyDescent="0.3">
      <c r="A44" s="126">
        <v>45988</v>
      </c>
      <c r="B44" s="116" t="s">
        <v>25</v>
      </c>
      <c r="C44" s="117" t="s">
        <v>26</v>
      </c>
      <c r="D44" s="116" t="s">
        <v>1</v>
      </c>
      <c r="E44" s="118">
        <v>1.229166666666667</v>
      </c>
      <c r="F44" s="116" t="s">
        <v>27</v>
      </c>
      <c r="G44" s="119">
        <v>1</v>
      </c>
      <c r="H44" s="116" t="s">
        <v>108</v>
      </c>
    </row>
    <row r="45" spans="1:8" ht="18" x14ac:dyDescent="0.3">
      <c r="A45" s="121">
        <v>45988</v>
      </c>
      <c r="B45" s="122" t="s">
        <v>25</v>
      </c>
      <c r="C45" s="123" t="s">
        <v>26</v>
      </c>
      <c r="D45" s="122" t="s">
        <v>1</v>
      </c>
      <c r="E45" s="124">
        <v>1.229166666666667</v>
      </c>
      <c r="F45" s="122" t="s">
        <v>30</v>
      </c>
      <c r="G45" s="125">
        <v>1</v>
      </c>
      <c r="H45" s="122" t="s">
        <v>110</v>
      </c>
    </row>
    <row r="46" spans="1:8" ht="18" x14ac:dyDescent="0.3">
      <c r="A46" s="121">
        <v>45988</v>
      </c>
      <c r="B46" s="122" t="s">
        <v>25</v>
      </c>
      <c r="C46" s="123" t="s">
        <v>26</v>
      </c>
      <c r="D46" s="122" t="s">
        <v>1</v>
      </c>
      <c r="E46" s="124">
        <v>1.229166666666667</v>
      </c>
      <c r="F46" s="122" t="s">
        <v>33</v>
      </c>
      <c r="G46" s="125">
        <v>1</v>
      </c>
      <c r="H46" s="122" t="s">
        <v>34</v>
      </c>
    </row>
    <row r="47" spans="1:8" ht="18" x14ac:dyDescent="0.3">
      <c r="A47" s="189">
        <v>45988</v>
      </c>
      <c r="B47" s="190" t="s">
        <v>35</v>
      </c>
      <c r="C47" s="191" t="s">
        <v>47</v>
      </c>
      <c r="D47" s="190" t="s">
        <v>1</v>
      </c>
      <c r="E47" s="192">
        <v>1.895833333333333</v>
      </c>
      <c r="F47" s="190" t="s">
        <v>42</v>
      </c>
      <c r="G47" s="193">
        <v>2</v>
      </c>
      <c r="H47" s="190" t="s">
        <v>46</v>
      </c>
    </row>
    <row r="48" spans="1:8" ht="15.6" x14ac:dyDescent="0.3">
      <c r="A48" s="185"/>
      <c r="B48" s="185"/>
      <c r="C48" s="185"/>
      <c r="D48" s="185"/>
      <c r="E48" s="186" t="s">
        <v>239</v>
      </c>
      <c r="F48" s="185"/>
      <c r="G48" s="185"/>
      <c r="H48" s="3"/>
    </row>
    <row r="49" spans="1:8" ht="18" x14ac:dyDescent="0.3">
      <c r="A49" s="115">
        <v>45989</v>
      </c>
      <c r="B49" s="116" t="s">
        <v>25</v>
      </c>
      <c r="C49" s="117" t="s">
        <v>26</v>
      </c>
      <c r="D49" s="116" t="s">
        <v>1</v>
      </c>
      <c r="E49" s="118">
        <v>1.229166666666667</v>
      </c>
      <c r="F49" s="116" t="s">
        <v>27</v>
      </c>
      <c r="G49" s="119">
        <v>5</v>
      </c>
      <c r="H49" s="120" t="s">
        <v>108</v>
      </c>
    </row>
    <row r="50" spans="1:8" ht="18" x14ac:dyDescent="0.3">
      <c r="A50" s="121">
        <v>45989</v>
      </c>
      <c r="B50" s="122" t="s">
        <v>25</v>
      </c>
      <c r="C50" s="123" t="s">
        <v>26</v>
      </c>
      <c r="D50" s="122" t="s">
        <v>1</v>
      </c>
      <c r="E50" s="124">
        <v>1.229166666666667</v>
      </c>
      <c r="F50" s="122" t="s">
        <v>30</v>
      </c>
      <c r="G50" s="125">
        <v>5</v>
      </c>
      <c r="H50" s="122" t="s">
        <v>110</v>
      </c>
    </row>
    <row r="51" spans="1:8" ht="18" x14ac:dyDescent="0.3">
      <c r="A51" s="121">
        <v>45989</v>
      </c>
      <c r="B51" s="122" t="s">
        <v>25</v>
      </c>
      <c r="C51" s="123" t="s">
        <v>26</v>
      </c>
      <c r="D51" s="122" t="s">
        <v>1</v>
      </c>
      <c r="E51" s="124">
        <v>1.229166666666667</v>
      </c>
      <c r="F51" s="122" t="s">
        <v>33</v>
      </c>
      <c r="G51" s="125">
        <v>5</v>
      </c>
      <c r="H51" s="122" t="s">
        <v>34</v>
      </c>
    </row>
    <row r="52" spans="1:8" ht="18" x14ac:dyDescent="0.3">
      <c r="A52" s="126">
        <v>45989</v>
      </c>
      <c r="B52" s="116" t="s">
        <v>54</v>
      </c>
      <c r="C52" s="117" t="s">
        <v>55</v>
      </c>
      <c r="D52" s="116" t="s">
        <v>1</v>
      </c>
      <c r="E52" s="118">
        <v>1.6076388888888891</v>
      </c>
      <c r="F52" s="116" t="s">
        <v>56</v>
      </c>
      <c r="G52" s="119">
        <v>9</v>
      </c>
      <c r="H52" s="116" t="s">
        <v>113</v>
      </c>
    </row>
    <row r="53" spans="1:8" ht="18" x14ac:dyDescent="0.3">
      <c r="A53" s="121">
        <v>45989</v>
      </c>
      <c r="B53" s="122" t="s">
        <v>54</v>
      </c>
      <c r="C53" s="123" t="s">
        <v>55</v>
      </c>
      <c r="D53" s="122" t="s">
        <v>1</v>
      </c>
      <c r="E53" s="124">
        <v>1.6076388888888891</v>
      </c>
      <c r="F53" s="122" t="s">
        <v>58</v>
      </c>
      <c r="G53" s="125">
        <v>9</v>
      </c>
      <c r="H53" s="122" t="s">
        <v>114</v>
      </c>
    </row>
    <row r="54" spans="1:8" ht="18" x14ac:dyDescent="0.3">
      <c r="A54" s="121">
        <v>45989</v>
      </c>
      <c r="B54" s="122" t="s">
        <v>54</v>
      </c>
      <c r="C54" s="123" t="s">
        <v>55</v>
      </c>
      <c r="D54" s="122" t="s">
        <v>1</v>
      </c>
      <c r="E54" s="124">
        <v>1.6076388888888891</v>
      </c>
      <c r="F54" s="122" t="s">
        <v>60</v>
      </c>
      <c r="G54" s="125">
        <v>9</v>
      </c>
      <c r="H54" s="122" t="s">
        <v>115</v>
      </c>
    </row>
    <row r="55" spans="1:8" ht="18" x14ac:dyDescent="0.3">
      <c r="A55" s="126">
        <v>45989</v>
      </c>
      <c r="B55" s="116" t="s">
        <v>63</v>
      </c>
      <c r="C55" s="117" t="s">
        <v>68</v>
      </c>
      <c r="D55" s="116" t="s">
        <v>1</v>
      </c>
      <c r="E55" s="118">
        <v>1.9409722222222221</v>
      </c>
      <c r="F55" s="116" t="s">
        <v>48</v>
      </c>
      <c r="G55" s="119">
        <v>9</v>
      </c>
      <c r="H55" s="116" t="s">
        <v>99</v>
      </c>
    </row>
    <row r="56" spans="1:8" ht="18" x14ac:dyDescent="0.3">
      <c r="A56" s="127">
        <v>45989</v>
      </c>
      <c r="B56" s="128" t="s">
        <v>63</v>
      </c>
      <c r="C56" s="129" t="s">
        <v>70</v>
      </c>
      <c r="D56" s="128" t="s">
        <v>1</v>
      </c>
      <c r="E56" s="130">
        <v>1.697916666666667</v>
      </c>
      <c r="F56" s="128" t="s">
        <v>48</v>
      </c>
      <c r="G56" s="131">
        <v>9</v>
      </c>
      <c r="H56" s="128" t="s">
        <v>69</v>
      </c>
    </row>
    <row r="57" spans="1:8" ht="18" x14ac:dyDescent="0.3">
      <c r="A57" s="127">
        <v>45989</v>
      </c>
      <c r="B57" s="128" t="s">
        <v>63</v>
      </c>
      <c r="C57" s="129" t="s">
        <v>66</v>
      </c>
      <c r="D57" s="128" t="s">
        <v>1</v>
      </c>
      <c r="E57" s="130">
        <v>1.0659722222222221</v>
      </c>
      <c r="F57" s="128" t="s">
        <v>48</v>
      </c>
      <c r="G57" s="131">
        <v>9</v>
      </c>
      <c r="H57" s="128" t="s">
        <v>100</v>
      </c>
    </row>
    <row r="58" spans="1:8" ht="18" x14ac:dyDescent="0.3">
      <c r="A58" s="189">
        <v>45989</v>
      </c>
      <c r="B58" s="190" t="s">
        <v>35</v>
      </c>
      <c r="C58" s="191" t="s">
        <v>36</v>
      </c>
      <c r="D58" s="190" t="s">
        <v>1</v>
      </c>
      <c r="E58" s="192">
        <v>1.350694444444444</v>
      </c>
      <c r="F58" s="190" t="s">
        <v>42</v>
      </c>
      <c r="G58" s="193">
        <v>9</v>
      </c>
      <c r="H58" s="190" t="s">
        <v>116</v>
      </c>
    </row>
    <row r="59" spans="1:8" ht="18" x14ac:dyDescent="0.3">
      <c r="A59" s="187">
        <v>45990</v>
      </c>
      <c r="B59" s="137" t="s">
        <v>71</v>
      </c>
      <c r="C59" s="138" t="s">
        <v>241</v>
      </c>
      <c r="D59" s="137" t="s">
        <v>240</v>
      </c>
      <c r="E59" s="139">
        <v>1.802083333333333</v>
      </c>
      <c r="F59" s="137" t="s">
        <v>81</v>
      </c>
      <c r="G59" s="140">
        <v>6</v>
      </c>
      <c r="H59" s="188" t="s">
        <v>242</v>
      </c>
    </row>
    <row r="60" spans="1:8" ht="15.6" x14ac:dyDescent="0.3">
      <c r="A60" s="185"/>
      <c r="B60" s="185"/>
      <c r="C60" s="185"/>
      <c r="D60" s="185"/>
      <c r="E60" s="186" t="s">
        <v>239</v>
      </c>
      <c r="F60" s="185"/>
      <c r="G60" s="185"/>
      <c r="H60" s="3"/>
    </row>
    <row r="61" spans="1:8" ht="18" x14ac:dyDescent="0.3">
      <c r="A61" s="126">
        <v>45990</v>
      </c>
      <c r="B61" s="116" t="s">
        <v>25</v>
      </c>
      <c r="C61" s="117" t="s">
        <v>26</v>
      </c>
      <c r="D61" s="116" t="s">
        <v>1</v>
      </c>
      <c r="E61" s="118">
        <v>1.229166666666667</v>
      </c>
      <c r="F61" s="116" t="s">
        <v>27</v>
      </c>
      <c r="G61" s="119">
        <v>3</v>
      </c>
      <c r="H61" s="116" t="s">
        <v>98</v>
      </c>
    </row>
    <row r="62" spans="1:8" ht="18" x14ac:dyDescent="0.3">
      <c r="A62" s="121">
        <v>45990</v>
      </c>
      <c r="B62" s="122" t="s">
        <v>25</v>
      </c>
      <c r="C62" s="123" t="s">
        <v>26</v>
      </c>
      <c r="D62" s="122" t="s">
        <v>1</v>
      </c>
      <c r="E62" s="124">
        <v>1.229166666666667</v>
      </c>
      <c r="F62" s="122" t="s">
        <v>30</v>
      </c>
      <c r="G62" s="125">
        <v>3</v>
      </c>
      <c r="H62" s="122" t="s">
        <v>117</v>
      </c>
    </row>
    <row r="63" spans="1:8" ht="18" x14ac:dyDescent="0.3">
      <c r="A63" s="126">
        <v>45990</v>
      </c>
      <c r="B63" s="116" t="s">
        <v>54</v>
      </c>
      <c r="C63" s="117" t="s">
        <v>55</v>
      </c>
      <c r="D63" s="116" t="s">
        <v>1</v>
      </c>
      <c r="E63" s="118">
        <v>1.6076388888888891</v>
      </c>
      <c r="F63" s="116" t="s">
        <v>56</v>
      </c>
      <c r="G63" s="119">
        <v>1</v>
      </c>
      <c r="H63" s="116" t="s">
        <v>118</v>
      </c>
    </row>
    <row r="64" spans="1:8" ht="18" x14ac:dyDescent="0.3">
      <c r="A64" s="121">
        <v>45990</v>
      </c>
      <c r="B64" s="122" t="s">
        <v>54</v>
      </c>
      <c r="C64" s="123" t="s">
        <v>55</v>
      </c>
      <c r="D64" s="122" t="s">
        <v>1</v>
      </c>
      <c r="E64" s="124">
        <v>1.6076388888888891</v>
      </c>
      <c r="F64" s="122" t="s">
        <v>58</v>
      </c>
      <c r="G64" s="125">
        <v>1</v>
      </c>
      <c r="H64" s="122" t="s">
        <v>113</v>
      </c>
    </row>
    <row r="65" spans="1:8" ht="18" x14ac:dyDescent="0.3">
      <c r="A65" s="121">
        <v>45990</v>
      </c>
      <c r="B65" s="122" t="s">
        <v>54</v>
      </c>
      <c r="C65" s="123" t="s">
        <v>55</v>
      </c>
      <c r="D65" s="122" t="s">
        <v>1</v>
      </c>
      <c r="E65" s="124">
        <v>1.6076388888888891</v>
      </c>
      <c r="F65" s="122" t="s">
        <v>60</v>
      </c>
      <c r="G65" s="125">
        <v>1</v>
      </c>
      <c r="H65" s="122" t="s">
        <v>119</v>
      </c>
    </row>
    <row r="66" spans="1:8" ht="18" x14ac:dyDescent="0.3">
      <c r="A66" s="127">
        <v>45990</v>
      </c>
      <c r="B66" s="128" t="s">
        <v>54</v>
      </c>
      <c r="C66" s="129" t="s">
        <v>62</v>
      </c>
      <c r="D66" s="128" t="s">
        <v>1</v>
      </c>
      <c r="E66" s="130">
        <v>1.4340277777777779</v>
      </c>
      <c r="F66" s="128" t="s">
        <v>56</v>
      </c>
      <c r="G66" s="131">
        <v>2</v>
      </c>
      <c r="H66" s="128" t="s">
        <v>118</v>
      </c>
    </row>
    <row r="67" spans="1:8" ht="18" x14ac:dyDescent="0.3">
      <c r="A67" s="121">
        <v>45990</v>
      </c>
      <c r="B67" s="122" t="s">
        <v>54</v>
      </c>
      <c r="C67" s="123" t="s">
        <v>62</v>
      </c>
      <c r="D67" s="122" t="s">
        <v>1</v>
      </c>
      <c r="E67" s="124">
        <v>1.4340277777777779</v>
      </c>
      <c r="F67" s="122" t="s">
        <v>58</v>
      </c>
      <c r="G67" s="125">
        <v>2</v>
      </c>
      <c r="H67" s="122" t="s">
        <v>113</v>
      </c>
    </row>
    <row r="68" spans="1:8" ht="18" x14ac:dyDescent="0.3">
      <c r="A68" s="121">
        <v>45990</v>
      </c>
      <c r="B68" s="122" t="s">
        <v>54</v>
      </c>
      <c r="C68" s="123" t="s">
        <v>62</v>
      </c>
      <c r="D68" s="122" t="s">
        <v>1</v>
      </c>
      <c r="E68" s="124">
        <v>1.4340277777777779</v>
      </c>
      <c r="F68" s="122" t="s">
        <v>60</v>
      </c>
      <c r="G68" s="125">
        <v>2</v>
      </c>
      <c r="H68" s="122" t="s">
        <v>119</v>
      </c>
    </row>
    <row r="69" spans="1:8" ht="18" x14ac:dyDescent="0.3">
      <c r="A69" s="126">
        <v>45990</v>
      </c>
      <c r="B69" s="116" t="s">
        <v>63</v>
      </c>
      <c r="C69" s="117" t="s">
        <v>68</v>
      </c>
      <c r="D69" s="116" t="s">
        <v>1</v>
      </c>
      <c r="E69" s="118">
        <v>1.9409722222222221</v>
      </c>
      <c r="F69" s="116" t="s">
        <v>48</v>
      </c>
      <c r="G69" s="119">
        <v>9</v>
      </c>
      <c r="H69" s="116" t="s">
        <v>65</v>
      </c>
    </row>
    <row r="70" spans="1:8" ht="18" x14ac:dyDescent="0.3">
      <c r="A70" s="150">
        <v>45990</v>
      </c>
      <c r="B70" s="151" t="s">
        <v>63</v>
      </c>
      <c r="C70" s="152" t="s">
        <v>66</v>
      </c>
      <c r="D70" s="151" t="s">
        <v>1</v>
      </c>
      <c r="E70" s="153">
        <v>1.0659722222222221</v>
      </c>
      <c r="F70" s="151" t="s">
        <v>48</v>
      </c>
      <c r="G70" s="154">
        <v>9</v>
      </c>
      <c r="H70" s="151" t="s">
        <v>65</v>
      </c>
    </row>
    <row r="71" spans="1:8" ht="15.6" x14ac:dyDescent="0.3">
      <c r="A71" s="185"/>
      <c r="B71" s="185"/>
      <c r="C71" s="185"/>
      <c r="D71" s="185"/>
      <c r="E71" s="186" t="s">
        <v>239</v>
      </c>
      <c r="F71" s="185"/>
      <c r="G71" s="185"/>
      <c r="H71" s="3"/>
    </row>
    <row r="72" spans="1:8" ht="18" x14ac:dyDescent="0.3">
      <c r="A72" s="115">
        <v>45991</v>
      </c>
      <c r="B72" s="116" t="s">
        <v>25</v>
      </c>
      <c r="C72" s="117" t="s">
        <v>26</v>
      </c>
      <c r="D72" s="116" t="s">
        <v>1</v>
      </c>
      <c r="E72" s="118">
        <v>1.229166666666667</v>
      </c>
      <c r="F72" s="116" t="s">
        <v>27</v>
      </c>
      <c r="G72" s="119">
        <v>5</v>
      </c>
      <c r="H72" s="120" t="s">
        <v>123</v>
      </c>
    </row>
    <row r="73" spans="1:8" ht="18" x14ac:dyDescent="0.3">
      <c r="A73" s="121">
        <v>45991</v>
      </c>
      <c r="B73" s="122" t="s">
        <v>25</v>
      </c>
      <c r="C73" s="123" t="s">
        <v>26</v>
      </c>
      <c r="D73" s="122" t="s">
        <v>1</v>
      </c>
      <c r="E73" s="124">
        <v>1.229166666666667</v>
      </c>
      <c r="F73" s="122" t="s">
        <v>30</v>
      </c>
      <c r="G73" s="125">
        <v>5</v>
      </c>
      <c r="H73" s="122" t="s">
        <v>79</v>
      </c>
    </row>
    <row r="74" spans="1:8" ht="18" x14ac:dyDescent="0.3">
      <c r="A74" s="126">
        <v>45991</v>
      </c>
      <c r="B74" s="116" t="s">
        <v>54</v>
      </c>
      <c r="C74" s="117" t="s">
        <v>55</v>
      </c>
      <c r="D74" s="116" t="s">
        <v>1</v>
      </c>
      <c r="E74" s="118">
        <v>1.6076388888888891</v>
      </c>
      <c r="F74" s="116" t="s">
        <v>56</v>
      </c>
      <c r="G74" s="119">
        <v>1</v>
      </c>
      <c r="H74" s="116" t="s">
        <v>118</v>
      </c>
    </row>
    <row r="75" spans="1:8" ht="18" x14ac:dyDescent="0.3">
      <c r="A75" s="121">
        <v>45991</v>
      </c>
      <c r="B75" s="122" t="s">
        <v>54</v>
      </c>
      <c r="C75" s="123" t="s">
        <v>55</v>
      </c>
      <c r="D75" s="122" t="s">
        <v>1</v>
      </c>
      <c r="E75" s="124">
        <v>1.6076388888888891</v>
      </c>
      <c r="F75" s="122" t="s">
        <v>58</v>
      </c>
      <c r="G75" s="125">
        <v>1</v>
      </c>
      <c r="H75" s="122" t="s">
        <v>113</v>
      </c>
    </row>
    <row r="76" spans="1:8" ht="18" x14ac:dyDescent="0.3">
      <c r="A76" s="121">
        <v>45991</v>
      </c>
      <c r="B76" s="122" t="s">
        <v>54</v>
      </c>
      <c r="C76" s="123" t="s">
        <v>55</v>
      </c>
      <c r="D76" s="122" t="s">
        <v>1</v>
      </c>
      <c r="E76" s="124">
        <v>1.6076388888888891</v>
      </c>
      <c r="F76" s="122" t="s">
        <v>60</v>
      </c>
      <c r="G76" s="125">
        <v>1</v>
      </c>
      <c r="H76" s="122" t="s">
        <v>119</v>
      </c>
    </row>
    <row r="77" spans="1:8" ht="18" x14ac:dyDescent="0.3">
      <c r="A77" s="126">
        <v>45991</v>
      </c>
      <c r="B77" s="116" t="s">
        <v>63</v>
      </c>
      <c r="C77" s="117" t="s">
        <v>68</v>
      </c>
      <c r="D77" s="116" t="s">
        <v>1</v>
      </c>
      <c r="E77" s="118">
        <v>1.9409722222222221</v>
      </c>
      <c r="F77" s="116" t="s">
        <v>48</v>
      </c>
      <c r="G77" s="119">
        <v>9</v>
      </c>
      <c r="H77" s="116" t="s">
        <v>39</v>
      </c>
    </row>
    <row r="78" spans="1:8" ht="18" x14ac:dyDescent="0.3">
      <c r="A78" s="127">
        <v>45991</v>
      </c>
      <c r="B78" s="128" t="s">
        <v>63</v>
      </c>
      <c r="C78" s="129" t="s">
        <v>66</v>
      </c>
      <c r="D78" s="128" t="s">
        <v>1</v>
      </c>
      <c r="E78" s="130">
        <v>1.0659722222222221</v>
      </c>
      <c r="F78" s="128" t="s">
        <v>48</v>
      </c>
      <c r="G78" s="131">
        <v>9</v>
      </c>
      <c r="H78" s="128" t="s">
        <v>39</v>
      </c>
    </row>
    <row r="79" spans="1:8" ht="18" x14ac:dyDescent="0.3">
      <c r="A79" s="136">
        <v>45991</v>
      </c>
      <c r="B79" s="137" t="s">
        <v>71</v>
      </c>
      <c r="C79" s="138" t="s">
        <v>80</v>
      </c>
      <c r="D79" s="137" t="s">
        <v>1</v>
      </c>
      <c r="E79" s="139">
        <v>1.743055555555556</v>
      </c>
      <c r="F79" s="137" t="s">
        <v>81</v>
      </c>
      <c r="G79" s="140">
        <v>1</v>
      </c>
      <c r="H79" s="137" t="s">
        <v>124</v>
      </c>
    </row>
    <row r="80" spans="1:8" ht="18" x14ac:dyDescent="0.3">
      <c r="A80" s="126">
        <v>45991</v>
      </c>
      <c r="B80" s="116" t="s">
        <v>35</v>
      </c>
      <c r="C80" s="117" t="s">
        <v>36</v>
      </c>
      <c r="D80" s="116" t="s">
        <v>1</v>
      </c>
      <c r="E80" s="118">
        <v>1.350694444444444</v>
      </c>
      <c r="F80" s="116" t="s">
        <v>42</v>
      </c>
      <c r="G80" s="119">
        <v>1</v>
      </c>
      <c r="H80" s="116" t="s">
        <v>46</v>
      </c>
    </row>
    <row r="81" spans="1:8" ht="18" x14ac:dyDescent="0.3">
      <c r="A81" s="150">
        <v>45991</v>
      </c>
      <c r="B81" s="151" t="s">
        <v>35</v>
      </c>
      <c r="C81" s="152" t="s">
        <v>44</v>
      </c>
      <c r="D81" s="151" t="s">
        <v>1</v>
      </c>
      <c r="E81" s="153">
        <v>1.1840277777777779</v>
      </c>
      <c r="F81" s="151" t="s">
        <v>42</v>
      </c>
      <c r="G81" s="154">
        <v>9</v>
      </c>
      <c r="H81" s="151" t="s">
        <v>46</v>
      </c>
    </row>
  </sheetData>
  <dataValidations count="4">
    <dataValidation type="custom" allowBlank="1" showInputMessage="1" promptTitle="LOAD FACTOR ANALYSIS" prompt="SM-487_x000d__x000a_LF 67.2%_x000d__x000a_SOLD 121_x000d__x000a_LST-SOLD 22NOV_x000d__x000a_WEEKLY 82_x000d__x000a_TO-DAY NIL_x000d__x000a_Y-DAY 5_x000d__x000a_LOWEST AVAIL T4_x000d__x000a_CAPACITY 180_x000d__x000a_CLASSES T11 &amp; X20 &amp; U10 &amp; +3 more" sqref="A2 B2 C2 D2 E2 F2 G2 H2" xr:uid="{00000000-0002-0000-0900-000000000000}">
      <formula1>TRUE</formula1>
    </dataValidation>
    <dataValidation type="custom" allowBlank="1" showInputMessage="1" promptTitle="LOAD FACTOR ANALYSIS" prompt="SM-493_x000d__x000a_LF -_x000d__x000a_SOLD -_x000d__x000a_LST-SOLD -_x000d__x000a_WEEKLY -_x000d__x000a_TO-DAY -_x000d__x000a_Y-DAY -_x000d__x000a_LOWEST AVAIL -_x000d__x000a_CAPACITY -_x000d__x000a_CLASSES -" sqref="A18 A79 B18 B79 C18 C79 D18 D79 E18 E79 F18 F79 G18 G79 H18 H79" xr:uid="{00000000-0002-0000-0900-000001000000}">
      <formula1>TRUE</formula1>
    </dataValidation>
    <dataValidation type="custom" allowBlank="1" showInputMessage="1" promptTitle="LOAD FACTOR ANALYSIS" prompt="SM-489_x000d__x000a_LF 84.4%_x000d__x000a_SOLD 152_x000d__x000a_LST-SOLD 22NOV_x000d__x000a_WEEKLY 50_x000d__x000a_TO-DAY NIL_x000d__x000a_Y-DAY 6_x000d__x000a_LOWEST AVAIL W9_x000d__x000a_CAPACITY 180_x000d__x000a_CLASSES S1 &amp; W1 &amp; T19 &amp; +5 more" sqref="A25 B25 C25 D25 E25 F25 G25 H25" xr:uid="{00000000-0002-0000-0900-000002000000}">
      <formula1>TRUE</formula1>
    </dataValidation>
    <dataValidation type="custom" allowBlank="1" showInputMessage="1" promptTitle="LOAD FACTOR ANALYSIS" prompt="SM-487_x000d__x000a_LF 85.6%_x000d__x000a_SOLD 154_x000d__x000a_LST-SOLD 22NOV_x000d__x000a_WEEKLY 18_x000d__x000a_TO-DAY NIL_x000d__x000a_Y-DAY 3_x000d__x000a_LOWEST AVAIL T6_x000d__x000a_CAPACITY 180_x000d__x000a_CLASSES Y1 &amp; S1 &amp; W1 &amp; +6 more" sqref="A59 B59 C59 D59 E59 F59 G59 H59" xr:uid="{00000000-0002-0000-0900-00000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46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93.332031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271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45984.358525322838</v>
      </c>
      <c r="H2" s="287"/>
      <c r="I2" s="287"/>
      <c r="J2" s="287"/>
      <c r="K2" s="292">
        <v>45984.358525323223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272</v>
      </c>
      <c r="C6" s="9">
        <v>0.98958333333333337</v>
      </c>
      <c r="D6" s="8" t="s">
        <v>27</v>
      </c>
      <c r="E6" s="8" t="s">
        <v>104</v>
      </c>
      <c r="F6" s="8" t="s">
        <v>123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272</v>
      </c>
      <c r="C7" s="16">
        <v>0.98958333333333337</v>
      </c>
      <c r="D7" s="15" t="s">
        <v>30</v>
      </c>
      <c r="E7" s="15" t="s">
        <v>109</v>
      </c>
      <c r="F7" s="15" t="s">
        <v>79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272</v>
      </c>
      <c r="C8" s="16">
        <v>0.98958333333333337</v>
      </c>
      <c r="D8" s="15" t="s">
        <v>33</v>
      </c>
      <c r="E8" s="15" t="s">
        <v>109</v>
      </c>
      <c r="F8" s="15" t="s">
        <v>79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273</v>
      </c>
      <c r="C9" s="20">
        <v>0.48958333333333331</v>
      </c>
      <c r="D9" s="19" t="s">
        <v>27</v>
      </c>
      <c r="E9" s="19" t="s">
        <v>274</v>
      </c>
      <c r="F9" s="19" t="s">
        <v>275</v>
      </c>
      <c r="G9" s="277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25</v>
      </c>
      <c r="B10" s="15" t="s">
        <v>273</v>
      </c>
      <c r="C10" s="16">
        <v>0.48958333333333331</v>
      </c>
      <c r="D10" s="15" t="s">
        <v>30</v>
      </c>
      <c r="E10" s="15" t="s">
        <v>78</v>
      </c>
      <c r="F10" s="15" t="s">
        <v>276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25</v>
      </c>
      <c r="B11" s="15" t="s">
        <v>273</v>
      </c>
      <c r="C11" s="16">
        <v>0.48958333333333331</v>
      </c>
      <c r="D11" s="15" t="s">
        <v>33</v>
      </c>
      <c r="E11" s="15" t="s">
        <v>78</v>
      </c>
      <c r="F11" s="15" t="s">
        <v>34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277</v>
      </c>
      <c r="C12" s="20">
        <v>0.88888888888888884</v>
      </c>
      <c r="D12" s="19" t="s">
        <v>27</v>
      </c>
      <c r="E12" s="19" t="s">
        <v>89</v>
      </c>
      <c r="F12" s="19" t="s">
        <v>275</v>
      </c>
      <c r="G12" s="277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25</v>
      </c>
      <c r="B13" s="15" t="s">
        <v>277</v>
      </c>
      <c r="C13" s="16">
        <v>0.88888888888888884</v>
      </c>
      <c r="D13" s="15" t="s">
        <v>33</v>
      </c>
      <c r="E13" s="15" t="s">
        <v>109</v>
      </c>
      <c r="F13" s="15" t="s">
        <v>79</v>
      </c>
      <c r="G13" s="277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25</v>
      </c>
      <c r="B14" s="15" t="s">
        <v>277</v>
      </c>
      <c r="C14" s="16">
        <v>0.88888888888888884</v>
      </c>
      <c r="D14" s="15" t="s">
        <v>30</v>
      </c>
      <c r="E14" s="15" t="s">
        <v>109</v>
      </c>
      <c r="F14" s="15" t="s">
        <v>276</v>
      </c>
      <c r="G14" s="277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278</v>
      </c>
      <c r="C15" s="20">
        <v>0.39930555555555558</v>
      </c>
      <c r="D15" s="19" t="s">
        <v>27</v>
      </c>
      <c r="E15" s="19" t="s">
        <v>274</v>
      </c>
      <c r="F15" s="19" t="s">
        <v>79</v>
      </c>
      <c r="G15" s="277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25</v>
      </c>
      <c r="B16" s="15" t="s">
        <v>278</v>
      </c>
      <c r="C16" s="16">
        <v>0.39930555555555558</v>
      </c>
      <c r="D16" s="15" t="s">
        <v>30</v>
      </c>
      <c r="E16" s="15" t="s">
        <v>78</v>
      </c>
      <c r="F16" s="15" t="s">
        <v>279</v>
      </c>
      <c r="G16" s="277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25</v>
      </c>
      <c r="B17" s="15" t="s">
        <v>278</v>
      </c>
      <c r="C17" s="16">
        <v>0.39930555555555558</v>
      </c>
      <c r="D17" s="15" t="s">
        <v>33</v>
      </c>
      <c r="E17" s="15" t="s">
        <v>78</v>
      </c>
      <c r="F17" s="15" t="s">
        <v>34</v>
      </c>
      <c r="G17" s="277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7" t="s">
        <v>280</v>
      </c>
      <c r="B18" s="17" t="s">
        <v>281</v>
      </c>
      <c r="C18" s="18">
        <v>1.388888888888889E-2</v>
      </c>
      <c r="D18" s="17" t="s">
        <v>282</v>
      </c>
      <c r="E18" s="17" t="s">
        <v>77</v>
      </c>
      <c r="F18" s="17" t="s">
        <v>283</v>
      </c>
      <c r="G18" s="277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280</v>
      </c>
      <c r="B19" s="15" t="s">
        <v>281</v>
      </c>
      <c r="C19" s="16">
        <v>1.388888888888889E-2</v>
      </c>
      <c r="D19" s="15" t="s">
        <v>33</v>
      </c>
      <c r="E19" s="15" t="s">
        <v>78</v>
      </c>
      <c r="F19" s="15" t="s">
        <v>284</v>
      </c>
      <c r="G19" s="277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7" t="s">
        <v>285</v>
      </c>
      <c r="B20" s="17" t="s">
        <v>286</v>
      </c>
      <c r="C20" s="18">
        <v>0.49305555555555558</v>
      </c>
      <c r="D20" s="17" t="s">
        <v>81</v>
      </c>
      <c r="E20" s="17" t="s">
        <v>104</v>
      </c>
      <c r="F20" s="17" t="s">
        <v>287</v>
      </c>
      <c r="G20" s="277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285</v>
      </c>
      <c r="B21" s="19" t="s">
        <v>288</v>
      </c>
      <c r="C21" s="20">
        <v>0.13541666666666671</v>
      </c>
      <c r="D21" s="19" t="s">
        <v>81</v>
      </c>
      <c r="E21" s="19" t="s">
        <v>289</v>
      </c>
      <c r="F21" s="19" t="s">
        <v>287</v>
      </c>
      <c r="G21" s="277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9" t="s">
        <v>285</v>
      </c>
      <c r="B22" s="19" t="s">
        <v>290</v>
      </c>
      <c r="C22" s="20">
        <v>0.86805555555555547</v>
      </c>
      <c r="D22" s="19" t="s">
        <v>81</v>
      </c>
      <c r="E22" s="19" t="s">
        <v>89</v>
      </c>
      <c r="F22" s="19" t="s">
        <v>287</v>
      </c>
      <c r="G22" s="277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7" t="s">
        <v>54</v>
      </c>
      <c r="B23" s="17" t="s">
        <v>291</v>
      </c>
      <c r="C23" s="18">
        <v>0.99305555555555547</v>
      </c>
      <c r="D23" s="17" t="s">
        <v>292</v>
      </c>
      <c r="E23" s="17" t="s">
        <v>105</v>
      </c>
      <c r="F23" s="17" t="s">
        <v>293</v>
      </c>
      <c r="G23" s="277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5" t="s">
        <v>54</v>
      </c>
      <c r="B24" s="15" t="s">
        <v>291</v>
      </c>
      <c r="C24" s="16">
        <v>0.99305555555555547</v>
      </c>
      <c r="D24" s="15" t="s">
        <v>56</v>
      </c>
      <c r="E24" s="15" t="s">
        <v>106</v>
      </c>
      <c r="F24" s="15" t="s">
        <v>293</v>
      </c>
      <c r="G24" s="277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54</v>
      </c>
      <c r="B25" s="15" t="s">
        <v>291</v>
      </c>
      <c r="C25" s="16">
        <v>0.99305555555555547</v>
      </c>
      <c r="D25" s="15" t="s">
        <v>58</v>
      </c>
      <c r="E25" s="15" t="s">
        <v>106</v>
      </c>
      <c r="F25" s="15" t="s">
        <v>276</v>
      </c>
      <c r="G25" s="277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54</v>
      </c>
      <c r="B26" s="15" t="s">
        <v>291</v>
      </c>
      <c r="C26" s="16">
        <v>0.99305555555555547</v>
      </c>
      <c r="D26" s="15" t="s">
        <v>60</v>
      </c>
      <c r="E26" s="15" t="s">
        <v>106</v>
      </c>
      <c r="F26" s="15" t="s">
        <v>117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54</v>
      </c>
      <c r="B27" s="19" t="s">
        <v>294</v>
      </c>
      <c r="C27" s="20">
        <v>0.83680555555555547</v>
      </c>
      <c r="D27" s="19" t="s">
        <v>56</v>
      </c>
      <c r="E27" s="19" t="s">
        <v>289</v>
      </c>
      <c r="F27" s="19" t="s">
        <v>293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54</v>
      </c>
      <c r="B28" s="15" t="s">
        <v>294</v>
      </c>
      <c r="C28" s="16">
        <v>0.83680555555555547</v>
      </c>
      <c r="D28" s="15" t="s">
        <v>58</v>
      </c>
      <c r="E28" s="15" t="s">
        <v>31</v>
      </c>
      <c r="F28" s="15" t="s">
        <v>276</v>
      </c>
      <c r="G28" s="277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54</v>
      </c>
      <c r="B29" s="15" t="s">
        <v>294</v>
      </c>
      <c r="C29" s="16">
        <v>0.83680555555555547</v>
      </c>
      <c r="D29" s="15" t="s">
        <v>60</v>
      </c>
      <c r="E29" s="15" t="s">
        <v>31</v>
      </c>
      <c r="F29" s="15" t="s">
        <v>117</v>
      </c>
      <c r="G29" s="277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54</v>
      </c>
      <c r="B30" s="19" t="s">
        <v>295</v>
      </c>
      <c r="C30" s="20">
        <v>0.94444444444444453</v>
      </c>
      <c r="D30" s="19" t="s">
        <v>56</v>
      </c>
      <c r="E30" s="19" t="s">
        <v>107</v>
      </c>
      <c r="F30" s="19" t="s">
        <v>293</v>
      </c>
      <c r="G30" s="277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54</v>
      </c>
      <c r="B31" s="15" t="s">
        <v>295</v>
      </c>
      <c r="C31" s="16">
        <v>0.94444444444444453</v>
      </c>
      <c r="D31" s="15" t="s">
        <v>58</v>
      </c>
      <c r="E31" s="15" t="s">
        <v>106</v>
      </c>
      <c r="F31" s="15" t="s">
        <v>276</v>
      </c>
      <c r="G31" s="277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54</v>
      </c>
      <c r="B32" s="15" t="s">
        <v>295</v>
      </c>
      <c r="C32" s="16">
        <v>0.94444444444444453</v>
      </c>
      <c r="D32" s="15" t="s">
        <v>60</v>
      </c>
      <c r="E32" s="15" t="s">
        <v>106</v>
      </c>
      <c r="F32" s="15" t="s">
        <v>117</v>
      </c>
      <c r="G32" s="277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54</v>
      </c>
      <c r="B33" s="19" t="s">
        <v>296</v>
      </c>
      <c r="C33" s="20">
        <v>0.4861111111111111</v>
      </c>
      <c r="D33" s="19" t="s">
        <v>56</v>
      </c>
      <c r="E33" s="19" t="s">
        <v>95</v>
      </c>
      <c r="F33" s="19" t="s">
        <v>293</v>
      </c>
      <c r="G33" s="277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54</v>
      </c>
      <c r="B34" s="15" t="s">
        <v>296</v>
      </c>
      <c r="C34" s="16">
        <v>0.4861111111111111</v>
      </c>
      <c r="D34" s="15" t="s">
        <v>58</v>
      </c>
      <c r="E34" s="15" t="s">
        <v>96</v>
      </c>
      <c r="F34" s="15" t="s">
        <v>276</v>
      </c>
      <c r="G34" s="277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54</v>
      </c>
      <c r="B35" s="15" t="s">
        <v>296</v>
      </c>
      <c r="C35" s="16">
        <v>0.4861111111111111</v>
      </c>
      <c r="D35" s="15" t="s">
        <v>60</v>
      </c>
      <c r="E35" s="15" t="s">
        <v>96</v>
      </c>
      <c r="F35" s="15" t="s">
        <v>117</v>
      </c>
      <c r="G35" s="277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54</v>
      </c>
      <c r="B36" s="19" t="s">
        <v>297</v>
      </c>
      <c r="C36" s="20">
        <v>0.55902777777777779</v>
      </c>
      <c r="D36" s="19" t="s">
        <v>56</v>
      </c>
      <c r="E36" s="19" t="s">
        <v>274</v>
      </c>
      <c r="F36" s="19" t="s">
        <v>293</v>
      </c>
      <c r="G36" s="277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5" t="s">
        <v>54</v>
      </c>
      <c r="B37" s="15" t="s">
        <v>297</v>
      </c>
      <c r="C37" s="16">
        <v>0.55902777777777779</v>
      </c>
      <c r="D37" s="15" t="s">
        <v>58</v>
      </c>
      <c r="E37" s="15" t="s">
        <v>78</v>
      </c>
      <c r="F37" s="15" t="s">
        <v>276</v>
      </c>
      <c r="G37" s="277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54</v>
      </c>
      <c r="B38" s="15" t="s">
        <v>297</v>
      </c>
      <c r="C38" s="16">
        <v>0.55902777777777779</v>
      </c>
      <c r="D38" s="15" t="s">
        <v>60</v>
      </c>
      <c r="E38" s="15" t="s">
        <v>78</v>
      </c>
      <c r="F38" s="15" t="s">
        <v>117</v>
      </c>
      <c r="G38" s="277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54</v>
      </c>
      <c r="B39" s="19" t="s">
        <v>298</v>
      </c>
      <c r="C39" s="20">
        <v>0.88888888888888884</v>
      </c>
      <c r="D39" s="19" t="s">
        <v>56</v>
      </c>
      <c r="E39" s="19" t="s">
        <v>107</v>
      </c>
      <c r="F39" s="19" t="s">
        <v>293</v>
      </c>
      <c r="G39" s="277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5" t="s">
        <v>54</v>
      </c>
      <c r="B40" s="15" t="s">
        <v>298</v>
      </c>
      <c r="C40" s="16">
        <v>0.88888888888888884</v>
      </c>
      <c r="D40" s="15" t="s">
        <v>58</v>
      </c>
      <c r="E40" s="15" t="s">
        <v>106</v>
      </c>
      <c r="F40" s="15" t="s">
        <v>276</v>
      </c>
      <c r="G40" s="277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54</v>
      </c>
      <c r="B41" s="15" t="s">
        <v>298</v>
      </c>
      <c r="C41" s="16">
        <v>0.88888888888888884</v>
      </c>
      <c r="D41" s="15" t="s">
        <v>60</v>
      </c>
      <c r="E41" s="15" t="s">
        <v>106</v>
      </c>
      <c r="F41" s="15" t="s">
        <v>117</v>
      </c>
      <c r="G41" s="277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54</v>
      </c>
      <c r="B42" s="19" t="s">
        <v>299</v>
      </c>
      <c r="C42" s="20">
        <v>0.34722222222222232</v>
      </c>
      <c r="D42" s="19" t="s">
        <v>56</v>
      </c>
      <c r="E42" s="19" t="s">
        <v>89</v>
      </c>
      <c r="F42" s="19" t="s">
        <v>276</v>
      </c>
      <c r="G42" s="277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54</v>
      </c>
      <c r="B43" s="15" t="s">
        <v>299</v>
      </c>
      <c r="C43" s="16">
        <v>0.34722222222222232</v>
      </c>
      <c r="D43" s="15" t="s">
        <v>58</v>
      </c>
      <c r="E43" s="15" t="s">
        <v>109</v>
      </c>
      <c r="F43" s="15" t="s">
        <v>279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54</v>
      </c>
      <c r="B44" s="15" t="s">
        <v>299</v>
      </c>
      <c r="C44" s="16">
        <v>0.34722222222222232</v>
      </c>
      <c r="D44" s="15" t="s">
        <v>60</v>
      </c>
      <c r="E44" s="15" t="s">
        <v>109</v>
      </c>
      <c r="F44" s="15" t="s">
        <v>300</v>
      </c>
      <c r="G44" s="277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54</v>
      </c>
      <c r="B45" s="19" t="s">
        <v>301</v>
      </c>
      <c r="C45" s="20">
        <v>0.73611111111111116</v>
      </c>
      <c r="D45" s="19" t="s">
        <v>56</v>
      </c>
      <c r="E45" s="19" t="s">
        <v>91</v>
      </c>
      <c r="F45" s="19" t="s">
        <v>276</v>
      </c>
      <c r="G45" s="277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5" t="s">
        <v>54</v>
      </c>
      <c r="B46" s="15" t="s">
        <v>301</v>
      </c>
      <c r="C46" s="16">
        <v>0.73611111111111116</v>
      </c>
      <c r="D46" s="15" t="s">
        <v>58</v>
      </c>
      <c r="E46" s="15" t="s">
        <v>92</v>
      </c>
      <c r="F46" s="15" t="s">
        <v>279</v>
      </c>
      <c r="G46" s="277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5" t="s">
        <v>54</v>
      </c>
      <c r="B47" s="15" t="s">
        <v>301</v>
      </c>
      <c r="C47" s="16">
        <v>0.73611111111111116</v>
      </c>
      <c r="D47" s="15" t="s">
        <v>60</v>
      </c>
      <c r="E47" s="15" t="s">
        <v>92</v>
      </c>
      <c r="F47" s="15" t="s">
        <v>300</v>
      </c>
      <c r="G47" s="277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7" t="s">
        <v>35</v>
      </c>
      <c r="B48" s="17" t="s">
        <v>302</v>
      </c>
      <c r="C48" s="18">
        <v>0.11805555555555559</v>
      </c>
      <c r="D48" s="17" t="s">
        <v>42</v>
      </c>
      <c r="E48" s="17" t="s">
        <v>38</v>
      </c>
      <c r="F48" s="17" t="s">
        <v>303</v>
      </c>
      <c r="G48" s="277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35</v>
      </c>
      <c r="B49" s="19" t="s">
        <v>304</v>
      </c>
      <c r="C49" s="20">
        <v>0.39930555555555558</v>
      </c>
      <c r="D49" s="19" t="s">
        <v>42</v>
      </c>
      <c r="E49" s="19" t="s">
        <v>51</v>
      </c>
      <c r="F49" s="19" t="s">
        <v>305</v>
      </c>
      <c r="G49" s="277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35</v>
      </c>
      <c r="B50" s="19" t="s">
        <v>306</v>
      </c>
      <c r="C50" s="20">
        <v>0.98958333333333337</v>
      </c>
      <c r="D50" s="19" t="s">
        <v>42</v>
      </c>
      <c r="E50" s="19" t="s">
        <v>51</v>
      </c>
      <c r="F50" s="19" t="s">
        <v>307</v>
      </c>
      <c r="G50" s="277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9" t="s">
        <v>35</v>
      </c>
      <c r="B51" s="19" t="s">
        <v>308</v>
      </c>
      <c r="C51" s="20">
        <v>0.48958333333333331</v>
      </c>
      <c r="D51" s="19" t="s">
        <v>42</v>
      </c>
      <c r="E51" s="19" t="s">
        <v>51</v>
      </c>
      <c r="F51" s="19" t="s">
        <v>307</v>
      </c>
      <c r="G51" s="277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35</v>
      </c>
      <c r="B52" s="19" t="s">
        <v>309</v>
      </c>
      <c r="C52" s="20">
        <v>0.88888888888888884</v>
      </c>
      <c r="D52" s="19" t="s">
        <v>42</v>
      </c>
      <c r="E52" s="19" t="s">
        <v>51</v>
      </c>
      <c r="F52" s="19" t="s">
        <v>307</v>
      </c>
      <c r="G52" s="277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35</v>
      </c>
      <c r="B53" s="19" t="s">
        <v>310</v>
      </c>
      <c r="C53" s="20">
        <v>0.82986111111111116</v>
      </c>
      <c r="D53" s="19" t="s">
        <v>42</v>
      </c>
      <c r="E53" s="19" t="s">
        <v>45</v>
      </c>
      <c r="F53" s="19" t="s">
        <v>311</v>
      </c>
      <c r="G53" s="277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35</v>
      </c>
      <c r="B54" s="19" t="s">
        <v>312</v>
      </c>
      <c r="C54" s="20">
        <v>0.70138888888888884</v>
      </c>
      <c r="D54" s="19" t="s">
        <v>42</v>
      </c>
      <c r="E54" s="19" t="s">
        <v>121</v>
      </c>
      <c r="F54" s="19" t="s">
        <v>311</v>
      </c>
      <c r="G54" s="277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35</v>
      </c>
      <c r="B55" s="19" t="s">
        <v>313</v>
      </c>
      <c r="C55" s="20">
        <v>0.25347222222222221</v>
      </c>
      <c r="D55" s="19" t="s">
        <v>42</v>
      </c>
      <c r="E55" s="19" t="s">
        <v>121</v>
      </c>
      <c r="F55" s="19" t="s">
        <v>311</v>
      </c>
      <c r="G55" s="277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35</v>
      </c>
      <c r="B56" s="19" t="s">
        <v>314</v>
      </c>
      <c r="C56" s="20">
        <v>4.1666666666666657E-2</v>
      </c>
      <c r="D56" s="19" t="s">
        <v>48</v>
      </c>
      <c r="E56" s="19" t="s">
        <v>45</v>
      </c>
      <c r="F56" s="19" t="s">
        <v>311</v>
      </c>
      <c r="G56" s="277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5" t="s">
        <v>35</v>
      </c>
      <c r="B57" s="15" t="s">
        <v>314</v>
      </c>
      <c r="C57" s="16">
        <v>4.1666666666666657E-2</v>
      </c>
      <c r="D57" s="15" t="s">
        <v>42</v>
      </c>
      <c r="E57" s="15" t="s">
        <v>41</v>
      </c>
      <c r="F57" s="15" t="s">
        <v>311</v>
      </c>
      <c r="G57" s="277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35</v>
      </c>
      <c r="B58" s="19" t="s">
        <v>315</v>
      </c>
      <c r="C58" s="20">
        <v>0.94097222222222221</v>
      </c>
      <c r="D58" s="19" t="s">
        <v>42</v>
      </c>
      <c r="E58" s="19" t="s">
        <v>274</v>
      </c>
      <c r="F58" s="19" t="s">
        <v>311</v>
      </c>
      <c r="G58" s="277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35</v>
      </c>
      <c r="B59" s="19" t="s">
        <v>316</v>
      </c>
      <c r="C59" s="20">
        <v>0.48958333333333331</v>
      </c>
      <c r="D59" s="19" t="s">
        <v>42</v>
      </c>
      <c r="E59" s="19" t="s">
        <v>91</v>
      </c>
      <c r="F59" s="19" t="s">
        <v>317</v>
      </c>
      <c r="G59" s="277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35</v>
      </c>
      <c r="B60" s="19" t="s">
        <v>318</v>
      </c>
      <c r="C60" s="20">
        <v>0.72222222222222221</v>
      </c>
      <c r="D60" s="19" t="s">
        <v>42</v>
      </c>
      <c r="E60" s="19" t="s">
        <v>95</v>
      </c>
      <c r="F60" s="19" t="s">
        <v>317</v>
      </c>
      <c r="G60" s="277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7" t="s">
        <v>63</v>
      </c>
      <c r="B61" s="17" t="s">
        <v>319</v>
      </c>
      <c r="C61" s="18">
        <v>0.83680555555555547</v>
      </c>
      <c r="D61" s="17" t="s">
        <v>48</v>
      </c>
      <c r="E61" s="17" t="s">
        <v>77</v>
      </c>
      <c r="F61" s="17" t="s">
        <v>320</v>
      </c>
      <c r="G61" s="277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63</v>
      </c>
      <c r="B62" s="19" t="s">
        <v>321</v>
      </c>
      <c r="C62" s="20">
        <v>0.3125</v>
      </c>
      <c r="D62" s="19" t="s">
        <v>48</v>
      </c>
      <c r="E62" s="19" t="s">
        <v>89</v>
      </c>
      <c r="F62" s="19" t="s">
        <v>320</v>
      </c>
      <c r="G62" s="277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63</v>
      </c>
      <c r="B63" s="19" t="s">
        <v>322</v>
      </c>
      <c r="C63" s="20">
        <v>0.97222222222222221</v>
      </c>
      <c r="D63" s="19" t="s">
        <v>48</v>
      </c>
      <c r="E63" s="19" t="s">
        <v>51</v>
      </c>
      <c r="F63" s="19" t="s">
        <v>320</v>
      </c>
      <c r="G63" s="277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63</v>
      </c>
      <c r="B64" s="19" t="s">
        <v>323</v>
      </c>
      <c r="C64" s="20">
        <v>0.1041666666666667</v>
      </c>
      <c r="D64" s="19" t="s">
        <v>48</v>
      </c>
      <c r="E64" s="19" t="s">
        <v>91</v>
      </c>
      <c r="F64" s="19" t="s">
        <v>320</v>
      </c>
      <c r="G64" s="277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9" t="s">
        <v>63</v>
      </c>
      <c r="B65" s="19" t="s">
        <v>324</v>
      </c>
      <c r="C65" s="20">
        <v>0.37847222222222232</v>
      </c>
      <c r="D65" s="19" t="s">
        <v>48</v>
      </c>
      <c r="E65" s="19" t="s">
        <v>51</v>
      </c>
      <c r="F65" s="19" t="s">
        <v>320</v>
      </c>
      <c r="G65" s="277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63</v>
      </c>
      <c r="B66" s="19" t="s">
        <v>325</v>
      </c>
      <c r="C66" s="20">
        <v>0.78472222222222221</v>
      </c>
      <c r="D66" s="19" t="s">
        <v>48</v>
      </c>
      <c r="E66" s="19" t="s">
        <v>89</v>
      </c>
      <c r="F66" s="19" t="s">
        <v>320</v>
      </c>
      <c r="G66" s="277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9" t="s">
        <v>63</v>
      </c>
      <c r="B67" s="19" t="s">
        <v>326</v>
      </c>
      <c r="C67" s="20">
        <v>0.60069444444444442</v>
      </c>
      <c r="D67" s="19" t="s">
        <v>48</v>
      </c>
      <c r="E67" s="19" t="s">
        <v>51</v>
      </c>
      <c r="F67" s="19" t="s">
        <v>320</v>
      </c>
      <c r="G67" s="277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63</v>
      </c>
      <c r="B68" s="19" t="s">
        <v>327</v>
      </c>
      <c r="C68" s="20">
        <v>4.8611111111111112E-2</v>
      </c>
      <c r="D68" s="19" t="s">
        <v>48</v>
      </c>
      <c r="E68" s="19" t="s">
        <v>274</v>
      </c>
      <c r="F68" s="19" t="s">
        <v>320</v>
      </c>
      <c r="G68" s="277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85" t="s">
        <v>71</v>
      </c>
      <c r="B69" s="85" t="s">
        <v>328</v>
      </c>
      <c r="C69" s="86">
        <v>0.24652777777777779</v>
      </c>
      <c r="D69" s="85" t="s">
        <v>73</v>
      </c>
      <c r="E69" s="204"/>
      <c r="F69" s="85" t="s">
        <v>74</v>
      </c>
      <c r="G69" s="277"/>
      <c r="H69" s="87" t="s">
        <v>328</v>
      </c>
      <c r="I69" s="88">
        <v>1</v>
      </c>
      <c r="J69" s="89">
        <v>180</v>
      </c>
      <c r="K69" s="90">
        <v>45981</v>
      </c>
      <c r="L69" s="89">
        <v>12</v>
      </c>
      <c r="M69" s="89">
        <v>0</v>
      </c>
      <c r="N69" s="89">
        <v>0</v>
      </c>
      <c r="O69" s="91" t="s">
        <v>75</v>
      </c>
      <c r="P69" s="92">
        <v>0.24652777777777779</v>
      </c>
      <c r="Q69" s="89">
        <v>180</v>
      </c>
      <c r="R69" s="93" t="s">
        <v>329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46" t="s">
        <v>71</v>
      </c>
      <c r="B70" s="46" t="s">
        <v>330</v>
      </c>
      <c r="C70" s="47">
        <v>0.4375</v>
      </c>
      <c r="D70" s="46" t="s">
        <v>73</v>
      </c>
      <c r="E70" s="48"/>
      <c r="F70" s="46" t="s">
        <v>74</v>
      </c>
      <c r="G70" s="277"/>
      <c r="H70" s="49" t="s">
        <v>330</v>
      </c>
      <c r="I70" s="50">
        <v>1</v>
      </c>
      <c r="J70" s="51">
        <v>180</v>
      </c>
      <c r="K70" s="52">
        <v>45983</v>
      </c>
      <c r="L70" s="51">
        <v>5</v>
      </c>
      <c r="M70" s="51">
        <v>0</v>
      </c>
      <c r="N70" s="51">
        <v>1</v>
      </c>
      <c r="O70" s="53" t="s">
        <v>75</v>
      </c>
      <c r="P70" s="54">
        <v>0.4375</v>
      </c>
      <c r="Q70" s="51">
        <v>180</v>
      </c>
      <c r="R70" s="55" t="s">
        <v>331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205" t="s">
        <v>71</v>
      </c>
      <c r="B71" s="205" t="s">
        <v>332</v>
      </c>
      <c r="C71" s="206">
        <v>0.80208333333333337</v>
      </c>
      <c r="D71" s="205" t="s">
        <v>73</v>
      </c>
      <c r="E71" s="207"/>
      <c r="F71" s="205" t="s">
        <v>74</v>
      </c>
      <c r="G71" s="278"/>
      <c r="H71" s="208" t="s">
        <v>332</v>
      </c>
      <c r="I71" s="209">
        <v>0.99439999999999995</v>
      </c>
      <c r="J71" s="210">
        <v>179</v>
      </c>
      <c r="K71" s="211">
        <v>45983</v>
      </c>
      <c r="L71" s="210">
        <v>68</v>
      </c>
      <c r="M71" s="210">
        <v>0</v>
      </c>
      <c r="N71" s="210">
        <v>8</v>
      </c>
      <c r="O71" s="212" t="s">
        <v>75</v>
      </c>
      <c r="P71" s="213">
        <v>0.80208333333333337</v>
      </c>
      <c r="Q71" s="210">
        <v>180</v>
      </c>
      <c r="R71" s="214" t="s">
        <v>333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4.4" customHeight="1" x14ac:dyDescent="0.3">
      <c r="A72" s="282"/>
      <c r="B72" s="283"/>
      <c r="C72" s="283"/>
      <c r="D72" s="283"/>
      <c r="E72" s="283"/>
      <c r="F72" s="283"/>
      <c r="G72" s="280"/>
      <c r="H72" s="284"/>
      <c r="I72" s="284"/>
      <c r="J72" s="284"/>
      <c r="K72" s="284"/>
      <c r="L72" s="284"/>
      <c r="M72" s="284"/>
      <c r="N72" s="284"/>
      <c r="O72" s="285"/>
      <c r="P72" s="284"/>
      <c r="Q72" s="280"/>
      <c r="R72" s="281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22.05" customHeight="1" x14ac:dyDescent="0.3">
      <c r="A73" s="290" t="s">
        <v>5</v>
      </c>
      <c r="B73" s="291"/>
      <c r="C73" s="291"/>
      <c r="D73" s="291"/>
      <c r="E73" s="291"/>
      <c r="F73" s="291"/>
      <c r="G73" s="5">
        <v>45986</v>
      </c>
      <c r="H73" s="274" t="s">
        <v>6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24" customHeight="1" x14ac:dyDescent="0.3">
      <c r="A74" s="31" t="s">
        <v>7</v>
      </c>
      <c r="B74" s="31" t="s">
        <v>8</v>
      </c>
      <c r="C74" s="32" t="s">
        <v>9</v>
      </c>
      <c r="D74" s="31" t="s">
        <v>10</v>
      </c>
      <c r="E74" s="31" t="s">
        <v>11</v>
      </c>
      <c r="F74" s="31" t="s">
        <v>12</v>
      </c>
      <c r="G74" s="33" t="s">
        <v>13</v>
      </c>
      <c r="H74" s="31" t="s">
        <v>14</v>
      </c>
      <c r="I74" s="34" t="s">
        <v>15</v>
      </c>
      <c r="J74" s="35" t="s">
        <v>16</v>
      </c>
      <c r="K74" s="36" t="s">
        <v>17</v>
      </c>
      <c r="L74" s="35" t="s">
        <v>18</v>
      </c>
      <c r="M74" s="35" t="s">
        <v>19</v>
      </c>
      <c r="N74" s="35" t="s">
        <v>20</v>
      </c>
      <c r="O74" s="31" t="s">
        <v>21</v>
      </c>
      <c r="P74" s="32" t="s">
        <v>22</v>
      </c>
      <c r="Q74" s="35" t="s">
        <v>23</v>
      </c>
      <c r="R74" s="31" t="s">
        <v>24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8" t="s">
        <v>25</v>
      </c>
      <c r="B75" s="8" t="s">
        <v>278</v>
      </c>
      <c r="C75" s="9">
        <v>0.39930555555555558</v>
      </c>
      <c r="D75" s="8" t="s">
        <v>27</v>
      </c>
      <c r="E75" s="8" t="s">
        <v>104</v>
      </c>
      <c r="F75" s="8" t="s">
        <v>275</v>
      </c>
      <c r="G75" s="276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5" t="s">
        <v>25</v>
      </c>
      <c r="B76" s="15" t="s">
        <v>278</v>
      </c>
      <c r="C76" s="16">
        <v>0.39930555555555558</v>
      </c>
      <c r="D76" s="15" t="s">
        <v>30</v>
      </c>
      <c r="E76" s="15" t="s">
        <v>109</v>
      </c>
      <c r="F76" s="15" t="s">
        <v>276</v>
      </c>
      <c r="G76" s="277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25</v>
      </c>
      <c r="B77" s="15" t="s">
        <v>278</v>
      </c>
      <c r="C77" s="16">
        <v>0.39930555555555558</v>
      </c>
      <c r="D77" s="15" t="s">
        <v>33</v>
      </c>
      <c r="E77" s="15" t="s">
        <v>109</v>
      </c>
      <c r="F77" s="15" t="s">
        <v>34</v>
      </c>
      <c r="G77" s="277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25</v>
      </c>
      <c r="B78" s="19" t="s">
        <v>273</v>
      </c>
      <c r="C78" s="20">
        <v>0.48958333333333331</v>
      </c>
      <c r="D78" s="19" t="s">
        <v>27</v>
      </c>
      <c r="E78" s="19" t="s">
        <v>91</v>
      </c>
      <c r="F78" s="19" t="s">
        <v>293</v>
      </c>
      <c r="G78" s="277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25</v>
      </c>
      <c r="B79" s="15" t="s">
        <v>273</v>
      </c>
      <c r="C79" s="16">
        <v>0.48958333333333331</v>
      </c>
      <c r="D79" s="15" t="s">
        <v>33</v>
      </c>
      <c r="E79" s="15" t="s">
        <v>92</v>
      </c>
      <c r="F79" s="15" t="s">
        <v>334</v>
      </c>
      <c r="G79" s="277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5" t="s">
        <v>25</v>
      </c>
      <c r="B80" s="15" t="s">
        <v>273</v>
      </c>
      <c r="C80" s="16">
        <v>0.48958333333333331</v>
      </c>
      <c r="D80" s="15" t="s">
        <v>30</v>
      </c>
      <c r="E80" s="15" t="s">
        <v>92</v>
      </c>
      <c r="F80" s="15" t="s">
        <v>335</v>
      </c>
      <c r="G80" s="277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9" t="s">
        <v>25</v>
      </c>
      <c r="B81" s="19" t="s">
        <v>277</v>
      </c>
      <c r="C81" s="20">
        <v>0.88888888888888884</v>
      </c>
      <c r="D81" s="19" t="s">
        <v>27</v>
      </c>
      <c r="E81" s="19" t="s">
        <v>51</v>
      </c>
      <c r="F81" s="19" t="s">
        <v>79</v>
      </c>
      <c r="G81" s="277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5" t="s">
        <v>25</v>
      </c>
      <c r="B82" s="15" t="s">
        <v>277</v>
      </c>
      <c r="C82" s="16">
        <v>0.88888888888888884</v>
      </c>
      <c r="D82" s="15" t="s">
        <v>30</v>
      </c>
      <c r="E82" s="15" t="s">
        <v>53</v>
      </c>
      <c r="F82" s="15" t="s">
        <v>279</v>
      </c>
      <c r="G82" s="277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5" t="s">
        <v>25</v>
      </c>
      <c r="B83" s="15" t="s">
        <v>277</v>
      </c>
      <c r="C83" s="16">
        <v>0.88888888888888884</v>
      </c>
      <c r="D83" s="15" t="s">
        <v>33</v>
      </c>
      <c r="E83" s="15" t="s">
        <v>53</v>
      </c>
      <c r="F83" s="15" t="s">
        <v>34</v>
      </c>
      <c r="G83" s="277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9" t="s">
        <v>25</v>
      </c>
      <c r="B84" s="19" t="s">
        <v>272</v>
      </c>
      <c r="C84" s="20">
        <v>0.98958333333333337</v>
      </c>
      <c r="D84" s="19" t="s">
        <v>336</v>
      </c>
      <c r="E84" s="19" t="s">
        <v>89</v>
      </c>
      <c r="F84" s="19" t="s">
        <v>79</v>
      </c>
      <c r="G84" s="277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7" t="s">
        <v>280</v>
      </c>
      <c r="B85" s="17" t="s">
        <v>281</v>
      </c>
      <c r="C85" s="18">
        <v>5.5555555555555552E-2</v>
      </c>
      <c r="D85" s="17" t="s">
        <v>282</v>
      </c>
      <c r="E85" s="17" t="s">
        <v>82</v>
      </c>
      <c r="F85" s="17" t="s">
        <v>337</v>
      </c>
      <c r="G85" s="277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5" t="s">
        <v>280</v>
      </c>
      <c r="B86" s="15" t="s">
        <v>281</v>
      </c>
      <c r="C86" s="16">
        <v>5.5555555555555552E-2</v>
      </c>
      <c r="D86" s="15" t="s">
        <v>33</v>
      </c>
      <c r="E86" s="15" t="s">
        <v>92</v>
      </c>
      <c r="F86" s="15" t="s">
        <v>338</v>
      </c>
      <c r="G86" s="277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7" t="s">
        <v>54</v>
      </c>
      <c r="B87" s="17" t="s">
        <v>299</v>
      </c>
      <c r="C87" s="18">
        <v>0.34722222222222232</v>
      </c>
      <c r="D87" s="17" t="s">
        <v>56</v>
      </c>
      <c r="E87" s="17" t="s">
        <v>104</v>
      </c>
      <c r="F87" s="17" t="s">
        <v>293</v>
      </c>
      <c r="G87" s="277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5" t="s">
        <v>54</v>
      </c>
      <c r="B88" s="15" t="s">
        <v>299</v>
      </c>
      <c r="C88" s="16">
        <v>0.34722222222222232</v>
      </c>
      <c r="D88" s="15" t="s">
        <v>58</v>
      </c>
      <c r="E88" s="15" t="s">
        <v>109</v>
      </c>
      <c r="F88" s="15" t="s">
        <v>276</v>
      </c>
      <c r="G88" s="277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5" t="s">
        <v>54</v>
      </c>
      <c r="B89" s="15" t="s">
        <v>299</v>
      </c>
      <c r="C89" s="16">
        <v>0.34722222222222232</v>
      </c>
      <c r="D89" s="15" t="s">
        <v>60</v>
      </c>
      <c r="E89" s="15" t="s">
        <v>109</v>
      </c>
      <c r="F89" s="15" t="s">
        <v>117</v>
      </c>
      <c r="G89" s="277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9" t="s">
        <v>54</v>
      </c>
      <c r="B90" s="19" t="s">
        <v>291</v>
      </c>
      <c r="C90" s="20">
        <v>0.99305555555555547</v>
      </c>
      <c r="D90" s="19" t="s">
        <v>56</v>
      </c>
      <c r="E90" s="19" t="s">
        <v>121</v>
      </c>
      <c r="F90" s="19" t="s">
        <v>293</v>
      </c>
      <c r="G90" s="277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5" t="s">
        <v>54</v>
      </c>
      <c r="B91" s="15" t="s">
        <v>291</v>
      </c>
      <c r="C91" s="16">
        <v>0.99305555555555547</v>
      </c>
      <c r="D91" s="15" t="s">
        <v>58</v>
      </c>
      <c r="E91" s="15" t="s">
        <v>339</v>
      </c>
      <c r="F91" s="15" t="s">
        <v>276</v>
      </c>
      <c r="G91" s="277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5" t="s">
        <v>54</v>
      </c>
      <c r="B92" s="15" t="s">
        <v>291</v>
      </c>
      <c r="C92" s="16">
        <v>0.99305555555555547</v>
      </c>
      <c r="D92" s="15" t="s">
        <v>60</v>
      </c>
      <c r="E92" s="15" t="s">
        <v>339</v>
      </c>
      <c r="F92" s="15" t="s">
        <v>117</v>
      </c>
      <c r="G92" s="277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9" t="s">
        <v>54</v>
      </c>
      <c r="B93" s="19" t="s">
        <v>295</v>
      </c>
      <c r="C93" s="20">
        <v>0.94444444444444453</v>
      </c>
      <c r="D93" s="19" t="s">
        <v>56</v>
      </c>
      <c r="E93" s="19" t="s">
        <v>289</v>
      </c>
      <c r="F93" s="19" t="s">
        <v>293</v>
      </c>
      <c r="G93" s="277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5" t="s">
        <v>54</v>
      </c>
      <c r="B94" s="15" t="s">
        <v>295</v>
      </c>
      <c r="C94" s="16">
        <v>0.94444444444444453</v>
      </c>
      <c r="D94" s="15" t="s">
        <v>58</v>
      </c>
      <c r="E94" s="15" t="s">
        <v>31</v>
      </c>
      <c r="F94" s="15" t="s">
        <v>276</v>
      </c>
      <c r="G94" s="277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5" t="s">
        <v>54</v>
      </c>
      <c r="B95" s="15" t="s">
        <v>295</v>
      </c>
      <c r="C95" s="16">
        <v>0.94444444444444453</v>
      </c>
      <c r="D95" s="15" t="s">
        <v>60</v>
      </c>
      <c r="E95" s="15" t="s">
        <v>31</v>
      </c>
      <c r="F95" s="15" t="s">
        <v>117</v>
      </c>
      <c r="G95" s="277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9" t="s">
        <v>54</v>
      </c>
      <c r="B96" s="19" t="s">
        <v>296</v>
      </c>
      <c r="C96" s="20">
        <v>0.4861111111111111</v>
      </c>
      <c r="D96" s="19" t="s">
        <v>56</v>
      </c>
      <c r="E96" s="19" t="s">
        <v>93</v>
      </c>
      <c r="F96" s="19" t="s">
        <v>293</v>
      </c>
      <c r="G96" s="277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5" t="s">
        <v>54</v>
      </c>
      <c r="B97" s="15" t="s">
        <v>296</v>
      </c>
      <c r="C97" s="16">
        <v>0.4861111111111111</v>
      </c>
      <c r="D97" s="15" t="s">
        <v>58</v>
      </c>
      <c r="E97" s="15" t="s">
        <v>94</v>
      </c>
      <c r="F97" s="15" t="s">
        <v>276</v>
      </c>
      <c r="G97" s="277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5" t="s">
        <v>54</v>
      </c>
      <c r="B98" s="15" t="s">
        <v>296</v>
      </c>
      <c r="C98" s="16">
        <v>0.4861111111111111</v>
      </c>
      <c r="D98" s="15" t="s">
        <v>60</v>
      </c>
      <c r="E98" s="15" t="s">
        <v>94</v>
      </c>
      <c r="F98" s="15" t="s">
        <v>117</v>
      </c>
      <c r="G98" s="277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9" t="s">
        <v>54</v>
      </c>
      <c r="B99" s="19" t="s">
        <v>297</v>
      </c>
      <c r="C99" s="20">
        <v>0.3923611111111111</v>
      </c>
      <c r="D99" s="19" t="s">
        <v>56</v>
      </c>
      <c r="E99" s="19" t="s">
        <v>93</v>
      </c>
      <c r="F99" s="19" t="s">
        <v>293</v>
      </c>
      <c r="G99" s="277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5" t="s">
        <v>54</v>
      </c>
      <c r="B100" s="15" t="s">
        <v>297</v>
      </c>
      <c r="C100" s="16">
        <v>0.3923611111111111</v>
      </c>
      <c r="D100" s="15" t="s">
        <v>58</v>
      </c>
      <c r="E100" s="15" t="s">
        <v>94</v>
      </c>
      <c r="F100" s="15" t="s">
        <v>276</v>
      </c>
      <c r="G100" s="277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5" t="s">
        <v>54</v>
      </c>
      <c r="B101" s="15" t="s">
        <v>297</v>
      </c>
      <c r="C101" s="16">
        <v>0.3923611111111111</v>
      </c>
      <c r="D101" s="15" t="s">
        <v>60</v>
      </c>
      <c r="E101" s="15" t="s">
        <v>94</v>
      </c>
      <c r="F101" s="15" t="s">
        <v>117</v>
      </c>
      <c r="G101" s="277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9" t="s">
        <v>54</v>
      </c>
      <c r="B102" s="19" t="s">
        <v>298</v>
      </c>
      <c r="C102" s="20">
        <v>0.88888888888888884</v>
      </c>
      <c r="D102" s="19" t="s">
        <v>56</v>
      </c>
      <c r="E102" s="19" t="s">
        <v>91</v>
      </c>
      <c r="F102" s="19" t="s">
        <v>293</v>
      </c>
      <c r="G102" s="277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54</v>
      </c>
      <c r="B103" s="15" t="s">
        <v>298</v>
      </c>
      <c r="C103" s="16">
        <v>0.88888888888888884</v>
      </c>
      <c r="D103" s="15" t="s">
        <v>58</v>
      </c>
      <c r="E103" s="15" t="s">
        <v>92</v>
      </c>
      <c r="F103" s="15" t="s">
        <v>276</v>
      </c>
      <c r="G103" s="277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5" t="s">
        <v>54</v>
      </c>
      <c r="B104" s="15" t="s">
        <v>298</v>
      </c>
      <c r="C104" s="16">
        <v>0.88888888888888884</v>
      </c>
      <c r="D104" s="15" t="s">
        <v>60</v>
      </c>
      <c r="E104" s="15" t="s">
        <v>92</v>
      </c>
      <c r="F104" s="15" t="s">
        <v>117</v>
      </c>
      <c r="G104" s="277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9" t="s">
        <v>54</v>
      </c>
      <c r="B105" s="19" t="s">
        <v>301</v>
      </c>
      <c r="C105" s="20">
        <v>0.73611111111111116</v>
      </c>
      <c r="D105" s="19" t="s">
        <v>56</v>
      </c>
      <c r="E105" s="19" t="s">
        <v>121</v>
      </c>
      <c r="F105" s="19" t="s">
        <v>276</v>
      </c>
      <c r="G105" s="277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5" t="s">
        <v>54</v>
      </c>
      <c r="B106" s="15" t="s">
        <v>301</v>
      </c>
      <c r="C106" s="16">
        <v>0.73611111111111116</v>
      </c>
      <c r="D106" s="15" t="s">
        <v>58</v>
      </c>
      <c r="E106" s="15" t="s">
        <v>339</v>
      </c>
      <c r="F106" s="15" t="s">
        <v>279</v>
      </c>
      <c r="G106" s="277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5" t="s">
        <v>54</v>
      </c>
      <c r="B107" s="15" t="s">
        <v>301</v>
      </c>
      <c r="C107" s="16">
        <v>0.73611111111111116</v>
      </c>
      <c r="D107" s="15" t="s">
        <v>60</v>
      </c>
      <c r="E107" s="15" t="s">
        <v>339</v>
      </c>
      <c r="F107" s="15" t="s">
        <v>300</v>
      </c>
      <c r="G107" s="277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9" t="s">
        <v>54</v>
      </c>
      <c r="B108" s="19" t="s">
        <v>294</v>
      </c>
      <c r="C108" s="20">
        <v>0.83680555555555547</v>
      </c>
      <c r="D108" s="19" t="s">
        <v>56</v>
      </c>
      <c r="E108" s="19" t="s">
        <v>107</v>
      </c>
      <c r="F108" s="19" t="s">
        <v>276</v>
      </c>
      <c r="G108" s="277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5" t="s">
        <v>54</v>
      </c>
      <c r="B109" s="15" t="s">
        <v>294</v>
      </c>
      <c r="C109" s="16">
        <v>0.83680555555555547</v>
      </c>
      <c r="D109" s="15" t="s">
        <v>58</v>
      </c>
      <c r="E109" s="15" t="s">
        <v>106</v>
      </c>
      <c r="F109" s="15" t="s">
        <v>279</v>
      </c>
      <c r="G109" s="277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5" t="s">
        <v>54</v>
      </c>
      <c r="B110" s="15" t="s">
        <v>294</v>
      </c>
      <c r="C110" s="16">
        <v>0.83680555555555547</v>
      </c>
      <c r="D110" s="15" t="s">
        <v>60</v>
      </c>
      <c r="E110" s="15" t="s">
        <v>106</v>
      </c>
      <c r="F110" s="15" t="s">
        <v>300</v>
      </c>
      <c r="G110" s="277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5" t="s">
        <v>71</v>
      </c>
      <c r="B111" s="195" t="s">
        <v>340</v>
      </c>
      <c r="C111" s="196">
        <v>5.2083333333333343E-2</v>
      </c>
      <c r="D111" s="195" t="s">
        <v>81</v>
      </c>
      <c r="E111" s="195" t="s">
        <v>104</v>
      </c>
      <c r="F111" s="195" t="s">
        <v>341</v>
      </c>
      <c r="G111" s="277"/>
      <c r="H111" s="197" t="s">
        <v>342</v>
      </c>
      <c r="I111" s="215">
        <v>0.9778</v>
      </c>
      <c r="J111" s="199">
        <v>176</v>
      </c>
      <c r="K111" s="200">
        <v>45983</v>
      </c>
      <c r="L111" s="199">
        <v>77</v>
      </c>
      <c r="M111" s="199">
        <v>0</v>
      </c>
      <c r="N111" s="199">
        <v>16</v>
      </c>
      <c r="O111" s="201" t="s">
        <v>125</v>
      </c>
      <c r="P111" s="202">
        <v>5.2083333333333343E-2</v>
      </c>
      <c r="Q111" s="199">
        <v>180</v>
      </c>
      <c r="R111" s="203" t="s">
        <v>343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216" t="s">
        <v>71</v>
      </c>
      <c r="B112" s="216" t="s">
        <v>344</v>
      </c>
      <c r="C112" s="217">
        <v>0.79166666666666663</v>
      </c>
      <c r="D112" s="216" t="s">
        <v>81</v>
      </c>
      <c r="E112" s="216" t="s">
        <v>91</v>
      </c>
      <c r="F112" s="216" t="s">
        <v>341</v>
      </c>
      <c r="G112" s="277"/>
      <c r="H112" s="168" t="s">
        <v>328</v>
      </c>
      <c r="I112" s="169">
        <v>0.97219999999999995</v>
      </c>
      <c r="J112" s="170">
        <v>175</v>
      </c>
      <c r="K112" s="171">
        <v>45984</v>
      </c>
      <c r="L112" s="170">
        <v>108</v>
      </c>
      <c r="M112" s="170">
        <v>2</v>
      </c>
      <c r="N112" s="170">
        <v>19</v>
      </c>
      <c r="O112" s="172" t="s">
        <v>345</v>
      </c>
      <c r="P112" s="173">
        <v>0.79166666666666663</v>
      </c>
      <c r="Q112" s="170">
        <v>180</v>
      </c>
      <c r="R112" s="174" t="s">
        <v>346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218" t="s">
        <v>71</v>
      </c>
      <c r="B113" s="218" t="s">
        <v>347</v>
      </c>
      <c r="C113" s="219">
        <v>0.38194444444444442</v>
      </c>
      <c r="D113" s="218" t="s">
        <v>73</v>
      </c>
      <c r="E113" s="220"/>
      <c r="F113" s="218" t="s">
        <v>74</v>
      </c>
      <c r="G113" s="277"/>
      <c r="H113" s="39" t="s">
        <v>347</v>
      </c>
      <c r="I113" s="40">
        <v>1.0056</v>
      </c>
      <c r="J113" s="41">
        <v>181</v>
      </c>
      <c r="K113" s="42">
        <v>45981</v>
      </c>
      <c r="L113" s="41">
        <v>6</v>
      </c>
      <c r="M113" s="41">
        <v>0</v>
      </c>
      <c r="N113" s="41">
        <v>0</v>
      </c>
      <c r="O113" s="43" t="s">
        <v>75</v>
      </c>
      <c r="P113" s="44">
        <v>0.38194444444444442</v>
      </c>
      <c r="Q113" s="41">
        <v>180</v>
      </c>
      <c r="R113" s="45" t="s">
        <v>348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46" t="s">
        <v>71</v>
      </c>
      <c r="B114" s="46" t="s">
        <v>330</v>
      </c>
      <c r="C114" s="47">
        <v>0.4375</v>
      </c>
      <c r="D114" s="46" t="s">
        <v>73</v>
      </c>
      <c r="E114" s="48"/>
      <c r="F114" s="46" t="s">
        <v>74</v>
      </c>
      <c r="G114" s="277"/>
      <c r="H114" s="49" t="s">
        <v>330</v>
      </c>
      <c r="I114" s="50">
        <v>1</v>
      </c>
      <c r="J114" s="51">
        <v>180</v>
      </c>
      <c r="K114" s="52">
        <v>45983</v>
      </c>
      <c r="L114" s="51">
        <v>27</v>
      </c>
      <c r="M114" s="51">
        <v>0</v>
      </c>
      <c r="N114" s="51">
        <v>1</v>
      </c>
      <c r="O114" s="53" t="s">
        <v>75</v>
      </c>
      <c r="P114" s="54">
        <v>0.4375</v>
      </c>
      <c r="Q114" s="51">
        <v>180</v>
      </c>
      <c r="R114" s="55" t="s">
        <v>349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216" t="s">
        <v>71</v>
      </c>
      <c r="B115" s="216" t="s">
        <v>332</v>
      </c>
      <c r="C115" s="217">
        <v>0.55208333333333337</v>
      </c>
      <c r="D115" s="216" t="s">
        <v>73</v>
      </c>
      <c r="E115" s="221"/>
      <c r="F115" s="216" t="s">
        <v>74</v>
      </c>
      <c r="G115" s="277"/>
      <c r="H115" s="168" t="s">
        <v>332</v>
      </c>
      <c r="I115" s="169">
        <v>0.98329999999999995</v>
      </c>
      <c r="J115" s="170">
        <v>177</v>
      </c>
      <c r="K115" s="171">
        <v>45983</v>
      </c>
      <c r="L115" s="170">
        <v>45</v>
      </c>
      <c r="M115" s="170">
        <v>0</v>
      </c>
      <c r="N115" s="170">
        <v>4</v>
      </c>
      <c r="O115" s="172" t="s">
        <v>75</v>
      </c>
      <c r="P115" s="173">
        <v>0.55208333333333337</v>
      </c>
      <c r="Q115" s="170">
        <v>180</v>
      </c>
      <c r="R115" s="174" t="s">
        <v>350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222" t="s">
        <v>71</v>
      </c>
      <c r="B116" s="222" t="s">
        <v>351</v>
      </c>
      <c r="C116" s="223">
        <v>0.75694444444444453</v>
      </c>
      <c r="D116" s="222" t="s">
        <v>73</v>
      </c>
      <c r="E116" s="224"/>
      <c r="F116" s="222" t="s">
        <v>74</v>
      </c>
      <c r="G116" s="277"/>
      <c r="H116" s="87" t="s">
        <v>351</v>
      </c>
      <c r="I116" s="88">
        <v>0.99439999999999995</v>
      </c>
      <c r="J116" s="89">
        <v>179</v>
      </c>
      <c r="K116" s="90">
        <v>45979</v>
      </c>
      <c r="L116" s="89">
        <v>6</v>
      </c>
      <c r="M116" s="89">
        <v>0</v>
      </c>
      <c r="N116" s="89">
        <v>0</v>
      </c>
      <c r="O116" s="91" t="s">
        <v>75</v>
      </c>
      <c r="P116" s="92">
        <v>0.75694444444444453</v>
      </c>
      <c r="Q116" s="89">
        <v>180</v>
      </c>
      <c r="R116" s="93" t="s">
        <v>352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7" t="s">
        <v>285</v>
      </c>
      <c r="B117" s="17" t="s">
        <v>286</v>
      </c>
      <c r="C117" s="18">
        <v>0.49305555555555558</v>
      </c>
      <c r="D117" s="17" t="s">
        <v>81</v>
      </c>
      <c r="E117" s="17" t="s">
        <v>38</v>
      </c>
      <c r="F117" s="17" t="s">
        <v>353</v>
      </c>
      <c r="G117" s="277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9" t="s">
        <v>285</v>
      </c>
      <c r="B118" s="19" t="s">
        <v>288</v>
      </c>
      <c r="C118" s="20">
        <v>0.1875</v>
      </c>
      <c r="D118" s="19" t="s">
        <v>81</v>
      </c>
      <c r="E118" s="19" t="s">
        <v>274</v>
      </c>
      <c r="F118" s="19" t="s">
        <v>101</v>
      </c>
      <c r="G118" s="277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7" t="s">
        <v>35</v>
      </c>
      <c r="B119" s="17" t="s">
        <v>315</v>
      </c>
      <c r="C119" s="18">
        <v>0.94097222222222221</v>
      </c>
      <c r="D119" s="17" t="s">
        <v>42</v>
      </c>
      <c r="E119" s="17" t="s">
        <v>57</v>
      </c>
      <c r="F119" s="17" t="s">
        <v>303</v>
      </c>
      <c r="G119" s="277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9" t="s">
        <v>35</v>
      </c>
      <c r="B120" s="19" t="s">
        <v>304</v>
      </c>
      <c r="C120" s="20">
        <v>0.39930555555555558</v>
      </c>
      <c r="D120" s="19" t="s">
        <v>42</v>
      </c>
      <c r="E120" s="19" t="s">
        <v>51</v>
      </c>
      <c r="F120" s="19" t="s">
        <v>307</v>
      </c>
      <c r="G120" s="277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9" t="s">
        <v>35</v>
      </c>
      <c r="B121" s="19" t="s">
        <v>308</v>
      </c>
      <c r="C121" s="20">
        <v>0.48958333333333331</v>
      </c>
      <c r="D121" s="19" t="s">
        <v>42</v>
      </c>
      <c r="E121" s="19" t="s">
        <v>51</v>
      </c>
      <c r="F121" s="19" t="s">
        <v>307</v>
      </c>
      <c r="G121" s="277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19" t="s">
        <v>35</v>
      </c>
      <c r="B122" s="19" t="s">
        <v>309</v>
      </c>
      <c r="C122" s="20">
        <v>0.88888888888888884</v>
      </c>
      <c r="D122" s="19" t="s">
        <v>42</v>
      </c>
      <c r="E122" s="19" t="s">
        <v>51</v>
      </c>
      <c r="F122" s="19" t="s">
        <v>307</v>
      </c>
      <c r="G122" s="277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5" customHeight="1" x14ac:dyDescent="0.3">
      <c r="A123" s="19" t="s">
        <v>35</v>
      </c>
      <c r="B123" s="19" t="s">
        <v>316</v>
      </c>
      <c r="C123" s="20">
        <v>0.48958333333333331</v>
      </c>
      <c r="D123" s="19" t="s">
        <v>42</v>
      </c>
      <c r="E123" s="19" t="s">
        <v>289</v>
      </c>
      <c r="F123" s="19" t="s">
        <v>311</v>
      </c>
      <c r="G123" s="277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19" t="s">
        <v>35</v>
      </c>
      <c r="B124" s="19" t="s">
        <v>302</v>
      </c>
      <c r="C124" s="20">
        <v>0.11805555555555559</v>
      </c>
      <c r="D124" s="19" t="s">
        <v>42</v>
      </c>
      <c r="E124" s="19" t="s">
        <v>91</v>
      </c>
      <c r="F124" s="19" t="s">
        <v>311</v>
      </c>
      <c r="G124" s="277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9" t="s">
        <v>35</v>
      </c>
      <c r="B125" s="19" t="s">
        <v>313</v>
      </c>
      <c r="C125" s="20">
        <v>0.25347222222222221</v>
      </c>
      <c r="D125" s="19" t="s">
        <v>42</v>
      </c>
      <c r="E125" s="19" t="s">
        <v>93</v>
      </c>
      <c r="F125" s="19" t="s">
        <v>311</v>
      </c>
      <c r="G125" s="277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9" t="s">
        <v>35</v>
      </c>
      <c r="B126" s="19" t="s">
        <v>314</v>
      </c>
      <c r="C126" s="20">
        <v>4.1666666666666657E-2</v>
      </c>
      <c r="D126" s="19" t="s">
        <v>42</v>
      </c>
      <c r="E126" s="19" t="s">
        <v>89</v>
      </c>
      <c r="F126" s="19" t="s">
        <v>311</v>
      </c>
      <c r="G126" s="277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9" t="s">
        <v>35</v>
      </c>
      <c r="B127" s="19" t="s">
        <v>318</v>
      </c>
      <c r="C127" s="20">
        <v>0.72222222222222221</v>
      </c>
      <c r="D127" s="19" t="s">
        <v>42</v>
      </c>
      <c r="E127" s="19" t="s">
        <v>95</v>
      </c>
      <c r="F127" s="19" t="s">
        <v>317</v>
      </c>
      <c r="G127" s="277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9" t="s">
        <v>35</v>
      </c>
      <c r="B128" s="19" t="s">
        <v>312</v>
      </c>
      <c r="C128" s="20">
        <v>0.70138888888888884</v>
      </c>
      <c r="D128" s="19" t="s">
        <v>42</v>
      </c>
      <c r="E128" s="19" t="s">
        <v>91</v>
      </c>
      <c r="F128" s="19" t="s">
        <v>317</v>
      </c>
      <c r="G128" s="277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19" t="s">
        <v>35</v>
      </c>
      <c r="B129" s="19" t="s">
        <v>306</v>
      </c>
      <c r="C129" s="20">
        <v>0.98958333333333337</v>
      </c>
      <c r="D129" s="19" t="s">
        <v>42</v>
      </c>
      <c r="E129" s="19" t="s">
        <v>51</v>
      </c>
      <c r="F129" s="19" t="s">
        <v>354</v>
      </c>
      <c r="G129" s="277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5" customHeight="1" x14ac:dyDescent="0.3">
      <c r="A130" s="17" t="s">
        <v>63</v>
      </c>
      <c r="B130" s="17" t="s">
        <v>322</v>
      </c>
      <c r="C130" s="18">
        <v>0.97222222222222221</v>
      </c>
      <c r="D130" s="17" t="s">
        <v>48</v>
      </c>
      <c r="E130" s="17" t="s">
        <v>38</v>
      </c>
      <c r="F130" s="17" t="s">
        <v>355</v>
      </c>
      <c r="G130" s="277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9" t="s">
        <v>63</v>
      </c>
      <c r="B131" s="19" t="s">
        <v>319</v>
      </c>
      <c r="C131" s="20">
        <v>0.83680555555555547</v>
      </c>
      <c r="D131" s="19" t="s">
        <v>48</v>
      </c>
      <c r="E131" s="19" t="s">
        <v>45</v>
      </c>
      <c r="F131" s="19" t="s">
        <v>320</v>
      </c>
      <c r="G131" s="277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9" t="s">
        <v>63</v>
      </c>
      <c r="B132" s="19" t="s">
        <v>325</v>
      </c>
      <c r="C132" s="20">
        <v>0.78472222222222221</v>
      </c>
      <c r="D132" s="19" t="s">
        <v>48</v>
      </c>
      <c r="E132" s="19" t="s">
        <v>45</v>
      </c>
      <c r="F132" s="19" t="s">
        <v>320</v>
      </c>
      <c r="G132" s="277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63" t="s">
        <v>63</v>
      </c>
      <c r="B133" s="63" t="s">
        <v>327</v>
      </c>
      <c r="C133" s="64">
        <v>4.8611111111111112E-2</v>
      </c>
      <c r="D133" s="63" t="s">
        <v>48</v>
      </c>
      <c r="E133" s="63" t="s">
        <v>89</v>
      </c>
      <c r="F133" s="63" t="s">
        <v>320</v>
      </c>
      <c r="G133" s="278"/>
      <c r="H133" s="58"/>
      <c r="I133" s="59"/>
      <c r="J133" s="59"/>
      <c r="K133" s="59"/>
      <c r="L133" s="59"/>
      <c r="M133" s="59"/>
      <c r="N133" s="59"/>
      <c r="O133" s="60"/>
      <c r="P133" s="59"/>
      <c r="Q133" s="61"/>
      <c r="R133" s="62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4.4" customHeight="1" x14ac:dyDescent="0.3">
      <c r="A134" s="282"/>
      <c r="B134" s="283"/>
      <c r="C134" s="283"/>
      <c r="D134" s="283"/>
      <c r="E134" s="283"/>
      <c r="F134" s="283"/>
      <c r="G134" s="280"/>
      <c r="H134" s="284"/>
      <c r="I134" s="284"/>
      <c r="J134" s="284"/>
      <c r="K134" s="284"/>
      <c r="L134" s="284"/>
      <c r="M134" s="284"/>
      <c r="N134" s="284"/>
      <c r="O134" s="285"/>
      <c r="P134" s="284"/>
      <c r="Q134" s="280"/>
      <c r="R134" s="281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22.05" customHeight="1" x14ac:dyDescent="0.3">
      <c r="A135" s="290" t="s">
        <v>5</v>
      </c>
      <c r="B135" s="291"/>
      <c r="C135" s="291"/>
      <c r="D135" s="291"/>
      <c r="E135" s="291"/>
      <c r="F135" s="291"/>
      <c r="G135" s="5">
        <v>45987</v>
      </c>
      <c r="H135" s="274" t="s">
        <v>6</v>
      </c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24" customHeight="1" x14ac:dyDescent="0.3">
      <c r="A136" s="31" t="s">
        <v>7</v>
      </c>
      <c r="B136" s="31" t="s">
        <v>8</v>
      </c>
      <c r="C136" s="32" t="s">
        <v>9</v>
      </c>
      <c r="D136" s="31" t="s">
        <v>10</v>
      </c>
      <c r="E136" s="31" t="s">
        <v>11</v>
      </c>
      <c r="F136" s="31" t="s">
        <v>12</v>
      </c>
      <c r="G136" s="33" t="s">
        <v>13</v>
      </c>
      <c r="H136" s="31" t="s">
        <v>14</v>
      </c>
      <c r="I136" s="34" t="s">
        <v>15</v>
      </c>
      <c r="J136" s="35" t="s">
        <v>16</v>
      </c>
      <c r="K136" s="36" t="s">
        <v>17</v>
      </c>
      <c r="L136" s="35" t="s">
        <v>18</v>
      </c>
      <c r="M136" s="35" t="s">
        <v>19</v>
      </c>
      <c r="N136" s="35" t="s">
        <v>20</v>
      </c>
      <c r="O136" s="31" t="s">
        <v>21</v>
      </c>
      <c r="P136" s="32" t="s">
        <v>22</v>
      </c>
      <c r="Q136" s="35" t="s">
        <v>23</v>
      </c>
      <c r="R136" s="31" t="s">
        <v>24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8" t="s">
        <v>25</v>
      </c>
      <c r="B137" s="8" t="s">
        <v>278</v>
      </c>
      <c r="C137" s="9">
        <v>0.39930555555555558</v>
      </c>
      <c r="D137" s="8" t="s">
        <v>27</v>
      </c>
      <c r="E137" s="8" t="s">
        <v>57</v>
      </c>
      <c r="F137" s="8" t="s">
        <v>275</v>
      </c>
      <c r="G137" s="276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15" t="s">
        <v>25</v>
      </c>
      <c r="B138" s="15" t="s">
        <v>278</v>
      </c>
      <c r="C138" s="16">
        <v>0.39930555555555558</v>
      </c>
      <c r="D138" s="15" t="s">
        <v>33</v>
      </c>
      <c r="E138" s="15" t="s">
        <v>53</v>
      </c>
      <c r="F138" s="15" t="s">
        <v>79</v>
      </c>
      <c r="G138" s="277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5" customHeight="1" x14ac:dyDescent="0.3">
      <c r="A139" s="15" t="s">
        <v>25</v>
      </c>
      <c r="B139" s="15" t="s">
        <v>278</v>
      </c>
      <c r="C139" s="16">
        <v>0.39930555555555558</v>
      </c>
      <c r="D139" s="15" t="s">
        <v>30</v>
      </c>
      <c r="E139" s="15" t="s">
        <v>53</v>
      </c>
      <c r="F139" s="15" t="s">
        <v>276</v>
      </c>
      <c r="G139" s="277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ht="15" customHeight="1" x14ac:dyDescent="0.3">
      <c r="A140" s="19" t="s">
        <v>25</v>
      </c>
      <c r="B140" s="19" t="s">
        <v>272</v>
      </c>
      <c r="C140" s="20">
        <v>0.98958333333333337</v>
      </c>
      <c r="D140" s="19" t="s">
        <v>27</v>
      </c>
      <c r="E140" s="19" t="s">
        <v>89</v>
      </c>
      <c r="F140" s="19" t="s">
        <v>275</v>
      </c>
      <c r="G140" s="277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ht="15" customHeight="1" x14ac:dyDescent="0.3">
      <c r="A141" s="15" t="s">
        <v>25</v>
      </c>
      <c r="B141" s="15" t="s">
        <v>272</v>
      </c>
      <c r="C141" s="16">
        <v>0.98958333333333337</v>
      </c>
      <c r="D141" s="15" t="s">
        <v>30</v>
      </c>
      <c r="E141" s="15" t="s">
        <v>109</v>
      </c>
      <c r="F141" s="15" t="s">
        <v>276</v>
      </c>
      <c r="G141" s="277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  <row r="142" spans="1:92" ht="15" customHeight="1" x14ac:dyDescent="0.3">
      <c r="A142" s="15" t="s">
        <v>25</v>
      </c>
      <c r="B142" s="15" t="s">
        <v>272</v>
      </c>
      <c r="C142" s="16">
        <v>0.98958333333333337</v>
      </c>
      <c r="D142" s="15" t="s">
        <v>33</v>
      </c>
      <c r="E142" s="15" t="s">
        <v>109</v>
      </c>
      <c r="F142" s="15" t="s">
        <v>34</v>
      </c>
      <c r="G142" s="277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</row>
    <row r="143" spans="1:92" ht="15" customHeight="1" x14ac:dyDescent="0.3">
      <c r="A143" s="19" t="s">
        <v>25</v>
      </c>
      <c r="B143" s="19" t="s">
        <v>273</v>
      </c>
      <c r="C143" s="20">
        <v>0.48958333333333331</v>
      </c>
      <c r="D143" s="19" t="s">
        <v>27</v>
      </c>
      <c r="E143" s="19" t="s">
        <v>91</v>
      </c>
      <c r="F143" s="19" t="s">
        <v>293</v>
      </c>
      <c r="G143" s="277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</row>
    <row r="144" spans="1:92" ht="15" customHeight="1" x14ac:dyDescent="0.3">
      <c r="A144" s="15" t="s">
        <v>25</v>
      </c>
      <c r="B144" s="15" t="s">
        <v>273</v>
      </c>
      <c r="C144" s="16">
        <v>0.48958333333333331</v>
      </c>
      <c r="D144" s="15" t="s">
        <v>33</v>
      </c>
      <c r="E144" s="15" t="s">
        <v>92</v>
      </c>
      <c r="F144" s="15" t="s">
        <v>334</v>
      </c>
      <c r="G144" s="277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</row>
    <row r="145" spans="1:92" ht="15" customHeight="1" x14ac:dyDescent="0.3">
      <c r="A145" s="15" t="s">
        <v>25</v>
      </c>
      <c r="B145" s="15" t="s">
        <v>273</v>
      </c>
      <c r="C145" s="16">
        <v>0.48958333333333331</v>
      </c>
      <c r="D145" s="15" t="s">
        <v>30</v>
      </c>
      <c r="E145" s="15" t="s">
        <v>92</v>
      </c>
      <c r="F145" s="15" t="s">
        <v>335</v>
      </c>
      <c r="G145" s="277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</row>
    <row r="146" spans="1:92" ht="15" customHeight="1" x14ac:dyDescent="0.3">
      <c r="A146" s="19" t="s">
        <v>25</v>
      </c>
      <c r="B146" s="19" t="s">
        <v>277</v>
      </c>
      <c r="C146" s="20">
        <v>0.88888888888888884</v>
      </c>
      <c r="D146" s="19" t="s">
        <v>27</v>
      </c>
      <c r="E146" s="19" t="s">
        <v>91</v>
      </c>
      <c r="F146" s="19" t="s">
        <v>79</v>
      </c>
      <c r="G146" s="277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</row>
    <row r="147" spans="1:92" ht="15" customHeight="1" x14ac:dyDescent="0.3">
      <c r="A147" s="15" t="s">
        <v>25</v>
      </c>
      <c r="B147" s="15" t="s">
        <v>277</v>
      </c>
      <c r="C147" s="16">
        <v>0.88888888888888884</v>
      </c>
      <c r="D147" s="15" t="s">
        <v>30</v>
      </c>
      <c r="E147" s="15" t="s">
        <v>92</v>
      </c>
      <c r="F147" s="15" t="s">
        <v>279</v>
      </c>
      <c r="G147" s="277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</row>
    <row r="148" spans="1:92" ht="15" customHeight="1" x14ac:dyDescent="0.3">
      <c r="A148" s="15" t="s">
        <v>25</v>
      </c>
      <c r="B148" s="15" t="s">
        <v>277</v>
      </c>
      <c r="C148" s="16">
        <v>0.88888888888888884</v>
      </c>
      <c r="D148" s="15" t="s">
        <v>33</v>
      </c>
      <c r="E148" s="15" t="s">
        <v>92</v>
      </c>
      <c r="F148" s="15" t="s">
        <v>34</v>
      </c>
      <c r="G148" s="277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</row>
    <row r="149" spans="1:92" ht="15" customHeight="1" x14ac:dyDescent="0.3">
      <c r="A149" s="17" t="s">
        <v>54</v>
      </c>
      <c r="B149" s="17" t="s">
        <v>299</v>
      </c>
      <c r="C149" s="18">
        <v>0.34722222222222232</v>
      </c>
      <c r="D149" s="17" t="s">
        <v>56</v>
      </c>
      <c r="E149" s="17" t="s">
        <v>104</v>
      </c>
      <c r="F149" s="17" t="s">
        <v>293</v>
      </c>
      <c r="G149" s="277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</row>
    <row r="150" spans="1:92" ht="15" customHeight="1" x14ac:dyDescent="0.3">
      <c r="A150" s="15" t="s">
        <v>54</v>
      </c>
      <c r="B150" s="15" t="s">
        <v>299</v>
      </c>
      <c r="C150" s="16">
        <v>0.34722222222222232</v>
      </c>
      <c r="D150" s="15" t="s">
        <v>58</v>
      </c>
      <c r="E150" s="15" t="s">
        <v>109</v>
      </c>
      <c r="F150" s="15" t="s">
        <v>276</v>
      </c>
      <c r="G150" s="277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</row>
    <row r="151" spans="1:92" ht="15" customHeight="1" x14ac:dyDescent="0.3">
      <c r="A151" s="15" t="s">
        <v>54</v>
      </c>
      <c r="B151" s="15" t="s">
        <v>299</v>
      </c>
      <c r="C151" s="16">
        <v>0.34722222222222232</v>
      </c>
      <c r="D151" s="15" t="s">
        <v>60</v>
      </c>
      <c r="E151" s="15" t="s">
        <v>109</v>
      </c>
      <c r="F151" s="15" t="s">
        <v>117</v>
      </c>
      <c r="G151" s="277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</row>
    <row r="152" spans="1:92" ht="15" customHeight="1" x14ac:dyDescent="0.3">
      <c r="A152" s="19" t="s">
        <v>54</v>
      </c>
      <c r="B152" s="19" t="s">
        <v>291</v>
      </c>
      <c r="C152" s="20">
        <v>0.99305555555555547</v>
      </c>
      <c r="D152" s="19" t="s">
        <v>56</v>
      </c>
      <c r="E152" s="19" t="s">
        <v>107</v>
      </c>
      <c r="F152" s="19" t="s">
        <v>276</v>
      </c>
      <c r="G152" s="277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</row>
    <row r="153" spans="1:92" ht="15" customHeight="1" x14ac:dyDescent="0.3">
      <c r="A153" s="15" t="s">
        <v>54</v>
      </c>
      <c r="B153" s="15" t="s">
        <v>291</v>
      </c>
      <c r="C153" s="16">
        <v>0.99305555555555547</v>
      </c>
      <c r="D153" s="15" t="s">
        <v>58</v>
      </c>
      <c r="E153" s="15" t="s">
        <v>106</v>
      </c>
      <c r="F153" s="15" t="s">
        <v>279</v>
      </c>
      <c r="G153" s="277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2" ht="15" customHeight="1" x14ac:dyDescent="0.3">
      <c r="A154" s="15" t="s">
        <v>54</v>
      </c>
      <c r="B154" s="15" t="s">
        <v>291</v>
      </c>
      <c r="C154" s="16">
        <v>0.99305555555555547</v>
      </c>
      <c r="D154" s="15" t="s">
        <v>60</v>
      </c>
      <c r="E154" s="15" t="s">
        <v>106</v>
      </c>
      <c r="F154" s="15" t="s">
        <v>300</v>
      </c>
      <c r="G154" s="277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</row>
    <row r="155" spans="1:92" ht="15" customHeight="1" x14ac:dyDescent="0.3">
      <c r="A155" s="19" t="s">
        <v>54</v>
      </c>
      <c r="B155" s="19" t="s">
        <v>294</v>
      </c>
      <c r="C155" s="20">
        <v>0.83680555555555547</v>
      </c>
      <c r="D155" s="19" t="s">
        <v>56</v>
      </c>
      <c r="E155" s="19" t="s">
        <v>95</v>
      </c>
      <c r="F155" s="19" t="s">
        <v>276</v>
      </c>
      <c r="G155" s="277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</row>
    <row r="156" spans="1:92" ht="15" customHeight="1" x14ac:dyDescent="0.3">
      <c r="A156" s="15" t="s">
        <v>54</v>
      </c>
      <c r="B156" s="15" t="s">
        <v>294</v>
      </c>
      <c r="C156" s="16">
        <v>0.83680555555555547</v>
      </c>
      <c r="D156" s="15" t="s">
        <v>58</v>
      </c>
      <c r="E156" s="15" t="s">
        <v>96</v>
      </c>
      <c r="F156" s="15" t="s">
        <v>279</v>
      </c>
      <c r="G156" s="277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</row>
    <row r="157" spans="1:92" ht="15" customHeight="1" x14ac:dyDescent="0.3">
      <c r="A157" s="15" t="s">
        <v>54</v>
      </c>
      <c r="B157" s="15" t="s">
        <v>294</v>
      </c>
      <c r="C157" s="16">
        <v>0.83680555555555547</v>
      </c>
      <c r="D157" s="15" t="s">
        <v>60</v>
      </c>
      <c r="E157" s="15" t="s">
        <v>96</v>
      </c>
      <c r="F157" s="15" t="s">
        <v>300</v>
      </c>
      <c r="G157" s="277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</row>
    <row r="158" spans="1:92" ht="15" customHeight="1" x14ac:dyDescent="0.3">
      <c r="A158" s="19" t="s">
        <v>54</v>
      </c>
      <c r="B158" s="19" t="s">
        <v>295</v>
      </c>
      <c r="C158" s="20">
        <v>0.94444444444444453</v>
      </c>
      <c r="D158" s="19" t="s">
        <v>56</v>
      </c>
      <c r="E158" s="19" t="s">
        <v>121</v>
      </c>
      <c r="F158" s="19" t="s">
        <v>276</v>
      </c>
      <c r="G158" s="277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</row>
    <row r="159" spans="1:92" ht="15" customHeight="1" x14ac:dyDescent="0.3">
      <c r="A159" s="15" t="s">
        <v>54</v>
      </c>
      <c r="B159" s="15" t="s">
        <v>295</v>
      </c>
      <c r="C159" s="16">
        <v>0.94444444444444453</v>
      </c>
      <c r="D159" s="15" t="s">
        <v>58</v>
      </c>
      <c r="E159" s="15" t="s">
        <v>339</v>
      </c>
      <c r="F159" s="15" t="s">
        <v>279</v>
      </c>
      <c r="G159" s="277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</row>
    <row r="160" spans="1:92" ht="15" customHeight="1" x14ac:dyDescent="0.3">
      <c r="A160" s="15" t="s">
        <v>54</v>
      </c>
      <c r="B160" s="15" t="s">
        <v>295</v>
      </c>
      <c r="C160" s="16">
        <v>0.94444444444444453</v>
      </c>
      <c r="D160" s="15" t="s">
        <v>60</v>
      </c>
      <c r="E160" s="15" t="s">
        <v>339</v>
      </c>
      <c r="F160" s="15" t="s">
        <v>300</v>
      </c>
      <c r="G160" s="277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</row>
    <row r="161" spans="1:92" ht="15" customHeight="1" x14ac:dyDescent="0.3">
      <c r="A161" s="19" t="s">
        <v>54</v>
      </c>
      <c r="B161" s="19" t="s">
        <v>296</v>
      </c>
      <c r="C161" s="20">
        <v>0.4861111111111111</v>
      </c>
      <c r="D161" s="19" t="s">
        <v>56</v>
      </c>
      <c r="E161" s="19" t="s">
        <v>107</v>
      </c>
      <c r="F161" s="19" t="s">
        <v>276</v>
      </c>
      <c r="G161" s="277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</row>
    <row r="162" spans="1:92" ht="15" customHeight="1" x14ac:dyDescent="0.3">
      <c r="A162" s="15" t="s">
        <v>54</v>
      </c>
      <c r="B162" s="15" t="s">
        <v>296</v>
      </c>
      <c r="C162" s="16">
        <v>0.4861111111111111</v>
      </c>
      <c r="D162" s="15" t="s">
        <v>58</v>
      </c>
      <c r="E162" s="15" t="s">
        <v>106</v>
      </c>
      <c r="F162" s="15" t="s">
        <v>279</v>
      </c>
      <c r="G162" s="277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</row>
    <row r="163" spans="1:92" ht="15" customHeight="1" x14ac:dyDescent="0.3">
      <c r="A163" s="15" t="s">
        <v>54</v>
      </c>
      <c r="B163" s="15" t="s">
        <v>296</v>
      </c>
      <c r="C163" s="16">
        <v>0.4861111111111111</v>
      </c>
      <c r="D163" s="15" t="s">
        <v>60</v>
      </c>
      <c r="E163" s="15" t="s">
        <v>106</v>
      </c>
      <c r="F163" s="15" t="s">
        <v>300</v>
      </c>
      <c r="G163" s="277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</row>
    <row r="164" spans="1:92" ht="15" customHeight="1" x14ac:dyDescent="0.3">
      <c r="A164" s="19" t="s">
        <v>54</v>
      </c>
      <c r="B164" s="19" t="s">
        <v>297</v>
      </c>
      <c r="C164" s="20">
        <v>0.3923611111111111</v>
      </c>
      <c r="D164" s="19" t="s">
        <v>56</v>
      </c>
      <c r="E164" s="19" t="s">
        <v>121</v>
      </c>
      <c r="F164" s="19" t="s">
        <v>276</v>
      </c>
      <c r="G164" s="277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</row>
    <row r="165" spans="1:92" ht="15" customHeight="1" x14ac:dyDescent="0.3">
      <c r="A165" s="15" t="s">
        <v>54</v>
      </c>
      <c r="B165" s="15" t="s">
        <v>297</v>
      </c>
      <c r="C165" s="16">
        <v>0.3923611111111111</v>
      </c>
      <c r="D165" s="15" t="s">
        <v>58</v>
      </c>
      <c r="E165" s="15" t="s">
        <v>339</v>
      </c>
      <c r="F165" s="15" t="s">
        <v>279</v>
      </c>
      <c r="G165" s="277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</row>
    <row r="166" spans="1:92" ht="15" customHeight="1" x14ac:dyDescent="0.3">
      <c r="A166" s="15" t="s">
        <v>54</v>
      </c>
      <c r="B166" s="15" t="s">
        <v>297</v>
      </c>
      <c r="C166" s="16">
        <v>0.3923611111111111</v>
      </c>
      <c r="D166" s="15" t="s">
        <v>60</v>
      </c>
      <c r="E166" s="15" t="s">
        <v>339</v>
      </c>
      <c r="F166" s="15" t="s">
        <v>300</v>
      </c>
      <c r="G166" s="277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</row>
    <row r="167" spans="1:92" ht="15" customHeight="1" x14ac:dyDescent="0.3">
      <c r="A167" s="19" t="s">
        <v>54</v>
      </c>
      <c r="B167" s="19" t="s">
        <v>298</v>
      </c>
      <c r="C167" s="20">
        <v>0.88888888888888884</v>
      </c>
      <c r="D167" s="19" t="s">
        <v>56</v>
      </c>
      <c r="E167" s="19" t="s">
        <v>107</v>
      </c>
      <c r="F167" s="19" t="s">
        <v>276</v>
      </c>
      <c r="G167" s="277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</row>
    <row r="168" spans="1:92" ht="15" customHeight="1" x14ac:dyDescent="0.3">
      <c r="A168" s="15" t="s">
        <v>54</v>
      </c>
      <c r="B168" s="15" t="s">
        <v>298</v>
      </c>
      <c r="C168" s="16">
        <v>0.88888888888888884</v>
      </c>
      <c r="D168" s="15" t="s">
        <v>58</v>
      </c>
      <c r="E168" s="15" t="s">
        <v>106</v>
      </c>
      <c r="F168" s="15" t="s">
        <v>279</v>
      </c>
      <c r="G168" s="277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</row>
    <row r="169" spans="1:92" ht="15" customHeight="1" x14ac:dyDescent="0.3">
      <c r="A169" s="15" t="s">
        <v>54</v>
      </c>
      <c r="B169" s="15" t="s">
        <v>298</v>
      </c>
      <c r="C169" s="16">
        <v>0.88888888888888884</v>
      </c>
      <c r="D169" s="15" t="s">
        <v>60</v>
      </c>
      <c r="E169" s="15" t="s">
        <v>106</v>
      </c>
      <c r="F169" s="15" t="s">
        <v>300</v>
      </c>
      <c r="G169" s="277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</row>
    <row r="170" spans="1:92" ht="15" customHeight="1" x14ac:dyDescent="0.3">
      <c r="A170" s="19" t="s">
        <v>54</v>
      </c>
      <c r="B170" s="19" t="s">
        <v>301</v>
      </c>
      <c r="C170" s="20">
        <v>0.73611111111111116</v>
      </c>
      <c r="D170" s="19" t="s">
        <v>56</v>
      </c>
      <c r="E170" s="19" t="s">
        <v>289</v>
      </c>
      <c r="F170" s="19" t="s">
        <v>61</v>
      </c>
      <c r="G170" s="277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</row>
    <row r="171" spans="1:92" ht="15" customHeight="1" x14ac:dyDescent="0.3">
      <c r="A171" s="15" t="s">
        <v>54</v>
      </c>
      <c r="B171" s="15" t="s">
        <v>301</v>
      </c>
      <c r="C171" s="16">
        <v>0.73611111111111116</v>
      </c>
      <c r="D171" s="15" t="s">
        <v>58</v>
      </c>
      <c r="E171" s="15" t="s">
        <v>31</v>
      </c>
      <c r="F171" s="15" t="s">
        <v>34</v>
      </c>
      <c r="G171" s="277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</row>
    <row r="172" spans="1:92" ht="15" customHeight="1" x14ac:dyDescent="0.3">
      <c r="A172" s="15" t="s">
        <v>54</v>
      </c>
      <c r="B172" s="15" t="s">
        <v>301</v>
      </c>
      <c r="C172" s="16">
        <v>0.73611111111111116</v>
      </c>
      <c r="D172" s="15" t="s">
        <v>60</v>
      </c>
      <c r="E172" s="15" t="s">
        <v>31</v>
      </c>
      <c r="F172" s="15" t="s">
        <v>356</v>
      </c>
      <c r="G172" s="277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</row>
    <row r="173" spans="1:92" ht="15" customHeight="1" x14ac:dyDescent="0.3">
      <c r="A173" s="17" t="s">
        <v>280</v>
      </c>
      <c r="B173" s="17" t="s">
        <v>357</v>
      </c>
      <c r="C173" s="18">
        <v>0.22569444444444439</v>
      </c>
      <c r="D173" s="17" t="s">
        <v>282</v>
      </c>
      <c r="E173" s="17" t="s">
        <v>82</v>
      </c>
      <c r="F173" s="17" t="s">
        <v>358</v>
      </c>
      <c r="G173" s="277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</row>
    <row r="174" spans="1:92" ht="15" customHeight="1" x14ac:dyDescent="0.3">
      <c r="A174" s="15" t="s">
        <v>280</v>
      </c>
      <c r="B174" s="15" t="s">
        <v>357</v>
      </c>
      <c r="C174" s="16">
        <v>0.22569444444444439</v>
      </c>
      <c r="D174" s="15" t="s">
        <v>33</v>
      </c>
      <c r="E174" s="15" t="s">
        <v>92</v>
      </c>
      <c r="F174" s="15" t="s">
        <v>359</v>
      </c>
      <c r="G174" s="277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</row>
    <row r="175" spans="1:92" ht="15" customHeight="1" x14ac:dyDescent="0.3">
      <c r="A175" s="17" t="s">
        <v>285</v>
      </c>
      <c r="B175" s="17" t="s">
        <v>286</v>
      </c>
      <c r="C175" s="18">
        <v>0.49305555555555558</v>
      </c>
      <c r="D175" s="17" t="s">
        <v>81</v>
      </c>
      <c r="E175" s="17" t="s">
        <v>28</v>
      </c>
      <c r="F175" s="17" t="s">
        <v>353</v>
      </c>
      <c r="G175" s="277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</row>
    <row r="176" spans="1:92" ht="15" customHeight="1" x14ac:dyDescent="0.3">
      <c r="A176" s="19" t="s">
        <v>285</v>
      </c>
      <c r="B176" s="19" t="s">
        <v>288</v>
      </c>
      <c r="C176" s="20">
        <v>0.19444444444444439</v>
      </c>
      <c r="D176" s="19" t="s">
        <v>81</v>
      </c>
      <c r="E176" s="19" t="s">
        <v>45</v>
      </c>
      <c r="F176" s="19" t="s">
        <v>353</v>
      </c>
      <c r="G176" s="277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</row>
    <row r="177" spans="1:92" ht="15" customHeight="1" x14ac:dyDescent="0.3">
      <c r="A177" s="17" t="s">
        <v>360</v>
      </c>
      <c r="B177" s="17" t="s">
        <v>361</v>
      </c>
      <c r="C177" s="18">
        <v>0.46180555555555558</v>
      </c>
      <c r="D177" s="17" t="s">
        <v>81</v>
      </c>
      <c r="E177" s="17" t="s">
        <v>28</v>
      </c>
      <c r="F177" s="17" t="s">
        <v>362</v>
      </c>
      <c r="G177" s="277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</row>
    <row r="178" spans="1:92" ht="15" customHeight="1" x14ac:dyDescent="0.3">
      <c r="A178" s="17" t="s">
        <v>35</v>
      </c>
      <c r="B178" s="17" t="s">
        <v>318</v>
      </c>
      <c r="C178" s="18">
        <v>0.72222222222222221</v>
      </c>
      <c r="D178" s="17" t="s">
        <v>42</v>
      </c>
      <c r="E178" s="17" t="s">
        <v>38</v>
      </c>
      <c r="F178" s="17" t="s">
        <v>363</v>
      </c>
      <c r="G178" s="277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</row>
    <row r="179" spans="1:92" ht="15" customHeight="1" x14ac:dyDescent="0.3">
      <c r="A179" s="19" t="s">
        <v>35</v>
      </c>
      <c r="B179" s="19" t="s">
        <v>312</v>
      </c>
      <c r="C179" s="20">
        <v>0.70138888888888884</v>
      </c>
      <c r="D179" s="19" t="s">
        <v>42</v>
      </c>
      <c r="E179" s="19" t="s">
        <v>45</v>
      </c>
      <c r="F179" s="19" t="s">
        <v>363</v>
      </c>
      <c r="G179" s="277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</row>
    <row r="180" spans="1:92" ht="15" customHeight="1" x14ac:dyDescent="0.3">
      <c r="A180" s="19" t="s">
        <v>35</v>
      </c>
      <c r="B180" s="19" t="s">
        <v>315</v>
      </c>
      <c r="C180" s="20">
        <v>0.94097222222222221</v>
      </c>
      <c r="D180" s="19" t="s">
        <v>42</v>
      </c>
      <c r="E180" s="19" t="s">
        <v>45</v>
      </c>
      <c r="F180" s="19" t="s">
        <v>363</v>
      </c>
      <c r="G180" s="277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</row>
    <row r="181" spans="1:92" ht="15" customHeight="1" x14ac:dyDescent="0.3">
      <c r="A181" s="19" t="s">
        <v>35</v>
      </c>
      <c r="B181" s="19" t="s">
        <v>306</v>
      </c>
      <c r="C181" s="20">
        <v>0.98958333333333337</v>
      </c>
      <c r="D181" s="19" t="s">
        <v>42</v>
      </c>
      <c r="E181" s="19" t="s">
        <v>51</v>
      </c>
      <c r="F181" s="19" t="s">
        <v>307</v>
      </c>
      <c r="G181" s="277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</row>
    <row r="182" spans="1:92" ht="15" customHeight="1" x14ac:dyDescent="0.3">
      <c r="A182" s="19" t="s">
        <v>35</v>
      </c>
      <c r="B182" s="19" t="s">
        <v>308</v>
      </c>
      <c r="C182" s="20">
        <v>0.48958333333333331</v>
      </c>
      <c r="D182" s="19" t="s">
        <v>42</v>
      </c>
      <c r="E182" s="19" t="s">
        <v>51</v>
      </c>
      <c r="F182" s="19" t="s">
        <v>307</v>
      </c>
      <c r="G182" s="277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2" ht="15" customHeight="1" x14ac:dyDescent="0.3">
      <c r="A183" s="19" t="s">
        <v>35</v>
      </c>
      <c r="B183" s="19" t="s">
        <v>316</v>
      </c>
      <c r="C183" s="20">
        <v>0.48958333333333331</v>
      </c>
      <c r="D183" s="19" t="s">
        <v>42</v>
      </c>
      <c r="E183" s="19" t="s">
        <v>45</v>
      </c>
      <c r="F183" s="19" t="s">
        <v>311</v>
      </c>
      <c r="G183" s="277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2" ht="15" customHeight="1" x14ac:dyDescent="0.3">
      <c r="A184" s="19" t="s">
        <v>35</v>
      </c>
      <c r="B184" s="19" t="s">
        <v>310</v>
      </c>
      <c r="C184" s="20">
        <v>0.82986111111111116</v>
      </c>
      <c r="D184" s="19" t="s">
        <v>42</v>
      </c>
      <c r="E184" s="19" t="s">
        <v>45</v>
      </c>
      <c r="F184" s="19" t="s">
        <v>311</v>
      </c>
      <c r="G184" s="277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</row>
    <row r="185" spans="1:92" ht="15" customHeight="1" x14ac:dyDescent="0.3">
      <c r="A185" s="19" t="s">
        <v>35</v>
      </c>
      <c r="B185" s="19" t="s">
        <v>302</v>
      </c>
      <c r="C185" s="20">
        <v>0.11805555555555559</v>
      </c>
      <c r="D185" s="19" t="s">
        <v>42</v>
      </c>
      <c r="E185" s="19" t="s">
        <v>45</v>
      </c>
      <c r="F185" s="19" t="s">
        <v>311</v>
      </c>
      <c r="G185" s="277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</row>
    <row r="186" spans="1:92" ht="15" customHeight="1" x14ac:dyDescent="0.3">
      <c r="A186" s="19" t="s">
        <v>35</v>
      </c>
      <c r="B186" s="19" t="s">
        <v>313</v>
      </c>
      <c r="C186" s="20">
        <v>0.25347222222222221</v>
      </c>
      <c r="D186" s="19" t="s">
        <v>42</v>
      </c>
      <c r="E186" s="19" t="s">
        <v>45</v>
      </c>
      <c r="F186" s="19" t="s">
        <v>311</v>
      </c>
      <c r="G186" s="277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</row>
    <row r="187" spans="1:92" ht="15" customHeight="1" x14ac:dyDescent="0.3">
      <c r="A187" s="19" t="s">
        <v>35</v>
      </c>
      <c r="B187" s="19" t="s">
        <v>314</v>
      </c>
      <c r="C187" s="20">
        <v>4.1666666666666657E-2</v>
      </c>
      <c r="D187" s="19" t="s">
        <v>42</v>
      </c>
      <c r="E187" s="19" t="s">
        <v>45</v>
      </c>
      <c r="F187" s="19" t="s">
        <v>311</v>
      </c>
      <c r="G187" s="277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</row>
    <row r="188" spans="1:92" ht="15" customHeight="1" x14ac:dyDescent="0.3">
      <c r="A188" s="19" t="s">
        <v>35</v>
      </c>
      <c r="B188" s="19" t="s">
        <v>304</v>
      </c>
      <c r="C188" s="20">
        <v>0.39930555555555558</v>
      </c>
      <c r="D188" s="19" t="s">
        <v>42</v>
      </c>
      <c r="E188" s="19" t="s">
        <v>51</v>
      </c>
      <c r="F188" s="19" t="s">
        <v>364</v>
      </c>
      <c r="G188" s="277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</row>
    <row r="189" spans="1:92" ht="15" customHeight="1" x14ac:dyDescent="0.3">
      <c r="A189" s="19" t="s">
        <v>35</v>
      </c>
      <c r="B189" s="19" t="s">
        <v>309</v>
      </c>
      <c r="C189" s="20">
        <v>0.88888888888888884</v>
      </c>
      <c r="D189" s="19" t="s">
        <v>42</v>
      </c>
      <c r="E189" s="19" t="s">
        <v>51</v>
      </c>
      <c r="F189" s="19" t="s">
        <v>364</v>
      </c>
      <c r="G189" s="277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</row>
    <row r="190" spans="1:92" ht="15" customHeight="1" x14ac:dyDescent="0.3">
      <c r="A190" s="17" t="s">
        <v>63</v>
      </c>
      <c r="B190" s="17" t="s">
        <v>322</v>
      </c>
      <c r="C190" s="18">
        <v>0.97222222222222221</v>
      </c>
      <c r="D190" s="17" t="s">
        <v>48</v>
      </c>
      <c r="E190" s="17" t="s">
        <v>38</v>
      </c>
      <c r="F190" s="17" t="s">
        <v>320</v>
      </c>
      <c r="G190" s="277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</row>
    <row r="191" spans="1:92" ht="15" customHeight="1" x14ac:dyDescent="0.3">
      <c r="A191" s="19" t="s">
        <v>63</v>
      </c>
      <c r="B191" s="19" t="s">
        <v>325</v>
      </c>
      <c r="C191" s="20">
        <v>0.78472222222222221</v>
      </c>
      <c r="D191" s="19" t="s">
        <v>48</v>
      </c>
      <c r="E191" s="19" t="s">
        <v>274</v>
      </c>
      <c r="F191" s="19" t="s">
        <v>320</v>
      </c>
      <c r="G191" s="277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</row>
    <row r="192" spans="1:92" ht="15" customHeight="1" x14ac:dyDescent="0.3">
      <c r="A192" s="19" t="s">
        <v>63</v>
      </c>
      <c r="B192" s="19" t="s">
        <v>327</v>
      </c>
      <c r="C192" s="20">
        <v>4.8611111111111112E-2</v>
      </c>
      <c r="D192" s="19" t="s">
        <v>48</v>
      </c>
      <c r="E192" s="19" t="s">
        <v>45</v>
      </c>
      <c r="F192" s="19" t="s">
        <v>320</v>
      </c>
      <c r="G192" s="277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</row>
    <row r="193" spans="1:92" ht="15" customHeight="1" x14ac:dyDescent="0.3">
      <c r="A193" s="195" t="s">
        <v>71</v>
      </c>
      <c r="B193" s="195" t="s">
        <v>351</v>
      </c>
      <c r="C193" s="196">
        <v>0.2326388888888889</v>
      </c>
      <c r="D193" s="195" t="s">
        <v>73</v>
      </c>
      <c r="E193" s="225"/>
      <c r="F193" s="195" t="s">
        <v>74</v>
      </c>
      <c r="G193" s="277"/>
      <c r="H193" s="197" t="s">
        <v>351</v>
      </c>
      <c r="I193" s="215">
        <v>1</v>
      </c>
      <c r="J193" s="199">
        <v>180</v>
      </c>
      <c r="K193" s="200">
        <v>45980</v>
      </c>
      <c r="L193" s="199">
        <v>11</v>
      </c>
      <c r="M193" s="199">
        <v>0</v>
      </c>
      <c r="N193" s="199">
        <v>0</v>
      </c>
      <c r="O193" s="201" t="s">
        <v>75</v>
      </c>
      <c r="P193" s="202">
        <v>0.2326388888888889</v>
      </c>
      <c r="Q193" s="199">
        <v>180</v>
      </c>
      <c r="R193" s="203" t="s">
        <v>365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</row>
    <row r="194" spans="1:92" ht="15" customHeight="1" x14ac:dyDescent="0.3">
      <c r="A194" s="216" t="s">
        <v>71</v>
      </c>
      <c r="B194" s="216" t="s">
        <v>328</v>
      </c>
      <c r="C194" s="217">
        <v>0.34027777777777768</v>
      </c>
      <c r="D194" s="216" t="s">
        <v>73</v>
      </c>
      <c r="E194" s="221"/>
      <c r="F194" s="216" t="s">
        <v>74</v>
      </c>
      <c r="G194" s="277"/>
      <c r="H194" s="168" t="s">
        <v>328</v>
      </c>
      <c r="I194" s="169">
        <v>0.99439999999999995</v>
      </c>
      <c r="J194" s="170">
        <v>179</v>
      </c>
      <c r="K194" s="171">
        <v>45983</v>
      </c>
      <c r="L194" s="170">
        <v>61</v>
      </c>
      <c r="M194" s="170">
        <v>0</v>
      </c>
      <c r="N194" s="170">
        <v>3</v>
      </c>
      <c r="O194" s="172" t="s">
        <v>75</v>
      </c>
      <c r="P194" s="173">
        <v>0.34027777777777768</v>
      </c>
      <c r="Q194" s="170">
        <v>180</v>
      </c>
      <c r="R194" s="174" t="s">
        <v>366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</row>
    <row r="195" spans="1:92" ht="15" customHeight="1" x14ac:dyDescent="0.3">
      <c r="A195" s="46" t="s">
        <v>71</v>
      </c>
      <c r="B195" s="46" t="s">
        <v>332</v>
      </c>
      <c r="C195" s="47">
        <v>0.34375</v>
      </c>
      <c r="D195" s="46" t="s">
        <v>73</v>
      </c>
      <c r="E195" s="48"/>
      <c r="F195" s="46" t="s">
        <v>74</v>
      </c>
      <c r="G195" s="277"/>
      <c r="H195" s="49" t="s">
        <v>332</v>
      </c>
      <c r="I195" s="50">
        <v>0.99439999999999995</v>
      </c>
      <c r="J195" s="51">
        <v>179</v>
      </c>
      <c r="K195" s="52">
        <v>45980</v>
      </c>
      <c r="L195" s="51">
        <v>15</v>
      </c>
      <c r="M195" s="51">
        <v>0</v>
      </c>
      <c r="N195" s="51">
        <v>0</v>
      </c>
      <c r="O195" s="53" t="s">
        <v>75</v>
      </c>
      <c r="P195" s="54">
        <v>0.34375</v>
      </c>
      <c r="Q195" s="51">
        <v>180</v>
      </c>
      <c r="R195" s="55" t="s">
        <v>367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</row>
    <row r="196" spans="1:92" ht="15" customHeight="1" x14ac:dyDescent="0.3">
      <c r="A196" s="218" t="s">
        <v>71</v>
      </c>
      <c r="B196" s="218" t="s">
        <v>330</v>
      </c>
      <c r="C196" s="219">
        <v>0.4375</v>
      </c>
      <c r="D196" s="218" t="s">
        <v>73</v>
      </c>
      <c r="E196" s="220"/>
      <c r="F196" s="218" t="s">
        <v>74</v>
      </c>
      <c r="G196" s="277"/>
      <c r="H196" s="39" t="s">
        <v>330</v>
      </c>
      <c r="I196" s="40">
        <v>0.99439999999999995</v>
      </c>
      <c r="J196" s="41">
        <v>179</v>
      </c>
      <c r="K196" s="42">
        <v>45983</v>
      </c>
      <c r="L196" s="41">
        <v>55</v>
      </c>
      <c r="M196" s="41">
        <v>0</v>
      </c>
      <c r="N196" s="41">
        <v>1</v>
      </c>
      <c r="O196" s="43" t="s">
        <v>75</v>
      </c>
      <c r="P196" s="44">
        <v>0.4375</v>
      </c>
      <c r="Q196" s="41">
        <v>180</v>
      </c>
      <c r="R196" s="45" t="s">
        <v>368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</row>
    <row r="197" spans="1:92" ht="15" customHeight="1" x14ac:dyDescent="0.3">
      <c r="A197" s="205" t="s">
        <v>71</v>
      </c>
      <c r="B197" s="205" t="s">
        <v>342</v>
      </c>
      <c r="C197" s="206">
        <v>0.9375</v>
      </c>
      <c r="D197" s="205" t="s">
        <v>73</v>
      </c>
      <c r="E197" s="207"/>
      <c r="F197" s="205" t="s">
        <v>74</v>
      </c>
      <c r="G197" s="278"/>
      <c r="H197" s="208" t="s">
        <v>342</v>
      </c>
      <c r="I197" s="209">
        <v>0.99439999999999995</v>
      </c>
      <c r="J197" s="210">
        <v>179</v>
      </c>
      <c r="K197" s="211">
        <v>45984</v>
      </c>
      <c r="L197" s="210">
        <v>95</v>
      </c>
      <c r="M197" s="210">
        <v>1</v>
      </c>
      <c r="N197" s="210">
        <v>28</v>
      </c>
      <c r="O197" s="212" t="s">
        <v>75</v>
      </c>
      <c r="P197" s="213">
        <v>0.9375</v>
      </c>
      <c r="Q197" s="210">
        <v>180</v>
      </c>
      <c r="R197" s="214" t="s">
        <v>369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</row>
    <row r="198" spans="1:92" ht="14.4" customHeight="1" x14ac:dyDescent="0.3">
      <c r="A198" s="282"/>
      <c r="B198" s="283"/>
      <c r="C198" s="283"/>
      <c r="D198" s="283"/>
      <c r="E198" s="283"/>
      <c r="F198" s="283"/>
      <c r="G198" s="280"/>
      <c r="H198" s="284"/>
      <c r="I198" s="284"/>
      <c r="J198" s="284"/>
      <c r="K198" s="284"/>
      <c r="L198" s="284"/>
      <c r="M198" s="284"/>
      <c r="N198" s="284"/>
      <c r="O198" s="285"/>
      <c r="P198" s="284"/>
      <c r="Q198" s="280"/>
      <c r="R198" s="281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</row>
    <row r="199" spans="1:92" ht="22.05" customHeight="1" x14ac:dyDescent="0.3">
      <c r="A199" s="290" t="s">
        <v>5</v>
      </c>
      <c r="B199" s="291"/>
      <c r="C199" s="291"/>
      <c r="D199" s="291"/>
      <c r="E199" s="291"/>
      <c r="F199" s="291"/>
      <c r="G199" s="5">
        <v>45988</v>
      </c>
      <c r="H199" s="274" t="s">
        <v>6</v>
      </c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</row>
    <row r="200" spans="1:92" ht="24" customHeight="1" x14ac:dyDescent="0.3">
      <c r="A200" s="31" t="s">
        <v>7</v>
      </c>
      <c r="B200" s="31" t="s">
        <v>8</v>
      </c>
      <c r="C200" s="32" t="s">
        <v>9</v>
      </c>
      <c r="D200" s="31" t="s">
        <v>10</v>
      </c>
      <c r="E200" s="31" t="s">
        <v>11</v>
      </c>
      <c r="F200" s="31" t="s">
        <v>12</v>
      </c>
      <c r="G200" s="33" t="s">
        <v>13</v>
      </c>
      <c r="H200" s="31" t="s">
        <v>14</v>
      </c>
      <c r="I200" s="34" t="s">
        <v>15</v>
      </c>
      <c r="J200" s="35" t="s">
        <v>16</v>
      </c>
      <c r="K200" s="36" t="s">
        <v>17</v>
      </c>
      <c r="L200" s="35" t="s">
        <v>18</v>
      </c>
      <c r="M200" s="35" t="s">
        <v>19</v>
      </c>
      <c r="N200" s="35" t="s">
        <v>20</v>
      </c>
      <c r="O200" s="31" t="s">
        <v>21</v>
      </c>
      <c r="P200" s="32" t="s">
        <v>22</v>
      </c>
      <c r="Q200" s="35" t="s">
        <v>23</v>
      </c>
      <c r="R200" s="31" t="s">
        <v>24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</row>
    <row r="201" spans="1:92" ht="15" customHeight="1" x14ac:dyDescent="0.3">
      <c r="A201" s="8" t="s">
        <v>25</v>
      </c>
      <c r="B201" s="8" t="s">
        <v>278</v>
      </c>
      <c r="C201" s="9">
        <v>0.39930555555555558</v>
      </c>
      <c r="D201" s="8" t="s">
        <v>27</v>
      </c>
      <c r="E201" s="8" t="s">
        <v>251</v>
      </c>
      <c r="F201" s="8" t="s">
        <v>293</v>
      </c>
      <c r="G201" s="276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</row>
    <row r="202" spans="1:92" ht="15" customHeight="1" x14ac:dyDescent="0.3">
      <c r="A202" s="15" t="s">
        <v>25</v>
      </c>
      <c r="B202" s="15" t="s">
        <v>278</v>
      </c>
      <c r="C202" s="16">
        <v>0.39930555555555558</v>
      </c>
      <c r="D202" s="15" t="s">
        <v>30</v>
      </c>
      <c r="E202" s="15" t="s">
        <v>96</v>
      </c>
      <c r="F202" s="15" t="s">
        <v>335</v>
      </c>
      <c r="G202" s="277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</row>
    <row r="203" spans="1:92" ht="15" customHeight="1" x14ac:dyDescent="0.3">
      <c r="A203" s="15" t="s">
        <v>25</v>
      </c>
      <c r="B203" s="15" t="s">
        <v>278</v>
      </c>
      <c r="C203" s="16">
        <v>0.39930555555555558</v>
      </c>
      <c r="D203" s="15" t="s">
        <v>33</v>
      </c>
      <c r="E203" s="15" t="s">
        <v>96</v>
      </c>
      <c r="F203" s="15" t="s">
        <v>34</v>
      </c>
      <c r="G203" s="277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</row>
    <row r="204" spans="1:92" ht="15" customHeight="1" x14ac:dyDescent="0.3">
      <c r="A204" s="19" t="s">
        <v>25</v>
      </c>
      <c r="B204" s="19" t="s">
        <v>273</v>
      </c>
      <c r="C204" s="20">
        <v>0.48958333333333331</v>
      </c>
      <c r="D204" s="19" t="s">
        <v>27</v>
      </c>
      <c r="E204" s="19" t="s">
        <v>289</v>
      </c>
      <c r="F204" s="19" t="s">
        <v>293</v>
      </c>
      <c r="G204" s="277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</row>
    <row r="205" spans="1:92" ht="15" customHeight="1" x14ac:dyDescent="0.3">
      <c r="A205" s="15" t="s">
        <v>25</v>
      </c>
      <c r="B205" s="15" t="s">
        <v>273</v>
      </c>
      <c r="C205" s="16">
        <v>0.48958333333333331</v>
      </c>
      <c r="D205" s="15" t="s">
        <v>30</v>
      </c>
      <c r="E205" s="15" t="s">
        <v>31</v>
      </c>
      <c r="F205" s="15" t="s">
        <v>335</v>
      </c>
      <c r="G205" s="277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</row>
    <row r="206" spans="1:92" ht="15" customHeight="1" x14ac:dyDescent="0.3">
      <c r="A206" s="15" t="s">
        <v>25</v>
      </c>
      <c r="B206" s="15" t="s">
        <v>273</v>
      </c>
      <c r="C206" s="16">
        <v>0.48958333333333331</v>
      </c>
      <c r="D206" s="15" t="s">
        <v>33</v>
      </c>
      <c r="E206" s="15" t="s">
        <v>31</v>
      </c>
      <c r="F206" s="15" t="s">
        <v>34</v>
      </c>
      <c r="G206" s="277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</row>
    <row r="207" spans="1:92" ht="15" customHeight="1" x14ac:dyDescent="0.3">
      <c r="A207" s="19" t="s">
        <v>25</v>
      </c>
      <c r="B207" s="19" t="s">
        <v>272</v>
      </c>
      <c r="C207" s="20">
        <v>0.98958333333333337</v>
      </c>
      <c r="D207" s="19" t="s">
        <v>27</v>
      </c>
      <c r="E207" s="19" t="s">
        <v>91</v>
      </c>
      <c r="F207" s="19" t="s">
        <v>293</v>
      </c>
      <c r="G207" s="277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</row>
    <row r="208" spans="1:92" ht="15" customHeight="1" x14ac:dyDescent="0.3">
      <c r="A208" s="15" t="s">
        <v>25</v>
      </c>
      <c r="B208" s="15" t="s">
        <v>272</v>
      </c>
      <c r="C208" s="16">
        <v>0.98958333333333337</v>
      </c>
      <c r="D208" s="15" t="s">
        <v>30</v>
      </c>
      <c r="E208" s="15" t="s">
        <v>92</v>
      </c>
      <c r="F208" s="15" t="s">
        <v>335</v>
      </c>
      <c r="G208" s="277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</row>
    <row r="209" spans="1:92" ht="15" customHeight="1" x14ac:dyDescent="0.3">
      <c r="A209" s="15" t="s">
        <v>25</v>
      </c>
      <c r="B209" s="15" t="s">
        <v>272</v>
      </c>
      <c r="C209" s="16">
        <v>0.98958333333333337</v>
      </c>
      <c r="D209" s="15" t="s">
        <v>33</v>
      </c>
      <c r="E209" s="15" t="s">
        <v>92</v>
      </c>
      <c r="F209" s="15" t="s">
        <v>34</v>
      </c>
      <c r="G209" s="277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</row>
    <row r="210" spans="1:92" ht="15" customHeight="1" x14ac:dyDescent="0.3">
      <c r="A210" s="19" t="s">
        <v>25</v>
      </c>
      <c r="B210" s="19" t="s">
        <v>277</v>
      </c>
      <c r="C210" s="20">
        <v>0.88888888888888884</v>
      </c>
      <c r="D210" s="19" t="s">
        <v>27</v>
      </c>
      <c r="E210" s="19" t="s">
        <v>289</v>
      </c>
      <c r="F210" s="19" t="s">
        <v>79</v>
      </c>
      <c r="G210" s="277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</row>
    <row r="211" spans="1:92" ht="15" customHeight="1" x14ac:dyDescent="0.3">
      <c r="A211" s="15" t="s">
        <v>25</v>
      </c>
      <c r="B211" s="15" t="s">
        <v>277</v>
      </c>
      <c r="C211" s="16">
        <v>0.88888888888888884</v>
      </c>
      <c r="D211" s="15" t="s">
        <v>30</v>
      </c>
      <c r="E211" s="15" t="s">
        <v>31</v>
      </c>
      <c r="F211" s="15" t="s">
        <v>279</v>
      </c>
      <c r="G211" s="277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</row>
    <row r="212" spans="1:92" ht="15" customHeight="1" x14ac:dyDescent="0.3">
      <c r="A212" s="15" t="s">
        <v>25</v>
      </c>
      <c r="B212" s="15" t="s">
        <v>277</v>
      </c>
      <c r="C212" s="16">
        <v>0.88888888888888884</v>
      </c>
      <c r="D212" s="15" t="s">
        <v>33</v>
      </c>
      <c r="E212" s="15" t="s">
        <v>31</v>
      </c>
      <c r="F212" s="15" t="s">
        <v>370</v>
      </c>
      <c r="G212" s="277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</row>
    <row r="213" spans="1:92" ht="15" customHeight="1" x14ac:dyDescent="0.3">
      <c r="A213" s="182" t="s">
        <v>71</v>
      </c>
      <c r="B213" s="182" t="s">
        <v>371</v>
      </c>
      <c r="C213" s="183">
        <v>0.9375</v>
      </c>
      <c r="D213" s="182" t="s">
        <v>81</v>
      </c>
      <c r="E213" s="182" t="s">
        <v>82</v>
      </c>
      <c r="F213" s="182" t="s">
        <v>341</v>
      </c>
      <c r="G213" s="277"/>
      <c r="H213" s="49" t="s">
        <v>351</v>
      </c>
      <c r="I213" s="50">
        <v>0.91669999999999996</v>
      </c>
      <c r="J213" s="51">
        <v>165</v>
      </c>
      <c r="K213" s="52">
        <v>45984</v>
      </c>
      <c r="L213" s="51">
        <v>34</v>
      </c>
      <c r="M213" s="51">
        <v>2</v>
      </c>
      <c r="N213" s="51">
        <v>14</v>
      </c>
      <c r="O213" s="53" t="s">
        <v>345</v>
      </c>
      <c r="P213" s="54">
        <v>0.9375</v>
      </c>
      <c r="Q213" s="51">
        <v>180</v>
      </c>
      <c r="R213" s="55" t="s">
        <v>372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</row>
    <row r="214" spans="1:92" ht="15" customHeight="1" x14ac:dyDescent="0.3">
      <c r="A214" s="222" t="s">
        <v>71</v>
      </c>
      <c r="B214" s="222" t="s">
        <v>373</v>
      </c>
      <c r="C214" s="223">
        <v>0.5625</v>
      </c>
      <c r="D214" s="222" t="s">
        <v>81</v>
      </c>
      <c r="E214" s="222" t="s">
        <v>274</v>
      </c>
      <c r="F214" s="222" t="s">
        <v>374</v>
      </c>
      <c r="G214" s="277"/>
      <c r="H214" s="87" t="s">
        <v>347</v>
      </c>
      <c r="I214" s="88">
        <v>0.9778</v>
      </c>
      <c r="J214" s="89">
        <v>176</v>
      </c>
      <c r="K214" s="90">
        <v>45975</v>
      </c>
      <c r="L214" s="89">
        <v>0</v>
      </c>
      <c r="M214" s="89">
        <v>0</v>
      </c>
      <c r="N214" s="89">
        <v>0</v>
      </c>
      <c r="O214" s="91" t="s">
        <v>375</v>
      </c>
      <c r="P214" s="92">
        <v>0.5625</v>
      </c>
      <c r="Q214" s="89">
        <v>180</v>
      </c>
      <c r="R214" s="93" t="s">
        <v>376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</row>
    <row r="215" spans="1:92" ht="15" customHeight="1" x14ac:dyDescent="0.3">
      <c r="A215" s="216" t="s">
        <v>71</v>
      </c>
      <c r="B215" s="216" t="s">
        <v>377</v>
      </c>
      <c r="C215" s="217">
        <v>6.5972222222222224E-2</v>
      </c>
      <c r="D215" s="216" t="s">
        <v>73</v>
      </c>
      <c r="E215" s="221"/>
      <c r="F215" s="216" t="s">
        <v>74</v>
      </c>
      <c r="G215" s="277"/>
      <c r="H215" s="168" t="s">
        <v>377</v>
      </c>
      <c r="I215" s="169">
        <v>0.99439999999999995</v>
      </c>
      <c r="J215" s="170">
        <v>179</v>
      </c>
      <c r="K215" s="171">
        <v>45984</v>
      </c>
      <c r="L215" s="170">
        <v>67</v>
      </c>
      <c r="M215" s="170">
        <v>4</v>
      </c>
      <c r="N215" s="170">
        <v>29</v>
      </c>
      <c r="O215" s="172" t="s">
        <v>75</v>
      </c>
      <c r="P215" s="173">
        <v>6.5972222222222224E-2</v>
      </c>
      <c r="Q215" s="170">
        <v>180</v>
      </c>
      <c r="R215" s="174" t="s">
        <v>378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</row>
    <row r="216" spans="1:92" ht="15" customHeight="1" x14ac:dyDescent="0.3">
      <c r="A216" s="218" t="s">
        <v>71</v>
      </c>
      <c r="B216" s="218" t="s">
        <v>328</v>
      </c>
      <c r="C216" s="219">
        <v>0.15625</v>
      </c>
      <c r="D216" s="218" t="s">
        <v>73</v>
      </c>
      <c r="E216" s="220"/>
      <c r="F216" s="218" t="s">
        <v>74</v>
      </c>
      <c r="G216" s="277"/>
      <c r="H216" s="39" t="s">
        <v>328</v>
      </c>
      <c r="I216" s="40">
        <v>0.99439999999999995</v>
      </c>
      <c r="J216" s="41">
        <v>179</v>
      </c>
      <c r="K216" s="42">
        <v>45984</v>
      </c>
      <c r="L216" s="41">
        <v>24</v>
      </c>
      <c r="M216" s="41">
        <v>1</v>
      </c>
      <c r="N216" s="41">
        <v>1</v>
      </c>
      <c r="O216" s="43" t="s">
        <v>75</v>
      </c>
      <c r="P216" s="44">
        <v>0.15625</v>
      </c>
      <c r="Q216" s="41">
        <v>180</v>
      </c>
      <c r="R216" s="45" t="s">
        <v>379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</row>
    <row r="217" spans="1:92" ht="15" customHeight="1" x14ac:dyDescent="0.3">
      <c r="A217" s="46" t="s">
        <v>71</v>
      </c>
      <c r="B217" s="46" t="s">
        <v>380</v>
      </c>
      <c r="C217" s="47">
        <v>0.1875</v>
      </c>
      <c r="D217" s="46" t="s">
        <v>73</v>
      </c>
      <c r="E217" s="48"/>
      <c r="F217" s="46" t="s">
        <v>74</v>
      </c>
      <c r="G217" s="277"/>
      <c r="H217" s="49" t="s">
        <v>380</v>
      </c>
      <c r="I217" s="50">
        <v>0.99439999999999995</v>
      </c>
      <c r="J217" s="51">
        <v>179</v>
      </c>
      <c r="K217" s="52">
        <v>45983</v>
      </c>
      <c r="L217" s="51">
        <v>72</v>
      </c>
      <c r="M217" s="51">
        <v>0</v>
      </c>
      <c r="N217" s="51">
        <v>9</v>
      </c>
      <c r="O217" s="53" t="s">
        <v>75</v>
      </c>
      <c r="P217" s="54">
        <v>0.1875</v>
      </c>
      <c r="Q217" s="51">
        <v>180</v>
      </c>
      <c r="R217" s="55" t="s">
        <v>381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</row>
    <row r="218" spans="1:92" ht="15" customHeight="1" x14ac:dyDescent="0.3">
      <c r="A218" s="216" t="s">
        <v>71</v>
      </c>
      <c r="B218" s="216" t="s">
        <v>330</v>
      </c>
      <c r="C218" s="217">
        <v>0.40625</v>
      </c>
      <c r="D218" s="216" t="s">
        <v>73</v>
      </c>
      <c r="E218" s="221"/>
      <c r="F218" s="216" t="s">
        <v>74</v>
      </c>
      <c r="G218" s="277"/>
      <c r="H218" s="168" t="s">
        <v>330</v>
      </c>
      <c r="I218" s="169">
        <v>1</v>
      </c>
      <c r="J218" s="170">
        <v>180</v>
      </c>
      <c r="K218" s="171">
        <v>45960</v>
      </c>
      <c r="L218" s="170">
        <v>0</v>
      </c>
      <c r="M218" s="170">
        <v>0</v>
      </c>
      <c r="N218" s="170">
        <v>0</v>
      </c>
      <c r="O218" s="172" t="s">
        <v>75</v>
      </c>
      <c r="P218" s="173">
        <v>0.40625</v>
      </c>
      <c r="Q218" s="170">
        <v>180</v>
      </c>
      <c r="R218" s="174" t="s">
        <v>382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</row>
    <row r="219" spans="1:92" ht="15" customHeight="1" x14ac:dyDescent="0.3">
      <c r="A219" s="17" t="s">
        <v>54</v>
      </c>
      <c r="B219" s="17" t="s">
        <v>299</v>
      </c>
      <c r="C219" s="18">
        <v>0.34722222222222232</v>
      </c>
      <c r="D219" s="17" t="s">
        <v>56</v>
      </c>
      <c r="E219" s="17" t="s">
        <v>383</v>
      </c>
      <c r="F219" s="17" t="s">
        <v>276</v>
      </c>
      <c r="G219" s="277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</row>
    <row r="220" spans="1:92" ht="15" customHeight="1" x14ac:dyDescent="0.3">
      <c r="A220" s="15" t="s">
        <v>54</v>
      </c>
      <c r="B220" s="15" t="s">
        <v>299</v>
      </c>
      <c r="C220" s="16">
        <v>0.34722222222222232</v>
      </c>
      <c r="D220" s="15" t="s">
        <v>58</v>
      </c>
      <c r="E220" s="15" t="s">
        <v>94</v>
      </c>
      <c r="F220" s="15" t="s">
        <v>279</v>
      </c>
      <c r="G220" s="277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</row>
    <row r="221" spans="1:92" ht="15" customHeight="1" x14ac:dyDescent="0.3">
      <c r="A221" s="15" t="s">
        <v>54</v>
      </c>
      <c r="B221" s="15" t="s">
        <v>299</v>
      </c>
      <c r="C221" s="16">
        <v>0.34722222222222232</v>
      </c>
      <c r="D221" s="15" t="s">
        <v>60</v>
      </c>
      <c r="E221" s="15" t="s">
        <v>94</v>
      </c>
      <c r="F221" s="15" t="s">
        <v>300</v>
      </c>
      <c r="G221" s="277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</row>
    <row r="222" spans="1:92" ht="15" customHeight="1" x14ac:dyDescent="0.3">
      <c r="A222" s="19" t="s">
        <v>54</v>
      </c>
      <c r="B222" s="19" t="s">
        <v>291</v>
      </c>
      <c r="C222" s="20">
        <v>0.99305555555555547</v>
      </c>
      <c r="D222" s="19" t="s">
        <v>56</v>
      </c>
      <c r="E222" s="19" t="s">
        <v>95</v>
      </c>
      <c r="F222" s="19" t="s">
        <v>276</v>
      </c>
      <c r="G222" s="277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</row>
    <row r="223" spans="1:92" ht="15" customHeight="1" x14ac:dyDescent="0.3">
      <c r="A223" s="15" t="s">
        <v>54</v>
      </c>
      <c r="B223" s="15" t="s">
        <v>291</v>
      </c>
      <c r="C223" s="16">
        <v>0.99305555555555547</v>
      </c>
      <c r="D223" s="15" t="s">
        <v>58</v>
      </c>
      <c r="E223" s="15" t="s">
        <v>96</v>
      </c>
      <c r="F223" s="15" t="s">
        <v>279</v>
      </c>
      <c r="G223" s="277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</row>
    <row r="224" spans="1:92" ht="15" customHeight="1" x14ac:dyDescent="0.3">
      <c r="A224" s="15" t="s">
        <v>54</v>
      </c>
      <c r="B224" s="15" t="s">
        <v>291</v>
      </c>
      <c r="C224" s="16">
        <v>0.99305555555555547</v>
      </c>
      <c r="D224" s="15" t="s">
        <v>60</v>
      </c>
      <c r="E224" s="15" t="s">
        <v>96</v>
      </c>
      <c r="F224" s="15" t="s">
        <v>300</v>
      </c>
      <c r="G224" s="277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</row>
    <row r="225" spans="1:92" ht="15" customHeight="1" x14ac:dyDescent="0.3">
      <c r="A225" s="19" t="s">
        <v>54</v>
      </c>
      <c r="B225" s="19" t="s">
        <v>295</v>
      </c>
      <c r="C225" s="20">
        <v>0.94444444444444453</v>
      </c>
      <c r="D225" s="19" t="s">
        <v>56</v>
      </c>
      <c r="E225" s="19" t="s">
        <v>89</v>
      </c>
      <c r="F225" s="19" t="s">
        <v>276</v>
      </c>
      <c r="G225" s="277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</row>
    <row r="226" spans="1:92" ht="15" customHeight="1" x14ac:dyDescent="0.3">
      <c r="A226" s="15" t="s">
        <v>54</v>
      </c>
      <c r="B226" s="15" t="s">
        <v>295</v>
      </c>
      <c r="C226" s="16">
        <v>0.94444444444444453</v>
      </c>
      <c r="D226" s="15" t="s">
        <v>58</v>
      </c>
      <c r="E226" s="15" t="s">
        <v>109</v>
      </c>
      <c r="F226" s="15" t="s">
        <v>279</v>
      </c>
      <c r="G226" s="277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</row>
    <row r="227" spans="1:92" ht="15" customHeight="1" x14ac:dyDescent="0.3">
      <c r="A227" s="15" t="s">
        <v>54</v>
      </c>
      <c r="B227" s="15" t="s">
        <v>295</v>
      </c>
      <c r="C227" s="16">
        <v>0.94444444444444453</v>
      </c>
      <c r="D227" s="15" t="s">
        <v>60</v>
      </c>
      <c r="E227" s="15" t="s">
        <v>109</v>
      </c>
      <c r="F227" s="15" t="s">
        <v>300</v>
      </c>
      <c r="G227" s="277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</row>
    <row r="228" spans="1:92" ht="15" customHeight="1" x14ac:dyDescent="0.3">
      <c r="A228" s="19" t="s">
        <v>54</v>
      </c>
      <c r="B228" s="19" t="s">
        <v>296</v>
      </c>
      <c r="C228" s="20">
        <v>0.4861111111111111</v>
      </c>
      <c r="D228" s="19" t="s">
        <v>56</v>
      </c>
      <c r="E228" s="19" t="s">
        <v>93</v>
      </c>
      <c r="F228" s="19" t="s">
        <v>276</v>
      </c>
      <c r="G228" s="277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</row>
    <row r="229" spans="1:92" ht="15" customHeight="1" x14ac:dyDescent="0.3">
      <c r="A229" s="15" t="s">
        <v>54</v>
      </c>
      <c r="B229" s="15" t="s">
        <v>296</v>
      </c>
      <c r="C229" s="16">
        <v>0.4861111111111111</v>
      </c>
      <c r="D229" s="15" t="s">
        <v>58</v>
      </c>
      <c r="E229" s="15" t="s">
        <v>94</v>
      </c>
      <c r="F229" s="15" t="s">
        <v>279</v>
      </c>
      <c r="G229" s="277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</row>
    <row r="230" spans="1:92" ht="15" customHeight="1" x14ac:dyDescent="0.3">
      <c r="A230" s="15" t="s">
        <v>54</v>
      </c>
      <c r="B230" s="15" t="s">
        <v>296</v>
      </c>
      <c r="C230" s="16">
        <v>0.4861111111111111</v>
      </c>
      <c r="D230" s="15" t="s">
        <v>60</v>
      </c>
      <c r="E230" s="15" t="s">
        <v>94</v>
      </c>
      <c r="F230" s="15" t="s">
        <v>300</v>
      </c>
      <c r="G230" s="277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</row>
    <row r="231" spans="1:92" ht="15" customHeight="1" x14ac:dyDescent="0.3">
      <c r="A231" s="19" t="s">
        <v>54</v>
      </c>
      <c r="B231" s="19" t="s">
        <v>297</v>
      </c>
      <c r="C231" s="20">
        <v>0.3923611111111111</v>
      </c>
      <c r="D231" s="19" t="s">
        <v>56</v>
      </c>
      <c r="E231" s="19" t="s">
        <v>107</v>
      </c>
      <c r="F231" s="19" t="s">
        <v>276</v>
      </c>
      <c r="G231" s="277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</row>
    <row r="232" spans="1:92" ht="15" customHeight="1" x14ac:dyDescent="0.3">
      <c r="A232" s="15" t="s">
        <v>54</v>
      </c>
      <c r="B232" s="15" t="s">
        <v>297</v>
      </c>
      <c r="C232" s="16">
        <v>0.3923611111111111</v>
      </c>
      <c r="D232" s="15" t="s">
        <v>58</v>
      </c>
      <c r="E232" s="15" t="s">
        <v>106</v>
      </c>
      <c r="F232" s="15" t="s">
        <v>279</v>
      </c>
      <c r="G232" s="277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</row>
    <row r="233" spans="1:92" ht="15" customHeight="1" x14ac:dyDescent="0.3">
      <c r="A233" s="15" t="s">
        <v>54</v>
      </c>
      <c r="B233" s="15" t="s">
        <v>297</v>
      </c>
      <c r="C233" s="16">
        <v>0.3923611111111111</v>
      </c>
      <c r="D233" s="15" t="s">
        <v>60</v>
      </c>
      <c r="E233" s="15" t="s">
        <v>106</v>
      </c>
      <c r="F233" s="15" t="s">
        <v>300</v>
      </c>
      <c r="G233" s="277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</row>
    <row r="234" spans="1:92" ht="15" customHeight="1" x14ac:dyDescent="0.3">
      <c r="A234" s="19" t="s">
        <v>54</v>
      </c>
      <c r="B234" s="19" t="s">
        <v>301</v>
      </c>
      <c r="C234" s="20">
        <v>0.75</v>
      </c>
      <c r="D234" s="19" t="s">
        <v>56</v>
      </c>
      <c r="E234" s="19" t="s">
        <v>89</v>
      </c>
      <c r="F234" s="19" t="s">
        <v>61</v>
      </c>
      <c r="G234" s="277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</row>
    <row r="235" spans="1:92" ht="15" customHeight="1" x14ac:dyDescent="0.3">
      <c r="A235" s="15" t="s">
        <v>54</v>
      </c>
      <c r="B235" s="15" t="s">
        <v>301</v>
      </c>
      <c r="C235" s="16">
        <v>0.75</v>
      </c>
      <c r="D235" s="15" t="s">
        <v>58</v>
      </c>
      <c r="E235" s="15" t="s">
        <v>109</v>
      </c>
      <c r="F235" s="15" t="s">
        <v>34</v>
      </c>
      <c r="G235" s="277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</row>
    <row r="236" spans="1:92" ht="15" customHeight="1" x14ac:dyDescent="0.3">
      <c r="A236" s="15" t="s">
        <v>54</v>
      </c>
      <c r="B236" s="15" t="s">
        <v>301</v>
      </c>
      <c r="C236" s="16">
        <v>0.75</v>
      </c>
      <c r="D236" s="15" t="s">
        <v>60</v>
      </c>
      <c r="E236" s="15" t="s">
        <v>109</v>
      </c>
      <c r="F236" s="15" t="s">
        <v>356</v>
      </c>
      <c r="G236" s="277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</row>
    <row r="237" spans="1:92" ht="15" customHeight="1" x14ac:dyDescent="0.3">
      <c r="A237" s="19" t="s">
        <v>54</v>
      </c>
      <c r="B237" s="19" t="s">
        <v>294</v>
      </c>
      <c r="C237" s="20">
        <v>0.83680555555555547</v>
      </c>
      <c r="D237" s="19" t="s">
        <v>56</v>
      </c>
      <c r="E237" s="19" t="s">
        <v>107</v>
      </c>
      <c r="F237" s="19" t="s">
        <v>61</v>
      </c>
      <c r="G237" s="277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</row>
    <row r="238" spans="1:92" ht="15" customHeight="1" x14ac:dyDescent="0.3">
      <c r="A238" s="15" t="s">
        <v>54</v>
      </c>
      <c r="B238" s="15" t="s">
        <v>294</v>
      </c>
      <c r="C238" s="16">
        <v>0.83680555555555547</v>
      </c>
      <c r="D238" s="15" t="s">
        <v>58</v>
      </c>
      <c r="E238" s="15" t="s">
        <v>106</v>
      </c>
      <c r="F238" s="15" t="s">
        <v>34</v>
      </c>
      <c r="G238" s="277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</row>
    <row r="239" spans="1:92" ht="15" customHeight="1" x14ac:dyDescent="0.3">
      <c r="A239" s="15" t="s">
        <v>54</v>
      </c>
      <c r="B239" s="15" t="s">
        <v>294</v>
      </c>
      <c r="C239" s="16">
        <v>0.83680555555555547</v>
      </c>
      <c r="D239" s="15" t="s">
        <v>60</v>
      </c>
      <c r="E239" s="15" t="s">
        <v>106</v>
      </c>
      <c r="F239" s="15" t="s">
        <v>356</v>
      </c>
      <c r="G239" s="277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</row>
    <row r="240" spans="1:92" ht="15" customHeight="1" x14ac:dyDescent="0.3">
      <c r="A240" s="19" t="s">
        <v>54</v>
      </c>
      <c r="B240" s="19" t="s">
        <v>298</v>
      </c>
      <c r="C240" s="20">
        <v>0.88888888888888884</v>
      </c>
      <c r="D240" s="19" t="s">
        <v>56</v>
      </c>
      <c r="E240" s="19" t="s">
        <v>107</v>
      </c>
      <c r="F240" s="19" t="s">
        <v>61</v>
      </c>
      <c r="G240" s="277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</row>
    <row r="241" spans="1:92" ht="15" customHeight="1" x14ac:dyDescent="0.3">
      <c r="A241" s="15" t="s">
        <v>54</v>
      </c>
      <c r="B241" s="15" t="s">
        <v>298</v>
      </c>
      <c r="C241" s="16">
        <v>0.88888888888888884</v>
      </c>
      <c r="D241" s="15" t="s">
        <v>58</v>
      </c>
      <c r="E241" s="15" t="s">
        <v>106</v>
      </c>
      <c r="F241" s="15" t="s">
        <v>34</v>
      </c>
      <c r="G241" s="277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</row>
    <row r="242" spans="1:92" ht="15" customHeight="1" x14ac:dyDescent="0.3">
      <c r="A242" s="15" t="s">
        <v>54</v>
      </c>
      <c r="B242" s="15" t="s">
        <v>298</v>
      </c>
      <c r="C242" s="16">
        <v>0.88888888888888884</v>
      </c>
      <c r="D242" s="15" t="s">
        <v>60</v>
      </c>
      <c r="E242" s="15" t="s">
        <v>106</v>
      </c>
      <c r="F242" s="15" t="s">
        <v>356</v>
      </c>
      <c r="G242" s="277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</row>
    <row r="243" spans="1:92" ht="15" customHeight="1" x14ac:dyDescent="0.3">
      <c r="A243" s="17" t="s">
        <v>285</v>
      </c>
      <c r="B243" s="17" t="s">
        <v>286</v>
      </c>
      <c r="C243" s="18">
        <v>0.49305555555555558</v>
      </c>
      <c r="D243" s="17" t="s">
        <v>81</v>
      </c>
      <c r="E243" s="17" t="s">
        <v>82</v>
      </c>
      <c r="F243" s="17" t="s">
        <v>353</v>
      </c>
      <c r="G243" s="277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</row>
    <row r="244" spans="1:92" ht="15" customHeight="1" x14ac:dyDescent="0.3">
      <c r="A244" s="17" t="s">
        <v>360</v>
      </c>
      <c r="B244" s="17" t="s">
        <v>384</v>
      </c>
      <c r="C244" s="18">
        <v>0.11805555555555559</v>
      </c>
      <c r="D244" s="17" t="s">
        <v>81</v>
      </c>
      <c r="E244" s="17" t="s">
        <v>28</v>
      </c>
      <c r="F244" s="17" t="s">
        <v>362</v>
      </c>
      <c r="G244" s="277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</row>
    <row r="245" spans="1:92" ht="15" customHeight="1" x14ac:dyDescent="0.3">
      <c r="A245" s="19" t="s">
        <v>360</v>
      </c>
      <c r="B245" s="19" t="s">
        <v>361</v>
      </c>
      <c r="C245" s="20">
        <v>0.4201388888888889</v>
      </c>
      <c r="D245" s="19" t="s">
        <v>81</v>
      </c>
      <c r="E245" s="19" t="s">
        <v>289</v>
      </c>
      <c r="F245" s="19" t="s">
        <v>362</v>
      </c>
      <c r="G245" s="277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</row>
    <row r="246" spans="1:92" ht="15" customHeight="1" x14ac:dyDescent="0.3">
      <c r="A246" s="17" t="s">
        <v>35</v>
      </c>
      <c r="B246" s="17" t="s">
        <v>310</v>
      </c>
      <c r="C246" s="18">
        <v>0.82986111111111116</v>
      </c>
      <c r="D246" s="17" t="s">
        <v>42</v>
      </c>
      <c r="E246" s="17" t="s">
        <v>38</v>
      </c>
      <c r="F246" s="17" t="s">
        <v>363</v>
      </c>
      <c r="G246" s="277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</row>
    <row r="247" spans="1:92" ht="15" customHeight="1" x14ac:dyDescent="0.3">
      <c r="A247" s="19" t="s">
        <v>35</v>
      </c>
      <c r="B247" s="19" t="s">
        <v>302</v>
      </c>
      <c r="C247" s="20">
        <v>0.11805555555555559</v>
      </c>
      <c r="D247" s="19" t="s">
        <v>42</v>
      </c>
      <c r="E247" s="19" t="s">
        <v>45</v>
      </c>
      <c r="F247" s="19" t="s">
        <v>363</v>
      </c>
      <c r="G247" s="277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</row>
    <row r="248" spans="1:92" ht="15" customHeight="1" x14ac:dyDescent="0.3">
      <c r="A248" s="19" t="s">
        <v>35</v>
      </c>
      <c r="B248" s="19" t="s">
        <v>312</v>
      </c>
      <c r="C248" s="20">
        <v>0.70486111111111116</v>
      </c>
      <c r="D248" s="19" t="s">
        <v>42</v>
      </c>
      <c r="E248" s="19" t="s">
        <v>45</v>
      </c>
      <c r="F248" s="19" t="s">
        <v>363</v>
      </c>
      <c r="G248" s="277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</row>
    <row r="249" spans="1:92" ht="15" customHeight="1" x14ac:dyDescent="0.3">
      <c r="A249" s="19" t="s">
        <v>35</v>
      </c>
      <c r="B249" s="19" t="s">
        <v>313</v>
      </c>
      <c r="C249" s="20">
        <v>0.25347222222222221</v>
      </c>
      <c r="D249" s="19" t="s">
        <v>42</v>
      </c>
      <c r="E249" s="19" t="s">
        <v>45</v>
      </c>
      <c r="F249" s="19" t="s">
        <v>363</v>
      </c>
      <c r="G249" s="277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</row>
    <row r="250" spans="1:92" ht="15" customHeight="1" x14ac:dyDescent="0.3">
      <c r="A250" s="19" t="s">
        <v>35</v>
      </c>
      <c r="B250" s="19" t="s">
        <v>306</v>
      </c>
      <c r="C250" s="20">
        <v>0.98958333333333337</v>
      </c>
      <c r="D250" s="19" t="s">
        <v>42</v>
      </c>
      <c r="E250" s="19" t="s">
        <v>51</v>
      </c>
      <c r="F250" s="19" t="s">
        <v>307</v>
      </c>
      <c r="G250" s="277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</row>
    <row r="251" spans="1:92" ht="15" customHeight="1" x14ac:dyDescent="0.3">
      <c r="A251" s="19" t="s">
        <v>35</v>
      </c>
      <c r="B251" s="19" t="s">
        <v>304</v>
      </c>
      <c r="C251" s="20">
        <v>0.39930555555555558</v>
      </c>
      <c r="D251" s="19" t="s">
        <v>42</v>
      </c>
      <c r="E251" s="19" t="s">
        <v>51</v>
      </c>
      <c r="F251" s="19" t="s">
        <v>307</v>
      </c>
      <c r="G251" s="277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</row>
    <row r="252" spans="1:92" ht="15" customHeight="1" x14ac:dyDescent="0.3">
      <c r="A252" s="19" t="s">
        <v>35</v>
      </c>
      <c r="B252" s="19" t="s">
        <v>308</v>
      </c>
      <c r="C252" s="20">
        <v>0.48958333333333331</v>
      </c>
      <c r="D252" s="19" t="s">
        <v>42</v>
      </c>
      <c r="E252" s="19" t="s">
        <v>51</v>
      </c>
      <c r="F252" s="19" t="s">
        <v>307</v>
      </c>
      <c r="G252" s="277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</row>
    <row r="253" spans="1:92" ht="15" customHeight="1" x14ac:dyDescent="0.3">
      <c r="A253" s="19" t="s">
        <v>35</v>
      </c>
      <c r="B253" s="19" t="s">
        <v>316</v>
      </c>
      <c r="C253" s="20">
        <v>0.48958333333333331</v>
      </c>
      <c r="D253" s="19" t="s">
        <v>42</v>
      </c>
      <c r="E253" s="19" t="s">
        <v>45</v>
      </c>
      <c r="F253" s="19" t="s">
        <v>311</v>
      </c>
      <c r="G253" s="277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</row>
    <row r="254" spans="1:92" ht="15" customHeight="1" x14ac:dyDescent="0.3">
      <c r="A254" s="19" t="s">
        <v>35</v>
      </c>
      <c r="B254" s="19" t="s">
        <v>318</v>
      </c>
      <c r="C254" s="20">
        <v>0.72222222222222221</v>
      </c>
      <c r="D254" s="19" t="s">
        <v>42</v>
      </c>
      <c r="E254" s="19" t="s">
        <v>45</v>
      </c>
      <c r="F254" s="19" t="s">
        <v>311</v>
      </c>
      <c r="G254" s="277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</row>
    <row r="255" spans="1:92" ht="15" customHeight="1" x14ac:dyDescent="0.3">
      <c r="A255" s="19" t="s">
        <v>35</v>
      </c>
      <c r="B255" s="19" t="s">
        <v>314</v>
      </c>
      <c r="C255" s="20">
        <v>4.1666666666666657E-2</v>
      </c>
      <c r="D255" s="19" t="s">
        <v>42</v>
      </c>
      <c r="E255" s="19" t="s">
        <v>45</v>
      </c>
      <c r="F255" s="19" t="s">
        <v>311</v>
      </c>
      <c r="G255" s="277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</row>
    <row r="256" spans="1:92" ht="15" customHeight="1" x14ac:dyDescent="0.3">
      <c r="A256" s="19" t="s">
        <v>35</v>
      </c>
      <c r="B256" s="19" t="s">
        <v>309</v>
      </c>
      <c r="C256" s="20">
        <v>0.88888888888888884</v>
      </c>
      <c r="D256" s="19" t="s">
        <v>42</v>
      </c>
      <c r="E256" s="19" t="s">
        <v>51</v>
      </c>
      <c r="F256" s="19" t="s">
        <v>364</v>
      </c>
      <c r="G256" s="277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</row>
    <row r="257" spans="1:92" ht="15" customHeight="1" x14ac:dyDescent="0.3">
      <c r="A257" s="19" t="s">
        <v>35</v>
      </c>
      <c r="B257" s="19" t="s">
        <v>315</v>
      </c>
      <c r="C257" s="20">
        <v>0.94097222222222221</v>
      </c>
      <c r="D257" s="19" t="s">
        <v>42</v>
      </c>
      <c r="E257" s="19" t="s">
        <v>45</v>
      </c>
      <c r="F257" s="19" t="s">
        <v>317</v>
      </c>
      <c r="G257" s="277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</row>
    <row r="258" spans="1:92" ht="15" customHeight="1" x14ac:dyDescent="0.3">
      <c r="A258" s="17" t="s">
        <v>63</v>
      </c>
      <c r="B258" s="17" t="s">
        <v>319</v>
      </c>
      <c r="C258" s="18">
        <v>0.83680555555555547</v>
      </c>
      <c r="D258" s="17" t="s">
        <v>48</v>
      </c>
      <c r="E258" s="17" t="s">
        <v>82</v>
      </c>
      <c r="F258" s="17" t="s">
        <v>320</v>
      </c>
      <c r="G258" s="277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</row>
    <row r="259" spans="1:92" ht="15" customHeight="1" x14ac:dyDescent="0.3">
      <c r="A259" s="19" t="s">
        <v>63</v>
      </c>
      <c r="B259" s="19" t="s">
        <v>324</v>
      </c>
      <c r="C259" s="20">
        <v>0.34027777777777768</v>
      </c>
      <c r="D259" s="19" t="s">
        <v>48</v>
      </c>
      <c r="E259" s="19" t="s">
        <v>289</v>
      </c>
      <c r="F259" s="19" t="s">
        <v>320</v>
      </c>
      <c r="G259" s="277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</row>
    <row r="260" spans="1:92" ht="15" customHeight="1" x14ac:dyDescent="0.3">
      <c r="A260" s="63" t="s">
        <v>63</v>
      </c>
      <c r="B260" s="63" t="s">
        <v>327</v>
      </c>
      <c r="C260" s="64">
        <v>4.8611111111111112E-2</v>
      </c>
      <c r="D260" s="63" t="s">
        <v>48</v>
      </c>
      <c r="E260" s="63" t="s">
        <v>93</v>
      </c>
      <c r="F260" s="63" t="s">
        <v>320</v>
      </c>
      <c r="G260" s="278"/>
      <c r="H260" s="58"/>
      <c r="I260" s="59"/>
      <c r="J260" s="59"/>
      <c r="K260" s="59"/>
      <c r="L260" s="59"/>
      <c r="M260" s="59"/>
      <c r="N260" s="59"/>
      <c r="O260" s="60"/>
      <c r="P260" s="59"/>
      <c r="Q260" s="61"/>
      <c r="R260" s="62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</row>
    <row r="261" spans="1:92" ht="14.4" customHeight="1" x14ac:dyDescent="0.3">
      <c r="A261" s="282"/>
      <c r="B261" s="283"/>
      <c r="C261" s="283"/>
      <c r="D261" s="283"/>
      <c r="E261" s="283"/>
      <c r="F261" s="283"/>
      <c r="G261" s="280"/>
      <c r="H261" s="284"/>
      <c r="I261" s="284"/>
      <c r="J261" s="284"/>
      <c r="K261" s="284"/>
      <c r="L261" s="284"/>
      <c r="M261" s="284"/>
      <c r="N261" s="284"/>
      <c r="O261" s="285"/>
      <c r="P261" s="284"/>
      <c r="Q261" s="280"/>
      <c r="R261" s="281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</row>
    <row r="262" spans="1:92" ht="22.05" customHeight="1" x14ac:dyDescent="0.3">
      <c r="A262" s="290" t="s">
        <v>5</v>
      </c>
      <c r="B262" s="291"/>
      <c r="C262" s="291"/>
      <c r="D262" s="291"/>
      <c r="E262" s="291"/>
      <c r="F262" s="291"/>
      <c r="G262" s="5">
        <v>45989</v>
      </c>
      <c r="H262" s="274" t="s">
        <v>6</v>
      </c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</row>
    <row r="263" spans="1:92" ht="24" customHeight="1" x14ac:dyDescent="0.3">
      <c r="A263" s="31" t="s">
        <v>7</v>
      </c>
      <c r="B263" s="31" t="s">
        <v>8</v>
      </c>
      <c r="C263" s="32" t="s">
        <v>9</v>
      </c>
      <c r="D263" s="31" t="s">
        <v>10</v>
      </c>
      <c r="E263" s="31" t="s">
        <v>11</v>
      </c>
      <c r="F263" s="31" t="s">
        <v>12</v>
      </c>
      <c r="G263" s="33" t="s">
        <v>13</v>
      </c>
      <c r="H263" s="31" t="s">
        <v>14</v>
      </c>
      <c r="I263" s="34" t="s">
        <v>15</v>
      </c>
      <c r="J263" s="35" t="s">
        <v>16</v>
      </c>
      <c r="K263" s="36" t="s">
        <v>17</v>
      </c>
      <c r="L263" s="35" t="s">
        <v>18</v>
      </c>
      <c r="M263" s="35" t="s">
        <v>19</v>
      </c>
      <c r="N263" s="35" t="s">
        <v>20</v>
      </c>
      <c r="O263" s="31" t="s">
        <v>21</v>
      </c>
      <c r="P263" s="32" t="s">
        <v>22</v>
      </c>
      <c r="Q263" s="35" t="s">
        <v>23</v>
      </c>
      <c r="R263" s="31" t="s">
        <v>24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</row>
    <row r="264" spans="1:92" ht="15" customHeight="1" x14ac:dyDescent="0.3">
      <c r="A264" s="165" t="s">
        <v>71</v>
      </c>
      <c r="B264" s="165" t="s">
        <v>373</v>
      </c>
      <c r="C264" s="166">
        <v>0.4375</v>
      </c>
      <c r="D264" s="165" t="s">
        <v>81</v>
      </c>
      <c r="E264" s="165" t="s">
        <v>104</v>
      </c>
      <c r="F264" s="165" t="s">
        <v>341</v>
      </c>
      <c r="G264" s="276"/>
      <c r="H264" s="168" t="s">
        <v>347</v>
      </c>
      <c r="I264" s="169">
        <v>0.9889</v>
      </c>
      <c r="J264" s="170">
        <v>178</v>
      </c>
      <c r="K264" s="171">
        <v>45983</v>
      </c>
      <c r="L264" s="170">
        <v>37</v>
      </c>
      <c r="M264" s="170">
        <v>0</v>
      </c>
      <c r="N264" s="170">
        <v>9</v>
      </c>
      <c r="O264" s="172" t="s">
        <v>125</v>
      </c>
      <c r="P264" s="173">
        <v>0.4375</v>
      </c>
      <c r="Q264" s="170">
        <v>180</v>
      </c>
      <c r="R264" s="174" t="s">
        <v>385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</row>
    <row r="265" spans="1:92" ht="15" customHeight="1" x14ac:dyDescent="0.3">
      <c r="A265" s="218" t="s">
        <v>71</v>
      </c>
      <c r="B265" s="218" t="s">
        <v>340</v>
      </c>
      <c r="C265" s="219">
        <v>0.55902777777777779</v>
      </c>
      <c r="D265" s="218" t="s">
        <v>81</v>
      </c>
      <c r="E265" s="218" t="s">
        <v>89</v>
      </c>
      <c r="F265" s="218" t="s">
        <v>386</v>
      </c>
      <c r="G265" s="277"/>
      <c r="H265" s="39" t="s">
        <v>342</v>
      </c>
      <c r="I265" s="40">
        <v>0.96109999999999995</v>
      </c>
      <c r="J265" s="41">
        <v>173</v>
      </c>
      <c r="K265" s="42">
        <v>45984</v>
      </c>
      <c r="L265" s="41">
        <v>46</v>
      </c>
      <c r="M265" s="41">
        <v>1</v>
      </c>
      <c r="N265" s="41">
        <v>13</v>
      </c>
      <c r="O265" s="43" t="s">
        <v>387</v>
      </c>
      <c r="P265" s="44">
        <v>0.55902777777777779</v>
      </c>
      <c r="Q265" s="41">
        <v>180</v>
      </c>
      <c r="R265" s="45" t="s">
        <v>388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</row>
    <row r="266" spans="1:92" ht="15" customHeight="1" x14ac:dyDescent="0.3">
      <c r="A266" s="46" t="s">
        <v>71</v>
      </c>
      <c r="B266" s="46" t="s">
        <v>389</v>
      </c>
      <c r="C266" s="47">
        <v>0.28125</v>
      </c>
      <c r="D266" s="46" t="s">
        <v>81</v>
      </c>
      <c r="E266" s="46" t="s">
        <v>95</v>
      </c>
      <c r="F266" s="46" t="s">
        <v>374</v>
      </c>
      <c r="G266" s="277"/>
      <c r="H266" s="49" t="s">
        <v>330</v>
      </c>
      <c r="I266" s="50">
        <v>0.96109999999999995</v>
      </c>
      <c r="J266" s="51">
        <v>173</v>
      </c>
      <c r="K266" s="52">
        <v>45983</v>
      </c>
      <c r="L266" s="51">
        <v>52</v>
      </c>
      <c r="M266" s="51">
        <v>0</v>
      </c>
      <c r="N266" s="51">
        <v>16</v>
      </c>
      <c r="O266" s="53" t="s">
        <v>390</v>
      </c>
      <c r="P266" s="54">
        <v>0.28125</v>
      </c>
      <c r="Q266" s="51">
        <v>180</v>
      </c>
      <c r="R266" s="55" t="s">
        <v>391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</row>
    <row r="267" spans="1:92" ht="15" customHeight="1" x14ac:dyDescent="0.3">
      <c r="A267" s="218" t="s">
        <v>71</v>
      </c>
      <c r="B267" s="218" t="s">
        <v>328</v>
      </c>
      <c r="C267" s="219">
        <v>0.1423611111111111</v>
      </c>
      <c r="D267" s="218" t="s">
        <v>73</v>
      </c>
      <c r="E267" s="220"/>
      <c r="F267" s="218" t="s">
        <v>74</v>
      </c>
      <c r="G267" s="277"/>
      <c r="H267" s="39" t="s">
        <v>328</v>
      </c>
      <c r="I267" s="40">
        <v>1</v>
      </c>
      <c r="J267" s="41">
        <v>180</v>
      </c>
      <c r="K267" s="42">
        <v>45980</v>
      </c>
      <c r="L267" s="41">
        <v>20</v>
      </c>
      <c r="M267" s="41">
        <v>0</v>
      </c>
      <c r="N267" s="41">
        <v>0</v>
      </c>
      <c r="O267" s="43" t="s">
        <v>75</v>
      </c>
      <c r="P267" s="44">
        <v>0.1423611111111111</v>
      </c>
      <c r="Q267" s="41">
        <v>180</v>
      </c>
      <c r="R267" s="45" t="s">
        <v>392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</row>
    <row r="268" spans="1:92" ht="15" customHeight="1" x14ac:dyDescent="0.3">
      <c r="A268" s="216" t="s">
        <v>71</v>
      </c>
      <c r="B268" s="216" t="s">
        <v>332</v>
      </c>
      <c r="C268" s="217">
        <v>0.76041666666666663</v>
      </c>
      <c r="D268" s="216" t="s">
        <v>73</v>
      </c>
      <c r="E268" s="221"/>
      <c r="F268" s="216" t="s">
        <v>74</v>
      </c>
      <c r="G268" s="277"/>
      <c r="H268" s="168" t="s">
        <v>332</v>
      </c>
      <c r="I268" s="169">
        <v>1</v>
      </c>
      <c r="J268" s="170">
        <v>180</v>
      </c>
      <c r="K268" s="171">
        <v>45983</v>
      </c>
      <c r="L268" s="170">
        <v>20</v>
      </c>
      <c r="M268" s="170">
        <v>0</v>
      </c>
      <c r="N268" s="170">
        <v>4</v>
      </c>
      <c r="O268" s="172" t="s">
        <v>75</v>
      </c>
      <c r="P268" s="173">
        <v>0.76041666666666663</v>
      </c>
      <c r="Q268" s="170">
        <v>180</v>
      </c>
      <c r="R268" s="174" t="s">
        <v>393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</row>
    <row r="269" spans="1:92" ht="15" customHeight="1" x14ac:dyDescent="0.3">
      <c r="A269" s="17" t="s">
        <v>25</v>
      </c>
      <c r="B269" s="17" t="s">
        <v>278</v>
      </c>
      <c r="C269" s="18">
        <v>0.39930555555555558</v>
      </c>
      <c r="D269" s="17" t="s">
        <v>27</v>
      </c>
      <c r="E269" s="17" t="s">
        <v>57</v>
      </c>
      <c r="F269" s="17" t="s">
        <v>276</v>
      </c>
      <c r="G269" s="277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</row>
    <row r="270" spans="1:92" ht="15" customHeight="1" x14ac:dyDescent="0.3">
      <c r="A270" s="15" t="s">
        <v>25</v>
      </c>
      <c r="B270" s="15" t="s">
        <v>278</v>
      </c>
      <c r="C270" s="16">
        <v>0.39930555555555558</v>
      </c>
      <c r="D270" s="15" t="s">
        <v>30</v>
      </c>
      <c r="E270" s="15" t="s">
        <v>53</v>
      </c>
      <c r="F270" s="15" t="s">
        <v>119</v>
      </c>
      <c r="G270" s="277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</row>
    <row r="271" spans="1:92" ht="15" customHeight="1" x14ac:dyDescent="0.3">
      <c r="A271" s="15" t="s">
        <v>25</v>
      </c>
      <c r="B271" s="15" t="s">
        <v>278</v>
      </c>
      <c r="C271" s="16">
        <v>0.39930555555555558</v>
      </c>
      <c r="D271" s="15" t="s">
        <v>33</v>
      </c>
      <c r="E271" s="15" t="s">
        <v>53</v>
      </c>
      <c r="F271" s="15" t="s">
        <v>34</v>
      </c>
      <c r="G271" s="277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</row>
    <row r="272" spans="1:92" ht="15" customHeight="1" x14ac:dyDescent="0.3">
      <c r="A272" s="19" t="s">
        <v>25</v>
      </c>
      <c r="B272" s="19" t="s">
        <v>273</v>
      </c>
      <c r="C272" s="20">
        <v>0.48958333333333331</v>
      </c>
      <c r="D272" s="19" t="s">
        <v>27</v>
      </c>
      <c r="E272" s="19" t="s">
        <v>91</v>
      </c>
      <c r="F272" s="19" t="s">
        <v>335</v>
      </c>
      <c r="G272" s="277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</row>
    <row r="273" spans="1:92" ht="15" customHeight="1" x14ac:dyDescent="0.3">
      <c r="A273" s="15" t="s">
        <v>25</v>
      </c>
      <c r="B273" s="15" t="s">
        <v>273</v>
      </c>
      <c r="C273" s="16">
        <v>0.48958333333333331</v>
      </c>
      <c r="D273" s="15" t="s">
        <v>30</v>
      </c>
      <c r="E273" s="15" t="s">
        <v>92</v>
      </c>
      <c r="F273" s="15" t="s">
        <v>61</v>
      </c>
      <c r="G273" s="277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</row>
    <row r="274" spans="1:92" ht="15" customHeight="1" x14ac:dyDescent="0.3">
      <c r="A274" s="15" t="s">
        <v>25</v>
      </c>
      <c r="B274" s="15" t="s">
        <v>273</v>
      </c>
      <c r="C274" s="16">
        <v>0.48958333333333331</v>
      </c>
      <c r="D274" s="15" t="s">
        <v>33</v>
      </c>
      <c r="E274" s="15" t="s">
        <v>92</v>
      </c>
      <c r="F274" s="15" t="s">
        <v>34</v>
      </c>
      <c r="G274" s="277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</row>
    <row r="275" spans="1:92" ht="15" customHeight="1" x14ac:dyDescent="0.3">
      <c r="A275" s="19" t="s">
        <v>25</v>
      </c>
      <c r="B275" s="19" t="s">
        <v>272</v>
      </c>
      <c r="C275" s="20">
        <v>0.98958333333333337</v>
      </c>
      <c r="D275" s="19" t="s">
        <v>27</v>
      </c>
      <c r="E275" s="19" t="s">
        <v>107</v>
      </c>
      <c r="F275" s="19" t="s">
        <v>335</v>
      </c>
      <c r="G275" s="277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</row>
    <row r="276" spans="1:92" ht="15" customHeight="1" x14ac:dyDescent="0.3">
      <c r="A276" s="15" t="s">
        <v>25</v>
      </c>
      <c r="B276" s="15" t="s">
        <v>272</v>
      </c>
      <c r="C276" s="16">
        <v>0.98958333333333337</v>
      </c>
      <c r="D276" s="15" t="s">
        <v>30</v>
      </c>
      <c r="E276" s="15" t="s">
        <v>106</v>
      </c>
      <c r="F276" s="15" t="s">
        <v>61</v>
      </c>
      <c r="G276" s="277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</row>
    <row r="277" spans="1:92" ht="15" customHeight="1" x14ac:dyDescent="0.3">
      <c r="A277" s="15" t="s">
        <v>25</v>
      </c>
      <c r="B277" s="15" t="s">
        <v>272</v>
      </c>
      <c r="C277" s="16">
        <v>0.98958333333333337</v>
      </c>
      <c r="D277" s="15" t="s">
        <v>33</v>
      </c>
      <c r="E277" s="15" t="s">
        <v>106</v>
      </c>
      <c r="F277" s="15" t="s">
        <v>34</v>
      </c>
      <c r="G277" s="277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</row>
    <row r="278" spans="1:92" ht="15" customHeight="1" x14ac:dyDescent="0.3">
      <c r="A278" s="19" t="s">
        <v>25</v>
      </c>
      <c r="B278" s="19" t="s">
        <v>277</v>
      </c>
      <c r="C278" s="20">
        <v>0.88888888888888884</v>
      </c>
      <c r="D278" s="19" t="s">
        <v>97</v>
      </c>
      <c r="E278" s="19" t="s">
        <v>95</v>
      </c>
      <c r="F278" s="19" t="s">
        <v>119</v>
      </c>
      <c r="G278" s="277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</row>
    <row r="279" spans="1:92" ht="15" customHeight="1" x14ac:dyDescent="0.3">
      <c r="A279" s="15" t="s">
        <v>25</v>
      </c>
      <c r="B279" s="15" t="s">
        <v>277</v>
      </c>
      <c r="C279" s="16">
        <v>0.88888888888888884</v>
      </c>
      <c r="D279" s="15" t="s">
        <v>27</v>
      </c>
      <c r="E279" s="15" t="s">
        <v>96</v>
      </c>
      <c r="F279" s="15" t="s">
        <v>119</v>
      </c>
      <c r="G279" s="277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</row>
    <row r="280" spans="1:92" ht="15" customHeight="1" x14ac:dyDescent="0.3">
      <c r="A280" s="15" t="s">
        <v>25</v>
      </c>
      <c r="B280" s="15" t="s">
        <v>277</v>
      </c>
      <c r="C280" s="16">
        <v>0.88888888888888884</v>
      </c>
      <c r="D280" s="15" t="s">
        <v>30</v>
      </c>
      <c r="E280" s="15" t="s">
        <v>96</v>
      </c>
      <c r="F280" s="15" t="s">
        <v>34</v>
      </c>
      <c r="G280" s="277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</row>
    <row r="281" spans="1:92" ht="15" customHeight="1" x14ac:dyDescent="0.3">
      <c r="A281" s="15" t="s">
        <v>25</v>
      </c>
      <c r="B281" s="15" t="s">
        <v>277</v>
      </c>
      <c r="C281" s="16">
        <v>0.88888888888888884</v>
      </c>
      <c r="D281" s="15" t="s">
        <v>33</v>
      </c>
      <c r="E281" s="15" t="s">
        <v>96</v>
      </c>
      <c r="F281" s="15" t="s">
        <v>370</v>
      </c>
      <c r="G281" s="277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</row>
    <row r="282" spans="1:92" ht="15" customHeight="1" x14ac:dyDescent="0.3">
      <c r="A282" s="17" t="s">
        <v>280</v>
      </c>
      <c r="B282" s="17" t="s">
        <v>357</v>
      </c>
      <c r="C282" s="18">
        <v>0.22569444444444439</v>
      </c>
      <c r="D282" s="17" t="s">
        <v>282</v>
      </c>
      <c r="E282" s="17" t="s">
        <v>104</v>
      </c>
      <c r="F282" s="17" t="s">
        <v>394</v>
      </c>
      <c r="G282" s="277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</row>
    <row r="283" spans="1:92" ht="15" customHeight="1" x14ac:dyDescent="0.3">
      <c r="A283" s="15" t="s">
        <v>280</v>
      </c>
      <c r="B283" s="15" t="s">
        <v>357</v>
      </c>
      <c r="C283" s="16">
        <v>0.22569444444444439</v>
      </c>
      <c r="D283" s="15" t="s">
        <v>33</v>
      </c>
      <c r="E283" s="15" t="s">
        <v>109</v>
      </c>
      <c r="F283" s="15" t="s">
        <v>395</v>
      </c>
      <c r="G283" s="277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</row>
    <row r="284" spans="1:92" ht="15" customHeight="1" x14ac:dyDescent="0.3">
      <c r="A284" s="19" t="s">
        <v>280</v>
      </c>
      <c r="B284" s="19" t="s">
        <v>396</v>
      </c>
      <c r="C284" s="20">
        <v>0.80902777777777779</v>
      </c>
      <c r="D284" s="19" t="s">
        <v>282</v>
      </c>
      <c r="E284" s="19" t="s">
        <v>121</v>
      </c>
      <c r="F284" s="19" t="s">
        <v>397</v>
      </c>
      <c r="G284" s="277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</row>
    <row r="285" spans="1:92" ht="15" customHeight="1" x14ac:dyDescent="0.3">
      <c r="A285" s="15" t="s">
        <v>280</v>
      </c>
      <c r="B285" s="15" t="s">
        <v>396</v>
      </c>
      <c r="C285" s="16">
        <v>0.80902777777777779</v>
      </c>
      <c r="D285" s="15" t="s">
        <v>33</v>
      </c>
      <c r="E285" s="15" t="s">
        <v>339</v>
      </c>
      <c r="F285" s="15" t="s">
        <v>398</v>
      </c>
      <c r="G285" s="277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</row>
    <row r="286" spans="1:92" ht="15" customHeight="1" x14ac:dyDescent="0.3">
      <c r="A286" s="17" t="s">
        <v>54</v>
      </c>
      <c r="B286" s="17" t="s">
        <v>299</v>
      </c>
      <c r="C286" s="18">
        <v>0.34722222222222232</v>
      </c>
      <c r="D286" s="17" t="s">
        <v>56</v>
      </c>
      <c r="E286" s="17" t="s">
        <v>105</v>
      </c>
      <c r="F286" s="17" t="s">
        <v>335</v>
      </c>
      <c r="G286" s="277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</row>
    <row r="287" spans="1:92" ht="15" customHeight="1" x14ac:dyDescent="0.3">
      <c r="A287" s="15" t="s">
        <v>54</v>
      </c>
      <c r="B287" s="15" t="s">
        <v>299</v>
      </c>
      <c r="C287" s="16">
        <v>0.34722222222222232</v>
      </c>
      <c r="D287" s="15" t="s">
        <v>58</v>
      </c>
      <c r="E287" s="15" t="s">
        <v>106</v>
      </c>
      <c r="F287" s="15" t="s">
        <v>119</v>
      </c>
      <c r="G287" s="277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</row>
    <row r="288" spans="1:92" ht="15" customHeight="1" x14ac:dyDescent="0.3">
      <c r="A288" s="15" t="s">
        <v>54</v>
      </c>
      <c r="B288" s="15" t="s">
        <v>299</v>
      </c>
      <c r="C288" s="16">
        <v>0.34722222222222232</v>
      </c>
      <c r="D288" s="15" t="s">
        <v>60</v>
      </c>
      <c r="E288" s="15" t="s">
        <v>106</v>
      </c>
      <c r="F288" s="15" t="s">
        <v>399</v>
      </c>
      <c r="G288" s="277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</row>
    <row r="289" spans="1:92" ht="15" customHeight="1" x14ac:dyDescent="0.3">
      <c r="A289" s="19" t="s">
        <v>54</v>
      </c>
      <c r="B289" s="19" t="s">
        <v>291</v>
      </c>
      <c r="C289" s="20">
        <v>0.99305555555555547</v>
      </c>
      <c r="D289" s="19" t="s">
        <v>56</v>
      </c>
      <c r="E289" s="19" t="s">
        <v>107</v>
      </c>
      <c r="F289" s="19" t="s">
        <v>115</v>
      </c>
      <c r="G289" s="277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</row>
    <row r="290" spans="1:92" ht="15" customHeight="1" x14ac:dyDescent="0.3">
      <c r="A290" s="15" t="s">
        <v>54</v>
      </c>
      <c r="B290" s="15" t="s">
        <v>291</v>
      </c>
      <c r="C290" s="16">
        <v>0.99305555555555547</v>
      </c>
      <c r="D290" s="15" t="s">
        <v>58</v>
      </c>
      <c r="E290" s="15" t="s">
        <v>106</v>
      </c>
      <c r="F290" s="15" t="s">
        <v>400</v>
      </c>
      <c r="G290" s="277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</row>
    <row r="291" spans="1:92" ht="15" customHeight="1" x14ac:dyDescent="0.3">
      <c r="A291" s="15" t="s">
        <v>54</v>
      </c>
      <c r="B291" s="15" t="s">
        <v>291</v>
      </c>
      <c r="C291" s="16">
        <v>0.99305555555555547</v>
      </c>
      <c r="D291" s="15" t="s">
        <v>60</v>
      </c>
      <c r="E291" s="15" t="s">
        <v>106</v>
      </c>
      <c r="F291" s="15" t="s">
        <v>401</v>
      </c>
      <c r="G291" s="277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</row>
    <row r="292" spans="1:92" ht="15" customHeight="1" x14ac:dyDescent="0.3">
      <c r="A292" s="19" t="s">
        <v>54</v>
      </c>
      <c r="B292" s="19" t="s">
        <v>301</v>
      </c>
      <c r="C292" s="20">
        <v>0.73611111111111116</v>
      </c>
      <c r="D292" s="19" t="s">
        <v>56</v>
      </c>
      <c r="E292" s="19" t="s">
        <v>95</v>
      </c>
      <c r="F292" s="19" t="s">
        <v>115</v>
      </c>
      <c r="G292" s="277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</row>
    <row r="293" spans="1:92" ht="15" customHeight="1" x14ac:dyDescent="0.3">
      <c r="A293" s="15" t="s">
        <v>54</v>
      </c>
      <c r="B293" s="15" t="s">
        <v>301</v>
      </c>
      <c r="C293" s="16">
        <v>0.73611111111111116</v>
      </c>
      <c r="D293" s="15" t="s">
        <v>58</v>
      </c>
      <c r="E293" s="15" t="s">
        <v>96</v>
      </c>
      <c r="F293" s="15" t="s">
        <v>400</v>
      </c>
      <c r="G293" s="277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</row>
    <row r="294" spans="1:92" ht="15" customHeight="1" x14ac:dyDescent="0.3">
      <c r="A294" s="15" t="s">
        <v>54</v>
      </c>
      <c r="B294" s="15" t="s">
        <v>301</v>
      </c>
      <c r="C294" s="16">
        <v>0.73611111111111116</v>
      </c>
      <c r="D294" s="15" t="s">
        <v>60</v>
      </c>
      <c r="E294" s="15" t="s">
        <v>96</v>
      </c>
      <c r="F294" s="15" t="s">
        <v>401</v>
      </c>
      <c r="G294" s="277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</row>
    <row r="295" spans="1:92" ht="15" customHeight="1" x14ac:dyDescent="0.3">
      <c r="A295" s="19" t="s">
        <v>54</v>
      </c>
      <c r="B295" s="19" t="s">
        <v>294</v>
      </c>
      <c r="C295" s="20">
        <v>0.83680555555555547</v>
      </c>
      <c r="D295" s="19" t="s">
        <v>56</v>
      </c>
      <c r="E295" s="19" t="s">
        <v>51</v>
      </c>
      <c r="F295" s="19" t="s">
        <v>115</v>
      </c>
      <c r="G295" s="277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</row>
    <row r="296" spans="1:92" ht="15" customHeight="1" x14ac:dyDescent="0.3">
      <c r="A296" s="15" t="s">
        <v>54</v>
      </c>
      <c r="B296" s="15" t="s">
        <v>294</v>
      </c>
      <c r="C296" s="16">
        <v>0.83680555555555547</v>
      </c>
      <c r="D296" s="15" t="s">
        <v>58</v>
      </c>
      <c r="E296" s="15" t="s">
        <v>53</v>
      </c>
      <c r="F296" s="15" t="s">
        <v>400</v>
      </c>
      <c r="G296" s="277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</row>
    <row r="297" spans="1:92" ht="15" customHeight="1" x14ac:dyDescent="0.3">
      <c r="A297" s="15" t="s">
        <v>54</v>
      </c>
      <c r="B297" s="15" t="s">
        <v>294</v>
      </c>
      <c r="C297" s="16">
        <v>0.83680555555555547</v>
      </c>
      <c r="D297" s="15" t="s">
        <v>60</v>
      </c>
      <c r="E297" s="15" t="s">
        <v>53</v>
      </c>
      <c r="F297" s="15" t="s">
        <v>401</v>
      </c>
      <c r="G297" s="277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</row>
    <row r="298" spans="1:92" ht="15" customHeight="1" x14ac:dyDescent="0.3">
      <c r="A298" s="19" t="s">
        <v>54</v>
      </c>
      <c r="B298" s="19" t="s">
        <v>295</v>
      </c>
      <c r="C298" s="20">
        <v>0.94444444444444453</v>
      </c>
      <c r="D298" s="19" t="s">
        <v>56</v>
      </c>
      <c r="E298" s="19" t="s">
        <v>93</v>
      </c>
      <c r="F298" s="19" t="s">
        <v>115</v>
      </c>
      <c r="G298" s="277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</row>
    <row r="299" spans="1:92" ht="15" customHeight="1" x14ac:dyDescent="0.3">
      <c r="A299" s="15" t="s">
        <v>54</v>
      </c>
      <c r="B299" s="15" t="s">
        <v>295</v>
      </c>
      <c r="C299" s="16">
        <v>0.94444444444444453</v>
      </c>
      <c r="D299" s="15" t="s">
        <v>58</v>
      </c>
      <c r="E299" s="15" t="s">
        <v>94</v>
      </c>
      <c r="F299" s="15" t="s">
        <v>400</v>
      </c>
      <c r="G299" s="277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</row>
    <row r="300" spans="1:92" ht="15" customHeight="1" x14ac:dyDescent="0.3">
      <c r="A300" s="15" t="s">
        <v>54</v>
      </c>
      <c r="B300" s="15" t="s">
        <v>295</v>
      </c>
      <c r="C300" s="16">
        <v>0.94444444444444453</v>
      </c>
      <c r="D300" s="15" t="s">
        <v>60</v>
      </c>
      <c r="E300" s="15" t="s">
        <v>94</v>
      </c>
      <c r="F300" s="15" t="s">
        <v>401</v>
      </c>
      <c r="G300" s="277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</row>
    <row r="301" spans="1:92" ht="15" customHeight="1" x14ac:dyDescent="0.3">
      <c r="A301" s="19" t="s">
        <v>54</v>
      </c>
      <c r="B301" s="19" t="s">
        <v>296</v>
      </c>
      <c r="C301" s="20">
        <v>0.4861111111111111</v>
      </c>
      <c r="D301" s="19" t="s">
        <v>56</v>
      </c>
      <c r="E301" s="19" t="s">
        <v>107</v>
      </c>
      <c r="F301" s="19" t="s">
        <v>115</v>
      </c>
      <c r="G301" s="277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</row>
    <row r="302" spans="1:92" ht="15" customHeight="1" x14ac:dyDescent="0.3">
      <c r="A302" s="15" t="s">
        <v>54</v>
      </c>
      <c r="B302" s="15" t="s">
        <v>296</v>
      </c>
      <c r="C302" s="16">
        <v>0.4861111111111111</v>
      </c>
      <c r="D302" s="15" t="s">
        <v>58</v>
      </c>
      <c r="E302" s="15" t="s">
        <v>106</v>
      </c>
      <c r="F302" s="15" t="s">
        <v>400</v>
      </c>
      <c r="G302" s="277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</row>
    <row r="303" spans="1:92" ht="15" customHeight="1" x14ac:dyDescent="0.3">
      <c r="A303" s="15" t="s">
        <v>54</v>
      </c>
      <c r="B303" s="15" t="s">
        <v>296</v>
      </c>
      <c r="C303" s="16">
        <v>0.4861111111111111</v>
      </c>
      <c r="D303" s="15" t="s">
        <v>60</v>
      </c>
      <c r="E303" s="15" t="s">
        <v>106</v>
      </c>
      <c r="F303" s="15" t="s">
        <v>401</v>
      </c>
      <c r="G303" s="277"/>
      <c r="H303" s="10"/>
      <c r="I303" s="11"/>
      <c r="J303" s="11"/>
      <c r="K303" s="11"/>
      <c r="L303" s="11"/>
      <c r="M303" s="11"/>
      <c r="N303" s="11"/>
      <c r="O303" s="12"/>
      <c r="P303" s="11"/>
      <c r="Q303" s="13"/>
      <c r="R303" s="14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</row>
    <row r="304" spans="1:92" ht="15" customHeight="1" x14ac:dyDescent="0.3">
      <c r="A304" s="19" t="s">
        <v>54</v>
      </c>
      <c r="B304" s="19" t="s">
        <v>298</v>
      </c>
      <c r="C304" s="20">
        <v>0.88888888888888884</v>
      </c>
      <c r="D304" s="19" t="s">
        <v>56</v>
      </c>
      <c r="E304" s="19" t="s">
        <v>107</v>
      </c>
      <c r="F304" s="19" t="s">
        <v>115</v>
      </c>
      <c r="G304" s="277"/>
      <c r="H304" s="10"/>
      <c r="I304" s="11"/>
      <c r="J304" s="11"/>
      <c r="K304" s="11"/>
      <c r="L304" s="11"/>
      <c r="M304" s="11"/>
      <c r="N304" s="11"/>
      <c r="O304" s="12"/>
      <c r="P304" s="11"/>
      <c r="Q304" s="13"/>
      <c r="R304" s="14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</row>
    <row r="305" spans="1:92" ht="15" customHeight="1" x14ac:dyDescent="0.3">
      <c r="A305" s="15" t="s">
        <v>54</v>
      </c>
      <c r="B305" s="15" t="s">
        <v>298</v>
      </c>
      <c r="C305" s="16">
        <v>0.88888888888888884</v>
      </c>
      <c r="D305" s="15" t="s">
        <v>58</v>
      </c>
      <c r="E305" s="15" t="s">
        <v>106</v>
      </c>
      <c r="F305" s="15" t="s">
        <v>400</v>
      </c>
      <c r="G305" s="277"/>
      <c r="H305" s="10"/>
      <c r="I305" s="11"/>
      <c r="J305" s="11"/>
      <c r="K305" s="11"/>
      <c r="L305" s="11"/>
      <c r="M305" s="11"/>
      <c r="N305" s="11"/>
      <c r="O305" s="12"/>
      <c r="P305" s="11"/>
      <c r="Q305" s="13"/>
      <c r="R305" s="14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</row>
    <row r="306" spans="1:92" ht="15" customHeight="1" x14ac:dyDescent="0.3">
      <c r="A306" s="15" t="s">
        <v>54</v>
      </c>
      <c r="B306" s="15" t="s">
        <v>298</v>
      </c>
      <c r="C306" s="16">
        <v>0.88888888888888884</v>
      </c>
      <c r="D306" s="15" t="s">
        <v>60</v>
      </c>
      <c r="E306" s="15" t="s">
        <v>106</v>
      </c>
      <c r="F306" s="15" t="s">
        <v>401</v>
      </c>
      <c r="G306" s="277"/>
      <c r="H306" s="10"/>
      <c r="I306" s="11"/>
      <c r="J306" s="11"/>
      <c r="K306" s="11"/>
      <c r="L306" s="11"/>
      <c r="M306" s="11"/>
      <c r="N306" s="11"/>
      <c r="O306" s="12"/>
      <c r="P306" s="11"/>
      <c r="Q306" s="13"/>
      <c r="R306" s="14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</row>
    <row r="307" spans="1:92" ht="15" customHeight="1" x14ac:dyDescent="0.3">
      <c r="A307" s="17" t="s">
        <v>285</v>
      </c>
      <c r="B307" s="17" t="s">
        <v>286</v>
      </c>
      <c r="C307" s="18">
        <v>0.49305555555555558</v>
      </c>
      <c r="D307" s="17" t="s">
        <v>81</v>
      </c>
      <c r="E307" s="17" t="s">
        <v>402</v>
      </c>
      <c r="F307" s="17" t="s">
        <v>101</v>
      </c>
      <c r="G307" s="277"/>
      <c r="H307" s="10"/>
      <c r="I307" s="11"/>
      <c r="J307" s="11"/>
      <c r="K307" s="11"/>
      <c r="L307" s="11"/>
      <c r="M307" s="11"/>
      <c r="N307" s="11"/>
      <c r="O307" s="12"/>
      <c r="P307" s="11"/>
      <c r="Q307" s="13"/>
      <c r="R307" s="14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</row>
    <row r="308" spans="1:92" ht="15" customHeight="1" x14ac:dyDescent="0.3">
      <c r="A308" s="17" t="s">
        <v>63</v>
      </c>
      <c r="B308" s="17" t="s">
        <v>323</v>
      </c>
      <c r="C308" s="18">
        <v>0.1041666666666667</v>
      </c>
      <c r="D308" s="17" t="s">
        <v>48</v>
      </c>
      <c r="E308" s="17" t="s">
        <v>38</v>
      </c>
      <c r="F308" s="17" t="s">
        <v>403</v>
      </c>
      <c r="G308" s="277"/>
      <c r="H308" s="10"/>
      <c r="I308" s="11"/>
      <c r="J308" s="11"/>
      <c r="K308" s="11"/>
      <c r="L308" s="11"/>
      <c r="M308" s="11"/>
      <c r="N308" s="11"/>
      <c r="O308" s="12"/>
      <c r="P308" s="11"/>
      <c r="Q308" s="13"/>
      <c r="R308" s="14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</row>
    <row r="309" spans="1:92" ht="15" customHeight="1" x14ac:dyDescent="0.3">
      <c r="A309" s="19" t="s">
        <v>63</v>
      </c>
      <c r="B309" s="19" t="s">
        <v>327</v>
      </c>
      <c r="C309" s="20">
        <v>4.8611111111111112E-2</v>
      </c>
      <c r="D309" s="19" t="s">
        <v>48</v>
      </c>
      <c r="E309" s="19" t="s">
        <v>45</v>
      </c>
      <c r="F309" s="19" t="s">
        <v>403</v>
      </c>
      <c r="G309" s="277"/>
      <c r="H309" s="10"/>
      <c r="I309" s="11"/>
      <c r="J309" s="11"/>
      <c r="K309" s="11"/>
      <c r="L309" s="11"/>
      <c r="M309" s="11"/>
      <c r="N309" s="11"/>
      <c r="O309" s="12"/>
      <c r="P309" s="11"/>
      <c r="Q309" s="13"/>
      <c r="R309" s="14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</row>
    <row r="310" spans="1:92" ht="15" customHeight="1" x14ac:dyDescent="0.3">
      <c r="A310" s="19" t="s">
        <v>63</v>
      </c>
      <c r="B310" s="19" t="s">
        <v>325</v>
      </c>
      <c r="C310" s="20">
        <v>0.78472222222222221</v>
      </c>
      <c r="D310" s="19" t="s">
        <v>48</v>
      </c>
      <c r="E310" s="19" t="s">
        <v>45</v>
      </c>
      <c r="F310" s="19" t="s">
        <v>355</v>
      </c>
      <c r="G310" s="277"/>
      <c r="H310" s="10"/>
      <c r="I310" s="11"/>
      <c r="J310" s="11"/>
      <c r="K310" s="11"/>
      <c r="L310" s="11"/>
      <c r="M310" s="11"/>
      <c r="N310" s="11"/>
      <c r="O310" s="12"/>
      <c r="P310" s="11"/>
      <c r="Q310" s="13"/>
      <c r="R310" s="14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</row>
    <row r="311" spans="1:92" ht="15" customHeight="1" x14ac:dyDescent="0.3">
      <c r="A311" s="19" t="s">
        <v>63</v>
      </c>
      <c r="B311" s="19" t="s">
        <v>326</v>
      </c>
      <c r="C311" s="20">
        <v>0.59722222222222221</v>
      </c>
      <c r="D311" s="19" t="s">
        <v>48</v>
      </c>
      <c r="E311" s="19" t="s">
        <v>45</v>
      </c>
      <c r="F311" s="19" t="s">
        <v>355</v>
      </c>
      <c r="G311" s="277"/>
      <c r="H311" s="10"/>
      <c r="I311" s="11"/>
      <c r="J311" s="11"/>
      <c r="K311" s="11"/>
      <c r="L311" s="11"/>
      <c r="M311" s="11"/>
      <c r="N311" s="11"/>
      <c r="O311" s="12"/>
      <c r="P311" s="11"/>
      <c r="Q311" s="13"/>
      <c r="R311" s="14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</row>
    <row r="312" spans="1:92" ht="15" customHeight="1" x14ac:dyDescent="0.3">
      <c r="A312" s="19" t="s">
        <v>63</v>
      </c>
      <c r="B312" s="19" t="s">
        <v>319</v>
      </c>
      <c r="C312" s="20">
        <v>0.83680555555555547</v>
      </c>
      <c r="D312" s="19" t="s">
        <v>48</v>
      </c>
      <c r="E312" s="19" t="s">
        <v>45</v>
      </c>
      <c r="F312" s="19" t="s">
        <v>404</v>
      </c>
      <c r="G312" s="277"/>
      <c r="H312" s="10"/>
      <c r="I312" s="11"/>
      <c r="J312" s="11"/>
      <c r="K312" s="11"/>
      <c r="L312" s="11"/>
      <c r="M312" s="11"/>
      <c r="N312" s="11"/>
      <c r="O312" s="12"/>
      <c r="P312" s="11"/>
      <c r="Q312" s="13"/>
      <c r="R312" s="14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</row>
    <row r="313" spans="1:92" ht="15" customHeight="1" x14ac:dyDescent="0.3">
      <c r="A313" s="19" t="s">
        <v>63</v>
      </c>
      <c r="B313" s="19" t="s">
        <v>321</v>
      </c>
      <c r="C313" s="20">
        <v>0.2986111111111111</v>
      </c>
      <c r="D313" s="19" t="s">
        <v>48</v>
      </c>
      <c r="E313" s="19" t="s">
        <v>45</v>
      </c>
      <c r="F313" s="19" t="s">
        <v>320</v>
      </c>
      <c r="G313" s="277"/>
      <c r="H313" s="10"/>
      <c r="I313" s="11"/>
      <c r="J313" s="11"/>
      <c r="K313" s="11"/>
      <c r="L313" s="11"/>
      <c r="M313" s="11"/>
      <c r="N313" s="11"/>
      <c r="O313" s="12"/>
      <c r="P313" s="11"/>
      <c r="Q313" s="13"/>
      <c r="R313" s="14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</row>
    <row r="314" spans="1:92" ht="15" customHeight="1" x14ac:dyDescent="0.3">
      <c r="A314" s="17" t="s">
        <v>35</v>
      </c>
      <c r="B314" s="17" t="s">
        <v>302</v>
      </c>
      <c r="C314" s="18">
        <v>0.11805555555555559</v>
      </c>
      <c r="D314" s="17" t="s">
        <v>42</v>
      </c>
      <c r="E314" s="17" t="s">
        <v>38</v>
      </c>
      <c r="F314" s="17" t="s">
        <v>363</v>
      </c>
      <c r="G314" s="277"/>
      <c r="H314" s="10"/>
      <c r="I314" s="11"/>
      <c r="J314" s="11"/>
      <c r="K314" s="11"/>
      <c r="L314" s="11"/>
      <c r="M314" s="11"/>
      <c r="N314" s="11"/>
      <c r="O314" s="12"/>
      <c r="P314" s="11"/>
      <c r="Q314" s="13"/>
      <c r="R314" s="14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</row>
    <row r="315" spans="1:92" ht="15" customHeight="1" x14ac:dyDescent="0.3">
      <c r="A315" s="19" t="s">
        <v>35</v>
      </c>
      <c r="B315" s="19" t="s">
        <v>314</v>
      </c>
      <c r="C315" s="20">
        <v>4.1666666666666657E-2</v>
      </c>
      <c r="D315" s="19" t="s">
        <v>42</v>
      </c>
      <c r="E315" s="19" t="s">
        <v>45</v>
      </c>
      <c r="F315" s="19" t="s">
        <v>363</v>
      </c>
      <c r="G315" s="277"/>
      <c r="H315" s="10"/>
      <c r="I315" s="11"/>
      <c r="J315" s="11"/>
      <c r="K315" s="11"/>
      <c r="L315" s="11"/>
      <c r="M315" s="11"/>
      <c r="N315" s="11"/>
      <c r="O315" s="12"/>
      <c r="P315" s="11"/>
      <c r="Q315" s="13"/>
      <c r="R315" s="14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</row>
    <row r="316" spans="1:92" ht="15" customHeight="1" x14ac:dyDescent="0.3">
      <c r="A316" s="19" t="s">
        <v>35</v>
      </c>
      <c r="B316" s="19" t="s">
        <v>316</v>
      </c>
      <c r="C316" s="20">
        <v>0.48958333333333331</v>
      </c>
      <c r="D316" s="19" t="s">
        <v>42</v>
      </c>
      <c r="E316" s="19" t="s">
        <v>45</v>
      </c>
      <c r="F316" s="19" t="s">
        <v>311</v>
      </c>
      <c r="G316" s="277"/>
      <c r="H316" s="10"/>
      <c r="I316" s="11"/>
      <c r="J316" s="11"/>
      <c r="K316" s="11"/>
      <c r="L316" s="11"/>
      <c r="M316" s="11"/>
      <c r="N316" s="11"/>
      <c r="O316" s="12"/>
      <c r="P316" s="11"/>
      <c r="Q316" s="13"/>
      <c r="R316" s="14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</row>
    <row r="317" spans="1:92" ht="15" customHeight="1" x14ac:dyDescent="0.3">
      <c r="A317" s="19" t="s">
        <v>35</v>
      </c>
      <c r="B317" s="19" t="s">
        <v>310</v>
      </c>
      <c r="C317" s="20">
        <v>0.82986111111111116</v>
      </c>
      <c r="D317" s="19" t="s">
        <v>42</v>
      </c>
      <c r="E317" s="19" t="s">
        <v>45</v>
      </c>
      <c r="F317" s="19" t="s">
        <v>311</v>
      </c>
      <c r="G317" s="277"/>
      <c r="H317" s="10"/>
      <c r="I317" s="11"/>
      <c r="J317" s="11"/>
      <c r="K317" s="11"/>
      <c r="L317" s="11"/>
      <c r="M317" s="11"/>
      <c r="N317" s="11"/>
      <c r="O317" s="12"/>
      <c r="P317" s="11"/>
      <c r="Q317" s="13"/>
      <c r="R317" s="14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</row>
    <row r="318" spans="1:92" ht="15" customHeight="1" x14ac:dyDescent="0.3">
      <c r="A318" s="19" t="s">
        <v>35</v>
      </c>
      <c r="B318" s="19" t="s">
        <v>318</v>
      </c>
      <c r="C318" s="20">
        <v>0.72222222222222221</v>
      </c>
      <c r="D318" s="19" t="s">
        <v>42</v>
      </c>
      <c r="E318" s="19" t="s">
        <v>45</v>
      </c>
      <c r="F318" s="19" t="s">
        <v>311</v>
      </c>
      <c r="G318" s="277"/>
      <c r="H318" s="10"/>
      <c r="I318" s="11"/>
      <c r="J318" s="11"/>
      <c r="K318" s="11"/>
      <c r="L318" s="11"/>
      <c r="M318" s="11"/>
      <c r="N318" s="11"/>
      <c r="O318" s="12"/>
      <c r="P318" s="11"/>
      <c r="Q318" s="13"/>
      <c r="R318" s="14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</row>
    <row r="319" spans="1:92" ht="15" customHeight="1" x14ac:dyDescent="0.3">
      <c r="A319" s="19" t="s">
        <v>35</v>
      </c>
      <c r="B319" s="19" t="s">
        <v>312</v>
      </c>
      <c r="C319" s="20">
        <v>0.70138888888888884</v>
      </c>
      <c r="D319" s="19" t="s">
        <v>42</v>
      </c>
      <c r="E319" s="19" t="s">
        <v>45</v>
      </c>
      <c r="F319" s="19" t="s">
        <v>311</v>
      </c>
      <c r="G319" s="277"/>
      <c r="H319" s="10"/>
      <c r="I319" s="11"/>
      <c r="J319" s="11"/>
      <c r="K319" s="11"/>
      <c r="L319" s="11"/>
      <c r="M319" s="11"/>
      <c r="N319" s="11"/>
      <c r="O319" s="12"/>
      <c r="P319" s="11"/>
      <c r="Q319" s="13"/>
      <c r="R319" s="14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</row>
    <row r="320" spans="1:92" ht="15" customHeight="1" x14ac:dyDescent="0.3">
      <c r="A320" s="19" t="s">
        <v>35</v>
      </c>
      <c r="B320" s="19" t="s">
        <v>313</v>
      </c>
      <c r="C320" s="20">
        <v>0.25347222222222221</v>
      </c>
      <c r="D320" s="19" t="s">
        <v>42</v>
      </c>
      <c r="E320" s="19" t="s">
        <v>45</v>
      </c>
      <c r="F320" s="19" t="s">
        <v>311</v>
      </c>
      <c r="G320" s="277"/>
      <c r="H320" s="10"/>
      <c r="I320" s="11"/>
      <c r="J320" s="11"/>
      <c r="K320" s="11"/>
      <c r="L320" s="11"/>
      <c r="M320" s="11"/>
      <c r="N320" s="11"/>
      <c r="O320" s="12"/>
      <c r="P320" s="11"/>
      <c r="Q320" s="13"/>
      <c r="R320" s="14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</row>
    <row r="321" spans="1:92" ht="15" customHeight="1" x14ac:dyDescent="0.3">
      <c r="A321" s="19" t="s">
        <v>35</v>
      </c>
      <c r="B321" s="19" t="s">
        <v>315</v>
      </c>
      <c r="C321" s="20">
        <v>0.94097222222222221</v>
      </c>
      <c r="D321" s="19" t="s">
        <v>42</v>
      </c>
      <c r="E321" s="19" t="s">
        <v>45</v>
      </c>
      <c r="F321" s="19" t="s">
        <v>311</v>
      </c>
      <c r="G321" s="277"/>
      <c r="H321" s="10"/>
      <c r="I321" s="11"/>
      <c r="J321" s="11"/>
      <c r="K321" s="11"/>
      <c r="L321" s="11"/>
      <c r="M321" s="11"/>
      <c r="N321" s="11"/>
      <c r="O321" s="12"/>
      <c r="P321" s="11"/>
      <c r="Q321" s="13"/>
      <c r="R321" s="14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</row>
    <row r="322" spans="1:92" ht="15" customHeight="1" x14ac:dyDescent="0.3">
      <c r="A322" s="19" t="s">
        <v>35</v>
      </c>
      <c r="B322" s="19" t="s">
        <v>306</v>
      </c>
      <c r="C322" s="20">
        <v>0.98958333333333337</v>
      </c>
      <c r="D322" s="19" t="s">
        <v>42</v>
      </c>
      <c r="E322" s="19" t="s">
        <v>51</v>
      </c>
      <c r="F322" s="19" t="s">
        <v>364</v>
      </c>
      <c r="G322" s="277"/>
      <c r="H322" s="10"/>
      <c r="I322" s="11"/>
      <c r="J322" s="11"/>
      <c r="K322" s="11"/>
      <c r="L322" s="11"/>
      <c r="M322" s="11"/>
      <c r="N322" s="11"/>
      <c r="O322" s="12"/>
      <c r="P322" s="11"/>
      <c r="Q322" s="13"/>
      <c r="R322" s="14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</row>
    <row r="323" spans="1:92" ht="15" customHeight="1" x14ac:dyDescent="0.3">
      <c r="A323" s="19" t="s">
        <v>35</v>
      </c>
      <c r="B323" s="19" t="s">
        <v>304</v>
      </c>
      <c r="C323" s="20">
        <v>0.39930555555555558</v>
      </c>
      <c r="D323" s="19" t="s">
        <v>42</v>
      </c>
      <c r="E323" s="19" t="s">
        <v>51</v>
      </c>
      <c r="F323" s="19" t="s">
        <v>364</v>
      </c>
      <c r="G323" s="277"/>
      <c r="H323" s="10"/>
      <c r="I323" s="11"/>
      <c r="J323" s="11"/>
      <c r="K323" s="11"/>
      <c r="L323" s="11"/>
      <c r="M323" s="11"/>
      <c r="N323" s="11"/>
      <c r="O323" s="12"/>
      <c r="P323" s="11"/>
      <c r="Q323" s="13"/>
      <c r="R323" s="14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</row>
    <row r="324" spans="1:92" ht="15" customHeight="1" x14ac:dyDescent="0.3">
      <c r="A324" s="19" t="s">
        <v>35</v>
      </c>
      <c r="B324" s="19" t="s">
        <v>308</v>
      </c>
      <c r="C324" s="20">
        <v>0.48958333333333331</v>
      </c>
      <c r="D324" s="19" t="s">
        <v>42</v>
      </c>
      <c r="E324" s="19" t="s">
        <v>51</v>
      </c>
      <c r="F324" s="19" t="s">
        <v>364</v>
      </c>
      <c r="G324" s="277"/>
      <c r="H324" s="10"/>
      <c r="I324" s="11"/>
      <c r="J324" s="11"/>
      <c r="K324" s="11"/>
      <c r="L324" s="11"/>
      <c r="M324" s="11"/>
      <c r="N324" s="11"/>
      <c r="O324" s="12"/>
      <c r="P324" s="11"/>
      <c r="Q324" s="13"/>
      <c r="R324" s="14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</row>
    <row r="325" spans="1:92" ht="15" customHeight="1" x14ac:dyDescent="0.3">
      <c r="A325" s="63" t="s">
        <v>35</v>
      </c>
      <c r="B325" s="63" t="s">
        <v>309</v>
      </c>
      <c r="C325" s="64">
        <v>0.88888888888888884</v>
      </c>
      <c r="D325" s="63" t="s">
        <v>42</v>
      </c>
      <c r="E325" s="63" t="s">
        <v>51</v>
      </c>
      <c r="F325" s="63" t="s">
        <v>354</v>
      </c>
      <c r="G325" s="278"/>
      <c r="H325" s="58"/>
      <c r="I325" s="59"/>
      <c r="J325" s="59"/>
      <c r="K325" s="59"/>
      <c r="L325" s="59"/>
      <c r="M325" s="59"/>
      <c r="N325" s="59"/>
      <c r="O325" s="60"/>
      <c r="P325" s="59"/>
      <c r="Q325" s="61"/>
      <c r="R325" s="62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</row>
    <row r="326" spans="1:92" ht="14.4" customHeight="1" x14ac:dyDescent="0.3">
      <c r="A326" s="279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1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</row>
    <row r="327" spans="1:92" ht="22.05" customHeight="1" x14ac:dyDescent="0.3">
      <c r="A327" s="290" t="s">
        <v>5</v>
      </c>
      <c r="B327" s="291"/>
      <c r="C327" s="291"/>
      <c r="D327" s="291"/>
      <c r="E327" s="291"/>
      <c r="F327" s="291"/>
      <c r="G327" s="5">
        <v>45990</v>
      </c>
      <c r="H327" s="274" t="s">
        <v>6</v>
      </c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</row>
    <row r="328" spans="1:92" ht="24" customHeight="1" x14ac:dyDescent="0.3">
      <c r="A328" s="31" t="s">
        <v>7</v>
      </c>
      <c r="B328" s="31" t="s">
        <v>8</v>
      </c>
      <c r="C328" s="32" t="s">
        <v>9</v>
      </c>
      <c r="D328" s="31" t="s">
        <v>10</v>
      </c>
      <c r="E328" s="31" t="s">
        <v>11</v>
      </c>
      <c r="F328" s="31" t="s">
        <v>12</v>
      </c>
      <c r="G328" s="33" t="s">
        <v>13</v>
      </c>
      <c r="H328" s="31" t="s">
        <v>14</v>
      </c>
      <c r="I328" s="34" t="s">
        <v>15</v>
      </c>
      <c r="J328" s="35" t="s">
        <v>16</v>
      </c>
      <c r="K328" s="36" t="s">
        <v>17</v>
      </c>
      <c r="L328" s="35" t="s">
        <v>18</v>
      </c>
      <c r="M328" s="35" t="s">
        <v>19</v>
      </c>
      <c r="N328" s="35" t="s">
        <v>20</v>
      </c>
      <c r="O328" s="31" t="s">
        <v>21</v>
      </c>
      <c r="P328" s="32" t="s">
        <v>22</v>
      </c>
      <c r="Q328" s="35" t="s">
        <v>23</v>
      </c>
      <c r="R328" s="31" t="s">
        <v>24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</row>
    <row r="329" spans="1:92" ht="15" customHeight="1" x14ac:dyDescent="0.3">
      <c r="A329" s="8" t="s">
        <v>280</v>
      </c>
      <c r="B329" s="8" t="s">
        <v>357</v>
      </c>
      <c r="C329" s="9">
        <v>0.1701388888888889</v>
      </c>
      <c r="D329" s="8" t="s">
        <v>282</v>
      </c>
      <c r="E329" s="8" t="s">
        <v>82</v>
      </c>
      <c r="F329" s="8" t="s">
        <v>405</v>
      </c>
      <c r="G329" s="276"/>
      <c r="H329" s="10"/>
      <c r="I329" s="11"/>
      <c r="J329" s="11"/>
      <c r="K329" s="11"/>
      <c r="L329" s="11"/>
      <c r="M329" s="11"/>
      <c r="N329" s="11"/>
      <c r="O329" s="12"/>
      <c r="P329" s="11"/>
      <c r="Q329" s="13"/>
      <c r="R329" s="14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</row>
    <row r="330" spans="1:92" ht="15" customHeight="1" x14ac:dyDescent="0.3">
      <c r="A330" s="15" t="s">
        <v>280</v>
      </c>
      <c r="B330" s="15" t="s">
        <v>357</v>
      </c>
      <c r="C330" s="16">
        <v>0.1701388888888889</v>
      </c>
      <c r="D330" s="15" t="s">
        <v>33</v>
      </c>
      <c r="E330" s="15" t="s">
        <v>92</v>
      </c>
      <c r="F330" s="15" t="s">
        <v>406</v>
      </c>
      <c r="G330" s="277"/>
      <c r="H330" s="10"/>
      <c r="I330" s="11"/>
      <c r="J330" s="11"/>
      <c r="K330" s="11"/>
      <c r="L330" s="11"/>
      <c r="M330" s="11"/>
      <c r="N330" s="11"/>
      <c r="O330" s="12"/>
      <c r="P330" s="11"/>
      <c r="Q330" s="13"/>
      <c r="R330" s="14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</row>
    <row r="331" spans="1:92" ht="15" customHeight="1" x14ac:dyDescent="0.3">
      <c r="A331" s="19" t="s">
        <v>280</v>
      </c>
      <c r="B331" s="19" t="s">
        <v>281</v>
      </c>
      <c r="C331" s="20">
        <v>5.5555555555555552E-2</v>
      </c>
      <c r="D331" s="19" t="s">
        <v>282</v>
      </c>
      <c r="E331" s="19" t="s">
        <v>107</v>
      </c>
      <c r="F331" s="19" t="s">
        <v>407</v>
      </c>
      <c r="G331" s="277"/>
      <c r="H331" s="10"/>
      <c r="I331" s="11"/>
      <c r="J331" s="11"/>
      <c r="K331" s="11"/>
      <c r="L331" s="11"/>
      <c r="M331" s="11"/>
      <c r="N331" s="11"/>
      <c r="O331" s="12"/>
      <c r="P331" s="11"/>
      <c r="Q331" s="13"/>
      <c r="R331" s="14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</row>
    <row r="332" spans="1:92" ht="15" customHeight="1" x14ac:dyDescent="0.3">
      <c r="A332" s="15" t="s">
        <v>280</v>
      </c>
      <c r="B332" s="15" t="s">
        <v>281</v>
      </c>
      <c r="C332" s="16">
        <v>5.5555555555555552E-2</v>
      </c>
      <c r="D332" s="15" t="s">
        <v>33</v>
      </c>
      <c r="E332" s="15" t="s">
        <v>106</v>
      </c>
      <c r="F332" s="15" t="s">
        <v>408</v>
      </c>
      <c r="G332" s="277"/>
      <c r="H332" s="10"/>
      <c r="I332" s="11"/>
      <c r="J332" s="11"/>
      <c r="K332" s="11"/>
      <c r="L332" s="11"/>
      <c r="M332" s="11"/>
      <c r="N332" s="11"/>
      <c r="O332" s="12"/>
      <c r="P332" s="11"/>
      <c r="Q332" s="13"/>
      <c r="R332" s="14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</row>
    <row r="333" spans="1:92" ht="15" customHeight="1" x14ac:dyDescent="0.3">
      <c r="A333" s="17" t="s">
        <v>285</v>
      </c>
      <c r="B333" s="17" t="s">
        <v>288</v>
      </c>
      <c r="C333" s="18">
        <v>4.1666666666666657E-2</v>
      </c>
      <c r="D333" s="17" t="s">
        <v>81</v>
      </c>
      <c r="E333" s="17" t="s">
        <v>383</v>
      </c>
      <c r="F333" s="17" t="s">
        <v>353</v>
      </c>
      <c r="G333" s="277"/>
      <c r="H333" s="10"/>
      <c r="I333" s="11"/>
      <c r="J333" s="11"/>
      <c r="K333" s="11"/>
      <c r="L333" s="11"/>
      <c r="M333" s="11"/>
      <c r="N333" s="11"/>
      <c r="O333" s="12"/>
      <c r="P333" s="11"/>
      <c r="Q333" s="13"/>
      <c r="R333" s="14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</row>
    <row r="334" spans="1:92" ht="15" customHeight="1" x14ac:dyDescent="0.3">
      <c r="A334" s="19" t="s">
        <v>285</v>
      </c>
      <c r="B334" s="19" t="s">
        <v>286</v>
      </c>
      <c r="C334" s="20">
        <v>0.49305555555555558</v>
      </c>
      <c r="D334" s="19" t="s">
        <v>81</v>
      </c>
      <c r="E334" s="19" t="s">
        <v>121</v>
      </c>
      <c r="F334" s="19" t="s">
        <v>101</v>
      </c>
      <c r="G334" s="277"/>
      <c r="H334" s="10"/>
      <c r="I334" s="11"/>
      <c r="J334" s="11"/>
      <c r="K334" s="11"/>
      <c r="L334" s="11"/>
      <c r="M334" s="11"/>
      <c r="N334" s="11"/>
      <c r="O334" s="12"/>
      <c r="P334" s="11"/>
      <c r="Q334" s="13"/>
      <c r="R334" s="14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</row>
    <row r="335" spans="1:92" ht="15" customHeight="1" x14ac:dyDescent="0.3">
      <c r="A335" s="17" t="s">
        <v>25</v>
      </c>
      <c r="B335" s="17" t="s">
        <v>278</v>
      </c>
      <c r="C335" s="18">
        <v>0.39930555555555558</v>
      </c>
      <c r="D335" s="17" t="s">
        <v>27</v>
      </c>
      <c r="E335" s="17" t="s">
        <v>28</v>
      </c>
      <c r="F335" s="17" t="s">
        <v>335</v>
      </c>
      <c r="G335" s="277"/>
      <c r="H335" s="10"/>
      <c r="I335" s="11"/>
      <c r="J335" s="11"/>
      <c r="K335" s="11"/>
      <c r="L335" s="11"/>
      <c r="M335" s="11"/>
      <c r="N335" s="11"/>
      <c r="O335" s="12"/>
      <c r="P335" s="11"/>
      <c r="Q335" s="13"/>
      <c r="R335" s="14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</row>
    <row r="336" spans="1:92" ht="15" customHeight="1" x14ac:dyDescent="0.3">
      <c r="A336" s="15" t="s">
        <v>25</v>
      </c>
      <c r="B336" s="15" t="s">
        <v>278</v>
      </c>
      <c r="C336" s="16">
        <v>0.39930555555555558</v>
      </c>
      <c r="D336" s="15" t="s">
        <v>30</v>
      </c>
      <c r="E336" s="15" t="s">
        <v>31</v>
      </c>
      <c r="F336" s="15" t="s">
        <v>61</v>
      </c>
      <c r="G336" s="277"/>
      <c r="H336" s="10"/>
      <c r="I336" s="11"/>
      <c r="J336" s="11"/>
      <c r="K336" s="11"/>
      <c r="L336" s="11"/>
      <c r="M336" s="11"/>
      <c r="N336" s="11"/>
      <c r="O336" s="12"/>
      <c r="P336" s="11"/>
      <c r="Q336" s="13"/>
      <c r="R336" s="14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</row>
    <row r="337" spans="1:92" ht="15" customHeight="1" x14ac:dyDescent="0.3">
      <c r="A337" s="15" t="s">
        <v>25</v>
      </c>
      <c r="B337" s="15" t="s">
        <v>278</v>
      </c>
      <c r="C337" s="16">
        <v>0.39930555555555558</v>
      </c>
      <c r="D337" s="15" t="s">
        <v>33</v>
      </c>
      <c r="E337" s="15" t="s">
        <v>31</v>
      </c>
      <c r="F337" s="15" t="s">
        <v>370</v>
      </c>
      <c r="G337" s="277"/>
      <c r="H337" s="10"/>
      <c r="I337" s="11"/>
      <c r="J337" s="11"/>
      <c r="K337" s="11"/>
      <c r="L337" s="11"/>
      <c r="M337" s="11"/>
      <c r="N337" s="11"/>
      <c r="O337" s="12"/>
      <c r="P337" s="11"/>
      <c r="Q337" s="13"/>
      <c r="R337" s="14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</row>
    <row r="338" spans="1:92" ht="15" customHeight="1" x14ac:dyDescent="0.3">
      <c r="A338" s="19" t="s">
        <v>25</v>
      </c>
      <c r="B338" s="19" t="s">
        <v>273</v>
      </c>
      <c r="C338" s="20">
        <v>0.48958333333333331</v>
      </c>
      <c r="D338" s="19" t="s">
        <v>27</v>
      </c>
      <c r="E338" s="19" t="s">
        <v>93</v>
      </c>
      <c r="F338" s="19" t="s">
        <v>119</v>
      </c>
      <c r="G338" s="277"/>
      <c r="H338" s="10"/>
      <c r="I338" s="11"/>
      <c r="J338" s="11"/>
      <c r="K338" s="11"/>
      <c r="L338" s="11"/>
      <c r="M338" s="11"/>
      <c r="N338" s="11"/>
      <c r="O338" s="12"/>
      <c r="P338" s="11"/>
      <c r="Q338" s="13"/>
      <c r="R338" s="14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</row>
    <row r="339" spans="1:92" ht="15" customHeight="1" x14ac:dyDescent="0.3">
      <c r="A339" s="15" t="s">
        <v>25</v>
      </c>
      <c r="B339" s="15" t="s">
        <v>273</v>
      </c>
      <c r="C339" s="16">
        <v>0.48958333333333331</v>
      </c>
      <c r="D339" s="15" t="s">
        <v>30</v>
      </c>
      <c r="E339" s="15" t="s">
        <v>94</v>
      </c>
      <c r="F339" s="15" t="s">
        <v>34</v>
      </c>
      <c r="G339" s="277"/>
      <c r="H339" s="10"/>
      <c r="I339" s="11"/>
      <c r="J339" s="11"/>
      <c r="K339" s="11"/>
      <c r="L339" s="11"/>
      <c r="M339" s="11"/>
      <c r="N339" s="11"/>
      <c r="O339" s="12"/>
      <c r="P339" s="11"/>
      <c r="Q339" s="13"/>
      <c r="R339" s="14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</row>
    <row r="340" spans="1:92" ht="15" customHeight="1" x14ac:dyDescent="0.3">
      <c r="A340" s="15" t="s">
        <v>25</v>
      </c>
      <c r="B340" s="15" t="s">
        <v>273</v>
      </c>
      <c r="C340" s="16">
        <v>0.48958333333333331</v>
      </c>
      <c r="D340" s="15" t="s">
        <v>33</v>
      </c>
      <c r="E340" s="15" t="s">
        <v>94</v>
      </c>
      <c r="F340" s="15" t="s">
        <v>409</v>
      </c>
      <c r="G340" s="277"/>
      <c r="H340" s="10"/>
      <c r="I340" s="11"/>
      <c r="J340" s="11"/>
      <c r="K340" s="11"/>
      <c r="L340" s="11"/>
      <c r="M340" s="11"/>
      <c r="N340" s="11"/>
      <c r="O340" s="12"/>
      <c r="P340" s="11"/>
      <c r="Q340" s="13"/>
      <c r="R340" s="14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</row>
    <row r="341" spans="1:92" ht="15" customHeight="1" x14ac:dyDescent="0.3">
      <c r="A341" s="19" t="s">
        <v>25</v>
      </c>
      <c r="B341" s="19" t="s">
        <v>277</v>
      </c>
      <c r="C341" s="20">
        <v>0.88888888888888884</v>
      </c>
      <c r="D341" s="19" t="s">
        <v>27</v>
      </c>
      <c r="E341" s="19" t="s">
        <v>410</v>
      </c>
      <c r="F341" s="19" t="s">
        <v>119</v>
      </c>
      <c r="G341" s="277"/>
      <c r="H341" s="10"/>
      <c r="I341" s="11"/>
      <c r="J341" s="11"/>
      <c r="K341" s="11"/>
      <c r="L341" s="11"/>
      <c r="M341" s="11"/>
      <c r="N341" s="11"/>
      <c r="O341" s="12"/>
      <c r="P341" s="11"/>
      <c r="Q341" s="13"/>
      <c r="R341" s="14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</row>
    <row r="342" spans="1:92" ht="15" customHeight="1" x14ac:dyDescent="0.3">
      <c r="A342" s="15" t="s">
        <v>25</v>
      </c>
      <c r="B342" s="15" t="s">
        <v>277</v>
      </c>
      <c r="C342" s="16">
        <v>0.88888888888888884</v>
      </c>
      <c r="D342" s="15" t="s">
        <v>30</v>
      </c>
      <c r="E342" s="15" t="s">
        <v>411</v>
      </c>
      <c r="F342" s="15" t="s">
        <v>34</v>
      </c>
      <c r="G342" s="277"/>
      <c r="H342" s="10"/>
      <c r="I342" s="11"/>
      <c r="J342" s="11"/>
      <c r="K342" s="11"/>
      <c r="L342" s="11"/>
      <c r="M342" s="11"/>
      <c r="N342" s="11"/>
      <c r="O342" s="12"/>
      <c r="P342" s="11"/>
      <c r="Q342" s="13"/>
      <c r="R342" s="14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</row>
    <row r="343" spans="1:92" ht="15" customHeight="1" x14ac:dyDescent="0.3">
      <c r="A343" s="15" t="s">
        <v>25</v>
      </c>
      <c r="B343" s="15" t="s">
        <v>277</v>
      </c>
      <c r="C343" s="16">
        <v>0.88888888888888884</v>
      </c>
      <c r="D343" s="15" t="s">
        <v>33</v>
      </c>
      <c r="E343" s="15" t="s">
        <v>411</v>
      </c>
      <c r="F343" s="15" t="s">
        <v>409</v>
      </c>
      <c r="G343" s="277"/>
      <c r="H343" s="10"/>
      <c r="I343" s="11"/>
      <c r="J343" s="11"/>
      <c r="K343" s="11"/>
      <c r="L343" s="11"/>
      <c r="M343" s="11"/>
      <c r="N343" s="11"/>
      <c r="O343" s="12"/>
      <c r="P343" s="11"/>
      <c r="Q343" s="13"/>
      <c r="R343" s="14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</row>
    <row r="344" spans="1:92" ht="15" customHeight="1" x14ac:dyDescent="0.3">
      <c r="A344" s="19" t="s">
        <v>25</v>
      </c>
      <c r="B344" s="19" t="s">
        <v>272</v>
      </c>
      <c r="C344" s="20">
        <v>0.98958333333333337</v>
      </c>
      <c r="D344" s="19" t="s">
        <v>27</v>
      </c>
      <c r="E344" s="19" t="s">
        <v>412</v>
      </c>
      <c r="F344" s="19" t="s">
        <v>119</v>
      </c>
      <c r="G344" s="277"/>
      <c r="H344" s="10"/>
      <c r="I344" s="11"/>
      <c r="J344" s="11"/>
      <c r="K344" s="11"/>
      <c r="L344" s="11"/>
      <c r="M344" s="11"/>
      <c r="N344" s="11"/>
      <c r="O344" s="12"/>
      <c r="P344" s="11"/>
      <c r="Q344" s="13"/>
      <c r="R344" s="14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</row>
    <row r="345" spans="1:92" ht="15" customHeight="1" x14ac:dyDescent="0.3">
      <c r="A345" s="15" t="s">
        <v>25</v>
      </c>
      <c r="B345" s="15" t="s">
        <v>272</v>
      </c>
      <c r="C345" s="16">
        <v>0.98958333333333337</v>
      </c>
      <c r="D345" s="15" t="s">
        <v>30</v>
      </c>
      <c r="E345" s="15" t="s">
        <v>413</v>
      </c>
      <c r="F345" s="15" t="s">
        <v>34</v>
      </c>
      <c r="G345" s="277"/>
      <c r="H345" s="10"/>
      <c r="I345" s="11"/>
      <c r="J345" s="11"/>
      <c r="K345" s="11"/>
      <c r="L345" s="11"/>
      <c r="M345" s="11"/>
      <c r="N345" s="11"/>
      <c r="O345" s="12"/>
      <c r="P345" s="11"/>
      <c r="Q345" s="13"/>
      <c r="R345" s="14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</row>
    <row r="346" spans="1:92" ht="15" customHeight="1" x14ac:dyDescent="0.3">
      <c r="A346" s="15" t="s">
        <v>25</v>
      </c>
      <c r="B346" s="15" t="s">
        <v>272</v>
      </c>
      <c r="C346" s="16">
        <v>0.98958333333333337</v>
      </c>
      <c r="D346" s="15" t="s">
        <v>33</v>
      </c>
      <c r="E346" s="15" t="s">
        <v>413</v>
      </c>
      <c r="F346" s="15" t="s">
        <v>409</v>
      </c>
      <c r="G346" s="277"/>
      <c r="H346" s="10"/>
      <c r="I346" s="11"/>
      <c r="J346" s="11"/>
      <c r="K346" s="11"/>
      <c r="L346" s="11"/>
      <c r="M346" s="11"/>
      <c r="N346" s="11"/>
      <c r="O346" s="12"/>
      <c r="P346" s="11"/>
      <c r="Q346" s="13"/>
      <c r="R346" s="14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</row>
    <row r="347" spans="1:92" ht="15" customHeight="1" x14ac:dyDescent="0.3">
      <c r="A347" s="17" t="s">
        <v>63</v>
      </c>
      <c r="B347" s="17" t="s">
        <v>322</v>
      </c>
      <c r="C347" s="18">
        <v>0.97222222222222221</v>
      </c>
      <c r="D347" s="17" t="s">
        <v>48</v>
      </c>
      <c r="E347" s="17" t="s">
        <v>38</v>
      </c>
      <c r="F347" s="17" t="s">
        <v>403</v>
      </c>
      <c r="G347" s="277"/>
      <c r="H347" s="10"/>
      <c r="I347" s="11"/>
      <c r="J347" s="11"/>
      <c r="K347" s="11"/>
      <c r="L347" s="11"/>
      <c r="M347" s="11"/>
      <c r="N347" s="11"/>
      <c r="O347" s="12"/>
      <c r="P347" s="11"/>
      <c r="Q347" s="13"/>
      <c r="R347" s="14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</row>
    <row r="348" spans="1:92" ht="15" customHeight="1" x14ac:dyDescent="0.3">
      <c r="A348" s="19" t="s">
        <v>63</v>
      </c>
      <c r="B348" s="19" t="s">
        <v>323</v>
      </c>
      <c r="C348" s="20">
        <v>0.1076388888888889</v>
      </c>
      <c r="D348" s="19" t="s">
        <v>48</v>
      </c>
      <c r="E348" s="19" t="s">
        <v>45</v>
      </c>
      <c r="F348" s="19" t="s">
        <v>414</v>
      </c>
      <c r="G348" s="277"/>
      <c r="H348" s="10"/>
      <c r="I348" s="11"/>
      <c r="J348" s="11"/>
      <c r="K348" s="11"/>
      <c r="L348" s="11"/>
      <c r="M348" s="11"/>
      <c r="N348" s="11"/>
      <c r="O348" s="12"/>
      <c r="P348" s="11"/>
      <c r="Q348" s="13"/>
      <c r="R348" s="14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</row>
    <row r="349" spans="1:92" ht="15" customHeight="1" x14ac:dyDescent="0.3">
      <c r="A349" s="19" t="s">
        <v>63</v>
      </c>
      <c r="B349" s="19" t="s">
        <v>321</v>
      </c>
      <c r="C349" s="20">
        <v>0.3125</v>
      </c>
      <c r="D349" s="19" t="s">
        <v>48</v>
      </c>
      <c r="E349" s="19" t="s">
        <v>45</v>
      </c>
      <c r="F349" s="19" t="s">
        <v>355</v>
      </c>
      <c r="G349" s="277"/>
      <c r="H349" s="10"/>
      <c r="I349" s="11"/>
      <c r="J349" s="11"/>
      <c r="K349" s="11"/>
      <c r="L349" s="11"/>
      <c r="M349" s="11"/>
      <c r="N349" s="11"/>
      <c r="O349" s="12"/>
      <c r="P349" s="11"/>
      <c r="Q349" s="13"/>
      <c r="R349" s="14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</row>
    <row r="350" spans="1:92" ht="15" customHeight="1" x14ac:dyDescent="0.3">
      <c r="A350" s="19" t="s">
        <v>63</v>
      </c>
      <c r="B350" s="19" t="s">
        <v>325</v>
      </c>
      <c r="C350" s="20">
        <v>0.78472222222222221</v>
      </c>
      <c r="D350" s="19" t="s">
        <v>48</v>
      </c>
      <c r="E350" s="19" t="s">
        <v>45</v>
      </c>
      <c r="F350" s="19" t="s">
        <v>355</v>
      </c>
      <c r="G350" s="277"/>
      <c r="H350" s="10"/>
      <c r="I350" s="11"/>
      <c r="J350" s="11"/>
      <c r="K350" s="11"/>
      <c r="L350" s="11"/>
      <c r="M350" s="11"/>
      <c r="N350" s="11"/>
      <c r="O350" s="12"/>
      <c r="P350" s="11"/>
      <c r="Q350" s="13"/>
      <c r="R350" s="14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</row>
    <row r="351" spans="1:92" ht="15" customHeight="1" x14ac:dyDescent="0.3">
      <c r="A351" s="19" t="s">
        <v>63</v>
      </c>
      <c r="B351" s="19" t="s">
        <v>319</v>
      </c>
      <c r="C351" s="20">
        <v>0.83680555555555547</v>
      </c>
      <c r="D351" s="19" t="s">
        <v>48</v>
      </c>
      <c r="E351" s="19" t="s">
        <v>45</v>
      </c>
      <c r="F351" s="19" t="s">
        <v>404</v>
      </c>
      <c r="G351" s="277"/>
      <c r="H351" s="10"/>
      <c r="I351" s="11"/>
      <c r="J351" s="11"/>
      <c r="K351" s="11"/>
      <c r="L351" s="11"/>
      <c r="M351" s="11"/>
      <c r="N351" s="11"/>
      <c r="O351" s="12"/>
      <c r="P351" s="11"/>
      <c r="Q351" s="13"/>
      <c r="R351" s="14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</row>
    <row r="352" spans="1:92" ht="15" customHeight="1" x14ac:dyDescent="0.3">
      <c r="A352" s="19" t="s">
        <v>63</v>
      </c>
      <c r="B352" s="19" t="s">
        <v>324</v>
      </c>
      <c r="C352" s="20">
        <v>0.34027777777777768</v>
      </c>
      <c r="D352" s="19" t="s">
        <v>48</v>
      </c>
      <c r="E352" s="19" t="s">
        <v>45</v>
      </c>
      <c r="F352" s="19" t="s">
        <v>320</v>
      </c>
      <c r="G352" s="277"/>
      <c r="H352" s="10"/>
      <c r="I352" s="11"/>
      <c r="J352" s="11"/>
      <c r="K352" s="11"/>
      <c r="L352" s="11"/>
      <c r="M352" s="11"/>
      <c r="N352" s="11"/>
      <c r="O352" s="12"/>
      <c r="P352" s="11"/>
      <c r="Q352" s="13"/>
      <c r="R352" s="14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</row>
    <row r="353" spans="1:92" ht="15" customHeight="1" x14ac:dyDescent="0.3">
      <c r="A353" s="19" t="s">
        <v>63</v>
      </c>
      <c r="B353" s="19" t="s">
        <v>326</v>
      </c>
      <c r="C353" s="20">
        <v>0.60069444444444442</v>
      </c>
      <c r="D353" s="19" t="s">
        <v>48</v>
      </c>
      <c r="E353" s="19" t="s">
        <v>121</v>
      </c>
      <c r="F353" s="19" t="s">
        <v>320</v>
      </c>
      <c r="G353" s="277"/>
      <c r="H353" s="10"/>
      <c r="I353" s="11"/>
      <c r="J353" s="11"/>
      <c r="K353" s="11"/>
      <c r="L353" s="11"/>
      <c r="M353" s="11"/>
      <c r="N353" s="11"/>
      <c r="O353" s="12"/>
      <c r="P353" s="11"/>
      <c r="Q353" s="13"/>
      <c r="R353" s="14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</row>
    <row r="354" spans="1:92" ht="15" customHeight="1" x14ac:dyDescent="0.3">
      <c r="A354" s="19" t="s">
        <v>63</v>
      </c>
      <c r="B354" s="19" t="s">
        <v>327</v>
      </c>
      <c r="C354" s="20">
        <v>4.8611111111111112E-2</v>
      </c>
      <c r="D354" s="19" t="s">
        <v>48</v>
      </c>
      <c r="E354" s="19" t="s">
        <v>89</v>
      </c>
      <c r="F354" s="19" t="s">
        <v>415</v>
      </c>
      <c r="G354" s="277"/>
      <c r="H354" s="10"/>
      <c r="I354" s="11"/>
      <c r="J354" s="11"/>
      <c r="K354" s="11"/>
      <c r="L354" s="11"/>
      <c r="M354" s="11"/>
      <c r="N354" s="11"/>
      <c r="O354" s="12"/>
      <c r="P354" s="11"/>
      <c r="Q354" s="13"/>
      <c r="R354" s="14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</row>
    <row r="355" spans="1:92" ht="15" customHeight="1" x14ac:dyDescent="0.3">
      <c r="A355" s="17" t="s">
        <v>54</v>
      </c>
      <c r="B355" s="17" t="s">
        <v>299</v>
      </c>
      <c r="C355" s="18">
        <v>0.34722222222222232</v>
      </c>
      <c r="D355" s="17" t="s">
        <v>56</v>
      </c>
      <c r="E355" s="17" t="s">
        <v>402</v>
      </c>
      <c r="F355" s="17" t="s">
        <v>115</v>
      </c>
      <c r="G355" s="277"/>
      <c r="H355" s="10"/>
      <c r="I355" s="11"/>
      <c r="J355" s="11"/>
      <c r="K355" s="11"/>
      <c r="L355" s="11"/>
      <c r="M355" s="11"/>
      <c r="N355" s="11"/>
      <c r="O355" s="12"/>
      <c r="P355" s="11"/>
      <c r="Q355" s="13"/>
      <c r="R355" s="14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</row>
    <row r="356" spans="1:92" ht="15" customHeight="1" x14ac:dyDescent="0.3">
      <c r="A356" s="15" t="s">
        <v>54</v>
      </c>
      <c r="B356" s="15" t="s">
        <v>299</v>
      </c>
      <c r="C356" s="16">
        <v>0.34722222222222232</v>
      </c>
      <c r="D356" s="15" t="s">
        <v>58</v>
      </c>
      <c r="E356" s="15" t="s">
        <v>339</v>
      </c>
      <c r="F356" s="15" t="s">
        <v>400</v>
      </c>
      <c r="G356" s="277"/>
      <c r="H356" s="10"/>
      <c r="I356" s="11"/>
      <c r="J356" s="11"/>
      <c r="K356" s="11"/>
      <c r="L356" s="11"/>
      <c r="M356" s="11"/>
      <c r="N356" s="11"/>
      <c r="O356" s="12"/>
      <c r="P356" s="11"/>
      <c r="Q356" s="13"/>
      <c r="R356" s="14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</row>
    <row r="357" spans="1:92" ht="15" customHeight="1" x14ac:dyDescent="0.3">
      <c r="A357" s="15" t="s">
        <v>54</v>
      </c>
      <c r="B357" s="15" t="s">
        <v>299</v>
      </c>
      <c r="C357" s="16">
        <v>0.34722222222222232</v>
      </c>
      <c r="D357" s="15" t="s">
        <v>60</v>
      </c>
      <c r="E357" s="15" t="s">
        <v>339</v>
      </c>
      <c r="F357" s="15" t="s">
        <v>401</v>
      </c>
      <c r="G357" s="277"/>
      <c r="H357" s="10"/>
      <c r="I357" s="11"/>
      <c r="J357" s="11"/>
      <c r="K357" s="11"/>
      <c r="L357" s="11"/>
      <c r="M357" s="11"/>
      <c r="N357" s="11"/>
      <c r="O357" s="12"/>
      <c r="P357" s="11"/>
      <c r="Q357" s="13"/>
      <c r="R357" s="14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</row>
    <row r="358" spans="1:92" ht="15" customHeight="1" x14ac:dyDescent="0.3">
      <c r="A358" s="19" t="s">
        <v>54</v>
      </c>
      <c r="B358" s="19" t="s">
        <v>291</v>
      </c>
      <c r="C358" s="20">
        <v>0.99305555555555547</v>
      </c>
      <c r="D358" s="19" t="s">
        <v>56</v>
      </c>
      <c r="E358" s="19" t="s">
        <v>121</v>
      </c>
      <c r="F358" s="19" t="s">
        <v>115</v>
      </c>
      <c r="G358" s="277"/>
      <c r="H358" s="10"/>
      <c r="I358" s="11"/>
      <c r="J358" s="11"/>
      <c r="K358" s="11"/>
      <c r="L358" s="11"/>
      <c r="M358" s="11"/>
      <c r="N358" s="11"/>
      <c r="O358" s="12"/>
      <c r="P358" s="11"/>
      <c r="Q358" s="13"/>
      <c r="R358" s="14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</row>
    <row r="359" spans="1:92" ht="15" customHeight="1" x14ac:dyDescent="0.3">
      <c r="A359" s="15" t="s">
        <v>54</v>
      </c>
      <c r="B359" s="15" t="s">
        <v>291</v>
      </c>
      <c r="C359" s="16">
        <v>0.99305555555555547</v>
      </c>
      <c r="D359" s="15" t="s">
        <v>58</v>
      </c>
      <c r="E359" s="15" t="s">
        <v>339</v>
      </c>
      <c r="F359" s="15" t="s">
        <v>400</v>
      </c>
      <c r="G359" s="277"/>
      <c r="H359" s="10"/>
      <c r="I359" s="11"/>
      <c r="J359" s="11"/>
      <c r="K359" s="11"/>
      <c r="L359" s="11"/>
      <c r="M359" s="11"/>
      <c r="N359" s="11"/>
      <c r="O359" s="12"/>
      <c r="P359" s="11"/>
      <c r="Q359" s="13"/>
      <c r="R359" s="14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</row>
    <row r="360" spans="1:92" ht="15" customHeight="1" x14ac:dyDescent="0.3">
      <c r="A360" s="15" t="s">
        <v>54</v>
      </c>
      <c r="B360" s="15" t="s">
        <v>291</v>
      </c>
      <c r="C360" s="16">
        <v>0.99305555555555547</v>
      </c>
      <c r="D360" s="15" t="s">
        <v>60</v>
      </c>
      <c r="E360" s="15" t="s">
        <v>339</v>
      </c>
      <c r="F360" s="15" t="s">
        <v>401</v>
      </c>
      <c r="G360" s="277"/>
      <c r="H360" s="10"/>
      <c r="I360" s="11"/>
      <c r="J360" s="11"/>
      <c r="K360" s="11"/>
      <c r="L360" s="11"/>
      <c r="M360" s="11"/>
      <c r="N360" s="11"/>
      <c r="O360" s="12"/>
      <c r="P360" s="11"/>
      <c r="Q360" s="13"/>
      <c r="R360" s="14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</row>
    <row r="361" spans="1:92" ht="15" customHeight="1" x14ac:dyDescent="0.3">
      <c r="A361" s="19" t="s">
        <v>54</v>
      </c>
      <c r="B361" s="19" t="s">
        <v>294</v>
      </c>
      <c r="C361" s="20">
        <v>0.83680555555555547</v>
      </c>
      <c r="D361" s="19" t="s">
        <v>56</v>
      </c>
      <c r="E361" s="19" t="s">
        <v>51</v>
      </c>
      <c r="F361" s="19" t="s">
        <v>115</v>
      </c>
      <c r="G361" s="277"/>
      <c r="H361" s="10"/>
      <c r="I361" s="11"/>
      <c r="J361" s="11"/>
      <c r="K361" s="11"/>
      <c r="L361" s="11"/>
      <c r="M361" s="11"/>
      <c r="N361" s="11"/>
      <c r="O361" s="12"/>
      <c r="P361" s="11"/>
      <c r="Q361" s="13"/>
      <c r="R361" s="14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</row>
    <row r="362" spans="1:92" ht="15" customHeight="1" x14ac:dyDescent="0.3">
      <c r="A362" s="15" t="s">
        <v>54</v>
      </c>
      <c r="B362" s="15" t="s">
        <v>294</v>
      </c>
      <c r="C362" s="16">
        <v>0.83680555555555547</v>
      </c>
      <c r="D362" s="15" t="s">
        <v>58</v>
      </c>
      <c r="E362" s="15" t="s">
        <v>53</v>
      </c>
      <c r="F362" s="15" t="s">
        <v>400</v>
      </c>
      <c r="G362" s="277"/>
      <c r="H362" s="10"/>
      <c r="I362" s="11"/>
      <c r="J362" s="11"/>
      <c r="K362" s="11"/>
      <c r="L362" s="11"/>
      <c r="M362" s="11"/>
      <c r="N362" s="11"/>
      <c r="O362" s="12"/>
      <c r="P362" s="11"/>
      <c r="Q362" s="13"/>
      <c r="R362" s="14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</row>
    <row r="363" spans="1:92" ht="15" customHeight="1" x14ac:dyDescent="0.3">
      <c r="A363" s="15" t="s">
        <v>54</v>
      </c>
      <c r="B363" s="15" t="s">
        <v>294</v>
      </c>
      <c r="C363" s="16">
        <v>0.83680555555555547</v>
      </c>
      <c r="D363" s="15" t="s">
        <v>60</v>
      </c>
      <c r="E363" s="15" t="s">
        <v>53</v>
      </c>
      <c r="F363" s="15" t="s">
        <v>401</v>
      </c>
      <c r="G363" s="277"/>
      <c r="H363" s="10"/>
      <c r="I363" s="11"/>
      <c r="J363" s="11"/>
      <c r="K363" s="11"/>
      <c r="L363" s="11"/>
      <c r="M363" s="11"/>
      <c r="N363" s="11"/>
      <c r="O363" s="12"/>
      <c r="P363" s="11"/>
      <c r="Q363" s="13"/>
      <c r="R363" s="14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</row>
    <row r="364" spans="1:92" ht="15" customHeight="1" x14ac:dyDescent="0.3">
      <c r="A364" s="19" t="s">
        <v>54</v>
      </c>
      <c r="B364" s="19" t="s">
        <v>295</v>
      </c>
      <c r="C364" s="20">
        <v>0.94444444444444453</v>
      </c>
      <c r="D364" s="19" t="s">
        <v>56</v>
      </c>
      <c r="E364" s="19" t="s">
        <v>107</v>
      </c>
      <c r="F364" s="19" t="s">
        <v>115</v>
      </c>
      <c r="G364" s="277"/>
      <c r="H364" s="10"/>
      <c r="I364" s="11"/>
      <c r="J364" s="11"/>
      <c r="K364" s="11"/>
      <c r="L364" s="11"/>
      <c r="M364" s="11"/>
      <c r="N364" s="11"/>
      <c r="O364" s="12"/>
      <c r="P364" s="11"/>
      <c r="Q364" s="13"/>
      <c r="R364" s="14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</row>
    <row r="365" spans="1:92" ht="15" customHeight="1" x14ac:dyDescent="0.3">
      <c r="A365" s="15" t="s">
        <v>54</v>
      </c>
      <c r="B365" s="15" t="s">
        <v>295</v>
      </c>
      <c r="C365" s="16">
        <v>0.94444444444444453</v>
      </c>
      <c r="D365" s="15" t="s">
        <v>58</v>
      </c>
      <c r="E365" s="15" t="s">
        <v>106</v>
      </c>
      <c r="F365" s="15" t="s">
        <v>400</v>
      </c>
      <c r="G365" s="277"/>
      <c r="H365" s="10"/>
      <c r="I365" s="11"/>
      <c r="J365" s="11"/>
      <c r="K365" s="11"/>
      <c r="L365" s="11"/>
      <c r="M365" s="11"/>
      <c r="N365" s="11"/>
      <c r="O365" s="12"/>
      <c r="P365" s="11"/>
      <c r="Q365" s="13"/>
      <c r="R365" s="14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</row>
    <row r="366" spans="1:92" ht="15" customHeight="1" x14ac:dyDescent="0.3">
      <c r="A366" s="15" t="s">
        <v>54</v>
      </c>
      <c r="B366" s="15" t="s">
        <v>295</v>
      </c>
      <c r="C366" s="16">
        <v>0.94444444444444453</v>
      </c>
      <c r="D366" s="15" t="s">
        <v>60</v>
      </c>
      <c r="E366" s="15" t="s">
        <v>106</v>
      </c>
      <c r="F366" s="15" t="s">
        <v>401</v>
      </c>
      <c r="G366" s="277"/>
      <c r="H366" s="10"/>
      <c r="I366" s="11"/>
      <c r="J366" s="11"/>
      <c r="K366" s="11"/>
      <c r="L366" s="11"/>
      <c r="M366" s="11"/>
      <c r="N366" s="11"/>
      <c r="O366" s="12"/>
      <c r="P366" s="11"/>
      <c r="Q366" s="13"/>
      <c r="R366" s="14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</row>
    <row r="367" spans="1:92" ht="15" customHeight="1" x14ac:dyDescent="0.3">
      <c r="A367" s="19" t="s">
        <v>54</v>
      </c>
      <c r="B367" s="19" t="s">
        <v>296</v>
      </c>
      <c r="C367" s="20">
        <v>0.4861111111111111</v>
      </c>
      <c r="D367" s="19" t="s">
        <v>56</v>
      </c>
      <c r="E367" s="19" t="s">
        <v>274</v>
      </c>
      <c r="F367" s="19" t="s">
        <v>115</v>
      </c>
      <c r="G367" s="277"/>
      <c r="H367" s="10"/>
      <c r="I367" s="11"/>
      <c r="J367" s="11"/>
      <c r="K367" s="11"/>
      <c r="L367" s="11"/>
      <c r="M367" s="11"/>
      <c r="N367" s="11"/>
      <c r="O367" s="12"/>
      <c r="P367" s="11"/>
      <c r="Q367" s="13"/>
      <c r="R367" s="14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</row>
    <row r="368" spans="1:92" ht="15" customHeight="1" x14ac:dyDescent="0.3">
      <c r="A368" s="15" t="s">
        <v>54</v>
      </c>
      <c r="B368" s="15" t="s">
        <v>296</v>
      </c>
      <c r="C368" s="16">
        <v>0.4861111111111111</v>
      </c>
      <c r="D368" s="15" t="s">
        <v>58</v>
      </c>
      <c r="E368" s="15" t="s">
        <v>78</v>
      </c>
      <c r="F368" s="15" t="s">
        <v>400</v>
      </c>
      <c r="G368" s="277"/>
      <c r="H368" s="10"/>
      <c r="I368" s="11"/>
      <c r="J368" s="11"/>
      <c r="K368" s="11"/>
      <c r="L368" s="11"/>
      <c r="M368" s="11"/>
      <c r="N368" s="11"/>
      <c r="O368" s="12"/>
      <c r="P368" s="11"/>
      <c r="Q368" s="13"/>
      <c r="R368" s="14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</row>
    <row r="369" spans="1:92" ht="15" customHeight="1" x14ac:dyDescent="0.3">
      <c r="A369" s="15" t="s">
        <v>54</v>
      </c>
      <c r="B369" s="15" t="s">
        <v>296</v>
      </c>
      <c r="C369" s="16">
        <v>0.4861111111111111</v>
      </c>
      <c r="D369" s="15" t="s">
        <v>60</v>
      </c>
      <c r="E369" s="15" t="s">
        <v>78</v>
      </c>
      <c r="F369" s="15" t="s">
        <v>401</v>
      </c>
      <c r="G369" s="277"/>
      <c r="H369" s="10"/>
      <c r="I369" s="11"/>
      <c r="J369" s="11"/>
      <c r="K369" s="11"/>
      <c r="L369" s="11"/>
      <c r="M369" s="11"/>
      <c r="N369" s="11"/>
      <c r="O369" s="12"/>
      <c r="P369" s="11"/>
      <c r="Q369" s="13"/>
      <c r="R369" s="14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</row>
    <row r="370" spans="1:92" ht="15" customHeight="1" x14ac:dyDescent="0.3">
      <c r="A370" s="19" t="s">
        <v>54</v>
      </c>
      <c r="B370" s="19" t="s">
        <v>298</v>
      </c>
      <c r="C370" s="20">
        <v>0.88888888888888884</v>
      </c>
      <c r="D370" s="19" t="s">
        <v>56</v>
      </c>
      <c r="E370" s="19" t="s">
        <v>95</v>
      </c>
      <c r="F370" s="19" t="s">
        <v>115</v>
      </c>
      <c r="G370" s="277"/>
      <c r="H370" s="10"/>
      <c r="I370" s="11"/>
      <c r="J370" s="11"/>
      <c r="K370" s="11"/>
      <c r="L370" s="11"/>
      <c r="M370" s="11"/>
      <c r="N370" s="11"/>
      <c r="O370" s="12"/>
      <c r="P370" s="11"/>
      <c r="Q370" s="13"/>
      <c r="R370" s="14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</row>
    <row r="371" spans="1:92" ht="15" customHeight="1" x14ac:dyDescent="0.3">
      <c r="A371" s="15" t="s">
        <v>54</v>
      </c>
      <c r="B371" s="15" t="s">
        <v>298</v>
      </c>
      <c r="C371" s="16">
        <v>0.88888888888888884</v>
      </c>
      <c r="D371" s="15" t="s">
        <v>58</v>
      </c>
      <c r="E371" s="15" t="s">
        <v>96</v>
      </c>
      <c r="F371" s="15" t="s">
        <v>400</v>
      </c>
      <c r="G371" s="277"/>
      <c r="H371" s="10"/>
      <c r="I371" s="11"/>
      <c r="J371" s="11"/>
      <c r="K371" s="11"/>
      <c r="L371" s="11"/>
      <c r="M371" s="11"/>
      <c r="N371" s="11"/>
      <c r="O371" s="12"/>
      <c r="P371" s="11"/>
      <c r="Q371" s="13"/>
      <c r="R371" s="14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</row>
    <row r="372" spans="1:92" ht="15" customHeight="1" x14ac:dyDescent="0.3">
      <c r="A372" s="15" t="s">
        <v>54</v>
      </c>
      <c r="B372" s="15" t="s">
        <v>298</v>
      </c>
      <c r="C372" s="16">
        <v>0.88888888888888884</v>
      </c>
      <c r="D372" s="15" t="s">
        <v>60</v>
      </c>
      <c r="E372" s="15" t="s">
        <v>96</v>
      </c>
      <c r="F372" s="15" t="s">
        <v>401</v>
      </c>
      <c r="G372" s="277"/>
      <c r="H372" s="10"/>
      <c r="I372" s="11"/>
      <c r="J372" s="11"/>
      <c r="K372" s="11"/>
      <c r="L372" s="11"/>
      <c r="M372" s="11"/>
      <c r="N372" s="11"/>
      <c r="O372" s="12"/>
      <c r="P372" s="11"/>
      <c r="Q372" s="13"/>
      <c r="R372" s="14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</row>
    <row r="373" spans="1:92" ht="15" customHeight="1" x14ac:dyDescent="0.3">
      <c r="A373" s="19" t="s">
        <v>54</v>
      </c>
      <c r="B373" s="19" t="s">
        <v>301</v>
      </c>
      <c r="C373" s="20">
        <v>0.75</v>
      </c>
      <c r="D373" s="19" t="s">
        <v>56</v>
      </c>
      <c r="E373" s="19" t="s">
        <v>107</v>
      </c>
      <c r="F373" s="19" t="s">
        <v>416</v>
      </c>
      <c r="G373" s="277"/>
      <c r="H373" s="10"/>
      <c r="I373" s="11"/>
      <c r="J373" s="11"/>
      <c r="K373" s="11"/>
      <c r="L373" s="11"/>
      <c r="M373" s="11"/>
      <c r="N373" s="11"/>
      <c r="O373" s="12"/>
      <c r="P373" s="11"/>
      <c r="Q373" s="13"/>
      <c r="R373" s="14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</row>
    <row r="374" spans="1:92" ht="15" customHeight="1" x14ac:dyDescent="0.3">
      <c r="A374" s="15" t="s">
        <v>54</v>
      </c>
      <c r="B374" s="15" t="s">
        <v>301</v>
      </c>
      <c r="C374" s="16">
        <v>0.75</v>
      </c>
      <c r="D374" s="15" t="s">
        <v>58</v>
      </c>
      <c r="E374" s="15" t="s">
        <v>106</v>
      </c>
      <c r="F374" s="15" t="s">
        <v>417</v>
      </c>
      <c r="G374" s="277"/>
      <c r="H374" s="10"/>
      <c r="I374" s="11"/>
      <c r="J374" s="11"/>
      <c r="K374" s="11"/>
      <c r="L374" s="11"/>
      <c r="M374" s="11"/>
      <c r="N374" s="11"/>
      <c r="O374" s="12"/>
      <c r="P374" s="11"/>
      <c r="Q374" s="13"/>
      <c r="R374" s="14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</row>
    <row r="375" spans="1:92" ht="15" customHeight="1" x14ac:dyDescent="0.3">
      <c r="A375" s="15" t="s">
        <v>54</v>
      </c>
      <c r="B375" s="15" t="s">
        <v>301</v>
      </c>
      <c r="C375" s="16">
        <v>0.75</v>
      </c>
      <c r="D375" s="15" t="s">
        <v>60</v>
      </c>
      <c r="E375" s="15" t="s">
        <v>106</v>
      </c>
      <c r="F375" s="15" t="s">
        <v>418</v>
      </c>
      <c r="G375" s="277"/>
      <c r="H375" s="10"/>
      <c r="I375" s="11"/>
      <c r="J375" s="11"/>
      <c r="K375" s="11"/>
      <c r="L375" s="11"/>
      <c r="M375" s="11"/>
      <c r="N375" s="11"/>
      <c r="O375" s="12"/>
      <c r="P375" s="11"/>
      <c r="Q375" s="13"/>
      <c r="R375" s="14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</row>
    <row r="376" spans="1:92" ht="15" customHeight="1" x14ac:dyDescent="0.3">
      <c r="A376" s="17" t="s">
        <v>35</v>
      </c>
      <c r="B376" s="17" t="s">
        <v>313</v>
      </c>
      <c r="C376" s="18">
        <v>0.25347222222222221</v>
      </c>
      <c r="D376" s="17" t="s">
        <v>42</v>
      </c>
      <c r="E376" s="17" t="s">
        <v>38</v>
      </c>
      <c r="F376" s="17" t="s">
        <v>363</v>
      </c>
      <c r="G376" s="277"/>
      <c r="H376" s="10"/>
      <c r="I376" s="11"/>
      <c r="J376" s="11"/>
      <c r="K376" s="11"/>
      <c r="L376" s="11"/>
      <c r="M376" s="11"/>
      <c r="N376" s="11"/>
      <c r="O376" s="12"/>
      <c r="P376" s="11"/>
      <c r="Q376" s="13"/>
      <c r="R376" s="14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</row>
    <row r="377" spans="1:92" ht="15" customHeight="1" x14ac:dyDescent="0.3">
      <c r="A377" s="19" t="s">
        <v>35</v>
      </c>
      <c r="B377" s="19" t="s">
        <v>302</v>
      </c>
      <c r="C377" s="20">
        <v>0.11805555555555559</v>
      </c>
      <c r="D377" s="19" t="s">
        <v>42</v>
      </c>
      <c r="E377" s="19" t="s">
        <v>45</v>
      </c>
      <c r="F377" s="19" t="s">
        <v>311</v>
      </c>
      <c r="G377" s="277"/>
      <c r="H377" s="10"/>
      <c r="I377" s="11"/>
      <c r="J377" s="11"/>
      <c r="K377" s="11"/>
      <c r="L377" s="11"/>
      <c r="M377" s="11"/>
      <c r="N377" s="11"/>
      <c r="O377" s="12"/>
      <c r="P377" s="11"/>
      <c r="Q377" s="13"/>
      <c r="R377" s="14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</row>
    <row r="378" spans="1:92" ht="15" customHeight="1" x14ac:dyDescent="0.3">
      <c r="A378" s="19" t="s">
        <v>35</v>
      </c>
      <c r="B378" s="19" t="s">
        <v>312</v>
      </c>
      <c r="C378" s="20">
        <v>0.70486111111111116</v>
      </c>
      <c r="D378" s="19" t="s">
        <v>42</v>
      </c>
      <c r="E378" s="19" t="s">
        <v>45</v>
      </c>
      <c r="F378" s="19" t="s">
        <v>311</v>
      </c>
      <c r="G378" s="277"/>
      <c r="H378" s="10"/>
      <c r="I378" s="11"/>
      <c r="J378" s="11"/>
      <c r="K378" s="11"/>
      <c r="L378" s="11"/>
      <c r="M378" s="11"/>
      <c r="N378" s="11"/>
      <c r="O378" s="12"/>
      <c r="P378" s="11"/>
      <c r="Q378" s="13"/>
      <c r="R378" s="14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</row>
    <row r="379" spans="1:92" ht="15" customHeight="1" x14ac:dyDescent="0.3">
      <c r="A379" s="19" t="s">
        <v>35</v>
      </c>
      <c r="B379" s="19" t="s">
        <v>314</v>
      </c>
      <c r="C379" s="20">
        <v>4.1666666666666657E-2</v>
      </c>
      <c r="D379" s="19" t="s">
        <v>42</v>
      </c>
      <c r="E379" s="19" t="s">
        <v>45</v>
      </c>
      <c r="F379" s="19" t="s">
        <v>311</v>
      </c>
      <c r="G379" s="277"/>
      <c r="H379" s="10"/>
      <c r="I379" s="11"/>
      <c r="J379" s="11"/>
      <c r="K379" s="11"/>
      <c r="L379" s="11"/>
      <c r="M379" s="11"/>
      <c r="N379" s="11"/>
      <c r="O379" s="12"/>
      <c r="P379" s="11"/>
      <c r="Q379" s="13"/>
      <c r="R379" s="14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</row>
    <row r="380" spans="1:92" ht="15" customHeight="1" x14ac:dyDescent="0.3">
      <c r="A380" s="19" t="s">
        <v>35</v>
      </c>
      <c r="B380" s="19" t="s">
        <v>315</v>
      </c>
      <c r="C380" s="20">
        <v>0.94097222222222221</v>
      </c>
      <c r="D380" s="19" t="s">
        <v>42</v>
      </c>
      <c r="E380" s="19" t="s">
        <v>45</v>
      </c>
      <c r="F380" s="19" t="s">
        <v>311</v>
      </c>
      <c r="G380" s="277"/>
      <c r="H380" s="10"/>
      <c r="I380" s="11"/>
      <c r="J380" s="11"/>
      <c r="K380" s="11"/>
      <c r="L380" s="11"/>
      <c r="M380" s="11"/>
      <c r="N380" s="11"/>
      <c r="O380" s="12"/>
      <c r="P380" s="11"/>
      <c r="Q380" s="13"/>
      <c r="R380" s="14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</row>
    <row r="381" spans="1:92" ht="15" customHeight="1" x14ac:dyDescent="0.3">
      <c r="A381" s="19" t="s">
        <v>35</v>
      </c>
      <c r="B381" s="19" t="s">
        <v>304</v>
      </c>
      <c r="C381" s="20">
        <v>0.39930555555555558</v>
      </c>
      <c r="D381" s="19" t="s">
        <v>42</v>
      </c>
      <c r="E381" s="19" t="s">
        <v>51</v>
      </c>
      <c r="F381" s="19" t="s">
        <v>364</v>
      </c>
      <c r="G381" s="277"/>
      <c r="H381" s="10"/>
      <c r="I381" s="11"/>
      <c r="J381" s="11"/>
      <c r="K381" s="11"/>
      <c r="L381" s="11"/>
      <c r="M381" s="11"/>
      <c r="N381" s="11"/>
      <c r="O381" s="12"/>
      <c r="P381" s="11"/>
      <c r="Q381" s="13"/>
      <c r="R381" s="14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</row>
    <row r="382" spans="1:92" ht="15" customHeight="1" x14ac:dyDescent="0.3">
      <c r="A382" s="19" t="s">
        <v>35</v>
      </c>
      <c r="B382" s="19" t="s">
        <v>316</v>
      </c>
      <c r="C382" s="20">
        <v>0.48958333333333331</v>
      </c>
      <c r="D382" s="19" t="s">
        <v>42</v>
      </c>
      <c r="E382" s="19" t="s">
        <v>51</v>
      </c>
      <c r="F382" s="19" t="s">
        <v>317</v>
      </c>
      <c r="G382" s="277"/>
      <c r="H382" s="10"/>
      <c r="I382" s="11"/>
      <c r="J382" s="11"/>
      <c r="K382" s="11"/>
      <c r="L382" s="11"/>
      <c r="M382" s="11"/>
      <c r="N382" s="11"/>
      <c r="O382" s="12"/>
      <c r="P382" s="11"/>
      <c r="Q382" s="13"/>
      <c r="R382" s="14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</row>
    <row r="383" spans="1:92" ht="15" customHeight="1" x14ac:dyDescent="0.3">
      <c r="A383" s="19" t="s">
        <v>35</v>
      </c>
      <c r="B383" s="19" t="s">
        <v>310</v>
      </c>
      <c r="C383" s="20">
        <v>0.82986111111111116</v>
      </c>
      <c r="D383" s="19" t="s">
        <v>42</v>
      </c>
      <c r="E383" s="19" t="s">
        <v>45</v>
      </c>
      <c r="F383" s="19" t="s">
        <v>419</v>
      </c>
      <c r="G383" s="277"/>
      <c r="H383" s="10"/>
      <c r="I383" s="11"/>
      <c r="J383" s="11"/>
      <c r="K383" s="11"/>
      <c r="L383" s="11"/>
      <c r="M383" s="11"/>
      <c r="N383" s="11"/>
      <c r="O383" s="12"/>
      <c r="P383" s="11"/>
      <c r="Q383" s="13"/>
      <c r="R383" s="14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</row>
    <row r="384" spans="1:92" ht="15" customHeight="1" x14ac:dyDescent="0.3">
      <c r="A384" s="19" t="s">
        <v>35</v>
      </c>
      <c r="B384" s="19" t="s">
        <v>318</v>
      </c>
      <c r="C384" s="20">
        <v>0.72222222222222221</v>
      </c>
      <c r="D384" s="19" t="s">
        <v>42</v>
      </c>
      <c r="E384" s="19" t="s">
        <v>93</v>
      </c>
      <c r="F384" s="19" t="s">
        <v>419</v>
      </c>
      <c r="G384" s="277"/>
      <c r="H384" s="10"/>
      <c r="I384" s="11"/>
      <c r="J384" s="11"/>
      <c r="K384" s="11"/>
      <c r="L384" s="11"/>
      <c r="M384" s="11"/>
      <c r="N384" s="11"/>
      <c r="O384" s="12"/>
      <c r="P384" s="11"/>
      <c r="Q384" s="13"/>
      <c r="R384" s="14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</row>
    <row r="385" spans="1:92" ht="15" customHeight="1" x14ac:dyDescent="0.3">
      <c r="A385" s="19" t="s">
        <v>35</v>
      </c>
      <c r="B385" s="19" t="s">
        <v>306</v>
      </c>
      <c r="C385" s="20">
        <v>0.98958333333333337</v>
      </c>
      <c r="D385" s="19" t="s">
        <v>42</v>
      </c>
      <c r="E385" s="19" t="s">
        <v>51</v>
      </c>
      <c r="F385" s="19" t="s">
        <v>354</v>
      </c>
      <c r="G385" s="277"/>
      <c r="H385" s="10"/>
      <c r="I385" s="11"/>
      <c r="J385" s="11"/>
      <c r="K385" s="11"/>
      <c r="L385" s="11"/>
      <c r="M385" s="11"/>
      <c r="N385" s="11"/>
      <c r="O385" s="12"/>
      <c r="P385" s="11"/>
      <c r="Q385" s="13"/>
      <c r="R385" s="14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</row>
    <row r="386" spans="1:92" ht="15" customHeight="1" x14ac:dyDescent="0.3">
      <c r="A386" s="19" t="s">
        <v>35</v>
      </c>
      <c r="B386" s="19" t="s">
        <v>308</v>
      </c>
      <c r="C386" s="20">
        <v>0.48958333333333331</v>
      </c>
      <c r="D386" s="19" t="s">
        <v>42</v>
      </c>
      <c r="E386" s="19" t="s">
        <v>51</v>
      </c>
      <c r="F386" s="19" t="s">
        <v>354</v>
      </c>
      <c r="G386" s="277"/>
      <c r="H386" s="10"/>
      <c r="I386" s="11"/>
      <c r="J386" s="11"/>
      <c r="K386" s="11"/>
      <c r="L386" s="11"/>
      <c r="M386" s="11"/>
      <c r="N386" s="11"/>
      <c r="O386" s="12"/>
      <c r="P386" s="11"/>
      <c r="Q386" s="13"/>
      <c r="R386" s="14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</row>
    <row r="387" spans="1:92" ht="15" customHeight="1" x14ac:dyDescent="0.3">
      <c r="A387" s="19" t="s">
        <v>35</v>
      </c>
      <c r="B387" s="19" t="s">
        <v>309</v>
      </c>
      <c r="C387" s="20">
        <v>0.88888888888888884</v>
      </c>
      <c r="D387" s="19" t="s">
        <v>42</v>
      </c>
      <c r="E387" s="19" t="s">
        <v>51</v>
      </c>
      <c r="F387" s="19" t="s">
        <v>354</v>
      </c>
      <c r="G387" s="277"/>
      <c r="H387" s="10"/>
      <c r="I387" s="11"/>
      <c r="J387" s="11"/>
      <c r="K387" s="11"/>
      <c r="L387" s="11"/>
      <c r="M387" s="11"/>
      <c r="N387" s="11"/>
      <c r="O387" s="12"/>
      <c r="P387" s="11"/>
      <c r="Q387" s="13"/>
      <c r="R387" s="14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</row>
    <row r="388" spans="1:92" ht="15" customHeight="1" x14ac:dyDescent="0.3">
      <c r="A388" s="17" t="s">
        <v>360</v>
      </c>
      <c r="B388" s="17" t="s">
        <v>384</v>
      </c>
      <c r="C388" s="18">
        <v>9.7222222222222224E-2</v>
      </c>
      <c r="D388" s="17" t="s">
        <v>81</v>
      </c>
      <c r="E388" s="17" t="s">
        <v>57</v>
      </c>
      <c r="F388" s="17" t="s">
        <v>420</v>
      </c>
      <c r="G388" s="277"/>
      <c r="H388" s="10"/>
      <c r="I388" s="11"/>
      <c r="J388" s="11"/>
      <c r="K388" s="11"/>
      <c r="L388" s="11"/>
      <c r="M388" s="11"/>
      <c r="N388" s="11"/>
      <c r="O388" s="12"/>
      <c r="P388" s="11"/>
      <c r="Q388" s="13"/>
      <c r="R388" s="14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</row>
    <row r="389" spans="1:92" ht="15" customHeight="1" x14ac:dyDescent="0.3">
      <c r="A389" s="165" t="s">
        <v>71</v>
      </c>
      <c r="B389" s="165" t="s">
        <v>371</v>
      </c>
      <c r="C389" s="166">
        <v>0.90625</v>
      </c>
      <c r="D389" s="165" t="s">
        <v>81</v>
      </c>
      <c r="E389" s="165" t="s">
        <v>104</v>
      </c>
      <c r="F389" s="165" t="s">
        <v>421</v>
      </c>
      <c r="G389" s="277"/>
      <c r="H389" s="168" t="s">
        <v>351</v>
      </c>
      <c r="I389" s="169">
        <v>0.9556</v>
      </c>
      <c r="J389" s="170">
        <v>172</v>
      </c>
      <c r="K389" s="171">
        <v>45981</v>
      </c>
      <c r="L389" s="170">
        <v>29</v>
      </c>
      <c r="M389" s="170">
        <v>0</v>
      </c>
      <c r="N389" s="170">
        <v>0</v>
      </c>
      <c r="O389" s="172" t="s">
        <v>422</v>
      </c>
      <c r="P389" s="173">
        <v>0.90625</v>
      </c>
      <c r="Q389" s="170">
        <v>180</v>
      </c>
      <c r="R389" s="174" t="s">
        <v>423</v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</row>
    <row r="390" spans="1:92" ht="15" customHeight="1" x14ac:dyDescent="0.3">
      <c r="A390" s="222" t="s">
        <v>71</v>
      </c>
      <c r="B390" s="222" t="s">
        <v>377</v>
      </c>
      <c r="C390" s="223">
        <v>4.8611111111111112E-2</v>
      </c>
      <c r="D390" s="222" t="s">
        <v>73</v>
      </c>
      <c r="E390" s="224"/>
      <c r="F390" s="222" t="s">
        <v>74</v>
      </c>
      <c r="G390" s="277"/>
      <c r="H390" s="87" t="s">
        <v>377</v>
      </c>
      <c r="I390" s="88">
        <v>1.0333000000000001</v>
      </c>
      <c r="J390" s="89">
        <v>186</v>
      </c>
      <c r="K390" s="90">
        <v>45974</v>
      </c>
      <c r="L390" s="89">
        <v>0</v>
      </c>
      <c r="M390" s="89">
        <v>0</v>
      </c>
      <c r="N390" s="89">
        <v>0</v>
      </c>
      <c r="O390" s="91" t="s">
        <v>75</v>
      </c>
      <c r="P390" s="92">
        <v>4.8611111111111112E-2</v>
      </c>
      <c r="Q390" s="89">
        <v>180</v>
      </c>
      <c r="R390" s="93" t="s">
        <v>424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</row>
    <row r="391" spans="1:92" ht="15" customHeight="1" x14ac:dyDescent="0.3">
      <c r="A391" s="226" t="s">
        <v>71</v>
      </c>
      <c r="B391" s="226" t="s">
        <v>328</v>
      </c>
      <c r="C391" s="227">
        <v>0.15625</v>
      </c>
      <c r="D391" s="226" t="s">
        <v>73</v>
      </c>
      <c r="E391" s="228"/>
      <c r="F391" s="226" t="s">
        <v>74</v>
      </c>
      <c r="G391" s="277"/>
      <c r="H391" s="197" t="s">
        <v>328</v>
      </c>
      <c r="I391" s="215">
        <v>1</v>
      </c>
      <c r="J391" s="199">
        <v>180</v>
      </c>
      <c r="K391" s="200">
        <v>45983</v>
      </c>
      <c r="L391" s="199">
        <v>5</v>
      </c>
      <c r="M391" s="199">
        <v>0</v>
      </c>
      <c r="N391" s="199">
        <v>2</v>
      </c>
      <c r="O391" s="201" t="s">
        <v>75</v>
      </c>
      <c r="P391" s="202">
        <v>0.15625</v>
      </c>
      <c r="Q391" s="199">
        <v>180</v>
      </c>
      <c r="R391" s="203" t="s">
        <v>425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</row>
    <row r="392" spans="1:92" ht="15" customHeight="1" x14ac:dyDescent="0.3">
      <c r="A392" s="229" t="s">
        <v>71</v>
      </c>
      <c r="B392" s="229" t="s">
        <v>330</v>
      </c>
      <c r="C392" s="230">
        <v>0.50347222222222221</v>
      </c>
      <c r="D392" s="229" t="s">
        <v>73</v>
      </c>
      <c r="E392" s="231"/>
      <c r="F392" s="229" t="s">
        <v>74</v>
      </c>
      <c r="G392" s="278"/>
      <c r="H392" s="24" t="s">
        <v>330</v>
      </c>
      <c r="I392" s="25">
        <v>1</v>
      </c>
      <c r="J392" s="26">
        <v>180</v>
      </c>
      <c r="K392" s="27">
        <v>45973</v>
      </c>
      <c r="L392" s="26">
        <v>0</v>
      </c>
      <c r="M392" s="26">
        <v>0</v>
      </c>
      <c r="N392" s="26">
        <v>0</v>
      </c>
      <c r="O392" s="28" t="s">
        <v>75</v>
      </c>
      <c r="P392" s="29">
        <v>0.50347222222222221</v>
      </c>
      <c r="Q392" s="26">
        <v>180</v>
      </c>
      <c r="R392" s="30" t="s">
        <v>426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</row>
    <row r="393" spans="1:92" ht="14.4" customHeight="1" x14ac:dyDescent="0.3">
      <c r="A393" s="279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1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</row>
    <row r="394" spans="1:92" ht="22.05" customHeight="1" x14ac:dyDescent="0.3">
      <c r="A394" s="290" t="s">
        <v>5</v>
      </c>
      <c r="B394" s="291"/>
      <c r="C394" s="291"/>
      <c r="D394" s="291"/>
      <c r="E394" s="291"/>
      <c r="F394" s="291"/>
      <c r="G394" s="5">
        <v>45991</v>
      </c>
      <c r="H394" s="274" t="s">
        <v>6</v>
      </c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</row>
    <row r="395" spans="1:92" ht="24" customHeight="1" x14ac:dyDescent="0.3">
      <c r="A395" s="31" t="s">
        <v>7</v>
      </c>
      <c r="B395" s="31" t="s">
        <v>8</v>
      </c>
      <c r="C395" s="32" t="s">
        <v>9</v>
      </c>
      <c r="D395" s="31" t="s">
        <v>10</v>
      </c>
      <c r="E395" s="31" t="s">
        <v>11</v>
      </c>
      <c r="F395" s="31" t="s">
        <v>12</v>
      </c>
      <c r="G395" s="33" t="s">
        <v>13</v>
      </c>
      <c r="H395" s="31" t="s">
        <v>14</v>
      </c>
      <c r="I395" s="34" t="s">
        <v>15</v>
      </c>
      <c r="J395" s="35" t="s">
        <v>16</v>
      </c>
      <c r="K395" s="36" t="s">
        <v>17</v>
      </c>
      <c r="L395" s="35" t="s">
        <v>18</v>
      </c>
      <c r="M395" s="35" t="s">
        <v>19</v>
      </c>
      <c r="N395" s="35" t="s">
        <v>20</v>
      </c>
      <c r="O395" s="31" t="s">
        <v>21</v>
      </c>
      <c r="P395" s="32" t="s">
        <v>22</v>
      </c>
      <c r="Q395" s="35" t="s">
        <v>23</v>
      </c>
      <c r="R395" s="31" t="s">
        <v>24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</row>
    <row r="396" spans="1:92" ht="15" customHeight="1" x14ac:dyDescent="0.3">
      <c r="A396" s="182" t="s">
        <v>71</v>
      </c>
      <c r="B396" s="182" t="s">
        <v>389</v>
      </c>
      <c r="C396" s="183">
        <v>0.4548611111111111</v>
      </c>
      <c r="D396" s="182" t="s">
        <v>81</v>
      </c>
      <c r="E396" s="182" t="s">
        <v>82</v>
      </c>
      <c r="F396" s="182" t="s">
        <v>123</v>
      </c>
      <c r="G396" s="276"/>
      <c r="H396" s="49" t="s">
        <v>330</v>
      </c>
      <c r="I396" s="50">
        <v>0.98329999999999995</v>
      </c>
      <c r="J396" s="51">
        <v>177</v>
      </c>
      <c r="K396" s="52">
        <v>45984</v>
      </c>
      <c r="L396" s="51">
        <v>29</v>
      </c>
      <c r="M396" s="51">
        <v>1</v>
      </c>
      <c r="N396" s="51">
        <v>1</v>
      </c>
      <c r="O396" s="53" t="s">
        <v>427</v>
      </c>
      <c r="P396" s="54">
        <v>0.4548611111111111</v>
      </c>
      <c r="Q396" s="51">
        <v>180</v>
      </c>
      <c r="R396" s="55" t="s">
        <v>428</v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</row>
    <row r="397" spans="1:92" ht="15" customHeight="1" x14ac:dyDescent="0.3">
      <c r="A397" s="226" t="s">
        <v>71</v>
      </c>
      <c r="B397" s="226" t="s">
        <v>328</v>
      </c>
      <c r="C397" s="227">
        <v>0.1423611111111111</v>
      </c>
      <c r="D397" s="226" t="s">
        <v>73</v>
      </c>
      <c r="E397" s="228"/>
      <c r="F397" s="226" t="s">
        <v>74</v>
      </c>
      <c r="G397" s="277"/>
      <c r="H397" s="197" t="s">
        <v>328</v>
      </c>
      <c r="I397" s="215">
        <v>1</v>
      </c>
      <c r="J397" s="199">
        <v>180</v>
      </c>
      <c r="K397" s="200">
        <v>45966</v>
      </c>
      <c r="L397" s="199">
        <v>0</v>
      </c>
      <c r="M397" s="199">
        <v>0</v>
      </c>
      <c r="N397" s="199">
        <v>0</v>
      </c>
      <c r="O397" s="201" t="s">
        <v>75</v>
      </c>
      <c r="P397" s="202">
        <v>0.1423611111111111</v>
      </c>
      <c r="Q397" s="199">
        <v>180</v>
      </c>
      <c r="R397" s="203" t="s">
        <v>429</v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</row>
    <row r="398" spans="1:92" ht="15" customHeight="1" x14ac:dyDescent="0.3">
      <c r="A398" s="46" t="s">
        <v>71</v>
      </c>
      <c r="B398" s="46" t="s">
        <v>380</v>
      </c>
      <c r="C398" s="47">
        <v>0.15625</v>
      </c>
      <c r="D398" s="46" t="s">
        <v>73</v>
      </c>
      <c r="E398" s="48"/>
      <c r="F398" s="46" t="s">
        <v>74</v>
      </c>
      <c r="G398" s="277"/>
      <c r="H398" s="49" t="s">
        <v>380</v>
      </c>
      <c r="I398" s="50">
        <v>1</v>
      </c>
      <c r="J398" s="51">
        <v>180</v>
      </c>
      <c r="K398" s="52">
        <v>45982</v>
      </c>
      <c r="L398" s="51">
        <v>23</v>
      </c>
      <c r="M398" s="51">
        <v>0</v>
      </c>
      <c r="N398" s="51">
        <v>0</v>
      </c>
      <c r="O398" s="53" t="s">
        <v>75</v>
      </c>
      <c r="P398" s="54">
        <v>0.15625</v>
      </c>
      <c r="Q398" s="51">
        <v>180</v>
      </c>
      <c r="R398" s="55" t="s">
        <v>430</v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</row>
    <row r="399" spans="1:92" ht="15" customHeight="1" x14ac:dyDescent="0.3">
      <c r="A399" s="216" t="s">
        <v>71</v>
      </c>
      <c r="B399" s="216" t="s">
        <v>332</v>
      </c>
      <c r="C399" s="217">
        <v>0.33333333333333331</v>
      </c>
      <c r="D399" s="216" t="s">
        <v>73</v>
      </c>
      <c r="E399" s="221"/>
      <c r="F399" s="216" t="s">
        <v>74</v>
      </c>
      <c r="G399" s="277"/>
      <c r="H399" s="168" t="s">
        <v>332</v>
      </c>
      <c r="I399" s="169">
        <v>1</v>
      </c>
      <c r="J399" s="170">
        <v>180</v>
      </c>
      <c r="K399" s="171">
        <v>45981</v>
      </c>
      <c r="L399" s="170">
        <v>4</v>
      </c>
      <c r="M399" s="170">
        <v>0</v>
      </c>
      <c r="N399" s="170">
        <v>0</v>
      </c>
      <c r="O399" s="172" t="s">
        <v>75</v>
      </c>
      <c r="P399" s="173">
        <v>0.33333333333333331</v>
      </c>
      <c r="Q399" s="170">
        <v>180</v>
      </c>
      <c r="R399" s="174" t="s">
        <v>431</v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</row>
    <row r="400" spans="1:92" ht="15" customHeight="1" x14ac:dyDescent="0.3">
      <c r="A400" s="218" t="s">
        <v>71</v>
      </c>
      <c r="B400" s="218" t="s">
        <v>347</v>
      </c>
      <c r="C400" s="219">
        <v>0.82986111111111116</v>
      </c>
      <c r="D400" s="218" t="s">
        <v>73</v>
      </c>
      <c r="E400" s="220"/>
      <c r="F400" s="218" t="s">
        <v>74</v>
      </c>
      <c r="G400" s="277"/>
      <c r="H400" s="39" t="s">
        <v>347</v>
      </c>
      <c r="I400" s="40">
        <v>0.99439999999999995</v>
      </c>
      <c r="J400" s="41">
        <v>179</v>
      </c>
      <c r="K400" s="42">
        <v>45983</v>
      </c>
      <c r="L400" s="41">
        <v>15</v>
      </c>
      <c r="M400" s="41">
        <v>0</v>
      </c>
      <c r="N400" s="41">
        <v>4</v>
      </c>
      <c r="O400" s="43" t="s">
        <v>75</v>
      </c>
      <c r="P400" s="44">
        <v>0.82986111111111116</v>
      </c>
      <c r="Q400" s="41">
        <v>180</v>
      </c>
      <c r="R400" s="45" t="s">
        <v>432</v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</row>
    <row r="401" spans="1:92" ht="15" customHeight="1" x14ac:dyDescent="0.3">
      <c r="A401" s="17" t="s">
        <v>25</v>
      </c>
      <c r="B401" s="17" t="s">
        <v>278</v>
      </c>
      <c r="C401" s="18">
        <v>0.39930555555555558</v>
      </c>
      <c r="D401" s="17" t="s">
        <v>27</v>
      </c>
      <c r="E401" s="17" t="s">
        <v>105</v>
      </c>
      <c r="F401" s="17" t="s">
        <v>275</v>
      </c>
      <c r="G401" s="277"/>
      <c r="H401" s="10"/>
      <c r="I401" s="11"/>
      <c r="J401" s="11"/>
      <c r="K401" s="11"/>
      <c r="L401" s="11"/>
      <c r="M401" s="11"/>
      <c r="N401" s="11"/>
      <c r="O401" s="12"/>
      <c r="P401" s="11"/>
      <c r="Q401" s="13"/>
      <c r="R401" s="14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</row>
    <row r="402" spans="1:92" ht="15" customHeight="1" x14ac:dyDescent="0.3">
      <c r="A402" s="15" t="s">
        <v>25</v>
      </c>
      <c r="B402" s="15" t="s">
        <v>278</v>
      </c>
      <c r="C402" s="16">
        <v>0.39930555555555558</v>
      </c>
      <c r="D402" s="15" t="s">
        <v>30</v>
      </c>
      <c r="E402" s="15" t="s">
        <v>106</v>
      </c>
      <c r="F402" s="15" t="s">
        <v>276</v>
      </c>
      <c r="G402" s="277"/>
      <c r="H402" s="10"/>
      <c r="I402" s="11"/>
      <c r="J402" s="11"/>
      <c r="K402" s="11"/>
      <c r="L402" s="11"/>
      <c r="M402" s="11"/>
      <c r="N402" s="11"/>
      <c r="O402" s="12"/>
      <c r="P402" s="11"/>
      <c r="Q402" s="13"/>
      <c r="R402" s="14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</row>
    <row r="403" spans="1:92" ht="15" customHeight="1" x14ac:dyDescent="0.3">
      <c r="A403" s="15" t="s">
        <v>25</v>
      </c>
      <c r="B403" s="15" t="s">
        <v>278</v>
      </c>
      <c r="C403" s="16">
        <v>0.39930555555555558</v>
      </c>
      <c r="D403" s="15" t="s">
        <v>33</v>
      </c>
      <c r="E403" s="15" t="s">
        <v>106</v>
      </c>
      <c r="F403" s="15" t="s">
        <v>34</v>
      </c>
      <c r="G403" s="277"/>
      <c r="H403" s="10"/>
      <c r="I403" s="11"/>
      <c r="J403" s="11"/>
      <c r="K403" s="11"/>
      <c r="L403" s="11"/>
      <c r="M403" s="11"/>
      <c r="N403" s="11"/>
      <c r="O403" s="12"/>
      <c r="P403" s="11"/>
      <c r="Q403" s="13"/>
      <c r="R403" s="14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</row>
    <row r="404" spans="1:92" ht="15" customHeight="1" x14ac:dyDescent="0.3">
      <c r="A404" s="19" t="s">
        <v>25</v>
      </c>
      <c r="B404" s="19" t="s">
        <v>273</v>
      </c>
      <c r="C404" s="20">
        <v>0.48958333333333331</v>
      </c>
      <c r="D404" s="19" t="s">
        <v>27</v>
      </c>
      <c r="E404" s="19" t="s">
        <v>95</v>
      </c>
      <c r="F404" s="19" t="s">
        <v>275</v>
      </c>
      <c r="G404" s="277"/>
      <c r="H404" s="10"/>
      <c r="I404" s="11"/>
      <c r="J404" s="11"/>
      <c r="K404" s="11"/>
      <c r="L404" s="11"/>
      <c r="M404" s="11"/>
      <c r="N404" s="11"/>
      <c r="O404" s="12"/>
      <c r="P404" s="11"/>
      <c r="Q404" s="13"/>
      <c r="R404" s="14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</row>
    <row r="405" spans="1:92" ht="15" customHeight="1" x14ac:dyDescent="0.3">
      <c r="A405" s="15" t="s">
        <v>25</v>
      </c>
      <c r="B405" s="15" t="s">
        <v>273</v>
      </c>
      <c r="C405" s="16">
        <v>0.48958333333333331</v>
      </c>
      <c r="D405" s="15" t="s">
        <v>33</v>
      </c>
      <c r="E405" s="15" t="s">
        <v>96</v>
      </c>
      <c r="F405" s="15" t="s">
        <v>79</v>
      </c>
      <c r="G405" s="277"/>
      <c r="H405" s="10"/>
      <c r="I405" s="11"/>
      <c r="J405" s="11"/>
      <c r="K405" s="11"/>
      <c r="L405" s="11"/>
      <c r="M405" s="11"/>
      <c r="N405" s="11"/>
      <c r="O405" s="12"/>
      <c r="P405" s="11"/>
      <c r="Q405" s="13"/>
      <c r="R405" s="14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</row>
    <row r="406" spans="1:92" ht="15" customHeight="1" x14ac:dyDescent="0.3">
      <c r="A406" s="15" t="s">
        <v>25</v>
      </c>
      <c r="B406" s="15" t="s">
        <v>273</v>
      </c>
      <c r="C406" s="16">
        <v>0.48958333333333331</v>
      </c>
      <c r="D406" s="15" t="s">
        <v>30</v>
      </c>
      <c r="E406" s="15" t="s">
        <v>96</v>
      </c>
      <c r="F406" s="15" t="s">
        <v>276</v>
      </c>
      <c r="G406" s="277"/>
      <c r="H406" s="10"/>
      <c r="I406" s="11"/>
      <c r="J406" s="11"/>
      <c r="K406" s="11"/>
      <c r="L406" s="11"/>
      <c r="M406" s="11"/>
      <c r="N406" s="11"/>
      <c r="O406" s="12"/>
      <c r="P406" s="11"/>
      <c r="Q406" s="13"/>
      <c r="R406" s="14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</row>
    <row r="407" spans="1:92" ht="15" customHeight="1" x14ac:dyDescent="0.3">
      <c r="A407" s="19" t="s">
        <v>25</v>
      </c>
      <c r="B407" s="19" t="s">
        <v>272</v>
      </c>
      <c r="C407" s="20">
        <v>0.98958333333333337</v>
      </c>
      <c r="D407" s="19" t="s">
        <v>27</v>
      </c>
      <c r="E407" s="19" t="s">
        <v>107</v>
      </c>
      <c r="F407" s="19" t="s">
        <v>275</v>
      </c>
      <c r="G407" s="277"/>
      <c r="H407" s="10"/>
      <c r="I407" s="11"/>
      <c r="J407" s="11"/>
      <c r="K407" s="11"/>
      <c r="L407" s="11"/>
      <c r="M407" s="11"/>
      <c r="N407" s="11"/>
      <c r="O407" s="12"/>
      <c r="P407" s="11"/>
      <c r="Q407" s="13"/>
      <c r="R407" s="14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</row>
    <row r="408" spans="1:92" ht="15" customHeight="1" x14ac:dyDescent="0.3">
      <c r="A408" s="15" t="s">
        <v>25</v>
      </c>
      <c r="B408" s="15" t="s">
        <v>272</v>
      </c>
      <c r="C408" s="16">
        <v>0.98958333333333337</v>
      </c>
      <c r="D408" s="15" t="s">
        <v>33</v>
      </c>
      <c r="E408" s="15" t="s">
        <v>106</v>
      </c>
      <c r="F408" s="15" t="s">
        <v>79</v>
      </c>
      <c r="G408" s="277"/>
      <c r="H408" s="10"/>
      <c r="I408" s="11"/>
      <c r="J408" s="11"/>
      <c r="K408" s="11"/>
      <c r="L408" s="11"/>
      <c r="M408" s="11"/>
      <c r="N408" s="11"/>
      <c r="O408" s="12"/>
      <c r="P408" s="11"/>
      <c r="Q408" s="13"/>
      <c r="R408" s="14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</row>
    <row r="409" spans="1:92" ht="15" customHeight="1" x14ac:dyDescent="0.3">
      <c r="A409" s="15" t="s">
        <v>25</v>
      </c>
      <c r="B409" s="15" t="s">
        <v>272</v>
      </c>
      <c r="C409" s="16">
        <v>0.98958333333333337</v>
      </c>
      <c r="D409" s="15" t="s">
        <v>30</v>
      </c>
      <c r="E409" s="15" t="s">
        <v>106</v>
      </c>
      <c r="F409" s="15" t="s">
        <v>276</v>
      </c>
      <c r="G409" s="277"/>
      <c r="H409" s="10"/>
      <c r="I409" s="11"/>
      <c r="J409" s="11"/>
      <c r="K409" s="11"/>
      <c r="L409" s="11"/>
      <c r="M409" s="11"/>
      <c r="N409" s="11"/>
      <c r="O409" s="12"/>
      <c r="P409" s="11"/>
      <c r="Q409" s="13"/>
      <c r="R409" s="14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</row>
    <row r="410" spans="1:92" ht="15" customHeight="1" x14ac:dyDescent="0.3">
      <c r="A410" s="19" t="s">
        <v>25</v>
      </c>
      <c r="B410" s="19" t="s">
        <v>277</v>
      </c>
      <c r="C410" s="20">
        <v>0.88888888888888884</v>
      </c>
      <c r="D410" s="19" t="s">
        <v>27</v>
      </c>
      <c r="E410" s="19" t="s">
        <v>289</v>
      </c>
      <c r="F410" s="19" t="s">
        <v>293</v>
      </c>
      <c r="G410" s="277"/>
      <c r="H410" s="10"/>
      <c r="I410" s="11"/>
      <c r="J410" s="11"/>
      <c r="K410" s="11"/>
      <c r="L410" s="11"/>
      <c r="M410" s="11"/>
      <c r="N410" s="11"/>
      <c r="O410" s="12"/>
      <c r="P410" s="11"/>
      <c r="Q410" s="13"/>
      <c r="R410" s="14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</row>
    <row r="411" spans="1:92" ht="15" customHeight="1" x14ac:dyDescent="0.3">
      <c r="A411" s="15" t="s">
        <v>25</v>
      </c>
      <c r="B411" s="15" t="s">
        <v>277</v>
      </c>
      <c r="C411" s="16">
        <v>0.88888888888888884</v>
      </c>
      <c r="D411" s="15" t="s">
        <v>30</v>
      </c>
      <c r="E411" s="15" t="s">
        <v>31</v>
      </c>
      <c r="F411" s="15" t="s">
        <v>335</v>
      </c>
      <c r="G411" s="277"/>
      <c r="H411" s="10"/>
      <c r="I411" s="11"/>
      <c r="J411" s="11"/>
      <c r="K411" s="11"/>
      <c r="L411" s="11"/>
      <c r="M411" s="11"/>
      <c r="N411" s="11"/>
      <c r="O411" s="12"/>
      <c r="P411" s="11"/>
      <c r="Q411" s="13"/>
      <c r="R411" s="14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</row>
    <row r="412" spans="1:92" ht="15" customHeight="1" x14ac:dyDescent="0.3">
      <c r="A412" s="15" t="s">
        <v>25</v>
      </c>
      <c r="B412" s="15" t="s">
        <v>277</v>
      </c>
      <c r="C412" s="16">
        <v>0.88888888888888884</v>
      </c>
      <c r="D412" s="15" t="s">
        <v>33</v>
      </c>
      <c r="E412" s="15" t="s">
        <v>31</v>
      </c>
      <c r="F412" s="15" t="s">
        <v>34</v>
      </c>
      <c r="G412" s="277"/>
      <c r="H412" s="10"/>
      <c r="I412" s="11"/>
      <c r="J412" s="11"/>
      <c r="K412" s="11"/>
      <c r="L412" s="11"/>
      <c r="M412" s="11"/>
      <c r="N412" s="11"/>
      <c r="O412" s="12"/>
      <c r="P412" s="11"/>
      <c r="Q412" s="13"/>
      <c r="R412" s="14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</row>
    <row r="413" spans="1:92" ht="15" customHeight="1" x14ac:dyDescent="0.3">
      <c r="A413" s="17" t="s">
        <v>285</v>
      </c>
      <c r="B413" s="17" t="s">
        <v>286</v>
      </c>
      <c r="C413" s="18">
        <v>0.49305555555555558</v>
      </c>
      <c r="D413" s="17" t="s">
        <v>81</v>
      </c>
      <c r="E413" s="17" t="s">
        <v>77</v>
      </c>
      <c r="F413" s="17" t="s">
        <v>287</v>
      </c>
      <c r="G413" s="277"/>
      <c r="H413" s="10"/>
      <c r="I413" s="11"/>
      <c r="J413" s="11"/>
      <c r="K413" s="11"/>
      <c r="L413" s="11"/>
      <c r="M413" s="11"/>
      <c r="N413" s="11"/>
      <c r="O413" s="12"/>
      <c r="P413" s="11"/>
      <c r="Q413" s="13"/>
      <c r="R413" s="14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</row>
    <row r="414" spans="1:92" ht="15" customHeight="1" x14ac:dyDescent="0.3">
      <c r="A414" s="19" t="s">
        <v>285</v>
      </c>
      <c r="B414" s="19" t="s">
        <v>288</v>
      </c>
      <c r="C414" s="20">
        <v>0.2048611111111111</v>
      </c>
      <c r="D414" s="19" t="s">
        <v>81</v>
      </c>
      <c r="E414" s="19" t="s">
        <v>121</v>
      </c>
      <c r="F414" s="19" t="s">
        <v>287</v>
      </c>
      <c r="G414" s="277"/>
      <c r="H414" s="10"/>
      <c r="I414" s="11"/>
      <c r="J414" s="11"/>
      <c r="K414" s="11"/>
      <c r="L414" s="11"/>
      <c r="M414" s="11"/>
      <c r="N414" s="11"/>
      <c r="O414" s="12"/>
      <c r="P414" s="11"/>
      <c r="Q414" s="13"/>
      <c r="R414" s="14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</row>
    <row r="415" spans="1:92" ht="15" customHeight="1" x14ac:dyDescent="0.3">
      <c r="A415" s="17" t="s">
        <v>54</v>
      </c>
      <c r="B415" s="17" t="s">
        <v>299</v>
      </c>
      <c r="C415" s="18">
        <v>0.34722222222222232</v>
      </c>
      <c r="D415" s="17" t="s">
        <v>56</v>
      </c>
      <c r="E415" s="17" t="s">
        <v>402</v>
      </c>
      <c r="F415" s="17" t="s">
        <v>79</v>
      </c>
      <c r="G415" s="277"/>
      <c r="H415" s="10"/>
      <c r="I415" s="11"/>
      <c r="J415" s="11"/>
      <c r="K415" s="11"/>
      <c r="L415" s="11"/>
      <c r="M415" s="11"/>
      <c r="N415" s="11"/>
      <c r="O415" s="12"/>
      <c r="P415" s="11"/>
      <c r="Q415" s="13"/>
      <c r="R415" s="14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</row>
    <row r="416" spans="1:92" ht="15" customHeight="1" x14ac:dyDescent="0.3">
      <c r="A416" s="15" t="s">
        <v>54</v>
      </c>
      <c r="B416" s="15" t="s">
        <v>299</v>
      </c>
      <c r="C416" s="16">
        <v>0.34722222222222232</v>
      </c>
      <c r="D416" s="15" t="s">
        <v>58</v>
      </c>
      <c r="E416" s="15" t="s">
        <v>339</v>
      </c>
      <c r="F416" s="15" t="s">
        <v>335</v>
      </c>
      <c r="G416" s="277"/>
      <c r="H416" s="10"/>
      <c r="I416" s="11"/>
      <c r="J416" s="11"/>
      <c r="K416" s="11"/>
      <c r="L416" s="11"/>
      <c r="M416" s="11"/>
      <c r="N416" s="11"/>
      <c r="O416" s="12"/>
      <c r="P416" s="11"/>
      <c r="Q416" s="13"/>
      <c r="R416" s="14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</row>
    <row r="417" spans="1:92" ht="15" customHeight="1" x14ac:dyDescent="0.3">
      <c r="A417" s="15" t="s">
        <v>54</v>
      </c>
      <c r="B417" s="15" t="s">
        <v>299</v>
      </c>
      <c r="C417" s="16">
        <v>0.34722222222222232</v>
      </c>
      <c r="D417" s="15" t="s">
        <v>60</v>
      </c>
      <c r="E417" s="15" t="s">
        <v>339</v>
      </c>
      <c r="F417" s="15" t="s">
        <v>433</v>
      </c>
      <c r="G417" s="277"/>
      <c r="H417" s="10"/>
      <c r="I417" s="11"/>
      <c r="J417" s="11"/>
      <c r="K417" s="11"/>
      <c r="L417" s="11"/>
      <c r="M417" s="11"/>
      <c r="N417" s="11"/>
      <c r="O417" s="12"/>
      <c r="P417" s="11"/>
      <c r="Q417" s="13"/>
      <c r="R417" s="14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</row>
    <row r="418" spans="1:92" ht="15" customHeight="1" x14ac:dyDescent="0.3">
      <c r="A418" s="19" t="s">
        <v>54</v>
      </c>
      <c r="B418" s="19" t="s">
        <v>291</v>
      </c>
      <c r="C418" s="20">
        <v>0.99305555555555547</v>
      </c>
      <c r="D418" s="19" t="s">
        <v>56</v>
      </c>
      <c r="E418" s="19" t="s">
        <v>107</v>
      </c>
      <c r="F418" s="19" t="s">
        <v>79</v>
      </c>
      <c r="G418" s="277"/>
      <c r="H418" s="10"/>
      <c r="I418" s="11"/>
      <c r="J418" s="11"/>
      <c r="K418" s="11"/>
      <c r="L418" s="11"/>
      <c r="M418" s="11"/>
      <c r="N418" s="11"/>
      <c r="O418" s="12"/>
      <c r="P418" s="11"/>
      <c r="Q418" s="13"/>
      <c r="R418" s="14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</row>
    <row r="419" spans="1:92" ht="15" customHeight="1" x14ac:dyDescent="0.3">
      <c r="A419" s="15" t="s">
        <v>54</v>
      </c>
      <c r="B419" s="15" t="s">
        <v>291</v>
      </c>
      <c r="C419" s="16">
        <v>0.99305555555555547</v>
      </c>
      <c r="D419" s="15" t="s">
        <v>58</v>
      </c>
      <c r="E419" s="15" t="s">
        <v>106</v>
      </c>
      <c r="F419" s="15" t="s">
        <v>335</v>
      </c>
      <c r="G419" s="277"/>
      <c r="H419" s="10"/>
      <c r="I419" s="11"/>
      <c r="J419" s="11"/>
      <c r="K419" s="11"/>
      <c r="L419" s="11"/>
      <c r="M419" s="11"/>
      <c r="N419" s="11"/>
      <c r="O419" s="12"/>
      <c r="P419" s="11"/>
      <c r="Q419" s="13"/>
      <c r="R419" s="14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</row>
    <row r="420" spans="1:92" ht="15" customHeight="1" x14ac:dyDescent="0.3">
      <c r="A420" s="15" t="s">
        <v>54</v>
      </c>
      <c r="B420" s="15" t="s">
        <v>291</v>
      </c>
      <c r="C420" s="16">
        <v>0.99305555555555547</v>
      </c>
      <c r="D420" s="15" t="s">
        <v>60</v>
      </c>
      <c r="E420" s="15" t="s">
        <v>106</v>
      </c>
      <c r="F420" s="15" t="s">
        <v>433</v>
      </c>
      <c r="G420" s="277"/>
      <c r="H420" s="10"/>
      <c r="I420" s="11"/>
      <c r="J420" s="11"/>
      <c r="K420" s="11"/>
      <c r="L420" s="11"/>
      <c r="M420" s="11"/>
      <c r="N420" s="11"/>
      <c r="O420" s="12"/>
      <c r="P420" s="11"/>
      <c r="Q420" s="13"/>
      <c r="R420" s="14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</row>
    <row r="421" spans="1:92" ht="15" customHeight="1" x14ac:dyDescent="0.3">
      <c r="A421" s="19" t="s">
        <v>54</v>
      </c>
      <c r="B421" s="19" t="s">
        <v>294</v>
      </c>
      <c r="C421" s="20">
        <v>0.83680555555555547</v>
      </c>
      <c r="D421" s="19" t="s">
        <v>56</v>
      </c>
      <c r="E421" s="19" t="s">
        <v>274</v>
      </c>
      <c r="F421" s="19" t="s">
        <v>79</v>
      </c>
      <c r="G421" s="277"/>
      <c r="H421" s="10"/>
      <c r="I421" s="11"/>
      <c r="J421" s="11"/>
      <c r="K421" s="11"/>
      <c r="L421" s="11"/>
      <c r="M421" s="11"/>
      <c r="N421" s="11"/>
      <c r="O421" s="12"/>
      <c r="P421" s="11"/>
      <c r="Q421" s="13"/>
      <c r="R421" s="14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</row>
    <row r="422" spans="1:92" ht="15" customHeight="1" x14ac:dyDescent="0.3">
      <c r="A422" s="15" t="s">
        <v>54</v>
      </c>
      <c r="B422" s="15" t="s">
        <v>294</v>
      </c>
      <c r="C422" s="16">
        <v>0.83680555555555547</v>
      </c>
      <c r="D422" s="15" t="s">
        <v>58</v>
      </c>
      <c r="E422" s="15" t="s">
        <v>78</v>
      </c>
      <c r="F422" s="15" t="s">
        <v>335</v>
      </c>
      <c r="G422" s="277"/>
      <c r="H422" s="10"/>
      <c r="I422" s="11"/>
      <c r="J422" s="11"/>
      <c r="K422" s="11"/>
      <c r="L422" s="11"/>
      <c r="M422" s="11"/>
      <c r="N422" s="11"/>
      <c r="O422" s="12"/>
      <c r="P422" s="11"/>
      <c r="Q422" s="13"/>
      <c r="R422" s="14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</row>
    <row r="423" spans="1:92" ht="15" customHeight="1" x14ac:dyDescent="0.3">
      <c r="A423" s="15" t="s">
        <v>54</v>
      </c>
      <c r="B423" s="15" t="s">
        <v>294</v>
      </c>
      <c r="C423" s="16">
        <v>0.83680555555555547</v>
      </c>
      <c r="D423" s="15" t="s">
        <v>60</v>
      </c>
      <c r="E423" s="15" t="s">
        <v>78</v>
      </c>
      <c r="F423" s="15" t="s">
        <v>433</v>
      </c>
      <c r="G423" s="277"/>
      <c r="H423" s="10"/>
      <c r="I423" s="11"/>
      <c r="J423" s="11"/>
      <c r="K423" s="11"/>
      <c r="L423" s="11"/>
      <c r="M423" s="11"/>
      <c r="N423" s="11"/>
      <c r="O423" s="12"/>
      <c r="P423" s="11"/>
      <c r="Q423" s="13"/>
      <c r="R423" s="14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</row>
    <row r="424" spans="1:92" ht="15" customHeight="1" x14ac:dyDescent="0.3">
      <c r="A424" s="19" t="s">
        <v>54</v>
      </c>
      <c r="B424" s="19" t="s">
        <v>295</v>
      </c>
      <c r="C424" s="20">
        <v>0.94444444444444453</v>
      </c>
      <c r="D424" s="19" t="s">
        <v>56</v>
      </c>
      <c r="E424" s="19" t="s">
        <v>95</v>
      </c>
      <c r="F424" s="19" t="s">
        <v>79</v>
      </c>
      <c r="G424" s="277"/>
      <c r="H424" s="10"/>
      <c r="I424" s="11"/>
      <c r="J424" s="11"/>
      <c r="K424" s="11"/>
      <c r="L424" s="11"/>
      <c r="M424" s="11"/>
      <c r="N424" s="11"/>
      <c r="O424" s="12"/>
      <c r="P424" s="11"/>
      <c r="Q424" s="13"/>
      <c r="R424" s="14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</row>
    <row r="425" spans="1:92" ht="15" customHeight="1" x14ac:dyDescent="0.3">
      <c r="A425" s="15" t="s">
        <v>54</v>
      </c>
      <c r="B425" s="15" t="s">
        <v>295</v>
      </c>
      <c r="C425" s="16">
        <v>0.94444444444444453</v>
      </c>
      <c r="D425" s="15" t="s">
        <v>58</v>
      </c>
      <c r="E425" s="15" t="s">
        <v>96</v>
      </c>
      <c r="F425" s="15" t="s">
        <v>335</v>
      </c>
      <c r="G425" s="277"/>
      <c r="H425" s="10"/>
      <c r="I425" s="11"/>
      <c r="J425" s="11"/>
      <c r="K425" s="11"/>
      <c r="L425" s="11"/>
      <c r="M425" s="11"/>
      <c r="N425" s="11"/>
      <c r="O425" s="12"/>
      <c r="P425" s="11"/>
      <c r="Q425" s="13"/>
      <c r="R425" s="14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</row>
    <row r="426" spans="1:92" ht="15" customHeight="1" x14ac:dyDescent="0.3">
      <c r="A426" s="15" t="s">
        <v>54</v>
      </c>
      <c r="B426" s="15" t="s">
        <v>295</v>
      </c>
      <c r="C426" s="16">
        <v>0.94444444444444453</v>
      </c>
      <c r="D426" s="15" t="s">
        <v>60</v>
      </c>
      <c r="E426" s="15" t="s">
        <v>96</v>
      </c>
      <c r="F426" s="15" t="s">
        <v>433</v>
      </c>
      <c r="G426" s="277"/>
      <c r="H426" s="10"/>
      <c r="I426" s="11"/>
      <c r="J426" s="11"/>
      <c r="K426" s="11"/>
      <c r="L426" s="11"/>
      <c r="M426" s="11"/>
      <c r="N426" s="11"/>
      <c r="O426" s="12"/>
      <c r="P426" s="11"/>
      <c r="Q426" s="13"/>
      <c r="R426" s="14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</row>
    <row r="427" spans="1:92" ht="15" customHeight="1" x14ac:dyDescent="0.3">
      <c r="A427" s="19" t="s">
        <v>54</v>
      </c>
      <c r="B427" s="19" t="s">
        <v>296</v>
      </c>
      <c r="C427" s="20">
        <v>0.4861111111111111</v>
      </c>
      <c r="D427" s="19" t="s">
        <v>56</v>
      </c>
      <c r="E427" s="19" t="s">
        <v>89</v>
      </c>
      <c r="F427" s="19" t="s">
        <v>79</v>
      </c>
      <c r="G427" s="277"/>
      <c r="H427" s="10"/>
      <c r="I427" s="11"/>
      <c r="J427" s="11"/>
      <c r="K427" s="11"/>
      <c r="L427" s="11"/>
      <c r="M427" s="11"/>
      <c r="N427" s="11"/>
      <c r="O427" s="12"/>
      <c r="P427" s="11"/>
      <c r="Q427" s="13"/>
      <c r="R427" s="14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</row>
    <row r="428" spans="1:92" ht="15" customHeight="1" x14ac:dyDescent="0.3">
      <c r="A428" s="15" t="s">
        <v>54</v>
      </c>
      <c r="B428" s="15" t="s">
        <v>296</v>
      </c>
      <c r="C428" s="16">
        <v>0.4861111111111111</v>
      </c>
      <c r="D428" s="15" t="s">
        <v>58</v>
      </c>
      <c r="E428" s="15" t="s">
        <v>109</v>
      </c>
      <c r="F428" s="15" t="s">
        <v>335</v>
      </c>
      <c r="G428" s="277"/>
      <c r="H428" s="10"/>
      <c r="I428" s="11"/>
      <c r="J428" s="11"/>
      <c r="K428" s="11"/>
      <c r="L428" s="11"/>
      <c r="M428" s="11"/>
      <c r="N428" s="11"/>
      <c r="O428" s="12"/>
      <c r="P428" s="11"/>
      <c r="Q428" s="13"/>
      <c r="R428" s="14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</row>
    <row r="429" spans="1:92" ht="15" customHeight="1" x14ac:dyDescent="0.3">
      <c r="A429" s="15" t="s">
        <v>54</v>
      </c>
      <c r="B429" s="15" t="s">
        <v>296</v>
      </c>
      <c r="C429" s="16">
        <v>0.4861111111111111</v>
      </c>
      <c r="D429" s="15" t="s">
        <v>60</v>
      </c>
      <c r="E429" s="15" t="s">
        <v>109</v>
      </c>
      <c r="F429" s="15" t="s">
        <v>433</v>
      </c>
      <c r="G429" s="277"/>
      <c r="H429" s="10"/>
      <c r="I429" s="11"/>
      <c r="J429" s="11"/>
      <c r="K429" s="11"/>
      <c r="L429" s="11"/>
      <c r="M429" s="11"/>
      <c r="N429" s="11"/>
      <c r="O429" s="12"/>
      <c r="P429" s="11"/>
      <c r="Q429" s="13"/>
      <c r="R429" s="14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</row>
    <row r="430" spans="1:92" ht="15" customHeight="1" x14ac:dyDescent="0.3">
      <c r="A430" s="19" t="s">
        <v>54</v>
      </c>
      <c r="B430" s="19" t="s">
        <v>297</v>
      </c>
      <c r="C430" s="20">
        <v>0.3923611111111111</v>
      </c>
      <c r="D430" s="19" t="s">
        <v>56</v>
      </c>
      <c r="E430" s="19" t="s">
        <v>121</v>
      </c>
      <c r="F430" s="19" t="s">
        <v>79</v>
      </c>
      <c r="G430" s="277"/>
      <c r="H430" s="10"/>
      <c r="I430" s="11"/>
      <c r="J430" s="11"/>
      <c r="K430" s="11"/>
      <c r="L430" s="11"/>
      <c r="M430" s="11"/>
      <c r="N430" s="11"/>
      <c r="O430" s="12"/>
      <c r="P430" s="11"/>
      <c r="Q430" s="13"/>
      <c r="R430" s="14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</row>
    <row r="431" spans="1:92" ht="15" customHeight="1" x14ac:dyDescent="0.3">
      <c r="A431" s="15" t="s">
        <v>54</v>
      </c>
      <c r="B431" s="15" t="s">
        <v>297</v>
      </c>
      <c r="C431" s="16">
        <v>0.3923611111111111</v>
      </c>
      <c r="D431" s="15" t="s">
        <v>58</v>
      </c>
      <c r="E431" s="15" t="s">
        <v>339</v>
      </c>
      <c r="F431" s="15" t="s">
        <v>335</v>
      </c>
      <c r="G431" s="277"/>
      <c r="H431" s="10"/>
      <c r="I431" s="11"/>
      <c r="J431" s="11"/>
      <c r="K431" s="11"/>
      <c r="L431" s="11"/>
      <c r="M431" s="11"/>
      <c r="N431" s="11"/>
      <c r="O431" s="12"/>
      <c r="P431" s="11"/>
      <c r="Q431" s="13"/>
      <c r="R431" s="14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</row>
    <row r="432" spans="1:92" ht="15" customHeight="1" x14ac:dyDescent="0.3">
      <c r="A432" s="15" t="s">
        <v>54</v>
      </c>
      <c r="B432" s="15" t="s">
        <v>297</v>
      </c>
      <c r="C432" s="16">
        <v>0.3923611111111111</v>
      </c>
      <c r="D432" s="15" t="s">
        <v>60</v>
      </c>
      <c r="E432" s="15" t="s">
        <v>339</v>
      </c>
      <c r="F432" s="15" t="s">
        <v>433</v>
      </c>
      <c r="G432" s="277"/>
      <c r="H432" s="10"/>
      <c r="I432" s="11"/>
      <c r="J432" s="11"/>
      <c r="K432" s="11"/>
      <c r="L432" s="11"/>
      <c r="M432" s="11"/>
      <c r="N432" s="11"/>
      <c r="O432" s="12"/>
      <c r="P432" s="11"/>
      <c r="Q432" s="13"/>
      <c r="R432" s="14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</row>
    <row r="433" spans="1:92" ht="15" customHeight="1" x14ac:dyDescent="0.3">
      <c r="A433" s="19" t="s">
        <v>54</v>
      </c>
      <c r="B433" s="19" t="s">
        <v>298</v>
      </c>
      <c r="C433" s="20">
        <v>0.88888888888888884</v>
      </c>
      <c r="D433" s="19" t="s">
        <v>56</v>
      </c>
      <c r="E433" s="19" t="s">
        <v>289</v>
      </c>
      <c r="F433" s="19" t="s">
        <v>79</v>
      </c>
      <c r="G433" s="277"/>
      <c r="H433" s="10"/>
      <c r="I433" s="11"/>
      <c r="J433" s="11"/>
      <c r="K433" s="11"/>
      <c r="L433" s="11"/>
      <c r="M433" s="11"/>
      <c r="N433" s="11"/>
      <c r="O433" s="12"/>
      <c r="P433" s="11"/>
      <c r="Q433" s="13"/>
      <c r="R433" s="14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</row>
    <row r="434" spans="1:92" ht="15" customHeight="1" x14ac:dyDescent="0.3">
      <c r="A434" s="15" t="s">
        <v>54</v>
      </c>
      <c r="B434" s="15" t="s">
        <v>298</v>
      </c>
      <c r="C434" s="16">
        <v>0.88888888888888884</v>
      </c>
      <c r="D434" s="15" t="s">
        <v>58</v>
      </c>
      <c r="E434" s="15" t="s">
        <v>31</v>
      </c>
      <c r="F434" s="15" t="s">
        <v>335</v>
      </c>
      <c r="G434" s="277"/>
      <c r="H434" s="10"/>
      <c r="I434" s="11"/>
      <c r="J434" s="11"/>
      <c r="K434" s="11"/>
      <c r="L434" s="11"/>
      <c r="M434" s="11"/>
      <c r="N434" s="11"/>
      <c r="O434" s="12"/>
      <c r="P434" s="11"/>
      <c r="Q434" s="13"/>
      <c r="R434" s="14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</row>
    <row r="435" spans="1:92" ht="15" customHeight="1" x14ac:dyDescent="0.3">
      <c r="A435" s="15" t="s">
        <v>54</v>
      </c>
      <c r="B435" s="15" t="s">
        <v>298</v>
      </c>
      <c r="C435" s="16">
        <v>0.88888888888888884</v>
      </c>
      <c r="D435" s="15" t="s">
        <v>60</v>
      </c>
      <c r="E435" s="15" t="s">
        <v>31</v>
      </c>
      <c r="F435" s="15" t="s">
        <v>433</v>
      </c>
      <c r="G435" s="277"/>
      <c r="H435" s="10"/>
      <c r="I435" s="11"/>
      <c r="J435" s="11"/>
      <c r="K435" s="11"/>
      <c r="L435" s="11"/>
      <c r="M435" s="11"/>
      <c r="N435" s="11"/>
      <c r="O435" s="12"/>
      <c r="P435" s="11"/>
      <c r="Q435" s="13"/>
      <c r="R435" s="14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</row>
    <row r="436" spans="1:92" ht="15" customHeight="1" x14ac:dyDescent="0.3">
      <c r="A436" s="19" t="s">
        <v>54</v>
      </c>
      <c r="B436" s="19" t="s">
        <v>301</v>
      </c>
      <c r="C436" s="20">
        <v>0.73611111111111116</v>
      </c>
      <c r="D436" s="19" t="s">
        <v>56</v>
      </c>
      <c r="E436" s="19" t="s">
        <v>89</v>
      </c>
      <c r="F436" s="19" t="s">
        <v>335</v>
      </c>
      <c r="G436" s="277"/>
      <c r="H436" s="10"/>
      <c r="I436" s="11"/>
      <c r="J436" s="11"/>
      <c r="K436" s="11"/>
      <c r="L436" s="11"/>
      <c r="M436" s="11"/>
      <c r="N436" s="11"/>
      <c r="O436" s="12"/>
      <c r="P436" s="11"/>
      <c r="Q436" s="13"/>
      <c r="R436" s="14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</row>
    <row r="437" spans="1:92" ht="15" customHeight="1" x14ac:dyDescent="0.3">
      <c r="A437" s="15" t="s">
        <v>54</v>
      </c>
      <c r="B437" s="15" t="s">
        <v>301</v>
      </c>
      <c r="C437" s="16">
        <v>0.73611111111111116</v>
      </c>
      <c r="D437" s="15" t="s">
        <v>58</v>
      </c>
      <c r="E437" s="15" t="s">
        <v>109</v>
      </c>
      <c r="F437" s="15" t="s">
        <v>119</v>
      </c>
      <c r="G437" s="277"/>
      <c r="H437" s="10"/>
      <c r="I437" s="11"/>
      <c r="J437" s="11"/>
      <c r="K437" s="11"/>
      <c r="L437" s="11"/>
      <c r="M437" s="11"/>
      <c r="N437" s="11"/>
      <c r="O437" s="12"/>
      <c r="P437" s="11"/>
      <c r="Q437" s="13"/>
      <c r="R437" s="14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</row>
    <row r="438" spans="1:92" ht="15" customHeight="1" x14ac:dyDescent="0.3">
      <c r="A438" s="15" t="s">
        <v>54</v>
      </c>
      <c r="B438" s="15" t="s">
        <v>301</v>
      </c>
      <c r="C438" s="16">
        <v>0.73611111111111116</v>
      </c>
      <c r="D438" s="15" t="s">
        <v>60</v>
      </c>
      <c r="E438" s="15" t="s">
        <v>109</v>
      </c>
      <c r="F438" s="15" t="s">
        <v>399</v>
      </c>
      <c r="G438" s="277"/>
      <c r="H438" s="10"/>
      <c r="I438" s="11"/>
      <c r="J438" s="11"/>
      <c r="K438" s="11"/>
      <c r="L438" s="11"/>
      <c r="M438" s="11"/>
      <c r="N438" s="11"/>
      <c r="O438" s="12"/>
      <c r="P438" s="11"/>
      <c r="Q438" s="13"/>
      <c r="R438" s="14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</row>
    <row r="439" spans="1:92" ht="15" customHeight="1" x14ac:dyDescent="0.3">
      <c r="A439" s="17" t="s">
        <v>280</v>
      </c>
      <c r="B439" s="17" t="s">
        <v>357</v>
      </c>
      <c r="C439" s="18">
        <v>0.22916666666666671</v>
      </c>
      <c r="D439" s="17" t="s">
        <v>282</v>
      </c>
      <c r="E439" s="17" t="s">
        <v>105</v>
      </c>
      <c r="F439" s="17" t="s">
        <v>434</v>
      </c>
      <c r="G439" s="277"/>
      <c r="H439" s="10"/>
      <c r="I439" s="11"/>
      <c r="J439" s="11"/>
      <c r="K439" s="11"/>
      <c r="L439" s="11"/>
      <c r="M439" s="11"/>
      <c r="N439" s="11"/>
      <c r="O439" s="12"/>
      <c r="P439" s="11"/>
      <c r="Q439" s="13"/>
      <c r="R439" s="14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</row>
    <row r="440" spans="1:92" ht="15" customHeight="1" x14ac:dyDescent="0.3">
      <c r="A440" s="15" t="s">
        <v>280</v>
      </c>
      <c r="B440" s="15" t="s">
        <v>357</v>
      </c>
      <c r="C440" s="16">
        <v>0.22916666666666671</v>
      </c>
      <c r="D440" s="15" t="s">
        <v>33</v>
      </c>
      <c r="E440" s="15" t="s">
        <v>106</v>
      </c>
      <c r="F440" s="15" t="s">
        <v>435</v>
      </c>
      <c r="G440" s="277"/>
      <c r="H440" s="10"/>
      <c r="I440" s="11"/>
      <c r="J440" s="11"/>
      <c r="K440" s="11"/>
      <c r="L440" s="11"/>
      <c r="M440" s="11"/>
      <c r="N440" s="11"/>
      <c r="O440" s="12"/>
      <c r="P440" s="11"/>
      <c r="Q440" s="13"/>
      <c r="R440" s="14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</row>
    <row r="441" spans="1:92" ht="15" customHeight="1" x14ac:dyDescent="0.3">
      <c r="A441" s="17" t="s">
        <v>360</v>
      </c>
      <c r="B441" s="17" t="s">
        <v>384</v>
      </c>
      <c r="C441" s="18">
        <v>0.10069444444444441</v>
      </c>
      <c r="D441" s="17" t="s">
        <v>81</v>
      </c>
      <c r="E441" s="17" t="s">
        <v>28</v>
      </c>
      <c r="F441" s="17" t="s">
        <v>362</v>
      </c>
      <c r="G441" s="277"/>
      <c r="H441" s="10"/>
      <c r="I441" s="11"/>
      <c r="J441" s="11"/>
      <c r="K441" s="11"/>
      <c r="L441" s="11"/>
      <c r="M441" s="11"/>
      <c r="N441" s="11"/>
      <c r="O441" s="12"/>
      <c r="P441" s="11"/>
      <c r="Q441" s="13"/>
      <c r="R441" s="14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</row>
    <row r="442" spans="1:92" ht="15" customHeight="1" x14ac:dyDescent="0.3">
      <c r="A442" s="19" t="s">
        <v>360</v>
      </c>
      <c r="B442" s="19" t="s">
        <v>436</v>
      </c>
      <c r="C442" s="20">
        <v>0.1736111111111111</v>
      </c>
      <c r="D442" s="19" t="s">
        <v>81</v>
      </c>
      <c r="E442" s="19" t="s">
        <v>289</v>
      </c>
      <c r="F442" s="19" t="s">
        <v>420</v>
      </c>
      <c r="G442" s="277"/>
      <c r="H442" s="10"/>
      <c r="I442" s="11"/>
      <c r="J442" s="11"/>
      <c r="K442" s="11"/>
      <c r="L442" s="11"/>
      <c r="M442" s="11"/>
      <c r="N442" s="11"/>
      <c r="O442" s="12"/>
      <c r="P442" s="11"/>
      <c r="Q442" s="13"/>
      <c r="R442" s="14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</row>
    <row r="443" spans="1:92" ht="15" customHeight="1" x14ac:dyDescent="0.3">
      <c r="A443" s="17" t="s">
        <v>63</v>
      </c>
      <c r="B443" s="17" t="s">
        <v>323</v>
      </c>
      <c r="C443" s="18">
        <v>0.1041666666666667</v>
      </c>
      <c r="D443" s="17" t="s">
        <v>48</v>
      </c>
      <c r="E443" s="17" t="s">
        <v>38</v>
      </c>
      <c r="F443" s="17" t="s">
        <v>403</v>
      </c>
      <c r="G443" s="277"/>
      <c r="H443" s="10"/>
      <c r="I443" s="11"/>
      <c r="J443" s="11"/>
      <c r="K443" s="11"/>
      <c r="L443" s="11"/>
      <c r="M443" s="11"/>
      <c r="N443" s="11"/>
      <c r="O443" s="12"/>
      <c r="P443" s="11"/>
      <c r="Q443" s="13"/>
      <c r="R443" s="14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</row>
    <row r="444" spans="1:92" ht="15" customHeight="1" x14ac:dyDescent="0.3">
      <c r="A444" s="19" t="s">
        <v>63</v>
      </c>
      <c r="B444" s="19" t="s">
        <v>327</v>
      </c>
      <c r="C444" s="20">
        <v>4.8611111111111112E-2</v>
      </c>
      <c r="D444" s="19" t="s">
        <v>48</v>
      </c>
      <c r="E444" s="19" t="s">
        <v>45</v>
      </c>
      <c r="F444" s="19" t="s">
        <v>414</v>
      </c>
      <c r="G444" s="277"/>
      <c r="H444" s="10"/>
      <c r="I444" s="11"/>
      <c r="J444" s="11"/>
      <c r="K444" s="11"/>
      <c r="L444" s="11"/>
      <c r="M444" s="11"/>
      <c r="N444" s="11"/>
      <c r="O444" s="12"/>
      <c r="P444" s="11"/>
      <c r="Q444" s="13"/>
      <c r="R444" s="14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</row>
    <row r="445" spans="1:92" ht="15" customHeight="1" x14ac:dyDescent="0.3">
      <c r="A445" s="19" t="s">
        <v>63</v>
      </c>
      <c r="B445" s="19" t="s">
        <v>325</v>
      </c>
      <c r="C445" s="20">
        <v>0.78472222222222221</v>
      </c>
      <c r="D445" s="19" t="s">
        <v>48</v>
      </c>
      <c r="E445" s="19" t="s">
        <v>45</v>
      </c>
      <c r="F445" s="19" t="s">
        <v>355</v>
      </c>
      <c r="G445" s="277"/>
      <c r="H445" s="10"/>
      <c r="I445" s="11"/>
      <c r="J445" s="11"/>
      <c r="K445" s="11"/>
      <c r="L445" s="11"/>
      <c r="M445" s="11"/>
      <c r="N445" s="11"/>
      <c r="O445" s="12"/>
      <c r="P445" s="11"/>
      <c r="Q445" s="13"/>
      <c r="R445" s="14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</row>
    <row r="446" spans="1:92" ht="15" customHeight="1" x14ac:dyDescent="0.3">
      <c r="A446" s="19" t="s">
        <v>63</v>
      </c>
      <c r="B446" s="19" t="s">
        <v>326</v>
      </c>
      <c r="C446" s="20">
        <v>0.60069444444444442</v>
      </c>
      <c r="D446" s="19" t="s">
        <v>48</v>
      </c>
      <c r="E446" s="19" t="s">
        <v>45</v>
      </c>
      <c r="F446" s="19" t="s">
        <v>355</v>
      </c>
      <c r="G446" s="277"/>
      <c r="H446" s="10"/>
      <c r="I446" s="11"/>
      <c r="J446" s="11"/>
      <c r="K446" s="11"/>
      <c r="L446" s="11"/>
      <c r="M446" s="11"/>
      <c r="N446" s="11"/>
      <c r="O446" s="12"/>
      <c r="P446" s="11"/>
      <c r="Q446" s="13"/>
      <c r="R446" s="14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</row>
    <row r="447" spans="1:92" ht="15" customHeight="1" x14ac:dyDescent="0.3">
      <c r="A447" s="19" t="s">
        <v>63</v>
      </c>
      <c r="B447" s="19" t="s">
        <v>321</v>
      </c>
      <c r="C447" s="20">
        <v>0.3125</v>
      </c>
      <c r="D447" s="19" t="s">
        <v>48</v>
      </c>
      <c r="E447" s="19" t="s">
        <v>274</v>
      </c>
      <c r="F447" s="19" t="s">
        <v>320</v>
      </c>
      <c r="G447" s="277"/>
      <c r="H447" s="10"/>
      <c r="I447" s="11"/>
      <c r="J447" s="11"/>
      <c r="K447" s="11"/>
      <c r="L447" s="11"/>
      <c r="M447" s="11"/>
      <c r="N447" s="11"/>
      <c r="O447" s="12"/>
      <c r="P447" s="11"/>
      <c r="Q447" s="13"/>
      <c r="R447" s="14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</row>
    <row r="448" spans="1:92" ht="15" customHeight="1" x14ac:dyDescent="0.3">
      <c r="A448" s="19" t="s">
        <v>63</v>
      </c>
      <c r="B448" s="19" t="s">
        <v>322</v>
      </c>
      <c r="C448" s="20">
        <v>0.97222222222222221</v>
      </c>
      <c r="D448" s="19" t="s">
        <v>48</v>
      </c>
      <c r="E448" s="19" t="s">
        <v>89</v>
      </c>
      <c r="F448" s="19" t="s">
        <v>320</v>
      </c>
      <c r="G448" s="277"/>
      <c r="H448" s="10"/>
      <c r="I448" s="11"/>
      <c r="J448" s="11"/>
      <c r="K448" s="11"/>
      <c r="L448" s="11"/>
      <c r="M448" s="11"/>
      <c r="N448" s="11"/>
      <c r="O448" s="12"/>
      <c r="P448" s="11"/>
      <c r="Q448" s="13"/>
      <c r="R448" s="14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</row>
    <row r="449" spans="1:92" ht="15" customHeight="1" x14ac:dyDescent="0.3">
      <c r="A449" s="17" t="s">
        <v>35</v>
      </c>
      <c r="B449" s="17" t="s">
        <v>310</v>
      </c>
      <c r="C449" s="18">
        <v>0.82986111111111116</v>
      </c>
      <c r="D449" s="17" t="s">
        <v>42</v>
      </c>
      <c r="E449" s="17" t="s">
        <v>38</v>
      </c>
      <c r="F449" s="17" t="s">
        <v>363</v>
      </c>
      <c r="G449" s="277"/>
      <c r="H449" s="10"/>
      <c r="I449" s="11"/>
      <c r="J449" s="11"/>
      <c r="K449" s="11"/>
      <c r="L449" s="11"/>
      <c r="M449" s="11"/>
      <c r="N449" s="11"/>
      <c r="O449" s="12"/>
      <c r="P449" s="11"/>
      <c r="Q449" s="13"/>
      <c r="R449" s="14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</row>
    <row r="450" spans="1:92" ht="15" customHeight="1" x14ac:dyDescent="0.3">
      <c r="A450" s="19" t="s">
        <v>35</v>
      </c>
      <c r="B450" s="19" t="s">
        <v>315</v>
      </c>
      <c r="C450" s="20">
        <v>0.94097222222222221</v>
      </c>
      <c r="D450" s="19" t="s">
        <v>42</v>
      </c>
      <c r="E450" s="19" t="s">
        <v>45</v>
      </c>
      <c r="F450" s="19" t="s">
        <v>363</v>
      </c>
      <c r="G450" s="277"/>
      <c r="H450" s="10"/>
      <c r="I450" s="11"/>
      <c r="J450" s="11"/>
      <c r="K450" s="11"/>
      <c r="L450" s="11"/>
      <c r="M450" s="11"/>
      <c r="N450" s="11"/>
      <c r="O450" s="12"/>
      <c r="P450" s="11"/>
      <c r="Q450" s="13"/>
      <c r="R450" s="14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</row>
    <row r="451" spans="1:92" ht="15" customHeight="1" x14ac:dyDescent="0.3">
      <c r="A451" s="19" t="s">
        <v>35</v>
      </c>
      <c r="B451" s="19" t="s">
        <v>306</v>
      </c>
      <c r="C451" s="20">
        <v>0.98958333333333337</v>
      </c>
      <c r="D451" s="19" t="s">
        <v>42</v>
      </c>
      <c r="E451" s="19" t="s">
        <v>51</v>
      </c>
      <c r="F451" s="19" t="s">
        <v>305</v>
      </c>
      <c r="G451" s="277"/>
      <c r="H451" s="10"/>
      <c r="I451" s="11"/>
      <c r="J451" s="11"/>
      <c r="K451" s="11"/>
      <c r="L451" s="11"/>
      <c r="M451" s="11"/>
      <c r="N451" s="11"/>
      <c r="O451" s="12"/>
      <c r="P451" s="11"/>
      <c r="Q451" s="13"/>
      <c r="R451" s="14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</row>
    <row r="452" spans="1:92" ht="15" customHeight="1" x14ac:dyDescent="0.3">
      <c r="A452" s="19" t="s">
        <v>35</v>
      </c>
      <c r="B452" s="19" t="s">
        <v>304</v>
      </c>
      <c r="C452" s="20">
        <v>0.39930555555555558</v>
      </c>
      <c r="D452" s="19" t="s">
        <v>42</v>
      </c>
      <c r="E452" s="19" t="s">
        <v>51</v>
      </c>
      <c r="F452" s="19" t="s">
        <v>305</v>
      </c>
      <c r="G452" s="277"/>
      <c r="H452" s="10"/>
      <c r="I452" s="11"/>
      <c r="J452" s="11"/>
      <c r="K452" s="11"/>
      <c r="L452" s="11"/>
      <c r="M452" s="11"/>
      <c r="N452" s="11"/>
      <c r="O452" s="12"/>
      <c r="P452" s="11"/>
      <c r="Q452" s="13"/>
      <c r="R452" s="14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</row>
    <row r="453" spans="1:92" ht="15" customHeight="1" x14ac:dyDescent="0.3">
      <c r="A453" s="19" t="s">
        <v>35</v>
      </c>
      <c r="B453" s="19" t="s">
        <v>308</v>
      </c>
      <c r="C453" s="20">
        <v>0.48958333333333331</v>
      </c>
      <c r="D453" s="19" t="s">
        <v>42</v>
      </c>
      <c r="E453" s="19" t="s">
        <v>51</v>
      </c>
      <c r="F453" s="19" t="s">
        <v>305</v>
      </c>
      <c r="G453" s="277"/>
      <c r="H453" s="10"/>
      <c r="I453" s="11"/>
      <c r="J453" s="11"/>
      <c r="K453" s="11"/>
      <c r="L453" s="11"/>
      <c r="M453" s="11"/>
      <c r="N453" s="11"/>
      <c r="O453" s="12"/>
      <c r="P453" s="11"/>
      <c r="Q453" s="13"/>
      <c r="R453" s="14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</row>
    <row r="454" spans="1:92" ht="15" customHeight="1" x14ac:dyDescent="0.3">
      <c r="A454" s="19" t="s">
        <v>35</v>
      </c>
      <c r="B454" s="19" t="s">
        <v>309</v>
      </c>
      <c r="C454" s="20">
        <v>0.88888888888888884</v>
      </c>
      <c r="D454" s="19" t="s">
        <v>42</v>
      </c>
      <c r="E454" s="19" t="s">
        <v>51</v>
      </c>
      <c r="F454" s="19" t="s">
        <v>307</v>
      </c>
      <c r="G454" s="277"/>
      <c r="H454" s="10"/>
      <c r="I454" s="11"/>
      <c r="J454" s="11"/>
      <c r="K454" s="11"/>
      <c r="L454" s="11"/>
      <c r="M454" s="11"/>
      <c r="N454" s="11"/>
      <c r="O454" s="12"/>
      <c r="P454" s="11"/>
      <c r="Q454" s="13"/>
      <c r="R454" s="14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</row>
    <row r="455" spans="1:92" ht="15" customHeight="1" x14ac:dyDescent="0.3">
      <c r="A455" s="19" t="s">
        <v>35</v>
      </c>
      <c r="B455" s="19" t="s">
        <v>316</v>
      </c>
      <c r="C455" s="20">
        <v>0.48958333333333331</v>
      </c>
      <c r="D455" s="19" t="s">
        <v>42</v>
      </c>
      <c r="E455" s="19" t="s">
        <v>45</v>
      </c>
      <c r="F455" s="19" t="s">
        <v>311</v>
      </c>
      <c r="G455" s="277"/>
      <c r="H455" s="10"/>
      <c r="I455" s="11"/>
      <c r="J455" s="11"/>
      <c r="K455" s="11"/>
      <c r="L455" s="11"/>
      <c r="M455" s="11"/>
      <c r="N455" s="11"/>
      <c r="O455" s="12"/>
      <c r="P455" s="11"/>
      <c r="Q455" s="13"/>
      <c r="R455" s="14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</row>
    <row r="456" spans="1:92" ht="15" customHeight="1" x14ac:dyDescent="0.3">
      <c r="A456" s="19" t="s">
        <v>35</v>
      </c>
      <c r="B456" s="19" t="s">
        <v>318</v>
      </c>
      <c r="C456" s="20">
        <v>0.72222222222222221</v>
      </c>
      <c r="D456" s="19" t="s">
        <v>42</v>
      </c>
      <c r="E456" s="19" t="s">
        <v>45</v>
      </c>
      <c r="F456" s="19" t="s">
        <v>311</v>
      </c>
      <c r="G456" s="277"/>
      <c r="H456" s="10"/>
      <c r="I456" s="11"/>
      <c r="J456" s="11"/>
      <c r="K456" s="11"/>
      <c r="L456" s="11"/>
      <c r="M456" s="11"/>
      <c r="N456" s="11"/>
      <c r="O456" s="12"/>
      <c r="P456" s="11"/>
      <c r="Q456" s="13"/>
      <c r="R456" s="14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</row>
    <row r="457" spans="1:92" ht="15" customHeight="1" x14ac:dyDescent="0.3">
      <c r="A457" s="19" t="s">
        <v>35</v>
      </c>
      <c r="B457" s="19" t="s">
        <v>312</v>
      </c>
      <c r="C457" s="20">
        <v>0.70138888888888884</v>
      </c>
      <c r="D457" s="19" t="s">
        <v>42</v>
      </c>
      <c r="E457" s="19" t="s">
        <v>121</v>
      </c>
      <c r="F457" s="19" t="s">
        <v>311</v>
      </c>
      <c r="G457" s="277"/>
      <c r="H457" s="10"/>
      <c r="I457" s="11"/>
      <c r="J457" s="11"/>
      <c r="K457" s="11"/>
      <c r="L457" s="11"/>
      <c r="M457" s="11"/>
      <c r="N457" s="11"/>
      <c r="O457" s="12"/>
      <c r="P457" s="11"/>
      <c r="Q457" s="13"/>
      <c r="R457" s="14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</row>
    <row r="458" spans="1:92" ht="15" customHeight="1" x14ac:dyDescent="0.3">
      <c r="A458" s="19" t="s">
        <v>35</v>
      </c>
      <c r="B458" s="19" t="s">
        <v>313</v>
      </c>
      <c r="C458" s="20">
        <v>0.25347222222222221</v>
      </c>
      <c r="D458" s="19" t="s">
        <v>42</v>
      </c>
      <c r="E458" s="19" t="s">
        <v>45</v>
      </c>
      <c r="F458" s="19" t="s">
        <v>311</v>
      </c>
      <c r="G458" s="277"/>
      <c r="H458" s="10"/>
      <c r="I458" s="11"/>
      <c r="J458" s="11"/>
      <c r="K458" s="11"/>
      <c r="L458" s="11"/>
      <c r="M458" s="11"/>
      <c r="N458" s="11"/>
      <c r="O458" s="12"/>
      <c r="P458" s="11"/>
      <c r="Q458" s="13"/>
      <c r="R458" s="14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</row>
    <row r="459" spans="1:92" ht="15" customHeight="1" x14ac:dyDescent="0.3">
      <c r="A459" s="19" t="s">
        <v>35</v>
      </c>
      <c r="B459" s="19" t="s">
        <v>302</v>
      </c>
      <c r="C459" s="20">
        <v>0.11805555555555559</v>
      </c>
      <c r="D459" s="19" t="s">
        <v>42</v>
      </c>
      <c r="E459" s="19" t="s">
        <v>51</v>
      </c>
      <c r="F459" s="19" t="s">
        <v>317</v>
      </c>
      <c r="G459" s="277"/>
      <c r="H459" s="10"/>
      <c r="I459" s="11"/>
      <c r="J459" s="11"/>
      <c r="K459" s="11"/>
      <c r="L459" s="11"/>
      <c r="M459" s="11"/>
      <c r="N459" s="11"/>
      <c r="O459" s="12"/>
      <c r="P459" s="11"/>
      <c r="Q459" s="13"/>
      <c r="R459" s="14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</row>
    <row r="460" spans="1:92" ht="15" customHeight="1" x14ac:dyDescent="0.3">
      <c r="A460" s="63" t="s">
        <v>35</v>
      </c>
      <c r="B460" s="63" t="s">
        <v>314</v>
      </c>
      <c r="C460" s="64">
        <v>4.1666666666666657E-2</v>
      </c>
      <c r="D460" s="63" t="s">
        <v>42</v>
      </c>
      <c r="E460" s="63" t="s">
        <v>89</v>
      </c>
      <c r="F460" s="63" t="s">
        <v>317</v>
      </c>
      <c r="G460" s="278"/>
      <c r="H460" s="58"/>
      <c r="I460" s="59"/>
      <c r="J460" s="59"/>
      <c r="K460" s="59"/>
      <c r="L460" s="59"/>
      <c r="M460" s="59"/>
      <c r="N460" s="59"/>
      <c r="O460" s="60"/>
      <c r="P460" s="59"/>
      <c r="Q460" s="61"/>
      <c r="R460" s="62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</row>
    <row r="461" spans="1:92" ht="14.4" customHeight="1" x14ac:dyDescent="0.3">
      <c r="A461" s="279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1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</row>
  </sheetData>
  <mergeCells count="37">
    <mergeCell ref="O1:Q1"/>
    <mergeCell ref="H327:R327"/>
    <mergeCell ref="G201:G260"/>
    <mergeCell ref="G264:G325"/>
    <mergeCell ref="G329:G392"/>
    <mergeCell ref="J1:M1"/>
    <mergeCell ref="H394:R394"/>
    <mergeCell ref="A393:R393"/>
    <mergeCell ref="H73:R73"/>
    <mergeCell ref="G2:J2"/>
    <mergeCell ref="A135:F135"/>
    <mergeCell ref="A4:F4"/>
    <mergeCell ref="A262:F262"/>
    <mergeCell ref="G137:G197"/>
    <mergeCell ref="A327:F327"/>
    <mergeCell ref="K2:R2"/>
    <mergeCell ref="A394:F394"/>
    <mergeCell ref="A326:R326"/>
    <mergeCell ref="H4:R4"/>
    <mergeCell ref="G6:G71"/>
    <mergeCell ref="A198:R198"/>
    <mergeCell ref="A461:R461"/>
    <mergeCell ref="H135:R135"/>
    <mergeCell ref="D1:F1"/>
    <mergeCell ref="H199:R199"/>
    <mergeCell ref="A73:F73"/>
    <mergeCell ref="A261:R261"/>
    <mergeCell ref="G75:G133"/>
    <mergeCell ref="A1:C1"/>
    <mergeCell ref="G1:H1"/>
    <mergeCell ref="G396:G460"/>
    <mergeCell ref="A72:R72"/>
    <mergeCell ref="A199:F199"/>
    <mergeCell ref="A134:R134"/>
    <mergeCell ref="H262:R262"/>
    <mergeCell ref="A2:F2"/>
    <mergeCell ref="A3:R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328</v>
      </c>
      <c r="D2" s="98">
        <v>0.24652777777777779</v>
      </c>
      <c r="E2" s="97" t="s">
        <v>271</v>
      </c>
      <c r="F2" s="97" t="s">
        <v>158</v>
      </c>
      <c r="G2" s="99">
        <v>1</v>
      </c>
      <c r="H2" s="100">
        <v>180</v>
      </c>
      <c r="I2" s="100">
        <v>180</v>
      </c>
      <c r="J2" s="100">
        <v>130</v>
      </c>
      <c r="K2" s="96">
        <v>45981</v>
      </c>
      <c r="L2" s="100">
        <v>0</v>
      </c>
      <c r="M2" s="100">
        <v>0</v>
      </c>
      <c r="N2" s="100">
        <v>12</v>
      </c>
      <c r="O2" s="97" t="s">
        <v>75</v>
      </c>
      <c r="P2" s="101"/>
      <c r="Q2" s="101"/>
      <c r="R2" s="101"/>
      <c r="S2" s="101"/>
      <c r="T2" s="101"/>
      <c r="U2" s="101"/>
      <c r="V2" s="101"/>
      <c r="W2" s="101"/>
      <c r="X2" s="101"/>
      <c r="Y2" s="100" t="s">
        <v>437</v>
      </c>
      <c r="Z2" s="101"/>
      <c r="AA2" s="101"/>
      <c r="AB2" s="100" t="s">
        <v>230</v>
      </c>
      <c r="AC2" s="100" t="s">
        <v>438</v>
      </c>
      <c r="AD2" s="100" t="s">
        <v>183</v>
      </c>
      <c r="AE2" s="100" t="s">
        <v>256</v>
      </c>
      <c r="AF2" s="101"/>
      <c r="AG2" s="101"/>
      <c r="AH2" s="100" t="s">
        <v>439</v>
      </c>
      <c r="AI2" s="101"/>
    </row>
    <row r="3" spans="1:35" ht="18" x14ac:dyDescent="0.3">
      <c r="A3" s="102" t="s">
        <v>157</v>
      </c>
      <c r="B3" s="103">
        <v>45985</v>
      </c>
      <c r="C3" s="104" t="s">
        <v>330</v>
      </c>
      <c r="D3" s="105">
        <v>0.4375</v>
      </c>
      <c r="E3" s="104" t="s">
        <v>271</v>
      </c>
      <c r="F3" s="104" t="s">
        <v>158</v>
      </c>
      <c r="G3" s="106">
        <v>1</v>
      </c>
      <c r="H3" s="107">
        <v>180</v>
      </c>
      <c r="I3" s="107">
        <v>180</v>
      </c>
      <c r="J3" s="107">
        <v>132</v>
      </c>
      <c r="K3" s="103">
        <v>45983</v>
      </c>
      <c r="L3" s="107">
        <v>0</v>
      </c>
      <c r="M3" s="107">
        <v>1</v>
      </c>
      <c r="N3" s="107">
        <v>5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7" t="s">
        <v>230</v>
      </c>
      <c r="AC3" s="107" t="s">
        <v>440</v>
      </c>
      <c r="AD3" s="107" t="s">
        <v>441</v>
      </c>
      <c r="AE3" s="107" t="s">
        <v>442</v>
      </c>
      <c r="AF3" s="108"/>
      <c r="AG3" s="108"/>
      <c r="AH3" s="107" t="s">
        <v>443</v>
      </c>
      <c r="AI3" s="108"/>
    </row>
    <row r="4" spans="1:35" ht="18" x14ac:dyDescent="0.3">
      <c r="A4" s="95" t="s">
        <v>157</v>
      </c>
      <c r="B4" s="96">
        <v>45985</v>
      </c>
      <c r="C4" s="97" t="s">
        <v>332</v>
      </c>
      <c r="D4" s="98">
        <v>0.80208333333333337</v>
      </c>
      <c r="E4" s="97" t="s">
        <v>271</v>
      </c>
      <c r="F4" s="97" t="s">
        <v>158</v>
      </c>
      <c r="G4" s="99">
        <v>0.99439999999999995</v>
      </c>
      <c r="H4" s="100">
        <v>180</v>
      </c>
      <c r="I4" s="100">
        <v>179</v>
      </c>
      <c r="J4" s="100">
        <v>50</v>
      </c>
      <c r="K4" s="96">
        <v>45983</v>
      </c>
      <c r="L4" s="100">
        <v>0</v>
      </c>
      <c r="M4" s="100">
        <v>8</v>
      </c>
      <c r="N4" s="100">
        <v>68</v>
      </c>
      <c r="O4" s="97" t="s">
        <v>75</v>
      </c>
      <c r="P4" s="101"/>
      <c r="Q4" s="101"/>
      <c r="R4" s="101"/>
      <c r="S4" s="101"/>
      <c r="T4" s="101"/>
      <c r="U4" s="101"/>
      <c r="V4" s="101"/>
      <c r="W4" s="101"/>
      <c r="X4" s="100" t="s">
        <v>444</v>
      </c>
      <c r="Y4" s="100" t="s">
        <v>445</v>
      </c>
      <c r="Z4" s="100" t="s">
        <v>446</v>
      </c>
      <c r="AA4" s="100" t="s">
        <v>166</v>
      </c>
      <c r="AB4" s="100" t="s">
        <v>447</v>
      </c>
      <c r="AC4" s="100" t="s">
        <v>438</v>
      </c>
      <c r="AD4" s="100" t="s">
        <v>448</v>
      </c>
      <c r="AE4" s="100" t="s">
        <v>449</v>
      </c>
      <c r="AF4" s="101"/>
      <c r="AG4" s="101"/>
      <c r="AH4" s="100" t="s">
        <v>257</v>
      </c>
      <c r="AI4" s="101"/>
    </row>
    <row r="5" spans="1:35" ht="18" x14ac:dyDescent="0.3">
      <c r="A5" s="102" t="s">
        <v>164</v>
      </c>
      <c r="B5" s="103">
        <v>45986</v>
      </c>
      <c r="C5" s="104" t="s">
        <v>342</v>
      </c>
      <c r="D5" s="105">
        <v>5.2083333333333343E-2</v>
      </c>
      <c r="E5" s="104" t="s">
        <v>271</v>
      </c>
      <c r="F5" s="104" t="s">
        <v>158</v>
      </c>
      <c r="G5" s="106">
        <v>0.9778</v>
      </c>
      <c r="H5" s="107">
        <v>180</v>
      </c>
      <c r="I5" s="107">
        <v>176</v>
      </c>
      <c r="J5" s="107">
        <v>46</v>
      </c>
      <c r="K5" s="103">
        <v>45983</v>
      </c>
      <c r="L5" s="107">
        <v>0</v>
      </c>
      <c r="M5" s="107">
        <v>16</v>
      </c>
      <c r="N5" s="107">
        <v>77</v>
      </c>
      <c r="O5" s="104" t="s">
        <v>125</v>
      </c>
      <c r="P5" s="108"/>
      <c r="Q5" s="108"/>
      <c r="R5" s="108"/>
      <c r="S5" s="108"/>
      <c r="T5" s="108"/>
      <c r="U5" s="108"/>
      <c r="V5" s="107" t="s">
        <v>450</v>
      </c>
      <c r="W5" s="107" t="s">
        <v>451</v>
      </c>
      <c r="X5" s="107" t="s">
        <v>452</v>
      </c>
      <c r="Y5" s="107" t="s">
        <v>453</v>
      </c>
      <c r="Z5" s="107" t="s">
        <v>454</v>
      </c>
      <c r="AA5" s="107" t="s">
        <v>254</v>
      </c>
      <c r="AB5" s="107" t="s">
        <v>455</v>
      </c>
      <c r="AC5" s="107" t="s">
        <v>168</v>
      </c>
      <c r="AD5" s="107" t="s">
        <v>183</v>
      </c>
      <c r="AE5" s="107" t="s">
        <v>449</v>
      </c>
      <c r="AF5" s="108"/>
      <c r="AG5" s="108"/>
      <c r="AH5" s="107" t="s">
        <v>456</v>
      </c>
      <c r="AI5" s="108"/>
    </row>
    <row r="6" spans="1:35" ht="18" x14ac:dyDescent="0.3">
      <c r="A6" s="95" t="s">
        <v>164</v>
      </c>
      <c r="B6" s="96">
        <v>45986</v>
      </c>
      <c r="C6" s="97" t="s">
        <v>347</v>
      </c>
      <c r="D6" s="98">
        <v>0.38194444444444442</v>
      </c>
      <c r="E6" s="97" t="s">
        <v>271</v>
      </c>
      <c r="F6" s="97" t="s">
        <v>158</v>
      </c>
      <c r="G6" s="99">
        <v>1.0056</v>
      </c>
      <c r="H6" s="100">
        <v>180</v>
      </c>
      <c r="I6" s="100">
        <v>181</v>
      </c>
      <c r="J6" s="100">
        <v>139</v>
      </c>
      <c r="K6" s="96">
        <v>45981</v>
      </c>
      <c r="L6" s="100">
        <v>0</v>
      </c>
      <c r="M6" s="100">
        <v>0</v>
      </c>
      <c r="N6" s="100">
        <v>6</v>
      </c>
      <c r="O6" s="97" t="s">
        <v>75</v>
      </c>
      <c r="P6" s="101"/>
      <c r="Q6" s="101"/>
      <c r="R6" s="101"/>
      <c r="S6" s="101"/>
      <c r="T6" s="101"/>
      <c r="U6" s="101"/>
      <c r="V6" s="101"/>
      <c r="W6" s="101"/>
      <c r="X6" s="101"/>
      <c r="Y6" s="100" t="s">
        <v>437</v>
      </c>
      <c r="Z6" s="101"/>
      <c r="AA6" s="100" t="s">
        <v>457</v>
      </c>
      <c r="AB6" s="100" t="s">
        <v>458</v>
      </c>
      <c r="AC6" s="100" t="s">
        <v>168</v>
      </c>
      <c r="AD6" s="100" t="s">
        <v>169</v>
      </c>
      <c r="AE6" s="100" t="s">
        <v>459</v>
      </c>
      <c r="AF6" s="101"/>
      <c r="AG6" s="101"/>
      <c r="AH6" s="100" t="s">
        <v>460</v>
      </c>
      <c r="AI6" s="100" t="s">
        <v>185</v>
      </c>
    </row>
    <row r="7" spans="1:35" ht="18" x14ac:dyDescent="0.3">
      <c r="A7" s="102" t="s">
        <v>164</v>
      </c>
      <c r="B7" s="103">
        <v>45986</v>
      </c>
      <c r="C7" s="104" t="s">
        <v>330</v>
      </c>
      <c r="D7" s="105">
        <v>0.4375</v>
      </c>
      <c r="E7" s="104" t="s">
        <v>271</v>
      </c>
      <c r="F7" s="104" t="s">
        <v>158</v>
      </c>
      <c r="G7" s="106">
        <v>1</v>
      </c>
      <c r="H7" s="107">
        <v>180</v>
      </c>
      <c r="I7" s="107">
        <v>180</v>
      </c>
      <c r="J7" s="107">
        <v>95</v>
      </c>
      <c r="K7" s="103">
        <v>45983</v>
      </c>
      <c r="L7" s="107">
        <v>0</v>
      </c>
      <c r="M7" s="107">
        <v>1</v>
      </c>
      <c r="N7" s="107">
        <v>27</v>
      </c>
      <c r="O7" s="104" t="s">
        <v>75</v>
      </c>
      <c r="P7" s="108"/>
      <c r="Q7" s="108"/>
      <c r="R7" s="108"/>
      <c r="S7" s="108"/>
      <c r="T7" s="108"/>
      <c r="U7" s="108"/>
      <c r="V7" s="108"/>
      <c r="W7" s="108"/>
      <c r="X7" s="108"/>
      <c r="Y7" s="107" t="s">
        <v>461</v>
      </c>
      <c r="Z7" s="107" t="s">
        <v>454</v>
      </c>
      <c r="AA7" s="107" t="s">
        <v>462</v>
      </c>
      <c r="AB7" s="107" t="s">
        <v>167</v>
      </c>
      <c r="AC7" s="107" t="s">
        <v>438</v>
      </c>
      <c r="AD7" s="107" t="s">
        <v>263</v>
      </c>
      <c r="AE7" s="107" t="s">
        <v>170</v>
      </c>
      <c r="AF7" s="108"/>
      <c r="AG7" s="108"/>
      <c r="AH7" s="107" t="s">
        <v>463</v>
      </c>
      <c r="AI7" s="108"/>
    </row>
    <row r="8" spans="1:35" ht="18" x14ac:dyDescent="0.3">
      <c r="A8" s="95" t="s">
        <v>164</v>
      </c>
      <c r="B8" s="96">
        <v>45986</v>
      </c>
      <c r="C8" s="97" t="s">
        <v>332</v>
      </c>
      <c r="D8" s="98">
        <v>0.55208333333333337</v>
      </c>
      <c r="E8" s="97" t="s">
        <v>271</v>
      </c>
      <c r="F8" s="97" t="s">
        <v>158</v>
      </c>
      <c r="G8" s="99">
        <v>0.98329999999999995</v>
      </c>
      <c r="H8" s="100">
        <v>180</v>
      </c>
      <c r="I8" s="100">
        <v>177</v>
      </c>
      <c r="J8" s="100">
        <v>120</v>
      </c>
      <c r="K8" s="96">
        <v>45983</v>
      </c>
      <c r="L8" s="100">
        <v>0</v>
      </c>
      <c r="M8" s="100">
        <v>4</v>
      </c>
      <c r="N8" s="100">
        <v>45</v>
      </c>
      <c r="O8" s="97" t="s">
        <v>75</v>
      </c>
      <c r="P8" s="101"/>
      <c r="Q8" s="101"/>
      <c r="R8" s="101"/>
      <c r="S8" s="101"/>
      <c r="T8" s="101"/>
      <c r="U8" s="101"/>
      <c r="V8" s="101"/>
      <c r="W8" s="101"/>
      <c r="X8" s="101"/>
      <c r="Y8" s="100" t="s">
        <v>453</v>
      </c>
      <c r="Z8" s="101"/>
      <c r="AA8" s="101"/>
      <c r="AB8" s="101"/>
      <c r="AC8" s="100" t="s">
        <v>262</v>
      </c>
      <c r="AD8" s="100" t="s">
        <v>263</v>
      </c>
      <c r="AE8" s="100" t="s">
        <v>464</v>
      </c>
      <c r="AF8" s="100" t="s">
        <v>465</v>
      </c>
      <c r="AG8" s="101"/>
      <c r="AH8" s="100" t="s">
        <v>466</v>
      </c>
      <c r="AI8" s="101"/>
    </row>
    <row r="9" spans="1:35" ht="18" x14ac:dyDescent="0.3">
      <c r="A9" s="102" t="s">
        <v>164</v>
      </c>
      <c r="B9" s="103">
        <v>45986</v>
      </c>
      <c r="C9" s="104" t="s">
        <v>351</v>
      </c>
      <c r="D9" s="105">
        <v>0.75694444444444453</v>
      </c>
      <c r="E9" s="104" t="s">
        <v>271</v>
      </c>
      <c r="F9" s="104" t="s">
        <v>158</v>
      </c>
      <c r="G9" s="106">
        <v>0.99439999999999995</v>
      </c>
      <c r="H9" s="107">
        <v>180</v>
      </c>
      <c r="I9" s="107">
        <v>179</v>
      </c>
      <c r="J9" s="107">
        <v>90</v>
      </c>
      <c r="K9" s="103">
        <v>45979</v>
      </c>
      <c r="L9" s="107">
        <v>0</v>
      </c>
      <c r="M9" s="107">
        <v>0</v>
      </c>
      <c r="N9" s="107">
        <v>6</v>
      </c>
      <c r="O9" s="104" t="s">
        <v>75</v>
      </c>
      <c r="P9" s="108"/>
      <c r="Q9" s="108"/>
      <c r="R9" s="108"/>
      <c r="S9" s="108"/>
      <c r="T9" s="108"/>
      <c r="U9" s="108"/>
      <c r="V9" s="108"/>
      <c r="W9" s="108"/>
      <c r="X9" s="108"/>
      <c r="Y9" s="107" t="s">
        <v>467</v>
      </c>
      <c r="Z9" s="107" t="s">
        <v>468</v>
      </c>
      <c r="AA9" s="107" t="s">
        <v>254</v>
      </c>
      <c r="AB9" s="107" t="s">
        <v>447</v>
      </c>
      <c r="AC9" s="107" t="s">
        <v>469</v>
      </c>
      <c r="AD9" s="107" t="s">
        <v>470</v>
      </c>
      <c r="AE9" s="107" t="s">
        <v>442</v>
      </c>
      <c r="AF9" s="108"/>
      <c r="AG9" s="108"/>
      <c r="AH9" s="107" t="s">
        <v>471</v>
      </c>
      <c r="AI9" s="108"/>
    </row>
    <row r="10" spans="1:35" ht="18" x14ac:dyDescent="0.3">
      <c r="A10" s="95" t="s">
        <v>164</v>
      </c>
      <c r="B10" s="96">
        <v>45986</v>
      </c>
      <c r="C10" s="97" t="s">
        <v>328</v>
      </c>
      <c r="D10" s="98">
        <v>0.79166666666666663</v>
      </c>
      <c r="E10" s="97" t="s">
        <v>271</v>
      </c>
      <c r="F10" s="97" t="s">
        <v>158</v>
      </c>
      <c r="G10" s="99">
        <v>0.97219999999999995</v>
      </c>
      <c r="H10" s="100">
        <v>180</v>
      </c>
      <c r="I10" s="100">
        <v>175</v>
      </c>
      <c r="J10" s="100">
        <v>2</v>
      </c>
      <c r="K10" s="96">
        <v>45984</v>
      </c>
      <c r="L10" s="100">
        <v>2</v>
      </c>
      <c r="M10" s="100">
        <v>19</v>
      </c>
      <c r="N10" s="100">
        <v>108</v>
      </c>
      <c r="O10" s="97" t="s">
        <v>345</v>
      </c>
      <c r="P10" s="101"/>
      <c r="Q10" s="101"/>
      <c r="R10" s="101"/>
      <c r="S10" s="101"/>
      <c r="T10" s="101"/>
      <c r="U10" s="101"/>
      <c r="V10" s="100" t="s">
        <v>159</v>
      </c>
      <c r="W10" s="100" t="s">
        <v>472</v>
      </c>
      <c r="X10" s="100" t="s">
        <v>473</v>
      </c>
      <c r="Y10" s="100" t="s">
        <v>474</v>
      </c>
      <c r="Z10" s="100" t="s">
        <v>454</v>
      </c>
      <c r="AA10" s="100" t="s">
        <v>260</v>
      </c>
      <c r="AB10" s="100" t="s">
        <v>475</v>
      </c>
      <c r="AC10" s="100" t="s">
        <v>476</v>
      </c>
      <c r="AD10" s="100" t="s">
        <v>183</v>
      </c>
      <c r="AE10" s="100" t="s">
        <v>170</v>
      </c>
      <c r="AF10" s="101"/>
      <c r="AG10" s="101"/>
      <c r="AH10" s="100" t="s">
        <v>477</v>
      </c>
      <c r="AI10" s="100" t="s">
        <v>478</v>
      </c>
    </row>
    <row r="11" spans="1:35" ht="18" x14ac:dyDescent="0.3">
      <c r="A11" s="102" t="s">
        <v>232</v>
      </c>
      <c r="B11" s="103">
        <v>45987</v>
      </c>
      <c r="C11" s="104" t="s">
        <v>351</v>
      </c>
      <c r="D11" s="105">
        <v>0.2326388888888889</v>
      </c>
      <c r="E11" s="104" t="s">
        <v>271</v>
      </c>
      <c r="F11" s="104" t="s">
        <v>158</v>
      </c>
      <c r="G11" s="106">
        <v>1</v>
      </c>
      <c r="H11" s="107">
        <v>180</v>
      </c>
      <c r="I11" s="107">
        <v>180</v>
      </c>
      <c r="J11" s="107">
        <v>90</v>
      </c>
      <c r="K11" s="103">
        <v>45980</v>
      </c>
      <c r="L11" s="107">
        <v>0</v>
      </c>
      <c r="M11" s="107">
        <v>0</v>
      </c>
      <c r="N11" s="107">
        <v>11</v>
      </c>
      <c r="O11" s="104" t="s">
        <v>75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7" t="s">
        <v>437</v>
      </c>
      <c r="Z11" s="107" t="s">
        <v>479</v>
      </c>
      <c r="AA11" s="107" t="s">
        <v>254</v>
      </c>
      <c r="AB11" s="107" t="s">
        <v>267</v>
      </c>
      <c r="AC11" s="107" t="s">
        <v>469</v>
      </c>
      <c r="AD11" s="107" t="s">
        <v>480</v>
      </c>
      <c r="AE11" s="107" t="s">
        <v>481</v>
      </c>
      <c r="AF11" s="108"/>
      <c r="AG11" s="108"/>
      <c r="AH11" s="107" t="s">
        <v>471</v>
      </c>
      <c r="AI11" s="108"/>
    </row>
    <row r="12" spans="1:35" ht="18" x14ac:dyDescent="0.3">
      <c r="A12" s="95" t="s">
        <v>232</v>
      </c>
      <c r="B12" s="96">
        <v>45987</v>
      </c>
      <c r="C12" s="97" t="s">
        <v>328</v>
      </c>
      <c r="D12" s="98">
        <v>0.34027777777777768</v>
      </c>
      <c r="E12" s="97" t="s">
        <v>271</v>
      </c>
      <c r="F12" s="97" t="s">
        <v>158</v>
      </c>
      <c r="G12" s="99">
        <v>0.99439999999999995</v>
      </c>
      <c r="H12" s="100">
        <v>180</v>
      </c>
      <c r="I12" s="100">
        <v>179</v>
      </c>
      <c r="J12" s="100">
        <v>51</v>
      </c>
      <c r="K12" s="96">
        <v>45983</v>
      </c>
      <c r="L12" s="100">
        <v>0</v>
      </c>
      <c r="M12" s="100">
        <v>3</v>
      </c>
      <c r="N12" s="100">
        <v>61</v>
      </c>
      <c r="O12" s="97" t="s">
        <v>75</v>
      </c>
      <c r="P12" s="101"/>
      <c r="Q12" s="101"/>
      <c r="R12" s="101"/>
      <c r="S12" s="101"/>
      <c r="T12" s="101"/>
      <c r="U12" s="101"/>
      <c r="V12" s="101"/>
      <c r="W12" s="101"/>
      <c r="X12" s="100" t="s">
        <v>85</v>
      </c>
      <c r="Y12" s="100" t="s">
        <v>482</v>
      </c>
      <c r="Z12" s="100" t="s">
        <v>483</v>
      </c>
      <c r="AA12" s="100" t="s">
        <v>484</v>
      </c>
      <c r="AB12" s="100" t="s">
        <v>255</v>
      </c>
      <c r="AC12" s="100" t="s">
        <v>440</v>
      </c>
      <c r="AD12" s="100" t="s">
        <v>480</v>
      </c>
      <c r="AE12" s="100" t="s">
        <v>481</v>
      </c>
      <c r="AF12" s="101"/>
      <c r="AG12" s="101"/>
      <c r="AH12" s="100" t="s">
        <v>485</v>
      </c>
      <c r="AI12" s="101"/>
    </row>
    <row r="13" spans="1:35" ht="18" x14ac:dyDescent="0.3">
      <c r="A13" s="102" t="s">
        <v>232</v>
      </c>
      <c r="B13" s="103">
        <v>45987</v>
      </c>
      <c r="C13" s="104" t="s">
        <v>332</v>
      </c>
      <c r="D13" s="105">
        <v>0.34375</v>
      </c>
      <c r="E13" s="104" t="s">
        <v>271</v>
      </c>
      <c r="F13" s="104" t="s">
        <v>158</v>
      </c>
      <c r="G13" s="106">
        <v>0.99439999999999995</v>
      </c>
      <c r="H13" s="107">
        <v>180</v>
      </c>
      <c r="I13" s="107">
        <v>179</v>
      </c>
      <c r="J13" s="107">
        <v>90</v>
      </c>
      <c r="K13" s="103">
        <v>45980</v>
      </c>
      <c r="L13" s="107">
        <v>0</v>
      </c>
      <c r="M13" s="107">
        <v>0</v>
      </c>
      <c r="N13" s="107">
        <v>15</v>
      </c>
      <c r="O13" s="104" t="s">
        <v>75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7" t="s">
        <v>254</v>
      </c>
      <c r="AB13" s="107" t="s">
        <v>475</v>
      </c>
      <c r="AC13" s="107" t="s">
        <v>262</v>
      </c>
      <c r="AD13" s="107" t="s">
        <v>480</v>
      </c>
      <c r="AE13" s="107" t="s">
        <v>481</v>
      </c>
      <c r="AF13" s="108"/>
      <c r="AG13" s="108"/>
      <c r="AH13" s="107" t="s">
        <v>471</v>
      </c>
      <c r="AI13" s="107" t="s">
        <v>185</v>
      </c>
    </row>
    <row r="14" spans="1:35" ht="18" x14ac:dyDescent="0.3">
      <c r="A14" s="95" t="s">
        <v>232</v>
      </c>
      <c r="B14" s="96">
        <v>45987</v>
      </c>
      <c r="C14" s="97" t="s">
        <v>330</v>
      </c>
      <c r="D14" s="98">
        <v>0.4375</v>
      </c>
      <c r="E14" s="97" t="s">
        <v>271</v>
      </c>
      <c r="F14" s="97" t="s">
        <v>158</v>
      </c>
      <c r="G14" s="99">
        <v>0.99439999999999995</v>
      </c>
      <c r="H14" s="100">
        <v>180</v>
      </c>
      <c r="I14" s="100">
        <v>179</v>
      </c>
      <c r="J14" s="100">
        <v>114</v>
      </c>
      <c r="K14" s="96">
        <v>45983</v>
      </c>
      <c r="L14" s="100">
        <v>0</v>
      </c>
      <c r="M14" s="100">
        <v>1</v>
      </c>
      <c r="N14" s="100">
        <v>55</v>
      </c>
      <c r="O14" s="97" t="s">
        <v>75</v>
      </c>
      <c r="P14" s="101"/>
      <c r="Q14" s="101"/>
      <c r="R14" s="101"/>
      <c r="S14" s="101"/>
      <c r="T14" s="101"/>
      <c r="U14" s="101"/>
      <c r="V14" s="101"/>
      <c r="W14" s="101"/>
      <c r="X14" s="101"/>
      <c r="Y14" s="100" t="s">
        <v>486</v>
      </c>
      <c r="Z14" s="100" t="s">
        <v>487</v>
      </c>
      <c r="AA14" s="100" t="s">
        <v>254</v>
      </c>
      <c r="AB14" s="100" t="s">
        <v>488</v>
      </c>
      <c r="AC14" s="100" t="s">
        <v>438</v>
      </c>
      <c r="AD14" s="100" t="s">
        <v>169</v>
      </c>
      <c r="AE14" s="100" t="s">
        <v>489</v>
      </c>
      <c r="AF14" s="101"/>
      <c r="AG14" s="101"/>
      <c r="AH14" s="100" t="s">
        <v>490</v>
      </c>
      <c r="AI14" s="101"/>
    </row>
    <row r="15" spans="1:35" ht="18" x14ac:dyDescent="0.3">
      <c r="A15" s="102" t="s">
        <v>232</v>
      </c>
      <c r="B15" s="103">
        <v>45987</v>
      </c>
      <c r="C15" s="104" t="s">
        <v>342</v>
      </c>
      <c r="D15" s="105">
        <v>0.9375</v>
      </c>
      <c r="E15" s="104" t="s">
        <v>271</v>
      </c>
      <c r="F15" s="104" t="s">
        <v>158</v>
      </c>
      <c r="G15" s="106">
        <v>0.99439999999999995</v>
      </c>
      <c r="H15" s="107">
        <v>180</v>
      </c>
      <c r="I15" s="107">
        <v>179</v>
      </c>
      <c r="J15" s="107">
        <v>0</v>
      </c>
      <c r="K15" s="103">
        <v>45984</v>
      </c>
      <c r="L15" s="107">
        <v>1</v>
      </c>
      <c r="M15" s="107">
        <v>28</v>
      </c>
      <c r="N15" s="107">
        <v>95</v>
      </c>
      <c r="O15" s="104" t="s">
        <v>75</v>
      </c>
      <c r="P15" s="108"/>
      <c r="Q15" s="108"/>
      <c r="R15" s="108"/>
      <c r="S15" s="108"/>
      <c r="T15" s="108"/>
      <c r="U15" s="108"/>
      <c r="V15" s="107" t="s">
        <v>491</v>
      </c>
      <c r="W15" s="107" t="s">
        <v>492</v>
      </c>
      <c r="X15" s="107" t="s">
        <v>493</v>
      </c>
      <c r="Y15" s="107" t="s">
        <v>494</v>
      </c>
      <c r="Z15" s="107" t="s">
        <v>483</v>
      </c>
      <c r="AA15" s="107" t="s">
        <v>495</v>
      </c>
      <c r="AB15" s="107" t="s">
        <v>167</v>
      </c>
      <c r="AC15" s="107" t="s">
        <v>182</v>
      </c>
      <c r="AD15" s="107" t="s">
        <v>496</v>
      </c>
      <c r="AE15" s="107" t="s">
        <v>170</v>
      </c>
      <c r="AF15" s="108"/>
      <c r="AG15" s="108"/>
      <c r="AH15" s="108"/>
      <c r="AI15" s="108"/>
    </row>
    <row r="16" spans="1:35" ht="18" x14ac:dyDescent="0.3">
      <c r="A16" s="95" t="s">
        <v>177</v>
      </c>
      <c r="B16" s="96">
        <v>45988</v>
      </c>
      <c r="C16" s="97" t="s">
        <v>377</v>
      </c>
      <c r="D16" s="98">
        <v>6.5972222222222224E-2</v>
      </c>
      <c r="E16" s="97" t="s">
        <v>271</v>
      </c>
      <c r="F16" s="97" t="s">
        <v>158</v>
      </c>
      <c r="G16" s="99">
        <v>0.99439999999999995</v>
      </c>
      <c r="H16" s="100">
        <v>180</v>
      </c>
      <c r="I16" s="100">
        <v>179</v>
      </c>
      <c r="J16" s="100">
        <v>0</v>
      </c>
      <c r="K16" s="96">
        <v>45984</v>
      </c>
      <c r="L16" s="100">
        <v>4</v>
      </c>
      <c r="M16" s="100">
        <v>29</v>
      </c>
      <c r="N16" s="100">
        <v>67</v>
      </c>
      <c r="O16" s="97" t="s">
        <v>75</v>
      </c>
      <c r="P16" s="101"/>
      <c r="Q16" s="101"/>
      <c r="R16" s="101"/>
      <c r="S16" s="101"/>
      <c r="T16" s="101"/>
      <c r="U16" s="101"/>
      <c r="V16" s="100" t="s">
        <v>497</v>
      </c>
      <c r="W16" s="100" t="s">
        <v>472</v>
      </c>
      <c r="X16" s="100" t="s">
        <v>498</v>
      </c>
      <c r="Y16" s="100" t="s">
        <v>499</v>
      </c>
      <c r="Z16" s="100" t="s">
        <v>500</v>
      </c>
      <c r="AA16" s="100" t="s">
        <v>501</v>
      </c>
      <c r="AB16" s="100" t="s">
        <v>267</v>
      </c>
      <c r="AC16" s="100" t="s">
        <v>182</v>
      </c>
      <c r="AD16" s="100" t="s">
        <v>183</v>
      </c>
      <c r="AE16" s="100" t="s">
        <v>449</v>
      </c>
      <c r="AF16" s="101"/>
      <c r="AG16" s="101"/>
      <c r="AH16" s="101"/>
      <c r="AI16" s="101"/>
    </row>
    <row r="17" spans="1:35" ht="18" x14ac:dyDescent="0.3">
      <c r="A17" s="102" t="s">
        <v>177</v>
      </c>
      <c r="B17" s="103">
        <v>45988</v>
      </c>
      <c r="C17" s="104" t="s">
        <v>328</v>
      </c>
      <c r="D17" s="105">
        <v>0.15625</v>
      </c>
      <c r="E17" s="104" t="s">
        <v>271</v>
      </c>
      <c r="F17" s="104" t="s">
        <v>158</v>
      </c>
      <c r="G17" s="106">
        <v>0.99439999999999995</v>
      </c>
      <c r="H17" s="107">
        <v>180</v>
      </c>
      <c r="I17" s="107">
        <v>179</v>
      </c>
      <c r="J17" s="107">
        <v>65</v>
      </c>
      <c r="K17" s="103">
        <v>45984</v>
      </c>
      <c r="L17" s="107">
        <v>1</v>
      </c>
      <c r="M17" s="107">
        <v>1</v>
      </c>
      <c r="N17" s="107">
        <v>24</v>
      </c>
      <c r="O17" s="104" t="s">
        <v>75</v>
      </c>
      <c r="P17" s="108"/>
      <c r="Q17" s="108"/>
      <c r="R17" s="108"/>
      <c r="S17" s="108"/>
      <c r="T17" s="108"/>
      <c r="U17" s="108"/>
      <c r="V17" s="108"/>
      <c r="W17" s="107" t="s">
        <v>238</v>
      </c>
      <c r="X17" s="107" t="s">
        <v>452</v>
      </c>
      <c r="Y17" s="107" t="s">
        <v>502</v>
      </c>
      <c r="Z17" s="107" t="s">
        <v>249</v>
      </c>
      <c r="AA17" s="107" t="s">
        <v>503</v>
      </c>
      <c r="AB17" s="107" t="s">
        <v>504</v>
      </c>
      <c r="AC17" s="107" t="s">
        <v>438</v>
      </c>
      <c r="AD17" s="107" t="s">
        <v>505</v>
      </c>
      <c r="AE17" s="107" t="s">
        <v>449</v>
      </c>
      <c r="AF17" s="108"/>
      <c r="AG17" s="108"/>
      <c r="AH17" s="107" t="s">
        <v>506</v>
      </c>
      <c r="AI17" s="108"/>
    </row>
    <row r="18" spans="1:35" ht="18" x14ac:dyDescent="0.3">
      <c r="A18" s="95" t="s">
        <v>177</v>
      </c>
      <c r="B18" s="96">
        <v>45988</v>
      </c>
      <c r="C18" s="97" t="s">
        <v>380</v>
      </c>
      <c r="D18" s="98">
        <v>0.1875</v>
      </c>
      <c r="E18" s="97" t="s">
        <v>271</v>
      </c>
      <c r="F18" s="97" t="s">
        <v>158</v>
      </c>
      <c r="G18" s="99">
        <v>0.99439999999999995</v>
      </c>
      <c r="H18" s="100">
        <v>180</v>
      </c>
      <c r="I18" s="100">
        <v>179</v>
      </c>
      <c r="J18" s="100">
        <v>45</v>
      </c>
      <c r="K18" s="96">
        <v>45983</v>
      </c>
      <c r="L18" s="100">
        <v>0</v>
      </c>
      <c r="M18" s="100">
        <v>9</v>
      </c>
      <c r="N18" s="100">
        <v>72</v>
      </c>
      <c r="O18" s="97" t="s">
        <v>75</v>
      </c>
      <c r="P18" s="101"/>
      <c r="Q18" s="101"/>
      <c r="R18" s="101"/>
      <c r="S18" s="101"/>
      <c r="T18" s="101"/>
      <c r="U18" s="101"/>
      <c r="V18" s="100" t="s">
        <v>450</v>
      </c>
      <c r="W18" s="100" t="s">
        <v>472</v>
      </c>
      <c r="X18" s="100" t="s">
        <v>498</v>
      </c>
      <c r="Y18" s="100" t="s">
        <v>507</v>
      </c>
      <c r="Z18" s="100" t="s">
        <v>249</v>
      </c>
      <c r="AA18" s="100" t="s">
        <v>501</v>
      </c>
      <c r="AB18" s="100" t="s">
        <v>508</v>
      </c>
      <c r="AC18" s="100" t="s">
        <v>268</v>
      </c>
      <c r="AD18" s="100" t="s">
        <v>505</v>
      </c>
      <c r="AE18" s="100" t="s">
        <v>459</v>
      </c>
      <c r="AF18" s="101"/>
      <c r="AG18" s="101"/>
      <c r="AH18" s="100" t="s">
        <v>509</v>
      </c>
      <c r="AI18" s="101"/>
    </row>
    <row r="19" spans="1:35" ht="18" x14ac:dyDescent="0.3">
      <c r="A19" s="102" t="s">
        <v>177</v>
      </c>
      <c r="B19" s="103">
        <v>45988</v>
      </c>
      <c r="C19" s="104" t="s">
        <v>330</v>
      </c>
      <c r="D19" s="105">
        <v>0.40625</v>
      </c>
      <c r="E19" s="104" t="s">
        <v>271</v>
      </c>
      <c r="F19" s="104" t="s">
        <v>158</v>
      </c>
      <c r="G19" s="106">
        <v>1</v>
      </c>
      <c r="H19" s="107">
        <v>180</v>
      </c>
      <c r="I19" s="107">
        <v>180</v>
      </c>
      <c r="J19" s="107">
        <v>135</v>
      </c>
      <c r="K19" s="103">
        <v>45960</v>
      </c>
      <c r="L19" s="107">
        <v>0</v>
      </c>
      <c r="M19" s="107">
        <v>0</v>
      </c>
      <c r="N19" s="107">
        <v>0</v>
      </c>
      <c r="O19" s="104" t="s">
        <v>75</v>
      </c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7" t="s">
        <v>510</v>
      </c>
      <c r="AC19" s="107" t="s">
        <v>438</v>
      </c>
      <c r="AD19" s="107" t="s">
        <v>183</v>
      </c>
      <c r="AE19" s="107" t="s">
        <v>449</v>
      </c>
      <c r="AF19" s="108"/>
      <c r="AG19" s="108"/>
      <c r="AH19" s="107" t="s">
        <v>184</v>
      </c>
      <c r="AI19" s="108"/>
    </row>
    <row r="20" spans="1:35" ht="18" x14ac:dyDescent="0.3">
      <c r="A20" s="95" t="s">
        <v>177</v>
      </c>
      <c r="B20" s="96">
        <v>45988</v>
      </c>
      <c r="C20" s="97" t="s">
        <v>347</v>
      </c>
      <c r="D20" s="98">
        <v>0.5625</v>
      </c>
      <c r="E20" s="97" t="s">
        <v>271</v>
      </c>
      <c r="F20" s="97" t="s">
        <v>158</v>
      </c>
      <c r="G20" s="99">
        <v>0.9778</v>
      </c>
      <c r="H20" s="100">
        <v>180</v>
      </c>
      <c r="I20" s="100">
        <v>176</v>
      </c>
      <c r="J20" s="100">
        <v>132</v>
      </c>
      <c r="K20" s="96">
        <v>45975</v>
      </c>
      <c r="L20" s="100">
        <v>0</v>
      </c>
      <c r="M20" s="100">
        <v>0</v>
      </c>
      <c r="N20" s="100">
        <v>0</v>
      </c>
      <c r="O20" s="97" t="s">
        <v>375</v>
      </c>
      <c r="P20" s="101"/>
      <c r="Q20" s="101"/>
      <c r="R20" s="101"/>
      <c r="S20" s="101"/>
      <c r="T20" s="101"/>
      <c r="U20" s="100" t="s">
        <v>375</v>
      </c>
      <c r="V20" s="101"/>
      <c r="W20" s="100" t="s">
        <v>511</v>
      </c>
      <c r="X20" s="101"/>
      <c r="Y20" s="100" t="s">
        <v>486</v>
      </c>
      <c r="Z20" s="100" t="s">
        <v>468</v>
      </c>
      <c r="AA20" s="100" t="s">
        <v>512</v>
      </c>
      <c r="AB20" s="100" t="s">
        <v>513</v>
      </c>
      <c r="AC20" s="100" t="s">
        <v>514</v>
      </c>
      <c r="AD20" s="100" t="s">
        <v>269</v>
      </c>
      <c r="AE20" s="100" t="s">
        <v>459</v>
      </c>
      <c r="AF20" s="101"/>
      <c r="AG20" s="101"/>
      <c r="AH20" s="100" t="s">
        <v>443</v>
      </c>
      <c r="AI20" s="101"/>
    </row>
    <row r="21" spans="1:35" ht="18" x14ac:dyDescent="0.3">
      <c r="A21" s="102" t="s">
        <v>177</v>
      </c>
      <c r="B21" s="103">
        <v>45988</v>
      </c>
      <c r="C21" s="104" t="s">
        <v>351</v>
      </c>
      <c r="D21" s="105">
        <v>0.9375</v>
      </c>
      <c r="E21" s="104" t="s">
        <v>271</v>
      </c>
      <c r="F21" s="104" t="s">
        <v>158</v>
      </c>
      <c r="G21" s="106">
        <v>0.91669999999999996</v>
      </c>
      <c r="H21" s="107">
        <v>180</v>
      </c>
      <c r="I21" s="107">
        <v>165</v>
      </c>
      <c r="J21" s="107">
        <v>0</v>
      </c>
      <c r="K21" s="103">
        <v>45984</v>
      </c>
      <c r="L21" s="107">
        <v>2</v>
      </c>
      <c r="M21" s="107">
        <v>14</v>
      </c>
      <c r="N21" s="107">
        <v>34</v>
      </c>
      <c r="O21" s="104" t="s">
        <v>345</v>
      </c>
      <c r="P21" s="108"/>
      <c r="Q21" s="108"/>
      <c r="R21" s="108"/>
      <c r="S21" s="108"/>
      <c r="T21" s="108"/>
      <c r="U21" s="107" t="s">
        <v>390</v>
      </c>
      <c r="V21" s="107" t="s">
        <v>515</v>
      </c>
      <c r="W21" s="107" t="s">
        <v>516</v>
      </c>
      <c r="X21" s="107" t="s">
        <v>452</v>
      </c>
      <c r="Y21" s="107" t="s">
        <v>517</v>
      </c>
      <c r="Z21" s="107" t="s">
        <v>454</v>
      </c>
      <c r="AA21" s="107" t="s">
        <v>503</v>
      </c>
      <c r="AB21" s="107" t="s">
        <v>488</v>
      </c>
      <c r="AC21" s="107" t="s">
        <v>518</v>
      </c>
      <c r="AD21" s="107" t="s">
        <v>183</v>
      </c>
      <c r="AE21" s="107" t="s">
        <v>170</v>
      </c>
      <c r="AF21" s="108"/>
      <c r="AG21" s="108"/>
      <c r="AH21" s="108"/>
      <c r="AI21" s="107" t="s">
        <v>519</v>
      </c>
    </row>
    <row r="22" spans="1:35" ht="18" x14ac:dyDescent="0.3">
      <c r="A22" s="95" t="s">
        <v>520</v>
      </c>
      <c r="B22" s="96">
        <v>45989</v>
      </c>
      <c r="C22" s="97" t="s">
        <v>328</v>
      </c>
      <c r="D22" s="98">
        <v>0.1423611111111111</v>
      </c>
      <c r="E22" s="97" t="s">
        <v>271</v>
      </c>
      <c r="F22" s="97" t="s">
        <v>158</v>
      </c>
      <c r="G22" s="99">
        <v>1</v>
      </c>
      <c r="H22" s="100">
        <v>180</v>
      </c>
      <c r="I22" s="100">
        <v>180</v>
      </c>
      <c r="J22" s="100">
        <v>35</v>
      </c>
      <c r="K22" s="96">
        <v>45980</v>
      </c>
      <c r="L22" s="100">
        <v>0</v>
      </c>
      <c r="M22" s="100">
        <v>0</v>
      </c>
      <c r="N22" s="100">
        <v>20</v>
      </c>
      <c r="O22" s="97" t="s">
        <v>75</v>
      </c>
      <c r="P22" s="101"/>
      <c r="Q22" s="101"/>
      <c r="R22" s="101"/>
      <c r="S22" s="101"/>
      <c r="T22" s="101"/>
      <c r="U22" s="100" t="s">
        <v>521</v>
      </c>
      <c r="V22" s="100" t="s">
        <v>522</v>
      </c>
      <c r="W22" s="100" t="s">
        <v>523</v>
      </c>
      <c r="X22" s="100" t="s">
        <v>452</v>
      </c>
      <c r="Y22" s="100" t="s">
        <v>524</v>
      </c>
      <c r="Z22" s="100" t="s">
        <v>525</v>
      </c>
      <c r="AA22" s="100" t="s">
        <v>503</v>
      </c>
      <c r="AB22" s="100" t="s">
        <v>447</v>
      </c>
      <c r="AC22" s="100" t="s">
        <v>526</v>
      </c>
      <c r="AD22" s="100" t="s">
        <v>183</v>
      </c>
      <c r="AE22" s="100" t="s">
        <v>170</v>
      </c>
      <c r="AF22" s="101"/>
      <c r="AG22" s="101"/>
      <c r="AH22" s="100" t="s">
        <v>527</v>
      </c>
      <c r="AI22" s="100" t="s">
        <v>478</v>
      </c>
    </row>
    <row r="23" spans="1:35" ht="18" x14ac:dyDescent="0.3">
      <c r="A23" s="102" t="s">
        <v>520</v>
      </c>
      <c r="B23" s="103">
        <v>45989</v>
      </c>
      <c r="C23" s="104" t="s">
        <v>330</v>
      </c>
      <c r="D23" s="105">
        <v>0.28125</v>
      </c>
      <c r="E23" s="104" t="s">
        <v>271</v>
      </c>
      <c r="F23" s="104" t="s">
        <v>158</v>
      </c>
      <c r="G23" s="106">
        <v>0.96109999999999995</v>
      </c>
      <c r="H23" s="107">
        <v>180</v>
      </c>
      <c r="I23" s="107">
        <v>173</v>
      </c>
      <c r="J23" s="107">
        <v>0</v>
      </c>
      <c r="K23" s="103">
        <v>45983</v>
      </c>
      <c r="L23" s="107">
        <v>0</v>
      </c>
      <c r="M23" s="107">
        <v>16</v>
      </c>
      <c r="N23" s="107">
        <v>52</v>
      </c>
      <c r="O23" s="104" t="s">
        <v>390</v>
      </c>
      <c r="P23" s="108"/>
      <c r="Q23" s="108"/>
      <c r="R23" s="108"/>
      <c r="S23" s="108"/>
      <c r="T23" s="108"/>
      <c r="U23" s="107" t="s">
        <v>375</v>
      </c>
      <c r="V23" s="107" t="s">
        <v>528</v>
      </c>
      <c r="W23" s="107" t="s">
        <v>529</v>
      </c>
      <c r="X23" s="107" t="s">
        <v>530</v>
      </c>
      <c r="Y23" s="107" t="s">
        <v>531</v>
      </c>
      <c r="Z23" s="107" t="s">
        <v>525</v>
      </c>
      <c r="AA23" s="107" t="s">
        <v>254</v>
      </c>
      <c r="AB23" s="107" t="s">
        <v>447</v>
      </c>
      <c r="AC23" s="107" t="s">
        <v>438</v>
      </c>
      <c r="AD23" s="107" t="s">
        <v>263</v>
      </c>
      <c r="AE23" s="107" t="s">
        <v>170</v>
      </c>
      <c r="AF23" s="108"/>
      <c r="AG23" s="108"/>
      <c r="AH23" s="108"/>
      <c r="AI23" s="108"/>
    </row>
    <row r="24" spans="1:35" ht="18" x14ac:dyDescent="0.3">
      <c r="A24" s="95" t="s">
        <v>520</v>
      </c>
      <c r="B24" s="96">
        <v>45989</v>
      </c>
      <c r="C24" s="97" t="s">
        <v>347</v>
      </c>
      <c r="D24" s="98">
        <v>0.4375</v>
      </c>
      <c r="E24" s="97" t="s">
        <v>271</v>
      </c>
      <c r="F24" s="97" t="s">
        <v>158</v>
      </c>
      <c r="G24" s="99">
        <v>0.9889</v>
      </c>
      <c r="H24" s="100">
        <v>180</v>
      </c>
      <c r="I24" s="100">
        <v>178</v>
      </c>
      <c r="J24" s="100">
        <v>45</v>
      </c>
      <c r="K24" s="96">
        <v>45983</v>
      </c>
      <c r="L24" s="100">
        <v>0</v>
      </c>
      <c r="M24" s="100">
        <v>9</v>
      </c>
      <c r="N24" s="100">
        <v>37</v>
      </c>
      <c r="O24" s="97" t="s">
        <v>125</v>
      </c>
      <c r="P24" s="101"/>
      <c r="Q24" s="101"/>
      <c r="R24" s="101"/>
      <c r="S24" s="101"/>
      <c r="T24" s="101"/>
      <c r="U24" s="100" t="s">
        <v>375</v>
      </c>
      <c r="V24" s="100" t="s">
        <v>532</v>
      </c>
      <c r="W24" s="100" t="s">
        <v>533</v>
      </c>
      <c r="X24" s="100" t="s">
        <v>534</v>
      </c>
      <c r="Y24" s="100" t="s">
        <v>535</v>
      </c>
      <c r="Z24" s="100" t="s">
        <v>249</v>
      </c>
      <c r="AA24" s="100" t="s">
        <v>503</v>
      </c>
      <c r="AB24" s="100" t="s">
        <v>458</v>
      </c>
      <c r="AC24" s="100" t="s">
        <v>536</v>
      </c>
      <c r="AD24" s="100" t="s">
        <v>441</v>
      </c>
      <c r="AE24" s="100" t="s">
        <v>537</v>
      </c>
      <c r="AF24" s="101"/>
      <c r="AG24" s="101"/>
      <c r="AH24" s="100" t="s">
        <v>509</v>
      </c>
      <c r="AI24" s="101"/>
    </row>
    <row r="25" spans="1:35" ht="18" x14ac:dyDescent="0.3">
      <c r="A25" s="102" t="s">
        <v>520</v>
      </c>
      <c r="B25" s="103">
        <v>45989</v>
      </c>
      <c r="C25" s="104" t="s">
        <v>342</v>
      </c>
      <c r="D25" s="105">
        <v>0.55902777777777779</v>
      </c>
      <c r="E25" s="104" t="s">
        <v>271</v>
      </c>
      <c r="F25" s="104" t="s">
        <v>158</v>
      </c>
      <c r="G25" s="106">
        <v>0.96109999999999995</v>
      </c>
      <c r="H25" s="107">
        <v>180</v>
      </c>
      <c r="I25" s="107">
        <v>173</v>
      </c>
      <c r="J25" s="107">
        <v>0</v>
      </c>
      <c r="K25" s="103">
        <v>45984</v>
      </c>
      <c r="L25" s="107">
        <v>1</v>
      </c>
      <c r="M25" s="107">
        <v>13</v>
      </c>
      <c r="N25" s="107">
        <v>46</v>
      </c>
      <c r="O25" s="104" t="s">
        <v>387</v>
      </c>
      <c r="P25" s="108"/>
      <c r="Q25" s="108"/>
      <c r="R25" s="108"/>
      <c r="S25" s="108"/>
      <c r="T25" s="108"/>
      <c r="U25" s="107" t="s">
        <v>538</v>
      </c>
      <c r="V25" s="107" t="s">
        <v>539</v>
      </c>
      <c r="W25" s="107" t="s">
        <v>540</v>
      </c>
      <c r="X25" s="107" t="s">
        <v>452</v>
      </c>
      <c r="Y25" s="107" t="s">
        <v>453</v>
      </c>
      <c r="Z25" s="107" t="s">
        <v>525</v>
      </c>
      <c r="AA25" s="107" t="s">
        <v>166</v>
      </c>
      <c r="AB25" s="107" t="s">
        <v>261</v>
      </c>
      <c r="AC25" s="107" t="s">
        <v>182</v>
      </c>
      <c r="AD25" s="107" t="s">
        <v>183</v>
      </c>
      <c r="AE25" s="107" t="s">
        <v>170</v>
      </c>
      <c r="AF25" s="108"/>
      <c r="AG25" s="108"/>
      <c r="AH25" s="108"/>
      <c r="AI25" s="108"/>
    </row>
    <row r="26" spans="1:35" ht="18" x14ac:dyDescent="0.3">
      <c r="A26" s="95" t="s">
        <v>520</v>
      </c>
      <c r="B26" s="96">
        <v>45989</v>
      </c>
      <c r="C26" s="97" t="s">
        <v>332</v>
      </c>
      <c r="D26" s="98">
        <v>0.76041666666666663</v>
      </c>
      <c r="E26" s="97" t="s">
        <v>271</v>
      </c>
      <c r="F26" s="97" t="s">
        <v>158</v>
      </c>
      <c r="G26" s="99">
        <v>1</v>
      </c>
      <c r="H26" s="100">
        <v>180</v>
      </c>
      <c r="I26" s="100">
        <v>180</v>
      </c>
      <c r="J26" s="100">
        <v>0</v>
      </c>
      <c r="K26" s="96">
        <v>45983</v>
      </c>
      <c r="L26" s="100">
        <v>0</v>
      </c>
      <c r="M26" s="100">
        <v>4</v>
      </c>
      <c r="N26" s="100">
        <v>20</v>
      </c>
      <c r="O26" s="97" t="s">
        <v>75</v>
      </c>
      <c r="P26" s="101"/>
      <c r="Q26" s="101"/>
      <c r="R26" s="101"/>
      <c r="S26" s="101"/>
      <c r="T26" s="100" t="s">
        <v>541</v>
      </c>
      <c r="U26" s="100" t="s">
        <v>542</v>
      </c>
      <c r="V26" s="100" t="s">
        <v>539</v>
      </c>
      <c r="W26" s="100" t="s">
        <v>543</v>
      </c>
      <c r="X26" s="100" t="s">
        <v>544</v>
      </c>
      <c r="Y26" s="100" t="s">
        <v>545</v>
      </c>
      <c r="Z26" s="100" t="s">
        <v>546</v>
      </c>
      <c r="AA26" s="100" t="s">
        <v>547</v>
      </c>
      <c r="AB26" s="100" t="s">
        <v>458</v>
      </c>
      <c r="AC26" s="100" t="s">
        <v>438</v>
      </c>
      <c r="AD26" s="100" t="s">
        <v>183</v>
      </c>
      <c r="AE26" s="100" t="s">
        <v>170</v>
      </c>
      <c r="AF26" s="101"/>
      <c r="AG26" s="101"/>
      <c r="AH26" s="101"/>
      <c r="AI26" s="101"/>
    </row>
    <row r="27" spans="1:35" ht="18" x14ac:dyDescent="0.3">
      <c r="A27" s="102" t="s">
        <v>180</v>
      </c>
      <c r="B27" s="103">
        <v>45990</v>
      </c>
      <c r="C27" s="104" t="s">
        <v>377</v>
      </c>
      <c r="D27" s="105">
        <v>4.8611111111111112E-2</v>
      </c>
      <c r="E27" s="104" t="s">
        <v>271</v>
      </c>
      <c r="F27" s="104" t="s">
        <v>158</v>
      </c>
      <c r="G27" s="106">
        <v>1.0333000000000001</v>
      </c>
      <c r="H27" s="107">
        <v>180</v>
      </c>
      <c r="I27" s="107">
        <v>186</v>
      </c>
      <c r="J27" s="107">
        <v>45</v>
      </c>
      <c r="K27" s="103">
        <v>45974</v>
      </c>
      <c r="L27" s="107">
        <v>0</v>
      </c>
      <c r="M27" s="107">
        <v>0</v>
      </c>
      <c r="N27" s="107">
        <v>0</v>
      </c>
      <c r="O27" s="104" t="s">
        <v>75</v>
      </c>
      <c r="P27" s="108"/>
      <c r="Q27" s="108"/>
      <c r="R27" s="108"/>
      <c r="S27" s="108"/>
      <c r="T27" s="108"/>
      <c r="U27" s="108"/>
      <c r="V27" s="107" t="s">
        <v>387</v>
      </c>
      <c r="W27" s="108"/>
      <c r="X27" s="107" t="s">
        <v>548</v>
      </c>
      <c r="Y27" s="107" t="s">
        <v>502</v>
      </c>
      <c r="Z27" s="107" t="s">
        <v>549</v>
      </c>
      <c r="AA27" s="107" t="s">
        <v>550</v>
      </c>
      <c r="AB27" s="107" t="s">
        <v>458</v>
      </c>
      <c r="AC27" s="107" t="s">
        <v>438</v>
      </c>
      <c r="AD27" s="107" t="s">
        <v>183</v>
      </c>
      <c r="AE27" s="107" t="s">
        <v>170</v>
      </c>
      <c r="AF27" s="108"/>
      <c r="AG27" s="108"/>
      <c r="AH27" s="107" t="s">
        <v>509</v>
      </c>
      <c r="AI27" s="108"/>
    </row>
    <row r="28" spans="1:35" ht="18" x14ac:dyDescent="0.3">
      <c r="A28" s="95" t="s">
        <v>180</v>
      </c>
      <c r="B28" s="96">
        <v>45990</v>
      </c>
      <c r="C28" s="97" t="s">
        <v>328</v>
      </c>
      <c r="D28" s="98">
        <v>0.15625</v>
      </c>
      <c r="E28" s="97" t="s">
        <v>271</v>
      </c>
      <c r="F28" s="97" t="s">
        <v>158</v>
      </c>
      <c r="G28" s="99">
        <v>1</v>
      </c>
      <c r="H28" s="100">
        <v>180</v>
      </c>
      <c r="I28" s="100">
        <v>180</v>
      </c>
      <c r="J28" s="100">
        <v>135</v>
      </c>
      <c r="K28" s="96">
        <v>45983</v>
      </c>
      <c r="L28" s="100">
        <v>0</v>
      </c>
      <c r="M28" s="100">
        <v>2</v>
      </c>
      <c r="N28" s="100">
        <v>5</v>
      </c>
      <c r="O28" s="97" t="s">
        <v>75</v>
      </c>
      <c r="P28" s="101"/>
      <c r="Q28" s="101"/>
      <c r="R28" s="101"/>
      <c r="S28" s="101"/>
      <c r="T28" s="101"/>
      <c r="U28" s="101"/>
      <c r="V28" s="101"/>
      <c r="W28" s="101"/>
      <c r="X28" s="100" t="s">
        <v>551</v>
      </c>
      <c r="Y28" s="101"/>
      <c r="Z28" s="101"/>
      <c r="AA28" s="101"/>
      <c r="AB28" s="100" t="s">
        <v>181</v>
      </c>
      <c r="AC28" s="100" t="s">
        <v>182</v>
      </c>
      <c r="AD28" s="100" t="s">
        <v>183</v>
      </c>
      <c r="AE28" s="100" t="s">
        <v>170</v>
      </c>
      <c r="AF28" s="101"/>
      <c r="AG28" s="101"/>
      <c r="AH28" s="100" t="s">
        <v>184</v>
      </c>
      <c r="AI28" s="100" t="s">
        <v>478</v>
      </c>
    </row>
    <row r="29" spans="1:35" ht="18" x14ac:dyDescent="0.3">
      <c r="A29" s="102" t="s">
        <v>180</v>
      </c>
      <c r="B29" s="103">
        <v>45990</v>
      </c>
      <c r="C29" s="104" t="s">
        <v>330</v>
      </c>
      <c r="D29" s="105">
        <v>0.50347222222222221</v>
      </c>
      <c r="E29" s="104" t="s">
        <v>271</v>
      </c>
      <c r="F29" s="104" t="s">
        <v>158</v>
      </c>
      <c r="G29" s="106">
        <v>1</v>
      </c>
      <c r="H29" s="107">
        <v>180</v>
      </c>
      <c r="I29" s="107">
        <v>180</v>
      </c>
      <c r="J29" s="107">
        <v>90</v>
      </c>
      <c r="K29" s="103">
        <v>45973</v>
      </c>
      <c r="L29" s="107">
        <v>0</v>
      </c>
      <c r="M29" s="107">
        <v>0</v>
      </c>
      <c r="N29" s="107">
        <v>0</v>
      </c>
      <c r="O29" s="104" t="s">
        <v>75</v>
      </c>
      <c r="P29" s="107" t="s">
        <v>552</v>
      </c>
      <c r="Q29" s="108"/>
      <c r="R29" s="108"/>
      <c r="S29" s="108"/>
      <c r="T29" s="108"/>
      <c r="U29" s="107" t="s">
        <v>553</v>
      </c>
      <c r="V29" s="107" t="s">
        <v>497</v>
      </c>
      <c r="W29" s="107" t="s">
        <v>554</v>
      </c>
      <c r="X29" s="107" t="s">
        <v>555</v>
      </c>
      <c r="Y29" s="107" t="s">
        <v>531</v>
      </c>
      <c r="Z29" s="107" t="s">
        <v>483</v>
      </c>
      <c r="AA29" s="107" t="s">
        <v>503</v>
      </c>
      <c r="AB29" s="107" t="s">
        <v>458</v>
      </c>
      <c r="AC29" s="108"/>
      <c r="AD29" s="108"/>
      <c r="AE29" s="108"/>
      <c r="AF29" s="108"/>
      <c r="AG29" s="108"/>
      <c r="AH29" s="107" t="s">
        <v>471</v>
      </c>
      <c r="AI29" s="108"/>
    </row>
    <row r="30" spans="1:35" ht="18" x14ac:dyDescent="0.3">
      <c r="A30" s="95" t="s">
        <v>180</v>
      </c>
      <c r="B30" s="96">
        <v>45990</v>
      </c>
      <c r="C30" s="97" t="s">
        <v>351</v>
      </c>
      <c r="D30" s="98">
        <v>0.90625</v>
      </c>
      <c r="E30" s="97" t="s">
        <v>271</v>
      </c>
      <c r="F30" s="97" t="s">
        <v>158</v>
      </c>
      <c r="G30" s="99">
        <v>0.9556</v>
      </c>
      <c r="H30" s="100">
        <v>180</v>
      </c>
      <c r="I30" s="100">
        <v>172</v>
      </c>
      <c r="J30" s="100">
        <v>0</v>
      </c>
      <c r="K30" s="96">
        <v>45981</v>
      </c>
      <c r="L30" s="100">
        <v>0</v>
      </c>
      <c r="M30" s="100">
        <v>0</v>
      </c>
      <c r="N30" s="100">
        <v>29</v>
      </c>
      <c r="O30" s="97" t="s">
        <v>422</v>
      </c>
      <c r="P30" s="101"/>
      <c r="Q30" s="101"/>
      <c r="R30" s="101"/>
      <c r="S30" s="100" t="s">
        <v>556</v>
      </c>
      <c r="T30" s="100" t="s">
        <v>557</v>
      </c>
      <c r="U30" s="100" t="s">
        <v>558</v>
      </c>
      <c r="V30" s="100" t="s">
        <v>559</v>
      </c>
      <c r="W30" s="100" t="s">
        <v>560</v>
      </c>
      <c r="X30" s="100" t="s">
        <v>561</v>
      </c>
      <c r="Y30" s="100" t="s">
        <v>502</v>
      </c>
      <c r="Z30" s="100" t="s">
        <v>454</v>
      </c>
      <c r="AA30" s="100" t="s">
        <v>254</v>
      </c>
      <c r="AB30" s="100" t="s">
        <v>447</v>
      </c>
      <c r="AC30" s="100" t="s">
        <v>438</v>
      </c>
      <c r="AD30" s="100" t="s">
        <v>183</v>
      </c>
      <c r="AE30" s="100" t="s">
        <v>170</v>
      </c>
      <c r="AF30" s="101"/>
      <c r="AG30" s="101"/>
      <c r="AH30" s="101"/>
      <c r="AI30" s="100" t="s">
        <v>185</v>
      </c>
    </row>
    <row r="31" spans="1:35" ht="18" x14ac:dyDescent="0.3">
      <c r="A31" s="102" t="s">
        <v>186</v>
      </c>
      <c r="B31" s="103">
        <v>45991</v>
      </c>
      <c r="C31" s="104" t="s">
        <v>328</v>
      </c>
      <c r="D31" s="105">
        <v>0.1423611111111111</v>
      </c>
      <c r="E31" s="104" t="s">
        <v>271</v>
      </c>
      <c r="F31" s="104" t="s">
        <v>158</v>
      </c>
      <c r="G31" s="106">
        <v>1</v>
      </c>
      <c r="H31" s="107">
        <v>180</v>
      </c>
      <c r="I31" s="107">
        <v>180</v>
      </c>
      <c r="J31" s="107">
        <v>90</v>
      </c>
      <c r="K31" s="103">
        <v>45966</v>
      </c>
      <c r="L31" s="107">
        <v>0</v>
      </c>
      <c r="M31" s="107">
        <v>0</v>
      </c>
      <c r="N31" s="107">
        <v>0</v>
      </c>
      <c r="O31" s="104" t="s">
        <v>75</v>
      </c>
      <c r="P31" s="108"/>
      <c r="Q31" s="108"/>
      <c r="R31" s="108"/>
      <c r="S31" s="108"/>
      <c r="T31" s="108"/>
      <c r="U31" s="108"/>
      <c r="V31" s="108"/>
      <c r="W31" s="108"/>
      <c r="X31" s="107" t="s">
        <v>85</v>
      </c>
      <c r="Y31" s="107" t="s">
        <v>531</v>
      </c>
      <c r="Z31" s="107" t="s">
        <v>454</v>
      </c>
      <c r="AA31" s="107" t="s">
        <v>254</v>
      </c>
      <c r="AB31" s="107" t="s">
        <v>447</v>
      </c>
      <c r="AC31" s="107" t="s">
        <v>526</v>
      </c>
      <c r="AD31" s="107" t="s">
        <v>183</v>
      </c>
      <c r="AE31" s="107" t="s">
        <v>170</v>
      </c>
      <c r="AF31" s="108"/>
      <c r="AG31" s="108"/>
      <c r="AH31" s="107" t="s">
        <v>471</v>
      </c>
      <c r="AI31" s="108"/>
    </row>
    <row r="32" spans="1:35" ht="18" x14ac:dyDescent="0.3">
      <c r="A32" s="95" t="s">
        <v>186</v>
      </c>
      <c r="B32" s="96">
        <v>45991</v>
      </c>
      <c r="C32" s="97" t="s">
        <v>380</v>
      </c>
      <c r="D32" s="98">
        <v>0.15625</v>
      </c>
      <c r="E32" s="97" t="s">
        <v>271</v>
      </c>
      <c r="F32" s="97" t="s">
        <v>158</v>
      </c>
      <c r="G32" s="99">
        <v>1</v>
      </c>
      <c r="H32" s="100">
        <v>180</v>
      </c>
      <c r="I32" s="100">
        <v>180</v>
      </c>
      <c r="J32" s="100">
        <v>86</v>
      </c>
      <c r="K32" s="96">
        <v>45982</v>
      </c>
      <c r="L32" s="100">
        <v>0</v>
      </c>
      <c r="M32" s="100">
        <v>0</v>
      </c>
      <c r="N32" s="100">
        <v>23</v>
      </c>
      <c r="O32" s="97" t="s">
        <v>75</v>
      </c>
      <c r="P32" s="101"/>
      <c r="Q32" s="101"/>
      <c r="R32" s="101"/>
      <c r="S32" s="101"/>
      <c r="T32" s="101"/>
      <c r="U32" s="101"/>
      <c r="V32" s="100" t="s">
        <v>450</v>
      </c>
      <c r="W32" s="100" t="s">
        <v>451</v>
      </c>
      <c r="X32" s="100" t="s">
        <v>562</v>
      </c>
      <c r="Y32" s="100" t="s">
        <v>545</v>
      </c>
      <c r="Z32" s="100" t="s">
        <v>249</v>
      </c>
      <c r="AA32" s="100" t="s">
        <v>166</v>
      </c>
      <c r="AB32" s="100" t="s">
        <v>230</v>
      </c>
      <c r="AC32" s="100" t="s">
        <v>268</v>
      </c>
      <c r="AD32" s="100" t="s">
        <v>505</v>
      </c>
      <c r="AE32" s="100" t="s">
        <v>459</v>
      </c>
      <c r="AF32" s="100" t="s">
        <v>465</v>
      </c>
      <c r="AG32" s="101"/>
      <c r="AH32" s="100" t="s">
        <v>456</v>
      </c>
      <c r="AI32" s="101"/>
    </row>
    <row r="33" spans="1:35" ht="18" x14ac:dyDescent="0.3">
      <c r="A33" s="102" t="s">
        <v>186</v>
      </c>
      <c r="B33" s="103">
        <v>45991</v>
      </c>
      <c r="C33" s="104" t="s">
        <v>332</v>
      </c>
      <c r="D33" s="105">
        <v>0.33333333333333331</v>
      </c>
      <c r="E33" s="104" t="s">
        <v>271</v>
      </c>
      <c r="F33" s="104" t="s">
        <v>158</v>
      </c>
      <c r="G33" s="106">
        <v>1</v>
      </c>
      <c r="H33" s="107">
        <v>180</v>
      </c>
      <c r="I33" s="107">
        <v>180</v>
      </c>
      <c r="J33" s="107">
        <v>89</v>
      </c>
      <c r="K33" s="103">
        <v>45981</v>
      </c>
      <c r="L33" s="107">
        <v>0</v>
      </c>
      <c r="M33" s="107">
        <v>0</v>
      </c>
      <c r="N33" s="107">
        <v>4</v>
      </c>
      <c r="O33" s="104" t="s">
        <v>75</v>
      </c>
      <c r="P33" s="108"/>
      <c r="Q33" s="108"/>
      <c r="R33" s="108"/>
      <c r="S33" s="108"/>
      <c r="T33" s="108"/>
      <c r="U33" s="108"/>
      <c r="V33" s="108"/>
      <c r="W33" s="108"/>
      <c r="X33" s="107" t="s">
        <v>444</v>
      </c>
      <c r="Y33" s="107" t="s">
        <v>535</v>
      </c>
      <c r="Z33" s="107" t="s">
        <v>525</v>
      </c>
      <c r="AA33" s="107" t="s">
        <v>166</v>
      </c>
      <c r="AB33" s="107" t="s">
        <v>167</v>
      </c>
      <c r="AC33" s="107" t="s">
        <v>438</v>
      </c>
      <c r="AD33" s="107" t="s">
        <v>263</v>
      </c>
      <c r="AE33" s="107" t="s">
        <v>170</v>
      </c>
      <c r="AF33" s="108"/>
      <c r="AG33" s="108"/>
      <c r="AH33" s="107" t="s">
        <v>563</v>
      </c>
      <c r="AI33" s="108"/>
    </row>
    <row r="34" spans="1:35" ht="18" x14ac:dyDescent="0.3">
      <c r="A34" s="95" t="s">
        <v>186</v>
      </c>
      <c r="B34" s="96">
        <v>45991</v>
      </c>
      <c r="C34" s="97" t="s">
        <v>330</v>
      </c>
      <c r="D34" s="98">
        <v>0.4548611111111111</v>
      </c>
      <c r="E34" s="97" t="s">
        <v>271</v>
      </c>
      <c r="F34" s="97" t="s">
        <v>158</v>
      </c>
      <c r="G34" s="99">
        <v>0.98329999999999995</v>
      </c>
      <c r="H34" s="100">
        <v>180</v>
      </c>
      <c r="I34" s="100">
        <v>177</v>
      </c>
      <c r="J34" s="100">
        <v>90</v>
      </c>
      <c r="K34" s="96">
        <v>45984</v>
      </c>
      <c r="L34" s="100">
        <v>1</v>
      </c>
      <c r="M34" s="100">
        <v>1</v>
      </c>
      <c r="N34" s="100">
        <v>29</v>
      </c>
      <c r="O34" s="97" t="s">
        <v>427</v>
      </c>
      <c r="P34" s="101"/>
      <c r="Q34" s="101"/>
      <c r="R34" s="101"/>
      <c r="S34" s="101"/>
      <c r="T34" s="101"/>
      <c r="U34" s="101"/>
      <c r="V34" s="101"/>
      <c r="W34" s="100" t="s">
        <v>564</v>
      </c>
      <c r="X34" s="100" t="s">
        <v>565</v>
      </c>
      <c r="Y34" s="100" t="s">
        <v>566</v>
      </c>
      <c r="Z34" s="100" t="s">
        <v>567</v>
      </c>
      <c r="AA34" s="100" t="s">
        <v>568</v>
      </c>
      <c r="AB34" s="100" t="s">
        <v>255</v>
      </c>
      <c r="AC34" s="101"/>
      <c r="AD34" s="101"/>
      <c r="AE34" s="101"/>
      <c r="AF34" s="101"/>
      <c r="AG34" s="101"/>
      <c r="AH34" s="100" t="s">
        <v>471</v>
      </c>
      <c r="AI34" s="101"/>
    </row>
    <row r="35" spans="1:35" ht="18" x14ac:dyDescent="0.3">
      <c r="A35" s="102" t="s">
        <v>186</v>
      </c>
      <c r="B35" s="103">
        <v>45991</v>
      </c>
      <c r="C35" s="104" t="s">
        <v>347</v>
      </c>
      <c r="D35" s="105">
        <v>0.82986111111111116</v>
      </c>
      <c r="E35" s="104" t="s">
        <v>271</v>
      </c>
      <c r="F35" s="104" t="s">
        <v>158</v>
      </c>
      <c r="G35" s="106">
        <v>0.99439999999999995</v>
      </c>
      <c r="H35" s="107">
        <v>180</v>
      </c>
      <c r="I35" s="107">
        <v>179</v>
      </c>
      <c r="J35" s="107">
        <v>90</v>
      </c>
      <c r="K35" s="103">
        <v>45983</v>
      </c>
      <c r="L35" s="107">
        <v>0</v>
      </c>
      <c r="M35" s="107">
        <v>4</v>
      </c>
      <c r="N35" s="107">
        <v>15</v>
      </c>
      <c r="O35" s="104" t="s">
        <v>75</v>
      </c>
      <c r="P35" s="108"/>
      <c r="Q35" s="108"/>
      <c r="R35" s="108"/>
      <c r="S35" s="108"/>
      <c r="T35" s="108"/>
      <c r="U35" s="108"/>
      <c r="V35" s="107" t="s">
        <v>228</v>
      </c>
      <c r="W35" s="107" t="s">
        <v>472</v>
      </c>
      <c r="X35" s="107" t="s">
        <v>569</v>
      </c>
      <c r="Y35" s="107" t="s">
        <v>453</v>
      </c>
      <c r="Z35" s="107" t="s">
        <v>570</v>
      </c>
      <c r="AA35" s="107" t="s">
        <v>503</v>
      </c>
      <c r="AB35" s="107" t="s">
        <v>458</v>
      </c>
      <c r="AC35" s="107" t="s">
        <v>268</v>
      </c>
      <c r="AD35" s="107" t="s">
        <v>505</v>
      </c>
      <c r="AE35" s="107" t="s">
        <v>459</v>
      </c>
      <c r="AF35" s="108"/>
      <c r="AG35" s="108"/>
      <c r="AH35" s="107" t="s">
        <v>471</v>
      </c>
      <c r="AI35" s="108"/>
    </row>
    <row r="36" spans="1:35" ht="18" x14ac:dyDescent="0.3">
      <c r="A36" s="109" t="s">
        <v>189</v>
      </c>
      <c r="B36" s="110"/>
      <c r="C36" s="111">
        <f>COUNTA(C2:C35)</f>
        <v>34</v>
      </c>
      <c r="D36" s="110"/>
      <c r="E36" s="110"/>
      <c r="F36" s="110"/>
      <c r="G36" s="112">
        <f>AVERAGE(G2:G35)</f>
        <v>0.99002058823529404</v>
      </c>
      <c r="H36" s="113">
        <f>SUM(H2:H35)</f>
        <v>6120</v>
      </c>
      <c r="I36" s="113">
        <f>SUM(I2:I35)</f>
        <v>6059</v>
      </c>
      <c r="J36" s="113">
        <f>SUM(J2:J35)</f>
        <v>2321</v>
      </c>
      <c r="K36" s="110"/>
      <c r="L36" s="113">
        <f>SUM(L2:L35)</f>
        <v>12</v>
      </c>
      <c r="M36" s="113">
        <f>SUM(M2:M35)</f>
        <v>183</v>
      </c>
      <c r="N36" s="113">
        <f>SUM(N2:N35)</f>
        <v>1068</v>
      </c>
      <c r="O36" s="110"/>
      <c r="P36" s="113">
        <f t="shared" ref="P36:AI36" si="0">SUMPRODUCT(--IFERROR(VALUE(SUBSTITUTE(SUBSTITUTE(SUBSTITUTE(SUBSTITUTE(SUBSTITUTE(SUBSTITUTE(SUBSTITUTE(SUBSTITUTE(SUBSTITUTE(SUBSTITUTE(SUBSTITUTE(SUBSTITUTE(SUBSTITUTE(SUBSTITUTE(SUBSTITUTE(SUBSTITUTE(SUBSTITUTE(SUBSTITUTE(SUBSTITUTE(SUBSTITUTE(P2:P35,"Y",""),"B",""),"M",""),"H",""),"Q",""),"K",""),"V",""),"L",""),"G",""),"S",""),"W",""),"T",""),"X",""),"U",""),"O",""),"I",""),"E",""),"A",""),"P",""),"N","")),0))</f>
        <v>0</v>
      </c>
      <c r="Q36" s="113">
        <f t="shared" si="0"/>
        <v>0</v>
      </c>
      <c r="R36" s="113">
        <f t="shared" si="0"/>
        <v>0</v>
      </c>
      <c r="S36" s="113">
        <f t="shared" si="0"/>
        <v>0</v>
      </c>
      <c r="T36" s="113">
        <f t="shared" si="0"/>
        <v>0</v>
      </c>
      <c r="U36" s="113">
        <f t="shared" si="0"/>
        <v>0</v>
      </c>
      <c r="V36" s="113">
        <f t="shared" si="0"/>
        <v>0</v>
      </c>
      <c r="W36" s="113">
        <f t="shared" si="0"/>
        <v>0</v>
      </c>
      <c r="X36" s="113">
        <f t="shared" si="0"/>
        <v>0</v>
      </c>
      <c r="Y36" s="113">
        <f t="shared" si="0"/>
        <v>0</v>
      </c>
      <c r="Z36" s="113">
        <f t="shared" si="0"/>
        <v>0</v>
      </c>
      <c r="AA36" s="113">
        <f t="shared" si="0"/>
        <v>0</v>
      </c>
      <c r="AB36" s="113">
        <f t="shared" si="0"/>
        <v>0</v>
      </c>
      <c r="AC36" s="113">
        <f t="shared" si="0"/>
        <v>0</v>
      </c>
      <c r="AD36" s="113">
        <f t="shared" si="0"/>
        <v>0</v>
      </c>
      <c r="AE36" s="113">
        <f t="shared" si="0"/>
        <v>0</v>
      </c>
      <c r="AF36" s="113">
        <f t="shared" si="0"/>
        <v>0</v>
      </c>
      <c r="AG36" s="113">
        <f t="shared" si="0"/>
        <v>0</v>
      </c>
      <c r="AH36" s="113">
        <f t="shared" si="0"/>
        <v>0</v>
      </c>
      <c r="AI36" s="113">
        <f t="shared" si="0"/>
        <v>0</v>
      </c>
    </row>
  </sheetData>
  <autoFilter ref="A1:AI35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38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25</v>
      </c>
      <c r="C2" s="117" t="s">
        <v>272</v>
      </c>
      <c r="D2" s="116" t="s">
        <v>271</v>
      </c>
      <c r="E2" s="118">
        <v>1.989583333333333</v>
      </c>
      <c r="F2" s="116" t="s">
        <v>27</v>
      </c>
      <c r="G2" s="119">
        <v>1</v>
      </c>
      <c r="H2" s="120" t="s">
        <v>123</v>
      </c>
    </row>
    <row r="3" spans="1:8" ht="18" x14ac:dyDescent="0.3">
      <c r="A3" s="121">
        <v>45985</v>
      </c>
      <c r="B3" s="122" t="s">
        <v>25</v>
      </c>
      <c r="C3" s="123" t="s">
        <v>272</v>
      </c>
      <c r="D3" s="122" t="s">
        <v>271</v>
      </c>
      <c r="E3" s="124">
        <v>1.989583333333333</v>
      </c>
      <c r="F3" s="122" t="s">
        <v>30</v>
      </c>
      <c r="G3" s="125">
        <v>1</v>
      </c>
      <c r="H3" s="122" t="s">
        <v>79</v>
      </c>
    </row>
    <row r="4" spans="1:8" ht="18" x14ac:dyDescent="0.3">
      <c r="A4" s="121">
        <v>45985</v>
      </c>
      <c r="B4" s="122" t="s">
        <v>25</v>
      </c>
      <c r="C4" s="123" t="s">
        <v>272</v>
      </c>
      <c r="D4" s="122" t="s">
        <v>271</v>
      </c>
      <c r="E4" s="124">
        <v>1.989583333333333</v>
      </c>
      <c r="F4" s="122" t="s">
        <v>33</v>
      </c>
      <c r="G4" s="125">
        <v>1</v>
      </c>
      <c r="H4" s="122" t="s">
        <v>79</v>
      </c>
    </row>
    <row r="5" spans="1:8" ht="18" x14ac:dyDescent="0.3">
      <c r="A5" s="127">
        <v>45985</v>
      </c>
      <c r="B5" s="128" t="s">
        <v>25</v>
      </c>
      <c r="C5" s="129" t="s">
        <v>273</v>
      </c>
      <c r="D5" s="128" t="s">
        <v>271</v>
      </c>
      <c r="E5" s="130">
        <v>1.489583333333333</v>
      </c>
      <c r="F5" s="128" t="s">
        <v>27</v>
      </c>
      <c r="G5" s="131">
        <v>3</v>
      </c>
      <c r="H5" s="128" t="s">
        <v>275</v>
      </c>
    </row>
    <row r="6" spans="1:8" ht="18" x14ac:dyDescent="0.3">
      <c r="A6" s="121">
        <v>45985</v>
      </c>
      <c r="B6" s="122" t="s">
        <v>25</v>
      </c>
      <c r="C6" s="123" t="s">
        <v>273</v>
      </c>
      <c r="D6" s="122" t="s">
        <v>271</v>
      </c>
      <c r="E6" s="124">
        <v>1.489583333333333</v>
      </c>
      <c r="F6" s="122" t="s">
        <v>30</v>
      </c>
      <c r="G6" s="125">
        <v>3</v>
      </c>
      <c r="H6" s="122" t="s">
        <v>276</v>
      </c>
    </row>
    <row r="7" spans="1:8" ht="18" x14ac:dyDescent="0.3">
      <c r="A7" s="121">
        <v>45985</v>
      </c>
      <c r="B7" s="122" t="s">
        <v>25</v>
      </c>
      <c r="C7" s="123" t="s">
        <v>273</v>
      </c>
      <c r="D7" s="122" t="s">
        <v>271</v>
      </c>
      <c r="E7" s="124">
        <v>1.489583333333333</v>
      </c>
      <c r="F7" s="122" t="s">
        <v>33</v>
      </c>
      <c r="G7" s="125">
        <v>3</v>
      </c>
      <c r="H7" s="122" t="s">
        <v>34</v>
      </c>
    </row>
    <row r="8" spans="1:8" ht="18" x14ac:dyDescent="0.3">
      <c r="A8" s="127">
        <v>45985</v>
      </c>
      <c r="B8" s="128" t="s">
        <v>25</v>
      </c>
      <c r="C8" s="129" t="s">
        <v>277</v>
      </c>
      <c r="D8" s="128" t="s">
        <v>271</v>
      </c>
      <c r="E8" s="130">
        <v>1.8888888888888891</v>
      </c>
      <c r="F8" s="128" t="s">
        <v>27</v>
      </c>
      <c r="G8" s="131">
        <v>1</v>
      </c>
      <c r="H8" s="128" t="s">
        <v>275</v>
      </c>
    </row>
    <row r="9" spans="1:8" ht="18" x14ac:dyDescent="0.3">
      <c r="A9" s="121">
        <v>45985</v>
      </c>
      <c r="B9" s="122" t="s">
        <v>25</v>
      </c>
      <c r="C9" s="123" t="s">
        <v>277</v>
      </c>
      <c r="D9" s="122" t="s">
        <v>271</v>
      </c>
      <c r="E9" s="124">
        <v>1.8888888888888891</v>
      </c>
      <c r="F9" s="122" t="s">
        <v>33</v>
      </c>
      <c r="G9" s="125">
        <v>1</v>
      </c>
      <c r="H9" s="122" t="s">
        <v>79</v>
      </c>
    </row>
    <row r="10" spans="1:8" ht="18" x14ac:dyDescent="0.3">
      <c r="A10" s="121">
        <v>45985</v>
      </c>
      <c r="B10" s="122" t="s">
        <v>25</v>
      </c>
      <c r="C10" s="123" t="s">
        <v>277</v>
      </c>
      <c r="D10" s="122" t="s">
        <v>271</v>
      </c>
      <c r="E10" s="124">
        <v>1.8888888888888891</v>
      </c>
      <c r="F10" s="122" t="s">
        <v>30</v>
      </c>
      <c r="G10" s="125">
        <v>1</v>
      </c>
      <c r="H10" s="122" t="s">
        <v>276</v>
      </c>
    </row>
    <row r="11" spans="1:8" ht="18" x14ac:dyDescent="0.3">
      <c r="A11" s="127">
        <v>45985</v>
      </c>
      <c r="B11" s="128" t="s">
        <v>25</v>
      </c>
      <c r="C11" s="129" t="s">
        <v>278</v>
      </c>
      <c r="D11" s="128" t="s">
        <v>271</v>
      </c>
      <c r="E11" s="130">
        <v>1.399305555555556</v>
      </c>
      <c r="F11" s="128" t="s">
        <v>27</v>
      </c>
      <c r="G11" s="131">
        <v>3</v>
      </c>
      <c r="H11" s="128" t="s">
        <v>79</v>
      </c>
    </row>
    <row r="12" spans="1:8" ht="18" x14ac:dyDescent="0.3">
      <c r="A12" s="121">
        <v>45985</v>
      </c>
      <c r="B12" s="122" t="s">
        <v>25</v>
      </c>
      <c r="C12" s="123" t="s">
        <v>278</v>
      </c>
      <c r="D12" s="122" t="s">
        <v>271</v>
      </c>
      <c r="E12" s="124">
        <v>1.399305555555556</v>
      </c>
      <c r="F12" s="122" t="s">
        <v>30</v>
      </c>
      <c r="G12" s="125">
        <v>3</v>
      </c>
      <c r="H12" s="122" t="s">
        <v>279</v>
      </c>
    </row>
    <row r="13" spans="1:8" ht="18" x14ac:dyDescent="0.3">
      <c r="A13" s="121">
        <v>45985</v>
      </c>
      <c r="B13" s="122" t="s">
        <v>25</v>
      </c>
      <c r="C13" s="123" t="s">
        <v>278</v>
      </c>
      <c r="D13" s="122" t="s">
        <v>271</v>
      </c>
      <c r="E13" s="124">
        <v>1.399305555555556</v>
      </c>
      <c r="F13" s="122" t="s">
        <v>33</v>
      </c>
      <c r="G13" s="125">
        <v>3</v>
      </c>
      <c r="H13" s="122" t="s">
        <v>34</v>
      </c>
    </row>
    <row r="14" spans="1:8" ht="18" x14ac:dyDescent="0.3">
      <c r="A14" s="126">
        <v>45985</v>
      </c>
      <c r="B14" s="116" t="s">
        <v>280</v>
      </c>
      <c r="C14" s="117" t="s">
        <v>281</v>
      </c>
      <c r="D14" s="116" t="s">
        <v>271</v>
      </c>
      <c r="E14" s="118">
        <v>1.0138888888888891</v>
      </c>
      <c r="F14" s="116" t="s">
        <v>282</v>
      </c>
      <c r="G14" s="119">
        <v>3</v>
      </c>
      <c r="H14" s="116" t="s">
        <v>283</v>
      </c>
    </row>
    <row r="15" spans="1:8" ht="18" x14ac:dyDescent="0.3">
      <c r="A15" s="121">
        <v>45985</v>
      </c>
      <c r="B15" s="122" t="s">
        <v>280</v>
      </c>
      <c r="C15" s="123" t="s">
        <v>281</v>
      </c>
      <c r="D15" s="122" t="s">
        <v>271</v>
      </c>
      <c r="E15" s="124">
        <v>1.0138888888888891</v>
      </c>
      <c r="F15" s="122" t="s">
        <v>33</v>
      </c>
      <c r="G15" s="125">
        <v>3</v>
      </c>
      <c r="H15" s="122" t="s">
        <v>284</v>
      </c>
    </row>
    <row r="16" spans="1:8" ht="18" x14ac:dyDescent="0.3">
      <c r="A16" s="126">
        <v>45985</v>
      </c>
      <c r="B16" s="116" t="s">
        <v>285</v>
      </c>
      <c r="C16" s="117" t="s">
        <v>286</v>
      </c>
      <c r="D16" s="116" t="s">
        <v>271</v>
      </c>
      <c r="E16" s="118">
        <v>1.493055555555556</v>
      </c>
      <c r="F16" s="116" t="s">
        <v>81</v>
      </c>
      <c r="G16" s="119">
        <v>1</v>
      </c>
      <c r="H16" s="116" t="s">
        <v>287</v>
      </c>
    </row>
    <row r="17" spans="1:8" ht="18" x14ac:dyDescent="0.3">
      <c r="A17" s="127">
        <v>45985</v>
      </c>
      <c r="B17" s="128" t="s">
        <v>285</v>
      </c>
      <c r="C17" s="129" t="s">
        <v>288</v>
      </c>
      <c r="D17" s="128" t="s">
        <v>271</v>
      </c>
      <c r="E17" s="130">
        <v>1.135416666666667</v>
      </c>
      <c r="F17" s="128" t="s">
        <v>81</v>
      </c>
      <c r="G17" s="131">
        <v>5</v>
      </c>
      <c r="H17" s="128" t="s">
        <v>287</v>
      </c>
    </row>
    <row r="18" spans="1:8" ht="18" x14ac:dyDescent="0.3">
      <c r="A18" s="127">
        <v>45985</v>
      </c>
      <c r="B18" s="128" t="s">
        <v>285</v>
      </c>
      <c r="C18" s="129" t="s">
        <v>290</v>
      </c>
      <c r="D18" s="128" t="s">
        <v>271</v>
      </c>
      <c r="E18" s="130">
        <v>1.868055555555556</v>
      </c>
      <c r="F18" s="128" t="s">
        <v>81</v>
      </c>
      <c r="G18" s="131">
        <v>1</v>
      </c>
      <c r="H18" s="128" t="s">
        <v>287</v>
      </c>
    </row>
    <row r="19" spans="1:8" ht="18" x14ac:dyDescent="0.3">
      <c r="A19" s="126">
        <v>45985</v>
      </c>
      <c r="B19" s="116" t="s">
        <v>54</v>
      </c>
      <c r="C19" s="117" t="s">
        <v>291</v>
      </c>
      <c r="D19" s="116" t="s">
        <v>271</v>
      </c>
      <c r="E19" s="118">
        <v>1.993055555555556</v>
      </c>
      <c r="F19" s="116" t="s">
        <v>292</v>
      </c>
      <c r="G19" s="119">
        <v>9</v>
      </c>
      <c r="H19" s="116" t="s">
        <v>293</v>
      </c>
    </row>
    <row r="20" spans="1:8" ht="18" x14ac:dyDescent="0.3">
      <c r="A20" s="121">
        <v>45985</v>
      </c>
      <c r="B20" s="122" t="s">
        <v>54</v>
      </c>
      <c r="C20" s="123" t="s">
        <v>291</v>
      </c>
      <c r="D20" s="122" t="s">
        <v>271</v>
      </c>
      <c r="E20" s="124">
        <v>1.993055555555556</v>
      </c>
      <c r="F20" s="122" t="s">
        <v>56</v>
      </c>
      <c r="G20" s="125">
        <v>9</v>
      </c>
      <c r="H20" s="122" t="s">
        <v>293</v>
      </c>
    </row>
    <row r="21" spans="1:8" ht="18" x14ac:dyDescent="0.3">
      <c r="A21" s="121">
        <v>45985</v>
      </c>
      <c r="B21" s="122" t="s">
        <v>54</v>
      </c>
      <c r="C21" s="123" t="s">
        <v>291</v>
      </c>
      <c r="D21" s="122" t="s">
        <v>271</v>
      </c>
      <c r="E21" s="124">
        <v>1.993055555555556</v>
      </c>
      <c r="F21" s="122" t="s">
        <v>58</v>
      </c>
      <c r="G21" s="125">
        <v>9</v>
      </c>
      <c r="H21" s="122" t="s">
        <v>276</v>
      </c>
    </row>
    <row r="22" spans="1:8" ht="18" x14ac:dyDescent="0.3">
      <c r="A22" s="121">
        <v>45985</v>
      </c>
      <c r="B22" s="122" t="s">
        <v>54</v>
      </c>
      <c r="C22" s="123" t="s">
        <v>291</v>
      </c>
      <c r="D22" s="122" t="s">
        <v>271</v>
      </c>
      <c r="E22" s="124">
        <v>1.993055555555556</v>
      </c>
      <c r="F22" s="122" t="s">
        <v>60</v>
      </c>
      <c r="G22" s="125">
        <v>9</v>
      </c>
      <c r="H22" s="122" t="s">
        <v>117</v>
      </c>
    </row>
    <row r="23" spans="1:8" ht="18" x14ac:dyDescent="0.3">
      <c r="A23" s="127">
        <v>45985</v>
      </c>
      <c r="B23" s="128" t="s">
        <v>54</v>
      </c>
      <c r="C23" s="129" t="s">
        <v>294</v>
      </c>
      <c r="D23" s="128" t="s">
        <v>271</v>
      </c>
      <c r="E23" s="130">
        <v>1.836805555555556</v>
      </c>
      <c r="F23" s="128" t="s">
        <v>56</v>
      </c>
      <c r="G23" s="131">
        <v>5</v>
      </c>
      <c r="H23" s="128" t="s">
        <v>293</v>
      </c>
    </row>
    <row r="24" spans="1:8" ht="18" x14ac:dyDescent="0.3">
      <c r="A24" s="121">
        <v>45985</v>
      </c>
      <c r="B24" s="122" t="s">
        <v>54</v>
      </c>
      <c r="C24" s="123" t="s">
        <v>294</v>
      </c>
      <c r="D24" s="122" t="s">
        <v>271</v>
      </c>
      <c r="E24" s="124">
        <v>1.836805555555556</v>
      </c>
      <c r="F24" s="122" t="s">
        <v>58</v>
      </c>
      <c r="G24" s="125">
        <v>5</v>
      </c>
      <c r="H24" s="122" t="s">
        <v>276</v>
      </c>
    </row>
    <row r="25" spans="1:8" ht="18" x14ac:dyDescent="0.3">
      <c r="A25" s="121">
        <v>45985</v>
      </c>
      <c r="B25" s="122" t="s">
        <v>54</v>
      </c>
      <c r="C25" s="123" t="s">
        <v>294</v>
      </c>
      <c r="D25" s="122" t="s">
        <v>271</v>
      </c>
      <c r="E25" s="124">
        <v>1.836805555555556</v>
      </c>
      <c r="F25" s="122" t="s">
        <v>60</v>
      </c>
      <c r="G25" s="125">
        <v>5</v>
      </c>
      <c r="H25" s="122" t="s">
        <v>117</v>
      </c>
    </row>
    <row r="26" spans="1:8" ht="18" x14ac:dyDescent="0.3">
      <c r="A26" s="127">
        <v>45985</v>
      </c>
      <c r="B26" s="128" t="s">
        <v>54</v>
      </c>
      <c r="C26" s="129" t="s">
        <v>295</v>
      </c>
      <c r="D26" s="128" t="s">
        <v>271</v>
      </c>
      <c r="E26" s="130">
        <v>1.944444444444444</v>
      </c>
      <c r="F26" s="128" t="s">
        <v>56</v>
      </c>
      <c r="G26" s="131">
        <v>9</v>
      </c>
      <c r="H26" s="128" t="s">
        <v>293</v>
      </c>
    </row>
    <row r="27" spans="1:8" ht="18" x14ac:dyDescent="0.3">
      <c r="A27" s="121">
        <v>45985</v>
      </c>
      <c r="B27" s="122" t="s">
        <v>54</v>
      </c>
      <c r="C27" s="123" t="s">
        <v>295</v>
      </c>
      <c r="D27" s="122" t="s">
        <v>271</v>
      </c>
      <c r="E27" s="124">
        <v>1.944444444444444</v>
      </c>
      <c r="F27" s="122" t="s">
        <v>58</v>
      </c>
      <c r="G27" s="125">
        <v>9</v>
      </c>
      <c r="H27" s="122" t="s">
        <v>276</v>
      </c>
    </row>
    <row r="28" spans="1:8" ht="18" x14ac:dyDescent="0.3">
      <c r="A28" s="121">
        <v>45985</v>
      </c>
      <c r="B28" s="122" t="s">
        <v>54</v>
      </c>
      <c r="C28" s="123" t="s">
        <v>295</v>
      </c>
      <c r="D28" s="122" t="s">
        <v>271</v>
      </c>
      <c r="E28" s="124">
        <v>1.944444444444444</v>
      </c>
      <c r="F28" s="122" t="s">
        <v>60</v>
      </c>
      <c r="G28" s="125">
        <v>9</v>
      </c>
      <c r="H28" s="122" t="s">
        <v>117</v>
      </c>
    </row>
    <row r="29" spans="1:8" ht="18" x14ac:dyDescent="0.3">
      <c r="A29" s="127">
        <v>45985</v>
      </c>
      <c r="B29" s="128" t="s">
        <v>54</v>
      </c>
      <c r="C29" s="129" t="s">
        <v>296</v>
      </c>
      <c r="D29" s="128" t="s">
        <v>271</v>
      </c>
      <c r="E29" s="130">
        <v>1.4861111111111109</v>
      </c>
      <c r="F29" s="128" t="s">
        <v>56</v>
      </c>
      <c r="G29" s="131">
        <v>6</v>
      </c>
      <c r="H29" s="128" t="s">
        <v>293</v>
      </c>
    </row>
    <row r="30" spans="1:8" ht="18" x14ac:dyDescent="0.3">
      <c r="A30" s="121">
        <v>45985</v>
      </c>
      <c r="B30" s="122" t="s">
        <v>54</v>
      </c>
      <c r="C30" s="123" t="s">
        <v>296</v>
      </c>
      <c r="D30" s="122" t="s">
        <v>271</v>
      </c>
      <c r="E30" s="124">
        <v>1.4861111111111109</v>
      </c>
      <c r="F30" s="122" t="s">
        <v>58</v>
      </c>
      <c r="G30" s="125">
        <v>6</v>
      </c>
      <c r="H30" s="122" t="s">
        <v>276</v>
      </c>
    </row>
    <row r="31" spans="1:8" ht="18" x14ac:dyDescent="0.3">
      <c r="A31" s="121">
        <v>45985</v>
      </c>
      <c r="B31" s="122" t="s">
        <v>54</v>
      </c>
      <c r="C31" s="123" t="s">
        <v>296</v>
      </c>
      <c r="D31" s="122" t="s">
        <v>271</v>
      </c>
      <c r="E31" s="124">
        <v>1.4861111111111109</v>
      </c>
      <c r="F31" s="122" t="s">
        <v>60</v>
      </c>
      <c r="G31" s="125">
        <v>6</v>
      </c>
      <c r="H31" s="122" t="s">
        <v>117</v>
      </c>
    </row>
    <row r="32" spans="1:8" ht="18" x14ac:dyDescent="0.3">
      <c r="A32" s="127">
        <v>45985</v>
      </c>
      <c r="B32" s="128" t="s">
        <v>54</v>
      </c>
      <c r="C32" s="129" t="s">
        <v>297</v>
      </c>
      <c r="D32" s="128" t="s">
        <v>271</v>
      </c>
      <c r="E32" s="130">
        <v>1.5590277777777779</v>
      </c>
      <c r="F32" s="128" t="s">
        <v>56</v>
      </c>
      <c r="G32" s="131">
        <v>3</v>
      </c>
      <c r="H32" s="128" t="s">
        <v>293</v>
      </c>
    </row>
    <row r="33" spans="1:8" ht="18" x14ac:dyDescent="0.3">
      <c r="A33" s="121">
        <v>45985</v>
      </c>
      <c r="B33" s="122" t="s">
        <v>54</v>
      </c>
      <c r="C33" s="123" t="s">
        <v>297</v>
      </c>
      <c r="D33" s="122" t="s">
        <v>271</v>
      </c>
      <c r="E33" s="124">
        <v>1.5590277777777779</v>
      </c>
      <c r="F33" s="122" t="s">
        <v>58</v>
      </c>
      <c r="G33" s="125">
        <v>3</v>
      </c>
      <c r="H33" s="122" t="s">
        <v>276</v>
      </c>
    </row>
    <row r="34" spans="1:8" ht="18" x14ac:dyDescent="0.3">
      <c r="A34" s="121">
        <v>45985</v>
      </c>
      <c r="B34" s="122" t="s">
        <v>54</v>
      </c>
      <c r="C34" s="123" t="s">
        <v>297</v>
      </c>
      <c r="D34" s="122" t="s">
        <v>271</v>
      </c>
      <c r="E34" s="124">
        <v>1.5590277777777779</v>
      </c>
      <c r="F34" s="122" t="s">
        <v>60</v>
      </c>
      <c r="G34" s="125">
        <v>3</v>
      </c>
      <c r="H34" s="122" t="s">
        <v>117</v>
      </c>
    </row>
    <row r="35" spans="1:8" ht="18" x14ac:dyDescent="0.3">
      <c r="A35" s="127">
        <v>45985</v>
      </c>
      <c r="B35" s="128" t="s">
        <v>54</v>
      </c>
      <c r="C35" s="129" t="s">
        <v>298</v>
      </c>
      <c r="D35" s="128" t="s">
        <v>271</v>
      </c>
      <c r="E35" s="130">
        <v>1.8888888888888891</v>
      </c>
      <c r="F35" s="128" t="s">
        <v>56</v>
      </c>
      <c r="G35" s="131">
        <v>9</v>
      </c>
      <c r="H35" s="128" t="s">
        <v>293</v>
      </c>
    </row>
    <row r="36" spans="1:8" ht="18" x14ac:dyDescent="0.3">
      <c r="A36" s="121">
        <v>45985</v>
      </c>
      <c r="B36" s="122" t="s">
        <v>54</v>
      </c>
      <c r="C36" s="123" t="s">
        <v>298</v>
      </c>
      <c r="D36" s="122" t="s">
        <v>271</v>
      </c>
      <c r="E36" s="124">
        <v>1.8888888888888891</v>
      </c>
      <c r="F36" s="122" t="s">
        <v>58</v>
      </c>
      <c r="G36" s="125">
        <v>9</v>
      </c>
      <c r="H36" s="122" t="s">
        <v>276</v>
      </c>
    </row>
    <row r="37" spans="1:8" ht="18" x14ac:dyDescent="0.3">
      <c r="A37" s="121">
        <v>45985</v>
      </c>
      <c r="B37" s="122" t="s">
        <v>54</v>
      </c>
      <c r="C37" s="123" t="s">
        <v>298</v>
      </c>
      <c r="D37" s="122" t="s">
        <v>271</v>
      </c>
      <c r="E37" s="124">
        <v>1.8888888888888891</v>
      </c>
      <c r="F37" s="122" t="s">
        <v>60</v>
      </c>
      <c r="G37" s="125">
        <v>9</v>
      </c>
      <c r="H37" s="122" t="s">
        <v>117</v>
      </c>
    </row>
    <row r="38" spans="1:8" ht="18" x14ac:dyDescent="0.3">
      <c r="A38" s="127">
        <v>45985</v>
      </c>
      <c r="B38" s="128" t="s">
        <v>54</v>
      </c>
      <c r="C38" s="129" t="s">
        <v>299</v>
      </c>
      <c r="D38" s="128" t="s">
        <v>271</v>
      </c>
      <c r="E38" s="130">
        <v>1.3472222222222221</v>
      </c>
      <c r="F38" s="128" t="s">
        <v>56</v>
      </c>
      <c r="G38" s="131">
        <v>1</v>
      </c>
      <c r="H38" s="128" t="s">
        <v>276</v>
      </c>
    </row>
    <row r="39" spans="1:8" ht="18" x14ac:dyDescent="0.3">
      <c r="A39" s="121">
        <v>45985</v>
      </c>
      <c r="B39" s="122" t="s">
        <v>54</v>
      </c>
      <c r="C39" s="123" t="s">
        <v>299</v>
      </c>
      <c r="D39" s="122" t="s">
        <v>271</v>
      </c>
      <c r="E39" s="124">
        <v>1.3472222222222221</v>
      </c>
      <c r="F39" s="122" t="s">
        <v>58</v>
      </c>
      <c r="G39" s="125">
        <v>1</v>
      </c>
      <c r="H39" s="122" t="s">
        <v>279</v>
      </c>
    </row>
    <row r="40" spans="1:8" ht="18" x14ac:dyDescent="0.3">
      <c r="A40" s="121">
        <v>45985</v>
      </c>
      <c r="B40" s="122" t="s">
        <v>54</v>
      </c>
      <c r="C40" s="123" t="s">
        <v>299</v>
      </c>
      <c r="D40" s="122" t="s">
        <v>271</v>
      </c>
      <c r="E40" s="124">
        <v>1.3472222222222221</v>
      </c>
      <c r="F40" s="122" t="s">
        <v>60</v>
      </c>
      <c r="G40" s="125">
        <v>1</v>
      </c>
      <c r="H40" s="122" t="s">
        <v>300</v>
      </c>
    </row>
    <row r="41" spans="1:8" ht="18" x14ac:dyDescent="0.3">
      <c r="A41" s="127">
        <v>45985</v>
      </c>
      <c r="B41" s="128" t="s">
        <v>54</v>
      </c>
      <c r="C41" s="129" t="s">
        <v>301</v>
      </c>
      <c r="D41" s="128" t="s">
        <v>271</v>
      </c>
      <c r="E41" s="130">
        <v>1.7361111111111109</v>
      </c>
      <c r="F41" s="128" t="s">
        <v>56</v>
      </c>
      <c r="G41" s="131">
        <v>2</v>
      </c>
      <c r="H41" s="128" t="s">
        <v>276</v>
      </c>
    </row>
    <row r="42" spans="1:8" ht="18" x14ac:dyDescent="0.3">
      <c r="A42" s="121">
        <v>45985</v>
      </c>
      <c r="B42" s="122" t="s">
        <v>54</v>
      </c>
      <c r="C42" s="123" t="s">
        <v>301</v>
      </c>
      <c r="D42" s="122" t="s">
        <v>271</v>
      </c>
      <c r="E42" s="124">
        <v>1.7361111111111109</v>
      </c>
      <c r="F42" s="122" t="s">
        <v>58</v>
      </c>
      <c r="G42" s="125">
        <v>2</v>
      </c>
      <c r="H42" s="122" t="s">
        <v>279</v>
      </c>
    </row>
    <row r="43" spans="1:8" ht="18" x14ac:dyDescent="0.3">
      <c r="A43" s="121">
        <v>45985</v>
      </c>
      <c r="B43" s="122" t="s">
        <v>54</v>
      </c>
      <c r="C43" s="123" t="s">
        <v>301</v>
      </c>
      <c r="D43" s="122" t="s">
        <v>271</v>
      </c>
      <c r="E43" s="124">
        <v>1.7361111111111109</v>
      </c>
      <c r="F43" s="122" t="s">
        <v>60</v>
      </c>
      <c r="G43" s="125">
        <v>2</v>
      </c>
      <c r="H43" s="122" t="s">
        <v>300</v>
      </c>
    </row>
    <row r="44" spans="1:8" ht="18" x14ac:dyDescent="0.3">
      <c r="A44" s="126">
        <v>45985</v>
      </c>
      <c r="B44" s="116" t="s">
        <v>35</v>
      </c>
      <c r="C44" s="117" t="s">
        <v>302</v>
      </c>
      <c r="D44" s="116" t="s">
        <v>271</v>
      </c>
      <c r="E44" s="118">
        <v>1.118055555555556</v>
      </c>
      <c r="F44" s="116" t="s">
        <v>42</v>
      </c>
      <c r="G44" s="119">
        <v>9</v>
      </c>
      <c r="H44" s="116" t="s">
        <v>303</v>
      </c>
    </row>
    <row r="45" spans="1:8" ht="18" x14ac:dyDescent="0.3">
      <c r="A45" s="127">
        <v>45985</v>
      </c>
      <c r="B45" s="128" t="s">
        <v>35</v>
      </c>
      <c r="C45" s="129" t="s">
        <v>304</v>
      </c>
      <c r="D45" s="128" t="s">
        <v>271</v>
      </c>
      <c r="E45" s="130">
        <v>1.399305555555556</v>
      </c>
      <c r="F45" s="128" t="s">
        <v>42</v>
      </c>
      <c r="G45" s="131">
        <v>4</v>
      </c>
      <c r="H45" s="128" t="s">
        <v>305</v>
      </c>
    </row>
    <row r="46" spans="1:8" ht="18" x14ac:dyDescent="0.3">
      <c r="A46" s="127">
        <v>45985</v>
      </c>
      <c r="B46" s="128" t="s">
        <v>35</v>
      </c>
      <c r="C46" s="129" t="s">
        <v>306</v>
      </c>
      <c r="D46" s="128" t="s">
        <v>271</v>
      </c>
      <c r="E46" s="130">
        <v>1.989583333333333</v>
      </c>
      <c r="F46" s="128" t="s">
        <v>42</v>
      </c>
      <c r="G46" s="131">
        <v>4</v>
      </c>
      <c r="H46" s="128" t="s">
        <v>307</v>
      </c>
    </row>
    <row r="47" spans="1:8" ht="18" x14ac:dyDescent="0.3">
      <c r="A47" s="127">
        <v>45985</v>
      </c>
      <c r="B47" s="128" t="s">
        <v>35</v>
      </c>
      <c r="C47" s="129" t="s">
        <v>308</v>
      </c>
      <c r="D47" s="128" t="s">
        <v>271</v>
      </c>
      <c r="E47" s="130">
        <v>1.489583333333333</v>
      </c>
      <c r="F47" s="128" t="s">
        <v>42</v>
      </c>
      <c r="G47" s="131">
        <v>4</v>
      </c>
      <c r="H47" s="128" t="s">
        <v>307</v>
      </c>
    </row>
    <row r="48" spans="1:8" ht="18" x14ac:dyDescent="0.3">
      <c r="A48" s="127">
        <v>45985</v>
      </c>
      <c r="B48" s="128" t="s">
        <v>35</v>
      </c>
      <c r="C48" s="129" t="s">
        <v>309</v>
      </c>
      <c r="D48" s="128" t="s">
        <v>271</v>
      </c>
      <c r="E48" s="130">
        <v>1.8888888888888891</v>
      </c>
      <c r="F48" s="128" t="s">
        <v>42</v>
      </c>
      <c r="G48" s="131">
        <v>4</v>
      </c>
      <c r="H48" s="128" t="s">
        <v>307</v>
      </c>
    </row>
    <row r="49" spans="1:8" ht="18" x14ac:dyDescent="0.3">
      <c r="A49" s="127">
        <v>45985</v>
      </c>
      <c r="B49" s="128" t="s">
        <v>35</v>
      </c>
      <c r="C49" s="129" t="s">
        <v>310</v>
      </c>
      <c r="D49" s="128" t="s">
        <v>271</v>
      </c>
      <c r="E49" s="130">
        <v>1.8298611111111109</v>
      </c>
      <c r="F49" s="128" t="s">
        <v>42</v>
      </c>
      <c r="G49" s="131">
        <v>9</v>
      </c>
      <c r="H49" s="128" t="s">
        <v>311</v>
      </c>
    </row>
    <row r="50" spans="1:8" ht="18" x14ac:dyDescent="0.3">
      <c r="A50" s="127">
        <v>45985</v>
      </c>
      <c r="B50" s="128" t="s">
        <v>35</v>
      </c>
      <c r="C50" s="129" t="s">
        <v>312</v>
      </c>
      <c r="D50" s="128" t="s">
        <v>271</v>
      </c>
      <c r="E50" s="130">
        <v>1.7013888888888891</v>
      </c>
      <c r="F50" s="128" t="s">
        <v>42</v>
      </c>
      <c r="G50" s="131">
        <v>8</v>
      </c>
      <c r="H50" s="128" t="s">
        <v>311</v>
      </c>
    </row>
    <row r="51" spans="1:8" ht="18" x14ac:dyDescent="0.3">
      <c r="A51" s="127">
        <v>45985</v>
      </c>
      <c r="B51" s="128" t="s">
        <v>35</v>
      </c>
      <c r="C51" s="129" t="s">
        <v>313</v>
      </c>
      <c r="D51" s="128" t="s">
        <v>271</v>
      </c>
      <c r="E51" s="130">
        <v>1.2534722222222221</v>
      </c>
      <c r="F51" s="128" t="s">
        <v>42</v>
      </c>
      <c r="G51" s="131">
        <v>8</v>
      </c>
      <c r="H51" s="128" t="s">
        <v>311</v>
      </c>
    </row>
    <row r="52" spans="1:8" ht="18" x14ac:dyDescent="0.3">
      <c r="A52" s="127">
        <v>45985</v>
      </c>
      <c r="B52" s="128" t="s">
        <v>35</v>
      </c>
      <c r="C52" s="129" t="s">
        <v>314</v>
      </c>
      <c r="D52" s="128" t="s">
        <v>271</v>
      </c>
      <c r="E52" s="130">
        <v>1.041666666666667</v>
      </c>
      <c r="F52" s="128" t="s">
        <v>48</v>
      </c>
      <c r="G52" s="131">
        <v>9</v>
      </c>
      <c r="H52" s="128" t="s">
        <v>311</v>
      </c>
    </row>
    <row r="53" spans="1:8" ht="18" x14ac:dyDescent="0.3">
      <c r="A53" s="121">
        <v>45985</v>
      </c>
      <c r="B53" s="122" t="s">
        <v>35</v>
      </c>
      <c r="C53" s="123" t="s">
        <v>314</v>
      </c>
      <c r="D53" s="122" t="s">
        <v>271</v>
      </c>
      <c r="E53" s="124">
        <v>1.041666666666667</v>
      </c>
      <c r="F53" s="122" t="s">
        <v>42</v>
      </c>
      <c r="G53" s="125">
        <v>9</v>
      </c>
      <c r="H53" s="122" t="s">
        <v>311</v>
      </c>
    </row>
    <row r="54" spans="1:8" ht="18" x14ac:dyDescent="0.3">
      <c r="A54" s="127">
        <v>45985</v>
      </c>
      <c r="B54" s="128" t="s">
        <v>35</v>
      </c>
      <c r="C54" s="129" t="s">
        <v>315</v>
      </c>
      <c r="D54" s="128" t="s">
        <v>271</v>
      </c>
      <c r="E54" s="130">
        <v>1.9409722222222221</v>
      </c>
      <c r="F54" s="128" t="s">
        <v>42</v>
      </c>
      <c r="G54" s="131">
        <v>3</v>
      </c>
      <c r="H54" s="128" t="s">
        <v>311</v>
      </c>
    </row>
    <row r="55" spans="1:8" ht="18" x14ac:dyDescent="0.3">
      <c r="A55" s="127">
        <v>45985</v>
      </c>
      <c r="B55" s="128" t="s">
        <v>35</v>
      </c>
      <c r="C55" s="129" t="s">
        <v>316</v>
      </c>
      <c r="D55" s="128" t="s">
        <v>271</v>
      </c>
      <c r="E55" s="130">
        <v>1.489583333333333</v>
      </c>
      <c r="F55" s="128" t="s">
        <v>42</v>
      </c>
      <c r="G55" s="131">
        <v>2</v>
      </c>
      <c r="H55" s="128" t="s">
        <v>317</v>
      </c>
    </row>
    <row r="56" spans="1:8" ht="18" x14ac:dyDescent="0.3">
      <c r="A56" s="127">
        <v>45985</v>
      </c>
      <c r="B56" s="128" t="s">
        <v>35</v>
      </c>
      <c r="C56" s="129" t="s">
        <v>318</v>
      </c>
      <c r="D56" s="128" t="s">
        <v>271</v>
      </c>
      <c r="E56" s="130">
        <v>1.7222222222222221</v>
      </c>
      <c r="F56" s="128" t="s">
        <v>42</v>
      </c>
      <c r="G56" s="131">
        <v>6</v>
      </c>
      <c r="H56" s="128" t="s">
        <v>317</v>
      </c>
    </row>
    <row r="57" spans="1:8" ht="18" x14ac:dyDescent="0.3">
      <c r="A57" s="126">
        <v>45985</v>
      </c>
      <c r="B57" s="116" t="s">
        <v>63</v>
      </c>
      <c r="C57" s="117" t="s">
        <v>319</v>
      </c>
      <c r="D57" s="116" t="s">
        <v>271</v>
      </c>
      <c r="E57" s="118">
        <v>1.836805555555556</v>
      </c>
      <c r="F57" s="116" t="s">
        <v>48</v>
      </c>
      <c r="G57" s="119">
        <v>3</v>
      </c>
      <c r="H57" s="116" t="s">
        <v>320</v>
      </c>
    </row>
    <row r="58" spans="1:8" ht="18" x14ac:dyDescent="0.3">
      <c r="A58" s="127">
        <v>45985</v>
      </c>
      <c r="B58" s="128" t="s">
        <v>63</v>
      </c>
      <c r="C58" s="129" t="s">
        <v>321</v>
      </c>
      <c r="D58" s="128" t="s">
        <v>271</v>
      </c>
      <c r="E58" s="130">
        <v>1.3125</v>
      </c>
      <c r="F58" s="128" t="s">
        <v>48</v>
      </c>
      <c r="G58" s="131">
        <v>1</v>
      </c>
      <c r="H58" s="128" t="s">
        <v>320</v>
      </c>
    </row>
    <row r="59" spans="1:8" ht="18" x14ac:dyDescent="0.3">
      <c r="A59" s="127">
        <v>45985</v>
      </c>
      <c r="B59" s="128" t="s">
        <v>63</v>
      </c>
      <c r="C59" s="129" t="s">
        <v>322</v>
      </c>
      <c r="D59" s="128" t="s">
        <v>271</v>
      </c>
      <c r="E59" s="130">
        <v>1.9722222222222221</v>
      </c>
      <c r="F59" s="128" t="s">
        <v>48</v>
      </c>
      <c r="G59" s="131">
        <v>4</v>
      </c>
      <c r="H59" s="128" t="s">
        <v>320</v>
      </c>
    </row>
    <row r="60" spans="1:8" ht="18" x14ac:dyDescent="0.3">
      <c r="A60" s="127">
        <v>45985</v>
      </c>
      <c r="B60" s="128" t="s">
        <v>63</v>
      </c>
      <c r="C60" s="129" t="s">
        <v>323</v>
      </c>
      <c r="D60" s="128" t="s">
        <v>271</v>
      </c>
      <c r="E60" s="130">
        <v>1.104166666666667</v>
      </c>
      <c r="F60" s="128" t="s">
        <v>48</v>
      </c>
      <c r="G60" s="131">
        <v>2</v>
      </c>
      <c r="H60" s="128" t="s">
        <v>320</v>
      </c>
    </row>
    <row r="61" spans="1:8" ht="18" x14ac:dyDescent="0.3">
      <c r="A61" s="127">
        <v>45985</v>
      </c>
      <c r="B61" s="128" t="s">
        <v>63</v>
      </c>
      <c r="C61" s="129" t="s">
        <v>324</v>
      </c>
      <c r="D61" s="128" t="s">
        <v>271</v>
      </c>
      <c r="E61" s="130">
        <v>1.3784722222222221</v>
      </c>
      <c r="F61" s="128" t="s">
        <v>48</v>
      </c>
      <c r="G61" s="131">
        <v>4</v>
      </c>
      <c r="H61" s="128" t="s">
        <v>320</v>
      </c>
    </row>
    <row r="62" spans="1:8" ht="18" x14ac:dyDescent="0.3">
      <c r="A62" s="127">
        <v>45985</v>
      </c>
      <c r="B62" s="128" t="s">
        <v>63</v>
      </c>
      <c r="C62" s="129" t="s">
        <v>325</v>
      </c>
      <c r="D62" s="128" t="s">
        <v>271</v>
      </c>
      <c r="E62" s="130">
        <v>1.7847222222222221</v>
      </c>
      <c r="F62" s="128" t="s">
        <v>48</v>
      </c>
      <c r="G62" s="131">
        <v>1</v>
      </c>
      <c r="H62" s="128" t="s">
        <v>320</v>
      </c>
    </row>
    <row r="63" spans="1:8" ht="18" x14ac:dyDescent="0.3">
      <c r="A63" s="127">
        <v>45985</v>
      </c>
      <c r="B63" s="128" t="s">
        <v>63</v>
      </c>
      <c r="C63" s="129" t="s">
        <v>326</v>
      </c>
      <c r="D63" s="128" t="s">
        <v>271</v>
      </c>
      <c r="E63" s="130">
        <v>1.600694444444444</v>
      </c>
      <c r="F63" s="128" t="s">
        <v>48</v>
      </c>
      <c r="G63" s="131">
        <v>4</v>
      </c>
      <c r="H63" s="128" t="s">
        <v>320</v>
      </c>
    </row>
    <row r="64" spans="1:8" ht="18" x14ac:dyDescent="0.3">
      <c r="A64" s="127">
        <v>45985</v>
      </c>
      <c r="B64" s="128" t="s">
        <v>63</v>
      </c>
      <c r="C64" s="129" t="s">
        <v>327</v>
      </c>
      <c r="D64" s="128" t="s">
        <v>271</v>
      </c>
      <c r="E64" s="130">
        <v>1.0486111111111109</v>
      </c>
      <c r="F64" s="128" t="s">
        <v>48</v>
      </c>
      <c r="G64" s="131">
        <v>3</v>
      </c>
      <c r="H64" s="128" t="s">
        <v>320</v>
      </c>
    </row>
    <row r="65" spans="1:8" ht="18" x14ac:dyDescent="0.3">
      <c r="A65" s="136">
        <v>45985</v>
      </c>
      <c r="B65" s="137" t="s">
        <v>71</v>
      </c>
      <c r="C65" s="138" t="s">
        <v>328</v>
      </c>
      <c r="D65" s="137" t="s">
        <v>271</v>
      </c>
      <c r="E65" s="139">
        <v>1.2465277777777779</v>
      </c>
      <c r="F65" s="137" t="s">
        <v>73</v>
      </c>
      <c r="G65" s="137"/>
      <c r="H65" s="137" t="s">
        <v>74</v>
      </c>
    </row>
    <row r="66" spans="1:8" ht="18" x14ac:dyDescent="0.3">
      <c r="A66" s="141">
        <v>45985</v>
      </c>
      <c r="B66" s="142" t="s">
        <v>71</v>
      </c>
      <c r="C66" s="143" t="s">
        <v>330</v>
      </c>
      <c r="D66" s="142" t="s">
        <v>271</v>
      </c>
      <c r="E66" s="144">
        <v>1.4375</v>
      </c>
      <c r="F66" s="142" t="s">
        <v>73</v>
      </c>
      <c r="G66" s="142"/>
      <c r="H66" s="142" t="s">
        <v>74</v>
      </c>
    </row>
    <row r="67" spans="1:8" ht="18" x14ac:dyDescent="0.3">
      <c r="A67" s="232">
        <v>45985</v>
      </c>
      <c r="B67" s="233" t="s">
        <v>71</v>
      </c>
      <c r="C67" s="234" t="s">
        <v>332</v>
      </c>
      <c r="D67" s="233" t="s">
        <v>271</v>
      </c>
      <c r="E67" s="235">
        <v>1.802083333333333</v>
      </c>
      <c r="F67" s="233" t="s">
        <v>73</v>
      </c>
      <c r="G67" s="233"/>
      <c r="H67" s="233" t="s">
        <v>74</v>
      </c>
    </row>
    <row r="68" spans="1:8" ht="18" x14ac:dyDescent="0.3">
      <c r="A68" s="115">
        <v>45986</v>
      </c>
      <c r="B68" s="116" t="s">
        <v>25</v>
      </c>
      <c r="C68" s="117" t="s">
        <v>278</v>
      </c>
      <c r="D68" s="116" t="s">
        <v>271</v>
      </c>
      <c r="E68" s="118">
        <v>1.399305555555556</v>
      </c>
      <c r="F68" s="116" t="s">
        <v>27</v>
      </c>
      <c r="G68" s="119">
        <v>1</v>
      </c>
      <c r="H68" s="120" t="s">
        <v>275</v>
      </c>
    </row>
    <row r="69" spans="1:8" ht="18" x14ac:dyDescent="0.3">
      <c r="A69" s="121">
        <v>45986</v>
      </c>
      <c r="B69" s="122" t="s">
        <v>25</v>
      </c>
      <c r="C69" s="123" t="s">
        <v>278</v>
      </c>
      <c r="D69" s="122" t="s">
        <v>271</v>
      </c>
      <c r="E69" s="124">
        <v>1.399305555555556</v>
      </c>
      <c r="F69" s="122" t="s">
        <v>30</v>
      </c>
      <c r="G69" s="125">
        <v>1</v>
      </c>
      <c r="H69" s="122" t="s">
        <v>276</v>
      </c>
    </row>
    <row r="70" spans="1:8" ht="18" x14ac:dyDescent="0.3">
      <c r="A70" s="121">
        <v>45986</v>
      </c>
      <c r="B70" s="122" t="s">
        <v>25</v>
      </c>
      <c r="C70" s="123" t="s">
        <v>278</v>
      </c>
      <c r="D70" s="122" t="s">
        <v>271</v>
      </c>
      <c r="E70" s="124">
        <v>1.399305555555556</v>
      </c>
      <c r="F70" s="122" t="s">
        <v>33</v>
      </c>
      <c r="G70" s="125">
        <v>1</v>
      </c>
      <c r="H70" s="122" t="s">
        <v>34</v>
      </c>
    </row>
    <row r="71" spans="1:8" ht="18" x14ac:dyDescent="0.3">
      <c r="A71" s="127">
        <v>45986</v>
      </c>
      <c r="B71" s="128" t="s">
        <v>25</v>
      </c>
      <c r="C71" s="129" t="s">
        <v>273</v>
      </c>
      <c r="D71" s="128" t="s">
        <v>271</v>
      </c>
      <c r="E71" s="130">
        <v>1.489583333333333</v>
      </c>
      <c r="F71" s="128" t="s">
        <v>27</v>
      </c>
      <c r="G71" s="131">
        <v>2</v>
      </c>
      <c r="H71" s="128" t="s">
        <v>293</v>
      </c>
    </row>
    <row r="72" spans="1:8" ht="18" x14ac:dyDescent="0.3">
      <c r="A72" s="121">
        <v>45986</v>
      </c>
      <c r="B72" s="122" t="s">
        <v>25</v>
      </c>
      <c r="C72" s="123" t="s">
        <v>273</v>
      </c>
      <c r="D72" s="122" t="s">
        <v>271</v>
      </c>
      <c r="E72" s="124">
        <v>1.489583333333333</v>
      </c>
      <c r="F72" s="122" t="s">
        <v>33</v>
      </c>
      <c r="G72" s="125">
        <v>2</v>
      </c>
      <c r="H72" s="122" t="s">
        <v>334</v>
      </c>
    </row>
    <row r="73" spans="1:8" ht="18" x14ac:dyDescent="0.3">
      <c r="A73" s="121">
        <v>45986</v>
      </c>
      <c r="B73" s="122" t="s">
        <v>25</v>
      </c>
      <c r="C73" s="123" t="s">
        <v>273</v>
      </c>
      <c r="D73" s="122" t="s">
        <v>271</v>
      </c>
      <c r="E73" s="124">
        <v>1.489583333333333</v>
      </c>
      <c r="F73" s="122" t="s">
        <v>30</v>
      </c>
      <c r="G73" s="125">
        <v>2</v>
      </c>
      <c r="H73" s="122" t="s">
        <v>335</v>
      </c>
    </row>
    <row r="74" spans="1:8" ht="18" x14ac:dyDescent="0.3">
      <c r="A74" s="127">
        <v>45986</v>
      </c>
      <c r="B74" s="128" t="s">
        <v>25</v>
      </c>
      <c r="C74" s="129" t="s">
        <v>277</v>
      </c>
      <c r="D74" s="128" t="s">
        <v>271</v>
      </c>
      <c r="E74" s="130">
        <v>1.8888888888888891</v>
      </c>
      <c r="F74" s="128" t="s">
        <v>27</v>
      </c>
      <c r="G74" s="131">
        <v>4</v>
      </c>
      <c r="H74" s="128" t="s">
        <v>79</v>
      </c>
    </row>
    <row r="75" spans="1:8" ht="18" x14ac:dyDescent="0.3">
      <c r="A75" s="121">
        <v>45986</v>
      </c>
      <c r="B75" s="122" t="s">
        <v>25</v>
      </c>
      <c r="C75" s="123" t="s">
        <v>277</v>
      </c>
      <c r="D75" s="122" t="s">
        <v>271</v>
      </c>
      <c r="E75" s="124">
        <v>1.8888888888888891</v>
      </c>
      <c r="F75" s="122" t="s">
        <v>30</v>
      </c>
      <c r="G75" s="125">
        <v>4</v>
      </c>
      <c r="H75" s="122" t="s">
        <v>279</v>
      </c>
    </row>
    <row r="76" spans="1:8" ht="18" x14ac:dyDescent="0.3">
      <c r="A76" s="121">
        <v>45986</v>
      </c>
      <c r="B76" s="122" t="s">
        <v>25</v>
      </c>
      <c r="C76" s="123" t="s">
        <v>277</v>
      </c>
      <c r="D76" s="122" t="s">
        <v>271</v>
      </c>
      <c r="E76" s="124">
        <v>1.8888888888888891</v>
      </c>
      <c r="F76" s="122" t="s">
        <v>33</v>
      </c>
      <c r="G76" s="125">
        <v>4</v>
      </c>
      <c r="H76" s="122" t="s">
        <v>34</v>
      </c>
    </row>
    <row r="77" spans="1:8" ht="18" x14ac:dyDescent="0.3">
      <c r="A77" s="127">
        <v>45986</v>
      </c>
      <c r="B77" s="128" t="s">
        <v>25</v>
      </c>
      <c r="C77" s="129" t="s">
        <v>272</v>
      </c>
      <c r="D77" s="128" t="s">
        <v>271</v>
      </c>
      <c r="E77" s="130">
        <v>1.989583333333333</v>
      </c>
      <c r="F77" s="128" t="s">
        <v>336</v>
      </c>
      <c r="G77" s="131">
        <v>1</v>
      </c>
      <c r="H77" s="128" t="s">
        <v>79</v>
      </c>
    </row>
    <row r="78" spans="1:8" ht="18" x14ac:dyDescent="0.3">
      <c r="A78" s="126">
        <v>45986</v>
      </c>
      <c r="B78" s="116" t="s">
        <v>280</v>
      </c>
      <c r="C78" s="117" t="s">
        <v>281</v>
      </c>
      <c r="D78" s="116" t="s">
        <v>271</v>
      </c>
      <c r="E78" s="118">
        <v>1.055555555555556</v>
      </c>
      <c r="F78" s="116" t="s">
        <v>282</v>
      </c>
      <c r="G78" s="119">
        <v>2</v>
      </c>
      <c r="H78" s="116" t="s">
        <v>337</v>
      </c>
    </row>
    <row r="79" spans="1:8" ht="18" x14ac:dyDescent="0.3">
      <c r="A79" s="121">
        <v>45986</v>
      </c>
      <c r="B79" s="122" t="s">
        <v>280</v>
      </c>
      <c r="C79" s="123" t="s">
        <v>281</v>
      </c>
      <c r="D79" s="122" t="s">
        <v>271</v>
      </c>
      <c r="E79" s="124">
        <v>1.055555555555556</v>
      </c>
      <c r="F79" s="122" t="s">
        <v>33</v>
      </c>
      <c r="G79" s="125">
        <v>2</v>
      </c>
      <c r="H79" s="122" t="s">
        <v>338</v>
      </c>
    </row>
    <row r="80" spans="1:8" ht="18" x14ac:dyDescent="0.3">
      <c r="A80" s="126">
        <v>45986</v>
      </c>
      <c r="B80" s="116" t="s">
        <v>54</v>
      </c>
      <c r="C80" s="117" t="s">
        <v>299</v>
      </c>
      <c r="D80" s="116" t="s">
        <v>271</v>
      </c>
      <c r="E80" s="118">
        <v>1.3472222222222221</v>
      </c>
      <c r="F80" s="116" t="s">
        <v>56</v>
      </c>
      <c r="G80" s="119">
        <v>1</v>
      </c>
      <c r="H80" s="116" t="s">
        <v>293</v>
      </c>
    </row>
    <row r="81" spans="1:8" ht="18" x14ac:dyDescent="0.3">
      <c r="A81" s="121">
        <v>45986</v>
      </c>
      <c r="B81" s="122" t="s">
        <v>54</v>
      </c>
      <c r="C81" s="123" t="s">
        <v>299</v>
      </c>
      <c r="D81" s="122" t="s">
        <v>271</v>
      </c>
      <c r="E81" s="124">
        <v>1.3472222222222221</v>
      </c>
      <c r="F81" s="122" t="s">
        <v>58</v>
      </c>
      <c r="G81" s="125">
        <v>1</v>
      </c>
      <c r="H81" s="122" t="s">
        <v>276</v>
      </c>
    </row>
    <row r="82" spans="1:8" ht="18" x14ac:dyDescent="0.3">
      <c r="A82" s="121">
        <v>45986</v>
      </c>
      <c r="B82" s="122" t="s">
        <v>54</v>
      </c>
      <c r="C82" s="123" t="s">
        <v>299</v>
      </c>
      <c r="D82" s="122" t="s">
        <v>271</v>
      </c>
      <c r="E82" s="124">
        <v>1.3472222222222221</v>
      </c>
      <c r="F82" s="122" t="s">
        <v>60</v>
      </c>
      <c r="G82" s="125">
        <v>1</v>
      </c>
      <c r="H82" s="122" t="s">
        <v>117</v>
      </c>
    </row>
    <row r="83" spans="1:8" ht="18" x14ac:dyDescent="0.3">
      <c r="A83" s="127">
        <v>45986</v>
      </c>
      <c r="B83" s="128" t="s">
        <v>54</v>
      </c>
      <c r="C83" s="129" t="s">
        <v>291</v>
      </c>
      <c r="D83" s="128" t="s">
        <v>271</v>
      </c>
      <c r="E83" s="130">
        <v>1.993055555555556</v>
      </c>
      <c r="F83" s="128" t="s">
        <v>56</v>
      </c>
      <c r="G83" s="131">
        <v>8</v>
      </c>
      <c r="H83" s="128" t="s">
        <v>293</v>
      </c>
    </row>
    <row r="84" spans="1:8" ht="18" x14ac:dyDescent="0.3">
      <c r="A84" s="121">
        <v>45986</v>
      </c>
      <c r="B84" s="122" t="s">
        <v>54</v>
      </c>
      <c r="C84" s="123" t="s">
        <v>291</v>
      </c>
      <c r="D84" s="122" t="s">
        <v>271</v>
      </c>
      <c r="E84" s="124">
        <v>1.993055555555556</v>
      </c>
      <c r="F84" s="122" t="s">
        <v>58</v>
      </c>
      <c r="G84" s="125">
        <v>8</v>
      </c>
      <c r="H84" s="122" t="s">
        <v>276</v>
      </c>
    </row>
    <row r="85" spans="1:8" ht="18" x14ac:dyDescent="0.3">
      <c r="A85" s="121">
        <v>45986</v>
      </c>
      <c r="B85" s="122" t="s">
        <v>54</v>
      </c>
      <c r="C85" s="123" t="s">
        <v>291</v>
      </c>
      <c r="D85" s="122" t="s">
        <v>271</v>
      </c>
      <c r="E85" s="124">
        <v>1.993055555555556</v>
      </c>
      <c r="F85" s="122" t="s">
        <v>60</v>
      </c>
      <c r="G85" s="125">
        <v>8</v>
      </c>
      <c r="H85" s="122" t="s">
        <v>117</v>
      </c>
    </row>
    <row r="86" spans="1:8" ht="18" x14ac:dyDescent="0.3">
      <c r="A86" s="127">
        <v>45986</v>
      </c>
      <c r="B86" s="128" t="s">
        <v>54</v>
      </c>
      <c r="C86" s="129" t="s">
        <v>295</v>
      </c>
      <c r="D86" s="128" t="s">
        <v>271</v>
      </c>
      <c r="E86" s="130">
        <v>1.944444444444444</v>
      </c>
      <c r="F86" s="128" t="s">
        <v>56</v>
      </c>
      <c r="G86" s="131">
        <v>5</v>
      </c>
      <c r="H86" s="128" t="s">
        <v>293</v>
      </c>
    </row>
    <row r="87" spans="1:8" ht="18" x14ac:dyDescent="0.3">
      <c r="A87" s="121">
        <v>45986</v>
      </c>
      <c r="B87" s="122" t="s">
        <v>54</v>
      </c>
      <c r="C87" s="123" t="s">
        <v>295</v>
      </c>
      <c r="D87" s="122" t="s">
        <v>271</v>
      </c>
      <c r="E87" s="124">
        <v>1.944444444444444</v>
      </c>
      <c r="F87" s="122" t="s">
        <v>58</v>
      </c>
      <c r="G87" s="125">
        <v>5</v>
      </c>
      <c r="H87" s="122" t="s">
        <v>276</v>
      </c>
    </row>
    <row r="88" spans="1:8" ht="18" x14ac:dyDescent="0.3">
      <c r="A88" s="121">
        <v>45986</v>
      </c>
      <c r="B88" s="122" t="s">
        <v>54</v>
      </c>
      <c r="C88" s="123" t="s">
        <v>295</v>
      </c>
      <c r="D88" s="122" t="s">
        <v>271</v>
      </c>
      <c r="E88" s="124">
        <v>1.944444444444444</v>
      </c>
      <c r="F88" s="122" t="s">
        <v>60</v>
      </c>
      <c r="G88" s="125">
        <v>5</v>
      </c>
      <c r="H88" s="122" t="s">
        <v>117</v>
      </c>
    </row>
    <row r="89" spans="1:8" ht="18" x14ac:dyDescent="0.3">
      <c r="A89" s="127">
        <v>45986</v>
      </c>
      <c r="B89" s="128" t="s">
        <v>54</v>
      </c>
      <c r="C89" s="129" t="s">
        <v>296</v>
      </c>
      <c r="D89" s="128" t="s">
        <v>271</v>
      </c>
      <c r="E89" s="130">
        <v>1.4861111111111109</v>
      </c>
      <c r="F89" s="128" t="s">
        <v>56</v>
      </c>
      <c r="G89" s="131">
        <v>7</v>
      </c>
      <c r="H89" s="128" t="s">
        <v>293</v>
      </c>
    </row>
    <row r="90" spans="1:8" ht="18" x14ac:dyDescent="0.3">
      <c r="A90" s="121">
        <v>45986</v>
      </c>
      <c r="B90" s="122" t="s">
        <v>54</v>
      </c>
      <c r="C90" s="123" t="s">
        <v>296</v>
      </c>
      <c r="D90" s="122" t="s">
        <v>271</v>
      </c>
      <c r="E90" s="124">
        <v>1.4861111111111109</v>
      </c>
      <c r="F90" s="122" t="s">
        <v>58</v>
      </c>
      <c r="G90" s="125">
        <v>7</v>
      </c>
      <c r="H90" s="122" t="s">
        <v>276</v>
      </c>
    </row>
    <row r="91" spans="1:8" ht="18" x14ac:dyDescent="0.3">
      <c r="A91" s="121">
        <v>45986</v>
      </c>
      <c r="B91" s="122" t="s">
        <v>54</v>
      </c>
      <c r="C91" s="123" t="s">
        <v>296</v>
      </c>
      <c r="D91" s="122" t="s">
        <v>271</v>
      </c>
      <c r="E91" s="124">
        <v>1.4861111111111109</v>
      </c>
      <c r="F91" s="122" t="s">
        <v>60</v>
      </c>
      <c r="G91" s="125">
        <v>7</v>
      </c>
      <c r="H91" s="122" t="s">
        <v>117</v>
      </c>
    </row>
    <row r="92" spans="1:8" ht="18" x14ac:dyDescent="0.3">
      <c r="A92" s="127">
        <v>45986</v>
      </c>
      <c r="B92" s="128" t="s">
        <v>54</v>
      </c>
      <c r="C92" s="129" t="s">
        <v>297</v>
      </c>
      <c r="D92" s="128" t="s">
        <v>271</v>
      </c>
      <c r="E92" s="130">
        <v>1.3923611111111109</v>
      </c>
      <c r="F92" s="128" t="s">
        <v>56</v>
      </c>
      <c r="G92" s="131">
        <v>7</v>
      </c>
      <c r="H92" s="128" t="s">
        <v>293</v>
      </c>
    </row>
    <row r="93" spans="1:8" ht="18" x14ac:dyDescent="0.3">
      <c r="A93" s="121">
        <v>45986</v>
      </c>
      <c r="B93" s="122" t="s">
        <v>54</v>
      </c>
      <c r="C93" s="123" t="s">
        <v>297</v>
      </c>
      <c r="D93" s="122" t="s">
        <v>271</v>
      </c>
      <c r="E93" s="124">
        <v>1.3923611111111109</v>
      </c>
      <c r="F93" s="122" t="s">
        <v>58</v>
      </c>
      <c r="G93" s="125">
        <v>7</v>
      </c>
      <c r="H93" s="122" t="s">
        <v>276</v>
      </c>
    </row>
    <row r="94" spans="1:8" ht="18" x14ac:dyDescent="0.3">
      <c r="A94" s="121">
        <v>45986</v>
      </c>
      <c r="B94" s="122" t="s">
        <v>54</v>
      </c>
      <c r="C94" s="123" t="s">
        <v>297</v>
      </c>
      <c r="D94" s="122" t="s">
        <v>271</v>
      </c>
      <c r="E94" s="124">
        <v>1.3923611111111109</v>
      </c>
      <c r="F94" s="122" t="s">
        <v>60</v>
      </c>
      <c r="G94" s="125">
        <v>7</v>
      </c>
      <c r="H94" s="122" t="s">
        <v>117</v>
      </c>
    </row>
    <row r="95" spans="1:8" ht="18" x14ac:dyDescent="0.3">
      <c r="A95" s="127">
        <v>45986</v>
      </c>
      <c r="B95" s="128" t="s">
        <v>54</v>
      </c>
      <c r="C95" s="129" t="s">
        <v>298</v>
      </c>
      <c r="D95" s="128" t="s">
        <v>271</v>
      </c>
      <c r="E95" s="130">
        <v>1.8888888888888891</v>
      </c>
      <c r="F95" s="128" t="s">
        <v>56</v>
      </c>
      <c r="G95" s="131">
        <v>2</v>
      </c>
      <c r="H95" s="128" t="s">
        <v>293</v>
      </c>
    </row>
    <row r="96" spans="1:8" ht="18" x14ac:dyDescent="0.3">
      <c r="A96" s="121">
        <v>45986</v>
      </c>
      <c r="B96" s="122" t="s">
        <v>54</v>
      </c>
      <c r="C96" s="123" t="s">
        <v>298</v>
      </c>
      <c r="D96" s="122" t="s">
        <v>271</v>
      </c>
      <c r="E96" s="124">
        <v>1.8888888888888891</v>
      </c>
      <c r="F96" s="122" t="s">
        <v>58</v>
      </c>
      <c r="G96" s="125">
        <v>2</v>
      </c>
      <c r="H96" s="122" t="s">
        <v>276</v>
      </c>
    </row>
    <row r="97" spans="1:8" ht="18" x14ac:dyDescent="0.3">
      <c r="A97" s="121">
        <v>45986</v>
      </c>
      <c r="B97" s="122" t="s">
        <v>54</v>
      </c>
      <c r="C97" s="123" t="s">
        <v>298</v>
      </c>
      <c r="D97" s="122" t="s">
        <v>271</v>
      </c>
      <c r="E97" s="124">
        <v>1.8888888888888891</v>
      </c>
      <c r="F97" s="122" t="s">
        <v>60</v>
      </c>
      <c r="G97" s="125">
        <v>2</v>
      </c>
      <c r="H97" s="122" t="s">
        <v>117</v>
      </c>
    </row>
    <row r="98" spans="1:8" ht="18" x14ac:dyDescent="0.3">
      <c r="A98" s="127">
        <v>45986</v>
      </c>
      <c r="B98" s="128" t="s">
        <v>54</v>
      </c>
      <c r="C98" s="129" t="s">
        <v>301</v>
      </c>
      <c r="D98" s="128" t="s">
        <v>271</v>
      </c>
      <c r="E98" s="130">
        <v>1.7361111111111109</v>
      </c>
      <c r="F98" s="128" t="s">
        <v>56</v>
      </c>
      <c r="G98" s="131">
        <v>8</v>
      </c>
      <c r="H98" s="128" t="s">
        <v>276</v>
      </c>
    </row>
    <row r="99" spans="1:8" ht="18" x14ac:dyDescent="0.3">
      <c r="A99" s="121">
        <v>45986</v>
      </c>
      <c r="B99" s="122" t="s">
        <v>54</v>
      </c>
      <c r="C99" s="123" t="s">
        <v>301</v>
      </c>
      <c r="D99" s="122" t="s">
        <v>271</v>
      </c>
      <c r="E99" s="124">
        <v>1.7361111111111109</v>
      </c>
      <c r="F99" s="122" t="s">
        <v>58</v>
      </c>
      <c r="G99" s="125">
        <v>8</v>
      </c>
      <c r="H99" s="122" t="s">
        <v>279</v>
      </c>
    </row>
    <row r="100" spans="1:8" ht="18" x14ac:dyDescent="0.3">
      <c r="A100" s="121">
        <v>45986</v>
      </c>
      <c r="B100" s="122" t="s">
        <v>54</v>
      </c>
      <c r="C100" s="123" t="s">
        <v>301</v>
      </c>
      <c r="D100" s="122" t="s">
        <v>271</v>
      </c>
      <c r="E100" s="124">
        <v>1.7361111111111109</v>
      </c>
      <c r="F100" s="122" t="s">
        <v>60</v>
      </c>
      <c r="G100" s="125">
        <v>8</v>
      </c>
      <c r="H100" s="122" t="s">
        <v>300</v>
      </c>
    </row>
    <row r="101" spans="1:8" ht="18" x14ac:dyDescent="0.3">
      <c r="A101" s="127">
        <v>45986</v>
      </c>
      <c r="B101" s="128" t="s">
        <v>54</v>
      </c>
      <c r="C101" s="129" t="s">
        <v>294</v>
      </c>
      <c r="D101" s="128" t="s">
        <v>271</v>
      </c>
      <c r="E101" s="130">
        <v>1.836805555555556</v>
      </c>
      <c r="F101" s="128" t="s">
        <v>56</v>
      </c>
      <c r="G101" s="131">
        <v>9</v>
      </c>
      <c r="H101" s="128" t="s">
        <v>276</v>
      </c>
    </row>
    <row r="102" spans="1:8" ht="18" x14ac:dyDescent="0.3">
      <c r="A102" s="121">
        <v>45986</v>
      </c>
      <c r="B102" s="122" t="s">
        <v>54</v>
      </c>
      <c r="C102" s="123" t="s">
        <v>294</v>
      </c>
      <c r="D102" s="122" t="s">
        <v>271</v>
      </c>
      <c r="E102" s="124">
        <v>1.836805555555556</v>
      </c>
      <c r="F102" s="122" t="s">
        <v>58</v>
      </c>
      <c r="G102" s="125">
        <v>9</v>
      </c>
      <c r="H102" s="122" t="s">
        <v>279</v>
      </c>
    </row>
    <row r="103" spans="1:8" ht="18" x14ac:dyDescent="0.3">
      <c r="A103" s="121">
        <v>45986</v>
      </c>
      <c r="B103" s="122" t="s">
        <v>54</v>
      </c>
      <c r="C103" s="123" t="s">
        <v>294</v>
      </c>
      <c r="D103" s="122" t="s">
        <v>271</v>
      </c>
      <c r="E103" s="124">
        <v>1.836805555555556</v>
      </c>
      <c r="F103" s="122" t="s">
        <v>60</v>
      </c>
      <c r="G103" s="125">
        <v>9</v>
      </c>
      <c r="H103" s="122" t="s">
        <v>300</v>
      </c>
    </row>
    <row r="104" spans="1:8" ht="18" x14ac:dyDescent="0.3">
      <c r="A104" s="136">
        <v>45986</v>
      </c>
      <c r="B104" s="137" t="s">
        <v>71</v>
      </c>
      <c r="C104" s="138" t="s">
        <v>340</v>
      </c>
      <c r="D104" s="137" t="s">
        <v>271</v>
      </c>
      <c r="E104" s="139">
        <v>1.052083333333333</v>
      </c>
      <c r="F104" s="137" t="s">
        <v>81</v>
      </c>
      <c r="G104" s="140">
        <v>1</v>
      </c>
      <c r="H104" s="137" t="s">
        <v>341</v>
      </c>
    </row>
    <row r="105" spans="1:8" ht="18" x14ac:dyDescent="0.3">
      <c r="A105" s="141">
        <v>45986</v>
      </c>
      <c r="B105" s="142" t="s">
        <v>71</v>
      </c>
      <c r="C105" s="143" t="s">
        <v>344</v>
      </c>
      <c r="D105" s="142" t="s">
        <v>271</v>
      </c>
      <c r="E105" s="144">
        <v>1.791666666666667</v>
      </c>
      <c r="F105" s="142" t="s">
        <v>81</v>
      </c>
      <c r="G105" s="236">
        <v>2</v>
      </c>
      <c r="H105" s="142" t="s">
        <v>341</v>
      </c>
    </row>
    <row r="106" spans="1:8" ht="18" x14ac:dyDescent="0.3">
      <c r="A106" s="141">
        <v>45986</v>
      </c>
      <c r="B106" s="142" t="s">
        <v>71</v>
      </c>
      <c r="C106" s="143" t="s">
        <v>347</v>
      </c>
      <c r="D106" s="142" t="s">
        <v>271</v>
      </c>
      <c r="E106" s="144">
        <v>1.381944444444444</v>
      </c>
      <c r="F106" s="142" t="s">
        <v>73</v>
      </c>
      <c r="G106" s="142"/>
      <c r="H106" s="142" t="s">
        <v>74</v>
      </c>
    </row>
    <row r="107" spans="1:8" ht="18" x14ac:dyDescent="0.3">
      <c r="A107" s="141">
        <v>45986</v>
      </c>
      <c r="B107" s="142" t="s">
        <v>71</v>
      </c>
      <c r="C107" s="143" t="s">
        <v>330</v>
      </c>
      <c r="D107" s="142" t="s">
        <v>271</v>
      </c>
      <c r="E107" s="144">
        <v>1.4375</v>
      </c>
      <c r="F107" s="142" t="s">
        <v>73</v>
      </c>
      <c r="G107" s="142"/>
      <c r="H107" s="142" t="s">
        <v>74</v>
      </c>
    </row>
    <row r="108" spans="1:8" ht="18" x14ac:dyDescent="0.3">
      <c r="A108" s="141">
        <v>45986</v>
      </c>
      <c r="B108" s="142" t="s">
        <v>71</v>
      </c>
      <c r="C108" s="143" t="s">
        <v>332</v>
      </c>
      <c r="D108" s="142" t="s">
        <v>271</v>
      </c>
      <c r="E108" s="144">
        <v>1.552083333333333</v>
      </c>
      <c r="F108" s="142" t="s">
        <v>73</v>
      </c>
      <c r="G108" s="142"/>
      <c r="H108" s="142" t="s">
        <v>74</v>
      </c>
    </row>
    <row r="109" spans="1:8" ht="18" x14ac:dyDescent="0.3">
      <c r="A109" s="141">
        <v>45986</v>
      </c>
      <c r="B109" s="142" t="s">
        <v>71</v>
      </c>
      <c r="C109" s="143" t="s">
        <v>351</v>
      </c>
      <c r="D109" s="142" t="s">
        <v>271</v>
      </c>
      <c r="E109" s="144">
        <v>1.756944444444444</v>
      </c>
      <c r="F109" s="142" t="s">
        <v>73</v>
      </c>
      <c r="G109" s="142"/>
      <c r="H109" s="142" t="s">
        <v>74</v>
      </c>
    </row>
    <row r="110" spans="1:8" ht="18" x14ac:dyDescent="0.3">
      <c r="A110" s="126">
        <v>45986</v>
      </c>
      <c r="B110" s="116" t="s">
        <v>285</v>
      </c>
      <c r="C110" s="117" t="s">
        <v>286</v>
      </c>
      <c r="D110" s="116" t="s">
        <v>271</v>
      </c>
      <c r="E110" s="118">
        <v>1.493055555555556</v>
      </c>
      <c r="F110" s="116" t="s">
        <v>81</v>
      </c>
      <c r="G110" s="119">
        <v>9</v>
      </c>
      <c r="H110" s="116" t="s">
        <v>353</v>
      </c>
    </row>
    <row r="111" spans="1:8" ht="18" x14ac:dyDescent="0.3">
      <c r="A111" s="127">
        <v>45986</v>
      </c>
      <c r="B111" s="128" t="s">
        <v>285</v>
      </c>
      <c r="C111" s="129" t="s">
        <v>288</v>
      </c>
      <c r="D111" s="128" t="s">
        <v>271</v>
      </c>
      <c r="E111" s="130">
        <v>1.1875</v>
      </c>
      <c r="F111" s="128" t="s">
        <v>81</v>
      </c>
      <c r="G111" s="131">
        <v>3</v>
      </c>
      <c r="H111" s="128" t="s">
        <v>101</v>
      </c>
    </row>
    <row r="112" spans="1:8" ht="18" x14ac:dyDescent="0.3">
      <c r="A112" s="126">
        <v>45986</v>
      </c>
      <c r="B112" s="116" t="s">
        <v>35</v>
      </c>
      <c r="C112" s="117" t="s">
        <v>315</v>
      </c>
      <c r="D112" s="116" t="s">
        <v>271</v>
      </c>
      <c r="E112" s="118">
        <v>1.9409722222222221</v>
      </c>
      <c r="F112" s="116" t="s">
        <v>42</v>
      </c>
      <c r="G112" s="119">
        <v>4</v>
      </c>
      <c r="H112" s="116" t="s">
        <v>303</v>
      </c>
    </row>
    <row r="113" spans="1:8" ht="18" x14ac:dyDescent="0.3">
      <c r="A113" s="127">
        <v>45986</v>
      </c>
      <c r="B113" s="128" t="s">
        <v>35</v>
      </c>
      <c r="C113" s="129" t="s">
        <v>304</v>
      </c>
      <c r="D113" s="128" t="s">
        <v>271</v>
      </c>
      <c r="E113" s="130">
        <v>1.399305555555556</v>
      </c>
      <c r="F113" s="128" t="s">
        <v>42</v>
      </c>
      <c r="G113" s="131">
        <v>4</v>
      </c>
      <c r="H113" s="128" t="s">
        <v>307</v>
      </c>
    </row>
    <row r="114" spans="1:8" ht="18" x14ac:dyDescent="0.3">
      <c r="A114" s="127">
        <v>45986</v>
      </c>
      <c r="B114" s="128" t="s">
        <v>35</v>
      </c>
      <c r="C114" s="129" t="s">
        <v>308</v>
      </c>
      <c r="D114" s="128" t="s">
        <v>271</v>
      </c>
      <c r="E114" s="130">
        <v>1.489583333333333</v>
      </c>
      <c r="F114" s="128" t="s">
        <v>42</v>
      </c>
      <c r="G114" s="131">
        <v>4</v>
      </c>
      <c r="H114" s="128" t="s">
        <v>307</v>
      </c>
    </row>
    <row r="115" spans="1:8" ht="18" x14ac:dyDescent="0.3">
      <c r="A115" s="127">
        <v>45986</v>
      </c>
      <c r="B115" s="128" t="s">
        <v>35</v>
      </c>
      <c r="C115" s="129" t="s">
        <v>309</v>
      </c>
      <c r="D115" s="128" t="s">
        <v>271</v>
      </c>
      <c r="E115" s="130">
        <v>1.8888888888888891</v>
      </c>
      <c r="F115" s="128" t="s">
        <v>42</v>
      </c>
      <c r="G115" s="131">
        <v>4</v>
      </c>
      <c r="H115" s="128" t="s">
        <v>307</v>
      </c>
    </row>
    <row r="116" spans="1:8" ht="18" x14ac:dyDescent="0.3">
      <c r="A116" s="127">
        <v>45986</v>
      </c>
      <c r="B116" s="128" t="s">
        <v>35</v>
      </c>
      <c r="C116" s="129" t="s">
        <v>316</v>
      </c>
      <c r="D116" s="128" t="s">
        <v>271</v>
      </c>
      <c r="E116" s="130">
        <v>1.489583333333333</v>
      </c>
      <c r="F116" s="128" t="s">
        <v>42</v>
      </c>
      <c r="G116" s="131">
        <v>5</v>
      </c>
      <c r="H116" s="128" t="s">
        <v>311</v>
      </c>
    </row>
    <row r="117" spans="1:8" ht="18" x14ac:dyDescent="0.3">
      <c r="A117" s="127">
        <v>45986</v>
      </c>
      <c r="B117" s="128" t="s">
        <v>35</v>
      </c>
      <c r="C117" s="129" t="s">
        <v>302</v>
      </c>
      <c r="D117" s="128" t="s">
        <v>271</v>
      </c>
      <c r="E117" s="130">
        <v>1.118055555555556</v>
      </c>
      <c r="F117" s="128" t="s">
        <v>42</v>
      </c>
      <c r="G117" s="131">
        <v>2</v>
      </c>
      <c r="H117" s="128" t="s">
        <v>311</v>
      </c>
    </row>
    <row r="118" spans="1:8" ht="18" x14ac:dyDescent="0.3">
      <c r="A118" s="127">
        <v>45986</v>
      </c>
      <c r="B118" s="128" t="s">
        <v>35</v>
      </c>
      <c r="C118" s="129" t="s">
        <v>313</v>
      </c>
      <c r="D118" s="128" t="s">
        <v>271</v>
      </c>
      <c r="E118" s="130">
        <v>1.2534722222222221</v>
      </c>
      <c r="F118" s="128" t="s">
        <v>42</v>
      </c>
      <c r="G118" s="131">
        <v>7</v>
      </c>
      <c r="H118" s="128" t="s">
        <v>311</v>
      </c>
    </row>
    <row r="119" spans="1:8" ht="18" x14ac:dyDescent="0.3">
      <c r="A119" s="127">
        <v>45986</v>
      </c>
      <c r="B119" s="128" t="s">
        <v>35</v>
      </c>
      <c r="C119" s="129" t="s">
        <v>314</v>
      </c>
      <c r="D119" s="128" t="s">
        <v>271</v>
      </c>
      <c r="E119" s="130">
        <v>1.041666666666667</v>
      </c>
      <c r="F119" s="128" t="s">
        <v>42</v>
      </c>
      <c r="G119" s="131">
        <v>1</v>
      </c>
      <c r="H119" s="128" t="s">
        <v>311</v>
      </c>
    </row>
    <row r="120" spans="1:8" ht="18" x14ac:dyDescent="0.3">
      <c r="A120" s="127">
        <v>45986</v>
      </c>
      <c r="B120" s="128" t="s">
        <v>35</v>
      </c>
      <c r="C120" s="129" t="s">
        <v>318</v>
      </c>
      <c r="D120" s="128" t="s">
        <v>271</v>
      </c>
      <c r="E120" s="130">
        <v>1.7222222222222221</v>
      </c>
      <c r="F120" s="128" t="s">
        <v>42</v>
      </c>
      <c r="G120" s="131">
        <v>6</v>
      </c>
      <c r="H120" s="128" t="s">
        <v>317</v>
      </c>
    </row>
    <row r="121" spans="1:8" ht="18" x14ac:dyDescent="0.3">
      <c r="A121" s="127">
        <v>45986</v>
      </c>
      <c r="B121" s="128" t="s">
        <v>35</v>
      </c>
      <c r="C121" s="129" t="s">
        <v>312</v>
      </c>
      <c r="D121" s="128" t="s">
        <v>271</v>
      </c>
      <c r="E121" s="130">
        <v>1.7013888888888891</v>
      </c>
      <c r="F121" s="128" t="s">
        <v>42</v>
      </c>
      <c r="G121" s="131">
        <v>2</v>
      </c>
      <c r="H121" s="128" t="s">
        <v>317</v>
      </c>
    </row>
    <row r="122" spans="1:8" ht="18" x14ac:dyDescent="0.3">
      <c r="A122" s="127">
        <v>45986</v>
      </c>
      <c r="B122" s="128" t="s">
        <v>35</v>
      </c>
      <c r="C122" s="129" t="s">
        <v>306</v>
      </c>
      <c r="D122" s="128" t="s">
        <v>271</v>
      </c>
      <c r="E122" s="130">
        <v>1.989583333333333</v>
      </c>
      <c r="F122" s="128" t="s">
        <v>42</v>
      </c>
      <c r="G122" s="131">
        <v>4</v>
      </c>
      <c r="H122" s="128" t="s">
        <v>354</v>
      </c>
    </row>
    <row r="123" spans="1:8" ht="18" x14ac:dyDescent="0.3">
      <c r="A123" s="126">
        <v>45986</v>
      </c>
      <c r="B123" s="116" t="s">
        <v>63</v>
      </c>
      <c r="C123" s="117" t="s">
        <v>322</v>
      </c>
      <c r="D123" s="116" t="s">
        <v>271</v>
      </c>
      <c r="E123" s="118">
        <v>1.9722222222222221</v>
      </c>
      <c r="F123" s="116" t="s">
        <v>48</v>
      </c>
      <c r="G123" s="119">
        <v>9</v>
      </c>
      <c r="H123" s="116" t="s">
        <v>355</v>
      </c>
    </row>
    <row r="124" spans="1:8" ht="18" x14ac:dyDescent="0.3">
      <c r="A124" s="127">
        <v>45986</v>
      </c>
      <c r="B124" s="128" t="s">
        <v>63</v>
      </c>
      <c r="C124" s="129" t="s">
        <v>319</v>
      </c>
      <c r="D124" s="128" t="s">
        <v>271</v>
      </c>
      <c r="E124" s="130">
        <v>1.836805555555556</v>
      </c>
      <c r="F124" s="128" t="s">
        <v>48</v>
      </c>
      <c r="G124" s="131">
        <v>9</v>
      </c>
      <c r="H124" s="128" t="s">
        <v>320</v>
      </c>
    </row>
    <row r="125" spans="1:8" ht="18" x14ac:dyDescent="0.3">
      <c r="A125" s="127">
        <v>45986</v>
      </c>
      <c r="B125" s="128" t="s">
        <v>63</v>
      </c>
      <c r="C125" s="129" t="s">
        <v>325</v>
      </c>
      <c r="D125" s="128" t="s">
        <v>271</v>
      </c>
      <c r="E125" s="130">
        <v>1.7847222222222221</v>
      </c>
      <c r="F125" s="128" t="s">
        <v>48</v>
      </c>
      <c r="G125" s="131">
        <v>9</v>
      </c>
      <c r="H125" s="128" t="s">
        <v>320</v>
      </c>
    </row>
    <row r="126" spans="1:8" ht="18" x14ac:dyDescent="0.3">
      <c r="A126" s="150">
        <v>45986</v>
      </c>
      <c r="B126" s="151" t="s">
        <v>63</v>
      </c>
      <c r="C126" s="152" t="s">
        <v>327</v>
      </c>
      <c r="D126" s="151" t="s">
        <v>271</v>
      </c>
      <c r="E126" s="153">
        <v>1.0486111111111109</v>
      </c>
      <c r="F126" s="151" t="s">
        <v>48</v>
      </c>
      <c r="G126" s="154">
        <v>1</v>
      </c>
      <c r="H126" s="151" t="s">
        <v>320</v>
      </c>
    </row>
    <row r="127" spans="1:8" ht="18" x14ac:dyDescent="0.3">
      <c r="A127" s="115">
        <v>45987</v>
      </c>
      <c r="B127" s="116" t="s">
        <v>25</v>
      </c>
      <c r="C127" s="117" t="s">
        <v>278</v>
      </c>
      <c r="D127" s="116" t="s">
        <v>271</v>
      </c>
      <c r="E127" s="118">
        <v>1.399305555555556</v>
      </c>
      <c r="F127" s="116" t="s">
        <v>27</v>
      </c>
      <c r="G127" s="119">
        <v>4</v>
      </c>
      <c r="H127" s="120" t="s">
        <v>275</v>
      </c>
    </row>
    <row r="128" spans="1:8" ht="18" x14ac:dyDescent="0.3">
      <c r="A128" s="121">
        <v>45987</v>
      </c>
      <c r="B128" s="122" t="s">
        <v>25</v>
      </c>
      <c r="C128" s="123" t="s">
        <v>278</v>
      </c>
      <c r="D128" s="122" t="s">
        <v>271</v>
      </c>
      <c r="E128" s="124">
        <v>1.399305555555556</v>
      </c>
      <c r="F128" s="122" t="s">
        <v>33</v>
      </c>
      <c r="G128" s="125">
        <v>4</v>
      </c>
      <c r="H128" s="122" t="s">
        <v>79</v>
      </c>
    </row>
    <row r="129" spans="1:8" ht="18" x14ac:dyDescent="0.3">
      <c r="A129" s="121">
        <v>45987</v>
      </c>
      <c r="B129" s="122" t="s">
        <v>25</v>
      </c>
      <c r="C129" s="123" t="s">
        <v>278</v>
      </c>
      <c r="D129" s="122" t="s">
        <v>271</v>
      </c>
      <c r="E129" s="124">
        <v>1.399305555555556</v>
      </c>
      <c r="F129" s="122" t="s">
        <v>30</v>
      </c>
      <c r="G129" s="125">
        <v>4</v>
      </c>
      <c r="H129" s="122" t="s">
        <v>276</v>
      </c>
    </row>
    <row r="130" spans="1:8" ht="18" x14ac:dyDescent="0.3">
      <c r="A130" s="127">
        <v>45987</v>
      </c>
      <c r="B130" s="128" t="s">
        <v>25</v>
      </c>
      <c r="C130" s="129" t="s">
        <v>272</v>
      </c>
      <c r="D130" s="128" t="s">
        <v>271</v>
      </c>
      <c r="E130" s="130">
        <v>1.989583333333333</v>
      </c>
      <c r="F130" s="128" t="s">
        <v>27</v>
      </c>
      <c r="G130" s="131">
        <v>1</v>
      </c>
      <c r="H130" s="128" t="s">
        <v>275</v>
      </c>
    </row>
    <row r="131" spans="1:8" ht="18" x14ac:dyDescent="0.3">
      <c r="A131" s="121">
        <v>45987</v>
      </c>
      <c r="B131" s="122" t="s">
        <v>25</v>
      </c>
      <c r="C131" s="123" t="s">
        <v>272</v>
      </c>
      <c r="D131" s="122" t="s">
        <v>271</v>
      </c>
      <c r="E131" s="124">
        <v>1.989583333333333</v>
      </c>
      <c r="F131" s="122" t="s">
        <v>30</v>
      </c>
      <c r="G131" s="125">
        <v>1</v>
      </c>
      <c r="H131" s="122" t="s">
        <v>276</v>
      </c>
    </row>
    <row r="132" spans="1:8" ht="18" x14ac:dyDescent="0.3">
      <c r="A132" s="121">
        <v>45987</v>
      </c>
      <c r="B132" s="122" t="s">
        <v>25</v>
      </c>
      <c r="C132" s="123" t="s">
        <v>272</v>
      </c>
      <c r="D132" s="122" t="s">
        <v>271</v>
      </c>
      <c r="E132" s="124">
        <v>1.989583333333333</v>
      </c>
      <c r="F132" s="122" t="s">
        <v>33</v>
      </c>
      <c r="G132" s="125">
        <v>1</v>
      </c>
      <c r="H132" s="122" t="s">
        <v>34</v>
      </c>
    </row>
    <row r="133" spans="1:8" ht="18" x14ac:dyDescent="0.3">
      <c r="A133" s="127">
        <v>45987</v>
      </c>
      <c r="B133" s="128" t="s">
        <v>25</v>
      </c>
      <c r="C133" s="129" t="s">
        <v>273</v>
      </c>
      <c r="D133" s="128" t="s">
        <v>271</v>
      </c>
      <c r="E133" s="130">
        <v>1.489583333333333</v>
      </c>
      <c r="F133" s="128" t="s">
        <v>27</v>
      </c>
      <c r="G133" s="131">
        <v>2</v>
      </c>
      <c r="H133" s="128" t="s">
        <v>293</v>
      </c>
    </row>
    <row r="134" spans="1:8" ht="18" x14ac:dyDescent="0.3">
      <c r="A134" s="121">
        <v>45987</v>
      </c>
      <c r="B134" s="122" t="s">
        <v>25</v>
      </c>
      <c r="C134" s="123" t="s">
        <v>273</v>
      </c>
      <c r="D134" s="122" t="s">
        <v>271</v>
      </c>
      <c r="E134" s="124">
        <v>1.489583333333333</v>
      </c>
      <c r="F134" s="122" t="s">
        <v>33</v>
      </c>
      <c r="G134" s="125">
        <v>2</v>
      </c>
      <c r="H134" s="122" t="s">
        <v>334</v>
      </c>
    </row>
    <row r="135" spans="1:8" ht="18" x14ac:dyDescent="0.3">
      <c r="A135" s="121">
        <v>45987</v>
      </c>
      <c r="B135" s="122" t="s">
        <v>25</v>
      </c>
      <c r="C135" s="123" t="s">
        <v>273</v>
      </c>
      <c r="D135" s="122" t="s">
        <v>271</v>
      </c>
      <c r="E135" s="124">
        <v>1.489583333333333</v>
      </c>
      <c r="F135" s="122" t="s">
        <v>30</v>
      </c>
      <c r="G135" s="125">
        <v>2</v>
      </c>
      <c r="H135" s="122" t="s">
        <v>335</v>
      </c>
    </row>
    <row r="136" spans="1:8" ht="18" x14ac:dyDescent="0.3">
      <c r="A136" s="127">
        <v>45987</v>
      </c>
      <c r="B136" s="128" t="s">
        <v>25</v>
      </c>
      <c r="C136" s="129" t="s">
        <v>277</v>
      </c>
      <c r="D136" s="128" t="s">
        <v>271</v>
      </c>
      <c r="E136" s="130">
        <v>1.8888888888888891</v>
      </c>
      <c r="F136" s="128" t="s">
        <v>27</v>
      </c>
      <c r="G136" s="131">
        <v>2</v>
      </c>
      <c r="H136" s="128" t="s">
        <v>79</v>
      </c>
    </row>
    <row r="137" spans="1:8" ht="18" x14ac:dyDescent="0.3">
      <c r="A137" s="121">
        <v>45987</v>
      </c>
      <c r="B137" s="122" t="s">
        <v>25</v>
      </c>
      <c r="C137" s="123" t="s">
        <v>277</v>
      </c>
      <c r="D137" s="122" t="s">
        <v>271</v>
      </c>
      <c r="E137" s="124">
        <v>1.8888888888888891</v>
      </c>
      <c r="F137" s="122" t="s">
        <v>30</v>
      </c>
      <c r="G137" s="125">
        <v>2</v>
      </c>
      <c r="H137" s="122" t="s">
        <v>279</v>
      </c>
    </row>
    <row r="138" spans="1:8" ht="18" x14ac:dyDescent="0.3">
      <c r="A138" s="121">
        <v>45987</v>
      </c>
      <c r="B138" s="122" t="s">
        <v>25</v>
      </c>
      <c r="C138" s="123" t="s">
        <v>277</v>
      </c>
      <c r="D138" s="122" t="s">
        <v>271</v>
      </c>
      <c r="E138" s="124">
        <v>1.8888888888888891</v>
      </c>
      <c r="F138" s="122" t="s">
        <v>33</v>
      </c>
      <c r="G138" s="125">
        <v>2</v>
      </c>
      <c r="H138" s="122" t="s">
        <v>34</v>
      </c>
    </row>
    <row r="139" spans="1:8" ht="18" x14ac:dyDescent="0.3">
      <c r="A139" s="126">
        <v>45987</v>
      </c>
      <c r="B139" s="116" t="s">
        <v>54</v>
      </c>
      <c r="C139" s="117" t="s">
        <v>299</v>
      </c>
      <c r="D139" s="116" t="s">
        <v>271</v>
      </c>
      <c r="E139" s="118">
        <v>1.3472222222222221</v>
      </c>
      <c r="F139" s="116" t="s">
        <v>56</v>
      </c>
      <c r="G139" s="119">
        <v>1</v>
      </c>
      <c r="H139" s="116" t="s">
        <v>293</v>
      </c>
    </row>
    <row r="140" spans="1:8" ht="18" x14ac:dyDescent="0.3">
      <c r="A140" s="121">
        <v>45987</v>
      </c>
      <c r="B140" s="122" t="s">
        <v>54</v>
      </c>
      <c r="C140" s="123" t="s">
        <v>299</v>
      </c>
      <c r="D140" s="122" t="s">
        <v>271</v>
      </c>
      <c r="E140" s="124">
        <v>1.3472222222222221</v>
      </c>
      <c r="F140" s="122" t="s">
        <v>58</v>
      </c>
      <c r="G140" s="125">
        <v>1</v>
      </c>
      <c r="H140" s="122" t="s">
        <v>276</v>
      </c>
    </row>
    <row r="141" spans="1:8" ht="18" x14ac:dyDescent="0.3">
      <c r="A141" s="121">
        <v>45987</v>
      </c>
      <c r="B141" s="122" t="s">
        <v>54</v>
      </c>
      <c r="C141" s="123" t="s">
        <v>299</v>
      </c>
      <c r="D141" s="122" t="s">
        <v>271</v>
      </c>
      <c r="E141" s="124">
        <v>1.3472222222222221</v>
      </c>
      <c r="F141" s="122" t="s">
        <v>60</v>
      </c>
      <c r="G141" s="125">
        <v>1</v>
      </c>
      <c r="H141" s="122" t="s">
        <v>117</v>
      </c>
    </row>
    <row r="142" spans="1:8" ht="18" x14ac:dyDescent="0.3">
      <c r="A142" s="127">
        <v>45987</v>
      </c>
      <c r="B142" s="128" t="s">
        <v>54</v>
      </c>
      <c r="C142" s="129" t="s">
        <v>291</v>
      </c>
      <c r="D142" s="128" t="s">
        <v>271</v>
      </c>
      <c r="E142" s="130">
        <v>1.993055555555556</v>
      </c>
      <c r="F142" s="128" t="s">
        <v>56</v>
      </c>
      <c r="G142" s="131">
        <v>9</v>
      </c>
      <c r="H142" s="128" t="s">
        <v>276</v>
      </c>
    </row>
    <row r="143" spans="1:8" ht="18" x14ac:dyDescent="0.3">
      <c r="A143" s="121">
        <v>45987</v>
      </c>
      <c r="B143" s="122" t="s">
        <v>54</v>
      </c>
      <c r="C143" s="123" t="s">
        <v>291</v>
      </c>
      <c r="D143" s="122" t="s">
        <v>271</v>
      </c>
      <c r="E143" s="124">
        <v>1.993055555555556</v>
      </c>
      <c r="F143" s="122" t="s">
        <v>58</v>
      </c>
      <c r="G143" s="125">
        <v>9</v>
      </c>
      <c r="H143" s="122" t="s">
        <v>279</v>
      </c>
    </row>
    <row r="144" spans="1:8" ht="18" x14ac:dyDescent="0.3">
      <c r="A144" s="121">
        <v>45987</v>
      </c>
      <c r="B144" s="122" t="s">
        <v>54</v>
      </c>
      <c r="C144" s="123" t="s">
        <v>291</v>
      </c>
      <c r="D144" s="122" t="s">
        <v>271</v>
      </c>
      <c r="E144" s="124">
        <v>1.993055555555556</v>
      </c>
      <c r="F144" s="122" t="s">
        <v>60</v>
      </c>
      <c r="G144" s="125">
        <v>9</v>
      </c>
      <c r="H144" s="122" t="s">
        <v>300</v>
      </c>
    </row>
    <row r="145" spans="1:8" ht="18" x14ac:dyDescent="0.3">
      <c r="A145" s="127">
        <v>45987</v>
      </c>
      <c r="B145" s="128" t="s">
        <v>54</v>
      </c>
      <c r="C145" s="129" t="s">
        <v>294</v>
      </c>
      <c r="D145" s="128" t="s">
        <v>271</v>
      </c>
      <c r="E145" s="130">
        <v>1.836805555555556</v>
      </c>
      <c r="F145" s="128" t="s">
        <v>56</v>
      </c>
      <c r="G145" s="131">
        <v>6</v>
      </c>
      <c r="H145" s="128" t="s">
        <v>276</v>
      </c>
    </row>
    <row r="146" spans="1:8" ht="18" x14ac:dyDescent="0.3">
      <c r="A146" s="121">
        <v>45987</v>
      </c>
      <c r="B146" s="122" t="s">
        <v>54</v>
      </c>
      <c r="C146" s="123" t="s">
        <v>294</v>
      </c>
      <c r="D146" s="122" t="s">
        <v>271</v>
      </c>
      <c r="E146" s="124">
        <v>1.836805555555556</v>
      </c>
      <c r="F146" s="122" t="s">
        <v>58</v>
      </c>
      <c r="G146" s="125">
        <v>6</v>
      </c>
      <c r="H146" s="122" t="s">
        <v>279</v>
      </c>
    </row>
    <row r="147" spans="1:8" ht="18" x14ac:dyDescent="0.3">
      <c r="A147" s="121">
        <v>45987</v>
      </c>
      <c r="B147" s="122" t="s">
        <v>54</v>
      </c>
      <c r="C147" s="123" t="s">
        <v>294</v>
      </c>
      <c r="D147" s="122" t="s">
        <v>271</v>
      </c>
      <c r="E147" s="124">
        <v>1.836805555555556</v>
      </c>
      <c r="F147" s="122" t="s">
        <v>60</v>
      </c>
      <c r="G147" s="125">
        <v>6</v>
      </c>
      <c r="H147" s="122" t="s">
        <v>300</v>
      </c>
    </row>
    <row r="148" spans="1:8" ht="18" x14ac:dyDescent="0.3">
      <c r="A148" s="127">
        <v>45987</v>
      </c>
      <c r="B148" s="128" t="s">
        <v>54</v>
      </c>
      <c r="C148" s="129" t="s">
        <v>295</v>
      </c>
      <c r="D148" s="128" t="s">
        <v>271</v>
      </c>
      <c r="E148" s="130">
        <v>1.944444444444444</v>
      </c>
      <c r="F148" s="128" t="s">
        <v>56</v>
      </c>
      <c r="G148" s="131">
        <v>8</v>
      </c>
      <c r="H148" s="128" t="s">
        <v>276</v>
      </c>
    </row>
    <row r="149" spans="1:8" ht="18" x14ac:dyDescent="0.3">
      <c r="A149" s="121">
        <v>45987</v>
      </c>
      <c r="B149" s="122" t="s">
        <v>54</v>
      </c>
      <c r="C149" s="123" t="s">
        <v>295</v>
      </c>
      <c r="D149" s="122" t="s">
        <v>271</v>
      </c>
      <c r="E149" s="124">
        <v>1.944444444444444</v>
      </c>
      <c r="F149" s="122" t="s">
        <v>58</v>
      </c>
      <c r="G149" s="125">
        <v>8</v>
      </c>
      <c r="H149" s="122" t="s">
        <v>279</v>
      </c>
    </row>
    <row r="150" spans="1:8" ht="18" x14ac:dyDescent="0.3">
      <c r="A150" s="121">
        <v>45987</v>
      </c>
      <c r="B150" s="122" t="s">
        <v>54</v>
      </c>
      <c r="C150" s="123" t="s">
        <v>295</v>
      </c>
      <c r="D150" s="122" t="s">
        <v>271</v>
      </c>
      <c r="E150" s="124">
        <v>1.944444444444444</v>
      </c>
      <c r="F150" s="122" t="s">
        <v>60</v>
      </c>
      <c r="G150" s="125">
        <v>8</v>
      </c>
      <c r="H150" s="122" t="s">
        <v>300</v>
      </c>
    </row>
    <row r="151" spans="1:8" ht="18" x14ac:dyDescent="0.3">
      <c r="A151" s="127">
        <v>45987</v>
      </c>
      <c r="B151" s="128" t="s">
        <v>54</v>
      </c>
      <c r="C151" s="129" t="s">
        <v>296</v>
      </c>
      <c r="D151" s="128" t="s">
        <v>271</v>
      </c>
      <c r="E151" s="130">
        <v>1.4861111111111109</v>
      </c>
      <c r="F151" s="128" t="s">
        <v>56</v>
      </c>
      <c r="G151" s="131">
        <v>9</v>
      </c>
      <c r="H151" s="128" t="s">
        <v>276</v>
      </c>
    </row>
    <row r="152" spans="1:8" ht="18" x14ac:dyDescent="0.3">
      <c r="A152" s="121">
        <v>45987</v>
      </c>
      <c r="B152" s="122" t="s">
        <v>54</v>
      </c>
      <c r="C152" s="123" t="s">
        <v>296</v>
      </c>
      <c r="D152" s="122" t="s">
        <v>271</v>
      </c>
      <c r="E152" s="124">
        <v>1.4861111111111109</v>
      </c>
      <c r="F152" s="122" t="s">
        <v>58</v>
      </c>
      <c r="G152" s="125">
        <v>9</v>
      </c>
      <c r="H152" s="122" t="s">
        <v>279</v>
      </c>
    </row>
    <row r="153" spans="1:8" ht="18" x14ac:dyDescent="0.3">
      <c r="A153" s="121">
        <v>45987</v>
      </c>
      <c r="B153" s="122" t="s">
        <v>54</v>
      </c>
      <c r="C153" s="123" t="s">
        <v>296</v>
      </c>
      <c r="D153" s="122" t="s">
        <v>271</v>
      </c>
      <c r="E153" s="124">
        <v>1.4861111111111109</v>
      </c>
      <c r="F153" s="122" t="s">
        <v>60</v>
      </c>
      <c r="G153" s="125">
        <v>9</v>
      </c>
      <c r="H153" s="122" t="s">
        <v>300</v>
      </c>
    </row>
    <row r="154" spans="1:8" ht="18" x14ac:dyDescent="0.3">
      <c r="A154" s="127">
        <v>45987</v>
      </c>
      <c r="B154" s="128" t="s">
        <v>54</v>
      </c>
      <c r="C154" s="129" t="s">
        <v>297</v>
      </c>
      <c r="D154" s="128" t="s">
        <v>271</v>
      </c>
      <c r="E154" s="130">
        <v>1.3923611111111109</v>
      </c>
      <c r="F154" s="128" t="s">
        <v>56</v>
      </c>
      <c r="G154" s="131">
        <v>8</v>
      </c>
      <c r="H154" s="128" t="s">
        <v>276</v>
      </c>
    </row>
    <row r="155" spans="1:8" ht="18" x14ac:dyDescent="0.3">
      <c r="A155" s="121">
        <v>45987</v>
      </c>
      <c r="B155" s="122" t="s">
        <v>54</v>
      </c>
      <c r="C155" s="123" t="s">
        <v>297</v>
      </c>
      <c r="D155" s="122" t="s">
        <v>271</v>
      </c>
      <c r="E155" s="124">
        <v>1.3923611111111109</v>
      </c>
      <c r="F155" s="122" t="s">
        <v>58</v>
      </c>
      <c r="G155" s="125">
        <v>8</v>
      </c>
      <c r="H155" s="122" t="s">
        <v>279</v>
      </c>
    </row>
    <row r="156" spans="1:8" ht="18" x14ac:dyDescent="0.3">
      <c r="A156" s="121">
        <v>45987</v>
      </c>
      <c r="B156" s="122" t="s">
        <v>54</v>
      </c>
      <c r="C156" s="123" t="s">
        <v>297</v>
      </c>
      <c r="D156" s="122" t="s">
        <v>271</v>
      </c>
      <c r="E156" s="124">
        <v>1.3923611111111109</v>
      </c>
      <c r="F156" s="122" t="s">
        <v>60</v>
      </c>
      <c r="G156" s="125">
        <v>8</v>
      </c>
      <c r="H156" s="122" t="s">
        <v>300</v>
      </c>
    </row>
    <row r="157" spans="1:8" ht="18" x14ac:dyDescent="0.3">
      <c r="A157" s="127">
        <v>45987</v>
      </c>
      <c r="B157" s="128" t="s">
        <v>54</v>
      </c>
      <c r="C157" s="129" t="s">
        <v>298</v>
      </c>
      <c r="D157" s="128" t="s">
        <v>271</v>
      </c>
      <c r="E157" s="130">
        <v>1.8888888888888891</v>
      </c>
      <c r="F157" s="128" t="s">
        <v>56</v>
      </c>
      <c r="G157" s="131">
        <v>9</v>
      </c>
      <c r="H157" s="128" t="s">
        <v>276</v>
      </c>
    </row>
    <row r="158" spans="1:8" ht="18" x14ac:dyDescent="0.3">
      <c r="A158" s="121">
        <v>45987</v>
      </c>
      <c r="B158" s="122" t="s">
        <v>54</v>
      </c>
      <c r="C158" s="123" t="s">
        <v>298</v>
      </c>
      <c r="D158" s="122" t="s">
        <v>271</v>
      </c>
      <c r="E158" s="124">
        <v>1.8888888888888891</v>
      </c>
      <c r="F158" s="122" t="s">
        <v>58</v>
      </c>
      <c r="G158" s="125">
        <v>9</v>
      </c>
      <c r="H158" s="122" t="s">
        <v>279</v>
      </c>
    </row>
    <row r="159" spans="1:8" ht="18" x14ac:dyDescent="0.3">
      <c r="A159" s="121">
        <v>45987</v>
      </c>
      <c r="B159" s="122" t="s">
        <v>54</v>
      </c>
      <c r="C159" s="123" t="s">
        <v>298</v>
      </c>
      <c r="D159" s="122" t="s">
        <v>271</v>
      </c>
      <c r="E159" s="124">
        <v>1.8888888888888891</v>
      </c>
      <c r="F159" s="122" t="s">
        <v>60</v>
      </c>
      <c r="G159" s="125">
        <v>9</v>
      </c>
      <c r="H159" s="122" t="s">
        <v>300</v>
      </c>
    </row>
    <row r="160" spans="1:8" ht="18" x14ac:dyDescent="0.3">
      <c r="A160" s="127">
        <v>45987</v>
      </c>
      <c r="B160" s="128" t="s">
        <v>54</v>
      </c>
      <c r="C160" s="129" t="s">
        <v>301</v>
      </c>
      <c r="D160" s="128" t="s">
        <v>271</v>
      </c>
      <c r="E160" s="130">
        <v>1.7361111111111109</v>
      </c>
      <c r="F160" s="128" t="s">
        <v>56</v>
      </c>
      <c r="G160" s="131">
        <v>5</v>
      </c>
      <c r="H160" s="128" t="s">
        <v>61</v>
      </c>
    </row>
    <row r="161" spans="1:8" ht="18" x14ac:dyDescent="0.3">
      <c r="A161" s="121">
        <v>45987</v>
      </c>
      <c r="B161" s="122" t="s">
        <v>54</v>
      </c>
      <c r="C161" s="123" t="s">
        <v>301</v>
      </c>
      <c r="D161" s="122" t="s">
        <v>271</v>
      </c>
      <c r="E161" s="124">
        <v>1.7361111111111109</v>
      </c>
      <c r="F161" s="122" t="s">
        <v>58</v>
      </c>
      <c r="G161" s="125">
        <v>5</v>
      </c>
      <c r="H161" s="122" t="s">
        <v>34</v>
      </c>
    </row>
    <row r="162" spans="1:8" ht="18" x14ac:dyDescent="0.3">
      <c r="A162" s="121">
        <v>45987</v>
      </c>
      <c r="B162" s="122" t="s">
        <v>54</v>
      </c>
      <c r="C162" s="123" t="s">
        <v>301</v>
      </c>
      <c r="D162" s="122" t="s">
        <v>271</v>
      </c>
      <c r="E162" s="124">
        <v>1.7361111111111109</v>
      </c>
      <c r="F162" s="122" t="s">
        <v>60</v>
      </c>
      <c r="G162" s="125">
        <v>5</v>
      </c>
      <c r="H162" s="122" t="s">
        <v>356</v>
      </c>
    </row>
    <row r="163" spans="1:8" ht="18" x14ac:dyDescent="0.3">
      <c r="A163" s="126">
        <v>45987</v>
      </c>
      <c r="B163" s="116" t="s">
        <v>280</v>
      </c>
      <c r="C163" s="117" t="s">
        <v>357</v>
      </c>
      <c r="D163" s="116" t="s">
        <v>271</v>
      </c>
      <c r="E163" s="118">
        <v>1.225694444444444</v>
      </c>
      <c r="F163" s="116" t="s">
        <v>282</v>
      </c>
      <c r="G163" s="119">
        <v>2</v>
      </c>
      <c r="H163" s="116" t="s">
        <v>358</v>
      </c>
    </row>
    <row r="164" spans="1:8" ht="18" x14ac:dyDescent="0.3">
      <c r="A164" s="121">
        <v>45987</v>
      </c>
      <c r="B164" s="122" t="s">
        <v>280</v>
      </c>
      <c r="C164" s="123" t="s">
        <v>357</v>
      </c>
      <c r="D164" s="122" t="s">
        <v>271</v>
      </c>
      <c r="E164" s="124">
        <v>1.225694444444444</v>
      </c>
      <c r="F164" s="122" t="s">
        <v>33</v>
      </c>
      <c r="G164" s="125">
        <v>2</v>
      </c>
      <c r="H164" s="122" t="s">
        <v>359</v>
      </c>
    </row>
    <row r="165" spans="1:8" ht="18" x14ac:dyDescent="0.3">
      <c r="A165" s="126">
        <v>45987</v>
      </c>
      <c r="B165" s="116" t="s">
        <v>285</v>
      </c>
      <c r="C165" s="117" t="s">
        <v>286</v>
      </c>
      <c r="D165" s="116" t="s">
        <v>271</v>
      </c>
      <c r="E165" s="118">
        <v>1.493055555555556</v>
      </c>
      <c r="F165" s="116" t="s">
        <v>81</v>
      </c>
      <c r="G165" s="119">
        <v>5</v>
      </c>
      <c r="H165" s="116" t="s">
        <v>353</v>
      </c>
    </row>
    <row r="166" spans="1:8" ht="18" x14ac:dyDescent="0.3">
      <c r="A166" s="127">
        <v>45987</v>
      </c>
      <c r="B166" s="128" t="s">
        <v>285</v>
      </c>
      <c r="C166" s="129" t="s">
        <v>288</v>
      </c>
      <c r="D166" s="128" t="s">
        <v>271</v>
      </c>
      <c r="E166" s="130">
        <v>1.194444444444444</v>
      </c>
      <c r="F166" s="128" t="s">
        <v>81</v>
      </c>
      <c r="G166" s="131">
        <v>9</v>
      </c>
      <c r="H166" s="128" t="s">
        <v>353</v>
      </c>
    </row>
    <row r="167" spans="1:8" ht="18" x14ac:dyDescent="0.3">
      <c r="A167" s="126">
        <v>45987</v>
      </c>
      <c r="B167" s="116" t="s">
        <v>360</v>
      </c>
      <c r="C167" s="117" t="s">
        <v>361</v>
      </c>
      <c r="D167" s="116" t="s">
        <v>271</v>
      </c>
      <c r="E167" s="118">
        <v>1.461805555555556</v>
      </c>
      <c r="F167" s="116" t="s">
        <v>81</v>
      </c>
      <c r="G167" s="119">
        <v>5</v>
      </c>
      <c r="H167" s="116" t="s">
        <v>362</v>
      </c>
    </row>
    <row r="168" spans="1:8" ht="18" x14ac:dyDescent="0.3">
      <c r="A168" s="126">
        <v>45987</v>
      </c>
      <c r="B168" s="116" t="s">
        <v>35</v>
      </c>
      <c r="C168" s="117" t="s">
        <v>318</v>
      </c>
      <c r="D168" s="116" t="s">
        <v>271</v>
      </c>
      <c r="E168" s="118">
        <v>1.7222222222222221</v>
      </c>
      <c r="F168" s="116" t="s">
        <v>42</v>
      </c>
      <c r="G168" s="119">
        <v>9</v>
      </c>
      <c r="H168" s="116" t="s">
        <v>363</v>
      </c>
    </row>
    <row r="169" spans="1:8" ht="18" x14ac:dyDescent="0.3">
      <c r="A169" s="127">
        <v>45987</v>
      </c>
      <c r="B169" s="128" t="s">
        <v>35</v>
      </c>
      <c r="C169" s="129" t="s">
        <v>312</v>
      </c>
      <c r="D169" s="128" t="s">
        <v>271</v>
      </c>
      <c r="E169" s="130">
        <v>1.7013888888888891</v>
      </c>
      <c r="F169" s="128" t="s">
        <v>42</v>
      </c>
      <c r="G169" s="131">
        <v>9</v>
      </c>
      <c r="H169" s="128" t="s">
        <v>363</v>
      </c>
    </row>
    <row r="170" spans="1:8" ht="18" x14ac:dyDescent="0.3">
      <c r="A170" s="127">
        <v>45987</v>
      </c>
      <c r="B170" s="128" t="s">
        <v>35</v>
      </c>
      <c r="C170" s="129" t="s">
        <v>315</v>
      </c>
      <c r="D170" s="128" t="s">
        <v>271</v>
      </c>
      <c r="E170" s="130">
        <v>1.9409722222222221</v>
      </c>
      <c r="F170" s="128" t="s">
        <v>42</v>
      </c>
      <c r="G170" s="131">
        <v>9</v>
      </c>
      <c r="H170" s="128" t="s">
        <v>363</v>
      </c>
    </row>
    <row r="171" spans="1:8" ht="18" x14ac:dyDescent="0.3">
      <c r="A171" s="127">
        <v>45987</v>
      </c>
      <c r="B171" s="128" t="s">
        <v>35</v>
      </c>
      <c r="C171" s="129" t="s">
        <v>306</v>
      </c>
      <c r="D171" s="128" t="s">
        <v>271</v>
      </c>
      <c r="E171" s="130">
        <v>1.989583333333333</v>
      </c>
      <c r="F171" s="128" t="s">
        <v>42</v>
      </c>
      <c r="G171" s="131">
        <v>4</v>
      </c>
      <c r="H171" s="128" t="s">
        <v>307</v>
      </c>
    </row>
    <row r="172" spans="1:8" ht="18" x14ac:dyDescent="0.3">
      <c r="A172" s="127">
        <v>45987</v>
      </c>
      <c r="B172" s="128" t="s">
        <v>35</v>
      </c>
      <c r="C172" s="129" t="s">
        <v>308</v>
      </c>
      <c r="D172" s="128" t="s">
        <v>271</v>
      </c>
      <c r="E172" s="130">
        <v>1.489583333333333</v>
      </c>
      <c r="F172" s="128" t="s">
        <v>42</v>
      </c>
      <c r="G172" s="131">
        <v>4</v>
      </c>
      <c r="H172" s="128" t="s">
        <v>307</v>
      </c>
    </row>
    <row r="173" spans="1:8" ht="18" x14ac:dyDescent="0.3">
      <c r="A173" s="127">
        <v>45987</v>
      </c>
      <c r="B173" s="128" t="s">
        <v>35</v>
      </c>
      <c r="C173" s="129" t="s">
        <v>316</v>
      </c>
      <c r="D173" s="128" t="s">
        <v>271</v>
      </c>
      <c r="E173" s="130">
        <v>1.489583333333333</v>
      </c>
      <c r="F173" s="128" t="s">
        <v>42</v>
      </c>
      <c r="G173" s="131">
        <v>9</v>
      </c>
      <c r="H173" s="128" t="s">
        <v>311</v>
      </c>
    </row>
    <row r="174" spans="1:8" ht="18" x14ac:dyDescent="0.3">
      <c r="A174" s="127">
        <v>45987</v>
      </c>
      <c r="B174" s="128" t="s">
        <v>35</v>
      </c>
      <c r="C174" s="129" t="s">
        <v>310</v>
      </c>
      <c r="D174" s="128" t="s">
        <v>271</v>
      </c>
      <c r="E174" s="130">
        <v>1.8298611111111109</v>
      </c>
      <c r="F174" s="128" t="s">
        <v>42</v>
      </c>
      <c r="G174" s="131">
        <v>9</v>
      </c>
      <c r="H174" s="128" t="s">
        <v>311</v>
      </c>
    </row>
    <row r="175" spans="1:8" ht="18" x14ac:dyDescent="0.3">
      <c r="A175" s="127">
        <v>45987</v>
      </c>
      <c r="B175" s="128" t="s">
        <v>35</v>
      </c>
      <c r="C175" s="129" t="s">
        <v>302</v>
      </c>
      <c r="D175" s="128" t="s">
        <v>271</v>
      </c>
      <c r="E175" s="130">
        <v>1.118055555555556</v>
      </c>
      <c r="F175" s="128" t="s">
        <v>42</v>
      </c>
      <c r="G175" s="131">
        <v>9</v>
      </c>
      <c r="H175" s="128" t="s">
        <v>311</v>
      </c>
    </row>
    <row r="176" spans="1:8" ht="18" x14ac:dyDescent="0.3">
      <c r="A176" s="127">
        <v>45987</v>
      </c>
      <c r="B176" s="128" t="s">
        <v>35</v>
      </c>
      <c r="C176" s="129" t="s">
        <v>313</v>
      </c>
      <c r="D176" s="128" t="s">
        <v>271</v>
      </c>
      <c r="E176" s="130">
        <v>1.2534722222222221</v>
      </c>
      <c r="F176" s="128" t="s">
        <v>42</v>
      </c>
      <c r="G176" s="131">
        <v>9</v>
      </c>
      <c r="H176" s="128" t="s">
        <v>311</v>
      </c>
    </row>
    <row r="177" spans="1:8" ht="18" x14ac:dyDescent="0.3">
      <c r="A177" s="127">
        <v>45987</v>
      </c>
      <c r="B177" s="128" t="s">
        <v>35</v>
      </c>
      <c r="C177" s="129" t="s">
        <v>314</v>
      </c>
      <c r="D177" s="128" t="s">
        <v>271</v>
      </c>
      <c r="E177" s="130">
        <v>1.041666666666667</v>
      </c>
      <c r="F177" s="128" t="s">
        <v>42</v>
      </c>
      <c r="G177" s="131">
        <v>9</v>
      </c>
      <c r="H177" s="128" t="s">
        <v>311</v>
      </c>
    </row>
    <row r="178" spans="1:8" ht="18" x14ac:dyDescent="0.3">
      <c r="A178" s="127">
        <v>45987</v>
      </c>
      <c r="B178" s="128" t="s">
        <v>35</v>
      </c>
      <c r="C178" s="129" t="s">
        <v>304</v>
      </c>
      <c r="D178" s="128" t="s">
        <v>271</v>
      </c>
      <c r="E178" s="130">
        <v>1.399305555555556</v>
      </c>
      <c r="F178" s="128" t="s">
        <v>42</v>
      </c>
      <c r="G178" s="131">
        <v>4</v>
      </c>
      <c r="H178" s="128" t="s">
        <v>364</v>
      </c>
    </row>
    <row r="179" spans="1:8" ht="18" x14ac:dyDescent="0.3">
      <c r="A179" s="127">
        <v>45987</v>
      </c>
      <c r="B179" s="128" t="s">
        <v>35</v>
      </c>
      <c r="C179" s="129" t="s">
        <v>309</v>
      </c>
      <c r="D179" s="128" t="s">
        <v>271</v>
      </c>
      <c r="E179" s="130">
        <v>1.8888888888888891</v>
      </c>
      <c r="F179" s="128" t="s">
        <v>42</v>
      </c>
      <c r="G179" s="131">
        <v>4</v>
      </c>
      <c r="H179" s="128" t="s">
        <v>364</v>
      </c>
    </row>
    <row r="180" spans="1:8" ht="18" x14ac:dyDescent="0.3">
      <c r="A180" s="126">
        <v>45987</v>
      </c>
      <c r="B180" s="116" t="s">
        <v>63</v>
      </c>
      <c r="C180" s="117" t="s">
        <v>322</v>
      </c>
      <c r="D180" s="116" t="s">
        <v>271</v>
      </c>
      <c r="E180" s="118">
        <v>1.9722222222222221</v>
      </c>
      <c r="F180" s="116" t="s">
        <v>48</v>
      </c>
      <c r="G180" s="119">
        <v>9</v>
      </c>
      <c r="H180" s="116" t="s">
        <v>320</v>
      </c>
    </row>
    <row r="181" spans="1:8" ht="18" x14ac:dyDescent="0.3">
      <c r="A181" s="127">
        <v>45987</v>
      </c>
      <c r="B181" s="128" t="s">
        <v>63</v>
      </c>
      <c r="C181" s="129" t="s">
        <v>325</v>
      </c>
      <c r="D181" s="128" t="s">
        <v>271</v>
      </c>
      <c r="E181" s="130">
        <v>1.7847222222222221</v>
      </c>
      <c r="F181" s="128" t="s">
        <v>48</v>
      </c>
      <c r="G181" s="131">
        <v>3</v>
      </c>
      <c r="H181" s="128" t="s">
        <v>320</v>
      </c>
    </row>
    <row r="182" spans="1:8" ht="18" x14ac:dyDescent="0.3">
      <c r="A182" s="127">
        <v>45987</v>
      </c>
      <c r="B182" s="128" t="s">
        <v>63</v>
      </c>
      <c r="C182" s="129" t="s">
        <v>327</v>
      </c>
      <c r="D182" s="128" t="s">
        <v>271</v>
      </c>
      <c r="E182" s="130">
        <v>1.0486111111111109</v>
      </c>
      <c r="F182" s="128" t="s">
        <v>48</v>
      </c>
      <c r="G182" s="131">
        <v>9</v>
      </c>
      <c r="H182" s="128" t="s">
        <v>320</v>
      </c>
    </row>
    <row r="183" spans="1:8" ht="18" x14ac:dyDescent="0.3">
      <c r="A183" s="136">
        <v>45987</v>
      </c>
      <c r="B183" s="137" t="s">
        <v>71</v>
      </c>
      <c r="C183" s="138" t="s">
        <v>351</v>
      </c>
      <c r="D183" s="137" t="s">
        <v>271</v>
      </c>
      <c r="E183" s="139">
        <v>1.2326388888888891</v>
      </c>
      <c r="F183" s="137" t="s">
        <v>73</v>
      </c>
      <c r="G183" s="137"/>
      <c r="H183" s="137" t="s">
        <v>74</v>
      </c>
    </row>
    <row r="184" spans="1:8" ht="18" x14ac:dyDescent="0.3">
      <c r="A184" s="141">
        <v>45987</v>
      </c>
      <c r="B184" s="142" t="s">
        <v>71</v>
      </c>
      <c r="C184" s="143" t="s">
        <v>328</v>
      </c>
      <c r="D184" s="142" t="s">
        <v>271</v>
      </c>
      <c r="E184" s="144">
        <v>1.3402777777777779</v>
      </c>
      <c r="F184" s="142" t="s">
        <v>73</v>
      </c>
      <c r="G184" s="142"/>
      <c r="H184" s="142" t="s">
        <v>74</v>
      </c>
    </row>
    <row r="185" spans="1:8" ht="18" x14ac:dyDescent="0.3">
      <c r="A185" s="141">
        <v>45987</v>
      </c>
      <c r="B185" s="142" t="s">
        <v>71</v>
      </c>
      <c r="C185" s="143" t="s">
        <v>332</v>
      </c>
      <c r="D185" s="142" t="s">
        <v>271</v>
      </c>
      <c r="E185" s="144">
        <v>1.34375</v>
      </c>
      <c r="F185" s="142" t="s">
        <v>73</v>
      </c>
      <c r="G185" s="142"/>
      <c r="H185" s="142" t="s">
        <v>74</v>
      </c>
    </row>
    <row r="186" spans="1:8" ht="18" x14ac:dyDescent="0.3">
      <c r="A186" s="141">
        <v>45987</v>
      </c>
      <c r="B186" s="142" t="s">
        <v>71</v>
      </c>
      <c r="C186" s="143" t="s">
        <v>330</v>
      </c>
      <c r="D186" s="142" t="s">
        <v>271</v>
      </c>
      <c r="E186" s="144">
        <v>1.4375</v>
      </c>
      <c r="F186" s="142" t="s">
        <v>73</v>
      </c>
      <c r="G186" s="142"/>
      <c r="H186" s="142" t="s">
        <v>74</v>
      </c>
    </row>
    <row r="187" spans="1:8" ht="18" x14ac:dyDescent="0.3">
      <c r="A187" s="232">
        <v>45987</v>
      </c>
      <c r="B187" s="233" t="s">
        <v>71</v>
      </c>
      <c r="C187" s="234" t="s">
        <v>342</v>
      </c>
      <c r="D187" s="233" t="s">
        <v>271</v>
      </c>
      <c r="E187" s="235">
        <v>1.9375</v>
      </c>
      <c r="F187" s="233" t="s">
        <v>73</v>
      </c>
      <c r="G187" s="233"/>
      <c r="H187" s="233" t="s">
        <v>74</v>
      </c>
    </row>
    <row r="188" spans="1:8" ht="18" x14ac:dyDescent="0.3">
      <c r="A188" s="115">
        <v>45988</v>
      </c>
      <c r="B188" s="116" t="s">
        <v>25</v>
      </c>
      <c r="C188" s="117" t="s">
        <v>278</v>
      </c>
      <c r="D188" s="116" t="s">
        <v>271</v>
      </c>
      <c r="E188" s="118">
        <v>1.399305555555556</v>
      </c>
      <c r="F188" s="116" t="s">
        <v>27</v>
      </c>
      <c r="G188" s="119">
        <v>6</v>
      </c>
      <c r="H188" s="120" t="s">
        <v>293</v>
      </c>
    </row>
    <row r="189" spans="1:8" ht="18" x14ac:dyDescent="0.3">
      <c r="A189" s="121">
        <v>45988</v>
      </c>
      <c r="B189" s="122" t="s">
        <v>25</v>
      </c>
      <c r="C189" s="123" t="s">
        <v>278</v>
      </c>
      <c r="D189" s="122" t="s">
        <v>271</v>
      </c>
      <c r="E189" s="124">
        <v>1.399305555555556</v>
      </c>
      <c r="F189" s="122" t="s">
        <v>30</v>
      </c>
      <c r="G189" s="125">
        <v>6</v>
      </c>
      <c r="H189" s="122" t="s">
        <v>335</v>
      </c>
    </row>
    <row r="190" spans="1:8" ht="18" x14ac:dyDescent="0.3">
      <c r="A190" s="121">
        <v>45988</v>
      </c>
      <c r="B190" s="122" t="s">
        <v>25</v>
      </c>
      <c r="C190" s="123" t="s">
        <v>278</v>
      </c>
      <c r="D190" s="122" t="s">
        <v>271</v>
      </c>
      <c r="E190" s="124">
        <v>1.399305555555556</v>
      </c>
      <c r="F190" s="122" t="s">
        <v>33</v>
      </c>
      <c r="G190" s="125">
        <v>6</v>
      </c>
      <c r="H190" s="122" t="s">
        <v>34</v>
      </c>
    </row>
    <row r="191" spans="1:8" ht="18" x14ac:dyDescent="0.3">
      <c r="A191" s="127">
        <v>45988</v>
      </c>
      <c r="B191" s="128" t="s">
        <v>25</v>
      </c>
      <c r="C191" s="129" t="s">
        <v>273</v>
      </c>
      <c r="D191" s="128" t="s">
        <v>271</v>
      </c>
      <c r="E191" s="130">
        <v>1.489583333333333</v>
      </c>
      <c r="F191" s="128" t="s">
        <v>27</v>
      </c>
      <c r="G191" s="131">
        <v>5</v>
      </c>
      <c r="H191" s="128" t="s">
        <v>293</v>
      </c>
    </row>
    <row r="192" spans="1:8" ht="18" x14ac:dyDescent="0.3">
      <c r="A192" s="121">
        <v>45988</v>
      </c>
      <c r="B192" s="122" t="s">
        <v>25</v>
      </c>
      <c r="C192" s="123" t="s">
        <v>273</v>
      </c>
      <c r="D192" s="122" t="s">
        <v>271</v>
      </c>
      <c r="E192" s="124">
        <v>1.489583333333333</v>
      </c>
      <c r="F192" s="122" t="s">
        <v>30</v>
      </c>
      <c r="G192" s="125">
        <v>5</v>
      </c>
      <c r="H192" s="122" t="s">
        <v>335</v>
      </c>
    </row>
    <row r="193" spans="1:8" ht="18" x14ac:dyDescent="0.3">
      <c r="A193" s="121">
        <v>45988</v>
      </c>
      <c r="B193" s="122" t="s">
        <v>25</v>
      </c>
      <c r="C193" s="123" t="s">
        <v>273</v>
      </c>
      <c r="D193" s="122" t="s">
        <v>271</v>
      </c>
      <c r="E193" s="124">
        <v>1.489583333333333</v>
      </c>
      <c r="F193" s="122" t="s">
        <v>33</v>
      </c>
      <c r="G193" s="125">
        <v>5</v>
      </c>
      <c r="H193" s="122" t="s">
        <v>34</v>
      </c>
    </row>
    <row r="194" spans="1:8" ht="18" x14ac:dyDescent="0.3">
      <c r="A194" s="127">
        <v>45988</v>
      </c>
      <c r="B194" s="128" t="s">
        <v>25</v>
      </c>
      <c r="C194" s="129" t="s">
        <v>272</v>
      </c>
      <c r="D194" s="128" t="s">
        <v>271</v>
      </c>
      <c r="E194" s="130">
        <v>1.989583333333333</v>
      </c>
      <c r="F194" s="128" t="s">
        <v>27</v>
      </c>
      <c r="G194" s="131">
        <v>2</v>
      </c>
      <c r="H194" s="128" t="s">
        <v>293</v>
      </c>
    </row>
    <row r="195" spans="1:8" ht="18" x14ac:dyDescent="0.3">
      <c r="A195" s="121">
        <v>45988</v>
      </c>
      <c r="B195" s="122" t="s">
        <v>25</v>
      </c>
      <c r="C195" s="123" t="s">
        <v>272</v>
      </c>
      <c r="D195" s="122" t="s">
        <v>271</v>
      </c>
      <c r="E195" s="124">
        <v>1.989583333333333</v>
      </c>
      <c r="F195" s="122" t="s">
        <v>30</v>
      </c>
      <c r="G195" s="125">
        <v>2</v>
      </c>
      <c r="H195" s="122" t="s">
        <v>335</v>
      </c>
    </row>
    <row r="196" spans="1:8" ht="18" x14ac:dyDescent="0.3">
      <c r="A196" s="121">
        <v>45988</v>
      </c>
      <c r="B196" s="122" t="s">
        <v>25</v>
      </c>
      <c r="C196" s="123" t="s">
        <v>272</v>
      </c>
      <c r="D196" s="122" t="s">
        <v>271</v>
      </c>
      <c r="E196" s="124">
        <v>1.989583333333333</v>
      </c>
      <c r="F196" s="122" t="s">
        <v>33</v>
      </c>
      <c r="G196" s="125">
        <v>2</v>
      </c>
      <c r="H196" s="122" t="s">
        <v>34</v>
      </c>
    </row>
    <row r="197" spans="1:8" ht="18" x14ac:dyDescent="0.3">
      <c r="A197" s="127">
        <v>45988</v>
      </c>
      <c r="B197" s="128" t="s">
        <v>25</v>
      </c>
      <c r="C197" s="129" t="s">
        <v>277</v>
      </c>
      <c r="D197" s="128" t="s">
        <v>271</v>
      </c>
      <c r="E197" s="130">
        <v>1.8888888888888891</v>
      </c>
      <c r="F197" s="128" t="s">
        <v>27</v>
      </c>
      <c r="G197" s="131">
        <v>5</v>
      </c>
      <c r="H197" s="128" t="s">
        <v>79</v>
      </c>
    </row>
    <row r="198" spans="1:8" ht="18" x14ac:dyDescent="0.3">
      <c r="A198" s="121">
        <v>45988</v>
      </c>
      <c r="B198" s="122" t="s">
        <v>25</v>
      </c>
      <c r="C198" s="123" t="s">
        <v>277</v>
      </c>
      <c r="D198" s="122" t="s">
        <v>271</v>
      </c>
      <c r="E198" s="124">
        <v>1.8888888888888891</v>
      </c>
      <c r="F198" s="122" t="s">
        <v>30</v>
      </c>
      <c r="G198" s="125">
        <v>5</v>
      </c>
      <c r="H198" s="122" t="s">
        <v>279</v>
      </c>
    </row>
    <row r="199" spans="1:8" ht="18" x14ac:dyDescent="0.3">
      <c r="A199" s="121">
        <v>45988</v>
      </c>
      <c r="B199" s="122" t="s">
        <v>25</v>
      </c>
      <c r="C199" s="123" t="s">
        <v>277</v>
      </c>
      <c r="D199" s="122" t="s">
        <v>271</v>
      </c>
      <c r="E199" s="124">
        <v>1.8888888888888891</v>
      </c>
      <c r="F199" s="122" t="s">
        <v>33</v>
      </c>
      <c r="G199" s="125">
        <v>5</v>
      </c>
      <c r="H199" s="122" t="s">
        <v>370</v>
      </c>
    </row>
    <row r="200" spans="1:8" ht="18" x14ac:dyDescent="0.3">
      <c r="A200" s="136">
        <v>45988</v>
      </c>
      <c r="B200" s="137" t="s">
        <v>71</v>
      </c>
      <c r="C200" s="138" t="s">
        <v>371</v>
      </c>
      <c r="D200" s="137" t="s">
        <v>271</v>
      </c>
      <c r="E200" s="139">
        <v>1.9375</v>
      </c>
      <c r="F200" s="137" t="s">
        <v>81</v>
      </c>
      <c r="G200" s="140">
        <v>2</v>
      </c>
      <c r="H200" s="137" t="s">
        <v>341</v>
      </c>
    </row>
    <row r="201" spans="1:8" ht="18" x14ac:dyDescent="0.3">
      <c r="A201" s="141">
        <v>45988</v>
      </c>
      <c r="B201" s="142" t="s">
        <v>71</v>
      </c>
      <c r="C201" s="143" t="s">
        <v>373</v>
      </c>
      <c r="D201" s="142" t="s">
        <v>271</v>
      </c>
      <c r="E201" s="144">
        <v>1.5625</v>
      </c>
      <c r="F201" s="142" t="s">
        <v>81</v>
      </c>
      <c r="G201" s="236">
        <v>3</v>
      </c>
      <c r="H201" s="142" t="s">
        <v>374</v>
      </c>
    </row>
    <row r="202" spans="1:8" ht="18" x14ac:dyDescent="0.3">
      <c r="A202" s="141">
        <v>45988</v>
      </c>
      <c r="B202" s="142" t="s">
        <v>71</v>
      </c>
      <c r="C202" s="143" t="s">
        <v>377</v>
      </c>
      <c r="D202" s="142" t="s">
        <v>271</v>
      </c>
      <c r="E202" s="144">
        <v>1.0659722222222221</v>
      </c>
      <c r="F202" s="142" t="s">
        <v>73</v>
      </c>
      <c r="G202" s="142"/>
      <c r="H202" s="142" t="s">
        <v>74</v>
      </c>
    </row>
    <row r="203" spans="1:8" ht="18" x14ac:dyDescent="0.3">
      <c r="A203" s="141">
        <v>45988</v>
      </c>
      <c r="B203" s="142" t="s">
        <v>71</v>
      </c>
      <c r="C203" s="143" t="s">
        <v>328</v>
      </c>
      <c r="D203" s="142" t="s">
        <v>271</v>
      </c>
      <c r="E203" s="144">
        <v>1.15625</v>
      </c>
      <c r="F203" s="142" t="s">
        <v>73</v>
      </c>
      <c r="G203" s="142"/>
      <c r="H203" s="142" t="s">
        <v>74</v>
      </c>
    </row>
    <row r="204" spans="1:8" ht="18" x14ac:dyDescent="0.3">
      <c r="A204" s="141">
        <v>45988</v>
      </c>
      <c r="B204" s="142" t="s">
        <v>71</v>
      </c>
      <c r="C204" s="143" t="s">
        <v>380</v>
      </c>
      <c r="D204" s="142" t="s">
        <v>271</v>
      </c>
      <c r="E204" s="144">
        <v>1.1875</v>
      </c>
      <c r="F204" s="142" t="s">
        <v>73</v>
      </c>
      <c r="G204" s="142"/>
      <c r="H204" s="142" t="s">
        <v>74</v>
      </c>
    </row>
    <row r="205" spans="1:8" ht="18" x14ac:dyDescent="0.3">
      <c r="A205" s="141">
        <v>45988</v>
      </c>
      <c r="B205" s="142" t="s">
        <v>71</v>
      </c>
      <c r="C205" s="143" t="s">
        <v>330</v>
      </c>
      <c r="D205" s="142" t="s">
        <v>271</v>
      </c>
      <c r="E205" s="144">
        <v>1.40625</v>
      </c>
      <c r="F205" s="142" t="s">
        <v>73</v>
      </c>
      <c r="G205" s="142"/>
      <c r="H205" s="142" t="s">
        <v>74</v>
      </c>
    </row>
    <row r="206" spans="1:8" ht="18" x14ac:dyDescent="0.3">
      <c r="A206" s="126">
        <v>45988</v>
      </c>
      <c r="B206" s="116" t="s">
        <v>54</v>
      </c>
      <c r="C206" s="117" t="s">
        <v>299</v>
      </c>
      <c r="D206" s="116" t="s">
        <v>271</v>
      </c>
      <c r="E206" s="118">
        <v>1.3472222222222221</v>
      </c>
      <c r="F206" s="116" t="s">
        <v>56</v>
      </c>
      <c r="G206" s="119">
        <v>7</v>
      </c>
      <c r="H206" s="116" t="s">
        <v>276</v>
      </c>
    </row>
    <row r="207" spans="1:8" ht="18" x14ac:dyDescent="0.3">
      <c r="A207" s="121">
        <v>45988</v>
      </c>
      <c r="B207" s="122" t="s">
        <v>54</v>
      </c>
      <c r="C207" s="123" t="s">
        <v>299</v>
      </c>
      <c r="D207" s="122" t="s">
        <v>271</v>
      </c>
      <c r="E207" s="124">
        <v>1.3472222222222221</v>
      </c>
      <c r="F207" s="122" t="s">
        <v>58</v>
      </c>
      <c r="G207" s="125">
        <v>7</v>
      </c>
      <c r="H207" s="122" t="s">
        <v>279</v>
      </c>
    </row>
    <row r="208" spans="1:8" ht="18" x14ac:dyDescent="0.3">
      <c r="A208" s="121">
        <v>45988</v>
      </c>
      <c r="B208" s="122" t="s">
        <v>54</v>
      </c>
      <c r="C208" s="123" t="s">
        <v>299</v>
      </c>
      <c r="D208" s="122" t="s">
        <v>271</v>
      </c>
      <c r="E208" s="124">
        <v>1.3472222222222221</v>
      </c>
      <c r="F208" s="122" t="s">
        <v>60</v>
      </c>
      <c r="G208" s="125">
        <v>7</v>
      </c>
      <c r="H208" s="122" t="s">
        <v>300</v>
      </c>
    </row>
    <row r="209" spans="1:8" ht="18" x14ac:dyDescent="0.3">
      <c r="A209" s="127">
        <v>45988</v>
      </c>
      <c r="B209" s="128" t="s">
        <v>54</v>
      </c>
      <c r="C209" s="129" t="s">
        <v>291</v>
      </c>
      <c r="D209" s="128" t="s">
        <v>271</v>
      </c>
      <c r="E209" s="130">
        <v>1.993055555555556</v>
      </c>
      <c r="F209" s="128" t="s">
        <v>56</v>
      </c>
      <c r="G209" s="131">
        <v>6</v>
      </c>
      <c r="H209" s="128" t="s">
        <v>276</v>
      </c>
    </row>
    <row r="210" spans="1:8" ht="18" x14ac:dyDescent="0.3">
      <c r="A210" s="121">
        <v>45988</v>
      </c>
      <c r="B210" s="122" t="s">
        <v>54</v>
      </c>
      <c r="C210" s="123" t="s">
        <v>291</v>
      </c>
      <c r="D210" s="122" t="s">
        <v>271</v>
      </c>
      <c r="E210" s="124">
        <v>1.993055555555556</v>
      </c>
      <c r="F210" s="122" t="s">
        <v>58</v>
      </c>
      <c r="G210" s="125">
        <v>6</v>
      </c>
      <c r="H210" s="122" t="s">
        <v>279</v>
      </c>
    </row>
    <row r="211" spans="1:8" ht="18" x14ac:dyDescent="0.3">
      <c r="A211" s="121">
        <v>45988</v>
      </c>
      <c r="B211" s="122" t="s">
        <v>54</v>
      </c>
      <c r="C211" s="123" t="s">
        <v>291</v>
      </c>
      <c r="D211" s="122" t="s">
        <v>271</v>
      </c>
      <c r="E211" s="124">
        <v>1.993055555555556</v>
      </c>
      <c r="F211" s="122" t="s">
        <v>60</v>
      </c>
      <c r="G211" s="125">
        <v>6</v>
      </c>
      <c r="H211" s="122" t="s">
        <v>300</v>
      </c>
    </row>
    <row r="212" spans="1:8" ht="18" x14ac:dyDescent="0.3">
      <c r="A212" s="127">
        <v>45988</v>
      </c>
      <c r="B212" s="128" t="s">
        <v>54</v>
      </c>
      <c r="C212" s="129" t="s">
        <v>295</v>
      </c>
      <c r="D212" s="128" t="s">
        <v>271</v>
      </c>
      <c r="E212" s="130">
        <v>1.944444444444444</v>
      </c>
      <c r="F212" s="128" t="s">
        <v>56</v>
      </c>
      <c r="G212" s="131">
        <v>1</v>
      </c>
      <c r="H212" s="128" t="s">
        <v>276</v>
      </c>
    </row>
    <row r="213" spans="1:8" ht="18" x14ac:dyDescent="0.3">
      <c r="A213" s="121">
        <v>45988</v>
      </c>
      <c r="B213" s="122" t="s">
        <v>54</v>
      </c>
      <c r="C213" s="123" t="s">
        <v>295</v>
      </c>
      <c r="D213" s="122" t="s">
        <v>271</v>
      </c>
      <c r="E213" s="124">
        <v>1.944444444444444</v>
      </c>
      <c r="F213" s="122" t="s">
        <v>58</v>
      </c>
      <c r="G213" s="125">
        <v>1</v>
      </c>
      <c r="H213" s="122" t="s">
        <v>279</v>
      </c>
    </row>
    <row r="214" spans="1:8" ht="18" x14ac:dyDescent="0.3">
      <c r="A214" s="121">
        <v>45988</v>
      </c>
      <c r="B214" s="122" t="s">
        <v>54</v>
      </c>
      <c r="C214" s="123" t="s">
        <v>295</v>
      </c>
      <c r="D214" s="122" t="s">
        <v>271</v>
      </c>
      <c r="E214" s="124">
        <v>1.944444444444444</v>
      </c>
      <c r="F214" s="122" t="s">
        <v>60</v>
      </c>
      <c r="G214" s="125">
        <v>1</v>
      </c>
      <c r="H214" s="122" t="s">
        <v>300</v>
      </c>
    </row>
    <row r="215" spans="1:8" ht="18" x14ac:dyDescent="0.3">
      <c r="A215" s="127">
        <v>45988</v>
      </c>
      <c r="B215" s="128" t="s">
        <v>54</v>
      </c>
      <c r="C215" s="129" t="s">
        <v>296</v>
      </c>
      <c r="D215" s="128" t="s">
        <v>271</v>
      </c>
      <c r="E215" s="130">
        <v>1.4861111111111109</v>
      </c>
      <c r="F215" s="128" t="s">
        <v>56</v>
      </c>
      <c r="G215" s="131">
        <v>7</v>
      </c>
      <c r="H215" s="128" t="s">
        <v>276</v>
      </c>
    </row>
    <row r="216" spans="1:8" ht="18" x14ac:dyDescent="0.3">
      <c r="A216" s="121">
        <v>45988</v>
      </c>
      <c r="B216" s="122" t="s">
        <v>54</v>
      </c>
      <c r="C216" s="123" t="s">
        <v>296</v>
      </c>
      <c r="D216" s="122" t="s">
        <v>271</v>
      </c>
      <c r="E216" s="124">
        <v>1.4861111111111109</v>
      </c>
      <c r="F216" s="122" t="s">
        <v>58</v>
      </c>
      <c r="G216" s="125">
        <v>7</v>
      </c>
      <c r="H216" s="122" t="s">
        <v>279</v>
      </c>
    </row>
    <row r="217" spans="1:8" ht="18" x14ac:dyDescent="0.3">
      <c r="A217" s="121">
        <v>45988</v>
      </c>
      <c r="B217" s="122" t="s">
        <v>54</v>
      </c>
      <c r="C217" s="123" t="s">
        <v>296</v>
      </c>
      <c r="D217" s="122" t="s">
        <v>271</v>
      </c>
      <c r="E217" s="124">
        <v>1.4861111111111109</v>
      </c>
      <c r="F217" s="122" t="s">
        <v>60</v>
      </c>
      <c r="G217" s="125">
        <v>7</v>
      </c>
      <c r="H217" s="122" t="s">
        <v>300</v>
      </c>
    </row>
    <row r="218" spans="1:8" ht="18" x14ac:dyDescent="0.3">
      <c r="A218" s="127">
        <v>45988</v>
      </c>
      <c r="B218" s="128" t="s">
        <v>54</v>
      </c>
      <c r="C218" s="129" t="s">
        <v>297</v>
      </c>
      <c r="D218" s="128" t="s">
        <v>271</v>
      </c>
      <c r="E218" s="130">
        <v>1.3923611111111109</v>
      </c>
      <c r="F218" s="128" t="s">
        <v>56</v>
      </c>
      <c r="G218" s="131">
        <v>9</v>
      </c>
      <c r="H218" s="128" t="s">
        <v>276</v>
      </c>
    </row>
    <row r="219" spans="1:8" ht="18" x14ac:dyDescent="0.3">
      <c r="A219" s="121">
        <v>45988</v>
      </c>
      <c r="B219" s="122" t="s">
        <v>54</v>
      </c>
      <c r="C219" s="123" t="s">
        <v>297</v>
      </c>
      <c r="D219" s="122" t="s">
        <v>271</v>
      </c>
      <c r="E219" s="124">
        <v>1.3923611111111109</v>
      </c>
      <c r="F219" s="122" t="s">
        <v>58</v>
      </c>
      <c r="G219" s="125">
        <v>9</v>
      </c>
      <c r="H219" s="122" t="s">
        <v>279</v>
      </c>
    </row>
    <row r="220" spans="1:8" ht="18" x14ac:dyDescent="0.3">
      <c r="A220" s="121">
        <v>45988</v>
      </c>
      <c r="B220" s="122" t="s">
        <v>54</v>
      </c>
      <c r="C220" s="123" t="s">
        <v>297</v>
      </c>
      <c r="D220" s="122" t="s">
        <v>271</v>
      </c>
      <c r="E220" s="124">
        <v>1.3923611111111109</v>
      </c>
      <c r="F220" s="122" t="s">
        <v>60</v>
      </c>
      <c r="G220" s="125">
        <v>9</v>
      </c>
      <c r="H220" s="122" t="s">
        <v>300</v>
      </c>
    </row>
    <row r="221" spans="1:8" ht="18" x14ac:dyDescent="0.3">
      <c r="A221" s="127">
        <v>45988</v>
      </c>
      <c r="B221" s="128" t="s">
        <v>54</v>
      </c>
      <c r="C221" s="129" t="s">
        <v>301</v>
      </c>
      <c r="D221" s="128" t="s">
        <v>271</v>
      </c>
      <c r="E221" s="130">
        <v>1.75</v>
      </c>
      <c r="F221" s="128" t="s">
        <v>56</v>
      </c>
      <c r="G221" s="131">
        <v>1</v>
      </c>
      <c r="H221" s="128" t="s">
        <v>61</v>
      </c>
    </row>
    <row r="222" spans="1:8" ht="18" x14ac:dyDescent="0.3">
      <c r="A222" s="121">
        <v>45988</v>
      </c>
      <c r="B222" s="122" t="s">
        <v>54</v>
      </c>
      <c r="C222" s="123" t="s">
        <v>301</v>
      </c>
      <c r="D222" s="122" t="s">
        <v>271</v>
      </c>
      <c r="E222" s="124">
        <v>1.75</v>
      </c>
      <c r="F222" s="122" t="s">
        <v>58</v>
      </c>
      <c r="G222" s="125">
        <v>1</v>
      </c>
      <c r="H222" s="122" t="s">
        <v>34</v>
      </c>
    </row>
    <row r="223" spans="1:8" ht="18" x14ac:dyDescent="0.3">
      <c r="A223" s="121">
        <v>45988</v>
      </c>
      <c r="B223" s="122" t="s">
        <v>54</v>
      </c>
      <c r="C223" s="123" t="s">
        <v>301</v>
      </c>
      <c r="D223" s="122" t="s">
        <v>271</v>
      </c>
      <c r="E223" s="124">
        <v>1.75</v>
      </c>
      <c r="F223" s="122" t="s">
        <v>60</v>
      </c>
      <c r="G223" s="125">
        <v>1</v>
      </c>
      <c r="H223" s="122" t="s">
        <v>356</v>
      </c>
    </row>
    <row r="224" spans="1:8" ht="18" x14ac:dyDescent="0.3">
      <c r="A224" s="127">
        <v>45988</v>
      </c>
      <c r="B224" s="128" t="s">
        <v>54</v>
      </c>
      <c r="C224" s="129" t="s">
        <v>294</v>
      </c>
      <c r="D224" s="128" t="s">
        <v>271</v>
      </c>
      <c r="E224" s="130">
        <v>1.836805555555556</v>
      </c>
      <c r="F224" s="128" t="s">
        <v>56</v>
      </c>
      <c r="G224" s="131">
        <v>9</v>
      </c>
      <c r="H224" s="128" t="s">
        <v>61</v>
      </c>
    </row>
    <row r="225" spans="1:8" ht="18" x14ac:dyDescent="0.3">
      <c r="A225" s="121">
        <v>45988</v>
      </c>
      <c r="B225" s="122" t="s">
        <v>54</v>
      </c>
      <c r="C225" s="123" t="s">
        <v>294</v>
      </c>
      <c r="D225" s="122" t="s">
        <v>271</v>
      </c>
      <c r="E225" s="124">
        <v>1.836805555555556</v>
      </c>
      <c r="F225" s="122" t="s">
        <v>58</v>
      </c>
      <c r="G225" s="125">
        <v>9</v>
      </c>
      <c r="H225" s="122" t="s">
        <v>34</v>
      </c>
    </row>
    <row r="226" spans="1:8" ht="18" x14ac:dyDescent="0.3">
      <c r="A226" s="121">
        <v>45988</v>
      </c>
      <c r="B226" s="122" t="s">
        <v>54</v>
      </c>
      <c r="C226" s="123" t="s">
        <v>294</v>
      </c>
      <c r="D226" s="122" t="s">
        <v>271</v>
      </c>
      <c r="E226" s="124">
        <v>1.836805555555556</v>
      </c>
      <c r="F226" s="122" t="s">
        <v>60</v>
      </c>
      <c r="G226" s="125">
        <v>9</v>
      </c>
      <c r="H226" s="122" t="s">
        <v>356</v>
      </c>
    </row>
    <row r="227" spans="1:8" ht="18" x14ac:dyDescent="0.3">
      <c r="A227" s="127">
        <v>45988</v>
      </c>
      <c r="B227" s="128" t="s">
        <v>54</v>
      </c>
      <c r="C227" s="129" t="s">
        <v>298</v>
      </c>
      <c r="D227" s="128" t="s">
        <v>271</v>
      </c>
      <c r="E227" s="130">
        <v>1.8888888888888891</v>
      </c>
      <c r="F227" s="128" t="s">
        <v>56</v>
      </c>
      <c r="G227" s="131">
        <v>9</v>
      </c>
      <c r="H227" s="128" t="s">
        <v>61</v>
      </c>
    </row>
    <row r="228" spans="1:8" ht="18" x14ac:dyDescent="0.3">
      <c r="A228" s="121">
        <v>45988</v>
      </c>
      <c r="B228" s="122" t="s">
        <v>54</v>
      </c>
      <c r="C228" s="123" t="s">
        <v>298</v>
      </c>
      <c r="D228" s="122" t="s">
        <v>271</v>
      </c>
      <c r="E228" s="124">
        <v>1.8888888888888891</v>
      </c>
      <c r="F228" s="122" t="s">
        <v>58</v>
      </c>
      <c r="G228" s="125">
        <v>9</v>
      </c>
      <c r="H228" s="122" t="s">
        <v>34</v>
      </c>
    </row>
    <row r="229" spans="1:8" ht="18" x14ac:dyDescent="0.3">
      <c r="A229" s="121">
        <v>45988</v>
      </c>
      <c r="B229" s="122" t="s">
        <v>54</v>
      </c>
      <c r="C229" s="123" t="s">
        <v>298</v>
      </c>
      <c r="D229" s="122" t="s">
        <v>271</v>
      </c>
      <c r="E229" s="124">
        <v>1.8888888888888891</v>
      </c>
      <c r="F229" s="122" t="s">
        <v>60</v>
      </c>
      <c r="G229" s="125">
        <v>9</v>
      </c>
      <c r="H229" s="122" t="s">
        <v>356</v>
      </c>
    </row>
    <row r="230" spans="1:8" ht="18" x14ac:dyDescent="0.3">
      <c r="A230" s="126">
        <v>45988</v>
      </c>
      <c r="B230" s="116" t="s">
        <v>285</v>
      </c>
      <c r="C230" s="117" t="s">
        <v>286</v>
      </c>
      <c r="D230" s="116" t="s">
        <v>271</v>
      </c>
      <c r="E230" s="118">
        <v>1.493055555555556</v>
      </c>
      <c r="F230" s="116" t="s">
        <v>81</v>
      </c>
      <c r="G230" s="119">
        <v>2</v>
      </c>
      <c r="H230" s="116" t="s">
        <v>353</v>
      </c>
    </row>
    <row r="231" spans="1:8" ht="18" x14ac:dyDescent="0.3">
      <c r="A231" s="126">
        <v>45988</v>
      </c>
      <c r="B231" s="116" t="s">
        <v>360</v>
      </c>
      <c r="C231" s="117" t="s">
        <v>384</v>
      </c>
      <c r="D231" s="116" t="s">
        <v>271</v>
      </c>
      <c r="E231" s="118">
        <v>1.118055555555556</v>
      </c>
      <c r="F231" s="116" t="s">
        <v>81</v>
      </c>
      <c r="G231" s="119">
        <v>5</v>
      </c>
      <c r="H231" s="116" t="s">
        <v>362</v>
      </c>
    </row>
    <row r="232" spans="1:8" ht="18" x14ac:dyDescent="0.3">
      <c r="A232" s="127">
        <v>45988</v>
      </c>
      <c r="B232" s="128" t="s">
        <v>360</v>
      </c>
      <c r="C232" s="129" t="s">
        <v>361</v>
      </c>
      <c r="D232" s="128" t="s">
        <v>271</v>
      </c>
      <c r="E232" s="130">
        <v>1.4201388888888891</v>
      </c>
      <c r="F232" s="128" t="s">
        <v>81</v>
      </c>
      <c r="G232" s="131">
        <v>5</v>
      </c>
      <c r="H232" s="128" t="s">
        <v>362</v>
      </c>
    </row>
    <row r="233" spans="1:8" ht="18" x14ac:dyDescent="0.3">
      <c r="A233" s="126">
        <v>45988</v>
      </c>
      <c r="B233" s="116" t="s">
        <v>35</v>
      </c>
      <c r="C233" s="117" t="s">
        <v>310</v>
      </c>
      <c r="D233" s="116" t="s">
        <v>271</v>
      </c>
      <c r="E233" s="118">
        <v>1.8298611111111109</v>
      </c>
      <c r="F233" s="116" t="s">
        <v>42</v>
      </c>
      <c r="G233" s="119">
        <v>9</v>
      </c>
      <c r="H233" s="116" t="s">
        <v>363</v>
      </c>
    </row>
    <row r="234" spans="1:8" ht="18" x14ac:dyDescent="0.3">
      <c r="A234" s="127">
        <v>45988</v>
      </c>
      <c r="B234" s="128" t="s">
        <v>35</v>
      </c>
      <c r="C234" s="129" t="s">
        <v>302</v>
      </c>
      <c r="D234" s="128" t="s">
        <v>271</v>
      </c>
      <c r="E234" s="130">
        <v>1.118055555555556</v>
      </c>
      <c r="F234" s="128" t="s">
        <v>42</v>
      </c>
      <c r="G234" s="131">
        <v>9</v>
      </c>
      <c r="H234" s="128" t="s">
        <v>363</v>
      </c>
    </row>
    <row r="235" spans="1:8" ht="18" x14ac:dyDescent="0.3">
      <c r="A235" s="127">
        <v>45988</v>
      </c>
      <c r="B235" s="128" t="s">
        <v>35</v>
      </c>
      <c r="C235" s="129" t="s">
        <v>312</v>
      </c>
      <c r="D235" s="128" t="s">
        <v>271</v>
      </c>
      <c r="E235" s="130">
        <v>1.7048611111111109</v>
      </c>
      <c r="F235" s="128" t="s">
        <v>42</v>
      </c>
      <c r="G235" s="131">
        <v>9</v>
      </c>
      <c r="H235" s="128" t="s">
        <v>363</v>
      </c>
    </row>
    <row r="236" spans="1:8" ht="18" x14ac:dyDescent="0.3">
      <c r="A236" s="127">
        <v>45988</v>
      </c>
      <c r="B236" s="128" t="s">
        <v>35</v>
      </c>
      <c r="C236" s="129" t="s">
        <v>313</v>
      </c>
      <c r="D236" s="128" t="s">
        <v>271</v>
      </c>
      <c r="E236" s="130">
        <v>1.2534722222222221</v>
      </c>
      <c r="F236" s="128" t="s">
        <v>42</v>
      </c>
      <c r="G236" s="131">
        <v>9</v>
      </c>
      <c r="H236" s="128" t="s">
        <v>363</v>
      </c>
    </row>
    <row r="237" spans="1:8" ht="18" x14ac:dyDescent="0.3">
      <c r="A237" s="127">
        <v>45988</v>
      </c>
      <c r="B237" s="128" t="s">
        <v>35</v>
      </c>
      <c r="C237" s="129" t="s">
        <v>306</v>
      </c>
      <c r="D237" s="128" t="s">
        <v>271</v>
      </c>
      <c r="E237" s="130">
        <v>1.989583333333333</v>
      </c>
      <c r="F237" s="128" t="s">
        <v>42</v>
      </c>
      <c r="G237" s="131">
        <v>4</v>
      </c>
      <c r="H237" s="128" t="s">
        <v>307</v>
      </c>
    </row>
    <row r="238" spans="1:8" ht="18" x14ac:dyDescent="0.3">
      <c r="A238" s="127">
        <v>45988</v>
      </c>
      <c r="B238" s="128" t="s">
        <v>35</v>
      </c>
      <c r="C238" s="129" t="s">
        <v>304</v>
      </c>
      <c r="D238" s="128" t="s">
        <v>271</v>
      </c>
      <c r="E238" s="130">
        <v>1.399305555555556</v>
      </c>
      <c r="F238" s="128" t="s">
        <v>42</v>
      </c>
      <c r="G238" s="131">
        <v>4</v>
      </c>
      <c r="H238" s="128" t="s">
        <v>307</v>
      </c>
    </row>
    <row r="239" spans="1:8" ht="18" x14ac:dyDescent="0.3">
      <c r="A239" s="127">
        <v>45988</v>
      </c>
      <c r="B239" s="128" t="s">
        <v>35</v>
      </c>
      <c r="C239" s="129" t="s">
        <v>308</v>
      </c>
      <c r="D239" s="128" t="s">
        <v>271</v>
      </c>
      <c r="E239" s="130">
        <v>1.489583333333333</v>
      </c>
      <c r="F239" s="128" t="s">
        <v>42</v>
      </c>
      <c r="G239" s="131">
        <v>4</v>
      </c>
      <c r="H239" s="128" t="s">
        <v>307</v>
      </c>
    </row>
    <row r="240" spans="1:8" ht="18" x14ac:dyDescent="0.3">
      <c r="A240" s="127">
        <v>45988</v>
      </c>
      <c r="B240" s="128" t="s">
        <v>35</v>
      </c>
      <c r="C240" s="129" t="s">
        <v>316</v>
      </c>
      <c r="D240" s="128" t="s">
        <v>271</v>
      </c>
      <c r="E240" s="130">
        <v>1.489583333333333</v>
      </c>
      <c r="F240" s="128" t="s">
        <v>42</v>
      </c>
      <c r="G240" s="131">
        <v>9</v>
      </c>
      <c r="H240" s="128" t="s">
        <v>311</v>
      </c>
    </row>
    <row r="241" spans="1:8" ht="18" x14ac:dyDescent="0.3">
      <c r="A241" s="127">
        <v>45988</v>
      </c>
      <c r="B241" s="128" t="s">
        <v>35</v>
      </c>
      <c r="C241" s="129" t="s">
        <v>318</v>
      </c>
      <c r="D241" s="128" t="s">
        <v>271</v>
      </c>
      <c r="E241" s="130">
        <v>1.7222222222222221</v>
      </c>
      <c r="F241" s="128" t="s">
        <v>42</v>
      </c>
      <c r="G241" s="131">
        <v>9</v>
      </c>
      <c r="H241" s="128" t="s">
        <v>311</v>
      </c>
    </row>
    <row r="242" spans="1:8" ht="18" x14ac:dyDescent="0.3">
      <c r="A242" s="127">
        <v>45988</v>
      </c>
      <c r="B242" s="128" t="s">
        <v>35</v>
      </c>
      <c r="C242" s="129" t="s">
        <v>314</v>
      </c>
      <c r="D242" s="128" t="s">
        <v>271</v>
      </c>
      <c r="E242" s="130">
        <v>1.041666666666667</v>
      </c>
      <c r="F242" s="128" t="s">
        <v>42</v>
      </c>
      <c r="G242" s="131">
        <v>9</v>
      </c>
      <c r="H242" s="128" t="s">
        <v>311</v>
      </c>
    </row>
    <row r="243" spans="1:8" ht="18" x14ac:dyDescent="0.3">
      <c r="A243" s="127">
        <v>45988</v>
      </c>
      <c r="B243" s="128" t="s">
        <v>35</v>
      </c>
      <c r="C243" s="129" t="s">
        <v>309</v>
      </c>
      <c r="D243" s="128" t="s">
        <v>271</v>
      </c>
      <c r="E243" s="130">
        <v>1.8888888888888891</v>
      </c>
      <c r="F243" s="128" t="s">
        <v>42</v>
      </c>
      <c r="G243" s="131">
        <v>4</v>
      </c>
      <c r="H243" s="128" t="s">
        <v>364</v>
      </c>
    </row>
    <row r="244" spans="1:8" ht="18" x14ac:dyDescent="0.3">
      <c r="A244" s="127">
        <v>45988</v>
      </c>
      <c r="B244" s="128" t="s">
        <v>35</v>
      </c>
      <c r="C244" s="129" t="s">
        <v>315</v>
      </c>
      <c r="D244" s="128" t="s">
        <v>271</v>
      </c>
      <c r="E244" s="130">
        <v>1.9409722222222221</v>
      </c>
      <c r="F244" s="128" t="s">
        <v>42</v>
      </c>
      <c r="G244" s="131">
        <v>9</v>
      </c>
      <c r="H244" s="128" t="s">
        <v>317</v>
      </c>
    </row>
    <row r="245" spans="1:8" ht="18" x14ac:dyDescent="0.3">
      <c r="A245" s="126">
        <v>45988</v>
      </c>
      <c r="B245" s="116" t="s">
        <v>63</v>
      </c>
      <c r="C245" s="117" t="s">
        <v>319</v>
      </c>
      <c r="D245" s="116" t="s">
        <v>271</v>
      </c>
      <c r="E245" s="118">
        <v>1.836805555555556</v>
      </c>
      <c r="F245" s="116" t="s">
        <v>48</v>
      </c>
      <c r="G245" s="119">
        <v>2</v>
      </c>
      <c r="H245" s="116" t="s">
        <v>320</v>
      </c>
    </row>
    <row r="246" spans="1:8" ht="18" x14ac:dyDescent="0.3">
      <c r="A246" s="127">
        <v>45988</v>
      </c>
      <c r="B246" s="128" t="s">
        <v>63</v>
      </c>
      <c r="C246" s="129" t="s">
        <v>324</v>
      </c>
      <c r="D246" s="128" t="s">
        <v>271</v>
      </c>
      <c r="E246" s="130">
        <v>1.3402777777777779</v>
      </c>
      <c r="F246" s="128" t="s">
        <v>48</v>
      </c>
      <c r="G246" s="131">
        <v>5</v>
      </c>
      <c r="H246" s="128" t="s">
        <v>320</v>
      </c>
    </row>
    <row r="247" spans="1:8" ht="18" x14ac:dyDescent="0.3">
      <c r="A247" s="150">
        <v>45988</v>
      </c>
      <c r="B247" s="151" t="s">
        <v>63</v>
      </c>
      <c r="C247" s="152" t="s">
        <v>327</v>
      </c>
      <c r="D247" s="151" t="s">
        <v>271</v>
      </c>
      <c r="E247" s="153">
        <v>1.0486111111111109</v>
      </c>
      <c r="F247" s="151" t="s">
        <v>48</v>
      </c>
      <c r="G247" s="154">
        <v>7</v>
      </c>
      <c r="H247" s="151" t="s">
        <v>320</v>
      </c>
    </row>
    <row r="248" spans="1:8" ht="18" x14ac:dyDescent="0.3">
      <c r="A248" s="187">
        <v>45989</v>
      </c>
      <c r="B248" s="137" t="s">
        <v>71</v>
      </c>
      <c r="C248" s="138" t="s">
        <v>373</v>
      </c>
      <c r="D248" s="137" t="s">
        <v>271</v>
      </c>
      <c r="E248" s="139">
        <v>1.4375</v>
      </c>
      <c r="F248" s="137" t="s">
        <v>81</v>
      </c>
      <c r="G248" s="140">
        <v>1</v>
      </c>
      <c r="H248" s="188" t="s">
        <v>341</v>
      </c>
    </row>
    <row r="249" spans="1:8" ht="18" x14ac:dyDescent="0.3">
      <c r="A249" s="141">
        <v>45989</v>
      </c>
      <c r="B249" s="142" t="s">
        <v>71</v>
      </c>
      <c r="C249" s="143" t="s">
        <v>340</v>
      </c>
      <c r="D249" s="142" t="s">
        <v>271</v>
      </c>
      <c r="E249" s="144">
        <v>1.5590277777777779</v>
      </c>
      <c r="F249" s="142" t="s">
        <v>81</v>
      </c>
      <c r="G249" s="236">
        <v>1</v>
      </c>
      <c r="H249" s="142" t="s">
        <v>386</v>
      </c>
    </row>
    <row r="250" spans="1:8" ht="18" x14ac:dyDescent="0.3">
      <c r="A250" s="141">
        <v>45989</v>
      </c>
      <c r="B250" s="142" t="s">
        <v>71</v>
      </c>
      <c r="C250" s="143" t="s">
        <v>389</v>
      </c>
      <c r="D250" s="142" t="s">
        <v>271</v>
      </c>
      <c r="E250" s="144">
        <v>1.28125</v>
      </c>
      <c r="F250" s="142" t="s">
        <v>81</v>
      </c>
      <c r="G250" s="236">
        <v>6</v>
      </c>
      <c r="H250" s="142" t="s">
        <v>374</v>
      </c>
    </row>
    <row r="251" spans="1:8" ht="18" x14ac:dyDescent="0.3">
      <c r="A251" s="141">
        <v>45989</v>
      </c>
      <c r="B251" s="142" t="s">
        <v>71</v>
      </c>
      <c r="C251" s="143" t="s">
        <v>328</v>
      </c>
      <c r="D251" s="142" t="s">
        <v>271</v>
      </c>
      <c r="E251" s="144">
        <v>1.1423611111111109</v>
      </c>
      <c r="F251" s="142" t="s">
        <v>73</v>
      </c>
      <c r="G251" s="142"/>
      <c r="H251" s="142" t="s">
        <v>74</v>
      </c>
    </row>
    <row r="252" spans="1:8" ht="18" x14ac:dyDescent="0.3">
      <c r="A252" s="141">
        <v>45989</v>
      </c>
      <c r="B252" s="142" t="s">
        <v>71</v>
      </c>
      <c r="C252" s="143" t="s">
        <v>332</v>
      </c>
      <c r="D252" s="142" t="s">
        <v>271</v>
      </c>
      <c r="E252" s="144">
        <v>1.760416666666667</v>
      </c>
      <c r="F252" s="142" t="s">
        <v>73</v>
      </c>
      <c r="G252" s="142"/>
      <c r="H252" s="142" t="s">
        <v>74</v>
      </c>
    </row>
    <row r="253" spans="1:8" ht="18" x14ac:dyDescent="0.3">
      <c r="A253" s="126">
        <v>45989</v>
      </c>
      <c r="B253" s="116" t="s">
        <v>25</v>
      </c>
      <c r="C253" s="117" t="s">
        <v>278</v>
      </c>
      <c r="D253" s="116" t="s">
        <v>271</v>
      </c>
      <c r="E253" s="118">
        <v>1.399305555555556</v>
      </c>
      <c r="F253" s="116" t="s">
        <v>27</v>
      </c>
      <c r="G253" s="119">
        <v>4</v>
      </c>
      <c r="H253" s="116" t="s">
        <v>276</v>
      </c>
    </row>
    <row r="254" spans="1:8" ht="18" x14ac:dyDescent="0.3">
      <c r="A254" s="121">
        <v>45989</v>
      </c>
      <c r="B254" s="122" t="s">
        <v>25</v>
      </c>
      <c r="C254" s="123" t="s">
        <v>278</v>
      </c>
      <c r="D254" s="122" t="s">
        <v>271</v>
      </c>
      <c r="E254" s="124">
        <v>1.399305555555556</v>
      </c>
      <c r="F254" s="122" t="s">
        <v>30</v>
      </c>
      <c r="G254" s="125">
        <v>4</v>
      </c>
      <c r="H254" s="122" t="s">
        <v>119</v>
      </c>
    </row>
    <row r="255" spans="1:8" ht="18" x14ac:dyDescent="0.3">
      <c r="A255" s="121">
        <v>45989</v>
      </c>
      <c r="B255" s="122" t="s">
        <v>25</v>
      </c>
      <c r="C255" s="123" t="s">
        <v>278</v>
      </c>
      <c r="D255" s="122" t="s">
        <v>271</v>
      </c>
      <c r="E255" s="124">
        <v>1.399305555555556</v>
      </c>
      <c r="F255" s="122" t="s">
        <v>33</v>
      </c>
      <c r="G255" s="125">
        <v>4</v>
      </c>
      <c r="H255" s="122" t="s">
        <v>34</v>
      </c>
    </row>
    <row r="256" spans="1:8" ht="18" x14ac:dyDescent="0.3">
      <c r="A256" s="127">
        <v>45989</v>
      </c>
      <c r="B256" s="128" t="s">
        <v>25</v>
      </c>
      <c r="C256" s="129" t="s">
        <v>273</v>
      </c>
      <c r="D256" s="128" t="s">
        <v>271</v>
      </c>
      <c r="E256" s="130">
        <v>1.489583333333333</v>
      </c>
      <c r="F256" s="128" t="s">
        <v>27</v>
      </c>
      <c r="G256" s="131">
        <v>2</v>
      </c>
      <c r="H256" s="128" t="s">
        <v>335</v>
      </c>
    </row>
    <row r="257" spans="1:8" ht="18" x14ac:dyDescent="0.3">
      <c r="A257" s="121">
        <v>45989</v>
      </c>
      <c r="B257" s="122" t="s">
        <v>25</v>
      </c>
      <c r="C257" s="123" t="s">
        <v>273</v>
      </c>
      <c r="D257" s="122" t="s">
        <v>271</v>
      </c>
      <c r="E257" s="124">
        <v>1.489583333333333</v>
      </c>
      <c r="F257" s="122" t="s">
        <v>30</v>
      </c>
      <c r="G257" s="125">
        <v>2</v>
      </c>
      <c r="H257" s="122" t="s">
        <v>61</v>
      </c>
    </row>
    <row r="258" spans="1:8" ht="18" x14ac:dyDescent="0.3">
      <c r="A258" s="121">
        <v>45989</v>
      </c>
      <c r="B258" s="122" t="s">
        <v>25</v>
      </c>
      <c r="C258" s="123" t="s">
        <v>273</v>
      </c>
      <c r="D258" s="122" t="s">
        <v>271</v>
      </c>
      <c r="E258" s="124">
        <v>1.489583333333333</v>
      </c>
      <c r="F258" s="122" t="s">
        <v>33</v>
      </c>
      <c r="G258" s="125">
        <v>2</v>
      </c>
      <c r="H258" s="122" t="s">
        <v>34</v>
      </c>
    </row>
    <row r="259" spans="1:8" ht="18" x14ac:dyDescent="0.3">
      <c r="A259" s="127">
        <v>45989</v>
      </c>
      <c r="B259" s="128" t="s">
        <v>25</v>
      </c>
      <c r="C259" s="129" t="s">
        <v>272</v>
      </c>
      <c r="D259" s="128" t="s">
        <v>271</v>
      </c>
      <c r="E259" s="130">
        <v>1.989583333333333</v>
      </c>
      <c r="F259" s="128" t="s">
        <v>27</v>
      </c>
      <c r="G259" s="131">
        <v>9</v>
      </c>
      <c r="H259" s="128" t="s">
        <v>335</v>
      </c>
    </row>
    <row r="260" spans="1:8" ht="18" x14ac:dyDescent="0.3">
      <c r="A260" s="121">
        <v>45989</v>
      </c>
      <c r="B260" s="122" t="s">
        <v>25</v>
      </c>
      <c r="C260" s="123" t="s">
        <v>272</v>
      </c>
      <c r="D260" s="122" t="s">
        <v>271</v>
      </c>
      <c r="E260" s="124">
        <v>1.989583333333333</v>
      </c>
      <c r="F260" s="122" t="s">
        <v>30</v>
      </c>
      <c r="G260" s="125">
        <v>9</v>
      </c>
      <c r="H260" s="122" t="s">
        <v>61</v>
      </c>
    </row>
    <row r="261" spans="1:8" ht="18" x14ac:dyDescent="0.3">
      <c r="A261" s="121">
        <v>45989</v>
      </c>
      <c r="B261" s="122" t="s">
        <v>25</v>
      </c>
      <c r="C261" s="123" t="s">
        <v>272</v>
      </c>
      <c r="D261" s="122" t="s">
        <v>271</v>
      </c>
      <c r="E261" s="124">
        <v>1.989583333333333</v>
      </c>
      <c r="F261" s="122" t="s">
        <v>33</v>
      </c>
      <c r="G261" s="125">
        <v>9</v>
      </c>
      <c r="H261" s="122" t="s">
        <v>34</v>
      </c>
    </row>
    <row r="262" spans="1:8" ht="18" x14ac:dyDescent="0.3">
      <c r="A262" s="127">
        <v>45989</v>
      </c>
      <c r="B262" s="128" t="s">
        <v>25</v>
      </c>
      <c r="C262" s="129" t="s">
        <v>277</v>
      </c>
      <c r="D262" s="128" t="s">
        <v>271</v>
      </c>
      <c r="E262" s="130">
        <v>1.8888888888888891</v>
      </c>
      <c r="F262" s="128" t="s">
        <v>97</v>
      </c>
      <c r="G262" s="131">
        <v>6</v>
      </c>
      <c r="H262" s="128" t="s">
        <v>119</v>
      </c>
    </row>
    <row r="263" spans="1:8" ht="18" x14ac:dyDescent="0.3">
      <c r="A263" s="121">
        <v>45989</v>
      </c>
      <c r="B263" s="122" t="s">
        <v>25</v>
      </c>
      <c r="C263" s="123" t="s">
        <v>277</v>
      </c>
      <c r="D263" s="122" t="s">
        <v>271</v>
      </c>
      <c r="E263" s="124">
        <v>1.8888888888888891</v>
      </c>
      <c r="F263" s="122" t="s">
        <v>27</v>
      </c>
      <c r="G263" s="125">
        <v>6</v>
      </c>
      <c r="H263" s="122" t="s">
        <v>119</v>
      </c>
    </row>
    <row r="264" spans="1:8" ht="18" x14ac:dyDescent="0.3">
      <c r="A264" s="121">
        <v>45989</v>
      </c>
      <c r="B264" s="122" t="s">
        <v>25</v>
      </c>
      <c r="C264" s="123" t="s">
        <v>277</v>
      </c>
      <c r="D264" s="122" t="s">
        <v>271</v>
      </c>
      <c r="E264" s="124">
        <v>1.8888888888888891</v>
      </c>
      <c r="F264" s="122" t="s">
        <v>30</v>
      </c>
      <c r="G264" s="125">
        <v>6</v>
      </c>
      <c r="H264" s="122" t="s">
        <v>34</v>
      </c>
    </row>
    <row r="265" spans="1:8" ht="18" x14ac:dyDescent="0.3">
      <c r="A265" s="121">
        <v>45989</v>
      </c>
      <c r="B265" s="122" t="s">
        <v>25</v>
      </c>
      <c r="C265" s="123" t="s">
        <v>277</v>
      </c>
      <c r="D265" s="122" t="s">
        <v>271</v>
      </c>
      <c r="E265" s="124">
        <v>1.8888888888888891</v>
      </c>
      <c r="F265" s="122" t="s">
        <v>33</v>
      </c>
      <c r="G265" s="125">
        <v>6</v>
      </c>
      <c r="H265" s="122" t="s">
        <v>370</v>
      </c>
    </row>
    <row r="266" spans="1:8" ht="18" x14ac:dyDescent="0.3">
      <c r="A266" s="126">
        <v>45989</v>
      </c>
      <c r="B266" s="116" t="s">
        <v>280</v>
      </c>
      <c r="C266" s="117" t="s">
        <v>357</v>
      </c>
      <c r="D266" s="116" t="s">
        <v>271</v>
      </c>
      <c r="E266" s="118">
        <v>1.225694444444444</v>
      </c>
      <c r="F266" s="116" t="s">
        <v>282</v>
      </c>
      <c r="G266" s="119">
        <v>1</v>
      </c>
      <c r="H266" s="116" t="s">
        <v>394</v>
      </c>
    </row>
    <row r="267" spans="1:8" ht="18" x14ac:dyDescent="0.3">
      <c r="A267" s="121">
        <v>45989</v>
      </c>
      <c r="B267" s="122" t="s">
        <v>280</v>
      </c>
      <c r="C267" s="123" t="s">
        <v>357</v>
      </c>
      <c r="D267" s="122" t="s">
        <v>271</v>
      </c>
      <c r="E267" s="124">
        <v>1.225694444444444</v>
      </c>
      <c r="F267" s="122" t="s">
        <v>33</v>
      </c>
      <c r="G267" s="125">
        <v>1</v>
      </c>
      <c r="H267" s="122" t="s">
        <v>395</v>
      </c>
    </row>
    <row r="268" spans="1:8" ht="18" x14ac:dyDescent="0.3">
      <c r="A268" s="127">
        <v>45989</v>
      </c>
      <c r="B268" s="128" t="s">
        <v>280</v>
      </c>
      <c r="C268" s="129" t="s">
        <v>396</v>
      </c>
      <c r="D268" s="128" t="s">
        <v>271</v>
      </c>
      <c r="E268" s="130">
        <v>1.8090277777777779</v>
      </c>
      <c r="F268" s="128" t="s">
        <v>282</v>
      </c>
      <c r="G268" s="131">
        <v>8</v>
      </c>
      <c r="H268" s="128" t="s">
        <v>397</v>
      </c>
    </row>
    <row r="269" spans="1:8" ht="18" x14ac:dyDescent="0.3">
      <c r="A269" s="121">
        <v>45989</v>
      </c>
      <c r="B269" s="122" t="s">
        <v>280</v>
      </c>
      <c r="C269" s="123" t="s">
        <v>396</v>
      </c>
      <c r="D269" s="122" t="s">
        <v>271</v>
      </c>
      <c r="E269" s="124">
        <v>1.8090277777777779</v>
      </c>
      <c r="F269" s="122" t="s">
        <v>33</v>
      </c>
      <c r="G269" s="125">
        <v>8</v>
      </c>
      <c r="H269" s="122" t="s">
        <v>398</v>
      </c>
    </row>
    <row r="270" spans="1:8" ht="18" x14ac:dyDescent="0.3">
      <c r="A270" s="126">
        <v>45989</v>
      </c>
      <c r="B270" s="116" t="s">
        <v>54</v>
      </c>
      <c r="C270" s="117" t="s">
        <v>299</v>
      </c>
      <c r="D270" s="116" t="s">
        <v>271</v>
      </c>
      <c r="E270" s="118">
        <v>1.3472222222222221</v>
      </c>
      <c r="F270" s="116" t="s">
        <v>56</v>
      </c>
      <c r="G270" s="119">
        <v>9</v>
      </c>
      <c r="H270" s="116" t="s">
        <v>335</v>
      </c>
    </row>
    <row r="271" spans="1:8" ht="18" x14ac:dyDescent="0.3">
      <c r="A271" s="121">
        <v>45989</v>
      </c>
      <c r="B271" s="122" t="s">
        <v>54</v>
      </c>
      <c r="C271" s="123" t="s">
        <v>299</v>
      </c>
      <c r="D271" s="122" t="s">
        <v>271</v>
      </c>
      <c r="E271" s="124">
        <v>1.3472222222222221</v>
      </c>
      <c r="F271" s="122" t="s">
        <v>58</v>
      </c>
      <c r="G271" s="125">
        <v>9</v>
      </c>
      <c r="H271" s="122" t="s">
        <v>119</v>
      </c>
    </row>
    <row r="272" spans="1:8" ht="18" x14ac:dyDescent="0.3">
      <c r="A272" s="121">
        <v>45989</v>
      </c>
      <c r="B272" s="122" t="s">
        <v>54</v>
      </c>
      <c r="C272" s="123" t="s">
        <v>299</v>
      </c>
      <c r="D272" s="122" t="s">
        <v>271</v>
      </c>
      <c r="E272" s="124">
        <v>1.3472222222222221</v>
      </c>
      <c r="F272" s="122" t="s">
        <v>60</v>
      </c>
      <c r="G272" s="125">
        <v>9</v>
      </c>
      <c r="H272" s="122" t="s">
        <v>399</v>
      </c>
    </row>
    <row r="273" spans="1:8" ht="18" x14ac:dyDescent="0.3">
      <c r="A273" s="127">
        <v>45989</v>
      </c>
      <c r="B273" s="128" t="s">
        <v>54</v>
      </c>
      <c r="C273" s="129" t="s">
        <v>291</v>
      </c>
      <c r="D273" s="128" t="s">
        <v>271</v>
      </c>
      <c r="E273" s="130">
        <v>1.993055555555556</v>
      </c>
      <c r="F273" s="128" t="s">
        <v>56</v>
      </c>
      <c r="G273" s="131">
        <v>9</v>
      </c>
      <c r="H273" s="128" t="s">
        <v>115</v>
      </c>
    </row>
    <row r="274" spans="1:8" ht="18" x14ac:dyDescent="0.3">
      <c r="A274" s="121">
        <v>45989</v>
      </c>
      <c r="B274" s="122" t="s">
        <v>54</v>
      </c>
      <c r="C274" s="123" t="s">
        <v>291</v>
      </c>
      <c r="D274" s="122" t="s">
        <v>271</v>
      </c>
      <c r="E274" s="124">
        <v>1.993055555555556</v>
      </c>
      <c r="F274" s="122" t="s">
        <v>58</v>
      </c>
      <c r="G274" s="125">
        <v>9</v>
      </c>
      <c r="H274" s="122" t="s">
        <v>400</v>
      </c>
    </row>
    <row r="275" spans="1:8" ht="18" x14ac:dyDescent="0.3">
      <c r="A275" s="121">
        <v>45989</v>
      </c>
      <c r="B275" s="122" t="s">
        <v>54</v>
      </c>
      <c r="C275" s="123" t="s">
        <v>291</v>
      </c>
      <c r="D275" s="122" t="s">
        <v>271</v>
      </c>
      <c r="E275" s="124">
        <v>1.993055555555556</v>
      </c>
      <c r="F275" s="122" t="s">
        <v>60</v>
      </c>
      <c r="G275" s="125">
        <v>9</v>
      </c>
      <c r="H275" s="122" t="s">
        <v>401</v>
      </c>
    </row>
    <row r="276" spans="1:8" ht="18" x14ac:dyDescent="0.3">
      <c r="A276" s="127">
        <v>45989</v>
      </c>
      <c r="B276" s="128" t="s">
        <v>54</v>
      </c>
      <c r="C276" s="129" t="s">
        <v>301</v>
      </c>
      <c r="D276" s="128" t="s">
        <v>271</v>
      </c>
      <c r="E276" s="130">
        <v>1.7361111111111109</v>
      </c>
      <c r="F276" s="128" t="s">
        <v>56</v>
      </c>
      <c r="G276" s="131">
        <v>6</v>
      </c>
      <c r="H276" s="128" t="s">
        <v>115</v>
      </c>
    </row>
    <row r="277" spans="1:8" ht="18" x14ac:dyDescent="0.3">
      <c r="A277" s="121">
        <v>45989</v>
      </c>
      <c r="B277" s="122" t="s">
        <v>54</v>
      </c>
      <c r="C277" s="123" t="s">
        <v>301</v>
      </c>
      <c r="D277" s="122" t="s">
        <v>271</v>
      </c>
      <c r="E277" s="124">
        <v>1.7361111111111109</v>
      </c>
      <c r="F277" s="122" t="s">
        <v>58</v>
      </c>
      <c r="G277" s="125">
        <v>6</v>
      </c>
      <c r="H277" s="122" t="s">
        <v>400</v>
      </c>
    </row>
    <row r="278" spans="1:8" ht="18" x14ac:dyDescent="0.3">
      <c r="A278" s="121">
        <v>45989</v>
      </c>
      <c r="B278" s="122" t="s">
        <v>54</v>
      </c>
      <c r="C278" s="123" t="s">
        <v>301</v>
      </c>
      <c r="D278" s="122" t="s">
        <v>271</v>
      </c>
      <c r="E278" s="124">
        <v>1.7361111111111109</v>
      </c>
      <c r="F278" s="122" t="s">
        <v>60</v>
      </c>
      <c r="G278" s="125">
        <v>6</v>
      </c>
      <c r="H278" s="122" t="s">
        <v>401</v>
      </c>
    </row>
    <row r="279" spans="1:8" ht="18" x14ac:dyDescent="0.3">
      <c r="A279" s="127">
        <v>45989</v>
      </c>
      <c r="B279" s="128" t="s">
        <v>54</v>
      </c>
      <c r="C279" s="129" t="s">
        <v>294</v>
      </c>
      <c r="D279" s="128" t="s">
        <v>271</v>
      </c>
      <c r="E279" s="130">
        <v>1.836805555555556</v>
      </c>
      <c r="F279" s="128" t="s">
        <v>56</v>
      </c>
      <c r="G279" s="131">
        <v>4</v>
      </c>
      <c r="H279" s="128" t="s">
        <v>115</v>
      </c>
    </row>
    <row r="280" spans="1:8" ht="18" x14ac:dyDescent="0.3">
      <c r="A280" s="121">
        <v>45989</v>
      </c>
      <c r="B280" s="122" t="s">
        <v>54</v>
      </c>
      <c r="C280" s="123" t="s">
        <v>294</v>
      </c>
      <c r="D280" s="122" t="s">
        <v>271</v>
      </c>
      <c r="E280" s="124">
        <v>1.836805555555556</v>
      </c>
      <c r="F280" s="122" t="s">
        <v>58</v>
      </c>
      <c r="G280" s="125">
        <v>4</v>
      </c>
      <c r="H280" s="122" t="s">
        <v>400</v>
      </c>
    </row>
    <row r="281" spans="1:8" ht="18" x14ac:dyDescent="0.3">
      <c r="A281" s="121">
        <v>45989</v>
      </c>
      <c r="B281" s="122" t="s">
        <v>54</v>
      </c>
      <c r="C281" s="123" t="s">
        <v>294</v>
      </c>
      <c r="D281" s="122" t="s">
        <v>271</v>
      </c>
      <c r="E281" s="124">
        <v>1.836805555555556</v>
      </c>
      <c r="F281" s="122" t="s">
        <v>60</v>
      </c>
      <c r="G281" s="125">
        <v>4</v>
      </c>
      <c r="H281" s="122" t="s">
        <v>401</v>
      </c>
    </row>
    <row r="282" spans="1:8" ht="18" x14ac:dyDescent="0.3">
      <c r="A282" s="127">
        <v>45989</v>
      </c>
      <c r="B282" s="128" t="s">
        <v>54</v>
      </c>
      <c r="C282" s="129" t="s">
        <v>295</v>
      </c>
      <c r="D282" s="128" t="s">
        <v>271</v>
      </c>
      <c r="E282" s="130">
        <v>1.944444444444444</v>
      </c>
      <c r="F282" s="128" t="s">
        <v>56</v>
      </c>
      <c r="G282" s="131">
        <v>7</v>
      </c>
      <c r="H282" s="128" t="s">
        <v>115</v>
      </c>
    </row>
    <row r="283" spans="1:8" ht="18" x14ac:dyDescent="0.3">
      <c r="A283" s="121">
        <v>45989</v>
      </c>
      <c r="B283" s="122" t="s">
        <v>54</v>
      </c>
      <c r="C283" s="123" t="s">
        <v>295</v>
      </c>
      <c r="D283" s="122" t="s">
        <v>271</v>
      </c>
      <c r="E283" s="124">
        <v>1.944444444444444</v>
      </c>
      <c r="F283" s="122" t="s">
        <v>58</v>
      </c>
      <c r="G283" s="125">
        <v>7</v>
      </c>
      <c r="H283" s="122" t="s">
        <v>400</v>
      </c>
    </row>
    <row r="284" spans="1:8" ht="18" x14ac:dyDescent="0.3">
      <c r="A284" s="121">
        <v>45989</v>
      </c>
      <c r="B284" s="122" t="s">
        <v>54</v>
      </c>
      <c r="C284" s="123" t="s">
        <v>295</v>
      </c>
      <c r="D284" s="122" t="s">
        <v>271</v>
      </c>
      <c r="E284" s="124">
        <v>1.944444444444444</v>
      </c>
      <c r="F284" s="122" t="s">
        <v>60</v>
      </c>
      <c r="G284" s="125">
        <v>7</v>
      </c>
      <c r="H284" s="122" t="s">
        <v>401</v>
      </c>
    </row>
    <row r="285" spans="1:8" ht="18" x14ac:dyDescent="0.3">
      <c r="A285" s="127">
        <v>45989</v>
      </c>
      <c r="B285" s="128" t="s">
        <v>54</v>
      </c>
      <c r="C285" s="129" t="s">
        <v>296</v>
      </c>
      <c r="D285" s="128" t="s">
        <v>271</v>
      </c>
      <c r="E285" s="130">
        <v>1.4861111111111109</v>
      </c>
      <c r="F285" s="128" t="s">
        <v>56</v>
      </c>
      <c r="G285" s="131">
        <v>9</v>
      </c>
      <c r="H285" s="128" t="s">
        <v>115</v>
      </c>
    </row>
    <row r="286" spans="1:8" ht="18" x14ac:dyDescent="0.3">
      <c r="A286" s="121">
        <v>45989</v>
      </c>
      <c r="B286" s="122" t="s">
        <v>54</v>
      </c>
      <c r="C286" s="123" t="s">
        <v>296</v>
      </c>
      <c r="D286" s="122" t="s">
        <v>271</v>
      </c>
      <c r="E286" s="124">
        <v>1.4861111111111109</v>
      </c>
      <c r="F286" s="122" t="s">
        <v>58</v>
      </c>
      <c r="G286" s="125">
        <v>9</v>
      </c>
      <c r="H286" s="122" t="s">
        <v>400</v>
      </c>
    </row>
    <row r="287" spans="1:8" ht="18" x14ac:dyDescent="0.3">
      <c r="A287" s="121">
        <v>45989</v>
      </c>
      <c r="B287" s="122" t="s">
        <v>54</v>
      </c>
      <c r="C287" s="123" t="s">
        <v>296</v>
      </c>
      <c r="D287" s="122" t="s">
        <v>271</v>
      </c>
      <c r="E287" s="124">
        <v>1.4861111111111109</v>
      </c>
      <c r="F287" s="122" t="s">
        <v>60</v>
      </c>
      <c r="G287" s="125">
        <v>9</v>
      </c>
      <c r="H287" s="122" t="s">
        <v>401</v>
      </c>
    </row>
    <row r="288" spans="1:8" ht="18" x14ac:dyDescent="0.3">
      <c r="A288" s="127">
        <v>45989</v>
      </c>
      <c r="B288" s="128" t="s">
        <v>54</v>
      </c>
      <c r="C288" s="129" t="s">
        <v>298</v>
      </c>
      <c r="D288" s="128" t="s">
        <v>271</v>
      </c>
      <c r="E288" s="130">
        <v>1.8888888888888891</v>
      </c>
      <c r="F288" s="128" t="s">
        <v>56</v>
      </c>
      <c r="G288" s="131">
        <v>9</v>
      </c>
      <c r="H288" s="128" t="s">
        <v>115</v>
      </c>
    </row>
    <row r="289" spans="1:8" ht="18" x14ac:dyDescent="0.3">
      <c r="A289" s="121">
        <v>45989</v>
      </c>
      <c r="B289" s="122" t="s">
        <v>54</v>
      </c>
      <c r="C289" s="123" t="s">
        <v>298</v>
      </c>
      <c r="D289" s="122" t="s">
        <v>271</v>
      </c>
      <c r="E289" s="124">
        <v>1.8888888888888891</v>
      </c>
      <c r="F289" s="122" t="s">
        <v>58</v>
      </c>
      <c r="G289" s="125">
        <v>9</v>
      </c>
      <c r="H289" s="122" t="s">
        <v>400</v>
      </c>
    </row>
    <row r="290" spans="1:8" ht="18" x14ac:dyDescent="0.3">
      <c r="A290" s="121">
        <v>45989</v>
      </c>
      <c r="B290" s="122" t="s">
        <v>54</v>
      </c>
      <c r="C290" s="123" t="s">
        <v>298</v>
      </c>
      <c r="D290" s="122" t="s">
        <v>271</v>
      </c>
      <c r="E290" s="124">
        <v>1.8888888888888891</v>
      </c>
      <c r="F290" s="122" t="s">
        <v>60</v>
      </c>
      <c r="G290" s="125">
        <v>9</v>
      </c>
      <c r="H290" s="122" t="s">
        <v>401</v>
      </c>
    </row>
    <row r="291" spans="1:8" ht="18" x14ac:dyDescent="0.3">
      <c r="A291" s="126">
        <v>45989</v>
      </c>
      <c r="B291" s="116" t="s">
        <v>285</v>
      </c>
      <c r="C291" s="117" t="s">
        <v>286</v>
      </c>
      <c r="D291" s="116" t="s">
        <v>271</v>
      </c>
      <c r="E291" s="118">
        <v>1.493055555555556</v>
      </c>
      <c r="F291" s="116" t="s">
        <v>81</v>
      </c>
      <c r="G291" s="119">
        <v>8</v>
      </c>
      <c r="H291" s="116" t="s">
        <v>101</v>
      </c>
    </row>
    <row r="292" spans="1:8" ht="18" x14ac:dyDescent="0.3">
      <c r="A292" s="126">
        <v>45989</v>
      </c>
      <c r="B292" s="116" t="s">
        <v>63</v>
      </c>
      <c r="C292" s="117" t="s">
        <v>323</v>
      </c>
      <c r="D292" s="116" t="s">
        <v>271</v>
      </c>
      <c r="E292" s="118">
        <v>1.104166666666667</v>
      </c>
      <c r="F292" s="116" t="s">
        <v>48</v>
      </c>
      <c r="G292" s="119">
        <v>9</v>
      </c>
      <c r="H292" s="116" t="s">
        <v>403</v>
      </c>
    </row>
    <row r="293" spans="1:8" ht="18" x14ac:dyDescent="0.3">
      <c r="A293" s="127">
        <v>45989</v>
      </c>
      <c r="B293" s="128" t="s">
        <v>63</v>
      </c>
      <c r="C293" s="129" t="s">
        <v>327</v>
      </c>
      <c r="D293" s="128" t="s">
        <v>271</v>
      </c>
      <c r="E293" s="130">
        <v>1.0486111111111109</v>
      </c>
      <c r="F293" s="128" t="s">
        <v>48</v>
      </c>
      <c r="G293" s="131">
        <v>9</v>
      </c>
      <c r="H293" s="128" t="s">
        <v>403</v>
      </c>
    </row>
    <row r="294" spans="1:8" ht="18" x14ac:dyDescent="0.3">
      <c r="A294" s="127">
        <v>45989</v>
      </c>
      <c r="B294" s="128" t="s">
        <v>63</v>
      </c>
      <c r="C294" s="129" t="s">
        <v>325</v>
      </c>
      <c r="D294" s="128" t="s">
        <v>271</v>
      </c>
      <c r="E294" s="130">
        <v>1.7847222222222221</v>
      </c>
      <c r="F294" s="128" t="s">
        <v>48</v>
      </c>
      <c r="G294" s="131">
        <v>9</v>
      </c>
      <c r="H294" s="128" t="s">
        <v>355</v>
      </c>
    </row>
    <row r="295" spans="1:8" ht="18" x14ac:dyDescent="0.3">
      <c r="A295" s="127">
        <v>45989</v>
      </c>
      <c r="B295" s="128" t="s">
        <v>63</v>
      </c>
      <c r="C295" s="129" t="s">
        <v>326</v>
      </c>
      <c r="D295" s="128" t="s">
        <v>271</v>
      </c>
      <c r="E295" s="130">
        <v>1.5972222222222221</v>
      </c>
      <c r="F295" s="128" t="s">
        <v>48</v>
      </c>
      <c r="G295" s="131">
        <v>9</v>
      </c>
      <c r="H295" s="128" t="s">
        <v>355</v>
      </c>
    </row>
    <row r="296" spans="1:8" ht="18" x14ac:dyDescent="0.3">
      <c r="A296" s="127">
        <v>45989</v>
      </c>
      <c r="B296" s="128" t="s">
        <v>63</v>
      </c>
      <c r="C296" s="129" t="s">
        <v>319</v>
      </c>
      <c r="D296" s="128" t="s">
        <v>271</v>
      </c>
      <c r="E296" s="130">
        <v>1.836805555555556</v>
      </c>
      <c r="F296" s="128" t="s">
        <v>48</v>
      </c>
      <c r="G296" s="131">
        <v>9</v>
      </c>
      <c r="H296" s="128" t="s">
        <v>404</v>
      </c>
    </row>
    <row r="297" spans="1:8" ht="18" x14ac:dyDescent="0.3">
      <c r="A297" s="127">
        <v>45989</v>
      </c>
      <c r="B297" s="128" t="s">
        <v>63</v>
      </c>
      <c r="C297" s="129" t="s">
        <v>321</v>
      </c>
      <c r="D297" s="128" t="s">
        <v>271</v>
      </c>
      <c r="E297" s="130">
        <v>1.2986111111111109</v>
      </c>
      <c r="F297" s="128" t="s">
        <v>48</v>
      </c>
      <c r="G297" s="131">
        <v>9</v>
      </c>
      <c r="H297" s="128" t="s">
        <v>320</v>
      </c>
    </row>
    <row r="298" spans="1:8" ht="18" x14ac:dyDescent="0.3">
      <c r="A298" s="126">
        <v>45989</v>
      </c>
      <c r="B298" s="116" t="s">
        <v>35</v>
      </c>
      <c r="C298" s="117" t="s">
        <v>302</v>
      </c>
      <c r="D298" s="116" t="s">
        <v>271</v>
      </c>
      <c r="E298" s="118">
        <v>1.118055555555556</v>
      </c>
      <c r="F298" s="116" t="s">
        <v>42</v>
      </c>
      <c r="G298" s="119">
        <v>9</v>
      </c>
      <c r="H298" s="116" t="s">
        <v>363</v>
      </c>
    </row>
    <row r="299" spans="1:8" ht="18" x14ac:dyDescent="0.3">
      <c r="A299" s="127">
        <v>45989</v>
      </c>
      <c r="B299" s="128" t="s">
        <v>35</v>
      </c>
      <c r="C299" s="129" t="s">
        <v>314</v>
      </c>
      <c r="D299" s="128" t="s">
        <v>271</v>
      </c>
      <c r="E299" s="130">
        <v>1.041666666666667</v>
      </c>
      <c r="F299" s="128" t="s">
        <v>42</v>
      </c>
      <c r="G299" s="131">
        <v>9</v>
      </c>
      <c r="H299" s="128" t="s">
        <v>363</v>
      </c>
    </row>
    <row r="300" spans="1:8" ht="18" x14ac:dyDescent="0.3">
      <c r="A300" s="127">
        <v>45989</v>
      </c>
      <c r="B300" s="128" t="s">
        <v>35</v>
      </c>
      <c r="C300" s="129" t="s">
        <v>316</v>
      </c>
      <c r="D300" s="128" t="s">
        <v>271</v>
      </c>
      <c r="E300" s="130">
        <v>1.489583333333333</v>
      </c>
      <c r="F300" s="128" t="s">
        <v>42</v>
      </c>
      <c r="G300" s="131">
        <v>9</v>
      </c>
      <c r="H300" s="128" t="s">
        <v>311</v>
      </c>
    </row>
    <row r="301" spans="1:8" ht="18" x14ac:dyDescent="0.3">
      <c r="A301" s="127">
        <v>45989</v>
      </c>
      <c r="B301" s="128" t="s">
        <v>35</v>
      </c>
      <c r="C301" s="129" t="s">
        <v>310</v>
      </c>
      <c r="D301" s="128" t="s">
        <v>271</v>
      </c>
      <c r="E301" s="130">
        <v>1.8298611111111109</v>
      </c>
      <c r="F301" s="128" t="s">
        <v>42</v>
      </c>
      <c r="G301" s="131">
        <v>9</v>
      </c>
      <c r="H301" s="128" t="s">
        <v>311</v>
      </c>
    </row>
    <row r="302" spans="1:8" ht="18" x14ac:dyDescent="0.3">
      <c r="A302" s="127">
        <v>45989</v>
      </c>
      <c r="B302" s="128" t="s">
        <v>35</v>
      </c>
      <c r="C302" s="129" t="s">
        <v>318</v>
      </c>
      <c r="D302" s="128" t="s">
        <v>271</v>
      </c>
      <c r="E302" s="130">
        <v>1.7222222222222221</v>
      </c>
      <c r="F302" s="128" t="s">
        <v>42</v>
      </c>
      <c r="G302" s="131">
        <v>9</v>
      </c>
      <c r="H302" s="128" t="s">
        <v>311</v>
      </c>
    </row>
    <row r="303" spans="1:8" ht="18" x14ac:dyDescent="0.3">
      <c r="A303" s="127">
        <v>45989</v>
      </c>
      <c r="B303" s="128" t="s">
        <v>35</v>
      </c>
      <c r="C303" s="129" t="s">
        <v>312</v>
      </c>
      <c r="D303" s="128" t="s">
        <v>271</v>
      </c>
      <c r="E303" s="130">
        <v>1.7013888888888891</v>
      </c>
      <c r="F303" s="128" t="s">
        <v>42</v>
      </c>
      <c r="G303" s="131">
        <v>9</v>
      </c>
      <c r="H303" s="128" t="s">
        <v>311</v>
      </c>
    </row>
    <row r="304" spans="1:8" ht="18" x14ac:dyDescent="0.3">
      <c r="A304" s="127">
        <v>45989</v>
      </c>
      <c r="B304" s="128" t="s">
        <v>35</v>
      </c>
      <c r="C304" s="129" t="s">
        <v>313</v>
      </c>
      <c r="D304" s="128" t="s">
        <v>271</v>
      </c>
      <c r="E304" s="130">
        <v>1.2534722222222221</v>
      </c>
      <c r="F304" s="128" t="s">
        <v>42</v>
      </c>
      <c r="G304" s="131">
        <v>9</v>
      </c>
      <c r="H304" s="128" t="s">
        <v>311</v>
      </c>
    </row>
    <row r="305" spans="1:8" ht="18" x14ac:dyDescent="0.3">
      <c r="A305" s="127">
        <v>45989</v>
      </c>
      <c r="B305" s="128" t="s">
        <v>35</v>
      </c>
      <c r="C305" s="129" t="s">
        <v>315</v>
      </c>
      <c r="D305" s="128" t="s">
        <v>271</v>
      </c>
      <c r="E305" s="130">
        <v>1.9409722222222221</v>
      </c>
      <c r="F305" s="128" t="s">
        <v>42</v>
      </c>
      <c r="G305" s="131">
        <v>9</v>
      </c>
      <c r="H305" s="128" t="s">
        <v>311</v>
      </c>
    </row>
    <row r="306" spans="1:8" ht="18" x14ac:dyDescent="0.3">
      <c r="A306" s="127">
        <v>45989</v>
      </c>
      <c r="B306" s="128" t="s">
        <v>35</v>
      </c>
      <c r="C306" s="129" t="s">
        <v>306</v>
      </c>
      <c r="D306" s="128" t="s">
        <v>271</v>
      </c>
      <c r="E306" s="130">
        <v>1.989583333333333</v>
      </c>
      <c r="F306" s="128" t="s">
        <v>42</v>
      </c>
      <c r="G306" s="131">
        <v>4</v>
      </c>
      <c r="H306" s="128" t="s">
        <v>364</v>
      </c>
    </row>
    <row r="307" spans="1:8" ht="18" x14ac:dyDescent="0.3">
      <c r="A307" s="127">
        <v>45989</v>
      </c>
      <c r="B307" s="128" t="s">
        <v>35</v>
      </c>
      <c r="C307" s="129" t="s">
        <v>304</v>
      </c>
      <c r="D307" s="128" t="s">
        <v>271</v>
      </c>
      <c r="E307" s="130">
        <v>1.399305555555556</v>
      </c>
      <c r="F307" s="128" t="s">
        <v>42</v>
      </c>
      <c r="G307" s="131">
        <v>4</v>
      </c>
      <c r="H307" s="128" t="s">
        <v>364</v>
      </c>
    </row>
    <row r="308" spans="1:8" ht="18" x14ac:dyDescent="0.3">
      <c r="A308" s="127">
        <v>45989</v>
      </c>
      <c r="B308" s="128" t="s">
        <v>35</v>
      </c>
      <c r="C308" s="129" t="s">
        <v>308</v>
      </c>
      <c r="D308" s="128" t="s">
        <v>271</v>
      </c>
      <c r="E308" s="130">
        <v>1.489583333333333</v>
      </c>
      <c r="F308" s="128" t="s">
        <v>42</v>
      </c>
      <c r="G308" s="131">
        <v>4</v>
      </c>
      <c r="H308" s="128" t="s">
        <v>364</v>
      </c>
    </row>
    <row r="309" spans="1:8" ht="18" x14ac:dyDescent="0.3">
      <c r="A309" s="150">
        <v>45989</v>
      </c>
      <c r="B309" s="151" t="s">
        <v>35</v>
      </c>
      <c r="C309" s="152" t="s">
        <v>309</v>
      </c>
      <c r="D309" s="151" t="s">
        <v>271</v>
      </c>
      <c r="E309" s="153">
        <v>1.8888888888888891</v>
      </c>
      <c r="F309" s="151" t="s">
        <v>42</v>
      </c>
      <c r="G309" s="154">
        <v>4</v>
      </c>
      <c r="H309" s="151" t="s">
        <v>354</v>
      </c>
    </row>
    <row r="310" spans="1:8" ht="18" x14ac:dyDescent="0.3">
      <c r="A310" s="115">
        <v>45990</v>
      </c>
      <c r="B310" s="116" t="s">
        <v>280</v>
      </c>
      <c r="C310" s="117" t="s">
        <v>357</v>
      </c>
      <c r="D310" s="116" t="s">
        <v>271</v>
      </c>
      <c r="E310" s="118">
        <v>1.1701388888888891</v>
      </c>
      <c r="F310" s="116" t="s">
        <v>282</v>
      </c>
      <c r="G310" s="119">
        <v>2</v>
      </c>
      <c r="H310" s="120" t="s">
        <v>405</v>
      </c>
    </row>
    <row r="311" spans="1:8" ht="18" x14ac:dyDescent="0.3">
      <c r="A311" s="121">
        <v>45990</v>
      </c>
      <c r="B311" s="122" t="s">
        <v>280</v>
      </c>
      <c r="C311" s="123" t="s">
        <v>357</v>
      </c>
      <c r="D311" s="122" t="s">
        <v>271</v>
      </c>
      <c r="E311" s="124">
        <v>1.1701388888888891</v>
      </c>
      <c r="F311" s="122" t="s">
        <v>33</v>
      </c>
      <c r="G311" s="125">
        <v>2</v>
      </c>
      <c r="H311" s="122" t="s">
        <v>406</v>
      </c>
    </row>
    <row r="312" spans="1:8" ht="18" x14ac:dyDescent="0.3">
      <c r="A312" s="127">
        <v>45990</v>
      </c>
      <c r="B312" s="128" t="s">
        <v>280</v>
      </c>
      <c r="C312" s="129" t="s">
        <v>281</v>
      </c>
      <c r="D312" s="128" t="s">
        <v>271</v>
      </c>
      <c r="E312" s="130">
        <v>1.055555555555556</v>
      </c>
      <c r="F312" s="128" t="s">
        <v>282</v>
      </c>
      <c r="G312" s="131">
        <v>9</v>
      </c>
      <c r="H312" s="128" t="s">
        <v>407</v>
      </c>
    </row>
    <row r="313" spans="1:8" ht="18" x14ac:dyDescent="0.3">
      <c r="A313" s="121">
        <v>45990</v>
      </c>
      <c r="B313" s="122" t="s">
        <v>280</v>
      </c>
      <c r="C313" s="123" t="s">
        <v>281</v>
      </c>
      <c r="D313" s="122" t="s">
        <v>271</v>
      </c>
      <c r="E313" s="124">
        <v>1.055555555555556</v>
      </c>
      <c r="F313" s="122" t="s">
        <v>33</v>
      </c>
      <c r="G313" s="125">
        <v>9</v>
      </c>
      <c r="H313" s="122" t="s">
        <v>408</v>
      </c>
    </row>
    <row r="314" spans="1:8" ht="18" x14ac:dyDescent="0.3">
      <c r="A314" s="126">
        <v>45990</v>
      </c>
      <c r="B314" s="116" t="s">
        <v>285</v>
      </c>
      <c r="C314" s="117" t="s">
        <v>288</v>
      </c>
      <c r="D314" s="116" t="s">
        <v>271</v>
      </c>
      <c r="E314" s="118">
        <v>1.041666666666667</v>
      </c>
      <c r="F314" s="116" t="s">
        <v>81</v>
      </c>
      <c r="G314" s="119">
        <v>7</v>
      </c>
      <c r="H314" s="116" t="s">
        <v>353</v>
      </c>
    </row>
    <row r="315" spans="1:8" ht="18" x14ac:dyDescent="0.3">
      <c r="A315" s="127">
        <v>45990</v>
      </c>
      <c r="B315" s="128" t="s">
        <v>285</v>
      </c>
      <c r="C315" s="129" t="s">
        <v>286</v>
      </c>
      <c r="D315" s="128" t="s">
        <v>271</v>
      </c>
      <c r="E315" s="130">
        <v>1.493055555555556</v>
      </c>
      <c r="F315" s="128" t="s">
        <v>81</v>
      </c>
      <c r="G315" s="131">
        <v>8</v>
      </c>
      <c r="H315" s="128" t="s">
        <v>101</v>
      </c>
    </row>
    <row r="316" spans="1:8" ht="18" x14ac:dyDescent="0.3">
      <c r="A316" s="126">
        <v>45990</v>
      </c>
      <c r="B316" s="116" t="s">
        <v>25</v>
      </c>
      <c r="C316" s="117" t="s">
        <v>278</v>
      </c>
      <c r="D316" s="116" t="s">
        <v>271</v>
      </c>
      <c r="E316" s="118">
        <v>1.399305555555556</v>
      </c>
      <c r="F316" s="116" t="s">
        <v>27</v>
      </c>
      <c r="G316" s="119">
        <v>5</v>
      </c>
      <c r="H316" s="116" t="s">
        <v>335</v>
      </c>
    </row>
    <row r="317" spans="1:8" ht="18" x14ac:dyDescent="0.3">
      <c r="A317" s="121">
        <v>45990</v>
      </c>
      <c r="B317" s="122" t="s">
        <v>25</v>
      </c>
      <c r="C317" s="123" t="s">
        <v>278</v>
      </c>
      <c r="D317" s="122" t="s">
        <v>271</v>
      </c>
      <c r="E317" s="124">
        <v>1.399305555555556</v>
      </c>
      <c r="F317" s="122" t="s">
        <v>30</v>
      </c>
      <c r="G317" s="125">
        <v>5</v>
      </c>
      <c r="H317" s="122" t="s">
        <v>61</v>
      </c>
    </row>
    <row r="318" spans="1:8" ht="18" x14ac:dyDescent="0.3">
      <c r="A318" s="121">
        <v>45990</v>
      </c>
      <c r="B318" s="122" t="s">
        <v>25</v>
      </c>
      <c r="C318" s="123" t="s">
        <v>278</v>
      </c>
      <c r="D318" s="122" t="s">
        <v>271</v>
      </c>
      <c r="E318" s="124">
        <v>1.399305555555556</v>
      </c>
      <c r="F318" s="122" t="s">
        <v>33</v>
      </c>
      <c r="G318" s="125">
        <v>5</v>
      </c>
      <c r="H318" s="122" t="s">
        <v>370</v>
      </c>
    </row>
    <row r="319" spans="1:8" ht="18" x14ac:dyDescent="0.3">
      <c r="A319" s="127">
        <v>45990</v>
      </c>
      <c r="B319" s="128" t="s">
        <v>25</v>
      </c>
      <c r="C319" s="129" t="s">
        <v>273</v>
      </c>
      <c r="D319" s="128" t="s">
        <v>271</v>
      </c>
      <c r="E319" s="130">
        <v>1.489583333333333</v>
      </c>
      <c r="F319" s="128" t="s">
        <v>27</v>
      </c>
      <c r="G319" s="131">
        <v>7</v>
      </c>
      <c r="H319" s="128" t="s">
        <v>119</v>
      </c>
    </row>
    <row r="320" spans="1:8" ht="18" x14ac:dyDescent="0.3">
      <c r="A320" s="121">
        <v>45990</v>
      </c>
      <c r="B320" s="122" t="s">
        <v>25</v>
      </c>
      <c r="C320" s="123" t="s">
        <v>273</v>
      </c>
      <c r="D320" s="122" t="s">
        <v>271</v>
      </c>
      <c r="E320" s="124">
        <v>1.489583333333333</v>
      </c>
      <c r="F320" s="122" t="s">
        <v>30</v>
      </c>
      <c r="G320" s="125">
        <v>7</v>
      </c>
      <c r="H320" s="122" t="s">
        <v>34</v>
      </c>
    </row>
    <row r="321" spans="1:8" ht="18" x14ac:dyDescent="0.3">
      <c r="A321" s="121">
        <v>45990</v>
      </c>
      <c r="B321" s="122" t="s">
        <v>25</v>
      </c>
      <c r="C321" s="123" t="s">
        <v>273</v>
      </c>
      <c r="D321" s="122" t="s">
        <v>271</v>
      </c>
      <c r="E321" s="124">
        <v>1.489583333333333</v>
      </c>
      <c r="F321" s="122" t="s">
        <v>33</v>
      </c>
      <c r="G321" s="125">
        <v>7</v>
      </c>
      <c r="H321" s="122" t="s">
        <v>409</v>
      </c>
    </row>
    <row r="322" spans="1:8" ht="18" x14ac:dyDescent="0.3">
      <c r="A322" s="127">
        <v>45990</v>
      </c>
      <c r="B322" s="128" t="s">
        <v>25</v>
      </c>
      <c r="C322" s="129" t="s">
        <v>277</v>
      </c>
      <c r="D322" s="128" t="s">
        <v>271</v>
      </c>
      <c r="E322" s="130">
        <v>1.8888888888888891</v>
      </c>
      <c r="F322" s="128" t="s">
        <v>27</v>
      </c>
      <c r="G322" s="131">
        <v>10</v>
      </c>
      <c r="H322" s="128" t="s">
        <v>119</v>
      </c>
    </row>
    <row r="323" spans="1:8" ht="18" x14ac:dyDescent="0.3">
      <c r="A323" s="121">
        <v>45990</v>
      </c>
      <c r="B323" s="122" t="s">
        <v>25</v>
      </c>
      <c r="C323" s="123" t="s">
        <v>277</v>
      </c>
      <c r="D323" s="122" t="s">
        <v>271</v>
      </c>
      <c r="E323" s="124">
        <v>1.8888888888888891</v>
      </c>
      <c r="F323" s="122" t="s">
        <v>30</v>
      </c>
      <c r="G323" s="125">
        <v>10</v>
      </c>
      <c r="H323" s="122" t="s">
        <v>34</v>
      </c>
    </row>
    <row r="324" spans="1:8" ht="18" x14ac:dyDescent="0.3">
      <c r="A324" s="121">
        <v>45990</v>
      </c>
      <c r="B324" s="122" t="s">
        <v>25</v>
      </c>
      <c r="C324" s="123" t="s">
        <v>277</v>
      </c>
      <c r="D324" s="122" t="s">
        <v>271</v>
      </c>
      <c r="E324" s="124">
        <v>1.8888888888888891</v>
      </c>
      <c r="F324" s="122" t="s">
        <v>33</v>
      </c>
      <c r="G324" s="125">
        <v>10</v>
      </c>
      <c r="H324" s="122" t="s">
        <v>409</v>
      </c>
    </row>
    <row r="325" spans="1:8" ht="18" x14ac:dyDescent="0.3">
      <c r="A325" s="127">
        <v>45990</v>
      </c>
      <c r="B325" s="128" t="s">
        <v>25</v>
      </c>
      <c r="C325" s="129" t="s">
        <v>272</v>
      </c>
      <c r="D325" s="128" t="s">
        <v>271</v>
      </c>
      <c r="E325" s="130">
        <v>1.989583333333333</v>
      </c>
      <c r="F325" s="128" t="s">
        <v>27</v>
      </c>
      <c r="G325" s="131">
        <v>11</v>
      </c>
      <c r="H325" s="128" t="s">
        <v>119</v>
      </c>
    </row>
    <row r="326" spans="1:8" ht="18" x14ac:dyDescent="0.3">
      <c r="A326" s="121">
        <v>45990</v>
      </c>
      <c r="B326" s="122" t="s">
        <v>25</v>
      </c>
      <c r="C326" s="123" t="s">
        <v>272</v>
      </c>
      <c r="D326" s="122" t="s">
        <v>271</v>
      </c>
      <c r="E326" s="124">
        <v>1.989583333333333</v>
      </c>
      <c r="F326" s="122" t="s">
        <v>30</v>
      </c>
      <c r="G326" s="125">
        <v>11</v>
      </c>
      <c r="H326" s="122" t="s">
        <v>34</v>
      </c>
    </row>
    <row r="327" spans="1:8" ht="18" x14ac:dyDescent="0.3">
      <c r="A327" s="121">
        <v>45990</v>
      </c>
      <c r="B327" s="122" t="s">
        <v>25</v>
      </c>
      <c r="C327" s="123" t="s">
        <v>272</v>
      </c>
      <c r="D327" s="122" t="s">
        <v>271</v>
      </c>
      <c r="E327" s="124">
        <v>1.989583333333333</v>
      </c>
      <c r="F327" s="122" t="s">
        <v>33</v>
      </c>
      <c r="G327" s="125">
        <v>11</v>
      </c>
      <c r="H327" s="122" t="s">
        <v>409</v>
      </c>
    </row>
    <row r="328" spans="1:8" ht="18" x14ac:dyDescent="0.3">
      <c r="A328" s="126">
        <v>45990</v>
      </c>
      <c r="B328" s="116" t="s">
        <v>63</v>
      </c>
      <c r="C328" s="117" t="s">
        <v>322</v>
      </c>
      <c r="D328" s="116" t="s">
        <v>271</v>
      </c>
      <c r="E328" s="118">
        <v>1.9722222222222221</v>
      </c>
      <c r="F328" s="116" t="s">
        <v>48</v>
      </c>
      <c r="G328" s="119">
        <v>9</v>
      </c>
      <c r="H328" s="116" t="s">
        <v>403</v>
      </c>
    </row>
    <row r="329" spans="1:8" ht="18" x14ac:dyDescent="0.3">
      <c r="A329" s="127">
        <v>45990</v>
      </c>
      <c r="B329" s="128" t="s">
        <v>63</v>
      </c>
      <c r="C329" s="129" t="s">
        <v>323</v>
      </c>
      <c r="D329" s="128" t="s">
        <v>271</v>
      </c>
      <c r="E329" s="130">
        <v>1.1076388888888891</v>
      </c>
      <c r="F329" s="128" t="s">
        <v>48</v>
      </c>
      <c r="G329" s="131">
        <v>9</v>
      </c>
      <c r="H329" s="128" t="s">
        <v>414</v>
      </c>
    </row>
    <row r="330" spans="1:8" ht="18" x14ac:dyDescent="0.3">
      <c r="A330" s="127">
        <v>45990</v>
      </c>
      <c r="B330" s="128" t="s">
        <v>63</v>
      </c>
      <c r="C330" s="129" t="s">
        <v>321</v>
      </c>
      <c r="D330" s="128" t="s">
        <v>271</v>
      </c>
      <c r="E330" s="130">
        <v>1.3125</v>
      </c>
      <c r="F330" s="128" t="s">
        <v>48</v>
      </c>
      <c r="G330" s="131">
        <v>9</v>
      </c>
      <c r="H330" s="128" t="s">
        <v>355</v>
      </c>
    </row>
    <row r="331" spans="1:8" ht="18" x14ac:dyDescent="0.3">
      <c r="A331" s="127">
        <v>45990</v>
      </c>
      <c r="B331" s="128" t="s">
        <v>63</v>
      </c>
      <c r="C331" s="129" t="s">
        <v>325</v>
      </c>
      <c r="D331" s="128" t="s">
        <v>271</v>
      </c>
      <c r="E331" s="130">
        <v>1.7847222222222221</v>
      </c>
      <c r="F331" s="128" t="s">
        <v>48</v>
      </c>
      <c r="G331" s="131">
        <v>9</v>
      </c>
      <c r="H331" s="128" t="s">
        <v>355</v>
      </c>
    </row>
    <row r="332" spans="1:8" ht="18" x14ac:dyDescent="0.3">
      <c r="A332" s="127">
        <v>45990</v>
      </c>
      <c r="B332" s="128" t="s">
        <v>63</v>
      </c>
      <c r="C332" s="129" t="s">
        <v>319</v>
      </c>
      <c r="D332" s="128" t="s">
        <v>271</v>
      </c>
      <c r="E332" s="130">
        <v>1.836805555555556</v>
      </c>
      <c r="F332" s="128" t="s">
        <v>48</v>
      </c>
      <c r="G332" s="131">
        <v>9</v>
      </c>
      <c r="H332" s="128" t="s">
        <v>404</v>
      </c>
    </row>
    <row r="333" spans="1:8" ht="18" x14ac:dyDescent="0.3">
      <c r="A333" s="127">
        <v>45990</v>
      </c>
      <c r="B333" s="128" t="s">
        <v>63</v>
      </c>
      <c r="C333" s="129" t="s">
        <v>324</v>
      </c>
      <c r="D333" s="128" t="s">
        <v>271</v>
      </c>
      <c r="E333" s="130">
        <v>1.3402777777777779</v>
      </c>
      <c r="F333" s="128" t="s">
        <v>48</v>
      </c>
      <c r="G333" s="131">
        <v>9</v>
      </c>
      <c r="H333" s="128" t="s">
        <v>320</v>
      </c>
    </row>
    <row r="334" spans="1:8" ht="18" x14ac:dyDescent="0.3">
      <c r="A334" s="127">
        <v>45990</v>
      </c>
      <c r="B334" s="128" t="s">
        <v>63</v>
      </c>
      <c r="C334" s="129" t="s">
        <v>326</v>
      </c>
      <c r="D334" s="128" t="s">
        <v>271</v>
      </c>
      <c r="E334" s="130">
        <v>1.600694444444444</v>
      </c>
      <c r="F334" s="128" t="s">
        <v>48</v>
      </c>
      <c r="G334" s="131">
        <v>8</v>
      </c>
      <c r="H334" s="128" t="s">
        <v>320</v>
      </c>
    </row>
    <row r="335" spans="1:8" ht="18" x14ac:dyDescent="0.3">
      <c r="A335" s="127">
        <v>45990</v>
      </c>
      <c r="B335" s="128" t="s">
        <v>63</v>
      </c>
      <c r="C335" s="129" t="s">
        <v>327</v>
      </c>
      <c r="D335" s="128" t="s">
        <v>271</v>
      </c>
      <c r="E335" s="130">
        <v>1.0486111111111109</v>
      </c>
      <c r="F335" s="128" t="s">
        <v>48</v>
      </c>
      <c r="G335" s="131">
        <v>1</v>
      </c>
      <c r="H335" s="128" t="s">
        <v>415</v>
      </c>
    </row>
    <row r="336" spans="1:8" ht="18" x14ac:dyDescent="0.3">
      <c r="A336" s="126">
        <v>45990</v>
      </c>
      <c r="B336" s="116" t="s">
        <v>54</v>
      </c>
      <c r="C336" s="117" t="s">
        <v>299</v>
      </c>
      <c r="D336" s="116" t="s">
        <v>271</v>
      </c>
      <c r="E336" s="118">
        <v>1.3472222222222221</v>
      </c>
      <c r="F336" s="116" t="s">
        <v>56</v>
      </c>
      <c r="G336" s="119">
        <v>8</v>
      </c>
      <c r="H336" s="116" t="s">
        <v>115</v>
      </c>
    </row>
    <row r="337" spans="1:8" ht="18" x14ac:dyDescent="0.3">
      <c r="A337" s="121">
        <v>45990</v>
      </c>
      <c r="B337" s="122" t="s">
        <v>54</v>
      </c>
      <c r="C337" s="123" t="s">
        <v>299</v>
      </c>
      <c r="D337" s="122" t="s">
        <v>271</v>
      </c>
      <c r="E337" s="124">
        <v>1.3472222222222221</v>
      </c>
      <c r="F337" s="122" t="s">
        <v>58</v>
      </c>
      <c r="G337" s="125">
        <v>8</v>
      </c>
      <c r="H337" s="122" t="s">
        <v>400</v>
      </c>
    </row>
    <row r="338" spans="1:8" ht="18" x14ac:dyDescent="0.3">
      <c r="A338" s="121">
        <v>45990</v>
      </c>
      <c r="B338" s="122" t="s">
        <v>54</v>
      </c>
      <c r="C338" s="123" t="s">
        <v>299</v>
      </c>
      <c r="D338" s="122" t="s">
        <v>271</v>
      </c>
      <c r="E338" s="124">
        <v>1.3472222222222221</v>
      </c>
      <c r="F338" s="122" t="s">
        <v>60</v>
      </c>
      <c r="G338" s="125">
        <v>8</v>
      </c>
      <c r="H338" s="122" t="s">
        <v>401</v>
      </c>
    </row>
    <row r="339" spans="1:8" ht="18" x14ac:dyDescent="0.3">
      <c r="A339" s="127">
        <v>45990</v>
      </c>
      <c r="B339" s="128" t="s">
        <v>54</v>
      </c>
      <c r="C339" s="129" t="s">
        <v>291</v>
      </c>
      <c r="D339" s="128" t="s">
        <v>271</v>
      </c>
      <c r="E339" s="130">
        <v>1.993055555555556</v>
      </c>
      <c r="F339" s="128" t="s">
        <v>56</v>
      </c>
      <c r="G339" s="131">
        <v>8</v>
      </c>
      <c r="H339" s="128" t="s">
        <v>115</v>
      </c>
    </row>
    <row r="340" spans="1:8" ht="18" x14ac:dyDescent="0.3">
      <c r="A340" s="121">
        <v>45990</v>
      </c>
      <c r="B340" s="122" t="s">
        <v>54</v>
      </c>
      <c r="C340" s="123" t="s">
        <v>291</v>
      </c>
      <c r="D340" s="122" t="s">
        <v>271</v>
      </c>
      <c r="E340" s="124">
        <v>1.993055555555556</v>
      </c>
      <c r="F340" s="122" t="s">
        <v>58</v>
      </c>
      <c r="G340" s="125">
        <v>8</v>
      </c>
      <c r="H340" s="122" t="s">
        <v>400</v>
      </c>
    </row>
    <row r="341" spans="1:8" ht="18" x14ac:dyDescent="0.3">
      <c r="A341" s="121">
        <v>45990</v>
      </c>
      <c r="B341" s="122" t="s">
        <v>54</v>
      </c>
      <c r="C341" s="123" t="s">
        <v>291</v>
      </c>
      <c r="D341" s="122" t="s">
        <v>271</v>
      </c>
      <c r="E341" s="124">
        <v>1.993055555555556</v>
      </c>
      <c r="F341" s="122" t="s">
        <v>60</v>
      </c>
      <c r="G341" s="125">
        <v>8</v>
      </c>
      <c r="H341" s="122" t="s">
        <v>401</v>
      </c>
    </row>
    <row r="342" spans="1:8" ht="18" x14ac:dyDescent="0.3">
      <c r="A342" s="127">
        <v>45990</v>
      </c>
      <c r="B342" s="128" t="s">
        <v>54</v>
      </c>
      <c r="C342" s="129" t="s">
        <v>294</v>
      </c>
      <c r="D342" s="128" t="s">
        <v>271</v>
      </c>
      <c r="E342" s="130">
        <v>1.836805555555556</v>
      </c>
      <c r="F342" s="128" t="s">
        <v>56</v>
      </c>
      <c r="G342" s="131">
        <v>4</v>
      </c>
      <c r="H342" s="128" t="s">
        <v>115</v>
      </c>
    </row>
    <row r="343" spans="1:8" ht="18" x14ac:dyDescent="0.3">
      <c r="A343" s="121">
        <v>45990</v>
      </c>
      <c r="B343" s="122" t="s">
        <v>54</v>
      </c>
      <c r="C343" s="123" t="s">
        <v>294</v>
      </c>
      <c r="D343" s="122" t="s">
        <v>271</v>
      </c>
      <c r="E343" s="124">
        <v>1.836805555555556</v>
      </c>
      <c r="F343" s="122" t="s">
        <v>58</v>
      </c>
      <c r="G343" s="125">
        <v>4</v>
      </c>
      <c r="H343" s="122" t="s">
        <v>400</v>
      </c>
    </row>
    <row r="344" spans="1:8" ht="18" x14ac:dyDescent="0.3">
      <c r="A344" s="121">
        <v>45990</v>
      </c>
      <c r="B344" s="122" t="s">
        <v>54</v>
      </c>
      <c r="C344" s="123" t="s">
        <v>294</v>
      </c>
      <c r="D344" s="122" t="s">
        <v>271</v>
      </c>
      <c r="E344" s="124">
        <v>1.836805555555556</v>
      </c>
      <c r="F344" s="122" t="s">
        <v>60</v>
      </c>
      <c r="G344" s="125">
        <v>4</v>
      </c>
      <c r="H344" s="122" t="s">
        <v>401</v>
      </c>
    </row>
    <row r="345" spans="1:8" ht="18" x14ac:dyDescent="0.3">
      <c r="A345" s="127">
        <v>45990</v>
      </c>
      <c r="B345" s="128" t="s">
        <v>54</v>
      </c>
      <c r="C345" s="129" t="s">
        <v>295</v>
      </c>
      <c r="D345" s="128" t="s">
        <v>271</v>
      </c>
      <c r="E345" s="130">
        <v>1.944444444444444</v>
      </c>
      <c r="F345" s="128" t="s">
        <v>56</v>
      </c>
      <c r="G345" s="131">
        <v>9</v>
      </c>
      <c r="H345" s="128" t="s">
        <v>115</v>
      </c>
    </row>
    <row r="346" spans="1:8" ht="18" x14ac:dyDescent="0.3">
      <c r="A346" s="121">
        <v>45990</v>
      </c>
      <c r="B346" s="122" t="s">
        <v>54</v>
      </c>
      <c r="C346" s="123" t="s">
        <v>295</v>
      </c>
      <c r="D346" s="122" t="s">
        <v>271</v>
      </c>
      <c r="E346" s="124">
        <v>1.944444444444444</v>
      </c>
      <c r="F346" s="122" t="s">
        <v>58</v>
      </c>
      <c r="G346" s="125">
        <v>9</v>
      </c>
      <c r="H346" s="122" t="s">
        <v>400</v>
      </c>
    </row>
    <row r="347" spans="1:8" ht="18" x14ac:dyDescent="0.3">
      <c r="A347" s="121">
        <v>45990</v>
      </c>
      <c r="B347" s="122" t="s">
        <v>54</v>
      </c>
      <c r="C347" s="123" t="s">
        <v>295</v>
      </c>
      <c r="D347" s="122" t="s">
        <v>271</v>
      </c>
      <c r="E347" s="124">
        <v>1.944444444444444</v>
      </c>
      <c r="F347" s="122" t="s">
        <v>60</v>
      </c>
      <c r="G347" s="125">
        <v>9</v>
      </c>
      <c r="H347" s="122" t="s">
        <v>401</v>
      </c>
    </row>
    <row r="348" spans="1:8" ht="18" x14ac:dyDescent="0.3">
      <c r="A348" s="127">
        <v>45990</v>
      </c>
      <c r="B348" s="128" t="s">
        <v>54</v>
      </c>
      <c r="C348" s="129" t="s">
        <v>296</v>
      </c>
      <c r="D348" s="128" t="s">
        <v>271</v>
      </c>
      <c r="E348" s="130">
        <v>1.4861111111111109</v>
      </c>
      <c r="F348" s="128" t="s">
        <v>56</v>
      </c>
      <c r="G348" s="131">
        <v>3</v>
      </c>
      <c r="H348" s="128" t="s">
        <v>115</v>
      </c>
    </row>
    <row r="349" spans="1:8" ht="18" x14ac:dyDescent="0.3">
      <c r="A349" s="121">
        <v>45990</v>
      </c>
      <c r="B349" s="122" t="s">
        <v>54</v>
      </c>
      <c r="C349" s="123" t="s">
        <v>296</v>
      </c>
      <c r="D349" s="122" t="s">
        <v>271</v>
      </c>
      <c r="E349" s="124">
        <v>1.4861111111111109</v>
      </c>
      <c r="F349" s="122" t="s">
        <v>58</v>
      </c>
      <c r="G349" s="125">
        <v>3</v>
      </c>
      <c r="H349" s="122" t="s">
        <v>400</v>
      </c>
    </row>
    <row r="350" spans="1:8" ht="18" x14ac:dyDescent="0.3">
      <c r="A350" s="121">
        <v>45990</v>
      </c>
      <c r="B350" s="122" t="s">
        <v>54</v>
      </c>
      <c r="C350" s="123" t="s">
        <v>296</v>
      </c>
      <c r="D350" s="122" t="s">
        <v>271</v>
      </c>
      <c r="E350" s="124">
        <v>1.4861111111111109</v>
      </c>
      <c r="F350" s="122" t="s">
        <v>60</v>
      </c>
      <c r="G350" s="125">
        <v>3</v>
      </c>
      <c r="H350" s="122" t="s">
        <v>401</v>
      </c>
    </row>
    <row r="351" spans="1:8" ht="18" x14ac:dyDescent="0.3">
      <c r="A351" s="127">
        <v>45990</v>
      </c>
      <c r="B351" s="128" t="s">
        <v>54</v>
      </c>
      <c r="C351" s="129" t="s">
        <v>298</v>
      </c>
      <c r="D351" s="128" t="s">
        <v>271</v>
      </c>
      <c r="E351" s="130">
        <v>1.8888888888888891</v>
      </c>
      <c r="F351" s="128" t="s">
        <v>56</v>
      </c>
      <c r="G351" s="131">
        <v>6</v>
      </c>
      <c r="H351" s="128" t="s">
        <v>115</v>
      </c>
    </row>
    <row r="352" spans="1:8" ht="18" x14ac:dyDescent="0.3">
      <c r="A352" s="121">
        <v>45990</v>
      </c>
      <c r="B352" s="122" t="s">
        <v>54</v>
      </c>
      <c r="C352" s="123" t="s">
        <v>298</v>
      </c>
      <c r="D352" s="122" t="s">
        <v>271</v>
      </c>
      <c r="E352" s="124">
        <v>1.8888888888888891</v>
      </c>
      <c r="F352" s="122" t="s">
        <v>58</v>
      </c>
      <c r="G352" s="125">
        <v>6</v>
      </c>
      <c r="H352" s="122" t="s">
        <v>400</v>
      </c>
    </row>
    <row r="353" spans="1:8" ht="18" x14ac:dyDescent="0.3">
      <c r="A353" s="121">
        <v>45990</v>
      </c>
      <c r="B353" s="122" t="s">
        <v>54</v>
      </c>
      <c r="C353" s="123" t="s">
        <v>298</v>
      </c>
      <c r="D353" s="122" t="s">
        <v>271</v>
      </c>
      <c r="E353" s="124">
        <v>1.8888888888888891</v>
      </c>
      <c r="F353" s="122" t="s">
        <v>60</v>
      </c>
      <c r="G353" s="125">
        <v>6</v>
      </c>
      <c r="H353" s="122" t="s">
        <v>401</v>
      </c>
    </row>
    <row r="354" spans="1:8" ht="18" x14ac:dyDescent="0.3">
      <c r="A354" s="127">
        <v>45990</v>
      </c>
      <c r="B354" s="128" t="s">
        <v>54</v>
      </c>
      <c r="C354" s="129" t="s">
        <v>301</v>
      </c>
      <c r="D354" s="128" t="s">
        <v>271</v>
      </c>
      <c r="E354" s="130">
        <v>1.75</v>
      </c>
      <c r="F354" s="128" t="s">
        <v>56</v>
      </c>
      <c r="G354" s="131">
        <v>9</v>
      </c>
      <c r="H354" s="128" t="s">
        <v>416</v>
      </c>
    </row>
    <row r="355" spans="1:8" ht="18" x14ac:dyDescent="0.3">
      <c r="A355" s="121">
        <v>45990</v>
      </c>
      <c r="B355" s="122" t="s">
        <v>54</v>
      </c>
      <c r="C355" s="123" t="s">
        <v>301</v>
      </c>
      <c r="D355" s="122" t="s">
        <v>271</v>
      </c>
      <c r="E355" s="124">
        <v>1.75</v>
      </c>
      <c r="F355" s="122" t="s">
        <v>58</v>
      </c>
      <c r="G355" s="125">
        <v>9</v>
      </c>
      <c r="H355" s="122" t="s">
        <v>417</v>
      </c>
    </row>
    <row r="356" spans="1:8" ht="18" x14ac:dyDescent="0.3">
      <c r="A356" s="121">
        <v>45990</v>
      </c>
      <c r="B356" s="122" t="s">
        <v>54</v>
      </c>
      <c r="C356" s="123" t="s">
        <v>301</v>
      </c>
      <c r="D356" s="122" t="s">
        <v>271</v>
      </c>
      <c r="E356" s="124">
        <v>1.75</v>
      </c>
      <c r="F356" s="122" t="s">
        <v>60</v>
      </c>
      <c r="G356" s="125">
        <v>9</v>
      </c>
      <c r="H356" s="122" t="s">
        <v>418</v>
      </c>
    </row>
    <row r="357" spans="1:8" ht="18" x14ac:dyDescent="0.3">
      <c r="A357" s="126">
        <v>45990</v>
      </c>
      <c r="B357" s="116" t="s">
        <v>35</v>
      </c>
      <c r="C357" s="117" t="s">
        <v>313</v>
      </c>
      <c r="D357" s="116" t="s">
        <v>271</v>
      </c>
      <c r="E357" s="118">
        <v>1.2534722222222221</v>
      </c>
      <c r="F357" s="116" t="s">
        <v>42</v>
      </c>
      <c r="G357" s="119">
        <v>9</v>
      </c>
      <c r="H357" s="116" t="s">
        <v>363</v>
      </c>
    </row>
    <row r="358" spans="1:8" ht="18" x14ac:dyDescent="0.3">
      <c r="A358" s="127">
        <v>45990</v>
      </c>
      <c r="B358" s="128" t="s">
        <v>35</v>
      </c>
      <c r="C358" s="129" t="s">
        <v>302</v>
      </c>
      <c r="D358" s="128" t="s">
        <v>271</v>
      </c>
      <c r="E358" s="130">
        <v>1.118055555555556</v>
      </c>
      <c r="F358" s="128" t="s">
        <v>42</v>
      </c>
      <c r="G358" s="131">
        <v>9</v>
      </c>
      <c r="H358" s="128" t="s">
        <v>311</v>
      </c>
    </row>
    <row r="359" spans="1:8" ht="18" x14ac:dyDescent="0.3">
      <c r="A359" s="127">
        <v>45990</v>
      </c>
      <c r="B359" s="128" t="s">
        <v>35</v>
      </c>
      <c r="C359" s="129" t="s">
        <v>312</v>
      </c>
      <c r="D359" s="128" t="s">
        <v>271</v>
      </c>
      <c r="E359" s="130">
        <v>1.7048611111111109</v>
      </c>
      <c r="F359" s="128" t="s">
        <v>42</v>
      </c>
      <c r="G359" s="131">
        <v>9</v>
      </c>
      <c r="H359" s="128" t="s">
        <v>311</v>
      </c>
    </row>
    <row r="360" spans="1:8" ht="18" x14ac:dyDescent="0.3">
      <c r="A360" s="127">
        <v>45990</v>
      </c>
      <c r="B360" s="128" t="s">
        <v>35</v>
      </c>
      <c r="C360" s="129" t="s">
        <v>314</v>
      </c>
      <c r="D360" s="128" t="s">
        <v>271</v>
      </c>
      <c r="E360" s="130">
        <v>1.041666666666667</v>
      </c>
      <c r="F360" s="128" t="s">
        <v>42</v>
      </c>
      <c r="G360" s="131">
        <v>9</v>
      </c>
      <c r="H360" s="128" t="s">
        <v>311</v>
      </c>
    </row>
    <row r="361" spans="1:8" ht="18" x14ac:dyDescent="0.3">
      <c r="A361" s="127">
        <v>45990</v>
      </c>
      <c r="B361" s="128" t="s">
        <v>35</v>
      </c>
      <c r="C361" s="129" t="s">
        <v>315</v>
      </c>
      <c r="D361" s="128" t="s">
        <v>271</v>
      </c>
      <c r="E361" s="130">
        <v>1.9409722222222221</v>
      </c>
      <c r="F361" s="128" t="s">
        <v>42</v>
      </c>
      <c r="G361" s="131">
        <v>9</v>
      </c>
      <c r="H361" s="128" t="s">
        <v>311</v>
      </c>
    </row>
    <row r="362" spans="1:8" ht="18" x14ac:dyDescent="0.3">
      <c r="A362" s="127">
        <v>45990</v>
      </c>
      <c r="B362" s="128" t="s">
        <v>35</v>
      </c>
      <c r="C362" s="129" t="s">
        <v>304</v>
      </c>
      <c r="D362" s="128" t="s">
        <v>271</v>
      </c>
      <c r="E362" s="130">
        <v>1.399305555555556</v>
      </c>
      <c r="F362" s="128" t="s">
        <v>42</v>
      </c>
      <c r="G362" s="131">
        <v>4</v>
      </c>
      <c r="H362" s="128" t="s">
        <v>364</v>
      </c>
    </row>
    <row r="363" spans="1:8" ht="18" x14ac:dyDescent="0.3">
      <c r="A363" s="127">
        <v>45990</v>
      </c>
      <c r="B363" s="128" t="s">
        <v>35</v>
      </c>
      <c r="C363" s="129" t="s">
        <v>316</v>
      </c>
      <c r="D363" s="128" t="s">
        <v>271</v>
      </c>
      <c r="E363" s="130">
        <v>1.489583333333333</v>
      </c>
      <c r="F363" s="128" t="s">
        <v>42</v>
      </c>
      <c r="G363" s="131">
        <v>4</v>
      </c>
      <c r="H363" s="128" t="s">
        <v>317</v>
      </c>
    </row>
    <row r="364" spans="1:8" ht="18" x14ac:dyDescent="0.3">
      <c r="A364" s="127">
        <v>45990</v>
      </c>
      <c r="B364" s="128" t="s">
        <v>35</v>
      </c>
      <c r="C364" s="129" t="s">
        <v>310</v>
      </c>
      <c r="D364" s="128" t="s">
        <v>271</v>
      </c>
      <c r="E364" s="130">
        <v>1.8298611111111109</v>
      </c>
      <c r="F364" s="128" t="s">
        <v>42</v>
      </c>
      <c r="G364" s="131">
        <v>9</v>
      </c>
      <c r="H364" s="128" t="s">
        <v>419</v>
      </c>
    </row>
    <row r="365" spans="1:8" ht="18" x14ac:dyDescent="0.3">
      <c r="A365" s="127">
        <v>45990</v>
      </c>
      <c r="B365" s="128" t="s">
        <v>35</v>
      </c>
      <c r="C365" s="129" t="s">
        <v>318</v>
      </c>
      <c r="D365" s="128" t="s">
        <v>271</v>
      </c>
      <c r="E365" s="130">
        <v>1.7222222222222221</v>
      </c>
      <c r="F365" s="128" t="s">
        <v>42</v>
      </c>
      <c r="G365" s="131">
        <v>7</v>
      </c>
      <c r="H365" s="128" t="s">
        <v>419</v>
      </c>
    </row>
    <row r="366" spans="1:8" ht="18" x14ac:dyDescent="0.3">
      <c r="A366" s="127">
        <v>45990</v>
      </c>
      <c r="B366" s="128" t="s">
        <v>35</v>
      </c>
      <c r="C366" s="129" t="s">
        <v>306</v>
      </c>
      <c r="D366" s="128" t="s">
        <v>271</v>
      </c>
      <c r="E366" s="130">
        <v>1.989583333333333</v>
      </c>
      <c r="F366" s="128" t="s">
        <v>42</v>
      </c>
      <c r="G366" s="131">
        <v>4</v>
      </c>
      <c r="H366" s="128" t="s">
        <v>354</v>
      </c>
    </row>
    <row r="367" spans="1:8" ht="18" x14ac:dyDescent="0.3">
      <c r="A367" s="127">
        <v>45990</v>
      </c>
      <c r="B367" s="128" t="s">
        <v>35</v>
      </c>
      <c r="C367" s="129" t="s">
        <v>308</v>
      </c>
      <c r="D367" s="128" t="s">
        <v>271</v>
      </c>
      <c r="E367" s="130">
        <v>1.489583333333333</v>
      </c>
      <c r="F367" s="128" t="s">
        <v>42</v>
      </c>
      <c r="G367" s="131">
        <v>4</v>
      </c>
      <c r="H367" s="128" t="s">
        <v>354</v>
      </c>
    </row>
    <row r="368" spans="1:8" ht="18" x14ac:dyDescent="0.3">
      <c r="A368" s="127">
        <v>45990</v>
      </c>
      <c r="B368" s="128" t="s">
        <v>35</v>
      </c>
      <c r="C368" s="129" t="s">
        <v>309</v>
      </c>
      <c r="D368" s="128" t="s">
        <v>271</v>
      </c>
      <c r="E368" s="130">
        <v>1.8888888888888891</v>
      </c>
      <c r="F368" s="128" t="s">
        <v>42</v>
      </c>
      <c r="G368" s="131">
        <v>4</v>
      </c>
      <c r="H368" s="128" t="s">
        <v>354</v>
      </c>
    </row>
    <row r="369" spans="1:8" ht="18" x14ac:dyDescent="0.3">
      <c r="A369" s="126">
        <v>45990</v>
      </c>
      <c r="B369" s="116" t="s">
        <v>360</v>
      </c>
      <c r="C369" s="117" t="s">
        <v>384</v>
      </c>
      <c r="D369" s="116" t="s">
        <v>271</v>
      </c>
      <c r="E369" s="118">
        <v>1.0972222222222221</v>
      </c>
      <c r="F369" s="116" t="s">
        <v>81</v>
      </c>
      <c r="G369" s="119">
        <v>4</v>
      </c>
      <c r="H369" s="116" t="s">
        <v>420</v>
      </c>
    </row>
    <row r="370" spans="1:8" ht="18" x14ac:dyDescent="0.3">
      <c r="A370" s="136">
        <v>45990</v>
      </c>
      <c r="B370" s="137" t="s">
        <v>71</v>
      </c>
      <c r="C370" s="138" t="s">
        <v>371</v>
      </c>
      <c r="D370" s="137" t="s">
        <v>271</v>
      </c>
      <c r="E370" s="139">
        <v>1.90625</v>
      </c>
      <c r="F370" s="137" t="s">
        <v>81</v>
      </c>
      <c r="G370" s="140">
        <v>1</v>
      </c>
      <c r="H370" s="137" t="s">
        <v>421</v>
      </c>
    </row>
    <row r="371" spans="1:8" ht="18" x14ac:dyDescent="0.3">
      <c r="A371" s="141">
        <v>45990</v>
      </c>
      <c r="B371" s="142" t="s">
        <v>71</v>
      </c>
      <c r="C371" s="143" t="s">
        <v>377</v>
      </c>
      <c r="D371" s="142" t="s">
        <v>271</v>
      </c>
      <c r="E371" s="144">
        <v>1.0486111111111109</v>
      </c>
      <c r="F371" s="142" t="s">
        <v>73</v>
      </c>
      <c r="G371" s="142"/>
      <c r="H371" s="142" t="s">
        <v>74</v>
      </c>
    </row>
    <row r="372" spans="1:8" ht="18" x14ac:dyDescent="0.3">
      <c r="A372" s="141">
        <v>45990</v>
      </c>
      <c r="B372" s="142" t="s">
        <v>71</v>
      </c>
      <c r="C372" s="143" t="s">
        <v>328</v>
      </c>
      <c r="D372" s="142" t="s">
        <v>271</v>
      </c>
      <c r="E372" s="144">
        <v>1.15625</v>
      </c>
      <c r="F372" s="142" t="s">
        <v>73</v>
      </c>
      <c r="G372" s="142"/>
      <c r="H372" s="142" t="s">
        <v>74</v>
      </c>
    </row>
    <row r="373" spans="1:8" ht="18" x14ac:dyDescent="0.3">
      <c r="A373" s="232">
        <v>45990</v>
      </c>
      <c r="B373" s="233" t="s">
        <v>71</v>
      </c>
      <c r="C373" s="234" t="s">
        <v>330</v>
      </c>
      <c r="D373" s="233" t="s">
        <v>271</v>
      </c>
      <c r="E373" s="235">
        <v>1.5034722222222221</v>
      </c>
      <c r="F373" s="233" t="s">
        <v>73</v>
      </c>
      <c r="G373" s="233"/>
      <c r="H373" s="233" t="s">
        <v>74</v>
      </c>
    </row>
    <row r="374" spans="1:8" ht="18" x14ac:dyDescent="0.3">
      <c r="A374" s="187">
        <v>45991</v>
      </c>
      <c r="B374" s="137" t="s">
        <v>71</v>
      </c>
      <c r="C374" s="138" t="s">
        <v>389</v>
      </c>
      <c r="D374" s="137" t="s">
        <v>271</v>
      </c>
      <c r="E374" s="139">
        <v>1.4548611111111109</v>
      </c>
      <c r="F374" s="137" t="s">
        <v>81</v>
      </c>
      <c r="G374" s="140">
        <v>2</v>
      </c>
      <c r="H374" s="188" t="s">
        <v>123</v>
      </c>
    </row>
    <row r="375" spans="1:8" ht="18" x14ac:dyDescent="0.3">
      <c r="A375" s="141">
        <v>45991</v>
      </c>
      <c r="B375" s="142" t="s">
        <v>71</v>
      </c>
      <c r="C375" s="143" t="s">
        <v>328</v>
      </c>
      <c r="D375" s="142" t="s">
        <v>271</v>
      </c>
      <c r="E375" s="144">
        <v>1.1423611111111109</v>
      </c>
      <c r="F375" s="142" t="s">
        <v>73</v>
      </c>
      <c r="G375" s="142"/>
      <c r="H375" s="142" t="s">
        <v>74</v>
      </c>
    </row>
    <row r="376" spans="1:8" ht="18" x14ac:dyDescent="0.3">
      <c r="A376" s="141">
        <v>45991</v>
      </c>
      <c r="B376" s="142" t="s">
        <v>71</v>
      </c>
      <c r="C376" s="143" t="s">
        <v>380</v>
      </c>
      <c r="D376" s="142" t="s">
        <v>271</v>
      </c>
      <c r="E376" s="144">
        <v>1.15625</v>
      </c>
      <c r="F376" s="142" t="s">
        <v>73</v>
      </c>
      <c r="G376" s="142"/>
      <c r="H376" s="142" t="s">
        <v>74</v>
      </c>
    </row>
    <row r="377" spans="1:8" ht="18" x14ac:dyDescent="0.3">
      <c r="A377" s="141">
        <v>45991</v>
      </c>
      <c r="B377" s="142" t="s">
        <v>71</v>
      </c>
      <c r="C377" s="143" t="s">
        <v>332</v>
      </c>
      <c r="D377" s="142" t="s">
        <v>271</v>
      </c>
      <c r="E377" s="144">
        <v>1.333333333333333</v>
      </c>
      <c r="F377" s="142" t="s">
        <v>73</v>
      </c>
      <c r="G377" s="142"/>
      <c r="H377" s="142" t="s">
        <v>74</v>
      </c>
    </row>
    <row r="378" spans="1:8" ht="18" x14ac:dyDescent="0.3">
      <c r="A378" s="141">
        <v>45991</v>
      </c>
      <c r="B378" s="142" t="s">
        <v>71</v>
      </c>
      <c r="C378" s="143" t="s">
        <v>347</v>
      </c>
      <c r="D378" s="142" t="s">
        <v>271</v>
      </c>
      <c r="E378" s="144">
        <v>1.8298611111111109</v>
      </c>
      <c r="F378" s="142" t="s">
        <v>73</v>
      </c>
      <c r="G378" s="142"/>
      <c r="H378" s="142" t="s">
        <v>74</v>
      </c>
    </row>
    <row r="379" spans="1:8" ht="18" x14ac:dyDescent="0.3">
      <c r="A379" s="126">
        <v>45991</v>
      </c>
      <c r="B379" s="116" t="s">
        <v>25</v>
      </c>
      <c r="C379" s="117" t="s">
        <v>278</v>
      </c>
      <c r="D379" s="116" t="s">
        <v>271</v>
      </c>
      <c r="E379" s="118">
        <v>1.399305555555556</v>
      </c>
      <c r="F379" s="116" t="s">
        <v>27</v>
      </c>
      <c r="G379" s="119">
        <v>9</v>
      </c>
      <c r="H379" s="116" t="s">
        <v>275</v>
      </c>
    </row>
    <row r="380" spans="1:8" ht="18" x14ac:dyDescent="0.3">
      <c r="A380" s="121">
        <v>45991</v>
      </c>
      <c r="B380" s="122" t="s">
        <v>25</v>
      </c>
      <c r="C380" s="123" t="s">
        <v>278</v>
      </c>
      <c r="D380" s="122" t="s">
        <v>271</v>
      </c>
      <c r="E380" s="124">
        <v>1.399305555555556</v>
      </c>
      <c r="F380" s="122" t="s">
        <v>30</v>
      </c>
      <c r="G380" s="125">
        <v>9</v>
      </c>
      <c r="H380" s="122" t="s">
        <v>276</v>
      </c>
    </row>
    <row r="381" spans="1:8" ht="18" x14ac:dyDescent="0.3">
      <c r="A381" s="121">
        <v>45991</v>
      </c>
      <c r="B381" s="122" t="s">
        <v>25</v>
      </c>
      <c r="C381" s="123" t="s">
        <v>278</v>
      </c>
      <c r="D381" s="122" t="s">
        <v>271</v>
      </c>
      <c r="E381" s="124">
        <v>1.399305555555556</v>
      </c>
      <c r="F381" s="122" t="s">
        <v>33</v>
      </c>
      <c r="G381" s="125">
        <v>9</v>
      </c>
      <c r="H381" s="122" t="s">
        <v>34</v>
      </c>
    </row>
    <row r="382" spans="1:8" ht="18" x14ac:dyDescent="0.3">
      <c r="A382" s="127">
        <v>45991</v>
      </c>
      <c r="B382" s="128" t="s">
        <v>25</v>
      </c>
      <c r="C382" s="129" t="s">
        <v>273</v>
      </c>
      <c r="D382" s="128" t="s">
        <v>271</v>
      </c>
      <c r="E382" s="130">
        <v>1.489583333333333</v>
      </c>
      <c r="F382" s="128" t="s">
        <v>27</v>
      </c>
      <c r="G382" s="131">
        <v>6</v>
      </c>
      <c r="H382" s="128" t="s">
        <v>275</v>
      </c>
    </row>
    <row r="383" spans="1:8" ht="18" x14ac:dyDescent="0.3">
      <c r="A383" s="121">
        <v>45991</v>
      </c>
      <c r="B383" s="122" t="s">
        <v>25</v>
      </c>
      <c r="C383" s="123" t="s">
        <v>273</v>
      </c>
      <c r="D383" s="122" t="s">
        <v>271</v>
      </c>
      <c r="E383" s="124">
        <v>1.489583333333333</v>
      </c>
      <c r="F383" s="122" t="s">
        <v>33</v>
      </c>
      <c r="G383" s="125">
        <v>6</v>
      </c>
      <c r="H383" s="122" t="s">
        <v>79</v>
      </c>
    </row>
    <row r="384" spans="1:8" ht="18" x14ac:dyDescent="0.3">
      <c r="A384" s="121">
        <v>45991</v>
      </c>
      <c r="B384" s="122" t="s">
        <v>25</v>
      </c>
      <c r="C384" s="123" t="s">
        <v>273</v>
      </c>
      <c r="D384" s="122" t="s">
        <v>271</v>
      </c>
      <c r="E384" s="124">
        <v>1.489583333333333</v>
      </c>
      <c r="F384" s="122" t="s">
        <v>30</v>
      </c>
      <c r="G384" s="125">
        <v>6</v>
      </c>
      <c r="H384" s="122" t="s">
        <v>276</v>
      </c>
    </row>
    <row r="385" spans="1:8" ht="18" x14ac:dyDescent="0.3">
      <c r="A385" s="127">
        <v>45991</v>
      </c>
      <c r="B385" s="128" t="s">
        <v>25</v>
      </c>
      <c r="C385" s="129" t="s">
        <v>272</v>
      </c>
      <c r="D385" s="128" t="s">
        <v>271</v>
      </c>
      <c r="E385" s="130">
        <v>1.989583333333333</v>
      </c>
      <c r="F385" s="128" t="s">
        <v>27</v>
      </c>
      <c r="G385" s="131">
        <v>9</v>
      </c>
      <c r="H385" s="128" t="s">
        <v>275</v>
      </c>
    </row>
    <row r="386" spans="1:8" ht="18" x14ac:dyDescent="0.3">
      <c r="A386" s="121">
        <v>45991</v>
      </c>
      <c r="B386" s="122" t="s">
        <v>25</v>
      </c>
      <c r="C386" s="123" t="s">
        <v>272</v>
      </c>
      <c r="D386" s="122" t="s">
        <v>271</v>
      </c>
      <c r="E386" s="124">
        <v>1.989583333333333</v>
      </c>
      <c r="F386" s="122" t="s">
        <v>33</v>
      </c>
      <c r="G386" s="125">
        <v>9</v>
      </c>
      <c r="H386" s="122" t="s">
        <v>79</v>
      </c>
    </row>
    <row r="387" spans="1:8" ht="18" x14ac:dyDescent="0.3">
      <c r="A387" s="121">
        <v>45991</v>
      </c>
      <c r="B387" s="122" t="s">
        <v>25</v>
      </c>
      <c r="C387" s="123" t="s">
        <v>272</v>
      </c>
      <c r="D387" s="122" t="s">
        <v>271</v>
      </c>
      <c r="E387" s="124">
        <v>1.989583333333333</v>
      </c>
      <c r="F387" s="122" t="s">
        <v>30</v>
      </c>
      <c r="G387" s="125">
        <v>9</v>
      </c>
      <c r="H387" s="122" t="s">
        <v>276</v>
      </c>
    </row>
    <row r="388" spans="1:8" ht="18" x14ac:dyDescent="0.3">
      <c r="A388" s="127">
        <v>45991</v>
      </c>
      <c r="B388" s="128" t="s">
        <v>25</v>
      </c>
      <c r="C388" s="129" t="s">
        <v>277</v>
      </c>
      <c r="D388" s="128" t="s">
        <v>271</v>
      </c>
      <c r="E388" s="130">
        <v>1.8888888888888891</v>
      </c>
      <c r="F388" s="128" t="s">
        <v>27</v>
      </c>
      <c r="G388" s="131">
        <v>5</v>
      </c>
      <c r="H388" s="128" t="s">
        <v>293</v>
      </c>
    </row>
    <row r="389" spans="1:8" ht="18" x14ac:dyDescent="0.3">
      <c r="A389" s="121">
        <v>45991</v>
      </c>
      <c r="B389" s="122" t="s">
        <v>25</v>
      </c>
      <c r="C389" s="123" t="s">
        <v>277</v>
      </c>
      <c r="D389" s="122" t="s">
        <v>271</v>
      </c>
      <c r="E389" s="124">
        <v>1.8888888888888891</v>
      </c>
      <c r="F389" s="122" t="s">
        <v>30</v>
      </c>
      <c r="G389" s="125">
        <v>5</v>
      </c>
      <c r="H389" s="122" t="s">
        <v>335</v>
      </c>
    </row>
    <row r="390" spans="1:8" ht="18" x14ac:dyDescent="0.3">
      <c r="A390" s="121">
        <v>45991</v>
      </c>
      <c r="B390" s="122" t="s">
        <v>25</v>
      </c>
      <c r="C390" s="123" t="s">
        <v>277</v>
      </c>
      <c r="D390" s="122" t="s">
        <v>271</v>
      </c>
      <c r="E390" s="124">
        <v>1.8888888888888891</v>
      </c>
      <c r="F390" s="122" t="s">
        <v>33</v>
      </c>
      <c r="G390" s="125">
        <v>5</v>
      </c>
      <c r="H390" s="122" t="s">
        <v>34</v>
      </c>
    </row>
    <row r="391" spans="1:8" ht="18" x14ac:dyDescent="0.3">
      <c r="A391" s="126">
        <v>45991</v>
      </c>
      <c r="B391" s="116" t="s">
        <v>285</v>
      </c>
      <c r="C391" s="117" t="s">
        <v>286</v>
      </c>
      <c r="D391" s="116" t="s">
        <v>271</v>
      </c>
      <c r="E391" s="118">
        <v>1.493055555555556</v>
      </c>
      <c r="F391" s="116" t="s">
        <v>81</v>
      </c>
      <c r="G391" s="119">
        <v>3</v>
      </c>
      <c r="H391" s="116" t="s">
        <v>287</v>
      </c>
    </row>
    <row r="392" spans="1:8" ht="18" x14ac:dyDescent="0.3">
      <c r="A392" s="127">
        <v>45991</v>
      </c>
      <c r="B392" s="128" t="s">
        <v>285</v>
      </c>
      <c r="C392" s="129" t="s">
        <v>288</v>
      </c>
      <c r="D392" s="128" t="s">
        <v>271</v>
      </c>
      <c r="E392" s="130">
        <v>1.2048611111111109</v>
      </c>
      <c r="F392" s="128" t="s">
        <v>81</v>
      </c>
      <c r="G392" s="131">
        <v>8</v>
      </c>
      <c r="H392" s="128" t="s">
        <v>287</v>
      </c>
    </row>
    <row r="393" spans="1:8" ht="18" x14ac:dyDescent="0.3">
      <c r="A393" s="126">
        <v>45991</v>
      </c>
      <c r="B393" s="116" t="s">
        <v>54</v>
      </c>
      <c r="C393" s="117" t="s">
        <v>299</v>
      </c>
      <c r="D393" s="116" t="s">
        <v>271</v>
      </c>
      <c r="E393" s="118">
        <v>1.3472222222222221</v>
      </c>
      <c r="F393" s="116" t="s">
        <v>56</v>
      </c>
      <c r="G393" s="119">
        <v>8</v>
      </c>
      <c r="H393" s="116" t="s">
        <v>79</v>
      </c>
    </row>
    <row r="394" spans="1:8" ht="18" x14ac:dyDescent="0.3">
      <c r="A394" s="121">
        <v>45991</v>
      </c>
      <c r="B394" s="122" t="s">
        <v>54</v>
      </c>
      <c r="C394" s="123" t="s">
        <v>299</v>
      </c>
      <c r="D394" s="122" t="s">
        <v>271</v>
      </c>
      <c r="E394" s="124">
        <v>1.3472222222222221</v>
      </c>
      <c r="F394" s="122" t="s">
        <v>58</v>
      </c>
      <c r="G394" s="125">
        <v>8</v>
      </c>
      <c r="H394" s="122" t="s">
        <v>335</v>
      </c>
    </row>
    <row r="395" spans="1:8" ht="18" x14ac:dyDescent="0.3">
      <c r="A395" s="121">
        <v>45991</v>
      </c>
      <c r="B395" s="122" t="s">
        <v>54</v>
      </c>
      <c r="C395" s="123" t="s">
        <v>299</v>
      </c>
      <c r="D395" s="122" t="s">
        <v>271</v>
      </c>
      <c r="E395" s="124">
        <v>1.3472222222222221</v>
      </c>
      <c r="F395" s="122" t="s">
        <v>60</v>
      </c>
      <c r="G395" s="125">
        <v>8</v>
      </c>
      <c r="H395" s="122" t="s">
        <v>433</v>
      </c>
    </row>
    <row r="396" spans="1:8" ht="18" x14ac:dyDescent="0.3">
      <c r="A396" s="127">
        <v>45991</v>
      </c>
      <c r="B396" s="128" t="s">
        <v>54</v>
      </c>
      <c r="C396" s="129" t="s">
        <v>291</v>
      </c>
      <c r="D396" s="128" t="s">
        <v>271</v>
      </c>
      <c r="E396" s="130">
        <v>1.993055555555556</v>
      </c>
      <c r="F396" s="128" t="s">
        <v>56</v>
      </c>
      <c r="G396" s="131">
        <v>9</v>
      </c>
      <c r="H396" s="128" t="s">
        <v>79</v>
      </c>
    </row>
    <row r="397" spans="1:8" ht="18" x14ac:dyDescent="0.3">
      <c r="A397" s="121">
        <v>45991</v>
      </c>
      <c r="B397" s="122" t="s">
        <v>54</v>
      </c>
      <c r="C397" s="123" t="s">
        <v>291</v>
      </c>
      <c r="D397" s="122" t="s">
        <v>271</v>
      </c>
      <c r="E397" s="124">
        <v>1.993055555555556</v>
      </c>
      <c r="F397" s="122" t="s">
        <v>58</v>
      </c>
      <c r="G397" s="125">
        <v>9</v>
      </c>
      <c r="H397" s="122" t="s">
        <v>335</v>
      </c>
    </row>
    <row r="398" spans="1:8" ht="18" x14ac:dyDescent="0.3">
      <c r="A398" s="121">
        <v>45991</v>
      </c>
      <c r="B398" s="122" t="s">
        <v>54</v>
      </c>
      <c r="C398" s="123" t="s">
        <v>291</v>
      </c>
      <c r="D398" s="122" t="s">
        <v>271</v>
      </c>
      <c r="E398" s="124">
        <v>1.993055555555556</v>
      </c>
      <c r="F398" s="122" t="s">
        <v>60</v>
      </c>
      <c r="G398" s="125">
        <v>9</v>
      </c>
      <c r="H398" s="122" t="s">
        <v>433</v>
      </c>
    </row>
    <row r="399" spans="1:8" ht="18" x14ac:dyDescent="0.3">
      <c r="A399" s="127">
        <v>45991</v>
      </c>
      <c r="B399" s="128" t="s">
        <v>54</v>
      </c>
      <c r="C399" s="129" t="s">
        <v>294</v>
      </c>
      <c r="D399" s="128" t="s">
        <v>271</v>
      </c>
      <c r="E399" s="130">
        <v>1.836805555555556</v>
      </c>
      <c r="F399" s="128" t="s">
        <v>56</v>
      </c>
      <c r="G399" s="131">
        <v>3</v>
      </c>
      <c r="H399" s="128" t="s">
        <v>79</v>
      </c>
    </row>
    <row r="400" spans="1:8" ht="18" x14ac:dyDescent="0.3">
      <c r="A400" s="121">
        <v>45991</v>
      </c>
      <c r="B400" s="122" t="s">
        <v>54</v>
      </c>
      <c r="C400" s="123" t="s">
        <v>294</v>
      </c>
      <c r="D400" s="122" t="s">
        <v>271</v>
      </c>
      <c r="E400" s="124">
        <v>1.836805555555556</v>
      </c>
      <c r="F400" s="122" t="s">
        <v>58</v>
      </c>
      <c r="G400" s="125">
        <v>3</v>
      </c>
      <c r="H400" s="122" t="s">
        <v>335</v>
      </c>
    </row>
    <row r="401" spans="1:8" ht="18" x14ac:dyDescent="0.3">
      <c r="A401" s="121">
        <v>45991</v>
      </c>
      <c r="B401" s="122" t="s">
        <v>54</v>
      </c>
      <c r="C401" s="123" t="s">
        <v>294</v>
      </c>
      <c r="D401" s="122" t="s">
        <v>271</v>
      </c>
      <c r="E401" s="124">
        <v>1.836805555555556</v>
      </c>
      <c r="F401" s="122" t="s">
        <v>60</v>
      </c>
      <c r="G401" s="125">
        <v>3</v>
      </c>
      <c r="H401" s="122" t="s">
        <v>433</v>
      </c>
    </row>
    <row r="402" spans="1:8" ht="18" x14ac:dyDescent="0.3">
      <c r="A402" s="127">
        <v>45991</v>
      </c>
      <c r="B402" s="128" t="s">
        <v>54</v>
      </c>
      <c r="C402" s="129" t="s">
        <v>295</v>
      </c>
      <c r="D402" s="128" t="s">
        <v>271</v>
      </c>
      <c r="E402" s="130">
        <v>1.944444444444444</v>
      </c>
      <c r="F402" s="128" t="s">
        <v>56</v>
      </c>
      <c r="G402" s="131">
        <v>6</v>
      </c>
      <c r="H402" s="128" t="s">
        <v>79</v>
      </c>
    </row>
    <row r="403" spans="1:8" ht="18" x14ac:dyDescent="0.3">
      <c r="A403" s="121">
        <v>45991</v>
      </c>
      <c r="B403" s="122" t="s">
        <v>54</v>
      </c>
      <c r="C403" s="123" t="s">
        <v>295</v>
      </c>
      <c r="D403" s="122" t="s">
        <v>271</v>
      </c>
      <c r="E403" s="124">
        <v>1.944444444444444</v>
      </c>
      <c r="F403" s="122" t="s">
        <v>58</v>
      </c>
      <c r="G403" s="125">
        <v>6</v>
      </c>
      <c r="H403" s="122" t="s">
        <v>335</v>
      </c>
    </row>
    <row r="404" spans="1:8" ht="18" x14ac:dyDescent="0.3">
      <c r="A404" s="121">
        <v>45991</v>
      </c>
      <c r="B404" s="122" t="s">
        <v>54</v>
      </c>
      <c r="C404" s="123" t="s">
        <v>295</v>
      </c>
      <c r="D404" s="122" t="s">
        <v>271</v>
      </c>
      <c r="E404" s="124">
        <v>1.944444444444444</v>
      </c>
      <c r="F404" s="122" t="s">
        <v>60</v>
      </c>
      <c r="G404" s="125">
        <v>6</v>
      </c>
      <c r="H404" s="122" t="s">
        <v>433</v>
      </c>
    </row>
    <row r="405" spans="1:8" ht="18" x14ac:dyDescent="0.3">
      <c r="A405" s="127">
        <v>45991</v>
      </c>
      <c r="B405" s="128" t="s">
        <v>54</v>
      </c>
      <c r="C405" s="129" t="s">
        <v>296</v>
      </c>
      <c r="D405" s="128" t="s">
        <v>271</v>
      </c>
      <c r="E405" s="130">
        <v>1.4861111111111109</v>
      </c>
      <c r="F405" s="128" t="s">
        <v>56</v>
      </c>
      <c r="G405" s="131">
        <v>1</v>
      </c>
      <c r="H405" s="128" t="s">
        <v>79</v>
      </c>
    </row>
    <row r="406" spans="1:8" ht="18" x14ac:dyDescent="0.3">
      <c r="A406" s="121">
        <v>45991</v>
      </c>
      <c r="B406" s="122" t="s">
        <v>54</v>
      </c>
      <c r="C406" s="123" t="s">
        <v>296</v>
      </c>
      <c r="D406" s="122" t="s">
        <v>271</v>
      </c>
      <c r="E406" s="124">
        <v>1.4861111111111109</v>
      </c>
      <c r="F406" s="122" t="s">
        <v>58</v>
      </c>
      <c r="G406" s="125">
        <v>1</v>
      </c>
      <c r="H406" s="122" t="s">
        <v>335</v>
      </c>
    </row>
    <row r="407" spans="1:8" ht="18" x14ac:dyDescent="0.3">
      <c r="A407" s="121">
        <v>45991</v>
      </c>
      <c r="B407" s="122" t="s">
        <v>54</v>
      </c>
      <c r="C407" s="123" t="s">
        <v>296</v>
      </c>
      <c r="D407" s="122" t="s">
        <v>271</v>
      </c>
      <c r="E407" s="124">
        <v>1.4861111111111109</v>
      </c>
      <c r="F407" s="122" t="s">
        <v>60</v>
      </c>
      <c r="G407" s="125">
        <v>1</v>
      </c>
      <c r="H407" s="122" t="s">
        <v>433</v>
      </c>
    </row>
    <row r="408" spans="1:8" ht="18" x14ac:dyDescent="0.3">
      <c r="A408" s="127">
        <v>45991</v>
      </c>
      <c r="B408" s="128" t="s">
        <v>54</v>
      </c>
      <c r="C408" s="129" t="s">
        <v>297</v>
      </c>
      <c r="D408" s="128" t="s">
        <v>271</v>
      </c>
      <c r="E408" s="130">
        <v>1.3923611111111109</v>
      </c>
      <c r="F408" s="128" t="s">
        <v>56</v>
      </c>
      <c r="G408" s="131">
        <v>8</v>
      </c>
      <c r="H408" s="128" t="s">
        <v>79</v>
      </c>
    </row>
    <row r="409" spans="1:8" ht="18" x14ac:dyDescent="0.3">
      <c r="A409" s="121">
        <v>45991</v>
      </c>
      <c r="B409" s="122" t="s">
        <v>54</v>
      </c>
      <c r="C409" s="123" t="s">
        <v>297</v>
      </c>
      <c r="D409" s="122" t="s">
        <v>271</v>
      </c>
      <c r="E409" s="124">
        <v>1.3923611111111109</v>
      </c>
      <c r="F409" s="122" t="s">
        <v>58</v>
      </c>
      <c r="G409" s="125">
        <v>8</v>
      </c>
      <c r="H409" s="122" t="s">
        <v>335</v>
      </c>
    </row>
    <row r="410" spans="1:8" ht="18" x14ac:dyDescent="0.3">
      <c r="A410" s="121">
        <v>45991</v>
      </c>
      <c r="B410" s="122" t="s">
        <v>54</v>
      </c>
      <c r="C410" s="123" t="s">
        <v>297</v>
      </c>
      <c r="D410" s="122" t="s">
        <v>271</v>
      </c>
      <c r="E410" s="124">
        <v>1.3923611111111109</v>
      </c>
      <c r="F410" s="122" t="s">
        <v>60</v>
      </c>
      <c r="G410" s="125">
        <v>8</v>
      </c>
      <c r="H410" s="122" t="s">
        <v>433</v>
      </c>
    </row>
    <row r="411" spans="1:8" ht="18" x14ac:dyDescent="0.3">
      <c r="A411" s="127">
        <v>45991</v>
      </c>
      <c r="B411" s="128" t="s">
        <v>54</v>
      </c>
      <c r="C411" s="129" t="s">
        <v>298</v>
      </c>
      <c r="D411" s="128" t="s">
        <v>271</v>
      </c>
      <c r="E411" s="130">
        <v>1.8888888888888891</v>
      </c>
      <c r="F411" s="128" t="s">
        <v>56</v>
      </c>
      <c r="G411" s="131">
        <v>5</v>
      </c>
      <c r="H411" s="128" t="s">
        <v>79</v>
      </c>
    </row>
    <row r="412" spans="1:8" ht="18" x14ac:dyDescent="0.3">
      <c r="A412" s="121">
        <v>45991</v>
      </c>
      <c r="B412" s="122" t="s">
        <v>54</v>
      </c>
      <c r="C412" s="123" t="s">
        <v>298</v>
      </c>
      <c r="D412" s="122" t="s">
        <v>271</v>
      </c>
      <c r="E412" s="124">
        <v>1.8888888888888891</v>
      </c>
      <c r="F412" s="122" t="s">
        <v>58</v>
      </c>
      <c r="G412" s="125">
        <v>5</v>
      </c>
      <c r="H412" s="122" t="s">
        <v>335</v>
      </c>
    </row>
    <row r="413" spans="1:8" ht="18" x14ac:dyDescent="0.3">
      <c r="A413" s="121">
        <v>45991</v>
      </c>
      <c r="B413" s="122" t="s">
        <v>54</v>
      </c>
      <c r="C413" s="123" t="s">
        <v>298</v>
      </c>
      <c r="D413" s="122" t="s">
        <v>271</v>
      </c>
      <c r="E413" s="124">
        <v>1.8888888888888891</v>
      </c>
      <c r="F413" s="122" t="s">
        <v>60</v>
      </c>
      <c r="G413" s="125">
        <v>5</v>
      </c>
      <c r="H413" s="122" t="s">
        <v>433</v>
      </c>
    </row>
    <row r="414" spans="1:8" ht="18" x14ac:dyDescent="0.3">
      <c r="A414" s="127">
        <v>45991</v>
      </c>
      <c r="B414" s="128" t="s">
        <v>54</v>
      </c>
      <c r="C414" s="129" t="s">
        <v>301</v>
      </c>
      <c r="D414" s="128" t="s">
        <v>271</v>
      </c>
      <c r="E414" s="130">
        <v>1.7361111111111109</v>
      </c>
      <c r="F414" s="128" t="s">
        <v>56</v>
      </c>
      <c r="G414" s="131">
        <v>1</v>
      </c>
      <c r="H414" s="128" t="s">
        <v>335</v>
      </c>
    </row>
    <row r="415" spans="1:8" ht="18" x14ac:dyDescent="0.3">
      <c r="A415" s="121">
        <v>45991</v>
      </c>
      <c r="B415" s="122" t="s">
        <v>54</v>
      </c>
      <c r="C415" s="123" t="s">
        <v>301</v>
      </c>
      <c r="D415" s="122" t="s">
        <v>271</v>
      </c>
      <c r="E415" s="124">
        <v>1.7361111111111109</v>
      </c>
      <c r="F415" s="122" t="s">
        <v>58</v>
      </c>
      <c r="G415" s="125">
        <v>1</v>
      </c>
      <c r="H415" s="122" t="s">
        <v>119</v>
      </c>
    </row>
    <row r="416" spans="1:8" ht="18" x14ac:dyDescent="0.3">
      <c r="A416" s="121">
        <v>45991</v>
      </c>
      <c r="B416" s="122" t="s">
        <v>54</v>
      </c>
      <c r="C416" s="123" t="s">
        <v>301</v>
      </c>
      <c r="D416" s="122" t="s">
        <v>271</v>
      </c>
      <c r="E416" s="124">
        <v>1.7361111111111109</v>
      </c>
      <c r="F416" s="122" t="s">
        <v>60</v>
      </c>
      <c r="G416" s="125">
        <v>1</v>
      </c>
      <c r="H416" s="122" t="s">
        <v>399</v>
      </c>
    </row>
    <row r="417" spans="1:8" ht="18" x14ac:dyDescent="0.3">
      <c r="A417" s="126">
        <v>45991</v>
      </c>
      <c r="B417" s="116" t="s">
        <v>280</v>
      </c>
      <c r="C417" s="117" t="s">
        <v>357</v>
      </c>
      <c r="D417" s="116" t="s">
        <v>271</v>
      </c>
      <c r="E417" s="118">
        <v>1.229166666666667</v>
      </c>
      <c r="F417" s="116" t="s">
        <v>282</v>
      </c>
      <c r="G417" s="119">
        <v>9</v>
      </c>
      <c r="H417" s="116" t="s">
        <v>434</v>
      </c>
    </row>
    <row r="418" spans="1:8" ht="18" x14ac:dyDescent="0.3">
      <c r="A418" s="121">
        <v>45991</v>
      </c>
      <c r="B418" s="122" t="s">
        <v>280</v>
      </c>
      <c r="C418" s="123" t="s">
        <v>357</v>
      </c>
      <c r="D418" s="122" t="s">
        <v>271</v>
      </c>
      <c r="E418" s="124">
        <v>1.229166666666667</v>
      </c>
      <c r="F418" s="122" t="s">
        <v>33</v>
      </c>
      <c r="G418" s="125">
        <v>9</v>
      </c>
      <c r="H418" s="122" t="s">
        <v>435</v>
      </c>
    </row>
    <row r="419" spans="1:8" ht="18" x14ac:dyDescent="0.3">
      <c r="A419" s="126">
        <v>45991</v>
      </c>
      <c r="B419" s="116" t="s">
        <v>360</v>
      </c>
      <c r="C419" s="117" t="s">
        <v>384</v>
      </c>
      <c r="D419" s="116" t="s">
        <v>271</v>
      </c>
      <c r="E419" s="118">
        <v>1.100694444444444</v>
      </c>
      <c r="F419" s="116" t="s">
        <v>81</v>
      </c>
      <c r="G419" s="119">
        <v>5</v>
      </c>
      <c r="H419" s="116" t="s">
        <v>362</v>
      </c>
    </row>
    <row r="420" spans="1:8" ht="18" x14ac:dyDescent="0.3">
      <c r="A420" s="127">
        <v>45991</v>
      </c>
      <c r="B420" s="128" t="s">
        <v>360</v>
      </c>
      <c r="C420" s="129" t="s">
        <v>436</v>
      </c>
      <c r="D420" s="128" t="s">
        <v>271</v>
      </c>
      <c r="E420" s="130">
        <v>1.1736111111111109</v>
      </c>
      <c r="F420" s="128" t="s">
        <v>81</v>
      </c>
      <c r="G420" s="131">
        <v>5</v>
      </c>
      <c r="H420" s="128" t="s">
        <v>420</v>
      </c>
    </row>
    <row r="421" spans="1:8" ht="18" x14ac:dyDescent="0.3">
      <c r="A421" s="126">
        <v>45991</v>
      </c>
      <c r="B421" s="116" t="s">
        <v>63</v>
      </c>
      <c r="C421" s="117" t="s">
        <v>323</v>
      </c>
      <c r="D421" s="116" t="s">
        <v>271</v>
      </c>
      <c r="E421" s="118">
        <v>1.104166666666667</v>
      </c>
      <c r="F421" s="116" t="s">
        <v>48</v>
      </c>
      <c r="G421" s="119">
        <v>9</v>
      </c>
      <c r="H421" s="116" t="s">
        <v>403</v>
      </c>
    </row>
    <row r="422" spans="1:8" ht="18" x14ac:dyDescent="0.3">
      <c r="A422" s="127">
        <v>45991</v>
      </c>
      <c r="B422" s="128" t="s">
        <v>63</v>
      </c>
      <c r="C422" s="129" t="s">
        <v>327</v>
      </c>
      <c r="D422" s="128" t="s">
        <v>271</v>
      </c>
      <c r="E422" s="130">
        <v>1.0486111111111109</v>
      </c>
      <c r="F422" s="128" t="s">
        <v>48</v>
      </c>
      <c r="G422" s="131">
        <v>9</v>
      </c>
      <c r="H422" s="128" t="s">
        <v>414</v>
      </c>
    </row>
    <row r="423" spans="1:8" ht="18" x14ac:dyDescent="0.3">
      <c r="A423" s="127">
        <v>45991</v>
      </c>
      <c r="B423" s="128" t="s">
        <v>63</v>
      </c>
      <c r="C423" s="129" t="s">
        <v>325</v>
      </c>
      <c r="D423" s="128" t="s">
        <v>271</v>
      </c>
      <c r="E423" s="130">
        <v>1.7847222222222221</v>
      </c>
      <c r="F423" s="128" t="s">
        <v>48</v>
      </c>
      <c r="G423" s="131">
        <v>9</v>
      </c>
      <c r="H423" s="128" t="s">
        <v>355</v>
      </c>
    </row>
    <row r="424" spans="1:8" ht="18" x14ac:dyDescent="0.3">
      <c r="A424" s="127">
        <v>45991</v>
      </c>
      <c r="B424" s="128" t="s">
        <v>63</v>
      </c>
      <c r="C424" s="129" t="s">
        <v>326</v>
      </c>
      <c r="D424" s="128" t="s">
        <v>271</v>
      </c>
      <c r="E424" s="130">
        <v>1.600694444444444</v>
      </c>
      <c r="F424" s="128" t="s">
        <v>48</v>
      </c>
      <c r="G424" s="131">
        <v>9</v>
      </c>
      <c r="H424" s="128" t="s">
        <v>355</v>
      </c>
    </row>
    <row r="425" spans="1:8" ht="18" x14ac:dyDescent="0.3">
      <c r="A425" s="127">
        <v>45991</v>
      </c>
      <c r="B425" s="128" t="s">
        <v>63</v>
      </c>
      <c r="C425" s="129" t="s">
        <v>321</v>
      </c>
      <c r="D425" s="128" t="s">
        <v>271</v>
      </c>
      <c r="E425" s="130">
        <v>1.3125</v>
      </c>
      <c r="F425" s="128" t="s">
        <v>48</v>
      </c>
      <c r="G425" s="131">
        <v>3</v>
      </c>
      <c r="H425" s="128" t="s">
        <v>320</v>
      </c>
    </row>
    <row r="426" spans="1:8" ht="18" x14ac:dyDescent="0.3">
      <c r="A426" s="127">
        <v>45991</v>
      </c>
      <c r="B426" s="128" t="s">
        <v>63</v>
      </c>
      <c r="C426" s="129" t="s">
        <v>322</v>
      </c>
      <c r="D426" s="128" t="s">
        <v>271</v>
      </c>
      <c r="E426" s="130">
        <v>1.9722222222222221</v>
      </c>
      <c r="F426" s="128" t="s">
        <v>48</v>
      </c>
      <c r="G426" s="131">
        <v>1</v>
      </c>
      <c r="H426" s="128" t="s">
        <v>320</v>
      </c>
    </row>
    <row r="427" spans="1:8" ht="18" x14ac:dyDescent="0.3">
      <c r="A427" s="126">
        <v>45991</v>
      </c>
      <c r="B427" s="116" t="s">
        <v>35</v>
      </c>
      <c r="C427" s="117" t="s">
        <v>310</v>
      </c>
      <c r="D427" s="116" t="s">
        <v>271</v>
      </c>
      <c r="E427" s="118">
        <v>1.8298611111111109</v>
      </c>
      <c r="F427" s="116" t="s">
        <v>42</v>
      </c>
      <c r="G427" s="119">
        <v>9</v>
      </c>
      <c r="H427" s="116" t="s">
        <v>363</v>
      </c>
    </row>
    <row r="428" spans="1:8" ht="18" x14ac:dyDescent="0.3">
      <c r="A428" s="127">
        <v>45991</v>
      </c>
      <c r="B428" s="128" t="s">
        <v>35</v>
      </c>
      <c r="C428" s="129" t="s">
        <v>315</v>
      </c>
      <c r="D428" s="128" t="s">
        <v>271</v>
      </c>
      <c r="E428" s="130">
        <v>1.9409722222222221</v>
      </c>
      <c r="F428" s="128" t="s">
        <v>42</v>
      </c>
      <c r="G428" s="131">
        <v>9</v>
      </c>
      <c r="H428" s="128" t="s">
        <v>363</v>
      </c>
    </row>
    <row r="429" spans="1:8" ht="18" x14ac:dyDescent="0.3">
      <c r="A429" s="127">
        <v>45991</v>
      </c>
      <c r="B429" s="128" t="s">
        <v>35</v>
      </c>
      <c r="C429" s="129" t="s">
        <v>306</v>
      </c>
      <c r="D429" s="128" t="s">
        <v>271</v>
      </c>
      <c r="E429" s="130">
        <v>1.989583333333333</v>
      </c>
      <c r="F429" s="128" t="s">
        <v>42</v>
      </c>
      <c r="G429" s="131">
        <v>4</v>
      </c>
      <c r="H429" s="128" t="s">
        <v>305</v>
      </c>
    </row>
    <row r="430" spans="1:8" ht="18" x14ac:dyDescent="0.3">
      <c r="A430" s="127">
        <v>45991</v>
      </c>
      <c r="B430" s="128" t="s">
        <v>35</v>
      </c>
      <c r="C430" s="129" t="s">
        <v>304</v>
      </c>
      <c r="D430" s="128" t="s">
        <v>271</v>
      </c>
      <c r="E430" s="130">
        <v>1.399305555555556</v>
      </c>
      <c r="F430" s="128" t="s">
        <v>42</v>
      </c>
      <c r="G430" s="131">
        <v>4</v>
      </c>
      <c r="H430" s="128" t="s">
        <v>305</v>
      </c>
    </row>
    <row r="431" spans="1:8" ht="18" x14ac:dyDescent="0.3">
      <c r="A431" s="127">
        <v>45991</v>
      </c>
      <c r="B431" s="128" t="s">
        <v>35</v>
      </c>
      <c r="C431" s="129" t="s">
        <v>308</v>
      </c>
      <c r="D431" s="128" t="s">
        <v>271</v>
      </c>
      <c r="E431" s="130">
        <v>1.489583333333333</v>
      </c>
      <c r="F431" s="128" t="s">
        <v>42</v>
      </c>
      <c r="G431" s="131">
        <v>4</v>
      </c>
      <c r="H431" s="128" t="s">
        <v>305</v>
      </c>
    </row>
    <row r="432" spans="1:8" ht="18" x14ac:dyDescent="0.3">
      <c r="A432" s="127">
        <v>45991</v>
      </c>
      <c r="B432" s="128" t="s">
        <v>35</v>
      </c>
      <c r="C432" s="129" t="s">
        <v>309</v>
      </c>
      <c r="D432" s="128" t="s">
        <v>271</v>
      </c>
      <c r="E432" s="130">
        <v>1.8888888888888891</v>
      </c>
      <c r="F432" s="128" t="s">
        <v>42</v>
      </c>
      <c r="G432" s="131">
        <v>4</v>
      </c>
      <c r="H432" s="128" t="s">
        <v>307</v>
      </c>
    </row>
    <row r="433" spans="1:8" ht="18" x14ac:dyDescent="0.3">
      <c r="A433" s="127">
        <v>45991</v>
      </c>
      <c r="B433" s="128" t="s">
        <v>35</v>
      </c>
      <c r="C433" s="129" t="s">
        <v>316</v>
      </c>
      <c r="D433" s="128" t="s">
        <v>271</v>
      </c>
      <c r="E433" s="130">
        <v>1.489583333333333</v>
      </c>
      <c r="F433" s="128" t="s">
        <v>42</v>
      </c>
      <c r="G433" s="131">
        <v>9</v>
      </c>
      <c r="H433" s="128" t="s">
        <v>311</v>
      </c>
    </row>
    <row r="434" spans="1:8" ht="18" x14ac:dyDescent="0.3">
      <c r="A434" s="127">
        <v>45991</v>
      </c>
      <c r="B434" s="128" t="s">
        <v>35</v>
      </c>
      <c r="C434" s="129" t="s">
        <v>318</v>
      </c>
      <c r="D434" s="128" t="s">
        <v>271</v>
      </c>
      <c r="E434" s="130">
        <v>1.7222222222222221</v>
      </c>
      <c r="F434" s="128" t="s">
        <v>42</v>
      </c>
      <c r="G434" s="131">
        <v>9</v>
      </c>
      <c r="H434" s="128" t="s">
        <v>311</v>
      </c>
    </row>
    <row r="435" spans="1:8" ht="18" x14ac:dyDescent="0.3">
      <c r="A435" s="127">
        <v>45991</v>
      </c>
      <c r="B435" s="128" t="s">
        <v>35</v>
      </c>
      <c r="C435" s="129" t="s">
        <v>312</v>
      </c>
      <c r="D435" s="128" t="s">
        <v>271</v>
      </c>
      <c r="E435" s="130">
        <v>1.7013888888888891</v>
      </c>
      <c r="F435" s="128" t="s">
        <v>42</v>
      </c>
      <c r="G435" s="131">
        <v>8</v>
      </c>
      <c r="H435" s="128" t="s">
        <v>311</v>
      </c>
    </row>
    <row r="436" spans="1:8" ht="18" x14ac:dyDescent="0.3">
      <c r="A436" s="127">
        <v>45991</v>
      </c>
      <c r="B436" s="128" t="s">
        <v>35</v>
      </c>
      <c r="C436" s="129" t="s">
        <v>313</v>
      </c>
      <c r="D436" s="128" t="s">
        <v>271</v>
      </c>
      <c r="E436" s="130">
        <v>1.2534722222222221</v>
      </c>
      <c r="F436" s="128" t="s">
        <v>42</v>
      </c>
      <c r="G436" s="131">
        <v>9</v>
      </c>
      <c r="H436" s="128" t="s">
        <v>311</v>
      </c>
    </row>
    <row r="437" spans="1:8" ht="18" x14ac:dyDescent="0.3">
      <c r="A437" s="127">
        <v>45991</v>
      </c>
      <c r="B437" s="128" t="s">
        <v>35</v>
      </c>
      <c r="C437" s="129" t="s">
        <v>302</v>
      </c>
      <c r="D437" s="128" t="s">
        <v>271</v>
      </c>
      <c r="E437" s="130">
        <v>1.118055555555556</v>
      </c>
      <c r="F437" s="128" t="s">
        <v>42</v>
      </c>
      <c r="G437" s="131">
        <v>4</v>
      </c>
      <c r="H437" s="128" t="s">
        <v>317</v>
      </c>
    </row>
    <row r="438" spans="1:8" ht="18" x14ac:dyDescent="0.3">
      <c r="A438" s="150">
        <v>45991</v>
      </c>
      <c r="B438" s="151" t="s">
        <v>35</v>
      </c>
      <c r="C438" s="152" t="s">
        <v>314</v>
      </c>
      <c r="D438" s="151" t="s">
        <v>271</v>
      </c>
      <c r="E438" s="153">
        <v>1.041666666666667</v>
      </c>
      <c r="F438" s="151" t="s">
        <v>42</v>
      </c>
      <c r="G438" s="154">
        <v>1</v>
      </c>
      <c r="H438" s="151" t="s">
        <v>317</v>
      </c>
    </row>
  </sheetData>
  <dataValidations count="34">
    <dataValidation type="custom" allowBlank="1" showInputMessage="1" promptTitle="LOAD FACTOR ANALYSIS" prompt="SM475_x000d__x000a_LF 1.0%_x000d__x000a_SOLD 180_x000d__x000a_LST-SOLD 20NOV_x000d__x000a_WEEKLY 12_x000d__x000a_TO-DAY NIL_x000d__x000a_Y-DAY NIL_x000d__x000a_LOWEST AVAIL CLOSED_x000d__x000a_CAPACITY 180_x000d__x000a_CLASSES S4 &amp; X4 &amp; U12 &amp; +3 more" sqref="A65 B65 C65 D65 E65 F65 G65 H65" xr:uid="{00000000-0002-0000-0C00-000000000000}">
      <formula1>TRUE</formula1>
    </dataValidation>
    <dataValidation type="custom" allowBlank="1" showInputMessage="1" promptTitle="LOAD FACTOR ANALYSIS" prompt="SM477_x000d__x000a_LF 1.0%_x000d__x000a_SOLD 180_x000d__x000a_LST-SOLD 22NOV_x000d__x000a_WEEKLY 5_x000d__x000a_TO-DAY NIL_x000d__x000a_Y-DAY 1_x000d__x000a_LOWEST AVAIL CLOSED_x000d__x000a_CAPACITY 180_x000d__x000a_CLASSES X4 &amp; U16 &amp; O8 &amp; +2 more" sqref="A66 B66 C66 D66 E66 F66 G66 H66" xr:uid="{00000000-0002-0000-0C00-000001000000}">
      <formula1>TRUE</formula1>
    </dataValidation>
    <dataValidation type="custom" allowBlank="1" showInputMessage="1" promptTitle="LOAD FACTOR ANALYSIS" prompt="SM459_x000d__x000a_LF 99.4%_x000d__x000a_SOLD 179_x000d__x000a_LST-SOLD 22NOV_x000d__x000a_WEEKLY 68_x000d__x000a_TO-DAY NIL_x000d__x000a_Y-DAY 8_x000d__x000a_LOWEST AVAIL CLOSED_x000d__x000a_CAPACITY 180_x000d__x000a_CLASSES G7 &amp; S26 &amp; W28 &amp; +6 more" sqref="A67 B67 C67 D67 E67 F67 G67 H67" xr:uid="{00000000-0002-0000-0C00-000002000000}">
      <formula1>TRUE</formula1>
    </dataValidation>
    <dataValidation type="custom" allowBlank="1" showInputMessage="1" promptTitle="LOAD FACTOR ANALYSIS" prompt="SM-471_x000d__x000a_LF 97.8%_x000d__x000a_SOLD 176_x000d__x000a_LST-SOLD 22NOV_x000d__x000a_WEEKLY 77_x000d__x000a_TO-DAY NIL_x000d__x000a_Y-DAY 16_x000d__x000a_LOWEST AVAIL L1_x000d__x000a_CAPACITY 180_x000d__x000a_CLASSES V4 &amp; L11 &amp; G11 &amp; +8 more" sqref="A104 B104 C104 D104 E104 F104 G104 H104" xr:uid="{00000000-0002-0000-0C00-000003000000}">
      <formula1>TRUE</formula1>
    </dataValidation>
    <dataValidation type="custom" allowBlank="1" showInputMessage="1" promptTitle="LOAD FACTOR ANALYSIS" prompt="SM-475_x000d__x000a_LF 97.2%_x000d__x000a_SOLD 175_x000d__x000a_LST-SOLD 23NOV_x000d__x000a_WEEKLY 108_x000d__x000a_TO-DAY 2_x000d__x000a_Y-DAY 19_x000d__x000a_LOWEST AVAIL L2_x000d__x000a_CAPACITY 180_x000d__x000a_CLASSES V6 &amp; L10 &amp; G26 &amp; +9 more" sqref="A105 B105 C105 D105 E105 F105 G105 H105" xr:uid="{00000000-0002-0000-0C00-000004000000}">
      <formula1>TRUE</formula1>
    </dataValidation>
    <dataValidation type="custom" allowBlank="1" showInputMessage="1" promptTitle="LOAD FACTOR ANALYSIS" prompt="SM479_x000d__x000a_LF 1.0%_x000d__x000a_SOLD 181_x000d__x000a_LST-SOLD 20NOV_x000d__x000a_WEEKLY 6_x000d__x000a_TO-DAY NIL_x000d__x000a_Y-DAY NIL_x000d__x000a_LOWEST AVAIL CLOSED_x000d__x000a_CAPACITY 180_x000d__x000a_CLASSES S4 &amp; T1 &amp; X9 &amp; +5 more" sqref="A106 B106 C106 D106 E106 F106 G106 H106" xr:uid="{00000000-0002-0000-0C00-000005000000}">
      <formula1>TRUE</formula1>
    </dataValidation>
    <dataValidation type="custom" allowBlank="1" showInputMessage="1" promptTitle="LOAD FACTOR ANALYSIS" prompt="SM477_x000d__x000a_LF 1.0%_x000d__x000a_SOLD 180_x000d__x000a_LST-SOLD 22NOV_x000d__x000a_WEEKLY 27_x000d__x000a_TO-DAY NIL_x000d__x000a_Y-DAY 1_x000d__x000a_LOWEST AVAIL CLOSED_x000d__x000a_CAPACITY 180_x000d__x000a_CLASSES S7 &amp; W12 &amp; T12 &amp; +5 more" sqref="A107 B107 C107 D107 E107 F107 G107 H107" xr:uid="{00000000-0002-0000-0C00-000006000000}">
      <formula1>TRUE</formula1>
    </dataValidation>
    <dataValidation type="custom" allowBlank="1" showInputMessage="1" promptTitle="LOAD FACTOR ANALYSIS" prompt="SM459_x000d__x000a_LF 98.3%_x000d__x000a_SOLD 177_x000d__x000a_LST-SOLD 22NOV_x000d__x000a_WEEKLY 45_x000d__x000a_TO-DAY NIL_x000d__x000a_Y-DAY 4_x000d__x000a_LOWEST AVAIL CLOSED_x000d__x000a_CAPACITY 180_x000d__x000a_CLASSES S11 &amp; U18 &amp; O22 &amp; +3 more" sqref="A108 B108 C108 D108 E108 F108 G108 H108" xr:uid="{00000000-0002-0000-0C00-000007000000}">
      <formula1>TRUE</formula1>
    </dataValidation>
    <dataValidation type="custom" allowBlank="1" showInputMessage="1" promptTitle="LOAD FACTOR ANALYSIS" prompt="SM423_x000d__x000a_LF 99.4%_x000d__x000a_SOLD 179_x000d__x000a_LST-SOLD 18NOV_x000d__x000a_WEEKLY 6_x000d__x000a_TO-DAY NIL_x000d__x000a_Y-DAY NIL_x000d__x000a_LOWEST AVAIL CLOSED_x000d__x000a_CAPACITY 180_x000d__x000a_CLASSES S5 &amp; W2 &amp; T11 &amp; +5 more" sqref="A109 B109 C109 D109 E109 F109 G109 H109" xr:uid="{00000000-0002-0000-0C00-000008000000}">
      <formula1>TRUE</formula1>
    </dataValidation>
    <dataValidation type="custom" allowBlank="1" showInputMessage="1" promptTitle="LOAD FACTOR ANALYSIS" prompt="SM423_x000d__x000a_LF 1.0%_x000d__x000a_SOLD 180_x000d__x000a_LST-SOLD 19NOV_x000d__x000a_WEEKLY 11_x000d__x000a_TO-DAY NIL_x000d__x000a_Y-DAY NIL_x000d__x000a_LOWEST AVAIL CLOSED_x000d__x000a_CAPACITY 180_x000d__x000a_CLASSES S4 &amp; W3 &amp; T11 &amp; +5 more" sqref="A183 B183 C183 D183 E183 F183 G183 H183" xr:uid="{00000000-0002-0000-0C00-000009000000}">
      <formula1>TRUE</formula1>
    </dataValidation>
    <dataValidation type="custom" allowBlank="1" showInputMessage="1" promptTitle="LOAD FACTOR ANALYSIS" prompt="SM475_x000d__x000a_LF 99.4%_x000d__x000a_SOLD 179_x000d__x000a_LST-SOLD 22NOV_x000d__x000a_WEEKLY 61_x000d__x000a_TO-DAY NIL_x000d__x000a_Y-DAY 3_x000d__x000a_LOWEST AVAIL CLOSED_x000d__x000a_CAPACITY 180_x000d__x000a_CLASSES G2 &amp; S18 &amp; W18 &amp; +6 more" sqref="A184 B184 C184 D184 E184 F184 G184 H184" xr:uid="{00000000-0002-0000-0C00-00000A000000}">
      <formula1>TRUE</formula1>
    </dataValidation>
    <dataValidation type="custom" allowBlank="1" showInputMessage="1" promptTitle="LOAD FACTOR ANALYSIS" prompt="SM459_x000d__x000a_LF 99.4%_x000d__x000a_SOLD 179_x000d__x000a_LST-SOLD 19NOV_x000d__x000a_WEEKLY 15_x000d__x000a_TO-DAY NIL_x000d__x000a_Y-DAY NIL_x000d__x000a_LOWEST AVAIL CLOSED_x000d__x000a_CAPACITY 180_x000d__x000a_CLASSES T11 &amp; X21 &amp; U18 &amp; +4 more" sqref="A185 B185 C185 D185 E185 F185 G185 H185" xr:uid="{00000000-0002-0000-0C00-00000B000000}">
      <formula1>TRUE</formula1>
    </dataValidation>
    <dataValidation type="custom" allowBlank="1" showInputMessage="1" promptTitle="LOAD FACTOR ANALYSIS" prompt="SM477_x000d__x000a_LF 99.4%_x000d__x000a_SOLD 179_x000d__x000a_LST-SOLD 22NOV_x000d__x000a_WEEKLY 55_x000d__x000a_TO-DAY NIL_x000d__x000a_Y-DAY 1_x000d__x000a_LOWEST AVAIL CLOSED_x000d__x000a_CAPACITY 180_x000d__x000a_CLASSES S3 &amp; W6 &amp; T11 &amp; +5 more" sqref="A186 B186 C186 D186 E186 F186 G186 H186" xr:uid="{00000000-0002-0000-0C00-00000C000000}">
      <formula1>TRUE</formula1>
    </dataValidation>
    <dataValidation type="custom" allowBlank="1" showInputMessage="1" promptTitle="LOAD FACTOR ANALYSIS" prompt="SM471_x000d__x000a_LF 99.4%_x000d__x000a_SOLD 179_x000d__x000a_LST-SOLD 23NOV_x000d__x000a_WEEKLY 95_x000d__x000a_TO-DAY 1_x000d__x000a_Y-DAY 28_x000d__x000a_LOWEST AVAIL CLOSED_x000d__x000a_CAPACITY 180_x000d__x000a_CLASSES V14 &amp; L17 &amp; G33 &amp; +7 more" sqref="A187 B187 C187 D187 E187 F187 G187 H187" xr:uid="{00000000-0002-0000-0C00-00000D000000}">
      <formula1>TRUE</formula1>
    </dataValidation>
    <dataValidation type="custom" allowBlank="1" showInputMessage="1" promptTitle="LOAD FACTOR ANALYSIS" prompt="SM-423_x000d__x000a_LF 91.7%_x000d__x000a_SOLD 165_x000d__x000a_LST-SOLD 23NOV_x000d__x000a_WEEKLY 34_x000d__x000a_TO-DAY 2_x000d__x000a_Y-DAY 14_x000d__x000a_LOWEST AVAIL L2_x000d__x000a_CAPACITY 180_x000d__x000a_CLASSES K6 &amp; V24 &amp; L23 &amp; +9 more" sqref="A200 B200 C200 D200 E200 F200 G200 H200" xr:uid="{00000000-0002-0000-0C00-00000E000000}">
      <formula1>TRUE</formula1>
    </dataValidation>
    <dataValidation type="custom" allowBlank="1" showInputMessage="1" promptTitle="LOAD FACTOR ANALYSIS" prompt="SM-479_x000d__x000a_LF 97.8%_x000d__x000a_SOLD 176_x000d__x000a_LST-SOLD 14NOV_x000d__x000a_WEEKLY NIL_x000d__x000a_TO-DAY NIL_x000d__x000a_Y-DAY NIL_x000d__x000a_LOWEST AVAIL K3_x000d__x000a_CAPACITY 180_x000d__x000a_CLASSES K3 &amp; L5 &amp; S3 &amp; +7 more" sqref="A201 B201 C201 D201 E201 F201 G201 H201" xr:uid="{00000000-0002-0000-0C00-00000F000000}">
      <formula1>TRUE</formula1>
    </dataValidation>
    <dataValidation type="custom" allowBlank="1" showInputMessage="1" promptTitle="LOAD FACTOR ANALYSIS" prompt="SM449_x000d__x000a_LF 99.4%_x000d__x000a_SOLD 179_x000d__x000a_LST-SOLD 23NOV_x000d__x000a_WEEKLY 67_x000d__x000a_TO-DAY 4_x000d__x000a_Y-DAY 29_x000d__x000a_LOWEST AVAIL CLOSED_x000d__x000a_CAPACITY 180_x000d__x000a_CLASSES V9 &amp; L10 &amp; G25 &amp; +7 more" sqref="A202 B202 C202 D202 E202 F202 G202 H202" xr:uid="{00000000-0002-0000-0C00-000010000000}">
      <formula1>TRUE</formula1>
    </dataValidation>
    <dataValidation type="custom" allowBlank="1" showInputMessage="1" promptTitle="LOAD FACTOR ANALYSIS" prompt="SM475_x000d__x000a_LF 99.4%_x000d__x000a_SOLD 179_x000d__x000a_LST-SOLD 23NOV_x000d__x000a_WEEKLY 24_x000d__x000a_TO-DAY 1_x000d__x000a_Y-DAY 1_x000d__x000a_LOWEST AVAIL CLOSED_x000d__x000a_CAPACITY 180_x000d__x000a_CLASSES L3 &amp; G11 &amp; S21 &amp; +7 more" sqref="A203 B203 C203 D203 E203 F203 G203 H203" xr:uid="{00000000-0002-0000-0C00-000011000000}">
      <formula1>TRUE</formula1>
    </dataValidation>
    <dataValidation type="custom" allowBlank="1" showInputMessage="1" promptTitle="LOAD FACTOR ANALYSIS" prompt="SM431_x000d__x000a_LF 99.4%_x000d__x000a_SOLD 179_x000d__x000a_LST-SOLD 22NOV_x000d__x000a_WEEKLY 72_x000d__x000a_TO-DAY NIL_x000d__x000a_Y-DAY 9_x000d__x000a_LOWEST AVAIL CLOSED_x000d__x000a_CAPACITY 180_x000d__x000a_CLASSES V4 &amp; L10 &amp; G25 &amp; +8 more" sqref="A204 B204 C204 D204 E204 F204 G204 H204" xr:uid="{00000000-0002-0000-0C00-000012000000}">
      <formula1>TRUE</formula1>
    </dataValidation>
    <dataValidation type="custom" allowBlank="1" showInputMessage="1" promptTitle="LOAD FACTOR ANALYSIS" prompt="SM477_x000d__x000a_LF 1.0%_x000d__x000a_SOLD 180_x000d__x000a_LST-SOLD 30OCT_x000d__x000a_WEEKLY NIL_x000d__x000a_TO-DAY NIL_x000d__x000a_Y-DAY NIL_x000d__x000a_LOWEST AVAIL CLOSED_x000d__x000a_CAPACITY 180_x000d__x000a_CLASSES X1 &amp; U12 &amp; O11 &amp; +2 more" sqref="A205 B205 C205 D205 E205 F205 G205 H205" xr:uid="{00000000-0002-0000-0C00-000013000000}">
      <formula1>TRUE</formula1>
    </dataValidation>
    <dataValidation type="custom" allowBlank="1" showInputMessage="1" promptTitle="LOAD FACTOR ANALYSIS" prompt="SM-479_x000d__x000a_LF 98.9%_x000d__x000a_SOLD 178_x000d__x000a_LST-SOLD 22NOV_x000d__x000a_WEEKLY 37_x000d__x000a_TO-DAY NIL_x000d__x000a_Y-DAY 9_x000d__x000a_LOWEST AVAIL L1_x000d__x000a_CAPACITY 180_x000d__x000a_CLASSES K3 &amp; V22 &amp; L31 &amp; +9 more" sqref="A248 B248 C248 D248 E248 F248 G248 H248" xr:uid="{00000000-0002-0000-0C00-000014000000}">
      <formula1>TRUE</formula1>
    </dataValidation>
    <dataValidation type="custom" allowBlank="1" showInputMessage="1" promptTitle="LOAD FACTOR ANALYSIS" prompt="SM-471_x000d__x000a_LF 96.1%_x000d__x000a_SOLD 173_x000d__x000a_LST-SOLD 23NOV_x000d__x000a_WEEKLY 46_x000d__x000a_TO-DAY 1_x000d__x000a_Y-DAY 13_x000d__x000a_LOWEST AVAIL V1_x000d__x000a_CAPACITY 180_x000d__x000a_CLASSES K10 &amp; V29 &amp; L41 &amp; +8 more" sqref="A249 B249 C249 D249 E249 F249 G249 H249" xr:uid="{00000000-0002-0000-0C00-000015000000}">
      <formula1>TRUE</formula1>
    </dataValidation>
    <dataValidation type="custom" allowBlank="1" showInputMessage="1" promptTitle="LOAD FACTOR ANALYSIS" prompt="SM-477_x000d__x000a_LF 96.1%_x000d__x000a_SOLD 173_x000d__x000a_LST-SOLD 22NOV_x000d__x000a_WEEKLY 52_x000d__x000a_TO-DAY NIL_x000d__x000a_Y-DAY 16_x000d__x000a_LOWEST AVAIL K6_x000d__x000a_CAPACITY 180_x000d__x000a_CLASSES K3 &amp; V10 &amp; L35 &amp; +8 more" sqref="A250 B250 C250 D250 E250 F250 G250 H250" xr:uid="{00000000-0002-0000-0C00-000016000000}">
      <formula1>TRUE</formula1>
    </dataValidation>
    <dataValidation type="custom" allowBlank="1" showInputMessage="1" promptTitle="LOAD FACTOR ANALYSIS" prompt="SM475_x000d__x000a_LF 1.0%_x000d__x000a_SOLD 180_x000d__x000a_LST-SOLD 19NOV_x000d__x000a_WEEKLY 20_x000d__x000a_TO-DAY NIL_x000d__x000a_Y-DAY NIL_x000d__x000a_LOWEST AVAIL CLOSED_x000d__x000a_CAPACITY 180_x000d__x000a_CLASSES K9 &amp; V11 &amp; L24 &amp; +10 more" sqref="A251 B251 C251 D251 E251 F251 G251 H251" xr:uid="{00000000-0002-0000-0C00-000017000000}">
      <formula1>TRUE</formula1>
    </dataValidation>
    <dataValidation type="custom" allowBlank="1" showInputMessage="1" promptTitle="LOAD FACTOR ANALYSIS" prompt="SM459_x000d__x000a_LF 1.0%_x000d__x000a_SOLD 180_x000d__x000a_LST-SOLD 22NOV_x000d__x000a_WEEKLY 20_x000d__x000a_TO-DAY NIL_x000d__x000a_Y-DAY 4_x000d__x000a_LOWEST AVAIL CLOSED_x000d__x000a_CAPACITY 180_x000d__x000a_CLASSES Q2 &amp; K25 &amp; V29 &amp; +9 more" sqref="A252 B252 C252 D252 E252 F252 G252 H252" xr:uid="{00000000-0002-0000-0C00-000018000000}">
      <formula1>TRUE</formula1>
    </dataValidation>
    <dataValidation type="custom" allowBlank="1" showInputMessage="1" promptTitle="LOAD FACTOR ANALYSIS" prompt="SM-423_x000d__x000a_LF 95.6%_x000d__x000a_SOLD 172_x000d__x000a_LST-SOLD 20NOV_x000d__x000a_WEEKLY 29_x000d__x000a_TO-DAY NIL_x000d__x000a_Y-DAY NIL_x000d__x000a_LOWEST AVAIL M1_x000d__x000a_CAPACITY 180_x000d__x000a_CLASSES H4 &amp; Q10 &amp; K13 &amp; +11 more" sqref="A370 B370 C370 D370 E370 F370 G370 H370" xr:uid="{00000000-0002-0000-0C00-000019000000}">
      <formula1>TRUE</formula1>
    </dataValidation>
    <dataValidation type="custom" allowBlank="1" showInputMessage="1" promptTitle="LOAD FACTOR ANALYSIS" prompt="SM449_x000d__x000a_LF 1.0%_x000d__x000a_SOLD 186_x000d__x000a_LST-SOLD 13NOV_x000d__x000a_WEEKLY NIL_x000d__x000a_TO-DAY NIL_x000d__x000a_Y-DAY NIL_x000d__x000a_LOWEST AVAIL CLOSED_x000d__x000a_CAPACITY 180_x000d__x000a_CLASSES V1 &amp; G15 &amp; S21 &amp; +7 more" sqref="A371 B371 C371 D371 E371 F371 G371 H371" xr:uid="{00000000-0002-0000-0C00-00001A000000}">
      <formula1>TRUE</formula1>
    </dataValidation>
    <dataValidation type="custom" allowBlank="1" showInputMessage="1" promptTitle="LOAD FACTOR ANALYSIS" prompt="SM475_x000d__x000a_LF 1.0%_x000d__x000a_SOLD 180_x000d__x000a_LST-SOLD 22NOV_x000d__x000a_WEEKLY 5_x000d__x000a_TO-DAY NIL_x000d__x000a_Y-DAY 2_x000d__x000a_LOWEST AVAIL CLOSED_x000d__x000a_CAPACITY 180_x000d__x000a_CLASSES G5 &amp; X7 &amp; U11 &amp; +4 more" sqref="A372 B372 C372 D372 E372 F372 G372 H372" xr:uid="{00000000-0002-0000-0C00-00001B000000}">
      <formula1>TRUE</formula1>
    </dataValidation>
    <dataValidation type="custom" allowBlank="1" showInputMessage="1" promptTitle="LOAD FACTOR ANALYSIS" prompt="SM477_x000d__x000a_LF 1.0%_x000d__x000a_SOLD 180_x000d__x000a_LST-SOLD 12NOV_x000d__x000a_WEEKLY NIL_x000d__x000a_TO-DAY NIL_x000d__x000a_Y-DAY NIL_x000d__x000a_LOWEST AVAIL CLOSED_x000d__x000a_CAPACITY 180_x000d__x000a_CLASSES Y3 &amp; K8 &amp; V9 &amp; +7 more" sqref="A373 B373 C373 D373 E373 F373 G373 H373" xr:uid="{00000000-0002-0000-0C00-00001C000000}">
      <formula1>TRUE</formula1>
    </dataValidation>
    <dataValidation type="custom" allowBlank="1" showInputMessage="1" promptTitle="LOAD FACTOR ANALYSIS" prompt="SM-477_x000d__x000a_LF 98.3%_x000d__x000a_SOLD 177_x000d__x000a_LST-SOLD 23NOV_x000d__x000a_WEEKLY 29_x000d__x000a_TO-DAY 1_x000d__x000a_Y-DAY 1_x000d__x000a_LOWEST AVAIL S2_x000d__x000a_CAPACITY 180_x000d__x000a_CLASSES L8 &amp; G21 &amp; S20 &amp; +4 more" sqref="A374 B374 C374 D374 E374 F374 G374 H374" xr:uid="{00000000-0002-0000-0C00-00001D000000}">
      <formula1>TRUE</formula1>
    </dataValidation>
    <dataValidation type="custom" allowBlank="1" showInputMessage="1" promptTitle="LOAD FACTOR ANALYSIS" prompt="SM475_x000d__x000a_LF 1.0%_x000d__x000a_SOLD 180_x000d__x000a_LST-SOLD 05NOV_x000d__x000a_WEEKLY NIL_x000d__x000a_TO-DAY NIL_x000d__x000a_Y-DAY NIL_x000d__x000a_LOWEST AVAIL CLOSED_x000d__x000a_CAPACITY 180_x000d__x000a_CLASSES G2 &amp; S10 &amp; W12 &amp; +6 more" sqref="A375 B375 C375 D375 E375 F375 G375 H375" xr:uid="{00000000-0002-0000-0C00-00001E000000}">
      <formula1>TRUE</formula1>
    </dataValidation>
    <dataValidation type="custom" allowBlank="1" showInputMessage="1" promptTitle="LOAD FACTOR ANALYSIS" prompt="SM431_x000d__x000a_LF 1.0%_x000d__x000a_SOLD 180_x000d__x000a_LST-SOLD 21NOV_x000d__x000a_WEEKLY 23_x000d__x000a_TO-DAY NIL_x000d__x000a_Y-DAY NIL_x000d__x000a_LOWEST AVAIL CLOSED_x000d__x000a_CAPACITY 180_x000d__x000a_CLASSES V4 &amp; L11 &amp; G29 &amp; +9 more" sqref="A376 B376 C376 D376 E376 F376 G376 H376" xr:uid="{00000000-0002-0000-0C00-00001F000000}">
      <formula1>TRUE</formula1>
    </dataValidation>
    <dataValidation type="custom" allowBlank="1" showInputMessage="1" promptTitle="LOAD FACTOR ANALYSIS" prompt="SM459_x000d__x000a_LF 1.0%_x000d__x000a_SOLD 180_x000d__x000a_LST-SOLD 20NOV_x000d__x000a_WEEKLY 4_x000d__x000a_TO-DAY NIL_x000d__x000a_Y-DAY NIL_x000d__x000a_LOWEST AVAIL CLOSED_x000d__x000a_CAPACITY 180_x000d__x000a_CLASSES G7 &amp; S9 &amp; W11 &amp; +6 more" sqref="A377 B377 C377 D377 E377 F377 G377 H377" xr:uid="{00000000-0002-0000-0C00-000020000000}">
      <formula1>TRUE</formula1>
    </dataValidation>
    <dataValidation type="custom" allowBlank="1" showInputMessage="1" promptTitle="LOAD FACTOR ANALYSIS" prompt="SM479_x000d__x000a_LF 99.4%_x000d__x000a_SOLD 179_x000d__x000a_LST-SOLD 22NOV_x000d__x000a_WEEKLY 15_x000d__x000a_TO-DAY NIL_x000d__x000a_Y-DAY 4_x000d__x000a_LOWEST AVAIL CLOSED_x000d__x000a_CAPACITY 180_x000d__x000a_CLASSES V5 &amp; L10 &amp; G23 &amp; +8 more" sqref="A378 B378 C378 D378 E378 F378 G378 H378" xr:uid="{00000000-0002-0000-0C00-00002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N1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4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571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45984.358546357398</v>
      </c>
      <c r="H2" s="287"/>
      <c r="I2" s="287"/>
      <c r="J2" s="287"/>
      <c r="K2" s="292">
        <v>45984.358546357973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35</v>
      </c>
      <c r="B6" s="8" t="s">
        <v>572</v>
      </c>
      <c r="C6" s="9">
        <v>0.81944444444444453</v>
      </c>
      <c r="D6" s="8" t="s">
        <v>42</v>
      </c>
      <c r="E6" s="8" t="s">
        <v>383</v>
      </c>
      <c r="F6" s="8" t="s">
        <v>573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7" t="s">
        <v>63</v>
      </c>
      <c r="B7" s="17" t="s">
        <v>574</v>
      </c>
      <c r="C7" s="18">
        <v>0.4236111111111111</v>
      </c>
      <c r="D7" s="17" t="s">
        <v>48</v>
      </c>
      <c r="E7" s="17" t="s">
        <v>82</v>
      </c>
      <c r="F7" s="17" t="s">
        <v>575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82" t="s">
        <v>71</v>
      </c>
      <c r="B8" s="182" t="s">
        <v>576</v>
      </c>
      <c r="C8" s="183">
        <v>0.14930555555555561</v>
      </c>
      <c r="D8" s="182" t="s">
        <v>73</v>
      </c>
      <c r="E8" s="184"/>
      <c r="F8" s="182" t="s">
        <v>74</v>
      </c>
      <c r="G8" s="277"/>
      <c r="H8" s="49" t="s">
        <v>576</v>
      </c>
      <c r="I8" s="50">
        <v>0.99439999999999995</v>
      </c>
      <c r="J8" s="51">
        <v>179</v>
      </c>
      <c r="K8" s="52">
        <v>45980</v>
      </c>
      <c r="L8" s="51">
        <v>7</v>
      </c>
      <c r="M8" s="51">
        <v>0</v>
      </c>
      <c r="N8" s="51">
        <v>0</v>
      </c>
      <c r="O8" s="53" t="s">
        <v>75</v>
      </c>
      <c r="P8" s="54">
        <v>0.14930555555555561</v>
      </c>
      <c r="Q8" s="51">
        <v>180</v>
      </c>
      <c r="R8" s="55" t="s">
        <v>577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218" t="s">
        <v>71</v>
      </c>
      <c r="B9" s="218" t="s">
        <v>578</v>
      </c>
      <c r="C9" s="219">
        <v>0.45833333333333331</v>
      </c>
      <c r="D9" s="218" t="s">
        <v>73</v>
      </c>
      <c r="E9" s="220"/>
      <c r="F9" s="218" t="s">
        <v>74</v>
      </c>
      <c r="G9" s="277"/>
      <c r="H9" s="39" t="s">
        <v>578</v>
      </c>
      <c r="I9" s="40">
        <v>1</v>
      </c>
      <c r="J9" s="41">
        <v>180</v>
      </c>
      <c r="K9" s="42">
        <v>45983</v>
      </c>
      <c r="L9" s="41">
        <v>12</v>
      </c>
      <c r="M9" s="41">
        <v>0</v>
      </c>
      <c r="N9" s="41">
        <v>1</v>
      </c>
      <c r="O9" s="43" t="s">
        <v>75</v>
      </c>
      <c r="P9" s="44">
        <v>0.45833333333333331</v>
      </c>
      <c r="Q9" s="41">
        <v>180</v>
      </c>
      <c r="R9" s="45" t="s">
        <v>579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8" x14ac:dyDescent="0.3">
      <c r="A10" s="300" t="s">
        <v>580</v>
      </c>
      <c r="B10" s="301"/>
      <c r="C10" s="301"/>
      <c r="D10" s="301"/>
      <c r="E10" s="301"/>
      <c r="F10" s="301"/>
      <c r="G10" s="277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272</v>
      </c>
      <c r="C11" s="20" t="s">
        <v>581</v>
      </c>
      <c r="D11" s="19" t="s">
        <v>27</v>
      </c>
      <c r="E11" s="19" t="s">
        <v>214</v>
      </c>
      <c r="F11" s="19" t="s">
        <v>123</v>
      </c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273</v>
      </c>
      <c r="C12" s="20" t="s">
        <v>582</v>
      </c>
      <c r="D12" s="19" t="s">
        <v>27</v>
      </c>
      <c r="E12" s="19" t="s">
        <v>202</v>
      </c>
      <c r="F12" s="19" t="s">
        <v>275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25</v>
      </c>
      <c r="B13" s="19" t="s">
        <v>277</v>
      </c>
      <c r="C13" s="20" t="s">
        <v>583</v>
      </c>
      <c r="D13" s="19" t="s">
        <v>27</v>
      </c>
      <c r="E13" s="19" t="s">
        <v>214</v>
      </c>
      <c r="F13" s="19" t="s">
        <v>275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280</v>
      </c>
      <c r="B14" s="19" t="s">
        <v>281</v>
      </c>
      <c r="C14" s="20" t="s">
        <v>584</v>
      </c>
      <c r="D14" s="19" t="s">
        <v>282</v>
      </c>
      <c r="E14" s="19" t="s">
        <v>202</v>
      </c>
      <c r="F14" s="19" t="s">
        <v>283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285</v>
      </c>
      <c r="B15" s="19" t="s">
        <v>286</v>
      </c>
      <c r="C15" s="20" t="s">
        <v>585</v>
      </c>
      <c r="D15" s="19" t="s">
        <v>81</v>
      </c>
      <c r="E15" s="19" t="s">
        <v>214</v>
      </c>
      <c r="F15" s="19" t="s">
        <v>287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285</v>
      </c>
      <c r="B16" s="19" t="s">
        <v>288</v>
      </c>
      <c r="C16" s="20" t="s">
        <v>586</v>
      </c>
      <c r="D16" s="19" t="s">
        <v>81</v>
      </c>
      <c r="E16" s="19" t="s">
        <v>223</v>
      </c>
      <c r="F16" s="19" t="s">
        <v>287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285</v>
      </c>
      <c r="B17" s="19" t="s">
        <v>290</v>
      </c>
      <c r="C17" s="20" t="s">
        <v>587</v>
      </c>
      <c r="D17" s="19" t="s">
        <v>81</v>
      </c>
      <c r="E17" s="19" t="s">
        <v>214</v>
      </c>
      <c r="F17" s="19" t="s">
        <v>287</v>
      </c>
      <c r="G17" s="277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54</v>
      </c>
      <c r="B18" s="19" t="s">
        <v>291</v>
      </c>
      <c r="C18" s="20" t="s">
        <v>588</v>
      </c>
      <c r="D18" s="19" t="s">
        <v>292</v>
      </c>
      <c r="E18" s="19" t="s">
        <v>220</v>
      </c>
      <c r="F18" s="19" t="s">
        <v>293</v>
      </c>
      <c r="G18" s="277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9" t="s">
        <v>54</v>
      </c>
      <c r="B19" s="19" t="s">
        <v>291</v>
      </c>
      <c r="C19" s="20" t="s">
        <v>588</v>
      </c>
      <c r="D19" s="19" t="s">
        <v>56</v>
      </c>
      <c r="E19" s="19" t="s">
        <v>220</v>
      </c>
      <c r="F19" s="19" t="s">
        <v>293</v>
      </c>
      <c r="G19" s="277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63" t="s">
        <v>54</v>
      </c>
      <c r="B20" s="63" t="s">
        <v>294</v>
      </c>
      <c r="C20" s="64" t="s">
        <v>589</v>
      </c>
      <c r="D20" s="63" t="s">
        <v>56</v>
      </c>
      <c r="E20" s="63" t="s">
        <v>223</v>
      </c>
      <c r="F20" s="63" t="s">
        <v>293</v>
      </c>
      <c r="G20" s="278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4.4" customHeight="1" x14ac:dyDescent="0.3">
      <c r="A21" s="282"/>
      <c r="B21" s="283"/>
      <c r="C21" s="283"/>
      <c r="D21" s="283"/>
      <c r="E21" s="283"/>
      <c r="F21" s="283"/>
      <c r="G21" s="280"/>
      <c r="H21" s="284"/>
      <c r="I21" s="284"/>
      <c r="J21" s="284"/>
      <c r="K21" s="284"/>
      <c r="L21" s="284"/>
      <c r="M21" s="284"/>
      <c r="N21" s="284"/>
      <c r="O21" s="285"/>
      <c r="P21" s="284"/>
      <c r="Q21" s="280"/>
      <c r="R21" s="28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2.05" customHeight="1" x14ac:dyDescent="0.3">
      <c r="A22" s="290" t="s">
        <v>5</v>
      </c>
      <c r="B22" s="291"/>
      <c r="C22" s="291"/>
      <c r="D22" s="291"/>
      <c r="E22" s="291"/>
      <c r="F22" s="291"/>
      <c r="G22" s="5">
        <v>45986</v>
      </c>
      <c r="H22" s="274" t="s">
        <v>6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4" customHeight="1" x14ac:dyDescent="0.3">
      <c r="A23" s="31" t="s">
        <v>7</v>
      </c>
      <c r="B23" s="31" t="s">
        <v>8</v>
      </c>
      <c r="C23" s="32" t="s">
        <v>9</v>
      </c>
      <c r="D23" s="31" t="s">
        <v>10</v>
      </c>
      <c r="E23" s="31" t="s">
        <v>11</v>
      </c>
      <c r="F23" s="31" t="s">
        <v>12</v>
      </c>
      <c r="G23" s="33" t="s">
        <v>13</v>
      </c>
      <c r="H23" s="31" t="s">
        <v>14</v>
      </c>
      <c r="I23" s="34" t="s">
        <v>15</v>
      </c>
      <c r="J23" s="35" t="s">
        <v>16</v>
      </c>
      <c r="K23" s="36" t="s">
        <v>17</v>
      </c>
      <c r="L23" s="35" t="s">
        <v>18</v>
      </c>
      <c r="M23" s="35" t="s">
        <v>19</v>
      </c>
      <c r="N23" s="35" t="s">
        <v>20</v>
      </c>
      <c r="O23" s="31" t="s">
        <v>21</v>
      </c>
      <c r="P23" s="32" t="s">
        <v>22</v>
      </c>
      <c r="Q23" s="35" t="s">
        <v>23</v>
      </c>
      <c r="R23" s="31" t="s">
        <v>24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8" t="s">
        <v>25</v>
      </c>
      <c r="B24" s="8" t="s">
        <v>590</v>
      </c>
      <c r="C24" s="9">
        <v>0.3611111111111111</v>
      </c>
      <c r="D24" s="8" t="s">
        <v>591</v>
      </c>
      <c r="E24" s="8" t="s">
        <v>82</v>
      </c>
      <c r="F24" s="8" t="s">
        <v>98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25</v>
      </c>
      <c r="B25" s="15" t="s">
        <v>590</v>
      </c>
      <c r="C25" s="16">
        <v>0.3611111111111111</v>
      </c>
      <c r="D25" s="15" t="s">
        <v>592</v>
      </c>
      <c r="E25" s="15" t="s">
        <v>92</v>
      </c>
      <c r="F25" s="15" t="s">
        <v>593</v>
      </c>
      <c r="G25" s="277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25</v>
      </c>
      <c r="B26" s="15" t="s">
        <v>590</v>
      </c>
      <c r="C26" s="16">
        <v>0.3611111111111111</v>
      </c>
      <c r="D26" s="15" t="s">
        <v>594</v>
      </c>
      <c r="E26" s="15" t="s">
        <v>92</v>
      </c>
      <c r="F26" s="15" t="s">
        <v>595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5" t="s">
        <v>25</v>
      </c>
      <c r="B27" s="15" t="s">
        <v>590</v>
      </c>
      <c r="C27" s="16">
        <v>0.3611111111111111</v>
      </c>
      <c r="D27" s="15" t="s">
        <v>596</v>
      </c>
      <c r="E27" s="15" t="s">
        <v>92</v>
      </c>
      <c r="F27" s="15" t="s">
        <v>300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7" t="s">
        <v>35</v>
      </c>
      <c r="B28" s="17" t="s">
        <v>572</v>
      </c>
      <c r="C28" s="18">
        <v>0.81944444444444453</v>
      </c>
      <c r="D28" s="17" t="s">
        <v>42</v>
      </c>
      <c r="E28" s="17" t="s">
        <v>251</v>
      </c>
      <c r="F28" s="17" t="s">
        <v>573</v>
      </c>
      <c r="G28" s="277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35</v>
      </c>
      <c r="B29" s="19" t="s">
        <v>597</v>
      </c>
      <c r="C29" s="20">
        <v>0.4513888888888889</v>
      </c>
      <c r="D29" s="19" t="s">
        <v>42</v>
      </c>
      <c r="E29" s="19" t="s">
        <v>89</v>
      </c>
      <c r="F29" s="19" t="s">
        <v>598</v>
      </c>
      <c r="G29" s="277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65" t="s">
        <v>71</v>
      </c>
      <c r="B30" s="165" t="s">
        <v>578</v>
      </c>
      <c r="C30" s="166">
        <v>0.52083333333333337</v>
      </c>
      <c r="D30" s="165" t="s">
        <v>73</v>
      </c>
      <c r="E30" s="167"/>
      <c r="F30" s="165" t="s">
        <v>74</v>
      </c>
      <c r="G30" s="277"/>
      <c r="H30" s="168" t="s">
        <v>578</v>
      </c>
      <c r="I30" s="169">
        <v>1</v>
      </c>
      <c r="J30" s="170">
        <v>180</v>
      </c>
      <c r="K30" s="171">
        <v>45961</v>
      </c>
      <c r="L30" s="170">
        <v>0</v>
      </c>
      <c r="M30" s="170">
        <v>0</v>
      </c>
      <c r="N30" s="170">
        <v>0</v>
      </c>
      <c r="O30" s="172" t="s">
        <v>75</v>
      </c>
      <c r="P30" s="173">
        <v>0.52083333333333337</v>
      </c>
      <c r="Q30" s="170">
        <v>180</v>
      </c>
      <c r="R30" s="174" t="s">
        <v>599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8" x14ac:dyDescent="0.3">
      <c r="A31" s="300" t="s">
        <v>580</v>
      </c>
      <c r="B31" s="301"/>
      <c r="C31" s="301"/>
      <c r="D31" s="301"/>
      <c r="E31" s="301"/>
      <c r="F31" s="301"/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25</v>
      </c>
      <c r="B32" s="19" t="s">
        <v>278</v>
      </c>
      <c r="C32" s="20" t="s">
        <v>600</v>
      </c>
      <c r="D32" s="19" t="s">
        <v>27</v>
      </c>
      <c r="E32" s="19" t="s">
        <v>214</v>
      </c>
      <c r="F32" s="19" t="s">
        <v>275</v>
      </c>
      <c r="G32" s="277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280</v>
      </c>
      <c r="B33" s="19" t="s">
        <v>281</v>
      </c>
      <c r="C33" s="20" t="s">
        <v>601</v>
      </c>
      <c r="D33" s="19" t="s">
        <v>282</v>
      </c>
      <c r="E33" s="19" t="s">
        <v>204</v>
      </c>
      <c r="F33" s="19" t="s">
        <v>337</v>
      </c>
      <c r="G33" s="277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25</v>
      </c>
      <c r="B34" s="19" t="s">
        <v>273</v>
      </c>
      <c r="C34" s="20" t="s">
        <v>582</v>
      </c>
      <c r="D34" s="19" t="s">
        <v>27</v>
      </c>
      <c r="E34" s="19" t="s">
        <v>204</v>
      </c>
      <c r="F34" s="19" t="s">
        <v>293</v>
      </c>
      <c r="G34" s="277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54</v>
      </c>
      <c r="B35" s="19" t="s">
        <v>299</v>
      </c>
      <c r="C35" s="20" t="s">
        <v>602</v>
      </c>
      <c r="D35" s="19" t="s">
        <v>56</v>
      </c>
      <c r="E35" s="19" t="s">
        <v>214</v>
      </c>
      <c r="F35" s="19" t="s">
        <v>293</v>
      </c>
      <c r="G35" s="277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54</v>
      </c>
      <c r="B36" s="19" t="s">
        <v>291</v>
      </c>
      <c r="C36" s="20" t="s">
        <v>588</v>
      </c>
      <c r="D36" s="19" t="s">
        <v>56</v>
      </c>
      <c r="E36" s="19" t="s">
        <v>603</v>
      </c>
      <c r="F36" s="19" t="s">
        <v>293</v>
      </c>
      <c r="G36" s="277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54</v>
      </c>
      <c r="B37" s="19" t="s">
        <v>295</v>
      </c>
      <c r="C37" s="20" t="s">
        <v>604</v>
      </c>
      <c r="D37" s="19" t="s">
        <v>56</v>
      </c>
      <c r="E37" s="19" t="s">
        <v>223</v>
      </c>
      <c r="F37" s="19" t="s">
        <v>293</v>
      </c>
      <c r="G37" s="277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9" t="s">
        <v>54</v>
      </c>
      <c r="B38" s="19" t="s">
        <v>296</v>
      </c>
      <c r="C38" s="20" t="s">
        <v>605</v>
      </c>
      <c r="D38" s="19" t="s">
        <v>56</v>
      </c>
      <c r="E38" s="19" t="s">
        <v>606</v>
      </c>
      <c r="F38" s="19" t="s">
        <v>293</v>
      </c>
      <c r="G38" s="277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54</v>
      </c>
      <c r="B39" s="19" t="s">
        <v>297</v>
      </c>
      <c r="C39" s="20" t="s">
        <v>607</v>
      </c>
      <c r="D39" s="19" t="s">
        <v>56</v>
      </c>
      <c r="E39" s="19" t="s">
        <v>606</v>
      </c>
      <c r="F39" s="19" t="s">
        <v>293</v>
      </c>
      <c r="G39" s="277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54</v>
      </c>
      <c r="B40" s="19" t="s">
        <v>298</v>
      </c>
      <c r="C40" s="20" t="s">
        <v>583</v>
      </c>
      <c r="D40" s="19" t="s">
        <v>56</v>
      </c>
      <c r="E40" s="19" t="s">
        <v>204</v>
      </c>
      <c r="F40" s="19" t="s">
        <v>293</v>
      </c>
      <c r="G40" s="277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63" t="s">
        <v>71</v>
      </c>
      <c r="B41" s="63" t="s">
        <v>340</v>
      </c>
      <c r="C41" s="64" t="s">
        <v>608</v>
      </c>
      <c r="D41" s="63" t="s">
        <v>81</v>
      </c>
      <c r="E41" s="63" t="s">
        <v>214</v>
      </c>
      <c r="F41" s="63" t="s">
        <v>341</v>
      </c>
      <c r="G41" s="278"/>
      <c r="H41" s="178"/>
      <c r="I41" s="178"/>
      <c r="J41" s="178"/>
      <c r="K41" s="178"/>
      <c r="L41" s="178"/>
      <c r="M41" s="178"/>
      <c r="N41" s="178"/>
      <c r="O41" s="179"/>
      <c r="P41" s="178"/>
      <c r="Q41" s="180"/>
      <c r="R41" s="180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4.4" customHeight="1" x14ac:dyDescent="0.3">
      <c r="A42" s="282"/>
      <c r="B42" s="283"/>
      <c r="C42" s="283"/>
      <c r="D42" s="283"/>
      <c r="E42" s="283"/>
      <c r="F42" s="283"/>
      <c r="G42" s="280"/>
      <c r="H42" s="284"/>
      <c r="I42" s="284"/>
      <c r="J42" s="284"/>
      <c r="K42" s="284"/>
      <c r="L42" s="284"/>
      <c r="M42" s="284"/>
      <c r="N42" s="284"/>
      <c r="O42" s="285"/>
      <c r="P42" s="284"/>
      <c r="Q42" s="280"/>
      <c r="R42" s="281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22.05" customHeight="1" x14ac:dyDescent="0.3">
      <c r="A43" s="290" t="s">
        <v>5</v>
      </c>
      <c r="B43" s="291"/>
      <c r="C43" s="291"/>
      <c r="D43" s="291"/>
      <c r="E43" s="291"/>
      <c r="F43" s="291"/>
      <c r="G43" s="5">
        <v>45987</v>
      </c>
      <c r="H43" s="274" t="s">
        <v>6</v>
      </c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24" customHeight="1" x14ac:dyDescent="0.3">
      <c r="A44" s="31" t="s">
        <v>7</v>
      </c>
      <c r="B44" s="31" t="s">
        <v>8</v>
      </c>
      <c r="C44" s="32" t="s">
        <v>9</v>
      </c>
      <c r="D44" s="31" t="s">
        <v>10</v>
      </c>
      <c r="E44" s="31" t="s">
        <v>11</v>
      </c>
      <c r="F44" s="31" t="s">
        <v>12</v>
      </c>
      <c r="G44" s="33" t="s">
        <v>13</v>
      </c>
      <c r="H44" s="31" t="s">
        <v>14</v>
      </c>
      <c r="I44" s="34" t="s">
        <v>15</v>
      </c>
      <c r="J44" s="35" t="s">
        <v>16</v>
      </c>
      <c r="K44" s="36" t="s">
        <v>17</v>
      </c>
      <c r="L44" s="35" t="s">
        <v>18</v>
      </c>
      <c r="M44" s="35" t="s">
        <v>19</v>
      </c>
      <c r="N44" s="35" t="s">
        <v>20</v>
      </c>
      <c r="O44" s="31" t="s">
        <v>21</v>
      </c>
      <c r="P44" s="32" t="s">
        <v>22</v>
      </c>
      <c r="Q44" s="35" t="s">
        <v>23</v>
      </c>
      <c r="R44" s="31" t="s">
        <v>24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8" t="s">
        <v>35</v>
      </c>
      <c r="B45" s="8" t="s">
        <v>572</v>
      </c>
      <c r="C45" s="9">
        <v>0.81944444444444453</v>
      </c>
      <c r="D45" s="8" t="s">
        <v>42</v>
      </c>
      <c r="E45" s="8" t="s">
        <v>104</v>
      </c>
      <c r="F45" s="8" t="s">
        <v>573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82" t="s">
        <v>71</v>
      </c>
      <c r="B46" s="182" t="s">
        <v>578</v>
      </c>
      <c r="C46" s="183">
        <v>0.14583333333333329</v>
      </c>
      <c r="D46" s="182" t="s">
        <v>73</v>
      </c>
      <c r="E46" s="184"/>
      <c r="F46" s="182" t="s">
        <v>74</v>
      </c>
      <c r="G46" s="277"/>
      <c r="H46" s="49" t="s">
        <v>578</v>
      </c>
      <c r="I46" s="50">
        <v>0.99439999999999995</v>
      </c>
      <c r="J46" s="51">
        <v>179</v>
      </c>
      <c r="K46" s="52">
        <v>45983</v>
      </c>
      <c r="L46" s="51">
        <v>13</v>
      </c>
      <c r="M46" s="51">
        <v>0</v>
      </c>
      <c r="N46" s="51">
        <v>2</v>
      </c>
      <c r="O46" s="53" t="s">
        <v>75</v>
      </c>
      <c r="P46" s="54">
        <v>0.14583333333333329</v>
      </c>
      <c r="Q46" s="51">
        <v>180</v>
      </c>
      <c r="R46" s="55" t="s">
        <v>609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216" t="s">
        <v>71</v>
      </c>
      <c r="B47" s="216" t="s">
        <v>576</v>
      </c>
      <c r="C47" s="217">
        <v>0.53125</v>
      </c>
      <c r="D47" s="216" t="s">
        <v>73</v>
      </c>
      <c r="E47" s="221"/>
      <c r="F47" s="216" t="s">
        <v>74</v>
      </c>
      <c r="G47" s="277"/>
      <c r="H47" s="168" t="s">
        <v>576</v>
      </c>
      <c r="I47" s="169">
        <v>1</v>
      </c>
      <c r="J47" s="170">
        <v>180</v>
      </c>
      <c r="K47" s="171">
        <v>45972</v>
      </c>
      <c r="L47" s="170">
        <v>0</v>
      </c>
      <c r="M47" s="170">
        <v>0</v>
      </c>
      <c r="N47" s="170">
        <v>0</v>
      </c>
      <c r="O47" s="172" t="s">
        <v>75</v>
      </c>
      <c r="P47" s="173">
        <v>0.53125</v>
      </c>
      <c r="Q47" s="170">
        <v>180</v>
      </c>
      <c r="R47" s="174" t="s">
        <v>610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218" t="s">
        <v>71</v>
      </c>
      <c r="B48" s="218" t="s">
        <v>611</v>
      </c>
      <c r="C48" s="219">
        <v>0.86111111111111116</v>
      </c>
      <c r="D48" s="218" t="s">
        <v>73</v>
      </c>
      <c r="E48" s="220"/>
      <c r="F48" s="218" t="s">
        <v>74</v>
      </c>
      <c r="G48" s="277"/>
      <c r="H48" s="39" t="s">
        <v>611</v>
      </c>
      <c r="I48" s="40">
        <v>1</v>
      </c>
      <c r="J48" s="41">
        <v>180</v>
      </c>
      <c r="K48" s="42">
        <v>45971</v>
      </c>
      <c r="L48" s="41">
        <v>0</v>
      </c>
      <c r="M48" s="41">
        <v>0</v>
      </c>
      <c r="N48" s="41">
        <v>0</v>
      </c>
      <c r="O48" s="43" t="s">
        <v>75</v>
      </c>
      <c r="P48" s="44">
        <v>0.86111111111111116</v>
      </c>
      <c r="Q48" s="41">
        <v>180</v>
      </c>
      <c r="R48" s="45" t="s">
        <v>612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8" x14ac:dyDescent="0.3">
      <c r="A49" s="300" t="s">
        <v>580</v>
      </c>
      <c r="B49" s="301"/>
      <c r="C49" s="301"/>
      <c r="D49" s="301"/>
      <c r="E49" s="301"/>
      <c r="F49" s="301"/>
      <c r="G49" s="277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25</v>
      </c>
      <c r="B50" s="19" t="s">
        <v>278</v>
      </c>
      <c r="C50" s="20" t="s">
        <v>600</v>
      </c>
      <c r="D50" s="19" t="s">
        <v>27</v>
      </c>
      <c r="E50" s="19" t="s">
        <v>212</v>
      </c>
      <c r="F50" s="19" t="s">
        <v>275</v>
      </c>
      <c r="G50" s="277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9" t="s">
        <v>25</v>
      </c>
      <c r="B51" s="19" t="s">
        <v>272</v>
      </c>
      <c r="C51" s="20" t="s">
        <v>581</v>
      </c>
      <c r="D51" s="19" t="s">
        <v>27</v>
      </c>
      <c r="E51" s="19" t="s">
        <v>214</v>
      </c>
      <c r="F51" s="19" t="s">
        <v>275</v>
      </c>
      <c r="G51" s="277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25</v>
      </c>
      <c r="B52" s="19" t="s">
        <v>273</v>
      </c>
      <c r="C52" s="20" t="s">
        <v>582</v>
      </c>
      <c r="D52" s="19" t="s">
        <v>27</v>
      </c>
      <c r="E52" s="19" t="s">
        <v>204</v>
      </c>
      <c r="F52" s="19" t="s">
        <v>293</v>
      </c>
      <c r="G52" s="277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54</v>
      </c>
      <c r="B53" s="19" t="s">
        <v>299</v>
      </c>
      <c r="C53" s="20" t="s">
        <v>602</v>
      </c>
      <c r="D53" s="19" t="s">
        <v>56</v>
      </c>
      <c r="E53" s="19" t="s">
        <v>214</v>
      </c>
      <c r="F53" s="19" t="s">
        <v>293</v>
      </c>
      <c r="G53" s="277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25</v>
      </c>
      <c r="B54" s="19" t="s">
        <v>278</v>
      </c>
      <c r="C54" s="20" t="s">
        <v>600</v>
      </c>
      <c r="D54" s="19" t="s">
        <v>33</v>
      </c>
      <c r="E54" s="19" t="s">
        <v>212</v>
      </c>
      <c r="F54" s="19" t="s">
        <v>79</v>
      </c>
      <c r="G54" s="277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25</v>
      </c>
      <c r="B55" s="19" t="s">
        <v>277</v>
      </c>
      <c r="C55" s="20" t="s">
        <v>583</v>
      </c>
      <c r="D55" s="19" t="s">
        <v>27</v>
      </c>
      <c r="E55" s="19" t="s">
        <v>204</v>
      </c>
      <c r="F55" s="19" t="s">
        <v>79</v>
      </c>
      <c r="G55" s="277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25</v>
      </c>
      <c r="B56" s="19" t="s">
        <v>273</v>
      </c>
      <c r="C56" s="20" t="s">
        <v>582</v>
      </c>
      <c r="D56" s="19" t="s">
        <v>33</v>
      </c>
      <c r="E56" s="19" t="s">
        <v>204</v>
      </c>
      <c r="F56" s="19" t="s">
        <v>334</v>
      </c>
      <c r="G56" s="277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280</v>
      </c>
      <c r="B57" s="19" t="s">
        <v>357</v>
      </c>
      <c r="C57" s="20" t="s">
        <v>613</v>
      </c>
      <c r="D57" s="19" t="s">
        <v>282</v>
      </c>
      <c r="E57" s="19" t="s">
        <v>204</v>
      </c>
      <c r="F57" s="19" t="s">
        <v>358</v>
      </c>
      <c r="G57" s="277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25</v>
      </c>
      <c r="B58" s="19" t="s">
        <v>278</v>
      </c>
      <c r="C58" s="20" t="s">
        <v>600</v>
      </c>
      <c r="D58" s="19" t="s">
        <v>30</v>
      </c>
      <c r="E58" s="19" t="s">
        <v>212</v>
      </c>
      <c r="F58" s="19" t="s">
        <v>276</v>
      </c>
      <c r="G58" s="277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63" t="s">
        <v>25</v>
      </c>
      <c r="B59" s="63" t="s">
        <v>272</v>
      </c>
      <c r="C59" s="64" t="s">
        <v>581</v>
      </c>
      <c r="D59" s="63" t="s">
        <v>30</v>
      </c>
      <c r="E59" s="63" t="s">
        <v>214</v>
      </c>
      <c r="F59" s="63" t="s">
        <v>276</v>
      </c>
      <c r="G59" s="278"/>
      <c r="H59" s="178"/>
      <c r="I59" s="178"/>
      <c r="J59" s="178"/>
      <c r="K59" s="178"/>
      <c r="L59" s="178"/>
      <c r="M59" s="178"/>
      <c r="N59" s="178"/>
      <c r="O59" s="179"/>
      <c r="P59" s="178"/>
      <c r="Q59" s="180"/>
      <c r="R59" s="180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4.4" customHeight="1" x14ac:dyDescent="0.3">
      <c r="A60" s="282"/>
      <c r="B60" s="283"/>
      <c r="C60" s="283"/>
      <c r="D60" s="283"/>
      <c r="E60" s="283"/>
      <c r="F60" s="283"/>
      <c r="G60" s="280"/>
      <c r="H60" s="284"/>
      <c r="I60" s="284"/>
      <c r="J60" s="284"/>
      <c r="K60" s="284"/>
      <c r="L60" s="284"/>
      <c r="M60" s="284"/>
      <c r="N60" s="284"/>
      <c r="O60" s="285"/>
      <c r="P60" s="284"/>
      <c r="Q60" s="280"/>
      <c r="R60" s="281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22.05" customHeight="1" x14ac:dyDescent="0.3">
      <c r="A61" s="290" t="s">
        <v>5</v>
      </c>
      <c r="B61" s="291"/>
      <c r="C61" s="291"/>
      <c r="D61" s="291"/>
      <c r="E61" s="291"/>
      <c r="F61" s="291"/>
      <c r="G61" s="5">
        <v>45988</v>
      </c>
      <c r="H61" s="274" t="s">
        <v>6</v>
      </c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24" customHeight="1" x14ac:dyDescent="0.3">
      <c r="A62" s="31" t="s">
        <v>7</v>
      </c>
      <c r="B62" s="31" t="s">
        <v>8</v>
      </c>
      <c r="C62" s="32" t="s">
        <v>9</v>
      </c>
      <c r="D62" s="31" t="s">
        <v>10</v>
      </c>
      <c r="E62" s="31" t="s">
        <v>11</v>
      </c>
      <c r="F62" s="31" t="s">
        <v>12</v>
      </c>
      <c r="G62" s="33" t="s">
        <v>13</v>
      </c>
      <c r="H62" s="31" t="s">
        <v>14</v>
      </c>
      <c r="I62" s="34" t="s">
        <v>15</v>
      </c>
      <c r="J62" s="35" t="s">
        <v>16</v>
      </c>
      <c r="K62" s="36" t="s">
        <v>17</v>
      </c>
      <c r="L62" s="35" t="s">
        <v>18</v>
      </c>
      <c r="M62" s="35" t="s">
        <v>19</v>
      </c>
      <c r="N62" s="35" t="s">
        <v>20</v>
      </c>
      <c r="O62" s="31" t="s">
        <v>21</v>
      </c>
      <c r="P62" s="32" t="s">
        <v>22</v>
      </c>
      <c r="Q62" s="35" t="s">
        <v>23</v>
      </c>
      <c r="R62" s="31" t="s">
        <v>24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8" t="s">
        <v>280</v>
      </c>
      <c r="B63" s="8" t="s">
        <v>614</v>
      </c>
      <c r="C63" s="9">
        <v>0.63194444444444442</v>
      </c>
      <c r="D63" s="8" t="s">
        <v>592</v>
      </c>
      <c r="E63" s="8" t="s">
        <v>77</v>
      </c>
      <c r="F63" s="8" t="s">
        <v>615</v>
      </c>
      <c r="G63" s="276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5" t="s">
        <v>280</v>
      </c>
      <c r="B64" s="15" t="s">
        <v>614</v>
      </c>
      <c r="C64" s="16">
        <v>0.63194444444444442</v>
      </c>
      <c r="D64" s="15" t="s">
        <v>594</v>
      </c>
      <c r="E64" s="15" t="s">
        <v>78</v>
      </c>
      <c r="F64" s="15" t="s">
        <v>616</v>
      </c>
      <c r="G64" s="277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280</v>
      </c>
      <c r="B65" s="15" t="s">
        <v>614</v>
      </c>
      <c r="C65" s="16">
        <v>0.63194444444444442</v>
      </c>
      <c r="D65" s="15" t="s">
        <v>33</v>
      </c>
      <c r="E65" s="15" t="s">
        <v>78</v>
      </c>
      <c r="F65" s="15" t="s">
        <v>617</v>
      </c>
      <c r="G65" s="277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7" t="s">
        <v>35</v>
      </c>
      <c r="B66" s="17" t="s">
        <v>597</v>
      </c>
      <c r="C66" s="18">
        <v>0.4513888888888889</v>
      </c>
      <c r="D66" s="17" t="s">
        <v>42</v>
      </c>
      <c r="E66" s="17" t="s">
        <v>104</v>
      </c>
      <c r="F66" s="17" t="s">
        <v>598</v>
      </c>
      <c r="G66" s="277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9" t="s">
        <v>35</v>
      </c>
      <c r="B67" s="19" t="s">
        <v>572</v>
      </c>
      <c r="C67" s="20">
        <v>0.81944444444444453</v>
      </c>
      <c r="D67" s="19" t="s">
        <v>42</v>
      </c>
      <c r="E67" s="19" t="s">
        <v>91</v>
      </c>
      <c r="F67" s="19" t="s">
        <v>598</v>
      </c>
      <c r="G67" s="277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85" t="s">
        <v>71</v>
      </c>
      <c r="B68" s="85" t="s">
        <v>578</v>
      </c>
      <c r="C68" s="86">
        <v>8.6805555555555566E-2</v>
      </c>
      <c r="D68" s="85" t="s">
        <v>73</v>
      </c>
      <c r="E68" s="204"/>
      <c r="F68" s="85" t="s">
        <v>74</v>
      </c>
      <c r="G68" s="277"/>
      <c r="H68" s="87" t="s">
        <v>578</v>
      </c>
      <c r="I68" s="88">
        <v>0.99439999999999995</v>
      </c>
      <c r="J68" s="89">
        <v>179</v>
      </c>
      <c r="K68" s="90">
        <v>45980</v>
      </c>
      <c r="L68" s="89">
        <v>13</v>
      </c>
      <c r="M68" s="89">
        <v>0</v>
      </c>
      <c r="N68" s="89">
        <v>0</v>
      </c>
      <c r="O68" s="91" t="s">
        <v>75</v>
      </c>
      <c r="P68" s="92">
        <v>8.6805555555555566E-2</v>
      </c>
      <c r="Q68" s="89">
        <v>180</v>
      </c>
      <c r="R68" s="93" t="s">
        <v>618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8" x14ac:dyDescent="0.3">
      <c r="A69" s="300" t="s">
        <v>580</v>
      </c>
      <c r="B69" s="301"/>
      <c r="C69" s="301"/>
      <c r="D69" s="301"/>
      <c r="E69" s="301"/>
      <c r="F69" s="301"/>
      <c r="G69" s="277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25</v>
      </c>
      <c r="B70" s="19" t="s">
        <v>278</v>
      </c>
      <c r="C70" s="20" t="s">
        <v>600</v>
      </c>
      <c r="D70" s="19" t="s">
        <v>27</v>
      </c>
      <c r="E70" s="19" t="s">
        <v>619</v>
      </c>
      <c r="F70" s="19" t="s">
        <v>293</v>
      </c>
      <c r="G70" s="277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9" t="s">
        <v>25</v>
      </c>
      <c r="B71" s="19" t="s">
        <v>273</v>
      </c>
      <c r="C71" s="20" t="s">
        <v>582</v>
      </c>
      <c r="D71" s="19" t="s">
        <v>27</v>
      </c>
      <c r="E71" s="19" t="s">
        <v>223</v>
      </c>
      <c r="F71" s="19" t="s">
        <v>293</v>
      </c>
      <c r="G71" s="277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9" t="s">
        <v>25</v>
      </c>
      <c r="B72" s="19" t="s">
        <v>272</v>
      </c>
      <c r="C72" s="20" t="s">
        <v>581</v>
      </c>
      <c r="D72" s="19" t="s">
        <v>27</v>
      </c>
      <c r="E72" s="19" t="s">
        <v>204</v>
      </c>
      <c r="F72" s="19" t="s">
        <v>293</v>
      </c>
      <c r="G72" s="277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9" t="s">
        <v>71</v>
      </c>
      <c r="B73" s="19" t="s">
        <v>371</v>
      </c>
      <c r="C73" s="20" t="s">
        <v>620</v>
      </c>
      <c r="D73" s="19" t="s">
        <v>81</v>
      </c>
      <c r="E73" s="19" t="s">
        <v>204</v>
      </c>
      <c r="F73" s="19" t="s">
        <v>341</v>
      </c>
      <c r="G73" s="277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9" t="s">
        <v>25</v>
      </c>
      <c r="B74" s="19" t="s">
        <v>277</v>
      </c>
      <c r="C74" s="20" t="s">
        <v>583</v>
      </c>
      <c r="D74" s="19" t="s">
        <v>27</v>
      </c>
      <c r="E74" s="19" t="s">
        <v>223</v>
      </c>
      <c r="F74" s="19" t="s">
        <v>79</v>
      </c>
      <c r="G74" s="277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54</v>
      </c>
      <c r="B75" s="19" t="s">
        <v>299</v>
      </c>
      <c r="C75" s="20" t="s">
        <v>602</v>
      </c>
      <c r="D75" s="19" t="s">
        <v>56</v>
      </c>
      <c r="E75" s="19" t="s">
        <v>606</v>
      </c>
      <c r="F75" s="19" t="s">
        <v>276</v>
      </c>
      <c r="G75" s="277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9" t="s">
        <v>54</v>
      </c>
      <c r="B76" s="19" t="s">
        <v>291</v>
      </c>
      <c r="C76" s="20" t="s">
        <v>588</v>
      </c>
      <c r="D76" s="19" t="s">
        <v>56</v>
      </c>
      <c r="E76" s="19" t="s">
        <v>619</v>
      </c>
      <c r="F76" s="19" t="s">
        <v>276</v>
      </c>
      <c r="G76" s="277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9" t="s">
        <v>54</v>
      </c>
      <c r="B77" s="19" t="s">
        <v>295</v>
      </c>
      <c r="C77" s="20" t="s">
        <v>604</v>
      </c>
      <c r="D77" s="19" t="s">
        <v>56</v>
      </c>
      <c r="E77" s="19" t="s">
        <v>214</v>
      </c>
      <c r="F77" s="19" t="s">
        <v>276</v>
      </c>
      <c r="G77" s="277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54</v>
      </c>
      <c r="B78" s="19" t="s">
        <v>296</v>
      </c>
      <c r="C78" s="20" t="s">
        <v>605</v>
      </c>
      <c r="D78" s="19" t="s">
        <v>56</v>
      </c>
      <c r="E78" s="19" t="s">
        <v>606</v>
      </c>
      <c r="F78" s="19" t="s">
        <v>276</v>
      </c>
      <c r="G78" s="277"/>
      <c r="H78" s="175"/>
      <c r="I78" s="175"/>
      <c r="J78" s="175"/>
      <c r="K78" s="175"/>
      <c r="L78" s="175"/>
      <c r="M78" s="175"/>
      <c r="N78" s="175"/>
      <c r="O78" s="176"/>
      <c r="P78" s="175"/>
      <c r="Q78" s="177"/>
      <c r="R78" s="17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63" t="s">
        <v>54</v>
      </c>
      <c r="B79" s="63" t="s">
        <v>297</v>
      </c>
      <c r="C79" s="64" t="s">
        <v>607</v>
      </c>
      <c r="D79" s="63" t="s">
        <v>56</v>
      </c>
      <c r="E79" s="63" t="s">
        <v>220</v>
      </c>
      <c r="F79" s="63" t="s">
        <v>276</v>
      </c>
      <c r="G79" s="278"/>
      <c r="H79" s="178"/>
      <c r="I79" s="178"/>
      <c r="J79" s="178"/>
      <c r="K79" s="178"/>
      <c r="L79" s="178"/>
      <c r="M79" s="178"/>
      <c r="N79" s="178"/>
      <c r="O79" s="179"/>
      <c r="P79" s="178"/>
      <c r="Q79" s="180"/>
      <c r="R79" s="180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4.4" customHeight="1" x14ac:dyDescent="0.3">
      <c r="A80" s="279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22.05" customHeight="1" x14ac:dyDescent="0.3">
      <c r="A81" s="290" t="s">
        <v>5</v>
      </c>
      <c r="B81" s="291"/>
      <c r="C81" s="291"/>
      <c r="D81" s="291"/>
      <c r="E81" s="291"/>
      <c r="F81" s="291"/>
      <c r="G81" s="5">
        <v>45989</v>
      </c>
      <c r="H81" s="274" t="s">
        <v>6</v>
      </c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24" customHeight="1" x14ac:dyDescent="0.3">
      <c r="A82" s="31" t="s">
        <v>7</v>
      </c>
      <c r="B82" s="31" t="s">
        <v>8</v>
      </c>
      <c r="C82" s="32" t="s">
        <v>9</v>
      </c>
      <c r="D82" s="31" t="s">
        <v>10</v>
      </c>
      <c r="E82" s="31" t="s">
        <v>11</v>
      </c>
      <c r="F82" s="31" t="s">
        <v>12</v>
      </c>
      <c r="G82" s="33" t="s">
        <v>13</v>
      </c>
      <c r="H82" s="31" t="s">
        <v>14</v>
      </c>
      <c r="I82" s="34" t="s">
        <v>15</v>
      </c>
      <c r="J82" s="35" t="s">
        <v>16</v>
      </c>
      <c r="K82" s="36" t="s">
        <v>17</v>
      </c>
      <c r="L82" s="35" t="s">
        <v>18</v>
      </c>
      <c r="M82" s="35" t="s">
        <v>19</v>
      </c>
      <c r="N82" s="35" t="s">
        <v>20</v>
      </c>
      <c r="O82" s="31" t="s">
        <v>21</v>
      </c>
      <c r="P82" s="32" t="s">
        <v>22</v>
      </c>
      <c r="Q82" s="35" t="s">
        <v>23</v>
      </c>
      <c r="R82" s="31" t="s">
        <v>24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85" t="s">
        <v>71</v>
      </c>
      <c r="B83" s="85" t="s">
        <v>621</v>
      </c>
      <c r="C83" s="86">
        <v>0.22916666666666671</v>
      </c>
      <c r="D83" s="85" t="s">
        <v>81</v>
      </c>
      <c r="E83" s="85" t="s">
        <v>104</v>
      </c>
      <c r="F83" s="85" t="s">
        <v>29</v>
      </c>
      <c r="G83" s="276"/>
      <c r="H83" s="87" t="s">
        <v>578</v>
      </c>
      <c r="I83" s="88">
        <v>0.9889</v>
      </c>
      <c r="J83" s="89">
        <v>178</v>
      </c>
      <c r="K83" s="90">
        <v>45983</v>
      </c>
      <c r="L83" s="89">
        <v>64</v>
      </c>
      <c r="M83" s="89">
        <v>0</v>
      </c>
      <c r="N83" s="89">
        <v>10</v>
      </c>
      <c r="O83" s="91" t="s">
        <v>160</v>
      </c>
      <c r="P83" s="92">
        <v>0.22916666666666671</v>
      </c>
      <c r="Q83" s="89">
        <v>180</v>
      </c>
      <c r="R83" s="93" t="s">
        <v>622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7" t="s">
        <v>35</v>
      </c>
      <c r="B84" s="17" t="s">
        <v>572</v>
      </c>
      <c r="C84" s="18">
        <v>0.81944444444444453</v>
      </c>
      <c r="D84" s="17" t="s">
        <v>42</v>
      </c>
      <c r="E84" s="17" t="s">
        <v>38</v>
      </c>
      <c r="F84" s="17" t="s">
        <v>598</v>
      </c>
      <c r="G84" s="277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8" x14ac:dyDescent="0.3">
      <c r="A85" s="300" t="s">
        <v>580</v>
      </c>
      <c r="B85" s="301"/>
      <c r="C85" s="301"/>
      <c r="D85" s="301"/>
      <c r="E85" s="301"/>
      <c r="F85" s="301"/>
      <c r="G85" s="277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71</v>
      </c>
      <c r="B86" s="19" t="s">
        <v>373</v>
      </c>
      <c r="C86" s="20" t="s">
        <v>623</v>
      </c>
      <c r="D86" s="19" t="s">
        <v>81</v>
      </c>
      <c r="E86" s="19" t="s">
        <v>214</v>
      </c>
      <c r="F86" s="19" t="s">
        <v>341</v>
      </c>
      <c r="G86" s="277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9" t="s">
        <v>71</v>
      </c>
      <c r="B87" s="19" t="s">
        <v>340</v>
      </c>
      <c r="C87" s="20" t="s">
        <v>624</v>
      </c>
      <c r="D87" s="19" t="s">
        <v>81</v>
      </c>
      <c r="E87" s="19" t="s">
        <v>214</v>
      </c>
      <c r="F87" s="19" t="s">
        <v>386</v>
      </c>
      <c r="G87" s="277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9" t="s">
        <v>25</v>
      </c>
      <c r="B88" s="19" t="s">
        <v>278</v>
      </c>
      <c r="C88" s="20" t="s">
        <v>600</v>
      </c>
      <c r="D88" s="19" t="s">
        <v>27</v>
      </c>
      <c r="E88" s="19" t="s">
        <v>212</v>
      </c>
      <c r="F88" s="19" t="s">
        <v>276</v>
      </c>
      <c r="G88" s="277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9" t="s">
        <v>280</v>
      </c>
      <c r="B89" s="19" t="s">
        <v>357</v>
      </c>
      <c r="C89" s="20" t="s">
        <v>613</v>
      </c>
      <c r="D89" s="19" t="s">
        <v>282</v>
      </c>
      <c r="E89" s="19" t="s">
        <v>214</v>
      </c>
      <c r="F89" s="19" t="s">
        <v>394</v>
      </c>
      <c r="G89" s="277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9" t="s">
        <v>71</v>
      </c>
      <c r="B90" s="19" t="s">
        <v>389</v>
      </c>
      <c r="C90" s="20" t="s">
        <v>245</v>
      </c>
      <c r="D90" s="19" t="s">
        <v>81</v>
      </c>
      <c r="E90" s="19" t="s">
        <v>619</v>
      </c>
      <c r="F90" s="19" t="s">
        <v>374</v>
      </c>
      <c r="G90" s="277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9" t="s">
        <v>25</v>
      </c>
      <c r="B91" s="19" t="s">
        <v>273</v>
      </c>
      <c r="C91" s="20" t="s">
        <v>582</v>
      </c>
      <c r="D91" s="19" t="s">
        <v>27</v>
      </c>
      <c r="E91" s="19" t="s">
        <v>204</v>
      </c>
      <c r="F91" s="19" t="s">
        <v>335</v>
      </c>
      <c r="G91" s="277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9" t="s">
        <v>25</v>
      </c>
      <c r="B92" s="19" t="s">
        <v>272</v>
      </c>
      <c r="C92" s="20" t="s">
        <v>581</v>
      </c>
      <c r="D92" s="19" t="s">
        <v>27</v>
      </c>
      <c r="E92" s="19" t="s">
        <v>220</v>
      </c>
      <c r="F92" s="19" t="s">
        <v>335</v>
      </c>
      <c r="G92" s="277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9" t="s">
        <v>54</v>
      </c>
      <c r="B93" s="19" t="s">
        <v>299</v>
      </c>
      <c r="C93" s="20" t="s">
        <v>602</v>
      </c>
      <c r="D93" s="19" t="s">
        <v>56</v>
      </c>
      <c r="E93" s="19" t="s">
        <v>220</v>
      </c>
      <c r="F93" s="19" t="s">
        <v>335</v>
      </c>
      <c r="G93" s="277"/>
      <c r="H93" s="175"/>
      <c r="I93" s="175"/>
      <c r="J93" s="175"/>
      <c r="K93" s="175"/>
      <c r="L93" s="175"/>
      <c r="M93" s="175"/>
      <c r="N93" s="175"/>
      <c r="O93" s="176"/>
      <c r="P93" s="175"/>
      <c r="Q93" s="177"/>
      <c r="R93" s="17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9" t="s">
        <v>280</v>
      </c>
      <c r="B94" s="19" t="s">
        <v>396</v>
      </c>
      <c r="C94" s="20" t="s">
        <v>625</v>
      </c>
      <c r="D94" s="19" t="s">
        <v>282</v>
      </c>
      <c r="E94" s="19" t="s">
        <v>603</v>
      </c>
      <c r="F94" s="19" t="s">
        <v>397</v>
      </c>
      <c r="G94" s="277"/>
      <c r="H94" s="175"/>
      <c r="I94" s="175"/>
      <c r="J94" s="175"/>
      <c r="K94" s="175"/>
      <c r="L94" s="175"/>
      <c r="M94" s="175"/>
      <c r="N94" s="175"/>
      <c r="O94" s="176"/>
      <c r="P94" s="175"/>
      <c r="Q94" s="177"/>
      <c r="R94" s="17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63" t="s">
        <v>25</v>
      </c>
      <c r="B95" s="63" t="s">
        <v>278</v>
      </c>
      <c r="C95" s="64" t="s">
        <v>600</v>
      </c>
      <c r="D95" s="63" t="s">
        <v>30</v>
      </c>
      <c r="E95" s="63" t="s">
        <v>212</v>
      </c>
      <c r="F95" s="63" t="s">
        <v>119</v>
      </c>
      <c r="G95" s="278"/>
      <c r="H95" s="178"/>
      <c r="I95" s="178"/>
      <c r="J95" s="178"/>
      <c r="K95" s="178"/>
      <c r="L95" s="178"/>
      <c r="M95" s="178"/>
      <c r="N95" s="178"/>
      <c r="O95" s="179"/>
      <c r="P95" s="178"/>
      <c r="Q95" s="180"/>
      <c r="R95" s="180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4.4" customHeight="1" x14ac:dyDescent="0.3">
      <c r="A96" s="282"/>
      <c r="B96" s="283"/>
      <c r="C96" s="283"/>
      <c r="D96" s="283"/>
      <c r="E96" s="283"/>
      <c r="F96" s="283"/>
      <c r="G96" s="280"/>
      <c r="H96" s="284"/>
      <c r="I96" s="284"/>
      <c r="J96" s="284"/>
      <c r="K96" s="284"/>
      <c r="L96" s="284"/>
      <c r="M96" s="284"/>
      <c r="N96" s="284"/>
      <c r="O96" s="285"/>
      <c r="P96" s="284"/>
      <c r="Q96" s="280"/>
      <c r="R96" s="28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22.05" customHeight="1" x14ac:dyDescent="0.3">
      <c r="A97" s="290" t="s">
        <v>5</v>
      </c>
      <c r="B97" s="291"/>
      <c r="C97" s="291"/>
      <c r="D97" s="291"/>
      <c r="E97" s="291"/>
      <c r="F97" s="291"/>
      <c r="G97" s="5">
        <v>45990</v>
      </c>
      <c r="H97" s="274" t="s">
        <v>6</v>
      </c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24" customHeight="1" x14ac:dyDescent="0.3">
      <c r="A98" s="31" t="s">
        <v>7</v>
      </c>
      <c r="B98" s="31" t="s">
        <v>8</v>
      </c>
      <c r="C98" s="32" t="s">
        <v>9</v>
      </c>
      <c r="D98" s="31" t="s">
        <v>10</v>
      </c>
      <c r="E98" s="31" t="s">
        <v>11</v>
      </c>
      <c r="F98" s="31" t="s">
        <v>12</v>
      </c>
      <c r="G98" s="33" t="s">
        <v>13</v>
      </c>
      <c r="H98" s="31" t="s">
        <v>14</v>
      </c>
      <c r="I98" s="34" t="s">
        <v>15</v>
      </c>
      <c r="J98" s="35" t="s">
        <v>16</v>
      </c>
      <c r="K98" s="36" t="s">
        <v>17</v>
      </c>
      <c r="L98" s="35" t="s">
        <v>18</v>
      </c>
      <c r="M98" s="35" t="s">
        <v>19</v>
      </c>
      <c r="N98" s="35" t="s">
        <v>20</v>
      </c>
      <c r="O98" s="31" t="s">
        <v>21</v>
      </c>
      <c r="P98" s="32" t="s">
        <v>22</v>
      </c>
      <c r="Q98" s="35" t="s">
        <v>23</v>
      </c>
      <c r="R98" s="31" t="s">
        <v>24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82" t="s">
        <v>71</v>
      </c>
      <c r="B99" s="182" t="s">
        <v>621</v>
      </c>
      <c r="C99" s="183">
        <v>0.60416666666666663</v>
      </c>
      <c r="D99" s="182" t="s">
        <v>81</v>
      </c>
      <c r="E99" s="182" t="s">
        <v>104</v>
      </c>
      <c r="F99" s="182" t="s">
        <v>341</v>
      </c>
      <c r="G99" s="276"/>
      <c r="H99" s="49" t="s">
        <v>578</v>
      </c>
      <c r="I99" s="50">
        <v>0.9889</v>
      </c>
      <c r="J99" s="51">
        <v>178</v>
      </c>
      <c r="K99" s="52">
        <v>45983</v>
      </c>
      <c r="L99" s="51">
        <v>15</v>
      </c>
      <c r="M99" s="51">
        <v>0</v>
      </c>
      <c r="N99" s="51">
        <v>3</v>
      </c>
      <c r="O99" s="53" t="s">
        <v>125</v>
      </c>
      <c r="P99" s="54">
        <v>0.60416666666666663</v>
      </c>
      <c r="Q99" s="51">
        <v>180</v>
      </c>
      <c r="R99" s="55" t="s">
        <v>626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226" t="s">
        <v>71</v>
      </c>
      <c r="B100" s="226" t="s">
        <v>576</v>
      </c>
      <c r="C100" s="227">
        <v>0.27083333333333331</v>
      </c>
      <c r="D100" s="226" t="s">
        <v>73</v>
      </c>
      <c r="E100" s="228"/>
      <c r="F100" s="226" t="s">
        <v>74</v>
      </c>
      <c r="G100" s="277"/>
      <c r="H100" s="197" t="s">
        <v>576</v>
      </c>
      <c r="I100" s="215">
        <v>1</v>
      </c>
      <c r="J100" s="199">
        <v>180</v>
      </c>
      <c r="K100" s="200">
        <v>45976</v>
      </c>
      <c r="L100" s="199">
        <v>0</v>
      </c>
      <c r="M100" s="199">
        <v>0</v>
      </c>
      <c r="N100" s="199">
        <v>0</v>
      </c>
      <c r="O100" s="201" t="s">
        <v>75</v>
      </c>
      <c r="P100" s="202">
        <v>0.27083333333333331</v>
      </c>
      <c r="Q100" s="199">
        <v>180</v>
      </c>
      <c r="R100" s="203" t="s">
        <v>627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7" t="s">
        <v>25</v>
      </c>
      <c r="B101" s="17" t="s">
        <v>590</v>
      </c>
      <c r="C101" s="18">
        <v>0.3611111111111111</v>
      </c>
      <c r="D101" s="17" t="s">
        <v>591</v>
      </c>
      <c r="E101" s="17" t="s">
        <v>57</v>
      </c>
      <c r="F101" s="17" t="s">
        <v>98</v>
      </c>
      <c r="G101" s="277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5" t="s">
        <v>25</v>
      </c>
      <c r="B102" s="15" t="s">
        <v>590</v>
      </c>
      <c r="C102" s="16">
        <v>0.3611111111111111</v>
      </c>
      <c r="D102" s="15" t="s">
        <v>592</v>
      </c>
      <c r="E102" s="15" t="s">
        <v>53</v>
      </c>
      <c r="F102" s="15" t="s">
        <v>593</v>
      </c>
      <c r="G102" s="277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25</v>
      </c>
      <c r="B103" s="15" t="s">
        <v>590</v>
      </c>
      <c r="C103" s="16">
        <v>0.3611111111111111</v>
      </c>
      <c r="D103" s="15" t="s">
        <v>594</v>
      </c>
      <c r="E103" s="15" t="s">
        <v>53</v>
      </c>
      <c r="F103" s="15" t="s">
        <v>595</v>
      </c>
      <c r="G103" s="277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5" t="s">
        <v>25</v>
      </c>
      <c r="B104" s="15" t="s">
        <v>590</v>
      </c>
      <c r="C104" s="16">
        <v>0.3611111111111111</v>
      </c>
      <c r="D104" s="15" t="s">
        <v>596</v>
      </c>
      <c r="E104" s="15" t="s">
        <v>53</v>
      </c>
      <c r="F104" s="15" t="s">
        <v>300</v>
      </c>
      <c r="G104" s="277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7" t="s">
        <v>280</v>
      </c>
      <c r="B105" s="17" t="s">
        <v>628</v>
      </c>
      <c r="C105" s="18">
        <v>0.3611111111111111</v>
      </c>
      <c r="D105" s="17" t="s">
        <v>592</v>
      </c>
      <c r="E105" s="17" t="s">
        <v>105</v>
      </c>
      <c r="F105" s="17" t="s">
        <v>629</v>
      </c>
      <c r="G105" s="277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5" t="s">
        <v>280</v>
      </c>
      <c r="B106" s="15" t="s">
        <v>628</v>
      </c>
      <c r="C106" s="16">
        <v>0.3611111111111111</v>
      </c>
      <c r="D106" s="15" t="s">
        <v>594</v>
      </c>
      <c r="E106" s="15" t="s">
        <v>106</v>
      </c>
      <c r="F106" s="15" t="s">
        <v>630</v>
      </c>
      <c r="G106" s="277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5" t="s">
        <v>280</v>
      </c>
      <c r="B107" s="15" t="s">
        <v>628</v>
      </c>
      <c r="C107" s="16">
        <v>0.3611111111111111</v>
      </c>
      <c r="D107" s="15" t="s">
        <v>33</v>
      </c>
      <c r="E107" s="15" t="s">
        <v>106</v>
      </c>
      <c r="F107" s="15" t="s">
        <v>631</v>
      </c>
      <c r="G107" s="277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7" t="s">
        <v>35</v>
      </c>
      <c r="B108" s="17" t="s">
        <v>597</v>
      </c>
      <c r="C108" s="18">
        <v>0.4513888888888889</v>
      </c>
      <c r="D108" s="17" t="s">
        <v>42</v>
      </c>
      <c r="E108" s="17" t="s">
        <v>38</v>
      </c>
      <c r="F108" s="17" t="s">
        <v>632</v>
      </c>
      <c r="G108" s="277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9" t="s">
        <v>35</v>
      </c>
      <c r="B109" s="19" t="s">
        <v>572</v>
      </c>
      <c r="C109" s="20">
        <v>0.81944444444444453</v>
      </c>
      <c r="D109" s="19" t="s">
        <v>42</v>
      </c>
      <c r="E109" s="19" t="s">
        <v>95</v>
      </c>
      <c r="F109" s="19" t="s">
        <v>598</v>
      </c>
      <c r="G109" s="277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8" x14ac:dyDescent="0.3">
      <c r="A110" s="300" t="s">
        <v>580</v>
      </c>
      <c r="B110" s="301"/>
      <c r="C110" s="301"/>
      <c r="D110" s="301"/>
      <c r="E110" s="301"/>
      <c r="F110" s="301"/>
      <c r="G110" s="277"/>
      <c r="H110" s="175"/>
      <c r="I110" s="175"/>
      <c r="J110" s="175"/>
      <c r="K110" s="175"/>
      <c r="L110" s="175"/>
      <c r="M110" s="175"/>
      <c r="N110" s="175"/>
      <c r="O110" s="176"/>
      <c r="P110" s="175"/>
      <c r="Q110" s="177"/>
      <c r="R110" s="17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" t="s">
        <v>280</v>
      </c>
      <c r="B111" s="19" t="s">
        <v>357</v>
      </c>
      <c r="C111" s="20" t="s">
        <v>633</v>
      </c>
      <c r="D111" s="19" t="s">
        <v>282</v>
      </c>
      <c r="E111" s="19" t="s">
        <v>204</v>
      </c>
      <c r="F111" s="19" t="s">
        <v>405</v>
      </c>
      <c r="G111" s="277"/>
      <c r="H111" s="175"/>
      <c r="I111" s="175"/>
      <c r="J111" s="175"/>
      <c r="K111" s="175"/>
      <c r="L111" s="175"/>
      <c r="M111" s="175"/>
      <c r="N111" s="175"/>
      <c r="O111" s="176"/>
      <c r="P111" s="175"/>
      <c r="Q111" s="177"/>
      <c r="R111" s="17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9" t="s">
        <v>285</v>
      </c>
      <c r="B112" s="19" t="s">
        <v>288</v>
      </c>
      <c r="C112" s="20" t="s">
        <v>634</v>
      </c>
      <c r="D112" s="19" t="s">
        <v>81</v>
      </c>
      <c r="E112" s="19" t="s">
        <v>606</v>
      </c>
      <c r="F112" s="19" t="s">
        <v>353</v>
      </c>
      <c r="G112" s="277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9" t="s">
        <v>25</v>
      </c>
      <c r="B113" s="19" t="s">
        <v>278</v>
      </c>
      <c r="C113" s="20" t="s">
        <v>600</v>
      </c>
      <c r="D113" s="19" t="s">
        <v>27</v>
      </c>
      <c r="E113" s="19" t="s">
        <v>223</v>
      </c>
      <c r="F113" s="19" t="s">
        <v>335</v>
      </c>
      <c r="G113" s="277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9" t="s">
        <v>280</v>
      </c>
      <c r="B114" s="19" t="s">
        <v>281</v>
      </c>
      <c r="C114" s="20" t="s">
        <v>601</v>
      </c>
      <c r="D114" s="19" t="s">
        <v>282</v>
      </c>
      <c r="E114" s="19" t="s">
        <v>220</v>
      </c>
      <c r="F114" s="19" t="s">
        <v>407</v>
      </c>
      <c r="G114" s="277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9" t="s">
        <v>280</v>
      </c>
      <c r="B115" s="19" t="s">
        <v>357</v>
      </c>
      <c r="C115" s="20" t="s">
        <v>633</v>
      </c>
      <c r="D115" s="19" t="s">
        <v>33</v>
      </c>
      <c r="E115" s="19" t="s">
        <v>204</v>
      </c>
      <c r="F115" s="19" t="s">
        <v>406</v>
      </c>
      <c r="G115" s="277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9" t="s">
        <v>25</v>
      </c>
      <c r="B116" s="19" t="s">
        <v>273</v>
      </c>
      <c r="C116" s="20" t="s">
        <v>582</v>
      </c>
      <c r="D116" s="19" t="s">
        <v>27</v>
      </c>
      <c r="E116" s="19" t="s">
        <v>606</v>
      </c>
      <c r="F116" s="19" t="s">
        <v>119</v>
      </c>
      <c r="G116" s="277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9" t="s">
        <v>25</v>
      </c>
      <c r="B117" s="19" t="s">
        <v>277</v>
      </c>
      <c r="C117" s="20" t="s">
        <v>583</v>
      </c>
      <c r="D117" s="19" t="s">
        <v>27</v>
      </c>
      <c r="E117" s="19" t="s">
        <v>635</v>
      </c>
      <c r="F117" s="19" t="s">
        <v>119</v>
      </c>
      <c r="G117" s="277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9" t="s">
        <v>25</v>
      </c>
      <c r="B118" s="19" t="s">
        <v>272</v>
      </c>
      <c r="C118" s="20" t="s">
        <v>581</v>
      </c>
      <c r="D118" s="19" t="s">
        <v>27</v>
      </c>
      <c r="E118" s="19" t="s">
        <v>636</v>
      </c>
      <c r="F118" s="19" t="s">
        <v>119</v>
      </c>
      <c r="G118" s="277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9" t="s">
        <v>280</v>
      </c>
      <c r="B119" s="19" t="s">
        <v>281</v>
      </c>
      <c r="C119" s="20" t="s">
        <v>601</v>
      </c>
      <c r="D119" s="19" t="s">
        <v>33</v>
      </c>
      <c r="E119" s="19" t="s">
        <v>220</v>
      </c>
      <c r="F119" s="19" t="s">
        <v>408</v>
      </c>
      <c r="G119" s="277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63" t="s">
        <v>25</v>
      </c>
      <c r="B120" s="63" t="s">
        <v>278</v>
      </c>
      <c r="C120" s="64" t="s">
        <v>600</v>
      </c>
      <c r="D120" s="63" t="s">
        <v>30</v>
      </c>
      <c r="E120" s="63" t="s">
        <v>223</v>
      </c>
      <c r="F120" s="63" t="s">
        <v>61</v>
      </c>
      <c r="G120" s="278"/>
      <c r="H120" s="178"/>
      <c r="I120" s="178"/>
      <c r="J120" s="178"/>
      <c r="K120" s="178"/>
      <c r="L120" s="178"/>
      <c r="M120" s="178"/>
      <c r="N120" s="178"/>
      <c r="O120" s="179"/>
      <c r="P120" s="178"/>
      <c r="Q120" s="180"/>
      <c r="R120" s="180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4.4" customHeight="1" x14ac:dyDescent="0.3">
      <c r="A121" s="282"/>
      <c r="B121" s="283"/>
      <c r="C121" s="283"/>
      <c r="D121" s="283"/>
      <c r="E121" s="283"/>
      <c r="F121" s="283"/>
      <c r="G121" s="280"/>
      <c r="H121" s="284"/>
      <c r="I121" s="284"/>
      <c r="J121" s="284"/>
      <c r="K121" s="284"/>
      <c r="L121" s="284"/>
      <c r="M121" s="284"/>
      <c r="N121" s="284"/>
      <c r="O121" s="285"/>
      <c r="P121" s="284"/>
      <c r="Q121" s="280"/>
      <c r="R121" s="28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22.05" customHeight="1" x14ac:dyDescent="0.3">
      <c r="A122" s="290" t="s">
        <v>5</v>
      </c>
      <c r="B122" s="291"/>
      <c r="C122" s="291"/>
      <c r="D122" s="291"/>
      <c r="E122" s="291"/>
      <c r="F122" s="291"/>
      <c r="G122" s="5">
        <v>45991</v>
      </c>
      <c r="H122" s="274" t="s">
        <v>6</v>
      </c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24" customHeight="1" x14ac:dyDescent="0.3">
      <c r="A123" s="31" t="s">
        <v>7</v>
      </c>
      <c r="B123" s="31" t="s">
        <v>8</v>
      </c>
      <c r="C123" s="32" t="s">
        <v>9</v>
      </c>
      <c r="D123" s="31" t="s">
        <v>10</v>
      </c>
      <c r="E123" s="31" t="s">
        <v>11</v>
      </c>
      <c r="F123" s="31" t="s">
        <v>12</v>
      </c>
      <c r="G123" s="33" t="s">
        <v>13</v>
      </c>
      <c r="H123" s="31" t="s">
        <v>14</v>
      </c>
      <c r="I123" s="34" t="s">
        <v>15</v>
      </c>
      <c r="J123" s="35" t="s">
        <v>16</v>
      </c>
      <c r="K123" s="36" t="s">
        <v>17</v>
      </c>
      <c r="L123" s="35" t="s">
        <v>18</v>
      </c>
      <c r="M123" s="35" t="s">
        <v>19</v>
      </c>
      <c r="N123" s="35" t="s">
        <v>20</v>
      </c>
      <c r="O123" s="31" t="s">
        <v>21</v>
      </c>
      <c r="P123" s="32" t="s">
        <v>22</v>
      </c>
      <c r="Q123" s="35" t="s">
        <v>23</v>
      </c>
      <c r="R123" s="31" t="s">
        <v>24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8" t="s">
        <v>280</v>
      </c>
      <c r="B124" s="8" t="s">
        <v>628</v>
      </c>
      <c r="C124" s="9">
        <v>0.3611111111111111</v>
      </c>
      <c r="D124" s="8" t="s">
        <v>592</v>
      </c>
      <c r="E124" s="8" t="s">
        <v>105</v>
      </c>
      <c r="F124" s="8" t="s">
        <v>637</v>
      </c>
      <c r="G124" s="276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5" t="s">
        <v>280</v>
      </c>
      <c r="B125" s="15" t="s">
        <v>628</v>
      </c>
      <c r="C125" s="16">
        <v>0.3611111111111111</v>
      </c>
      <c r="D125" s="15" t="s">
        <v>594</v>
      </c>
      <c r="E125" s="15" t="s">
        <v>106</v>
      </c>
      <c r="F125" s="15" t="s">
        <v>638</v>
      </c>
      <c r="G125" s="277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5" t="s">
        <v>280</v>
      </c>
      <c r="B126" s="15" t="s">
        <v>628</v>
      </c>
      <c r="C126" s="16">
        <v>0.3611111111111111</v>
      </c>
      <c r="D126" s="15" t="s">
        <v>33</v>
      </c>
      <c r="E126" s="15" t="s">
        <v>106</v>
      </c>
      <c r="F126" s="15" t="s">
        <v>639</v>
      </c>
      <c r="G126" s="277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7" t="s">
        <v>35</v>
      </c>
      <c r="B127" s="17" t="s">
        <v>572</v>
      </c>
      <c r="C127" s="18">
        <v>0.81944444444444453</v>
      </c>
      <c r="D127" s="17" t="s">
        <v>42</v>
      </c>
      <c r="E127" s="17" t="s">
        <v>402</v>
      </c>
      <c r="F127" s="17" t="s">
        <v>632</v>
      </c>
      <c r="G127" s="277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65" t="s">
        <v>71</v>
      </c>
      <c r="B128" s="165" t="s">
        <v>578</v>
      </c>
      <c r="C128" s="166">
        <v>0.49652777777777768</v>
      </c>
      <c r="D128" s="165" t="s">
        <v>73</v>
      </c>
      <c r="E128" s="167"/>
      <c r="F128" s="165" t="s">
        <v>74</v>
      </c>
      <c r="G128" s="277"/>
      <c r="H128" s="168" t="s">
        <v>578</v>
      </c>
      <c r="I128" s="169">
        <v>0.99439999999999995</v>
      </c>
      <c r="J128" s="170">
        <v>179</v>
      </c>
      <c r="K128" s="171">
        <v>45983</v>
      </c>
      <c r="L128" s="170">
        <v>12</v>
      </c>
      <c r="M128" s="170">
        <v>0</v>
      </c>
      <c r="N128" s="170">
        <v>1</v>
      </c>
      <c r="O128" s="172" t="s">
        <v>75</v>
      </c>
      <c r="P128" s="173">
        <v>0.49652777777777768</v>
      </c>
      <c r="Q128" s="170">
        <v>180</v>
      </c>
      <c r="R128" s="174" t="s">
        <v>640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218" t="s">
        <v>71</v>
      </c>
      <c r="B129" s="218" t="s">
        <v>576</v>
      </c>
      <c r="C129" s="219">
        <v>0.57986111111111105</v>
      </c>
      <c r="D129" s="218" t="s">
        <v>73</v>
      </c>
      <c r="E129" s="220"/>
      <c r="F129" s="218" t="s">
        <v>74</v>
      </c>
      <c r="G129" s="277"/>
      <c r="H129" s="39" t="s">
        <v>576</v>
      </c>
      <c r="I129" s="40">
        <v>1</v>
      </c>
      <c r="J129" s="41">
        <v>180</v>
      </c>
      <c r="K129" s="42">
        <v>45982</v>
      </c>
      <c r="L129" s="41">
        <v>2</v>
      </c>
      <c r="M129" s="41">
        <v>0</v>
      </c>
      <c r="N129" s="41">
        <v>0</v>
      </c>
      <c r="O129" s="43" t="s">
        <v>75</v>
      </c>
      <c r="P129" s="44">
        <v>0.57986111111111105</v>
      </c>
      <c r="Q129" s="41">
        <v>180</v>
      </c>
      <c r="R129" s="45" t="s">
        <v>641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8" x14ac:dyDescent="0.3">
      <c r="A130" s="300" t="s">
        <v>580</v>
      </c>
      <c r="B130" s="301"/>
      <c r="C130" s="301"/>
      <c r="D130" s="301"/>
      <c r="E130" s="301"/>
      <c r="F130" s="301"/>
      <c r="G130" s="277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9" t="s">
        <v>71</v>
      </c>
      <c r="B131" s="19" t="s">
        <v>389</v>
      </c>
      <c r="C131" s="20" t="s">
        <v>642</v>
      </c>
      <c r="D131" s="19" t="s">
        <v>81</v>
      </c>
      <c r="E131" s="19" t="s">
        <v>204</v>
      </c>
      <c r="F131" s="19" t="s">
        <v>123</v>
      </c>
      <c r="G131" s="277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9" t="s">
        <v>25</v>
      </c>
      <c r="B132" s="19" t="s">
        <v>278</v>
      </c>
      <c r="C132" s="20" t="s">
        <v>600</v>
      </c>
      <c r="D132" s="19" t="s">
        <v>27</v>
      </c>
      <c r="E132" s="19" t="s">
        <v>220</v>
      </c>
      <c r="F132" s="19" t="s">
        <v>275</v>
      </c>
      <c r="G132" s="277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19" t="s">
        <v>25</v>
      </c>
      <c r="B133" s="19" t="s">
        <v>273</v>
      </c>
      <c r="C133" s="20" t="s">
        <v>582</v>
      </c>
      <c r="D133" s="19" t="s">
        <v>27</v>
      </c>
      <c r="E133" s="19" t="s">
        <v>619</v>
      </c>
      <c r="F133" s="19" t="s">
        <v>275</v>
      </c>
      <c r="G133" s="277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5" customHeight="1" x14ac:dyDescent="0.3">
      <c r="A134" s="19" t="s">
        <v>25</v>
      </c>
      <c r="B134" s="19" t="s">
        <v>272</v>
      </c>
      <c r="C134" s="20" t="s">
        <v>581</v>
      </c>
      <c r="D134" s="19" t="s">
        <v>27</v>
      </c>
      <c r="E134" s="19" t="s">
        <v>220</v>
      </c>
      <c r="F134" s="19" t="s">
        <v>275</v>
      </c>
      <c r="G134" s="277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15" customHeight="1" x14ac:dyDescent="0.3">
      <c r="A135" s="19" t="s">
        <v>285</v>
      </c>
      <c r="B135" s="19" t="s">
        <v>286</v>
      </c>
      <c r="C135" s="20" t="s">
        <v>585</v>
      </c>
      <c r="D135" s="19" t="s">
        <v>81</v>
      </c>
      <c r="E135" s="19" t="s">
        <v>202</v>
      </c>
      <c r="F135" s="19" t="s">
        <v>287</v>
      </c>
      <c r="G135" s="277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15" customHeight="1" x14ac:dyDescent="0.3">
      <c r="A136" s="19" t="s">
        <v>285</v>
      </c>
      <c r="B136" s="19" t="s">
        <v>288</v>
      </c>
      <c r="C136" s="20" t="s">
        <v>643</v>
      </c>
      <c r="D136" s="19" t="s">
        <v>81</v>
      </c>
      <c r="E136" s="19" t="s">
        <v>603</v>
      </c>
      <c r="F136" s="19" t="s">
        <v>287</v>
      </c>
      <c r="G136" s="277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19" t="s">
        <v>25</v>
      </c>
      <c r="B137" s="19" t="s">
        <v>277</v>
      </c>
      <c r="C137" s="20" t="s">
        <v>583</v>
      </c>
      <c r="D137" s="19" t="s">
        <v>27</v>
      </c>
      <c r="E137" s="19" t="s">
        <v>223</v>
      </c>
      <c r="F137" s="19" t="s">
        <v>293</v>
      </c>
      <c r="G137" s="277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19" t="s">
        <v>25</v>
      </c>
      <c r="B138" s="19" t="s">
        <v>273</v>
      </c>
      <c r="C138" s="20" t="s">
        <v>582</v>
      </c>
      <c r="D138" s="19" t="s">
        <v>33</v>
      </c>
      <c r="E138" s="19" t="s">
        <v>619</v>
      </c>
      <c r="F138" s="19" t="s">
        <v>79</v>
      </c>
      <c r="G138" s="277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5" customHeight="1" x14ac:dyDescent="0.3">
      <c r="A139" s="19" t="s">
        <v>25</v>
      </c>
      <c r="B139" s="19" t="s">
        <v>272</v>
      </c>
      <c r="C139" s="20" t="s">
        <v>581</v>
      </c>
      <c r="D139" s="19" t="s">
        <v>33</v>
      </c>
      <c r="E139" s="19" t="s">
        <v>220</v>
      </c>
      <c r="F139" s="19" t="s">
        <v>79</v>
      </c>
      <c r="G139" s="277"/>
      <c r="H139" s="175"/>
      <c r="I139" s="175"/>
      <c r="J139" s="175"/>
      <c r="K139" s="175"/>
      <c r="L139" s="175"/>
      <c r="M139" s="175"/>
      <c r="N139" s="175"/>
      <c r="O139" s="176"/>
      <c r="P139" s="175"/>
      <c r="Q139" s="177"/>
      <c r="R139" s="17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ht="15" customHeight="1" x14ac:dyDescent="0.3">
      <c r="A140" s="63" t="s">
        <v>54</v>
      </c>
      <c r="B140" s="63" t="s">
        <v>299</v>
      </c>
      <c r="C140" s="64" t="s">
        <v>602</v>
      </c>
      <c r="D140" s="63" t="s">
        <v>56</v>
      </c>
      <c r="E140" s="63" t="s">
        <v>603</v>
      </c>
      <c r="F140" s="63" t="s">
        <v>79</v>
      </c>
      <c r="G140" s="278"/>
      <c r="H140" s="178"/>
      <c r="I140" s="178"/>
      <c r="J140" s="178"/>
      <c r="K140" s="178"/>
      <c r="L140" s="178"/>
      <c r="M140" s="178"/>
      <c r="N140" s="178"/>
      <c r="O140" s="179"/>
      <c r="P140" s="178"/>
      <c r="Q140" s="180"/>
      <c r="R140" s="180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ht="14.4" customHeight="1" x14ac:dyDescent="0.3">
      <c r="A141" s="279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1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</sheetData>
  <mergeCells count="44">
    <mergeCell ref="O1:Q1"/>
    <mergeCell ref="H97:R97"/>
    <mergeCell ref="H43:R43"/>
    <mergeCell ref="A80:R80"/>
    <mergeCell ref="G24:G41"/>
    <mergeCell ref="H4:R4"/>
    <mergeCell ref="A1:C1"/>
    <mergeCell ref="G1:H1"/>
    <mergeCell ref="A2:F2"/>
    <mergeCell ref="A3:R3"/>
    <mergeCell ref="A21:R21"/>
    <mergeCell ref="A85:F85"/>
    <mergeCell ref="A42:R42"/>
    <mergeCell ref="A22:F22"/>
    <mergeCell ref="G2:J2"/>
    <mergeCell ref="A4:F4"/>
    <mergeCell ref="G6:G20"/>
    <mergeCell ref="H22:R22"/>
    <mergeCell ref="G45:G59"/>
    <mergeCell ref="A49:F49"/>
    <mergeCell ref="G63:G79"/>
    <mergeCell ref="J1:M1"/>
    <mergeCell ref="A43:F43"/>
    <mergeCell ref="A81:F81"/>
    <mergeCell ref="A96:R96"/>
    <mergeCell ref="G124:G140"/>
    <mergeCell ref="A10:F10"/>
    <mergeCell ref="H61:R61"/>
    <mergeCell ref="G83:G95"/>
    <mergeCell ref="A121:R121"/>
    <mergeCell ref="A31:F31"/>
    <mergeCell ref="K2:R2"/>
    <mergeCell ref="H81:R81"/>
    <mergeCell ref="G99:G120"/>
    <mergeCell ref="A130:F130"/>
    <mergeCell ref="D1:F1"/>
    <mergeCell ref="H122:R122"/>
    <mergeCell ref="A110:F110"/>
    <mergeCell ref="A60:R60"/>
    <mergeCell ref="A61:F61"/>
    <mergeCell ref="A69:F69"/>
    <mergeCell ref="A141:R141"/>
    <mergeCell ref="A97:F97"/>
    <mergeCell ref="A122:F1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576</v>
      </c>
      <c r="D2" s="98">
        <v>0.14930555555555561</v>
      </c>
      <c r="E2" s="97" t="s">
        <v>571</v>
      </c>
      <c r="F2" s="97" t="s">
        <v>158</v>
      </c>
      <c r="G2" s="99">
        <v>0.99439999999999995</v>
      </c>
      <c r="H2" s="100">
        <v>180</v>
      </c>
      <c r="I2" s="100">
        <v>179</v>
      </c>
      <c r="J2" s="100">
        <v>134</v>
      </c>
      <c r="K2" s="96">
        <v>45980</v>
      </c>
      <c r="L2" s="100">
        <v>0</v>
      </c>
      <c r="M2" s="100">
        <v>0</v>
      </c>
      <c r="N2" s="100">
        <v>7</v>
      </c>
      <c r="O2" s="97" t="s">
        <v>75</v>
      </c>
      <c r="P2" s="101"/>
      <c r="Q2" s="101"/>
      <c r="R2" s="101"/>
      <c r="S2" s="101"/>
      <c r="T2" s="101"/>
      <c r="U2" s="101"/>
      <c r="V2" s="101"/>
      <c r="W2" s="101"/>
      <c r="X2" s="101"/>
      <c r="Y2" s="100" t="s">
        <v>258</v>
      </c>
      <c r="Z2" s="101"/>
      <c r="AA2" s="101"/>
      <c r="AB2" s="100" t="s">
        <v>644</v>
      </c>
      <c r="AC2" s="100" t="s">
        <v>438</v>
      </c>
      <c r="AD2" s="100" t="s">
        <v>496</v>
      </c>
      <c r="AE2" s="100" t="s">
        <v>161</v>
      </c>
      <c r="AF2" s="101"/>
      <c r="AG2" s="101"/>
      <c r="AH2" s="100" t="s">
        <v>645</v>
      </c>
      <c r="AI2" s="101"/>
    </row>
    <row r="3" spans="1:35" ht="18" x14ac:dyDescent="0.3">
      <c r="A3" s="102" t="s">
        <v>157</v>
      </c>
      <c r="B3" s="103">
        <v>45985</v>
      </c>
      <c r="C3" s="104" t="s">
        <v>578</v>
      </c>
      <c r="D3" s="105">
        <v>0.45833333333333331</v>
      </c>
      <c r="E3" s="104" t="s">
        <v>571</v>
      </c>
      <c r="F3" s="104" t="s">
        <v>158</v>
      </c>
      <c r="G3" s="106">
        <v>1</v>
      </c>
      <c r="H3" s="107">
        <v>180</v>
      </c>
      <c r="I3" s="107">
        <v>180</v>
      </c>
      <c r="J3" s="107">
        <v>131</v>
      </c>
      <c r="K3" s="103">
        <v>45983</v>
      </c>
      <c r="L3" s="107">
        <v>0</v>
      </c>
      <c r="M3" s="107">
        <v>1</v>
      </c>
      <c r="N3" s="107">
        <v>12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8"/>
      <c r="Y3" s="107" t="s">
        <v>646</v>
      </c>
      <c r="Z3" s="107" t="s">
        <v>468</v>
      </c>
      <c r="AA3" s="107" t="s">
        <v>568</v>
      </c>
      <c r="AB3" s="107" t="s">
        <v>513</v>
      </c>
      <c r="AC3" s="107" t="s">
        <v>647</v>
      </c>
      <c r="AD3" s="107" t="s">
        <v>441</v>
      </c>
      <c r="AE3" s="107" t="s">
        <v>174</v>
      </c>
      <c r="AF3" s="108"/>
      <c r="AG3" s="108"/>
      <c r="AH3" s="107" t="s">
        <v>648</v>
      </c>
      <c r="AI3" s="108"/>
    </row>
    <row r="4" spans="1:35" ht="18" x14ac:dyDescent="0.3">
      <c r="A4" s="95" t="s">
        <v>164</v>
      </c>
      <c r="B4" s="96">
        <v>45986</v>
      </c>
      <c r="C4" s="97" t="s">
        <v>578</v>
      </c>
      <c r="D4" s="98">
        <v>0.52083333333333337</v>
      </c>
      <c r="E4" s="97" t="s">
        <v>571</v>
      </c>
      <c r="F4" s="97" t="s">
        <v>158</v>
      </c>
      <c r="G4" s="99">
        <v>1</v>
      </c>
      <c r="H4" s="100">
        <v>180</v>
      </c>
      <c r="I4" s="100">
        <v>180</v>
      </c>
      <c r="J4" s="100">
        <v>161</v>
      </c>
      <c r="K4" s="96">
        <v>45961</v>
      </c>
      <c r="L4" s="100">
        <v>0</v>
      </c>
      <c r="M4" s="100">
        <v>0</v>
      </c>
      <c r="N4" s="100">
        <v>0</v>
      </c>
      <c r="O4" s="97" t="s">
        <v>75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0" t="s">
        <v>508</v>
      </c>
      <c r="AC4" s="100" t="s">
        <v>647</v>
      </c>
      <c r="AD4" s="100" t="s">
        <v>505</v>
      </c>
      <c r="AE4" s="100" t="s">
        <v>459</v>
      </c>
      <c r="AF4" s="101"/>
      <c r="AG4" s="101"/>
      <c r="AH4" s="100" t="s">
        <v>162</v>
      </c>
      <c r="AI4" s="101"/>
    </row>
    <row r="5" spans="1:35" ht="18" x14ac:dyDescent="0.3">
      <c r="A5" s="102" t="s">
        <v>232</v>
      </c>
      <c r="B5" s="103">
        <v>45987</v>
      </c>
      <c r="C5" s="104" t="s">
        <v>578</v>
      </c>
      <c r="D5" s="105">
        <v>0.14583333333333329</v>
      </c>
      <c r="E5" s="104" t="s">
        <v>571</v>
      </c>
      <c r="F5" s="104" t="s">
        <v>158</v>
      </c>
      <c r="G5" s="106">
        <v>0.99439999999999995</v>
      </c>
      <c r="H5" s="107">
        <v>180</v>
      </c>
      <c r="I5" s="107">
        <v>179</v>
      </c>
      <c r="J5" s="107">
        <v>130</v>
      </c>
      <c r="K5" s="103">
        <v>45983</v>
      </c>
      <c r="L5" s="107">
        <v>0</v>
      </c>
      <c r="M5" s="107">
        <v>2</v>
      </c>
      <c r="N5" s="107">
        <v>13</v>
      </c>
      <c r="O5" s="104" t="s">
        <v>75</v>
      </c>
      <c r="P5" s="108"/>
      <c r="Q5" s="108"/>
      <c r="R5" s="108"/>
      <c r="S5" s="108"/>
      <c r="T5" s="108"/>
      <c r="U5" s="107" t="s">
        <v>649</v>
      </c>
      <c r="V5" s="108"/>
      <c r="W5" s="108"/>
      <c r="X5" s="108"/>
      <c r="Y5" s="107" t="s">
        <v>486</v>
      </c>
      <c r="Z5" s="107" t="s">
        <v>249</v>
      </c>
      <c r="AA5" s="107" t="s">
        <v>260</v>
      </c>
      <c r="AB5" s="107" t="s">
        <v>650</v>
      </c>
      <c r="AC5" s="108"/>
      <c r="AD5" s="108"/>
      <c r="AE5" s="108"/>
      <c r="AF5" s="108"/>
      <c r="AG5" s="108"/>
      <c r="AH5" s="107" t="s">
        <v>439</v>
      </c>
      <c r="AI5" s="108"/>
    </row>
    <row r="6" spans="1:35" ht="18" x14ac:dyDescent="0.3">
      <c r="A6" s="95" t="s">
        <v>232</v>
      </c>
      <c r="B6" s="96">
        <v>45987</v>
      </c>
      <c r="C6" s="97" t="s">
        <v>576</v>
      </c>
      <c r="D6" s="98">
        <v>0.53125</v>
      </c>
      <c r="E6" s="97" t="s">
        <v>571</v>
      </c>
      <c r="F6" s="97" t="s">
        <v>158</v>
      </c>
      <c r="G6" s="99">
        <v>1</v>
      </c>
      <c r="H6" s="100">
        <v>180</v>
      </c>
      <c r="I6" s="100">
        <v>180</v>
      </c>
      <c r="J6" s="100">
        <v>135</v>
      </c>
      <c r="K6" s="96">
        <v>45972</v>
      </c>
      <c r="L6" s="100">
        <v>0</v>
      </c>
      <c r="M6" s="100">
        <v>0</v>
      </c>
      <c r="N6" s="100">
        <v>0</v>
      </c>
      <c r="O6" s="97" t="s">
        <v>75</v>
      </c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0" t="s">
        <v>503</v>
      </c>
      <c r="AB6" s="100" t="s">
        <v>458</v>
      </c>
      <c r="AC6" s="100" t="s">
        <v>651</v>
      </c>
      <c r="AD6" s="100" t="s">
        <v>496</v>
      </c>
      <c r="AE6" s="100" t="s">
        <v>161</v>
      </c>
      <c r="AF6" s="101"/>
      <c r="AG6" s="101"/>
      <c r="AH6" s="100" t="s">
        <v>184</v>
      </c>
      <c r="AI6" s="101"/>
    </row>
    <row r="7" spans="1:35" ht="18" x14ac:dyDescent="0.3">
      <c r="A7" s="102" t="s">
        <v>232</v>
      </c>
      <c r="B7" s="103">
        <v>45987</v>
      </c>
      <c r="C7" s="104" t="s">
        <v>611</v>
      </c>
      <c r="D7" s="105">
        <v>0.86111111111111116</v>
      </c>
      <c r="E7" s="104" t="s">
        <v>571</v>
      </c>
      <c r="F7" s="104" t="s">
        <v>158</v>
      </c>
      <c r="G7" s="106">
        <v>1</v>
      </c>
      <c r="H7" s="107">
        <v>180</v>
      </c>
      <c r="I7" s="107">
        <v>180</v>
      </c>
      <c r="J7" s="107">
        <v>166</v>
      </c>
      <c r="K7" s="103">
        <v>45971</v>
      </c>
      <c r="L7" s="107">
        <v>0</v>
      </c>
      <c r="M7" s="107">
        <v>0</v>
      </c>
      <c r="N7" s="107">
        <v>0</v>
      </c>
      <c r="O7" s="104" t="s">
        <v>75</v>
      </c>
      <c r="P7" s="108"/>
      <c r="Q7" s="108"/>
      <c r="R7" s="108"/>
      <c r="S7" s="108"/>
      <c r="T7" s="108"/>
      <c r="U7" s="108"/>
      <c r="V7" s="108"/>
      <c r="W7" s="108"/>
      <c r="X7" s="108"/>
      <c r="Y7" s="107" t="s">
        <v>258</v>
      </c>
      <c r="Z7" s="108"/>
      <c r="AA7" s="107" t="s">
        <v>243</v>
      </c>
      <c r="AB7" s="107" t="s">
        <v>458</v>
      </c>
      <c r="AC7" s="108"/>
      <c r="AD7" s="108"/>
      <c r="AE7" s="108"/>
      <c r="AF7" s="108"/>
      <c r="AG7" s="108"/>
      <c r="AH7" s="107" t="s">
        <v>237</v>
      </c>
      <c r="AI7" s="108"/>
    </row>
    <row r="8" spans="1:35" ht="18" x14ac:dyDescent="0.3">
      <c r="A8" s="95" t="s">
        <v>177</v>
      </c>
      <c r="B8" s="96">
        <v>45988</v>
      </c>
      <c r="C8" s="97" t="s">
        <v>578</v>
      </c>
      <c r="D8" s="98">
        <v>8.6805555555555566E-2</v>
      </c>
      <c r="E8" s="97" t="s">
        <v>571</v>
      </c>
      <c r="F8" s="97" t="s">
        <v>158</v>
      </c>
      <c r="G8" s="99">
        <v>0.99439999999999995</v>
      </c>
      <c r="H8" s="100">
        <v>180</v>
      </c>
      <c r="I8" s="100">
        <v>179</v>
      </c>
      <c r="J8" s="100">
        <v>126</v>
      </c>
      <c r="K8" s="96">
        <v>45980</v>
      </c>
      <c r="L8" s="100">
        <v>0</v>
      </c>
      <c r="M8" s="100">
        <v>0</v>
      </c>
      <c r="N8" s="100">
        <v>13</v>
      </c>
      <c r="O8" s="97" t="s">
        <v>75</v>
      </c>
      <c r="P8" s="101"/>
      <c r="Q8" s="101"/>
      <c r="R8" s="101"/>
      <c r="S8" s="101"/>
      <c r="T8" s="101"/>
      <c r="U8" s="101"/>
      <c r="V8" s="101"/>
      <c r="W8" s="101"/>
      <c r="X8" s="101"/>
      <c r="Y8" s="100" t="s">
        <v>652</v>
      </c>
      <c r="Z8" s="100" t="s">
        <v>567</v>
      </c>
      <c r="AA8" s="100" t="s">
        <v>229</v>
      </c>
      <c r="AB8" s="100" t="s">
        <v>508</v>
      </c>
      <c r="AC8" s="100" t="s">
        <v>268</v>
      </c>
      <c r="AD8" s="100" t="s">
        <v>505</v>
      </c>
      <c r="AE8" s="100" t="s">
        <v>459</v>
      </c>
      <c r="AF8" s="101"/>
      <c r="AG8" s="101"/>
      <c r="AH8" s="100" t="s">
        <v>653</v>
      </c>
      <c r="AI8" s="100" t="s">
        <v>654</v>
      </c>
    </row>
    <row r="9" spans="1:35" ht="18" x14ac:dyDescent="0.3">
      <c r="A9" s="102" t="s">
        <v>520</v>
      </c>
      <c r="B9" s="103">
        <v>45989</v>
      </c>
      <c r="C9" s="104" t="s">
        <v>578</v>
      </c>
      <c r="D9" s="105">
        <v>0.22916666666666671</v>
      </c>
      <c r="E9" s="104" t="s">
        <v>571</v>
      </c>
      <c r="F9" s="104" t="s">
        <v>158</v>
      </c>
      <c r="G9" s="106">
        <v>0.9889</v>
      </c>
      <c r="H9" s="107">
        <v>180</v>
      </c>
      <c r="I9" s="107">
        <v>178</v>
      </c>
      <c r="J9" s="107">
        <v>50</v>
      </c>
      <c r="K9" s="103">
        <v>45983</v>
      </c>
      <c r="L9" s="107">
        <v>0</v>
      </c>
      <c r="M9" s="107">
        <v>10</v>
      </c>
      <c r="N9" s="107">
        <v>64</v>
      </c>
      <c r="O9" s="104" t="s">
        <v>160</v>
      </c>
      <c r="P9" s="108"/>
      <c r="Q9" s="108"/>
      <c r="R9" s="108"/>
      <c r="S9" s="108"/>
      <c r="T9" s="108"/>
      <c r="U9" s="108"/>
      <c r="V9" s="108"/>
      <c r="W9" s="108"/>
      <c r="X9" s="107" t="s">
        <v>444</v>
      </c>
      <c r="Y9" s="107" t="s">
        <v>655</v>
      </c>
      <c r="Z9" s="107" t="s">
        <v>446</v>
      </c>
      <c r="AA9" s="107" t="s">
        <v>656</v>
      </c>
      <c r="AB9" s="107" t="s">
        <v>261</v>
      </c>
      <c r="AC9" s="108"/>
      <c r="AD9" s="108"/>
      <c r="AE9" s="108"/>
      <c r="AF9" s="108"/>
      <c r="AG9" s="108"/>
      <c r="AH9" s="107" t="s">
        <v>257</v>
      </c>
      <c r="AI9" s="107" t="s">
        <v>163</v>
      </c>
    </row>
    <row r="10" spans="1:35" ht="18" x14ac:dyDescent="0.3">
      <c r="A10" s="95" t="s">
        <v>180</v>
      </c>
      <c r="B10" s="96">
        <v>45990</v>
      </c>
      <c r="C10" s="97" t="s">
        <v>576</v>
      </c>
      <c r="D10" s="98">
        <v>0.27083333333333331</v>
      </c>
      <c r="E10" s="97" t="s">
        <v>571</v>
      </c>
      <c r="F10" s="97" t="s">
        <v>158</v>
      </c>
      <c r="G10" s="99">
        <v>1</v>
      </c>
      <c r="H10" s="100">
        <v>180</v>
      </c>
      <c r="I10" s="100">
        <v>180</v>
      </c>
      <c r="J10" s="100">
        <v>135</v>
      </c>
      <c r="K10" s="96">
        <v>45976</v>
      </c>
      <c r="L10" s="100">
        <v>0</v>
      </c>
      <c r="M10" s="100">
        <v>0</v>
      </c>
      <c r="N10" s="100">
        <v>0</v>
      </c>
      <c r="O10" s="97" t="s">
        <v>75</v>
      </c>
      <c r="P10" s="101"/>
      <c r="Q10" s="101"/>
      <c r="R10" s="101"/>
      <c r="S10" s="101"/>
      <c r="T10" s="101"/>
      <c r="U10" s="101"/>
      <c r="V10" s="101"/>
      <c r="W10" s="100" t="s">
        <v>345</v>
      </c>
      <c r="X10" s="101"/>
      <c r="Y10" s="100" t="s">
        <v>657</v>
      </c>
      <c r="Z10" s="100" t="s">
        <v>658</v>
      </c>
      <c r="AA10" s="100" t="s">
        <v>503</v>
      </c>
      <c r="AB10" s="100" t="s">
        <v>458</v>
      </c>
      <c r="AC10" s="101"/>
      <c r="AD10" s="101"/>
      <c r="AE10" s="101"/>
      <c r="AF10" s="101"/>
      <c r="AG10" s="101"/>
      <c r="AH10" s="100" t="s">
        <v>184</v>
      </c>
      <c r="AI10" s="101"/>
    </row>
    <row r="11" spans="1:35" ht="18" x14ac:dyDescent="0.3">
      <c r="A11" s="102" t="s">
        <v>180</v>
      </c>
      <c r="B11" s="103">
        <v>45990</v>
      </c>
      <c r="C11" s="104" t="s">
        <v>578</v>
      </c>
      <c r="D11" s="105">
        <v>0.60416666666666663</v>
      </c>
      <c r="E11" s="104" t="s">
        <v>571</v>
      </c>
      <c r="F11" s="104" t="s">
        <v>158</v>
      </c>
      <c r="G11" s="106">
        <v>0.9889</v>
      </c>
      <c r="H11" s="107">
        <v>180</v>
      </c>
      <c r="I11" s="107">
        <v>178</v>
      </c>
      <c r="J11" s="107">
        <v>95</v>
      </c>
      <c r="K11" s="103">
        <v>45983</v>
      </c>
      <c r="L11" s="107">
        <v>0</v>
      </c>
      <c r="M11" s="107">
        <v>3</v>
      </c>
      <c r="N11" s="107">
        <v>15</v>
      </c>
      <c r="O11" s="104" t="s">
        <v>125</v>
      </c>
      <c r="P11" s="108"/>
      <c r="Q11" s="108"/>
      <c r="R11" s="108"/>
      <c r="S11" s="108"/>
      <c r="T11" s="108"/>
      <c r="U11" s="107" t="s">
        <v>375</v>
      </c>
      <c r="V11" s="107" t="s">
        <v>497</v>
      </c>
      <c r="W11" s="107" t="s">
        <v>472</v>
      </c>
      <c r="X11" s="107" t="s">
        <v>444</v>
      </c>
      <c r="Y11" s="107" t="s">
        <v>482</v>
      </c>
      <c r="Z11" s="107" t="s">
        <v>483</v>
      </c>
      <c r="AA11" s="107" t="s">
        <v>503</v>
      </c>
      <c r="AB11" s="107" t="s">
        <v>458</v>
      </c>
      <c r="AC11" s="108"/>
      <c r="AD11" s="108"/>
      <c r="AE11" s="108"/>
      <c r="AF11" s="108"/>
      <c r="AG11" s="108"/>
      <c r="AH11" s="107" t="s">
        <v>463</v>
      </c>
      <c r="AI11" s="108"/>
    </row>
    <row r="12" spans="1:35" ht="18" x14ac:dyDescent="0.3">
      <c r="A12" s="95" t="s">
        <v>186</v>
      </c>
      <c r="B12" s="96">
        <v>45991</v>
      </c>
      <c r="C12" s="97" t="s">
        <v>578</v>
      </c>
      <c r="D12" s="98">
        <v>0.49652777777777768</v>
      </c>
      <c r="E12" s="97" t="s">
        <v>571</v>
      </c>
      <c r="F12" s="97" t="s">
        <v>158</v>
      </c>
      <c r="G12" s="99">
        <v>0.99439999999999995</v>
      </c>
      <c r="H12" s="100">
        <v>180</v>
      </c>
      <c r="I12" s="100">
        <v>179</v>
      </c>
      <c r="J12" s="100">
        <v>135</v>
      </c>
      <c r="K12" s="96">
        <v>45983</v>
      </c>
      <c r="L12" s="100">
        <v>0</v>
      </c>
      <c r="M12" s="100">
        <v>1</v>
      </c>
      <c r="N12" s="100">
        <v>12</v>
      </c>
      <c r="O12" s="97" t="s">
        <v>75</v>
      </c>
      <c r="P12" s="101"/>
      <c r="Q12" s="101"/>
      <c r="R12" s="101"/>
      <c r="S12" s="101"/>
      <c r="T12" s="101"/>
      <c r="U12" s="101"/>
      <c r="V12" s="101"/>
      <c r="W12" s="101"/>
      <c r="X12" s="100" t="s">
        <v>551</v>
      </c>
      <c r="Y12" s="100" t="s">
        <v>453</v>
      </c>
      <c r="Z12" s="100" t="s">
        <v>165</v>
      </c>
      <c r="AA12" s="100" t="s">
        <v>229</v>
      </c>
      <c r="AB12" s="100" t="s">
        <v>508</v>
      </c>
      <c r="AC12" s="100" t="s">
        <v>268</v>
      </c>
      <c r="AD12" s="100" t="s">
        <v>505</v>
      </c>
      <c r="AE12" s="100" t="s">
        <v>659</v>
      </c>
      <c r="AF12" s="101"/>
      <c r="AG12" s="101"/>
      <c r="AH12" s="100" t="s">
        <v>184</v>
      </c>
      <c r="AI12" s="101"/>
    </row>
    <row r="13" spans="1:35" ht="18" x14ac:dyDescent="0.3">
      <c r="A13" s="102" t="s">
        <v>186</v>
      </c>
      <c r="B13" s="103">
        <v>45991</v>
      </c>
      <c r="C13" s="104" t="s">
        <v>576</v>
      </c>
      <c r="D13" s="105">
        <v>0.57986111111111105</v>
      </c>
      <c r="E13" s="104" t="s">
        <v>571</v>
      </c>
      <c r="F13" s="104" t="s">
        <v>158</v>
      </c>
      <c r="G13" s="106">
        <v>1</v>
      </c>
      <c r="H13" s="107">
        <v>180</v>
      </c>
      <c r="I13" s="107">
        <v>180</v>
      </c>
      <c r="J13" s="107">
        <v>135</v>
      </c>
      <c r="K13" s="103">
        <v>45982</v>
      </c>
      <c r="L13" s="107">
        <v>0</v>
      </c>
      <c r="M13" s="107">
        <v>0</v>
      </c>
      <c r="N13" s="107">
        <v>2</v>
      </c>
      <c r="O13" s="104" t="s">
        <v>75</v>
      </c>
      <c r="P13" s="108"/>
      <c r="Q13" s="108"/>
      <c r="R13" s="108"/>
      <c r="S13" s="108"/>
      <c r="T13" s="108"/>
      <c r="U13" s="108"/>
      <c r="V13" s="108"/>
      <c r="W13" s="108"/>
      <c r="X13" s="107" t="s">
        <v>660</v>
      </c>
      <c r="Y13" s="107" t="s">
        <v>486</v>
      </c>
      <c r="Z13" s="107" t="s">
        <v>259</v>
      </c>
      <c r="AA13" s="107" t="s">
        <v>484</v>
      </c>
      <c r="AB13" s="107" t="s">
        <v>650</v>
      </c>
      <c r="AC13" s="108"/>
      <c r="AD13" s="108"/>
      <c r="AE13" s="108"/>
      <c r="AF13" s="108"/>
      <c r="AG13" s="108"/>
      <c r="AH13" s="107" t="s">
        <v>184</v>
      </c>
      <c r="AI13" s="108"/>
    </row>
    <row r="14" spans="1:35" ht="18" x14ac:dyDescent="0.3">
      <c r="A14" s="109" t="s">
        <v>189</v>
      </c>
      <c r="B14" s="110"/>
      <c r="C14" s="111">
        <f>COUNTA(C2:C13)</f>
        <v>12</v>
      </c>
      <c r="D14" s="110"/>
      <c r="E14" s="110"/>
      <c r="F14" s="110"/>
      <c r="G14" s="112">
        <f>AVERAGE(G2:G13)</f>
        <v>0.9962833333333333</v>
      </c>
      <c r="H14" s="113">
        <f>SUM(H2:H13)</f>
        <v>2160</v>
      </c>
      <c r="I14" s="113">
        <f>SUM(I2:I13)</f>
        <v>2152</v>
      </c>
      <c r="J14" s="113">
        <f>SUM(J2:J13)</f>
        <v>1533</v>
      </c>
      <c r="K14" s="110"/>
      <c r="L14" s="113">
        <f>SUM(L2:L13)</f>
        <v>0</v>
      </c>
      <c r="M14" s="113">
        <f>SUM(M2:M13)</f>
        <v>17</v>
      </c>
      <c r="N14" s="113">
        <f>SUM(N2:N13)</f>
        <v>138</v>
      </c>
      <c r="O14" s="110"/>
      <c r="P14" s="113">
        <f t="shared" ref="P14:AI14" si="0">SUMPRODUCT(--IFERROR(VALUE(SUBSTITUTE(SUBSTITUTE(SUBSTITUTE(SUBSTITUTE(SUBSTITUTE(SUBSTITUTE(SUBSTITUTE(SUBSTITUTE(SUBSTITUTE(SUBSTITUTE(SUBSTITUTE(SUBSTITUTE(SUBSTITUTE(SUBSTITUTE(SUBSTITUTE(SUBSTITUTE(SUBSTITUTE(SUBSTITUTE(SUBSTITUTE(SUBSTITUTE(P2:P13,"Y",""),"B",""),"M",""),"H",""),"Q",""),"K",""),"V",""),"L",""),"G",""),"S",""),"W",""),"T",""),"X",""),"U",""),"O",""),"I",""),"E",""),"A",""),"P",""),"N","")),0))</f>
        <v>0</v>
      </c>
      <c r="Q14" s="113">
        <f t="shared" si="0"/>
        <v>0</v>
      </c>
      <c r="R14" s="113">
        <f t="shared" si="0"/>
        <v>0</v>
      </c>
      <c r="S14" s="113">
        <f t="shared" si="0"/>
        <v>0</v>
      </c>
      <c r="T14" s="113">
        <f t="shared" si="0"/>
        <v>0</v>
      </c>
      <c r="U14" s="113">
        <f t="shared" si="0"/>
        <v>0</v>
      </c>
      <c r="V14" s="113">
        <f t="shared" si="0"/>
        <v>0</v>
      </c>
      <c r="W14" s="113">
        <f t="shared" si="0"/>
        <v>0</v>
      </c>
      <c r="X14" s="113">
        <f t="shared" si="0"/>
        <v>0</v>
      </c>
      <c r="Y14" s="113">
        <f t="shared" si="0"/>
        <v>0</v>
      </c>
      <c r="Z14" s="113">
        <f t="shared" si="0"/>
        <v>0</v>
      </c>
      <c r="AA14" s="113">
        <f t="shared" si="0"/>
        <v>0</v>
      </c>
      <c r="AB14" s="113">
        <f t="shared" si="0"/>
        <v>0</v>
      </c>
      <c r="AC14" s="113">
        <f t="shared" si="0"/>
        <v>0</v>
      </c>
      <c r="AD14" s="113">
        <f t="shared" si="0"/>
        <v>0</v>
      </c>
      <c r="AE14" s="113">
        <f t="shared" si="0"/>
        <v>0</v>
      </c>
      <c r="AF14" s="113">
        <f t="shared" si="0"/>
        <v>0</v>
      </c>
      <c r="AG14" s="113">
        <f t="shared" si="0"/>
        <v>0</v>
      </c>
      <c r="AH14" s="113">
        <f t="shared" si="0"/>
        <v>0</v>
      </c>
      <c r="AI14" s="113">
        <f t="shared" si="0"/>
        <v>0</v>
      </c>
    </row>
  </sheetData>
  <autoFilter ref="A1:AI13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8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35</v>
      </c>
      <c r="C2" s="117" t="s">
        <v>572</v>
      </c>
      <c r="D2" s="116" t="s">
        <v>571</v>
      </c>
      <c r="E2" s="118">
        <v>1.819444444444444</v>
      </c>
      <c r="F2" s="116" t="s">
        <v>42</v>
      </c>
      <c r="G2" s="119">
        <v>7</v>
      </c>
      <c r="H2" s="120" t="s">
        <v>573</v>
      </c>
    </row>
    <row r="3" spans="1:8" ht="18" x14ac:dyDescent="0.3">
      <c r="A3" s="126">
        <v>45985</v>
      </c>
      <c r="B3" s="116" t="s">
        <v>63</v>
      </c>
      <c r="C3" s="117" t="s">
        <v>574</v>
      </c>
      <c r="D3" s="116" t="s">
        <v>571</v>
      </c>
      <c r="E3" s="118">
        <v>1.4236111111111109</v>
      </c>
      <c r="F3" s="116" t="s">
        <v>48</v>
      </c>
      <c r="G3" s="119">
        <v>2</v>
      </c>
      <c r="H3" s="116" t="s">
        <v>575</v>
      </c>
    </row>
    <row r="4" spans="1:8" ht="18" x14ac:dyDescent="0.3">
      <c r="A4" s="136">
        <v>45985</v>
      </c>
      <c r="B4" s="137" t="s">
        <v>71</v>
      </c>
      <c r="C4" s="138" t="s">
        <v>576</v>
      </c>
      <c r="D4" s="137" t="s">
        <v>571</v>
      </c>
      <c r="E4" s="139">
        <v>1.149305555555556</v>
      </c>
      <c r="F4" s="137" t="s">
        <v>73</v>
      </c>
      <c r="G4" s="137"/>
      <c r="H4" s="137" t="s">
        <v>74</v>
      </c>
    </row>
    <row r="5" spans="1:8" ht="18" x14ac:dyDescent="0.3">
      <c r="A5" s="141">
        <v>45985</v>
      </c>
      <c r="B5" s="142" t="s">
        <v>71</v>
      </c>
      <c r="C5" s="143" t="s">
        <v>578</v>
      </c>
      <c r="D5" s="142" t="s">
        <v>571</v>
      </c>
      <c r="E5" s="144">
        <v>1.458333333333333</v>
      </c>
      <c r="F5" s="142" t="s">
        <v>73</v>
      </c>
      <c r="G5" s="142"/>
      <c r="H5" s="142" t="s">
        <v>74</v>
      </c>
    </row>
    <row r="6" spans="1:8" ht="15.6" x14ac:dyDescent="0.3">
      <c r="A6" s="185"/>
      <c r="B6" s="185"/>
      <c r="C6" s="185"/>
      <c r="D6" s="185"/>
      <c r="E6" s="186" t="s">
        <v>661</v>
      </c>
      <c r="F6" s="185"/>
      <c r="G6" s="185"/>
      <c r="H6" s="3"/>
    </row>
    <row r="7" spans="1:8" ht="18" x14ac:dyDescent="0.3">
      <c r="A7" s="126">
        <v>45985</v>
      </c>
      <c r="B7" s="116" t="s">
        <v>25</v>
      </c>
      <c r="C7" s="117" t="s">
        <v>272</v>
      </c>
      <c r="D7" s="116" t="s">
        <v>271</v>
      </c>
      <c r="E7" s="118">
        <v>1.989583333333333</v>
      </c>
      <c r="F7" s="116" t="s">
        <v>27</v>
      </c>
      <c r="G7" s="119">
        <v>1</v>
      </c>
      <c r="H7" s="116" t="s">
        <v>123</v>
      </c>
    </row>
    <row r="8" spans="1:8" ht="18" x14ac:dyDescent="0.3">
      <c r="A8" s="127">
        <v>45985</v>
      </c>
      <c r="B8" s="128" t="s">
        <v>25</v>
      </c>
      <c r="C8" s="129" t="s">
        <v>273</v>
      </c>
      <c r="D8" s="128" t="s">
        <v>271</v>
      </c>
      <c r="E8" s="130">
        <v>1.489583333333333</v>
      </c>
      <c r="F8" s="128" t="s">
        <v>27</v>
      </c>
      <c r="G8" s="131">
        <v>3</v>
      </c>
      <c r="H8" s="128" t="s">
        <v>275</v>
      </c>
    </row>
    <row r="9" spans="1:8" ht="18" x14ac:dyDescent="0.3">
      <c r="A9" s="127">
        <v>45985</v>
      </c>
      <c r="B9" s="128" t="s">
        <v>25</v>
      </c>
      <c r="C9" s="129" t="s">
        <v>277</v>
      </c>
      <c r="D9" s="128" t="s">
        <v>271</v>
      </c>
      <c r="E9" s="130">
        <v>1.8888888888888891</v>
      </c>
      <c r="F9" s="128" t="s">
        <v>27</v>
      </c>
      <c r="G9" s="131">
        <v>1</v>
      </c>
      <c r="H9" s="128" t="s">
        <v>275</v>
      </c>
    </row>
    <row r="10" spans="1:8" ht="18" x14ac:dyDescent="0.3">
      <c r="A10" s="126">
        <v>45985</v>
      </c>
      <c r="B10" s="116" t="s">
        <v>280</v>
      </c>
      <c r="C10" s="117" t="s">
        <v>281</v>
      </c>
      <c r="D10" s="116" t="s">
        <v>271</v>
      </c>
      <c r="E10" s="118">
        <v>1.0138888888888891</v>
      </c>
      <c r="F10" s="116" t="s">
        <v>282</v>
      </c>
      <c r="G10" s="119">
        <v>3</v>
      </c>
      <c r="H10" s="116" t="s">
        <v>283</v>
      </c>
    </row>
    <row r="11" spans="1:8" ht="18" x14ac:dyDescent="0.3">
      <c r="A11" s="126">
        <v>45985</v>
      </c>
      <c r="B11" s="116" t="s">
        <v>285</v>
      </c>
      <c r="C11" s="117" t="s">
        <v>286</v>
      </c>
      <c r="D11" s="116" t="s">
        <v>271</v>
      </c>
      <c r="E11" s="118">
        <v>1.493055555555556</v>
      </c>
      <c r="F11" s="116" t="s">
        <v>81</v>
      </c>
      <c r="G11" s="119">
        <v>1</v>
      </c>
      <c r="H11" s="116" t="s">
        <v>287</v>
      </c>
    </row>
    <row r="12" spans="1:8" ht="18" x14ac:dyDescent="0.3">
      <c r="A12" s="127">
        <v>45985</v>
      </c>
      <c r="B12" s="128" t="s">
        <v>285</v>
      </c>
      <c r="C12" s="129" t="s">
        <v>288</v>
      </c>
      <c r="D12" s="128" t="s">
        <v>271</v>
      </c>
      <c r="E12" s="130">
        <v>1.135416666666667</v>
      </c>
      <c r="F12" s="128" t="s">
        <v>81</v>
      </c>
      <c r="G12" s="131">
        <v>5</v>
      </c>
      <c r="H12" s="128" t="s">
        <v>287</v>
      </c>
    </row>
    <row r="13" spans="1:8" ht="18" x14ac:dyDescent="0.3">
      <c r="A13" s="127">
        <v>45985</v>
      </c>
      <c r="B13" s="128" t="s">
        <v>285</v>
      </c>
      <c r="C13" s="129" t="s">
        <v>290</v>
      </c>
      <c r="D13" s="128" t="s">
        <v>271</v>
      </c>
      <c r="E13" s="130">
        <v>1.868055555555556</v>
      </c>
      <c r="F13" s="128" t="s">
        <v>81</v>
      </c>
      <c r="G13" s="131">
        <v>1</v>
      </c>
      <c r="H13" s="128" t="s">
        <v>287</v>
      </c>
    </row>
    <row r="14" spans="1:8" ht="18" x14ac:dyDescent="0.3">
      <c r="A14" s="126">
        <v>45985</v>
      </c>
      <c r="B14" s="116" t="s">
        <v>54</v>
      </c>
      <c r="C14" s="117" t="s">
        <v>291</v>
      </c>
      <c r="D14" s="116" t="s">
        <v>271</v>
      </c>
      <c r="E14" s="118">
        <v>1.993055555555556</v>
      </c>
      <c r="F14" s="116" t="s">
        <v>292</v>
      </c>
      <c r="G14" s="119">
        <v>9</v>
      </c>
      <c r="H14" s="116" t="s">
        <v>293</v>
      </c>
    </row>
    <row r="15" spans="1:8" ht="18" x14ac:dyDescent="0.3">
      <c r="A15" s="121">
        <v>45985</v>
      </c>
      <c r="B15" s="122" t="s">
        <v>54</v>
      </c>
      <c r="C15" s="123" t="s">
        <v>291</v>
      </c>
      <c r="D15" s="122" t="s">
        <v>271</v>
      </c>
      <c r="E15" s="124">
        <v>1.993055555555556</v>
      </c>
      <c r="F15" s="122" t="s">
        <v>56</v>
      </c>
      <c r="G15" s="125">
        <v>9</v>
      </c>
      <c r="H15" s="122" t="s">
        <v>293</v>
      </c>
    </row>
    <row r="16" spans="1:8" ht="18" x14ac:dyDescent="0.3">
      <c r="A16" s="150">
        <v>45985</v>
      </c>
      <c r="B16" s="151" t="s">
        <v>54</v>
      </c>
      <c r="C16" s="152" t="s">
        <v>294</v>
      </c>
      <c r="D16" s="151" t="s">
        <v>271</v>
      </c>
      <c r="E16" s="153">
        <v>1.836805555555556</v>
      </c>
      <c r="F16" s="151" t="s">
        <v>56</v>
      </c>
      <c r="G16" s="154">
        <v>5</v>
      </c>
      <c r="H16" s="151" t="s">
        <v>293</v>
      </c>
    </row>
    <row r="17" spans="1:8" ht="18" x14ac:dyDescent="0.3">
      <c r="A17" s="115">
        <v>45986</v>
      </c>
      <c r="B17" s="116" t="s">
        <v>25</v>
      </c>
      <c r="C17" s="117" t="s">
        <v>590</v>
      </c>
      <c r="D17" s="116" t="s">
        <v>571</v>
      </c>
      <c r="E17" s="118">
        <v>1.3611111111111109</v>
      </c>
      <c r="F17" s="116" t="s">
        <v>591</v>
      </c>
      <c r="G17" s="119">
        <v>2</v>
      </c>
      <c r="H17" s="120" t="s">
        <v>98</v>
      </c>
    </row>
    <row r="18" spans="1:8" ht="18" x14ac:dyDescent="0.3">
      <c r="A18" s="121">
        <v>45986</v>
      </c>
      <c r="B18" s="122" t="s">
        <v>25</v>
      </c>
      <c r="C18" s="123" t="s">
        <v>590</v>
      </c>
      <c r="D18" s="122" t="s">
        <v>571</v>
      </c>
      <c r="E18" s="124">
        <v>1.3611111111111109</v>
      </c>
      <c r="F18" s="122" t="s">
        <v>592</v>
      </c>
      <c r="G18" s="125">
        <v>2</v>
      </c>
      <c r="H18" s="122" t="s">
        <v>593</v>
      </c>
    </row>
    <row r="19" spans="1:8" ht="18" x14ac:dyDescent="0.3">
      <c r="A19" s="121">
        <v>45986</v>
      </c>
      <c r="B19" s="122" t="s">
        <v>25</v>
      </c>
      <c r="C19" s="123" t="s">
        <v>590</v>
      </c>
      <c r="D19" s="122" t="s">
        <v>571</v>
      </c>
      <c r="E19" s="124">
        <v>1.3611111111111109</v>
      </c>
      <c r="F19" s="122" t="s">
        <v>594</v>
      </c>
      <c r="G19" s="125">
        <v>2</v>
      </c>
      <c r="H19" s="122" t="s">
        <v>595</v>
      </c>
    </row>
    <row r="20" spans="1:8" ht="18" x14ac:dyDescent="0.3">
      <c r="A20" s="121">
        <v>45986</v>
      </c>
      <c r="B20" s="122" t="s">
        <v>25</v>
      </c>
      <c r="C20" s="123" t="s">
        <v>590</v>
      </c>
      <c r="D20" s="122" t="s">
        <v>571</v>
      </c>
      <c r="E20" s="124">
        <v>1.3611111111111109</v>
      </c>
      <c r="F20" s="122" t="s">
        <v>596</v>
      </c>
      <c r="G20" s="125">
        <v>2</v>
      </c>
      <c r="H20" s="122" t="s">
        <v>300</v>
      </c>
    </row>
    <row r="21" spans="1:8" ht="18" x14ac:dyDescent="0.3">
      <c r="A21" s="126">
        <v>45986</v>
      </c>
      <c r="B21" s="116" t="s">
        <v>35</v>
      </c>
      <c r="C21" s="117" t="s">
        <v>572</v>
      </c>
      <c r="D21" s="116" t="s">
        <v>571</v>
      </c>
      <c r="E21" s="118">
        <v>1.819444444444444</v>
      </c>
      <c r="F21" s="116" t="s">
        <v>42</v>
      </c>
      <c r="G21" s="119">
        <v>6</v>
      </c>
      <c r="H21" s="116" t="s">
        <v>573</v>
      </c>
    </row>
    <row r="22" spans="1:8" ht="18" x14ac:dyDescent="0.3">
      <c r="A22" s="127">
        <v>45986</v>
      </c>
      <c r="B22" s="128" t="s">
        <v>35</v>
      </c>
      <c r="C22" s="129" t="s">
        <v>597</v>
      </c>
      <c r="D22" s="128" t="s">
        <v>571</v>
      </c>
      <c r="E22" s="130">
        <v>1.4513888888888891</v>
      </c>
      <c r="F22" s="128" t="s">
        <v>42</v>
      </c>
      <c r="G22" s="131">
        <v>1</v>
      </c>
      <c r="H22" s="128" t="s">
        <v>598</v>
      </c>
    </row>
    <row r="23" spans="1:8" ht="18" x14ac:dyDescent="0.3">
      <c r="A23" s="136">
        <v>45986</v>
      </c>
      <c r="B23" s="137" t="s">
        <v>71</v>
      </c>
      <c r="C23" s="138" t="s">
        <v>578</v>
      </c>
      <c r="D23" s="137" t="s">
        <v>571</v>
      </c>
      <c r="E23" s="139">
        <v>1.520833333333333</v>
      </c>
      <c r="F23" s="137" t="s">
        <v>73</v>
      </c>
      <c r="G23" s="137"/>
      <c r="H23" s="137" t="s">
        <v>74</v>
      </c>
    </row>
    <row r="24" spans="1:8" ht="15.6" x14ac:dyDescent="0.3">
      <c r="A24" s="185"/>
      <c r="B24" s="185"/>
      <c r="C24" s="185"/>
      <c r="D24" s="185"/>
      <c r="E24" s="186" t="s">
        <v>661</v>
      </c>
      <c r="F24" s="185"/>
      <c r="G24" s="185"/>
      <c r="H24" s="3"/>
    </row>
    <row r="25" spans="1:8" ht="18" x14ac:dyDescent="0.3">
      <c r="A25" s="126">
        <v>45986</v>
      </c>
      <c r="B25" s="116" t="s">
        <v>25</v>
      </c>
      <c r="C25" s="117" t="s">
        <v>278</v>
      </c>
      <c r="D25" s="116" t="s">
        <v>271</v>
      </c>
      <c r="E25" s="118">
        <v>1.399305555555556</v>
      </c>
      <c r="F25" s="116" t="s">
        <v>27</v>
      </c>
      <c r="G25" s="119">
        <v>1</v>
      </c>
      <c r="H25" s="116" t="s">
        <v>275</v>
      </c>
    </row>
    <row r="26" spans="1:8" ht="18" x14ac:dyDescent="0.3">
      <c r="A26" s="127">
        <v>45986</v>
      </c>
      <c r="B26" s="128" t="s">
        <v>25</v>
      </c>
      <c r="C26" s="129" t="s">
        <v>273</v>
      </c>
      <c r="D26" s="128" t="s">
        <v>271</v>
      </c>
      <c r="E26" s="130">
        <v>1.489583333333333</v>
      </c>
      <c r="F26" s="128" t="s">
        <v>27</v>
      </c>
      <c r="G26" s="131">
        <v>2</v>
      </c>
      <c r="H26" s="128" t="s">
        <v>293</v>
      </c>
    </row>
    <row r="27" spans="1:8" ht="18" x14ac:dyDescent="0.3">
      <c r="A27" s="126">
        <v>45986</v>
      </c>
      <c r="B27" s="116" t="s">
        <v>280</v>
      </c>
      <c r="C27" s="117" t="s">
        <v>281</v>
      </c>
      <c r="D27" s="116" t="s">
        <v>271</v>
      </c>
      <c r="E27" s="118">
        <v>1.055555555555556</v>
      </c>
      <c r="F27" s="116" t="s">
        <v>282</v>
      </c>
      <c r="G27" s="119">
        <v>2</v>
      </c>
      <c r="H27" s="116" t="s">
        <v>337</v>
      </c>
    </row>
    <row r="28" spans="1:8" ht="18" x14ac:dyDescent="0.3">
      <c r="A28" s="126">
        <v>45986</v>
      </c>
      <c r="B28" s="116" t="s">
        <v>54</v>
      </c>
      <c r="C28" s="117" t="s">
        <v>299</v>
      </c>
      <c r="D28" s="116" t="s">
        <v>271</v>
      </c>
      <c r="E28" s="118">
        <v>1.3472222222222221</v>
      </c>
      <c r="F28" s="116" t="s">
        <v>56</v>
      </c>
      <c r="G28" s="119">
        <v>1</v>
      </c>
      <c r="H28" s="116" t="s">
        <v>293</v>
      </c>
    </row>
    <row r="29" spans="1:8" ht="18" x14ac:dyDescent="0.3">
      <c r="A29" s="127">
        <v>45986</v>
      </c>
      <c r="B29" s="128" t="s">
        <v>54</v>
      </c>
      <c r="C29" s="129" t="s">
        <v>291</v>
      </c>
      <c r="D29" s="128" t="s">
        <v>271</v>
      </c>
      <c r="E29" s="130">
        <v>1.993055555555556</v>
      </c>
      <c r="F29" s="128" t="s">
        <v>56</v>
      </c>
      <c r="G29" s="131">
        <v>8</v>
      </c>
      <c r="H29" s="128" t="s">
        <v>293</v>
      </c>
    </row>
    <row r="30" spans="1:8" ht="18" x14ac:dyDescent="0.3">
      <c r="A30" s="127">
        <v>45986</v>
      </c>
      <c r="B30" s="128" t="s">
        <v>54</v>
      </c>
      <c r="C30" s="129" t="s">
        <v>295</v>
      </c>
      <c r="D30" s="128" t="s">
        <v>271</v>
      </c>
      <c r="E30" s="130">
        <v>1.944444444444444</v>
      </c>
      <c r="F30" s="128" t="s">
        <v>56</v>
      </c>
      <c r="G30" s="131">
        <v>5</v>
      </c>
      <c r="H30" s="128" t="s">
        <v>293</v>
      </c>
    </row>
    <row r="31" spans="1:8" ht="18" x14ac:dyDescent="0.3">
      <c r="A31" s="127">
        <v>45986</v>
      </c>
      <c r="B31" s="128" t="s">
        <v>54</v>
      </c>
      <c r="C31" s="129" t="s">
        <v>296</v>
      </c>
      <c r="D31" s="128" t="s">
        <v>271</v>
      </c>
      <c r="E31" s="130">
        <v>1.4861111111111109</v>
      </c>
      <c r="F31" s="128" t="s">
        <v>56</v>
      </c>
      <c r="G31" s="131">
        <v>7</v>
      </c>
      <c r="H31" s="128" t="s">
        <v>293</v>
      </c>
    </row>
    <row r="32" spans="1:8" ht="18" x14ac:dyDescent="0.3">
      <c r="A32" s="127">
        <v>45986</v>
      </c>
      <c r="B32" s="128" t="s">
        <v>54</v>
      </c>
      <c r="C32" s="129" t="s">
        <v>297</v>
      </c>
      <c r="D32" s="128" t="s">
        <v>271</v>
      </c>
      <c r="E32" s="130">
        <v>1.3923611111111109</v>
      </c>
      <c r="F32" s="128" t="s">
        <v>56</v>
      </c>
      <c r="G32" s="131">
        <v>7</v>
      </c>
      <c r="H32" s="128" t="s">
        <v>293</v>
      </c>
    </row>
    <row r="33" spans="1:8" ht="18" x14ac:dyDescent="0.3">
      <c r="A33" s="127">
        <v>45986</v>
      </c>
      <c r="B33" s="128" t="s">
        <v>54</v>
      </c>
      <c r="C33" s="129" t="s">
        <v>298</v>
      </c>
      <c r="D33" s="128" t="s">
        <v>271</v>
      </c>
      <c r="E33" s="130">
        <v>1.8888888888888891</v>
      </c>
      <c r="F33" s="128" t="s">
        <v>56</v>
      </c>
      <c r="G33" s="131">
        <v>2</v>
      </c>
      <c r="H33" s="128" t="s">
        <v>293</v>
      </c>
    </row>
    <row r="34" spans="1:8" ht="18" x14ac:dyDescent="0.3">
      <c r="A34" s="132">
        <v>45986</v>
      </c>
      <c r="B34" s="133" t="s">
        <v>71</v>
      </c>
      <c r="C34" s="134" t="s">
        <v>340</v>
      </c>
      <c r="D34" s="133" t="s">
        <v>271</v>
      </c>
      <c r="E34" s="135">
        <v>1.052083333333333</v>
      </c>
      <c r="F34" s="133" t="s">
        <v>81</v>
      </c>
      <c r="G34" s="237">
        <v>1</v>
      </c>
      <c r="H34" s="133" t="s">
        <v>341</v>
      </c>
    </row>
    <row r="35" spans="1:8" ht="18" x14ac:dyDescent="0.3">
      <c r="A35" s="115">
        <v>45987</v>
      </c>
      <c r="B35" s="116" t="s">
        <v>35</v>
      </c>
      <c r="C35" s="117" t="s">
        <v>572</v>
      </c>
      <c r="D35" s="116" t="s">
        <v>571</v>
      </c>
      <c r="E35" s="118">
        <v>1.819444444444444</v>
      </c>
      <c r="F35" s="116" t="s">
        <v>42</v>
      </c>
      <c r="G35" s="119">
        <v>1</v>
      </c>
      <c r="H35" s="120" t="s">
        <v>573</v>
      </c>
    </row>
    <row r="36" spans="1:8" ht="18" x14ac:dyDescent="0.3">
      <c r="A36" s="136">
        <v>45987</v>
      </c>
      <c r="B36" s="137" t="s">
        <v>71</v>
      </c>
      <c r="C36" s="138" t="s">
        <v>578</v>
      </c>
      <c r="D36" s="137" t="s">
        <v>571</v>
      </c>
      <c r="E36" s="139">
        <v>1.145833333333333</v>
      </c>
      <c r="F36" s="137" t="s">
        <v>73</v>
      </c>
      <c r="G36" s="137"/>
      <c r="H36" s="137" t="s">
        <v>74</v>
      </c>
    </row>
    <row r="37" spans="1:8" ht="18" x14ac:dyDescent="0.3">
      <c r="A37" s="141">
        <v>45987</v>
      </c>
      <c r="B37" s="142" t="s">
        <v>71</v>
      </c>
      <c r="C37" s="143" t="s">
        <v>576</v>
      </c>
      <c r="D37" s="142" t="s">
        <v>571</v>
      </c>
      <c r="E37" s="144">
        <v>1.53125</v>
      </c>
      <c r="F37" s="142" t="s">
        <v>73</v>
      </c>
      <c r="G37" s="142"/>
      <c r="H37" s="142" t="s">
        <v>74</v>
      </c>
    </row>
    <row r="38" spans="1:8" ht="18" x14ac:dyDescent="0.3">
      <c r="A38" s="141">
        <v>45987</v>
      </c>
      <c r="B38" s="142" t="s">
        <v>71</v>
      </c>
      <c r="C38" s="143" t="s">
        <v>611</v>
      </c>
      <c r="D38" s="142" t="s">
        <v>571</v>
      </c>
      <c r="E38" s="144">
        <v>1.8611111111111109</v>
      </c>
      <c r="F38" s="142" t="s">
        <v>73</v>
      </c>
      <c r="G38" s="142"/>
      <c r="H38" s="142" t="s">
        <v>74</v>
      </c>
    </row>
    <row r="39" spans="1:8" ht="15.6" x14ac:dyDescent="0.3">
      <c r="A39" s="185"/>
      <c r="B39" s="185"/>
      <c r="C39" s="185"/>
      <c r="D39" s="185"/>
      <c r="E39" s="186" t="s">
        <v>661</v>
      </c>
      <c r="F39" s="185"/>
      <c r="G39" s="185"/>
      <c r="H39" s="3"/>
    </row>
    <row r="40" spans="1:8" ht="18" x14ac:dyDescent="0.3">
      <c r="A40" s="126">
        <v>45987</v>
      </c>
      <c r="B40" s="116" t="s">
        <v>25</v>
      </c>
      <c r="C40" s="117" t="s">
        <v>278</v>
      </c>
      <c r="D40" s="116" t="s">
        <v>271</v>
      </c>
      <c r="E40" s="118">
        <v>1.399305555555556</v>
      </c>
      <c r="F40" s="116" t="s">
        <v>27</v>
      </c>
      <c r="G40" s="119">
        <v>4</v>
      </c>
      <c r="H40" s="116" t="s">
        <v>275</v>
      </c>
    </row>
    <row r="41" spans="1:8" ht="18" x14ac:dyDescent="0.3">
      <c r="A41" s="121">
        <v>45987</v>
      </c>
      <c r="B41" s="122" t="s">
        <v>25</v>
      </c>
      <c r="C41" s="123" t="s">
        <v>278</v>
      </c>
      <c r="D41" s="122" t="s">
        <v>271</v>
      </c>
      <c r="E41" s="124">
        <v>1.399305555555556</v>
      </c>
      <c r="F41" s="122" t="s">
        <v>33</v>
      </c>
      <c r="G41" s="125">
        <v>4</v>
      </c>
      <c r="H41" s="122" t="s">
        <v>79</v>
      </c>
    </row>
    <row r="42" spans="1:8" ht="18" x14ac:dyDescent="0.3">
      <c r="A42" s="121">
        <v>45987</v>
      </c>
      <c r="B42" s="122" t="s">
        <v>25</v>
      </c>
      <c r="C42" s="123" t="s">
        <v>278</v>
      </c>
      <c r="D42" s="122" t="s">
        <v>271</v>
      </c>
      <c r="E42" s="124">
        <v>1.399305555555556</v>
      </c>
      <c r="F42" s="122" t="s">
        <v>30</v>
      </c>
      <c r="G42" s="125">
        <v>4</v>
      </c>
      <c r="H42" s="122" t="s">
        <v>276</v>
      </c>
    </row>
    <row r="43" spans="1:8" ht="18" x14ac:dyDescent="0.3">
      <c r="A43" s="127">
        <v>45987</v>
      </c>
      <c r="B43" s="128" t="s">
        <v>25</v>
      </c>
      <c r="C43" s="129" t="s">
        <v>272</v>
      </c>
      <c r="D43" s="128" t="s">
        <v>271</v>
      </c>
      <c r="E43" s="130">
        <v>1.989583333333333</v>
      </c>
      <c r="F43" s="128" t="s">
        <v>27</v>
      </c>
      <c r="G43" s="131">
        <v>1</v>
      </c>
      <c r="H43" s="128" t="s">
        <v>275</v>
      </c>
    </row>
    <row r="44" spans="1:8" ht="18" x14ac:dyDescent="0.3">
      <c r="A44" s="121">
        <v>45987</v>
      </c>
      <c r="B44" s="122" t="s">
        <v>25</v>
      </c>
      <c r="C44" s="123" t="s">
        <v>272</v>
      </c>
      <c r="D44" s="122" t="s">
        <v>271</v>
      </c>
      <c r="E44" s="124">
        <v>1.989583333333333</v>
      </c>
      <c r="F44" s="122" t="s">
        <v>30</v>
      </c>
      <c r="G44" s="125">
        <v>1</v>
      </c>
      <c r="H44" s="122" t="s">
        <v>276</v>
      </c>
    </row>
    <row r="45" spans="1:8" ht="18" x14ac:dyDescent="0.3">
      <c r="A45" s="127">
        <v>45987</v>
      </c>
      <c r="B45" s="128" t="s">
        <v>25</v>
      </c>
      <c r="C45" s="129" t="s">
        <v>273</v>
      </c>
      <c r="D45" s="128" t="s">
        <v>271</v>
      </c>
      <c r="E45" s="130">
        <v>1.489583333333333</v>
      </c>
      <c r="F45" s="128" t="s">
        <v>27</v>
      </c>
      <c r="G45" s="131">
        <v>2</v>
      </c>
      <c r="H45" s="128" t="s">
        <v>293</v>
      </c>
    </row>
    <row r="46" spans="1:8" ht="18" x14ac:dyDescent="0.3">
      <c r="A46" s="121">
        <v>45987</v>
      </c>
      <c r="B46" s="122" t="s">
        <v>25</v>
      </c>
      <c r="C46" s="123" t="s">
        <v>273</v>
      </c>
      <c r="D46" s="122" t="s">
        <v>271</v>
      </c>
      <c r="E46" s="124">
        <v>1.489583333333333</v>
      </c>
      <c r="F46" s="122" t="s">
        <v>33</v>
      </c>
      <c r="G46" s="125">
        <v>2</v>
      </c>
      <c r="H46" s="122" t="s">
        <v>334</v>
      </c>
    </row>
    <row r="47" spans="1:8" ht="18" x14ac:dyDescent="0.3">
      <c r="A47" s="127">
        <v>45987</v>
      </c>
      <c r="B47" s="128" t="s">
        <v>25</v>
      </c>
      <c r="C47" s="129" t="s">
        <v>277</v>
      </c>
      <c r="D47" s="128" t="s">
        <v>271</v>
      </c>
      <c r="E47" s="130">
        <v>1.8888888888888891</v>
      </c>
      <c r="F47" s="128" t="s">
        <v>27</v>
      </c>
      <c r="G47" s="131">
        <v>2</v>
      </c>
      <c r="H47" s="128" t="s">
        <v>79</v>
      </c>
    </row>
    <row r="48" spans="1:8" ht="18" x14ac:dyDescent="0.3">
      <c r="A48" s="126">
        <v>45987</v>
      </c>
      <c r="B48" s="116" t="s">
        <v>54</v>
      </c>
      <c r="C48" s="117" t="s">
        <v>299</v>
      </c>
      <c r="D48" s="116" t="s">
        <v>271</v>
      </c>
      <c r="E48" s="118">
        <v>1.3472222222222221</v>
      </c>
      <c r="F48" s="116" t="s">
        <v>56</v>
      </c>
      <c r="G48" s="119">
        <v>1</v>
      </c>
      <c r="H48" s="116" t="s">
        <v>293</v>
      </c>
    </row>
    <row r="49" spans="1:8" ht="18" x14ac:dyDescent="0.3">
      <c r="A49" s="189">
        <v>45987</v>
      </c>
      <c r="B49" s="190" t="s">
        <v>280</v>
      </c>
      <c r="C49" s="191" t="s">
        <v>357</v>
      </c>
      <c r="D49" s="190" t="s">
        <v>271</v>
      </c>
      <c r="E49" s="192">
        <v>1.225694444444444</v>
      </c>
      <c r="F49" s="190" t="s">
        <v>282</v>
      </c>
      <c r="G49" s="193">
        <v>2</v>
      </c>
      <c r="H49" s="190" t="s">
        <v>358</v>
      </c>
    </row>
    <row r="50" spans="1:8" ht="18" x14ac:dyDescent="0.3">
      <c r="A50" s="115">
        <v>45988</v>
      </c>
      <c r="B50" s="116" t="s">
        <v>280</v>
      </c>
      <c r="C50" s="117" t="s">
        <v>614</v>
      </c>
      <c r="D50" s="116" t="s">
        <v>571</v>
      </c>
      <c r="E50" s="118">
        <v>1.631944444444444</v>
      </c>
      <c r="F50" s="116" t="s">
        <v>592</v>
      </c>
      <c r="G50" s="119">
        <v>3</v>
      </c>
      <c r="H50" s="120" t="s">
        <v>615</v>
      </c>
    </row>
    <row r="51" spans="1:8" ht="18" x14ac:dyDescent="0.3">
      <c r="A51" s="121">
        <v>45988</v>
      </c>
      <c r="B51" s="122" t="s">
        <v>280</v>
      </c>
      <c r="C51" s="123" t="s">
        <v>614</v>
      </c>
      <c r="D51" s="122" t="s">
        <v>571</v>
      </c>
      <c r="E51" s="124">
        <v>1.631944444444444</v>
      </c>
      <c r="F51" s="122" t="s">
        <v>594</v>
      </c>
      <c r="G51" s="125">
        <v>3</v>
      </c>
      <c r="H51" s="122" t="s">
        <v>616</v>
      </c>
    </row>
    <row r="52" spans="1:8" ht="18" x14ac:dyDescent="0.3">
      <c r="A52" s="121">
        <v>45988</v>
      </c>
      <c r="B52" s="122" t="s">
        <v>280</v>
      </c>
      <c r="C52" s="123" t="s">
        <v>614</v>
      </c>
      <c r="D52" s="122" t="s">
        <v>571</v>
      </c>
      <c r="E52" s="124">
        <v>1.631944444444444</v>
      </c>
      <c r="F52" s="122" t="s">
        <v>33</v>
      </c>
      <c r="G52" s="125">
        <v>3</v>
      </c>
      <c r="H52" s="122" t="s">
        <v>617</v>
      </c>
    </row>
    <row r="53" spans="1:8" ht="18" x14ac:dyDescent="0.3">
      <c r="A53" s="126">
        <v>45988</v>
      </c>
      <c r="B53" s="116" t="s">
        <v>35</v>
      </c>
      <c r="C53" s="117" t="s">
        <v>597</v>
      </c>
      <c r="D53" s="116" t="s">
        <v>571</v>
      </c>
      <c r="E53" s="118">
        <v>1.4513888888888891</v>
      </c>
      <c r="F53" s="116" t="s">
        <v>42</v>
      </c>
      <c r="G53" s="119">
        <v>1</v>
      </c>
      <c r="H53" s="116" t="s">
        <v>598</v>
      </c>
    </row>
    <row r="54" spans="1:8" ht="18" x14ac:dyDescent="0.3">
      <c r="A54" s="127">
        <v>45988</v>
      </c>
      <c r="B54" s="128" t="s">
        <v>35</v>
      </c>
      <c r="C54" s="129" t="s">
        <v>572</v>
      </c>
      <c r="D54" s="128" t="s">
        <v>571</v>
      </c>
      <c r="E54" s="130">
        <v>1.819444444444444</v>
      </c>
      <c r="F54" s="128" t="s">
        <v>42</v>
      </c>
      <c r="G54" s="131">
        <v>2</v>
      </c>
      <c r="H54" s="128" t="s">
        <v>598</v>
      </c>
    </row>
    <row r="55" spans="1:8" ht="18" x14ac:dyDescent="0.3">
      <c r="A55" s="136">
        <v>45988</v>
      </c>
      <c r="B55" s="137" t="s">
        <v>71</v>
      </c>
      <c r="C55" s="138" t="s">
        <v>578</v>
      </c>
      <c r="D55" s="137" t="s">
        <v>571</v>
      </c>
      <c r="E55" s="139">
        <v>1.086805555555556</v>
      </c>
      <c r="F55" s="137" t="s">
        <v>73</v>
      </c>
      <c r="G55" s="137"/>
      <c r="H55" s="137" t="s">
        <v>74</v>
      </c>
    </row>
    <row r="56" spans="1:8" ht="15.6" x14ac:dyDescent="0.3">
      <c r="A56" s="185"/>
      <c r="B56" s="185"/>
      <c r="C56" s="185"/>
      <c r="D56" s="185"/>
      <c r="E56" s="186" t="s">
        <v>661</v>
      </c>
      <c r="F56" s="185"/>
      <c r="G56" s="185"/>
      <c r="H56" s="3"/>
    </row>
    <row r="57" spans="1:8" ht="18" x14ac:dyDescent="0.3">
      <c r="A57" s="126">
        <v>45988</v>
      </c>
      <c r="B57" s="116" t="s">
        <v>25</v>
      </c>
      <c r="C57" s="117" t="s">
        <v>278</v>
      </c>
      <c r="D57" s="116" t="s">
        <v>271</v>
      </c>
      <c r="E57" s="118">
        <v>1.399305555555556</v>
      </c>
      <c r="F57" s="116" t="s">
        <v>27</v>
      </c>
      <c r="G57" s="119">
        <v>6</v>
      </c>
      <c r="H57" s="116" t="s">
        <v>293</v>
      </c>
    </row>
    <row r="58" spans="1:8" ht="18" x14ac:dyDescent="0.3">
      <c r="A58" s="127">
        <v>45988</v>
      </c>
      <c r="B58" s="128" t="s">
        <v>25</v>
      </c>
      <c r="C58" s="129" t="s">
        <v>273</v>
      </c>
      <c r="D58" s="128" t="s">
        <v>271</v>
      </c>
      <c r="E58" s="130">
        <v>1.489583333333333</v>
      </c>
      <c r="F58" s="128" t="s">
        <v>27</v>
      </c>
      <c r="G58" s="131">
        <v>5</v>
      </c>
      <c r="H58" s="128" t="s">
        <v>293</v>
      </c>
    </row>
    <row r="59" spans="1:8" ht="18" x14ac:dyDescent="0.3">
      <c r="A59" s="127">
        <v>45988</v>
      </c>
      <c r="B59" s="128" t="s">
        <v>25</v>
      </c>
      <c r="C59" s="129" t="s">
        <v>272</v>
      </c>
      <c r="D59" s="128" t="s">
        <v>271</v>
      </c>
      <c r="E59" s="130">
        <v>1.989583333333333</v>
      </c>
      <c r="F59" s="128" t="s">
        <v>27</v>
      </c>
      <c r="G59" s="131">
        <v>2</v>
      </c>
      <c r="H59" s="128" t="s">
        <v>293</v>
      </c>
    </row>
    <row r="60" spans="1:8" ht="18" x14ac:dyDescent="0.3">
      <c r="A60" s="127">
        <v>45988</v>
      </c>
      <c r="B60" s="128" t="s">
        <v>25</v>
      </c>
      <c r="C60" s="129" t="s">
        <v>277</v>
      </c>
      <c r="D60" s="128" t="s">
        <v>271</v>
      </c>
      <c r="E60" s="130">
        <v>1.8888888888888891</v>
      </c>
      <c r="F60" s="128" t="s">
        <v>27</v>
      </c>
      <c r="G60" s="131">
        <v>5</v>
      </c>
      <c r="H60" s="128" t="s">
        <v>79</v>
      </c>
    </row>
    <row r="61" spans="1:8" ht="18" x14ac:dyDescent="0.3">
      <c r="A61" s="136">
        <v>45988</v>
      </c>
      <c r="B61" s="137" t="s">
        <v>71</v>
      </c>
      <c r="C61" s="138" t="s">
        <v>371</v>
      </c>
      <c r="D61" s="137" t="s">
        <v>271</v>
      </c>
      <c r="E61" s="139">
        <v>1.9375</v>
      </c>
      <c r="F61" s="137" t="s">
        <v>81</v>
      </c>
      <c r="G61" s="140">
        <v>2</v>
      </c>
      <c r="H61" s="137" t="s">
        <v>341</v>
      </c>
    </row>
    <row r="62" spans="1:8" ht="18" x14ac:dyDescent="0.3">
      <c r="A62" s="126">
        <v>45988</v>
      </c>
      <c r="B62" s="116" t="s">
        <v>54</v>
      </c>
      <c r="C62" s="117" t="s">
        <v>299</v>
      </c>
      <c r="D62" s="116" t="s">
        <v>271</v>
      </c>
      <c r="E62" s="118">
        <v>1.3472222222222221</v>
      </c>
      <c r="F62" s="116" t="s">
        <v>56</v>
      </c>
      <c r="G62" s="119">
        <v>7</v>
      </c>
      <c r="H62" s="116" t="s">
        <v>276</v>
      </c>
    </row>
    <row r="63" spans="1:8" ht="18" x14ac:dyDescent="0.3">
      <c r="A63" s="127">
        <v>45988</v>
      </c>
      <c r="B63" s="128" t="s">
        <v>54</v>
      </c>
      <c r="C63" s="129" t="s">
        <v>291</v>
      </c>
      <c r="D63" s="128" t="s">
        <v>271</v>
      </c>
      <c r="E63" s="130">
        <v>1.993055555555556</v>
      </c>
      <c r="F63" s="128" t="s">
        <v>56</v>
      </c>
      <c r="G63" s="131">
        <v>6</v>
      </c>
      <c r="H63" s="128" t="s">
        <v>276</v>
      </c>
    </row>
    <row r="64" spans="1:8" ht="18" x14ac:dyDescent="0.3">
      <c r="A64" s="127">
        <v>45988</v>
      </c>
      <c r="B64" s="128" t="s">
        <v>54</v>
      </c>
      <c r="C64" s="129" t="s">
        <v>295</v>
      </c>
      <c r="D64" s="128" t="s">
        <v>271</v>
      </c>
      <c r="E64" s="130">
        <v>1.944444444444444</v>
      </c>
      <c r="F64" s="128" t="s">
        <v>56</v>
      </c>
      <c r="G64" s="131">
        <v>1</v>
      </c>
      <c r="H64" s="128" t="s">
        <v>276</v>
      </c>
    </row>
    <row r="65" spans="1:8" ht="18" x14ac:dyDescent="0.3">
      <c r="A65" s="127">
        <v>45988</v>
      </c>
      <c r="B65" s="128" t="s">
        <v>54</v>
      </c>
      <c r="C65" s="129" t="s">
        <v>296</v>
      </c>
      <c r="D65" s="128" t="s">
        <v>271</v>
      </c>
      <c r="E65" s="130">
        <v>1.4861111111111109</v>
      </c>
      <c r="F65" s="128" t="s">
        <v>56</v>
      </c>
      <c r="G65" s="131">
        <v>7</v>
      </c>
      <c r="H65" s="128" t="s">
        <v>276</v>
      </c>
    </row>
    <row r="66" spans="1:8" ht="18" x14ac:dyDescent="0.3">
      <c r="A66" s="150">
        <v>45988</v>
      </c>
      <c r="B66" s="151" t="s">
        <v>54</v>
      </c>
      <c r="C66" s="152" t="s">
        <v>297</v>
      </c>
      <c r="D66" s="151" t="s">
        <v>271</v>
      </c>
      <c r="E66" s="153">
        <v>1.3923611111111109</v>
      </c>
      <c r="F66" s="151" t="s">
        <v>56</v>
      </c>
      <c r="G66" s="154">
        <v>9</v>
      </c>
      <c r="H66" s="151" t="s">
        <v>276</v>
      </c>
    </row>
    <row r="67" spans="1:8" ht="18" x14ac:dyDescent="0.3">
      <c r="A67" s="187">
        <v>45989</v>
      </c>
      <c r="B67" s="137" t="s">
        <v>71</v>
      </c>
      <c r="C67" s="138" t="s">
        <v>621</v>
      </c>
      <c r="D67" s="137" t="s">
        <v>571</v>
      </c>
      <c r="E67" s="139">
        <v>1.229166666666667</v>
      </c>
      <c r="F67" s="137" t="s">
        <v>81</v>
      </c>
      <c r="G67" s="140">
        <v>1</v>
      </c>
      <c r="H67" s="188" t="s">
        <v>29</v>
      </c>
    </row>
    <row r="68" spans="1:8" ht="18" x14ac:dyDescent="0.3">
      <c r="A68" s="126">
        <v>45989</v>
      </c>
      <c r="B68" s="116" t="s">
        <v>35</v>
      </c>
      <c r="C68" s="117" t="s">
        <v>572</v>
      </c>
      <c r="D68" s="116" t="s">
        <v>571</v>
      </c>
      <c r="E68" s="118">
        <v>1.819444444444444</v>
      </c>
      <c r="F68" s="116" t="s">
        <v>42</v>
      </c>
      <c r="G68" s="119">
        <v>9</v>
      </c>
      <c r="H68" s="116" t="s">
        <v>598</v>
      </c>
    </row>
    <row r="69" spans="1:8" ht="15.6" x14ac:dyDescent="0.3">
      <c r="A69" s="185"/>
      <c r="B69" s="185"/>
      <c r="C69" s="185"/>
      <c r="D69" s="185"/>
      <c r="E69" s="186" t="s">
        <v>661</v>
      </c>
      <c r="F69" s="185"/>
      <c r="G69" s="185"/>
      <c r="H69" s="3"/>
    </row>
    <row r="70" spans="1:8" ht="18" x14ac:dyDescent="0.3">
      <c r="A70" s="136">
        <v>45989</v>
      </c>
      <c r="B70" s="137" t="s">
        <v>71</v>
      </c>
      <c r="C70" s="138" t="s">
        <v>373</v>
      </c>
      <c r="D70" s="137" t="s">
        <v>271</v>
      </c>
      <c r="E70" s="139">
        <v>1.4375</v>
      </c>
      <c r="F70" s="137" t="s">
        <v>81</v>
      </c>
      <c r="G70" s="140">
        <v>1</v>
      </c>
      <c r="H70" s="137" t="s">
        <v>341</v>
      </c>
    </row>
    <row r="71" spans="1:8" ht="18" x14ac:dyDescent="0.3">
      <c r="A71" s="141">
        <v>45989</v>
      </c>
      <c r="B71" s="142" t="s">
        <v>71</v>
      </c>
      <c r="C71" s="143" t="s">
        <v>340</v>
      </c>
      <c r="D71" s="142" t="s">
        <v>271</v>
      </c>
      <c r="E71" s="144">
        <v>1.5590277777777779</v>
      </c>
      <c r="F71" s="142" t="s">
        <v>81</v>
      </c>
      <c r="G71" s="236">
        <v>1</v>
      </c>
      <c r="H71" s="142" t="s">
        <v>386</v>
      </c>
    </row>
    <row r="72" spans="1:8" ht="18" x14ac:dyDescent="0.3">
      <c r="A72" s="141">
        <v>45989</v>
      </c>
      <c r="B72" s="142" t="s">
        <v>71</v>
      </c>
      <c r="C72" s="143" t="s">
        <v>389</v>
      </c>
      <c r="D72" s="142" t="s">
        <v>271</v>
      </c>
      <c r="E72" s="144">
        <v>1.28125</v>
      </c>
      <c r="F72" s="142" t="s">
        <v>81</v>
      </c>
      <c r="G72" s="236">
        <v>6</v>
      </c>
      <c r="H72" s="142" t="s">
        <v>374</v>
      </c>
    </row>
    <row r="73" spans="1:8" ht="18" x14ac:dyDescent="0.3">
      <c r="A73" s="126">
        <v>45989</v>
      </c>
      <c r="B73" s="116" t="s">
        <v>25</v>
      </c>
      <c r="C73" s="117" t="s">
        <v>278</v>
      </c>
      <c r="D73" s="116" t="s">
        <v>271</v>
      </c>
      <c r="E73" s="118">
        <v>1.399305555555556</v>
      </c>
      <c r="F73" s="116" t="s">
        <v>27</v>
      </c>
      <c r="G73" s="119">
        <v>4</v>
      </c>
      <c r="H73" s="116" t="s">
        <v>276</v>
      </c>
    </row>
    <row r="74" spans="1:8" ht="18" x14ac:dyDescent="0.3">
      <c r="A74" s="121">
        <v>45989</v>
      </c>
      <c r="B74" s="122" t="s">
        <v>25</v>
      </c>
      <c r="C74" s="123" t="s">
        <v>278</v>
      </c>
      <c r="D74" s="122" t="s">
        <v>271</v>
      </c>
      <c r="E74" s="124">
        <v>1.399305555555556</v>
      </c>
      <c r="F74" s="122" t="s">
        <v>30</v>
      </c>
      <c r="G74" s="125">
        <v>4</v>
      </c>
      <c r="H74" s="122" t="s">
        <v>119</v>
      </c>
    </row>
    <row r="75" spans="1:8" ht="18" x14ac:dyDescent="0.3">
      <c r="A75" s="127">
        <v>45989</v>
      </c>
      <c r="B75" s="128" t="s">
        <v>25</v>
      </c>
      <c r="C75" s="129" t="s">
        <v>273</v>
      </c>
      <c r="D75" s="128" t="s">
        <v>271</v>
      </c>
      <c r="E75" s="130">
        <v>1.489583333333333</v>
      </c>
      <c r="F75" s="128" t="s">
        <v>27</v>
      </c>
      <c r="G75" s="131">
        <v>2</v>
      </c>
      <c r="H75" s="128" t="s">
        <v>335</v>
      </c>
    </row>
    <row r="76" spans="1:8" ht="18" x14ac:dyDescent="0.3">
      <c r="A76" s="127">
        <v>45989</v>
      </c>
      <c r="B76" s="128" t="s">
        <v>25</v>
      </c>
      <c r="C76" s="129" t="s">
        <v>272</v>
      </c>
      <c r="D76" s="128" t="s">
        <v>271</v>
      </c>
      <c r="E76" s="130">
        <v>1.989583333333333</v>
      </c>
      <c r="F76" s="128" t="s">
        <v>27</v>
      </c>
      <c r="G76" s="131">
        <v>9</v>
      </c>
      <c r="H76" s="128" t="s">
        <v>335</v>
      </c>
    </row>
    <row r="77" spans="1:8" ht="18" x14ac:dyDescent="0.3">
      <c r="A77" s="126">
        <v>45989</v>
      </c>
      <c r="B77" s="116" t="s">
        <v>280</v>
      </c>
      <c r="C77" s="117" t="s">
        <v>357</v>
      </c>
      <c r="D77" s="116" t="s">
        <v>271</v>
      </c>
      <c r="E77" s="118">
        <v>1.225694444444444</v>
      </c>
      <c r="F77" s="116" t="s">
        <v>282</v>
      </c>
      <c r="G77" s="119">
        <v>1</v>
      </c>
      <c r="H77" s="116" t="s">
        <v>394</v>
      </c>
    </row>
    <row r="78" spans="1:8" ht="18" x14ac:dyDescent="0.3">
      <c r="A78" s="127">
        <v>45989</v>
      </c>
      <c r="B78" s="128" t="s">
        <v>280</v>
      </c>
      <c r="C78" s="129" t="s">
        <v>396</v>
      </c>
      <c r="D78" s="128" t="s">
        <v>271</v>
      </c>
      <c r="E78" s="130">
        <v>1.8090277777777779</v>
      </c>
      <c r="F78" s="128" t="s">
        <v>282</v>
      </c>
      <c r="G78" s="131">
        <v>8</v>
      </c>
      <c r="H78" s="128" t="s">
        <v>397</v>
      </c>
    </row>
    <row r="79" spans="1:8" ht="18" x14ac:dyDescent="0.3">
      <c r="A79" s="189">
        <v>45989</v>
      </c>
      <c r="B79" s="190" t="s">
        <v>54</v>
      </c>
      <c r="C79" s="191" t="s">
        <v>299</v>
      </c>
      <c r="D79" s="190" t="s">
        <v>271</v>
      </c>
      <c r="E79" s="192">
        <v>1.3472222222222221</v>
      </c>
      <c r="F79" s="190" t="s">
        <v>56</v>
      </c>
      <c r="G79" s="193">
        <v>9</v>
      </c>
      <c r="H79" s="190" t="s">
        <v>335</v>
      </c>
    </row>
    <row r="80" spans="1:8" ht="18" x14ac:dyDescent="0.3">
      <c r="A80" s="187">
        <v>45990</v>
      </c>
      <c r="B80" s="137" t="s">
        <v>71</v>
      </c>
      <c r="C80" s="138" t="s">
        <v>621</v>
      </c>
      <c r="D80" s="137" t="s">
        <v>571</v>
      </c>
      <c r="E80" s="139">
        <v>1.604166666666667</v>
      </c>
      <c r="F80" s="137" t="s">
        <v>81</v>
      </c>
      <c r="G80" s="140">
        <v>1</v>
      </c>
      <c r="H80" s="188" t="s">
        <v>341</v>
      </c>
    </row>
    <row r="81" spans="1:8" ht="18" x14ac:dyDescent="0.3">
      <c r="A81" s="141">
        <v>45990</v>
      </c>
      <c r="B81" s="142" t="s">
        <v>71</v>
      </c>
      <c r="C81" s="143" t="s">
        <v>576</v>
      </c>
      <c r="D81" s="142" t="s">
        <v>571</v>
      </c>
      <c r="E81" s="144">
        <v>1.270833333333333</v>
      </c>
      <c r="F81" s="142" t="s">
        <v>73</v>
      </c>
      <c r="G81" s="142"/>
      <c r="H81" s="142" t="s">
        <v>74</v>
      </c>
    </row>
    <row r="82" spans="1:8" ht="18" x14ac:dyDescent="0.3">
      <c r="A82" s="126">
        <v>45990</v>
      </c>
      <c r="B82" s="116" t="s">
        <v>25</v>
      </c>
      <c r="C82" s="117" t="s">
        <v>590</v>
      </c>
      <c r="D82" s="116" t="s">
        <v>571</v>
      </c>
      <c r="E82" s="118">
        <v>1.3611111111111109</v>
      </c>
      <c r="F82" s="116" t="s">
        <v>591</v>
      </c>
      <c r="G82" s="119">
        <v>4</v>
      </c>
      <c r="H82" s="116" t="s">
        <v>98</v>
      </c>
    </row>
    <row r="83" spans="1:8" ht="18" x14ac:dyDescent="0.3">
      <c r="A83" s="121">
        <v>45990</v>
      </c>
      <c r="B83" s="122" t="s">
        <v>25</v>
      </c>
      <c r="C83" s="123" t="s">
        <v>590</v>
      </c>
      <c r="D83" s="122" t="s">
        <v>571</v>
      </c>
      <c r="E83" s="124">
        <v>1.3611111111111109</v>
      </c>
      <c r="F83" s="122" t="s">
        <v>592</v>
      </c>
      <c r="G83" s="125">
        <v>4</v>
      </c>
      <c r="H83" s="122" t="s">
        <v>593</v>
      </c>
    </row>
    <row r="84" spans="1:8" ht="18" x14ac:dyDescent="0.3">
      <c r="A84" s="121">
        <v>45990</v>
      </c>
      <c r="B84" s="122" t="s">
        <v>25</v>
      </c>
      <c r="C84" s="123" t="s">
        <v>590</v>
      </c>
      <c r="D84" s="122" t="s">
        <v>571</v>
      </c>
      <c r="E84" s="124">
        <v>1.3611111111111109</v>
      </c>
      <c r="F84" s="122" t="s">
        <v>594</v>
      </c>
      <c r="G84" s="125">
        <v>4</v>
      </c>
      <c r="H84" s="122" t="s">
        <v>595</v>
      </c>
    </row>
    <row r="85" spans="1:8" ht="18" x14ac:dyDescent="0.3">
      <c r="A85" s="121">
        <v>45990</v>
      </c>
      <c r="B85" s="122" t="s">
        <v>25</v>
      </c>
      <c r="C85" s="123" t="s">
        <v>590</v>
      </c>
      <c r="D85" s="122" t="s">
        <v>571</v>
      </c>
      <c r="E85" s="124">
        <v>1.3611111111111109</v>
      </c>
      <c r="F85" s="122" t="s">
        <v>596</v>
      </c>
      <c r="G85" s="125">
        <v>4</v>
      </c>
      <c r="H85" s="122" t="s">
        <v>300</v>
      </c>
    </row>
    <row r="86" spans="1:8" ht="18" x14ac:dyDescent="0.3">
      <c r="A86" s="126">
        <v>45990</v>
      </c>
      <c r="B86" s="116" t="s">
        <v>280</v>
      </c>
      <c r="C86" s="117" t="s">
        <v>628</v>
      </c>
      <c r="D86" s="116" t="s">
        <v>571</v>
      </c>
      <c r="E86" s="118">
        <v>1.3611111111111109</v>
      </c>
      <c r="F86" s="116" t="s">
        <v>592</v>
      </c>
      <c r="G86" s="119">
        <v>9</v>
      </c>
      <c r="H86" s="116" t="s">
        <v>629</v>
      </c>
    </row>
    <row r="87" spans="1:8" ht="18" x14ac:dyDescent="0.3">
      <c r="A87" s="121">
        <v>45990</v>
      </c>
      <c r="B87" s="122" t="s">
        <v>280</v>
      </c>
      <c r="C87" s="123" t="s">
        <v>628</v>
      </c>
      <c r="D87" s="122" t="s">
        <v>571</v>
      </c>
      <c r="E87" s="124">
        <v>1.3611111111111109</v>
      </c>
      <c r="F87" s="122" t="s">
        <v>594</v>
      </c>
      <c r="G87" s="125">
        <v>9</v>
      </c>
      <c r="H87" s="122" t="s">
        <v>630</v>
      </c>
    </row>
    <row r="88" spans="1:8" ht="18" x14ac:dyDescent="0.3">
      <c r="A88" s="121">
        <v>45990</v>
      </c>
      <c r="B88" s="122" t="s">
        <v>280</v>
      </c>
      <c r="C88" s="123" t="s">
        <v>628</v>
      </c>
      <c r="D88" s="122" t="s">
        <v>571</v>
      </c>
      <c r="E88" s="124">
        <v>1.3611111111111109</v>
      </c>
      <c r="F88" s="122" t="s">
        <v>33</v>
      </c>
      <c r="G88" s="125">
        <v>9</v>
      </c>
      <c r="H88" s="122" t="s">
        <v>631</v>
      </c>
    </row>
    <row r="89" spans="1:8" ht="18" x14ac:dyDescent="0.3">
      <c r="A89" s="126">
        <v>45990</v>
      </c>
      <c r="B89" s="116" t="s">
        <v>35</v>
      </c>
      <c r="C89" s="117" t="s">
        <v>597</v>
      </c>
      <c r="D89" s="116" t="s">
        <v>571</v>
      </c>
      <c r="E89" s="118">
        <v>1.4513888888888891</v>
      </c>
      <c r="F89" s="116" t="s">
        <v>42</v>
      </c>
      <c r="G89" s="119">
        <v>9</v>
      </c>
      <c r="H89" s="116" t="s">
        <v>632</v>
      </c>
    </row>
    <row r="90" spans="1:8" ht="18" x14ac:dyDescent="0.3">
      <c r="A90" s="127">
        <v>45990</v>
      </c>
      <c r="B90" s="128" t="s">
        <v>35</v>
      </c>
      <c r="C90" s="129" t="s">
        <v>572</v>
      </c>
      <c r="D90" s="128" t="s">
        <v>571</v>
      </c>
      <c r="E90" s="130">
        <v>1.819444444444444</v>
      </c>
      <c r="F90" s="128" t="s">
        <v>42</v>
      </c>
      <c r="G90" s="131">
        <v>6</v>
      </c>
      <c r="H90" s="128" t="s">
        <v>598</v>
      </c>
    </row>
    <row r="91" spans="1:8" ht="15.6" x14ac:dyDescent="0.3">
      <c r="A91" s="185"/>
      <c r="B91" s="185"/>
      <c r="C91" s="185"/>
      <c r="D91" s="185"/>
      <c r="E91" s="186" t="s">
        <v>661</v>
      </c>
      <c r="F91" s="185"/>
      <c r="G91" s="185"/>
      <c r="H91" s="3"/>
    </row>
    <row r="92" spans="1:8" ht="18" x14ac:dyDescent="0.3">
      <c r="A92" s="126">
        <v>45990</v>
      </c>
      <c r="B92" s="116" t="s">
        <v>280</v>
      </c>
      <c r="C92" s="117" t="s">
        <v>357</v>
      </c>
      <c r="D92" s="116" t="s">
        <v>271</v>
      </c>
      <c r="E92" s="118">
        <v>1.1701388888888891</v>
      </c>
      <c r="F92" s="116" t="s">
        <v>282</v>
      </c>
      <c r="G92" s="119">
        <v>2</v>
      </c>
      <c r="H92" s="116" t="s">
        <v>405</v>
      </c>
    </row>
    <row r="93" spans="1:8" ht="18" x14ac:dyDescent="0.3">
      <c r="A93" s="121">
        <v>45990</v>
      </c>
      <c r="B93" s="122" t="s">
        <v>280</v>
      </c>
      <c r="C93" s="123" t="s">
        <v>357</v>
      </c>
      <c r="D93" s="122" t="s">
        <v>271</v>
      </c>
      <c r="E93" s="124">
        <v>1.1701388888888891</v>
      </c>
      <c r="F93" s="122" t="s">
        <v>33</v>
      </c>
      <c r="G93" s="125">
        <v>2</v>
      </c>
      <c r="H93" s="122" t="s">
        <v>406</v>
      </c>
    </row>
    <row r="94" spans="1:8" ht="18" x14ac:dyDescent="0.3">
      <c r="A94" s="127">
        <v>45990</v>
      </c>
      <c r="B94" s="128" t="s">
        <v>280</v>
      </c>
      <c r="C94" s="129" t="s">
        <v>281</v>
      </c>
      <c r="D94" s="128" t="s">
        <v>271</v>
      </c>
      <c r="E94" s="130">
        <v>1.055555555555556</v>
      </c>
      <c r="F94" s="128" t="s">
        <v>282</v>
      </c>
      <c r="G94" s="131">
        <v>9</v>
      </c>
      <c r="H94" s="128" t="s">
        <v>407</v>
      </c>
    </row>
    <row r="95" spans="1:8" ht="18" x14ac:dyDescent="0.3">
      <c r="A95" s="121">
        <v>45990</v>
      </c>
      <c r="B95" s="122" t="s">
        <v>280</v>
      </c>
      <c r="C95" s="123" t="s">
        <v>281</v>
      </c>
      <c r="D95" s="122" t="s">
        <v>271</v>
      </c>
      <c r="E95" s="124">
        <v>1.055555555555556</v>
      </c>
      <c r="F95" s="122" t="s">
        <v>33</v>
      </c>
      <c r="G95" s="125">
        <v>9</v>
      </c>
      <c r="H95" s="122" t="s">
        <v>408</v>
      </c>
    </row>
    <row r="96" spans="1:8" ht="18" x14ac:dyDescent="0.3">
      <c r="A96" s="126">
        <v>45990</v>
      </c>
      <c r="B96" s="116" t="s">
        <v>285</v>
      </c>
      <c r="C96" s="117" t="s">
        <v>288</v>
      </c>
      <c r="D96" s="116" t="s">
        <v>271</v>
      </c>
      <c r="E96" s="118">
        <v>1.041666666666667</v>
      </c>
      <c r="F96" s="116" t="s">
        <v>81</v>
      </c>
      <c r="G96" s="119">
        <v>7</v>
      </c>
      <c r="H96" s="116" t="s">
        <v>353</v>
      </c>
    </row>
    <row r="97" spans="1:8" ht="18" x14ac:dyDescent="0.3">
      <c r="A97" s="126">
        <v>45990</v>
      </c>
      <c r="B97" s="116" t="s">
        <v>25</v>
      </c>
      <c r="C97" s="117" t="s">
        <v>278</v>
      </c>
      <c r="D97" s="116" t="s">
        <v>271</v>
      </c>
      <c r="E97" s="118">
        <v>1.399305555555556</v>
      </c>
      <c r="F97" s="116" t="s">
        <v>27</v>
      </c>
      <c r="G97" s="119">
        <v>5</v>
      </c>
      <c r="H97" s="116" t="s">
        <v>335</v>
      </c>
    </row>
    <row r="98" spans="1:8" ht="18" x14ac:dyDescent="0.3">
      <c r="A98" s="121">
        <v>45990</v>
      </c>
      <c r="B98" s="122" t="s">
        <v>25</v>
      </c>
      <c r="C98" s="123" t="s">
        <v>278</v>
      </c>
      <c r="D98" s="122" t="s">
        <v>271</v>
      </c>
      <c r="E98" s="124">
        <v>1.399305555555556</v>
      </c>
      <c r="F98" s="122" t="s">
        <v>30</v>
      </c>
      <c r="G98" s="125">
        <v>5</v>
      </c>
      <c r="H98" s="122" t="s">
        <v>61</v>
      </c>
    </row>
    <row r="99" spans="1:8" ht="18" x14ac:dyDescent="0.3">
      <c r="A99" s="127">
        <v>45990</v>
      </c>
      <c r="B99" s="128" t="s">
        <v>25</v>
      </c>
      <c r="C99" s="129" t="s">
        <v>273</v>
      </c>
      <c r="D99" s="128" t="s">
        <v>271</v>
      </c>
      <c r="E99" s="130">
        <v>1.489583333333333</v>
      </c>
      <c r="F99" s="128" t="s">
        <v>27</v>
      </c>
      <c r="G99" s="131">
        <v>7</v>
      </c>
      <c r="H99" s="128" t="s">
        <v>119</v>
      </c>
    </row>
    <row r="100" spans="1:8" ht="18" x14ac:dyDescent="0.3">
      <c r="A100" s="127">
        <v>45990</v>
      </c>
      <c r="B100" s="128" t="s">
        <v>25</v>
      </c>
      <c r="C100" s="129" t="s">
        <v>277</v>
      </c>
      <c r="D100" s="128" t="s">
        <v>271</v>
      </c>
      <c r="E100" s="130">
        <v>1.8888888888888891</v>
      </c>
      <c r="F100" s="128" t="s">
        <v>27</v>
      </c>
      <c r="G100" s="131">
        <v>10</v>
      </c>
      <c r="H100" s="128" t="s">
        <v>119</v>
      </c>
    </row>
    <row r="101" spans="1:8" ht="18" x14ac:dyDescent="0.3">
      <c r="A101" s="150">
        <v>45990</v>
      </c>
      <c r="B101" s="151" t="s">
        <v>25</v>
      </c>
      <c r="C101" s="152" t="s">
        <v>272</v>
      </c>
      <c r="D101" s="151" t="s">
        <v>271</v>
      </c>
      <c r="E101" s="153">
        <v>1.989583333333333</v>
      </c>
      <c r="F101" s="151" t="s">
        <v>27</v>
      </c>
      <c r="G101" s="154">
        <v>11</v>
      </c>
      <c r="H101" s="151" t="s">
        <v>119</v>
      </c>
    </row>
    <row r="102" spans="1:8" ht="18" x14ac:dyDescent="0.3">
      <c r="A102" s="115">
        <v>45991</v>
      </c>
      <c r="B102" s="116" t="s">
        <v>280</v>
      </c>
      <c r="C102" s="117" t="s">
        <v>628</v>
      </c>
      <c r="D102" s="116" t="s">
        <v>571</v>
      </c>
      <c r="E102" s="118">
        <v>1.3611111111111109</v>
      </c>
      <c r="F102" s="116" t="s">
        <v>592</v>
      </c>
      <c r="G102" s="119">
        <v>9</v>
      </c>
      <c r="H102" s="120" t="s">
        <v>637</v>
      </c>
    </row>
    <row r="103" spans="1:8" ht="18" x14ac:dyDescent="0.3">
      <c r="A103" s="121">
        <v>45991</v>
      </c>
      <c r="B103" s="122" t="s">
        <v>280</v>
      </c>
      <c r="C103" s="123" t="s">
        <v>628</v>
      </c>
      <c r="D103" s="122" t="s">
        <v>571</v>
      </c>
      <c r="E103" s="124">
        <v>1.3611111111111109</v>
      </c>
      <c r="F103" s="122" t="s">
        <v>594</v>
      </c>
      <c r="G103" s="125">
        <v>9</v>
      </c>
      <c r="H103" s="122" t="s">
        <v>638</v>
      </c>
    </row>
    <row r="104" spans="1:8" ht="18" x14ac:dyDescent="0.3">
      <c r="A104" s="121">
        <v>45991</v>
      </c>
      <c r="B104" s="122" t="s">
        <v>280</v>
      </c>
      <c r="C104" s="123" t="s">
        <v>628</v>
      </c>
      <c r="D104" s="122" t="s">
        <v>571</v>
      </c>
      <c r="E104" s="124">
        <v>1.3611111111111109</v>
      </c>
      <c r="F104" s="122" t="s">
        <v>33</v>
      </c>
      <c r="G104" s="125">
        <v>9</v>
      </c>
      <c r="H104" s="122" t="s">
        <v>639</v>
      </c>
    </row>
    <row r="105" spans="1:8" ht="18" x14ac:dyDescent="0.3">
      <c r="A105" s="126">
        <v>45991</v>
      </c>
      <c r="B105" s="116" t="s">
        <v>35</v>
      </c>
      <c r="C105" s="117" t="s">
        <v>572</v>
      </c>
      <c r="D105" s="116" t="s">
        <v>571</v>
      </c>
      <c r="E105" s="118">
        <v>1.819444444444444</v>
      </c>
      <c r="F105" s="116" t="s">
        <v>42</v>
      </c>
      <c r="G105" s="119">
        <v>8</v>
      </c>
      <c r="H105" s="116" t="s">
        <v>632</v>
      </c>
    </row>
    <row r="106" spans="1:8" ht="18" x14ac:dyDescent="0.3">
      <c r="A106" s="136">
        <v>45991</v>
      </c>
      <c r="B106" s="137" t="s">
        <v>71</v>
      </c>
      <c r="C106" s="138" t="s">
        <v>578</v>
      </c>
      <c r="D106" s="137" t="s">
        <v>571</v>
      </c>
      <c r="E106" s="139">
        <v>1.4965277777777779</v>
      </c>
      <c r="F106" s="137" t="s">
        <v>73</v>
      </c>
      <c r="G106" s="137"/>
      <c r="H106" s="137" t="s">
        <v>74</v>
      </c>
    </row>
    <row r="107" spans="1:8" ht="18" x14ac:dyDescent="0.3">
      <c r="A107" s="141">
        <v>45991</v>
      </c>
      <c r="B107" s="142" t="s">
        <v>71</v>
      </c>
      <c r="C107" s="143" t="s">
        <v>576</v>
      </c>
      <c r="D107" s="142" t="s">
        <v>571</v>
      </c>
      <c r="E107" s="144">
        <v>1.5798611111111109</v>
      </c>
      <c r="F107" s="142" t="s">
        <v>73</v>
      </c>
      <c r="G107" s="142"/>
      <c r="H107" s="142" t="s">
        <v>74</v>
      </c>
    </row>
    <row r="108" spans="1:8" ht="15.6" x14ac:dyDescent="0.3">
      <c r="A108" s="185"/>
      <c r="B108" s="185"/>
      <c r="C108" s="185"/>
      <c r="D108" s="185"/>
      <c r="E108" s="186" t="s">
        <v>661</v>
      </c>
      <c r="F108" s="185"/>
      <c r="G108" s="185"/>
      <c r="H108" s="3"/>
    </row>
    <row r="109" spans="1:8" ht="18" x14ac:dyDescent="0.3">
      <c r="A109" s="136">
        <v>45991</v>
      </c>
      <c r="B109" s="137" t="s">
        <v>71</v>
      </c>
      <c r="C109" s="138" t="s">
        <v>389</v>
      </c>
      <c r="D109" s="137" t="s">
        <v>271</v>
      </c>
      <c r="E109" s="139">
        <v>1.4548611111111109</v>
      </c>
      <c r="F109" s="137" t="s">
        <v>81</v>
      </c>
      <c r="G109" s="140">
        <v>2</v>
      </c>
      <c r="H109" s="137" t="s">
        <v>123</v>
      </c>
    </row>
    <row r="110" spans="1:8" ht="18" x14ac:dyDescent="0.3">
      <c r="A110" s="126">
        <v>45991</v>
      </c>
      <c r="B110" s="116" t="s">
        <v>25</v>
      </c>
      <c r="C110" s="117" t="s">
        <v>278</v>
      </c>
      <c r="D110" s="116" t="s">
        <v>271</v>
      </c>
      <c r="E110" s="118">
        <v>1.399305555555556</v>
      </c>
      <c r="F110" s="116" t="s">
        <v>27</v>
      </c>
      <c r="G110" s="119">
        <v>9</v>
      </c>
      <c r="H110" s="116" t="s">
        <v>275</v>
      </c>
    </row>
    <row r="111" spans="1:8" ht="18" x14ac:dyDescent="0.3">
      <c r="A111" s="127">
        <v>45991</v>
      </c>
      <c r="B111" s="128" t="s">
        <v>25</v>
      </c>
      <c r="C111" s="129" t="s">
        <v>273</v>
      </c>
      <c r="D111" s="128" t="s">
        <v>271</v>
      </c>
      <c r="E111" s="130">
        <v>1.489583333333333</v>
      </c>
      <c r="F111" s="128" t="s">
        <v>27</v>
      </c>
      <c r="G111" s="131">
        <v>6</v>
      </c>
      <c r="H111" s="128" t="s">
        <v>275</v>
      </c>
    </row>
    <row r="112" spans="1:8" ht="18" x14ac:dyDescent="0.3">
      <c r="A112" s="121">
        <v>45991</v>
      </c>
      <c r="B112" s="122" t="s">
        <v>25</v>
      </c>
      <c r="C112" s="123" t="s">
        <v>273</v>
      </c>
      <c r="D112" s="122" t="s">
        <v>271</v>
      </c>
      <c r="E112" s="124">
        <v>1.489583333333333</v>
      </c>
      <c r="F112" s="122" t="s">
        <v>33</v>
      </c>
      <c r="G112" s="125">
        <v>6</v>
      </c>
      <c r="H112" s="122" t="s">
        <v>79</v>
      </c>
    </row>
    <row r="113" spans="1:8" ht="18" x14ac:dyDescent="0.3">
      <c r="A113" s="127">
        <v>45991</v>
      </c>
      <c r="B113" s="128" t="s">
        <v>25</v>
      </c>
      <c r="C113" s="129" t="s">
        <v>272</v>
      </c>
      <c r="D113" s="128" t="s">
        <v>271</v>
      </c>
      <c r="E113" s="130">
        <v>1.989583333333333</v>
      </c>
      <c r="F113" s="128" t="s">
        <v>27</v>
      </c>
      <c r="G113" s="131">
        <v>9</v>
      </c>
      <c r="H113" s="128" t="s">
        <v>275</v>
      </c>
    </row>
    <row r="114" spans="1:8" ht="18" x14ac:dyDescent="0.3">
      <c r="A114" s="121">
        <v>45991</v>
      </c>
      <c r="B114" s="122" t="s">
        <v>25</v>
      </c>
      <c r="C114" s="123" t="s">
        <v>272</v>
      </c>
      <c r="D114" s="122" t="s">
        <v>271</v>
      </c>
      <c r="E114" s="124">
        <v>1.989583333333333</v>
      </c>
      <c r="F114" s="122" t="s">
        <v>33</v>
      </c>
      <c r="G114" s="125">
        <v>9</v>
      </c>
      <c r="H114" s="122" t="s">
        <v>79</v>
      </c>
    </row>
    <row r="115" spans="1:8" ht="18" x14ac:dyDescent="0.3">
      <c r="A115" s="127">
        <v>45991</v>
      </c>
      <c r="B115" s="128" t="s">
        <v>25</v>
      </c>
      <c r="C115" s="129" t="s">
        <v>277</v>
      </c>
      <c r="D115" s="128" t="s">
        <v>271</v>
      </c>
      <c r="E115" s="130">
        <v>1.8888888888888891</v>
      </c>
      <c r="F115" s="128" t="s">
        <v>27</v>
      </c>
      <c r="G115" s="131">
        <v>5</v>
      </c>
      <c r="H115" s="128" t="s">
        <v>293</v>
      </c>
    </row>
    <row r="116" spans="1:8" ht="18" x14ac:dyDescent="0.3">
      <c r="A116" s="126">
        <v>45991</v>
      </c>
      <c r="B116" s="116" t="s">
        <v>285</v>
      </c>
      <c r="C116" s="117" t="s">
        <v>286</v>
      </c>
      <c r="D116" s="116" t="s">
        <v>271</v>
      </c>
      <c r="E116" s="118">
        <v>1.493055555555556</v>
      </c>
      <c r="F116" s="116" t="s">
        <v>81</v>
      </c>
      <c r="G116" s="119">
        <v>3</v>
      </c>
      <c r="H116" s="116" t="s">
        <v>287</v>
      </c>
    </row>
    <row r="117" spans="1:8" ht="18" x14ac:dyDescent="0.3">
      <c r="A117" s="127">
        <v>45991</v>
      </c>
      <c r="B117" s="128" t="s">
        <v>285</v>
      </c>
      <c r="C117" s="129" t="s">
        <v>288</v>
      </c>
      <c r="D117" s="128" t="s">
        <v>271</v>
      </c>
      <c r="E117" s="130">
        <v>1.2048611111111109</v>
      </c>
      <c r="F117" s="128" t="s">
        <v>81</v>
      </c>
      <c r="G117" s="131">
        <v>8</v>
      </c>
      <c r="H117" s="128" t="s">
        <v>287</v>
      </c>
    </row>
    <row r="118" spans="1:8" ht="18" x14ac:dyDescent="0.3">
      <c r="A118" s="189">
        <v>45991</v>
      </c>
      <c r="B118" s="190" t="s">
        <v>54</v>
      </c>
      <c r="C118" s="191" t="s">
        <v>299</v>
      </c>
      <c r="D118" s="190" t="s">
        <v>271</v>
      </c>
      <c r="E118" s="192">
        <v>1.3472222222222221</v>
      </c>
      <c r="F118" s="190" t="s">
        <v>56</v>
      </c>
      <c r="G118" s="193">
        <v>8</v>
      </c>
      <c r="H118" s="190" t="s">
        <v>79</v>
      </c>
    </row>
  </sheetData>
  <dataValidations count="16">
    <dataValidation type="custom" allowBlank="1" showInputMessage="1" promptTitle="LOAD FACTOR ANALYSIS" prompt="SM457_x000d__x000a_LF 99.4%_x000d__x000a_SOLD 179_x000d__x000a_LST-SOLD 19NOV_x000d__x000a_WEEKLY 7_x000d__x000a_TO-DAY NIL_x000d__x000a_Y-DAY NIL_x000d__x000a_LOWEST AVAIL CLOSED_x000d__x000a_CAPACITY 180_x000d__x000a_CLASSES S1 &amp; X14 &amp; U12 &amp; +3 more" sqref="A4 B4 C4 D4 E4 F4 G4 H4" xr:uid="{00000000-0002-0000-0F00-000000000000}">
      <formula1>TRUE</formula1>
    </dataValidation>
    <dataValidation type="custom" allowBlank="1" showInputMessage="1" promptTitle="LOAD FACTOR ANALYSIS" prompt="SM451_x000d__x000a_LF 1.0%_x000d__x000a_SOLD 180_x000d__x000a_LST-SOLD 22NOV_x000d__x000a_WEEKLY 12_x000d__x000a_TO-DAY NIL_x000d__x000a_Y-DAY 1_x000d__x000a_LOWEST AVAIL CLOSED_x000d__x000a_CAPACITY 180_x000d__x000a_CLASSES S6 &amp; W2 &amp; T8 &amp; +5 more" sqref="A5 B5 C5 D5 E5 F5 G5 H5" xr:uid="{00000000-0002-0000-0F00-000001000000}">
      <formula1>TRUE</formula1>
    </dataValidation>
    <dataValidation type="custom" allowBlank="1" showInputMessage="1" promptTitle="LOAD FACTOR ANALYSIS" prompt="SM451_x000d__x000a_LF 1.0%_x000d__x000a_SOLD 180_x000d__x000a_LST-SOLD 31OCT_x000d__x000a_WEEKLY NIL_x000d__x000a_TO-DAY NIL_x000d__x000a_Y-DAY NIL_x000d__x000a_LOWEST AVAIL CLOSED_x000d__x000a_CAPACITY 180_x000d__x000a_CLASSES X5 &amp; U4 &amp; O5 &amp; +2 more" sqref="A23 B23 C23 D23 E23 F23 G23 H23" xr:uid="{00000000-0002-0000-0F00-000002000000}">
      <formula1>TRUE</formula1>
    </dataValidation>
    <dataValidation type="custom" allowBlank="1" showInputMessage="1" promptTitle="LOAD FACTOR ANALYSIS" prompt="SM-471_x000d__x000a_LF -_x000d__x000a_SOLD -_x000d__x000a_LST-SOLD -_x000d__x000a_WEEKLY -_x000d__x000a_TO-DAY -_x000d__x000a_Y-DAY -_x000d__x000a_LOWEST AVAIL -_x000d__x000a_CAPACITY -_x000d__x000a_CLASSES -" sqref="A34 A71 B34 B71 C34 C71 D34 D71 E34 E71 F34 F71 G34 G71 H34 H71" xr:uid="{00000000-0002-0000-0F00-000003000000}">
      <formula1>TRUE</formula1>
    </dataValidation>
    <dataValidation type="custom" allowBlank="1" showInputMessage="1" promptTitle="LOAD FACTOR ANALYSIS" prompt="SM451_x000d__x000a_LF 99.4%_x000d__x000a_SOLD 179_x000d__x000a_LST-SOLD 22NOV_x000d__x000a_WEEKLY 13_x000d__x000a_TO-DAY NIL_x000d__x000a_Y-DAY 2_x000d__x000a_LOWEST AVAIL CLOSED_x000d__x000a_CAPACITY 180_x000d__x000a_CLASSES K1 &amp; S3 &amp; W9 &amp; +3 more" sqref="A36 B36 C36 D36 E36 F36 G36 H36" xr:uid="{00000000-0002-0000-0F00-000004000000}">
      <formula1>TRUE</formula1>
    </dataValidation>
    <dataValidation type="custom" allowBlank="1" showInputMessage="1" promptTitle="LOAD FACTOR ANALYSIS" prompt="SM457_x000d__x000a_LF 1.0%_x000d__x000a_SOLD 180_x000d__x000a_LST-SOLD 11NOV_x000d__x000a_WEEKLY NIL_x000d__x000a_TO-DAY NIL_x000d__x000a_Y-DAY NIL_x000d__x000a_LOWEST AVAIL CLOSED_x000d__x000a_CAPACITY 180_x000d__x000a_CLASSES T9 &amp; X9 &amp; U9 &amp; +3 more" sqref="A37 B37 C37 D37 E37 F37 G37 H37" xr:uid="{00000000-0002-0000-0F00-000005000000}">
      <formula1>TRUE</formula1>
    </dataValidation>
    <dataValidation type="custom" allowBlank="1" showInputMessage="1" promptTitle="LOAD FACTOR ANALYSIS" prompt="SM473_x000d__x000a_LF 1.0%_x000d__x000a_SOLD 180_x000d__x000a_LST-SOLD 10NOV_x000d__x000a_WEEKLY NIL_x000d__x000a_TO-DAY NIL_x000d__x000a_Y-DAY NIL_x000d__x000a_LOWEST AVAIL CLOSED_x000d__x000a_CAPACITY 180_x000d__x000a_CLASSES S1 &amp; T4 &amp; X9 &amp; +1 more" sqref="A38 B38 C38 D38 E38 F38 G38 H38" xr:uid="{00000000-0002-0000-0F00-000006000000}">
      <formula1>TRUE</formula1>
    </dataValidation>
    <dataValidation type="custom" allowBlank="1" showInputMessage="1" promptTitle="LOAD FACTOR ANALYSIS" prompt="SM451_x000d__x000a_LF 99.4%_x000d__x000a_SOLD 179_x000d__x000a_LST-SOLD 19NOV_x000d__x000a_WEEKLY 13_x000d__x000a_TO-DAY NIL_x000d__x000a_Y-DAY NIL_x000d__x000a_LOWEST AVAIL CLOSED_x000d__x000a_CAPACITY 180_x000d__x000a_CLASSES S13 &amp; W10 &amp; T5 &amp; +6 more" sqref="A55 B55 C55 D55 E55 F55 G55 H55" xr:uid="{00000000-0002-0000-0F00-000007000000}">
      <formula1>TRUE</formula1>
    </dataValidation>
    <dataValidation type="custom" allowBlank="1" showInputMessage="1" promptTitle="LOAD FACTOR ANALYSIS" prompt="SM-423_x000d__x000a_LF -_x000d__x000a_SOLD -_x000d__x000a_LST-SOLD -_x000d__x000a_WEEKLY -_x000d__x000a_TO-DAY -_x000d__x000a_Y-DAY -_x000d__x000a_LOWEST AVAIL -_x000d__x000a_CAPACITY -_x000d__x000a_CLASSES -" sqref="A61 B61 C61 D61 E61 F61 G61 H61" xr:uid="{00000000-0002-0000-0F00-000008000000}">
      <formula1>TRUE</formula1>
    </dataValidation>
    <dataValidation type="custom" allowBlank="1" showInputMessage="1" promptTitle="LOAD FACTOR ANALYSIS" prompt="SM-451_x000d__x000a_LF 98.9%_x000d__x000a_SOLD 178_x000d__x000a_LST-SOLD 22NOV_x000d__x000a_WEEKLY 64_x000d__x000a_TO-DAY NIL_x000d__x000a_Y-DAY 10_x000d__x000a_LOWEST AVAIL G1_x000d__x000a_CAPACITY 180_x000d__x000a_CLASSES G7 &amp; S40 &amp; W28 &amp; +4 more" sqref="A67 B67 C67 D67 E67 F67 G67 H67" xr:uid="{00000000-0002-0000-0F00-000009000000}">
      <formula1>TRUE</formula1>
    </dataValidation>
    <dataValidation type="custom" allowBlank="1" showInputMessage="1" promptTitle="LOAD FACTOR ANALYSIS" prompt="SM-479_x000d__x000a_LF -_x000d__x000a_SOLD -_x000d__x000a_LST-SOLD -_x000d__x000a_WEEKLY -_x000d__x000a_TO-DAY -_x000d__x000a_Y-DAY -_x000d__x000a_LOWEST AVAIL -_x000d__x000a_CAPACITY -_x000d__x000a_CLASSES -" sqref="A70 B70 C70 D70 E70 F70 G70 H70" xr:uid="{00000000-0002-0000-0F00-00000A000000}">
      <formula1>TRUE</formula1>
    </dataValidation>
    <dataValidation type="custom" allowBlank="1" showInputMessage="1" promptTitle="LOAD FACTOR ANALYSIS" prompt="SM-477_x000d__x000a_LF -_x000d__x000a_SOLD -_x000d__x000a_LST-SOLD -_x000d__x000a_WEEKLY -_x000d__x000a_TO-DAY -_x000d__x000a_Y-DAY -_x000d__x000a_LOWEST AVAIL -_x000d__x000a_CAPACITY -_x000d__x000a_CLASSES -" sqref="A72 A109 B72 B109 C72 C109 D72 D109 E72 E109 F72 F109 G72 G109 H72 H109" xr:uid="{00000000-0002-0000-0F00-00000B000000}">
      <formula1>TRUE</formula1>
    </dataValidation>
    <dataValidation type="custom" allowBlank="1" showInputMessage="1" promptTitle="LOAD FACTOR ANALYSIS" prompt="SM-451_x000d__x000a_LF 98.9%_x000d__x000a_SOLD 178_x000d__x000a_LST-SOLD 22NOV_x000d__x000a_WEEKLY 15_x000d__x000a_TO-DAY NIL_x000d__x000a_Y-DAY 3_x000d__x000a_LOWEST AVAIL L1_x000d__x000a_CAPACITY 180_x000d__x000a_CLASSES K3 &amp; V9 &amp; L10 &amp; +6 more" sqref="A80 B80 C80 D80 E80 F80 G80 H80" xr:uid="{00000000-0002-0000-0F00-00000C000000}">
      <formula1>TRUE</formula1>
    </dataValidation>
    <dataValidation type="custom" allowBlank="1" showInputMessage="1" promptTitle="LOAD FACTOR ANALYSIS" prompt="SM457_x000d__x000a_LF 1.0%_x000d__x000a_SOLD 180_x000d__x000a_LST-SOLD 15NOV_x000d__x000a_WEEKLY NIL_x000d__x000a_TO-DAY NIL_x000d__x000a_Y-DAY NIL_x000d__x000a_LOWEST AVAIL CLOSED_x000d__x000a_CAPACITY 180_x000d__x000a_CLASSES L2 &amp; S8 &amp; W17 &amp; +3 more" sqref="A81 B81 C81 D81 E81 F81 G81 H81" xr:uid="{00000000-0002-0000-0F00-00000D000000}">
      <formula1>TRUE</formula1>
    </dataValidation>
    <dataValidation type="custom" allowBlank="1" showInputMessage="1" promptTitle="LOAD FACTOR ANALYSIS" prompt="SM451_x000d__x000a_LF 99.4%_x000d__x000a_SOLD 179_x000d__x000a_LST-SOLD 22NOV_x000d__x000a_WEEKLY 12_x000d__x000a_TO-DAY NIL_x000d__x000a_Y-DAY 1_x000d__x000a_LOWEST AVAIL CLOSED_x000d__x000a_CAPACITY 180_x000d__x000a_CLASSES G5 &amp; S11 &amp; W4 &amp; +6 more" sqref="A106 B106 C106 D106 E106 F106 G106 H106" xr:uid="{00000000-0002-0000-0F00-00000E000000}">
      <formula1>TRUE</formula1>
    </dataValidation>
    <dataValidation type="custom" allowBlank="1" showInputMessage="1" promptTitle="LOAD FACTOR ANALYSIS" prompt="SM457_x000d__x000a_LF 1.0%_x000d__x000a_SOLD 180_x000d__x000a_LST-SOLD 21NOV_x000d__x000a_WEEKLY 2_x000d__x000a_TO-DAY NIL_x000d__x000a_Y-DAY NIL_x000d__x000a_LOWEST AVAIL CLOSED_x000d__x000a_CAPACITY 180_x000d__x000a_CLASSES G6 &amp; S3 &amp; W1 &amp; +3 more" sqref="A107 B107 C107 D107 E107 F107 G107 H107" xr:uid="{00000000-0002-0000-0F00-00000F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N1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218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662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45984.358553717357</v>
      </c>
      <c r="H2" s="287"/>
      <c r="I2" s="287"/>
      <c r="J2" s="287"/>
      <c r="K2" s="292">
        <v>45984.358553718019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95" t="s">
        <v>71</v>
      </c>
      <c r="B6" s="195" t="s">
        <v>663</v>
      </c>
      <c r="C6" s="196">
        <v>0.69444444444444453</v>
      </c>
      <c r="D6" s="195" t="s">
        <v>81</v>
      </c>
      <c r="E6" s="195" t="s">
        <v>77</v>
      </c>
      <c r="F6" s="195" t="s">
        <v>664</v>
      </c>
      <c r="G6" s="276"/>
      <c r="H6" s="197" t="s">
        <v>665</v>
      </c>
      <c r="I6" s="198">
        <v>0.75</v>
      </c>
      <c r="J6" s="199">
        <v>135</v>
      </c>
      <c r="K6" s="200">
        <v>45983</v>
      </c>
      <c r="L6" s="199">
        <v>52</v>
      </c>
      <c r="M6" s="199">
        <v>0</v>
      </c>
      <c r="N6" s="199">
        <v>6</v>
      </c>
      <c r="O6" s="201" t="s">
        <v>486</v>
      </c>
      <c r="P6" s="202">
        <v>0.69444444444444453</v>
      </c>
      <c r="Q6" s="199">
        <v>180</v>
      </c>
      <c r="R6" s="203" t="s">
        <v>666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216" t="s">
        <v>71</v>
      </c>
      <c r="B7" s="216" t="s">
        <v>667</v>
      </c>
      <c r="C7" s="217">
        <v>9.375E-2</v>
      </c>
      <c r="D7" s="216" t="s">
        <v>81</v>
      </c>
      <c r="E7" s="216" t="s">
        <v>45</v>
      </c>
      <c r="F7" s="216" t="s">
        <v>668</v>
      </c>
      <c r="G7" s="277"/>
      <c r="H7" s="168" t="s">
        <v>669</v>
      </c>
      <c r="I7" s="169">
        <v>0.94440000000000002</v>
      </c>
      <c r="J7" s="170">
        <v>170</v>
      </c>
      <c r="K7" s="171">
        <v>45983</v>
      </c>
      <c r="L7" s="170">
        <v>24</v>
      </c>
      <c r="M7" s="170">
        <v>0</v>
      </c>
      <c r="N7" s="170">
        <v>1</v>
      </c>
      <c r="O7" s="172" t="s">
        <v>555</v>
      </c>
      <c r="P7" s="173">
        <v>9.375E-2</v>
      </c>
      <c r="Q7" s="170">
        <v>180</v>
      </c>
      <c r="R7" s="174" t="s">
        <v>670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226" t="s">
        <v>71</v>
      </c>
      <c r="B8" s="226" t="s">
        <v>671</v>
      </c>
      <c r="C8" s="227">
        <v>0.34722222222222232</v>
      </c>
      <c r="D8" s="226" t="s">
        <v>73</v>
      </c>
      <c r="E8" s="228"/>
      <c r="F8" s="226" t="s">
        <v>74</v>
      </c>
      <c r="G8" s="277"/>
      <c r="H8" s="197" t="s">
        <v>671</v>
      </c>
      <c r="I8" s="215">
        <v>1</v>
      </c>
      <c r="J8" s="199">
        <v>180</v>
      </c>
      <c r="K8" s="200">
        <v>45982</v>
      </c>
      <c r="L8" s="199">
        <v>46</v>
      </c>
      <c r="M8" s="199">
        <v>0</v>
      </c>
      <c r="N8" s="199">
        <v>0</v>
      </c>
      <c r="O8" s="201" t="s">
        <v>75</v>
      </c>
      <c r="P8" s="202">
        <v>0.34722222222222232</v>
      </c>
      <c r="Q8" s="199">
        <v>180</v>
      </c>
      <c r="R8" s="203" t="s">
        <v>672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63</v>
      </c>
      <c r="B9" s="17" t="s">
        <v>673</v>
      </c>
      <c r="C9" s="18">
        <v>0.34722222222222232</v>
      </c>
      <c r="D9" s="17" t="s">
        <v>37</v>
      </c>
      <c r="E9" s="17" t="s">
        <v>57</v>
      </c>
      <c r="F9" s="17" t="s">
        <v>668</v>
      </c>
      <c r="G9" s="277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63</v>
      </c>
      <c r="B10" s="19" t="s">
        <v>674</v>
      </c>
      <c r="C10" s="20">
        <v>0.69444444444444453</v>
      </c>
      <c r="D10" s="19" t="s">
        <v>48</v>
      </c>
      <c r="E10" s="19" t="s">
        <v>51</v>
      </c>
      <c r="F10" s="19" t="s">
        <v>675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8" x14ac:dyDescent="0.3">
      <c r="A11" s="300" t="s">
        <v>580</v>
      </c>
      <c r="B11" s="301"/>
      <c r="C11" s="301"/>
      <c r="D11" s="301"/>
      <c r="E11" s="301"/>
      <c r="F11" s="301"/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272</v>
      </c>
      <c r="C12" s="20" t="s">
        <v>581</v>
      </c>
      <c r="D12" s="19" t="s">
        <v>27</v>
      </c>
      <c r="E12" s="19" t="s">
        <v>214</v>
      </c>
      <c r="F12" s="19" t="s">
        <v>123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25</v>
      </c>
      <c r="B13" s="19" t="s">
        <v>273</v>
      </c>
      <c r="C13" s="20" t="s">
        <v>582</v>
      </c>
      <c r="D13" s="19" t="s">
        <v>27</v>
      </c>
      <c r="E13" s="19" t="s">
        <v>202</v>
      </c>
      <c r="F13" s="19" t="s">
        <v>275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25</v>
      </c>
      <c r="B14" s="19" t="s">
        <v>277</v>
      </c>
      <c r="C14" s="20" t="s">
        <v>583</v>
      </c>
      <c r="D14" s="19" t="s">
        <v>27</v>
      </c>
      <c r="E14" s="19" t="s">
        <v>214</v>
      </c>
      <c r="F14" s="19" t="s">
        <v>275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280</v>
      </c>
      <c r="B15" s="19" t="s">
        <v>281</v>
      </c>
      <c r="C15" s="20" t="s">
        <v>584</v>
      </c>
      <c r="D15" s="19" t="s">
        <v>282</v>
      </c>
      <c r="E15" s="19" t="s">
        <v>202</v>
      </c>
      <c r="F15" s="19" t="s">
        <v>283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285</v>
      </c>
      <c r="B16" s="19" t="s">
        <v>286</v>
      </c>
      <c r="C16" s="20" t="s">
        <v>585</v>
      </c>
      <c r="D16" s="19" t="s">
        <v>81</v>
      </c>
      <c r="E16" s="19" t="s">
        <v>214</v>
      </c>
      <c r="F16" s="19" t="s">
        <v>287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285</v>
      </c>
      <c r="B17" s="19" t="s">
        <v>288</v>
      </c>
      <c r="C17" s="20" t="s">
        <v>586</v>
      </c>
      <c r="D17" s="19" t="s">
        <v>81</v>
      </c>
      <c r="E17" s="19" t="s">
        <v>223</v>
      </c>
      <c r="F17" s="19" t="s">
        <v>287</v>
      </c>
      <c r="G17" s="277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285</v>
      </c>
      <c r="B18" s="19" t="s">
        <v>290</v>
      </c>
      <c r="C18" s="20" t="s">
        <v>587</v>
      </c>
      <c r="D18" s="19" t="s">
        <v>81</v>
      </c>
      <c r="E18" s="19" t="s">
        <v>214</v>
      </c>
      <c r="F18" s="19" t="s">
        <v>287</v>
      </c>
      <c r="G18" s="277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9" t="s">
        <v>54</v>
      </c>
      <c r="B19" s="19" t="s">
        <v>291</v>
      </c>
      <c r="C19" s="20" t="s">
        <v>588</v>
      </c>
      <c r="D19" s="19" t="s">
        <v>292</v>
      </c>
      <c r="E19" s="19" t="s">
        <v>220</v>
      </c>
      <c r="F19" s="19" t="s">
        <v>293</v>
      </c>
      <c r="G19" s="277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9" t="s">
        <v>54</v>
      </c>
      <c r="B20" s="19" t="s">
        <v>291</v>
      </c>
      <c r="C20" s="20" t="s">
        <v>588</v>
      </c>
      <c r="D20" s="19" t="s">
        <v>56</v>
      </c>
      <c r="E20" s="19" t="s">
        <v>220</v>
      </c>
      <c r="F20" s="19" t="s">
        <v>293</v>
      </c>
      <c r="G20" s="277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63" t="s">
        <v>54</v>
      </c>
      <c r="B21" s="63" t="s">
        <v>294</v>
      </c>
      <c r="C21" s="64" t="s">
        <v>589</v>
      </c>
      <c r="D21" s="63" t="s">
        <v>56</v>
      </c>
      <c r="E21" s="63" t="s">
        <v>223</v>
      </c>
      <c r="F21" s="63" t="s">
        <v>293</v>
      </c>
      <c r="G21" s="278"/>
      <c r="H21" s="178"/>
      <c r="I21" s="178"/>
      <c r="J21" s="178"/>
      <c r="K21" s="178"/>
      <c r="L21" s="178"/>
      <c r="M21" s="178"/>
      <c r="N21" s="178"/>
      <c r="O21" s="179"/>
      <c r="P21" s="178"/>
      <c r="Q21" s="180"/>
      <c r="R21" s="180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4.4" customHeight="1" x14ac:dyDescent="0.3">
      <c r="A22" s="282"/>
      <c r="B22" s="283"/>
      <c r="C22" s="283"/>
      <c r="D22" s="283"/>
      <c r="E22" s="283"/>
      <c r="F22" s="283"/>
      <c r="G22" s="280"/>
      <c r="H22" s="284"/>
      <c r="I22" s="284"/>
      <c r="J22" s="284"/>
      <c r="K22" s="284"/>
      <c r="L22" s="284"/>
      <c r="M22" s="284"/>
      <c r="N22" s="284"/>
      <c r="O22" s="285"/>
      <c r="P22" s="284"/>
      <c r="Q22" s="280"/>
      <c r="R22" s="28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2.05" customHeight="1" x14ac:dyDescent="0.3">
      <c r="A23" s="290" t="s">
        <v>5</v>
      </c>
      <c r="B23" s="291"/>
      <c r="C23" s="291"/>
      <c r="D23" s="291"/>
      <c r="E23" s="291"/>
      <c r="F23" s="291"/>
      <c r="G23" s="5">
        <v>45986</v>
      </c>
      <c r="H23" s="274" t="s">
        <v>6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24" customHeight="1" x14ac:dyDescent="0.3">
      <c r="A24" s="31" t="s">
        <v>7</v>
      </c>
      <c r="B24" s="31" t="s">
        <v>8</v>
      </c>
      <c r="C24" s="32" t="s">
        <v>9</v>
      </c>
      <c r="D24" s="31" t="s">
        <v>10</v>
      </c>
      <c r="E24" s="31" t="s">
        <v>11</v>
      </c>
      <c r="F24" s="31" t="s">
        <v>12</v>
      </c>
      <c r="G24" s="33" t="s">
        <v>13</v>
      </c>
      <c r="H24" s="31" t="s">
        <v>14</v>
      </c>
      <c r="I24" s="34" t="s">
        <v>15</v>
      </c>
      <c r="J24" s="35" t="s">
        <v>16</v>
      </c>
      <c r="K24" s="36" t="s">
        <v>17</v>
      </c>
      <c r="L24" s="35" t="s">
        <v>18</v>
      </c>
      <c r="M24" s="35" t="s">
        <v>19</v>
      </c>
      <c r="N24" s="35" t="s">
        <v>20</v>
      </c>
      <c r="O24" s="31" t="s">
        <v>21</v>
      </c>
      <c r="P24" s="32" t="s">
        <v>22</v>
      </c>
      <c r="Q24" s="35" t="s">
        <v>23</v>
      </c>
      <c r="R24" s="31" t="s">
        <v>24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37" t="s">
        <v>71</v>
      </c>
      <c r="B25" s="37" t="s">
        <v>663</v>
      </c>
      <c r="C25" s="38">
        <v>0.16666666666666671</v>
      </c>
      <c r="D25" s="37" t="s">
        <v>81</v>
      </c>
      <c r="E25" s="37" t="s">
        <v>251</v>
      </c>
      <c r="F25" s="37" t="s">
        <v>664</v>
      </c>
      <c r="G25" s="276"/>
      <c r="H25" s="39" t="s">
        <v>665</v>
      </c>
      <c r="I25" s="238">
        <v>0.7833</v>
      </c>
      <c r="J25" s="41">
        <v>141</v>
      </c>
      <c r="K25" s="42">
        <v>45984</v>
      </c>
      <c r="L25" s="41">
        <v>57</v>
      </c>
      <c r="M25" s="41">
        <v>1</v>
      </c>
      <c r="N25" s="41">
        <v>9</v>
      </c>
      <c r="O25" s="43" t="s">
        <v>646</v>
      </c>
      <c r="P25" s="44">
        <v>0.16666666666666671</v>
      </c>
      <c r="Q25" s="41">
        <v>180</v>
      </c>
      <c r="R25" s="45" t="s">
        <v>676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216" t="s">
        <v>71</v>
      </c>
      <c r="B26" s="216" t="s">
        <v>677</v>
      </c>
      <c r="C26" s="217">
        <v>0.52777777777777779</v>
      </c>
      <c r="D26" s="216" t="s">
        <v>81</v>
      </c>
      <c r="E26" s="216" t="s">
        <v>289</v>
      </c>
      <c r="F26" s="216" t="s">
        <v>668</v>
      </c>
      <c r="G26" s="277"/>
      <c r="H26" s="168" t="s">
        <v>678</v>
      </c>
      <c r="I26" s="169">
        <v>0.86109999999999998</v>
      </c>
      <c r="J26" s="170">
        <v>155</v>
      </c>
      <c r="K26" s="171">
        <v>45984</v>
      </c>
      <c r="L26" s="170">
        <v>71</v>
      </c>
      <c r="M26" s="170">
        <v>1</v>
      </c>
      <c r="N26" s="170">
        <v>3</v>
      </c>
      <c r="O26" s="172" t="s">
        <v>551</v>
      </c>
      <c r="P26" s="173">
        <v>0.52777777777777779</v>
      </c>
      <c r="Q26" s="170">
        <v>180</v>
      </c>
      <c r="R26" s="174" t="s">
        <v>679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7" t="s">
        <v>63</v>
      </c>
      <c r="B27" s="17" t="s">
        <v>674</v>
      </c>
      <c r="C27" s="18">
        <v>0.16666666666666671</v>
      </c>
      <c r="D27" s="17" t="s">
        <v>48</v>
      </c>
      <c r="E27" s="17" t="s">
        <v>57</v>
      </c>
      <c r="F27" s="17" t="s">
        <v>680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8" x14ac:dyDescent="0.3">
      <c r="A28" s="300" t="s">
        <v>580</v>
      </c>
      <c r="B28" s="301"/>
      <c r="C28" s="301"/>
      <c r="D28" s="301"/>
      <c r="E28" s="301"/>
      <c r="F28" s="301"/>
      <c r="G28" s="277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25</v>
      </c>
      <c r="B29" s="19" t="s">
        <v>278</v>
      </c>
      <c r="C29" s="20" t="s">
        <v>600</v>
      </c>
      <c r="D29" s="19" t="s">
        <v>27</v>
      </c>
      <c r="E29" s="19" t="s">
        <v>214</v>
      </c>
      <c r="F29" s="19" t="s">
        <v>275</v>
      </c>
      <c r="G29" s="277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280</v>
      </c>
      <c r="B30" s="19" t="s">
        <v>281</v>
      </c>
      <c r="C30" s="20" t="s">
        <v>601</v>
      </c>
      <c r="D30" s="19" t="s">
        <v>282</v>
      </c>
      <c r="E30" s="19" t="s">
        <v>204</v>
      </c>
      <c r="F30" s="19" t="s">
        <v>337</v>
      </c>
      <c r="G30" s="277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25</v>
      </c>
      <c r="B31" s="19" t="s">
        <v>273</v>
      </c>
      <c r="C31" s="20" t="s">
        <v>582</v>
      </c>
      <c r="D31" s="19" t="s">
        <v>27</v>
      </c>
      <c r="E31" s="19" t="s">
        <v>204</v>
      </c>
      <c r="F31" s="19" t="s">
        <v>293</v>
      </c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54</v>
      </c>
      <c r="B32" s="19" t="s">
        <v>299</v>
      </c>
      <c r="C32" s="20" t="s">
        <v>602</v>
      </c>
      <c r="D32" s="19" t="s">
        <v>56</v>
      </c>
      <c r="E32" s="19" t="s">
        <v>214</v>
      </c>
      <c r="F32" s="19" t="s">
        <v>293</v>
      </c>
      <c r="G32" s="277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54</v>
      </c>
      <c r="B33" s="19" t="s">
        <v>291</v>
      </c>
      <c r="C33" s="20" t="s">
        <v>588</v>
      </c>
      <c r="D33" s="19" t="s">
        <v>56</v>
      </c>
      <c r="E33" s="19" t="s">
        <v>603</v>
      </c>
      <c r="F33" s="19" t="s">
        <v>293</v>
      </c>
      <c r="G33" s="277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54</v>
      </c>
      <c r="B34" s="19" t="s">
        <v>295</v>
      </c>
      <c r="C34" s="20" t="s">
        <v>604</v>
      </c>
      <c r="D34" s="19" t="s">
        <v>56</v>
      </c>
      <c r="E34" s="19" t="s">
        <v>223</v>
      </c>
      <c r="F34" s="19" t="s">
        <v>293</v>
      </c>
      <c r="G34" s="277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54</v>
      </c>
      <c r="B35" s="19" t="s">
        <v>296</v>
      </c>
      <c r="C35" s="20" t="s">
        <v>605</v>
      </c>
      <c r="D35" s="19" t="s">
        <v>56</v>
      </c>
      <c r="E35" s="19" t="s">
        <v>606</v>
      </c>
      <c r="F35" s="19" t="s">
        <v>293</v>
      </c>
      <c r="G35" s="277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54</v>
      </c>
      <c r="B36" s="19" t="s">
        <v>297</v>
      </c>
      <c r="C36" s="20" t="s">
        <v>607</v>
      </c>
      <c r="D36" s="19" t="s">
        <v>56</v>
      </c>
      <c r="E36" s="19" t="s">
        <v>606</v>
      </c>
      <c r="F36" s="19" t="s">
        <v>293</v>
      </c>
      <c r="G36" s="277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54</v>
      </c>
      <c r="B37" s="19" t="s">
        <v>298</v>
      </c>
      <c r="C37" s="20" t="s">
        <v>583</v>
      </c>
      <c r="D37" s="19" t="s">
        <v>56</v>
      </c>
      <c r="E37" s="19" t="s">
        <v>204</v>
      </c>
      <c r="F37" s="19" t="s">
        <v>293</v>
      </c>
      <c r="G37" s="277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63" t="s">
        <v>71</v>
      </c>
      <c r="B38" s="63" t="s">
        <v>340</v>
      </c>
      <c r="C38" s="64" t="s">
        <v>608</v>
      </c>
      <c r="D38" s="63" t="s">
        <v>81</v>
      </c>
      <c r="E38" s="63" t="s">
        <v>214</v>
      </c>
      <c r="F38" s="63" t="s">
        <v>341</v>
      </c>
      <c r="G38" s="278"/>
      <c r="H38" s="178"/>
      <c r="I38" s="178"/>
      <c r="J38" s="178"/>
      <c r="K38" s="178"/>
      <c r="L38" s="178"/>
      <c r="M38" s="178"/>
      <c r="N38" s="178"/>
      <c r="O38" s="179"/>
      <c r="P38" s="178"/>
      <c r="Q38" s="180"/>
      <c r="R38" s="180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4.4" customHeight="1" x14ac:dyDescent="0.3">
      <c r="A39" s="282"/>
      <c r="B39" s="283"/>
      <c r="C39" s="283"/>
      <c r="D39" s="283"/>
      <c r="E39" s="283"/>
      <c r="F39" s="283"/>
      <c r="G39" s="280"/>
      <c r="H39" s="284"/>
      <c r="I39" s="284"/>
      <c r="J39" s="284"/>
      <c r="K39" s="284"/>
      <c r="L39" s="284"/>
      <c r="M39" s="284"/>
      <c r="N39" s="284"/>
      <c r="O39" s="285"/>
      <c r="P39" s="284"/>
      <c r="Q39" s="280"/>
      <c r="R39" s="281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22.05" customHeight="1" x14ac:dyDescent="0.3">
      <c r="A40" s="290" t="s">
        <v>5</v>
      </c>
      <c r="B40" s="291"/>
      <c r="C40" s="291"/>
      <c r="D40" s="291"/>
      <c r="E40" s="291"/>
      <c r="F40" s="291"/>
      <c r="G40" s="5">
        <v>45987</v>
      </c>
      <c r="H40" s="274" t="s">
        <v>6</v>
      </c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24" customHeight="1" x14ac:dyDescent="0.3">
      <c r="A41" s="31" t="s">
        <v>7</v>
      </c>
      <c r="B41" s="31" t="s">
        <v>8</v>
      </c>
      <c r="C41" s="32" t="s">
        <v>9</v>
      </c>
      <c r="D41" s="31" t="s">
        <v>10</v>
      </c>
      <c r="E41" s="31" t="s">
        <v>11</v>
      </c>
      <c r="F41" s="31" t="s">
        <v>12</v>
      </c>
      <c r="G41" s="33" t="s">
        <v>13</v>
      </c>
      <c r="H41" s="31" t="s">
        <v>14</v>
      </c>
      <c r="I41" s="34" t="s">
        <v>15</v>
      </c>
      <c r="J41" s="35" t="s">
        <v>16</v>
      </c>
      <c r="K41" s="36" t="s">
        <v>17</v>
      </c>
      <c r="L41" s="35" t="s">
        <v>18</v>
      </c>
      <c r="M41" s="35" t="s">
        <v>19</v>
      </c>
      <c r="N41" s="35" t="s">
        <v>20</v>
      </c>
      <c r="O41" s="31" t="s">
        <v>21</v>
      </c>
      <c r="P41" s="32" t="s">
        <v>22</v>
      </c>
      <c r="Q41" s="35" t="s">
        <v>23</v>
      </c>
      <c r="R41" s="31" t="s">
        <v>24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8" t="s">
        <v>25</v>
      </c>
      <c r="B42" s="8" t="s">
        <v>681</v>
      </c>
      <c r="C42" s="9">
        <v>0.36458333333333331</v>
      </c>
      <c r="D42" s="8" t="s">
        <v>591</v>
      </c>
      <c r="E42" s="8" t="s">
        <v>682</v>
      </c>
      <c r="F42" s="8" t="s">
        <v>683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25</v>
      </c>
      <c r="B43" s="15" t="s">
        <v>681</v>
      </c>
      <c r="C43" s="16">
        <v>0.36458333333333331</v>
      </c>
      <c r="D43" s="15" t="s">
        <v>592</v>
      </c>
      <c r="E43" s="15" t="s">
        <v>411</v>
      </c>
      <c r="F43" s="15" t="s">
        <v>684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25</v>
      </c>
      <c r="B44" s="15" t="s">
        <v>681</v>
      </c>
      <c r="C44" s="16">
        <v>0.36458333333333331</v>
      </c>
      <c r="D44" s="15" t="s">
        <v>594</v>
      </c>
      <c r="E44" s="15" t="s">
        <v>411</v>
      </c>
      <c r="F44" s="15" t="s">
        <v>685</v>
      </c>
      <c r="G44" s="277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25</v>
      </c>
      <c r="B45" s="15" t="s">
        <v>681</v>
      </c>
      <c r="C45" s="16">
        <v>0.36458333333333331</v>
      </c>
      <c r="D45" s="15" t="s">
        <v>596</v>
      </c>
      <c r="E45" s="15" t="s">
        <v>411</v>
      </c>
      <c r="F45" s="15" t="s">
        <v>293</v>
      </c>
      <c r="G45" s="277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82" t="s">
        <v>71</v>
      </c>
      <c r="B46" s="182" t="s">
        <v>667</v>
      </c>
      <c r="C46" s="183">
        <v>0.5</v>
      </c>
      <c r="D46" s="182" t="s">
        <v>81</v>
      </c>
      <c r="E46" s="182" t="s">
        <v>104</v>
      </c>
      <c r="F46" s="182" t="s">
        <v>668</v>
      </c>
      <c r="G46" s="277"/>
      <c r="H46" s="49" t="s">
        <v>669</v>
      </c>
      <c r="I46" s="50">
        <v>0.9889</v>
      </c>
      <c r="J46" s="51">
        <v>178</v>
      </c>
      <c r="K46" s="52">
        <v>45983</v>
      </c>
      <c r="L46" s="51">
        <v>4</v>
      </c>
      <c r="M46" s="51">
        <v>0</v>
      </c>
      <c r="N46" s="51">
        <v>3</v>
      </c>
      <c r="O46" s="53" t="s">
        <v>160</v>
      </c>
      <c r="P46" s="54">
        <v>0.5</v>
      </c>
      <c r="Q46" s="51">
        <v>180</v>
      </c>
      <c r="R46" s="55" t="s">
        <v>686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218" t="s">
        <v>71</v>
      </c>
      <c r="B47" s="218" t="s">
        <v>665</v>
      </c>
      <c r="C47" s="219">
        <v>0.1076388888888889</v>
      </c>
      <c r="D47" s="218" t="s">
        <v>73</v>
      </c>
      <c r="E47" s="220"/>
      <c r="F47" s="218" t="s">
        <v>74</v>
      </c>
      <c r="G47" s="277"/>
      <c r="H47" s="39" t="s">
        <v>665</v>
      </c>
      <c r="I47" s="40">
        <v>1</v>
      </c>
      <c r="J47" s="41">
        <v>180</v>
      </c>
      <c r="K47" s="42">
        <v>45905</v>
      </c>
      <c r="L47" s="41">
        <v>0</v>
      </c>
      <c r="M47" s="41">
        <v>0</v>
      </c>
      <c r="N47" s="41">
        <v>0</v>
      </c>
      <c r="O47" s="43" t="s">
        <v>75</v>
      </c>
      <c r="P47" s="44">
        <v>0.1076388888888889</v>
      </c>
      <c r="Q47" s="41">
        <v>180</v>
      </c>
      <c r="R47" s="45" t="s">
        <v>687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226" t="s">
        <v>71</v>
      </c>
      <c r="B48" s="226" t="s">
        <v>671</v>
      </c>
      <c r="C48" s="227">
        <v>0.92361111111111116</v>
      </c>
      <c r="D48" s="226" t="s">
        <v>73</v>
      </c>
      <c r="E48" s="228"/>
      <c r="F48" s="226" t="s">
        <v>74</v>
      </c>
      <c r="G48" s="277"/>
      <c r="H48" s="197" t="s">
        <v>671</v>
      </c>
      <c r="I48" s="215">
        <v>0.99439999999999995</v>
      </c>
      <c r="J48" s="199">
        <v>179</v>
      </c>
      <c r="K48" s="200">
        <v>45984</v>
      </c>
      <c r="L48" s="199">
        <v>13</v>
      </c>
      <c r="M48" s="199">
        <v>1</v>
      </c>
      <c r="N48" s="199">
        <v>2</v>
      </c>
      <c r="O48" s="201" t="s">
        <v>75</v>
      </c>
      <c r="P48" s="202">
        <v>0.92361111111111116</v>
      </c>
      <c r="Q48" s="199">
        <v>180</v>
      </c>
      <c r="R48" s="203" t="s">
        <v>688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7" t="s">
        <v>63</v>
      </c>
      <c r="B49" s="17" t="s">
        <v>673</v>
      </c>
      <c r="C49" s="18">
        <v>0.92361111111111116</v>
      </c>
      <c r="D49" s="17" t="s">
        <v>37</v>
      </c>
      <c r="E49" s="17" t="s">
        <v>57</v>
      </c>
      <c r="F49" s="17" t="s">
        <v>668</v>
      </c>
      <c r="G49" s="277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8" x14ac:dyDescent="0.3">
      <c r="A50" s="300" t="s">
        <v>580</v>
      </c>
      <c r="B50" s="301"/>
      <c r="C50" s="301"/>
      <c r="D50" s="301"/>
      <c r="E50" s="301"/>
      <c r="F50" s="301"/>
      <c r="G50" s="277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9" t="s">
        <v>25</v>
      </c>
      <c r="B51" s="19" t="s">
        <v>278</v>
      </c>
      <c r="C51" s="20" t="s">
        <v>600</v>
      </c>
      <c r="D51" s="19" t="s">
        <v>27</v>
      </c>
      <c r="E51" s="19" t="s">
        <v>212</v>
      </c>
      <c r="F51" s="19" t="s">
        <v>275</v>
      </c>
      <c r="G51" s="277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25</v>
      </c>
      <c r="B52" s="19" t="s">
        <v>272</v>
      </c>
      <c r="C52" s="20" t="s">
        <v>581</v>
      </c>
      <c r="D52" s="19" t="s">
        <v>27</v>
      </c>
      <c r="E52" s="19" t="s">
        <v>214</v>
      </c>
      <c r="F52" s="19" t="s">
        <v>275</v>
      </c>
      <c r="G52" s="277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25</v>
      </c>
      <c r="B53" s="19" t="s">
        <v>273</v>
      </c>
      <c r="C53" s="20" t="s">
        <v>582</v>
      </c>
      <c r="D53" s="19" t="s">
        <v>27</v>
      </c>
      <c r="E53" s="19" t="s">
        <v>204</v>
      </c>
      <c r="F53" s="19" t="s">
        <v>293</v>
      </c>
      <c r="G53" s="277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54</v>
      </c>
      <c r="B54" s="19" t="s">
        <v>299</v>
      </c>
      <c r="C54" s="20" t="s">
        <v>602</v>
      </c>
      <c r="D54" s="19" t="s">
        <v>56</v>
      </c>
      <c r="E54" s="19" t="s">
        <v>214</v>
      </c>
      <c r="F54" s="19" t="s">
        <v>293</v>
      </c>
      <c r="G54" s="277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25</v>
      </c>
      <c r="B55" s="19" t="s">
        <v>278</v>
      </c>
      <c r="C55" s="20" t="s">
        <v>600</v>
      </c>
      <c r="D55" s="19" t="s">
        <v>33</v>
      </c>
      <c r="E55" s="19" t="s">
        <v>212</v>
      </c>
      <c r="F55" s="19" t="s">
        <v>79</v>
      </c>
      <c r="G55" s="277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25</v>
      </c>
      <c r="B56" s="19" t="s">
        <v>277</v>
      </c>
      <c r="C56" s="20" t="s">
        <v>583</v>
      </c>
      <c r="D56" s="19" t="s">
        <v>27</v>
      </c>
      <c r="E56" s="19" t="s">
        <v>204</v>
      </c>
      <c r="F56" s="19" t="s">
        <v>79</v>
      </c>
      <c r="G56" s="277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25</v>
      </c>
      <c r="B57" s="19" t="s">
        <v>273</v>
      </c>
      <c r="C57" s="20" t="s">
        <v>582</v>
      </c>
      <c r="D57" s="19" t="s">
        <v>33</v>
      </c>
      <c r="E57" s="19" t="s">
        <v>204</v>
      </c>
      <c r="F57" s="19" t="s">
        <v>334</v>
      </c>
      <c r="G57" s="277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280</v>
      </c>
      <c r="B58" s="19" t="s">
        <v>357</v>
      </c>
      <c r="C58" s="20" t="s">
        <v>613</v>
      </c>
      <c r="D58" s="19" t="s">
        <v>282</v>
      </c>
      <c r="E58" s="19" t="s">
        <v>204</v>
      </c>
      <c r="F58" s="19" t="s">
        <v>358</v>
      </c>
      <c r="G58" s="277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25</v>
      </c>
      <c r="B59" s="19" t="s">
        <v>278</v>
      </c>
      <c r="C59" s="20" t="s">
        <v>600</v>
      </c>
      <c r="D59" s="19" t="s">
        <v>30</v>
      </c>
      <c r="E59" s="19" t="s">
        <v>212</v>
      </c>
      <c r="F59" s="19" t="s">
        <v>276</v>
      </c>
      <c r="G59" s="277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63" t="s">
        <v>25</v>
      </c>
      <c r="B60" s="63" t="s">
        <v>272</v>
      </c>
      <c r="C60" s="64" t="s">
        <v>581</v>
      </c>
      <c r="D60" s="63" t="s">
        <v>30</v>
      </c>
      <c r="E60" s="63" t="s">
        <v>214</v>
      </c>
      <c r="F60" s="63" t="s">
        <v>276</v>
      </c>
      <c r="G60" s="278"/>
      <c r="H60" s="178"/>
      <c r="I60" s="178"/>
      <c r="J60" s="178"/>
      <c r="K60" s="178"/>
      <c r="L60" s="178"/>
      <c r="M60" s="178"/>
      <c r="N60" s="178"/>
      <c r="O60" s="179"/>
      <c r="P60" s="178"/>
      <c r="Q60" s="180"/>
      <c r="R60" s="180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4.4" customHeight="1" x14ac:dyDescent="0.3">
      <c r="A61" s="282"/>
      <c r="B61" s="283"/>
      <c r="C61" s="283"/>
      <c r="D61" s="283"/>
      <c r="E61" s="283"/>
      <c r="F61" s="283"/>
      <c r="G61" s="280"/>
      <c r="H61" s="284"/>
      <c r="I61" s="284"/>
      <c r="J61" s="284"/>
      <c r="K61" s="284"/>
      <c r="L61" s="284"/>
      <c r="M61" s="284"/>
      <c r="N61" s="284"/>
      <c r="O61" s="285"/>
      <c r="P61" s="284"/>
      <c r="Q61" s="280"/>
      <c r="R61" s="281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22.05" customHeight="1" x14ac:dyDescent="0.3">
      <c r="A62" s="290" t="s">
        <v>5</v>
      </c>
      <c r="B62" s="291"/>
      <c r="C62" s="291"/>
      <c r="D62" s="291"/>
      <c r="E62" s="291"/>
      <c r="F62" s="291"/>
      <c r="G62" s="5">
        <v>45988</v>
      </c>
      <c r="H62" s="274" t="s">
        <v>6</v>
      </c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24" customHeight="1" x14ac:dyDescent="0.3">
      <c r="A63" s="31" t="s">
        <v>7</v>
      </c>
      <c r="B63" s="31" t="s">
        <v>8</v>
      </c>
      <c r="C63" s="32" t="s">
        <v>9</v>
      </c>
      <c r="D63" s="31" t="s">
        <v>10</v>
      </c>
      <c r="E63" s="31" t="s">
        <v>11</v>
      </c>
      <c r="F63" s="31" t="s">
        <v>12</v>
      </c>
      <c r="G63" s="33" t="s">
        <v>13</v>
      </c>
      <c r="H63" s="31" t="s">
        <v>14</v>
      </c>
      <c r="I63" s="34" t="s">
        <v>15</v>
      </c>
      <c r="J63" s="35" t="s">
        <v>16</v>
      </c>
      <c r="K63" s="36" t="s">
        <v>17</v>
      </c>
      <c r="L63" s="35" t="s">
        <v>18</v>
      </c>
      <c r="M63" s="35" t="s">
        <v>19</v>
      </c>
      <c r="N63" s="35" t="s">
        <v>20</v>
      </c>
      <c r="O63" s="31" t="s">
        <v>21</v>
      </c>
      <c r="P63" s="32" t="s">
        <v>22</v>
      </c>
      <c r="Q63" s="35" t="s">
        <v>23</v>
      </c>
      <c r="R63" s="31" t="s">
        <v>24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65" t="s">
        <v>71</v>
      </c>
      <c r="B64" s="165" t="s">
        <v>677</v>
      </c>
      <c r="C64" s="166">
        <v>0.54861111111111105</v>
      </c>
      <c r="D64" s="165" t="s">
        <v>81</v>
      </c>
      <c r="E64" s="165" t="s">
        <v>104</v>
      </c>
      <c r="F64" s="165" t="s">
        <v>664</v>
      </c>
      <c r="G64" s="276"/>
      <c r="H64" s="168" t="s">
        <v>678</v>
      </c>
      <c r="I64" s="169">
        <v>0.99439999999999995</v>
      </c>
      <c r="J64" s="170">
        <v>179</v>
      </c>
      <c r="K64" s="171">
        <v>45983</v>
      </c>
      <c r="L64" s="170">
        <v>67</v>
      </c>
      <c r="M64" s="170">
        <v>0</v>
      </c>
      <c r="N64" s="170">
        <v>15</v>
      </c>
      <c r="O64" s="172" t="s">
        <v>258</v>
      </c>
      <c r="P64" s="173">
        <v>0.54861111111111105</v>
      </c>
      <c r="Q64" s="170">
        <v>180</v>
      </c>
      <c r="R64" s="174" t="s">
        <v>689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218" t="s">
        <v>71</v>
      </c>
      <c r="B65" s="218" t="s">
        <v>665</v>
      </c>
      <c r="C65" s="219">
        <v>0.3298611111111111</v>
      </c>
      <c r="D65" s="218" t="s">
        <v>73</v>
      </c>
      <c r="E65" s="220"/>
      <c r="F65" s="218" t="s">
        <v>74</v>
      </c>
      <c r="G65" s="277"/>
      <c r="H65" s="39" t="s">
        <v>665</v>
      </c>
      <c r="I65" s="40">
        <v>1</v>
      </c>
      <c r="J65" s="41">
        <v>180</v>
      </c>
      <c r="K65" s="42">
        <v>45983</v>
      </c>
      <c r="L65" s="41">
        <v>15</v>
      </c>
      <c r="M65" s="41">
        <v>0</v>
      </c>
      <c r="N65" s="41">
        <v>1</v>
      </c>
      <c r="O65" s="43" t="s">
        <v>75</v>
      </c>
      <c r="P65" s="44">
        <v>0.3298611111111111</v>
      </c>
      <c r="Q65" s="41">
        <v>180</v>
      </c>
      <c r="R65" s="45" t="s">
        <v>690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8" x14ac:dyDescent="0.3">
      <c r="A66" s="300" t="s">
        <v>580</v>
      </c>
      <c r="B66" s="301"/>
      <c r="C66" s="301"/>
      <c r="D66" s="301"/>
      <c r="E66" s="301"/>
      <c r="F66" s="301"/>
      <c r="G66" s="277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9" t="s">
        <v>25</v>
      </c>
      <c r="B67" s="19" t="s">
        <v>278</v>
      </c>
      <c r="C67" s="20" t="s">
        <v>600</v>
      </c>
      <c r="D67" s="19" t="s">
        <v>27</v>
      </c>
      <c r="E67" s="19" t="s">
        <v>619</v>
      </c>
      <c r="F67" s="19" t="s">
        <v>293</v>
      </c>
      <c r="G67" s="277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25</v>
      </c>
      <c r="B68" s="19" t="s">
        <v>273</v>
      </c>
      <c r="C68" s="20" t="s">
        <v>582</v>
      </c>
      <c r="D68" s="19" t="s">
        <v>27</v>
      </c>
      <c r="E68" s="19" t="s">
        <v>223</v>
      </c>
      <c r="F68" s="19" t="s">
        <v>293</v>
      </c>
      <c r="G68" s="277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25</v>
      </c>
      <c r="B69" s="19" t="s">
        <v>272</v>
      </c>
      <c r="C69" s="20" t="s">
        <v>581</v>
      </c>
      <c r="D69" s="19" t="s">
        <v>27</v>
      </c>
      <c r="E69" s="19" t="s">
        <v>204</v>
      </c>
      <c r="F69" s="19" t="s">
        <v>293</v>
      </c>
      <c r="G69" s="277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71</v>
      </c>
      <c r="B70" s="19" t="s">
        <v>371</v>
      </c>
      <c r="C70" s="20" t="s">
        <v>620</v>
      </c>
      <c r="D70" s="19" t="s">
        <v>81</v>
      </c>
      <c r="E70" s="19" t="s">
        <v>204</v>
      </c>
      <c r="F70" s="19" t="s">
        <v>341</v>
      </c>
      <c r="G70" s="277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9" t="s">
        <v>25</v>
      </c>
      <c r="B71" s="19" t="s">
        <v>277</v>
      </c>
      <c r="C71" s="20" t="s">
        <v>583</v>
      </c>
      <c r="D71" s="19" t="s">
        <v>27</v>
      </c>
      <c r="E71" s="19" t="s">
        <v>223</v>
      </c>
      <c r="F71" s="19" t="s">
        <v>79</v>
      </c>
      <c r="G71" s="277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9" t="s">
        <v>54</v>
      </c>
      <c r="B72" s="19" t="s">
        <v>299</v>
      </c>
      <c r="C72" s="20" t="s">
        <v>602</v>
      </c>
      <c r="D72" s="19" t="s">
        <v>56</v>
      </c>
      <c r="E72" s="19" t="s">
        <v>606</v>
      </c>
      <c r="F72" s="19" t="s">
        <v>276</v>
      </c>
      <c r="G72" s="277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9" t="s">
        <v>54</v>
      </c>
      <c r="B73" s="19" t="s">
        <v>291</v>
      </c>
      <c r="C73" s="20" t="s">
        <v>588</v>
      </c>
      <c r="D73" s="19" t="s">
        <v>56</v>
      </c>
      <c r="E73" s="19" t="s">
        <v>619</v>
      </c>
      <c r="F73" s="19" t="s">
        <v>276</v>
      </c>
      <c r="G73" s="277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9" t="s">
        <v>54</v>
      </c>
      <c r="B74" s="19" t="s">
        <v>295</v>
      </c>
      <c r="C74" s="20" t="s">
        <v>604</v>
      </c>
      <c r="D74" s="19" t="s">
        <v>56</v>
      </c>
      <c r="E74" s="19" t="s">
        <v>214</v>
      </c>
      <c r="F74" s="19" t="s">
        <v>276</v>
      </c>
      <c r="G74" s="277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54</v>
      </c>
      <c r="B75" s="19" t="s">
        <v>296</v>
      </c>
      <c r="C75" s="20" t="s">
        <v>605</v>
      </c>
      <c r="D75" s="19" t="s">
        <v>56</v>
      </c>
      <c r="E75" s="19" t="s">
        <v>606</v>
      </c>
      <c r="F75" s="19" t="s">
        <v>276</v>
      </c>
      <c r="G75" s="277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63" t="s">
        <v>54</v>
      </c>
      <c r="B76" s="63" t="s">
        <v>297</v>
      </c>
      <c r="C76" s="64" t="s">
        <v>607</v>
      </c>
      <c r="D76" s="63" t="s">
        <v>56</v>
      </c>
      <c r="E76" s="63" t="s">
        <v>220</v>
      </c>
      <c r="F76" s="63" t="s">
        <v>276</v>
      </c>
      <c r="G76" s="278"/>
      <c r="H76" s="178"/>
      <c r="I76" s="178"/>
      <c r="J76" s="178"/>
      <c r="K76" s="178"/>
      <c r="L76" s="178"/>
      <c r="M76" s="178"/>
      <c r="N76" s="178"/>
      <c r="O76" s="179"/>
      <c r="P76" s="178"/>
      <c r="Q76" s="180"/>
      <c r="R76" s="180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4.4" customHeight="1" x14ac:dyDescent="0.3">
      <c r="A77" s="282"/>
      <c r="B77" s="283"/>
      <c r="C77" s="283"/>
      <c r="D77" s="283"/>
      <c r="E77" s="283"/>
      <c r="F77" s="283"/>
      <c r="G77" s="280"/>
      <c r="H77" s="284"/>
      <c r="I77" s="284"/>
      <c r="J77" s="284"/>
      <c r="K77" s="284"/>
      <c r="L77" s="284"/>
      <c r="M77" s="284"/>
      <c r="N77" s="284"/>
      <c r="O77" s="285"/>
      <c r="P77" s="284"/>
      <c r="Q77" s="280"/>
      <c r="R77" s="281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22.05" customHeight="1" x14ac:dyDescent="0.3">
      <c r="A78" s="290" t="s">
        <v>5</v>
      </c>
      <c r="B78" s="291"/>
      <c r="C78" s="291"/>
      <c r="D78" s="291"/>
      <c r="E78" s="291"/>
      <c r="F78" s="291"/>
      <c r="G78" s="5">
        <v>45989</v>
      </c>
      <c r="H78" s="274" t="s">
        <v>6</v>
      </c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24" customHeight="1" x14ac:dyDescent="0.3">
      <c r="A79" s="31" t="s">
        <v>7</v>
      </c>
      <c r="B79" s="31" t="s">
        <v>8</v>
      </c>
      <c r="C79" s="32" t="s">
        <v>9</v>
      </c>
      <c r="D79" s="31" t="s">
        <v>10</v>
      </c>
      <c r="E79" s="31" t="s">
        <v>11</v>
      </c>
      <c r="F79" s="31" t="s">
        <v>12</v>
      </c>
      <c r="G79" s="33" t="s">
        <v>13</v>
      </c>
      <c r="H79" s="31" t="s">
        <v>14</v>
      </c>
      <c r="I79" s="34" t="s">
        <v>15</v>
      </c>
      <c r="J79" s="35" t="s">
        <v>16</v>
      </c>
      <c r="K79" s="36" t="s">
        <v>17</v>
      </c>
      <c r="L79" s="35" t="s">
        <v>18</v>
      </c>
      <c r="M79" s="35" t="s">
        <v>19</v>
      </c>
      <c r="N79" s="35" t="s">
        <v>20</v>
      </c>
      <c r="O79" s="31" t="s">
        <v>21</v>
      </c>
      <c r="P79" s="32" t="s">
        <v>22</v>
      </c>
      <c r="Q79" s="35" t="s">
        <v>23</v>
      </c>
      <c r="R79" s="31" t="s">
        <v>24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82" t="s">
        <v>71</v>
      </c>
      <c r="B80" s="182" t="s">
        <v>667</v>
      </c>
      <c r="C80" s="183">
        <v>0.13541666666666671</v>
      </c>
      <c r="D80" s="182" t="s">
        <v>81</v>
      </c>
      <c r="E80" s="182" t="s">
        <v>77</v>
      </c>
      <c r="F80" s="182" t="s">
        <v>691</v>
      </c>
      <c r="G80" s="276"/>
      <c r="H80" s="49" t="s">
        <v>669</v>
      </c>
      <c r="I80" s="239">
        <v>0.56669999999999998</v>
      </c>
      <c r="J80" s="51">
        <v>102</v>
      </c>
      <c r="K80" s="52">
        <v>45984</v>
      </c>
      <c r="L80" s="51">
        <v>64</v>
      </c>
      <c r="M80" s="51">
        <v>1</v>
      </c>
      <c r="N80" s="51">
        <v>15</v>
      </c>
      <c r="O80" s="53" t="s">
        <v>479</v>
      </c>
      <c r="P80" s="54">
        <v>0.13541666666666671</v>
      </c>
      <c r="Q80" s="51">
        <v>180</v>
      </c>
      <c r="R80" s="55" t="s">
        <v>692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8" x14ac:dyDescent="0.3">
      <c r="A81" s="300" t="s">
        <v>580</v>
      </c>
      <c r="B81" s="301"/>
      <c r="C81" s="301"/>
      <c r="D81" s="301"/>
      <c r="E81" s="301"/>
      <c r="F81" s="301"/>
      <c r="G81" s="277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9" t="s">
        <v>71</v>
      </c>
      <c r="B82" s="19" t="s">
        <v>373</v>
      </c>
      <c r="C82" s="20" t="s">
        <v>623</v>
      </c>
      <c r="D82" s="19" t="s">
        <v>81</v>
      </c>
      <c r="E82" s="19" t="s">
        <v>214</v>
      </c>
      <c r="F82" s="19" t="s">
        <v>341</v>
      </c>
      <c r="G82" s="277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9" t="s">
        <v>71</v>
      </c>
      <c r="B83" s="19" t="s">
        <v>340</v>
      </c>
      <c r="C83" s="20" t="s">
        <v>624</v>
      </c>
      <c r="D83" s="19" t="s">
        <v>81</v>
      </c>
      <c r="E83" s="19" t="s">
        <v>214</v>
      </c>
      <c r="F83" s="19" t="s">
        <v>386</v>
      </c>
      <c r="G83" s="277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9" t="s">
        <v>25</v>
      </c>
      <c r="B84" s="19" t="s">
        <v>278</v>
      </c>
      <c r="C84" s="20" t="s">
        <v>600</v>
      </c>
      <c r="D84" s="19" t="s">
        <v>27</v>
      </c>
      <c r="E84" s="19" t="s">
        <v>212</v>
      </c>
      <c r="F84" s="19" t="s">
        <v>276</v>
      </c>
      <c r="G84" s="277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9" t="s">
        <v>280</v>
      </c>
      <c r="B85" s="19" t="s">
        <v>357</v>
      </c>
      <c r="C85" s="20" t="s">
        <v>613</v>
      </c>
      <c r="D85" s="19" t="s">
        <v>282</v>
      </c>
      <c r="E85" s="19" t="s">
        <v>214</v>
      </c>
      <c r="F85" s="19" t="s">
        <v>394</v>
      </c>
      <c r="G85" s="277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71</v>
      </c>
      <c r="B86" s="19" t="s">
        <v>389</v>
      </c>
      <c r="C86" s="20" t="s">
        <v>245</v>
      </c>
      <c r="D86" s="19" t="s">
        <v>81</v>
      </c>
      <c r="E86" s="19" t="s">
        <v>619</v>
      </c>
      <c r="F86" s="19" t="s">
        <v>374</v>
      </c>
      <c r="G86" s="277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9" t="s">
        <v>25</v>
      </c>
      <c r="B87" s="19" t="s">
        <v>273</v>
      </c>
      <c r="C87" s="20" t="s">
        <v>582</v>
      </c>
      <c r="D87" s="19" t="s">
        <v>27</v>
      </c>
      <c r="E87" s="19" t="s">
        <v>204</v>
      </c>
      <c r="F87" s="19" t="s">
        <v>335</v>
      </c>
      <c r="G87" s="277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9" t="s">
        <v>25</v>
      </c>
      <c r="B88" s="19" t="s">
        <v>272</v>
      </c>
      <c r="C88" s="20" t="s">
        <v>581</v>
      </c>
      <c r="D88" s="19" t="s">
        <v>27</v>
      </c>
      <c r="E88" s="19" t="s">
        <v>220</v>
      </c>
      <c r="F88" s="19" t="s">
        <v>335</v>
      </c>
      <c r="G88" s="277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9" t="s">
        <v>54</v>
      </c>
      <c r="B89" s="19" t="s">
        <v>299</v>
      </c>
      <c r="C89" s="20" t="s">
        <v>602</v>
      </c>
      <c r="D89" s="19" t="s">
        <v>56</v>
      </c>
      <c r="E89" s="19" t="s">
        <v>220</v>
      </c>
      <c r="F89" s="19" t="s">
        <v>335</v>
      </c>
      <c r="G89" s="277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9" t="s">
        <v>280</v>
      </c>
      <c r="B90" s="19" t="s">
        <v>396</v>
      </c>
      <c r="C90" s="20" t="s">
        <v>625</v>
      </c>
      <c r="D90" s="19" t="s">
        <v>282</v>
      </c>
      <c r="E90" s="19" t="s">
        <v>603</v>
      </c>
      <c r="F90" s="19" t="s">
        <v>397</v>
      </c>
      <c r="G90" s="277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63" t="s">
        <v>25</v>
      </c>
      <c r="B91" s="63" t="s">
        <v>278</v>
      </c>
      <c r="C91" s="64" t="s">
        <v>600</v>
      </c>
      <c r="D91" s="63" t="s">
        <v>30</v>
      </c>
      <c r="E91" s="63" t="s">
        <v>212</v>
      </c>
      <c r="F91" s="63" t="s">
        <v>119</v>
      </c>
      <c r="G91" s="278"/>
      <c r="H91" s="178"/>
      <c r="I91" s="178"/>
      <c r="J91" s="178"/>
      <c r="K91" s="178"/>
      <c r="L91" s="178"/>
      <c r="M91" s="178"/>
      <c r="N91" s="178"/>
      <c r="O91" s="179"/>
      <c r="P91" s="178"/>
      <c r="Q91" s="180"/>
      <c r="R91" s="180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4.4" customHeight="1" x14ac:dyDescent="0.3">
      <c r="A92" s="282"/>
      <c r="B92" s="283"/>
      <c r="C92" s="283"/>
      <c r="D92" s="283"/>
      <c r="E92" s="283"/>
      <c r="F92" s="283"/>
      <c r="G92" s="280"/>
      <c r="H92" s="284"/>
      <c r="I92" s="284"/>
      <c r="J92" s="284"/>
      <c r="K92" s="284"/>
      <c r="L92" s="284"/>
      <c r="M92" s="284"/>
      <c r="N92" s="284"/>
      <c r="O92" s="285"/>
      <c r="P92" s="284"/>
      <c r="Q92" s="280"/>
      <c r="R92" s="28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22.05" customHeight="1" x14ac:dyDescent="0.3">
      <c r="A93" s="290" t="s">
        <v>5</v>
      </c>
      <c r="B93" s="291"/>
      <c r="C93" s="291"/>
      <c r="D93" s="291"/>
      <c r="E93" s="291"/>
      <c r="F93" s="291"/>
      <c r="G93" s="5">
        <v>45990</v>
      </c>
      <c r="H93" s="274" t="s">
        <v>6</v>
      </c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24" customHeight="1" x14ac:dyDescent="0.3">
      <c r="A94" s="31" t="s">
        <v>7</v>
      </c>
      <c r="B94" s="31" t="s">
        <v>8</v>
      </c>
      <c r="C94" s="32" t="s">
        <v>9</v>
      </c>
      <c r="D94" s="31" t="s">
        <v>10</v>
      </c>
      <c r="E94" s="31" t="s">
        <v>11</v>
      </c>
      <c r="F94" s="31" t="s">
        <v>12</v>
      </c>
      <c r="G94" s="33" t="s">
        <v>13</v>
      </c>
      <c r="H94" s="31" t="s">
        <v>14</v>
      </c>
      <c r="I94" s="34" t="s">
        <v>15</v>
      </c>
      <c r="J94" s="35" t="s">
        <v>16</v>
      </c>
      <c r="K94" s="36" t="s">
        <v>17</v>
      </c>
      <c r="L94" s="35" t="s">
        <v>18</v>
      </c>
      <c r="M94" s="35" t="s">
        <v>19</v>
      </c>
      <c r="N94" s="35" t="s">
        <v>20</v>
      </c>
      <c r="O94" s="31" t="s">
        <v>21</v>
      </c>
      <c r="P94" s="32" t="s">
        <v>22</v>
      </c>
      <c r="Q94" s="35" t="s">
        <v>23</v>
      </c>
      <c r="R94" s="31" t="s">
        <v>24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37" t="s">
        <v>71</v>
      </c>
      <c r="B95" s="37" t="s">
        <v>667</v>
      </c>
      <c r="C95" s="38">
        <v>0.1423611111111111</v>
      </c>
      <c r="D95" s="37" t="s">
        <v>81</v>
      </c>
      <c r="E95" s="37" t="s">
        <v>82</v>
      </c>
      <c r="F95" s="37" t="s">
        <v>664</v>
      </c>
      <c r="G95" s="276"/>
      <c r="H95" s="39" t="s">
        <v>669</v>
      </c>
      <c r="I95" s="238">
        <v>0.69440000000000002</v>
      </c>
      <c r="J95" s="41">
        <v>125</v>
      </c>
      <c r="K95" s="42">
        <v>45983</v>
      </c>
      <c r="L95" s="41">
        <v>17</v>
      </c>
      <c r="M95" s="41">
        <v>0</v>
      </c>
      <c r="N95" s="41">
        <v>4</v>
      </c>
      <c r="O95" s="43" t="s">
        <v>427</v>
      </c>
      <c r="P95" s="44">
        <v>0.1423611111111111</v>
      </c>
      <c r="Q95" s="41">
        <v>180</v>
      </c>
      <c r="R95" s="45" t="s">
        <v>693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216" t="s">
        <v>71</v>
      </c>
      <c r="B96" s="216" t="s">
        <v>677</v>
      </c>
      <c r="C96" s="217">
        <v>0.52777777777777779</v>
      </c>
      <c r="D96" s="216" t="s">
        <v>81</v>
      </c>
      <c r="E96" s="216" t="s">
        <v>89</v>
      </c>
      <c r="F96" s="216" t="s">
        <v>668</v>
      </c>
      <c r="G96" s="277"/>
      <c r="H96" s="168" t="s">
        <v>678</v>
      </c>
      <c r="I96" s="169">
        <v>0.95</v>
      </c>
      <c r="J96" s="170">
        <v>171</v>
      </c>
      <c r="K96" s="171">
        <v>45983</v>
      </c>
      <c r="L96" s="170">
        <v>21</v>
      </c>
      <c r="M96" s="170">
        <v>0</v>
      </c>
      <c r="N96" s="170">
        <v>5</v>
      </c>
      <c r="O96" s="172" t="s">
        <v>160</v>
      </c>
      <c r="P96" s="173">
        <v>0.52777777777777779</v>
      </c>
      <c r="Q96" s="170">
        <v>180</v>
      </c>
      <c r="R96" s="174" t="s">
        <v>694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8" x14ac:dyDescent="0.3">
      <c r="A97" s="300" t="s">
        <v>580</v>
      </c>
      <c r="B97" s="301"/>
      <c r="C97" s="301"/>
      <c r="D97" s="301"/>
      <c r="E97" s="301"/>
      <c r="F97" s="301"/>
      <c r="G97" s="277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9" t="s">
        <v>280</v>
      </c>
      <c r="B98" s="19" t="s">
        <v>357</v>
      </c>
      <c r="C98" s="20" t="s">
        <v>633</v>
      </c>
      <c r="D98" s="19" t="s">
        <v>282</v>
      </c>
      <c r="E98" s="19" t="s">
        <v>204</v>
      </c>
      <c r="F98" s="19" t="s">
        <v>405</v>
      </c>
      <c r="G98" s="277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9" t="s">
        <v>285</v>
      </c>
      <c r="B99" s="19" t="s">
        <v>288</v>
      </c>
      <c r="C99" s="20" t="s">
        <v>634</v>
      </c>
      <c r="D99" s="19" t="s">
        <v>81</v>
      </c>
      <c r="E99" s="19" t="s">
        <v>606</v>
      </c>
      <c r="F99" s="19" t="s">
        <v>353</v>
      </c>
      <c r="G99" s="277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9" t="s">
        <v>25</v>
      </c>
      <c r="B100" s="19" t="s">
        <v>278</v>
      </c>
      <c r="C100" s="20" t="s">
        <v>600</v>
      </c>
      <c r="D100" s="19" t="s">
        <v>27</v>
      </c>
      <c r="E100" s="19" t="s">
        <v>223</v>
      </c>
      <c r="F100" s="19" t="s">
        <v>335</v>
      </c>
      <c r="G100" s="277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9" t="s">
        <v>280</v>
      </c>
      <c r="B101" s="19" t="s">
        <v>281</v>
      </c>
      <c r="C101" s="20" t="s">
        <v>601</v>
      </c>
      <c r="D101" s="19" t="s">
        <v>282</v>
      </c>
      <c r="E101" s="19" t="s">
        <v>220</v>
      </c>
      <c r="F101" s="19" t="s">
        <v>407</v>
      </c>
      <c r="G101" s="277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9" t="s">
        <v>280</v>
      </c>
      <c r="B102" s="19" t="s">
        <v>357</v>
      </c>
      <c r="C102" s="20" t="s">
        <v>633</v>
      </c>
      <c r="D102" s="19" t="s">
        <v>33</v>
      </c>
      <c r="E102" s="19" t="s">
        <v>204</v>
      </c>
      <c r="F102" s="19" t="s">
        <v>406</v>
      </c>
      <c r="G102" s="277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9" t="s">
        <v>25</v>
      </c>
      <c r="B103" s="19" t="s">
        <v>273</v>
      </c>
      <c r="C103" s="20" t="s">
        <v>582</v>
      </c>
      <c r="D103" s="19" t="s">
        <v>27</v>
      </c>
      <c r="E103" s="19" t="s">
        <v>606</v>
      </c>
      <c r="F103" s="19" t="s">
        <v>119</v>
      </c>
      <c r="G103" s="277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9" t="s">
        <v>25</v>
      </c>
      <c r="B104" s="19" t="s">
        <v>277</v>
      </c>
      <c r="C104" s="20" t="s">
        <v>583</v>
      </c>
      <c r="D104" s="19" t="s">
        <v>27</v>
      </c>
      <c r="E104" s="19" t="s">
        <v>635</v>
      </c>
      <c r="F104" s="19" t="s">
        <v>119</v>
      </c>
      <c r="G104" s="277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9" t="s">
        <v>25</v>
      </c>
      <c r="B105" s="19" t="s">
        <v>272</v>
      </c>
      <c r="C105" s="20" t="s">
        <v>581</v>
      </c>
      <c r="D105" s="19" t="s">
        <v>27</v>
      </c>
      <c r="E105" s="19" t="s">
        <v>636</v>
      </c>
      <c r="F105" s="19" t="s">
        <v>119</v>
      </c>
      <c r="G105" s="277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9" t="s">
        <v>280</v>
      </c>
      <c r="B106" s="19" t="s">
        <v>281</v>
      </c>
      <c r="C106" s="20" t="s">
        <v>601</v>
      </c>
      <c r="D106" s="19" t="s">
        <v>33</v>
      </c>
      <c r="E106" s="19" t="s">
        <v>220</v>
      </c>
      <c r="F106" s="19" t="s">
        <v>408</v>
      </c>
      <c r="G106" s="277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63" t="s">
        <v>25</v>
      </c>
      <c r="B107" s="63" t="s">
        <v>278</v>
      </c>
      <c r="C107" s="64" t="s">
        <v>600</v>
      </c>
      <c r="D107" s="63" t="s">
        <v>30</v>
      </c>
      <c r="E107" s="63" t="s">
        <v>223</v>
      </c>
      <c r="F107" s="63" t="s">
        <v>61</v>
      </c>
      <c r="G107" s="278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4.4" customHeight="1" x14ac:dyDescent="0.3">
      <c r="A108" s="282"/>
      <c r="B108" s="283"/>
      <c r="C108" s="283"/>
      <c r="D108" s="283"/>
      <c r="E108" s="283"/>
      <c r="F108" s="283"/>
      <c r="G108" s="280"/>
      <c r="H108" s="284"/>
      <c r="I108" s="284"/>
      <c r="J108" s="284"/>
      <c r="K108" s="284"/>
      <c r="L108" s="284"/>
      <c r="M108" s="284"/>
      <c r="N108" s="284"/>
      <c r="O108" s="285"/>
      <c r="P108" s="284"/>
      <c r="Q108" s="280"/>
      <c r="R108" s="28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22.05" customHeight="1" x14ac:dyDescent="0.3">
      <c r="A109" s="290" t="s">
        <v>5</v>
      </c>
      <c r="B109" s="291"/>
      <c r="C109" s="291"/>
      <c r="D109" s="291"/>
      <c r="E109" s="291"/>
      <c r="F109" s="291"/>
      <c r="G109" s="5">
        <v>45991</v>
      </c>
      <c r="H109" s="274" t="s">
        <v>6</v>
      </c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24" customHeight="1" x14ac:dyDescent="0.3">
      <c r="A110" s="31" t="s">
        <v>7</v>
      </c>
      <c r="B110" s="31" t="s">
        <v>8</v>
      </c>
      <c r="C110" s="32" t="s">
        <v>9</v>
      </c>
      <c r="D110" s="31" t="s">
        <v>10</v>
      </c>
      <c r="E110" s="31" t="s">
        <v>11</v>
      </c>
      <c r="F110" s="31" t="s">
        <v>12</v>
      </c>
      <c r="G110" s="33" t="s">
        <v>13</v>
      </c>
      <c r="H110" s="31" t="s">
        <v>14</v>
      </c>
      <c r="I110" s="34" t="s">
        <v>15</v>
      </c>
      <c r="J110" s="35" t="s">
        <v>16</v>
      </c>
      <c r="K110" s="36" t="s">
        <v>17</v>
      </c>
      <c r="L110" s="35" t="s">
        <v>18</v>
      </c>
      <c r="M110" s="35" t="s">
        <v>19</v>
      </c>
      <c r="N110" s="35" t="s">
        <v>20</v>
      </c>
      <c r="O110" s="31" t="s">
        <v>21</v>
      </c>
      <c r="P110" s="32" t="s">
        <v>22</v>
      </c>
      <c r="Q110" s="35" t="s">
        <v>23</v>
      </c>
      <c r="R110" s="31" t="s">
        <v>24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8" t="s">
        <v>25</v>
      </c>
      <c r="B111" s="8" t="s">
        <v>681</v>
      </c>
      <c r="C111" s="9">
        <v>0.36458333333333331</v>
      </c>
      <c r="D111" s="8" t="s">
        <v>591</v>
      </c>
      <c r="E111" s="8" t="s">
        <v>82</v>
      </c>
      <c r="F111" s="8" t="s">
        <v>695</v>
      </c>
      <c r="G111" s="276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5" t="s">
        <v>25</v>
      </c>
      <c r="B112" s="15" t="s">
        <v>681</v>
      </c>
      <c r="C112" s="16">
        <v>0.36458333333333331</v>
      </c>
      <c r="D112" s="15" t="s">
        <v>592</v>
      </c>
      <c r="E112" s="15" t="s">
        <v>92</v>
      </c>
      <c r="F112" s="15" t="s">
        <v>696</v>
      </c>
      <c r="G112" s="277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5" t="s">
        <v>25</v>
      </c>
      <c r="B113" s="15" t="s">
        <v>681</v>
      </c>
      <c r="C113" s="16">
        <v>0.36458333333333331</v>
      </c>
      <c r="D113" s="15" t="s">
        <v>594</v>
      </c>
      <c r="E113" s="15" t="s">
        <v>92</v>
      </c>
      <c r="F113" s="15" t="s">
        <v>697</v>
      </c>
      <c r="G113" s="277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5" t="s">
        <v>25</v>
      </c>
      <c r="B114" s="15" t="s">
        <v>681</v>
      </c>
      <c r="C114" s="16">
        <v>0.36458333333333331</v>
      </c>
      <c r="D114" s="15" t="s">
        <v>596</v>
      </c>
      <c r="E114" s="15" t="s">
        <v>92</v>
      </c>
      <c r="F114" s="15" t="s">
        <v>698</v>
      </c>
      <c r="G114" s="277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65" t="s">
        <v>71</v>
      </c>
      <c r="B115" s="165" t="s">
        <v>677</v>
      </c>
      <c r="C115" s="166">
        <v>0.69097222222222221</v>
      </c>
      <c r="D115" s="165" t="s">
        <v>81</v>
      </c>
      <c r="E115" s="165" t="s">
        <v>82</v>
      </c>
      <c r="F115" s="165" t="s">
        <v>691</v>
      </c>
      <c r="G115" s="277"/>
      <c r="H115" s="168" t="s">
        <v>678</v>
      </c>
      <c r="I115" s="240">
        <v>0.67220000000000002</v>
      </c>
      <c r="J115" s="170">
        <v>121</v>
      </c>
      <c r="K115" s="171">
        <v>45984</v>
      </c>
      <c r="L115" s="170">
        <v>62</v>
      </c>
      <c r="M115" s="170">
        <v>1</v>
      </c>
      <c r="N115" s="170">
        <v>12</v>
      </c>
      <c r="O115" s="172" t="s">
        <v>468</v>
      </c>
      <c r="P115" s="173">
        <v>0.69097222222222221</v>
      </c>
      <c r="Q115" s="170">
        <v>180</v>
      </c>
      <c r="R115" s="174" t="s">
        <v>699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226" t="s">
        <v>71</v>
      </c>
      <c r="B116" s="226" t="s">
        <v>667</v>
      </c>
      <c r="C116" s="227">
        <v>0.3298611111111111</v>
      </c>
      <c r="D116" s="226" t="s">
        <v>81</v>
      </c>
      <c r="E116" s="226" t="s">
        <v>121</v>
      </c>
      <c r="F116" s="226" t="s">
        <v>691</v>
      </c>
      <c r="G116" s="277"/>
      <c r="H116" s="197" t="s">
        <v>669</v>
      </c>
      <c r="I116" s="215">
        <v>0.90559999999999996</v>
      </c>
      <c r="J116" s="199">
        <v>163</v>
      </c>
      <c r="K116" s="200">
        <v>45984</v>
      </c>
      <c r="L116" s="199">
        <v>56</v>
      </c>
      <c r="M116" s="199">
        <v>1</v>
      </c>
      <c r="N116" s="199">
        <v>7</v>
      </c>
      <c r="O116" s="201" t="s">
        <v>700</v>
      </c>
      <c r="P116" s="202">
        <v>0.3298611111111111</v>
      </c>
      <c r="Q116" s="199">
        <v>180</v>
      </c>
      <c r="R116" s="203" t="s">
        <v>701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8" x14ac:dyDescent="0.3">
      <c r="A117" s="300" t="s">
        <v>580</v>
      </c>
      <c r="B117" s="301"/>
      <c r="C117" s="301"/>
      <c r="D117" s="301"/>
      <c r="E117" s="301"/>
      <c r="F117" s="301"/>
      <c r="G117" s="277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9" t="s">
        <v>71</v>
      </c>
      <c r="B118" s="19" t="s">
        <v>389</v>
      </c>
      <c r="C118" s="20" t="s">
        <v>642</v>
      </c>
      <c r="D118" s="19" t="s">
        <v>81</v>
      </c>
      <c r="E118" s="19" t="s">
        <v>204</v>
      </c>
      <c r="F118" s="19" t="s">
        <v>123</v>
      </c>
      <c r="G118" s="277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9" t="s">
        <v>25</v>
      </c>
      <c r="B119" s="19" t="s">
        <v>278</v>
      </c>
      <c r="C119" s="20" t="s">
        <v>600</v>
      </c>
      <c r="D119" s="19" t="s">
        <v>27</v>
      </c>
      <c r="E119" s="19" t="s">
        <v>220</v>
      </c>
      <c r="F119" s="19" t="s">
        <v>275</v>
      </c>
      <c r="G119" s="277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9" t="s">
        <v>25</v>
      </c>
      <c r="B120" s="19" t="s">
        <v>273</v>
      </c>
      <c r="C120" s="20" t="s">
        <v>582</v>
      </c>
      <c r="D120" s="19" t="s">
        <v>27</v>
      </c>
      <c r="E120" s="19" t="s">
        <v>619</v>
      </c>
      <c r="F120" s="19" t="s">
        <v>275</v>
      </c>
      <c r="G120" s="277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9" t="s">
        <v>25</v>
      </c>
      <c r="B121" s="19" t="s">
        <v>272</v>
      </c>
      <c r="C121" s="20" t="s">
        <v>581</v>
      </c>
      <c r="D121" s="19" t="s">
        <v>27</v>
      </c>
      <c r="E121" s="19" t="s">
        <v>220</v>
      </c>
      <c r="F121" s="19" t="s">
        <v>275</v>
      </c>
      <c r="G121" s="277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19" t="s">
        <v>285</v>
      </c>
      <c r="B122" s="19" t="s">
        <v>286</v>
      </c>
      <c r="C122" s="20" t="s">
        <v>585</v>
      </c>
      <c r="D122" s="19" t="s">
        <v>81</v>
      </c>
      <c r="E122" s="19" t="s">
        <v>202</v>
      </c>
      <c r="F122" s="19" t="s">
        <v>287</v>
      </c>
      <c r="G122" s="277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5" customHeight="1" x14ac:dyDescent="0.3">
      <c r="A123" s="19" t="s">
        <v>285</v>
      </c>
      <c r="B123" s="19" t="s">
        <v>288</v>
      </c>
      <c r="C123" s="20" t="s">
        <v>643</v>
      </c>
      <c r="D123" s="19" t="s">
        <v>81</v>
      </c>
      <c r="E123" s="19" t="s">
        <v>603</v>
      </c>
      <c r="F123" s="19" t="s">
        <v>287</v>
      </c>
      <c r="G123" s="277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19" t="s">
        <v>25</v>
      </c>
      <c r="B124" s="19" t="s">
        <v>277</v>
      </c>
      <c r="C124" s="20" t="s">
        <v>583</v>
      </c>
      <c r="D124" s="19" t="s">
        <v>27</v>
      </c>
      <c r="E124" s="19" t="s">
        <v>223</v>
      </c>
      <c r="F124" s="19" t="s">
        <v>293</v>
      </c>
      <c r="G124" s="277"/>
      <c r="H124" s="175"/>
      <c r="I124" s="175"/>
      <c r="J124" s="175"/>
      <c r="K124" s="175"/>
      <c r="L124" s="175"/>
      <c r="M124" s="175"/>
      <c r="N124" s="175"/>
      <c r="O124" s="176"/>
      <c r="P124" s="175"/>
      <c r="Q124" s="177"/>
      <c r="R124" s="17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9" t="s">
        <v>25</v>
      </c>
      <c r="B125" s="19" t="s">
        <v>273</v>
      </c>
      <c r="C125" s="20" t="s">
        <v>582</v>
      </c>
      <c r="D125" s="19" t="s">
        <v>33</v>
      </c>
      <c r="E125" s="19" t="s">
        <v>619</v>
      </c>
      <c r="F125" s="19" t="s">
        <v>79</v>
      </c>
      <c r="G125" s="277"/>
      <c r="H125" s="175"/>
      <c r="I125" s="175"/>
      <c r="J125" s="175"/>
      <c r="K125" s="175"/>
      <c r="L125" s="175"/>
      <c r="M125" s="175"/>
      <c r="N125" s="175"/>
      <c r="O125" s="176"/>
      <c r="P125" s="175"/>
      <c r="Q125" s="177"/>
      <c r="R125" s="17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9" t="s">
        <v>25</v>
      </c>
      <c r="B126" s="19" t="s">
        <v>272</v>
      </c>
      <c r="C126" s="20" t="s">
        <v>581</v>
      </c>
      <c r="D126" s="19" t="s">
        <v>33</v>
      </c>
      <c r="E126" s="19" t="s">
        <v>220</v>
      </c>
      <c r="F126" s="19" t="s">
        <v>79</v>
      </c>
      <c r="G126" s="277"/>
      <c r="H126" s="175"/>
      <c r="I126" s="175"/>
      <c r="J126" s="175"/>
      <c r="K126" s="175"/>
      <c r="L126" s="175"/>
      <c r="M126" s="175"/>
      <c r="N126" s="175"/>
      <c r="O126" s="176"/>
      <c r="P126" s="175"/>
      <c r="Q126" s="177"/>
      <c r="R126" s="17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63" t="s">
        <v>54</v>
      </c>
      <c r="B127" s="63" t="s">
        <v>299</v>
      </c>
      <c r="C127" s="64" t="s">
        <v>602</v>
      </c>
      <c r="D127" s="63" t="s">
        <v>56</v>
      </c>
      <c r="E127" s="63" t="s">
        <v>603</v>
      </c>
      <c r="F127" s="63" t="s">
        <v>79</v>
      </c>
      <c r="G127" s="278"/>
      <c r="H127" s="178"/>
      <c r="I127" s="178"/>
      <c r="J127" s="178"/>
      <c r="K127" s="178"/>
      <c r="L127" s="178"/>
      <c r="M127" s="178"/>
      <c r="N127" s="178"/>
      <c r="O127" s="179"/>
      <c r="P127" s="178"/>
      <c r="Q127" s="180"/>
      <c r="R127" s="180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4.4" customHeight="1" x14ac:dyDescent="0.3">
      <c r="A128" s="279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</sheetData>
  <mergeCells count="44">
    <mergeCell ref="A128:R128"/>
    <mergeCell ref="A108:R108"/>
    <mergeCell ref="A50:F50"/>
    <mergeCell ref="G111:G127"/>
    <mergeCell ref="H93:R93"/>
    <mergeCell ref="G42:G60"/>
    <mergeCell ref="A97:F97"/>
    <mergeCell ref="G2:J2"/>
    <mergeCell ref="A4:F4"/>
    <mergeCell ref="A62:F62"/>
    <mergeCell ref="A109:F109"/>
    <mergeCell ref="A93:F93"/>
    <mergeCell ref="H109:R109"/>
    <mergeCell ref="H23:R23"/>
    <mergeCell ref="A66:F66"/>
    <mergeCell ref="H78:R78"/>
    <mergeCell ref="H4:R4"/>
    <mergeCell ref="H40:R40"/>
    <mergeCell ref="A2:F2"/>
    <mergeCell ref="A3:R3"/>
    <mergeCell ref="G25:G38"/>
    <mergeCell ref="A23:F23"/>
    <mergeCell ref="J1:M1"/>
    <mergeCell ref="A22:R22"/>
    <mergeCell ref="A81:F81"/>
    <mergeCell ref="A28:F28"/>
    <mergeCell ref="G64:G76"/>
    <mergeCell ref="O1:Q1"/>
    <mergeCell ref="A117:F117"/>
    <mergeCell ref="G95:G107"/>
    <mergeCell ref="K2:R2"/>
    <mergeCell ref="A40:F40"/>
    <mergeCell ref="D1:F1"/>
    <mergeCell ref="A92:R92"/>
    <mergeCell ref="A11:F11"/>
    <mergeCell ref="A39:R39"/>
    <mergeCell ref="A77:R77"/>
    <mergeCell ref="A1:C1"/>
    <mergeCell ref="G1:H1"/>
    <mergeCell ref="H62:R62"/>
    <mergeCell ref="G80:G91"/>
    <mergeCell ref="A78:F78"/>
    <mergeCell ref="G6:G21"/>
    <mergeCell ref="A61:R6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669</v>
      </c>
      <c r="D2" s="98">
        <v>9.375E-2</v>
      </c>
      <c r="E2" s="97" t="s">
        <v>662</v>
      </c>
      <c r="F2" s="97" t="s">
        <v>158</v>
      </c>
      <c r="G2" s="99">
        <v>0.94440000000000002</v>
      </c>
      <c r="H2" s="100">
        <v>180</v>
      </c>
      <c r="I2" s="100">
        <v>170</v>
      </c>
      <c r="J2" s="100">
        <v>100</v>
      </c>
      <c r="K2" s="96">
        <v>45983</v>
      </c>
      <c r="L2" s="100">
        <v>0</v>
      </c>
      <c r="M2" s="100">
        <v>1</v>
      </c>
      <c r="N2" s="100">
        <v>24</v>
      </c>
      <c r="O2" s="97" t="s">
        <v>555</v>
      </c>
      <c r="P2" s="101"/>
      <c r="Q2" s="101"/>
      <c r="R2" s="101"/>
      <c r="S2" s="101"/>
      <c r="T2" s="101"/>
      <c r="U2" s="101"/>
      <c r="V2" s="101"/>
      <c r="W2" s="101"/>
      <c r="X2" s="100" t="s">
        <v>85</v>
      </c>
      <c r="Y2" s="100" t="s">
        <v>467</v>
      </c>
      <c r="Z2" s="100" t="s">
        <v>479</v>
      </c>
      <c r="AA2" s="100" t="s">
        <v>229</v>
      </c>
      <c r="AB2" s="100" t="s">
        <v>167</v>
      </c>
      <c r="AC2" s="100" t="s">
        <v>438</v>
      </c>
      <c r="AD2" s="100" t="s">
        <v>263</v>
      </c>
      <c r="AE2" s="100" t="s">
        <v>489</v>
      </c>
      <c r="AF2" s="101"/>
      <c r="AG2" s="101"/>
      <c r="AH2" s="100" t="s">
        <v>702</v>
      </c>
      <c r="AI2" s="101"/>
    </row>
    <row r="3" spans="1:35" ht="18" x14ac:dyDescent="0.3">
      <c r="A3" s="102" t="s">
        <v>157</v>
      </c>
      <c r="B3" s="103">
        <v>45985</v>
      </c>
      <c r="C3" s="104" t="s">
        <v>671</v>
      </c>
      <c r="D3" s="105">
        <v>0.34722222222222232</v>
      </c>
      <c r="E3" s="104" t="s">
        <v>662</v>
      </c>
      <c r="F3" s="104" t="s">
        <v>158</v>
      </c>
      <c r="G3" s="106">
        <v>1</v>
      </c>
      <c r="H3" s="107">
        <v>180</v>
      </c>
      <c r="I3" s="107">
        <v>180</v>
      </c>
      <c r="J3" s="107">
        <v>90</v>
      </c>
      <c r="K3" s="103">
        <v>45982</v>
      </c>
      <c r="L3" s="107">
        <v>0</v>
      </c>
      <c r="M3" s="107">
        <v>0</v>
      </c>
      <c r="N3" s="107">
        <v>46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8"/>
      <c r="Y3" s="107" t="s">
        <v>258</v>
      </c>
      <c r="Z3" s="108"/>
      <c r="AA3" s="108"/>
      <c r="AB3" s="107" t="s">
        <v>510</v>
      </c>
      <c r="AC3" s="107" t="s">
        <v>703</v>
      </c>
      <c r="AD3" s="107" t="s">
        <v>704</v>
      </c>
      <c r="AE3" s="107" t="s">
        <v>481</v>
      </c>
      <c r="AF3" s="108"/>
      <c r="AG3" s="108"/>
      <c r="AH3" s="107" t="s">
        <v>471</v>
      </c>
      <c r="AI3" s="108"/>
    </row>
    <row r="4" spans="1:35" ht="18" x14ac:dyDescent="0.3">
      <c r="A4" s="95" t="s">
        <v>157</v>
      </c>
      <c r="B4" s="96">
        <v>45985</v>
      </c>
      <c r="C4" s="97" t="s">
        <v>665</v>
      </c>
      <c r="D4" s="98">
        <v>0.69444444444444453</v>
      </c>
      <c r="E4" s="97" t="s">
        <v>662</v>
      </c>
      <c r="F4" s="97" t="s">
        <v>158</v>
      </c>
      <c r="G4" s="99">
        <v>0.75</v>
      </c>
      <c r="H4" s="100">
        <v>180</v>
      </c>
      <c r="I4" s="100">
        <v>135</v>
      </c>
      <c r="J4" s="100">
        <v>52</v>
      </c>
      <c r="K4" s="96">
        <v>45983</v>
      </c>
      <c r="L4" s="100">
        <v>0</v>
      </c>
      <c r="M4" s="100">
        <v>6</v>
      </c>
      <c r="N4" s="100">
        <v>52</v>
      </c>
      <c r="O4" s="97" t="s">
        <v>486</v>
      </c>
      <c r="P4" s="101"/>
      <c r="Q4" s="101"/>
      <c r="R4" s="101"/>
      <c r="S4" s="101"/>
      <c r="T4" s="101"/>
      <c r="U4" s="101"/>
      <c r="V4" s="101"/>
      <c r="W4" s="100" t="s">
        <v>125</v>
      </c>
      <c r="X4" s="100" t="s">
        <v>705</v>
      </c>
      <c r="Y4" s="100" t="s">
        <v>706</v>
      </c>
      <c r="Z4" s="100" t="s">
        <v>479</v>
      </c>
      <c r="AA4" s="100" t="s">
        <v>166</v>
      </c>
      <c r="AB4" s="100" t="s">
        <v>261</v>
      </c>
      <c r="AC4" s="100" t="s">
        <v>518</v>
      </c>
      <c r="AD4" s="100" t="s">
        <v>505</v>
      </c>
      <c r="AE4" s="100" t="s">
        <v>459</v>
      </c>
      <c r="AF4" s="101"/>
      <c r="AG4" s="101"/>
      <c r="AH4" s="100" t="s">
        <v>707</v>
      </c>
      <c r="AI4" s="101"/>
    </row>
    <row r="5" spans="1:35" ht="18" x14ac:dyDescent="0.3">
      <c r="A5" s="102" t="s">
        <v>164</v>
      </c>
      <c r="B5" s="103">
        <v>45986</v>
      </c>
      <c r="C5" s="104" t="s">
        <v>665</v>
      </c>
      <c r="D5" s="105">
        <v>0.16666666666666671</v>
      </c>
      <c r="E5" s="104" t="s">
        <v>662</v>
      </c>
      <c r="F5" s="104" t="s">
        <v>158</v>
      </c>
      <c r="G5" s="106">
        <v>0.7833</v>
      </c>
      <c r="H5" s="107">
        <v>180</v>
      </c>
      <c r="I5" s="107">
        <v>141</v>
      </c>
      <c r="J5" s="107">
        <v>45</v>
      </c>
      <c r="K5" s="103">
        <v>45984</v>
      </c>
      <c r="L5" s="107">
        <v>1</v>
      </c>
      <c r="M5" s="107">
        <v>9</v>
      </c>
      <c r="N5" s="107">
        <v>57</v>
      </c>
      <c r="O5" s="104" t="s">
        <v>646</v>
      </c>
      <c r="P5" s="108"/>
      <c r="Q5" s="108"/>
      <c r="R5" s="108"/>
      <c r="S5" s="108"/>
      <c r="T5" s="108"/>
      <c r="U5" s="108"/>
      <c r="V5" s="108"/>
      <c r="W5" s="108"/>
      <c r="X5" s="107" t="s">
        <v>160</v>
      </c>
      <c r="Y5" s="107" t="s">
        <v>437</v>
      </c>
      <c r="Z5" s="107" t="s">
        <v>549</v>
      </c>
      <c r="AA5" s="107" t="s">
        <v>243</v>
      </c>
      <c r="AB5" s="107" t="s">
        <v>167</v>
      </c>
      <c r="AC5" s="107" t="s">
        <v>469</v>
      </c>
      <c r="AD5" s="107" t="s">
        <v>708</v>
      </c>
      <c r="AE5" s="107" t="s">
        <v>170</v>
      </c>
      <c r="AF5" s="108"/>
      <c r="AG5" s="108"/>
      <c r="AH5" s="107" t="s">
        <v>509</v>
      </c>
      <c r="AI5" s="108"/>
    </row>
    <row r="6" spans="1:35" ht="18" x14ac:dyDescent="0.3">
      <c r="A6" s="95" t="s">
        <v>164</v>
      </c>
      <c r="B6" s="96">
        <v>45986</v>
      </c>
      <c r="C6" s="97" t="s">
        <v>678</v>
      </c>
      <c r="D6" s="98">
        <v>0.52777777777777779</v>
      </c>
      <c r="E6" s="97" t="s">
        <v>662</v>
      </c>
      <c r="F6" s="97" t="s">
        <v>158</v>
      </c>
      <c r="G6" s="99">
        <v>0.86109999999999998</v>
      </c>
      <c r="H6" s="100">
        <v>180</v>
      </c>
      <c r="I6" s="100">
        <v>155</v>
      </c>
      <c r="J6" s="100">
        <v>50</v>
      </c>
      <c r="K6" s="96">
        <v>45984</v>
      </c>
      <c r="L6" s="100">
        <v>1</v>
      </c>
      <c r="M6" s="100">
        <v>3</v>
      </c>
      <c r="N6" s="100">
        <v>71</v>
      </c>
      <c r="O6" s="97" t="s">
        <v>551</v>
      </c>
      <c r="P6" s="101"/>
      <c r="Q6" s="101"/>
      <c r="R6" s="101"/>
      <c r="S6" s="101"/>
      <c r="T6" s="101"/>
      <c r="U6" s="101"/>
      <c r="V6" s="101"/>
      <c r="W6" s="101"/>
      <c r="X6" s="100" t="s">
        <v>660</v>
      </c>
      <c r="Y6" s="100" t="s">
        <v>709</v>
      </c>
      <c r="Z6" s="100" t="s">
        <v>454</v>
      </c>
      <c r="AA6" s="100" t="s">
        <v>166</v>
      </c>
      <c r="AB6" s="100" t="s">
        <v>458</v>
      </c>
      <c r="AC6" s="100" t="s">
        <v>710</v>
      </c>
      <c r="AD6" s="100" t="s">
        <v>169</v>
      </c>
      <c r="AE6" s="100" t="s">
        <v>711</v>
      </c>
      <c r="AF6" s="101"/>
      <c r="AG6" s="101"/>
      <c r="AH6" s="100" t="s">
        <v>257</v>
      </c>
      <c r="AI6" s="101"/>
    </row>
    <row r="7" spans="1:35" ht="18" x14ac:dyDescent="0.3">
      <c r="A7" s="102" t="s">
        <v>232</v>
      </c>
      <c r="B7" s="103">
        <v>45987</v>
      </c>
      <c r="C7" s="104" t="s">
        <v>665</v>
      </c>
      <c r="D7" s="105">
        <v>0.1076388888888889</v>
      </c>
      <c r="E7" s="104" t="s">
        <v>662</v>
      </c>
      <c r="F7" s="104" t="s">
        <v>158</v>
      </c>
      <c r="G7" s="106">
        <v>1</v>
      </c>
      <c r="H7" s="107">
        <v>180</v>
      </c>
      <c r="I7" s="107">
        <v>180</v>
      </c>
      <c r="J7" s="107">
        <v>180</v>
      </c>
      <c r="K7" s="103">
        <v>45905</v>
      </c>
      <c r="L7" s="107">
        <v>0</v>
      </c>
      <c r="M7" s="107">
        <v>0</v>
      </c>
      <c r="N7" s="107">
        <v>0</v>
      </c>
      <c r="O7" s="104" t="s">
        <v>75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7" t="s">
        <v>712</v>
      </c>
      <c r="AG7" s="108"/>
      <c r="AH7" s="107" t="s">
        <v>184</v>
      </c>
      <c r="AI7" s="108"/>
    </row>
    <row r="8" spans="1:35" ht="18" x14ac:dyDescent="0.3">
      <c r="A8" s="95" t="s">
        <v>232</v>
      </c>
      <c r="B8" s="96">
        <v>45987</v>
      </c>
      <c r="C8" s="97" t="s">
        <v>669</v>
      </c>
      <c r="D8" s="98">
        <v>0.5</v>
      </c>
      <c r="E8" s="97" t="s">
        <v>662</v>
      </c>
      <c r="F8" s="97" t="s">
        <v>158</v>
      </c>
      <c r="G8" s="99">
        <v>0.9889</v>
      </c>
      <c r="H8" s="100">
        <v>180</v>
      </c>
      <c r="I8" s="100">
        <v>178</v>
      </c>
      <c r="J8" s="100">
        <v>134</v>
      </c>
      <c r="K8" s="96">
        <v>45983</v>
      </c>
      <c r="L8" s="100">
        <v>0</v>
      </c>
      <c r="M8" s="100">
        <v>3</v>
      </c>
      <c r="N8" s="100">
        <v>4</v>
      </c>
      <c r="O8" s="97" t="s">
        <v>160</v>
      </c>
      <c r="P8" s="101"/>
      <c r="Q8" s="101"/>
      <c r="R8" s="101"/>
      <c r="S8" s="101"/>
      <c r="T8" s="101"/>
      <c r="U8" s="101"/>
      <c r="V8" s="101"/>
      <c r="W8" s="100" t="s">
        <v>125</v>
      </c>
      <c r="X8" s="100" t="s">
        <v>705</v>
      </c>
      <c r="Y8" s="101"/>
      <c r="Z8" s="101"/>
      <c r="AA8" s="101"/>
      <c r="AB8" s="100" t="s">
        <v>236</v>
      </c>
      <c r="AC8" s="100" t="s">
        <v>713</v>
      </c>
      <c r="AD8" s="100" t="s">
        <v>169</v>
      </c>
      <c r="AE8" s="100" t="s">
        <v>714</v>
      </c>
      <c r="AF8" s="101"/>
      <c r="AG8" s="101"/>
      <c r="AH8" s="100" t="s">
        <v>645</v>
      </c>
      <c r="AI8" s="101"/>
    </row>
    <row r="9" spans="1:35" ht="18" x14ac:dyDescent="0.3">
      <c r="A9" s="102" t="s">
        <v>232</v>
      </c>
      <c r="B9" s="103">
        <v>45987</v>
      </c>
      <c r="C9" s="104" t="s">
        <v>671</v>
      </c>
      <c r="D9" s="105">
        <v>0.92361111111111116</v>
      </c>
      <c r="E9" s="104" t="s">
        <v>662</v>
      </c>
      <c r="F9" s="104" t="s">
        <v>158</v>
      </c>
      <c r="G9" s="106">
        <v>0.99439999999999995</v>
      </c>
      <c r="H9" s="107">
        <v>180</v>
      </c>
      <c r="I9" s="107">
        <v>179</v>
      </c>
      <c r="J9" s="107">
        <v>109</v>
      </c>
      <c r="K9" s="103">
        <v>45984</v>
      </c>
      <c r="L9" s="107">
        <v>1</v>
      </c>
      <c r="M9" s="107">
        <v>2</v>
      </c>
      <c r="N9" s="107">
        <v>13</v>
      </c>
      <c r="O9" s="104" t="s">
        <v>75</v>
      </c>
      <c r="P9" s="108"/>
      <c r="Q9" s="108"/>
      <c r="R9" s="108"/>
      <c r="S9" s="108"/>
      <c r="T9" s="108"/>
      <c r="U9" s="108"/>
      <c r="V9" s="108"/>
      <c r="W9" s="108"/>
      <c r="X9" s="108"/>
      <c r="Y9" s="107" t="s">
        <v>258</v>
      </c>
      <c r="Z9" s="107" t="s">
        <v>468</v>
      </c>
      <c r="AA9" s="108"/>
      <c r="AB9" s="107" t="s">
        <v>488</v>
      </c>
      <c r="AC9" s="107" t="s">
        <v>518</v>
      </c>
      <c r="AD9" s="107" t="s">
        <v>480</v>
      </c>
      <c r="AE9" s="107" t="s">
        <v>715</v>
      </c>
      <c r="AF9" s="108"/>
      <c r="AG9" s="108"/>
      <c r="AH9" s="107" t="s">
        <v>716</v>
      </c>
      <c r="AI9" s="108"/>
    </row>
    <row r="10" spans="1:35" ht="18" x14ac:dyDescent="0.3">
      <c r="A10" s="95" t="s">
        <v>177</v>
      </c>
      <c r="B10" s="96">
        <v>45988</v>
      </c>
      <c r="C10" s="97" t="s">
        <v>665</v>
      </c>
      <c r="D10" s="98">
        <v>0.3298611111111111</v>
      </c>
      <c r="E10" s="97" t="s">
        <v>662</v>
      </c>
      <c r="F10" s="97" t="s">
        <v>158</v>
      </c>
      <c r="G10" s="99">
        <v>1</v>
      </c>
      <c r="H10" s="100">
        <v>180</v>
      </c>
      <c r="I10" s="100">
        <v>180</v>
      </c>
      <c r="J10" s="100">
        <v>135</v>
      </c>
      <c r="K10" s="96">
        <v>45983</v>
      </c>
      <c r="L10" s="100">
        <v>0</v>
      </c>
      <c r="M10" s="100">
        <v>1</v>
      </c>
      <c r="N10" s="100">
        <v>15</v>
      </c>
      <c r="O10" s="97" t="s">
        <v>75</v>
      </c>
      <c r="P10" s="101"/>
      <c r="Q10" s="101"/>
      <c r="R10" s="101"/>
      <c r="S10" s="101"/>
      <c r="T10" s="101"/>
      <c r="U10" s="101"/>
      <c r="V10" s="101"/>
      <c r="W10" s="101"/>
      <c r="X10" s="101"/>
      <c r="Y10" s="100" t="s">
        <v>427</v>
      </c>
      <c r="Z10" s="100" t="s">
        <v>259</v>
      </c>
      <c r="AA10" s="100" t="s">
        <v>503</v>
      </c>
      <c r="AB10" s="100" t="s">
        <v>504</v>
      </c>
      <c r="AC10" s="100" t="s">
        <v>268</v>
      </c>
      <c r="AD10" s="100" t="s">
        <v>178</v>
      </c>
      <c r="AE10" s="100" t="s">
        <v>711</v>
      </c>
      <c r="AF10" s="101"/>
      <c r="AG10" s="101"/>
      <c r="AH10" s="100" t="s">
        <v>184</v>
      </c>
      <c r="AI10" s="101"/>
    </row>
    <row r="11" spans="1:35" ht="18" x14ac:dyDescent="0.3">
      <c r="A11" s="102" t="s">
        <v>177</v>
      </c>
      <c r="B11" s="103">
        <v>45988</v>
      </c>
      <c r="C11" s="104" t="s">
        <v>678</v>
      </c>
      <c r="D11" s="105">
        <v>0.54861111111111105</v>
      </c>
      <c r="E11" s="104" t="s">
        <v>662</v>
      </c>
      <c r="F11" s="104" t="s">
        <v>158</v>
      </c>
      <c r="G11" s="106">
        <v>0.99439999999999995</v>
      </c>
      <c r="H11" s="107">
        <v>180</v>
      </c>
      <c r="I11" s="107">
        <v>179</v>
      </c>
      <c r="J11" s="107">
        <v>95</v>
      </c>
      <c r="K11" s="103">
        <v>45983</v>
      </c>
      <c r="L11" s="107">
        <v>0</v>
      </c>
      <c r="M11" s="107">
        <v>15</v>
      </c>
      <c r="N11" s="107">
        <v>67</v>
      </c>
      <c r="O11" s="104" t="s">
        <v>258</v>
      </c>
      <c r="P11" s="108"/>
      <c r="Q11" s="108"/>
      <c r="R11" s="108"/>
      <c r="S11" s="108"/>
      <c r="T11" s="108"/>
      <c r="U11" s="108"/>
      <c r="V11" s="108"/>
      <c r="W11" s="108"/>
      <c r="X11" s="108"/>
      <c r="Y11" s="107" t="s">
        <v>652</v>
      </c>
      <c r="Z11" s="107" t="s">
        <v>446</v>
      </c>
      <c r="AA11" s="107" t="s">
        <v>717</v>
      </c>
      <c r="AB11" s="107" t="s">
        <v>718</v>
      </c>
      <c r="AC11" s="108"/>
      <c r="AD11" s="107" t="s">
        <v>719</v>
      </c>
      <c r="AE11" s="107" t="s">
        <v>720</v>
      </c>
      <c r="AF11" s="108"/>
      <c r="AG11" s="108"/>
      <c r="AH11" s="107" t="s">
        <v>463</v>
      </c>
      <c r="AI11" s="108"/>
    </row>
    <row r="12" spans="1:35" ht="18" x14ac:dyDescent="0.3">
      <c r="A12" s="95" t="s">
        <v>520</v>
      </c>
      <c r="B12" s="96">
        <v>45989</v>
      </c>
      <c r="C12" s="97" t="s">
        <v>669</v>
      </c>
      <c r="D12" s="98">
        <v>0.13541666666666671</v>
      </c>
      <c r="E12" s="97" t="s">
        <v>662</v>
      </c>
      <c r="F12" s="97" t="s">
        <v>158</v>
      </c>
      <c r="G12" s="99">
        <v>0.56669999999999998</v>
      </c>
      <c r="H12" s="100">
        <v>180</v>
      </c>
      <c r="I12" s="100">
        <v>102</v>
      </c>
      <c r="J12" s="100">
        <v>0</v>
      </c>
      <c r="K12" s="96">
        <v>45984</v>
      </c>
      <c r="L12" s="100">
        <v>1</v>
      </c>
      <c r="M12" s="100">
        <v>15</v>
      </c>
      <c r="N12" s="100">
        <v>64</v>
      </c>
      <c r="O12" s="97" t="s">
        <v>479</v>
      </c>
      <c r="P12" s="101"/>
      <c r="Q12" s="101"/>
      <c r="R12" s="101"/>
      <c r="S12" s="101"/>
      <c r="T12" s="101"/>
      <c r="U12" s="101"/>
      <c r="V12" s="101"/>
      <c r="W12" s="101"/>
      <c r="X12" s="100" t="s">
        <v>235</v>
      </c>
      <c r="Y12" s="100" t="s">
        <v>545</v>
      </c>
      <c r="Z12" s="100" t="s">
        <v>658</v>
      </c>
      <c r="AA12" s="100" t="s">
        <v>721</v>
      </c>
      <c r="AB12" s="100" t="s">
        <v>722</v>
      </c>
      <c r="AC12" s="100" t="s">
        <v>723</v>
      </c>
      <c r="AD12" s="100" t="s">
        <v>724</v>
      </c>
      <c r="AE12" s="101"/>
      <c r="AF12" s="101"/>
      <c r="AG12" s="101"/>
      <c r="AH12" s="101"/>
      <c r="AI12" s="101"/>
    </row>
    <row r="13" spans="1:35" ht="18" x14ac:dyDescent="0.3">
      <c r="A13" s="102" t="s">
        <v>180</v>
      </c>
      <c r="B13" s="103">
        <v>45990</v>
      </c>
      <c r="C13" s="104" t="s">
        <v>669</v>
      </c>
      <c r="D13" s="105">
        <v>0.1423611111111111</v>
      </c>
      <c r="E13" s="104" t="s">
        <v>662</v>
      </c>
      <c r="F13" s="104" t="s">
        <v>158</v>
      </c>
      <c r="G13" s="106">
        <v>0.69440000000000002</v>
      </c>
      <c r="H13" s="107">
        <v>180</v>
      </c>
      <c r="I13" s="107">
        <v>125</v>
      </c>
      <c r="J13" s="107">
        <v>85</v>
      </c>
      <c r="K13" s="103">
        <v>45983</v>
      </c>
      <c r="L13" s="107">
        <v>0</v>
      </c>
      <c r="M13" s="107">
        <v>4</v>
      </c>
      <c r="N13" s="107">
        <v>17</v>
      </c>
      <c r="O13" s="104" t="s">
        <v>427</v>
      </c>
      <c r="P13" s="107" t="s">
        <v>265</v>
      </c>
      <c r="Q13" s="108"/>
      <c r="R13" s="108"/>
      <c r="S13" s="108"/>
      <c r="T13" s="108"/>
      <c r="U13" s="108"/>
      <c r="V13" s="108"/>
      <c r="W13" s="108"/>
      <c r="X13" s="107" t="s">
        <v>160</v>
      </c>
      <c r="Y13" s="107" t="s">
        <v>482</v>
      </c>
      <c r="Z13" s="107" t="s">
        <v>525</v>
      </c>
      <c r="AA13" s="107" t="s">
        <v>229</v>
      </c>
      <c r="AB13" s="107" t="s">
        <v>230</v>
      </c>
      <c r="AC13" s="108"/>
      <c r="AD13" s="108"/>
      <c r="AE13" s="108"/>
      <c r="AF13" s="108"/>
      <c r="AG13" s="108"/>
      <c r="AH13" s="107" t="s">
        <v>725</v>
      </c>
      <c r="AI13" s="108"/>
    </row>
    <row r="14" spans="1:35" ht="18" x14ac:dyDescent="0.3">
      <c r="A14" s="95" t="s">
        <v>180</v>
      </c>
      <c r="B14" s="96">
        <v>45990</v>
      </c>
      <c r="C14" s="97" t="s">
        <v>678</v>
      </c>
      <c r="D14" s="98">
        <v>0.52777777777777779</v>
      </c>
      <c r="E14" s="97" t="s">
        <v>662</v>
      </c>
      <c r="F14" s="97" t="s">
        <v>158</v>
      </c>
      <c r="G14" s="99">
        <v>0.95</v>
      </c>
      <c r="H14" s="100">
        <v>180</v>
      </c>
      <c r="I14" s="100">
        <v>171</v>
      </c>
      <c r="J14" s="100">
        <v>90</v>
      </c>
      <c r="K14" s="96">
        <v>45983</v>
      </c>
      <c r="L14" s="100">
        <v>0</v>
      </c>
      <c r="M14" s="100">
        <v>5</v>
      </c>
      <c r="N14" s="100">
        <v>21</v>
      </c>
      <c r="O14" s="97" t="s">
        <v>160</v>
      </c>
      <c r="P14" s="100" t="s">
        <v>726</v>
      </c>
      <c r="Q14" s="101"/>
      <c r="R14" s="101"/>
      <c r="S14" s="101"/>
      <c r="T14" s="101"/>
      <c r="U14" s="101"/>
      <c r="V14" s="101"/>
      <c r="W14" s="101"/>
      <c r="X14" s="100" t="s">
        <v>727</v>
      </c>
      <c r="Y14" s="100" t="s">
        <v>728</v>
      </c>
      <c r="Z14" s="100" t="s">
        <v>729</v>
      </c>
      <c r="AA14" s="100" t="s">
        <v>730</v>
      </c>
      <c r="AB14" s="100" t="s">
        <v>447</v>
      </c>
      <c r="AC14" s="101"/>
      <c r="AD14" s="101"/>
      <c r="AE14" s="101"/>
      <c r="AF14" s="101"/>
      <c r="AG14" s="101"/>
      <c r="AH14" s="100" t="s">
        <v>471</v>
      </c>
      <c r="AI14" s="101"/>
    </row>
    <row r="15" spans="1:35" ht="18" x14ac:dyDescent="0.3">
      <c r="A15" s="102" t="s">
        <v>186</v>
      </c>
      <c r="B15" s="103">
        <v>45991</v>
      </c>
      <c r="C15" s="104" t="s">
        <v>669</v>
      </c>
      <c r="D15" s="105">
        <v>0.3298611111111111</v>
      </c>
      <c r="E15" s="104" t="s">
        <v>662</v>
      </c>
      <c r="F15" s="104" t="s">
        <v>158</v>
      </c>
      <c r="G15" s="106">
        <v>0.90559999999999996</v>
      </c>
      <c r="H15" s="107">
        <v>180</v>
      </c>
      <c r="I15" s="107">
        <v>163</v>
      </c>
      <c r="J15" s="107">
        <v>82</v>
      </c>
      <c r="K15" s="103">
        <v>45984</v>
      </c>
      <c r="L15" s="107">
        <v>1</v>
      </c>
      <c r="M15" s="107">
        <v>7</v>
      </c>
      <c r="N15" s="107">
        <v>56</v>
      </c>
      <c r="O15" s="104" t="s">
        <v>700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7" t="s">
        <v>487</v>
      </c>
      <c r="AA15" s="107" t="s">
        <v>731</v>
      </c>
      <c r="AB15" s="107" t="s">
        <v>261</v>
      </c>
      <c r="AC15" s="107" t="s">
        <v>732</v>
      </c>
      <c r="AD15" s="107" t="s">
        <v>178</v>
      </c>
      <c r="AE15" s="107" t="s">
        <v>711</v>
      </c>
      <c r="AF15" s="107" t="s">
        <v>733</v>
      </c>
      <c r="AG15" s="108"/>
      <c r="AH15" s="107" t="s">
        <v>509</v>
      </c>
      <c r="AI15" s="108"/>
    </row>
    <row r="16" spans="1:35" ht="18" x14ac:dyDescent="0.3">
      <c r="A16" s="95" t="s">
        <v>186</v>
      </c>
      <c r="B16" s="96">
        <v>45991</v>
      </c>
      <c r="C16" s="97" t="s">
        <v>678</v>
      </c>
      <c r="D16" s="98">
        <v>0.69097222222222221</v>
      </c>
      <c r="E16" s="97" t="s">
        <v>662</v>
      </c>
      <c r="F16" s="97" t="s">
        <v>158</v>
      </c>
      <c r="G16" s="99">
        <v>0.67220000000000002</v>
      </c>
      <c r="H16" s="100">
        <v>180</v>
      </c>
      <c r="I16" s="100">
        <v>121</v>
      </c>
      <c r="J16" s="100">
        <v>45</v>
      </c>
      <c r="K16" s="96">
        <v>45984</v>
      </c>
      <c r="L16" s="100">
        <v>1</v>
      </c>
      <c r="M16" s="100">
        <v>12</v>
      </c>
      <c r="N16" s="100">
        <v>62</v>
      </c>
      <c r="O16" s="97" t="s">
        <v>468</v>
      </c>
      <c r="P16" s="100" t="s">
        <v>265</v>
      </c>
      <c r="Q16" s="101"/>
      <c r="R16" s="101"/>
      <c r="S16" s="101"/>
      <c r="T16" s="101"/>
      <c r="U16" s="101"/>
      <c r="V16" s="101"/>
      <c r="W16" s="101"/>
      <c r="X16" s="101"/>
      <c r="Y16" s="100" t="s">
        <v>427</v>
      </c>
      <c r="Z16" s="100" t="s">
        <v>483</v>
      </c>
      <c r="AA16" s="100" t="s">
        <v>734</v>
      </c>
      <c r="AB16" s="100" t="s">
        <v>488</v>
      </c>
      <c r="AC16" s="100" t="s">
        <v>735</v>
      </c>
      <c r="AD16" s="101"/>
      <c r="AE16" s="101"/>
      <c r="AF16" s="101"/>
      <c r="AG16" s="101"/>
      <c r="AH16" s="100" t="s">
        <v>509</v>
      </c>
      <c r="AI16" s="101"/>
    </row>
    <row r="17" spans="1:35" ht="18" x14ac:dyDescent="0.3">
      <c r="A17" s="109" t="s">
        <v>189</v>
      </c>
      <c r="B17" s="110"/>
      <c r="C17" s="111">
        <f>COUNTA(C2:C16)</f>
        <v>15</v>
      </c>
      <c r="D17" s="110"/>
      <c r="E17" s="110"/>
      <c r="F17" s="110"/>
      <c r="G17" s="112">
        <f>AVERAGE(G2:G16)</f>
        <v>0.87369333333333321</v>
      </c>
      <c r="H17" s="113">
        <f>SUM(H2:H16)</f>
        <v>2700</v>
      </c>
      <c r="I17" s="113">
        <f>SUM(I2:I16)</f>
        <v>2359</v>
      </c>
      <c r="J17" s="113">
        <f>SUM(J2:J16)</f>
        <v>1292</v>
      </c>
      <c r="K17" s="110"/>
      <c r="L17" s="113">
        <f>SUM(L2:L16)</f>
        <v>6</v>
      </c>
      <c r="M17" s="113">
        <f>SUM(M2:M16)</f>
        <v>83</v>
      </c>
      <c r="N17" s="113">
        <f>SUM(N2:N16)</f>
        <v>569</v>
      </c>
      <c r="O17" s="110"/>
      <c r="P17" s="113">
        <f t="shared" ref="P17:AI17" si="0">SUMPRODUCT(--IFERROR(VALUE(SUBSTITUTE(SUBSTITUTE(SUBSTITUTE(SUBSTITUTE(SUBSTITUTE(SUBSTITUTE(SUBSTITUTE(SUBSTITUTE(SUBSTITUTE(SUBSTITUTE(SUBSTITUTE(SUBSTITUTE(SUBSTITUTE(SUBSTITUTE(SUBSTITUTE(SUBSTITUTE(SUBSTITUTE(SUBSTITUTE(SUBSTITUTE(SUBSTITUTE(P2:P16,"Y",""),"B",""),"M",""),"H",""),"Q",""),"K",""),"V",""),"L",""),"G",""),"S",""),"W",""),"T",""),"X",""),"U",""),"O",""),"I",""),"E",""),"A",""),"P",""),"N","")),0))</f>
        <v>0</v>
      </c>
      <c r="Q17" s="113">
        <f t="shared" si="0"/>
        <v>0</v>
      </c>
      <c r="R17" s="113">
        <f t="shared" si="0"/>
        <v>0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3">
        <f t="shared" si="0"/>
        <v>0</v>
      </c>
      <c r="AA17" s="113">
        <f t="shared" si="0"/>
        <v>0</v>
      </c>
      <c r="AB17" s="113">
        <f t="shared" si="0"/>
        <v>0</v>
      </c>
      <c r="AC17" s="113">
        <f t="shared" si="0"/>
        <v>0</v>
      </c>
      <c r="AD17" s="113">
        <f t="shared" si="0"/>
        <v>0</v>
      </c>
      <c r="AE17" s="113">
        <f t="shared" si="0"/>
        <v>0</v>
      </c>
      <c r="AF17" s="113">
        <f t="shared" si="0"/>
        <v>0</v>
      </c>
      <c r="AG17" s="113">
        <f t="shared" si="0"/>
        <v>0</v>
      </c>
      <c r="AH17" s="113">
        <f t="shared" si="0"/>
        <v>0</v>
      </c>
      <c r="AI17" s="113">
        <f t="shared" si="0"/>
        <v>0</v>
      </c>
    </row>
  </sheetData>
  <autoFilter ref="A1:AI16" xr:uid="{00000000-0009-0000-0000-000011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5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87">
        <v>45985</v>
      </c>
      <c r="B2" s="137" t="s">
        <v>71</v>
      </c>
      <c r="C2" s="138" t="s">
        <v>663</v>
      </c>
      <c r="D2" s="137" t="s">
        <v>662</v>
      </c>
      <c r="E2" s="139">
        <v>1.694444444444444</v>
      </c>
      <c r="F2" s="137" t="s">
        <v>81</v>
      </c>
      <c r="G2" s="140">
        <v>3</v>
      </c>
      <c r="H2" s="188" t="s">
        <v>664</v>
      </c>
    </row>
    <row r="3" spans="1:8" ht="18" x14ac:dyDescent="0.3">
      <c r="A3" s="141">
        <v>45985</v>
      </c>
      <c r="B3" s="142" t="s">
        <v>71</v>
      </c>
      <c r="C3" s="143" t="s">
        <v>667</v>
      </c>
      <c r="D3" s="142" t="s">
        <v>662</v>
      </c>
      <c r="E3" s="144">
        <v>1.09375</v>
      </c>
      <c r="F3" s="142" t="s">
        <v>81</v>
      </c>
      <c r="G3" s="236">
        <v>9</v>
      </c>
      <c r="H3" s="142" t="s">
        <v>668</v>
      </c>
    </row>
    <row r="4" spans="1:8" ht="18" x14ac:dyDescent="0.3">
      <c r="A4" s="141">
        <v>45985</v>
      </c>
      <c r="B4" s="142" t="s">
        <v>71</v>
      </c>
      <c r="C4" s="143" t="s">
        <v>671</v>
      </c>
      <c r="D4" s="142" t="s">
        <v>662</v>
      </c>
      <c r="E4" s="144">
        <v>1.3472222222222221</v>
      </c>
      <c r="F4" s="142" t="s">
        <v>73</v>
      </c>
      <c r="G4" s="142"/>
      <c r="H4" s="142" t="s">
        <v>74</v>
      </c>
    </row>
    <row r="5" spans="1:8" ht="18" x14ac:dyDescent="0.3">
      <c r="A5" s="126">
        <v>45985</v>
      </c>
      <c r="B5" s="116" t="s">
        <v>63</v>
      </c>
      <c r="C5" s="117" t="s">
        <v>673</v>
      </c>
      <c r="D5" s="116" t="s">
        <v>662</v>
      </c>
      <c r="E5" s="118">
        <v>1.3472222222222221</v>
      </c>
      <c r="F5" s="116" t="s">
        <v>37</v>
      </c>
      <c r="G5" s="119">
        <v>4</v>
      </c>
      <c r="H5" s="116" t="s">
        <v>668</v>
      </c>
    </row>
    <row r="6" spans="1:8" ht="18" x14ac:dyDescent="0.3">
      <c r="A6" s="127">
        <v>45985</v>
      </c>
      <c r="B6" s="128" t="s">
        <v>63</v>
      </c>
      <c r="C6" s="129" t="s">
        <v>674</v>
      </c>
      <c r="D6" s="128" t="s">
        <v>662</v>
      </c>
      <c r="E6" s="130">
        <v>1.694444444444444</v>
      </c>
      <c r="F6" s="128" t="s">
        <v>48</v>
      </c>
      <c r="G6" s="131">
        <v>4</v>
      </c>
      <c r="H6" s="128" t="s">
        <v>675</v>
      </c>
    </row>
    <row r="7" spans="1:8" ht="15.6" x14ac:dyDescent="0.3">
      <c r="A7" s="185"/>
      <c r="B7" s="185"/>
      <c r="C7" s="185"/>
      <c r="D7" s="185"/>
      <c r="E7" s="186" t="s">
        <v>661</v>
      </c>
      <c r="F7" s="185"/>
      <c r="G7" s="185"/>
      <c r="H7" s="3"/>
    </row>
    <row r="8" spans="1:8" ht="18" x14ac:dyDescent="0.3">
      <c r="A8" s="126">
        <v>45985</v>
      </c>
      <c r="B8" s="116" t="s">
        <v>25</v>
      </c>
      <c r="C8" s="117" t="s">
        <v>272</v>
      </c>
      <c r="D8" s="116" t="s">
        <v>271</v>
      </c>
      <c r="E8" s="118">
        <v>1.989583333333333</v>
      </c>
      <c r="F8" s="116" t="s">
        <v>27</v>
      </c>
      <c r="G8" s="119">
        <v>1</v>
      </c>
      <c r="H8" s="116" t="s">
        <v>123</v>
      </c>
    </row>
    <row r="9" spans="1:8" ht="18" x14ac:dyDescent="0.3">
      <c r="A9" s="127">
        <v>45985</v>
      </c>
      <c r="B9" s="128" t="s">
        <v>25</v>
      </c>
      <c r="C9" s="129" t="s">
        <v>273</v>
      </c>
      <c r="D9" s="128" t="s">
        <v>271</v>
      </c>
      <c r="E9" s="130">
        <v>1.489583333333333</v>
      </c>
      <c r="F9" s="128" t="s">
        <v>27</v>
      </c>
      <c r="G9" s="131">
        <v>3</v>
      </c>
      <c r="H9" s="128" t="s">
        <v>275</v>
      </c>
    </row>
    <row r="10" spans="1:8" ht="18" x14ac:dyDescent="0.3">
      <c r="A10" s="127">
        <v>45985</v>
      </c>
      <c r="B10" s="128" t="s">
        <v>25</v>
      </c>
      <c r="C10" s="129" t="s">
        <v>277</v>
      </c>
      <c r="D10" s="128" t="s">
        <v>271</v>
      </c>
      <c r="E10" s="130">
        <v>1.8888888888888891</v>
      </c>
      <c r="F10" s="128" t="s">
        <v>27</v>
      </c>
      <c r="G10" s="131">
        <v>1</v>
      </c>
      <c r="H10" s="128" t="s">
        <v>275</v>
      </c>
    </row>
    <row r="11" spans="1:8" ht="18" x14ac:dyDescent="0.3">
      <c r="A11" s="126">
        <v>45985</v>
      </c>
      <c r="B11" s="116" t="s">
        <v>280</v>
      </c>
      <c r="C11" s="117" t="s">
        <v>281</v>
      </c>
      <c r="D11" s="116" t="s">
        <v>271</v>
      </c>
      <c r="E11" s="118">
        <v>1.0138888888888891</v>
      </c>
      <c r="F11" s="116" t="s">
        <v>282</v>
      </c>
      <c r="G11" s="119">
        <v>3</v>
      </c>
      <c r="H11" s="116" t="s">
        <v>283</v>
      </c>
    </row>
    <row r="12" spans="1:8" ht="18" x14ac:dyDescent="0.3">
      <c r="A12" s="126">
        <v>45985</v>
      </c>
      <c r="B12" s="116" t="s">
        <v>285</v>
      </c>
      <c r="C12" s="117" t="s">
        <v>286</v>
      </c>
      <c r="D12" s="116" t="s">
        <v>271</v>
      </c>
      <c r="E12" s="118">
        <v>1.493055555555556</v>
      </c>
      <c r="F12" s="116" t="s">
        <v>81</v>
      </c>
      <c r="G12" s="119">
        <v>1</v>
      </c>
      <c r="H12" s="116" t="s">
        <v>287</v>
      </c>
    </row>
    <row r="13" spans="1:8" ht="18" x14ac:dyDescent="0.3">
      <c r="A13" s="127">
        <v>45985</v>
      </c>
      <c r="B13" s="128" t="s">
        <v>285</v>
      </c>
      <c r="C13" s="129" t="s">
        <v>288</v>
      </c>
      <c r="D13" s="128" t="s">
        <v>271</v>
      </c>
      <c r="E13" s="130">
        <v>1.135416666666667</v>
      </c>
      <c r="F13" s="128" t="s">
        <v>81</v>
      </c>
      <c r="G13" s="131">
        <v>5</v>
      </c>
      <c r="H13" s="128" t="s">
        <v>287</v>
      </c>
    </row>
    <row r="14" spans="1:8" ht="18" x14ac:dyDescent="0.3">
      <c r="A14" s="127">
        <v>45985</v>
      </c>
      <c r="B14" s="128" t="s">
        <v>285</v>
      </c>
      <c r="C14" s="129" t="s">
        <v>290</v>
      </c>
      <c r="D14" s="128" t="s">
        <v>271</v>
      </c>
      <c r="E14" s="130">
        <v>1.868055555555556</v>
      </c>
      <c r="F14" s="128" t="s">
        <v>81</v>
      </c>
      <c r="G14" s="131">
        <v>1</v>
      </c>
      <c r="H14" s="128" t="s">
        <v>287</v>
      </c>
    </row>
    <row r="15" spans="1:8" ht="18" x14ac:dyDescent="0.3">
      <c r="A15" s="126">
        <v>45985</v>
      </c>
      <c r="B15" s="116" t="s">
        <v>54</v>
      </c>
      <c r="C15" s="117" t="s">
        <v>291</v>
      </c>
      <c r="D15" s="116" t="s">
        <v>271</v>
      </c>
      <c r="E15" s="118">
        <v>1.993055555555556</v>
      </c>
      <c r="F15" s="116" t="s">
        <v>292</v>
      </c>
      <c r="G15" s="119">
        <v>9</v>
      </c>
      <c r="H15" s="116" t="s">
        <v>293</v>
      </c>
    </row>
    <row r="16" spans="1:8" ht="18" x14ac:dyDescent="0.3">
      <c r="A16" s="121">
        <v>45985</v>
      </c>
      <c r="B16" s="122" t="s">
        <v>54</v>
      </c>
      <c r="C16" s="123" t="s">
        <v>291</v>
      </c>
      <c r="D16" s="122" t="s">
        <v>271</v>
      </c>
      <c r="E16" s="124">
        <v>1.993055555555556</v>
      </c>
      <c r="F16" s="122" t="s">
        <v>56</v>
      </c>
      <c r="G16" s="125">
        <v>9</v>
      </c>
      <c r="H16" s="122" t="s">
        <v>293</v>
      </c>
    </row>
    <row r="17" spans="1:8" ht="18" x14ac:dyDescent="0.3">
      <c r="A17" s="150">
        <v>45985</v>
      </c>
      <c r="B17" s="151" t="s">
        <v>54</v>
      </c>
      <c r="C17" s="152" t="s">
        <v>294</v>
      </c>
      <c r="D17" s="151" t="s">
        <v>271</v>
      </c>
      <c r="E17" s="153">
        <v>1.836805555555556</v>
      </c>
      <c r="F17" s="151" t="s">
        <v>56</v>
      </c>
      <c r="G17" s="154">
        <v>5</v>
      </c>
      <c r="H17" s="151" t="s">
        <v>293</v>
      </c>
    </row>
    <row r="18" spans="1:8" ht="18" x14ac:dyDescent="0.3">
      <c r="A18" s="187">
        <v>45986</v>
      </c>
      <c r="B18" s="137" t="s">
        <v>71</v>
      </c>
      <c r="C18" s="138" t="s">
        <v>663</v>
      </c>
      <c r="D18" s="137" t="s">
        <v>662</v>
      </c>
      <c r="E18" s="139">
        <v>1.166666666666667</v>
      </c>
      <c r="F18" s="137" t="s">
        <v>81</v>
      </c>
      <c r="G18" s="140">
        <v>6</v>
      </c>
      <c r="H18" s="188" t="s">
        <v>664</v>
      </c>
    </row>
    <row r="19" spans="1:8" ht="18" x14ac:dyDescent="0.3">
      <c r="A19" s="141">
        <v>45986</v>
      </c>
      <c r="B19" s="142" t="s">
        <v>71</v>
      </c>
      <c r="C19" s="143" t="s">
        <v>677</v>
      </c>
      <c r="D19" s="142" t="s">
        <v>662</v>
      </c>
      <c r="E19" s="144">
        <v>1.5277777777777779</v>
      </c>
      <c r="F19" s="142" t="s">
        <v>81</v>
      </c>
      <c r="G19" s="236">
        <v>5</v>
      </c>
      <c r="H19" s="142" t="s">
        <v>668</v>
      </c>
    </row>
    <row r="20" spans="1:8" ht="18" x14ac:dyDescent="0.3">
      <c r="A20" s="126">
        <v>45986</v>
      </c>
      <c r="B20" s="116" t="s">
        <v>63</v>
      </c>
      <c r="C20" s="117" t="s">
        <v>674</v>
      </c>
      <c r="D20" s="116" t="s">
        <v>662</v>
      </c>
      <c r="E20" s="118">
        <v>1.166666666666667</v>
      </c>
      <c r="F20" s="116" t="s">
        <v>48</v>
      </c>
      <c r="G20" s="119">
        <v>4</v>
      </c>
      <c r="H20" s="116" t="s">
        <v>680</v>
      </c>
    </row>
    <row r="21" spans="1:8" ht="15.6" x14ac:dyDescent="0.3">
      <c r="A21" s="185"/>
      <c r="B21" s="185"/>
      <c r="C21" s="185"/>
      <c r="D21" s="185"/>
      <c r="E21" s="186" t="s">
        <v>661</v>
      </c>
      <c r="F21" s="185"/>
      <c r="G21" s="185"/>
      <c r="H21" s="3"/>
    </row>
    <row r="22" spans="1:8" ht="18" x14ac:dyDescent="0.3">
      <c r="A22" s="126">
        <v>45986</v>
      </c>
      <c r="B22" s="116" t="s">
        <v>25</v>
      </c>
      <c r="C22" s="117" t="s">
        <v>278</v>
      </c>
      <c r="D22" s="116" t="s">
        <v>271</v>
      </c>
      <c r="E22" s="118">
        <v>1.399305555555556</v>
      </c>
      <c r="F22" s="116" t="s">
        <v>27</v>
      </c>
      <c r="G22" s="119">
        <v>1</v>
      </c>
      <c r="H22" s="116" t="s">
        <v>275</v>
      </c>
    </row>
    <row r="23" spans="1:8" ht="18" x14ac:dyDescent="0.3">
      <c r="A23" s="127">
        <v>45986</v>
      </c>
      <c r="B23" s="128" t="s">
        <v>25</v>
      </c>
      <c r="C23" s="129" t="s">
        <v>273</v>
      </c>
      <c r="D23" s="128" t="s">
        <v>271</v>
      </c>
      <c r="E23" s="130">
        <v>1.489583333333333</v>
      </c>
      <c r="F23" s="128" t="s">
        <v>27</v>
      </c>
      <c r="G23" s="131">
        <v>2</v>
      </c>
      <c r="H23" s="128" t="s">
        <v>293</v>
      </c>
    </row>
    <row r="24" spans="1:8" ht="18" x14ac:dyDescent="0.3">
      <c r="A24" s="126">
        <v>45986</v>
      </c>
      <c r="B24" s="116" t="s">
        <v>280</v>
      </c>
      <c r="C24" s="117" t="s">
        <v>281</v>
      </c>
      <c r="D24" s="116" t="s">
        <v>271</v>
      </c>
      <c r="E24" s="118">
        <v>1.055555555555556</v>
      </c>
      <c r="F24" s="116" t="s">
        <v>282</v>
      </c>
      <c r="G24" s="119">
        <v>2</v>
      </c>
      <c r="H24" s="116" t="s">
        <v>337</v>
      </c>
    </row>
    <row r="25" spans="1:8" ht="18" x14ac:dyDescent="0.3">
      <c r="A25" s="126">
        <v>45986</v>
      </c>
      <c r="B25" s="116" t="s">
        <v>54</v>
      </c>
      <c r="C25" s="117" t="s">
        <v>299</v>
      </c>
      <c r="D25" s="116" t="s">
        <v>271</v>
      </c>
      <c r="E25" s="118">
        <v>1.3472222222222221</v>
      </c>
      <c r="F25" s="116" t="s">
        <v>56</v>
      </c>
      <c r="G25" s="119">
        <v>1</v>
      </c>
      <c r="H25" s="116" t="s">
        <v>293</v>
      </c>
    </row>
    <row r="26" spans="1:8" ht="18" x14ac:dyDescent="0.3">
      <c r="A26" s="127">
        <v>45986</v>
      </c>
      <c r="B26" s="128" t="s">
        <v>54</v>
      </c>
      <c r="C26" s="129" t="s">
        <v>291</v>
      </c>
      <c r="D26" s="128" t="s">
        <v>271</v>
      </c>
      <c r="E26" s="130">
        <v>1.993055555555556</v>
      </c>
      <c r="F26" s="128" t="s">
        <v>56</v>
      </c>
      <c r="G26" s="131">
        <v>8</v>
      </c>
      <c r="H26" s="128" t="s">
        <v>293</v>
      </c>
    </row>
    <row r="27" spans="1:8" ht="18" x14ac:dyDescent="0.3">
      <c r="A27" s="127">
        <v>45986</v>
      </c>
      <c r="B27" s="128" t="s">
        <v>54</v>
      </c>
      <c r="C27" s="129" t="s">
        <v>295</v>
      </c>
      <c r="D27" s="128" t="s">
        <v>271</v>
      </c>
      <c r="E27" s="130">
        <v>1.944444444444444</v>
      </c>
      <c r="F27" s="128" t="s">
        <v>56</v>
      </c>
      <c r="G27" s="131">
        <v>5</v>
      </c>
      <c r="H27" s="128" t="s">
        <v>293</v>
      </c>
    </row>
    <row r="28" spans="1:8" ht="18" x14ac:dyDescent="0.3">
      <c r="A28" s="127">
        <v>45986</v>
      </c>
      <c r="B28" s="128" t="s">
        <v>54</v>
      </c>
      <c r="C28" s="129" t="s">
        <v>296</v>
      </c>
      <c r="D28" s="128" t="s">
        <v>271</v>
      </c>
      <c r="E28" s="130">
        <v>1.4861111111111109</v>
      </c>
      <c r="F28" s="128" t="s">
        <v>56</v>
      </c>
      <c r="G28" s="131">
        <v>7</v>
      </c>
      <c r="H28" s="128" t="s">
        <v>293</v>
      </c>
    </row>
    <row r="29" spans="1:8" ht="18" x14ac:dyDescent="0.3">
      <c r="A29" s="127">
        <v>45986</v>
      </c>
      <c r="B29" s="128" t="s">
        <v>54</v>
      </c>
      <c r="C29" s="129" t="s">
        <v>297</v>
      </c>
      <c r="D29" s="128" t="s">
        <v>271</v>
      </c>
      <c r="E29" s="130">
        <v>1.3923611111111109</v>
      </c>
      <c r="F29" s="128" t="s">
        <v>56</v>
      </c>
      <c r="G29" s="131">
        <v>7</v>
      </c>
      <c r="H29" s="128" t="s">
        <v>293</v>
      </c>
    </row>
    <row r="30" spans="1:8" ht="18" x14ac:dyDescent="0.3">
      <c r="A30" s="127">
        <v>45986</v>
      </c>
      <c r="B30" s="128" t="s">
        <v>54</v>
      </c>
      <c r="C30" s="129" t="s">
        <v>298</v>
      </c>
      <c r="D30" s="128" t="s">
        <v>271</v>
      </c>
      <c r="E30" s="130">
        <v>1.8888888888888891</v>
      </c>
      <c r="F30" s="128" t="s">
        <v>56</v>
      </c>
      <c r="G30" s="131">
        <v>2</v>
      </c>
      <c r="H30" s="128" t="s">
        <v>293</v>
      </c>
    </row>
    <row r="31" spans="1:8" ht="18" x14ac:dyDescent="0.3">
      <c r="A31" s="132">
        <v>45986</v>
      </c>
      <c r="B31" s="133" t="s">
        <v>71</v>
      </c>
      <c r="C31" s="134" t="s">
        <v>340</v>
      </c>
      <c r="D31" s="133" t="s">
        <v>271</v>
      </c>
      <c r="E31" s="135">
        <v>1.052083333333333</v>
      </c>
      <c r="F31" s="133" t="s">
        <v>81</v>
      </c>
      <c r="G31" s="237">
        <v>1</v>
      </c>
      <c r="H31" s="133" t="s">
        <v>341</v>
      </c>
    </row>
    <row r="32" spans="1:8" ht="18" x14ac:dyDescent="0.3">
      <c r="A32" s="115">
        <v>45987</v>
      </c>
      <c r="B32" s="116" t="s">
        <v>25</v>
      </c>
      <c r="C32" s="117" t="s">
        <v>681</v>
      </c>
      <c r="D32" s="116" t="s">
        <v>662</v>
      </c>
      <c r="E32" s="118">
        <v>1.364583333333333</v>
      </c>
      <c r="F32" s="116" t="s">
        <v>591</v>
      </c>
      <c r="G32" s="119">
        <v>10</v>
      </c>
      <c r="H32" s="120" t="s">
        <v>683</v>
      </c>
    </row>
    <row r="33" spans="1:8" ht="18" x14ac:dyDescent="0.3">
      <c r="A33" s="121">
        <v>45987</v>
      </c>
      <c r="B33" s="122" t="s">
        <v>25</v>
      </c>
      <c r="C33" s="123" t="s">
        <v>681</v>
      </c>
      <c r="D33" s="122" t="s">
        <v>662</v>
      </c>
      <c r="E33" s="124">
        <v>1.364583333333333</v>
      </c>
      <c r="F33" s="122" t="s">
        <v>592</v>
      </c>
      <c r="G33" s="125">
        <v>10</v>
      </c>
      <c r="H33" s="122" t="s">
        <v>684</v>
      </c>
    </row>
    <row r="34" spans="1:8" ht="18" x14ac:dyDescent="0.3">
      <c r="A34" s="121">
        <v>45987</v>
      </c>
      <c r="B34" s="122" t="s">
        <v>25</v>
      </c>
      <c r="C34" s="123" t="s">
        <v>681</v>
      </c>
      <c r="D34" s="122" t="s">
        <v>662</v>
      </c>
      <c r="E34" s="124">
        <v>1.364583333333333</v>
      </c>
      <c r="F34" s="122" t="s">
        <v>594</v>
      </c>
      <c r="G34" s="125">
        <v>10</v>
      </c>
      <c r="H34" s="122" t="s">
        <v>685</v>
      </c>
    </row>
    <row r="35" spans="1:8" ht="18" x14ac:dyDescent="0.3">
      <c r="A35" s="121">
        <v>45987</v>
      </c>
      <c r="B35" s="122" t="s">
        <v>25</v>
      </c>
      <c r="C35" s="123" t="s">
        <v>681</v>
      </c>
      <c r="D35" s="122" t="s">
        <v>662</v>
      </c>
      <c r="E35" s="124">
        <v>1.364583333333333</v>
      </c>
      <c r="F35" s="122" t="s">
        <v>596</v>
      </c>
      <c r="G35" s="125">
        <v>10</v>
      </c>
      <c r="H35" s="122" t="s">
        <v>293</v>
      </c>
    </row>
    <row r="36" spans="1:8" ht="18" x14ac:dyDescent="0.3">
      <c r="A36" s="136">
        <v>45987</v>
      </c>
      <c r="B36" s="137" t="s">
        <v>71</v>
      </c>
      <c r="C36" s="138" t="s">
        <v>667</v>
      </c>
      <c r="D36" s="137" t="s">
        <v>662</v>
      </c>
      <c r="E36" s="139">
        <v>1.5</v>
      </c>
      <c r="F36" s="137" t="s">
        <v>81</v>
      </c>
      <c r="G36" s="140">
        <v>1</v>
      </c>
      <c r="H36" s="137" t="s">
        <v>668</v>
      </c>
    </row>
    <row r="37" spans="1:8" ht="18" x14ac:dyDescent="0.3">
      <c r="A37" s="141">
        <v>45987</v>
      </c>
      <c r="B37" s="142" t="s">
        <v>71</v>
      </c>
      <c r="C37" s="143" t="s">
        <v>665</v>
      </c>
      <c r="D37" s="142" t="s">
        <v>662</v>
      </c>
      <c r="E37" s="144">
        <v>1.1076388888888891</v>
      </c>
      <c r="F37" s="142" t="s">
        <v>73</v>
      </c>
      <c r="G37" s="142"/>
      <c r="H37" s="142" t="s">
        <v>74</v>
      </c>
    </row>
    <row r="38" spans="1:8" ht="18" x14ac:dyDescent="0.3">
      <c r="A38" s="141">
        <v>45987</v>
      </c>
      <c r="B38" s="142" t="s">
        <v>71</v>
      </c>
      <c r="C38" s="143" t="s">
        <v>671</v>
      </c>
      <c r="D38" s="142" t="s">
        <v>662</v>
      </c>
      <c r="E38" s="144">
        <v>1.9236111111111109</v>
      </c>
      <c r="F38" s="142" t="s">
        <v>73</v>
      </c>
      <c r="G38" s="142"/>
      <c r="H38" s="142" t="s">
        <v>74</v>
      </c>
    </row>
    <row r="39" spans="1:8" ht="18" x14ac:dyDescent="0.3">
      <c r="A39" s="126">
        <v>45987</v>
      </c>
      <c r="B39" s="116" t="s">
        <v>63</v>
      </c>
      <c r="C39" s="117" t="s">
        <v>673</v>
      </c>
      <c r="D39" s="116" t="s">
        <v>662</v>
      </c>
      <c r="E39" s="118">
        <v>1.9236111111111109</v>
      </c>
      <c r="F39" s="116" t="s">
        <v>37</v>
      </c>
      <c r="G39" s="119">
        <v>4</v>
      </c>
      <c r="H39" s="116" t="s">
        <v>668</v>
      </c>
    </row>
    <row r="40" spans="1:8" ht="15.6" x14ac:dyDescent="0.3">
      <c r="A40" s="185"/>
      <c r="B40" s="185"/>
      <c r="C40" s="185"/>
      <c r="D40" s="185"/>
      <c r="E40" s="186" t="s">
        <v>661</v>
      </c>
      <c r="F40" s="185"/>
      <c r="G40" s="185"/>
      <c r="H40" s="3"/>
    </row>
    <row r="41" spans="1:8" ht="18" x14ac:dyDescent="0.3">
      <c r="A41" s="126">
        <v>45987</v>
      </c>
      <c r="B41" s="116" t="s">
        <v>25</v>
      </c>
      <c r="C41" s="117" t="s">
        <v>278</v>
      </c>
      <c r="D41" s="116" t="s">
        <v>271</v>
      </c>
      <c r="E41" s="118">
        <v>1.399305555555556</v>
      </c>
      <c r="F41" s="116" t="s">
        <v>27</v>
      </c>
      <c r="G41" s="119">
        <v>4</v>
      </c>
      <c r="H41" s="116" t="s">
        <v>275</v>
      </c>
    </row>
    <row r="42" spans="1:8" ht="18" x14ac:dyDescent="0.3">
      <c r="A42" s="121">
        <v>45987</v>
      </c>
      <c r="B42" s="122" t="s">
        <v>25</v>
      </c>
      <c r="C42" s="123" t="s">
        <v>278</v>
      </c>
      <c r="D42" s="122" t="s">
        <v>271</v>
      </c>
      <c r="E42" s="124">
        <v>1.399305555555556</v>
      </c>
      <c r="F42" s="122" t="s">
        <v>33</v>
      </c>
      <c r="G42" s="125">
        <v>4</v>
      </c>
      <c r="H42" s="122" t="s">
        <v>79</v>
      </c>
    </row>
    <row r="43" spans="1:8" ht="18" x14ac:dyDescent="0.3">
      <c r="A43" s="121">
        <v>45987</v>
      </c>
      <c r="B43" s="122" t="s">
        <v>25</v>
      </c>
      <c r="C43" s="123" t="s">
        <v>278</v>
      </c>
      <c r="D43" s="122" t="s">
        <v>271</v>
      </c>
      <c r="E43" s="124">
        <v>1.399305555555556</v>
      </c>
      <c r="F43" s="122" t="s">
        <v>30</v>
      </c>
      <c r="G43" s="125">
        <v>4</v>
      </c>
      <c r="H43" s="122" t="s">
        <v>276</v>
      </c>
    </row>
    <row r="44" spans="1:8" ht="18" x14ac:dyDescent="0.3">
      <c r="A44" s="127">
        <v>45987</v>
      </c>
      <c r="B44" s="128" t="s">
        <v>25</v>
      </c>
      <c r="C44" s="129" t="s">
        <v>272</v>
      </c>
      <c r="D44" s="128" t="s">
        <v>271</v>
      </c>
      <c r="E44" s="130">
        <v>1.989583333333333</v>
      </c>
      <c r="F44" s="128" t="s">
        <v>27</v>
      </c>
      <c r="G44" s="131">
        <v>1</v>
      </c>
      <c r="H44" s="128" t="s">
        <v>275</v>
      </c>
    </row>
    <row r="45" spans="1:8" ht="18" x14ac:dyDescent="0.3">
      <c r="A45" s="121">
        <v>45987</v>
      </c>
      <c r="B45" s="122" t="s">
        <v>25</v>
      </c>
      <c r="C45" s="123" t="s">
        <v>272</v>
      </c>
      <c r="D45" s="122" t="s">
        <v>271</v>
      </c>
      <c r="E45" s="124">
        <v>1.989583333333333</v>
      </c>
      <c r="F45" s="122" t="s">
        <v>30</v>
      </c>
      <c r="G45" s="125">
        <v>1</v>
      </c>
      <c r="H45" s="122" t="s">
        <v>276</v>
      </c>
    </row>
    <row r="46" spans="1:8" ht="18" x14ac:dyDescent="0.3">
      <c r="A46" s="127">
        <v>45987</v>
      </c>
      <c r="B46" s="128" t="s">
        <v>25</v>
      </c>
      <c r="C46" s="129" t="s">
        <v>273</v>
      </c>
      <c r="D46" s="128" t="s">
        <v>271</v>
      </c>
      <c r="E46" s="130">
        <v>1.489583333333333</v>
      </c>
      <c r="F46" s="128" t="s">
        <v>27</v>
      </c>
      <c r="G46" s="131">
        <v>2</v>
      </c>
      <c r="H46" s="128" t="s">
        <v>293</v>
      </c>
    </row>
    <row r="47" spans="1:8" ht="18" x14ac:dyDescent="0.3">
      <c r="A47" s="121">
        <v>45987</v>
      </c>
      <c r="B47" s="122" t="s">
        <v>25</v>
      </c>
      <c r="C47" s="123" t="s">
        <v>273</v>
      </c>
      <c r="D47" s="122" t="s">
        <v>271</v>
      </c>
      <c r="E47" s="124">
        <v>1.489583333333333</v>
      </c>
      <c r="F47" s="122" t="s">
        <v>33</v>
      </c>
      <c r="G47" s="125">
        <v>2</v>
      </c>
      <c r="H47" s="122" t="s">
        <v>334</v>
      </c>
    </row>
    <row r="48" spans="1:8" ht="18" x14ac:dyDescent="0.3">
      <c r="A48" s="127">
        <v>45987</v>
      </c>
      <c r="B48" s="128" t="s">
        <v>25</v>
      </c>
      <c r="C48" s="129" t="s">
        <v>277</v>
      </c>
      <c r="D48" s="128" t="s">
        <v>271</v>
      </c>
      <c r="E48" s="130">
        <v>1.8888888888888891</v>
      </c>
      <c r="F48" s="128" t="s">
        <v>27</v>
      </c>
      <c r="G48" s="131">
        <v>2</v>
      </c>
      <c r="H48" s="128" t="s">
        <v>79</v>
      </c>
    </row>
    <row r="49" spans="1:8" ht="18" x14ac:dyDescent="0.3">
      <c r="A49" s="126">
        <v>45987</v>
      </c>
      <c r="B49" s="116" t="s">
        <v>54</v>
      </c>
      <c r="C49" s="117" t="s">
        <v>299</v>
      </c>
      <c r="D49" s="116" t="s">
        <v>271</v>
      </c>
      <c r="E49" s="118">
        <v>1.3472222222222221</v>
      </c>
      <c r="F49" s="116" t="s">
        <v>56</v>
      </c>
      <c r="G49" s="119">
        <v>1</v>
      </c>
      <c r="H49" s="116" t="s">
        <v>293</v>
      </c>
    </row>
    <row r="50" spans="1:8" ht="18" x14ac:dyDescent="0.3">
      <c r="A50" s="189">
        <v>45987</v>
      </c>
      <c r="B50" s="190" t="s">
        <v>280</v>
      </c>
      <c r="C50" s="191" t="s">
        <v>357</v>
      </c>
      <c r="D50" s="190" t="s">
        <v>271</v>
      </c>
      <c r="E50" s="192">
        <v>1.225694444444444</v>
      </c>
      <c r="F50" s="190" t="s">
        <v>282</v>
      </c>
      <c r="G50" s="193">
        <v>2</v>
      </c>
      <c r="H50" s="190" t="s">
        <v>358</v>
      </c>
    </row>
    <row r="51" spans="1:8" ht="18" x14ac:dyDescent="0.3">
      <c r="A51" s="187">
        <v>45988</v>
      </c>
      <c r="B51" s="137" t="s">
        <v>71</v>
      </c>
      <c r="C51" s="138" t="s">
        <v>677</v>
      </c>
      <c r="D51" s="137" t="s">
        <v>662</v>
      </c>
      <c r="E51" s="139">
        <v>1.5486111111111109</v>
      </c>
      <c r="F51" s="137" t="s">
        <v>81</v>
      </c>
      <c r="G51" s="140">
        <v>1</v>
      </c>
      <c r="H51" s="188" t="s">
        <v>664</v>
      </c>
    </row>
    <row r="52" spans="1:8" ht="18" x14ac:dyDescent="0.3">
      <c r="A52" s="141">
        <v>45988</v>
      </c>
      <c r="B52" s="142" t="s">
        <v>71</v>
      </c>
      <c r="C52" s="143" t="s">
        <v>665</v>
      </c>
      <c r="D52" s="142" t="s">
        <v>662</v>
      </c>
      <c r="E52" s="144">
        <v>1.3298611111111109</v>
      </c>
      <c r="F52" s="142" t="s">
        <v>73</v>
      </c>
      <c r="G52" s="142"/>
      <c r="H52" s="142" t="s">
        <v>74</v>
      </c>
    </row>
    <row r="53" spans="1:8" ht="15.6" x14ac:dyDescent="0.3">
      <c r="A53" s="185"/>
      <c r="B53" s="185"/>
      <c r="C53" s="185"/>
      <c r="D53" s="185"/>
      <c r="E53" s="186" t="s">
        <v>661</v>
      </c>
      <c r="F53" s="185"/>
      <c r="G53" s="185"/>
      <c r="H53" s="3"/>
    </row>
    <row r="54" spans="1:8" ht="18" x14ac:dyDescent="0.3">
      <c r="A54" s="126">
        <v>45988</v>
      </c>
      <c r="B54" s="116" t="s">
        <v>25</v>
      </c>
      <c r="C54" s="117" t="s">
        <v>278</v>
      </c>
      <c r="D54" s="116" t="s">
        <v>271</v>
      </c>
      <c r="E54" s="118">
        <v>1.399305555555556</v>
      </c>
      <c r="F54" s="116" t="s">
        <v>27</v>
      </c>
      <c r="G54" s="119">
        <v>6</v>
      </c>
      <c r="H54" s="116" t="s">
        <v>293</v>
      </c>
    </row>
    <row r="55" spans="1:8" ht="18" x14ac:dyDescent="0.3">
      <c r="A55" s="127">
        <v>45988</v>
      </c>
      <c r="B55" s="128" t="s">
        <v>25</v>
      </c>
      <c r="C55" s="129" t="s">
        <v>273</v>
      </c>
      <c r="D55" s="128" t="s">
        <v>271</v>
      </c>
      <c r="E55" s="130">
        <v>1.489583333333333</v>
      </c>
      <c r="F55" s="128" t="s">
        <v>27</v>
      </c>
      <c r="G55" s="131">
        <v>5</v>
      </c>
      <c r="H55" s="128" t="s">
        <v>293</v>
      </c>
    </row>
    <row r="56" spans="1:8" ht="18" x14ac:dyDescent="0.3">
      <c r="A56" s="127">
        <v>45988</v>
      </c>
      <c r="B56" s="128" t="s">
        <v>25</v>
      </c>
      <c r="C56" s="129" t="s">
        <v>272</v>
      </c>
      <c r="D56" s="128" t="s">
        <v>271</v>
      </c>
      <c r="E56" s="130">
        <v>1.989583333333333</v>
      </c>
      <c r="F56" s="128" t="s">
        <v>27</v>
      </c>
      <c r="G56" s="131">
        <v>2</v>
      </c>
      <c r="H56" s="128" t="s">
        <v>293</v>
      </c>
    </row>
    <row r="57" spans="1:8" ht="18" x14ac:dyDescent="0.3">
      <c r="A57" s="127">
        <v>45988</v>
      </c>
      <c r="B57" s="128" t="s">
        <v>25</v>
      </c>
      <c r="C57" s="129" t="s">
        <v>277</v>
      </c>
      <c r="D57" s="128" t="s">
        <v>271</v>
      </c>
      <c r="E57" s="130">
        <v>1.8888888888888891</v>
      </c>
      <c r="F57" s="128" t="s">
        <v>27</v>
      </c>
      <c r="G57" s="131">
        <v>5</v>
      </c>
      <c r="H57" s="128" t="s">
        <v>79</v>
      </c>
    </row>
    <row r="58" spans="1:8" ht="18" x14ac:dyDescent="0.3">
      <c r="A58" s="136">
        <v>45988</v>
      </c>
      <c r="B58" s="137" t="s">
        <v>71</v>
      </c>
      <c r="C58" s="138" t="s">
        <v>371</v>
      </c>
      <c r="D58" s="137" t="s">
        <v>271</v>
      </c>
      <c r="E58" s="139">
        <v>1.9375</v>
      </c>
      <c r="F58" s="137" t="s">
        <v>81</v>
      </c>
      <c r="G58" s="140">
        <v>2</v>
      </c>
      <c r="H58" s="137" t="s">
        <v>341</v>
      </c>
    </row>
    <row r="59" spans="1:8" ht="18" x14ac:dyDescent="0.3">
      <c r="A59" s="126">
        <v>45988</v>
      </c>
      <c r="B59" s="116" t="s">
        <v>54</v>
      </c>
      <c r="C59" s="117" t="s">
        <v>299</v>
      </c>
      <c r="D59" s="116" t="s">
        <v>271</v>
      </c>
      <c r="E59" s="118">
        <v>1.3472222222222221</v>
      </c>
      <c r="F59" s="116" t="s">
        <v>56</v>
      </c>
      <c r="G59" s="119">
        <v>7</v>
      </c>
      <c r="H59" s="116" t="s">
        <v>276</v>
      </c>
    </row>
    <row r="60" spans="1:8" ht="18" x14ac:dyDescent="0.3">
      <c r="A60" s="127">
        <v>45988</v>
      </c>
      <c r="B60" s="128" t="s">
        <v>54</v>
      </c>
      <c r="C60" s="129" t="s">
        <v>291</v>
      </c>
      <c r="D60" s="128" t="s">
        <v>271</v>
      </c>
      <c r="E60" s="130">
        <v>1.993055555555556</v>
      </c>
      <c r="F60" s="128" t="s">
        <v>56</v>
      </c>
      <c r="G60" s="131">
        <v>6</v>
      </c>
      <c r="H60" s="128" t="s">
        <v>276</v>
      </c>
    </row>
    <row r="61" spans="1:8" ht="18" x14ac:dyDescent="0.3">
      <c r="A61" s="127">
        <v>45988</v>
      </c>
      <c r="B61" s="128" t="s">
        <v>54</v>
      </c>
      <c r="C61" s="129" t="s">
        <v>295</v>
      </c>
      <c r="D61" s="128" t="s">
        <v>271</v>
      </c>
      <c r="E61" s="130">
        <v>1.944444444444444</v>
      </c>
      <c r="F61" s="128" t="s">
        <v>56</v>
      </c>
      <c r="G61" s="131">
        <v>1</v>
      </c>
      <c r="H61" s="128" t="s">
        <v>276</v>
      </c>
    </row>
    <row r="62" spans="1:8" ht="18" x14ac:dyDescent="0.3">
      <c r="A62" s="127">
        <v>45988</v>
      </c>
      <c r="B62" s="128" t="s">
        <v>54</v>
      </c>
      <c r="C62" s="129" t="s">
        <v>296</v>
      </c>
      <c r="D62" s="128" t="s">
        <v>271</v>
      </c>
      <c r="E62" s="130">
        <v>1.4861111111111109</v>
      </c>
      <c r="F62" s="128" t="s">
        <v>56</v>
      </c>
      <c r="G62" s="131">
        <v>7</v>
      </c>
      <c r="H62" s="128" t="s">
        <v>276</v>
      </c>
    </row>
    <row r="63" spans="1:8" ht="18" x14ac:dyDescent="0.3">
      <c r="A63" s="150">
        <v>45988</v>
      </c>
      <c r="B63" s="151" t="s">
        <v>54</v>
      </c>
      <c r="C63" s="152" t="s">
        <v>297</v>
      </c>
      <c r="D63" s="151" t="s">
        <v>271</v>
      </c>
      <c r="E63" s="153">
        <v>1.3923611111111109</v>
      </c>
      <c r="F63" s="151" t="s">
        <v>56</v>
      </c>
      <c r="G63" s="154">
        <v>9</v>
      </c>
      <c r="H63" s="151" t="s">
        <v>276</v>
      </c>
    </row>
    <row r="64" spans="1:8" ht="18" x14ac:dyDescent="0.3">
      <c r="A64" s="187">
        <v>45989</v>
      </c>
      <c r="B64" s="137" t="s">
        <v>71</v>
      </c>
      <c r="C64" s="138" t="s">
        <v>667</v>
      </c>
      <c r="D64" s="137" t="s">
        <v>662</v>
      </c>
      <c r="E64" s="139">
        <v>1.135416666666667</v>
      </c>
      <c r="F64" s="137" t="s">
        <v>81</v>
      </c>
      <c r="G64" s="140">
        <v>3</v>
      </c>
      <c r="H64" s="188" t="s">
        <v>691</v>
      </c>
    </row>
    <row r="65" spans="1:8" ht="15.6" x14ac:dyDescent="0.3">
      <c r="A65" s="185"/>
      <c r="B65" s="185"/>
      <c r="C65" s="185"/>
      <c r="D65" s="185"/>
      <c r="E65" s="186" t="s">
        <v>661</v>
      </c>
      <c r="F65" s="185"/>
      <c r="G65" s="185"/>
      <c r="H65" s="3"/>
    </row>
    <row r="66" spans="1:8" ht="18" x14ac:dyDescent="0.3">
      <c r="A66" s="136">
        <v>45989</v>
      </c>
      <c r="B66" s="137" t="s">
        <v>71</v>
      </c>
      <c r="C66" s="138" t="s">
        <v>373</v>
      </c>
      <c r="D66" s="137" t="s">
        <v>271</v>
      </c>
      <c r="E66" s="139">
        <v>1.4375</v>
      </c>
      <c r="F66" s="137" t="s">
        <v>81</v>
      </c>
      <c r="G66" s="140">
        <v>1</v>
      </c>
      <c r="H66" s="137" t="s">
        <v>341</v>
      </c>
    </row>
    <row r="67" spans="1:8" ht="18" x14ac:dyDescent="0.3">
      <c r="A67" s="141">
        <v>45989</v>
      </c>
      <c r="B67" s="142" t="s">
        <v>71</v>
      </c>
      <c r="C67" s="143" t="s">
        <v>340</v>
      </c>
      <c r="D67" s="142" t="s">
        <v>271</v>
      </c>
      <c r="E67" s="144">
        <v>1.5590277777777779</v>
      </c>
      <c r="F67" s="142" t="s">
        <v>81</v>
      </c>
      <c r="G67" s="236">
        <v>1</v>
      </c>
      <c r="H67" s="142" t="s">
        <v>386</v>
      </c>
    </row>
    <row r="68" spans="1:8" ht="18" x14ac:dyDescent="0.3">
      <c r="A68" s="141">
        <v>45989</v>
      </c>
      <c r="B68" s="142" t="s">
        <v>71</v>
      </c>
      <c r="C68" s="143" t="s">
        <v>389</v>
      </c>
      <c r="D68" s="142" t="s">
        <v>271</v>
      </c>
      <c r="E68" s="144">
        <v>1.28125</v>
      </c>
      <c r="F68" s="142" t="s">
        <v>81</v>
      </c>
      <c r="G68" s="236">
        <v>6</v>
      </c>
      <c r="H68" s="142" t="s">
        <v>374</v>
      </c>
    </row>
    <row r="69" spans="1:8" ht="18" x14ac:dyDescent="0.3">
      <c r="A69" s="126">
        <v>45989</v>
      </c>
      <c r="B69" s="116" t="s">
        <v>25</v>
      </c>
      <c r="C69" s="117" t="s">
        <v>278</v>
      </c>
      <c r="D69" s="116" t="s">
        <v>271</v>
      </c>
      <c r="E69" s="118">
        <v>1.399305555555556</v>
      </c>
      <c r="F69" s="116" t="s">
        <v>27</v>
      </c>
      <c r="G69" s="119">
        <v>4</v>
      </c>
      <c r="H69" s="116" t="s">
        <v>276</v>
      </c>
    </row>
    <row r="70" spans="1:8" ht="18" x14ac:dyDescent="0.3">
      <c r="A70" s="121">
        <v>45989</v>
      </c>
      <c r="B70" s="122" t="s">
        <v>25</v>
      </c>
      <c r="C70" s="123" t="s">
        <v>278</v>
      </c>
      <c r="D70" s="122" t="s">
        <v>271</v>
      </c>
      <c r="E70" s="124">
        <v>1.399305555555556</v>
      </c>
      <c r="F70" s="122" t="s">
        <v>30</v>
      </c>
      <c r="G70" s="125">
        <v>4</v>
      </c>
      <c r="H70" s="122" t="s">
        <v>119</v>
      </c>
    </row>
    <row r="71" spans="1:8" ht="18" x14ac:dyDescent="0.3">
      <c r="A71" s="127">
        <v>45989</v>
      </c>
      <c r="B71" s="128" t="s">
        <v>25</v>
      </c>
      <c r="C71" s="129" t="s">
        <v>273</v>
      </c>
      <c r="D71" s="128" t="s">
        <v>271</v>
      </c>
      <c r="E71" s="130">
        <v>1.489583333333333</v>
      </c>
      <c r="F71" s="128" t="s">
        <v>27</v>
      </c>
      <c r="G71" s="131">
        <v>2</v>
      </c>
      <c r="H71" s="128" t="s">
        <v>335</v>
      </c>
    </row>
    <row r="72" spans="1:8" ht="18" x14ac:dyDescent="0.3">
      <c r="A72" s="127">
        <v>45989</v>
      </c>
      <c r="B72" s="128" t="s">
        <v>25</v>
      </c>
      <c r="C72" s="129" t="s">
        <v>272</v>
      </c>
      <c r="D72" s="128" t="s">
        <v>271</v>
      </c>
      <c r="E72" s="130">
        <v>1.989583333333333</v>
      </c>
      <c r="F72" s="128" t="s">
        <v>27</v>
      </c>
      <c r="G72" s="131">
        <v>9</v>
      </c>
      <c r="H72" s="128" t="s">
        <v>335</v>
      </c>
    </row>
    <row r="73" spans="1:8" ht="18" x14ac:dyDescent="0.3">
      <c r="A73" s="126">
        <v>45989</v>
      </c>
      <c r="B73" s="116" t="s">
        <v>280</v>
      </c>
      <c r="C73" s="117" t="s">
        <v>357</v>
      </c>
      <c r="D73" s="116" t="s">
        <v>271</v>
      </c>
      <c r="E73" s="118">
        <v>1.225694444444444</v>
      </c>
      <c r="F73" s="116" t="s">
        <v>282</v>
      </c>
      <c r="G73" s="119">
        <v>1</v>
      </c>
      <c r="H73" s="116" t="s">
        <v>394</v>
      </c>
    </row>
    <row r="74" spans="1:8" ht="18" x14ac:dyDescent="0.3">
      <c r="A74" s="127">
        <v>45989</v>
      </c>
      <c r="B74" s="128" t="s">
        <v>280</v>
      </c>
      <c r="C74" s="129" t="s">
        <v>396</v>
      </c>
      <c r="D74" s="128" t="s">
        <v>271</v>
      </c>
      <c r="E74" s="130">
        <v>1.8090277777777779</v>
      </c>
      <c r="F74" s="128" t="s">
        <v>282</v>
      </c>
      <c r="G74" s="131">
        <v>8</v>
      </c>
      <c r="H74" s="128" t="s">
        <v>397</v>
      </c>
    </row>
    <row r="75" spans="1:8" ht="18" x14ac:dyDescent="0.3">
      <c r="A75" s="189">
        <v>45989</v>
      </c>
      <c r="B75" s="190" t="s">
        <v>54</v>
      </c>
      <c r="C75" s="191" t="s">
        <v>299</v>
      </c>
      <c r="D75" s="190" t="s">
        <v>271</v>
      </c>
      <c r="E75" s="192">
        <v>1.3472222222222221</v>
      </c>
      <c r="F75" s="190" t="s">
        <v>56</v>
      </c>
      <c r="G75" s="193">
        <v>9</v>
      </c>
      <c r="H75" s="190" t="s">
        <v>335</v>
      </c>
    </row>
    <row r="76" spans="1:8" ht="18" x14ac:dyDescent="0.3">
      <c r="A76" s="187">
        <v>45990</v>
      </c>
      <c r="B76" s="137" t="s">
        <v>71</v>
      </c>
      <c r="C76" s="138" t="s">
        <v>667</v>
      </c>
      <c r="D76" s="137" t="s">
        <v>662</v>
      </c>
      <c r="E76" s="139">
        <v>1.1423611111111109</v>
      </c>
      <c r="F76" s="137" t="s">
        <v>81</v>
      </c>
      <c r="G76" s="140">
        <v>2</v>
      </c>
      <c r="H76" s="188" t="s">
        <v>664</v>
      </c>
    </row>
    <row r="77" spans="1:8" ht="18" x14ac:dyDescent="0.3">
      <c r="A77" s="141">
        <v>45990</v>
      </c>
      <c r="B77" s="142" t="s">
        <v>71</v>
      </c>
      <c r="C77" s="143" t="s">
        <v>677</v>
      </c>
      <c r="D77" s="142" t="s">
        <v>662</v>
      </c>
      <c r="E77" s="144">
        <v>1.5277777777777779</v>
      </c>
      <c r="F77" s="142" t="s">
        <v>81</v>
      </c>
      <c r="G77" s="236">
        <v>1</v>
      </c>
      <c r="H77" s="142" t="s">
        <v>668</v>
      </c>
    </row>
    <row r="78" spans="1:8" ht="15.6" x14ac:dyDescent="0.3">
      <c r="A78" s="185"/>
      <c r="B78" s="185"/>
      <c r="C78" s="185"/>
      <c r="D78" s="185"/>
      <c r="E78" s="186" t="s">
        <v>661</v>
      </c>
      <c r="F78" s="185"/>
      <c r="G78" s="185"/>
      <c r="H78" s="3"/>
    </row>
    <row r="79" spans="1:8" ht="18" x14ac:dyDescent="0.3">
      <c r="A79" s="126">
        <v>45990</v>
      </c>
      <c r="B79" s="116" t="s">
        <v>280</v>
      </c>
      <c r="C79" s="117" t="s">
        <v>357</v>
      </c>
      <c r="D79" s="116" t="s">
        <v>271</v>
      </c>
      <c r="E79" s="118">
        <v>1.1701388888888891</v>
      </c>
      <c r="F79" s="116" t="s">
        <v>282</v>
      </c>
      <c r="G79" s="119">
        <v>2</v>
      </c>
      <c r="H79" s="116" t="s">
        <v>405</v>
      </c>
    </row>
    <row r="80" spans="1:8" ht="18" x14ac:dyDescent="0.3">
      <c r="A80" s="121">
        <v>45990</v>
      </c>
      <c r="B80" s="122" t="s">
        <v>280</v>
      </c>
      <c r="C80" s="123" t="s">
        <v>357</v>
      </c>
      <c r="D80" s="122" t="s">
        <v>271</v>
      </c>
      <c r="E80" s="124">
        <v>1.1701388888888891</v>
      </c>
      <c r="F80" s="122" t="s">
        <v>33</v>
      </c>
      <c r="G80" s="125">
        <v>2</v>
      </c>
      <c r="H80" s="122" t="s">
        <v>406</v>
      </c>
    </row>
    <row r="81" spans="1:8" ht="18" x14ac:dyDescent="0.3">
      <c r="A81" s="127">
        <v>45990</v>
      </c>
      <c r="B81" s="128" t="s">
        <v>280</v>
      </c>
      <c r="C81" s="129" t="s">
        <v>281</v>
      </c>
      <c r="D81" s="128" t="s">
        <v>271</v>
      </c>
      <c r="E81" s="130">
        <v>1.055555555555556</v>
      </c>
      <c r="F81" s="128" t="s">
        <v>282</v>
      </c>
      <c r="G81" s="131">
        <v>9</v>
      </c>
      <c r="H81" s="128" t="s">
        <v>407</v>
      </c>
    </row>
    <row r="82" spans="1:8" ht="18" x14ac:dyDescent="0.3">
      <c r="A82" s="121">
        <v>45990</v>
      </c>
      <c r="B82" s="122" t="s">
        <v>280</v>
      </c>
      <c r="C82" s="123" t="s">
        <v>281</v>
      </c>
      <c r="D82" s="122" t="s">
        <v>271</v>
      </c>
      <c r="E82" s="124">
        <v>1.055555555555556</v>
      </c>
      <c r="F82" s="122" t="s">
        <v>33</v>
      </c>
      <c r="G82" s="125">
        <v>9</v>
      </c>
      <c r="H82" s="122" t="s">
        <v>408</v>
      </c>
    </row>
    <row r="83" spans="1:8" ht="18" x14ac:dyDescent="0.3">
      <c r="A83" s="126">
        <v>45990</v>
      </c>
      <c r="B83" s="116" t="s">
        <v>285</v>
      </c>
      <c r="C83" s="117" t="s">
        <v>288</v>
      </c>
      <c r="D83" s="116" t="s">
        <v>271</v>
      </c>
      <c r="E83" s="118">
        <v>1.041666666666667</v>
      </c>
      <c r="F83" s="116" t="s">
        <v>81</v>
      </c>
      <c r="G83" s="119">
        <v>7</v>
      </c>
      <c r="H83" s="116" t="s">
        <v>353</v>
      </c>
    </row>
    <row r="84" spans="1:8" ht="18" x14ac:dyDescent="0.3">
      <c r="A84" s="126">
        <v>45990</v>
      </c>
      <c r="B84" s="116" t="s">
        <v>25</v>
      </c>
      <c r="C84" s="117" t="s">
        <v>278</v>
      </c>
      <c r="D84" s="116" t="s">
        <v>271</v>
      </c>
      <c r="E84" s="118">
        <v>1.399305555555556</v>
      </c>
      <c r="F84" s="116" t="s">
        <v>27</v>
      </c>
      <c r="G84" s="119">
        <v>5</v>
      </c>
      <c r="H84" s="116" t="s">
        <v>335</v>
      </c>
    </row>
    <row r="85" spans="1:8" ht="18" x14ac:dyDescent="0.3">
      <c r="A85" s="121">
        <v>45990</v>
      </c>
      <c r="B85" s="122" t="s">
        <v>25</v>
      </c>
      <c r="C85" s="123" t="s">
        <v>278</v>
      </c>
      <c r="D85" s="122" t="s">
        <v>271</v>
      </c>
      <c r="E85" s="124">
        <v>1.399305555555556</v>
      </c>
      <c r="F85" s="122" t="s">
        <v>30</v>
      </c>
      <c r="G85" s="125">
        <v>5</v>
      </c>
      <c r="H85" s="122" t="s">
        <v>61</v>
      </c>
    </row>
    <row r="86" spans="1:8" ht="18" x14ac:dyDescent="0.3">
      <c r="A86" s="127">
        <v>45990</v>
      </c>
      <c r="B86" s="128" t="s">
        <v>25</v>
      </c>
      <c r="C86" s="129" t="s">
        <v>273</v>
      </c>
      <c r="D86" s="128" t="s">
        <v>271</v>
      </c>
      <c r="E86" s="130">
        <v>1.489583333333333</v>
      </c>
      <c r="F86" s="128" t="s">
        <v>27</v>
      </c>
      <c r="G86" s="131">
        <v>7</v>
      </c>
      <c r="H86" s="128" t="s">
        <v>119</v>
      </c>
    </row>
    <row r="87" spans="1:8" ht="18" x14ac:dyDescent="0.3">
      <c r="A87" s="127">
        <v>45990</v>
      </c>
      <c r="B87" s="128" t="s">
        <v>25</v>
      </c>
      <c r="C87" s="129" t="s">
        <v>277</v>
      </c>
      <c r="D87" s="128" t="s">
        <v>271</v>
      </c>
      <c r="E87" s="130">
        <v>1.8888888888888891</v>
      </c>
      <c r="F87" s="128" t="s">
        <v>27</v>
      </c>
      <c r="G87" s="131">
        <v>10</v>
      </c>
      <c r="H87" s="128" t="s">
        <v>119</v>
      </c>
    </row>
    <row r="88" spans="1:8" ht="18" x14ac:dyDescent="0.3">
      <c r="A88" s="150">
        <v>45990</v>
      </c>
      <c r="B88" s="151" t="s">
        <v>25</v>
      </c>
      <c r="C88" s="152" t="s">
        <v>272</v>
      </c>
      <c r="D88" s="151" t="s">
        <v>271</v>
      </c>
      <c r="E88" s="153">
        <v>1.989583333333333</v>
      </c>
      <c r="F88" s="151" t="s">
        <v>27</v>
      </c>
      <c r="G88" s="154">
        <v>11</v>
      </c>
      <c r="H88" s="151" t="s">
        <v>119</v>
      </c>
    </row>
    <row r="89" spans="1:8" ht="18" x14ac:dyDescent="0.3">
      <c r="A89" s="115">
        <v>45991</v>
      </c>
      <c r="B89" s="116" t="s">
        <v>25</v>
      </c>
      <c r="C89" s="117" t="s">
        <v>681</v>
      </c>
      <c r="D89" s="116" t="s">
        <v>662</v>
      </c>
      <c r="E89" s="118">
        <v>1.364583333333333</v>
      </c>
      <c r="F89" s="116" t="s">
        <v>591</v>
      </c>
      <c r="G89" s="119">
        <v>2</v>
      </c>
      <c r="H89" s="120" t="s">
        <v>695</v>
      </c>
    </row>
    <row r="90" spans="1:8" ht="18" x14ac:dyDescent="0.3">
      <c r="A90" s="121">
        <v>45991</v>
      </c>
      <c r="B90" s="122" t="s">
        <v>25</v>
      </c>
      <c r="C90" s="123" t="s">
        <v>681</v>
      </c>
      <c r="D90" s="122" t="s">
        <v>662</v>
      </c>
      <c r="E90" s="124">
        <v>1.364583333333333</v>
      </c>
      <c r="F90" s="122" t="s">
        <v>592</v>
      </c>
      <c r="G90" s="125">
        <v>2</v>
      </c>
      <c r="H90" s="122" t="s">
        <v>696</v>
      </c>
    </row>
    <row r="91" spans="1:8" ht="18" x14ac:dyDescent="0.3">
      <c r="A91" s="121">
        <v>45991</v>
      </c>
      <c r="B91" s="122" t="s">
        <v>25</v>
      </c>
      <c r="C91" s="123" t="s">
        <v>681</v>
      </c>
      <c r="D91" s="122" t="s">
        <v>662</v>
      </c>
      <c r="E91" s="124">
        <v>1.364583333333333</v>
      </c>
      <c r="F91" s="122" t="s">
        <v>594</v>
      </c>
      <c r="G91" s="125">
        <v>2</v>
      </c>
      <c r="H91" s="122" t="s">
        <v>697</v>
      </c>
    </row>
    <row r="92" spans="1:8" ht="18" x14ac:dyDescent="0.3">
      <c r="A92" s="121">
        <v>45991</v>
      </c>
      <c r="B92" s="122" t="s">
        <v>25</v>
      </c>
      <c r="C92" s="123" t="s">
        <v>681</v>
      </c>
      <c r="D92" s="122" t="s">
        <v>662</v>
      </c>
      <c r="E92" s="124">
        <v>1.364583333333333</v>
      </c>
      <c r="F92" s="122" t="s">
        <v>596</v>
      </c>
      <c r="G92" s="125">
        <v>2</v>
      </c>
      <c r="H92" s="122" t="s">
        <v>698</v>
      </c>
    </row>
    <row r="93" spans="1:8" ht="18" x14ac:dyDescent="0.3">
      <c r="A93" s="136">
        <v>45991</v>
      </c>
      <c r="B93" s="137" t="s">
        <v>71</v>
      </c>
      <c r="C93" s="138" t="s">
        <v>677</v>
      </c>
      <c r="D93" s="137" t="s">
        <v>662</v>
      </c>
      <c r="E93" s="139">
        <v>1.6909722222222221</v>
      </c>
      <c r="F93" s="137" t="s">
        <v>81</v>
      </c>
      <c r="G93" s="140">
        <v>2</v>
      </c>
      <c r="H93" s="137" t="s">
        <v>691</v>
      </c>
    </row>
    <row r="94" spans="1:8" ht="18" x14ac:dyDescent="0.3">
      <c r="A94" s="141">
        <v>45991</v>
      </c>
      <c r="B94" s="142" t="s">
        <v>71</v>
      </c>
      <c r="C94" s="143" t="s">
        <v>667</v>
      </c>
      <c r="D94" s="142" t="s">
        <v>662</v>
      </c>
      <c r="E94" s="144">
        <v>1.3298611111111109</v>
      </c>
      <c r="F94" s="142" t="s">
        <v>81</v>
      </c>
      <c r="G94" s="236">
        <v>8</v>
      </c>
      <c r="H94" s="142" t="s">
        <v>691</v>
      </c>
    </row>
    <row r="95" spans="1:8" ht="15.6" x14ac:dyDescent="0.3">
      <c r="A95" s="185"/>
      <c r="B95" s="185"/>
      <c r="C95" s="185"/>
      <c r="D95" s="185"/>
      <c r="E95" s="186" t="s">
        <v>661</v>
      </c>
      <c r="F95" s="185"/>
      <c r="G95" s="185"/>
      <c r="H95" s="3"/>
    </row>
    <row r="96" spans="1:8" ht="18" x14ac:dyDescent="0.3">
      <c r="A96" s="136">
        <v>45991</v>
      </c>
      <c r="B96" s="137" t="s">
        <v>71</v>
      </c>
      <c r="C96" s="138" t="s">
        <v>389</v>
      </c>
      <c r="D96" s="137" t="s">
        <v>271</v>
      </c>
      <c r="E96" s="139">
        <v>1.4548611111111109</v>
      </c>
      <c r="F96" s="137" t="s">
        <v>81</v>
      </c>
      <c r="G96" s="140">
        <v>2</v>
      </c>
      <c r="H96" s="137" t="s">
        <v>123</v>
      </c>
    </row>
    <row r="97" spans="1:8" ht="18" x14ac:dyDescent="0.3">
      <c r="A97" s="126">
        <v>45991</v>
      </c>
      <c r="B97" s="116" t="s">
        <v>25</v>
      </c>
      <c r="C97" s="117" t="s">
        <v>278</v>
      </c>
      <c r="D97" s="116" t="s">
        <v>271</v>
      </c>
      <c r="E97" s="118">
        <v>1.399305555555556</v>
      </c>
      <c r="F97" s="116" t="s">
        <v>27</v>
      </c>
      <c r="G97" s="119">
        <v>9</v>
      </c>
      <c r="H97" s="116" t="s">
        <v>275</v>
      </c>
    </row>
    <row r="98" spans="1:8" ht="18" x14ac:dyDescent="0.3">
      <c r="A98" s="127">
        <v>45991</v>
      </c>
      <c r="B98" s="128" t="s">
        <v>25</v>
      </c>
      <c r="C98" s="129" t="s">
        <v>273</v>
      </c>
      <c r="D98" s="128" t="s">
        <v>271</v>
      </c>
      <c r="E98" s="130">
        <v>1.489583333333333</v>
      </c>
      <c r="F98" s="128" t="s">
        <v>27</v>
      </c>
      <c r="G98" s="131">
        <v>6</v>
      </c>
      <c r="H98" s="128" t="s">
        <v>275</v>
      </c>
    </row>
    <row r="99" spans="1:8" ht="18" x14ac:dyDescent="0.3">
      <c r="A99" s="121">
        <v>45991</v>
      </c>
      <c r="B99" s="122" t="s">
        <v>25</v>
      </c>
      <c r="C99" s="123" t="s">
        <v>273</v>
      </c>
      <c r="D99" s="122" t="s">
        <v>271</v>
      </c>
      <c r="E99" s="124">
        <v>1.489583333333333</v>
      </c>
      <c r="F99" s="122" t="s">
        <v>33</v>
      </c>
      <c r="G99" s="125">
        <v>6</v>
      </c>
      <c r="H99" s="122" t="s">
        <v>79</v>
      </c>
    </row>
    <row r="100" spans="1:8" ht="18" x14ac:dyDescent="0.3">
      <c r="A100" s="127">
        <v>45991</v>
      </c>
      <c r="B100" s="128" t="s">
        <v>25</v>
      </c>
      <c r="C100" s="129" t="s">
        <v>272</v>
      </c>
      <c r="D100" s="128" t="s">
        <v>271</v>
      </c>
      <c r="E100" s="130">
        <v>1.989583333333333</v>
      </c>
      <c r="F100" s="128" t="s">
        <v>27</v>
      </c>
      <c r="G100" s="131">
        <v>9</v>
      </c>
      <c r="H100" s="128" t="s">
        <v>275</v>
      </c>
    </row>
    <row r="101" spans="1:8" ht="18" x14ac:dyDescent="0.3">
      <c r="A101" s="121">
        <v>45991</v>
      </c>
      <c r="B101" s="122" t="s">
        <v>25</v>
      </c>
      <c r="C101" s="123" t="s">
        <v>272</v>
      </c>
      <c r="D101" s="122" t="s">
        <v>271</v>
      </c>
      <c r="E101" s="124">
        <v>1.989583333333333</v>
      </c>
      <c r="F101" s="122" t="s">
        <v>33</v>
      </c>
      <c r="G101" s="125">
        <v>9</v>
      </c>
      <c r="H101" s="122" t="s">
        <v>79</v>
      </c>
    </row>
    <row r="102" spans="1:8" ht="18" x14ac:dyDescent="0.3">
      <c r="A102" s="127">
        <v>45991</v>
      </c>
      <c r="B102" s="128" t="s">
        <v>25</v>
      </c>
      <c r="C102" s="129" t="s">
        <v>277</v>
      </c>
      <c r="D102" s="128" t="s">
        <v>271</v>
      </c>
      <c r="E102" s="130">
        <v>1.8888888888888891</v>
      </c>
      <c r="F102" s="128" t="s">
        <v>27</v>
      </c>
      <c r="G102" s="131">
        <v>5</v>
      </c>
      <c r="H102" s="128" t="s">
        <v>293</v>
      </c>
    </row>
    <row r="103" spans="1:8" ht="18" x14ac:dyDescent="0.3">
      <c r="A103" s="126">
        <v>45991</v>
      </c>
      <c r="B103" s="116" t="s">
        <v>285</v>
      </c>
      <c r="C103" s="117" t="s">
        <v>286</v>
      </c>
      <c r="D103" s="116" t="s">
        <v>271</v>
      </c>
      <c r="E103" s="118">
        <v>1.493055555555556</v>
      </c>
      <c r="F103" s="116" t="s">
        <v>81</v>
      </c>
      <c r="G103" s="119">
        <v>3</v>
      </c>
      <c r="H103" s="116" t="s">
        <v>287</v>
      </c>
    </row>
    <row r="104" spans="1:8" ht="18" x14ac:dyDescent="0.3">
      <c r="A104" s="127">
        <v>45991</v>
      </c>
      <c r="B104" s="128" t="s">
        <v>285</v>
      </c>
      <c r="C104" s="129" t="s">
        <v>288</v>
      </c>
      <c r="D104" s="128" t="s">
        <v>271</v>
      </c>
      <c r="E104" s="130">
        <v>1.2048611111111109</v>
      </c>
      <c r="F104" s="128" t="s">
        <v>81</v>
      </c>
      <c r="G104" s="131">
        <v>8</v>
      </c>
      <c r="H104" s="128" t="s">
        <v>287</v>
      </c>
    </row>
    <row r="105" spans="1:8" ht="18" x14ac:dyDescent="0.3">
      <c r="A105" s="189">
        <v>45991</v>
      </c>
      <c r="B105" s="190" t="s">
        <v>54</v>
      </c>
      <c r="C105" s="191" t="s">
        <v>299</v>
      </c>
      <c r="D105" s="190" t="s">
        <v>271</v>
      </c>
      <c r="E105" s="192">
        <v>1.3472222222222221</v>
      </c>
      <c r="F105" s="190" t="s">
        <v>56</v>
      </c>
      <c r="G105" s="193">
        <v>8</v>
      </c>
      <c r="H105" s="190" t="s">
        <v>79</v>
      </c>
    </row>
  </sheetData>
  <dataValidations count="19">
    <dataValidation type="custom" allowBlank="1" showInputMessage="1" promptTitle="LOAD FACTOR ANALYSIS" prompt="SM-453_x000d__x000a_LF 75.0%_x000d__x000a_SOLD 135_x000d__x000a_LST-SOLD 22NOV_x000d__x000a_WEEKLY 52_x000d__x000a_TO-DAY NIL_x000d__x000a_Y-DAY 6_x000d__x000a_LOWEST AVAIL S3_x000d__x000a_CAPACITY 180_x000d__x000a_CLASSES L1 &amp; G4 &amp; S16 &amp; +7 more" sqref="A2 B2 C2 D2 E2 F2 G2 H2" xr:uid="{00000000-0002-0000-1200-000000000000}">
      <formula1>TRUE</formula1>
    </dataValidation>
    <dataValidation type="custom" allowBlank="1" showInputMessage="1" promptTitle="LOAD FACTOR ANALYSIS" prompt="SM-491_x000d__x000a_LF 94.4%_x000d__x000a_SOLD 170_x000d__x000a_LST-SOLD 22NOV_x000d__x000a_WEEKLY 24_x000d__x000a_TO-DAY NIL_x000d__x000a_Y-DAY 1_x000d__x000a_LOWEST AVAIL G9_x000d__x000a_CAPACITY 180_x000d__x000a_CLASSES G2 &amp; S5 &amp; W3 &amp; +6 more" sqref="A3 B3 C3 D3 E3 F3 G3 H3" xr:uid="{00000000-0002-0000-1200-000001000000}">
      <formula1>TRUE</formula1>
    </dataValidation>
    <dataValidation type="custom" allowBlank="1" showInputMessage="1" promptTitle="LOAD FACTOR ANALYSIS" prompt="SM421_x000d__x000a_LF 1.0%_x000d__x000a_SOLD 180_x000d__x000a_LST-SOLD 21NOV_x000d__x000a_WEEKLY 46_x000d__x000a_TO-DAY NIL_x000d__x000a_Y-DAY NIL_x000d__x000a_LOWEST AVAIL CLOSED_x000d__x000a_CAPACITY 180_x000d__x000a_CLASSES S1 &amp; X1 &amp; U39 &amp; +3 more" sqref="A4 B4 C4 D4 E4 F4 G4 H4" xr:uid="{00000000-0002-0000-1200-000002000000}">
      <formula1>TRUE</formula1>
    </dataValidation>
    <dataValidation type="custom" allowBlank="1" showInputMessage="1" promptTitle="LOAD FACTOR ANALYSIS" prompt="SM-453_x000d__x000a_LF 78.3%_x000d__x000a_SOLD 141_x000d__x000a_LST-SOLD 23NOV_x000d__x000a_WEEKLY 57_x000d__x000a_TO-DAY 1_x000d__x000a_Y-DAY 9_x000d__x000a_LOWEST AVAIL S6_x000d__x000a_CAPACITY 180_x000d__x000a_CLASSES G1 &amp; S4 &amp; W20 &amp; +6 more" sqref="A18 B18 C18 D18 E18 F18 G18 H18" xr:uid="{00000000-0002-0000-1200-000003000000}">
      <formula1>TRUE</formula1>
    </dataValidation>
    <dataValidation type="custom" allowBlank="1" showInputMessage="1" promptTitle="LOAD FACTOR ANALYSIS" prompt="SM-455_x000d__x000a_LF 86.1%_x000d__x000a_SOLD 155_x000d__x000a_LST-SOLD 23NOV_x000d__x000a_WEEKLY 71_x000d__x000a_TO-DAY 1_x000d__x000a_Y-DAY 3_x000d__x000a_LOWEST AVAIL G5_x000d__x000a_CAPACITY 180_x000d__x000a_CLASSES G6 &amp; S15 &amp; W12 &amp; +6 more" sqref="A19 B19 C19 D19 E19 F19 G19 H19" xr:uid="{00000000-0002-0000-1200-000004000000}">
      <formula1>TRUE</formula1>
    </dataValidation>
    <dataValidation type="custom" allowBlank="1" showInputMessage="1" promptTitle="LOAD FACTOR ANALYSIS" prompt="SM-471_x000d__x000a_LF -_x000d__x000a_SOLD -_x000d__x000a_LST-SOLD -_x000d__x000a_WEEKLY -_x000d__x000a_TO-DAY -_x000d__x000a_Y-DAY -_x000d__x000a_LOWEST AVAIL -_x000d__x000a_CAPACITY -_x000d__x000a_CLASSES -" sqref="A31 A67 B31 B67 C31 C67 D31 D67 E31 E67 F31 F67 G31 G67 H31 H67" xr:uid="{00000000-0002-0000-1200-000005000000}">
      <formula1>TRUE</formula1>
    </dataValidation>
    <dataValidation type="custom" allowBlank="1" showInputMessage="1" promptTitle="LOAD FACTOR ANALYSIS" prompt="SM-491_x000d__x000a_LF 98.9%_x000d__x000a_SOLD 178_x000d__x000a_LST-SOLD 22NOV_x000d__x000a_WEEKLY 4_x000d__x000a_TO-DAY NIL_x000d__x000a_Y-DAY 3_x000d__x000a_LOWEST AVAIL G1_x000d__x000a_CAPACITY 180_x000d__x000a_CLASSES L1 &amp; G4 &amp; X3 &amp; +4 more" sqref="A36 B36 C36 D36 E36 F36 G36 H36" xr:uid="{00000000-0002-0000-1200-000006000000}">
      <formula1>TRUE</formula1>
    </dataValidation>
    <dataValidation type="custom" allowBlank="1" showInputMessage="1" promptTitle="LOAD FACTOR ANALYSIS" prompt="SM453_x000d__x000a_LF 1.0%_x000d__x000a_SOLD 180_x000d__x000a_LST-SOLD 05SEP_x000d__x000a_WEEKLY NIL_x000d__x000a_TO-DAY NIL_x000d__x000a_Y-DAY NIL_x000d__x000a_LOWEST AVAIL CLOSED_x000d__x000a_CAPACITY 180_x000d__x000a_CLASSES E45 &amp; P135" sqref="A37 B37 C37 D37 E37 F37 G37 H37" xr:uid="{00000000-0002-0000-1200-000007000000}">
      <formula1>TRUE</formula1>
    </dataValidation>
    <dataValidation type="custom" allowBlank="1" showInputMessage="1" promptTitle="LOAD FACTOR ANALYSIS" prompt="SM421_x000d__x000a_LF 99.4%_x000d__x000a_SOLD 179_x000d__x000a_LST-SOLD 23NOV_x000d__x000a_WEEKLY 13_x000d__x000a_TO-DAY 1_x000d__x000a_Y-DAY 2_x000d__x000a_LOWEST AVAIL CLOSED_x000d__x000a_CAPACITY 180_x000d__x000a_CLASSES S1 &amp; W2 &amp; X12 &amp; +4 more" sqref="A38 B38 C38 D38 E38 F38 G38 H38" xr:uid="{00000000-0002-0000-1200-000008000000}">
      <formula1>TRUE</formula1>
    </dataValidation>
    <dataValidation type="custom" allowBlank="1" showInputMessage="1" promptTitle="LOAD FACTOR ANALYSIS" prompt="SM-455_x000d__x000a_LF 99.4%_x000d__x000a_SOLD 179_x000d__x000a_LST-SOLD 22NOV_x000d__x000a_WEEKLY 67_x000d__x000a_TO-DAY NIL_x000d__x000a_Y-DAY 15_x000d__x000a_LOWEST AVAIL S1_x000d__x000a_CAPACITY 180_x000d__x000a_CLASSES S13 &amp; W28 &amp; T15 &amp; +4 more" sqref="A51 B51 C51 D51 E51 F51 G51 H51" xr:uid="{00000000-0002-0000-1200-000009000000}">
      <formula1>TRUE</formula1>
    </dataValidation>
    <dataValidation type="custom" allowBlank="1" showInputMessage="1" promptTitle="LOAD FACTOR ANALYSIS" prompt="SM453_x000d__x000a_LF 1.0%_x000d__x000a_SOLD 180_x000d__x000a_LST-SOLD 22NOV_x000d__x000a_WEEKLY 15_x000d__x000a_TO-DAY NIL_x000d__x000a_Y-DAY 1_x000d__x000a_LOWEST AVAIL CLOSED_x000d__x000a_CAPACITY 180_x000d__x000a_CLASSES S2 &amp; W1 &amp; T9 &amp; +5 more" sqref="A52 B52 C52 D52 E52 F52 G52 H52" xr:uid="{00000000-0002-0000-1200-00000A000000}">
      <formula1>TRUE</formula1>
    </dataValidation>
    <dataValidation type="custom" allowBlank="1" showInputMessage="1" promptTitle="LOAD FACTOR ANALYSIS" prompt="SM-423_x000d__x000a_LF -_x000d__x000a_SOLD -_x000d__x000a_LST-SOLD -_x000d__x000a_WEEKLY -_x000d__x000a_TO-DAY -_x000d__x000a_Y-DAY -_x000d__x000a_LOWEST AVAIL -_x000d__x000a_CAPACITY -_x000d__x000a_CLASSES -" sqref="A58 B58 C58 D58 E58 F58 G58 H58" xr:uid="{00000000-0002-0000-1200-00000B000000}">
      <formula1>TRUE</formula1>
    </dataValidation>
    <dataValidation type="custom" allowBlank="1" showInputMessage="1" promptTitle="LOAD FACTOR ANALYSIS" prompt="SM-491_x000d__x000a_LF 56.7%_x000d__x000a_SOLD 102_x000d__x000a_LST-SOLD 23NOV_x000d__x000a_WEEKLY 64_x000d__x000a_TO-DAY 1_x000d__x000a_Y-DAY 15_x000d__x000a_LOWEST AVAIL W3_x000d__x000a_CAPACITY 180_x000d__x000a_CLASSES G3 &amp; S12 &amp; W17 &amp; +4 more" sqref="A64 B64 C64 D64 E64 F64 G64 H64" xr:uid="{00000000-0002-0000-1200-00000C000000}">
      <formula1>TRUE</formula1>
    </dataValidation>
    <dataValidation type="custom" allowBlank="1" showInputMessage="1" promptTitle="LOAD FACTOR ANALYSIS" prompt="SM-479_x000d__x000a_LF -_x000d__x000a_SOLD -_x000d__x000a_LST-SOLD -_x000d__x000a_WEEKLY -_x000d__x000a_TO-DAY -_x000d__x000a_Y-DAY -_x000d__x000a_LOWEST AVAIL -_x000d__x000a_CAPACITY -_x000d__x000a_CLASSES -" sqref="A66 B66 C66 D66 E66 F66 G66 H66" xr:uid="{00000000-0002-0000-1200-00000D000000}">
      <formula1>TRUE</formula1>
    </dataValidation>
    <dataValidation type="custom" allowBlank="1" showInputMessage="1" promptTitle="LOAD FACTOR ANALYSIS" prompt="SM-477_x000d__x000a_LF -_x000d__x000a_SOLD -_x000d__x000a_LST-SOLD -_x000d__x000a_WEEKLY -_x000d__x000a_TO-DAY -_x000d__x000a_Y-DAY -_x000d__x000a_LOWEST AVAIL -_x000d__x000a_CAPACITY -_x000d__x000a_CLASSES -" sqref="A68 A96 B68 B96 C68 C96 D68 D96 E68 E96 F68 F96 G68 G96 H68 H96" xr:uid="{00000000-0002-0000-1200-00000E000000}">
      <formula1>TRUE</formula1>
    </dataValidation>
    <dataValidation type="custom" allowBlank="1" showInputMessage="1" promptTitle="LOAD FACTOR ANALYSIS" prompt="SM-491_x000d__x000a_LF 69.4%_x000d__x000a_SOLD 125_x000d__x000a_LST-SOLD 22NOV_x000d__x000a_WEEKLY 17_x000d__x000a_TO-DAY NIL_x000d__x000a_Y-DAY 4_x000d__x000a_LOWEST AVAIL S2_x000d__x000a_CAPACITY 180_x000d__x000a_CLASSES Y1 &amp; G1 &amp; S18 &amp; +4 more" sqref="A76 B76 C76 D76 E76 F76 G76 H76" xr:uid="{00000000-0002-0000-1200-00000F000000}">
      <formula1>TRUE</formula1>
    </dataValidation>
    <dataValidation type="custom" allowBlank="1" showInputMessage="1" promptTitle="LOAD FACTOR ANALYSIS" prompt="SM-455_x000d__x000a_LF 95.0%_x000d__x000a_SOLD 171_x000d__x000a_LST-SOLD 22NOV_x000d__x000a_WEEKLY 21_x000d__x000a_TO-DAY NIL_x000d__x000a_Y-DAY 5_x000d__x000a_LOWEST AVAIL G1_x000d__x000a_CAPACITY 180_x000d__x000a_CLASSES Y2 &amp; G22 &amp; S19 &amp; +4 more" sqref="A77 B77 C77 D77 E77 F77 G77 H77" xr:uid="{00000000-0002-0000-1200-000010000000}">
      <formula1>TRUE</formula1>
    </dataValidation>
    <dataValidation type="custom" allowBlank="1" showInputMessage="1" promptTitle="LOAD FACTOR ANALYSIS" prompt="SM-455_x000d__x000a_LF 67.2%_x000d__x000a_SOLD 121_x000d__x000a_LST-SOLD 23NOV_x000d__x000a_WEEKLY 62_x000d__x000a_TO-DAY 1_x000d__x000a_Y-DAY 12_x000d__x000a_LOWEST AVAIL W2_x000d__x000a_CAPACITY 180_x000d__x000a_CLASSES Y1 &amp; S2 &amp; W18 &amp; +4 more" sqref="A93 B93 C93 D93 E93 F93 G93 H93" xr:uid="{00000000-0002-0000-1200-000011000000}">
      <formula1>TRUE</formula1>
    </dataValidation>
    <dataValidation type="custom" allowBlank="1" showInputMessage="1" promptTitle="LOAD FACTOR ANALYSIS" prompt="SM-491_x000d__x000a_LF 90.6%_x000d__x000a_SOLD 163_x000d__x000a_LST-SOLD 23NOV_x000d__x000a_WEEKLY 56_x000d__x000a_TO-DAY 1_x000d__x000a_Y-DAY 7_x000d__x000a_LOWEST AVAIL W8_x000d__x000a_CAPACITY 180_x000d__x000a_CLASSES W6 &amp; T30 &amp; X18 &amp; +5 more" sqref="A94 B94 C94 D94 E94 F94 G94 H94" xr:uid="{00000000-0002-0000-1200-00001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N2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736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45984.358560462533</v>
      </c>
      <c r="H2" s="287"/>
      <c r="I2" s="287"/>
      <c r="J2" s="287"/>
      <c r="K2" s="292">
        <v>45984.358560462941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37" t="s">
        <v>71</v>
      </c>
      <c r="B6" s="37" t="s">
        <v>737</v>
      </c>
      <c r="C6" s="38">
        <v>0.96180555555555547</v>
      </c>
      <c r="D6" s="37" t="s">
        <v>73</v>
      </c>
      <c r="E6" s="181"/>
      <c r="F6" s="37" t="s">
        <v>74</v>
      </c>
      <c r="G6" s="302"/>
      <c r="H6" s="241" t="s">
        <v>737</v>
      </c>
      <c r="I6" s="242">
        <v>0</v>
      </c>
      <c r="J6" s="243">
        <v>0</v>
      </c>
      <c r="K6" s="244" t="s">
        <v>738</v>
      </c>
      <c r="L6" s="243">
        <v>0</v>
      </c>
      <c r="M6" s="243">
        <v>0</v>
      </c>
      <c r="N6" s="243">
        <v>0</v>
      </c>
      <c r="O6" s="245" t="s">
        <v>75</v>
      </c>
      <c r="P6" s="246">
        <v>0.96180555555555547</v>
      </c>
      <c r="Q6" s="243">
        <v>180</v>
      </c>
      <c r="R6" s="247" t="s">
        <v>738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45986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195" t="s">
        <v>71</v>
      </c>
      <c r="B10" s="195" t="s">
        <v>739</v>
      </c>
      <c r="C10" s="196">
        <v>0.2638888888888889</v>
      </c>
      <c r="D10" s="195" t="s">
        <v>73</v>
      </c>
      <c r="E10" s="225"/>
      <c r="F10" s="195" t="s">
        <v>74</v>
      </c>
      <c r="G10" s="276"/>
      <c r="H10" s="197" t="s">
        <v>739</v>
      </c>
      <c r="I10" s="248">
        <v>0</v>
      </c>
      <c r="J10" s="199">
        <v>0</v>
      </c>
      <c r="K10" s="200" t="s">
        <v>738</v>
      </c>
      <c r="L10" s="199">
        <v>0</v>
      </c>
      <c r="M10" s="199">
        <v>0</v>
      </c>
      <c r="N10" s="199">
        <v>0</v>
      </c>
      <c r="O10" s="201" t="s">
        <v>75</v>
      </c>
      <c r="P10" s="202">
        <v>0.2638888888888889</v>
      </c>
      <c r="Q10" s="199">
        <v>180</v>
      </c>
      <c r="R10" s="203" t="s">
        <v>738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46" t="s">
        <v>71</v>
      </c>
      <c r="B11" s="46" t="s">
        <v>740</v>
      </c>
      <c r="C11" s="47">
        <v>0.63888888888888895</v>
      </c>
      <c r="D11" s="46" t="s">
        <v>73</v>
      </c>
      <c r="E11" s="48"/>
      <c r="F11" s="46" t="s">
        <v>74</v>
      </c>
      <c r="G11" s="277"/>
      <c r="H11" s="49" t="s">
        <v>740</v>
      </c>
      <c r="I11" s="249">
        <v>0</v>
      </c>
      <c r="J11" s="51">
        <v>0</v>
      </c>
      <c r="K11" s="52" t="s">
        <v>738</v>
      </c>
      <c r="L11" s="51">
        <v>0</v>
      </c>
      <c r="M11" s="51">
        <v>0</v>
      </c>
      <c r="N11" s="51">
        <v>0</v>
      </c>
      <c r="O11" s="53" t="s">
        <v>75</v>
      </c>
      <c r="P11" s="54">
        <v>0.63888888888888895</v>
      </c>
      <c r="Q11" s="51">
        <v>180</v>
      </c>
      <c r="R11" s="55" t="s">
        <v>738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205" t="s">
        <v>71</v>
      </c>
      <c r="B12" s="205" t="s">
        <v>741</v>
      </c>
      <c r="C12" s="206">
        <v>0.79166666666666663</v>
      </c>
      <c r="D12" s="205" t="s">
        <v>73</v>
      </c>
      <c r="E12" s="207"/>
      <c r="F12" s="205" t="s">
        <v>74</v>
      </c>
      <c r="G12" s="278"/>
      <c r="H12" s="208" t="s">
        <v>741</v>
      </c>
      <c r="I12" s="250">
        <v>0</v>
      </c>
      <c r="J12" s="210">
        <v>0</v>
      </c>
      <c r="K12" s="211" t="s">
        <v>738</v>
      </c>
      <c r="L12" s="210">
        <v>0</v>
      </c>
      <c r="M12" s="210">
        <v>0</v>
      </c>
      <c r="N12" s="210">
        <v>0</v>
      </c>
      <c r="O12" s="212" t="s">
        <v>75</v>
      </c>
      <c r="P12" s="213">
        <v>0.79166666666666663</v>
      </c>
      <c r="Q12" s="210">
        <v>180</v>
      </c>
      <c r="R12" s="214" t="s">
        <v>738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4.4" customHeight="1" x14ac:dyDescent="0.3">
      <c r="A13" s="282"/>
      <c r="B13" s="283"/>
      <c r="C13" s="283"/>
      <c r="D13" s="283"/>
      <c r="E13" s="283"/>
      <c r="F13" s="283"/>
      <c r="G13" s="280"/>
      <c r="H13" s="284"/>
      <c r="I13" s="284"/>
      <c r="J13" s="284"/>
      <c r="K13" s="284"/>
      <c r="L13" s="284"/>
      <c r="M13" s="284"/>
      <c r="N13" s="284"/>
      <c r="O13" s="285"/>
      <c r="P13" s="284"/>
      <c r="Q13" s="280"/>
      <c r="R13" s="28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2.05" customHeight="1" x14ac:dyDescent="0.3">
      <c r="A14" s="290" t="s">
        <v>5</v>
      </c>
      <c r="B14" s="291"/>
      <c r="C14" s="291"/>
      <c r="D14" s="291"/>
      <c r="E14" s="291"/>
      <c r="F14" s="291"/>
      <c r="G14" s="5">
        <v>45987</v>
      </c>
      <c r="H14" s="274" t="s">
        <v>6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4" customHeight="1" x14ac:dyDescent="0.3">
      <c r="A15" s="31" t="s">
        <v>7</v>
      </c>
      <c r="B15" s="31" t="s">
        <v>8</v>
      </c>
      <c r="C15" s="32" t="s">
        <v>9</v>
      </c>
      <c r="D15" s="31" t="s">
        <v>10</v>
      </c>
      <c r="E15" s="31" t="s">
        <v>11</v>
      </c>
      <c r="F15" s="31" t="s">
        <v>12</v>
      </c>
      <c r="G15" s="33" t="s">
        <v>13</v>
      </c>
      <c r="H15" s="31" t="s">
        <v>14</v>
      </c>
      <c r="I15" s="34" t="s">
        <v>15</v>
      </c>
      <c r="J15" s="35" t="s">
        <v>16</v>
      </c>
      <c r="K15" s="36" t="s">
        <v>17</v>
      </c>
      <c r="L15" s="35" t="s">
        <v>18</v>
      </c>
      <c r="M15" s="35" t="s">
        <v>19</v>
      </c>
      <c r="N15" s="35" t="s">
        <v>20</v>
      </c>
      <c r="O15" s="31" t="s">
        <v>21</v>
      </c>
      <c r="P15" s="32" t="s">
        <v>22</v>
      </c>
      <c r="Q15" s="35" t="s">
        <v>23</v>
      </c>
      <c r="R15" s="31" t="s">
        <v>24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8" t="s">
        <v>285</v>
      </c>
      <c r="B16" s="8" t="s">
        <v>742</v>
      </c>
      <c r="C16" s="9">
        <v>0.77777777777777779</v>
      </c>
      <c r="D16" s="8" t="s">
        <v>81</v>
      </c>
      <c r="E16" s="8" t="s">
        <v>77</v>
      </c>
      <c r="F16" s="8" t="s">
        <v>675</v>
      </c>
      <c r="G16" s="276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251" t="s">
        <v>360</v>
      </c>
      <c r="B17" s="251" t="s">
        <v>743</v>
      </c>
      <c r="C17" s="252">
        <v>0.71180555555555547</v>
      </c>
      <c r="D17" s="251" t="s">
        <v>81</v>
      </c>
      <c r="E17" s="251" t="s">
        <v>28</v>
      </c>
      <c r="F17" s="251" t="s">
        <v>744</v>
      </c>
      <c r="G17" s="278"/>
      <c r="H17" s="58"/>
      <c r="I17" s="59"/>
      <c r="J17" s="59"/>
      <c r="K17" s="59"/>
      <c r="L17" s="59"/>
      <c r="M17" s="59"/>
      <c r="N17" s="59"/>
      <c r="O17" s="60"/>
      <c r="P17" s="59"/>
      <c r="Q17" s="61"/>
      <c r="R17" s="6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9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2.05" customHeight="1" x14ac:dyDescent="0.3">
      <c r="A19" s="290" t="s">
        <v>5</v>
      </c>
      <c r="B19" s="291"/>
      <c r="C19" s="291"/>
      <c r="D19" s="291"/>
      <c r="E19" s="291"/>
      <c r="F19" s="291"/>
      <c r="G19" s="5">
        <v>45991</v>
      </c>
      <c r="H19" s="274" t="s">
        <v>6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4" customHeight="1" x14ac:dyDescent="0.3">
      <c r="A20" s="31" t="s">
        <v>7</v>
      </c>
      <c r="B20" s="31" t="s">
        <v>8</v>
      </c>
      <c r="C20" s="32" t="s">
        <v>9</v>
      </c>
      <c r="D20" s="31" t="s">
        <v>10</v>
      </c>
      <c r="E20" s="31" t="s">
        <v>11</v>
      </c>
      <c r="F20" s="31" t="s">
        <v>12</v>
      </c>
      <c r="G20" s="33" t="s">
        <v>13</v>
      </c>
      <c r="H20" s="31" t="s">
        <v>14</v>
      </c>
      <c r="I20" s="34" t="s">
        <v>15</v>
      </c>
      <c r="J20" s="35" t="s">
        <v>16</v>
      </c>
      <c r="K20" s="36" t="s">
        <v>17</v>
      </c>
      <c r="L20" s="35" t="s">
        <v>18</v>
      </c>
      <c r="M20" s="35" t="s">
        <v>19</v>
      </c>
      <c r="N20" s="35" t="s">
        <v>20</v>
      </c>
      <c r="O20" s="31" t="s">
        <v>21</v>
      </c>
      <c r="P20" s="32" t="s">
        <v>22</v>
      </c>
      <c r="Q20" s="35" t="s">
        <v>23</v>
      </c>
      <c r="R20" s="31" t="s">
        <v>24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49.95" customHeight="1" x14ac:dyDescent="0.3">
      <c r="A21" s="253" t="s">
        <v>360</v>
      </c>
      <c r="B21" s="253" t="s">
        <v>743</v>
      </c>
      <c r="C21" s="254">
        <v>3.8194444444444441E-2</v>
      </c>
      <c r="D21" s="253" t="s">
        <v>81</v>
      </c>
      <c r="E21" s="253" t="s">
        <v>57</v>
      </c>
      <c r="F21" s="253" t="s">
        <v>745</v>
      </c>
      <c r="G21" s="302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4.4" customHeight="1" x14ac:dyDescent="0.3">
      <c r="A22" s="279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</sheetData>
  <mergeCells count="25">
    <mergeCell ref="J1:M1"/>
    <mergeCell ref="D1:F1"/>
    <mergeCell ref="A1:C1"/>
    <mergeCell ref="G1:H1"/>
    <mergeCell ref="H8:R8"/>
    <mergeCell ref="O1:Q1"/>
    <mergeCell ref="A7:R7"/>
    <mergeCell ref="H4:R4"/>
    <mergeCell ref="A2:F2"/>
    <mergeCell ref="A3:R3"/>
    <mergeCell ref="A22:R22"/>
    <mergeCell ref="A19:F19"/>
    <mergeCell ref="A13:R13"/>
    <mergeCell ref="K2:R2"/>
    <mergeCell ref="H19:R19"/>
    <mergeCell ref="G16:G17"/>
    <mergeCell ref="G6"/>
    <mergeCell ref="G10:G12"/>
    <mergeCell ref="H14:R14"/>
    <mergeCell ref="G21"/>
    <mergeCell ref="A8:F8"/>
    <mergeCell ref="G2:J2"/>
    <mergeCell ref="A4:F4"/>
    <mergeCell ref="A18:R18"/>
    <mergeCell ref="A14:F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7.218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737</v>
      </c>
      <c r="D2" s="98">
        <v>0.96180555555555547</v>
      </c>
      <c r="E2" s="97" t="s">
        <v>736</v>
      </c>
      <c r="F2" s="97" t="s">
        <v>158</v>
      </c>
      <c r="G2" s="99">
        <v>0</v>
      </c>
      <c r="H2" s="100">
        <v>180</v>
      </c>
      <c r="I2" s="100">
        <v>0</v>
      </c>
      <c r="J2" s="100">
        <v>0</v>
      </c>
      <c r="K2" s="96" t="s">
        <v>738</v>
      </c>
      <c r="L2" s="100">
        <v>0</v>
      </c>
      <c r="M2" s="100">
        <v>0</v>
      </c>
      <c r="N2" s="100">
        <v>0</v>
      </c>
      <c r="O2" s="97" t="s">
        <v>75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</row>
    <row r="3" spans="1:35" ht="18" x14ac:dyDescent="0.3">
      <c r="A3" s="102" t="s">
        <v>164</v>
      </c>
      <c r="B3" s="103">
        <v>45986</v>
      </c>
      <c r="C3" s="104" t="s">
        <v>739</v>
      </c>
      <c r="D3" s="105">
        <v>0.2638888888888889</v>
      </c>
      <c r="E3" s="104" t="s">
        <v>736</v>
      </c>
      <c r="F3" s="104" t="s">
        <v>158</v>
      </c>
      <c r="G3" s="106">
        <v>0</v>
      </c>
      <c r="H3" s="107">
        <v>180</v>
      </c>
      <c r="I3" s="107">
        <v>0</v>
      </c>
      <c r="J3" s="107">
        <v>0</v>
      </c>
      <c r="K3" s="103" t="s">
        <v>738</v>
      </c>
      <c r="L3" s="107">
        <v>0</v>
      </c>
      <c r="M3" s="107">
        <v>0</v>
      </c>
      <c r="N3" s="107">
        <v>0</v>
      </c>
      <c r="O3" s="104" t="s">
        <v>75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</row>
    <row r="4" spans="1:35" ht="18" x14ac:dyDescent="0.3">
      <c r="A4" s="95" t="s">
        <v>164</v>
      </c>
      <c r="B4" s="96">
        <v>45986</v>
      </c>
      <c r="C4" s="97" t="s">
        <v>740</v>
      </c>
      <c r="D4" s="98">
        <v>0.63888888888888895</v>
      </c>
      <c r="E4" s="97" t="s">
        <v>736</v>
      </c>
      <c r="F4" s="97" t="s">
        <v>158</v>
      </c>
      <c r="G4" s="99">
        <v>0</v>
      </c>
      <c r="H4" s="100">
        <v>180</v>
      </c>
      <c r="I4" s="100">
        <v>0</v>
      </c>
      <c r="J4" s="100">
        <v>0</v>
      </c>
      <c r="K4" s="96" t="s">
        <v>738</v>
      </c>
      <c r="L4" s="100">
        <v>0</v>
      </c>
      <c r="M4" s="100">
        <v>0</v>
      </c>
      <c r="N4" s="100">
        <v>0</v>
      </c>
      <c r="O4" s="97" t="s">
        <v>75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</row>
    <row r="5" spans="1:35" ht="18" x14ac:dyDescent="0.3">
      <c r="A5" s="102" t="s">
        <v>164</v>
      </c>
      <c r="B5" s="103">
        <v>45986</v>
      </c>
      <c r="C5" s="104" t="s">
        <v>741</v>
      </c>
      <c r="D5" s="105">
        <v>0.79166666666666663</v>
      </c>
      <c r="E5" s="104" t="s">
        <v>736</v>
      </c>
      <c r="F5" s="104" t="s">
        <v>158</v>
      </c>
      <c r="G5" s="106">
        <v>0</v>
      </c>
      <c r="H5" s="107">
        <v>180</v>
      </c>
      <c r="I5" s="107">
        <v>0</v>
      </c>
      <c r="J5" s="107">
        <v>0</v>
      </c>
      <c r="K5" s="103" t="s">
        <v>738</v>
      </c>
      <c r="L5" s="107">
        <v>0</v>
      </c>
      <c r="M5" s="107">
        <v>0</v>
      </c>
      <c r="N5" s="107">
        <v>0</v>
      </c>
      <c r="O5" s="104" t="s">
        <v>75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</row>
    <row r="6" spans="1:35" ht="18" x14ac:dyDescent="0.3">
      <c r="A6" s="109" t="s">
        <v>189</v>
      </c>
      <c r="B6" s="110"/>
      <c r="C6" s="111">
        <f>COUNTA(C2:C5)</f>
        <v>4</v>
      </c>
      <c r="D6" s="110"/>
      <c r="E6" s="110"/>
      <c r="F6" s="110"/>
      <c r="G6" s="112">
        <f>AVERAGE(G2:G5)</f>
        <v>0</v>
      </c>
      <c r="H6" s="113">
        <f>SUM(H2:H5)</f>
        <v>720</v>
      </c>
      <c r="I6" s="113">
        <f>SUM(I2:I5)</f>
        <v>0</v>
      </c>
      <c r="J6" s="113">
        <f>SUM(J2:J5)</f>
        <v>0</v>
      </c>
      <c r="K6" s="110"/>
      <c r="L6" s="113">
        <f>SUM(L2:L5)</f>
        <v>0</v>
      </c>
      <c r="M6" s="113">
        <f>SUM(M2:M5)</f>
        <v>0</v>
      </c>
      <c r="N6" s="113">
        <f>SUM(N2:N5)</f>
        <v>0</v>
      </c>
      <c r="O6" s="110"/>
      <c r="P6" s="113">
        <f t="shared" ref="P6:AI6" si="0">SUMPRODUCT(--IFERROR(VALUE(SUBSTITUTE(SUBSTITUTE(SUBSTITUTE(SUBSTITUTE(SUBSTITUTE(SUBSTITUTE(SUBSTITUTE(SUBSTITUTE(SUBSTITUTE(SUBSTITUTE(SUBSTITUTE(SUBSTITUTE(SUBSTITUTE(SUBSTITUTE(SUBSTITUTE(SUBSTITUTE(SUBSTITUTE(SUBSTITUTE(SUBSTITUTE(SUBSTITUTE(P2:P5,"Y",""),"B",""),"M",""),"H",""),"Q",""),"K",""),"V",""),"L",""),"G",""),"S",""),"W",""),"T",""),"X",""),"U",""),"O",""),"I",""),"E",""),"A",""),"P",""),"N","")),0))</f>
        <v>0</v>
      </c>
      <c r="Q6" s="113">
        <f t="shared" si="0"/>
        <v>0</v>
      </c>
      <c r="R6" s="113">
        <f t="shared" si="0"/>
        <v>0</v>
      </c>
      <c r="S6" s="113">
        <f t="shared" si="0"/>
        <v>0</v>
      </c>
      <c r="T6" s="113">
        <f t="shared" si="0"/>
        <v>0</v>
      </c>
      <c r="U6" s="113">
        <f t="shared" si="0"/>
        <v>0</v>
      </c>
      <c r="V6" s="113">
        <f t="shared" si="0"/>
        <v>0</v>
      </c>
      <c r="W6" s="113">
        <f t="shared" si="0"/>
        <v>0</v>
      </c>
      <c r="X6" s="113">
        <f t="shared" si="0"/>
        <v>0</v>
      </c>
      <c r="Y6" s="113">
        <f t="shared" si="0"/>
        <v>0</v>
      </c>
      <c r="Z6" s="113">
        <f t="shared" si="0"/>
        <v>0</v>
      </c>
      <c r="AA6" s="113">
        <f t="shared" si="0"/>
        <v>0</v>
      </c>
      <c r="AB6" s="113">
        <f t="shared" si="0"/>
        <v>0</v>
      </c>
      <c r="AC6" s="113">
        <f t="shared" si="0"/>
        <v>0</v>
      </c>
      <c r="AD6" s="113">
        <f t="shared" si="0"/>
        <v>0</v>
      </c>
      <c r="AE6" s="113">
        <f t="shared" si="0"/>
        <v>0</v>
      </c>
      <c r="AF6" s="113">
        <f t="shared" si="0"/>
        <v>0</v>
      </c>
      <c r="AG6" s="113">
        <f t="shared" si="0"/>
        <v>0</v>
      </c>
      <c r="AH6" s="113">
        <f t="shared" si="0"/>
        <v>0</v>
      </c>
      <c r="AI6" s="113">
        <f t="shared" si="0"/>
        <v>0</v>
      </c>
    </row>
  </sheetData>
  <autoFilter ref="A1:AI5" xr:uid="{00000000-0009-0000-0000-000014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5">
        <v>45985</v>
      </c>
      <c r="B2" s="133" t="s">
        <v>71</v>
      </c>
      <c r="C2" s="134" t="s">
        <v>737</v>
      </c>
      <c r="D2" s="133" t="s">
        <v>736</v>
      </c>
      <c r="E2" s="135">
        <v>1.961805555555556</v>
      </c>
      <c r="F2" s="133" t="s">
        <v>73</v>
      </c>
      <c r="G2" s="133"/>
      <c r="H2" s="256" t="s">
        <v>74</v>
      </c>
    </row>
    <row r="3" spans="1:8" ht="18" x14ac:dyDescent="0.3">
      <c r="A3" s="187">
        <v>45986</v>
      </c>
      <c r="B3" s="137" t="s">
        <v>71</v>
      </c>
      <c r="C3" s="138" t="s">
        <v>739</v>
      </c>
      <c r="D3" s="137" t="s">
        <v>736</v>
      </c>
      <c r="E3" s="139">
        <v>1.2638888888888891</v>
      </c>
      <c r="F3" s="137" t="s">
        <v>73</v>
      </c>
      <c r="G3" s="137"/>
      <c r="H3" s="188" t="s">
        <v>74</v>
      </c>
    </row>
    <row r="4" spans="1:8" ht="18" x14ac:dyDescent="0.3">
      <c r="A4" s="141">
        <v>45986</v>
      </c>
      <c r="B4" s="142" t="s">
        <v>71</v>
      </c>
      <c r="C4" s="143" t="s">
        <v>740</v>
      </c>
      <c r="D4" s="142" t="s">
        <v>736</v>
      </c>
      <c r="E4" s="144">
        <v>1.6388888888888891</v>
      </c>
      <c r="F4" s="142" t="s">
        <v>73</v>
      </c>
      <c r="G4" s="142"/>
      <c r="H4" s="142" t="s">
        <v>74</v>
      </c>
    </row>
    <row r="5" spans="1:8" ht="18" x14ac:dyDescent="0.3">
      <c r="A5" s="232">
        <v>45986</v>
      </c>
      <c r="B5" s="233" t="s">
        <v>71</v>
      </c>
      <c r="C5" s="234" t="s">
        <v>741</v>
      </c>
      <c r="D5" s="233" t="s">
        <v>736</v>
      </c>
      <c r="E5" s="235">
        <v>1.791666666666667</v>
      </c>
      <c r="F5" s="233" t="s">
        <v>73</v>
      </c>
      <c r="G5" s="233"/>
      <c r="H5" s="233" t="s">
        <v>74</v>
      </c>
    </row>
    <row r="6" spans="1:8" ht="18" x14ac:dyDescent="0.3">
      <c r="A6" s="115">
        <v>45987</v>
      </c>
      <c r="B6" s="116" t="s">
        <v>285</v>
      </c>
      <c r="C6" s="117" t="s">
        <v>742</v>
      </c>
      <c r="D6" s="116" t="s">
        <v>736</v>
      </c>
      <c r="E6" s="118">
        <v>1.7777777777777779</v>
      </c>
      <c r="F6" s="116" t="s">
        <v>81</v>
      </c>
      <c r="G6" s="119">
        <v>3</v>
      </c>
      <c r="H6" s="120" t="s">
        <v>675</v>
      </c>
    </row>
    <row r="7" spans="1:8" ht="18" x14ac:dyDescent="0.3">
      <c r="A7" s="189">
        <v>45987</v>
      </c>
      <c r="B7" s="190" t="s">
        <v>360</v>
      </c>
      <c r="C7" s="191" t="s">
        <v>743</v>
      </c>
      <c r="D7" s="190" t="s">
        <v>736</v>
      </c>
      <c r="E7" s="192">
        <v>1.711805555555556</v>
      </c>
      <c r="F7" s="190" t="s">
        <v>81</v>
      </c>
      <c r="G7" s="193">
        <v>5</v>
      </c>
      <c r="H7" s="190" t="s">
        <v>744</v>
      </c>
    </row>
    <row r="8" spans="1:8" ht="18" x14ac:dyDescent="0.3">
      <c r="A8" s="257">
        <v>45991</v>
      </c>
      <c r="B8" s="190" t="s">
        <v>360</v>
      </c>
      <c r="C8" s="191" t="s">
        <v>743</v>
      </c>
      <c r="D8" s="190" t="s">
        <v>736</v>
      </c>
      <c r="E8" s="192">
        <v>1.038194444444444</v>
      </c>
      <c r="F8" s="190" t="s">
        <v>81</v>
      </c>
      <c r="G8" s="193">
        <v>4</v>
      </c>
      <c r="H8" s="258" t="s">
        <v>745</v>
      </c>
    </row>
  </sheetData>
  <dataValidations count="4">
    <dataValidation type="custom" allowBlank="1" showInputMessage="1" promptTitle="LOAD FACTOR ANALYSIS" prompt="SM481_x000d__x000a_LF NIL_x000d__x000a_SOLD NIL_x000d__x000a_LST-SOLD NIL_x000d__x000a_WEEKLY NIL_x000d__x000a_TO-DAY NIL_x000d__x000a_Y-DAY NIL_x000d__x000a_LOWEST AVAIL CLOSED_x000d__x000a_CAPACITY 180_x000d__x000a_CLASSES -" sqref="A2 B2 C2 D2 E2 F2 G2 H2" xr:uid="{00000000-0002-0000-1500-000000000000}">
      <formula1>TRUE</formula1>
    </dataValidation>
    <dataValidation type="custom" allowBlank="1" showInputMessage="1" promptTitle="LOAD FACTOR ANALYSIS" prompt="SM429_x000d__x000a_LF NIL_x000d__x000a_SOLD NIL_x000d__x000a_LST-SOLD NIL_x000d__x000a_WEEKLY NIL_x000d__x000a_TO-DAY NIL_x000d__x000a_Y-DAY NIL_x000d__x000a_LOWEST AVAIL CLOSED_x000d__x000a_CAPACITY 180_x000d__x000a_CLASSES -" sqref="A3 B3 C3 D3 E3 F3 G3 H3" xr:uid="{00000000-0002-0000-1500-000001000000}">
      <formula1>TRUE</formula1>
    </dataValidation>
    <dataValidation type="custom" allowBlank="1" showInputMessage="1" promptTitle="LOAD FACTOR ANALYSIS" prompt="SM483_x000d__x000a_LF NIL_x000d__x000a_SOLD NIL_x000d__x000a_LST-SOLD NIL_x000d__x000a_WEEKLY NIL_x000d__x000a_TO-DAY NIL_x000d__x000a_Y-DAY NIL_x000d__x000a_LOWEST AVAIL CLOSED_x000d__x000a_CAPACITY 180_x000d__x000a_CLASSES -" sqref="A4 B4 C4 D4 E4 F4 G4 H4" xr:uid="{00000000-0002-0000-1500-000002000000}">
      <formula1>TRUE</formula1>
    </dataValidation>
    <dataValidation type="custom" allowBlank="1" showInputMessage="1" promptTitle="LOAD FACTOR ANALYSIS" prompt="SM981_x000d__x000a_LF NIL_x000d__x000a_SOLD NIL_x000d__x000a_LST-SOLD NIL_x000d__x000a_WEEKLY NIL_x000d__x000a_TO-DAY NIL_x000d__x000a_Y-DAY NIL_x000d__x000a_LOWEST AVAIL CLOSED_x000d__x000a_CAPACITY 180_x000d__x000a_CLASSES -" sqref="A5 B5 C5 D5 E5 F5 G5 H5" xr:uid="{00000000-0002-0000-1500-00000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N5"/>
  <sheetViews>
    <sheetView zoomScale="85" workbookViewId="0"/>
  </sheetViews>
  <sheetFormatPr defaultRowHeight="14.4" x14ac:dyDescent="0.3"/>
  <cols>
    <col min="14" max="14" width="7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746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45984.358561758047</v>
      </c>
      <c r="H2" s="287"/>
      <c r="I2" s="287"/>
      <c r="J2" s="287"/>
      <c r="K2" s="292">
        <v>45984.358561758483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1.6" customHeight="1" x14ac:dyDescent="0.3">
      <c r="A4" s="259"/>
      <c r="B4" s="259"/>
      <c r="C4" s="259"/>
      <c r="D4" s="259"/>
      <c r="E4" s="259"/>
      <c r="F4" s="259"/>
      <c r="G4" s="260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18.600000000000001" customHeigh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"/>
  <sheetViews>
    <sheetView workbookViewId="0"/>
  </sheetViews>
  <sheetFormatPr defaultRowHeight="14.4" x14ac:dyDescent="0.3"/>
  <cols>
    <col min="1" max="1" width="5.44140625" bestFit="1" customWidth="1"/>
    <col min="2" max="2" width="7.6640625" bestFit="1" customWidth="1"/>
    <col min="3" max="3" width="11.6640625" bestFit="1" customWidth="1"/>
    <col min="4" max="4" width="6.77734375" bestFit="1" customWidth="1"/>
    <col min="5" max="5" width="11.109375" bestFit="1" customWidth="1"/>
    <col min="6" max="6" width="9.21875" bestFit="1" customWidth="1"/>
    <col min="7" max="7" width="12.44140625" bestFit="1" customWidth="1"/>
    <col min="8" max="8" width="15.2187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7.332031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747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45984.35856197316</v>
      </c>
      <c r="H2" s="287"/>
      <c r="I2" s="287"/>
      <c r="J2" s="287"/>
      <c r="K2" s="292">
        <v>45984.358561973633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53" t="s">
        <v>35</v>
      </c>
      <c r="B6" s="253" t="s">
        <v>748</v>
      </c>
      <c r="C6" s="254">
        <v>0.69097222222222221</v>
      </c>
      <c r="D6" s="253" t="s">
        <v>42</v>
      </c>
      <c r="E6" s="253" t="s">
        <v>82</v>
      </c>
      <c r="F6" s="253" t="s">
        <v>749</v>
      </c>
      <c r="G6" s="302"/>
      <c r="H6" s="58"/>
      <c r="I6" s="59"/>
      <c r="J6" s="59"/>
      <c r="K6" s="59"/>
      <c r="L6" s="59"/>
      <c r="M6" s="59"/>
      <c r="N6" s="59"/>
      <c r="O6" s="60"/>
      <c r="P6" s="59"/>
      <c r="Q6" s="61"/>
      <c r="R6" s="6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45987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253" t="s">
        <v>35</v>
      </c>
      <c r="B10" s="253" t="s">
        <v>748</v>
      </c>
      <c r="C10" s="254">
        <v>0.69097222222222221</v>
      </c>
      <c r="D10" s="253" t="s">
        <v>42</v>
      </c>
      <c r="E10" s="253" t="s">
        <v>82</v>
      </c>
      <c r="F10" s="253" t="s">
        <v>750</v>
      </c>
      <c r="G10" s="302"/>
      <c r="H10" s="58"/>
      <c r="I10" s="59"/>
      <c r="J10" s="59"/>
      <c r="K10" s="59"/>
      <c r="L10" s="59"/>
      <c r="M10" s="59"/>
      <c r="N10" s="59"/>
      <c r="O10" s="60"/>
      <c r="P10" s="59"/>
      <c r="Q10" s="61"/>
      <c r="R10" s="62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82"/>
      <c r="B11" s="283"/>
      <c r="C11" s="283"/>
      <c r="D11" s="283"/>
      <c r="E11" s="283"/>
      <c r="F11" s="283"/>
      <c r="G11" s="280"/>
      <c r="H11" s="284"/>
      <c r="I11" s="284"/>
      <c r="J11" s="284"/>
      <c r="K11" s="284"/>
      <c r="L11" s="284"/>
      <c r="M11" s="284"/>
      <c r="N11" s="284"/>
      <c r="O11" s="285"/>
      <c r="P11" s="284"/>
      <c r="Q11" s="280"/>
      <c r="R11" s="28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90" t="s">
        <v>5</v>
      </c>
      <c r="B12" s="291"/>
      <c r="C12" s="291"/>
      <c r="D12" s="291"/>
      <c r="E12" s="291"/>
      <c r="F12" s="291"/>
      <c r="G12" s="5">
        <v>45988</v>
      </c>
      <c r="H12" s="274" t="s">
        <v>6</v>
      </c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1" t="s">
        <v>7</v>
      </c>
      <c r="B13" s="31" t="s">
        <v>8</v>
      </c>
      <c r="C13" s="32" t="s">
        <v>9</v>
      </c>
      <c r="D13" s="31" t="s">
        <v>10</v>
      </c>
      <c r="E13" s="31" t="s">
        <v>11</v>
      </c>
      <c r="F13" s="31" t="s">
        <v>12</v>
      </c>
      <c r="G13" s="33" t="s">
        <v>13</v>
      </c>
      <c r="H13" s="31" t="s">
        <v>14</v>
      </c>
      <c r="I13" s="34" t="s">
        <v>15</v>
      </c>
      <c r="J13" s="35" t="s">
        <v>16</v>
      </c>
      <c r="K13" s="36" t="s">
        <v>17</v>
      </c>
      <c r="L13" s="35" t="s">
        <v>18</v>
      </c>
      <c r="M13" s="35" t="s">
        <v>19</v>
      </c>
      <c r="N13" s="35" t="s">
        <v>20</v>
      </c>
      <c r="O13" s="31" t="s">
        <v>21</v>
      </c>
      <c r="P13" s="32" t="s">
        <v>22</v>
      </c>
      <c r="Q13" s="35" t="s">
        <v>23</v>
      </c>
      <c r="R13" s="31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253" t="s">
        <v>35</v>
      </c>
      <c r="B14" s="253" t="s">
        <v>748</v>
      </c>
      <c r="C14" s="254">
        <v>0.69097222222222221</v>
      </c>
      <c r="D14" s="253" t="s">
        <v>42</v>
      </c>
      <c r="E14" s="253" t="s">
        <v>82</v>
      </c>
      <c r="F14" s="253" t="s">
        <v>749</v>
      </c>
      <c r="G14" s="302"/>
      <c r="H14" s="58"/>
      <c r="I14" s="59"/>
      <c r="J14" s="59"/>
      <c r="K14" s="59"/>
      <c r="L14" s="59"/>
      <c r="M14" s="59"/>
      <c r="N14" s="59"/>
      <c r="O14" s="60"/>
      <c r="P14" s="59"/>
      <c r="Q14" s="61"/>
      <c r="R14" s="6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82"/>
      <c r="B15" s="283"/>
      <c r="C15" s="283"/>
      <c r="D15" s="283"/>
      <c r="E15" s="283"/>
      <c r="F15" s="283"/>
      <c r="G15" s="280"/>
      <c r="H15" s="284"/>
      <c r="I15" s="284"/>
      <c r="J15" s="284"/>
      <c r="K15" s="284"/>
      <c r="L15" s="284"/>
      <c r="M15" s="284"/>
      <c r="N15" s="284"/>
      <c r="O15" s="285"/>
      <c r="P15" s="284"/>
      <c r="Q15" s="280"/>
      <c r="R15" s="281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90" t="s">
        <v>5</v>
      </c>
      <c r="B16" s="291"/>
      <c r="C16" s="291"/>
      <c r="D16" s="291"/>
      <c r="E16" s="291"/>
      <c r="F16" s="291"/>
      <c r="G16" s="5">
        <v>45990</v>
      </c>
      <c r="H16" s="274" t="s">
        <v>6</v>
      </c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1" t="s">
        <v>7</v>
      </c>
      <c r="B17" s="31" t="s">
        <v>8</v>
      </c>
      <c r="C17" s="32" t="s">
        <v>9</v>
      </c>
      <c r="D17" s="31" t="s">
        <v>10</v>
      </c>
      <c r="E17" s="31" t="s">
        <v>11</v>
      </c>
      <c r="F17" s="31" t="s">
        <v>12</v>
      </c>
      <c r="G17" s="33" t="s">
        <v>13</v>
      </c>
      <c r="H17" s="31" t="s">
        <v>14</v>
      </c>
      <c r="I17" s="34" t="s">
        <v>15</v>
      </c>
      <c r="J17" s="35" t="s">
        <v>16</v>
      </c>
      <c r="K17" s="36" t="s">
        <v>17</v>
      </c>
      <c r="L17" s="35" t="s">
        <v>18</v>
      </c>
      <c r="M17" s="35" t="s">
        <v>19</v>
      </c>
      <c r="N17" s="35" t="s">
        <v>20</v>
      </c>
      <c r="O17" s="31" t="s">
        <v>21</v>
      </c>
      <c r="P17" s="32" t="s">
        <v>22</v>
      </c>
      <c r="Q17" s="35" t="s">
        <v>23</v>
      </c>
      <c r="R17" s="31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53" t="s">
        <v>35</v>
      </c>
      <c r="B18" s="253" t="s">
        <v>748</v>
      </c>
      <c r="C18" s="254">
        <v>0.69097222222222221</v>
      </c>
      <c r="D18" s="253" t="s">
        <v>42</v>
      </c>
      <c r="E18" s="253" t="s">
        <v>57</v>
      </c>
      <c r="F18" s="253" t="s">
        <v>750</v>
      </c>
      <c r="G18" s="302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2"/>
      <c r="B19" s="283"/>
      <c r="C19" s="283"/>
      <c r="D19" s="283"/>
      <c r="E19" s="283"/>
      <c r="F19" s="283"/>
      <c r="G19" s="280"/>
      <c r="H19" s="284"/>
      <c r="I19" s="284"/>
      <c r="J19" s="284"/>
      <c r="K19" s="284"/>
      <c r="L19" s="284"/>
      <c r="M19" s="284"/>
      <c r="N19" s="284"/>
      <c r="O19" s="285"/>
      <c r="P19" s="284"/>
      <c r="Q19" s="280"/>
      <c r="R19" s="281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90" t="s">
        <v>5</v>
      </c>
      <c r="B20" s="291"/>
      <c r="C20" s="291"/>
      <c r="D20" s="291"/>
      <c r="E20" s="291"/>
      <c r="F20" s="291"/>
      <c r="G20" s="5">
        <v>45991</v>
      </c>
      <c r="H20" s="274" t="s">
        <v>6</v>
      </c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49.95" customHeight="1" x14ac:dyDescent="0.3">
      <c r="A22" s="253" t="s">
        <v>35</v>
      </c>
      <c r="B22" s="253" t="s">
        <v>748</v>
      </c>
      <c r="C22" s="254">
        <v>0.69097222222222221</v>
      </c>
      <c r="D22" s="253" t="s">
        <v>42</v>
      </c>
      <c r="E22" s="253" t="s">
        <v>77</v>
      </c>
      <c r="F22" s="253" t="s">
        <v>750</v>
      </c>
      <c r="G22" s="302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4.4" customHeight="1" x14ac:dyDescent="0.3">
      <c r="A23" s="279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1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</sheetData>
  <mergeCells count="29">
    <mergeCell ref="O1:Q1"/>
    <mergeCell ref="A7:R7"/>
    <mergeCell ref="H20:R20"/>
    <mergeCell ref="A12:F12"/>
    <mergeCell ref="H4:R4"/>
    <mergeCell ref="G22"/>
    <mergeCell ref="A2:F2"/>
    <mergeCell ref="A3:R3"/>
    <mergeCell ref="A8:F8"/>
    <mergeCell ref="G2:J2"/>
    <mergeCell ref="A4:F4"/>
    <mergeCell ref="A16:F16"/>
    <mergeCell ref="H8:R8"/>
    <mergeCell ref="A23:R23"/>
    <mergeCell ref="A20:F20"/>
    <mergeCell ref="J1:M1"/>
    <mergeCell ref="A19:R19"/>
    <mergeCell ref="H16:R16"/>
    <mergeCell ref="K2:R2"/>
    <mergeCell ref="G10"/>
    <mergeCell ref="D1:F1"/>
    <mergeCell ref="G6"/>
    <mergeCell ref="G18"/>
    <mergeCell ref="A15:R15"/>
    <mergeCell ref="A1:C1"/>
    <mergeCell ref="H12:R12"/>
    <mergeCell ref="G1:H1"/>
    <mergeCell ref="A11:R11"/>
    <mergeCell ref="G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109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7">
        <v>45986</v>
      </c>
      <c r="B2" s="190" t="s">
        <v>35</v>
      </c>
      <c r="C2" s="191" t="s">
        <v>748</v>
      </c>
      <c r="D2" s="190" t="s">
        <v>747</v>
      </c>
      <c r="E2" s="192">
        <v>1.6909722222222221</v>
      </c>
      <c r="F2" s="190" t="s">
        <v>42</v>
      </c>
      <c r="G2" s="193">
        <v>2</v>
      </c>
      <c r="H2" s="258" t="s">
        <v>749</v>
      </c>
    </row>
    <row r="3" spans="1:8" ht="18" x14ac:dyDescent="0.3">
      <c r="A3" s="257">
        <v>45987</v>
      </c>
      <c r="B3" s="190" t="s">
        <v>35</v>
      </c>
      <c r="C3" s="191" t="s">
        <v>748</v>
      </c>
      <c r="D3" s="190" t="s">
        <v>747</v>
      </c>
      <c r="E3" s="192">
        <v>1.6909722222222221</v>
      </c>
      <c r="F3" s="190" t="s">
        <v>42</v>
      </c>
      <c r="G3" s="193">
        <v>2</v>
      </c>
      <c r="H3" s="258" t="s">
        <v>750</v>
      </c>
    </row>
    <row r="4" spans="1:8" ht="18" x14ac:dyDescent="0.3">
      <c r="A4" s="257">
        <v>45988</v>
      </c>
      <c r="B4" s="190" t="s">
        <v>35</v>
      </c>
      <c r="C4" s="191" t="s">
        <v>748</v>
      </c>
      <c r="D4" s="190" t="s">
        <v>747</v>
      </c>
      <c r="E4" s="192">
        <v>1.6909722222222221</v>
      </c>
      <c r="F4" s="190" t="s">
        <v>42</v>
      </c>
      <c r="G4" s="193">
        <v>2</v>
      </c>
      <c r="H4" s="258" t="s">
        <v>749</v>
      </c>
    </row>
    <row r="5" spans="1:8" ht="18" x14ac:dyDescent="0.3">
      <c r="A5" s="257">
        <v>45990</v>
      </c>
      <c r="B5" s="190" t="s">
        <v>35</v>
      </c>
      <c r="C5" s="191" t="s">
        <v>748</v>
      </c>
      <c r="D5" s="190" t="s">
        <v>747</v>
      </c>
      <c r="E5" s="192">
        <v>1.6909722222222221</v>
      </c>
      <c r="F5" s="190" t="s">
        <v>42</v>
      </c>
      <c r="G5" s="193">
        <v>4</v>
      </c>
      <c r="H5" s="258" t="s">
        <v>750</v>
      </c>
    </row>
    <row r="6" spans="1:8" ht="18" x14ac:dyDescent="0.3">
      <c r="A6" s="257">
        <v>45991</v>
      </c>
      <c r="B6" s="190" t="s">
        <v>35</v>
      </c>
      <c r="C6" s="191" t="s">
        <v>748</v>
      </c>
      <c r="D6" s="190" t="s">
        <v>747</v>
      </c>
      <c r="E6" s="192">
        <v>1.6909722222222221</v>
      </c>
      <c r="F6" s="190" t="s">
        <v>42</v>
      </c>
      <c r="G6" s="193">
        <v>3</v>
      </c>
      <c r="H6" s="258" t="s">
        <v>750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N5"/>
  <sheetViews>
    <sheetView zoomScale="85" workbookViewId="0"/>
  </sheetViews>
  <sheetFormatPr defaultRowHeight="14.4" x14ac:dyDescent="0.3"/>
  <cols>
    <col min="14" max="14" width="7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751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45984.358562980269</v>
      </c>
      <c r="H2" s="287"/>
      <c r="I2" s="287"/>
      <c r="J2" s="287"/>
      <c r="K2" s="292">
        <v>45984.358562980779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1.6" customHeight="1" x14ac:dyDescent="0.3">
      <c r="A4" s="259"/>
      <c r="B4" s="259"/>
      <c r="C4" s="259"/>
      <c r="D4" s="259"/>
      <c r="E4" s="259"/>
      <c r="F4" s="259"/>
      <c r="G4" s="260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18.600000000000001" customHeight="1" x14ac:dyDescent="0.3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"/>
  <sheetViews>
    <sheetView workbookViewId="0"/>
  </sheetViews>
  <sheetFormatPr defaultRowHeight="14.4" x14ac:dyDescent="0.3"/>
  <cols>
    <col min="1" max="1" width="5.44140625" bestFit="1" customWidth="1"/>
    <col min="2" max="2" width="7.6640625" bestFit="1" customWidth="1"/>
    <col min="3" max="3" width="11.6640625" bestFit="1" customWidth="1"/>
    <col min="4" max="4" width="6.77734375" bestFit="1" customWidth="1"/>
    <col min="5" max="5" width="11.109375" bestFit="1" customWidth="1"/>
    <col min="6" max="6" width="9.21875" bestFit="1" customWidth="1"/>
    <col min="7" max="7" width="12.44140625" bestFit="1" customWidth="1"/>
    <col min="8" max="8" width="15.2187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N3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1.66406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752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45984.358563214737</v>
      </c>
      <c r="H2" s="287"/>
      <c r="I2" s="287"/>
      <c r="J2" s="287"/>
      <c r="K2" s="292">
        <v>45984.358563215137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753</v>
      </c>
      <c r="C6" s="9">
        <v>0.57638888888888895</v>
      </c>
      <c r="D6" s="8" t="s">
        <v>27</v>
      </c>
      <c r="E6" s="8" t="s">
        <v>82</v>
      </c>
      <c r="F6" s="8" t="s">
        <v>754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753</v>
      </c>
      <c r="C7" s="16">
        <v>0.57638888888888895</v>
      </c>
      <c r="D7" s="15" t="s">
        <v>30</v>
      </c>
      <c r="E7" s="15" t="s">
        <v>92</v>
      </c>
      <c r="F7" s="15" t="s">
        <v>755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753</v>
      </c>
      <c r="C8" s="16">
        <v>0.57638888888888895</v>
      </c>
      <c r="D8" s="15" t="s">
        <v>33</v>
      </c>
      <c r="E8" s="15" t="s">
        <v>92</v>
      </c>
      <c r="F8" s="15" t="s">
        <v>335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756</v>
      </c>
      <c r="C9" s="20">
        <v>0.62847222222222221</v>
      </c>
      <c r="D9" s="19" t="s">
        <v>27</v>
      </c>
      <c r="E9" s="19" t="s">
        <v>91</v>
      </c>
      <c r="F9" s="19" t="s">
        <v>754</v>
      </c>
      <c r="G9" s="277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25</v>
      </c>
      <c r="B10" s="15" t="s">
        <v>756</v>
      </c>
      <c r="C10" s="16">
        <v>0.62847222222222221</v>
      </c>
      <c r="D10" s="15" t="s">
        <v>30</v>
      </c>
      <c r="E10" s="15" t="s">
        <v>92</v>
      </c>
      <c r="F10" s="15" t="s">
        <v>755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25</v>
      </c>
      <c r="B11" s="15" t="s">
        <v>756</v>
      </c>
      <c r="C11" s="16">
        <v>0.62847222222222221</v>
      </c>
      <c r="D11" s="15" t="s">
        <v>33</v>
      </c>
      <c r="E11" s="15" t="s">
        <v>92</v>
      </c>
      <c r="F11" s="15" t="s">
        <v>335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757</v>
      </c>
      <c r="C12" s="20">
        <v>0.88888888888888884</v>
      </c>
      <c r="D12" s="19" t="s">
        <v>27</v>
      </c>
      <c r="E12" s="19" t="s">
        <v>89</v>
      </c>
      <c r="F12" s="19" t="s">
        <v>683</v>
      </c>
      <c r="G12" s="277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25</v>
      </c>
      <c r="B13" s="15" t="s">
        <v>757</v>
      </c>
      <c r="C13" s="16">
        <v>0.88888888888888884</v>
      </c>
      <c r="D13" s="15" t="s">
        <v>30</v>
      </c>
      <c r="E13" s="15" t="s">
        <v>109</v>
      </c>
      <c r="F13" s="15" t="s">
        <v>123</v>
      </c>
      <c r="G13" s="277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25</v>
      </c>
      <c r="B14" s="15" t="s">
        <v>757</v>
      </c>
      <c r="C14" s="16">
        <v>0.88888888888888884</v>
      </c>
      <c r="D14" s="15" t="s">
        <v>33</v>
      </c>
      <c r="E14" s="15" t="s">
        <v>109</v>
      </c>
      <c r="F14" s="15" t="s">
        <v>758</v>
      </c>
      <c r="G14" s="277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759</v>
      </c>
      <c r="C15" s="20">
        <v>0.94444444444444453</v>
      </c>
      <c r="D15" s="19" t="s">
        <v>27</v>
      </c>
      <c r="E15" s="19" t="s">
        <v>89</v>
      </c>
      <c r="F15" s="19" t="s">
        <v>683</v>
      </c>
      <c r="G15" s="277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25</v>
      </c>
      <c r="B16" s="15" t="s">
        <v>759</v>
      </c>
      <c r="C16" s="16">
        <v>0.94444444444444453</v>
      </c>
      <c r="D16" s="15" t="s">
        <v>30</v>
      </c>
      <c r="E16" s="15" t="s">
        <v>109</v>
      </c>
      <c r="F16" s="15" t="s">
        <v>123</v>
      </c>
      <c r="G16" s="277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25</v>
      </c>
      <c r="B17" s="15" t="s">
        <v>759</v>
      </c>
      <c r="C17" s="16">
        <v>0.94444444444444453</v>
      </c>
      <c r="D17" s="15" t="s">
        <v>33</v>
      </c>
      <c r="E17" s="15" t="s">
        <v>109</v>
      </c>
      <c r="F17" s="15" t="s">
        <v>335</v>
      </c>
      <c r="G17" s="277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7" t="s">
        <v>54</v>
      </c>
      <c r="B18" s="17" t="s">
        <v>760</v>
      </c>
      <c r="C18" s="18">
        <v>0.50694444444444442</v>
      </c>
      <c r="D18" s="17" t="s">
        <v>56</v>
      </c>
      <c r="E18" s="17" t="s">
        <v>77</v>
      </c>
      <c r="F18" s="17" t="s">
        <v>683</v>
      </c>
      <c r="G18" s="277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54</v>
      </c>
      <c r="B19" s="15" t="s">
        <v>760</v>
      </c>
      <c r="C19" s="16">
        <v>0.50694444444444442</v>
      </c>
      <c r="D19" s="15" t="s">
        <v>58</v>
      </c>
      <c r="E19" s="15" t="s">
        <v>78</v>
      </c>
      <c r="F19" s="15" t="s">
        <v>698</v>
      </c>
      <c r="G19" s="277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" t="s">
        <v>54</v>
      </c>
      <c r="B20" s="15" t="s">
        <v>760</v>
      </c>
      <c r="C20" s="16">
        <v>0.50694444444444442</v>
      </c>
      <c r="D20" s="15" t="s">
        <v>60</v>
      </c>
      <c r="E20" s="15" t="s">
        <v>78</v>
      </c>
      <c r="F20" s="15" t="s">
        <v>761</v>
      </c>
      <c r="G20" s="277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54</v>
      </c>
      <c r="B21" s="19" t="s">
        <v>762</v>
      </c>
      <c r="C21" s="20">
        <v>0.4375</v>
      </c>
      <c r="D21" s="19" t="s">
        <v>56</v>
      </c>
      <c r="E21" s="19" t="s">
        <v>93</v>
      </c>
      <c r="F21" s="19" t="s">
        <v>763</v>
      </c>
      <c r="G21" s="277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54</v>
      </c>
      <c r="B22" s="15" t="s">
        <v>762</v>
      </c>
      <c r="C22" s="16">
        <v>0.4375</v>
      </c>
      <c r="D22" s="15" t="s">
        <v>58</v>
      </c>
      <c r="E22" s="15" t="s">
        <v>94</v>
      </c>
      <c r="F22" s="15" t="s">
        <v>764</v>
      </c>
      <c r="G22" s="277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54</v>
      </c>
      <c r="B23" s="15" t="s">
        <v>762</v>
      </c>
      <c r="C23" s="16">
        <v>0.4375</v>
      </c>
      <c r="D23" s="15" t="s">
        <v>60</v>
      </c>
      <c r="E23" s="15" t="s">
        <v>94</v>
      </c>
      <c r="F23" s="15" t="s">
        <v>293</v>
      </c>
      <c r="G23" s="277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54</v>
      </c>
      <c r="B24" s="19" t="s">
        <v>765</v>
      </c>
      <c r="C24" s="20">
        <v>0.63194444444444442</v>
      </c>
      <c r="D24" s="19" t="s">
        <v>56</v>
      </c>
      <c r="E24" s="19" t="s">
        <v>121</v>
      </c>
      <c r="F24" s="19" t="s">
        <v>763</v>
      </c>
      <c r="G24" s="277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54</v>
      </c>
      <c r="B25" s="15" t="s">
        <v>765</v>
      </c>
      <c r="C25" s="16">
        <v>0.63194444444444442</v>
      </c>
      <c r="D25" s="15" t="s">
        <v>58</v>
      </c>
      <c r="E25" s="15" t="s">
        <v>339</v>
      </c>
      <c r="F25" s="15" t="s">
        <v>764</v>
      </c>
      <c r="G25" s="277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54</v>
      </c>
      <c r="B26" s="15" t="s">
        <v>765</v>
      </c>
      <c r="C26" s="16">
        <v>0.63194444444444442</v>
      </c>
      <c r="D26" s="15" t="s">
        <v>60</v>
      </c>
      <c r="E26" s="15" t="s">
        <v>339</v>
      </c>
      <c r="F26" s="15" t="s">
        <v>293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54</v>
      </c>
      <c r="B27" s="19" t="s">
        <v>766</v>
      </c>
      <c r="C27" s="20">
        <v>0.55902777777777779</v>
      </c>
      <c r="D27" s="19" t="s">
        <v>56</v>
      </c>
      <c r="E27" s="19" t="s">
        <v>107</v>
      </c>
      <c r="F27" s="19" t="s">
        <v>763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54</v>
      </c>
      <c r="B28" s="15" t="s">
        <v>766</v>
      </c>
      <c r="C28" s="16">
        <v>0.55902777777777779</v>
      </c>
      <c r="D28" s="15" t="s">
        <v>58</v>
      </c>
      <c r="E28" s="15" t="s">
        <v>106</v>
      </c>
      <c r="F28" s="15" t="s">
        <v>764</v>
      </c>
      <c r="G28" s="277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54</v>
      </c>
      <c r="B29" s="15" t="s">
        <v>766</v>
      </c>
      <c r="C29" s="16">
        <v>0.55902777777777779</v>
      </c>
      <c r="D29" s="15" t="s">
        <v>60</v>
      </c>
      <c r="E29" s="15" t="s">
        <v>106</v>
      </c>
      <c r="F29" s="15" t="s">
        <v>293</v>
      </c>
      <c r="G29" s="277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54</v>
      </c>
      <c r="B30" s="19" t="s">
        <v>767</v>
      </c>
      <c r="C30" s="20">
        <v>0.69791666666666663</v>
      </c>
      <c r="D30" s="19" t="s">
        <v>56</v>
      </c>
      <c r="E30" s="19" t="s">
        <v>289</v>
      </c>
      <c r="F30" s="19" t="s">
        <v>763</v>
      </c>
      <c r="G30" s="277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54</v>
      </c>
      <c r="B31" s="15" t="s">
        <v>767</v>
      </c>
      <c r="C31" s="16">
        <v>0.69791666666666663</v>
      </c>
      <c r="D31" s="15" t="s">
        <v>58</v>
      </c>
      <c r="E31" s="15" t="s">
        <v>31</v>
      </c>
      <c r="F31" s="15" t="s">
        <v>764</v>
      </c>
      <c r="G31" s="277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54</v>
      </c>
      <c r="B32" s="15" t="s">
        <v>767</v>
      </c>
      <c r="C32" s="16">
        <v>0.69791666666666663</v>
      </c>
      <c r="D32" s="15" t="s">
        <v>60</v>
      </c>
      <c r="E32" s="15" t="s">
        <v>31</v>
      </c>
      <c r="F32" s="15" t="s">
        <v>293</v>
      </c>
      <c r="G32" s="277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54</v>
      </c>
      <c r="B33" s="19" t="s">
        <v>768</v>
      </c>
      <c r="C33" s="20">
        <v>0.95833333333333337</v>
      </c>
      <c r="D33" s="19" t="s">
        <v>56</v>
      </c>
      <c r="E33" s="19" t="s">
        <v>93</v>
      </c>
      <c r="F33" s="19" t="s">
        <v>769</v>
      </c>
      <c r="G33" s="277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54</v>
      </c>
      <c r="B34" s="15" t="s">
        <v>768</v>
      </c>
      <c r="C34" s="16">
        <v>0.95833333333333337</v>
      </c>
      <c r="D34" s="15" t="s">
        <v>58</v>
      </c>
      <c r="E34" s="15" t="s">
        <v>94</v>
      </c>
      <c r="F34" s="15" t="s">
        <v>770</v>
      </c>
      <c r="G34" s="277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54</v>
      </c>
      <c r="B35" s="15" t="s">
        <v>768</v>
      </c>
      <c r="C35" s="16">
        <v>0.95833333333333337</v>
      </c>
      <c r="D35" s="15" t="s">
        <v>60</v>
      </c>
      <c r="E35" s="15" t="s">
        <v>94</v>
      </c>
      <c r="F35" s="15" t="s">
        <v>771</v>
      </c>
      <c r="G35" s="277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54</v>
      </c>
      <c r="B36" s="19" t="s">
        <v>772</v>
      </c>
      <c r="C36" s="20">
        <v>0.81944444444444453</v>
      </c>
      <c r="D36" s="19" t="s">
        <v>56</v>
      </c>
      <c r="E36" s="19" t="s">
        <v>95</v>
      </c>
      <c r="F36" s="19" t="s">
        <v>769</v>
      </c>
      <c r="G36" s="277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5" t="s">
        <v>54</v>
      </c>
      <c r="B37" s="15" t="s">
        <v>772</v>
      </c>
      <c r="C37" s="16">
        <v>0.81944444444444453</v>
      </c>
      <c r="D37" s="15" t="s">
        <v>58</v>
      </c>
      <c r="E37" s="15" t="s">
        <v>96</v>
      </c>
      <c r="F37" s="15" t="s">
        <v>770</v>
      </c>
      <c r="G37" s="277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54</v>
      </c>
      <c r="B38" s="15" t="s">
        <v>772</v>
      </c>
      <c r="C38" s="16">
        <v>0.81944444444444453</v>
      </c>
      <c r="D38" s="15" t="s">
        <v>60</v>
      </c>
      <c r="E38" s="15" t="s">
        <v>96</v>
      </c>
      <c r="F38" s="15" t="s">
        <v>771</v>
      </c>
      <c r="G38" s="277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7" t="s">
        <v>285</v>
      </c>
      <c r="B39" s="17" t="s">
        <v>773</v>
      </c>
      <c r="C39" s="18">
        <v>0.55208333333333337</v>
      </c>
      <c r="D39" s="17" t="s">
        <v>81</v>
      </c>
      <c r="E39" s="17" t="s">
        <v>251</v>
      </c>
      <c r="F39" s="17" t="s">
        <v>774</v>
      </c>
      <c r="G39" s="277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7" t="s">
        <v>280</v>
      </c>
      <c r="B40" s="17" t="s">
        <v>775</v>
      </c>
      <c r="C40" s="18">
        <v>0.3298611111111111</v>
      </c>
      <c r="D40" s="17" t="s">
        <v>282</v>
      </c>
      <c r="E40" s="17" t="s">
        <v>28</v>
      </c>
      <c r="F40" s="17" t="s">
        <v>776</v>
      </c>
      <c r="G40" s="277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280</v>
      </c>
      <c r="B41" s="15" t="s">
        <v>775</v>
      </c>
      <c r="C41" s="16">
        <v>0.3298611111111111</v>
      </c>
      <c r="D41" s="15" t="s">
        <v>33</v>
      </c>
      <c r="E41" s="15" t="s">
        <v>31</v>
      </c>
      <c r="F41" s="15" t="s">
        <v>777</v>
      </c>
      <c r="G41" s="277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5" t="s">
        <v>71</v>
      </c>
      <c r="B42" s="195" t="s">
        <v>778</v>
      </c>
      <c r="C42" s="196">
        <v>0.72569444444444453</v>
      </c>
      <c r="D42" s="195" t="s">
        <v>81</v>
      </c>
      <c r="E42" s="195" t="s">
        <v>104</v>
      </c>
      <c r="F42" s="195" t="s">
        <v>779</v>
      </c>
      <c r="G42" s="277"/>
      <c r="H42" s="197" t="s">
        <v>780</v>
      </c>
      <c r="I42" s="198">
        <v>0.68720000000000003</v>
      </c>
      <c r="J42" s="199">
        <v>123</v>
      </c>
      <c r="K42" s="200">
        <v>45983</v>
      </c>
      <c r="L42" s="199">
        <v>64</v>
      </c>
      <c r="M42" s="199">
        <v>0</v>
      </c>
      <c r="N42" s="199">
        <v>11</v>
      </c>
      <c r="O42" s="201" t="s">
        <v>160</v>
      </c>
      <c r="P42" s="202">
        <v>0.72569444444444453</v>
      </c>
      <c r="Q42" s="199">
        <v>179</v>
      </c>
      <c r="R42" s="203" t="s">
        <v>781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7" t="s">
        <v>35</v>
      </c>
      <c r="B43" s="17" t="s">
        <v>782</v>
      </c>
      <c r="C43" s="18">
        <v>0.44444444444444442</v>
      </c>
      <c r="D43" s="17" t="s">
        <v>42</v>
      </c>
      <c r="E43" s="17" t="s">
        <v>38</v>
      </c>
      <c r="F43" s="17" t="s">
        <v>783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35</v>
      </c>
      <c r="B44" s="19" t="s">
        <v>784</v>
      </c>
      <c r="C44" s="20">
        <v>0.82986111111111116</v>
      </c>
      <c r="D44" s="19" t="s">
        <v>42</v>
      </c>
      <c r="E44" s="19" t="s">
        <v>45</v>
      </c>
      <c r="F44" s="19" t="s">
        <v>783</v>
      </c>
      <c r="G44" s="277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35</v>
      </c>
      <c r="B45" s="19" t="s">
        <v>785</v>
      </c>
      <c r="C45" s="20">
        <v>0.98263888888888884</v>
      </c>
      <c r="D45" s="19" t="s">
        <v>42</v>
      </c>
      <c r="E45" s="19" t="s">
        <v>45</v>
      </c>
      <c r="F45" s="19" t="s">
        <v>783</v>
      </c>
      <c r="G45" s="277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35</v>
      </c>
      <c r="B46" s="19" t="s">
        <v>786</v>
      </c>
      <c r="C46" s="20">
        <v>0.88888888888888884</v>
      </c>
      <c r="D46" s="19" t="s">
        <v>42</v>
      </c>
      <c r="E46" s="19" t="s">
        <v>51</v>
      </c>
      <c r="F46" s="19" t="s">
        <v>787</v>
      </c>
      <c r="G46" s="277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35</v>
      </c>
      <c r="B47" s="19" t="s">
        <v>788</v>
      </c>
      <c r="C47" s="20">
        <v>0.62847222222222221</v>
      </c>
      <c r="D47" s="19" t="s">
        <v>42</v>
      </c>
      <c r="E47" s="19" t="s">
        <v>51</v>
      </c>
      <c r="F47" s="19" t="s">
        <v>787</v>
      </c>
      <c r="G47" s="277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35</v>
      </c>
      <c r="B48" s="19" t="s">
        <v>789</v>
      </c>
      <c r="C48" s="20">
        <v>0.94444444444444453</v>
      </c>
      <c r="D48" s="19" t="s">
        <v>42</v>
      </c>
      <c r="E48" s="19" t="s">
        <v>51</v>
      </c>
      <c r="F48" s="19" t="s">
        <v>787</v>
      </c>
      <c r="G48" s="277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35</v>
      </c>
      <c r="B49" s="19" t="s">
        <v>790</v>
      </c>
      <c r="C49" s="20">
        <v>0.20833333333333329</v>
      </c>
      <c r="D49" s="19" t="s">
        <v>42</v>
      </c>
      <c r="E49" s="19" t="s">
        <v>45</v>
      </c>
      <c r="F49" s="19" t="s">
        <v>791</v>
      </c>
      <c r="G49" s="277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35</v>
      </c>
      <c r="B50" s="19" t="s">
        <v>792</v>
      </c>
      <c r="C50" s="20">
        <v>0.62847222222222221</v>
      </c>
      <c r="D50" s="19" t="s">
        <v>42</v>
      </c>
      <c r="E50" s="19" t="s">
        <v>45</v>
      </c>
      <c r="F50" s="19" t="s">
        <v>791</v>
      </c>
      <c r="G50" s="277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7" t="s">
        <v>63</v>
      </c>
      <c r="B51" s="17" t="s">
        <v>793</v>
      </c>
      <c r="C51" s="18">
        <v>0.73263888888888884</v>
      </c>
      <c r="D51" s="17" t="s">
        <v>48</v>
      </c>
      <c r="E51" s="17" t="s">
        <v>82</v>
      </c>
      <c r="F51" s="17" t="s">
        <v>794</v>
      </c>
      <c r="G51" s="277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63</v>
      </c>
      <c r="B52" s="19" t="s">
        <v>795</v>
      </c>
      <c r="C52" s="20">
        <v>0.98263888888888884</v>
      </c>
      <c r="D52" s="19" t="s">
        <v>48</v>
      </c>
      <c r="E52" s="19" t="s">
        <v>91</v>
      </c>
      <c r="F52" s="19" t="s">
        <v>794</v>
      </c>
      <c r="G52" s="277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63" t="s">
        <v>63</v>
      </c>
      <c r="B53" s="63" t="s">
        <v>796</v>
      </c>
      <c r="C53" s="64">
        <v>0.35416666666666669</v>
      </c>
      <c r="D53" s="63" t="s">
        <v>48</v>
      </c>
      <c r="E53" s="63" t="s">
        <v>89</v>
      </c>
      <c r="F53" s="63" t="s">
        <v>794</v>
      </c>
      <c r="G53" s="278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4.4" customHeight="1" x14ac:dyDescent="0.3">
      <c r="A54" s="279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1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22.05" customHeight="1" x14ac:dyDescent="0.3">
      <c r="A55" s="290" t="s">
        <v>5</v>
      </c>
      <c r="B55" s="291"/>
      <c r="C55" s="291"/>
      <c r="D55" s="291"/>
      <c r="E55" s="291"/>
      <c r="F55" s="291"/>
      <c r="G55" s="5">
        <v>45986</v>
      </c>
      <c r="H55" s="274" t="s">
        <v>6</v>
      </c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24" customHeight="1" x14ac:dyDescent="0.3">
      <c r="A56" s="31" t="s">
        <v>7</v>
      </c>
      <c r="B56" s="31" t="s">
        <v>8</v>
      </c>
      <c r="C56" s="32" t="s">
        <v>9</v>
      </c>
      <c r="D56" s="31" t="s">
        <v>10</v>
      </c>
      <c r="E56" s="31" t="s">
        <v>11</v>
      </c>
      <c r="F56" s="31" t="s">
        <v>12</v>
      </c>
      <c r="G56" s="33" t="s">
        <v>13</v>
      </c>
      <c r="H56" s="31" t="s">
        <v>14</v>
      </c>
      <c r="I56" s="34" t="s">
        <v>15</v>
      </c>
      <c r="J56" s="35" t="s">
        <v>16</v>
      </c>
      <c r="K56" s="36" t="s">
        <v>17</v>
      </c>
      <c r="L56" s="35" t="s">
        <v>18</v>
      </c>
      <c r="M56" s="35" t="s">
        <v>19</v>
      </c>
      <c r="N56" s="35" t="s">
        <v>20</v>
      </c>
      <c r="O56" s="31" t="s">
        <v>21</v>
      </c>
      <c r="P56" s="32" t="s">
        <v>22</v>
      </c>
      <c r="Q56" s="35" t="s">
        <v>23</v>
      </c>
      <c r="R56" s="31" t="s">
        <v>24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8" t="s">
        <v>25</v>
      </c>
      <c r="B57" s="8" t="s">
        <v>753</v>
      </c>
      <c r="C57" s="9">
        <v>0.57638888888888895</v>
      </c>
      <c r="D57" s="8" t="s">
        <v>27</v>
      </c>
      <c r="E57" s="8" t="s">
        <v>57</v>
      </c>
      <c r="F57" s="8" t="s">
        <v>683</v>
      </c>
      <c r="G57" s="276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5" t="s">
        <v>25</v>
      </c>
      <c r="B58" s="15" t="s">
        <v>753</v>
      </c>
      <c r="C58" s="16">
        <v>0.57638888888888895</v>
      </c>
      <c r="D58" s="15" t="s">
        <v>30</v>
      </c>
      <c r="E58" s="15" t="s">
        <v>53</v>
      </c>
      <c r="F58" s="15" t="s">
        <v>123</v>
      </c>
      <c r="G58" s="277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5" t="s">
        <v>25</v>
      </c>
      <c r="B59" s="15" t="s">
        <v>753</v>
      </c>
      <c r="C59" s="16">
        <v>0.57638888888888895</v>
      </c>
      <c r="D59" s="15" t="s">
        <v>33</v>
      </c>
      <c r="E59" s="15" t="s">
        <v>53</v>
      </c>
      <c r="F59" s="15" t="s">
        <v>335</v>
      </c>
      <c r="G59" s="277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25</v>
      </c>
      <c r="B60" s="19" t="s">
        <v>756</v>
      </c>
      <c r="C60" s="20">
        <v>0.62847222222222221</v>
      </c>
      <c r="D60" s="19" t="s">
        <v>27</v>
      </c>
      <c r="E60" s="19" t="s">
        <v>51</v>
      </c>
      <c r="F60" s="19" t="s">
        <v>683</v>
      </c>
      <c r="G60" s="277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5" t="s">
        <v>25</v>
      </c>
      <c r="B61" s="15" t="s">
        <v>756</v>
      </c>
      <c r="C61" s="16">
        <v>0.62847222222222221</v>
      </c>
      <c r="D61" s="15" t="s">
        <v>30</v>
      </c>
      <c r="E61" s="15" t="s">
        <v>53</v>
      </c>
      <c r="F61" s="15" t="s">
        <v>123</v>
      </c>
      <c r="G61" s="277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5" t="s">
        <v>25</v>
      </c>
      <c r="B62" s="15" t="s">
        <v>756</v>
      </c>
      <c r="C62" s="16">
        <v>0.62847222222222221</v>
      </c>
      <c r="D62" s="15" t="s">
        <v>33</v>
      </c>
      <c r="E62" s="15" t="s">
        <v>53</v>
      </c>
      <c r="F62" s="15" t="s">
        <v>335</v>
      </c>
      <c r="G62" s="277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25</v>
      </c>
      <c r="B63" s="19" t="s">
        <v>757</v>
      </c>
      <c r="C63" s="20">
        <v>0.88888888888888884</v>
      </c>
      <c r="D63" s="19" t="s">
        <v>27</v>
      </c>
      <c r="E63" s="19" t="s">
        <v>89</v>
      </c>
      <c r="F63" s="19" t="s">
        <v>683</v>
      </c>
      <c r="G63" s="277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5" t="s">
        <v>25</v>
      </c>
      <c r="B64" s="15" t="s">
        <v>757</v>
      </c>
      <c r="C64" s="16">
        <v>0.88888888888888884</v>
      </c>
      <c r="D64" s="15" t="s">
        <v>30</v>
      </c>
      <c r="E64" s="15" t="s">
        <v>109</v>
      </c>
      <c r="F64" s="15" t="s">
        <v>123</v>
      </c>
      <c r="G64" s="277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25</v>
      </c>
      <c r="B65" s="15" t="s">
        <v>757</v>
      </c>
      <c r="C65" s="16">
        <v>0.88888888888888884</v>
      </c>
      <c r="D65" s="15" t="s">
        <v>33</v>
      </c>
      <c r="E65" s="15" t="s">
        <v>109</v>
      </c>
      <c r="F65" s="15" t="s">
        <v>335</v>
      </c>
      <c r="G65" s="277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25</v>
      </c>
      <c r="B66" s="19" t="s">
        <v>759</v>
      </c>
      <c r="C66" s="20">
        <v>0.94444444444444453</v>
      </c>
      <c r="D66" s="19" t="s">
        <v>27</v>
      </c>
      <c r="E66" s="19" t="s">
        <v>91</v>
      </c>
      <c r="F66" s="19" t="s">
        <v>797</v>
      </c>
      <c r="G66" s="277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5" t="s">
        <v>25</v>
      </c>
      <c r="B67" s="15" t="s">
        <v>759</v>
      </c>
      <c r="C67" s="16">
        <v>0.94444444444444453</v>
      </c>
      <c r="D67" s="15" t="s">
        <v>30</v>
      </c>
      <c r="E67" s="15" t="s">
        <v>92</v>
      </c>
      <c r="F67" s="15" t="s">
        <v>798</v>
      </c>
      <c r="G67" s="277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5" t="s">
        <v>25</v>
      </c>
      <c r="B68" s="15" t="s">
        <v>759</v>
      </c>
      <c r="C68" s="16">
        <v>0.94444444444444453</v>
      </c>
      <c r="D68" s="15" t="s">
        <v>33</v>
      </c>
      <c r="E68" s="15" t="s">
        <v>92</v>
      </c>
      <c r="F68" s="15" t="s">
        <v>335</v>
      </c>
      <c r="G68" s="277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7" t="s">
        <v>54</v>
      </c>
      <c r="B69" s="17" t="s">
        <v>766</v>
      </c>
      <c r="C69" s="18">
        <v>0.55902777777777779</v>
      </c>
      <c r="D69" s="17" t="s">
        <v>56</v>
      </c>
      <c r="E69" s="17" t="s">
        <v>104</v>
      </c>
      <c r="F69" s="17" t="s">
        <v>683</v>
      </c>
      <c r="G69" s="277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5" t="s">
        <v>54</v>
      </c>
      <c r="B70" s="15" t="s">
        <v>766</v>
      </c>
      <c r="C70" s="16">
        <v>0.55902777777777779</v>
      </c>
      <c r="D70" s="15" t="s">
        <v>58</v>
      </c>
      <c r="E70" s="15" t="s">
        <v>109</v>
      </c>
      <c r="F70" s="15" t="s">
        <v>698</v>
      </c>
      <c r="G70" s="277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5" t="s">
        <v>54</v>
      </c>
      <c r="B71" s="15" t="s">
        <v>766</v>
      </c>
      <c r="C71" s="16">
        <v>0.55902777777777779</v>
      </c>
      <c r="D71" s="15" t="s">
        <v>60</v>
      </c>
      <c r="E71" s="15" t="s">
        <v>109</v>
      </c>
      <c r="F71" s="15" t="s">
        <v>761</v>
      </c>
      <c r="G71" s="277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9" t="s">
        <v>54</v>
      </c>
      <c r="B72" s="19" t="s">
        <v>762</v>
      </c>
      <c r="C72" s="20">
        <v>0.4375</v>
      </c>
      <c r="D72" s="19" t="s">
        <v>56</v>
      </c>
      <c r="E72" s="19" t="s">
        <v>91</v>
      </c>
      <c r="F72" s="19" t="s">
        <v>763</v>
      </c>
      <c r="G72" s="277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54</v>
      </c>
      <c r="B73" s="15" t="s">
        <v>762</v>
      </c>
      <c r="C73" s="16">
        <v>0.4375</v>
      </c>
      <c r="D73" s="15" t="s">
        <v>58</v>
      </c>
      <c r="E73" s="15" t="s">
        <v>92</v>
      </c>
      <c r="F73" s="15" t="s">
        <v>764</v>
      </c>
      <c r="G73" s="277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54</v>
      </c>
      <c r="B74" s="15" t="s">
        <v>762</v>
      </c>
      <c r="C74" s="16">
        <v>0.4375</v>
      </c>
      <c r="D74" s="15" t="s">
        <v>60</v>
      </c>
      <c r="E74" s="15" t="s">
        <v>92</v>
      </c>
      <c r="F74" s="15" t="s">
        <v>293</v>
      </c>
      <c r="G74" s="277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54</v>
      </c>
      <c r="B75" s="19" t="s">
        <v>765</v>
      </c>
      <c r="C75" s="20">
        <v>0.63194444444444442</v>
      </c>
      <c r="D75" s="19" t="s">
        <v>56</v>
      </c>
      <c r="E75" s="19" t="s">
        <v>274</v>
      </c>
      <c r="F75" s="19" t="s">
        <v>763</v>
      </c>
      <c r="G75" s="277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5" t="s">
        <v>54</v>
      </c>
      <c r="B76" s="15" t="s">
        <v>765</v>
      </c>
      <c r="C76" s="16">
        <v>0.63194444444444442</v>
      </c>
      <c r="D76" s="15" t="s">
        <v>58</v>
      </c>
      <c r="E76" s="15" t="s">
        <v>78</v>
      </c>
      <c r="F76" s="15" t="s">
        <v>764</v>
      </c>
      <c r="G76" s="277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54</v>
      </c>
      <c r="B77" s="15" t="s">
        <v>765</v>
      </c>
      <c r="C77" s="16">
        <v>0.63194444444444442</v>
      </c>
      <c r="D77" s="15" t="s">
        <v>60</v>
      </c>
      <c r="E77" s="15" t="s">
        <v>78</v>
      </c>
      <c r="F77" s="15" t="s">
        <v>293</v>
      </c>
      <c r="G77" s="277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54</v>
      </c>
      <c r="B78" s="19" t="s">
        <v>760</v>
      </c>
      <c r="C78" s="20">
        <v>0.50694444444444442</v>
      </c>
      <c r="D78" s="19" t="s">
        <v>56</v>
      </c>
      <c r="E78" s="19" t="s">
        <v>289</v>
      </c>
      <c r="F78" s="19" t="s">
        <v>763</v>
      </c>
      <c r="G78" s="277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54</v>
      </c>
      <c r="B79" s="15" t="s">
        <v>760</v>
      </c>
      <c r="C79" s="16">
        <v>0.50694444444444442</v>
      </c>
      <c r="D79" s="15" t="s">
        <v>58</v>
      </c>
      <c r="E79" s="15" t="s">
        <v>31</v>
      </c>
      <c r="F79" s="15" t="s">
        <v>764</v>
      </c>
      <c r="G79" s="277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5" t="s">
        <v>54</v>
      </c>
      <c r="B80" s="15" t="s">
        <v>760</v>
      </c>
      <c r="C80" s="16">
        <v>0.50694444444444442</v>
      </c>
      <c r="D80" s="15" t="s">
        <v>60</v>
      </c>
      <c r="E80" s="15" t="s">
        <v>31</v>
      </c>
      <c r="F80" s="15" t="s">
        <v>293</v>
      </c>
      <c r="G80" s="277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9" t="s">
        <v>54</v>
      </c>
      <c r="B81" s="19" t="s">
        <v>767</v>
      </c>
      <c r="C81" s="20">
        <v>0.69791666666666663</v>
      </c>
      <c r="D81" s="19" t="s">
        <v>56</v>
      </c>
      <c r="E81" s="19" t="s">
        <v>274</v>
      </c>
      <c r="F81" s="19" t="s">
        <v>763</v>
      </c>
      <c r="G81" s="277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5" t="s">
        <v>54</v>
      </c>
      <c r="B82" s="15" t="s">
        <v>767</v>
      </c>
      <c r="C82" s="16">
        <v>0.69791666666666663</v>
      </c>
      <c r="D82" s="15" t="s">
        <v>58</v>
      </c>
      <c r="E82" s="15" t="s">
        <v>78</v>
      </c>
      <c r="F82" s="15" t="s">
        <v>764</v>
      </c>
      <c r="G82" s="277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5" t="s">
        <v>54</v>
      </c>
      <c r="B83" s="15" t="s">
        <v>767</v>
      </c>
      <c r="C83" s="16">
        <v>0.69791666666666663</v>
      </c>
      <c r="D83" s="15" t="s">
        <v>60</v>
      </c>
      <c r="E83" s="15" t="s">
        <v>78</v>
      </c>
      <c r="F83" s="15" t="s">
        <v>293</v>
      </c>
      <c r="G83" s="277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9" t="s">
        <v>54</v>
      </c>
      <c r="B84" s="19" t="s">
        <v>772</v>
      </c>
      <c r="C84" s="20">
        <v>0.81944444444444453</v>
      </c>
      <c r="D84" s="19" t="s">
        <v>56</v>
      </c>
      <c r="E84" s="19" t="s">
        <v>91</v>
      </c>
      <c r="F84" s="19" t="s">
        <v>769</v>
      </c>
      <c r="G84" s="277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5" t="s">
        <v>54</v>
      </c>
      <c r="B85" s="15" t="s">
        <v>772</v>
      </c>
      <c r="C85" s="16">
        <v>0.81944444444444453</v>
      </c>
      <c r="D85" s="15" t="s">
        <v>58</v>
      </c>
      <c r="E85" s="15" t="s">
        <v>92</v>
      </c>
      <c r="F85" s="15" t="s">
        <v>770</v>
      </c>
      <c r="G85" s="277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5" t="s">
        <v>54</v>
      </c>
      <c r="B86" s="15" t="s">
        <v>772</v>
      </c>
      <c r="C86" s="16">
        <v>0.81944444444444453</v>
      </c>
      <c r="D86" s="15" t="s">
        <v>60</v>
      </c>
      <c r="E86" s="15" t="s">
        <v>92</v>
      </c>
      <c r="F86" s="15" t="s">
        <v>771</v>
      </c>
      <c r="G86" s="277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9" t="s">
        <v>54</v>
      </c>
      <c r="B87" s="19" t="s">
        <v>768</v>
      </c>
      <c r="C87" s="20">
        <v>0.95833333333333337</v>
      </c>
      <c r="D87" s="19" t="s">
        <v>56</v>
      </c>
      <c r="E87" s="19" t="s">
        <v>274</v>
      </c>
      <c r="F87" s="19" t="s">
        <v>275</v>
      </c>
      <c r="G87" s="277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5" t="s">
        <v>54</v>
      </c>
      <c r="B88" s="15" t="s">
        <v>768</v>
      </c>
      <c r="C88" s="16">
        <v>0.95833333333333337</v>
      </c>
      <c r="D88" s="15" t="s">
        <v>58</v>
      </c>
      <c r="E88" s="15" t="s">
        <v>78</v>
      </c>
      <c r="F88" s="15" t="s">
        <v>79</v>
      </c>
      <c r="G88" s="277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5" t="s">
        <v>54</v>
      </c>
      <c r="B89" s="15" t="s">
        <v>768</v>
      </c>
      <c r="C89" s="16">
        <v>0.95833333333333337</v>
      </c>
      <c r="D89" s="15" t="s">
        <v>60</v>
      </c>
      <c r="E89" s="15" t="s">
        <v>78</v>
      </c>
      <c r="F89" s="15" t="s">
        <v>799</v>
      </c>
      <c r="G89" s="277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65" t="s">
        <v>71</v>
      </c>
      <c r="B90" s="165" t="s">
        <v>778</v>
      </c>
      <c r="C90" s="166">
        <v>0.71527777777777779</v>
      </c>
      <c r="D90" s="165" t="s">
        <v>81</v>
      </c>
      <c r="E90" s="165" t="s">
        <v>104</v>
      </c>
      <c r="F90" s="165" t="s">
        <v>779</v>
      </c>
      <c r="G90" s="277"/>
      <c r="H90" s="168" t="s">
        <v>780</v>
      </c>
      <c r="I90" s="240">
        <v>0.75980000000000003</v>
      </c>
      <c r="J90" s="170">
        <v>136</v>
      </c>
      <c r="K90" s="171">
        <v>45983</v>
      </c>
      <c r="L90" s="170">
        <v>45</v>
      </c>
      <c r="M90" s="170">
        <v>0</v>
      </c>
      <c r="N90" s="170">
        <v>6</v>
      </c>
      <c r="O90" s="172" t="s">
        <v>160</v>
      </c>
      <c r="P90" s="173">
        <v>0.71527777777777779</v>
      </c>
      <c r="Q90" s="170">
        <v>179</v>
      </c>
      <c r="R90" s="174" t="s">
        <v>800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7" t="s">
        <v>360</v>
      </c>
      <c r="B91" s="17" t="s">
        <v>801</v>
      </c>
      <c r="C91" s="18">
        <v>9.0277777777777776E-2</v>
      </c>
      <c r="D91" s="17" t="s">
        <v>81</v>
      </c>
      <c r="E91" s="17" t="s">
        <v>104</v>
      </c>
      <c r="F91" s="17" t="s">
        <v>802</v>
      </c>
      <c r="G91" s="277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7" t="s">
        <v>280</v>
      </c>
      <c r="B92" s="17" t="s">
        <v>775</v>
      </c>
      <c r="C92" s="18">
        <v>0.4375</v>
      </c>
      <c r="D92" s="17" t="s">
        <v>282</v>
      </c>
      <c r="E92" s="17" t="s">
        <v>105</v>
      </c>
      <c r="F92" s="17" t="s">
        <v>803</v>
      </c>
      <c r="G92" s="277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280</v>
      </c>
      <c r="B93" s="15" t="s">
        <v>775</v>
      </c>
      <c r="C93" s="16">
        <v>0.4375</v>
      </c>
      <c r="D93" s="15" t="s">
        <v>33</v>
      </c>
      <c r="E93" s="15" t="s">
        <v>106</v>
      </c>
      <c r="F93" s="15" t="s">
        <v>804</v>
      </c>
      <c r="G93" s="277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7" t="s">
        <v>35</v>
      </c>
      <c r="B94" s="17" t="s">
        <v>782</v>
      </c>
      <c r="C94" s="18">
        <v>0.44444444444444442</v>
      </c>
      <c r="D94" s="17" t="s">
        <v>42</v>
      </c>
      <c r="E94" s="17" t="s">
        <v>38</v>
      </c>
      <c r="F94" s="17" t="s">
        <v>783</v>
      </c>
      <c r="G94" s="277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9" t="s">
        <v>35</v>
      </c>
      <c r="B95" s="19" t="s">
        <v>792</v>
      </c>
      <c r="C95" s="20">
        <v>0.62847222222222221</v>
      </c>
      <c r="D95" s="19" t="s">
        <v>42</v>
      </c>
      <c r="E95" s="19" t="s">
        <v>45</v>
      </c>
      <c r="F95" s="19" t="s">
        <v>783</v>
      </c>
      <c r="G95" s="277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9" t="s">
        <v>35</v>
      </c>
      <c r="B96" s="19" t="s">
        <v>788</v>
      </c>
      <c r="C96" s="20">
        <v>0.62847222222222221</v>
      </c>
      <c r="D96" s="19" t="s">
        <v>42</v>
      </c>
      <c r="E96" s="19" t="s">
        <v>51</v>
      </c>
      <c r="F96" s="19" t="s">
        <v>787</v>
      </c>
      <c r="G96" s="277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9" t="s">
        <v>35</v>
      </c>
      <c r="B97" s="19" t="s">
        <v>786</v>
      </c>
      <c r="C97" s="20">
        <v>0.88888888888888884</v>
      </c>
      <c r="D97" s="19" t="s">
        <v>42</v>
      </c>
      <c r="E97" s="19" t="s">
        <v>51</v>
      </c>
      <c r="F97" s="19" t="s">
        <v>805</v>
      </c>
      <c r="G97" s="277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9" t="s">
        <v>35</v>
      </c>
      <c r="B98" s="19" t="s">
        <v>789</v>
      </c>
      <c r="C98" s="20">
        <v>0.94444444444444453</v>
      </c>
      <c r="D98" s="19" t="s">
        <v>42</v>
      </c>
      <c r="E98" s="19" t="s">
        <v>51</v>
      </c>
      <c r="F98" s="19" t="s">
        <v>805</v>
      </c>
      <c r="G98" s="277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9" t="s">
        <v>35</v>
      </c>
      <c r="B99" s="19" t="s">
        <v>784</v>
      </c>
      <c r="C99" s="20">
        <v>0.82986111111111116</v>
      </c>
      <c r="D99" s="19" t="s">
        <v>42</v>
      </c>
      <c r="E99" s="19" t="s">
        <v>93</v>
      </c>
      <c r="F99" s="19" t="s">
        <v>791</v>
      </c>
      <c r="G99" s="277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9" t="s">
        <v>35</v>
      </c>
      <c r="B100" s="19" t="s">
        <v>785</v>
      </c>
      <c r="C100" s="20">
        <v>0.98263888888888884</v>
      </c>
      <c r="D100" s="19" t="s">
        <v>42</v>
      </c>
      <c r="E100" s="19" t="s">
        <v>45</v>
      </c>
      <c r="F100" s="19" t="s">
        <v>791</v>
      </c>
      <c r="G100" s="277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9" t="s">
        <v>35</v>
      </c>
      <c r="B101" s="19" t="s">
        <v>806</v>
      </c>
      <c r="C101" s="20">
        <v>0.69791666666666663</v>
      </c>
      <c r="D101" s="19" t="s">
        <v>42</v>
      </c>
      <c r="E101" s="19" t="s">
        <v>45</v>
      </c>
      <c r="F101" s="19" t="s">
        <v>791</v>
      </c>
      <c r="G101" s="277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7" t="s">
        <v>63</v>
      </c>
      <c r="B102" s="17" t="s">
        <v>795</v>
      </c>
      <c r="C102" s="18">
        <v>0.98263888888888884</v>
      </c>
      <c r="D102" s="17" t="s">
        <v>48</v>
      </c>
      <c r="E102" s="17" t="s">
        <v>28</v>
      </c>
      <c r="F102" s="17" t="s">
        <v>794</v>
      </c>
      <c r="G102" s="277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9" t="s">
        <v>63</v>
      </c>
      <c r="B103" s="19" t="s">
        <v>796</v>
      </c>
      <c r="C103" s="20">
        <v>0.35416666666666669</v>
      </c>
      <c r="D103" s="19" t="s">
        <v>48</v>
      </c>
      <c r="E103" s="19" t="s">
        <v>89</v>
      </c>
      <c r="F103" s="19" t="s">
        <v>794</v>
      </c>
      <c r="G103" s="277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63" t="s">
        <v>63</v>
      </c>
      <c r="B104" s="63" t="s">
        <v>793</v>
      </c>
      <c r="C104" s="64">
        <v>0.72916666666666663</v>
      </c>
      <c r="D104" s="63" t="s">
        <v>48</v>
      </c>
      <c r="E104" s="63" t="s">
        <v>289</v>
      </c>
      <c r="F104" s="63" t="s">
        <v>807</v>
      </c>
      <c r="G104" s="278"/>
      <c r="H104" s="58"/>
      <c r="I104" s="59"/>
      <c r="J104" s="59"/>
      <c r="K104" s="59"/>
      <c r="L104" s="59"/>
      <c r="M104" s="59"/>
      <c r="N104" s="59"/>
      <c r="O104" s="60"/>
      <c r="P104" s="59"/>
      <c r="Q104" s="61"/>
      <c r="R104" s="6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4.4" customHeight="1" x14ac:dyDescent="0.3">
      <c r="A105" s="282"/>
      <c r="B105" s="283"/>
      <c r="C105" s="283"/>
      <c r="D105" s="283"/>
      <c r="E105" s="283"/>
      <c r="F105" s="283"/>
      <c r="G105" s="280"/>
      <c r="H105" s="284"/>
      <c r="I105" s="284"/>
      <c r="J105" s="284"/>
      <c r="K105" s="284"/>
      <c r="L105" s="284"/>
      <c r="M105" s="284"/>
      <c r="N105" s="284"/>
      <c r="O105" s="285"/>
      <c r="P105" s="284"/>
      <c r="Q105" s="280"/>
      <c r="R105" s="28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22.05" customHeight="1" x14ac:dyDescent="0.3">
      <c r="A106" s="290" t="s">
        <v>5</v>
      </c>
      <c r="B106" s="291"/>
      <c r="C106" s="291"/>
      <c r="D106" s="291"/>
      <c r="E106" s="291"/>
      <c r="F106" s="291"/>
      <c r="G106" s="5">
        <v>45987</v>
      </c>
      <c r="H106" s="274" t="s">
        <v>6</v>
      </c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24" customHeight="1" x14ac:dyDescent="0.3">
      <c r="A107" s="31" t="s">
        <v>7</v>
      </c>
      <c r="B107" s="31" t="s">
        <v>8</v>
      </c>
      <c r="C107" s="32" t="s">
        <v>9</v>
      </c>
      <c r="D107" s="31" t="s">
        <v>10</v>
      </c>
      <c r="E107" s="31" t="s">
        <v>11</v>
      </c>
      <c r="F107" s="31" t="s">
        <v>12</v>
      </c>
      <c r="G107" s="33" t="s">
        <v>13</v>
      </c>
      <c r="H107" s="31" t="s">
        <v>14</v>
      </c>
      <c r="I107" s="34" t="s">
        <v>15</v>
      </c>
      <c r="J107" s="35" t="s">
        <v>16</v>
      </c>
      <c r="K107" s="36" t="s">
        <v>17</v>
      </c>
      <c r="L107" s="35" t="s">
        <v>18</v>
      </c>
      <c r="M107" s="35" t="s">
        <v>19</v>
      </c>
      <c r="N107" s="35" t="s">
        <v>20</v>
      </c>
      <c r="O107" s="31" t="s">
        <v>21</v>
      </c>
      <c r="P107" s="32" t="s">
        <v>22</v>
      </c>
      <c r="Q107" s="35" t="s">
        <v>23</v>
      </c>
      <c r="R107" s="31" t="s">
        <v>24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8" t="s">
        <v>25</v>
      </c>
      <c r="B108" s="8" t="s">
        <v>756</v>
      </c>
      <c r="C108" s="9">
        <v>0.62847222222222221</v>
      </c>
      <c r="D108" s="8" t="s">
        <v>27</v>
      </c>
      <c r="E108" s="8" t="s">
        <v>77</v>
      </c>
      <c r="F108" s="8" t="s">
        <v>808</v>
      </c>
      <c r="G108" s="276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5" t="s">
        <v>25</v>
      </c>
      <c r="B109" s="15" t="s">
        <v>756</v>
      </c>
      <c r="C109" s="16">
        <v>0.62847222222222221</v>
      </c>
      <c r="D109" s="15" t="s">
        <v>30</v>
      </c>
      <c r="E109" s="15" t="s">
        <v>78</v>
      </c>
      <c r="F109" s="15" t="s">
        <v>809</v>
      </c>
      <c r="G109" s="277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5" t="s">
        <v>25</v>
      </c>
      <c r="B110" s="15" t="s">
        <v>756</v>
      </c>
      <c r="C110" s="16">
        <v>0.62847222222222221</v>
      </c>
      <c r="D110" s="15" t="s">
        <v>33</v>
      </c>
      <c r="E110" s="15" t="s">
        <v>78</v>
      </c>
      <c r="F110" s="15" t="s">
        <v>335</v>
      </c>
      <c r="G110" s="277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" t="s">
        <v>25</v>
      </c>
      <c r="B111" s="19" t="s">
        <v>757</v>
      </c>
      <c r="C111" s="20">
        <v>0.88888888888888884</v>
      </c>
      <c r="D111" s="19" t="s">
        <v>97</v>
      </c>
      <c r="E111" s="19" t="s">
        <v>91</v>
      </c>
      <c r="F111" s="19" t="s">
        <v>808</v>
      </c>
      <c r="G111" s="277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5" t="s">
        <v>25</v>
      </c>
      <c r="B112" s="15" t="s">
        <v>757</v>
      </c>
      <c r="C112" s="16">
        <v>0.88888888888888884</v>
      </c>
      <c r="D112" s="15" t="s">
        <v>27</v>
      </c>
      <c r="E112" s="15" t="s">
        <v>92</v>
      </c>
      <c r="F112" s="15" t="s">
        <v>808</v>
      </c>
      <c r="G112" s="277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5" t="s">
        <v>25</v>
      </c>
      <c r="B113" s="15" t="s">
        <v>757</v>
      </c>
      <c r="C113" s="16">
        <v>0.88888888888888884</v>
      </c>
      <c r="D113" s="15" t="s">
        <v>30</v>
      </c>
      <c r="E113" s="15" t="s">
        <v>92</v>
      </c>
      <c r="F113" s="15" t="s">
        <v>809</v>
      </c>
      <c r="G113" s="277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5" t="s">
        <v>25</v>
      </c>
      <c r="B114" s="15" t="s">
        <v>757</v>
      </c>
      <c r="C114" s="16">
        <v>0.88888888888888884</v>
      </c>
      <c r="D114" s="15" t="s">
        <v>33</v>
      </c>
      <c r="E114" s="15" t="s">
        <v>92</v>
      </c>
      <c r="F114" s="15" t="s">
        <v>335</v>
      </c>
      <c r="G114" s="277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9" t="s">
        <v>25</v>
      </c>
      <c r="B115" s="19" t="s">
        <v>759</v>
      </c>
      <c r="C115" s="20">
        <v>0.94444444444444453</v>
      </c>
      <c r="D115" s="19" t="s">
        <v>27</v>
      </c>
      <c r="E115" s="19" t="s">
        <v>289</v>
      </c>
      <c r="F115" s="19" t="s">
        <v>808</v>
      </c>
      <c r="G115" s="277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5" t="s">
        <v>25</v>
      </c>
      <c r="B116" s="15" t="s">
        <v>759</v>
      </c>
      <c r="C116" s="16">
        <v>0.94444444444444453</v>
      </c>
      <c r="D116" s="15" t="s">
        <v>30</v>
      </c>
      <c r="E116" s="15" t="s">
        <v>31</v>
      </c>
      <c r="F116" s="15" t="s">
        <v>809</v>
      </c>
      <c r="G116" s="277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5" t="s">
        <v>25</v>
      </c>
      <c r="B117" s="15" t="s">
        <v>759</v>
      </c>
      <c r="C117" s="16">
        <v>0.94444444444444453</v>
      </c>
      <c r="D117" s="15" t="s">
        <v>33</v>
      </c>
      <c r="E117" s="15" t="s">
        <v>31</v>
      </c>
      <c r="F117" s="15" t="s">
        <v>335</v>
      </c>
      <c r="G117" s="277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9" t="s">
        <v>25</v>
      </c>
      <c r="B118" s="19" t="s">
        <v>753</v>
      </c>
      <c r="C118" s="20">
        <v>0.57638888888888895</v>
      </c>
      <c r="D118" s="19" t="s">
        <v>27</v>
      </c>
      <c r="E118" s="19" t="s">
        <v>91</v>
      </c>
      <c r="F118" s="19" t="s">
        <v>797</v>
      </c>
      <c r="G118" s="277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5" t="s">
        <v>25</v>
      </c>
      <c r="B119" s="15" t="s">
        <v>753</v>
      </c>
      <c r="C119" s="16">
        <v>0.57638888888888895</v>
      </c>
      <c r="D119" s="15" t="s">
        <v>30</v>
      </c>
      <c r="E119" s="15" t="s">
        <v>92</v>
      </c>
      <c r="F119" s="15" t="s">
        <v>798</v>
      </c>
      <c r="G119" s="277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5" t="s">
        <v>25</v>
      </c>
      <c r="B120" s="15" t="s">
        <v>753</v>
      </c>
      <c r="C120" s="16">
        <v>0.57638888888888895</v>
      </c>
      <c r="D120" s="15" t="s">
        <v>33</v>
      </c>
      <c r="E120" s="15" t="s">
        <v>92</v>
      </c>
      <c r="F120" s="15" t="s">
        <v>335</v>
      </c>
      <c r="G120" s="277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17" t="s">
        <v>54</v>
      </c>
      <c r="B121" s="17" t="s">
        <v>762</v>
      </c>
      <c r="C121" s="18">
        <v>0.4375</v>
      </c>
      <c r="D121" s="17" t="s">
        <v>56</v>
      </c>
      <c r="E121" s="17" t="s">
        <v>104</v>
      </c>
      <c r="F121" s="17" t="s">
        <v>763</v>
      </c>
      <c r="G121" s="277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5" customHeight="1" x14ac:dyDescent="0.3">
      <c r="A122" s="15" t="s">
        <v>54</v>
      </c>
      <c r="B122" s="15" t="s">
        <v>762</v>
      </c>
      <c r="C122" s="16">
        <v>0.4375</v>
      </c>
      <c r="D122" s="15" t="s">
        <v>58</v>
      </c>
      <c r="E122" s="15" t="s">
        <v>109</v>
      </c>
      <c r="F122" s="15" t="s">
        <v>764</v>
      </c>
      <c r="G122" s="277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15" customHeight="1" x14ac:dyDescent="0.3">
      <c r="A123" s="15" t="s">
        <v>54</v>
      </c>
      <c r="B123" s="15" t="s">
        <v>762</v>
      </c>
      <c r="C123" s="16">
        <v>0.4375</v>
      </c>
      <c r="D123" s="15" t="s">
        <v>60</v>
      </c>
      <c r="E123" s="15" t="s">
        <v>109</v>
      </c>
      <c r="F123" s="15" t="s">
        <v>293</v>
      </c>
      <c r="G123" s="277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15" customHeight="1" x14ac:dyDescent="0.3">
      <c r="A124" s="19" t="s">
        <v>54</v>
      </c>
      <c r="B124" s="19" t="s">
        <v>765</v>
      </c>
      <c r="C124" s="20">
        <v>0.63194444444444442</v>
      </c>
      <c r="D124" s="19" t="s">
        <v>56</v>
      </c>
      <c r="E124" s="19" t="s">
        <v>93</v>
      </c>
      <c r="F124" s="19" t="s">
        <v>763</v>
      </c>
      <c r="G124" s="277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15" customHeight="1" x14ac:dyDescent="0.3">
      <c r="A125" s="15" t="s">
        <v>54</v>
      </c>
      <c r="B125" s="15" t="s">
        <v>765</v>
      </c>
      <c r="C125" s="16">
        <v>0.63194444444444442</v>
      </c>
      <c r="D125" s="15" t="s">
        <v>58</v>
      </c>
      <c r="E125" s="15" t="s">
        <v>94</v>
      </c>
      <c r="F125" s="15" t="s">
        <v>764</v>
      </c>
      <c r="G125" s="277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15" customHeight="1" x14ac:dyDescent="0.3">
      <c r="A126" s="15" t="s">
        <v>54</v>
      </c>
      <c r="B126" s="15" t="s">
        <v>765</v>
      </c>
      <c r="C126" s="16">
        <v>0.63194444444444442</v>
      </c>
      <c r="D126" s="15" t="s">
        <v>60</v>
      </c>
      <c r="E126" s="15" t="s">
        <v>94</v>
      </c>
      <c r="F126" s="15" t="s">
        <v>293</v>
      </c>
      <c r="G126" s="277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15" customHeight="1" x14ac:dyDescent="0.3">
      <c r="A127" s="19" t="s">
        <v>54</v>
      </c>
      <c r="B127" s="19" t="s">
        <v>766</v>
      </c>
      <c r="C127" s="20">
        <v>0.55902777777777779</v>
      </c>
      <c r="D127" s="19" t="s">
        <v>56</v>
      </c>
      <c r="E127" s="19" t="s">
        <v>289</v>
      </c>
      <c r="F127" s="19" t="s">
        <v>763</v>
      </c>
      <c r="G127" s="277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15" customHeight="1" x14ac:dyDescent="0.3">
      <c r="A128" s="15" t="s">
        <v>54</v>
      </c>
      <c r="B128" s="15" t="s">
        <v>766</v>
      </c>
      <c r="C128" s="16">
        <v>0.55902777777777779</v>
      </c>
      <c r="D128" s="15" t="s">
        <v>58</v>
      </c>
      <c r="E128" s="15" t="s">
        <v>31</v>
      </c>
      <c r="F128" s="15" t="s">
        <v>764</v>
      </c>
      <c r="G128" s="277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5" customHeight="1" x14ac:dyDescent="0.3">
      <c r="A129" s="15" t="s">
        <v>54</v>
      </c>
      <c r="B129" s="15" t="s">
        <v>766</v>
      </c>
      <c r="C129" s="16">
        <v>0.55902777777777779</v>
      </c>
      <c r="D129" s="15" t="s">
        <v>60</v>
      </c>
      <c r="E129" s="15" t="s">
        <v>31</v>
      </c>
      <c r="F129" s="15" t="s">
        <v>293</v>
      </c>
      <c r="G129" s="277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15" customHeight="1" x14ac:dyDescent="0.3">
      <c r="A130" s="19" t="s">
        <v>54</v>
      </c>
      <c r="B130" s="19" t="s">
        <v>760</v>
      </c>
      <c r="C130" s="20">
        <v>0.50694444444444442</v>
      </c>
      <c r="D130" s="19" t="s">
        <v>56</v>
      </c>
      <c r="E130" s="19" t="s">
        <v>107</v>
      </c>
      <c r="F130" s="19" t="s">
        <v>763</v>
      </c>
      <c r="G130" s="277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15" customHeight="1" x14ac:dyDescent="0.3">
      <c r="A131" s="15" t="s">
        <v>54</v>
      </c>
      <c r="B131" s="15" t="s">
        <v>760</v>
      </c>
      <c r="C131" s="16">
        <v>0.50694444444444442</v>
      </c>
      <c r="D131" s="15" t="s">
        <v>58</v>
      </c>
      <c r="E131" s="15" t="s">
        <v>106</v>
      </c>
      <c r="F131" s="15" t="s">
        <v>764</v>
      </c>
      <c r="G131" s="277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15" customHeight="1" x14ac:dyDescent="0.3">
      <c r="A132" s="15" t="s">
        <v>54</v>
      </c>
      <c r="B132" s="15" t="s">
        <v>760</v>
      </c>
      <c r="C132" s="16">
        <v>0.50694444444444442</v>
      </c>
      <c r="D132" s="15" t="s">
        <v>60</v>
      </c>
      <c r="E132" s="15" t="s">
        <v>106</v>
      </c>
      <c r="F132" s="15" t="s">
        <v>293</v>
      </c>
      <c r="G132" s="277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15" customHeight="1" x14ac:dyDescent="0.3">
      <c r="A133" s="19" t="s">
        <v>54</v>
      </c>
      <c r="B133" s="19" t="s">
        <v>772</v>
      </c>
      <c r="C133" s="20">
        <v>0.81944444444444453</v>
      </c>
      <c r="D133" s="19" t="s">
        <v>56</v>
      </c>
      <c r="E133" s="19" t="s">
        <v>107</v>
      </c>
      <c r="F133" s="19" t="s">
        <v>769</v>
      </c>
      <c r="G133" s="277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15" customHeight="1" x14ac:dyDescent="0.3">
      <c r="A134" s="15" t="s">
        <v>54</v>
      </c>
      <c r="B134" s="15" t="s">
        <v>772</v>
      </c>
      <c r="C134" s="16">
        <v>0.81944444444444453</v>
      </c>
      <c r="D134" s="15" t="s">
        <v>58</v>
      </c>
      <c r="E134" s="15" t="s">
        <v>106</v>
      </c>
      <c r="F134" s="15" t="s">
        <v>770</v>
      </c>
      <c r="G134" s="277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15" customHeight="1" x14ac:dyDescent="0.3">
      <c r="A135" s="15" t="s">
        <v>54</v>
      </c>
      <c r="B135" s="15" t="s">
        <v>772</v>
      </c>
      <c r="C135" s="16">
        <v>0.81944444444444453</v>
      </c>
      <c r="D135" s="15" t="s">
        <v>60</v>
      </c>
      <c r="E135" s="15" t="s">
        <v>106</v>
      </c>
      <c r="F135" s="15" t="s">
        <v>771</v>
      </c>
      <c r="G135" s="277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15" customHeight="1" x14ac:dyDescent="0.3">
      <c r="A136" s="19" t="s">
        <v>54</v>
      </c>
      <c r="B136" s="19" t="s">
        <v>767</v>
      </c>
      <c r="C136" s="20">
        <v>0.69791666666666663</v>
      </c>
      <c r="D136" s="19" t="s">
        <v>56</v>
      </c>
      <c r="E136" s="19" t="s">
        <v>274</v>
      </c>
      <c r="F136" s="19" t="s">
        <v>769</v>
      </c>
      <c r="G136" s="277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5" customHeight="1" x14ac:dyDescent="0.3">
      <c r="A137" s="15" t="s">
        <v>54</v>
      </c>
      <c r="B137" s="15" t="s">
        <v>767</v>
      </c>
      <c r="C137" s="16">
        <v>0.69791666666666663</v>
      </c>
      <c r="D137" s="15" t="s">
        <v>58</v>
      </c>
      <c r="E137" s="15" t="s">
        <v>78</v>
      </c>
      <c r="F137" s="15" t="s">
        <v>770</v>
      </c>
      <c r="G137" s="277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  <row r="138" spans="1:92" ht="15" customHeight="1" x14ac:dyDescent="0.3">
      <c r="A138" s="15" t="s">
        <v>54</v>
      </c>
      <c r="B138" s="15" t="s">
        <v>767</v>
      </c>
      <c r="C138" s="16">
        <v>0.69791666666666663</v>
      </c>
      <c r="D138" s="15" t="s">
        <v>60</v>
      </c>
      <c r="E138" s="15" t="s">
        <v>78</v>
      </c>
      <c r="F138" s="15" t="s">
        <v>771</v>
      </c>
      <c r="G138" s="277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</row>
    <row r="139" spans="1:92" ht="15" customHeight="1" x14ac:dyDescent="0.3">
      <c r="A139" s="19" t="s">
        <v>54</v>
      </c>
      <c r="B139" s="19" t="s">
        <v>768</v>
      </c>
      <c r="C139" s="20">
        <v>0.95833333333333337</v>
      </c>
      <c r="D139" s="19" t="s">
        <v>56</v>
      </c>
      <c r="E139" s="19" t="s">
        <v>51</v>
      </c>
      <c r="F139" s="19" t="s">
        <v>275</v>
      </c>
      <c r="G139" s="277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</row>
    <row r="140" spans="1:92" ht="15" customHeight="1" x14ac:dyDescent="0.3">
      <c r="A140" s="15" t="s">
        <v>54</v>
      </c>
      <c r="B140" s="15" t="s">
        <v>768</v>
      </c>
      <c r="C140" s="16">
        <v>0.95833333333333337</v>
      </c>
      <c r="D140" s="15" t="s">
        <v>58</v>
      </c>
      <c r="E140" s="15" t="s">
        <v>53</v>
      </c>
      <c r="F140" s="15" t="s">
        <v>79</v>
      </c>
      <c r="G140" s="277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</row>
    <row r="141" spans="1:92" ht="15" customHeight="1" x14ac:dyDescent="0.3">
      <c r="A141" s="15" t="s">
        <v>54</v>
      </c>
      <c r="B141" s="15" t="s">
        <v>768</v>
      </c>
      <c r="C141" s="16">
        <v>0.95833333333333337</v>
      </c>
      <c r="D141" s="15" t="s">
        <v>60</v>
      </c>
      <c r="E141" s="15" t="s">
        <v>53</v>
      </c>
      <c r="F141" s="15" t="s">
        <v>799</v>
      </c>
      <c r="G141" s="277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</row>
    <row r="142" spans="1:92" ht="15" customHeight="1" x14ac:dyDescent="0.3">
      <c r="A142" s="85" t="s">
        <v>71</v>
      </c>
      <c r="B142" s="85" t="s">
        <v>810</v>
      </c>
      <c r="C142" s="86">
        <v>0.41319444444444442</v>
      </c>
      <c r="D142" s="85" t="s">
        <v>81</v>
      </c>
      <c r="E142" s="85" t="s">
        <v>104</v>
      </c>
      <c r="F142" s="85" t="s">
        <v>779</v>
      </c>
      <c r="G142" s="277"/>
      <c r="H142" s="87" t="s">
        <v>811</v>
      </c>
      <c r="I142" s="194">
        <v>0.77090000000000003</v>
      </c>
      <c r="J142" s="89">
        <v>138</v>
      </c>
      <c r="K142" s="90">
        <v>45983</v>
      </c>
      <c r="L142" s="89">
        <v>76</v>
      </c>
      <c r="M142" s="89">
        <v>0</v>
      </c>
      <c r="N142" s="89">
        <v>20</v>
      </c>
      <c r="O142" s="91" t="s">
        <v>160</v>
      </c>
      <c r="P142" s="92">
        <v>0.41319444444444442</v>
      </c>
      <c r="Q142" s="89">
        <v>179</v>
      </c>
      <c r="R142" s="93" t="s">
        <v>812</v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</row>
    <row r="143" spans="1:92" ht="15" customHeight="1" x14ac:dyDescent="0.3">
      <c r="A143" s="46" t="s">
        <v>71</v>
      </c>
      <c r="B143" s="46" t="s">
        <v>778</v>
      </c>
      <c r="C143" s="47">
        <v>0.72569444444444453</v>
      </c>
      <c r="D143" s="46" t="s">
        <v>81</v>
      </c>
      <c r="E143" s="46" t="s">
        <v>89</v>
      </c>
      <c r="F143" s="46" t="s">
        <v>813</v>
      </c>
      <c r="G143" s="277"/>
      <c r="H143" s="49" t="s">
        <v>780</v>
      </c>
      <c r="I143" s="239">
        <v>0.69269999999999998</v>
      </c>
      <c r="J143" s="51">
        <v>124</v>
      </c>
      <c r="K143" s="52">
        <v>45983</v>
      </c>
      <c r="L143" s="51">
        <v>39</v>
      </c>
      <c r="M143" s="51">
        <v>0</v>
      </c>
      <c r="N143" s="51">
        <v>14</v>
      </c>
      <c r="O143" s="53" t="s">
        <v>125</v>
      </c>
      <c r="P143" s="54">
        <v>0.72569444444444453</v>
      </c>
      <c r="Q143" s="51">
        <v>179</v>
      </c>
      <c r="R143" s="55" t="s">
        <v>814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</row>
    <row r="144" spans="1:92" ht="15" customHeight="1" x14ac:dyDescent="0.3">
      <c r="A144" s="17" t="s">
        <v>285</v>
      </c>
      <c r="B144" s="17" t="s">
        <v>773</v>
      </c>
      <c r="C144" s="18">
        <v>0.61458333333333337</v>
      </c>
      <c r="D144" s="17" t="s">
        <v>81</v>
      </c>
      <c r="E144" s="17" t="s">
        <v>383</v>
      </c>
      <c r="F144" s="17" t="s">
        <v>815</v>
      </c>
      <c r="G144" s="277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</row>
    <row r="145" spans="1:92" ht="15" customHeight="1" x14ac:dyDescent="0.3">
      <c r="A145" s="17" t="s">
        <v>280</v>
      </c>
      <c r="B145" s="17" t="s">
        <v>816</v>
      </c>
      <c r="C145" s="18">
        <v>5.2083333333333343E-2</v>
      </c>
      <c r="D145" s="17" t="s">
        <v>282</v>
      </c>
      <c r="E145" s="17" t="s">
        <v>105</v>
      </c>
      <c r="F145" s="17" t="s">
        <v>817</v>
      </c>
      <c r="G145" s="277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</row>
    <row r="146" spans="1:92" ht="15" customHeight="1" x14ac:dyDescent="0.3">
      <c r="A146" s="15" t="s">
        <v>280</v>
      </c>
      <c r="B146" s="15" t="s">
        <v>816</v>
      </c>
      <c r="C146" s="16">
        <v>5.2083333333333343E-2</v>
      </c>
      <c r="D146" s="15" t="s">
        <v>33</v>
      </c>
      <c r="E146" s="15" t="s">
        <v>106</v>
      </c>
      <c r="F146" s="15" t="s">
        <v>818</v>
      </c>
      <c r="G146" s="277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</row>
    <row r="147" spans="1:92" ht="15" customHeight="1" x14ac:dyDescent="0.3">
      <c r="A147" s="17" t="s">
        <v>360</v>
      </c>
      <c r="B147" s="17" t="s">
        <v>801</v>
      </c>
      <c r="C147" s="18">
        <v>9.0277777777777776E-2</v>
      </c>
      <c r="D147" s="17" t="s">
        <v>81</v>
      </c>
      <c r="E147" s="17" t="s">
        <v>251</v>
      </c>
      <c r="F147" s="17" t="s">
        <v>802</v>
      </c>
      <c r="G147" s="277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</row>
    <row r="148" spans="1:92" ht="15" customHeight="1" x14ac:dyDescent="0.3">
      <c r="A148" s="17" t="s">
        <v>35</v>
      </c>
      <c r="B148" s="17" t="s">
        <v>782</v>
      </c>
      <c r="C148" s="18">
        <v>0.44444444444444442</v>
      </c>
      <c r="D148" s="17" t="s">
        <v>42</v>
      </c>
      <c r="E148" s="17" t="s">
        <v>38</v>
      </c>
      <c r="F148" s="17" t="s">
        <v>783</v>
      </c>
      <c r="G148" s="277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</row>
    <row r="149" spans="1:92" ht="15" customHeight="1" x14ac:dyDescent="0.3">
      <c r="A149" s="19" t="s">
        <v>35</v>
      </c>
      <c r="B149" s="19" t="s">
        <v>784</v>
      </c>
      <c r="C149" s="20">
        <v>0.82986111111111116</v>
      </c>
      <c r="D149" s="19" t="s">
        <v>42</v>
      </c>
      <c r="E149" s="19" t="s">
        <v>45</v>
      </c>
      <c r="F149" s="19" t="s">
        <v>783</v>
      </c>
      <c r="G149" s="277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</row>
    <row r="150" spans="1:92" ht="15" customHeight="1" x14ac:dyDescent="0.3">
      <c r="A150" s="19" t="s">
        <v>35</v>
      </c>
      <c r="B150" s="19" t="s">
        <v>792</v>
      </c>
      <c r="C150" s="20">
        <v>0.62847222222222221</v>
      </c>
      <c r="D150" s="19" t="s">
        <v>42</v>
      </c>
      <c r="E150" s="19" t="s">
        <v>45</v>
      </c>
      <c r="F150" s="19" t="s">
        <v>783</v>
      </c>
      <c r="G150" s="277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</row>
    <row r="151" spans="1:92" ht="15" customHeight="1" x14ac:dyDescent="0.3">
      <c r="A151" s="19" t="s">
        <v>35</v>
      </c>
      <c r="B151" s="19" t="s">
        <v>789</v>
      </c>
      <c r="C151" s="20">
        <v>0.94444444444444453</v>
      </c>
      <c r="D151" s="19" t="s">
        <v>42</v>
      </c>
      <c r="E151" s="19" t="s">
        <v>51</v>
      </c>
      <c r="F151" s="19" t="s">
        <v>787</v>
      </c>
      <c r="G151" s="277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</row>
    <row r="152" spans="1:92" ht="15" customHeight="1" x14ac:dyDescent="0.3">
      <c r="A152" s="19" t="s">
        <v>35</v>
      </c>
      <c r="B152" s="19" t="s">
        <v>786</v>
      </c>
      <c r="C152" s="20">
        <v>0.88888888888888884</v>
      </c>
      <c r="D152" s="19" t="s">
        <v>42</v>
      </c>
      <c r="E152" s="19" t="s">
        <v>51</v>
      </c>
      <c r="F152" s="19" t="s">
        <v>805</v>
      </c>
      <c r="G152" s="277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</row>
    <row r="153" spans="1:92" ht="15" customHeight="1" x14ac:dyDescent="0.3">
      <c r="A153" s="19" t="s">
        <v>35</v>
      </c>
      <c r="B153" s="19" t="s">
        <v>788</v>
      </c>
      <c r="C153" s="20">
        <v>0.62847222222222221</v>
      </c>
      <c r="D153" s="19" t="s">
        <v>42</v>
      </c>
      <c r="E153" s="19" t="s">
        <v>51</v>
      </c>
      <c r="F153" s="19" t="s">
        <v>805</v>
      </c>
      <c r="G153" s="277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</row>
    <row r="154" spans="1:92" ht="15" customHeight="1" x14ac:dyDescent="0.3">
      <c r="A154" s="19" t="s">
        <v>35</v>
      </c>
      <c r="B154" s="19" t="s">
        <v>785</v>
      </c>
      <c r="C154" s="20">
        <v>0.98263888888888884</v>
      </c>
      <c r="D154" s="19" t="s">
        <v>42</v>
      </c>
      <c r="E154" s="19" t="s">
        <v>45</v>
      </c>
      <c r="F154" s="19" t="s">
        <v>791</v>
      </c>
      <c r="G154" s="277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</row>
    <row r="155" spans="1:92" ht="15" customHeight="1" x14ac:dyDescent="0.3">
      <c r="A155" s="17" t="s">
        <v>63</v>
      </c>
      <c r="B155" s="17" t="s">
        <v>796</v>
      </c>
      <c r="C155" s="18">
        <v>0.34722222222222232</v>
      </c>
      <c r="D155" s="17" t="s">
        <v>48</v>
      </c>
      <c r="E155" s="17" t="s">
        <v>38</v>
      </c>
      <c r="F155" s="17" t="s">
        <v>819</v>
      </c>
      <c r="G155" s="277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</row>
    <row r="156" spans="1:92" ht="15" customHeight="1" x14ac:dyDescent="0.3">
      <c r="A156" s="19" t="s">
        <v>63</v>
      </c>
      <c r="B156" s="19" t="s">
        <v>795</v>
      </c>
      <c r="C156" s="20">
        <v>0.98263888888888884</v>
      </c>
      <c r="D156" s="19" t="s">
        <v>48</v>
      </c>
      <c r="E156" s="19" t="s">
        <v>45</v>
      </c>
      <c r="F156" s="19" t="s">
        <v>820</v>
      </c>
      <c r="G156" s="277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</row>
    <row r="157" spans="1:92" ht="15" customHeight="1" x14ac:dyDescent="0.3">
      <c r="A157" s="63" t="s">
        <v>63</v>
      </c>
      <c r="B157" s="63" t="s">
        <v>793</v>
      </c>
      <c r="C157" s="64">
        <v>0.72916666666666663</v>
      </c>
      <c r="D157" s="63" t="s">
        <v>48</v>
      </c>
      <c r="E157" s="63" t="s">
        <v>45</v>
      </c>
      <c r="F157" s="63" t="s">
        <v>821</v>
      </c>
      <c r="G157" s="278"/>
      <c r="H157" s="58"/>
      <c r="I157" s="59"/>
      <c r="J157" s="59"/>
      <c r="K157" s="59"/>
      <c r="L157" s="59"/>
      <c r="M157" s="59"/>
      <c r="N157" s="59"/>
      <c r="O157" s="60"/>
      <c r="P157" s="59"/>
      <c r="Q157" s="61"/>
      <c r="R157" s="62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</row>
    <row r="158" spans="1:92" ht="14.4" customHeight="1" x14ac:dyDescent="0.3">
      <c r="A158" s="282"/>
      <c r="B158" s="283"/>
      <c r="C158" s="283"/>
      <c r="D158" s="283"/>
      <c r="E158" s="283"/>
      <c r="F158" s="283"/>
      <c r="G158" s="280"/>
      <c r="H158" s="284"/>
      <c r="I158" s="284"/>
      <c r="J158" s="284"/>
      <c r="K158" s="284"/>
      <c r="L158" s="284"/>
      <c r="M158" s="284"/>
      <c r="N158" s="284"/>
      <c r="O158" s="285"/>
      <c r="P158" s="284"/>
      <c r="Q158" s="280"/>
      <c r="R158" s="281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</row>
    <row r="159" spans="1:92" ht="22.05" customHeight="1" x14ac:dyDescent="0.3">
      <c r="A159" s="290" t="s">
        <v>5</v>
      </c>
      <c r="B159" s="291"/>
      <c r="C159" s="291"/>
      <c r="D159" s="291"/>
      <c r="E159" s="291"/>
      <c r="F159" s="291"/>
      <c r="G159" s="5">
        <v>45988</v>
      </c>
      <c r="H159" s="274" t="s">
        <v>6</v>
      </c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</row>
    <row r="160" spans="1:92" ht="24" customHeight="1" x14ac:dyDescent="0.3">
      <c r="A160" s="31" t="s">
        <v>7</v>
      </c>
      <c r="B160" s="31" t="s">
        <v>8</v>
      </c>
      <c r="C160" s="32" t="s">
        <v>9</v>
      </c>
      <c r="D160" s="31" t="s">
        <v>10</v>
      </c>
      <c r="E160" s="31" t="s">
        <v>11</v>
      </c>
      <c r="F160" s="31" t="s">
        <v>12</v>
      </c>
      <c r="G160" s="33" t="s">
        <v>13</v>
      </c>
      <c r="H160" s="31" t="s">
        <v>14</v>
      </c>
      <c r="I160" s="34" t="s">
        <v>15</v>
      </c>
      <c r="J160" s="35" t="s">
        <v>16</v>
      </c>
      <c r="K160" s="36" t="s">
        <v>17</v>
      </c>
      <c r="L160" s="35" t="s">
        <v>18</v>
      </c>
      <c r="M160" s="35" t="s">
        <v>19</v>
      </c>
      <c r="N160" s="35" t="s">
        <v>20</v>
      </c>
      <c r="O160" s="31" t="s">
        <v>21</v>
      </c>
      <c r="P160" s="32" t="s">
        <v>22</v>
      </c>
      <c r="Q160" s="35" t="s">
        <v>23</v>
      </c>
      <c r="R160" s="31" t="s">
        <v>24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</row>
    <row r="161" spans="1:92" ht="15" customHeight="1" x14ac:dyDescent="0.3">
      <c r="A161" s="8" t="s">
        <v>54</v>
      </c>
      <c r="B161" s="8" t="s">
        <v>762</v>
      </c>
      <c r="C161" s="9">
        <v>0.4375</v>
      </c>
      <c r="D161" s="8" t="s">
        <v>56</v>
      </c>
      <c r="E161" s="8" t="s">
        <v>104</v>
      </c>
      <c r="F161" s="8" t="s">
        <v>769</v>
      </c>
      <c r="G161" s="276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</row>
    <row r="162" spans="1:92" ht="15" customHeight="1" x14ac:dyDescent="0.3">
      <c r="A162" s="15" t="s">
        <v>54</v>
      </c>
      <c r="B162" s="15" t="s">
        <v>762</v>
      </c>
      <c r="C162" s="16">
        <v>0.4375</v>
      </c>
      <c r="D162" s="15" t="s">
        <v>58</v>
      </c>
      <c r="E162" s="15" t="s">
        <v>109</v>
      </c>
      <c r="F162" s="15" t="s">
        <v>770</v>
      </c>
      <c r="G162" s="277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</row>
    <row r="163" spans="1:92" ht="15" customHeight="1" x14ac:dyDescent="0.3">
      <c r="A163" s="15" t="s">
        <v>54</v>
      </c>
      <c r="B163" s="15" t="s">
        <v>762</v>
      </c>
      <c r="C163" s="16">
        <v>0.4375</v>
      </c>
      <c r="D163" s="15" t="s">
        <v>60</v>
      </c>
      <c r="E163" s="15" t="s">
        <v>109</v>
      </c>
      <c r="F163" s="15" t="s">
        <v>771</v>
      </c>
      <c r="G163" s="277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</row>
    <row r="164" spans="1:92" ht="15" customHeight="1" x14ac:dyDescent="0.3">
      <c r="A164" s="19" t="s">
        <v>54</v>
      </c>
      <c r="B164" s="19" t="s">
        <v>766</v>
      </c>
      <c r="C164" s="20">
        <v>0.55902777777777779</v>
      </c>
      <c r="D164" s="19" t="s">
        <v>56</v>
      </c>
      <c r="E164" s="19" t="s">
        <v>89</v>
      </c>
      <c r="F164" s="19" t="s">
        <v>769</v>
      </c>
      <c r="G164" s="277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</row>
    <row r="165" spans="1:92" ht="15" customHeight="1" x14ac:dyDescent="0.3">
      <c r="A165" s="15" t="s">
        <v>54</v>
      </c>
      <c r="B165" s="15" t="s">
        <v>766</v>
      </c>
      <c r="C165" s="16">
        <v>0.55902777777777779</v>
      </c>
      <c r="D165" s="15" t="s">
        <v>58</v>
      </c>
      <c r="E165" s="15" t="s">
        <v>109</v>
      </c>
      <c r="F165" s="15" t="s">
        <v>770</v>
      </c>
      <c r="G165" s="277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</row>
    <row r="166" spans="1:92" ht="15" customHeight="1" x14ac:dyDescent="0.3">
      <c r="A166" s="15" t="s">
        <v>54</v>
      </c>
      <c r="B166" s="15" t="s">
        <v>766</v>
      </c>
      <c r="C166" s="16">
        <v>0.55902777777777779</v>
      </c>
      <c r="D166" s="15" t="s">
        <v>60</v>
      </c>
      <c r="E166" s="15" t="s">
        <v>109</v>
      </c>
      <c r="F166" s="15" t="s">
        <v>771</v>
      </c>
      <c r="G166" s="277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</row>
    <row r="167" spans="1:92" ht="15" customHeight="1" x14ac:dyDescent="0.3">
      <c r="A167" s="19" t="s">
        <v>54</v>
      </c>
      <c r="B167" s="19" t="s">
        <v>765</v>
      </c>
      <c r="C167" s="20">
        <v>0.63194444444444442</v>
      </c>
      <c r="D167" s="19" t="s">
        <v>56</v>
      </c>
      <c r="E167" s="19" t="s">
        <v>107</v>
      </c>
      <c r="F167" s="19" t="s">
        <v>275</v>
      </c>
      <c r="G167" s="277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</row>
    <row r="168" spans="1:92" ht="15" customHeight="1" x14ac:dyDescent="0.3">
      <c r="A168" s="15" t="s">
        <v>54</v>
      </c>
      <c r="B168" s="15" t="s">
        <v>765</v>
      </c>
      <c r="C168" s="16">
        <v>0.63194444444444442</v>
      </c>
      <c r="D168" s="15" t="s">
        <v>58</v>
      </c>
      <c r="E168" s="15" t="s">
        <v>106</v>
      </c>
      <c r="F168" s="15" t="s">
        <v>79</v>
      </c>
      <c r="G168" s="277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</row>
    <row r="169" spans="1:92" ht="15" customHeight="1" x14ac:dyDescent="0.3">
      <c r="A169" s="15" t="s">
        <v>54</v>
      </c>
      <c r="B169" s="15" t="s">
        <v>765</v>
      </c>
      <c r="C169" s="16">
        <v>0.63194444444444442</v>
      </c>
      <c r="D169" s="15" t="s">
        <v>60</v>
      </c>
      <c r="E169" s="15" t="s">
        <v>106</v>
      </c>
      <c r="F169" s="15" t="s">
        <v>799</v>
      </c>
      <c r="G169" s="277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</row>
    <row r="170" spans="1:92" ht="15" customHeight="1" x14ac:dyDescent="0.3">
      <c r="A170" s="19" t="s">
        <v>54</v>
      </c>
      <c r="B170" s="19" t="s">
        <v>760</v>
      </c>
      <c r="C170" s="20">
        <v>0.50694444444444442</v>
      </c>
      <c r="D170" s="19" t="s">
        <v>56</v>
      </c>
      <c r="E170" s="19" t="s">
        <v>95</v>
      </c>
      <c r="F170" s="19" t="s">
        <v>275</v>
      </c>
      <c r="G170" s="277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</row>
    <row r="171" spans="1:92" ht="15" customHeight="1" x14ac:dyDescent="0.3">
      <c r="A171" s="15" t="s">
        <v>54</v>
      </c>
      <c r="B171" s="15" t="s">
        <v>760</v>
      </c>
      <c r="C171" s="16">
        <v>0.50694444444444442</v>
      </c>
      <c r="D171" s="15" t="s">
        <v>58</v>
      </c>
      <c r="E171" s="15" t="s">
        <v>96</v>
      </c>
      <c r="F171" s="15" t="s">
        <v>79</v>
      </c>
      <c r="G171" s="277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</row>
    <row r="172" spans="1:92" ht="15" customHeight="1" x14ac:dyDescent="0.3">
      <c r="A172" s="15" t="s">
        <v>54</v>
      </c>
      <c r="B172" s="15" t="s">
        <v>760</v>
      </c>
      <c r="C172" s="16">
        <v>0.50694444444444442</v>
      </c>
      <c r="D172" s="15" t="s">
        <v>60</v>
      </c>
      <c r="E172" s="15" t="s">
        <v>96</v>
      </c>
      <c r="F172" s="15" t="s">
        <v>799</v>
      </c>
      <c r="G172" s="277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</row>
    <row r="173" spans="1:92" ht="15" customHeight="1" x14ac:dyDescent="0.3">
      <c r="A173" s="19" t="s">
        <v>54</v>
      </c>
      <c r="B173" s="19" t="s">
        <v>767</v>
      </c>
      <c r="C173" s="20">
        <v>0.69791666666666663</v>
      </c>
      <c r="D173" s="19" t="s">
        <v>56</v>
      </c>
      <c r="E173" s="19" t="s">
        <v>91</v>
      </c>
      <c r="F173" s="19" t="s">
        <v>275</v>
      </c>
      <c r="G173" s="277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</row>
    <row r="174" spans="1:92" ht="15" customHeight="1" x14ac:dyDescent="0.3">
      <c r="A174" s="15" t="s">
        <v>54</v>
      </c>
      <c r="B174" s="15" t="s">
        <v>767</v>
      </c>
      <c r="C174" s="16">
        <v>0.69791666666666663</v>
      </c>
      <c r="D174" s="15" t="s">
        <v>58</v>
      </c>
      <c r="E174" s="15" t="s">
        <v>92</v>
      </c>
      <c r="F174" s="15" t="s">
        <v>79</v>
      </c>
      <c r="G174" s="277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</row>
    <row r="175" spans="1:92" ht="15" customHeight="1" x14ac:dyDescent="0.3">
      <c r="A175" s="15" t="s">
        <v>54</v>
      </c>
      <c r="B175" s="15" t="s">
        <v>767</v>
      </c>
      <c r="C175" s="16">
        <v>0.69791666666666663</v>
      </c>
      <c r="D175" s="15" t="s">
        <v>60</v>
      </c>
      <c r="E175" s="15" t="s">
        <v>92</v>
      </c>
      <c r="F175" s="15" t="s">
        <v>799</v>
      </c>
      <c r="G175" s="277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</row>
    <row r="176" spans="1:92" ht="15" customHeight="1" x14ac:dyDescent="0.3">
      <c r="A176" s="19" t="s">
        <v>54</v>
      </c>
      <c r="B176" s="19" t="s">
        <v>768</v>
      </c>
      <c r="C176" s="20">
        <v>0.95833333333333337</v>
      </c>
      <c r="D176" s="19" t="s">
        <v>56</v>
      </c>
      <c r="E176" s="19" t="s">
        <v>289</v>
      </c>
      <c r="F176" s="19" t="s">
        <v>822</v>
      </c>
      <c r="G176" s="277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</row>
    <row r="177" spans="1:92" ht="15" customHeight="1" x14ac:dyDescent="0.3">
      <c r="A177" s="15" t="s">
        <v>54</v>
      </c>
      <c r="B177" s="15" t="s">
        <v>768</v>
      </c>
      <c r="C177" s="16">
        <v>0.95833333333333337</v>
      </c>
      <c r="D177" s="15" t="s">
        <v>58</v>
      </c>
      <c r="E177" s="15" t="s">
        <v>31</v>
      </c>
      <c r="F177" s="15" t="s">
        <v>108</v>
      </c>
      <c r="G177" s="277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</row>
    <row r="178" spans="1:92" ht="15" customHeight="1" x14ac:dyDescent="0.3">
      <c r="A178" s="15" t="s">
        <v>54</v>
      </c>
      <c r="B178" s="15" t="s">
        <v>768</v>
      </c>
      <c r="C178" s="16">
        <v>0.95833333333333337</v>
      </c>
      <c r="D178" s="15" t="s">
        <v>60</v>
      </c>
      <c r="E178" s="15" t="s">
        <v>31</v>
      </c>
      <c r="F178" s="15" t="s">
        <v>59</v>
      </c>
      <c r="G178" s="277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</row>
    <row r="179" spans="1:92" ht="15" customHeight="1" x14ac:dyDescent="0.3">
      <c r="A179" s="19" t="s">
        <v>54</v>
      </c>
      <c r="B179" s="19" t="s">
        <v>772</v>
      </c>
      <c r="C179" s="20">
        <v>0.81944444444444453</v>
      </c>
      <c r="D179" s="19" t="s">
        <v>56</v>
      </c>
      <c r="E179" s="19" t="s">
        <v>274</v>
      </c>
      <c r="F179" s="19" t="s">
        <v>822</v>
      </c>
      <c r="G179" s="277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</row>
    <row r="180" spans="1:92" ht="15" customHeight="1" x14ac:dyDescent="0.3">
      <c r="A180" s="15" t="s">
        <v>54</v>
      </c>
      <c r="B180" s="15" t="s">
        <v>772</v>
      </c>
      <c r="C180" s="16">
        <v>0.81944444444444453</v>
      </c>
      <c r="D180" s="15" t="s">
        <v>58</v>
      </c>
      <c r="E180" s="15" t="s">
        <v>78</v>
      </c>
      <c r="F180" s="15" t="s">
        <v>108</v>
      </c>
      <c r="G180" s="277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</row>
    <row r="181" spans="1:92" ht="15" customHeight="1" x14ac:dyDescent="0.3">
      <c r="A181" s="15" t="s">
        <v>54</v>
      </c>
      <c r="B181" s="15" t="s">
        <v>772</v>
      </c>
      <c r="C181" s="16">
        <v>0.81944444444444453</v>
      </c>
      <c r="D181" s="15" t="s">
        <v>60</v>
      </c>
      <c r="E181" s="15" t="s">
        <v>78</v>
      </c>
      <c r="F181" s="15" t="s">
        <v>59</v>
      </c>
      <c r="G181" s="277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</row>
    <row r="182" spans="1:92" ht="15" customHeight="1" x14ac:dyDescent="0.3">
      <c r="A182" s="17" t="s">
        <v>25</v>
      </c>
      <c r="B182" s="17" t="s">
        <v>753</v>
      </c>
      <c r="C182" s="18">
        <v>0.57638888888888895</v>
      </c>
      <c r="D182" s="17" t="s">
        <v>27</v>
      </c>
      <c r="E182" s="17" t="s">
        <v>57</v>
      </c>
      <c r="F182" s="17" t="s">
        <v>123</v>
      </c>
      <c r="G182" s="277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</row>
    <row r="183" spans="1:92" ht="15" customHeight="1" x14ac:dyDescent="0.3">
      <c r="A183" s="15" t="s">
        <v>25</v>
      </c>
      <c r="B183" s="15" t="s">
        <v>753</v>
      </c>
      <c r="C183" s="16">
        <v>0.57638888888888895</v>
      </c>
      <c r="D183" s="15" t="s">
        <v>30</v>
      </c>
      <c r="E183" s="15" t="s">
        <v>53</v>
      </c>
      <c r="F183" s="15" t="s">
        <v>79</v>
      </c>
      <c r="G183" s="277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</row>
    <row r="184" spans="1:92" ht="15" customHeight="1" x14ac:dyDescent="0.3">
      <c r="A184" s="15" t="s">
        <v>25</v>
      </c>
      <c r="B184" s="15" t="s">
        <v>753</v>
      </c>
      <c r="C184" s="16">
        <v>0.57638888888888895</v>
      </c>
      <c r="D184" s="15" t="s">
        <v>33</v>
      </c>
      <c r="E184" s="15" t="s">
        <v>53</v>
      </c>
      <c r="F184" s="15" t="s">
        <v>335</v>
      </c>
      <c r="G184" s="277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</row>
    <row r="185" spans="1:92" ht="15" customHeight="1" x14ac:dyDescent="0.3">
      <c r="A185" s="19" t="s">
        <v>25</v>
      </c>
      <c r="B185" s="19" t="s">
        <v>756</v>
      </c>
      <c r="C185" s="20">
        <v>0.62847222222222221</v>
      </c>
      <c r="D185" s="19" t="s">
        <v>27</v>
      </c>
      <c r="E185" s="19" t="s">
        <v>51</v>
      </c>
      <c r="F185" s="19" t="s">
        <v>29</v>
      </c>
      <c r="G185" s="277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</row>
    <row r="186" spans="1:92" ht="15" customHeight="1" x14ac:dyDescent="0.3">
      <c r="A186" s="15" t="s">
        <v>25</v>
      </c>
      <c r="B186" s="15" t="s">
        <v>756</v>
      </c>
      <c r="C186" s="16">
        <v>0.62847222222222221</v>
      </c>
      <c r="D186" s="15" t="s">
        <v>30</v>
      </c>
      <c r="E186" s="15" t="s">
        <v>53</v>
      </c>
      <c r="F186" s="15" t="s">
        <v>32</v>
      </c>
      <c r="G186" s="277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</row>
    <row r="187" spans="1:92" ht="15" customHeight="1" x14ac:dyDescent="0.3">
      <c r="A187" s="15" t="s">
        <v>25</v>
      </c>
      <c r="B187" s="15" t="s">
        <v>756</v>
      </c>
      <c r="C187" s="16">
        <v>0.62847222222222221</v>
      </c>
      <c r="D187" s="15" t="s">
        <v>33</v>
      </c>
      <c r="E187" s="15" t="s">
        <v>53</v>
      </c>
      <c r="F187" s="15" t="s">
        <v>758</v>
      </c>
      <c r="G187" s="277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</row>
    <row r="188" spans="1:92" ht="15" customHeight="1" x14ac:dyDescent="0.3">
      <c r="A188" s="19" t="s">
        <v>25</v>
      </c>
      <c r="B188" s="19" t="s">
        <v>759</v>
      </c>
      <c r="C188" s="20">
        <v>0.94444444444444453</v>
      </c>
      <c r="D188" s="19" t="s">
        <v>27</v>
      </c>
      <c r="E188" s="19" t="s">
        <v>93</v>
      </c>
      <c r="F188" s="19" t="s">
        <v>29</v>
      </c>
      <c r="G188" s="277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</row>
    <row r="189" spans="1:92" ht="15" customHeight="1" x14ac:dyDescent="0.3">
      <c r="A189" s="15" t="s">
        <v>25</v>
      </c>
      <c r="B189" s="15" t="s">
        <v>759</v>
      </c>
      <c r="C189" s="16">
        <v>0.94444444444444453</v>
      </c>
      <c r="D189" s="15" t="s">
        <v>30</v>
      </c>
      <c r="E189" s="15" t="s">
        <v>94</v>
      </c>
      <c r="F189" s="15" t="s">
        <v>32</v>
      </c>
      <c r="G189" s="277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</row>
    <row r="190" spans="1:92" ht="15" customHeight="1" x14ac:dyDescent="0.3">
      <c r="A190" s="15" t="s">
        <v>25</v>
      </c>
      <c r="B190" s="15" t="s">
        <v>759</v>
      </c>
      <c r="C190" s="16">
        <v>0.94444444444444453</v>
      </c>
      <c r="D190" s="15" t="s">
        <v>33</v>
      </c>
      <c r="E190" s="15" t="s">
        <v>94</v>
      </c>
      <c r="F190" s="15" t="s">
        <v>758</v>
      </c>
      <c r="G190" s="277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</row>
    <row r="191" spans="1:92" ht="15" customHeight="1" x14ac:dyDescent="0.3">
      <c r="A191" s="19" t="s">
        <v>25</v>
      </c>
      <c r="B191" s="19" t="s">
        <v>757</v>
      </c>
      <c r="C191" s="20">
        <v>0.88888888888888884</v>
      </c>
      <c r="D191" s="19" t="s">
        <v>27</v>
      </c>
      <c r="E191" s="19" t="s">
        <v>410</v>
      </c>
      <c r="F191" s="19" t="s">
        <v>822</v>
      </c>
      <c r="G191" s="277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</row>
    <row r="192" spans="1:92" ht="15" customHeight="1" x14ac:dyDescent="0.3">
      <c r="A192" s="15" t="s">
        <v>25</v>
      </c>
      <c r="B192" s="15" t="s">
        <v>757</v>
      </c>
      <c r="C192" s="16">
        <v>0.88888888888888884</v>
      </c>
      <c r="D192" s="15" t="s">
        <v>30</v>
      </c>
      <c r="E192" s="15" t="s">
        <v>411</v>
      </c>
      <c r="F192" s="15" t="s">
        <v>823</v>
      </c>
      <c r="G192" s="277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</row>
    <row r="193" spans="1:92" ht="15" customHeight="1" x14ac:dyDescent="0.3">
      <c r="A193" s="15" t="s">
        <v>25</v>
      </c>
      <c r="B193" s="15" t="s">
        <v>757</v>
      </c>
      <c r="C193" s="16">
        <v>0.88888888888888884</v>
      </c>
      <c r="D193" s="15" t="s">
        <v>33</v>
      </c>
      <c r="E193" s="15" t="s">
        <v>411</v>
      </c>
      <c r="F193" s="15" t="s">
        <v>758</v>
      </c>
      <c r="G193" s="277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</row>
    <row r="194" spans="1:92" ht="15" customHeight="1" x14ac:dyDescent="0.3">
      <c r="A194" s="17" t="s">
        <v>285</v>
      </c>
      <c r="B194" s="17" t="s">
        <v>824</v>
      </c>
      <c r="C194" s="18">
        <v>0.1701388888888889</v>
      </c>
      <c r="D194" s="17" t="s">
        <v>81</v>
      </c>
      <c r="E194" s="17" t="s">
        <v>38</v>
      </c>
      <c r="F194" s="17" t="s">
        <v>825</v>
      </c>
      <c r="G194" s="277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</row>
    <row r="195" spans="1:92" ht="15" customHeight="1" x14ac:dyDescent="0.3">
      <c r="A195" s="19" t="s">
        <v>285</v>
      </c>
      <c r="B195" s="19" t="s">
        <v>773</v>
      </c>
      <c r="C195" s="20">
        <v>0.67361111111111116</v>
      </c>
      <c r="D195" s="19" t="s">
        <v>81</v>
      </c>
      <c r="E195" s="19" t="s">
        <v>45</v>
      </c>
      <c r="F195" s="19" t="s">
        <v>826</v>
      </c>
      <c r="G195" s="277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</row>
    <row r="196" spans="1:92" ht="15" customHeight="1" x14ac:dyDescent="0.3">
      <c r="A196" s="37" t="s">
        <v>71</v>
      </c>
      <c r="B196" s="37" t="s">
        <v>810</v>
      </c>
      <c r="C196" s="38">
        <v>0.41319444444444442</v>
      </c>
      <c r="D196" s="37" t="s">
        <v>81</v>
      </c>
      <c r="E196" s="37" t="s">
        <v>38</v>
      </c>
      <c r="F196" s="37" t="s">
        <v>827</v>
      </c>
      <c r="G196" s="277"/>
      <c r="H196" s="39" t="s">
        <v>811</v>
      </c>
      <c r="I196" s="238">
        <v>0.63129999999999997</v>
      </c>
      <c r="J196" s="41">
        <v>113</v>
      </c>
      <c r="K196" s="42">
        <v>45984</v>
      </c>
      <c r="L196" s="41">
        <v>46</v>
      </c>
      <c r="M196" s="41">
        <v>1</v>
      </c>
      <c r="N196" s="41">
        <v>9</v>
      </c>
      <c r="O196" s="43" t="s">
        <v>497</v>
      </c>
      <c r="P196" s="44">
        <v>0.41319444444444442</v>
      </c>
      <c r="Q196" s="41">
        <v>179</v>
      </c>
      <c r="R196" s="45" t="s">
        <v>828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</row>
    <row r="197" spans="1:92" ht="15" customHeight="1" x14ac:dyDescent="0.3">
      <c r="A197" s="17" t="s">
        <v>280</v>
      </c>
      <c r="B197" s="17" t="s">
        <v>775</v>
      </c>
      <c r="C197" s="18">
        <v>0.4375</v>
      </c>
      <c r="D197" s="17" t="s">
        <v>282</v>
      </c>
      <c r="E197" s="17" t="s">
        <v>105</v>
      </c>
      <c r="F197" s="17" t="s">
        <v>829</v>
      </c>
      <c r="G197" s="277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</row>
    <row r="198" spans="1:92" ht="15" customHeight="1" x14ac:dyDescent="0.3">
      <c r="A198" s="15" t="s">
        <v>280</v>
      </c>
      <c r="B198" s="15" t="s">
        <v>775</v>
      </c>
      <c r="C198" s="16">
        <v>0.4375</v>
      </c>
      <c r="D198" s="15" t="s">
        <v>33</v>
      </c>
      <c r="E198" s="15" t="s">
        <v>106</v>
      </c>
      <c r="F198" s="15" t="s">
        <v>830</v>
      </c>
      <c r="G198" s="277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</row>
    <row r="199" spans="1:92" ht="15" customHeight="1" x14ac:dyDescent="0.3">
      <c r="A199" s="17" t="s">
        <v>360</v>
      </c>
      <c r="B199" s="17" t="s">
        <v>831</v>
      </c>
      <c r="C199" s="18">
        <v>0.69097222222222221</v>
      </c>
      <c r="D199" s="17" t="s">
        <v>81</v>
      </c>
      <c r="E199" s="17" t="s">
        <v>28</v>
      </c>
      <c r="F199" s="17" t="s">
        <v>832</v>
      </c>
      <c r="G199" s="277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</row>
    <row r="200" spans="1:92" ht="15" customHeight="1" x14ac:dyDescent="0.3">
      <c r="A200" s="17" t="s">
        <v>63</v>
      </c>
      <c r="B200" s="17" t="s">
        <v>796</v>
      </c>
      <c r="C200" s="18">
        <v>0.35416666666666669</v>
      </c>
      <c r="D200" s="17" t="s">
        <v>48</v>
      </c>
      <c r="E200" s="17" t="s">
        <v>38</v>
      </c>
      <c r="F200" s="17" t="s">
        <v>833</v>
      </c>
      <c r="G200" s="277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</row>
    <row r="201" spans="1:92" ht="15" customHeight="1" x14ac:dyDescent="0.3">
      <c r="A201" s="19" t="s">
        <v>63</v>
      </c>
      <c r="B201" s="19" t="s">
        <v>795</v>
      </c>
      <c r="C201" s="20">
        <v>0.98263888888888884</v>
      </c>
      <c r="D201" s="19" t="s">
        <v>48</v>
      </c>
      <c r="E201" s="19" t="s">
        <v>45</v>
      </c>
      <c r="F201" s="19" t="s">
        <v>834</v>
      </c>
      <c r="G201" s="277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</row>
    <row r="202" spans="1:92" ht="15" customHeight="1" x14ac:dyDescent="0.3">
      <c r="A202" s="19" t="s">
        <v>63</v>
      </c>
      <c r="B202" s="19" t="s">
        <v>793</v>
      </c>
      <c r="C202" s="20">
        <v>0.72916666666666663</v>
      </c>
      <c r="D202" s="19" t="s">
        <v>48</v>
      </c>
      <c r="E202" s="19" t="s">
        <v>45</v>
      </c>
      <c r="F202" s="19" t="s">
        <v>835</v>
      </c>
      <c r="G202" s="277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</row>
    <row r="203" spans="1:92" ht="15" customHeight="1" x14ac:dyDescent="0.3">
      <c r="A203" s="17" t="s">
        <v>35</v>
      </c>
      <c r="B203" s="17" t="s">
        <v>782</v>
      </c>
      <c r="C203" s="18">
        <v>0.44444444444444442</v>
      </c>
      <c r="D203" s="17" t="s">
        <v>42</v>
      </c>
      <c r="E203" s="17" t="s">
        <v>38</v>
      </c>
      <c r="F203" s="17" t="s">
        <v>783</v>
      </c>
      <c r="G203" s="277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</row>
    <row r="204" spans="1:92" ht="15" customHeight="1" x14ac:dyDescent="0.3">
      <c r="A204" s="19" t="s">
        <v>35</v>
      </c>
      <c r="B204" s="19" t="s">
        <v>784</v>
      </c>
      <c r="C204" s="20">
        <v>0.82986111111111116</v>
      </c>
      <c r="D204" s="19" t="s">
        <v>42</v>
      </c>
      <c r="E204" s="19" t="s">
        <v>45</v>
      </c>
      <c r="F204" s="19" t="s">
        <v>783</v>
      </c>
      <c r="G204" s="277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</row>
    <row r="205" spans="1:92" ht="15" customHeight="1" x14ac:dyDescent="0.3">
      <c r="A205" s="19" t="s">
        <v>35</v>
      </c>
      <c r="B205" s="19" t="s">
        <v>785</v>
      </c>
      <c r="C205" s="20">
        <v>0.98263888888888884</v>
      </c>
      <c r="D205" s="19" t="s">
        <v>42</v>
      </c>
      <c r="E205" s="19" t="s">
        <v>45</v>
      </c>
      <c r="F205" s="19" t="s">
        <v>783</v>
      </c>
      <c r="G205" s="277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</row>
    <row r="206" spans="1:92" ht="15" customHeight="1" x14ac:dyDescent="0.3">
      <c r="A206" s="19" t="s">
        <v>35</v>
      </c>
      <c r="B206" s="19" t="s">
        <v>792</v>
      </c>
      <c r="C206" s="20">
        <v>0.62847222222222221</v>
      </c>
      <c r="D206" s="19" t="s">
        <v>42</v>
      </c>
      <c r="E206" s="19" t="s">
        <v>45</v>
      </c>
      <c r="F206" s="19" t="s">
        <v>783</v>
      </c>
      <c r="G206" s="277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</row>
    <row r="207" spans="1:92" ht="15" customHeight="1" x14ac:dyDescent="0.3">
      <c r="A207" s="19" t="s">
        <v>35</v>
      </c>
      <c r="B207" s="19" t="s">
        <v>786</v>
      </c>
      <c r="C207" s="20">
        <v>0.88888888888888884</v>
      </c>
      <c r="D207" s="19" t="s">
        <v>42</v>
      </c>
      <c r="E207" s="19" t="s">
        <v>51</v>
      </c>
      <c r="F207" s="19" t="s">
        <v>836</v>
      </c>
      <c r="G207" s="277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</row>
    <row r="208" spans="1:92" ht="15" customHeight="1" x14ac:dyDescent="0.3">
      <c r="A208" s="19" t="s">
        <v>35</v>
      </c>
      <c r="B208" s="19" t="s">
        <v>788</v>
      </c>
      <c r="C208" s="20">
        <v>0.62847222222222221</v>
      </c>
      <c r="D208" s="19" t="s">
        <v>42</v>
      </c>
      <c r="E208" s="19" t="s">
        <v>51</v>
      </c>
      <c r="F208" s="19" t="s">
        <v>836</v>
      </c>
      <c r="G208" s="277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</row>
    <row r="209" spans="1:92" ht="15" customHeight="1" x14ac:dyDescent="0.3">
      <c r="A209" s="63" t="s">
        <v>35</v>
      </c>
      <c r="B209" s="63" t="s">
        <v>789</v>
      </c>
      <c r="C209" s="64">
        <v>0.94444444444444453</v>
      </c>
      <c r="D209" s="63" t="s">
        <v>42</v>
      </c>
      <c r="E209" s="63" t="s">
        <v>51</v>
      </c>
      <c r="F209" s="63" t="s">
        <v>836</v>
      </c>
      <c r="G209" s="278"/>
      <c r="H209" s="58"/>
      <c r="I209" s="59"/>
      <c r="J209" s="59"/>
      <c r="K209" s="59"/>
      <c r="L209" s="59"/>
      <c r="M209" s="59"/>
      <c r="N209" s="59"/>
      <c r="O209" s="60"/>
      <c r="P209" s="59"/>
      <c r="Q209" s="61"/>
      <c r="R209" s="62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</row>
    <row r="210" spans="1:92" ht="14.4" customHeight="1" x14ac:dyDescent="0.3">
      <c r="A210" s="282"/>
      <c r="B210" s="283"/>
      <c r="C210" s="283"/>
      <c r="D210" s="283"/>
      <c r="E210" s="283"/>
      <c r="F210" s="283"/>
      <c r="G210" s="280"/>
      <c r="H210" s="284"/>
      <c r="I210" s="284"/>
      <c r="J210" s="284"/>
      <c r="K210" s="284"/>
      <c r="L210" s="284"/>
      <c r="M210" s="284"/>
      <c r="N210" s="284"/>
      <c r="O210" s="285"/>
      <c r="P210" s="284"/>
      <c r="Q210" s="280"/>
      <c r="R210" s="281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</row>
    <row r="211" spans="1:92" ht="22.05" customHeight="1" x14ac:dyDescent="0.3">
      <c r="A211" s="290" t="s">
        <v>5</v>
      </c>
      <c r="B211" s="291"/>
      <c r="C211" s="291"/>
      <c r="D211" s="291"/>
      <c r="E211" s="291"/>
      <c r="F211" s="291"/>
      <c r="G211" s="5">
        <v>45989</v>
      </c>
      <c r="H211" s="274" t="s">
        <v>6</v>
      </c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</row>
    <row r="212" spans="1:92" ht="24" customHeight="1" x14ac:dyDescent="0.3">
      <c r="A212" s="31" t="s">
        <v>7</v>
      </c>
      <c r="B212" s="31" t="s">
        <v>8</v>
      </c>
      <c r="C212" s="32" t="s">
        <v>9</v>
      </c>
      <c r="D212" s="31" t="s">
        <v>10</v>
      </c>
      <c r="E212" s="31" t="s">
        <v>11</v>
      </c>
      <c r="F212" s="31" t="s">
        <v>12</v>
      </c>
      <c r="G212" s="33" t="s">
        <v>13</v>
      </c>
      <c r="H212" s="31" t="s">
        <v>14</v>
      </c>
      <c r="I212" s="34" t="s">
        <v>15</v>
      </c>
      <c r="J212" s="35" t="s">
        <v>16</v>
      </c>
      <c r="K212" s="36" t="s">
        <v>17</v>
      </c>
      <c r="L212" s="35" t="s">
        <v>18</v>
      </c>
      <c r="M212" s="35" t="s">
        <v>19</v>
      </c>
      <c r="N212" s="35" t="s">
        <v>20</v>
      </c>
      <c r="O212" s="31" t="s">
        <v>21</v>
      </c>
      <c r="P212" s="32" t="s">
        <v>22</v>
      </c>
      <c r="Q212" s="35" t="s">
        <v>23</v>
      </c>
      <c r="R212" s="31" t="s">
        <v>24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</row>
    <row r="213" spans="1:92" ht="15" customHeight="1" x14ac:dyDescent="0.3">
      <c r="A213" s="8" t="s">
        <v>360</v>
      </c>
      <c r="B213" s="8" t="s">
        <v>801</v>
      </c>
      <c r="C213" s="9">
        <v>9.0277777777777776E-2</v>
      </c>
      <c r="D213" s="8" t="s">
        <v>81</v>
      </c>
      <c r="E213" s="8" t="s">
        <v>57</v>
      </c>
      <c r="F213" s="8" t="s">
        <v>832</v>
      </c>
      <c r="G213" s="276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</row>
    <row r="214" spans="1:92" ht="15" customHeight="1" x14ac:dyDescent="0.3">
      <c r="A214" s="17" t="s">
        <v>25</v>
      </c>
      <c r="B214" s="17" t="s">
        <v>753</v>
      </c>
      <c r="C214" s="18">
        <v>0.57638888888888895</v>
      </c>
      <c r="D214" s="17" t="s">
        <v>27</v>
      </c>
      <c r="E214" s="17" t="s">
        <v>104</v>
      </c>
      <c r="F214" s="17" t="s">
        <v>822</v>
      </c>
      <c r="G214" s="277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</row>
    <row r="215" spans="1:92" ht="15" customHeight="1" x14ac:dyDescent="0.3">
      <c r="A215" s="15" t="s">
        <v>25</v>
      </c>
      <c r="B215" s="15" t="s">
        <v>753</v>
      </c>
      <c r="C215" s="16">
        <v>0.57638888888888895</v>
      </c>
      <c r="D215" s="15" t="s">
        <v>30</v>
      </c>
      <c r="E215" s="15" t="s">
        <v>109</v>
      </c>
      <c r="F215" s="15" t="s">
        <v>823</v>
      </c>
      <c r="G215" s="277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</row>
    <row r="216" spans="1:92" ht="15" customHeight="1" x14ac:dyDescent="0.3">
      <c r="A216" s="15" t="s">
        <v>25</v>
      </c>
      <c r="B216" s="15" t="s">
        <v>753</v>
      </c>
      <c r="C216" s="16">
        <v>0.57638888888888895</v>
      </c>
      <c r="D216" s="15" t="s">
        <v>33</v>
      </c>
      <c r="E216" s="15" t="s">
        <v>109</v>
      </c>
      <c r="F216" s="15" t="s">
        <v>758</v>
      </c>
      <c r="G216" s="277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</row>
    <row r="217" spans="1:92" ht="15" customHeight="1" x14ac:dyDescent="0.3">
      <c r="A217" s="19" t="s">
        <v>25</v>
      </c>
      <c r="B217" s="19" t="s">
        <v>756</v>
      </c>
      <c r="C217" s="20">
        <v>0.62847222222222221</v>
      </c>
      <c r="D217" s="19" t="s">
        <v>27</v>
      </c>
      <c r="E217" s="19" t="s">
        <v>89</v>
      </c>
      <c r="F217" s="19" t="s">
        <v>822</v>
      </c>
      <c r="G217" s="277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</row>
    <row r="218" spans="1:92" ht="15" customHeight="1" x14ac:dyDescent="0.3">
      <c r="A218" s="15" t="s">
        <v>25</v>
      </c>
      <c r="B218" s="15" t="s">
        <v>756</v>
      </c>
      <c r="C218" s="16">
        <v>0.62847222222222221</v>
      </c>
      <c r="D218" s="15" t="s">
        <v>30</v>
      </c>
      <c r="E218" s="15" t="s">
        <v>109</v>
      </c>
      <c r="F218" s="15" t="s">
        <v>823</v>
      </c>
      <c r="G218" s="277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</row>
    <row r="219" spans="1:92" ht="15" customHeight="1" x14ac:dyDescent="0.3">
      <c r="A219" s="15" t="s">
        <v>25</v>
      </c>
      <c r="B219" s="15" t="s">
        <v>756</v>
      </c>
      <c r="C219" s="16">
        <v>0.62847222222222221</v>
      </c>
      <c r="D219" s="15" t="s">
        <v>33</v>
      </c>
      <c r="E219" s="15" t="s">
        <v>109</v>
      </c>
      <c r="F219" s="15" t="s">
        <v>758</v>
      </c>
      <c r="G219" s="277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</row>
    <row r="220" spans="1:92" ht="15" customHeight="1" x14ac:dyDescent="0.3">
      <c r="A220" s="19" t="s">
        <v>25</v>
      </c>
      <c r="B220" s="19" t="s">
        <v>757</v>
      </c>
      <c r="C220" s="20">
        <v>0.88888888888888884</v>
      </c>
      <c r="D220" s="19" t="s">
        <v>27</v>
      </c>
      <c r="E220" s="19" t="s">
        <v>91</v>
      </c>
      <c r="F220" s="19" t="s">
        <v>276</v>
      </c>
      <c r="G220" s="277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</row>
    <row r="221" spans="1:92" ht="15" customHeight="1" x14ac:dyDescent="0.3">
      <c r="A221" s="15" t="s">
        <v>25</v>
      </c>
      <c r="B221" s="15" t="s">
        <v>757</v>
      </c>
      <c r="C221" s="16">
        <v>0.88888888888888884</v>
      </c>
      <c r="D221" s="15" t="s">
        <v>30</v>
      </c>
      <c r="E221" s="15" t="s">
        <v>92</v>
      </c>
      <c r="F221" s="15" t="s">
        <v>119</v>
      </c>
      <c r="G221" s="277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</row>
    <row r="222" spans="1:92" ht="15" customHeight="1" x14ac:dyDescent="0.3">
      <c r="A222" s="15" t="s">
        <v>25</v>
      </c>
      <c r="B222" s="15" t="s">
        <v>757</v>
      </c>
      <c r="C222" s="16">
        <v>0.88888888888888884</v>
      </c>
      <c r="D222" s="15" t="s">
        <v>33</v>
      </c>
      <c r="E222" s="15" t="s">
        <v>92</v>
      </c>
      <c r="F222" s="15" t="s">
        <v>758</v>
      </c>
      <c r="G222" s="277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</row>
    <row r="223" spans="1:92" ht="15" customHeight="1" x14ac:dyDescent="0.3">
      <c r="A223" s="19" t="s">
        <v>25</v>
      </c>
      <c r="B223" s="19" t="s">
        <v>759</v>
      </c>
      <c r="C223" s="20">
        <v>0.94444444444444453</v>
      </c>
      <c r="D223" s="19" t="s">
        <v>27</v>
      </c>
      <c r="E223" s="19" t="s">
        <v>289</v>
      </c>
      <c r="F223" s="19" t="s">
        <v>117</v>
      </c>
      <c r="G223" s="277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</row>
    <row r="224" spans="1:92" ht="15" customHeight="1" x14ac:dyDescent="0.3">
      <c r="A224" s="15" t="s">
        <v>25</v>
      </c>
      <c r="B224" s="15" t="s">
        <v>759</v>
      </c>
      <c r="C224" s="16">
        <v>0.94444444444444453</v>
      </c>
      <c r="D224" s="15" t="s">
        <v>30</v>
      </c>
      <c r="E224" s="15" t="s">
        <v>31</v>
      </c>
      <c r="F224" s="15" t="s">
        <v>399</v>
      </c>
      <c r="G224" s="277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</row>
    <row r="225" spans="1:92" ht="15" customHeight="1" x14ac:dyDescent="0.3">
      <c r="A225" s="15" t="s">
        <v>25</v>
      </c>
      <c r="B225" s="15" t="s">
        <v>759</v>
      </c>
      <c r="C225" s="16">
        <v>0.94444444444444453</v>
      </c>
      <c r="D225" s="15" t="s">
        <v>33</v>
      </c>
      <c r="E225" s="15" t="s">
        <v>31</v>
      </c>
      <c r="F225" s="15" t="s">
        <v>758</v>
      </c>
      <c r="G225" s="277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</row>
    <row r="226" spans="1:92" ht="15" customHeight="1" x14ac:dyDescent="0.3">
      <c r="A226" s="17" t="s">
        <v>285</v>
      </c>
      <c r="B226" s="17" t="s">
        <v>824</v>
      </c>
      <c r="C226" s="18">
        <v>0.21180555555555561</v>
      </c>
      <c r="D226" s="17" t="s">
        <v>81</v>
      </c>
      <c r="E226" s="17" t="s">
        <v>38</v>
      </c>
      <c r="F226" s="17" t="s">
        <v>837</v>
      </c>
      <c r="G226" s="277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</row>
    <row r="227" spans="1:92" ht="15" customHeight="1" x14ac:dyDescent="0.3">
      <c r="A227" s="17" t="s">
        <v>54</v>
      </c>
      <c r="B227" s="17" t="s">
        <v>762</v>
      </c>
      <c r="C227" s="18">
        <v>0.4375</v>
      </c>
      <c r="D227" s="17" t="s">
        <v>56</v>
      </c>
      <c r="E227" s="17" t="s">
        <v>82</v>
      </c>
      <c r="F227" s="17" t="s">
        <v>771</v>
      </c>
      <c r="G227" s="277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</row>
    <row r="228" spans="1:92" ht="15" customHeight="1" x14ac:dyDescent="0.3">
      <c r="A228" s="15" t="s">
        <v>54</v>
      </c>
      <c r="B228" s="15" t="s">
        <v>762</v>
      </c>
      <c r="C228" s="16">
        <v>0.4375</v>
      </c>
      <c r="D228" s="15" t="s">
        <v>58</v>
      </c>
      <c r="E228" s="15" t="s">
        <v>92</v>
      </c>
      <c r="F228" s="15" t="s">
        <v>823</v>
      </c>
      <c r="G228" s="277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</row>
    <row r="229" spans="1:92" ht="15" customHeight="1" x14ac:dyDescent="0.3">
      <c r="A229" s="15" t="s">
        <v>54</v>
      </c>
      <c r="B229" s="15" t="s">
        <v>762</v>
      </c>
      <c r="C229" s="16">
        <v>0.4375</v>
      </c>
      <c r="D229" s="15" t="s">
        <v>60</v>
      </c>
      <c r="E229" s="15" t="s">
        <v>92</v>
      </c>
      <c r="F229" s="15" t="s">
        <v>114</v>
      </c>
      <c r="G229" s="277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</row>
    <row r="230" spans="1:92" ht="15" customHeight="1" x14ac:dyDescent="0.3">
      <c r="A230" s="19" t="s">
        <v>54</v>
      </c>
      <c r="B230" s="19" t="s">
        <v>760</v>
      </c>
      <c r="C230" s="20">
        <v>0.50694444444444442</v>
      </c>
      <c r="D230" s="19" t="s">
        <v>56</v>
      </c>
      <c r="E230" s="19" t="s">
        <v>89</v>
      </c>
      <c r="F230" s="19" t="s">
        <v>771</v>
      </c>
      <c r="G230" s="277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</row>
    <row r="231" spans="1:92" ht="15" customHeight="1" x14ac:dyDescent="0.3">
      <c r="A231" s="15" t="s">
        <v>54</v>
      </c>
      <c r="B231" s="15" t="s">
        <v>760</v>
      </c>
      <c r="C231" s="16">
        <v>0.50694444444444442</v>
      </c>
      <c r="D231" s="15" t="s">
        <v>58</v>
      </c>
      <c r="E231" s="15" t="s">
        <v>109</v>
      </c>
      <c r="F231" s="15" t="s">
        <v>823</v>
      </c>
      <c r="G231" s="277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</row>
    <row r="232" spans="1:92" ht="15" customHeight="1" x14ac:dyDescent="0.3">
      <c r="A232" s="15" t="s">
        <v>54</v>
      </c>
      <c r="B232" s="15" t="s">
        <v>760</v>
      </c>
      <c r="C232" s="16">
        <v>0.50694444444444442</v>
      </c>
      <c r="D232" s="15" t="s">
        <v>60</v>
      </c>
      <c r="E232" s="15" t="s">
        <v>109</v>
      </c>
      <c r="F232" s="15" t="s">
        <v>114</v>
      </c>
      <c r="G232" s="277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</row>
    <row r="233" spans="1:92" ht="15" customHeight="1" x14ac:dyDescent="0.3">
      <c r="A233" s="19" t="s">
        <v>54</v>
      </c>
      <c r="B233" s="19" t="s">
        <v>768</v>
      </c>
      <c r="C233" s="20">
        <v>0.95833333333333337</v>
      </c>
      <c r="D233" s="19" t="s">
        <v>56</v>
      </c>
      <c r="E233" s="19" t="s">
        <v>91</v>
      </c>
      <c r="F233" s="19" t="s">
        <v>335</v>
      </c>
      <c r="G233" s="277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</row>
    <row r="234" spans="1:92" ht="15" customHeight="1" x14ac:dyDescent="0.3">
      <c r="A234" s="15" t="s">
        <v>54</v>
      </c>
      <c r="B234" s="15" t="s">
        <v>768</v>
      </c>
      <c r="C234" s="16">
        <v>0.95833333333333337</v>
      </c>
      <c r="D234" s="15" t="s">
        <v>58</v>
      </c>
      <c r="E234" s="15" t="s">
        <v>92</v>
      </c>
      <c r="F234" s="15" t="s">
        <v>119</v>
      </c>
      <c r="G234" s="277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</row>
    <row r="235" spans="1:92" ht="15" customHeight="1" x14ac:dyDescent="0.3">
      <c r="A235" s="15" t="s">
        <v>54</v>
      </c>
      <c r="B235" s="15" t="s">
        <v>768</v>
      </c>
      <c r="C235" s="16">
        <v>0.95833333333333337</v>
      </c>
      <c r="D235" s="15" t="s">
        <v>60</v>
      </c>
      <c r="E235" s="15" t="s">
        <v>92</v>
      </c>
      <c r="F235" s="15" t="s">
        <v>399</v>
      </c>
      <c r="G235" s="277"/>
      <c r="H235" s="10"/>
      <c r="I235" s="11"/>
      <c r="J235" s="11"/>
      <c r="K235" s="11"/>
      <c r="L235" s="11"/>
      <c r="M235" s="11"/>
      <c r="N235" s="11"/>
      <c r="O235" s="12"/>
      <c r="P235" s="11"/>
      <c r="Q235" s="13"/>
      <c r="R235" s="14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</row>
    <row r="236" spans="1:92" ht="15" customHeight="1" x14ac:dyDescent="0.3">
      <c r="A236" s="19" t="s">
        <v>54</v>
      </c>
      <c r="B236" s="19" t="s">
        <v>765</v>
      </c>
      <c r="C236" s="20">
        <v>0.63194444444444442</v>
      </c>
      <c r="D236" s="19" t="s">
        <v>56</v>
      </c>
      <c r="E236" s="19" t="s">
        <v>289</v>
      </c>
      <c r="F236" s="19" t="s">
        <v>335</v>
      </c>
      <c r="G236" s="277"/>
      <c r="H236" s="10"/>
      <c r="I236" s="11"/>
      <c r="J236" s="11"/>
      <c r="K236" s="11"/>
      <c r="L236" s="11"/>
      <c r="M236" s="11"/>
      <c r="N236" s="11"/>
      <c r="O236" s="12"/>
      <c r="P236" s="11"/>
      <c r="Q236" s="13"/>
      <c r="R236" s="14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</row>
    <row r="237" spans="1:92" ht="15" customHeight="1" x14ac:dyDescent="0.3">
      <c r="A237" s="15" t="s">
        <v>54</v>
      </c>
      <c r="B237" s="15" t="s">
        <v>765</v>
      </c>
      <c r="C237" s="16">
        <v>0.63194444444444442</v>
      </c>
      <c r="D237" s="15" t="s">
        <v>58</v>
      </c>
      <c r="E237" s="15" t="s">
        <v>31</v>
      </c>
      <c r="F237" s="15" t="s">
        <v>119</v>
      </c>
      <c r="G237" s="277"/>
      <c r="H237" s="10"/>
      <c r="I237" s="11"/>
      <c r="J237" s="11"/>
      <c r="K237" s="11"/>
      <c r="L237" s="11"/>
      <c r="M237" s="11"/>
      <c r="N237" s="11"/>
      <c r="O237" s="12"/>
      <c r="P237" s="11"/>
      <c r="Q237" s="13"/>
      <c r="R237" s="14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</row>
    <row r="238" spans="1:92" ht="15" customHeight="1" x14ac:dyDescent="0.3">
      <c r="A238" s="15" t="s">
        <v>54</v>
      </c>
      <c r="B238" s="15" t="s">
        <v>765</v>
      </c>
      <c r="C238" s="16">
        <v>0.63194444444444442</v>
      </c>
      <c r="D238" s="15" t="s">
        <v>60</v>
      </c>
      <c r="E238" s="15" t="s">
        <v>31</v>
      </c>
      <c r="F238" s="15" t="s">
        <v>399</v>
      </c>
      <c r="G238" s="277"/>
      <c r="H238" s="10"/>
      <c r="I238" s="11"/>
      <c r="J238" s="11"/>
      <c r="K238" s="11"/>
      <c r="L238" s="11"/>
      <c r="M238" s="11"/>
      <c r="N238" s="11"/>
      <c r="O238" s="12"/>
      <c r="P238" s="11"/>
      <c r="Q238" s="13"/>
      <c r="R238" s="14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</row>
    <row r="239" spans="1:92" ht="15" customHeight="1" x14ac:dyDescent="0.3">
      <c r="A239" s="19" t="s">
        <v>54</v>
      </c>
      <c r="B239" s="19" t="s">
        <v>766</v>
      </c>
      <c r="C239" s="20">
        <v>0.55902777777777779</v>
      </c>
      <c r="D239" s="19" t="s">
        <v>56</v>
      </c>
      <c r="E239" s="19" t="s">
        <v>107</v>
      </c>
      <c r="F239" s="19" t="s">
        <v>335</v>
      </c>
      <c r="G239" s="277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</row>
    <row r="240" spans="1:92" ht="15" customHeight="1" x14ac:dyDescent="0.3">
      <c r="A240" s="15" t="s">
        <v>54</v>
      </c>
      <c r="B240" s="15" t="s">
        <v>766</v>
      </c>
      <c r="C240" s="16">
        <v>0.55902777777777779</v>
      </c>
      <c r="D240" s="15" t="s">
        <v>58</v>
      </c>
      <c r="E240" s="15" t="s">
        <v>106</v>
      </c>
      <c r="F240" s="15" t="s">
        <v>119</v>
      </c>
      <c r="G240" s="277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</row>
    <row r="241" spans="1:92" ht="15" customHeight="1" x14ac:dyDescent="0.3">
      <c r="A241" s="15" t="s">
        <v>54</v>
      </c>
      <c r="B241" s="15" t="s">
        <v>766</v>
      </c>
      <c r="C241" s="16">
        <v>0.55902777777777779</v>
      </c>
      <c r="D241" s="15" t="s">
        <v>60</v>
      </c>
      <c r="E241" s="15" t="s">
        <v>106</v>
      </c>
      <c r="F241" s="15" t="s">
        <v>399</v>
      </c>
      <c r="G241" s="277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</row>
    <row r="242" spans="1:92" ht="15" customHeight="1" x14ac:dyDescent="0.3">
      <c r="A242" s="19" t="s">
        <v>54</v>
      </c>
      <c r="B242" s="19" t="s">
        <v>767</v>
      </c>
      <c r="C242" s="20">
        <v>0.69791666666666663</v>
      </c>
      <c r="D242" s="19" t="s">
        <v>56</v>
      </c>
      <c r="E242" s="19" t="s">
        <v>91</v>
      </c>
      <c r="F242" s="19" t="s">
        <v>335</v>
      </c>
      <c r="G242" s="277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</row>
    <row r="243" spans="1:92" ht="15" customHeight="1" x14ac:dyDescent="0.3">
      <c r="A243" s="15" t="s">
        <v>54</v>
      </c>
      <c r="B243" s="15" t="s">
        <v>767</v>
      </c>
      <c r="C243" s="16">
        <v>0.69791666666666663</v>
      </c>
      <c r="D243" s="15" t="s">
        <v>58</v>
      </c>
      <c r="E243" s="15" t="s">
        <v>92</v>
      </c>
      <c r="F243" s="15" t="s">
        <v>119</v>
      </c>
      <c r="G243" s="277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</row>
    <row r="244" spans="1:92" ht="15" customHeight="1" x14ac:dyDescent="0.3">
      <c r="A244" s="15" t="s">
        <v>54</v>
      </c>
      <c r="B244" s="15" t="s">
        <v>767</v>
      </c>
      <c r="C244" s="16">
        <v>0.69791666666666663</v>
      </c>
      <c r="D244" s="15" t="s">
        <v>60</v>
      </c>
      <c r="E244" s="15" t="s">
        <v>92</v>
      </c>
      <c r="F244" s="15" t="s">
        <v>399</v>
      </c>
      <c r="G244" s="277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</row>
    <row r="245" spans="1:92" ht="15" customHeight="1" x14ac:dyDescent="0.3">
      <c r="A245" s="19" t="s">
        <v>54</v>
      </c>
      <c r="B245" s="19" t="s">
        <v>772</v>
      </c>
      <c r="C245" s="20">
        <v>0.81944444444444453</v>
      </c>
      <c r="D245" s="19" t="s">
        <v>56</v>
      </c>
      <c r="E245" s="19" t="s">
        <v>107</v>
      </c>
      <c r="F245" s="19" t="s">
        <v>119</v>
      </c>
      <c r="G245" s="277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</row>
    <row r="246" spans="1:92" ht="15" customHeight="1" x14ac:dyDescent="0.3">
      <c r="A246" s="15" t="s">
        <v>54</v>
      </c>
      <c r="B246" s="15" t="s">
        <v>772</v>
      </c>
      <c r="C246" s="16">
        <v>0.81944444444444453</v>
      </c>
      <c r="D246" s="15" t="s">
        <v>58</v>
      </c>
      <c r="E246" s="15" t="s">
        <v>106</v>
      </c>
      <c r="F246" s="15" t="s">
        <v>115</v>
      </c>
      <c r="G246" s="277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</row>
    <row r="247" spans="1:92" ht="15" customHeight="1" x14ac:dyDescent="0.3">
      <c r="A247" s="15" t="s">
        <v>54</v>
      </c>
      <c r="B247" s="15" t="s">
        <v>772</v>
      </c>
      <c r="C247" s="16">
        <v>0.81944444444444453</v>
      </c>
      <c r="D247" s="15" t="s">
        <v>60</v>
      </c>
      <c r="E247" s="15" t="s">
        <v>106</v>
      </c>
      <c r="F247" s="15" t="s">
        <v>838</v>
      </c>
      <c r="G247" s="277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</row>
    <row r="248" spans="1:92" ht="15" customHeight="1" x14ac:dyDescent="0.3">
      <c r="A248" s="85" t="s">
        <v>71</v>
      </c>
      <c r="B248" s="85" t="s">
        <v>810</v>
      </c>
      <c r="C248" s="86">
        <v>0.40625</v>
      </c>
      <c r="D248" s="85" t="s">
        <v>81</v>
      </c>
      <c r="E248" s="85" t="s">
        <v>38</v>
      </c>
      <c r="F248" s="85" t="s">
        <v>839</v>
      </c>
      <c r="G248" s="277"/>
      <c r="H248" s="87" t="s">
        <v>811</v>
      </c>
      <c r="I248" s="194">
        <v>0.58660000000000001</v>
      </c>
      <c r="J248" s="89">
        <v>105</v>
      </c>
      <c r="K248" s="90">
        <v>45980</v>
      </c>
      <c r="L248" s="89">
        <v>6</v>
      </c>
      <c r="M248" s="89">
        <v>0</v>
      </c>
      <c r="N248" s="89">
        <v>0</v>
      </c>
      <c r="O248" s="91" t="s">
        <v>840</v>
      </c>
      <c r="P248" s="92">
        <v>0.40625</v>
      </c>
      <c r="Q248" s="89">
        <v>179</v>
      </c>
      <c r="R248" s="93" t="s">
        <v>841</v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</row>
    <row r="249" spans="1:92" ht="15" customHeight="1" x14ac:dyDescent="0.3">
      <c r="A249" s="218" t="s">
        <v>71</v>
      </c>
      <c r="B249" s="218" t="s">
        <v>778</v>
      </c>
      <c r="C249" s="219">
        <v>0.72569444444444453</v>
      </c>
      <c r="D249" s="218" t="s">
        <v>81</v>
      </c>
      <c r="E249" s="218" t="s">
        <v>45</v>
      </c>
      <c r="F249" s="218" t="s">
        <v>839</v>
      </c>
      <c r="G249" s="277"/>
      <c r="H249" s="39" t="s">
        <v>780</v>
      </c>
      <c r="I249" s="238">
        <v>0.57540000000000002</v>
      </c>
      <c r="J249" s="41">
        <v>103</v>
      </c>
      <c r="K249" s="42">
        <v>45983</v>
      </c>
      <c r="L249" s="41">
        <v>11</v>
      </c>
      <c r="M249" s="41">
        <v>0</v>
      </c>
      <c r="N249" s="41">
        <v>7</v>
      </c>
      <c r="O249" s="43" t="s">
        <v>840</v>
      </c>
      <c r="P249" s="44">
        <v>0.72569444444444453</v>
      </c>
      <c r="Q249" s="41">
        <v>179</v>
      </c>
      <c r="R249" s="45" t="s">
        <v>842</v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</row>
    <row r="250" spans="1:92" ht="15" customHeight="1" x14ac:dyDescent="0.3">
      <c r="A250" s="17" t="s">
        <v>35</v>
      </c>
      <c r="B250" s="17" t="s">
        <v>792</v>
      </c>
      <c r="C250" s="18">
        <v>0.62847222222222221</v>
      </c>
      <c r="D250" s="17" t="s">
        <v>42</v>
      </c>
      <c r="E250" s="17" t="s">
        <v>82</v>
      </c>
      <c r="F250" s="17" t="s">
        <v>843</v>
      </c>
      <c r="G250" s="277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</row>
    <row r="251" spans="1:92" ht="15" customHeight="1" x14ac:dyDescent="0.3">
      <c r="A251" s="19" t="s">
        <v>35</v>
      </c>
      <c r="B251" s="19" t="s">
        <v>782</v>
      </c>
      <c r="C251" s="20">
        <v>0.44444444444444442</v>
      </c>
      <c r="D251" s="19" t="s">
        <v>42</v>
      </c>
      <c r="E251" s="19" t="s">
        <v>45</v>
      </c>
      <c r="F251" s="19" t="s">
        <v>791</v>
      </c>
      <c r="G251" s="277"/>
      <c r="H251" s="10"/>
      <c r="I251" s="11"/>
      <c r="J251" s="11"/>
      <c r="K251" s="11"/>
      <c r="L251" s="11"/>
      <c r="M251" s="11"/>
      <c r="N251" s="11"/>
      <c r="O251" s="12"/>
      <c r="P251" s="11"/>
      <c r="Q251" s="13"/>
      <c r="R251" s="14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</row>
    <row r="252" spans="1:92" ht="15" customHeight="1" x14ac:dyDescent="0.3">
      <c r="A252" s="19" t="s">
        <v>35</v>
      </c>
      <c r="B252" s="19" t="s">
        <v>784</v>
      </c>
      <c r="C252" s="20">
        <v>0.82986111111111116</v>
      </c>
      <c r="D252" s="19" t="s">
        <v>42</v>
      </c>
      <c r="E252" s="19" t="s">
        <v>89</v>
      </c>
      <c r="F252" s="19" t="s">
        <v>791</v>
      </c>
      <c r="G252" s="277"/>
      <c r="H252" s="10"/>
      <c r="I252" s="11"/>
      <c r="J252" s="11"/>
      <c r="K252" s="11"/>
      <c r="L252" s="11"/>
      <c r="M252" s="11"/>
      <c r="N252" s="11"/>
      <c r="O252" s="12"/>
      <c r="P252" s="11"/>
      <c r="Q252" s="13"/>
      <c r="R252" s="14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</row>
    <row r="253" spans="1:92" ht="15" customHeight="1" x14ac:dyDescent="0.3">
      <c r="A253" s="19" t="s">
        <v>35</v>
      </c>
      <c r="B253" s="19" t="s">
        <v>785</v>
      </c>
      <c r="C253" s="20">
        <v>0.98263888888888884</v>
      </c>
      <c r="D253" s="19" t="s">
        <v>42</v>
      </c>
      <c r="E253" s="19" t="s">
        <v>89</v>
      </c>
      <c r="F253" s="19" t="s">
        <v>791</v>
      </c>
      <c r="G253" s="277"/>
      <c r="H253" s="10"/>
      <c r="I253" s="11"/>
      <c r="J253" s="11"/>
      <c r="K253" s="11"/>
      <c r="L253" s="11"/>
      <c r="M253" s="11"/>
      <c r="N253" s="11"/>
      <c r="O253" s="12"/>
      <c r="P253" s="11"/>
      <c r="Q253" s="13"/>
      <c r="R253" s="14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</row>
    <row r="254" spans="1:92" ht="15" customHeight="1" x14ac:dyDescent="0.3">
      <c r="A254" s="19" t="s">
        <v>35</v>
      </c>
      <c r="B254" s="19" t="s">
        <v>786</v>
      </c>
      <c r="C254" s="20">
        <v>0.88888888888888884</v>
      </c>
      <c r="D254" s="19" t="s">
        <v>42</v>
      </c>
      <c r="E254" s="19" t="s">
        <v>51</v>
      </c>
      <c r="F254" s="19" t="s">
        <v>844</v>
      </c>
      <c r="G254" s="277"/>
      <c r="H254" s="10"/>
      <c r="I254" s="11"/>
      <c r="J254" s="11"/>
      <c r="K254" s="11"/>
      <c r="L254" s="11"/>
      <c r="M254" s="11"/>
      <c r="N254" s="11"/>
      <c r="O254" s="12"/>
      <c r="P254" s="11"/>
      <c r="Q254" s="13"/>
      <c r="R254" s="14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</row>
    <row r="255" spans="1:92" ht="15" customHeight="1" x14ac:dyDescent="0.3">
      <c r="A255" s="19" t="s">
        <v>35</v>
      </c>
      <c r="B255" s="19" t="s">
        <v>788</v>
      </c>
      <c r="C255" s="20">
        <v>0.62847222222222221</v>
      </c>
      <c r="D255" s="19" t="s">
        <v>42</v>
      </c>
      <c r="E255" s="19" t="s">
        <v>51</v>
      </c>
      <c r="F255" s="19" t="s">
        <v>844</v>
      </c>
      <c r="G255" s="277"/>
      <c r="H255" s="10"/>
      <c r="I255" s="11"/>
      <c r="J255" s="11"/>
      <c r="K255" s="11"/>
      <c r="L255" s="11"/>
      <c r="M255" s="11"/>
      <c r="N255" s="11"/>
      <c r="O255" s="12"/>
      <c r="P255" s="11"/>
      <c r="Q255" s="13"/>
      <c r="R255" s="14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</row>
    <row r="256" spans="1:92" ht="15" customHeight="1" x14ac:dyDescent="0.3">
      <c r="A256" s="19" t="s">
        <v>35</v>
      </c>
      <c r="B256" s="19" t="s">
        <v>789</v>
      </c>
      <c r="C256" s="20">
        <v>0.94444444444444453</v>
      </c>
      <c r="D256" s="19" t="s">
        <v>42</v>
      </c>
      <c r="E256" s="19" t="s">
        <v>51</v>
      </c>
      <c r="F256" s="19" t="s">
        <v>844</v>
      </c>
      <c r="G256" s="277"/>
      <c r="H256" s="10"/>
      <c r="I256" s="11"/>
      <c r="J256" s="11"/>
      <c r="K256" s="11"/>
      <c r="L256" s="11"/>
      <c r="M256" s="11"/>
      <c r="N256" s="11"/>
      <c r="O256" s="12"/>
      <c r="P256" s="11"/>
      <c r="Q256" s="13"/>
      <c r="R256" s="14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</row>
    <row r="257" spans="1:92" ht="15" customHeight="1" x14ac:dyDescent="0.3">
      <c r="A257" s="17" t="s">
        <v>63</v>
      </c>
      <c r="B257" s="17" t="s">
        <v>796</v>
      </c>
      <c r="C257" s="18">
        <v>0.35416666666666669</v>
      </c>
      <c r="D257" s="17" t="s">
        <v>48</v>
      </c>
      <c r="E257" s="17" t="s">
        <v>38</v>
      </c>
      <c r="F257" s="17" t="s">
        <v>834</v>
      </c>
      <c r="G257" s="277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</row>
    <row r="258" spans="1:92" ht="15" customHeight="1" x14ac:dyDescent="0.3">
      <c r="A258" s="19" t="s">
        <v>63</v>
      </c>
      <c r="B258" s="19" t="s">
        <v>793</v>
      </c>
      <c r="C258" s="20">
        <v>0.72916666666666663</v>
      </c>
      <c r="D258" s="19" t="s">
        <v>48</v>
      </c>
      <c r="E258" s="19" t="s">
        <v>45</v>
      </c>
      <c r="F258" s="19" t="s">
        <v>821</v>
      </c>
      <c r="G258" s="277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</row>
    <row r="259" spans="1:92" ht="15" customHeight="1" x14ac:dyDescent="0.3">
      <c r="A259" s="63" t="s">
        <v>63</v>
      </c>
      <c r="B259" s="63" t="s">
        <v>795</v>
      </c>
      <c r="C259" s="64">
        <v>0.98263888888888884</v>
      </c>
      <c r="D259" s="63" t="s">
        <v>48</v>
      </c>
      <c r="E259" s="63" t="s">
        <v>45</v>
      </c>
      <c r="F259" s="63" t="s">
        <v>794</v>
      </c>
      <c r="G259" s="278"/>
      <c r="H259" s="58"/>
      <c r="I259" s="59"/>
      <c r="J259" s="59"/>
      <c r="K259" s="59"/>
      <c r="L259" s="59"/>
      <c r="M259" s="59"/>
      <c r="N259" s="59"/>
      <c r="O259" s="60"/>
      <c r="P259" s="59"/>
      <c r="Q259" s="61"/>
      <c r="R259" s="62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</row>
    <row r="260" spans="1:92" ht="14.4" customHeight="1" x14ac:dyDescent="0.3">
      <c r="A260" s="282"/>
      <c r="B260" s="283"/>
      <c r="C260" s="283"/>
      <c r="D260" s="283"/>
      <c r="E260" s="283"/>
      <c r="F260" s="283"/>
      <c r="G260" s="280"/>
      <c r="H260" s="284"/>
      <c r="I260" s="284"/>
      <c r="J260" s="284"/>
      <c r="K260" s="284"/>
      <c r="L260" s="284"/>
      <c r="M260" s="284"/>
      <c r="N260" s="284"/>
      <c r="O260" s="285"/>
      <c r="P260" s="284"/>
      <c r="Q260" s="280"/>
      <c r="R260" s="281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</row>
    <row r="261" spans="1:92" ht="22.05" customHeight="1" x14ac:dyDescent="0.3">
      <c r="A261" s="290" t="s">
        <v>5</v>
      </c>
      <c r="B261" s="291"/>
      <c r="C261" s="291"/>
      <c r="D261" s="291"/>
      <c r="E261" s="291"/>
      <c r="F261" s="291"/>
      <c r="G261" s="5">
        <v>45990</v>
      </c>
      <c r="H261" s="274" t="s">
        <v>6</v>
      </c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</row>
    <row r="262" spans="1:92" ht="24" customHeight="1" x14ac:dyDescent="0.3">
      <c r="A262" s="31" t="s">
        <v>7</v>
      </c>
      <c r="B262" s="31" t="s">
        <v>8</v>
      </c>
      <c r="C262" s="32" t="s">
        <v>9</v>
      </c>
      <c r="D262" s="31" t="s">
        <v>10</v>
      </c>
      <c r="E262" s="31" t="s">
        <v>11</v>
      </c>
      <c r="F262" s="31" t="s">
        <v>12</v>
      </c>
      <c r="G262" s="33" t="s">
        <v>13</v>
      </c>
      <c r="H262" s="31" t="s">
        <v>14</v>
      </c>
      <c r="I262" s="34" t="s">
        <v>15</v>
      </c>
      <c r="J262" s="35" t="s">
        <v>16</v>
      </c>
      <c r="K262" s="36" t="s">
        <v>17</v>
      </c>
      <c r="L262" s="35" t="s">
        <v>18</v>
      </c>
      <c r="M262" s="35" t="s">
        <v>19</v>
      </c>
      <c r="N262" s="35" t="s">
        <v>20</v>
      </c>
      <c r="O262" s="31" t="s">
        <v>21</v>
      </c>
      <c r="P262" s="32" t="s">
        <v>22</v>
      </c>
      <c r="Q262" s="35" t="s">
        <v>23</v>
      </c>
      <c r="R262" s="31" t="s">
        <v>24</v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</row>
    <row r="263" spans="1:92" ht="15" customHeight="1" x14ac:dyDescent="0.3">
      <c r="A263" s="8" t="s">
        <v>285</v>
      </c>
      <c r="B263" s="8" t="s">
        <v>845</v>
      </c>
      <c r="C263" s="9">
        <v>2.4305555555555559E-2</v>
      </c>
      <c r="D263" s="8" t="s">
        <v>81</v>
      </c>
      <c r="E263" s="8" t="s">
        <v>402</v>
      </c>
      <c r="F263" s="8" t="s">
        <v>837</v>
      </c>
      <c r="G263" s="276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</row>
    <row r="264" spans="1:92" ht="15" customHeight="1" x14ac:dyDescent="0.3">
      <c r="A264" s="19" t="s">
        <v>285</v>
      </c>
      <c r="B264" s="19" t="s">
        <v>824</v>
      </c>
      <c r="C264" s="20">
        <v>0.1701388888888889</v>
      </c>
      <c r="D264" s="19" t="s">
        <v>81</v>
      </c>
      <c r="E264" s="19" t="s">
        <v>45</v>
      </c>
      <c r="F264" s="19" t="s">
        <v>846</v>
      </c>
      <c r="G264" s="277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</row>
    <row r="265" spans="1:92" ht="15" customHeight="1" x14ac:dyDescent="0.3">
      <c r="A265" s="19" t="s">
        <v>285</v>
      </c>
      <c r="B265" s="19" t="s">
        <v>847</v>
      </c>
      <c r="C265" s="20">
        <v>0.53819444444444442</v>
      </c>
      <c r="D265" s="19" t="s">
        <v>81</v>
      </c>
      <c r="E265" s="19" t="s">
        <v>45</v>
      </c>
      <c r="F265" s="19" t="s">
        <v>846</v>
      </c>
      <c r="G265" s="277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</row>
    <row r="266" spans="1:92" ht="15" customHeight="1" x14ac:dyDescent="0.3">
      <c r="A266" s="17" t="s">
        <v>360</v>
      </c>
      <c r="B266" s="17" t="s">
        <v>801</v>
      </c>
      <c r="C266" s="18">
        <v>8.6805555555555566E-2</v>
      </c>
      <c r="D266" s="17" t="s">
        <v>81</v>
      </c>
      <c r="E266" s="17" t="s">
        <v>402</v>
      </c>
      <c r="F266" s="17" t="s">
        <v>848</v>
      </c>
      <c r="G266" s="277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</row>
    <row r="267" spans="1:92" ht="15" customHeight="1" x14ac:dyDescent="0.3">
      <c r="A267" s="19" t="s">
        <v>360</v>
      </c>
      <c r="B267" s="19" t="s">
        <v>831</v>
      </c>
      <c r="C267" s="20">
        <v>0.68402777777777779</v>
      </c>
      <c r="D267" s="19" t="s">
        <v>81</v>
      </c>
      <c r="E267" s="19" t="s">
        <v>289</v>
      </c>
      <c r="F267" s="19" t="s">
        <v>849</v>
      </c>
      <c r="G267" s="277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</row>
    <row r="268" spans="1:92" ht="15" customHeight="1" x14ac:dyDescent="0.3">
      <c r="A268" s="17" t="s">
        <v>280</v>
      </c>
      <c r="B268" s="17" t="s">
        <v>775</v>
      </c>
      <c r="C268" s="18">
        <v>0.4375</v>
      </c>
      <c r="D268" s="17" t="s">
        <v>282</v>
      </c>
      <c r="E268" s="17" t="s">
        <v>105</v>
      </c>
      <c r="F268" s="17" t="s">
        <v>850</v>
      </c>
      <c r="G268" s="277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</row>
    <row r="269" spans="1:92" ht="15" customHeight="1" x14ac:dyDescent="0.3">
      <c r="A269" s="15" t="s">
        <v>280</v>
      </c>
      <c r="B269" s="15" t="s">
        <v>775</v>
      </c>
      <c r="C269" s="16">
        <v>0.4375</v>
      </c>
      <c r="D269" s="15" t="s">
        <v>33</v>
      </c>
      <c r="E269" s="15" t="s">
        <v>106</v>
      </c>
      <c r="F269" s="15" t="s">
        <v>851</v>
      </c>
      <c r="G269" s="277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</row>
    <row r="270" spans="1:92" ht="15" customHeight="1" x14ac:dyDescent="0.3">
      <c r="A270" s="17" t="s">
        <v>54</v>
      </c>
      <c r="B270" s="17" t="s">
        <v>762</v>
      </c>
      <c r="C270" s="18">
        <v>0.4375</v>
      </c>
      <c r="D270" s="17" t="s">
        <v>56</v>
      </c>
      <c r="E270" s="17" t="s">
        <v>104</v>
      </c>
      <c r="F270" s="17" t="s">
        <v>119</v>
      </c>
      <c r="G270" s="277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</row>
    <row r="271" spans="1:92" ht="15" customHeight="1" x14ac:dyDescent="0.3">
      <c r="A271" s="15" t="s">
        <v>54</v>
      </c>
      <c r="B271" s="15" t="s">
        <v>762</v>
      </c>
      <c r="C271" s="16">
        <v>0.4375</v>
      </c>
      <c r="D271" s="15" t="s">
        <v>58</v>
      </c>
      <c r="E271" s="15" t="s">
        <v>109</v>
      </c>
      <c r="F271" s="15" t="s">
        <v>115</v>
      </c>
      <c r="G271" s="277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</row>
    <row r="272" spans="1:92" ht="15" customHeight="1" x14ac:dyDescent="0.3">
      <c r="A272" s="15" t="s">
        <v>54</v>
      </c>
      <c r="B272" s="15" t="s">
        <v>762</v>
      </c>
      <c r="C272" s="16">
        <v>0.4375</v>
      </c>
      <c r="D272" s="15" t="s">
        <v>60</v>
      </c>
      <c r="E272" s="15" t="s">
        <v>109</v>
      </c>
      <c r="F272" s="15" t="s">
        <v>838</v>
      </c>
      <c r="G272" s="277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</row>
    <row r="273" spans="1:92" ht="15" customHeight="1" x14ac:dyDescent="0.3">
      <c r="A273" s="19" t="s">
        <v>54</v>
      </c>
      <c r="B273" s="19" t="s">
        <v>766</v>
      </c>
      <c r="C273" s="20">
        <v>0.55902777777777779</v>
      </c>
      <c r="D273" s="19" t="s">
        <v>56</v>
      </c>
      <c r="E273" s="19" t="s">
        <v>93</v>
      </c>
      <c r="F273" s="19" t="s">
        <v>115</v>
      </c>
      <c r="G273" s="277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</row>
    <row r="274" spans="1:92" ht="15" customHeight="1" x14ac:dyDescent="0.3">
      <c r="A274" s="15" t="s">
        <v>54</v>
      </c>
      <c r="B274" s="15" t="s">
        <v>766</v>
      </c>
      <c r="C274" s="16">
        <v>0.55902777777777779</v>
      </c>
      <c r="D274" s="15" t="s">
        <v>58</v>
      </c>
      <c r="E274" s="15" t="s">
        <v>94</v>
      </c>
      <c r="F274" s="15" t="s">
        <v>400</v>
      </c>
      <c r="G274" s="277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</row>
    <row r="275" spans="1:92" ht="15" customHeight="1" x14ac:dyDescent="0.3">
      <c r="A275" s="15" t="s">
        <v>54</v>
      </c>
      <c r="B275" s="15" t="s">
        <v>766</v>
      </c>
      <c r="C275" s="16">
        <v>0.55902777777777779</v>
      </c>
      <c r="D275" s="15" t="s">
        <v>60</v>
      </c>
      <c r="E275" s="15" t="s">
        <v>94</v>
      </c>
      <c r="F275" s="15" t="s">
        <v>401</v>
      </c>
      <c r="G275" s="277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</row>
    <row r="276" spans="1:92" ht="15" customHeight="1" x14ac:dyDescent="0.3">
      <c r="A276" s="19" t="s">
        <v>54</v>
      </c>
      <c r="B276" s="19" t="s">
        <v>760</v>
      </c>
      <c r="C276" s="20">
        <v>0.50694444444444442</v>
      </c>
      <c r="D276" s="19" t="s">
        <v>56</v>
      </c>
      <c r="E276" s="19" t="s">
        <v>107</v>
      </c>
      <c r="F276" s="19" t="s">
        <v>115</v>
      </c>
      <c r="G276" s="277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</row>
    <row r="277" spans="1:92" ht="15" customHeight="1" x14ac:dyDescent="0.3">
      <c r="A277" s="15" t="s">
        <v>54</v>
      </c>
      <c r="B277" s="15" t="s">
        <v>760</v>
      </c>
      <c r="C277" s="16">
        <v>0.50694444444444442</v>
      </c>
      <c r="D277" s="15" t="s">
        <v>58</v>
      </c>
      <c r="E277" s="15" t="s">
        <v>106</v>
      </c>
      <c r="F277" s="15" t="s">
        <v>400</v>
      </c>
      <c r="G277" s="277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</row>
    <row r="278" spans="1:92" ht="15" customHeight="1" x14ac:dyDescent="0.3">
      <c r="A278" s="15" t="s">
        <v>54</v>
      </c>
      <c r="B278" s="15" t="s">
        <v>760</v>
      </c>
      <c r="C278" s="16">
        <v>0.50694444444444442</v>
      </c>
      <c r="D278" s="15" t="s">
        <v>60</v>
      </c>
      <c r="E278" s="15" t="s">
        <v>106</v>
      </c>
      <c r="F278" s="15" t="s">
        <v>401</v>
      </c>
      <c r="G278" s="277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</row>
    <row r="279" spans="1:92" ht="15" customHeight="1" x14ac:dyDescent="0.3">
      <c r="A279" s="19" t="s">
        <v>54</v>
      </c>
      <c r="B279" s="19" t="s">
        <v>768</v>
      </c>
      <c r="C279" s="20">
        <v>0.95833333333333337</v>
      </c>
      <c r="D279" s="19" t="s">
        <v>56</v>
      </c>
      <c r="E279" s="19" t="s">
        <v>121</v>
      </c>
      <c r="F279" s="19" t="s">
        <v>404</v>
      </c>
      <c r="G279" s="277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</row>
    <row r="280" spans="1:92" ht="15" customHeight="1" x14ac:dyDescent="0.3">
      <c r="A280" s="15" t="s">
        <v>54</v>
      </c>
      <c r="B280" s="15" t="s">
        <v>768</v>
      </c>
      <c r="C280" s="16">
        <v>0.95833333333333337</v>
      </c>
      <c r="D280" s="15" t="s">
        <v>58</v>
      </c>
      <c r="E280" s="15" t="s">
        <v>339</v>
      </c>
      <c r="F280" s="15" t="s">
        <v>852</v>
      </c>
      <c r="G280" s="277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</row>
    <row r="281" spans="1:92" ht="15" customHeight="1" x14ac:dyDescent="0.3">
      <c r="A281" s="15" t="s">
        <v>54</v>
      </c>
      <c r="B281" s="15" t="s">
        <v>768</v>
      </c>
      <c r="C281" s="16">
        <v>0.95833333333333337</v>
      </c>
      <c r="D281" s="15" t="s">
        <v>60</v>
      </c>
      <c r="E281" s="15" t="s">
        <v>339</v>
      </c>
      <c r="F281" s="15" t="s">
        <v>853</v>
      </c>
      <c r="G281" s="277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</row>
    <row r="282" spans="1:92" ht="15" customHeight="1" x14ac:dyDescent="0.3">
      <c r="A282" s="19" t="s">
        <v>54</v>
      </c>
      <c r="B282" s="19" t="s">
        <v>765</v>
      </c>
      <c r="C282" s="20">
        <v>0.63194444444444442</v>
      </c>
      <c r="D282" s="19" t="s">
        <v>56</v>
      </c>
      <c r="E282" s="19" t="s">
        <v>107</v>
      </c>
      <c r="F282" s="19" t="s">
        <v>404</v>
      </c>
      <c r="G282" s="277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</row>
    <row r="283" spans="1:92" ht="15" customHeight="1" x14ac:dyDescent="0.3">
      <c r="A283" s="15" t="s">
        <v>54</v>
      </c>
      <c r="B283" s="15" t="s">
        <v>765</v>
      </c>
      <c r="C283" s="16">
        <v>0.63194444444444442</v>
      </c>
      <c r="D283" s="15" t="s">
        <v>58</v>
      </c>
      <c r="E283" s="15" t="s">
        <v>106</v>
      </c>
      <c r="F283" s="15" t="s">
        <v>852</v>
      </c>
      <c r="G283" s="277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</row>
    <row r="284" spans="1:92" ht="15" customHeight="1" x14ac:dyDescent="0.3">
      <c r="A284" s="15" t="s">
        <v>54</v>
      </c>
      <c r="B284" s="15" t="s">
        <v>765</v>
      </c>
      <c r="C284" s="16">
        <v>0.63194444444444442</v>
      </c>
      <c r="D284" s="15" t="s">
        <v>60</v>
      </c>
      <c r="E284" s="15" t="s">
        <v>106</v>
      </c>
      <c r="F284" s="15" t="s">
        <v>853</v>
      </c>
      <c r="G284" s="277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</row>
    <row r="285" spans="1:92" ht="15" customHeight="1" x14ac:dyDescent="0.3">
      <c r="A285" s="19" t="s">
        <v>54</v>
      </c>
      <c r="B285" s="19" t="s">
        <v>767</v>
      </c>
      <c r="C285" s="20">
        <v>0.69791666666666663</v>
      </c>
      <c r="D285" s="19" t="s">
        <v>56</v>
      </c>
      <c r="E285" s="19" t="s">
        <v>289</v>
      </c>
      <c r="F285" s="19" t="s">
        <v>404</v>
      </c>
      <c r="G285" s="277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</row>
    <row r="286" spans="1:92" ht="15" customHeight="1" x14ac:dyDescent="0.3">
      <c r="A286" s="15" t="s">
        <v>54</v>
      </c>
      <c r="B286" s="15" t="s">
        <v>767</v>
      </c>
      <c r="C286" s="16">
        <v>0.69791666666666663</v>
      </c>
      <c r="D286" s="15" t="s">
        <v>58</v>
      </c>
      <c r="E286" s="15" t="s">
        <v>31</v>
      </c>
      <c r="F286" s="15" t="s">
        <v>852</v>
      </c>
      <c r="G286" s="277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</row>
    <row r="287" spans="1:92" ht="15" customHeight="1" x14ac:dyDescent="0.3">
      <c r="A287" s="15" t="s">
        <v>54</v>
      </c>
      <c r="B287" s="15" t="s">
        <v>767</v>
      </c>
      <c r="C287" s="16">
        <v>0.69791666666666663</v>
      </c>
      <c r="D287" s="15" t="s">
        <v>60</v>
      </c>
      <c r="E287" s="15" t="s">
        <v>31</v>
      </c>
      <c r="F287" s="15" t="s">
        <v>853</v>
      </c>
      <c r="G287" s="277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</row>
    <row r="288" spans="1:92" ht="15" customHeight="1" x14ac:dyDescent="0.3">
      <c r="A288" s="19" t="s">
        <v>54</v>
      </c>
      <c r="B288" s="19" t="s">
        <v>772</v>
      </c>
      <c r="C288" s="20">
        <v>0.81944444444444453</v>
      </c>
      <c r="D288" s="19" t="s">
        <v>56</v>
      </c>
      <c r="E288" s="19" t="s">
        <v>107</v>
      </c>
      <c r="F288" s="19" t="s">
        <v>854</v>
      </c>
      <c r="G288" s="277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</row>
    <row r="289" spans="1:92" ht="15" customHeight="1" x14ac:dyDescent="0.3">
      <c r="A289" s="15" t="s">
        <v>54</v>
      </c>
      <c r="B289" s="15" t="s">
        <v>772</v>
      </c>
      <c r="C289" s="16">
        <v>0.81944444444444453</v>
      </c>
      <c r="D289" s="15" t="s">
        <v>58</v>
      </c>
      <c r="E289" s="15" t="s">
        <v>106</v>
      </c>
      <c r="F289" s="15" t="s">
        <v>855</v>
      </c>
      <c r="G289" s="277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</row>
    <row r="290" spans="1:92" ht="15" customHeight="1" x14ac:dyDescent="0.3">
      <c r="A290" s="15" t="s">
        <v>54</v>
      </c>
      <c r="B290" s="15" t="s">
        <v>772</v>
      </c>
      <c r="C290" s="16">
        <v>0.81944444444444453</v>
      </c>
      <c r="D290" s="15" t="s">
        <v>60</v>
      </c>
      <c r="E290" s="15" t="s">
        <v>106</v>
      </c>
      <c r="F290" s="15" t="s">
        <v>856</v>
      </c>
      <c r="G290" s="277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</row>
    <row r="291" spans="1:92" ht="15" customHeight="1" x14ac:dyDescent="0.3">
      <c r="A291" s="17" t="s">
        <v>25</v>
      </c>
      <c r="B291" s="17" t="s">
        <v>753</v>
      </c>
      <c r="C291" s="18">
        <v>0.57638888888888895</v>
      </c>
      <c r="D291" s="17" t="s">
        <v>27</v>
      </c>
      <c r="E291" s="17" t="s">
        <v>682</v>
      </c>
      <c r="F291" s="17" t="s">
        <v>857</v>
      </c>
      <c r="G291" s="277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</row>
    <row r="292" spans="1:92" ht="15" customHeight="1" x14ac:dyDescent="0.3">
      <c r="A292" s="15" t="s">
        <v>25</v>
      </c>
      <c r="B292" s="15" t="s">
        <v>753</v>
      </c>
      <c r="C292" s="16">
        <v>0.57638888888888895</v>
      </c>
      <c r="D292" s="15" t="s">
        <v>30</v>
      </c>
      <c r="E292" s="15" t="s">
        <v>411</v>
      </c>
      <c r="F292" s="15" t="s">
        <v>858</v>
      </c>
      <c r="G292" s="277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</row>
    <row r="293" spans="1:92" ht="15" customHeight="1" x14ac:dyDescent="0.3">
      <c r="A293" s="15" t="s">
        <v>25</v>
      </c>
      <c r="B293" s="15" t="s">
        <v>753</v>
      </c>
      <c r="C293" s="16">
        <v>0.57638888888888895</v>
      </c>
      <c r="D293" s="15" t="s">
        <v>33</v>
      </c>
      <c r="E293" s="15" t="s">
        <v>411</v>
      </c>
      <c r="F293" s="15" t="s">
        <v>758</v>
      </c>
      <c r="G293" s="277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</row>
    <row r="294" spans="1:92" ht="15" customHeight="1" x14ac:dyDescent="0.3">
      <c r="A294" s="19" t="s">
        <v>25</v>
      </c>
      <c r="B294" s="19" t="s">
        <v>756</v>
      </c>
      <c r="C294" s="20">
        <v>0.62847222222222221</v>
      </c>
      <c r="D294" s="19" t="s">
        <v>27</v>
      </c>
      <c r="E294" s="19" t="s">
        <v>274</v>
      </c>
      <c r="F294" s="19" t="s">
        <v>857</v>
      </c>
      <c r="G294" s="277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</row>
    <row r="295" spans="1:92" ht="15" customHeight="1" x14ac:dyDescent="0.3">
      <c r="A295" s="15" t="s">
        <v>25</v>
      </c>
      <c r="B295" s="15" t="s">
        <v>756</v>
      </c>
      <c r="C295" s="16">
        <v>0.62847222222222221</v>
      </c>
      <c r="D295" s="15" t="s">
        <v>30</v>
      </c>
      <c r="E295" s="15" t="s">
        <v>78</v>
      </c>
      <c r="F295" s="15" t="s">
        <v>858</v>
      </c>
      <c r="G295" s="277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</row>
    <row r="296" spans="1:92" ht="15" customHeight="1" x14ac:dyDescent="0.3">
      <c r="A296" s="15" t="s">
        <v>25</v>
      </c>
      <c r="B296" s="15" t="s">
        <v>756</v>
      </c>
      <c r="C296" s="16">
        <v>0.62847222222222221</v>
      </c>
      <c r="D296" s="15" t="s">
        <v>33</v>
      </c>
      <c r="E296" s="15" t="s">
        <v>78</v>
      </c>
      <c r="F296" s="15" t="s">
        <v>758</v>
      </c>
      <c r="G296" s="277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</row>
    <row r="297" spans="1:92" ht="15" customHeight="1" x14ac:dyDescent="0.3">
      <c r="A297" s="19" t="s">
        <v>25</v>
      </c>
      <c r="B297" s="19" t="s">
        <v>757</v>
      </c>
      <c r="C297" s="20">
        <v>0.88888888888888884</v>
      </c>
      <c r="D297" s="19" t="s">
        <v>27</v>
      </c>
      <c r="E297" s="19" t="s">
        <v>121</v>
      </c>
      <c r="F297" s="19" t="s">
        <v>857</v>
      </c>
      <c r="G297" s="277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</row>
    <row r="298" spans="1:92" ht="15" customHeight="1" x14ac:dyDescent="0.3">
      <c r="A298" s="15" t="s">
        <v>25</v>
      </c>
      <c r="B298" s="15" t="s">
        <v>757</v>
      </c>
      <c r="C298" s="16">
        <v>0.88888888888888884</v>
      </c>
      <c r="D298" s="15" t="s">
        <v>30</v>
      </c>
      <c r="E298" s="15" t="s">
        <v>339</v>
      </c>
      <c r="F298" s="15" t="s">
        <v>858</v>
      </c>
      <c r="G298" s="277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</row>
    <row r="299" spans="1:92" ht="15" customHeight="1" x14ac:dyDescent="0.3">
      <c r="A299" s="15" t="s">
        <v>25</v>
      </c>
      <c r="B299" s="15" t="s">
        <v>757</v>
      </c>
      <c r="C299" s="16">
        <v>0.88888888888888884</v>
      </c>
      <c r="D299" s="15" t="s">
        <v>33</v>
      </c>
      <c r="E299" s="15" t="s">
        <v>339</v>
      </c>
      <c r="F299" s="15" t="s">
        <v>758</v>
      </c>
      <c r="G299" s="277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</row>
    <row r="300" spans="1:92" ht="15" customHeight="1" x14ac:dyDescent="0.3">
      <c r="A300" s="19" t="s">
        <v>25</v>
      </c>
      <c r="B300" s="19" t="s">
        <v>759</v>
      </c>
      <c r="C300" s="20">
        <v>0.94444444444444453</v>
      </c>
      <c r="D300" s="19" t="s">
        <v>27</v>
      </c>
      <c r="E300" s="19" t="s">
        <v>95</v>
      </c>
      <c r="F300" s="19" t="s">
        <v>857</v>
      </c>
      <c r="G300" s="277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</row>
    <row r="301" spans="1:92" ht="15" customHeight="1" x14ac:dyDescent="0.3">
      <c r="A301" s="15" t="s">
        <v>25</v>
      </c>
      <c r="B301" s="15" t="s">
        <v>759</v>
      </c>
      <c r="C301" s="16">
        <v>0.94444444444444453</v>
      </c>
      <c r="D301" s="15" t="s">
        <v>30</v>
      </c>
      <c r="E301" s="15" t="s">
        <v>96</v>
      </c>
      <c r="F301" s="15" t="s">
        <v>858</v>
      </c>
      <c r="G301" s="277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</row>
    <row r="302" spans="1:92" ht="15" customHeight="1" x14ac:dyDescent="0.3">
      <c r="A302" s="15" t="s">
        <v>25</v>
      </c>
      <c r="B302" s="15" t="s">
        <v>759</v>
      </c>
      <c r="C302" s="16">
        <v>0.94444444444444453</v>
      </c>
      <c r="D302" s="15" t="s">
        <v>33</v>
      </c>
      <c r="E302" s="15" t="s">
        <v>96</v>
      </c>
      <c r="F302" s="15" t="s">
        <v>758</v>
      </c>
      <c r="G302" s="277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</row>
    <row r="303" spans="1:92" ht="15" customHeight="1" x14ac:dyDescent="0.3">
      <c r="A303" s="165" t="s">
        <v>71</v>
      </c>
      <c r="B303" s="165" t="s">
        <v>810</v>
      </c>
      <c r="C303" s="166">
        <v>0.41319444444444442</v>
      </c>
      <c r="D303" s="165" t="s">
        <v>81</v>
      </c>
      <c r="E303" s="165" t="s">
        <v>38</v>
      </c>
      <c r="F303" s="165" t="s">
        <v>859</v>
      </c>
      <c r="G303" s="277"/>
      <c r="H303" s="168" t="s">
        <v>811</v>
      </c>
      <c r="I303" s="240">
        <v>0.68720000000000003</v>
      </c>
      <c r="J303" s="170">
        <v>123</v>
      </c>
      <c r="K303" s="171">
        <v>45983</v>
      </c>
      <c r="L303" s="170">
        <v>25</v>
      </c>
      <c r="M303" s="170">
        <v>0</v>
      </c>
      <c r="N303" s="170">
        <v>2</v>
      </c>
      <c r="O303" s="172" t="s">
        <v>860</v>
      </c>
      <c r="P303" s="173">
        <v>0.41319444444444442</v>
      </c>
      <c r="Q303" s="170">
        <v>179</v>
      </c>
      <c r="R303" s="174" t="s">
        <v>861</v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</row>
    <row r="304" spans="1:92" ht="15" customHeight="1" x14ac:dyDescent="0.3">
      <c r="A304" s="17" t="s">
        <v>35</v>
      </c>
      <c r="B304" s="17" t="s">
        <v>785</v>
      </c>
      <c r="C304" s="18">
        <v>0.98263888888888884</v>
      </c>
      <c r="D304" s="17" t="s">
        <v>42</v>
      </c>
      <c r="E304" s="17" t="s">
        <v>251</v>
      </c>
      <c r="F304" s="17" t="s">
        <v>791</v>
      </c>
      <c r="G304" s="277"/>
      <c r="H304" s="10"/>
      <c r="I304" s="11"/>
      <c r="J304" s="11"/>
      <c r="K304" s="11"/>
      <c r="L304" s="11"/>
      <c r="M304" s="11"/>
      <c r="N304" s="11"/>
      <c r="O304" s="12"/>
      <c r="P304" s="11"/>
      <c r="Q304" s="13"/>
      <c r="R304" s="14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</row>
    <row r="305" spans="1:92" ht="15" customHeight="1" x14ac:dyDescent="0.3">
      <c r="A305" s="19" t="s">
        <v>35</v>
      </c>
      <c r="B305" s="19" t="s">
        <v>792</v>
      </c>
      <c r="C305" s="20">
        <v>0.62847222222222221</v>
      </c>
      <c r="D305" s="19" t="s">
        <v>42</v>
      </c>
      <c r="E305" s="19" t="s">
        <v>89</v>
      </c>
      <c r="F305" s="19" t="s">
        <v>862</v>
      </c>
      <c r="G305" s="277"/>
      <c r="H305" s="10"/>
      <c r="I305" s="11"/>
      <c r="J305" s="11"/>
      <c r="K305" s="11"/>
      <c r="L305" s="11"/>
      <c r="M305" s="11"/>
      <c r="N305" s="11"/>
      <c r="O305" s="12"/>
      <c r="P305" s="11"/>
      <c r="Q305" s="13"/>
      <c r="R305" s="14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</row>
    <row r="306" spans="1:92" ht="15" customHeight="1" x14ac:dyDescent="0.3">
      <c r="A306" s="19" t="s">
        <v>35</v>
      </c>
      <c r="B306" s="19" t="s">
        <v>786</v>
      </c>
      <c r="C306" s="20">
        <v>0.88888888888888884</v>
      </c>
      <c r="D306" s="19" t="s">
        <v>42</v>
      </c>
      <c r="E306" s="19" t="s">
        <v>51</v>
      </c>
      <c r="F306" s="19" t="s">
        <v>863</v>
      </c>
      <c r="G306" s="277"/>
      <c r="H306" s="10"/>
      <c r="I306" s="11"/>
      <c r="J306" s="11"/>
      <c r="K306" s="11"/>
      <c r="L306" s="11"/>
      <c r="M306" s="11"/>
      <c r="N306" s="11"/>
      <c r="O306" s="12"/>
      <c r="P306" s="11"/>
      <c r="Q306" s="13"/>
      <c r="R306" s="14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</row>
    <row r="307" spans="1:92" ht="15" customHeight="1" x14ac:dyDescent="0.3">
      <c r="A307" s="19" t="s">
        <v>35</v>
      </c>
      <c r="B307" s="19" t="s">
        <v>788</v>
      </c>
      <c r="C307" s="20">
        <v>0.62847222222222221</v>
      </c>
      <c r="D307" s="19" t="s">
        <v>42</v>
      </c>
      <c r="E307" s="19" t="s">
        <v>51</v>
      </c>
      <c r="F307" s="19" t="s">
        <v>863</v>
      </c>
      <c r="G307" s="277"/>
      <c r="H307" s="10"/>
      <c r="I307" s="11"/>
      <c r="J307" s="11"/>
      <c r="K307" s="11"/>
      <c r="L307" s="11"/>
      <c r="M307" s="11"/>
      <c r="N307" s="11"/>
      <c r="O307" s="12"/>
      <c r="P307" s="11"/>
      <c r="Q307" s="13"/>
      <c r="R307" s="14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</row>
    <row r="308" spans="1:92" ht="15" customHeight="1" x14ac:dyDescent="0.3">
      <c r="A308" s="19" t="s">
        <v>35</v>
      </c>
      <c r="B308" s="19" t="s">
        <v>789</v>
      </c>
      <c r="C308" s="20">
        <v>0.94444444444444453</v>
      </c>
      <c r="D308" s="19" t="s">
        <v>42</v>
      </c>
      <c r="E308" s="19" t="s">
        <v>51</v>
      </c>
      <c r="F308" s="19" t="s">
        <v>863</v>
      </c>
      <c r="G308" s="277"/>
      <c r="H308" s="10"/>
      <c r="I308" s="11"/>
      <c r="J308" s="11"/>
      <c r="K308" s="11"/>
      <c r="L308" s="11"/>
      <c r="M308" s="11"/>
      <c r="N308" s="11"/>
      <c r="O308" s="12"/>
      <c r="P308" s="11"/>
      <c r="Q308" s="13"/>
      <c r="R308" s="14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</row>
    <row r="309" spans="1:92" ht="15" customHeight="1" x14ac:dyDescent="0.3">
      <c r="A309" s="17" t="s">
        <v>63</v>
      </c>
      <c r="B309" s="17" t="s">
        <v>795</v>
      </c>
      <c r="C309" s="18">
        <v>0.98611111111111116</v>
      </c>
      <c r="D309" s="17" t="s">
        <v>48</v>
      </c>
      <c r="E309" s="17" t="s">
        <v>38</v>
      </c>
      <c r="F309" s="17" t="s">
        <v>794</v>
      </c>
      <c r="G309" s="277"/>
      <c r="H309" s="10"/>
      <c r="I309" s="11"/>
      <c r="J309" s="11"/>
      <c r="K309" s="11"/>
      <c r="L309" s="11"/>
      <c r="M309" s="11"/>
      <c r="N309" s="11"/>
      <c r="O309" s="12"/>
      <c r="P309" s="11"/>
      <c r="Q309" s="13"/>
      <c r="R309" s="14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</row>
    <row r="310" spans="1:92" ht="15" customHeight="1" x14ac:dyDescent="0.3">
      <c r="A310" s="19" t="s">
        <v>63</v>
      </c>
      <c r="B310" s="19" t="s">
        <v>793</v>
      </c>
      <c r="C310" s="20">
        <v>0.72916666666666663</v>
      </c>
      <c r="D310" s="19" t="s">
        <v>48</v>
      </c>
      <c r="E310" s="19" t="s">
        <v>89</v>
      </c>
      <c r="F310" s="19" t="s">
        <v>807</v>
      </c>
      <c r="G310" s="277"/>
      <c r="H310" s="10"/>
      <c r="I310" s="11"/>
      <c r="J310" s="11"/>
      <c r="K310" s="11"/>
      <c r="L310" s="11"/>
      <c r="M310" s="11"/>
      <c r="N310" s="11"/>
      <c r="O310" s="12"/>
      <c r="P310" s="11"/>
      <c r="Q310" s="13"/>
      <c r="R310" s="14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</row>
    <row r="311" spans="1:92" ht="15" customHeight="1" x14ac:dyDescent="0.3">
      <c r="A311" s="63" t="s">
        <v>63</v>
      </c>
      <c r="B311" s="63" t="s">
        <v>796</v>
      </c>
      <c r="C311" s="64">
        <v>0.35416666666666669</v>
      </c>
      <c r="D311" s="63" t="s">
        <v>48</v>
      </c>
      <c r="E311" s="63" t="s">
        <v>45</v>
      </c>
      <c r="F311" s="63" t="s">
        <v>807</v>
      </c>
      <c r="G311" s="278"/>
      <c r="H311" s="58"/>
      <c r="I311" s="59"/>
      <c r="J311" s="59"/>
      <c r="K311" s="59"/>
      <c r="L311" s="59"/>
      <c r="M311" s="59"/>
      <c r="N311" s="59"/>
      <c r="O311" s="60"/>
      <c r="P311" s="59"/>
      <c r="Q311" s="61"/>
      <c r="R311" s="62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</row>
    <row r="312" spans="1:92" ht="14.4" customHeight="1" x14ac:dyDescent="0.3">
      <c r="A312" s="282"/>
      <c r="B312" s="283"/>
      <c r="C312" s="283"/>
      <c r="D312" s="283"/>
      <c r="E312" s="283"/>
      <c r="F312" s="283"/>
      <c r="G312" s="280"/>
      <c r="H312" s="284"/>
      <c r="I312" s="284"/>
      <c r="J312" s="284"/>
      <c r="K312" s="284"/>
      <c r="L312" s="284"/>
      <c r="M312" s="284"/>
      <c r="N312" s="284"/>
      <c r="O312" s="285"/>
      <c r="P312" s="284"/>
      <c r="Q312" s="280"/>
      <c r="R312" s="281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</row>
    <row r="313" spans="1:92" ht="22.05" customHeight="1" x14ac:dyDescent="0.3">
      <c r="A313" s="290" t="s">
        <v>5</v>
      </c>
      <c r="B313" s="291"/>
      <c r="C313" s="291"/>
      <c r="D313" s="291"/>
      <c r="E313" s="291"/>
      <c r="F313" s="291"/>
      <c r="G313" s="5">
        <v>45991</v>
      </c>
      <c r="H313" s="274" t="s">
        <v>6</v>
      </c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</row>
    <row r="314" spans="1:92" ht="24" customHeight="1" x14ac:dyDescent="0.3">
      <c r="A314" s="31" t="s">
        <v>7</v>
      </c>
      <c r="B314" s="31" t="s">
        <v>8</v>
      </c>
      <c r="C314" s="32" t="s">
        <v>9</v>
      </c>
      <c r="D314" s="31" t="s">
        <v>10</v>
      </c>
      <c r="E314" s="31" t="s">
        <v>11</v>
      </c>
      <c r="F314" s="31" t="s">
        <v>12</v>
      </c>
      <c r="G314" s="33" t="s">
        <v>13</v>
      </c>
      <c r="H314" s="31" t="s">
        <v>14</v>
      </c>
      <c r="I314" s="34" t="s">
        <v>15</v>
      </c>
      <c r="J314" s="35" t="s">
        <v>16</v>
      </c>
      <c r="K314" s="36" t="s">
        <v>17</v>
      </c>
      <c r="L314" s="35" t="s">
        <v>18</v>
      </c>
      <c r="M314" s="35" t="s">
        <v>19</v>
      </c>
      <c r="N314" s="35" t="s">
        <v>20</v>
      </c>
      <c r="O314" s="31" t="s">
        <v>21</v>
      </c>
      <c r="P314" s="32" t="s">
        <v>22</v>
      </c>
      <c r="Q314" s="35" t="s">
        <v>23</v>
      </c>
      <c r="R314" s="31" t="s">
        <v>24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</row>
    <row r="315" spans="1:92" ht="15" customHeight="1" x14ac:dyDescent="0.3">
      <c r="A315" s="85" t="s">
        <v>71</v>
      </c>
      <c r="B315" s="85" t="s">
        <v>810</v>
      </c>
      <c r="C315" s="86">
        <v>0.42708333333333331</v>
      </c>
      <c r="D315" s="85" t="s">
        <v>81</v>
      </c>
      <c r="E315" s="85" t="s">
        <v>82</v>
      </c>
      <c r="F315" s="85" t="s">
        <v>813</v>
      </c>
      <c r="G315" s="276"/>
      <c r="H315" s="87" t="s">
        <v>811</v>
      </c>
      <c r="I315" s="194">
        <v>0.61450000000000005</v>
      </c>
      <c r="J315" s="89">
        <v>110</v>
      </c>
      <c r="K315" s="90">
        <v>45983</v>
      </c>
      <c r="L315" s="89">
        <v>21</v>
      </c>
      <c r="M315" s="89">
        <v>0</v>
      </c>
      <c r="N315" s="89">
        <v>6</v>
      </c>
      <c r="O315" s="91" t="s">
        <v>345</v>
      </c>
      <c r="P315" s="92">
        <v>0.42708333333333331</v>
      </c>
      <c r="Q315" s="89">
        <v>179</v>
      </c>
      <c r="R315" s="93" t="s">
        <v>864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</row>
    <row r="316" spans="1:92" ht="15" customHeight="1" x14ac:dyDescent="0.3">
      <c r="A316" s="17" t="s">
        <v>25</v>
      </c>
      <c r="B316" s="17" t="s">
        <v>753</v>
      </c>
      <c r="C316" s="18">
        <v>0.57638888888888895</v>
      </c>
      <c r="D316" s="17" t="s">
        <v>27</v>
      </c>
      <c r="E316" s="17" t="s">
        <v>57</v>
      </c>
      <c r="F316" s="17" t="s">
        <v>123</v>
      </c>
      <c r="G316" s="277"/>
      <c r="H316" s="10"/>
      <c r="I316" s="11"/>
      <c r="J316" s="11"/>
      <c r="K316" s="11"/>
      <c r="L316" s="11"/>
      <c r="M316" s="11"/>
      <c r="N316" s="11"/>
      <c r="O316" s="12"/>
      <c r="P316" s="11"/>
      <c r="Q316" s="13"/>
      <c r="R316" s="14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</row>
    <row r="317" spans="1:92" ht="15" customHeight="1" x14ac:dyDescent="0.3">
      <c r="A317" s="15" t="s">
        <v>25</v>
      </c>
      <c r="B317" s="15" t="s">
        <v>753</v>
      </c>
      <c r="C317" s="16">
        <v>0.57638888888888895</v>
      </c>
      <c r="D317" s="15" t="s">
        <v>30</v>
      </c>
      <c r="E317" s="15" t="s">
        <v>53</v>
      </c>
      <c r="F317" s="15" t="s">
        <v>79</v>
      </c>
      <c r="G317" s="277"/>
      <c r="H317" s="10"/>
      <c r="I317" s="11"/>
      <c r="J317" s="11"/>
      <c r="K317" s="11"/>
      <c r="L317" s="11"/>
      <c r="M317" s="11"/>
      <c r="N317" s="11"/>
      <c r="O317" s="12"/>
      <c r="P317" s="11"/>
      <c r="Q317" s="13"/>
      <c r="R317" s="14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</row>
    <row r="318" spans="1:92" ht="15" customHeight="1" x14ac:dyDescent="0.3">
      <c r="A318" s="15" t="s">
        <v>25</v>
      </c>
      <c r="B318" s="15" t="s">
        <v>753</v>
      </c>
      <c r="C318" s="16">
        <v>0.57638888888888895</v>
      </c>
      <c r="D318" s="15" t="s">
        <v>33</v>
      </c>
      <c r="E318" s="15" t="s">
        <v>53</v>
      </c>
      <c r="F318" s="15" t="s">
        <v>335</v>
      </c>
      <c r="G318" s="277"/>
      <c r="H318" s="10"/>
      <c r="I318" s="11"/>
      <c r="J318" s="11"/>
      <c r="K318" s="11"/>
      <c r="L318" s="11"/>
      <c r="M318" s="11"/>
      <c r="N318" s="11"/>
      <c r="O318" s="12"/>
      <c r="P318" s="11"/>
      <c r="Q318" s="13"/>
      <c r="R318" s="14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</row>
    <row r="319" spans="1:92" ht="15" customHeight="1" x14ac:dyDescent="0.3">
      <c r="A319" s="19" t="s">
        <v>25</v>
      </c>
      <c r="B319" s="19" t="s">
        <v>756</v>
      </c>
      <c r="C319" s="20">
        <v>0.62847222222222221</v>
      </c>
      <c r="D319" s="19" t="s">
        <v>27</v>
      </c>
      <c r="E319" s="19" t="s">
        <v>107</v>
      </c>
      <c r="F319" s="19" t="s">
        <v>29</v>
      </c>
      <c r="G319" s="277"/>
      <c r="H319" s="10"/>
      <c r="I319" s="11"/>
      <c r="J319" s="11"/>
      <c r="K319" s="11"/>
      <c r="L319" s="11"/>
      <c r="M319" s="11"/>
      <c r="N319" s="11"/>
      <c r="O319" s="12"/>
      <c r="P319" s="11"/>
      <c r="Q319" s="13"/>
      <c r="R319" s="14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</row>
    <row r="320" spans="1:92" ht="15" customHeight="1" x14ac:dyDescent="0.3">
      <c r="A320" s="15" t="s">
        <v>25</v>
      </c>
      <c r="B320" s="15" t="s">
        <v>756</v>
      </c>
      <c r="C320" s="16">
        <v>0.62847222222222221</v>
      </c>
      <c r="D320" s="15" t="s">
        <v>30</v>
      </c>
      <c r="E320" s="15" t="s">
        <v>106</v>
      </c>
      <c r="F320" s="15" t="s">
        <v>32</v>
      </c>
      <c r="G320" s="277"/>
      <c r="H320" s="10"/>
      <c r="I320" s="11"/>
      <c r="J320" s="11"/>
      <c r="K320" s="11"/>
      <c r="L320" s="11"/>
      <c r="M320" s="11"/>
      <c r="N320" s="11"/>
      <c r="O320" s="12"/>
      <c r="P320" s="11"/>
      <c r="Q320" s="13"/>
      <c r="R320" s="14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</row>
    <row r="321" spans="1:92" ht="15" customHeight="1" x14ac:dyDescent="0.3">
      <c r="A321" s="15" t="s">
        <v>25</v>
      </c>
      <c r="B321" s="15" t="s">
        <v>756</v>
      </c>
      <c r="C321" s="16">
        <v>0.62847222222222221</v>
      </c>
      <c r="D321" s="15" t="s">
        <v>33</v>
      </c>
      <c r="E321" s="15" t="s">
        <v>106</v>
      </c>
      <c r="F321" s="15" t="s">
        <v>758</v>
      </c>
      <c r="G321" s="277"/>
      <c r="H321" s="10"/>
      <c r="I321" s="11"/>
      <c r="J321" s="11"/>
      <c r="K321" s="11"/>
      <c r="L321" s="11"/>
      <c r="M321" s="11"/>
      <c r="N321" s="11"/>
      <c r="O321" s="12"/>
      <c r="P321" s="11"/>
      <c r="Q321" s="13"/>
      <c r="R321" s="14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</row>
    <row r="322" spans="1:92" ht="15" customHeight="1" x14ac:dyDescent="0.3">
      <c r="A322" s="19" t="s">
        <v>25</v>
      </c>
      <c r="B322" s="19" t="s">
        <v>757</v>
      </c>
      <c r="C322" s="20">
        <v>0.88888888888888884</v>
      </c>
      <c r="D322" s="19" t="s">
        <v>27</v>
      </c>
      <c r="E322" s="19" t="s">
        <v>107</v>
      </c>
      <c r="F322" s="19" t="s">
        <v>29</v>
      </c>
      <c r="G322" s="277"/>
      <c r="H322" s="10"/>
      <c r="I322" s="11"/>
      <c r="J322" s="11"/>
      <c r="K322" s="11"/>
      <c r="L322" s="11"/>
      <c r="M322" s="11"/>
      <c r="N322" s="11"/>
      <c r="O322" s="12"/>
      <c r="P322" s="11"/>
      <c r="Q322" s="13"/>
      <c r="R322" s="14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</row>
    <row r="323" spans="1:92" ht="15" customHeight="1" x14ac:dyDescent="0.3">
      <c r="A323" s="15" t="s">
        <v>25</v>
      </c>
      <c r="B323" s="15" t="s">
        <v>757</v>
      </c>
      <c r="C323" s="16">
        <v>0.88888888888888884</v>
      </c>
      <c r="D323" s="15" t="s">
        <v>30</v>
      </c>
      <c r="E323" s="15" t="s">
        <v>106</v>
      </c>
      <c r="F323" s="15" t="s">
        <v>32</v>
      </c>
      <c r="G323" s="277"/>
      <c r="H323" s="10"/>
      <c r="I323" s="11"/>
      <c r="J323" s="11"/>
      <c r="K323" s="11"/>
      <c r="L323" s="11"/>
      <c r="M323" s="11"/>
      <c r="N323" s="11"/>
      <c r="O323" s="12"/>
      <c r="P323" s="11"/>
      <c r="Q323" s="13"/>
      <c r="R323" s="14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</row>
    <row r="324" spans="1:92" ht="15" customHeight="1" x14ac:dyDescent="0.3">
      <c r="A324" s="15" t="s">
        <v>25</v>
      </c>
      <c r="B324" s="15" t="s">
        <v>757</v>
      </c>
      <c r="C324" s="16">
        <v>0.88888888888888884</v>
      </c>
      <c r="D324" s="15" t="s">
        <v>33</v>
      </c>
      <c r="E324" s="15" t="s">
        <v>106</v>
      </c>
      <c r="F324" s="15" t="s">
        <v>758</v>
      </c>
      <c r="G324" s="277"/>
      <c r="H324" s="10"/>
      <c r="I324" s="11"/>
      <c r="J324" s="11"/>
      <c r="K324" s="11"/>
      <c r="L324" s="11"/>
      <c r="M324" s="11"/>
      <c r="N324" s="11"/>
      <c r="O324" s="12"/>
      <c r="P324" s="11"/>
      <c r="Q324" s="13"/>
      <c r="R324" s="14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</row>
    <row r="325" spans="1:92" ht="15" customHeight="1" x14ac:dyDescent="0.3">
      <c r="A325" s="19" t="s">
        <v>25</v>
      </c>
      <c r="B325" s="19" t="s">
        <v>759</v>
      </c>
      <c r="C325" s="20">
        <v>0.94444444444444453</v>
      </c>
      <c r="D325" s="19" t="s">
        <v>27</v>
      </c>
      <c r="E325" s="19" t="s">
        <v>95</v>
      </c>
      <c r="F325" s="19" t="s">
        <v>29</v>
      </c>
      <c r="G325" s="277"/>
      <c r="H325" s="10"/>
      <c r="I325" s="11"/>
      <c r="J325" s="11"/>
      <c r="K325" s="11"/>
      <c r="L325" s="11"/>
      <c r="M325" s="11"/>
      <c r="N325" s="11"/>
      <c r="O325" s="12"/>
      <c r="P325" s="11"/>
      <c r="Q325" s="13"/>
      <c r="R325" s="14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</row>
    <row r="326" spans="1:92" ht="15" customHeight="1" x14ac:dyDescent="0.3">
      <c r="A326" s="15" t="s">
        <v>25</v>
      </c>
      <c r="B326" s="15" t="s">
        <v>759</v>
      </c>
      <c r="C326" s="16">
        <v>0.94444444444444453</v>
      </c>
      <c r="D326" s="15" t="s">
        <v>30</v>
      </c>
      <c r="E326" s="15" t="s">
        <v>96</v>
      </c>
      <c r="F326" s="15" t="s">
        <v>32</v>
      </c>
      <c r="G326" s="277"/>
      <c r="H326" s="10"/>
      <c r="I326" s="11"/>
      <c r="J326" s="11"/>
      <c r="K326" s="11"/>
      <c r="L326" s="11"/>
      <c r="M326" s="11"/>
      <c r="N326" s="11"/>
      <c r="O326" s="12"/>
      <c r="P326" s="11"/>
      <c r="Q326" s="13"/>
      <c r="R326" s="14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</row>
    <row r="327" spans="1:92" ht="15" customHeight="1" x14ac:dyDescent="0.3">
      <c r="A327" s="15" t="s">
        <v>25</v>
      </c>
      <c r="B327" s="15" t="s">
        <v>759</v>
      </c>
      <c r="C327" s="16">
        <v>0.94444444444444453</v>
      </c>
      <c r="D327" s="15" t="s">
        <v>33</v>
      </c>
      <c r="E327" s="15" t="s">
        <v>96</v>
      </c>
      <c r="F327" s="15" t="s">
        <v>758</v>
      </c>
      <c r="G327" s="277"/>
      <c r="H327" s="10"/>
      <c r="I327" s="11"/>
      <c r="J327" s="11"/>
      <c r="K327" s="11"/>
      <c r="L327" s="11"/>
      <c r="M327" s="11"/>
      <c r="N327" s="11"/>
      <c r="O327" s="12"/>
      <c r="P327" s="11"/>
      <c r="Q327" s="13"/>
      <c r="R327" s="14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</row>
    <row r="328" spans="1:92" ht="15" customHeight="1" x14ac:dyDescent="0.3">
      <c r="A328" s="17" t="s">
        <v>360</v>
      </c>
      <c r="B328" s="17" t="s">
        <v>865</v>
      </c>
      <c r="C328" s="18">
        <v>0.39930555555555558</v>
      </c>
      <c r="D328" s="17" t="s">
        <v>81</v>
      </c>
      <c r="E328" s="17" t="s">
        <v>38</v>
      </c>
      <c r="F328" s="17" t="s">
        <v>866</v>
      </c>
      <c r="G328" s="277"/>
      <c r="H328" s="10"/>
      <c r="I328" s="11"/>
      <c r="J328" s="11"/>
      <c r="K328" s="11"/>
      <c r="L328" s="11"/>
      <c r="M328" s="11"/>
      <c r="N328" s="11"/>
      <c r="O328" s="12"/>
      <c r="P328" s="11"/>
      <c r="Q328" s="13"/>
      <c r="R328" s="14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</row>
    <row r="329" spans="1:92" ht="15" customHeight="1" x14ac:dyDescent="0.3">
      <c r="A329" s="17" t="s">
        <v>54</v>
      </c>
      <c r="B329" s="17" t="s">
        <v>762</v>
      </c>
      <c r="C329" s="18">
        <v>0.4375</v>
      </c>
      <c r="D329" s="17" t="s">
        <v>56</v>
      </c>
      <c r="E329" s="17" t="s">
        <v>82</v>
      </c>
      <c r="F329" s="17" t="s">
        <v>867</v>
      </c>
      <c r="G329" s="277"/>
      <c r="H329" s="10"/>
      <c r="I329" s="11"/>
      <c r="J329" s="11"/>
      <c r="K329" s="11"/>
      <c r="L329" s="11"/>
      <c r="M329" s="11"/>
      <c r="N329" s="11"/>
      <c r="O329" s="12"/>
      <c r="P329" s="11"/>
      <c r="Q329" s="13"/>
      <c r="R329" s="14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</row>
    <row r="330" spans="1:92" ht="15" customHeight="1" x14ac:dyDescent="0.3">
      <c r="A330" s="15" t="s">
        <v>54</v>
      </c>
      <c r="B330" s="15" t="s">
        <v>762</v>
      </c>
      <c r="C330" s="16">
        <v>0.4375</v>
      </c>
      <c r="D330" s="15" t="s">
        <v>58</v>
      </c>
      <c r="E330" s="15" t="s">
        <v>92</v>
      </c>
      <c r="F330" s="15" t="s">
        <v>771</v>
      </c>
      <c r="G330" s="277"/>
      <c r="H330" s="10"/>
      <c r="I330" s="11"/>
      <c r="J330" s="11"/>
      <c r="K330" s="11"/>
      <c r="L330" s="11"/>
      <c r="M330" s="11"/>
      <c r="N330" s="11"/>
      <c r="O330" s="12"/>
      <c r="P330" s="11"/>
      <c r="Q330" s="13"/>
      <c r="R330" s="14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</row>
    <row r="331" spans="1:92" ht="15" customHeight="1" x14ac:dyDescent="0.3">
      <c r="A331" s="15" t="s">
        <v>54</v>
      </c>
      <c r="B331" s="15" t="s">
        <v>762</v>
      </c>
      <c r="C331" s="16">
        <v>0.4375</v>
      </c>
      <c r="D331" s="15" t="s">
        <v>60</v>
      </c>
      <c r="E331" s="15" t="s">
        <v>92</v>
      </c>
      <c r="F331" s="15" t="s">
        <v>113</v>
      </c>
      <c r="G331" s="277"/>
      <c r="H331" s="10"/>
      <c r="I331" s="11"/>
      <c r="J331" s="11"/>
      <c r="K331" s="11"/>
      <c r="L331" s="11"/>
      <c r="M331" s="11"/>
      <c r="N331" s="11"/>
      <c r="O331" s="12"/>
      <c r="P331" s="11"/>
      <c r="Q331" s="13"/>
      <c r="R331" s="14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</row>
    <row r="332" spans="1:92" ht="15" customHeight="1" x14ac:dyDescent="0.3">
      <c r="A332" s="19" t="s">
        <v>54</v>
      </c>
      <c r="B332" s="19" t="s">
        <v>765</v>
      </c>
      <c r="C332" s="20">
        <v>0.63194444444444442</v>
      </c>
      <c r="D332" s="19" t="s">
        <v>56</v>
      </c>
      <c r="E332" s="19" t="s">
        <v>107</v>
      </c>
      <c r="F332" s="19" t="s">
        <v>867</v>
      </c>
      <c r="G332" s="277"/>
      <c r="H332" s="10"/>
      <c r="I332" s="11"/>
      <c r="J332" s="11"/>
      <c r="K332" s="11"/>
      <c r="L332" s="11"/>
      <c r="M332" s="11"/>
      <c r="N332" s="11"/>
      <c r="O332" s="12"/>
      <c r="P332" s="11"/>
      <c r="Q332" s="13"/>
      <c r="R332" s="14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</row>
    <row r="333" spans="1:92" ht="15" customHeight="1" x14ac:dyDescent="0.3">
      <c r="A333" s="15" t="s">
        <v>54</v>
      </c>
      <c r="B333" s="15" t="s">
        <v>765</v>
      </c>
      <c r="C333" s="16">
        <v>0.63194444444444442</v>
      </c>
      <c r="D333" s="15" t="s">
        <v>58</v>
      </c>
      <c r="E333" s="15" t="s">
        <v>106</v>
      </c>
      <c r="F333" s="15" t="s">
        <v>771</v>
      </c>
      <c r="G333" s="277"/>
      <c r="H333" s="10"/>
      <c r="I333" s="11"/>
      <c r="J333" s="11"/>
      <c r="K333" s="11"/>
      <c r="L333" s="11"/>
      <c r="M333" s="11"/>
      <c r="N333" s="11"/>
      <c r="O333" s="12"/>
      <c r="P333" s="11"/>
      <c r="Q333" s="13"/>
      <c r="R333" s="14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</row>
    <row r="334" spans="1:92" ht="15" customHeight="1" x14ac:dyDescent="0.3">
      <c r="A334" s="15" t="s">
        <v>54</v>
      </c>
      <c r="B334" s="15" t="s">
        <v>765</v>
      </c>
      <c r="C334" s="16">
        <v>0.63194444444444442</v>
      </c>
      <c r="D334" s="15" t="s">
        <v>60</v>
      </c>
      <c r="E334" s="15" t="s">
        <v>106</v>
      </c>
      <c r="F334" s="15" t="s">
        <v>113</v>
      </c>
      <c r="G334" s="277"/>
      <c r="H334" s="10"/>
      <c r="I334" s="11"/>
      <c r="J334" s="11"/>
      <c r="K334" s="11"/>
      <c r="L334" s="11"/>
      <c r="M334" s="11"/>
      <c r="N334" s="11"/>
      <c r="O334" s="12"/>
      <c r="P334" s="11"/>
      <c r="Q334" s="13"/>
      <c r="R334" s="14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</row>
    <row r="335" spans="1:92" ht="15" customHeight="1" x14ac:dyDescent="0.3">
      <c r="A335" s="19" t="s">
        <v>54</v>
      </c>
      <c r="B335" s="19" t="s">
        <v>766</v>
      </c>
      <c r="C335" s="20">
        <v>0.55902777777777779</v>
      </c>
      <c r="D335" s="19" t="s">
        <v>56</v>
      </c>
      <c r="E335" s="19" t="s">
        <v>107</v>
      </c>
      <c r="F335" s="19" t="s">
        <v>867</v>
      </c>
      <c r="G335" s="277"/>
      <c r="H335" s="10"/>
      <c r="I335" s="11"/>
      <c r="J335" s="11"/>
      <c r="K335" s="11"/>
      <c r="L335" s="11"/>
      <c r="M335" s="11"/>
      <c r="N335" s="11"/>
      <c r="O335" s="12"/>
      <c r="P335" s="11"/>
      <c r="Q335" s="13"/>
      <c r="R335" s="14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</row>
    <row r="336" spans="1:92" ht="15" customHeight="1" x14ac:dyDescent="0.3">
      <c r="A336" s="15" t="s">
        <v>54</v>
      </c>
      <c r="B336" s="15" t="s">
        <v>766</v>
      </c>
      <c r="C336" s="16">
        <v>0.55902777777777779</v>
      </c>
      <c r="D336" s="15" t="s">
        <v>58</v>
      </c>
      <c r="E336" s="15" t="s">
        <v>106</v>
      </c>
      <c r="F336" s="15" t="s">
        <v>771</v>
      </c>
      <c r="G336" s="277"/>
      <c r="H336" s="10"/>
      <c r="I336" s="11"/>
      <c r="J336" s="11"/>
      <c r="K336" s="11"/>
      <c r="L336" s="11"/>
      <c r="M336" s="11"/>
      <c r="N336" s="11"/>
      <c r="O336" s="12"/>
      <c r="P336" s="11"/>
      <c r="Q336" s="13"/>
      <c r="R336" s="14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</row>
    <row r="337" spans="1:92" ht="15" customHeight="1" x14ac:dyDescent="0.3">
      <c r="A337" s="15" t="s">
        <v>54</v>
      </c>
      <c r="B337" s="15" t="s">
        <v>766</v>
      </c>
      <c r="C337" s="16">
        <v>0.55902777777777779</v>
      </c>
      <c r="D337" s="15" t="s">
        <v>60</v>
      </c>
      <c r="E337" s="15" t="s">
        <v>106</v>
      </c>
      <c r="F337" s="15" t="s">
        <v>113</v>
      </c>
      <c r="G337" s="277"/>
      <c r="H337" s="10"/>
      <c r="I337" s="11"/>
      <c r="J337" s="11"/>
      <c r="K337" s="11"/>
      <c r="L337" s="11"/>
      <c r="M337" s="11"/>
      <c r="N337" s="11"/>
      <c r="O337" s="12"/>
      <c r="P337" s="11"/>
      <c r="Q337" s="13"/>
      <c r="R337" s="14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</row>
    <row r="338" spans="1:92" ht="15" customHeight="1" x14ac:dyDescent="0.3">
      <c r="A338" s="19" t="s">
        <v>54</v>
      </c>
      <c r="B338" s="19" t="s">
        <v>760</v>
      </c>
      <c r="C338" s="20">
        <v>0.50694444444444442</v>
      </c>
      <c r="D338" s="19" t="s">
        <v>56</v>
      </c>
      <c r="E338" s="19" t="s">
        <v>93</v>
      </c>
      <c r="F338" s="19" t="s">
        <v>867</v>
      </c>
      <c r="G338" s="277"/>
      <c r="H338" s="10"/>
      <c r="I338" s="11"/>
      <c r="J338" s="11"/>
      <c r="K338" s="11"/>
      <c r="L338" s="11"/>
      <c r="M338" s="11"/>
      <c r="N338" s="11"/>
      <c r="O338" s="12"/>
      <c r="P338" s="11"/>
      <c r="Q338" s="13"/>
      <c r="R338" s="14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</row>
    <row r="339" spans="1:92" ht="15" customHeight="1" x14ac:dyDescent="0.3">
      <c r="A339" s="15" t="s">
        <v>54</v>
      </c>
      <c r="B339" s="15" t="s">
        <v>760</v>
      </c>
      <c r="C339" s="16">
        <v>0.50694444444444442</v>
      </c>
      <c r="D339" s="15" t="s">
        <v>58</v>
      </c>
      <c r="E339" s="15" t="s">
        <v>94</v>
      </c>
      <c r="F339" s="15" t="s">
        <v>771</v>
      </c>
      <c r="G339" s="277"/>
      <c r="H339" s="10"/>
      <c r="I339" s="11"/>
      <c r="J339" s="11"/>
      <c r="K339" s="11"/>
      <c r="L339" s="11"/>
      <c r="M339" s="11"/>
      <c r="N339" s="11"/>
      <c r="O339" s="12"/>
      <c r="P339" s="11"/>
      <c r="Q339" s="13"/>
      <c r="R339" s="14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</row>
    <row r="340" spans="1:92" ht="15" customHeight="1" x14ac:dyDescent="0.3">
      <c r="A340" s="15" t="s">
        <v>54</v>
      </c>
      <c r="B340" s="15" t="s">
        <v>760</v>
      </c>
      <c r="C340" s="16">
        <v>0.50694444444444442</v>
      </c>
      <c r="D340" s="15" t="s">
        <v>60</v>
      </c>
      <c r="E340" s="15" t="s">
        <v>94</v>
      </c>
      <c r="F340" s="15" t="s">
        <v>113</v>
      </c>
      <c r="G340" s="277"/>
      <c r="H340" s="10"/>
      <c r="I340" s="11"/>
      <c r="J340" s="11"/>
      <c r="K340" s="11"/>
      <c r="L340" s="11"/>
      <c r="M340" s="11"/>
      <c r="N340" s="11"/>
      <c r="O340" s="12"/>
      <c r="P340" s="11"/>
      <c r="Q340" s="13"/>
      <c r="R340" s="14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</row>
    <row r="341" spans="1:92" ht="15" customHeight="1" x14ac:dyDescent="0.3">
      <c r="A341" s="19" t="s">
        <v>54</v>
      </c>
      <c r="B341" s="19" t="s">
        <v>768</v>
      </c>
      <c r="C341" s="20">
        <v>0.95833333333333337</v>
      </c>
      <c r="D341" s="19" t="s">
        <v>56</v>
      </c>
      <c r="E341" s="19" t="s">
        <v>51</v>
      </c>
      <c r="F341" s="19" t="s">
        <v>771</v>
      </c>
      <c r="G341" s="277"/>
      <c r="H341" s="10"/>
      <c r="I341" s="11"/>
      <c r="J341" s="11"/>
      <c r="K341" s="11"/>
      <c r="L341" s="11"/>
      <c r="M341" s="11"/>
      <c r="N341" s="11"/>
      <c r="O341" s="12"/>
      <c r="P341" s="11"/>
      <c r="Q341" s="13"/>
      <c r="R341" s="14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</row>
    <row r="342" spans="1:92" ht="15" customHeight="1" x14ac:dyDescent="0.3">
      <c r="A342" s="15" t="s">
        <v>54</v>
      </c>
      <c r="B342" s="15" t="s">
        <v>768</v>
      </c>
      <c r="C342" s="16">
        <v>0.95833333333333337</v>
      </c>
      <c r="D342" s="15" t="s">
        <v>58</v>
      </c>
      <c r="E342" s="15" t="s">
        <v>53</v>
      </c>
      <c r="F342" s="15" t="s">
        <v>823</v>
      </c>
      <c r="G342" s="277"/>
      <c r="H342" s="10"/>
      <c r="I342" s="11"/>
      <c r="J342" s="11"/>
      <c r="K342" s="11"/>
      <c r="L342" s="11"/>
      <c r="M342" s="11"/>
      <c r="N342" s="11"/>
      <c r="O342" s="12"/>
      <c r="P342" s="11"/>
      <c r="Q342" s="13"/>
      <c r="R342" s="14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</row>
    <row r="343" spans="1:92" ht="15" customHeight="1" x14ac:dyDescent="0.3">
      <c r="A343" s="15" t="s">
        <v>54</v>
      </c>
      <c r="B343" s="15" t="s">
        <v>768</v>
      </c>
      <c r="C343" s="16">
        <v>0.95833333333333337</v>
      </c>
      <c r="D343" s="15" t="s">
        <v>60</v>
      </c>
      <c r="E343" s="15" t="s">
        <v>53</v>
      </c>
      <c r="F343" s="15" t="s">
        <v>114</v>
      </c>
      <c r="G343" s="277"/>
      <c r="H343" s="10"/>
      <c r="I343" s="11"/>
      <c r="J343" s="11"/>
      <c r="K343" s="11"/>
      <c r="L343" s="11"/>
      <c r="M343" s="11"/>
      <c r="N343" s="11"/>
      <c r="O343" s="12"/>
      <c r="P343" s="11"/>
      <c r="Q343" s="13"/>
      <c r="R343" s="14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</row>
    <row r="344" spans="1:92" ht="15" customHeight="1" x14ac:dyDescent="0.3">
      <c r="A344" s="19" t="s">
        <v>54</v>
      </c>
      <c r="B344" s="19" t="s">
        <v>772</v>
      </c>
      <c r="C344" s="20">
        <v>0.81944444444444453</v>
      </c>
      <c r="D344" s="19" t="s">
        <v>56</v>
      </c>
      <c r="E344" s="19" t="s">
        <v>121</v>
      </c>
      <c r="F344" s="19" t="s">
        <v>771</v>
      </c>
      <c r="G344" s="277"/>
      <c r="H344" s="10"/>
      <c r="I344" s="11"/>
      <c r="J344" s="11"/>
      <c r="K344" s="11"/>
      <c r="L344" s="11"/>
      <c r="M344" s="11"/>
      <c r="N344" s="11"/>
      <c r="O344" s="12"/>
      <c r="P344" s="11"/>
      <c r="Q344" s="13"/>
      <c r="R344" s="14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</row>
    <row r="345" spans="1:92" ht="15" customHeight="1" x14ac:dyDescent="0.3">
      <c r="A345" s="15" t="s">
        <v>54</v>
      </c>
      <c r="B345" s="15" t="s">
        <v>772</v>
      </c>
      <c r="C345" s="16">
        <v>0.81944444444444453</v>
      </c>
      <c r="D345" s="15" t="s">
        <v>58</v>
      </c>
      <c r="E345" s="15" t="s">
        <v>339</v>
      </c>
      <c r="F345" s="15" t="s">
        <v>823</v>
      </c>
      <c r="G345" s="277"/>
      <c r="H345" s="10"/>
      <c r="I345" s="11"/>
      <c r="J345" s="11"/>
      <c r="K345" s="11"/>
      <c r="L345" s="11"/>
      <c r="M345" s="11"/>
      <c r="N345" s="11"/>
      <c r="O345" s="12"/>
      <c r="P345" s="11"/>
      <c r="Q345" s="13"/>
      <c r="R345" s="14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</row>
    <row r="346" spans="1:92" ht="15" customHeight="1" x14ac:dyDescent="0.3">
      <c r="A346" s="15" t="s">
        <v>54</v>
      </c>
      <c r="B346" s="15" t="s">
        <v>772</v>
      </c>
      <c r="C346" s="16">
        <v>0.81944444444444453</v>
      </c>
      <c r="D346" s="15" t="s">
        <v>60</v>
      </c>
      <c r="E346" s="15" t="s">
        <v>339</v>
      </c>
      <c r="F346" s="15" t="s">
        <v>114</v>
      </c>
      <c r="G346" s="277"/>
      <c r="H346" s="10"/>
      <c r="I346" s="11"/>
      <c r="J346" s="11"/>
      <c r="K346" s="11"/>
      <c r="L346" s="11"/>
      <c r="M346" s="11"/>
      <c r="N346" s="11"/>
      <c r="O346" s="12"/>
      <c r="P346" s="11"/>
      <c r="Q346" s="13"/>
      <c r="R346" s="14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</row>
    <row r="347" spans="1:92" ht="15" customHeight="1" x14ac:dyDescent="0.3">
      <c r="A347" s="19" t="s">
        <v>54</v>
      </c>
      <c r="B347" s="19" t="s">
        <v>767</v>
      </c>
      <c r="C347" s="20">
        <v>0.69791666666666663</v>
      </c>
      <c r="D347" s="19" t="s">
        <v>56</v>
      </c>
      <c r="E347" s="19" t="s">
        <v>95</v>
      </c>
      <c r="F347" s="19" t="s">
        <v>771</v>
      </c>
      <c r="G347" s="277"/>
      <c r="H347" s="10"/>
      <c r="I347" s="11"/>
      <c r="J347" s="11"/>
      <c r="K347" s="11"/>
      <c r="L347" s="11"/>
      <c r="M347" s="11"/>
      <c r="N347" s="11"/>
      <c r="O347" s="12"/>
      <c r="P347" s="11"/>
      <c r="Q347" s="13"/>
      <c r="R347" s="14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</row>
    <row r="348" spans="1:92" ht="15" customHeight="1" x14ac:dyDescent="0.3">
      <c r="A348" s="15" t="s">
        <v>54</v>
      </c>
      <c r="B348" s="15" t="s">
        <v>767</v>
      </c>
      <c r="C348" s="16">
        <v>0.69791666666666663</v>
      </c>
      <c r="D348" s="15" t="s">
        <v>58</v>
      </c>
      <c r="E348" s="15" t="s">
        <v>96</v>
      </c>
      <c r="F348" s="15" t="s">
        <v>823</v>
      </c>
      <c r="G348" s="277"/>
      <c r="H348" s="10"/>
      <c r="I348" s="11"/>
      <c r="J348" s="11"/>
      <c r="K348" s="11"/>
      <c r="L348" s="11"/>
      <c r="M348" s="11"/>
      <c r="N348" s="11"/>
      <c r="O348" s="12"/>
      <c r="P348" s="11"/>
      <c r="Q348" s="13"/>
      <c r="R348" s="14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</row>
    <row r="349" spans="1:92" ht="15" customHeight="1" x14ac:dyDescent="0.3">
      <c r="A349" s="15" t="s">
        <v>54</v>
      </c>
      <c r="B349" s="15" t="s">
        <v>767</v>
      </c>
      <c r="C349" s="16">
        <v>0.69791666666666663</v>
      </c>
      <c r="D349" s="15" t="s">
        <v>60</v>
      </c>
      <c r="E349" s="15" t="s">
        <v>96</v>
      </c>
      <c r="F349" s="15" t="s">
        <v>114</v>
      </c>
      <c r="G349" s="277"/>
      <c r="H349" s="10"/>
      <c r="I349" s="11"/>
      <c r="J349" s="11"/>
      <c r="K349" s="11"/>
      <c r="L349" s="11"/>
      <c r="M349" s="11"/>
      <c r="N349" s="11"/>
      <c r="O349" s="12"/>
      <c r="P349" s="11"/>
      <c r="Q349" s="13"/>
      <c r="R349" s="14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</row>
    <row r="350" spans="1:92" ht="15" customHeight="1" x14ac:dyDescent="0.3">
      <c r="A350" s="17" t="s">
        <v>35</v>
      </c>
      <c r="B350" s="17" t="s">
        <v>784</v>
      </c>
      <c r="C350" s="18">
        <v>0.82986111111111116</v>
      </c>
      <c r="D350" s="17" t="s">
        <v>42</v>
      </c>
      <c r="E350" s="17" t="s">
        <v>38</v>
      </c>
      <c r="F350" s="17" t="s">
        <v>868</v>
      </c>
      <c r="G350" s="277"/>
      <c r="H350" s="10"/>
      <c r="I350" s="11"/>
      <c r="J350" s="11"/>
      <c r="K350" s="11"/>
      <c r="L350" s="11"/>
      <c r="M350" s="11"/>
      <c r="N350" s="11"/>
      <c r="O350" s="12"/>
      <c r="P350" s="11"/>
      <c r="Q350" s="13"/>
      <c r="R350" s="14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</row>
    <row r="351" spans="1:92" ht="15" customHeight="1" x14ac:dyDescent="0.3">
      <c r="A351" s="19" t="s">
        <v>35</v>
      </c>
      <c r="B351" s="19" t="s">
        <v>785</v>
      </c>
      <c r="C351" s="20">
        <v>0.98263888888888884</v>
      </c>
      <c r="D351" s="19" t="s">
        <v>42</v>
      </c>
      <c r="E351" s="19" t="s">
        <v>45</v>
      </c>
      <c r="F351" s="19" t="s">
        <v>868</v>
      </c>
      <c r="G351" s="277"/>
      <c r="H351" s="10"/>
      <c r="I351" s="11"/>
      <c r="J351" s="11"/>
      <c r="K351" s="11"/>
      <c r="L351" s="11"/>
      <c r="M351" s="11"/>
      <c r="N351" s="11"/>
      <c r="O351" s="12"/>
      <c r="P351" s="11"/>
      <c r="Q351" s="13"/>
      <c r="R351" s="14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</row>
    <row r="352" spans="1:92" ht="15" customHeight="1" x14ac:dyDescent="0.3">
      <c r="A352" s="19" t="s">
        <v>35</v>
      </c>
      <c r="B352" s="19" t="s">
        <v>792</v>
      </c>
      <c r="C352" s="20">
        <v>0.62847222222222221</v>
      </c>
      <c r="D352" s="19" t="s">
        <v>42</v>
      </c>
      <c r="E352" s="19" t="s">
        <v>45</v>
      </c>
      <c r="F352" s="19" t="s">
        <v>868</v>
      </c>
      <c r="G352" s="277"/>
      <c r="H352" s="10"/>
      <c r="I352" s="11"/>
      <c r="J352" s="11"/>
      <c r="K352" s="11"/>
      <c r="L352" s="11"/>
      <c r="M352" s="11"/>
      <c r="N352" s="11"/>
      <c r="O352" s="12"/>
      <c r="P352" s="11"/>
      <c r="Q352" s="13"/>
      <c r="R352" s="14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</row>
    <row r="353" spans="1:92" ht="15" customHeight="1" x14ac:dyDescent="0.3">
      <c r="A353" s="19" t="s">
        <v>35</v>
      </c>
      <c r="B353" s="19" t="s">
        <v>782</v>
      </c>
      <c r="C353" s="20">
        <v>0.44444444444444442</v>
      </c>
      <c r="D353" s="19" t="s">
        <v>42</v>
      </c>
      <c r="E353" s="19" t="s">
        <v>45</v>
      </c>
      <c r="F353" s="19" t="s">
        <v>843</v>
      </c>
      <c r="G353" s="277"/>
      <c r="H353" s="10"/>
      <c r="I353" s="11"/>
      <c r="J353" s="11"/>
      <c r="K353" s="11"/>
      <c r="L353" s="11"/>
      <c r="M353" s="11"/>
      <c r="N353" s="11"/>
      <c r="O353" s="12"/>
      <c r="P353" s="11"/>
      <c r="Q353" s="13"/>
      <c r="R353" s="14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</row>
    <row r="354" spans="1:92" ht="15" customHeight="1" x14ac:dyDescent="0.3">
      <c r="A354" s="19" t="s">
        <v>35</v>
      </c>
      <c r="B354" s="19" t="s">
        <v>806</v>
      </c>
      <c r="C354" s="20">
        <v>0.69791666666666663</v>
      </c>
      <c r="D354" s="19" t="s">
        <v>42</v>
      </c>
      <c r="E354" s="19" t="s">
        <v>45</v>
      </c>
      <c r="F354" s="19" t="s">
        <v>843</v>
      </c>
      <c r="G354" s="277"/>
      <c r="H354" s="10"/>
      <c r="I354" s="11"/>
      <c r="J354" s="11"/>
      <c r="K354" s="11"/>
      <c r="L354" s="11"/>
      <c r="M354" s="11"/>
      <c r="N354" s="11"/>
      <c r="O354" s="12"/>
      <c r="P354" s="11"/>
      <c r="Q354" s="13"/>
      <c r="R354" s="14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</row>
    <row r="355" spans="1:92" ht="15" customHeight="1" x14ac:dyDescent="0.3">
      <c r="A355" s="19" t="s">
        <v>35</v>
      </c>
      <c r="B355" s="19" t="s">
        <v>786</v>
      </c>
      <c r="C355" s="20">
        <v>0.88888888888888884</v>
      </c>
      <c r="D355" s="19" t="s">
        <v>42</v>
      </c>
      <c r="E355" s="19" t="s">
        <v>51</v>
      </c>
      <c r="F355" s="19" t="s">
        <v>836</v>
      </c>
      <c r="G355" s="277"/>
      <c r="H355" s="10"/>
      <c r="I355" s="11"/>
      <c r="J355" s="11"/>
      <c r="K355" s="11"/>
      <c r="L355" s="11"/>
      <c r="M355" s="11"/>
      <c r="N355" s="11"/>
      <c r="O355" s="12"/>
      <c r="P355" s="11"/>
      <c r="Q355" s="13"/>
      <c r="R355" s="14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</row>
    <row r="356" spans="1:92" ht="15" customHeight="1" x14ac:dyDescent="0.3">
      <c r="A356" s="19" t="s">
        <v>35</v>
      </c>
      <c r="B356" s="19" t="s">
        <v>788</v>
      </c>
      <c r="C356" s="20">
        <v>0.62847222222222221</v>
      </c>
      <c r="D356" s="19" t="s">
        <v>42</v>
      </c>
      <c r="E356" s="19" t="s">
        <v>51</v>
      </c>
      <c r="F356" s="19" t="s">
        <v>836</v>
      </c>
      <c r="G356" s="277"/>
      <c r="H356" s="10"/>
      <c r="I356" s="11"/>
      <c r="J356" s="11"/>
      <c r="K356" s="11"/>
      <c r="L356" s="11"/>
      <c r="M356" s="11"/>
      <c r="N356" s="11"/>
      <c r="O356" s="12"/>
      <c r="P356" s="11"/>
      <c r="Q356" s="13"/>
      <c r="R356" s="14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</row>
    <row r="357" spans="1:92" ht="15" customHeight="1" x14ac:dyDescent="0.3">
      <c r="A357" s="19" t="s">
        <v>35</v>
      </c>
      <c r="B357" s="19" t="s">
        <v>789</v>
      </c>
      <c r="C357" s="20">
        <v>0.94444444444444453</v>
      </c>
      <c r="D357" s="19" t="s">
        <v>42</v>
      </c>
      <c r="E357" s="19" t="s">
        <v>51</v>
      </c>
      <c r="F357" s="19" t="s">
        <v>836</v>
      </c>
      <c r="G357" s="277"/>
      <c r="H357" s="10"/>
      <c r="I357" s="11"/>
      <c r="J357" s="11"/>
      <c r="K357" s="11"/>
      <c r="L357" s="11"/>
      <c r="M357" s="11"/>
      <c r="N357" s="11"/>
      <c r="O357" s="12"/>
      <c r="P357" s="11"/>
      <c r="Q357" s="13"/>
      <c r="R357" s="14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</row>
    <row r="358" spans="1:92" ht="15" customHeight="1" x14ac:dyDescent="0.3">
      <c r="A358" s="17" t="s">
        <v>285</v>
      </c>
      <c r="B358" s="17" t="s">
        <v>824</v>
      </c>
      <c r="C358" s="18">
        <v>0.1736111111111111</v>
      </c>
      <c r="D358" s="17" t="s">
        <v>81</v>
      </c>
      <c r="E358" s="17" t="s">
        <v>251</v>
      </c>
      <c r="F358" s="17" t="s">
        <v>846</v>
      </c>
      <c r="G358" s="277"/>
      <c r="H358" s="10"/>
      <c r="I358" s="11"/>
      <c r="J358" s="11"/>
      <c r="K358" s="11"/>
      <c r="L358" s="11"/>
      <c r="M358" s="11"/>
      <c r="N358" s="11"/>
      <c r="O358" s="12"/>
      <c r="P358" s="11"/>
      <c r="Q358" s="13"/>
      <c r="R358" s="14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</row>
    <row r="359" spans="1:92" ht="15" customHeight="1" x14ac:dyDescent="0.3">
      <c r="A359" s="19" t="s">
        <v>285</v>
      </c>
      <c r="B359" s="19" t="s">
        <v>869</v>
      </c>
      <c r="C359" s="20">
        <v>0.13194444444444439</v>
      </c>
      <c r="D359" s="19" t="s">
        <v>81</v>
      </c>
      <c r="E359" s="19" t="s">
        <v>51</v>
      </c>
      <c r="F359" s="19" t="s">
        <v>846</v>
      </c>
      <c r="G359" s="277"/>
      <c r="H359" s="10"/>
      <c r="I359" s="11"/>
      <c r="J359" s="11"/>
      <c r="K359" s="11"/>
      <c r="L359" s="11"/>
      <c r="M359" s="11"/>
      <c r="N359" s="11"/>
      <c r="O359" s="12"/>
      <c r="P359" s="11"/>
      <c r="Q359" s="13"/>
      <c r="R359" s="14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</row>
    <row r="360" spans="1:92" ht="15" customHeight="1" x14ac:dyDescent="0.3">
      <c r="A360" s="17" t="s">
        <v>63</v>
      </c>
      <c r="B360" s="17" t="s">
        <v>795</v>
      </c>
      <c r="C360" s="18">
        <v>0.98263888888888884</v>
      </c>
      <c r="D360" s="17" t="s">
        <v>48</v>
      </c>
      <c r="E360" s="17" t="s">
        <v>38</v>
      </c>
      <c r="F360" s="17" t="s">
        <v>834</v>
      </c>
      <c r="G360" s="277"/>
      <c r="H360" s="10"/>
      <c r="I360" s="11"/>
      <c r="J360" s="11"/>
      <c r="K360" s="11"/>
      <c r="L360" s="11"/>
      <c r="M360" s="11"/>
      <c r="N360" s="11"/>
      <c r="O360" s="12"/>
      <c r="P360" s="11"/>
      <c r="Q360" s="13"/>
      <c r="R360" s="14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</row>
    <row r="361" spans="1:92" ht="15" customHeight="1" x14ac:dyDescent="0.3">
      <c r="A361" s="19" t="s">
        <v>63</v>
      </c>
      <c r="B361" s="19" t="s">
        <v>793</v>
      </c>
      <c r="C361" s="20">
        <v>0.72916666666666663</v>
      </c>
      <c r="D361" s="19" t="s">
        <v>48</v>
      </c>
      <c r="E361" s="19" t="s">
        <v>45</v>
      </c>
      <c r="F361" s="19" t="s">
        <v>103</v>
      </c>
      <c r="G361" s="277"/>
      <c r="H361" s="10"/>
      <c r="I361" s="11"/>
      <c r="J361" s="11"/>
      <c r="K361" s="11"/>
      <c r="L361" s="11"/>
      <c r="M361" s="11"/>
      <c r="N361" s="11"/>
      <c r="O361" s="12"/>
      <c r="P361" s="11"/>
      <c r="Q361" s="13"/>
      <c r="R361" s="14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</row>
    <row r="362" spans="1:92" ht="15" customHeight="1" x14ac:dyDescent="0.3">
      <c r="A362" s="63" t="s">
        <v>63</v>
      </c>
      <c r="B362" s="63" t="s">
        <v>796</v>
      </c>
      <c r="C362" s="64">
        <v>0.33333333333333331</v>
      </c>
      <c r="D362" s="63" t="s">
        <v>48</v>
      </c>
      <c r="E362" s="63" t="s">
        <v>45</v>
      </c>
      <c r="F362" s="63" t="s">
        <v>821</v>
      </c>
      <c r="G362" s="278"/>
      <c r="H362" s="58"/>
      <c r="I362" s="59"/>
      <c r="J362" s="59"/>
      <c r="K362" s="59"/>
      <c r="L362" s="59"/>
      <c r="M362" s="59"/>
      <c r="N362" s="59"/>
      <c r="O362" s="60"/>
      <c r="P362" s="59"/>
      <c r="Q362" s="61"/>
      <c r="R362" s="62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</row>
    <row r="363" spans="1:92" ht="14.4" customHeight="1" x14ac:dyDescent="0.3">
      <c r="A363" s="279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1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</row>
  </sheetData>
  <mergeCells count="37">
    <mergeCell ref="O1:Q1"/>
    <mergeCell ref="A54:R54"/>
    <mergeCell ref="G263:G311"/>
    <mergeCell ref="A363:R363"/>
    <mergeCell ref="G57:G104"/>
    <mergeCell ref="G213:G259"/>
    <mergeCell ref="A158:R158"/>
    <mergeCell ref="H55:R55"/>
    <mergeCell ref="H4:R4"/>
    <mergeCell ref="A105:R105"/>
    <mergeCell ref="A55:F55"/>
    <mergeCell ref="H211:R211"/>
    <mergeCell ref="A2:F2"/>
    <mergeCell ref="A3:R3"/>
    <mergeCell ref="A210:R210"/>
    <mergeCell ref="G2:J2"/>
    <mergeCell ref="A312:R312"/>
    <mergeCell ref="A4:F4"/>
    <mergeCell ref="G6:G53"/>
    <mergeCell ref="A261:F261"/>
    <mergeCell ref="H106:R106"/>
    <mergeCell ref="G315:G362"/>
    <mergeCell ref="A1:C1"/>
    <mergeCell ref="G1:H1"/>
    <mergeCell ref="A260:R260"/>
    <mergeCell ref="H313:R313"/>
    <mergeCell ref="J1:M1"/>
    <mergeCell ref="A211:F211"/>
    <mergeCell ref="K2:R2"/>
    <mergeCell ref="G108:G157"/>
    <mergeCell ref="H159:R159"/>
    <mergeCell ref="D1:F1"/>
    <mergeCell ref="G161:G209"/>
    <mergeCell ref="A313:F313"/>
    <mergeCell ref="H261:R261"/>
    <mergeCell ref="A106:F106"/>
    <mergeCell ref="A159:F15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780</v>
      </c>
      <c r="D2" s="98">
        <v>0.72569444444444453</v>
      </c>
      <c r="E2" s="97" t="s">
        <v>752</v>
      </c>
      <c r="F2" s="97" t="s">
        <v>158</v>
      </c>
      <c r="G2" s="99">
        <v>0.68720000000000003</v>
      </c>
      <c r="H2" s="100">
        <v>179</v>
      </c>
      <c r="I2" s="100">
        <v>123</v>
      </c>
      <c r="J2" s="100">
        <v>0</v>
      </c>
      <c r="K2" s="96">
        <v>45983</v>
      </c>
      <c r="L2" s="100">
        <v>0</v>
      </c>
      <c r="M2" s="100">
        <v>11</v>
      </c>
      <c r="N2" s="100">
        <v>64</v>
      </c>
      <c r="O2" s="97" t="s">
        <v>160</v>
      </c>
      <c r="P2" s="101"/>
      <c r="Q2" s="101"/>
      <c r="R2" s="101"/>
      <c r="S2" s="101"/>
      <c r="T2" s="101"/>
      <c r="U2" s="101"/>
      <c r="V2" s="101"/>
      <c r="W2" s="100" t="s">
        <v>125</v>
      </c>
      <c r="X2" s="100" t="s">
        <v>534</v>
      </c>
      <c r="Y2" s="100" t="s">
        <v>482</v>
      </c>
      <c r="Z2" s="100" t="s">
        <v>249</v>
      </c>
      <c r="AA2" s="100" t="s">
        <v>870</v>
      </c>
      <c r="AB2" s="100" t="s">
        <v>458</v>
      </c>
      <c r="AC2" s="100" t="s">
        <v>871</v>
      </c>
      <c r="AD2" s="100" t="s">
        <v>441</v>
      </c>
      <c r="AE2" s="100" t="s">
        <v>872</v>
      </c>
      <c r="AF2" s="101"/>
      <c r="AG2" s="101"/>
      <c r="AH2" s="101"/>
      <c r="AI2" s="101"/>
    </row>
    <row r="3" spans="1:35" ht="18" x14ac:dyDescent="0.3">
      <c r="A3" s="102" t="s">
        <v>164</v>
      </c>
      <c r="B3" s="103">
        <v>45986</v>
      </c>
      <c r="C3" s="104" t="s">
        <v>780</v>
      </c>
      <c r="D3" s="105">
        <v>0.71527777777777779</v>
      </c>
      <c r="E3" s="104" t="s">
        <v>752</v>
      </c>
      <c r="F3" s="104" t="s">
        <v>158</v>
      </c>
      <c r="G3" s="106">
        <v>0.75980000000000003</v>
      </c>
      <c r="H3" s="107">
        <v>179</v>
      </c>
      <c r="I3" s="107">
        <v>136</v>
      </c>
      <c r="J3" s="107">
        <v>0</v>
      </c>
      <c r="K3" s="103">
        <v>45983</v>
      </c>
      <c r="L3" s="107">
        <v>0</v>
      </c>
      <c r="M3" s="107">
        <v>6</v>
      </c>
      <c r="N3" s="107">
        <v>45</v>
      </c>
      <c r="O3" s="104" t="s">
        <v>160</v>
      </c>
      <c r="P3" s="108"/>
      <c r="Q3" s="108"/>
      <c r="R3" s="108"/>
      <c r="S3" s="108"/>
      <c r="T3" s="108"/>
      <c r="U3" s="108"/>
      <c r="V3" s="108"/>
      <c r="W3" s="107" t="s">
        <v>238</v>
      </c>
      <c r="X3" s="107" t="s">
        <v>534</v>
      </c>
      <c r="Y3" s="107" t="s">
        <v>873</v>
      </c>
      <c r="Z3" s="107" t="s">
        <v>874</v>
      </c>
      <c r="AA3" s="107" t="s">
        <v>484</v>
      </c>
      <c r="AB3" s="107" t="s">
        <v>458</v>
      </c>
      <c r="AC3" s="107" t="s">
        <v>536</v>
      </c>
      <c r="AD3" s="107" t="s">
        <v>875</v>
      </c>
      <c r="AE3" s="107" t="s">
        <v>720</v>
      </c>
      <c r="AF3" s="108"/>
      <c r="AG3" s="108"/>
      <c r="AH3" s="108"/>
      <c r="AI3" s="108"/>
    </row>
    <row r="4" spans="1:35" ht="18" x14ac:dyDescent="0.3">
      <c r="A4" s="95" t="s">
        <v>232</v>
      </c>
      <c r="B4" s="96">
        <v>45987</v>
      </c>
      <c r="C4" s="97" t="s">
        <v>811</v>
      </c>
      <c r="D4" s="98">
        <v>0.41319444444444442</v>
      </c>
      <c r="E4" s="97" t="s">
        <v>752</v>
      </c>
      <c r="F4" s="97" t="s">
        <v>158</v>
      </c>
      <c r="G4" s="99">
        <v>0.77090000000000003</v>
      </c>
      <c r="H4" s="100">
        <v>179</v>
      </c>
      <c r="I4" s="100">
        <v>138</v>
      </c>
      <c r="J4" s="100">
        <v>0</v>
      </c>
      <c r="K4" s="96">
        <v>45983</v>
      </c>
      <c r="L4" s="100">
        <v>0</v>
      </c>
      <c r="M4" s="100">
        <v>20</v>
      </c>
      <c r="N4" s="100">
        <v>76</v>
      </c>
      <c r="O4" s="97" t="s">
        <v>160</v>
      </c>
      <c r="P4" s="101"/>
      <c r="Q4" s="101"/>
      <c r="R4" s="101"/>
      <c r="S4" s="101"/>
      <c r="T4" s="101"/>
      <c r="U4" s="101"/>
      <c r="V4" s="101"/>
      <c r="W4" s="100" t="s">
        <v>511</v>
      </c>
      <c r="X4" s="100" t="s">
        <v>876</v>
      </c>
      <c r="Y4" s="100" t="s">
        <v>482</v>
      </c>
      <c r="Z4" s="100" t="s">
        <v>877</v>
      </c>
      <c r="AA4" s="101"/>
      <c r="AB4" s="100" t="s">
        <v>181</v>
      </c>
      <c r="AC4" s="100" t="s">
        <v>262</v>
      </c>
      <c r="AD4" s="100" t="s">
        <v>441</v>
      </c>
      <c r="AE4" s="100" t="s">
        <v>878</v>
      </c>
      <c r="AF4" s="101"/>
      <c r="AG4" s="101"/>
      <c r="AH4" s="101"/>
      <c r="AI4" s="101"/>
    </row>
    <row r="5" spans="1:35" ht="18" x14ac:dyDescent="0.3">
      <c r="A5" s="102" t="s">
        <v>232</v>
      </c>
      <c r="B5" s="103">
        <v>45987</v>
      </c>
      <c r="C5" s="104" t="s">
        <v>780</v>
      </c>
      <c r="D5" s="105">
        <v>0.72569444444444453</v>
      </c>
      <c r="E5" s="104" t="s">
        <v>752</v>
      </c>
      <c r="F5" s="104" t="s">
        <v>158</v>
      </c>
      <c r="G5" s="106">
        <v>0.69269999999999998</v>
      </c>
      <c r="H5" s="107">
        <v>179</v>
      </c>
      <c r="I5" s="107">
        <v>124</v>
      </c>
      <c r="J5" s="107">
        <v>0</v>
      </c>
      <c r="K5" s="103">
        <v>45983</v>
      </c>
      <c r="L5" s="107">
        <v>0</v>
      </c>
      <c r="M5" s="107">
        <v>14</v>
      </c>
      <c r="N5" s="107">
        <v>39</v>
      </c>
      <c r="O5" s="104" t="s">
        <v>125</v>
      </c>
      <c r="P5" s="108"/>
      <c r="Q5" s="108"/>
      <c r="R5" s="108"/>
      <c r="S5" s="108"/>
      <c r="T5" s="108"/>
      <c r="U5" s="108"/>
      <c r="V5" s="107" t="s">
        <v>879</v>
      </c>
      <c r="W5" s="107" t="s">
        <v>564</v>
      </c>
      <c r="X5" s="107" t="s">
        <v>880</v>
      </c>
      <c r="Y5" s="107" t="s">
        <v>461</v>
      </c>
      <c r="Z5" s="107" t="s">
        <v>881</v>
      </c>
      <c r="AA5" s="107" t="s">
        <v>243</v>
      </c>
      <c r="AB5" s="107" t="s">
        <v>475</v>
      </c>
      <c r="AC5" s="107" t="s">
        <v>871</v>
      </c>
      <c r="AD5" s="107" t="s">
        <v>708</v>
      </c>
      <c r="AE5" s="107" t="s">
        <v>659</v>
      </c>
      <c r="AF5" s="108"/>
      <c r="AG5" s="108"/>
      <c r="AH5" s="108"/>
      <c r="AI5" s="108"/>
    </row>
    <row r="6" spans="1:35" ht="18" x14ac:dyDescent="0.3">
      <c r="A6" s="95" t="s">
        <v>177</v>
      </c>
      <c r="B6" s="96">
        <v>45988</v>
      </c>
      <c r="C6" s="97" t="s">
        <v>811</v>
      </c>
      <c r="D6" s="98">
        <v>0.41319444444444442</v>
      </c>
      <c r="E6" s="97" t="s">
        <v>752</v>
      </c>
      <c r="F6" s="97" t="s">
        <v>158</v>
      </c>
      <c r="G6" s="99">
        <v>0.63129999999999997</v>
      </c>
      <c r="H6" s="100">
        <v>179</v>
      </c>
      <c r="I6" s="100">
        <v>113</v>
      </c>
      <c r="J6" s="100">
        <v>0</v>
      </c>
      <c r="K6" s="96">
        <v>45984</v>
      </c>
      <c r="L6" s="100">
        <v>1</v>
      </c>
      <c r="M6" s="100">
        <v>9</v>
      </c>
      <c r="N6" s="100">
        <v>46</v>
      </c>
      <c r="O6" s="97" t="s">
        <v>497</v>
      </c>
      <c r="P6" s="101"/>
      <c r="Q6" s="101"/>
      <c r="R6" s="101"/>
      <c r="S6" s="101"/>
      <c r="T6" s="101"/>
      <c r="U6" s="101"/>
      <c r="V6" s="100" t="s">
        <v>882</v>
      </c>
      <c r="W6" s="100" t="s">
        <v>554</v>
      </c>
      <c r="X6" s="100" t="s">
        <v>883</v>
      </c>
      <c r="Y6" s="100" t="s">
        <v>482</v>
      </c>
      <c r="Z6" s="100" t="s">
        <v>249</v>
      </c>
      <c r="AA6" s="100" t="s">
        <v>884</v>
      </c>
      <c r="AB6" s="100" t="s">
        <v>488</v>
      </c>
      <c r="AC6" s="100" t="s">
        <v>168</v>
      </c>
      <c r="AD6" s="100" t="s">
        <v>885</v>
      </c>
      <c r="AE6" s="100" t="s">
        <v>233</v>
      </c>
      <c r="AF6" s="101"/>
      <c r="AG6" s="101"/>
      <c r="AH6" s="101"/>
      <c r="AI6" s="101"/>
    </row>
    <row r="7" spans="1:35" ht="18" x14ac:dyDescent="0.3">
      <c r="A7" s="102" t="s">
        <v>520</v>
      </c>
      <c r="B7" s="103">
        <v>45989</v>
      </c>
      <c r="C7" s="104" t="s">
        <v>811</v>
      </c>
      <c r="D7" s="105">
        <v>0.40625</v>
      </c>
      <c r="E7" s="104" t="s">
        <v>752</v>
      </c>
      <c r="F7" s="104" t="s">
        <v>158</v>
      </c>
      <c r="G7" s="106">
        <v>0.58660000000000001</v>
      </c>
      <c r="H7" s="107">
        <v>179</v>
      </c>
      <c r="I7" s="107">
        <v>105</v>
      </c>
      <c r="J7" s="107">
        <v>0</v>
      </c>
      <c r="K7" s="103">
        <v>45980</v>
      </c>
      <c r="L7" s="107">
        <v>0</v>
      </c>
      <c r="M7" s="107">
        <v>0</v>
      </c>
      <c r="N7" s="107">
        <v>6</v>
      </c>
      <c r="O7" s="104" t="s">
        <v>840</v>
      </c>
      <c r="P7" s="108"/>
      <c r="Q7" s="108"/>
      <c r="R7" s="108"/>
      <c r="S7" s="108"/>
      <c r="T7" s="107" t="s">
        <v>541</v>
      </c>
      <c r="U7" s="107" t="s">
        <v>886</v>
      </c>
      <c r="V7" s="107" t="s">
        <v>887</v>
      </c>
      <c r="W7" s="107" t="s">
        <v>888</v>
      </c>
      <c r="X7" s="107" t="s">
        <v>889</v>
      </c>
      <c r="Y7" s="107" t="s">
        <v>709</v>
      </c>
      <c r="Z7" s="107" t="s">
        <v>700</v>
      </c>
      <c r="AA7" s="107" t="s">
        <v>252</v>
      </c>
      <c r="AB7" s="107" t="s">
        <v>230</v>
      </c>
      <c r="AC7" s="107" t="s">
        <v>651</v>
      </c>
      <c r="AD7" s="107" t="s">
        <v>505</v>
      </c>
      <c r="AE7" s="107" t="s">
        <v>464</v>
      </c>
      <c r="AF7" s="108"/>
      <c r="AG7" s="108"/>
      <c r="AH7" s="108"/>
      <c r="AI7" s="108"/>
    </row>
    <row r="8" spans="1:35" ht="18" x14ac:dyDescent="0.3">
      <c r="A8" s="95" t="s">
        <v>520</v>
      </c>
      <c r="B8" s="96">
        <v>45989</v>
      </c>
      <c r="C8" s="97" t="s">
        <v>780</v>
      </c>
      <c r="D8" s="98">
        <v>0.72569444444444453</v>
      </c>
      <c r="E8" s="97" t="s">
        <v>752</v>
      </c>
      <c r="F8" s="97" t="s">
        <v>158</v>
      </c>
      <c r="G8" s="99">
        <v>0.57540000000000002</v>
      </c>
      <c r="H8" s="100">
        <v>179</v>
      </c>
      <c r="I8" s="100">
        <v>103</v>
      </c>
      <c r="J8" s="100">
        <v>0</v>
      </c>
      <c r="K8" s="96">
        <v>45983</v>
      </c>
      <c r="L8" s="100">
        <v>0</v>
      </c>
      <c r="M8" s="100">
        <v>7</v>
      </c>
      <c r="N8" s="100">
        <v>11</v>
      </c>
      <c r="O8" s="97" t="s">
        <v>840</v>
      </c>
      <c r="P8" s="101"/>
      <c r="Q8" s="101"/>
      <c r="R8" s="101"/>
      <c r="S8" s="100" t="s">
        <v>890</v>
      </c>
      <c r="T8" s="100" t="s">
        <v>891</v>
      </c>
      <c r="U8" s="100" t="s">
        <v>521</v>
      </c>
      <c r="V8" s="100" t="s">
        <v>887</v>
      </c>
      <c r="W8" s="100" t="s">
        <v>892</v>
      </c>
      <c r="X8" s="100" t="s">
        <v>544</v>
      </c>
      <c r="Y8" s="100" t="s">
        <v>486</v>
      </c>
      <c r="Z8" s="100" t="s">
        <v>893</v>
      </c>
      <c r="AA8" s="100" t="s">
        <v>229</v>
      </c>
      <c r="AB8" s="100" t="s">
        <v>508</v>
      </c>
      <c r="AC8" s="100" t="s">
        <v>647</v>
      </c>
      <c r="AD8" s="100" t="s">
        <v>894</v>
      </c>
      <c r="AE8" s="100" t="s">
        <v>895</v>
      </c>
      <c r="AF8" s="101"/>
      <c r="AG8" s="101"/>
      <c r="AH8" s="101"/>
      <c r="AI8" s="101"/>
    </row>
    <row r="9" spans="1:35" ht="18" x14ac:dyDescent="0.3">
      <c r="A9" s="102" t="s">
        <v>180</v>
      </c>
      <c r="B9" s="103">
        <v>45990</v>
      </c>
      <c r="C9" s="104" t="s">
        <v>811</v>
      </c>
      <c r="D9" s="105">
        <v>0.41319444444444442</v>
      </c>
      <c r="E9" s="104" t="s">
        <v>752</v>
      </c>
      <c r="F9" s="104" t="s">
        <v>158</v>
      </c>
      <c r="G9" s="106">
        <v>0.68720000000000003</v>
      </c>
      <c r="H9" s="107">
        <v>179</v>
      </c>
      <c r="I9" s="107">
        <v>123</v>
      </c>
      <c r="J9" s="107">
        <v>0</v>
      </c>
      <c r="K9" s="103">
        <v>45983</v>
      </c>
      <c r="L9" s="107">
        <v>0</v>
      </c>
      <c r="M9" s="107">
        <v>2</v>
      </c>
      <c r="N9" s="107">
        <v>25</v>
      </c>
      <c r="O9" s="104" t="s">
        <v>860</v>
      </c>
      <c r="P9" s="108"/>
      <c r="Q9" s="108"/>
      <c r="R9" s="107" t="s">
        <v>896</v>
      </c>
      <c r="S9" s="107" t="s">
        <v>897</v>
      </c>
      <c r="T9" s="108"/>
      <c r="U9" s="107" t="s">
        <v>898</v>
      </c>
      <c r="V9" s="107" t="s">
        <v>491</v>
      </c>
      <c r="W9" s="107" t="s">
        <v>451</v>
      </c>
      <c r="X9" s="107" t="s">
        <v>889</v>
      </c>
      <c r="Y9" s="107" t="s">
        <v>646</v>
      </c>
      <c r="Z9" s="107" t="s">
        <v>567</v>
      </c>
      <c r="AA9" s="107" t="s">
        <v>512</v>
      </c>
      <c r="AB9" s="107" t="s">
        <v>230</v>
      </c>
      <c r="AC9" s="107" t="s">
        <v>536</v>
      </c>
      <c r="AD9" s="107" t="s">
        <v>496</v>
      </c>
      <c r="AE9" s="107" t="s">
        <v>233</v>
      </c>
      <c r="AF9" s="108"/>
      <c r="AG9" s="108"/>
      <c r="AH9" s="108"/>
      <c r="AI9" s="108"/>
    </row>
    <row r="10" spans="1:35" ht="18" x14ac:dyDescent="0.3">
      <c r="A10" s="95" t="s">
        <v>186</v>
      </c>
      <c r="B10" s="96">
        <v>45991</v>
      </c>
      <c r="C10" s="97" t="s">
        <v>811</v>
      </c>
      <c r="D10" s="98">
        <v>0.42708333333333331</v>
      </c>
      <c r="E10" s="97" t="s">
        <v>752</v>
      </c>
      <c r="F10" s="97" t="s">
        <v>158</v>
      </c>
      <c r="G10" s="99">
        <v>0.61450000000000005</v>
      </c>
      <c r="H10" s="100">
        <v>179</v>
      </c>
      <c r="I10" s="100">
        <v>110</v>
      </c>
      <c r="J10" s="100">
        <v>0</v>
      </c>
      <c r="K10" s="96">
        <v>45983</v>
      </c>
      <c r="L10" s="100">
        <v>0</v>
      </c>
      <c r="M10" s="100">
        <v>6</v>
      </c>
      <c r="N10" s="100">
        <v>21</v>
      </c>
      <c r="O10" s="97" t="s">
        <v>345</v>
      </c>
      <c r="P10" s="101"/>
      <c r="Q10" s="101"/>
      <c r="R10" s="101"/>
      <c r="S10" s="101"/>
      <c r="T10" s="101"/>
      <c r="U10" s="100" t="s">
        <v>899</v>
      </c>
      <c r="V10" s="100" t="s">
        <v>900</v>
      </c>
      <c r="W10" s="100" t="s">
        <v>901</v>
      </c>
      <c r="X10" s="100" t="s">
        <v>444</v>
      </c>
      <c r="Y10" s="100" t="s">
        <v>728</v>
      </c>
      <c r="Z10" s="100" t="s">
        <v>487</v>
      </c>
      <c r="AA10" s="100" t="s">
        <v>884</v>
      </c>
      <c r="AB10" s="100" t="s">
        <v>230</v>
      </c>
      <c r="AC10" s="100" t="s">
        <v>514</v>
      </c>
      <c r="AD10" s="100" t="s">
        <v>894</v>
      </c>
      <c r="AE10" s="100" t="s">
        <v>459</v>
      </c>
      <c r="AF10" s="101"/>
      <c r="AG10" s="101"/>
      <c r="AH10" s="101"/>
      <c r="AI10" s="101"/>
    </row>
    <row r="11" spans="1:35" ht="18" x14ac:dyDescent="0.3">
      <c r="A11" s="109" t="s">
        <v>189</v>
      </c>
      <c r="B11" s="110"/>
      <c r="C11" s="111">
        <f>COUNTA(C2:C10)</f>
        <v>9</v>
      </c>
      <c r="D11" s="110"/>
      <c r="E11" s="110"/>
      <c r="F11" s="110"/>
      <c r="G11" s="112">
        <f>AVERAGE(G2:G10)</f>
        <v>0.66728888888888882</v>
      </c>
      <c r="H11" s="113">
        <f>SUM(H2:H10)</f>
        <v>1611</v>
      </c>
      <c r="I11" s="113">
        <f>SUM(I2:I10)</f>
        <v>1075</v>
      </c>
      <c r="J11" s="113">
        <f>SUM(J2:J10)</f>
        <v>0</v>
      </c>
      <c r="K11" s="110"/>
      <c r="L11" s="113">
        <f>SUM(L2:L10)</f>
        <v>1</v>
      </c>
      <c r="M11" s="113">
        <f>SUM(M2:M10)</f>
        <v>75</v>
      </c>
      <c r="N11" s="113">
        <f>SUM(N2:N10)</f>
        <v>333</v>
      </c>
      <c r="O11" s="110"/>
      <c r="P11" s="113">
        <f t="shared" ref="P11:AI11" si="0">SUMPRODUCT(--IFERROR(VALUE(SUBSTITUTE(SUBSTITUTE(SUBSTITUTE(SUBSTITUTE(SUBSTITUTE(SUBSTITUTE(SUBSTITUTE(SUBSTITUTE(SUBSTITUTE(SUBSTITUTE(SUBSTITUTE(SUBSTITUTE(SUBSTITUTE(SUBSTITUTE(SUBSTITUTE(SUBSTITUTE(SUBSTITUTE(SUBSTITUTE(SUBSTITUTE(SUBSTITUTE(P2:P10,"Y",""),"B",""),"M",""),"H",""),"Q",""),"K",""),"V",""),"L",""),"G",""),"S",""),"W",""),"T",""),"X",""),"U",""),"O",""),"I",""),"E",""),"A",""),"P",""),"N","")),0))</f>
        <v>0</v>
      </c>
      <c r="Q11" s="113">
        <f t="shared" si="0"/>
        <v>0</v>
      </c>
      <c r="R11" s="113">
        <f t="shared" si="0"/>
        <v>0</v>
      </c>
      <c r="S11" s="113">
        <f t="shared" si="0"/>
        <v>0</v>
      </c>
      <c r="T11" s="113">
        <f t="shared" si="0"/>
        <v>0</v>
      </c>
      <c r="U11" s="113">
        <f t="shared" si="0"/>
        <v>0</v>
      </c>
      <c r="V11" s="113">
        <f t="shared" si="0"/>
        <v>0</v>
      </c>
      <c r="W11" s="113">
        <f t="shared" si="0"/>
        <v>0</v>
      </c>
      <c r="X11" s="113">
        <f t="shared" si="0"/>
        <v>0</v>
      </c>
      <c r="Y11" s="113">
        <f t="shared" si="0"/>
        <v>0</v>
      </c>
      <c r="Z11" s="113">
        <f t="shared" si="0"/>
        <v>0</v>
      </c>
      <c r="AA11" s="113">
        <f t="shared" si="0"/>
        <v>0</v>
      </c>
      <c r="AB11" s="113">
        <f t="shared" si="0"/>
        <v>0</v>
      </c>
      <c r="AC11" s="113">
        <f t="shared" si="0"/>
        <v>0</v>
      </c>
      <c r="AD11" s="113">
        <f t="shared" si="0"/>
        <v>0</v>
      </c>
      <c r="AE11" s="113">
        <f t="shared" si="0"/>
        <v>0</v>
      </c>
      <c r="AF11" s="113">
        <f t="shared" si="0"/>
        <v>0</v>
      </c>
      <c r="AG11" s="113">
        <f t="shared" si="0"/>
        <v>0</v>
      </c>
      <c r="AH11" s="113">
        <f t="shared" si="0"/>
        <v>0</v>
      </c>
      <c r="AI11" s="113">
        <f t="shared" si="0"/>
        <v>0</v>
      </c>
    </row>
  </sheetData>
  <autoFilter ref="A1:AI10" xr:uid="{00000000-0009-0000-0000-00002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4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25</v>
      </c>
      <c r="C2" s="117" t="s">
        <v>753</v>
      </c>
      <c r="D2" s="116" t="s">
        <v>752</v>
      </c>
      <c r="E2" s="118">
        <v>1.5763888888888891</v>
      </c>
      <c r="F2" s="116" t="s">
        <v>27</v>
      </c>
      <c r="G2" s="119">
        <v>2</v>
      </c>
      <c r="H2" s="120" t="s">
        <v>754</v>
      </c>
    </row>
    <row r="3" spans="1:8" ht="18" x14ac:dyDescent="0.3">
      <c r="A3" s="121">
        <v>45985</v>
      </c>
      <c r="B3" s="122" t="s">
        <v>25</v>
      </c>
      <c r="C3" s="123" t="s">
        <v>753</v>
      </c>
      <c r="D3" s="122" t="s">
        <v>752</v>
      </c>
      <c r="E3" s="124">
        <v>1.5763888888888891</v>
      </c>
      <c r="F3" s="122" t="s">
        <v>30</v>
      </c>
      <c r="G3" s="125">
        <v>2</v>
      </c>
      <c r="H3" s="122" t="s">
        <v>755</v>
      </c>
    </row>
    <row r="4" spans="1:8" ht="18" x14ac:dyDescent="0.3">
      <c r="A4" s="121">
        <v>45985</v>
      </c>
      <c r="B4" s="122" t="s">
        <v>25</v>
      </c>
      <c r="C4" s="123" t="s">
        <v>753</v>
      </c>
      <c r="D4" s="122" t="s">
        <v>752</v>
      </c>
      <c r="E4" s="124">
        <v>1.5763888888888891</v>
      </c>
      <c r="F4" s="122" t="s">
        <v>33</v>
      </c>
      <c r="G4" s="125">
        <v>2</v>
      </c>
      <c r="H4" s="122" t="s">
        <v>335</v>
      </c>
    </row>
    <row r="5" spans="1:8" ht="18" x14ac:dyDescent="0.3">
      <c r="A5" s="127">
        <v>45985</v>
      </c>
      <c r="B5" s="128" t="s">
        <v>25</v>
      </c>
      <c r="C5" s="129" t="s">
        <v>756</v>
      </c>
      <c r="D5" s="128" t="s">
        <v>752</v>
      </c>
      <c r="E5" s="130">
        <v>1.6284722222222221</v>
      </c>
      <c r="F5" s="128" t="s">
        <v>27</v>
      </c>
      <c r="G5" s="131">
        <v>2</v>
      </c>
      <c r="H5" s="128" t="s">
        <v>754</v>
      </c>
    </row>
    <row r="6" spans="1:8" ht="18" x14ac:dyDescent="0.3">
      <c r="A6" s="121">
        <v>45985</v>
      </c>
      <c r="B6" s="122" t="s">
        <v>25</v>
      </c>
      <c r="C6" s="123" t="s">
        <v>756</v>
      </c>
      <c r="D6" s="122" t="s">
        <v>752</v>
      </c>
      <c r="E6" s="124">
        <v>1.6284722222222221</v>
      </c>
      <c r="F6" s="122" t="s">
        <v>30</v>
      </c>
      <c r="G6" s="125">
        <v>2</v>
      </c>
      <c r="H6" s="122" t="s">
        <v>755</v>
      </c>
    </row>
    <row r="7" spans="1:8" ht="18" x14ac:dyDescent="0.3">
      <c r="A7" s="121">
        <v>45985</v>
      </c>
      <c r="B7" s="122" t="s">
        <v>25</v>
      </c>
      <c r="C7" s="123" t="s">
        <v>756</v>
      </c>
      <c r="D7" s="122" t="s">
        <v>752</v>
      </c>
      <c r="E7" s="124">
        <v>1.6284722222222221</v>
      </c>
      <c r="F7" s="122" t="s">
        <v>33</v>
      </c>
      <c r="G7" s="125">
        <v>2</v>
      </c>
      <c r="H7" s="122" t="s">
        <v>335</v>
      </c>
    </row>
    <row r="8" spans="1:8" ht="18" x14ac:dyDescent="0.3">
      <c r="A8" s="127">
        <v>45985</v>
      </c>
      <c r="B8" s="128" t="s">
        <v>25</v>
      </c>
      <c r="C8" s="129" t="s">
        <v>757</v>
      </c>
      <c r="D8" s="128" t="s">
        <v>752</v>
      </c>
      <c r="E8" s="130">
        <v>1.8888888888888891</v>
      </c>
      <c r="F8" s="128" t="s">
        <v>27</v>
      </c>
      <c r="G8" s="131">
        <v>1</v>
      </c>
      <c r="H8" s="128" t="s">
        <v>683</v>
      </c>
    </row>
    <row r="9" spans="1:8" ht="18" x14ac:dyDescent="0.3">
      <c r="A9" s="121">
        <v>45985</v>
      </c>
      <c r="B9" s="122" t="s">
        <v>25</v>
      </c>
      <c r="C9" s="123" t="s">
        <v>757</v>
      </c>
      <c r="D9" s="122" t="s">
        <v>752</v>
      </c>
      <c r="E9" s="124">
        <v>1.8888888888888891</v>
      </c>
      <c r="F9" s="122" t="s">
        <v>30</v>
      </c>
      <c r="G9" s="125">
        <v>1</v>
      </c>
      <c r="H9" s="122" t="s">
        <v>123</v>
      </c>
    </row>
    <row r="10" spans="1:8" ht="18" x14ac:dyDescent="0.3">
      <c r="A10" s="121">
        <v>45985</v>
      </c>
      <c r="B10" s="122" t="s">
        <v>25</v>
      </c>
      <c r="C10" s="123" t="s">
        <v>757</v>
      </c>
      <c r="D10" s="122" t="s">
        <v>752</v>
      </c>
      <c r="E10" s="124">
        <v>1.8888888888888891</v>
      </c>
      <c r="F10" s="122" t="s">
        <v>33</v>
      </c>
      <c r="G10" s="125">
        <v>1</v>
      </c>
      <c r="H10" s="122" t="s">
        <v>758</v>
      </c>
    </row>
    <row r="11" spans="1:8" ht="18" x14ac:dyDescent="0.3">
      <c r="A11" s="127">
        <v>45985</v>
      </c>
      <c r="B11" s="128" t="s">
        <v>25</v>
      </c>
      <c r="C11" s="129" t="s">
        <v>759</v>
      </c>
      <c r="D11" s="128" t="s">
        <v>752</v>
      </c>
      <c r="E11" s="130">
        <v>1.944444444444444</v>
      </c>
      <c r="F11" s="128" t="s">
        <v>27</v>
      </c>
      <c r="G11" s="131">
        <v>1</v>
      </c>
      <c r="H11" s="128" t="s">
        <v>683</v>
      </c>
    </row>
    <row r="12" spans="1:8" ht="18" x14ac:dyDescent="0.3">
      <c r="A12" s="121">
        <v>45985</v>
      </c>
      <c r="B12" s="122" t="s">
        <v>25</v>
      </c>
      <c r="C12" s="123" t="s">
        <v>759</v>
      </c>
      <c r="D12" s="122" t="s">
        <v>752</v>
      </c>
      <c r="E12" s="124">
        <v>1.944444444444444</v>
      </c>
      <c r="F12" s="122" t="s">
        <v>30</v>
      </c>
      <c r="G12" s="125">
        <v>1</v>
      </c>
      <c r="H12" s="122" t="s">
        <v>123</v>
      </c>
    </row>
    <row r="13" spans="1:8" ht="18" x14ac:dyDescent="0.3">
      <c r="A13" s="121">
        <v>45985</v>
      </c>
      <c r="B13" s="122" t="s">
        <v>25</v>
      </c>
      <c r="C13" s="123" t="s">
        <v>759</v>
      </c>
      <c r="D13" s="122" t="s">
        <v>752</v>
      </c>
      <c r="E13" s="124">
        <v>1.944444444444444</v>
      </c>
      <c r="F13" s="122" t="s">
        <v>33</v>
      </c>
      <c r="G13" s="125">
        <v>1</v>
      </c>
      <c r="H13" s="122" t="s">
        <v>335</v>
      </c>
    </row>
    <row r="14" spans="1:8" ht="18" x14ac:dyDescent="0.3">
      <c r="A14" s="126">
        <v>45985</v>
      </c>
      <c r="B14" s="116" t="s">
        <v>54</v>
      </c>
      <c r="C14" s="117" t="s">
        <v>760</v>
      </c>
      <c r="D14" s="116" t="s">
        <v>752</v>
      </c>
      <c r="E14" s="118">
        <v>1.506944444444444</v>
      </c>
      <c r="F14" s="116" t="s">
        <v>56</v>
      </c>
      <c r="G14" s="119">
        <v>3</v>
      </c>
      <c r="H14" s="116" t="s">
        <v>683</v>
      </c>
    </row>
    <row r="15" spans="1:8" ht="18" x14ac:dyDescent="0.3">
      <c r="A15" s="121">
        <v>45985</v>
      </c>
      <c r="B15" s="122" t="s">
        <v>54</v>
      </c>
      <c r="C15" s="123" t="s">
        <v>760</v>
      </c>
      <c r="D15" s="122" t="s">
        <v>752</v>
      </c>
      <c r="E15" s="124">
        <v>1.506944444444444</v>
      </c>
      <c r="F15" s="122" t="s">
        <v>58</v>
      </c>
      <c r="G15" s="125">
        <v>3</v>
      </c>
      <c r="H15" s="122" t="s">
        <v>698</v>
      </c>
    </row>
    <row r="16" spans="1:8" ht="18" x14ac:dyDescent="0.3">
      <c r="A16" s="121">
        <v>45985</v>
      </c>
      <c r="B16" s="122" t="s">
        <v>54</v>
      </c>
      <c r="C16" s="123" t="s">
        <v>760</v>
      </c>
      <c r="D16" s="122" t="s">
        <v>752</v>
      </c>
      <c r="E16" s="124">
        <v>1.506944444444444</v>
      </c>
      <c r="F16" s="122" t="s">
        <v>60</v>
      </c>
      <c r="G16" s="125">
        <v>3</v>
      </c>
      <c r="H16" s="122" t="s">
        <v>761</v>
      </c>
    </row>
    <row r="17" spans="1:8" ht="18" x14ac:dyDescent="0.3">
      <c r="A17" s="127">
        <v>45985</v>
      </c>
      <c r="B17" s="128" t="s">
        <v>54</v>
      </c>
      <c r="C17" s="129" t="s">
        <v>762</v>
      </c>
      <c r="D17" s="128" t="s">
        <v>752</v>
      </c>
      <c r="E17" s="130">
        <v>1.4375</v>
      </c>
      <c r="F17" s="128" t="s">
        <v>56</v>
      </c>
      <c r="G17" s="131">
        <v>7</v>
      </c>
      <c r="H17" s="128" t="s">
        <v>763</v>
      </c>
    </row>
    <row r="18" spans="1:8" ht="18" x14ac:dyDescent="0.3">
      <c r="A18" s="121">
        <v>45985</v>
      </c>
      <c r="B18" s="122" t="s">
        <v>54</v>
      </c>
      <c r="C18" s="123" t="s">
        <v>762</v>
      </c>
      <c r="D18" s="122" t="s">
        <v>752</v>
      </c>
      <c r="E18" s="124">
        <v>1.4375</v>
      </c>
      <c r="F18" s="122" t="s">
        <v>58</v>
      </c>
      <c r="G18" s="125">
        <v>7</v>
      </c>
      <c r="H18" s="122" t="s">
        <v>764</v>
      </c>
    </row>
    <row r="19" spans="1:8" ht="18" x14ac:dyDescent="0.3">
      <c r="A19" s="121">
        <v>45985</v>
      </c>
      <c r="B19" s="122" t="s">
        <v>54</v>
      </c>
      <c r="C19" s="123" t="s">
        <v>762</v>
      </c>
      <c r="D19" s="122" t="s">
        <v>752</v>
      </c>
      <c r="E19" s="124">
        <v>1.4375</v>
      </c>
      <c r="F19" s="122" t="s">
        <v>60</v>
      </c>
      <c r="G19" s="125">
        <v>7</v>
      </c>
      <c r="H19" s="122" t="s">
        <v>293</v>
      </c>
    </row>
    <row r="20" spans="1:8" ht="18" x14ac:dyDescent="0.3">
      <c r="A20" s="127">
        <v>45985</v>
      </c>
      <c r="B20" s="128" t="s">
        <v>54</v>
      </c>
      <c r="C20" s="129" t="s">
        <v>765</v>
      </c>
      <c r="D20" s="128" t="s">
        <v>752</v>
      </c>
      <c r="E20" s="130">
        <v>1.631944444444444</v>
      </c>
      <c r="F20" s="128" t="s">
        <v>56</v>
      </c>
      <c r="G20" s="131">
        <v>8</v>
      </c>
      <c r="H20" s="128" t="s">
        <v>763</v>
      </c>
    </row>
    <row r="21" spans="1:8" ht="18" x14ac:dyDescent="0.3">
      <c r="A21" s="121">
        <v>45985</v>
      </c>
      <c r="B21" s="122" t="s">
        <v>54</v>
      </c>
      <c r="C21" s="123" t="s">
        <v>765</v>
      </c>
      <c r="D21" s="122" t="s">
        <v>752</v>
      </c>
      <c r="E21" s="124">
        <v>1.631944444444444</v>
      </c>
      <c r="F21" s="122" t="s">
        <v>58</v>
      </c>
      <c r="G21" s="125">
        <v>8</v>
      </c>
      <c r="H21" s="122" t="s">
        <v>764</v>
      </c>
    </row>
    <row r="22" spans="1:8" ht="18" x14ac:dyDescent="0.3">
      <c r="A22" s="121">
        <v>45985</v>
      </c>
      <c r="B22" s="122" t="s">
        <v>54</v>
      </c>
      <c r="C22" s="123" t="s">
        <v>765</v>
      </c>
      <c r="D22" s="122" t="s">
        <v>752</v>
      </c>
      <c r="E22" s="124">
        <v>1.631944444444444</v>
      </c>
      <c r="F22" s="122" t="s">
        <v>60</v>
      </c>
      <c r="G22" s="125">
        <v>8</v>
      </c>
      <c r="H22" s="122" t="s">
        <v>293</v>
      </c>
    </row>
    <row r="23" spans="1:8" ht="18" x14ac:dyDescent="0.3">
      <c r="A23" s="127">
        <v>45985</v>
      </c>
      <c r="B23" s="128" t="s">
        <v>54</v>
      </c>
      <c r="C23" s="129" t="s">
        <v>766</v>
      </c>
      <c r="D23" s="128" t="s">
        <v>752</v>
      </c>
      <c r="E23" s="130">
        <v>1.5590277777777779</v>
      </c>
      <c r="F23" s="128" t="s">
        <v>56</v>
      </c>
      <c r="G23" s="131">
        <v>9</v>
      </c>
      <c r="H23" s="128" t="s">
        <v>763</v>
      </c>
    </row>
    <row r="24" spans="1:8" ht="18" x14ac:dyDescent="0.3">
      <c r="A24" s="121">
        <v>45985</v>
      </c>
      <c r="B24" s="122" t="s">
        <v>54</v>
      </c>
      <c r="C24" s="123" t="s">
        <v>766</v>
      </c>
      <c r="D24" s="122" t="s">
        <v>752</v>
      </c>
      <c r="E24" s="124">
        <v>1.5590277777777779</v>
      </c>
      <c r="F24" s="122" t="s">
        <v>58</v>
      </c>
      <c r="G24" s="125">
        <v>9</v>
      </c>
      <c r="H24" s="122" t="s">
        <v>764</v>
      </c>
    </row>
    <row r="25" spans="1:8" ht="18" x14ac:dyDescent="0.3">
      <c r="A25" s="121">
        <v>45985</v>
      </c>
      <c r="B25" s="122" t="s">
        <v>54</v>
      </c>
      <c r="C25" s="123" t="s">
        <v>766</v>
      </c>
      <c r="D25" s="122" t="s">
        <v>752</v>
      </c>
      <c r="E25" s="124">
        <v>1.5590277777777779</v>
      </c>
      <c r="F25" s="122" t="s">
        <v>60</v>
      </c>
      <c r="G25" s="125">
        <v>9</v>
      </c>
      <c r="H25" s="122" t="s">
        <v>293</v>
      </c>
    </row>
    <row r="26" spans="1:8" ht="18" x14ac:dyDescent="0.3">
      <c r="A26" s="127">
        <v>45985</v>
      </c>
      <c r="B26" s="128" t="s">
        <v>54</v>
      </c>
      <c r="C26" s="129" t="s">
        <v>767</v>
      </c>
      <c r="D26" s="128" t="s">
        <v>752</v>
      </c>
      <c r="E26" s="130">
        <v>1.697916666666667</v>
      </c>
      <c r="F26" s="128" t="s">
        <v>56</v>
      </c>
      <c r="G26" s="131">
        <v>5</v>
      </c>
      <c r="H26" s="128" t="s">
        <v>763</v>
      </c>
    </row>
    <row r="27" spans="1:8" ht="18" x14ac:dyDescent="0.3">
      <c r="A27" s="121">
        <v>45985</v>
      </c>
      <c r="B27" s="122" t="s">
        <v>54</v>
      </c>
      <c r="C27" s="123" t="s">
        <v>767</v>
      </c>
      <c r="D27" s="122" t="s">
        <v>752</v>
      </c>
      <c r="E27" s="124">
        <v>1.697916666666667</v>
      </c>
      <c r="F27" s="122" t="s">
        <v>58</v>
      </c>
      <c r="G27" s="125">
        <v>5</v>
      </c>
      <c r="H27" s="122" t="s">
        <v>764</v>
      </c>
    </row>
    <row r="28" spans="1:8" ht="18" x14ac:dyDescent="0.3">
      <c r="A28" s="121">
        <v>45985</v>
      </c>
      <c r="B28" s="122" t="s">
        <v>54</v>
      </c>
      <c r="C28" s="123" t="s">
        <v>767</v>
      </c>
      <c r="D28" s="122" t="s">
        <v>752</v>
      </c>
      <c r="E28" s="124">
        <v>1.697916666666667</v>
      </c>
      <c r="F28" s="122" t="s">
        <v>60</v>
      </c>
      <c r="G28" s="125">
        <v>5</v>
      </c>
      <c r="H28" s="122" t="s">
        <v>293</v>
      </c>
    </row>
    <row r="29" spans="1:8" ht="18" x14ac:dyDescent="0.3">
      <c r="A29" s="127">
        <v>45985</v>
      </c>
      <c r="B29" s="128" t="s">
        <v>54</v>
      </c>
      <c r="C29" s="129" t="s">
        <v>768</v>
      </c>
      <c r="D29" s="128" t="s">
        <v>752</v>
      </c>
      <c r="E29" s="130">
        <v>1.958333333333333</v>
      </c>
      <c r="F29" s="128" t="s">
        <v>56</v>
      </c>
      <c r="G29" s="131">
        <v>7</v>
      </c>
      <c r="H29" s="128" t="s">
        <v>769</v>
      </c>
    </row>
    <row r="30" spans="1:8" ht="18" x14ac:dyDescent="0.3">
      <c r="A30" s="121">
        <v>45985</v>
      </c>
      <c r="B30" s="122" t="s">
        <v>54</v>
      </c>
      <c r="C30" s="123" t="s">
        <v>768</v>
      </c>
      <c r="D30" s="122" t="s">
        <v>752</v>
      </c>
      <c r="E30" s="124">
        <v>1.958333333333333</v>
      </c>
      <c r="F30" s="122" t="s">
        <v>58</v>
      </c>
      <c r="G30" s="125">
        <v>7</v>
      </c>
      <c r="H30" s="122" t="s">
        <v>770</v>
      </c>
    </row>
    <row r="31" spans="1:8" ht="18" x14ac:dyDescent="0.3">
      <c r="A31" s="121">
        <v>45985</v>
      </c>
      <c r="B31" s="122" t="s">
        <v>54</v>
      </c>
      <c r="C31" s="123" t="s">
        <v>768</v>
      </c>
      <c r="D31" s="122" t="s">
        <v>752</v>
      </c>
      <c r="E31" s="124">
        <v>1.958333333333333</v>
      </c>
      <c r="F31" s="122" t="s">
        <v>60</v>
      </c>
      <c r="G31" s="125">
        <v>7</v>
      </c>
      <c r="H31" s="122" t="s">
        <v>771</v>
      </c>
    </row>
    <row r="32" spans="1:8" ht="18" x14ac:dyDescent="0.3">
      <c r="A32" s="127">
        <v>45985</v>
      </c>
      <c r="B32" s="128" t="s">
        <v>54</v>
      </c>
      <c r="C32" s="129" t="s">
        <v>772</v>
      </c>
      <c r="D32" s="128" t="s">
        <v>752</v>
      </c>
      <c r="E32" s="130">
        <v>1.819444444444444</v>
      </c>
      <c r="F32" s="128" t="s">
        <v>56</v>
      </c>
      <c r="G32" s="131">
        <v>6</v>
      </c>
      <c r="H32" s="128" t="s">
        <v>769</v>
      </c>
    </row>
    <row r="33" spans="1:8" ht="18" x14ac:dyDescent="0.3">
      <c r="A33" s="121">
        <v>45985</v>
      </c>
      <c r="B33" s="122" t="s">
        <v>54</v>
      </c>
      <c r="C33" s="123" t="s">
        <v>772</v>
      </c>
      <c r="D33" s="122" t="s">
        <v>752</v>
      </c>
      <c r="E33" s="124">
        <v>1.819444444444444</v>
      </c>
      <c r="F33" s="122" t="s">
        <v>58</v>
      </c>
      <c r="G33" s="125">
        <v>6</v>
      </c>
      <c r="H33" s="122" t="s">
        <v>770</v>
      </c>
    </row>
    <row r="34" spans="1:8" ht="18" x14ac:dyDescent="0.3">
      <c r="A34" s="121">
        <v>45985</v>
      </c>
      <c r="B34" s="122" t="s">
        <v>54</v>
      </c>
      <c r="C34" s="123" t="s">
        <v>772</v>
      </c>
      <c r="D34" s="122" t="s">
        <v>752</v>
      </c>
      <c r="E34" s="124">
        <v>1.819444444444444</v>
      </c>
      <c r="F34" s="122" t="s">
        <v>60</v>
      </c>
      <c r="G34" s="125">
        <v>6</v>
      </c>
      <c r="H34" s="122" t="s">
        <v>771</v>
      </c>
    </row>
    <row r="35" spans="1:8" ht="18" x14ac:dyDescent="0.3">
      <c r="A35" s="126">
        <v>45985</v>
      </c>
      <c r="B35" s="116" t="s">
        <v>285</v>
      </c>
      <c r="C35" s="117" t="s">
        <v>773</v>
      </c>
      <c r="D35" s="116" t="s">
        <v>752</v>
      </c>
      <c r="E35" s="118">
        <v>1.552083333333333</v>
      </c>
      <c r="F35" s="116" t="s">
        <v>81</v>
      </c>
      <c r="G35" s="119">
        <v>6</v>
      </c>
      <c r="H35" s="116" t="s">
        <v>774</v>
      </c>
    </row>
    <row r="36" spans="1:8" ht="18" x14ac:dyDescent="0.3">
      <c r="A36" s="126">
        <v>45985</v>
      </c>
      <c r="B36" s="116" t="s">
        <v>280</v>
      </c>
      <c r="C36" s="117" t="s">
        <v>775</v>
      </c>
      <c r="D36" s="116" t="s">
        <v>752</v>
      </c>
      <c r="E36" s="118">
        <v>1.3298611111111109</v>
      </c>
      <c r="F36" s="116" t="s">
        <v>282</v>
      </c>
      <c r="G36" s="119">
        <v>5</v>
      </c>
      <c r="H36" s="116" t="s">
        <v>776</v>
      </c>
    </row>
    <row r="37" spans="1:8" ht="18" x14ac:dyDescent="0.3">
      <c r="A37" s="121">
        <v>45985</v>
      </c>
      <c r="B37" s="122" t="s">
        <v>280</v>
      </c>
      <c r="C37" s="123" t="s">
        <v>775</v>
      </c>
      <c r="D37" s="122" t="s">
        <v>752</v>
      </c>
      <c r="E37" s="124">
        <v>1.3298611111111109</v>
      </c>
      <c r="F37" s="122" t="s">
        <v>33</v>
      </c>
      <c r="G37" s="125">
        <v>5</v>
      </c>
      <c r="H37" s="122" t="s">
        <v>777</v>
      </c>
    </row>
    <row r="38" spans="1:8" ht="18" x14ac:dyDescent="0.3">
      <c r="A38" s="136">
        <v>45985</v>
      </c>
      <c r="B38" s="137" t="s">
        <v>71</v>
      </c>
      <c r="C38" s="138" t="s">
        <v>778</v>
      </c>
      <c r="D38" s="137" t="s">
        <v>752</v>
      </c>
      <c r="E38" s="139">
        <v>1.725694444444444</v>
      </c>
      <c r="F38" s="137" t="s">
        <v>81</v>
      </c>
      <c r="G38" s="140">
        <v>1</v>
      </c>
      <c r="H38" s="137" t="s">
        <v>779</v>
      </c>
    </row>
    <row r="39" spans="1:8" ht="18" x14ac:dyDescent="0.3">
      <c r="A39" s="126">
        <v>45985</v>
      </c>
      <c r="B39" s="116" t="s">
        <v>35</v>
      </c>
      <c r="C39" s="117" t="s">
        <v>782</v>
      </c>
      <c r="D39" s="116" t="s">
        <v>752</v>
      </c>
      <c r="E39" s="118">
        <v>1.444444444444444</v>
      </c>
      <c r="F39" s="116" t="s">
        <v>42</v>
      </c>
      <c r="G39" s="119">
        <v>9</v>
      </c>
      <c r="H39" s="116" t="s">
        <v>783</v>
      </c>
    </row>
    <row r="40" spans="1:8" ht="18" x14ac:dyDescent="0.3">
      <c r="A40" s="127">
        <v>45985</v>
      </c>
      <c r="B40" s="128" t="s">
        <v>35</v>
      </c>
      <c r="C40" s="129" t="s">
        <v>784</v>
      </c>
      <c r="D40" s="128" t="s">
        <v>752</v>
      </c>
      <c r="E40" s="130">
        <v>1.8298611111111109</v>
      </c>
      <c r="F40" s="128" t="s">
        <v>42</v>
      </c>
      <c r="G40" s="131">
        <v>9</v>
      </c>
      <c r="H40" s="128" t="s">
        <v>783</v>
      </c>
    </row>
    <row r="41" spans="1:8" ht="18" x14ac:dyDescent="0.3">
      <c r="A41" s="127">
        <v>45985</v>
      </c>
      <c r="B41" s="128" t="s">
        <v>35</v>
      </c>
      <c r="C41" s="129" t="s">
        <v>785</v>
      </c>
      <c r="D41" s="128" t="s">
        <v>752</v>
      </c>
      <c r="E41" s="130">
        <v>1.9826388888888891</v>
      </c>
      <c r="F41" s="128" t="s">
        <v>42</v>
      </c>
      <c r="G41" s="131">
        <v>9</v>
      </c>
      <c r="H41" s="128" t="s">
        <v>783</v>
      </c>
    </row>
    <row r="42" spans="1:8" ht="18" x14ac:dyDescent="0.3">
      <c r="A42" s="127">
        <v>45985</v>
      </c>
      <c r="B42" s="128" t="s">
        <v>35</v>
      </c>
      <c r="C42" s="129" t="s">
        <v>786</v>
      </c>
      <c r="D42" s="128" t="s">
        <v>752</v>
      </c>
      <c r="E42" s="130">
        <v>1.8888888888888891</v>
      </c>
      <c r="F42" s="128" t="s">
        <v>42</v>
      </c>
      <c r="G42" s="131">
        <v>4</v>
      </c>
      <c r="H42" s="128" t="s">
        <v>787</v>
      </c>
    </row>
    <row r="43" spans="1:8" ht="18" x14ac:dyDescent="0.3">
      <c r="A43" s="127">
        <v>45985</v>
      </c>
      <c r="B43" s="128" t="s">
        <v>35</v>
      </c>
      <c r="C43" s="129" t="s">
        <v>788</v>
      </c>
      <c r="D43" s="128" t="s">
        <v>752</v>
      </c>
      <c r="E43" s="130">
        <v>1.6284722222222221</v>
      </c>
      <c r="F43" s="128" t="s">
        <v>42</v>
      </c>
      <c r="G43" s="131">
        <v>4</v>
      </c>
      <c r="H43" s="128" t="s">
        <v>787</v>
      </c>
    </row>
    <row r="44" spans="1:8" ht="18" x14ac:dyDescent="0.3">
      <c r="A44" s="127">
        <v>45985</v>
      </c>
      <c r="B44" s="128" t="s">
        <v>35</v>
      </c>
      <c r="C44" s="129" t="s">
        <v>789</v>
      </c>
      <c r="D44" s="128" t="s">
        <v>752</v>
      </c>
      <c r="E44" s="130">
        <v>1.944444444444444</v>
      </c>
      <c r="F44" s="128" t="s">
        <v>42</v>
      </c>
      <c r="G44" s="131">
        <v>4</v>
      </c>
      <c r="H44" s="128" t="s">
        <v>787</v>
      </c>
    </row>
    <row r="45" spans="1:8" ht="18" x14ac:dyDescent="0.3">
      <c r="A45" s="127">
        <v>45985</v>
      </c>
      <c r="B45" s="128" t="s">
        <v>35</v>
      </c>
      <c r="C45" s="129" t="s">
        <v>790</v>
      </c>
      <c r="D45" s="128" t="s">
        <v>752</v>
      </c>
      <c r="E45" s="130">
        <v>1.208333333333333</v>
      </c>
      <c r="F45" s="128" t="s">
        <v>42</v>
      </c>
      <c r="G45" s="131">
        <v>9</v>
      </c>
      <c r="H45" s="128" t="s">
        <v>791</v>
      </c>
    </row>
    <row r="46" spans="1:8" ht="18" x14ac:dyDescent="0.3">
      <c r="A46" s="127">
        <v>45985</v>
      </c>
      <c r="B46" s="128" t="s">
        <v>35</v>
      </c>
      <c r="C46" s="129" t="s">
        <v>792</v>
      </c>
      <c r="D46" s="128" t="s">
        <v>752</v>
      </c>
      <c r="E46" s="130">
        <v>1.6284722222222221</v>
      </c>
      <c r="F46" s="128" t="s">
        <v>42</v>
      </c>
      <c r="G46" s="131">
        <v>9</v>
      </c>
      <c r="H46" s="128" t="s">
        <v>791</v>
      </c>
    </row>
    <row r="47" spans="1:8" ht="18" x14ac:dyDescent="0.3">
      <c r="A47" s="126">
        <v>45985</v>
      </c>
      <c r="B47" s="116" t="s">
        <v>63</v>
      </c>
      <c r="C47" s="117" t="s">
        <v>793</v>
      </c>
      <c r="D47" s="116" t="s">
        <v>752</v>
      </c>
      <c r="E47" s="118">
        <v>1.7326388888888891</v>
      </c>
      <c r="F47" s="116" t="s">
        <v>48</v>
      </c>
      <c r="G47" s="119">
        <v>2</v>
      </c>
      <c r="H47" s="116" t="s">
        <v>794</v>
      </c>
    </row>
    <row r="48" spans="1:8" ht="18" x14ac:dyDescent="0.3">
      <c r="A48" s="127">
        <v>45985</v>
      </c>
      <c r="B48" s="128" t="s">
        <v>63</v>
      </c>
      <c r="C48" s="129" t="s">
        <v>795</v>
      </c>
      <c r="D48" s="128" t="s">
        <v>752</v>
      </c>
      <c r="E48" s="130">
        <v>1.9826388888888891</v>
      </c>
      <c r="F48" s="128" t="s">
        <v>48</v>
      </c>
      <c r="G48" s="131">
        <v>2</v>
      </c>
      <c r="H48" s="128" t="s">
        <v>794</v>
      </c>
    </row>
    <row r="49" spans="1:8" ht="18" x14ac:dyDescent="0.3">
      <c r="A49" s="150">
        <v>45985</v>
      </c>
      <c r="B49" s="151" t="s">
        <v>63</v>
      </c>
      <c r="C49" s="152" t="s">
        <v>796</v>
      </c>
      <c r="D49" s="151" t="s">
        <v>752</v>
      </c>
      <c r="E49" s="153">
        <v>1.354166666666667</v>
      </c>
      <c r="F49" s="151" t="s">
        <v>48</v>
      </c>
      <c r="G49" s="154">
        <v>1</v>
      </c>
      <c r="H49" s="151" t="s">
        <v>794</v>
      </c>
    </row>
    <row r="50" spans="1:8" ht="18" x14ac:dyDescent="0.3">
      <c r="A50" s="115">
        <v>45986</v>
      </c>
      <c r="B50" s="116" t="s">
        <v>25</v>
      </c>
      <c r="C50" s="117" t="s">
        <v>753</v>
      </c>
      <c r="D50" s="116" t="s">
        <v>752</v>
      </c>
      <c r="E50" s="118">
        <v>1.5763888888888891</v>
      </c>
      <c r="F50" s="116" t="s">
        <v>27</v>
      </c>
      <c r="G50" s="119">
        <v>4</v>
      </c>
      <c r="H50" s="120" t="s">
        <v>683</v>
      </c>
    </row>
    <row r="51" spans="1:8" ht="18" x14ac:dyDescent="0.3">
      <c r="A51" s="121">
        <v>45986</v>
      </c>
      <c r="B51" s="122" t="s">
        <v>25</v>
      </c>
      <c r="C51" s="123" t="s">
        <v>753</v>
      </c>
      <c r="D51" s="122" t="s">
        <v>752</v>
      </c>
      <c r="E51" s="124">
        <v>1.5763888888888891</v>
      </c>
      <c r="F51" s="122" t="s">
        <v>30</v>
      </c>
      <c r="G51" s="125">
        <v>4</v>
      </c>
      <c r="H51" s="122" t="s">
        <v>123</v>
      </c>
    </row>
    <row r="52" spans="1:8" ht="18" x14ac:dyDescent="0.3">
      <c r="A52" s="121">
        <v>45986</v>
      </c>
      <c r="B52" s="122" t="s">
        <v>25</v>
      </c>
      <c r="C52" s="123" t="s">
        <v>753</v>
      </c>
      <c r="D52" s="122" t="s">
        <v>752</v>
      </c>
      <c r="E52" s="124">
        <v>1.5763888888888891</v>
      </c>
      <c r="F52" s="122" t="s">
        <v>33</v>
      </c>
      <c r="G52" s="125">
        <v>4</v>
      </c>
      <c r="H52" s="122" t="s">
        <v>335</v>
      </c>
    </row>
    <row r="53" spans="1:8" ht="18" x14ac:dyDescent="0.3">
      <c r="A53" s="127">
        <v>45986</v>
      </c>
      <c r="B53" s="128" t="s">
        <v>25</v>
      </c>
      <c r="C53" s="129" t="s">
        <v>756</v>
      </c>
      <c r="D53" s="128" t="s">
        <v>752</v>
      </c>
      <c r="E53" s="130">
        <v>1.6284722222222221</v>
      </c>
      <c r="F53" s="128" t="s">
        <v>27</v>
      </c>
      <c r="G53" s="131">
        <v>4</v>
      </c>
      <c r="H53" s="128" t="s">
        <v>683</v>
      </c>
    </row>
    <row r="54" spans="1:8" ht="18" x14ac:dyDescent="0.3">
      <c r="A54" s="121">
        <v>45986</v>
      </c>
      <c r="B54" s="122" t="s">
        <v>25</v>
      </c>
      <c r="C54" s="123" t="s">
        <v>756</v>
      </c>
      <c r="D54" s="122" t="s">
        <v>752</v>
      </c>
      <c r="E54" s="124">
        <v>1.6284722222222221</v>
      </c>
      <c r="F54" s="122" t="s">
        <v>30</v>
      </c>
      <c r="G54" s="125">
        <v>4</v>
      </c>
      <c r="H54" s="122" t="s">
        <v>123</v>
      </c>
    </row>
    <row r="55" spans="1:8" ht="18" x14ac:dyDescent="0.3">
      <c r="A55" s="121">
        <v>45986</v>
      </c>
      <c r="B55" s="122" t="s">
        <v>25</v>
      </c>
      <c r="C55" s="123" t="s">
        <v>756</v>
      </c>
      <c r="D55" s="122" t="s">
        <v>752</v>
      </c>
      <c r="E55" s="124">
        <v>1.6284722222222221</v>
      </c>
      <c r="F55" s="122" t="s">
        <v>33</v>
      </c>
      <c r="G55" s="125">
        <v>4</v>
      </c>
      <c r="H55" s="122" t="s">
        <v>335</v>
      </c>
    </row>
    <row r="56" spans="1:8" ht="18" x14ac:dyDescent="0.3">
      <c r="A56" s="127">
        <v>45986</v>
      </c>
      <c r="B56" s="128" t="s">
        <v>25</v>
      </c>
      <c r="C56" s="129" t="s">
        <v>757</v>
      </c>
      <c r="D56" s="128" t="s">
        <v>752</v>
      </c>
      <c r="E56" s="130">
        <v>1.8888888888888891</v>
      </c>
      <c r="F56" s="128" t="s">
        <v>27</v>
      </c>
      <c r="G56" s="131">
        <v>1</v>
      </c>
      <c r="H56" s="128" t="s">
        <v>683</v>
      </c>
    </row>
    <row r="57" spans="1:8" ht="18" x14ac:dyDescent="0.3">
      <c r="A57" s="121">
        <v>45986</v>
      </c>
      <c r="B57" s="122" t="s">
        <v>25</v>
      </c>
      <c r="C57" s="123" t="s">
        <v>757</v>
      </c>
      <c r="D57" s="122" t="s">
        <v>752</v>
      </c>
      <c r="E57" s="124">
        <v>1.8888888888888891</v>
      </c>
      <c r="F57" s="122" t="s">
        <v>30</v>
      </c>
      <c r="G57" s="125">
        <v>1</v>
      </c>
      <c r="H57" s="122" t="s">
        <v>123</v>
      </c>
    </row>
    <row r="58" spans="1:8" ht="18" x14ac:dyDescent="0.3">
      <c r="A58" s="121">
        <v>45986</v>
      </c>
      <c r="B58" s="122" t="s">
        <v>25</v>
      </c>
      <c r="C58" s="123" t="s">
        <v>757</v>
      </c>
      <c r="D58" s="122" t="s">
        <v>752</v>
      </c>
      <c r="E58" s="124">
        <v>1.8888888888888891</v>
      </c>
      <c r="F58" s="122" t="s">
        <v>33</v>
      </c>
      <c r="G58" s="125">
        <v>1</v>
      </c>
      <c r="H58" s="122" t="s">
        <v>335</v>
      </c>
    </row>
    <row r="59" spans="1:8" ht="18" x14ac:dyDescent="0.3">
      <c r="A59" s="127">
        <v>45986</v>
      </c>
      <c r="B59" s="128" t="s">
        <v>25</v>
      </c>
      <c r="C59" s="129" t="s">
        <v>759</v>
      </c>
      <c r="D59" s="128" t="s">
        <v>752</v>
      </c>
      <c r="E59" s="130">
        <v>1.944444444444444</v>
      </c>
      <c r="F59" s="128" t="s">
        <v>27</v>
      </c>
      <c r="G59" s="131">
        <v>2</v>
      </c>
      <c r="H59" s="128" t="s">
        <v>797</v>
      </c>
    </row>
    <row r="60" spans="1:8" ht="18" x14ac:dyDescent="0.3">
      <c r="A60" s="121">
        <v>45986</v>
      </c>
      <c r="B60" s="122" t="s">
        <v>25</v>
      </c>
      <c r="C60" s="123" t="s">
        <v>759</v>
      </c>
      <c r="D60" s="122" t="s">
        <v>752</v>
      </c>
      <c r="E60" s="124">
        <v>1.944444444444444</v>
      </c>
      <c r="F60" s="122" t="s">
        <v>30</v>
      </c>
      <c r="G60" s="125">
        <v>2</v>
      </c>
      <c r="H60" s="122" t="s">
        <v>798</v>
      </c>
    </row>
    <row r="61" spans="1:8" ht="18" x14ac:dyDescent="0.3">
      <c r="A61" s="121">
        <v>45986</v>
      </c>
      <c r="B61" s="122" t="s">
        <v>25</v>
      </c>
      <c r="C61" s="123" t="s">
        <v>759</v>
      </c>
      <c r="D61" s="122" t="s">
        <v>752</v>
      </c>
      <c r="E61" s="124">
        <v>1.944444444444444</v>
      </c>
      <c r="F61" s="122" t="s">
        <v>33</v>
      </c>
      <c r="G61" s="125">
        <v>2</v>
      </c>
      <c r="H61" s="122" t="s">
        <v>335</v>
      </c>
    </row>
    <row r="62" spans="1:8" ht="18" x14ac:dyDescent="0.3">
      <c r="A62" s="126">
        <v>45986</v>
      </c>
      <c r="B62" s="116" t="s">
        <v>54</v>
      </c>
      <c r="C62" s="117" t="s">
        <v>766</v>
      </c>
      <c r="D62" s="116" t="s">
        <v>752</v>
      </c>
      <c r="E62" s="118">
        <v>1.5590277777777779</v>
      </c>
      <c r="F62" s="116" t="s">
        <v>56</v>
      </c>
      <c r="G62" s="119">
        <v>1</v>
      </c>
      <c r="H62" s="116" t="s">
        <v>683</v>
      </c>
    </row>
    <row r="63" spans="1:8" ht="18" x14ac:dyDescent="0.3">
      <c r="A63" s="121">
        <v>45986</v>
      </c>
      <c r="B63" s="122" t="s">
        <v>54</v>
      </c>
      <c r="C63" s="123" t="s">
        <v>766</v>
      </c>
      <c r="D63" s="122" t="s">
        <v>752</v>
      </c>
      <c r="E63" s="124">
        <v>1.5590277777777779</v>
      </c>
      <c r="F63" s="122" t="s">
        <v>58</v>
      </c>
      <c r="G63" s="125">
        <v>1</v>
      </c>
      <c r="H63" s="122" t="s">
        <v>698</v>
      </c>
    </row>
    <row r="64" spans="1:8" ht="18" x14ac:dyDescent="0.3">
      <c r="A64" s="121">
        <v>45986</v>
      </c>
      <c r="B64" s="122" t="s">
        <v>54</v>
      </c>
      <c r="C64" s="123" t="s">
        <v>766</v>
      </c>
      <c r="D64" s="122" t="s">
        <v>752</v>
      </c>
      <c r="E64" s="124">
        <v>1.5590277777777779</v>
      </c>
      <c r="F64" s="122" t="s">
        <v>60</v>
      </c>
      <c r="G64" s="125">
        <v>1</v>
      </c>
      <c r="H64" s="122" t="s">
        <v>761</v>
      </c>
    </row>
    <row r="65" spans="1:8" ht="18" x14ac:dyDescent="0.3">
      <c r="A65" s="127">
        <v>45986</v>
      </c>
      <c r="B65" s="128" t="s">
        <v>54</v>
      </c>
      <c r="C65" s="129" t="s">
        <v>762</v>
      </c>
      <c r="D65" s="128" t="s">
        <v>752</v>
      </c>
      <c r="E65" s="130">
        <v>1.4375</v>
      </c>
      <c r="F65" s="128" t="s">
        <v>56</v>
      </c>
      <c r="G65" s="131">
        <v>2</v>
      </c>
      <c r="H65" s="128" t="s">
        <v>763</v>
      </c>
    </row>
    <row r="66" spans="1:8" ht="18" x14ac:dyDescent="0.3">
      <c r="A66" s="121">
        <v>45986</v>
      </c>
      <c r="B66" s="122" t="s">
        <v>54</v>
      </c>
      <c r="C66" s="123" t="s">
        <v>762</v>
      </c>
      <c r="D66" s="122" t="s">
        <v>752</v>
      </c>
      <c r="E66" s="124">
        <v>1.4375</v>
      </c>
      <c r="F66" s="122" t="s">
        <v>58</v>
      </c>
      <c r="G66" s="125">
        <v>2</v>
      </c>
      <c r="H66" s="122" t="s">
        <v>764</v>
      </c>
    </row>
    <row r="67" spans="1:8" ht="18" x14ac:dyDescent="0.3">
      <c r="A67" s="121">
        <v>45986</v>
      </c>
      <c r="B67" s="122" t="s">
        <v>54</v>
      </c>
      <c r="C67" s="123" t="s">
        <v>762</v>
      </c>
      <c r="D67" s="122" t="s">
        <v>752</v>
      </c>
      <c r="E67" s="124">
        <v>1.4375</v>
      </c>
      <c r="F67" s="122" t="s">
        <v>60</v>
      </c>
      <c r="G67" s="125">
        <v>2</v>
      </c>
      <c r="H67" s="122" t="s">
        <v>293</v>
      </c>
    </row>
    <row r="68" spans="1:8" ht="18" x14ac:dyDescent="0.3">
      <c r="A68" s="127">
        <v>45986</v>
      </c>
      <c r="B68" s="128" t="s">
        <v>54</v>
      </c>
      <c r="C68" s="129" t="s">
        <v>765</v>
      </c>
      <c r="D68" s="128" t="s">
        <v>752</v>
      </c>
      <c r="E68" s="130">
        <v>1.631944444444444</v>
      </c>
      <c r="F68" s="128" t="s">
        <v>56</v>
      </c>
      <c r="G68" s="131">
        <v>3</v>
      </c>
      <c r="H68" s="128" t="s">
        <v>763</v>
      </c>
    </row>
    <row r="69" spans="1:8" ht="18" x14ac:dyDescent="0.3">
      <c r="A69" s="121">
        <v>45986</v>
      </c>
      <c r="B69" s="122" t="s">
        <v>54</v>
      </c>
      <c r="C69" s="123" t="s">
        <v>765</v>
      </c>
      <c r="D69" s="122" t="s">
        <v>752</v>
      </c>
      <c r="E69" s="124">
        <v>1.631944444444444</v>
      </c>
      <c r="F69" s="122" t="s">
        <v>58</v>
      </c>
      <c r="G69" s="125">
        <v>3</v>
      </c>
      <c r="H69" s="122" t="s">
        <v>764</v>
      </c>
    </row>
    <row r="70" spans="1:8" ht="18" x14ac:dyDescent="0.3">
      <c r="A70" s="121">
        <v>45986</v>
      </c>
      <c r="B70" s="122" t="s">
        <v>54</v>
      </c>
      <c r="C70" s="123" t="s">
        <v>765</v>
      </c>
      <c r="D70" s="122" t="s">
        <v>752</v>
      </c>
      <c r="E70" s="124">
        <v>1.631944444444444</v>
      </c>
      <c r="F70" s="122" t="s">
        <v>60</v>
      </c>
      <c r="G70" s="125">
        <v>3</v>
      </c>
      <c r="H70" s="122" t="s">
        <v>293</v>
      </c>
    </row>
    <row r="71" spans="1:8" ht="18" x14ac:dyDescent="0.3">
      <c r="A71" s="127">
        <v>45986</v>
      </c>
      <c r="B71" s="128" t="s">
        <v>54</v>
      </c>
      <c r="C71" s="129" t="s">
        <v>760</v>
      </c>
      <c r="D71" s="128" t="s">
        <v>752</v>
      </c>
      <c r="E71" s="130">
        <v>1.506944444444444</v>
      </c>
      <c r="F71" s="128" t="s">
        <v>56</v>
      </c>
      <c r="G71" s="131">
        <v>5</v>
      </c>
      <c r="H71" s="128" t="s">
        <v>763</v>
      </c>
    </row>
    <row r="72" spans="1:8" ht="18" x14ac:dyDescent="0.3">
      <c r="A72" s="121">
        <v>45986</v>
      </c>
      <c r="B72" s="122" t="s">
        <v>54</v>
      </c>
      <c r="C72" s="123" t="s">
        <v>760</v>
      </c>
      <c r="D72" s="122" t="s">
        <v>752</v>
      </c>
      <c r="E72" s="124">
        <v>1.506944444444444</v>
      </c>
      <c r="F72" s="122" t="s">
        <v>58</v>
      </c>
      <c r="G72" s="125">
        <v>5</v>
      </c>
      <c r="H72" s="122" t="s">
        <v>764</v>
      </c>
    </row>
    <row r="73" spans="1:8" ht="18" x14ac:dyDescent="0.3">
      <c r="A73" s="121">
        <v>45986</v>
      </c>
      <c r="B73" s="122" t="s">
        <v>54</v>
      </c>
      <c r="C73" s="123" t="s">
        <v>760</v>
      </c>
      <c r="D73" s="122" t="s">
        <v>752</v>
      </c>
      <c r="E73" s="124">
        <v>1.506944444444444</v>
      </c>
      <c r="F73" s="122" t="s">
        <v>60</v>
      </c>
      <c r="G73" s="125">
        <v>5</v>
      </c>
      <c r="H73" s="122" t="s">
        <v>293</v>
      </c>
    </row>
    <row r="74" spans="1:8" ht="18" x14ac:dyDescent="0.3">
      <c r="A74" s="127">
        <v>45986</v>
      </c>
      <c r="B74" s="128" t="s">
        <v>54</v>
      </c>
      <c r="C74" s="129" t="s">
        <v>767</v>
      </c>
      <c r="D74" s="128" t="s">
        <v>752</v>
      </c>
      <c r="E74" s="130">
        <v>1.697916666666667</v>
      </c>
      <c r="F74" s="128" t="s">
        <v>56</v>
      </c>
      <c r="G74" s="131">
        <v>3</v>
      </c>
      <c r="H74" s="128" t="s">
        <v>763</v>
      </c>
    </row>
    <row r="75" spans="1:8" ht="18" x14ac:dyDescent="0.3">
      <c r="A75" s="121">
        <v>45986</v>
      </c>
      <c r="B75" s="122" t="s">
        <v>54</v>
      </c>
      <c r="C75" s="123" t="s">
        <v>767</v>
      </c>
      <c r="D75" s="122" t="s">
        <v>752</v>
      </c>
      <c r="E75" s="124">
        <v>1.697916666666667</v>
      </c>
      <c r="F75" s="122" t="s">
        <v>58</v>
      </c>
      <c r="G75" s="125">
        <v>3</v>
      </c>
      <c r="H75" s="122" t="s">
        <v>764</v>
      </c>
    </row>
    <row r="76" spans="1:8" ht="18" x14ac:dyDescent="0.3">
      <c r="A76" s="121">
        <v>45986</v>
      </c>
      <c r="B76" s="122" t="s">
        <v>54</v>
      </c>
      <c r="C76" s="123" t="s">
        <v>767</v>
      </c>
      <c r="D76" s="122" t="s">
        <v>752</v>
      </c>
      <c r="E76" s="124">
        <v>1.697916666666667</v>
      </c>
      <c r="F76" s="122" t="s">
        <v>60</v>
      </c>
      <c r="G76" s="125">
        <v>3</v>
      </c>
      <c r="H76" s="122" t="s">
        <v>293</v>
      </c>
    </row>
    <row r="77" spans="1:8" ht="18" x14ac:dyDescent="0.3">
      <c r="A77" s="127">
        <v>45986</v>
      </c>
      <c r="B77" s="128" t="s">
        <v>54</v>
      </c>
      <c r="C77" s="129" t="s">
        <v>772</v>
      </c>
      <c r="D77" s="128" t="s">
        <v>752</v>
      </c>
      <c r="E77" s="130">
        <v>1.819444444444444</v>
      </c>
      <c r="F77" s="128" t="s">
        <v>56</v>
      </c>
      <c r="G77" s="131">
        <v>2</v>
      </c>
      <c r="H77" s="128" t="s">
        <v>769</v>
      </c>
    </row>
    <row r="78" spans="1:8" ht="18" x14ac:dyDescent="0.3">
      <c r="A78" s="121">
        <v>45986</v>
      </c>
      <c r="B78" s="122" t="s">
        <v>54</v>
      </c>
      <c r="C78" s="123" t="s">
        <v>772</v>
      </c>
      <c r="D78" s="122" t="s">
        <v>752</v>
      </c>
      <c r="E78" s="124">
        <v>1.819444444444444</v>
      </c>
      <c r="F78" s="122" t="s">
        <v>58</v>
      </c>
      <c r="G78" s="125">
        <v>2</v>
      </c>
      <c r="H78" s="122" t="s">
        <v>770</v>
      </c>
    </row>
    <row r="79" spans="1:8" ht="18" x14ac:dyDescent="0.3">
      <c r="A79" s="121">
        <v>45986</v>
      </c>
      <c r="B79" s="122" t="s">
        <v>54</v>
      </c>
      <c r="C79" s="123" t="s">
        <v>772</v>
      </c>
      <c r="D79" s="122" t="s">
        <v>752</v>
      </c>
      <c r="E79" s="124">
        <v>1.819444444444444</v>
      </c>
      <c r="F79" s="122" t="s">
        <v>60</v>
      </c>
      <c r="G79" s="125">
        <v>2</v>
      </c>
      <c r="H79" s="122" t="s">
        <v>771</v>
      </c>
    </row>
    <row r="80" spans="1:8" ht="18" x14ac:dyDescent="0.3">
      <c r="A80" s="127">
        <v>45986</v>
      </c>
      <c r="B80" s="128" t="s">
        <v>54</v>
      </c>
      <c r="C80" s="129" t="s">
        <v>768</v>
      </c>
      <c r="D80" s="128" t="s">
        <v>752</v>
      </c>
      <c r="E80" s="130">
        <v>1.958333333333333</v>
      </c>
      <c r="F80" s="128" t="s">
        <v>56</v>
      </c>
      <c r="G80" s="131">
        <v>3</v>
      </c>
      <c r="H80" s="128" t="s">
        <v>275</v>
      </c>
    </row>
    <row r="81" spans="1:8" ht="18" x14ac:dyDescent="0.3">
      <c r="A81" s="121">
        <v>45986</v>
      </c>
      <c r="B81" s="122" t="s">
        <v>54</v>
      </c>
      <c r="C81" s="123" t="s">
        <v>768</v>
      </c>
      <c r="D81" s="122" t="s">
        <v>752</v>
      </c>
      <c r="E81" s="124">
        <v>1.958333333333333</v>
      </c>
      <c r="F81" s="122" t="s">
        <v>58</v>
      </c>
      <c r="G81" s="125">
        <v>3</v>
      </c>
      <c r="H81" s="122" t="s">
        <v>79</v>
      </c>
    </row>
    <row r="82" spans="1:8" ht="18" x14ac:dyDescent="0.3">
      <c r="A82" s="121">
        <v>45986</v>
      </c>
      <c r="B82" s="122" t="s">
        <v>54</v>
      </c>
      <c r="C82" s="123" t="s">
        <v>768</v>
      </c>
      <c r="D82" s="122" t="s">
        <v>752</v>
      </c>
      <c r="E82" s="124">
        <v>1.958333333333333</v>
      </c>
      <c r="F82" s="122" t="s">
        <v>60</v>
      </c>
      <c r="G82" s="125">
        <v>3</v>
      </c>
      <c r="H82" s="122" t="s">
        <v>799</v>
      </c>
    </row>
    <row r="83" spans="1:8" ht="18" x14ac:dyDescent="0.3">
      <c r="A83" s="136">
        <v>45986</v>
      </c>
      <c r="B83" s="137" t="s">
        <v>71</v>
      </c>
      <c r="C83" s="138" t="s">
        <v>778</v>
      </c>
      <c r="D83" s="137" t="s">
        <v>752</v>
      </c>
      <c r="E83" s="139">
        <v>1.7152777777777779</v>
      </c>
      <c r="F83" s="137" t="s">
        <v>81</v>
      </c>
      <c r="G83" s="140">
        <v>1</v>
      </c>
      <c r="H83" s="137" t="s">
        <v>779</v>
      </c>
    </row>
    <row r="84" spans="1:8" ht="18" x14ac:dyDescent="0.3">
      <c r="A84" s="126">
        <v>45986</v>
      </c>
      <c r="B84" s="116" t="s">
        <v>360</v>
      </c>
      <c r="C84" s="117" t="s">
        <v>801</v>
      </c>
      <c r="D84" s="116" t="s">
        <v>752</v>
      </c>
      <c r="E84" s="118">
        <v>1.0902777777777779</v>
      </c>
      <c r="F84" s="116" t="s">
        <v>81</v>
      </c>
      <c r="G84" s="119">
        <v>1</v>
      </c>
      <c r="H84" s="116" t="s">
        <v>802</v>
      </c>
    </row>
    <row r="85" spans="1:8" ht="18" x14ac:dyDescent="0.3">
      <c r="A85" s="126">
        <v>45986</v>
      </c>
      <c r="B85" s="116" t="s">
        <v>280</v>
      </c>
      <c r="C85" s="117" t="s">
        <v>775</v>
      </c>
      <c r="D85" s="116" t="s">
        <v>752</v>
      </c>
      <c r="E85" s="118">
        <v>1.4375</v>
      </c>
      <c r="F85" s="116" t="s">
        <v>282</v>
      </c>
      <c r="G85" s="119">
        <v>9</v>
      </c>
      <c r="H85" s="116" t="s">
        <v>803</v>
      </c>
    </row>
    <row r="86" spans="1:8" ht="18" x14ac:dyDescent="0.3">
      <c r="A86" s="121">
        <v>45986</v>
      </c>
      <c r="B86" s="122" t="s">
        <v>280</v>
      </c>
      <c r="C86" s="123" t="s">
        <v>775</v>
      </c>
      <c r="D86" s="122" t="s">
        <v>752</v>
      </c>
      <c r="E86" s="124">
        <v>1.4375</v>
      </c>
      <c r="F86" s="122" t="s">
        <v>33</v>
      </c>
      <c r="G86" s="125">
        <v>9</v>
      </c>
      <c r="H86" s="122" t="s">
        <v>804</v>
      </c>
    </row>
    <row r="87" spans="1:8" ht="18" x14ac:dyDescent="0.3">
      <c r="A87" s="126">
        <v>45986</v>
      </c>
      <c r="B87" s="116" t="s">
        <v>35</v>
      </c>
      <c r="C87" s="117" t="s">
        <v>782</v>
      </c>
      <c r="D87" s="116" t="s">
        <v>752</v>
      </c>
      <c r="E87" s="118">
        <v>1.444444444444444</v>
      </c>
      <c r="F87" s="116" t="s">
        <v>42</v>
      </c>
      <c r="G87" s="119">
        <v>9</v>
      </c>
      <c r="H87" s="116" t="s">
        <v>783</v>
      </c>
    </row>
    <row r="88" spans="1:8" ht="18" x14ac:dyDescent="0.3">
      <c r="A88" s="127">
        <v>45986</v>
      </c>
      <c r="B88" s="128" t="s">
        <v>35</v>
      </c>
      <c r="C88" s="129" t="s">
        <v>792</v>
      </c>
      <c r="D88" s="128" t="s">
        <v>752</v>
      </c>
      <c r="E88" s="130">
        <v>1.6284722222222221</v>
      </c>
      <c r="F88" s="128" t="s">
        <v>42</v>
      </c>
      <c r="G88" s="131">
        <v>9</v>
      </c>
      <c r="H88" s="128" t="s">
        <v>783</v>
      </c>
    </row>
    <row r="89" spans="1:8" ht="18" x14ac:dyDescent="0.3">
      <c r="A89" s="127">
        <v>45986</v>
      </c>
      <c r="B89" s="128" t="s">
        <v>35</v>
      </c>
      <c r="C89" s="129" t="s">
        <v>788</v>
      </c>
      <c r="D89" s="128" t="s">
        <v>752</v>
      </c>
      <c r="E89" s="130">
        <v>1.6284722222222221</v>
      </c>
      <c r="F89" s="128" t="s">
        <v>42</v>
      </c>
      <c r="G89" s="131">
        <v>4</v>
      </c>
      <c r="H89" s="128" t="s">
        <v>787</v>
      </c>
    </row>
    <row r="90" spans="1:8" ht="18" x14ac:dyDescent="0.3">
      <c r="A90" s="127">
        <v>45986</v>
      </c>
      <c r="B90" s="128" t="s">
        <v>35</v>
      </c>
      <c r="C90" s="129" t="s">
        <v>786</v>
      </c>
      <c r="D90" s="128" t="s">
        <v>752</v>
      </c>
      <c r="E90" s="130">
        <v>1.8888888888888891</v>
      </c>
      <c r="F90" s="128" t="s">
        <v>42</v>
      </c>
      <c r="G90" s="131">
        <v>4</v>
      </c>
      <c r="H90" s="128" t="s">
        <v>805</v>
      </c>
    </row>
    <row r="91" spans="1:8" ht="18" x14ac:dyDescent="0.3">
      <c r="A91" s="127">
        <v>45986</v>
      </c>
      <c r="B91" s="128" t="s">
        <v>35</v>
      </c>
      <c r="C91" s="129" t="s">
        <v>789</v>
      </c>
      <c r="D91" s="128" t="s">
        <v>752</v>
      </c>
      <c r="E91" s="130">
        <v>1.944444444444444</v>
      </c>
      <c r="F91" s="128" t="s">
        <v>42</v>
      </c>
      <c r="G91" s="131">
        <v>4</v>
      </c>
      <c r="H91" s="128" t="s">
        <v>805</v>
      </c>
    </row>
    <row r="92" spans="1:8" ht="18" x14ac:dyDescent="0.3">
      <c r="A92" s="127">
        <v>45986</v>
      </c>
      <c r="B92" s="128" t="s">
        <v>35</v>
      </c>
      <c r="C92" s="129" t="s">
        <v>784</v>
      </c>
      <c r="D92" s="128" t="s">
        <v>752</v>
      </c>
      <c r="E92" s="130">
        <v>1.8298611111111109</v>
      </c>
      <c r="F92" s="128" t="s">
        <v>42</v>
      </c>
      <c r="G92" s="131">
        <v>7</v>
      </c>
      <c r="H92" s="128" t="s">
        <v>791</v>
      </c>
    </row>
    <row r="93" spans="1:8" ht="18" x14ac:dyDescent="0.3">
      <c r="A93" s="127">
        <v>45986</v>
      </c>
      <c r="B93" s="128" t="s">
        <v>35</v>
      </c>
      <c r="C93" s="129" t="s">
        <v>785</v>
      </c>
      <c r="D93" s="128" t="s">
        <v>752</v>
      </c>
      <c r="E93" s="130">
        <v>1.9826388888888891</v>
      </c>
      <c r="F93" s="128" t="s">
        <v>42</v>
      </c>
      <c r="G93" s="131">
        <v>9</v>
      </c>
      <c r="H93" s="128" t="s">
        <v>791</v>
      </c>
    </row>
    <row r="94" spans="1:8" ht="18" x14ac:dyDescent="0.3">
      <c r="A94" s="127">
        <v>45986</v>
      </c>
      <c r="B94" s="128" t="s">
        <v>35</v>
      </c>
      <c r="C94" s="129" t="s">
        <v>806</v>
      </c>
      <c r="D94" s="128" t="s">
        <v>752</v>
      </c>
      <c r="E94" s="130">
        <v>1.697916666666667</v>
      </c>
      <c r="F94" s="128" t="s">
        <v>42</v>
      </c>
      <c r="G94" s="131">
        <v>9</v>
      </c>
      <c r="H94" s="128" t="s">
        <v>791</v>
      </c>
    </row>
    <row r="95" spans="1:8" ht="18" x14ac:dyDescent="0.3">
      <c r="A95" s="126">
        <v>45986</v>
      </c>
      <c r="B95" s="116" t="s">
        <v>63</v>
      </c>
      <c r="C95" s="117" t="s">
        <v>795</v>
      </c>
      <c r="D95" s="116" t="s">
        <v>752</v>
      </c>
      <c r="E95" s="118">
        <v>1.9826388888888891</v>
      </c>
      <c r="F95" s="116" t="s">
        <v>48</v>
      </c>
      <c r="G95" s="119">
        <v>5</v>
      </c>
      <c r="H95" s="116" t="s">
        <v>794</v>
      </c>
    </row>
    <row r="96" spans="1:8" ht="18" x14ac:dyDescent="0.3">
      <c r="A96" s="127">
        <v>45986</v>
      </c>
      <c r="B96" s="128" t="s">
        <v>63</v>
      </c>
      <c r="C96" s="129" t="s">
        <v>796</v>
      </c>
      <c r="D96" s="128" t="s">
        <v>752</v>
      </c>
      <c r="E96" s="130">
        <v>1.354166666666667</v>
      </c>
      <c r="F96" s="128" t="s">
        <v>48</v>
      </c>
      <c r="G96" s="131">
        <v>1</v>
      </c>
      <c r="H96" s="128" t="s">
        <v>794</v>
      </c>
    </row>
    <row r="97" spans="1:8" ht="18" x14ac:dyDescent="0.3">
      <c r="A97" s="150">
        <v>45986</v>
      </c>
      <c r="B97" s="151" t="s">
        <v>63</v>
      </c>
      <c r="C97" s="152" t="s">
        <v>793</v>
      </c>
      <c r="D97" s="151" t="s">
        <v>752</v>
      </c>
      <c r="E97" s="153">
        <v>1.729166666666667</v>
      </c>
      <c r="F97" s="151" t="s">
        <v>48</v>
      </c>
      <c r="G97" s="154">
        <v>5</v>
      </c>
      <c r="H97" s="151" t="s">
        <v>807</v>
      </c>
    </row>
    <row r="98" spans="1:8" ht="18" x14ac:dyDescent="0.3">
      <c r="A98" s="115">
        <v>45987</v>
      </c>
      <c r="B98" s="116" t="s">
        <v>25</v>
      </c>
      <c r="C98" s="117" t="s">
        <v>756</v>
      </c>
      <c r="D98" s="116" t="s">
        <v>752</v>
      </c>
      <c r="E98" s="118">
        <v>1.6284722222222221</v>
      </c>
      <c r="F98" s="116" t="s">
        <v>27</v>
      </c>
      <c r="G98" s="119">
        <v>3</v>
      </c>
      <c r="H98" s="120" t="s">
        <v>808</v>
      </c>
    </row>
    <row r="99" spans="1:8" ht="18" x14ac:dyDescent="0.3">
      <c r="A99" s="121">
        <v>45987</v>
      </c>
      <c r="B99" s="122" t="s">
        <v>25</v>
      </c>
      <c r="C99" s="123" t="s">
        <v>756</v>
      </c>
      <c r="D99" s="122" t="s">
        <v>752</v>
      </c>
      <c r="E99" s="124">
        <v>1.6284722222222221</v>
      </c>
      <c r="F99" s="122" t="s">
        <v>30</v>
      </c>
      <c r="G99" s="125">
        <v>3</v>
      </c>
      <c r="H99" s="122" t="s">
        <v>809</v>
      </c>
    </row>
    <row r="100" spans="1:8" ht="18" x14ac:dyDescent="0.3">
      <c r="A100" s="121">
        <v>45987</v>
      </c>
      <c r="B100" s="122" t="s">
        <v>25</v>
      </c>
      <c r="C100" s="123" t="s">
        <v>756</v>
      </c>
      <c r="D100" s="122" t="s">
        <v>752</v>
      </c>
      <c r="E100" s="124">
        <v>1.6284722222222221</v>
      </c>
      <c r="F100" s="122" t="s">
        <v>33</v>
      </c>
      <c r="G100" s="125">
        <v>3</v>
      </c>
      <c r="H100" s="122" t="s">
        <v>335</v>
      </c>
    </row>
    <row r="101" spans="1:8" ht="18" x14ac:dyDescent="0.3">
      <c r="A101" s="127">
        <v>45987</v>
      </c>
      <c r="B101" s="128" t="s">
        <v>25</v>
      </c>
      <c r="C101" s="129" t="s">
        <v>757</v>
      </c>
      <c r="D101" s="128" t="s">
        <v>752</v>
      </c>
      <c r="E101" s="130">
        <v>1.8888888888888891</v>
      </c>
      <c r="F101" s="128" t="s">
        <v>97</v>
      </c>
      <c r="G101" s="131">
        <v>2</v>
      </c>
      <c r="H101" s="128" t="s">
        <v>808</v>
      </c>
    </row>
    <row r="102" spans="1:8" ht="18" x14ac:dyDescent="0.3">
      <c r="A102" s="121">
        <v>45987</v>
      </c>
      <c r="B102" s="122" t="s">
        <v>25</v>
      </c>
      <c r="C102" s="123" t="s">
        <v>757</v>
      </c>
      <c r="D102" s="122" t="s">
        <v>752</v>
      </c>
      <c r="E102" s="124">
        <v>1.8888888888888891</v>
      </c>
      <c r="F102" s="122" t="s">
        <v>27</v>
      </c>
      <c r="G102" s="125">
        <v>2</v>
      </c>
      <c r="H102" s="122" t="s">
        <v>808</v>
      </c>
    </row>
    <row r="103" spans="1:8" ht="18" x14ac:dyDescent="0.3">
      <c r="A103" s="121">
        <v>45987</v>
      </c>
      <c r="B103" s="122" t="s">
        <v>25</v>
      </c>
      <c r="C103" s="123" t="s">
        <v>757</v>
      </c>
      <c r="D103" s="122" t="s">
        <v>752</v>
      </c>
      <c r="E103" s="124">
        <v>1.8888888888888891</v>
      </c>
      <c r="F103" s="122" t="s">
        <v>30</v>
      </c>
      <c r="G103" s="125">
        <v>2</v>
      </c>
      <c r="H103" s="122" t="s">
        <v>809</v>
      </c>
    </row>
    <row r="104" spans="1:8" ht="18" x14ac:dyDescent="0.3">
      <c r="A104" s="121">
        <v>45987</v>
      </c>
      <c r="B104" s="122" t="s">
        <v>25</v>
      </c>
      <c r="C104" s="123" t="s">
        <v>757</v>
      </c>
      <c r="D104" s="122" t="s">
        <v>752</v>
      </c>
      <c r="E104" s="124">
        <v>1.8888888888888891</v>
      </c>
      <c r="F104" s="122" t="s">
        <v>33</v>
      </c>
      <c r="G104" s="125">
        <v>2</v>
      </c>
      <c r="H104" s="122" t="s">
        <v>335</v>
      </c>
    </row>
    <row r="105" spans="1:8" ht="18" x14ac:dyDescent="0.3">
      <c r="A105" s="127">
        <v>45987</v>
      </c>
      <c r="B105" s="128" t="s">
        <v>25</v>
      </c>
      <c r="C105" s="129" t="s">
        <v>759</v>
      </c>
      <c r="D105" s="128" t="s">
        <v>752</v>
      </c>
      <c r="E105" s="130">
        <v>1.944444444444444</v>
      </c>
      <c r="F105" s="128" t="s">
        <v>27</v>
      </c>
      <c r="G105" s="131">
        <v>5</v>
      </c>
      <c r="H105" s="128" t="s">
        <v>808</v>
      </c>
    </row>
    <row r="106" spans="1:8" ht="18" x14ac:dyDescent="0.3">
      <c r="A106" s="121">
        <v>45987</v>
      </c>
      <c r="B106" s="122" t="s">
        <v>25</v>
      </c>
      <c r="C106" s="123" t="s">
        <v>759</v>
      </c>
      <c r="D106" s="122" t="s">
        <v>752</v>
      </c>
      <c r="E106" s="124">
        <v>1.944444444444444</v>
      </c>
      <c r="F106" s="122" t="s">
        <v>30</v>
      </c>
      <c r="G106" s="125">
        <v>5</v>
      </c>
      <c r="H106" s="122" t="s">
        <v>809</v>
      </c>
    </row>
    <row r="107" spans="1:8" ht="18" x14ac:dyDescent="0.3">
      <c r="A107" s="121">
        <v>45987</v>
      </c>
      <c r="B107" s="122" t="s">
        <v>25</v>
      </c>
      <c r="C107" s="123" t="s">
        <v>759</v>
      </c>
      <c r="D107" s="122" t="s">
        <v>752</v>
      </c>
      <c r="E107" s="124">
        <v>1.944444444444444</v>
      </c>
      <c r="F107" s="122" t="s">
        <v>33</v>
      </c>
      <c r="G107" s="125">
        <v>5</v>
      </c>
      <c r="H107" s="122" t="s">
        <v>335</v>
      </c>
    </row>
    <row r="108" spans="1:8" ht="18" x14ac:dyDescent="0.3">
      <c r="A108" s="127">
        <v>45987</v>
      </c>
      <c r="B108" s="128" t="s">
        <v>25</v>
      </c>
      <c r="C108" s="129" t="s">
        <v>753</v>
      </c>
      <c r="D108" s="128" t="s">
        <v>752</v>
      </c>
      <c r="E108" s="130">
        <v>1.5763888888888891</v>
      </c>
      <c r="F108" s="128" t="s">
        <v>27</v>
      </c>
      <c r="G108" s="131">
        <v>2</v>
      </c>
      <c r="H108" s="128" t="s">
        <v>797</v>
      </c>
    </row>
    <row r="109" spans="1:8" ht="18" x14ac:dyDescent="0.3">
      <c r="A109" s="121">
        <v>45987</v>
      </c>
      <c r="B109" s="122" t="s">
        <v>25</v>
      </c>
      <c r="C109" s="123" t="s">
        <v>753</v>
      </c>
      <c r="D109" s="122" t="s">
        <v>752</v>
      </c>
      <c r="E109" s="124">
        <v>1.5763888888888891</v>
      </c>
      <c r="F109" s="122" t="s">
        <v>30</v>
      </c>
      <c r="G109" s="125">
        <v>2</v>
      </c>
      <c r="H109" s="122" t="s">
        <v>798</v>
      </c>
    </row>
    <row r="110" spans="1:8" ht="18" x14ac:dyDescent="0.3">
      <c r="A110" s="121">
        <v>45987</v>
      </c>
      <c r="B110" s="122" t="s">
        <v>25</v>
      </c>
      <c r="C110" s="123" t="s">
        <v>753</v>
      </c>
      <c r="D110" s="122" t="s">
        <v>752</v>
      </c>
      <c r="E110" s="124">
        <v>1.5763888888888891</v>
      </c>
      <c r="F110" s="122" t="s">
        <v>33</v>
      </c>
      <c r="G110" s="125">
        <v>2</v>
      </c>
      <c r="H110" s="122" t="s">
        <v>335</v>
      </c>
    </row>
    <row r="111" spans="1:8" ht="18" x14ac:dyDescent="0.3">
      <c r="A111" s="126">
        <v>45987</v>
      </c>
      <c r="B111" s="116" t="s">
        <v>54</v>
      </c>
      <c r="C111" s="117" t="s">
        <v>762</v>
      </c>
      <c r="D111" s="116" t="s">
        <v>752</v>
      </c>
      <c r="E111" s="118">
        <v>1.4375</v>
      </c>
      <c r="F111" s="116" t="s">
        <v>56</v>
      </c>
      <c r="G111" s="119">
        <v>1</v>
      </c>
      <c r="H111" s="116" t="s">
        <v>763</v>
      </c>
    </row>
    <row r="112" spans="1:8" ht="18" x14ac:dyDescent="0.3">
      <c r="A112" s="121">
        <v>45987</v>
      </c>
      <c r="B112" s="122" t="s">
        <v>54</v>
      </c>
      <c r="C112" s="123" t="s">
        <v>762</v>
      </c>
      <c r="D112" s="122" t="s">
        <v>752</v>
      </c>
      <c r="E112" s="124">
        <v>1.4375</v>
      </c>
      <c r="F112" s="122" t="s">
        <v>58</v>
      </c>
      <c r="G112" s="125">
        <v>1</v>
      </c>
      <c r="H112" s="122" t="s">
        <v>764</v>
      </c>
    </row>
    <row r="113" spans="1:8" ht="18" x14ac:dyDescent="0.3">
      <c r="A113" s="121">
        <v>45987</v>
      </c>
      <c r="B113" s="122" t="s">
        <v>54</v>
      </c>
      <c r="C113" s="123" t="s">
        <v>762</v>
      </c>
      <c r="D113" s="122" t="s">
        <v>752</v>
      </c>
      <c r="E113" s="124">
        <v>1.4375</v>
      </c>
      <c r="F113" s="122" t="s">
        <v>60</v>
      </c>
      <c r="G113" s="125">
        <v>1</v>
      </c>
      <c r="H113" s="122" t="s">
        <v>293</v>
      </c>
    </row>
    <row r="114" spans="1:8" ht="18" x14ac:dyDescent="0.3">
      <c r="A114" s="127">
        <v>45987</v>
      </c>
      <c r="B114" s="128" t="s">
        <v>54</v>
      </c>
      <c r="C114" s="129" t="s">
        <v>765</v>
      </c>
      <c r="D114" s="128" t="s">
        <v>752</v>
      </c>
      <c r="E114" s="130">
        <v>1.631944444444444</v>
      </c>
      <c r="F114" s="128" t="s">
        <v>56</v>
      </c>
      <c r="G114" s="131">
        <v>7</v>
      </c>
      <c r="H114" s="128" t="s">
        <v>763</v>
      </c>
    </row>
    <row r="115" spans="1:8" ht="18" x14ac:dyDescent="0.3">
      <c r="A115" s="121">
        <v>45987</v>
      </c>
      <c r="B115" s="122" t="s">
        <v>54</v>
      </c>
      <c r="C115" s="123" t="s">
        <v>765</v>
      </c>
      <c r="D115" s="122" t="s">
        <v>752</v>
      </c>
      <c r="E115" s="124">
        <v>1.631944444444444</v>
      </c>
      <c r="F115" s="122" t="s">
        <v>58</v>
      </c>
      <c r="G115" s="125">
        <v>7</v>
      </c>
      <c r="H115" s="122" t="s">
        <v>764</v>
      </c>
    </row>
    <row r="116" spans="1:8" ht="18" x14ac:dyDescent="0.3">
      <c r="A116" s="121">
        <v>45987</v>
      </c>
      <c r="B116" s="122" t="s">
        <v>54</v>
      </c>
      <c r="C116" s="123" t="s">
        <v>765</v>
      </c>
      <c r="D116" s="122" t="s">
        <v>752</v>
      </c>
      <c r="E116" s="124">
        <v>1.631944444444444</v>
      </c>
      <c r="F116" s="122" t="s">
        <v>60</v>
      </c>
      <c r="G116" s="125">
        <v>7</v>
      </c>
      <c r="H116" s="122" t="s">
        <v>293</v>
      </c>
    </row>
    <row r="117" spans="1:8" ht="18" x14ac:dyDescent="0.3">
      <c r="A117" s="127">
        <v>45987</v>
      </c>
      <c r="B117" s="128" t="s">
        <v>54</v>
      </c>
      <c r="C117" s="129" t="s">
        <v>766</v>
      </c>
      <c r="D117" s="128" t="s">
        <v>752</v>
      </c>
      <c r="E117" s="130">
        <v>1.5590277777777779</v>
      </c>
      <c r="F117" s="128" t="s">
        <v>56</v>
      </c>
      <c r="G117" s="131">
        <v>5</v>
      </c>
      <c r="H117" s="128" t="s">
        <v>763</v>
      </c>
    </row>
    <row r="118" spans="1:8" ht="18" x14ac:dyDescent="0.3">
      <c r="A118" s="121">
        <v>45987</v>
      </c>
      <c r="B118" s="122" t="s">
        <v>54</v>
      </c>
      <c r="C118" s="123" t="s">
        <v>766</v>
      </c>
      <c r="D118" s="122" t="s">
        <v>752</v>
      </c>
      <c r="E118" s="124">
        <v>1.5590277777777779</v>
      </c>
      <c r="F118" s="122" t="s">
        <v>58</v>
      </c>
      <c r="G118" s="125">
        <v>5</v>
      </c>
      <c r="H118" s="122" t="s">
        <v>764</v>
      </c>
    </row>
    <row r="119" spans="1:8" ht="18" x14ac:dyDescent="0.3">
      <c r="A119" s="121">
        <v>45987</v>
      </c>
      <c r="B119" s="122" t="s">
        <v>54</v>
      </c>
      <c r="C119" s="123" t="s">
        <v>766</v>
      </c>
      <c r="D119" s="122" t="s">
        <v>752</v>
      </c>
      <c r="E119" s="124">
        <v>1.5590277777777779</v>
      </c>
      <c r="F119" s="122" t="s">
        <v>60</v>
      </c>
      <c r="G119" s="125">
        <v>5</v>
      </c>
      <c r="H119" s="122" t="s">
        <v>293</v>
      </c>
    </row>
    <row r="120" spans="1:8" ht="18" x14ac:dyDescent="0.3">
      <c r="A120" s="127">
        <v>45987</v>
      </c>
      <c r="B120" s="128" t="s">
        <v>54</v>
      </c>
      <c r="C120" s="129" t="s">
        <v>760</v>
      </c>
      <c r="D120" s="128" t="s">
        <v>752</v>
      </c>
      <c r="E120" s="130">
        <v>1.506944444444444</v>
      </c>
      <c r="F120" s="128" t="s">
        <v>56</v>
      </c>
      <c r="G120" s="131">
        <v>9</v>
      </c>
      <c r="H120" s="128" t="s">
        <v>763</v>
      </c>
    </row>
    <row r="121" spans="1:8" ht="18" x14ac:dyDescent="0.3">
      <c r="A121" s="121">
        <v>45987</v>
      </c>
      <c r="B121" s="122" t="s">
        <v>54</v>
      </c>
      <c r="C121" s="123" t="s">
        <v>760</v>
      </c>
      <c r="D121" s="122" t="s">
        <v>752</v>
      </c>
      <c r="E121" s="124">
        <v>1.506944444444444</v>
      </c>
      <c r="F121" s="122" t="s">
        <v>58</v>
      </c>
      <c r="G121" s="125">
        <v>9</v>
      </c>
      <c r="H121" s="122" t="s">
        <v>764</v>
      </c>
    </row>
    <row r="122" spans="1:8" ht="18" x14ac:dyDescent="0.3">
      <c r="A122" s="121">
        <v>45987</v>
      </c>
      <c r="B122" s="122" t="s">
        <v>54</v>
      </c>
      <c r="C122" s="123" t="s">
        <v>760</v>
      </c>
      <c r="D122" s="122" t="s">
        <v>752</v>
      </c>
      <c r="E122" s="124">
        <v>1.506944444444444</v>
      </c>
      <c r="F122" s="122" t="s">
        <v>60</v>
      </c>
      <c r="G122" s="125">
        <v>9</v>
      </c>
      <c r="H122" s="122" t="s">
        <v>293</v>
      </c>
    </row>
    <row r="123" spans="1:8" ht="18" x14ac:dyDescent="0.3">
      <c r="A123" s="127">
        <v>45987</v>
      </c>
      <c r="B123" s="128" t="s">
        <v>54</v>
      </c>
      <c r="C123" s="129" t="s">
        <v>772</v>
      </c>
      <c r="D123" s="128" t="s">
        <v>752</v>
      </c>
      <c r="E123" s="130">
        <v>1.819444444444444</v>
      </c>
      <c r="F123" s="128" t="s">
        <v>56</v>
      </c>
      <c r="G123" s="131">
        <v>9</v>
      </c>
      <c r="H123" s="128" t="s">
        <v>769</v>
      </c>
    </row>
    <row r="124" spans="1:8" ht="18" x14ac:dyDescent="0.3">
      <c r="A124" s="121">
        <v>45987</v>
      </c>
      <c r="B124" s="122" t="s">
        <v>54</v>
      </c>
      <c r="C124" s="123" t="s">
        <v>772</v>
      </c>
      <c r="D124" s="122" t="s">
        <v>752</v>
      </c>
      <c r="E124" s="124">
        <v>1.819444444444444</v>
      </c>
      <c r="F124" s="122" t="s">
        <v>58</v>
      </c>
      <c r="G124" s="125">
        <v>9</v>
      </c>
      <c r="H124" s="122" t="s">
        <v>770</v>
      </c>
    </row>
    <row r="125" spans="1:8" ht="18" x14ac:dyDescent="0.3">
      <c r="A125" s="121">
        <v>45987</v>
      </c>
      <c r="B125" s="122" t="s">
        <v>54</v>
      </c>
      <c r="C125" s="123" t="s">
        <v>772</v>
      </c>
      <c r="D125" s="122" t="s">
        <v>752</v>
      </c>
      <c r="E125" s="124">
        <v>1.819444444444444</v>
      </c>
      <c r="F125" s="122" t="s">
        <v>60</v>
      </c>
      <c r="G125" s="125">
        <v>9</v>
      </c>
      <c r="H125" s="122" t="s">
        <v>771</v>
      </c>
    </row>
    <row r="126" spans="1:8" ht="18" x14ac:dyDescent="0.3">
      <c r="A126" s="127">
        <v>45987</v>
      </c>
      <c r="B126" s="128" t="s">
        <v>54</v>
      </c>
      <c r="C126" s="129" t="s">
        <v>767</v>
      </c>
      <c r="D126" s="128" t="s">
        <v>752</v>
      </c>
      <c r="E126" s="130">
        <v>1.697916666666667</v>
      </c>
      <c r="F126" s="128" t="s">
        <v>56</v>
      </c>
      <c r="G126" s="131">
        <v>3</v>
      </c>
      <c r="H126" s="128" t="s">
        <v>769</v>
      </c>
    </row>
    <row r="127" spans="1:8" ht="18" x14ac:dyDescent="0.3">
      <c r="A127" s="121">
        <v>45987</v>
      </c>
      <c r="B127" s="122" t="s">
        <v>54</v>
      </c>
      <c r="C127" s="123" t="s">
        <v>767</v>
      </c>
      <c r="D127" s="122" t="s">
        <v>752</v>
      </c>
      <c r="E127" s="124">
        <v>1.697916666666667</v>
      </c>
      <c r="F127" s="122" t="s">
        <v>58</v>
      </c>
      <c r="G127" s="125">
        <v>3</v>
      </c>
      <c r="H127" s="122" t="s">
        <v>770</v>
      </c>
    </row>
    <row r="128" spans="1:8" ht="18" x14ac:dyDescent="0.3">
      <c r="A128" s="121">
        <v>45987</v>
      </c>
      <c r="B128" s="122" t="s">
        <v>54</v>
      </c>
      <c r="C128" s="123" t="s">
        <v>767</v>
      </c>
      <c r="D128" s="122" t="s">
        <v>752</v>
      </c>
      <c r="E128" s="124">
        <v>1.697916666666667</v>
      </c>
      <c r="F128" s="122" t="s">
        <v>60</v>
      </c>
      <c r="G128" s="125">
        <v>3</v>
      </c>
      <c r="H128" s="122" t="s">
        <v>771</v>
      </c>
    </row>
    <row r="129" spans="1:8" ht="18" x14ac:dyDescent="0.3">
      <c r="A129" s="127">
        <v>45987</v>
      </c>
      <c r="B129" s="128" t="s">
        <v>54</v>
      </c>
      <c r="C129" s="129" t="s">
        <v>768</v>
      </c>
      <c r="D129" s="128" t="s">
        <v>752</v>
      </c>
      <c r="E129" s="130">
        <v>1.958333333333333</v>
      </c>
      <c r="F129" s="128" t="s">
        <v>56</v>
      </c>
      <c r="G129" s="131">
        <v>4</v>
      </c>
      <c r="H129" s="128" t="s">
        <v>275</v>
      </c>
    </row>
    <row r="130" spans="1:8" ht="18" x14ac:dyDescent="0.3">
      <c r="A130" s="121">
        <v>45987</v>
      </c>
      <c r="B130" s="122" t="s">
        <v>54</v>
      </c>
      <c r="C130" s="123" t="s">
        <v>768</v>
      </c>
      <c r="D130" s="122" t="s">
        <v>752</v>
      </c>
      <c r="E130" s="124">
        <v>1.958333333333333</v>
      </c>
      <c r="F130" s="122" t="s">
        <v>58</v>
      </c>
      <c r="G130" s="125">
        <v>4</v>
      </c>
      <c r="H130" s="122" t="s">
        <v>79</v>
      </c>
    </row>
    <row r="131" spans="1:8" ht="18" x14ac:dyDescent="0.3">
      <c r="A131" s="121">
        <v>45987</v>
      </c>
      <c r="B131" s="122" t="s">
        <v>54</v>
      </c>
      <c r="C131" s="123" t="s">
        <v>768</v>
      </c>
      <c r="D131" s="122" t="s">
        <v>752</v>
      </c>
      <c r="E131" s="124">
        <v>1.958333333333333</v>
      </c>
      <c r="F131" s="122" t="s">
        <v>60</v>
      </c>
      <c r="G131" s="125">
        <v>4</v>
      </c>
      <c r="H131" s="122" t="s">
        <v>799</v>
      </c>
    </row>
    <row r="132" spans="1:8" ht="18" x14ac:dyDescent="0.3">
      <c r="A132" s="136">
        <v>45987</v>
      </c>
      <c r="B132" s="137" t="s">
        <v>71</v>
      </c>
      <c r="C132" s="138" t="s">
        <v>810</v>
      </c>
      <c r="D132" s="137" t="s">
        <v>752</v>
      </c>
      <c r="E132" s="139">
        <v>1.413194444444444</v>
      </c>
      <c r="F132" s="137" t="s">
        <v>81</v>
      </c>
      <c r="G132" s="140">
        <v>1</v>
      </c>
      <c r="H132" s="137" t="s">
        <v>779</v>
      </c>
    </row>
    <row r="133" spans="1:8" ht="18" x14ac:dyDescent="0.3">
      <c r="A133" s="141">
        <v>45987</v>
      </c>
      <c r="B133" s="142" t="s">
        <v>71</v>
      </c>
      <c r="C133" s="143" t="s">
        <v>778</v>
      </c>
      <c r="D133" s="142" t="s">
        <v>752</v>
      </c>
      <c r="E133" s="144">
        <v>1.725694444444444</v>
      </c>
      <c r="F133" s="142" t="s">
        <v>81</v>
      </c>
      <c r="G133" s="236">
        <v>1</v>
      </c>
      <c r="H133" s="142" t="s">
        <v>813</v>
      </c>
    </row>
    <row r="134" spans="1:8" ht="18" x14ac:dyDescent="0.3">
      <c r="A134" s="126">
        <v>45987</v>
      </c>
      <c r="B134" s="116" t="s">
        <v>285</v>
      </c>
      <c r="C134" s="117" t="s">
        <v>773</v>
      </c>
      <c r="D134" s="116" t="s">
        <v>752</v>
      </c>
      <c r="E134" s="118">
        <v>1.614583333333333</v>
      </c>
      <c r="F134" s="116" t="s">
        <v>81</v>
      </c>
      <c r="G134" s="119">
        <v>7</v>
      </c>
      <c r="H134" s="116" t="s">
        <v>815</v>
      </c>
    </row>
    <row r="135" spans="1:8" ht="18" x14ac:dyDescent="0.3">
      <c r="A135" s="126">
        <v>45987</v>
      </c>
      <c r="B135" s="116" t="s">
        <v>280</v>
      </c>
      <c r="C135" s="117" t="s">
        <v>816</v>
      </c>
      <c r="D135" s="116" t="s">
        <v>752</v>
      </c>
      <c r="E135" s="118">
        <v>1.052083333333333</v>
      </c>
      <c r="F135" s="116" t="s">
        <v>282</v>
      </c>
      <c r="G135" s="119">
        <v>9</v>
      </c>
      <c r="H135" s="116" t="s">
        <v>817</v>
      </c>
    </row>
    <row r="136" spans="1:8" ht="18" x14ac:dyDescent="0.3">
      <c r="A136" s="121">
        <v>45987</v>
      </c>
      <c r="B136" s="122" t="s">
        <v>280</v>
      </c>
      <c r="C136" s="123" t="s">
        <v>816</v>
      </c>
      <c r="D136" s="122" t="s">
        <v>752</v>
      </c>
      <c r="E136" s="124">
        <v>1.052083333333333</v>
      </c>
      <c r="F136" s="122" t="s">
        <v>33</v>
      </c>
      <c r="G136" s="125">
        <v>9</v>
      </c>
      <c r="H136" s="122" t="s">
        <v>818</v>
      </c>
    </row>
    <row r="137" spans="1:8" ht="18" x14ac:dyDescent="0.3">
      <c r="A137" s="126">
        <v>45987</v>
      </c>
      <c r="B137" s="116" t="s">
        <v>360</v>
      </c>
      <c r="C137" s="117" t="s">
        <v>801</v>
      </c>
      <c r="D137" s="116" t="s">
        <v>752</v>
      </c>
      <c r="E137" s="118">
        <v>1.0902777777777779</v>
      </c>
      <c r="F137" s="116" t="s">
        <v>81</v>
      </c>
      <c r="G137" s="119">
        <v>6</v>
      </c>
      <c r="H137" s="116" t="s">
        <v>802</v>
      </c>
    </row>
    <row r="138" spans="1:8" ht="18" x14ac:dyDescent="0.3">
      <c r="A138" s="126">
        <v>45987</v>
      </c>
      <c r="B138" s="116" t="s">
        <v>35</v>
      </c>
      <c r="C138" s="117" t="s">
        <v>782</v>
      </c>
      <c r="D138" s="116" t="s">
        <v>752</v>
      </c>
      <c r="E138" s="118">
        <v>1.444444444444444</v>
      </c>
      <c r="F138" s="116" t="s">
        <v>42</v>
      </c>
      <c r="G138" s="119">
        <v>9</v>
      </c>
      <c r="H138" s="116" t="s">
        <v>783</v>
      </c>
    </row>
    <row r="139" spans="1:8" ht="18" x14ac:dyDescent="0.3">
      <c r="A139" s="127">
        <v>45987</v>
      </c>
      <c r="B139" s="128" t="s">
        <v>35</v>
      </c>
      <c r="C139" s="129" t="s">
        <v>784</v>
      </c>
      <c r="D139" s="128" t="s">
        <v>752</v>
      </c>
      <c r="E139" s="130">
        <v>1.8298611111111109</v>
      </c>
      <c r="F139" s="128" t="s">
        <v>42</v>
      </c>
      <c r="G139" s="131">
        <v>9</v>
      </c>
      <c r="H139" s="128" t="s">
        <v>783</v>
      </c>
    </row>
    <row r="140" spans="1:8" ht="18" x14ac:dyDescent="0.3">
      <c r="A140" s="127">
        <v>45987</v>
      </c>
      <c r="B140" s="128" t="s">
        <v>35</v>
      </c>
      <c r="C140" s="129" t="s">
        <v>792</v>
      </c>
      <c r="D140" s="128" t="s">
        <v>752</v>
      </c>
      <c r="E140" s="130">
        <v>1.6284722222222221</v>
      </c>
      <c r="F140" s="128" t="s">
        <v>42</v>
      </c>
      <c r="G140" s="131">
        <v>9</v>
      </c>
      <c r="H140" s="128" t="s">
        <v>783</v>
      </c>
    </row>
    <row r="141" spans="1:8" ht="18" x14ac:dyDescent="0.3">
      <c r="A141" s="127">
        <v>45987</v>
      </c>
      <c r="B141" s="128" t="s">
        <v>35</v>
      </c>
      <c r="C141" s="129" t="s">
        <v>789</v>
      </c>
      <c r="D141" s="128" t="s">
        <v>752</v>
      </c>
      <c r="E141" s="130">
        <v>1.944444444444444</v>
      </c>
      <c r="F141" s="128" t="s">
        <v>42</v>
      </c>
      <c r="G141" s="131">
        <v>4</v>
      </c>
      <c r="H141" s="128" t="s">
        <v>787</v>
      </c>
    </row>
    <row r="142" spans="1:8" ht="18" x14ac:dyDescent="0.3">
      <c r="A142" s="127">
        <v>45987</v>
      </c>
      <c r="B142" s="128" t="s">
        <v>35</v>
      </c>
      <c r="C142" s="129" t="s">
        <v>786</v>
      </c>
      <c r="D142" s="128" t="s">
        <v>752</v>
      </c>
      <c r="E142" s="130">
        <v>1.8888888888888891</v>
      </c>
      <c r="F142" s="128" t="s">
        <v>42</v>
      </c>
      <c r="G142" s="131">
        <v>4</v>
      </c>
      <c r="H142" s="128" t="s">
        <v>805</v>
      </c>
    </row>
    <row r="143" spans="1:8" ht="18" x14ac:dyDescent="0.3">
      <c r="A143" s="127">
        <v>45987</v>
      </c>
      <c r="B143" s="128" t="s">
        <v>35</v>
      </c>
      <c r="C143" s="129" t="s">
        <v>788</v>
      </c>
      <c r="D143" s="128" t="s">
        <v>752</v>
      </c>
      <c r="E143" s="130">
        <v>1.6284722222222221</v>
      </c>
      <c r="F143" s="128" t="s">
        <v>42</v>
      </c>
      <c r="G143" s="131">
        <v>4</v>
      </c>
      <c r="H143" s="128" t="s">
        <v>805</v>
      </c>
    </row>
    <row r="144" spans="1:8" ht="18" x14ac:dyDescent="0.3">
      <c r="A144" s="127">
        <v>45987</v>
      </c>
      <c r="B144" s="128" t="s">
        <v>35</v>
      </c>
      <c r="C144" s="129" t="s">
        <v>785</v>
      </c>
      <c r="D144" s="128" t="s">
        <v>752</v>
      </c>
      <c r="E144" s="130">
        <v>1.9826388888888891</v>
      </c>
      <c r="F144" s="128" t="s">
        <v>42</v>
      </c>
      <c r="G144" s="131">
        <v>9</v>
      </c>
      <c r="H144" s="128" t="s">
        <v>791</v>
      </c>
    </row>
    <row r="145" spans="1:8" ht="18" x14ac:dyDescent="0.3">
      <c r="A145" s="126">
        <v>45987</v>
      </c>
      <c r="B145" s="116" t="s">
        <v>63</v>
      </c>
      <c r="C145" s="117" t="s">
        <v>796</v>
      </c>
      <c r="D145" s="116" t="s">
        <v>752</v>
      </c>
      <c r="E145" s="118">
        <v>1.3472222222222221</v>
      </c>
      <c r="F145" s="116" t="s">
        <v>48</v>
      </c>
      <c r="G145" s="119">
        <v>9</v>
      </c>
      <c r="H145" s="116" t="s">
        <v>819</v>
      </c>
    </row>
    <row r="146" spans="1:8" ht="18" x14ac:dyDescent="0.3">
      <c r="A146" s="127">
        <v>45987</v>
      </c>
      <c r="B146" s="128" t="s">
        <v>63</v>
      </c>
      <c r="C146" s="129" t="s">
        <v>795</v>
      </c>
      <c r="D146" s="128" t="s">
        <v>752</v>
      </c>
      <c r="E146" s="130">
        <v>1.9826388888888891</v>
      </c>
      <c r="F146" s="128" t="s">
        <v>48</v>
      </c>
      <c r="G146" s="131">
        <v>9</v>
      </c>
      <c r="H146" s="128" t="s">
        <v>820</v>
      </c>
    </row>
    <row r="147" spans="1:8" ht="18" x14ac:dyDescent="0.3">
      <c r="A147" s="150">
        <v>45987</v>
      </c>
      <c r="B147" s="151" t="s">
        <v>63</v>
      </c>
      <c r="C147" s="152" t="s">
        <v>793</v>
      </c>
      <c r="D147" s="151" t="s">
        <v>752</v>
      </c>
      <c r="E147" s="153">
        <v>1.729166666666667</v>
      </c>
      <c r="F147" s="151" t="s">
        <v>48</v>
      </c>
      <c r="G147" s="154">
        <v>9</v>
      </c>
      <c r="H147" s="151" t="s">
        <v>821</v>
      </c>
    </row>
    <row r="148" spans="1:8" ht="18" x14ac:dyDescent="0.3">
      <c r="A148" s="115">
        <v>45988</v>
      </c>
      <c r="B148" s="116" t="s">
        <v>54</v>
      </c>
      <c r="C148" s="117" t="s">
        <v>762</v>
      </c>
      <c r="D148" s="116" t="s">
        <v>752</v>
      </c>
      <c r="E148" s="118">
        <v>1.4375</v>
      </c>
      <c r="F148" s="116" t="s">
        <v>56</v>
      </c>
      <c r="G148" s="119">
        <v>1</v>
      </c>
      <c r="H148" s="120" t="s">
        <v>769</v>
      </c>
    </row>
    <row r="149" spans="1:8" ht="18" x14ac:dyDescent="0.3">
      <c r="A149" s="121">
        <v>45988</v>
      </c>
      <c r="B149" s="122" t="s">
        <v>54</v>
      </c>
      <c r="C149" s="123" t="s">
        <v>762</v>
      </c>
      <c r="D149" s="122" t="s">
        <v>752</v>
      </c>
      <c r="E149" s="124">
        <v>1.4375</v>
      </c>
      <c r="F149" s="122" t="s">
        <v>58</v>
      </c>
      <c r="G149" s="125">
        <v>1</v>
      </c>
      <c r="H149" s="122" t="s">
        <v>770</v>
      </c>
    </row>
    <row r="150" spans="1:8" ht="18" x14ac:dyDescent="0.3">
      <c r="A150" s="121">
        <v>45988</v>
      </c>
      <c r="B150" s="122" t="s">
        <v>54</v>
      </c>
      <c r="C150" s="123" t="s">
        <v>762</v>
      </c>
      <c r="D150" s="122" t="s">
        <v>752</v>
      </c>
      <c r="E150" s="124">
        <v>1.4375</v>
      </c>
      <c r="F150" s="122" t="s">
        <v>60</v>
      </c>
      <c r="G150" s="125">
        <v>1</v>
      </c>
      <c r="H150" s="122" t="s">
        <v>771</v>
      </c>
    </row>
    <row r="151" spans="1:8" ht="18" x14ac:dyDescent="0.3">
      <c r="A151" s="127">
        <v>45988</v>
      </c>
      <c r="B151" s="128" t="s">
        <v>54</v>
      </c>
      <c r="C151" s="129" t="s">
        <v>766</v>
      </c>
      <c r="D151" s="128" t="s">
        <v>752</v>
      </c>
      <c r="E151" s="130">
        <v>1.5590277777777779</v>
      </c>
      <c r="F151" s="128" t="s">
        <v>56</v>
      </c>
      <c r="G151" s="131">
        <v>1</v>
      </c>
      <c r="H151" s="128" t="s">
        <v>769</v>
      </c>
    </row>
    <row r="152" spans="1:8" ht="18" x14ac:dyDescent="0.3">
      <c r="A152" s="121">
        <v>45988</v>
      </c>
      <c r="B152" s="122" t="s">
        <v>54</v>
      </c>
      <c r="C152" s="123" t="s">
        <v>766</v>
      </c>
      <c r="D152" s="122" t="s">
        <v>752</v>
      </c>
      <c r="E152" s="124">
        <v>1.5590277777777779</v>
      </c>
      <c r="F152" s="122" t="s">
        <v>58</v>
      </c>
      <c r="G152" s="125">
        <v>1</v>
      </c>
      <c r="H152" s="122" t="s">
        <v>770</v>
      </c>
    </row>
    <row r="153" spans="1:8" ht="18" x14ac:dyDescent="0.3">
      <c r="A153" s="121">
        <v>45988</v>
      </c>
      <c r="B153" s="122" t="s">
        <v>54</v>
      </c>
      <c r="C153" s="123" t="s">
        <v>766</v>
      </c>
      <c r="D153" s="122" t="s">
        <v>752</v>
      </c>
      <c r="E153" s="124">
        <v>1.5590277777777779</v>
      </c>
      <c r="F153" s="122" t="s">
        <v>60</v>
      </c>
      <c r="G153" s="125">
        <v>1</v>
      </c>
      <c r="H153" s="122" t="s">
        <v>771</v>
      </c>
    </row>
    <row r="154" spans="1:8" ht="18" x14ac:dyDescent="0.3">
      <c r="A154" s="127">
        <v>45988</v>
      </c>
      <c r="B154" s="128" t="s">
        <v>54</v>
      </c>
      <c r="C154" s="129" t="s">
        <v>765</v>
      </c>
      <c r="D154" s="128" t="s">
        <v>752</v>
      </c>
      <c r="E154" s="130">
        <v>1.631944444444444</v>
      </c>
      <c r="F154" s="128" t="s">
        <v>56</v>
      </c>
      <c r="G154" s="131">
        <v>9</v>
      </c>
      <c r="H154" s="128" t="s">
        <v>275</v>
      </c>
    </row>
    <row r="155" spans="1:8" ht="18" x14ac:dyDescent="0.3">
      <c r="A155" s="121">
        <v>45988</v>
      </c>
      <c r="B155" s="122" t="s">
        <v>54</v>
      </c>
      <c r="C155" s="123" t="s">
        <v>765</v>
      </c>
      <c r="D155" s="122" t="s">
        <v>752</v>
      </c>
      <c r="E155" s="124">
        <v>1.631944444444444</v>
      </c>
      <c r="F155" s="122" t="s">
        <v>58</v>
      </c>
      <c r="G155" s="125">
        <v>9</v>
      </c>
      <c r="H155" s="122" t="s">
        <v>79</v>
      </c>
    </row>
    <row r="156" spans="1:8" ht="18" x14ac:dyDescent="0.3">
      <c r="A156" s="121">
        <v>45988</v>
      </c>
      <c r="B156" s="122" t="s">
        <v>54</v>
      </c>
      <c r="C156" s="123" t="s">
        <v>765</v>
      </c>
      <c r="D156" s="122" t="s">
        <v>752</v>
      </c>
      <c r="E156" s="124">
        <v>1.631944444444444</v>
      </c>
      <c r="F156" s="122" t="s">
        <v>60</v>
      </c>
      <c r="G156" s="125">
        <v>9</v>
      </c>
      <c r="H156" s="122" t="s">
        <v>799</v>
      </c>
    </row>
    <row r="157" spans="1:8" ht="18" x14ac:dyDescent="0.3">
      <c r="A157" s="127">
        <v>45988</v>
      </c>
      <c r="B157" s="128" t="s">
        <v>54</v>
      </c>
      <c r="C157" s="129" t="s">
        <v>760</v>
      </c>
      <c r="D157" s="128" t="s">
        <v>752</v>
      </c>
      <c r="E157" s="130">
        <v>1.506944444444444</v>
      </c>
      <c r="F157" s="128" t="s">
        <v>56</v>
      </c>
      <c r="G157" s="131">
        <v>6</v>
      </c>
      <c r="H157" s="128" t="s">
        <v>275</v>
      </c>
    </row>
    <row r="158" spans="1:8" ht="18" x14ac:dyDescent="0.3">
      <c r="A158" s="121">
        <v>45988</v>
      </c>
      <c r="B158" s="122" t="s">
        <v>54</v>
      </c>
      <c r="C158" s="123" t="s">
        <v>760</v>
      </c>
      <c r="D158" s="122" t="s">
        <v>752</v>
      </c>
      <c r="E158" s="124">
        <v>1.506944444444444</v>
      </c>
      <c r="F158" s="122" t="s">
        <v>58</v>
      </c>
      <c r="G158" s="125">
        <v>6</v>
      </c>
      <c r="H158" s="122" t="s">
        <v>79</v>
      </c>
    </row>
    <row r="159" spans="1:8" ht="18" x14ac:dyDescent="0.3">
      <c r="A159" s="121">
        <v>45988</v>
      </c>
      <c r="B159" s="122" t="s">
        <v>54</v>
      </c>
      <c r="C159" s="123" t="s">
        <v>760</v>
      </c>
      <c r="D159" s="122" t="s">
        <v>752</v>
      </c>
      <c r="E159" s="124">
        <v>1.506944444444444</v>
      </c>
      <c r="F159" s="122" t="s">
        <v>60</v>
      </c>
      <c r="G159" s="125">
        <v>6</v>
      </c>
      <c r="H159" s="122" t="s">
        <v>799</v>
      </c>
    </row>
    <row r="160" spans="1:8" ht="18" x14ac:dyDescent="0.3">
      <c r="A160" s="127">
        <v>45988</v>
      </c>
      <c r="B160" s="128" t="s">
        <v>54</v>
      </c>
      <c r="C160" s="129" t="s">
        <v>767</v>
      </c>
      <c r="D160" s="128" t="s">
        <v>752</v>
      </c>
      <c r="E160" s="130">
        <v>1.697916666666667</v>
      </c>
      <c r="F160" s="128" t="s">
        <v>56</v>
      </c>
      <c r="G160" s="131">
        <v>2</v>
      </c>
      <c r="H160" s="128" t="s">
        <v>275</v>
      </c>
    </row>
    <row r="161" spans="1:8" ht="18" x14ac:dyDescent="0.3">
      <c r="A161" s="121">
        <v>45988</v>
      </c>
      <c r="B161" s="122" t="s">
        <v>54</v>
      </c>
      <c r="C161" s="123" t="s">
        <v>767</v>
      </c>
      <c r="D161" s="122" t="s">
        <v>752</v>
      </c>
      <c r="E161" s="124">
        <v>1.697916666666667</v>
      </c>
      <c r="F161" s="122" t="s">
        <v>58</v>
      </c>
      <c r="G161" s="125">
        <v>2</v>
      </c>
      <c r="H161" s="122" t="s">
        <v>79</v>
      </c>
    </row>
    <row r="162" spans="1:8" ht="18" x14ac:dyDescent="0.3">
      <c r="A162" s="121">
        <v>45988</v>
      </c>
      <c r="B162" s="122" t="s">
        <v>54</v>
      </c>
      <c r="C162" s="123" t="s">
        <v>767</v>
      </c>
      <c r="D162" s="122" t="s">
        <v>752</v>
      </c>
      <c r="E162" s="124">
        <v>1.697916666666667</v>
      </c>
      <c r="F162" s="122" t="s">
        <v>60</v>
      </c>
      <c r="G162" s="125">
        <v>2</v>
      </c>
      <c r="H162" s="122" t="s">
        <v>799</v>
      </c>
    </row>
    <row r="163" spans="1:8" ht="18" x14ac:dyDescent="0.3">
      <c r="A163" s="127">
        <v>45988</v>
      </c>
      <c r="B163" s="128" t="s">
        <v>54</v>
      </c>
      <c r="C163" s="129" t="s">
        <v>768</v>
      </c>
      <c r="D163" s="128" t="s">
        <v>752</v>
      </c>
      <c r="E163" s="130">
        <v>1.958333333333333</v>
      </c>
      <c r="F163" s="128" t="s">
        <v>56</v>
      </c>
      <c r="G163" s="131">
        <v>5</v>
      </c>
      <c r="H163" s="128" t="s">
        <v>822</v>
      </c>
    </row>
    <row r="164" spans="1:8" ht="18" x14ac:dyDescent="0.3">
      <c r="A164" s="121">
        <v>45988</v>
      </c>
      <c r="B164" s="122" t="s">
        <v>54</v>
      </c>
      <c r="C164" s="123" t="s">
        <v>768</v>
      </c>
      <c r="D164" s="122" t="s">
        <v>752</v>
      </c>
      <c r="E164" s="124">
        <v>1.958333333333333</v>
      </c>
      <c r="F164" s="122" t="s">
        <v>58</v>
      </c>
      <c r="G164" s="125">
        <v>5</v>
      </c>
      <c r="H164" s="122" t="s">
        <v>108</v>
      </c>
    </row>
    <row r="165" spans="1:8" ht="18" x14ac:dyDescent="0.3">
      <c r="A165" s="121">
        <v>45988</v>
      </c>
      <c r="B165" s="122" t="s">
        <v>54</v>
      </c>
      <c r="C165" s="123" t="s">
        <v>768</v>
      </c>
      <c r="D165" s="122" t="s">
        <v>752</v>
      </c>
      <c r="E165" s="124">
        <v>1.958333333333333</v>
      </c>
      <c r="F165" s="122" t="s">
        <v>60</v>
      </c>
      <c r="G165" s="125">
        <v>5</v>
      </c>
      <c r="H165" s="122" t="s">
        <v>59</v>
      </c>
    </row>
    <row r="166" spans="1:8" ht="18" x14ac:dyDescent="0.3">
      <c r="A166" s="127">
        <v>45988</v>
      </c>
      <c r="B166" s="128" t="s">
        <v>54</v>
      </c>
      <c r="C166" s="129" t="s">
        <v>772</v>
      </c>
      <c r="D166" s="128" t="s">
        <v>752</v>
      </c>
      <c r="E166" s="130">
        <v>1.819444444444444</v>
      </c>
      <c r="F166" s="128" t="s">
        <v>56</v>
      </c>
      <c r="G166" s="131">
        <v>3</v>
      </c>
      <c r="H166" s="128" t="s">
        <v>822</v>
      </c>
    </row>
    <row r="167" spans="1:8" ht="18" x14ac:dyDescent="0.3">
      <c r="A167" s="121">
        <v>45988</v>
      </c>
      <c r="B167" s="122" t="s">
        <v>54</v>
      </c>
      <c r="C167" s="123" t="s">
        <v>772</v>
      </c>
      <c r="D167" s="122" t="s">
        <v>752</v>
      </c>
      <c r="E167" s="124">
        <v>1.819444444444444</v>
      </c>
      <c r="F167" s="122" t="s">
        <v>58</v>
      </c>
      <c r="G167" s="125">
        <v>3</v>
      </c>
      <c r="H167" s="122" t="s">
        <v>108</v>
      </c>
    </row>
    <row r="168" spans="1:8" ht="18" x14ac:dyDescent="0.3">
      <c r="A168" s="121">
        <v>45988</v>
      </c>
      <c r="B168" s="122" t="s">
        <v>54</v>
      </c>
      <c r="C168" s="123" t="s">
        <v>772</v>
      </c>
      <c r="D168" s="122" t="s">
        <v>752</v>
      </c>
      <c r="E168" s="124">
        <v>1.819444444444444</v>
      </c>
      <c r="F168" s="122" t="s">
        <v>60</v>
      </c>
      <c r="G168" s="125">
        <v>3</v>
      </c>
      <c r="H168" s="122" t="s">
        <v>59</v>
      </c>
    </row>
    <row r="169" spans="1:8" ht="18" x14ac:dyDescent="0.3">
      <c r="A169" s="126">
        <v>45988</v>
      </c>
      <c r="B169" s="116" t="s">
        <v>25</v>
      </c>
      <c r="C169" s="117" t="s">
        <v>753</v>
      </c>
      <c r="D169" s="116" t="s">
        <v>752</v>
      </c>
      <c r="E169" s="118">
        <v>1.5763888888888891</v>
      </c>
      <c r="F169" s="116" t="s">
        <v>27</v>
      </c>
      <c r="G169" s="119">
        <v>4</v>
      </c>
      <c r="H169" s="116" t="s">
        <v>123</v>
      </c>
    </row>
    <row r="170" spans="1:8" ht="18" x14ac:dyDescent="0.3">
      <c r="A170" s="121">
        <v>45988</v>
      </c>
      <c r="B170" s="122" t="s">
        <v>25</v>
      </c>
      <c r="C170" s="123" t="s">
        <v>753</v>
      </c>
      <c r="D170" s="122" t="s">
        <v>752</v>
      </c>
      <c r="E170" s="124">
        <v>1.5763888888888891</v>
      </c>
      <c r="F170" s="122" t="s">
        <v>30</v>
      </c>
      <c r="G170" s="125">
        <v>4</v>
      </c>
      <c r="H170" s="122" t="s">
        <v>79</v>
      </c>
    </row>
    <row r="171" spans="1:8" ht="18" x14ac:dyDescent="0.3">
      <c r="A171" s="121">
        <v>45988</v>
      </c>
      <c r="B171" s="122" t="s">
        <v>25</v>
      </c>
      <c r="C171" s="123" t="s">
        <v>753</v>
      </c>
      <c r="D171" s="122" t="s">
        <v>752</v>
      </c>
      <c r="E171" s="124">
        <v>1.5763888888888891</v>
      </c>
      <c r="F171" s="122" t="s">
        <v>33</v>
      </c>
      <c r="G171" s="125">
        <v>4</v>
      </c>
      <c r="H171" s="122" t="s">
        <v>335</v>
      </c>
    </row>
    <row r="172" spans="1:8" ht="18" x14ac:dyDescent="0.3">
      <c r="A172" s="127">
        <v>45988</v>
      </c>
      <c r="B172" s="128" t="s">
        <v>25</v>
      </c>
      <c r="C172" s="129" t="s">
        <v>756</v>
      </c>
      <c r="D172" s="128" t="s">
        <v>752</v>
      </c>
      <c r="E172" s="130">
        <v>1.6284722222222221</v>
      </c>
      <c r="F172" s="128" t="s">
        <v>27</v>
      </c>
      <c r="G172" s="131">
        <v>4</v>
      </c>
      <c r="H172" s="128" t="s">
        <v>29</v>
      </c>
    </row>
    <row r="173" spans="1:8" ht="18" x14ac:dyDescent="0.3">
      <c r="A173" s="121">
        <v>45988</v>
      </c>
      <c r="B173" s="122" t="s">
        <v>25</v>
      </c>
      <c r="C173" s="123" t="s">
        <v>756</v>
      </c>
      <c r="D173" s="122" t="s">
        <v>752</v>
      </c>
      <c r="E173" s="124">
        <v>1.6284722222222221</v>
      </c>
      <c r="F173" s="122" t="s">
        <v>30</v>
      </c>
      <c r="G173" s="125">
        <v>4</v>
      </c>
      <c r="H173" s="122" t="s">
        <v>32</v>
      </c>
    </row>
    <row r="174" spans="1:8" ht="18" x14ac:dyDescent="0.3">
      <c r="A174" s="121">
        <v>45988</v>
      </c>
      <c r="B174" s="122" t="s">
        <v>25</v>
      </c>
      <c r="C174" s="123" t="s">
        <v>756</v>
      </c>
      <c r="D174" s="122" t="s">
        <v>752</v>
      </c>
      <c r="E174" s="124">
        <v>1.6284722222222221</v>
      </c>
      <c r="F174" s="122" t="s">
        <v>33</v>
      </c>
      <c r="G174" s="125">
        <v>4</v>
      </c>
      <c r="H174" s="122" t="s">
        <v>758</v>
      </c>
    </row>
    <row r="175" spans="1:8" ht="18" x14ac:dyDescent="0.3">
      <c r="A175" s="127">
        <v>45988</v>
      </c>
      <c r="B175" s="128" t="s">
        <v>25</v>
      </c>
      <c r="C175" s="129" t="s">
        <v>759</v>
      </c>
      <c r="D175" s="128" t="s">
        <v>752</v>
      </c>
      <c r="E175" s="130">
        <v>1.944444444444444</v>
      </c>
      <c r="F175" s="128" t="s">
        <v>27</v>
      </c>
      <c r="G175" s="131">
        <v>7</v>
      </c>
      <c r="H175" s="128" t="s">
        <v>29</v>
      </c>
    </row>
    <row r="176" spans="1:8" ht="18" x14ac:dyDescent="0.3">
      <c r="A176" s="121">
        <v>45988</v>
      </c>
      <c r="B176" s="122" t="s">
        <v>25</v>
      </c>
      <c r="C176" s="123" t="s">
        <v>759</v>
      </c>
      <c r="D176" s="122" t="s">
        <v>752</v>
      </c>
      <c r="E176" s="124">
        <v>1.944444444444444</v>
      </c>
      <c r="F176" s="122" t="s">
        <v>30</v>
      </c>
      <c r="G176" s="125">
        <v>7</v>
      </c>
      <c r="H176" s="122" t="s">
        <v>32</v>
      </c>
    </row>
    <row r="177" spans="1:8" ht="18" x14ac:dyDescent="0.3">
      <c r="A177" s="121">
        <v>45988</v>
      </c>
      <c r="B177" s="122" t="s">
        <v>25</v>
      </c>
      <c r="C177" s="123" t="s">
        <v>759</v>
      </c>
      <c r="D177" s="122" t="s">
        <v>752</v>
      </c>
      <c r="E177" s="124">
        <v>1.944444444444444</v>
      </c>
      <c r="F177" s="122" t="s">
        <v>33</v>
      </c>
      <c r="G177" s="125">
        <v>7</v>
      </c>
      <c r="H177" s="122" t="s">
        <v>758</v>
      </c>
    </row>
    <row r="178" spans="1:8" ht="18" x14ac:dyDescent="0.3">
      <c r="A178" s="127">
        <v>45988</v>
      </c>
      <c r="B178" s="128" t="s">
        <v>25</v>
      </c>
      <c r="C178" s="129" t="s">
        <v>757</v>
      </c>
      <c r="D178" s="128" t="s">
        <v>752</v>
      </c>
      <c r="E178" s="130">
        <v>1.8888888888888891</v>
      </c>
      <c r="F178" s="128" t="s">
        <v>27</v>
      </c>
      <c r="G178" s="131">
        <v>10</v>
      </c>
      <c r="H178" s="128" t="s">
        <v>822</v>
      </c>
    </row>
    <row r="179" spans="1:8" ht="18" x14ac:dyDescent="0.3">
      <c r="A179" s="121">
        <v>45988</v>
      </c>
      <c r="B179" s="122" t="s">
        <v>25</v>
      </c>
      <c r="C179" s="123" t="s">
        <v>757</v>
      </c>
      <c r="D179" s="122" t="s">
        <v>752</v>
      </c>
      <c r="E179" s="124">
        <v>1.8888888888888891</v>
      </c>
      <c r="F179" s="122" t="s">
        <v>30</v>
      </c>
      <c r="G179" s="125">
        <v>10</v>
      </c>
      <c r="H179" s="122" t="s">
        <v>823</v>
      </c>
    </row>
    <row r="180" spans="1:8" ht="18" x14ac:dyDescent="0.3">
      <c r="A180" s="121">
        <v>45988</v>
      </c>
      <c r="B180" s="122" t="s">
        <v>25</v>
      </c>
      <c r="C180" s="123" t="s">
        <v>757</v>
      </c>
      <c r="D180" s="122" t="s">
        <v>752</v>
      </c>
      <c r="E180" s="124">
        <v>1.8888888888888891</v>
      </c>
      <c r="F180" s="122" t="s">
        <v>33</v>
      </c>
      <c r="G180" s="125">
        <v>10</v>
      </c>
      <c r="H180" s="122" t="s">
        <v>758</v>
      </c>
    </row>
    <row r="181" spans="1:8" ht="18" x14ac:dyDescent="0.3">
      <c r="A181" s="126">
        <v>45988</v>
      </c>
      <c r="B181" s="116" t="s">
        <v>285</v>
      </c>
      <c r="C181" s="117" t="s">
        <v>824</v>
      </c>
      <c r="D181" s="116" t="s">
        <v>752</v>
      </c>
      <c r="E181" s="118">
        <v>1.1701388888888891</v>
      </c>
      <c r="F181" s="116" t="s">
        <v>81</v>
      </c>
      <c r="G181" s="119">
        <v>9</v>
      </c>
      <c r="H181" s="116" t="s">
        <v>825</v>
      </c>
    </row>
    <row r="182" spans="1:8" ht="18" x14ac:dyDescent="0.3">
      <c r="A182" s="127">
        <v>45988</v>
      </c>
      <c r="B182" s="128" t="s">
        <v>285</v>
      </c>
      <c r="C182" s="129" t="s">
        <v>773</v>
      </c>
      <c r="D182" s="128" t="s">
        <v>752</v>
      </c>
      <c r="E182" s="130">
        <v>1.6736111111111109</v>
      </c>
      <c r="F182" s="128" t="s">
        <v>81</v>
      </c>
      <c r="G182" s="131">
        <v>9</v>
      </c>
      <c r="H182" s="128" t="s">
        <v>826</v>
      </c>
    </row>
    <row r="183" spans="1:8" ht="18" x14ac:dyDescent="0.3">
      <c r="A183" s="136">
        <v>45988</v>
      </c>
      <c r="B183" s="137" t="s">
        <v>71</v>
      </c>
      <c r="C183" s="138" t="s">
        <v>810</v>
      </c>
      <c r="D183" s="137" t="s">
        <v>752</v>
      </c>
      <c r="E183" s="139">
        <v>1.413194444444444</v>
      </c>
      <c r="F183" s="137" t="s">
        <v>81</v>
      </c>
      <c r="G183" s="140">
        <v>9</v>
      </c>
      <c r="H183" s="137" t="s">
        <v>827</v>
      </c>
    </row>
    <row r="184" spans="1:8" ht="18" x14ac:dyDescent="0.3">
      <c r="A184" s="126">
        <v>45988</v>
      </c>
      <c r="B184" s="116" t="s">
        <v>280</v>
      </c>
      <c r="C184" s="117" t="s">
        <v>775</v>
      </c>
      <c r="D184" s="116" t="s">
        <v>752</v>
      </c>
      <c r="E184" s="118">
        <v>1.4375</v>
      </c>
      <c r="F184" s="116" t="s">
        <v>282</v>
      </c>
      <c r="G184" s="119">
        <v>9</v>
      </c>
      <c r="H184" s="116" t="s">
        <v>829</v>
      </c>
    </row>
    <row r="185" spans="1:8" ht="18" x14ac:dyDescent="0.3">
      <c r="A185" s="121">
        <v>45988</v>
      </c>
      <c r="B185" s="122" t="s">
        <v>280</v>
      </c>
      <c r="C185" s="123" t="s">
        <v>775</v>
      </c>
      <c r="D185" s="122" t="s">
        <v>752</v>
      </c>
      <c r="E185" s="124">
        <v>1.4375</v>
      </c>
      <c r="F185" s="122" t="s">
        <v>33</v>
      </c>
      <c r="G185" s="125">
        <v>9</v>
      </c>
      <c r="H185" s="122" t="s">
        <v>830</v>
      </c>
    </row>
    <row r="186" spans="1:8" ht="18" x14ac:dyDescent="0.3">
      <c r="A186" s="126">
        <v>45988</v>
      </c>
      <c r="B186" s="116" t="s">
        <v>360</v>
      </c>
      <c r="C186" s="117" t="s">
        <v>831</v>
      </c>
      <c r="D186" s="116" t="s">
        <v>752</v>
      </c>
      <c r="E186" s="118">
        <v>1.6909722222222221</v>
      </c>
      <c r="F186" s="116" t="s">
        <v>81</v>
      </c>
      <c r="G186" s="119">
        <v>5</v>
      </c>
      <c r="H186" s="116" t="s">
        <v>832</v>
      </c>
    </row>
    <row r="187" spans="1:8" ht="18" x14ac:dyDescent="0.3">
      <c r="A187" s="126">
        <v>45988</v>
      </c>
      <c r="B187" s="116" t="s">
        <v>63</v>
      </c>
      <c r="C187" s="117" t="s">
        <v>796</v>
      </c>
      <c r="D187" s="116" t="s">
        <v>752</v>
      </c>
      <c r="E187" s="118">
        <v>1.354166666666667</v>
      </c>
      <c r="F187" s="116" t="s">
        <v>48</v>
      </c>
      <c r="G187" s="119">
        <v>9</v>
      </c>
      <c r="H187" s="116" t="s">
        <v>833</v>
      </c>
    </row>
    <row r="188" spans="1:8" ht="18" x14ac:dyDescent="0.3">
      <c r="A188" s="127">
        <v>45988</v>
      </c>
      <c r="B188" s="128" t="s">
        <v>63</v>
      </c>
      <c r="C188" s="129" t="s">
        <v>795</v>
      </c>
      <c r="D188" s="128" t="s">
        <v>752</v>
      </c>
      <c r="E188" s="130">
        <v>1.9826388888888891</v>
      </c>
      <c r="F188" s="128" t="s">
        <v>48</v>
      </c>
      <c r="G188" s="131">
        <v>9</v>
      </c>
      <c r="H188" s="128" t="s">
        <v>834</v>
      </c>
    </row>
    <row r="189" spans="1:8" ht="18" x14ac:dyDescent="0.3">
      <c r="A189" s="127">
        <v>45988</v>
      </c>
      <c r="B189" s="128" t="s">
        <v>63</v>
      </c>
      <c r="C189" s="129" t="s">
        <v>793</v>
      </c>
      <c r="D189" s="128" t="s">
        <v>752</v>
      </c>
      <c r="E189" s="130">
        <v>1.729166666666667</v>
      </c>
      <c r="F189" s="128" t="s">
        <v>48</v>
      </c>
      <c r="G189" s="131">
        <v>9</v>
      </c>
      <c r="H189" s="128" t="s">
        <v>835</v>
      </c>
    </row>
    <row r="190" spans="1:8" ht="18" x14ac:dyDescent="0.3">
      <c r="A190" s="126">
        <v>45988</v>
      </c>
      <c r="B190" s="116" t="s">
        <v>35</v>
      </c>
      <c r="C190" s="117" t="s">
        <v>782</v>
      </c>
      <c r="D190" s="116" t="s">
        <v>752</v>
      </c>
      <c r="E190" s="118">
        <v>1.444444444444444</v>
      </c>
      <c r="F190" s="116" t="s">
        <v>42</v>
      </c>
      <c r="G190" s="119">
        <v>9</v>
      </c>
      <c r="H190" s="116" t="s">
        <v>783</v>
      </c>
    </row>
    <row r="191" spans="1:8" ht="18" x14ac:dyDescent="0.3">
      <c r="A191" s="127">
        <v>45988</v>
      </c>
      <c r="B191" s="128" t="s">
        <v>35</v>
      </c>
      <c r="C191" s="129" t="s">
        <v>784</v>
      </c>
      <c r="D191" s="128" t="s">
        <v>752</v>
      </c>
      <c r="E191" s="130">
        <v>1.8298611111111109</v>
      </c>
      <c r="F191" s="128" t="s">
        <v>42</v>
      </c>
      <c r="G191" s="131">
        <v>9</v>
      </c>
      <c r="H191" s="128" t="s">
        <v>783</v>
      </c>
    </row>
    <row r="192" spans="1:8" ht="18" x14ac:dyDescent="0.3">
      <c r="A192" s="127">
        <v>45988</v>
      </c>
      <c r="B192" s="128" t="s">
        <v>35</v>
      </c>
      <c r="C192" s="129" t="s">
        <v>785</v>
      </c>
      <c r="D192" s="128" t="s">
        <v>752</v>
      </c>
      <c r="E192" s="130">
        <v>1.9826388888888891</v>
      </c>
      <c r="F192" s="128" t="s">
        <v>42</v>
      </c>
      <c r="G192" s="131">
        <v>9</v>
      </c>
      <c r="H192" s="128" t="s">
        <v>783</v>
      </c>
    </row>
    <row r="193" spans="1:8" ht="18" x14ac:dyDescent="0.3">
      <c r="A193" s="127">
        <v>45988</v>
      </c>
      <c r="B193" s="128" t="s">
        <v>35</v>
      </c>
      <c r="C193" s="129" t="s">
        <v>792</v>
      </c>
      <c r="D193" s="128" t="s">
        <v>752</v>
      </c>
      <c r="E193" s="130">
        <v>1.6284722222222221</v>
      </c>
      <c r="F193" s="128" t="s">
        <v>42</v>
      </c>
      <c r="G193" s="131">
        <v>9</v>
      </c>
      <c r="H193" s="128" t="s">
        <v>783</v>
      </c>
    </row>
    <row r="194" spans="1:8" ht="18" x14ac:dyDescent="0.3">
      <c r="A194" s="127">
        <v>45988</v>
      </c>
      <c r="B194" s="128" t="s">
        <v>35</v>
      </c>
      <c r="C194" s="129" t="s">
        <v>786</v>
      </c>
      <c r="D194" s="128" t="s">
        <v>752</v>
      </c>
      <c r="E194" s="130">
        <v>1.8888888888888891</v>
      </c>
      <c r="F194" s="128" t="s">
        <v>42</v>
      </c>
      <c r="G194" s="131">
        <v>4</v>
      </c>
      <c r="H194" s="128" t="s">
        <v>836</v>
      </c>
    </row>
    <row r="195" spans="1:8" ht="18" x14ac:dyDescent="0.3">
      <c r="A195" s="127">
        <v>45988</v>
      </c>
      <c r="B195" s="128" t="s">
        <v>35</v>
      </c>
      <c r="C195" s="129" t="s">
        <v>788</v>
      </c>
      <c r="D195" s="128" t="s">
        <v>752</v>
      </c>
      <c r="E195" s="130">
        <v>1.6284722222222221</v>
      </c>
      <c r="F195" s="128" t="s">
        <v>42</v>
      </c>
      <c r="G195" s="131">
        <v>4</v>
      </c>
      <c r="H195" s="128" t="s">
        <v>836</v>
      </c>
    </row>
    <row r="196" spans="1:8" ht="18" x14ac:dyDescent="0.3">
      <c r="A196" s="150">
        <v>45988</v>
      </c>
      <c r="B196" s="151" t="s">
        <v>35</v>
      </c>
      <c r="C196" s="152" t="s">
        <v>789</v>
      </c>
      <c r="D196" s="151" t="s">
        <v>752</v>
      </c>
      <c r="E196" s="153">
        <v>1.944444444444444</v>
      </c>
      <c r="F196" s="151" t="s">
        <v>42</v>
      </c>
      <c r="G196" s="154">
        <v>4</v>
      </c>
      <c r="H196" s="151" t="s">
        <v>836</v>
      </c>
    </row>
    <row r="197" spans="1:8" ht="18" x14ac:dyDescent="0.3">
      <c r="A197" s="115">
        <v>45989</v>
      </c>
      <c r="B197" s="116" t="s">
        <v>360</v>
      </c>
      <c r="C197" s="117" t="s">
        <v>801</v>
      </c>
      <c r="D197" s="116" t="s">
        <v>752</v>
      </c>
      <c r="E197" s="118">
        <v>1.0902777777777779</v>
      </c>
      <c r="F197" s="116" t="s">
        <v>81</v>
      </c>
      <c r="G197" s="119">
        <v>4</v>
      </c>
      <c r="H197" s="120" t="s">
        <v>832</v>
      </c>
    </row>
    <row r="198" spans="1:8" ht="18" x14ac:dyDescent="0.3">
      <c r="A198" s="126">
        <v>45989</v>
      </c>
      <c r="B198" s="116" t="s">
        <v>25</v>
      </c>
      <c r="C198" s="117" t="s">
        <v>753</v>
      </c>
      <c r="D198" s="116" t="s">
        <v>752</v>
      </c>
      <c r="E198" s="118">
        <v>1.5763888888888891</v>
      </c>
      <c r="F198" s="116" t="s">
        <v>27</v>
      </c>
      <c r="G198" s="119">
        <v>1</v>
      </c>
      <c r="H198" s="116" t="s">
        <v>822</v>
      </c>
    </row>
    <row r="199" spans="1:8" ht="18" x14ac:dyDescent="0.3">
      <c r="A199" s="121">
        <v>45989</v>
      </c>
      <c r="B199" s="122" t="s">
        <v>25</v>
      </c>
      <c r="C199" s="123" t="s">
        <v>753</v>
      </c>
      <c r="D199" s="122" t="s">
        <v>752</v>
      </c>
      <c r="E199" s="124">
        <v>1.5763888888888891</v>
      </c>
      <c r="F199" s="122" t="s">
        <v>30</v>
      </c>
      <c r="G199" s="125">
        <v>1</v>
      </c>
      <c r="H199" s="122" t="s">
        <v>823</v>
      </c>
    </row>
    <row r="200" spans="1:8" ht="18" x14ac:dyDescent="0.3">
      <c r="A200" s="121">
        <v>45989</v>
      </c>
      <c r="B200" s="122" t="s">
        <v>25</v>
      </c>
      <c r="C200" s="123" t="s">
        <v>753</v>
      </c>
      <c r="D200" s="122" t="s">
        <v>752</v>
      </c>
      <c r="E200" s="124">
        <v>1.5763888888888891</v>
      </c>
      <c r="F200" s="122" t="s">
        <v>33</v>
      </c>
      <c r="G200" s="125">
        <v>1</v>
      </c>
      <c r="H200" s="122" t="s">
        <v>758</v>
      </c>
    </row>
    <row r="201" spans="1:8" ht="18" x14ac:dyDescent="0.3">
      <c r="A201" s="127">
        <v>45989</v>
      </c>
      <c r="B201" s="128" t="s">
        <v>25</v>
      </c>
      <c r="C201" s="129" t="s">
        <v>756</v>
      </c>
      <c r="D201" s="128" t="s">
        <v>752</v>
      </c>
      <c r="E201" s="130">
        <v>1.6284722222222221</v>
      </c>
      <c r="F201" s="128" t="s">
        <v>27</v>
      </c>
      <c r="G201" s="131">
        <v>1</v>
      </c>
      <c r="H201" s="128" t="s">
        <v>822</v>
      </c>
    </row>
    <row r="202" spans="1:8" ht="18" x14ac:dyDescent="0.3">
      <c r="A202" s="121">
        <v>45989</v>
      </c>
      <c r="B202" s="122" t="s">
        <v>25</v>
      </c>
      <c r="C202" s="123" t="s">
        <v>756</v>
      </c>
      <c r="D202" s="122" t="s">
        <v>752</v>
      </c>
      <c r="E202" s="124">
        <v>1.6284722222222221</v>
      </c>
      <c r="F202" s="122" t="s">
        <v>30</v>
      </c>
      <c r="G202" s="125">
        <v>1</v>
      </c>
      <c r="H202" s="122" t="s">
        <v>823</v>
      </c>
    </row>
    <row r="203" spans="1:8" ht="18" x14ac:dyDescent="0.3">
      <c r="A203" s="121">
        <v>45989</v>
      </c>
      <c r="B203" s="122" t="s">
        <v>25</v>
      </c>
      <c r="C203" s="123" t="s">
        <v>756</v>
      </c>
      <c r="D203" s="122" t="s">
        <v>752</v>
      </c>
      <c r="E203" s="124">
        <v>1.6284722222222221</v>
      </c>
      <c r="F203" s="122" t="s">
        <v>33</v>
      </c>
      <c r="G203" s="125">
        <v>1</v>
      </c>
      <c r="H203" s="122" t="s">
        <v>758</v>
      </c>
    </row>
    <row r="204" spans="1:8" ht="18" x14ac:dyDescent="0.3">
      <c r="A204" s="127">
        <v>45989</v>
      </c>
      <c r="B204" s="128" t="s">
        <v>25</v>
      </c>
      <c r="C204" s="129" t="s">
        <v>757</v>
      </c>
      <c r="D204" s="128" t="s">
        <v>752</v>
      </c>
      <c r="E204" s="130">
        <v>1.8888888888888891</v>
      </c>
      <c r="F204" s="128" t="s">
        <v>27</v>
      </c>
      <c r="G204" s="131">
        <v>2</v>
      </c>
      <c r="H204" s="128" t="s">
        <v>276</v>
      </c>
    </row>
    <row r="205" spans="1:8" ht="18" x14ac:dyDescent="0.3">
      <c r="A205" s="121">
        <v>45989</v>
      </c>
      <c r="B205" s="122" t="s">
        <v>25</v>
      </c>
      <c r="C205" s="123" t="s">
        <v>757</v>
      </c>
      <c r="D205" s="122" t="s">
        <v>752</v>
      </c>
      <c r="E205" s="124">
        <v>1.8888888888888891</v>
      </c>
      <c r="F205" s="122" t="s">
        <v>30</v>
      </c>
      <c r="G205" s="125">
        <v>2</v>
      </c>
      <c r="H205" s="122" t="s">
        <v>119</v>
      </c>
    </row>
    <row r="206" spans="1:8" ht="18" x14ac:dyDescent="0.3">
      <c r="A206" s="121">
        <v>45989</v>
      </c>
      <c r="B206" s="122" t="s">
        <v>25</v>
      </c>
      <c r="C206" s="123" t="s">
        <v>757</v>
      </c>
      <c r="D206" s="122" t="s">
        <v>752</v>
      </c>
      <c r="E206" s="124">
        <v>1.8888888888888891</v>
      </c>
      <c r="F206" s="122" t="s">
        <v>33</v>
      </c>
      <c r="G206" s="125">
        <v>2</v>
      </c>
      <c r="H206" s="122" t="s">
        <v>758</v>
      </c>
    </row>
    <row r="207" spans="1:8" ht="18" x14ac:dyDescent="0.3">
      <c r="A207" s="127">
        <v>45989</v>
      </c>
      <c r="B207" s="128" t="s">
        <v>25</v>
      </c>
      <c r="C207" s="129" t="s">
        <v>759</v>
      </c>
      <c r="D207" s="128" t="s">
        <v>752</v>
      </c>
      <c r="E207" s="130">
        <v>1.944444444444444</v>
      </c>
      <c r="F207" s="128" t="s">
        <v>27</v>
      </c>
      <c r="G207" s="131">
        <v>5</v>
      </c>
      <c r="H207" s="128" t="s">
        <v>117</v>
      </c>
    </row>
    <row r="208" spans="1:8" ht="18" x14ac:dyDescent="0.3">
      <c r="A208" s="121">
        <v>45989</v>
      </c>
      <c r="B208" s="122" t="s">
        <v>25</v>
      </c>
      <c r="C208" s="123" t="s">
        <v>759</v>
      </c>
      <c r="D208" s="122" t="s">
        <v>752</v>
      </c>
      <c r="E208" s="124">
        <v>1.944444444444444</v>
      </c>
      <c r="F208" s="122" t="s">
        <v>30</v>
      </c>
      <c r="G208" s="125">
        <v>5</v>
      </c>
      <c r="H208" s="122" t="s">
        <v>399</v>
      </c>
    </row>
    <row r="209" spans="1:8" ht="18" x14ac:dyDescent="0.3">
      <c r="A209" s="121">
        <v>45989</v>
      </c>
      <c r="B209" s="122" t="s">
        <v>25</v>
      </c>
      <c r="C209" s="123" t="s">
        <v>759</v>
      </c>
      <c r="D209" s="122" t="s">
        <v>752</v>
      </c>
      <c r="E209" s="124">
        <v>1.944444444444444</v>
      </c>
      <c r="F209" s="122" t="s">
        <v>33</v>
      </c>
      <c r="G209" s="125">
        <v>5</v>
      </c>
      <c r="H209" s="122" t="s">
        <v>758</v>
      </c>
    </row>
    <row r="210" spans="1:8" ht="18" x14ac:dyDescent="0.3">
      <c r="A210" s="126">
        <v>45989</v>
      </c>
      <c r="B210" s="116" t="s">
        <v>285</v>
      </c>
      <c r="C210" s="117" t="s">
        <v>824</v>
      </c>
      <c r="D210" s="116" t="s">
        <v>752</v>
      </c>
      <c r="E210" s="118">
        <v>1.211805555555556</v>
      </c>
      <c r="F210" s="116" t="s">
        <v>81</v>
      </c>
      <c r="G210" s="119">
        <v>9</v>
      </c>
      <c r="H210" s="116" t="s">
        <v>837</v>
      </c>
    </row>
    <row r="211" spans="1:8" ht="18" x14ac:dyDescent="0.3">
      <c r="A211" s="126">
        <v>45989</v>
      </c>
      <c r="B211" s="116" t="s">
        <v>54</v>
      </c>
      <c r="C211" s="117" t="s">
        <v>762</v>
      </c>
      <c r="D211" s="116" t="s">
        <v>752</v>
      </c>
      <c r="E211" s="118">
        <v>1.4375</v>
      </c>
      <c r="F211" s="116" t="s">
        <v>56</v>
      </c>
      <c r="G211" s="119">
        <v>2</v>
      </c>
      <c r="H211" s="116" t="s">
        <v>771</v>
      </c>
    </row>
    <row r="212" spans="1:8" ht="18" x14ac:dyDescent="0.3">
      <c r="A212" s="121">
        <v>45989</v>
      </c>
      <c r="B212" s="122" t="s">
        <v>54</v>
      </c>
      <c r="C212" s="123" t="s">
        <v>762</v>
      </c>
      <c r="D212" s="122" t="s">
        <v>752</v>
      </c>
      <c r="E212" s="124">
        <v>1.4375</v>
      </c>
      <c r="F212" s="122" t="s">
        <v>58</v>
      </c>
      <c r="G212" s="125">
        <v>2</v>
      </c>
      <c r="H212" s="122" t="s">
        <v>823</v>
      </c>
    </row>
    <row r="213" spans="1:8" ht="18" x14ac:dyDescent="0.3">
      <c r="A213" s="121">
        <v>45989</v>
      </c>
      <c r="B213" s="122" t="s">
        <v>54</v>
      </c>
      <c r="C213" s="123" t="s">
        <v>762</v>
      </c>
      <c r="D213" s="122" t="s">
        <v>752</v>
      </c>
      <c r="E213" s="124">
        <v>1.4375</v>
      </c>
      <c r="F213" s="122" t="s">
        <v>60</v>
      </c>
      <c r="G213" s="125">
        <v>2</v>
      </c>
      <c r="H213" s="122" t="s">
        <v>114</v>
      </c>
    </row>
    <row r="214" spans="1:8" ht="18" x14ac:dyDescent="0.3">
      <c r="A214" s="127">
        <v>45989</v>
      </c>
      <c r="B214" s="128" t="s">
        <v>54</v>
      </c>
      <c r="C214" s="129" t="s">
        <v>760</v>
      </c>
      <c r="D214" s="128" t="s">
        <v>752</v>
      </c>
      <c r="E214" s="130">
        <v>1.506944444444444</v>
      </c>
      <c r="F214" s="128" t="s">
        <v>56</v>
      </c>
      <c r="G214" s="131">
        <v>1</v>
      </c>
      <c r="H214" s="128" t="s">
        <v>771</v>
      </c>
    </row>
    <row r="215" spans="1:8" ht="18" x14ac:dyDescent="0.3">
      <c r="A215" s="121">
        <v>45989</v>
      </c>
      <c r="B215" s="122" t="s">
        <v>54</v>
      </c>
      <c r="C215" s="123" t="s">
        <v>760</v>
      </c>
      <c r="D215" s="122" t="s">
        <v>752</v>
      </c>
      <c r="E215" s="124">
        <v>1.506944444444444</v>
      </c>
      <c r="F215" s="122" t="s">
        <v>58</v>
      </c>
      <c r="G215" s="125">
        <v>1</v>
      </c>
      <c r="H215" s="122" t="s">
        <v>823</v>
      </c>
    </row>
    <row r="216" spans="1:8" ht="18" x14ac:dyDescent="0.3">
      <c r="A216" s="121">
        <v>45989</v>
      </c>
      <c r="B216" s="122" t="s">
        <v>54</v>
      </c>
      <c r="C216" s="123" t="s">
        <v>760</v>
      </c>
      <c r="D216" s="122" t="s">
        <v>752</v>
      </c>
      <c r="E216" s="124">
        <v>1.506944444444444</v>
      </c>
      <c r="F216" s="122" t="s">
        <v>60</v>
      </c>
      <c r="G216" s="125">
        <v>1</v>
      </c>
      <c r="H216" s="122" t="s">
        <v>114</v>
      </c>
    </row>
    <row r="217" spans="1:8" ht="18" x14ac:dyDescent="0.3">
      <c r="A217" s="127">
        <v>45989</v>
      </c>
      <c r="B217" s="128" t="s">
        <v>54</v>
      </c>
      <c r="C217" s="129" t="s">
        <v>768</v>
      </c>
      <c r="D217" s="128" t="s">
        <v>752</v>
      </c>
      <c r="E217" s="130">
        <v>1.958333333333333</v>
      </c>
      <c r="F217" s="128" t="s">
        <v>56</v>
      </c>
      <c r="G217" s="131">
        <v>2</v>
      </c>
      <c r="H217" s="128" t="s">
        <v>335</v>
      </c>
    </row>
    <row r="218" spans="1:8" ht="18" x14ac:dyDescent="0.3">
      <c r="A218" s="121">
        <v>45989</v>
      </c>
      <c r="B218" s="122" t="s">
        <v>54</v>
      </c>
      <c r="C218" s="123" t="s">
        <v>768</v>
      </c>
      <c r="D218" s="122" t="s">
        <v>752</v>
      </c>
      <c r="E218" s="124">
        <v>1.958333333333333</v>
      </c>
      <c r="F218" s="122" t="s">
        <v>58</v>
      </c>
      <c r="G218" s="125">
        <v>2</v>
      </c>
      <c r="H218" s="122" t="s">
        <v>119</v>
      </c>
    </row>
    <row r="219" spans="1:8" ht="18" x14ac:dyDescent="0.3">
      <c r="A219" s="121">
        <v>45989</v>
      </c>
      <c r="B219" s="122" t="s">
        <v>54</v>
      </c>
      <c r="C219" s="123" t="s">
        <v>768</v>
      </c>
      <c r="D219" s="122" t="s">
        <v>752</v>
      </c>
      <c r="E219" s="124">
        <v>1.958333333333333</v>
      </c>
      <c r="F219" s="122" t="s">
        <v>60</v>
      </c>
      <c r="G219" s="125">
        <v>2</v>
      </c>
      <c r="H219" s="122" t="s">
        <v>399</v>
      </c>
    </row>
    <row r="220" spans="1:8" ht="18" x14ac:dyDescent="0.3">
      <c r="A220" s="127">
        <v>45989</v>
      </c>
      <c r="B220" s="128" t="s">
        <v>54</v>
      </c>
      <c r="C220" s="129" t="s">
        <v>765</v>
      </c>
      <c r="D220" s="128" t="s">
        <v>752</v>
      </c>
      <c r="E220" s="130">
        <v>1.631944444444444</v>
      </c>
      <c r="F220" s="128" t="s">
        <v>56</v>
      </c>
      <c r="G220" s="131">
        <v>5</v>
      </c>
      <c r="H220" s="128" t="s">
        <v>335</v>
      </c>
    </row>
    <row r="221" spans="1:8" ht="18" x14ac:dyDescent="0.3">
      <c r="A221" s="121">
        <v>45989</v>
      </c>
      <c r="B221" s="122" t="s">
        <v>54</v>
      </c>
      <c r="C221" s="123" t="s">
        <v>765</v>
      </c>
      <c r="D221" s="122" t="s">
        <v>752</v>
      </c>
      <c r="E221" s="124">
        <v>1.631944444444444</v>
      </c>
      <c r="F221" s="122" t="s">
        <v>58</v>
      </c>
      <c r="G221" s="125">
        <v>5</v>
      </c>
      <c r="H221" s="122" t="s">
        <v>119</v>
      </c>
    </row>
    <row r="222" spans="1:8" ht="18" x14ac:dyDescent="0.3">
      <c r="A222" s="121">
        <v>45989</v>
      </c>
      <c r="B222" s="122" t="s">
        <v>54</v>
      </c>
      <c r="C222" s="123" t="s">
        <v>765</v>
      </c>
      <c r="D222" s="122" t="s">
        <v>752</v>
      </c>
      <c r="E222" s="124">
        <v>1.631944444444444</v>
      </c>
      <c r="F222" s="122" t="s">
        <v>60</v>
      </c>
      <c r="G222" s="125">
        <v>5</v>
      </c>
      <c r="H222" s="122" t="s">
        <v>399</v>
      </c>
    </row>
    <row r="223" spans="1:8" ht="18" x14ac:dyDescent="0.3">
      <c r="A223" s="127">
        <v>45989</v>
      </c>
      <c r="B223" s="128" t="s">
        <v>54</v>
      </c>
      <c r="C223" s="129" t="s">
        <v>766</v>
      </c>
      <c r="D223" s="128" t="s">
        <v>752</v>
      </c>
      <c r="E223" s="130">
        <v>1.5590277777777779</v>
      </c>
      <c r="F223" s="128" t="s">
        <v>56</v>
      </c>
      <c r="G223" s="131">
        <v>9</v>
      </c>
      <c r="H223" s="128" t="s">
        <v>335</v>
      </c>
    </row>
    <row r="224" spans="1:8" ht="18" x14ac:dyDescent="0.3">
      <c r="A224" s="121">
        <v>45989</v>
      </c>
      <c r="B224" s="122" t="s">
        <v>54</v>
      </c>
      <c r="C224" s="123" t="s">
        <v>766</v>
      </c>
      <c r="D224" s="122" t="s">
        <v>752</v>
      </c>
      <c r="E224" s="124">
        <v>1.5590277777777779</v>
      </c>
      <c r="F224" s="122" t="s">
        <v>58</v>
      </c>
      <c r="G224" s="125">
        <v>9</v>
      </c>
      <c r="H224" s="122" t="s">
        <v>119</v>
      </c>
    </row>
    <row r="225" spans="1:8" ht="18" x14ac:dyDescent="0.3">
      <c r="A225" s="121">
        <v>45989</v>
      </c>
      <c r="B225" s="122" t="s">
        <v>54</v>
      </c>
      <c r="C225" s="123" t="s">
        <v>766</v>
      </c>
      <c r="D225" s="122" t="s">
        <v>752</v>
      </c>
      <c r="E225" s="124">
        <v>1.5590277777777779</v>
      </c>
      <c r="F225" s="122" t="s">
        <v>60</v>
      </c>
      <c r="G225" s="125">
        <v>9</v>
      </c>
      <c r="H225" s="122" t="s">
        <v>399</v>
      </c>
    </row>
    <row r="226" spans="1:8" ht="18" x14ac:dyDescent="0.3">
      <c r="A226" s="127">
        <v>45989</v>
      </c>
      <c r="B226" s="128" t="s">
        <v>54</v>
      </c>
      <c r="C226" s="129" t="s">
        <v>767</v>
      </c>
      <c r="D226" s="128" t="s">
        <v>752</v>
      </c>
      <c r="E226" s="130">
        <v>1.697916666666667</v>
      </c>
      <c r="F226" s="128" t="s">
        <v>56</v>
      </c>
      <c r="G226" s="131">
        <v>2</v>
      </c>
      <c r="H226" s="128" t="s">
        <v>335</v>
      </c>
    </row>
    <row r="227" spans="1:8" ht="18" x14ac:dyDescent="0.3">
      <c r="A227" s="121">
        <v>45989</v>
      </c>
      <c r="B227" s="122" t="s">
        <v>54</v>
      </c>
      <c r="C227" s="123" t="s">
        <v>767</v>
      </c>
      <c r="D227" s="122" t="s">
        <v>752</v>
      </c>
      <c r="E227" s="124">
        <v>1.697916666666667</v>
      </c>
      <c r="F227" s="122" t="s">
        <v>58</v>
      </c>
      <c r="G227" s="125">
        <v>2</v>
      </c>
      <c r="H227" s="122" t="s">
        <v>119</v>
      </c>
    </row>
    <row r="228" spans="1:8" ht="18" x14ac:dyDescent="0.3">
      <c r="A228" s="121">
        <v>45989</v>
      </c>
      <c r="B228" s="122" t="s">
        <v>54</v>
      </c>
      <c r="C228" s="123" t="s">
        <v>767</v>
      </c>
      <c r="D228" s="122" t="s">
        <v>752</v>
      </c>
      <c r="E228" s="124">
        <v>1.697916666666667</v>
      </c>
      <c r="F228" s="122" t="s">
        <v>60</v>
      </c>
      <c r="G228" s="125">
        <v>2</v>
      </c>
      <c r="H228" s="122" t="s">
        <v>399</v>
      </c>
    </row>
    <row r="229" spans="1:8" ht="18" x14ac:dyDescent="0.3">
      <c r="A229" s="127">
        <v>45989</v>
      </c>
      <c r="B229" s="128" t="s">
        <v>54</v>
      </c>
      <c r="C229" s="129" t="s">
        <v>772</v>
      </c>
      <c r="D229" s="128" t="s">
        <v>752</v>
      </c>
      <c r="E229" s="130">
        <v>1.819444444444444</v>
      </c>
      <c r="F229" s="128" t="s">
        <v>56</v>
      </c>
      <c r="G229" s="131">
        <v>9</v>
      </c>
      <c r="H229" s="128" t="s">
        <v>119</v>
      </c>
    </row>
    <row r="230" spans="1:8" ht="18" x14ac:dyDescent="0.3">
      <c r="A230" s="121">
        <v>45989</v>
      </c>
      <c r="B230" s="122" t="s">
        <v>54</v>
      </c>
      <c r="C230" s="123" t="s">
        <v>772</v>
      </c>
      <c r="D230" s="122" t="s">
        <v>752</v>
      </c>
      <c r="E230" s="124">
        <v>1.819444444444444</v>
      </c>
      <c r="F230" s="122" t="s">
        <v>58</v>
      </c>
      <c r="G230" s="125">
        <v>9</v>
      </c>
      <c r="H230" s="122" t="s">
        <v>115</v>
      </c>
    </row>
    <row r="231" spans="1:8" ht="18" x14ac:dyDescent="0.3">
      <c r="A231" s="121">
        <v>45989</v>
      </c>
      <c r="B231" s="122" t="s">
        <v>54</v>
      </c>
      <c r="C231" s="123" t="s">
        <v>772</v>
      </c>
      <c r="D231" s="122" t="s">
        <v>752</v>
      </c>
      <c r="E231" s="124">
        <v>1.819444444444444</v>
      </c>
      <c r="F231" s="122" t="s">
        <v>60</v>
      </c>
      <c r="G231" s="125">
        <v>9</v>
      </c>
      <c r="H231" s="122" t="s">
        <v>838</v>
      </c>
    </row>
    <row r="232" spans="1:8" ht="18" x14ac:dyDescent="0.3">
      <c r="A232" s="136">
        <v>45989</v>
      </c>
      <c r="B232" s="137" t="s">
        <v>71</v>
      </c>
      <c r="C232" s="138" t="s">
        <v>810</v>
      </c>
      <c r="D232" s="137" t="s">
        <v>752</v>
      </c>
      <c r="E232" s="139">
        <v>1.40625</v>
      </c>
      <c r="F232" s="137" t="s">
        <v>81</v>
      </c>
      <c r="G232" s="140">
        <v>9</v>
      </c>
      <c r="H232" s="137" t="s">
        <v>839</v>
      </c>
    </row>
    <row r="233" spans="1:8" ht="18" x14ac:dyDescent="0.3">
      <c r="A233" s="141">
        <v>45989</v>
      </c>
      <c r="B233" s="142" t="s">
        <v>71</v>
      </c>
      <c r="C233" s="143" t="s">
        <v>778</v>
      </c>
      <c r="D233" s="142" t="s">
        <v>752</v>
      </c>
      <c r="E233" s="144">
        <v>1.725694444444444</v>
      </c>
      <c r="F233" s="142" t="s">
        <v>81</v>
      </c>
      <c r="G233" s="236">
        <v>9</v>
      </c>
      <c r="H233" s="142" t="s">
        <v>839</v>
      </c>
    </row>
    <row r="234" spans="1:8" ht="18" x14ac:dyDescent="0.3">
      <c r="A234" s="126">
        <v>45989</v>
      </c>
      <c r="B234" s="116" t="s">
        <v>35</v>
      </c>
      <c r="C234" s="117" t="s">
        <v>792</v>
      </c>
      <c r="D234" s="116" t="s">
        <v>752</v>
      </c>
      <c r="E234" s="118">
        <v>1.6284722222222221</v>
      </c>
      <c r="F234" s="116" t="s">
        <v>42</v>
      </c>
      <c r="G234" s="119">
        <v>2</v>
      </c>
      <c r="H234" s="116" t="s">
        <v>843</v>
      </c>
    </row>
    <row r="235" spans="1:8" ht="18" x14ac:dyDescent="0.3">
      <c r="A235" s="127">
        <v>45989</v>
      </c>
      <c r="B235" s="128" t="s">
        <v>35</v>
      </c>
      <c r="C235" s="129" t="s">
        <v>782</v>
      </c>
      <c r="D235" s="128" t="s">
        <v>752</v>
      </c>
      <c r="E235" s="130">
        <v>1.444444444444444</v>
      </c>
      <c r="F235" s="128" t="s">
        <v>42</v>
      </c>
      <c r="G235" s="131">
        <v>9</v>
      </c>
      <c r="H235" s="128" t="s">
        <v>791</v>
      </c>
    </row>
    <row r="236" spans="1:8" ht="18" x14ac:dyDescent="0.3">
      <c r="A236" s="127">
        <v>45989</v>
      </c>
      <c r="B236" s="128" t="s">
        <v>35</v>
      </c>
      <c r="C236" s="129" t="s">
        <v>784</v>
      </c>
      <c r="D236" s="128" t="s">
        <v>752</v>
      </c>
      <c r="E236" s="130">
        <v>1.8298611111111109</v>
      </c>
      <c r="F236" s="128" t="s">
        <v>42</v>
      </c>
      <c r="G236" s="131">
        <v>1</v>
      </c>
      <c r="H236" s="128" t="s">
        <v>791</v>
      </c>
    </row>
    <row r="237" spans="1:8" ht="18" x14ac:dyDescent="0.3">
      <c r="A237" s="127">
        <v>45989</v>
      </c>
      <c r="B237" s="128" t="s">
        <v>35</v>
      </c>
      <c r="C237" s="129" t="s">
        <v>785</v>
      </c>
      <c r="D237" s="128" t="s">
        <v>752</v>
      </c>
      <c r="E237" s="130">
        <v>1.9826388888888891</v>
      </c>
      <c r="F237" s="128" t="s">
        <v>42</v>
      </c>
      <c r="G237" s="131">
        <v>1</v>
      </c>
      <c r="H237" s="128" t="s">
        <v>791</v>
      </c>
    </row>
    <row r="238" spans="1:8" ht="18" x14ac:dyDescent="0.3">
      <c r="A238" s="127">
        <v>45989</v>
      </c>
      <c r="B238" s="128" t="s">
        <v>35</v>
      </c>
      <c r="C238" s="129" t="s">
        <v>786</v>
      </c>
      <c r="D238" s="128" t="s">
        <v>752</v>
      </c>
      <c r="E238" s="130">
        <v>1.8888888888888891</v>
      </c>
      <c r="F238" s="128" t="s">
        <v>42</v>
      </c>
      <c r="G238" s="131">
        <v>4</v>
      </c>
      <c r="H238" s="128" t="s">
        <v>844</v>
      </c>
    </row>
    <row r="239" spans="1:8" ht="18" x14ac:dyDescent="0.3">
      <c r="A239" s="127">
        <v>45989</v>
      </c>
      <c r="B239" s="128" t="s">
        <v>35</v>
      </c>
      <c r="C239" s="129" t="s">
        <v>788</v>
      </c>
      <c r="D239" s="128" t="s">
        <v>752</v>
      </c>
      <c r="E239" s="130">
        <v>1.6284722222222221</v>
      </c>
      <c r="F239" s="128" t="s">
        <v>42</v>
      </c>
      <c r="G239" s="131">
        <v>4</v>
      </c>
      <c r="H239" s="128" t="s">
        <v>844</v>
      </c>
    </row>
    <row r="240" spans="1:8" ht="18" x14ac:dyDescent="0.3">
      <c r="A240" s="127">
        <v>45989</v>
      </c>
      <c r="B240" s="128" t="s">
        <v>35</v>
      </c>
      <c r="C240" s="129" t="s">
        <v>789</v>
      </c>
      <c r="D240" s="128" t="s">
        <v>752</v>
      </c>
      <c r="E240" s="130">
        <v>1.944444444444444</v>
      </c>
      <c r="F240" s="128" t="s">
        <v>42</v>
      </c>
      <c r="G240" s="131">
        <v>4</v>
      </c>
      <c r="H240" s="128" t="s">
        <v>844</v>
      </c>
    </row>
    <row r="241" spans="1:8" ht="18" x14ac:dyDescent="0.3">
      <c r="A241" s="126">
        <v>45989</v>
      </c>
      <c r="B241" s="116" t="s">
        <v>63</v>
      </c>
      <c r="C241" s="117" t="s">
        <v>796</v>
      </c>
      <c r="D241" s="116" t="s">
        <v>752</v>
      </c>
      <c r="E241" s="118">
        <v>1.354166666666667</v>
      </c>
      <c r="F241" s="116" t="s">
        <v>48</v>
      </c>
      <c r="G241" s="119">
        <v>9</v>
      </c>
      <c r="H241" s="116" t="s">
        <v>834</v>
      </c>
    </row>
    <row r="242" spans="1:8" ht="18" x14ac:dyDescent="0.3">
      <c r="A242" s="127">
        <v>45989</v>
      </c>
      <c r="B242" s="128" t="s">
        <v>63</v>
      </c>
      <c r="C242" s="129" t="s">
        <v>793</v>
      </c>
      <c r="D242" s="128" t="s">
        <v>752</v>
      </c>
      <c r="E242" s="130">
        <v>1.729166666666667</v>
      </c>
      <c r="F242" s="128" t="s">
        <v>48</v>
      </c>
      <c r="G242" s="131">
        <v>9</v>
      </c>
      <c r="H242" s="128" t="s">
        <v>821</v>
      </c>
    </row>
    <row r="243" spans="1:8" ht="18" x14ac:dyDescent="0.3">
      <c r="A243" s="150">
        <v>45989</v>
      </c>
      <c r="B243" s="151" t="s">
        <v>63</v>
      </c>
      <c r="C243" s="152" t="s">
        <v>795</v>
      </c>
      <c r="D243" s="151" t="s">
        <v>752</v>
      </c>
      <c r="E243" s="153">
        <v>1.9826388888888891</v>
      </c>
      <c r="F243" s="151" t="s">
        <v>48</v>
      </c>
      <c r="G243" s="154">
        <v>9</v>
      </c>
      <c r="H243" s="151" t="s">
        <v>794</v>
      </c>
    </row>
    <row r="244" spans="1:8" ht="18" x14ac:dyDescent="0.3">
      <c r="A244" s="115">
        <v>45990</v>
      </c>
      <c r="B244" s="116" t="s">
        <v>285</v>
      </c>
      <c r="C244" s="117" t="s">
        <v>845</v>
      </c>
      <c r="D244" s="116" t="s">
        <v>752</v>
      </c>
      <c r="E244" s="118">
        <v>1.024305555555556</v>
      </c>
      <c r="F244" s="116" t="s">
        <v>81</v>
      </c>
      <c r="G244" s="119">
        <v>8</v>
      </c>
      <c r="H244" s="120" t="s">
        <v>837</v>
      </c>
    </row>
    <row r="245" spans="1:8" ht="18" x14ac:dyDescent="0.3">
      <c r="A245" s="127">
        <v>45990</v>
      </c>
      <c r="B245" s="128" t="s">
        <v>285</v>
      </c>
      <c r="C245" s="129" t="s">
        <v>824</v>
      </c>
      <c r="D245" s="128" t="s">
        <v>752</v>
      </c>
      <c r="E245" s="130">
        <v>1.1701388888888891</v>
      </c>
      <c r="F245" s="128" t="s">
        <v>81</v>
      </c>
      <c r="G245" s="131">
        <v>9</v>
      </c>
      <c r="H245" s="128" t="s">
        <v>846</v>
      </c>
    </row>
    <row r="246" spans="1:8" ht="18" x14ac:dyDescent="0.3">
      <c r="A246" s="127">
        <v>45990</v>
      </c>
      <c r="B246" s="128" t="s">
        <v>285</v>
      </c>
      <c r="C246" s="129" t="s">
        <v>847</v>
      </c>
      <c r="D246" s="128" t="s">
        <v>752</v>
      </c>
      <c r="E246" s="130">
        <v>1.538194444444444</v>
      </c>
      <c r="F246" s="128" t="s">
        <v>81</v>
      </c>
      <c r="G246" s="131">
        <v>9</v>
      </c>
      <c r="H246" s="128" t="s">
        <v>846</v>
      </c>
    </row>
    <row r="247" spans="1:8" ht="18" x14ac:dyDescent="0.3">
      <c r="A247" s="126">
        <v>45990</v>
      </c>
      <c r="B247" s="116" t="s">
        <v>360</v>
      </c>
      <c r="C247" s="117" t="s">
        <v>801</v>
      </c>
      <c r="D247" s="116" t="s">
        <v>752</v>
      </c>
      <c r="E247" s="118">
        <v>1.086805555555556</v>
      </c>
      <c r="F247" s="116" t="s">
        <v>81</v>
      </c>
      <c r="G247" s="119">
        <v>8</v>
      </c>
      <c r="H247" s="116" t="s">
        <v>848</v>
      </c>
    </row>
    <row r="248" spans="1:8" ht="18" x14ac:dyDescent="0.3">
      <c r="A248" s="127">
        <v>45990</v>
      </c>
      <c r="B248" s="128" t="s">
        <v>360</v>
      </c>
      <c r="C248" s="129" t="s">
        <v>831</v>
      </c>
      <c r="D248" s="128" t="s">
        <v>752</v>
      </c>
      <c r="E248" s="130">
        <v>1.6840277777777779</v>
      </c>
      <c r="F248" s="128" t="s">
        <v>81</v>
      </c>
      <c r="G248" s="131">
        <v>5</v>
      </c>
      <c r="H248" s="128" t="s">
        <v>849</v>
      </c>
    </row>
    <row r="249" spans="1:8" ht="18" x14ac:dyDescent="0.3">
      <c r="A249" s="126">
        <v>45990</v>
      </c>
      <c r="B249" s="116" t="s">
        <v>280</v>
      </c>
      <c r="C249" s="117" t="s">
        <v>775</v>
      </c>
      <c r="D249" s="116" t="s">
        <v>752</v>
      </c>
      <c r="E249" s="118">
        <v>1.4375</v>
      </c>
      <c r="F249" s="116" t="s">
        <v>282</v>
      </c>
      <c r="G249" s="119">
        <v>9</v>
      </c>
      <c r="H249" s="116" t="s">
        <v>850</v>
      </c>
    </row>
    <row r="250" spans="1:8" ht="18" x14ac:dyDescent="0.3">
      <c r="A250" s="121">
        <v>45990</v>
      </c>
      <c r="B250" s="122" t="s">
        <v>280</v>
      </c>
      <c r="C250" s="123" t="s">
        <v>775</v>
      </c>
      <c r="D250" s="122" t="s">
        <v>752</v>
      </c>
      <c r="E250" s="124">
        <v>1.4375</v>
      </c>
      <c r="F250" s="122" t="s">
        <v>33</v>
      </c>
      <c r="G250" s="125">
        <v>9</v>
      </c>
      <c r="H250" s="122" t="s">
        <v>851</v>
      </c>
    </row>
    <row r="251" spans="1:8" ht="18" x14ac:dyDescent="0.3">
      <c r="A251" s="126">
        <v>45990</v>
      </c>
      <c r="B251" s="116" t="s">
        <v>54</v>
      </c>
      <c r="C251" s="117" t="s">
        <v>762</v>
      </c>
      <c r="D251" s="116" t="s">
        <v>752</v>
      </c>
      <c r="E251" s="118">
        <v>1.4375</v>
      </c>
      <c r="F251" s="116" t="s">
        <v>56</v>
      </c>
      <c r="G251" s="119">
        <v>1</v>
      </c>
      <c r="H251" s="116" t="s">
        <v>119</v>
      </c>
    </row>
    <row r="252" spans="1:8" ht="18" x14ac:dyDescent="0.3">
      <c r="A252" s="121">
        <v>45990</v>
      </c>
      <c r="B252" s="122" t="s">
        <v>54</v>
      </c>
      <c r="C252" s="123" t="s">
        <v>762</v>
      </c>
      <c r="D252" s="122" t="s">
        <v>752</v>
      </c>
      <c r="E252" s="124">
        <v>1.4375</v>
      </c>
      <c r="F252" s="122" t="s">
        <v>58</v>
      </c>
      <c r="G252" s="125">
        <v>1</v>
      </c>
      <c r="H252" s="122" t="s">
        <v>115</v>
      </c>
    </row>
    <row r="253" spans="1:8" ht="18" x14ac:dyDescent="0.3">
      <c r="A253" s="121">
        <v>45990</v>
      </c>
      <c r="B253" s="122" t="s">
        <v>54</v>
      </c>
      <c r="C253" s="123" t="s">
        <v>762</v>
      </c>
      <c r="D253" s="122" t="s">
        <v>752</v>
      </c>
      <c r="E253" s="124">
        <v>1.4375</v>
      </c>
      <c r="F253" s="122" t="s">
        <v>60</v>
      </c>
      <c r="G253" s="125">
        <v>1</v>
      </c>
      <c r="H253" s="122" t="s">
        <v>838</v>
      </c>
    </row>
    <row r="254" spans="1:8" ht="18" x14ac:dyDescent="0.3">
      <c r="A254" s="127">
        <v>45990</v>
      </c>
      <c r="B254" s="128" t="s">
        <v>54</v>
      </c>
      <c r="C254" s="129" t="s">
        <v>766</v>
      </c>
      <c r="D254" s="128" t="s">
        <v>752</v>
      </c>
      <c r="E254" s="130">
        <v>1.5590277777777779</v>
      </c>
      <c r="F254" s="128" t="s">
        <v>56</v>
      </c>
      <c r="G254" s="131">
        <v>7</v>
      </c>
      <c r="H254" s="128" t="s">
        <v>115</v>
      </c>
    </row>
    <row r="255" spans="1:8" ht="18" x14ac:dyDescent="0.3">
      <c r="A255" s="121">
        <v>45990</v>
      </c>
      <c r="B255" s="122" t="s">
        <v>54</v>
      </c>
      <c r="C255" s="123" t="s">
        <v>766</v>
      </c>
      <c r="D255" s="122" t="s">
        <v>752</v>
      </c>
      <c r="E255" s="124">
        <v>1.5590277777777779</v>
      </c>
      <c r="F255" s="122" t="s">
        <v>58</v>
      </c>
      <c r="G255" s="125">
        <v>7</v>
      </c>
      <c r="H255" s="122" t="s">
        <v>400</v>
      </c>
    </row>
    <row r="256" spans="1:8" ht="18" x14ac:dyDescent="0.3">
      <c r="A256" s="121">
        <v>45990</v>
      </c>
      <c r="B256" s="122" t="s">
        <v>54</v>
      </c>
      <c r="C256" s="123" t="s">
        <v>766</v>
      </c>
      <c r="D256" s="122" t="s">
        <v>752</v>
      </c>
      <c r="E256" s="124">
        <v>1.5590277777777779</v>
      </c>
      <c r="F256" s="122" t="s">
        <v>60</v>
      </c>
      <c r="G256" s="125">
        <v>7</v>
      </c>
      <c r="H256" s="122" t="s">
        <v>401</v>
      </c>
    </row>
    <row r="257" spans="1:8" ht="18" x14ac:dyDescent="0.3">
      <c r="A257" s="127">
        <v>45990</v>
      </c>
      <c r="B257" s="128" t="s">
        <v>54</v>
      </c>
      <c r="C257" s="129" t="s">
        <v>760</v>
      </c>
      <c r="D257" s="128" t="s">
        <v>752</v>
      </c>
      <c r="E257" s="130">
        <v>1.506944444444444</v>
      </c>
      <c r="F257" s="128" t="s">
        <v>56</v>
      </c>
      <c r="G257" s="131">
        <v>9</v>
      </c>
      <c r="H257" s="128" t="s">
        <v>115</v>
      </c>
    </row>
    <row r="258" spans="1:8" ht="18" x14ac:dyDescent="0.3">
      <c r="A258" s="121">
        <v>45990</v>
      </c>
      <c r="B258" s="122" t="s">
        <v>54</v>
      </c>
      <c r="C258" s="123" t="s">
        <v>760</v>
      </c>
      <c r="D258" s="122" t="s">
        <v>752</v>
      </c>
      <c r="E258" s="124">
        <v>1.506944444444444</v>
      </c>
      <c r="F258" s="122" t="s">
        <v>58</v>
      </c>
      <c r="G258" s="125">
        <v>9</v>
      </c>
      <c r="H258" s="122" t="s">
        <v>400</v>
      </c>
    </row>
    <row r="259" spans="1:8" ht="18" x14ac:dyDescent="0.3">
      <c r="A259" s="121">
        <v>45990</v>
      </c>
      <c r="B259" s="122" t="s">
        <v>54</v>
      </c>
      <c r="C259" s="123" t="s">
        <v>760</v>
      </c>
      <c r="D259" s="122" t="s">
        <v>752</v>
      </c>
      <c r="E259" s="124">
        <v>1.506944444444444</v>
      </c>
      <c r="F259" s="122" t="s">
        <v>60</v>
      </c>
      <c r="G259" s="125">
        <v>9</v>
      </c>
      <c r="H259" s="122" t="s">
        <v>401</v>
      </c>
    </row>
    <row r="260" spans="1:8" ht="18" x14ac:dyDescent="0.3">
      <c r="A260" s="127">
        <v>45990</v>
      </c>
      <c r="B260" s="128" t="s">
        <v>54</v>
      </c>
      <c r="C260" s="129" t="s">
        <v>768</v>
      </c>
      <c r="D260" s="128" t="s">
        <v>752</v>
      </c>
      <c r="E260" s="130">
        <v>1.958333333333333</v>
      </c>
      <c r="F260" s="128" t="s">
        <v>56</v>
      </c>
      <c r="G260" s="131">
        <v>8</v>
      </c>
      <c r="H260" s="128" t="s">
        <v>404</v>
      </c>
    </row>
    <row r="261" spans="1:8" ht="18" x14ac:dyDescent="0.3">
      <c r="A261" s="121">
        <v>45990</v>
      </c>
      <c r="B261" s="122" t="s">
        <v>54</v>
      </c>
      <c r="C261" s="123" t="s">
        <v>768</v>
      </c>
      <c r="D261" s="122" t="s">
        <v>752</v>
      </c>
      <c r="E261" s="124">
        <v>1.958333333333333</v>
      </c>
      <c r="F261" s="122" t="s">
        <v>58</v>
      </c>
      <c r="G261" s="125">
        <v>8</v>
      </c>
      <c r="H261" s="122" t="s">
        <v>852</v>
      </c>
    </row>
    <row r="262" spans="1:8" ht="18" x14ac:dyDescent="0.3">
      <c r="A262" s="121">
        <v>45990</v>
      </c>
      <c r="B262" s="122" t="s">
        <v>54</v>
      </c>
      <c r="C262" s="123" t="s">
        <v>768</v>
      </c>
      <c r="D262" s="122" t="s">
        <v>752</v>
      </c>
      <c r="E262" s="124">
        <v>1.958333333333333</v>
      </c>
      <c r="F262" s="122" t="s">
        <v>60</v>
      </c>
      <c r="G262" s="125">
        <v>8</v>
      </c>
      <c r="H262" s="122" t="s">
        <v>853</v>
      </c>
    </row>
    <row r="263" spans="1:8" ht="18" x14ac:dyDescent="0.3">
      <c r="A263" s="127">
        <v>45990</v>
      </c>
      <c r="B263" s="128" t="s">
        <v>54</v>
      </c>
      <c r="C263" s="129" t="s">
        <v>765</v>
      </c>
      <c r="D263" s="128" t="s">
        <v>752</v>
      </c>
      <c r="E263" s="130">
        <v>1.631944444444444</v>
      </c>
      <c r="F263" s="128" t="s">
        <v>56</v>
      </c>
      <c r="G263" s="131">
        <v>9</v>
      </c>
      <c r="H263" s="128" t="s">
        <v>404</v>
      </c>
    </row>
    <row r="264" spans="1:8" ht="18" x14ac:dyDescent="0.3">
      <c r="A264" s="121">
        <v>45990</v>
      </c>
      <c r="B264" s="122" t="s">
        <v>54</v>
      </c>
      <c r="C264" s="123" t="s">
        <v>765</v>
      </c>
      <c r="D264" s="122" t="s">
        <v>752</v>
      </c>
      <c r="E264" s="124">
        <v>1.631944444444444</v>
      </c>
      <c r="F264" s="122" t="s">
        <v>58</v>
      </c>
      <c r="G264" s="125">
        <v>9</v>
      </c>
      <c r="H264" s="122" t="s">
        <v>852</v>
      </c>
    </row>
    <row r="265" spans="1:8" ht="18" x14ac:dyDescent="0.3">
      <c r="A265" s="121">
        <v>45990</v>
      </c>
      <c r="B265" s="122" t="s">
        <v>54</v>
      </c>
      <c r="C265" s="123" t="s">
        <v>765</v>
      </c>
      <c r="D265" s="122" t="s">
        <v>752</v>
      </c>
      <c r="E265" s="124">
        <v>1.631944444444444</v>
      </c>
      <c r="F265" s="122" t="s">
        <v>60</v>
      </c>
      <c r="G265" s="125">
        <v>9</v>
      </c>
      <c r="H265" s="122" t="s">
        <v>853</v>
      </c>
    </row>
    <row r="266" spans="1:8" ht="18" x14ac:dyDescent="0.3">
      <c r="A266" s="127">
        <v>45990</v>
      </c>
      <c r="B266" s="128" t="s">
        <v>54</v>
      </c>
      <c r="C266" s="129" t="s">
        <v>767</v>
      </c>
      <c r="D266" s="128" t="s">
        <v>752</v>
      </c>
      <c r="E266" s="130">
        <v>1.697916666666667</v>
      </c>
      <c r="F266" s="128" t="s">
        <v>56</v>
      </c>
      <c r="G266" s="131">
        <v>5</v>
      </c>
      <c r="H266" s="128" t="s">
        <v>404</v>
      </c>
    </row>
    <row r="267" spans="1:8" ht="18" x14ac:dyDescent="0.3">
      <c r="A267" s="121">
        <v>45990</v>
      </c>
      <c r="B267" s="122" t="s">
        <v>54</v>
      </c>
      <c r="C267" s="123" t="s">
        <v>767</v>
      </c>
      <c r="D267" s="122" t="s">
        <v>752</v>
      </c>
      <c r="E267" s="124">
        <v>1.697916666666667</v>
      </c>
      <c r="F267" s="122" t="s">
        <v>58</v>
      </c>
      <c r="G267" s="125">
        <v>5</v>
      </c>
      <c r="H267" s="122" t="s">
        <v>852</v>
      </c>
    </row>
    <row r="268" spans="1:8" ht="18" x14ac:dyDescent="0.3">
      <c r="A268" s="121">
        <v>45990</v>
      </c>
      <c r="B268" s="122" t="s">
        <v>54</v>
      </c>
      <c r="C268" s="123" t="s">
        <v>767</v>
      </c>
      <c r="D268" s="122" t="s">
        <v>752</v>
      </c>
      <c r="E268" s="124">
        <v>1.697916666666667</v>
      </c>
      <c r="F268" s="122" t="s">
        <v>60</v>
      </c>
      <c r="G268" s="125">
        <v>5</v>
      </c>
      <c r="H268" s="122" t="s">
        <v>853</v>
      </c>
    </row>
    <row r="269" spans="1:8" ht="18" x14ac:dyDescent="0.3">
      <c r="A269" s="127">
        <v>45990</v>
      </c>
      <c r="B269" s="128" t="s">
        <v>54</v>
      </c>
      <c r="C269" s="129" t="s">
        <v>772</v>
      </c>
      <c r="D269" s="128" t="s">
        <v>752</v>
      </c>
      <c r="E269" s="130">
        <v>1.819444444444444</v>
      </c>
      <c r="F269" s="128" t="s">
        <v>56</v>
      </c>
      <c r="G269" s="131">
        <v>9</v>
      </c>
      <c r="H269" s="128" t="s">
        <v>854</v>
      </c>
    </row>
    <row r="270" spans="1:8" ht="18" x14ac:dyDescent="0.3">
      <c r="A270" s="121">
        <v>45990</v>
      </c>
      <c r="B270" s="122" t="s">
        <v>54</v>
      </c>
      <c r="C270" s="123" t="s">
        <v>772</v>
      </c>
      <c r="D270" s="122" t="s">
        <v>752</v>
      </c>
      <c r="E270" s="124">
        <v>1.819444444444444</v>
      </c>
      <c r="F270" s="122" t="s">
        <v>58</v>
      </c>
      <c r="G270" s="125">
        <v>9</v>
      </c>
      <c r="H270" s="122" t="s">
        <v>855</v>
      </c>
    </row>
    <row r="271" spans="1:8" ht="18" x14ac:dyDescent="0.3">
      <c r="A271" s="121">
        <v>45990</v>
      </c>
      <c r="B271" s="122" t="s">
        <v>54</v>
      </c>
      <c r="C271" s="123" t="s">
        <v>772</v>
      </c>
      <c r="D271" s="122" t="s">
        <v>752</v>
      </c>
      <c r="E271" s="124">
        <v>1.819444444444444</v>
      </c>
      <c r="F271" s="122" t="s">
        <v>60</v>
      </c>
      <c r="G271" s="125">
        <v>9</v>
      </c>
      <c r="H271" s="122" t="s">
        <v>856</v>
      </c>
    </row>
    <row r="272" spans="1:8" ht="18" x14ac:dyDescent="0.3">
      <c r="A272" s="126">
        <v>45990</v>
      </c>
      <c r="B272" s="116" t="s">
        <v>25</v>
      </c>
      <c r="C272" s="117" t="s">
        <v>753</v>
      </c>
      <c r="D272" s="116" t="s">
        <v>752</v>
      </c>
      <c r="E272" s="118">
        <v>1.5763888888888891</v>
      </c>
      <c r="F272" s="116" t="s">
        <v>27</v>
      </c>
      <c r="G272" s="119">
        <v>10</v>
      </c>
      <c r="H272" s="116" t="s">
        <v>857</v>
      </c>
    </row>
    <row r="273" spans="1:8" ht="18" x14ac:dyDescent="0.3">
      <c r="A273" s="121">
        <v>45990</v>
      </c>
      <c r="B273" s="122" t="s">
        <v>25</v>
      </c>
      <c r="C273" s="123" t="s">
        <v>753</v>
      </c>
      <c r="D273" s="122" t="s">
        <v>752</v>
      </c>
      <c r="E273" s="124">
        <v>1.5763888888888891</v>
      </c>
      <c r="F273" s="122" t="s">
        <v>30</v>
      </c>
      <c r="G273" s="125">
        <v>10</v>
      </c>
      <c r="H273" s="122" t="s">
        <v>858</v>
      </c>
    </row>
    <row r="274" spans="1:8" ht="18" x14ac:dyDescent="0.3">
      <c r="A274" s="121">
        <v>45990</v>
      </c>
      <c r="B274" s="122" t="s">
        <v>25</v>
      </c>
      <c r="C274" s="123" t="s">
        <v>753</v>
      </c>
      <c r="D274" s="122" t="s">
        <v>752</v>
      </c>
      <c r="E274" s="124">
        <v>1.5763888888888891</v>
      </c>
      <c r="F274" s="122" t="s">
        <v>33</v>
      </c>
      <c r="G274" s="125">
        <v>10</v>
      </c>
      <c r="H274" s="122" t="s">
        <v>758</v>
      </c>
    </row>
    <row r="275" spans="1:8" ht="18" x14ac:dyDescent="0.3">
      <c r="A275" s="127">
        <v>45990</v>
      </c>
      <c r="B275" s="128" t="s">
        <v>25</v>
      </c>
      <c r="C275" s="129" t="s">
        <v>756</v>
      </c>
      <c r="D275" s="128" t="s">
        <v>752</v>
      </c>
      <c r="E275" s="130">
        <v>1.6284722222222221</v>
      </c>
      <c r="F275" s="128" t="s">
        <v>27</v>
      </c>
      <c r="G275" s="131">
        <v>3</v>
      </c>
      <c r="H275" s="128" t="s">
        <v>857</v>
      </c>
    </row>
    <row r="276" spans="1:8" ht="18" x14ac:dyDescent="0.3">
      <c r="A276" s="121">
        <v>45990</v>
      </c>
      <c r="B276" s="122" t="s">
        <v>25</v>
      </c>
      <c r="C276" s="123" t="s">
        <v>756</v>
      </c>
      <c r="D276" s="122" t="s">
        <v>752</v>
      </c>
      <c r="E276" s="124">
        <v>1.6284722222222221</v>
      </c>
      <c r="F276" s="122" t="s">
        <v>30</v>
      </c>
      <c r="G276" s="125">
        <v>3</v>
      </c>
      <c r="H276" s="122" t="s">
        <v>858</v>
      </c>
    </row>
    <row r="277" spans="1:8" ht="18" x14ac:dyDescent="0.3">
      <c r="A277" s="121">
        <v>45990</v>
      </c>
      <c r="B277" s="122" t="s">
        <v>25</v>
      </c>
      <c r="C277" s="123" t="s">
        <v>756</v>
      </c>
      <c r="D277" s="122" t="s">
        <v>752</v>
      </c>
      <c r="E277" s="124">
        <v>1.6284722222222221</v>
      </c>
      <c r="F277" s="122" t="s">
        <v>33</v>
      </c>
      <c r="G277" s="125">
        <v>3</v>
      </c>
      <c r="H277" s="122" t="s">
        <v>758</v>
      </c>
    </row>
    <row r="278" spans="1:8" ht="18" x14ac:dyDescent="0.3">
      <c r="A278" s="127">
        <v>45990</v>
      </c>
      <c r="B278" s="128" t="s">
        <v>25</v>
      </c>
      <c r="C278" s="129" t="s">
        <v>757</v>
      </c>
      <c r="D278" s="128" t="s">
        <v>752</v>
      </c>
      <c r="E278" s="130">
        <v>1.8888888888888891</v>
      </c>
      <c r="F278" s="128" t="s">
        <v>27</v>
      </c>
      <c r="G278" s="131">
        <v>8</v>
      </c>
      <c r="H278" s="128" t="s">
        <v>857</v>
      </c>
    </row>
    <row r="279" spans="1:8" ht="18" x14ac:dyDescent="0.3">
      <c r="A279" s="121">
        <v>45990</v>
      </c>
      <c r="B279" s="122" t="s">
        <v>25</v>
      </c>
      <c r="C279" s="123" t="s">
        <v>757</v>
      </c>
      <c r="D279" s="122" t="s">
        <v>752</v>
      </c>
      <c r="E279" s="124">
        <v>1.8888888888888891</v>
      </c>
      <c r="F279" s="122" t="s">
        <v>30</v>
      </c>
      <c r="G279" s="125">
        <v>8</v>
      </c>
      <c r="H279" s="122" t="s">
        <v>858</v>
      </c>
    </row>
    <row r="280" spans="1:8" ht="18" x14ac:dyDescent="0.3">
      <c r="A280" s="121">
        <v>45990</v>
      </c>
      <c r="B280" s="122" t="s">
        <v>25</v>
      </c>
      <c r="C280" s="123" t="s">
        <v>757</v>
      </c>
      <c r="D280" s="122" t="s">
        <v>752</v>
      </c>
      <c r="E280" s="124">
        <v>1.8888888888888891</v>
      </c>
      <c r="F280" s="122" t="s">
        <v>33</v>
      </c>
      <c r="G280" s="125">
        <v>8</v>
      </c>
      <c r="H280" s="122" t="s">
        <v>758</v>
      </c>
    </row>
    <row r="281" spans="1:8" ht="18" x14ac:dyDescent="0.3">
      <c r="A281" s="127">
        <v>45990</v>
      </c>
      <c r="B281" s="128" t="s">
        <v>25</v>
      </c>
      <c r="C281" s="129" t="s">
        <v>759</v>
      </c>
      <c r="D281" s="128" t="s">
        <v>752</v>
      </c>
      <c r="E281" s="130">
        <v>1.944444444444444</v>
      </c>
      <c r="F281" s="128" t="s">
        <v>27</v>
      </c>
      <c r="G281" s="131">
        <v>6</v>
      </c>
      <c r="H281" s="128" t="s">
        <v>857</v>
      </c>
    </row>
    <row r="282" spans="1:8" ht="18" x14ac:dyDescent="0.3">
      <c r="A282" s="121">
        <v>45990</v>
      </c>
      <c r="B282" s="122" t="s">
        <v>25</v>
      </c>
      <c r="C282" s="123" t="s">
        <v>759</v>
      </c>
      <c r="D282" s="122" t="s">
        <v>752</v>
      </c>
      <c r="E282" s="124">
        <v>1.944444444444444</v>
      </c>
      <c r="F282" s="122" t="s">
        <v>30</v>
      </c>
      <c r="G282" s="125">
        <v>6</v>
      </c>
      <c r="H282" s="122" t="s">
        <v>858</v>
      </c>
    </row>
    <row r="283" spans="1:8" ht="18" x14ac:dyDescent="0.3">
      <c r="A283" s="121">
        <v>45990</v>
      </c>
      <c r="B283" s="122" t="s">
        <v>25</v>
      </c>
      <c r="C283" s="123" t="s">
        <v>759</v>
      </c>
      <c r="D283" s="122" t="s">
        <v>752</v>
      </c>
      <c r="E283" s="124">
        <v>1.944444444444444</v>
      </c>
      <c r="F283" s="122" t="s">
        <v>33</v>
      </c>
      <c r="G283" s="125">
        <v>6</v>
      </c>
      <c r="H283" s="122" t="s">
        <v>758</v>
      </c>
    </row>
    <row r="284" spans="1:8" ht="18" x14ac:dyDescent="0.3">
      <c r="A284" s="136">
        <v>45990</v>
      </c>
      <c r="B284" s="137" t="s">
        <v>71</v>
      </c>
      <c r="C284" s="138" t="s">
        <v>810</v>
      </c>
      <c r="D284" s="137" t="s">
        <v>752</v>
      </c>
      <c r="E284" s="139">
        <v>1.413194444444444</v>
      </c>
      <c r="F284" s="137" t="s">
        <v>81</v>
      </c>
      <c r="G284" s="140">
        <v>9</v>
      </c>
      <c r="H284" s="137" t="s">
        <v>859</v>
      </c>
    </row>
    <row r="285" spans="1:8" ht="18" x14ac:dyDescent="0.3">
      <c r="A285" s="126">
        <v>45990</v>
      </c>
      <c r="B285" s="116" t="s">
        <v>35</v>
      </c>
      <c r="C285" s="117" t="s">
        <v>785</v>
      </c>
      <c r="D285" s="116" t="s">
        <v>752</v>
      </c>
      <c r="E285" s="118">
        <v>1.9826388888888891</v>
      </c>
      <c r="F285" s="116" t="s">
        <v>42</v>
      </c>
      <c r="G285" s="119">
        <v>6</v>
      </c>
      <c r="H285" s="116" t="s">
        <v>791</v>
      </c>
    </row>
    <row r="286" spans="1:8" ht="18" x14ac:dyDescent="0.3">
      <c r="A286" s="127">
        <v>45990</v>
      </c>
      <c r="B286" s="128" t="s">
        <v>35</v>
      </c>
      <c r="C286" s="129" t="s">
        <v>792</v>
      </c>
      <c r="D286" s="128" t="s">
        <v>752</v>
      </c>
      <c r="E286" s="130">
        <v>1.6284722222222221</v>
      </c>
      <c r="F286" s="128" t="s">
        <v>42</v>
      </c>
      <c r="G286" s="131">
        <v>1</v>
      </c>
      <c r="H286" s="128" t="s">
        <v>862</v>
      </c>
    </row>
    <row r="287" spans="1:8" ht="18" x14ac:dyDescent="0.3">
      <c r="A287" s="127">
        <v>45990</v>
      </c>
      <c r="B287" s="128" t="s">
        <v>35</v>
      </c>
      <c r="C287" s="129" t="s">
        <v>786</v>
      </c>
      <c r="D287" s="128" t="s">
        <v>752</v>
      </c>
      <c r="E287" s="130">
        <v>1.8888888888888891</v>
      </c>
      <c r="F287" s="128" t="s">
        <v>42</v>
      </c>
      <c r="G287" s="131">
        <v>4</v>
      </c>
      <c r="H287" s="128" t="s">
        <v>863</v>
      </c>
    </row>
    <row r="288" spans="1:8" ht="18" x14ac:dyDescent="0.3">
      <c r="A288" s="127">
        <v>45990</v>
      </c>
      <c r="B288" s="128" t="s">
        <v>35</v>
      </c>
      <c r="C288" s="129" t="s">
        <v>788</v>
      </c>
      <c r="D288" s="128" t="s">
        <v>752</v>
      </c>
      <c r="E288" s="130">
        <v>1.6284722222222221</v>
      </c>
      <c r="F288" s="128" t="s">
        <v>42</v>
      </c>
      <c r="G288" s="131">
        <v>4</v>
      </c>
      <c r="H288" s="128" t="s">
        <v>863</v>
      </c>
    </row>
    <row r="289" spans="1:8" ht="18" x14ac:dyDescent="0.3">
      <c r="A289" s="127">
        <v>45990</v>
      </c>
      <c r="B289" s="128" t="s">
        <v>35</v>
      </c>
      <c r="C289" s="129" t="s">
        <v>789</v>
      </c>
      <c r="D289" s="128" t="s">
        <v>752</v>
      </c>
      <c r="E289" s="130">
        <v>1.944444444444444</v>
      </c>
      <c r="F289" s="128" t="s">
        <v>42</v>
      </c>
      <c r="G289" s="131">
        <v>4</v>
      </c>
      <c r="H289" s="128" t="s">
        <v>863</v>
      </c>
    </row>
    <row r="290" spans="1:8" ht="18" x14ac:dyDescent="0.3">
      <c r="A290" s="126">
        <v>45990</v>
      </c>
      <c r="B290" s="116" t="s">
        <v>63</v>
      </c>
      <c r="C290" s="117" t="s">
        <v>795</v>
      </c>
      <c r="D290" s="116" t="s">
        <v>752</v>
      </c>
      <c r="E290" s="118">
        <v>1.9861111111111109</v>
      </c>
      <c r="F290" s="116" t="s">
        <v>48</v>
      </c>
      <c r="G290" s="119">
        <v>9</v>
      </c>
      <c r="H290" s="116" t="s">
        <v>794</v>
      </c>
    </row>
    <row r="291" spans="1:8" ht="18" x14ac:dyDescent="0.3">
      <c r="A291" s="127">
        <v>45990</v>
      </c>
      <c r="B291" s="128" t="s">
        <v>63</v>
      </c>
      <c r="C291" s="129" t="s">
        <v>793</v>
      </c>
      <c r="D291" s="128" t="s">
        <v>752</v>
      </c>
      <c r="E291" s="130">
        <v>1.729166666666667</v>
      </c>
      <c r="F291" s="128" t="s">
        <v>48</v>
      </c>
      <c r="G291" s="131">
        <v>1</v>
      </c>
      <c r="H291" s="128" t="s">
        <v>807</v>
      </c>
    </row>
    <row r="292" spans="1:8" ht="18" x14ac:dyDescent="0.3">
      <c r="A292" s="150">
        <v>45990</v>
      </c>
      <c r="B292" s="151" t="s">
        <v>63</v>
      </c>
      <c r="C292" s="152" t="s">
        <v>796</v>
      </c>
      <c r="D292" s="151" t="s">
        <v>752</v>
      </c>
      <c r="E292" s="153">
        <v>1.354166666666667</v>
      </c>
      <c r="F292" s="151" t="s">
        <v>48</v>
      </c>
      <c r="G292" s="154">
        <v>9</v>
      </c>
      <c r="H292" s="151" t="s">
        <v>807</v>
      </c>
    </row>
    <row r="293" spans="1:8" ht="18" x14ac:dyDescent="0.3">
      <c r="A293" s="187">
        <v>45991</v>
      </c>
      <c r="B293" s="137" t="s">
        <v>71</v>
      </c>
      <c r="C293" s="138" t="s">
        <v>810</v>
      </c>
      <c r="D293" s="137" t="s">
        <v>752</v>
      </c>
      <c r="E293" s="139">
        <v>1.427083333333333</v>
      </c>
      <c r="F293" s="137" t="s">
        <v>81</v>
      </c>
      <c r="G293" s="140">
        <v>2</v>
      </c>
      <c r="H293" s="188" t="s">
        <v>813</v>
      </c>
    </row>
    <row r="294" spans="1:8" ht="18" x14ac:dyDescent="0.3">
      <c r="A294" s="126">
        <v>45991</v>
      </c>
      <c r="B294" s="116" t="s">
        <v>25</v>
      </c>
      <c r="C294" s="117" t="s">
        <v>753</v>
      </c>
      <c r="D294" s="116" t="s">
        <v>752</v>
      </c>
      <c r="E294" s="118">
        <v>1.5763888888888891</v>
      </c>
      <c r="F294" s="116" t="s">
        <v>27</v>
      </c>
      <c r="G294" s="119">
        <v>4</v>
      </c>
      <c r="H294" s="116" t="s">
        <v>123</v>
      </c>
    </row>
    <row r="295" spans="1:8" ht="18" x14ac:dyDescent="0.3">
      <c r="A295" s="121">
        <v>45991</v>
      </c>
      <c r="B295" s="122" t="s">
        <v>25</v>
      </c>
      <c r="C295" s="123" t="s">
        <v>753</v>
      </c>
      <c r="D295" s="122" t="s">
        <v>752</v>
      </c>
      <c r="E295" s="124">
        <v>1.5763888888888891</v>
      </c>
      <c r="F295" s="122" t="s">
        <v>30</v>
      </c>
      <c r="G295" s="125">
        <v>4</v>
      </c>
      <c r="H295" s="122" t="s">
        <v>79</v>
      </c>
    </row>
    <row r="296" spans="1:8" ht="18" x14ac:dyDescent="0.3">
      <c r="A296" s="121">
        <v>45991</v>
      </c>
      <c r="B296" s="122" t="s">
        <v>25</v>
      </c>
      <c r="C296" s="123" t="s">
        <v>753</v>
      </c>
      <c r="D296" s="122" t="s">
        <v>752</v>
      </c>
      <c r="E296" s="124">
        <v>1.5763888888888891</v>
      </c>
      <c r="F296" s="122" t="s">
        <v>33</v>
      </c>
      <c r="G296" s="125">
        <v>4</v>
      </c>
      <c r="H296" s="122" t="s">
        <v>335</v>
      </c>
    </row>
    <row r="297" spans="1:8" ht="18" x14ac:dyDescent="0.3">
      <c r="A297" s="127">
        <v>45991</v>
      </c>
      <c r="B297" s="128" t="s">
        <v>25</v>
      </c>
      <c r="C297" s="129" t="s">
        <v>756</v>
      </c>
      <c r="D297" s="128" t="s">
        <v>752</v>
      </c>
      <c r="E297" s="130">
        <v>1.6284722222222221</v>
      </c>
      <c r="F297" s="128" t="s">
        <v>27</v>
      </c>
      <c r="G297" s="131">
        <v>9</v>
      </c>
      <c r="H297" s="128" t="s">
        <v>29</v>
      </c>
    </row>
    <row r="298" spans="1:8" ht="18" x14ac:dyDescent="0.3">
      <c r="A298" s="121">
        <v>45991</v>
      </c>
      <c r="B298" s="122" t="s">
        <v>25</v>
      </c>
      <c r="C298" s="123" t="s">
        <v>756</v>
      </c>
      <c r="D298" s="122" t="s">
        <v>752</v>
      </c>
      <c r="E298" s="124">
        <v>1.6284722222222221</v>
      </c>
      <c r="F298" s="122" t="s">
        <v>30</v>
      </c>
      <c r="G298" s="125">
        <v>9</v>
      </c>
      <c r="H298" s="122" t="s">
        <v>32</v>
      </c>
    </row>
    <row r="299" spans="1:8" ht="18" x14ac:dyDescent="0.3">
      <c r="A299" s="121">
        <v>45991</v>
      </c>
      <c r="B299" s="122" t="s">
        <v>25</v>
      </c>
      <c r="C299" s="123" t="s">
        <v>756</v>
      </c>
      <c r="D299" s="122" t="s">
        <v>752</v>
      </c>
      <c r="E299" s="124">
        <v>1.6284722222222221</v>
      </c>
      <c r="F299" s="122" t="s">
        <v>33</v>
      </c>
      <c r="G299" s="125">
        <v>9</v>
      </c>
      <c r="H299" s="122" t="s">
        <v>758</v>
      </c>
    </row>
    <row r="300" spans="1:8" ht="18" x14ac:dyDescent="0.3">
      <c r="A300" s="127">
        <v>45991</v>
      </c>
      <c r="B300" s="128" t="s">
        <v>25</v>
      </c>
      <c r="C300" s="129" t="s">
        <v>757</v>
      </c>
      <c r="D300" s="128" t="s">
        <v>752</v>
      </c>
      <c r="E300" s="130">
        <v>1.8888888888888891</v>
      </c>
      <c r="F300" s="128" t="s">
        <v>27</v>
      </c>
      <c r="G300" s="131">
        <v>9</v>
      </c>
      <c r="H300" s="128" t="s">
        <v>29</v>
      </c>
    </row>
    <row r="301" spans="1:8" ht="18" x14ac:dyDescent="0.3">
      <c r="A301" s="121">
        <v>45991</v>
      </c>
      <c r="B301" s="122" t="s">
        <v>25</v>
      </c>
      <c r="C301" s="123" t="s">
        <v>757</v>
      </c>
      <c r="D301" s="122" t="s">
        <v>752</v>
      </c>
      <c r="E301" s="124">
        <v>1.8888888888888891</v>
      </c>
      <c r="F301" s="122" t="s">
        <v>30</v>
      </c>
      <c r="G301" s="125">
        <v>9</v>
      </c>
      <c r="H301" s="122" t="s">
        <v>32</v>
      </c>
    </row>
    <row r="302" spans="1:8" ht="18" x14ac:dyDescent="0.3">
      <c r="A302" s="121">
        <v>45991</v>
      </c>
      <c r="B302" s="122" t="s">
        <v>25</v>
      </c>
      <c r="C302" s="123" t="s">
        <v>757</v>
      </c>
      <c r="D302" s="122" t="s">
        <v>752</v>
      </c>
      <c r="E302" s="124">
        <v>1.8888888888888891</v>
      </c>
      <c r="F302" s="122" t="s">
        <v>33</v>
      </c>
      <c r="G302" s="125">
        <v>9</v>
      </c>
      <c r="H302" s="122" t="s">
        <v>758</v>
      </c>
    </row>
    <row r="303" spans="1:8" ht="18" x14ac:dyDescent="0.3">
      <c r="A303" s="127">
        <v>45991</v>
      </c>
      <c r="B303" s="128" t="s">
        <v>25</v>
      </c>
      <c r="C303" s="129" t="s">
        <v>759</v>
      </c>
      <c r="D303" s="128" t="s">
        <v>752</v>
      </c>
      <c r="E303" s="130">
        <v>1.944444444444444</v>
      </c>
      <c r="F303" s="128" t="s">
        <v>27</v>
      </c>
      <c r="G303" s="131">
        <v>6</v>
      </c>
      <c r="H303" s="128" t="s">
        <v>29</v>
      </c>
    </row>
    <row r="304" spans="1:8" ht="18" x14ac:dyDescent="0.3">
      <c r="A304" s="121">
        <v>45991</v>
      </c>
      <c r="B304" s="122" t="s">
        <v>25</v>
      </c>
      <c r="C304" s="123" t="s">
        <v>759</v>
      </c>
      <c r="D304" s="122" t="s">
        <v>752</v>
      </c>
      <c r="E304" s="124">
        <v>1.944444444444444</v>
      </c>
      <c r="F304" s="122" t="s">
        <v>30</v>
      </c>
      <c r="G304" s="125">
        <v>6</v>
      </c>
      <c r="H304" s="122" t="s">
        <v>32</v>
      </c>
    </row>
    <row r="305" spans="1:8" ht="18" x14ac:dyDescent="0.3">
      <c r="A305" s="121">
        <v>45991</v>
      </c>
      <c r="B305" s="122" t="s">
        <v>25</v>
      </c>
      <c r="C305" s="123" t="s">
        <v>759</v>
      </c>
      <c r="D305" s="122" t="s">
        <v>752</v>
      </c>
      <c r="E305" s="124">
        <v>1.944444444444444</v>
      </c>
      <c r="F305" s="122" t="s">
        <v>33</v>
      </c>
      <c r="G305" s="125">
        <v>6</v>
      </c>
      <c r="H305" s="122" t="s">
        <v>758</v>
      </c>
    </row>
    <row r="306" spans="1:8" ht="18" x14ac:dyDescent="0.3">
      <c r="A306" s="126">
        <v>45991</v>
      </c>
      <c r="B306" s="116" t="s">
        <v>360</v>
      </c>
      <c r="C306" s="117" t="s">
        <v>865</v>
      </c>
      <c r="D306" s="116" t="s">
        <v>752</v>
      </c>
      <c r="E306" s="118">
        <v>1.399305555555556</v>
      </c>
      <c r="F306" s="116" t="s">
        <v>81</v>
      </c>
      <c r="G306" s="119">
        <v>9</v>
      </c>
      <c r="H306" s="116" t="s">
        <v>866</v>
      </c>
    </row>
    <row r="307" spans="1:8" ht="18" x14ac:dyDescent="0.3">
      <c r="A307" s="126">
        <v>45991</v>
      </c>
      <c r="B307" s="116" t="s">
        <v>54</v>
      </c>
      <c r="C307" s="117" t="s">
        <v>762</v>
      </c>
      <c r="D307" s="116" t="s">
        <v>752</v>
      </c>
      <c r="E307" s="118">
        <v>1.4375</v>
      </c>
      <c r="F307" s="116" t="s">
        <v>56</v>
      </c>
      <c r="G307" s="119">
        <v>2</v>
      </c>
      <c r="H307" s="116" t="s">
        <v>867</v>
      </c>
    </row>
    <row r="308" spans="1:8" ht="18" x14ac:dyDescent="0.3">
      <c r="A308" s="121">
        <v>45991</v>
      </c>
      <c r="B308" s="122" t="s">
        <v>54</v>
      </c>
      <c r="C308" s="123" t="s">
        <v>762</v>
      </c>
      <c r="D308" s="122" t="s">
        <v>752</v>
      </c>
      <c r="E308" s="124">
        <v>1.4375</v>
      </c>
      <c r="F308" s="122" t="s">
        <v>58</v>
      </c>
      <c r="G308" s="125">
        <v>2</v>
      </c>
      <c r="H308" s="122" t="s">
        <v>771</v>
      </c>
    </row>
    <row r="309" spans="1:8" ht="18" x14ac:dyDescent="0.3">
      <c r="A309" s="121">
        <v>45991</v>
      </c>
      <c r="B309" s="122" t="s">
        <v>54</v>
      </c>
      <c r="C309" s="123" t="s">
        <v>762</v>
      </c>
      <c r="D309" s="122" t="s">
        <v>752</v>
      </c>
      <c r="E309" s="124">
        <v>1.4375</v>
      </c>
      <c r="F309" s="122" t="s">
        <v>60</v>
      </c>
      <c r="G309" s="125">
        <v>2</v>
      </c>
      <c r="H309" s="122" t="s">
        <v>113</v>
      </c>
    </row>
    <row r="310" spans="1:8" ht="18" x14ac:dyDescent="0.3">
      <c r="A310" s="127">
        <v>45991</v>
      </c>
      <c r="B310" s="128" t="s">
        <v>54</v>
      </c>
      <c r="C310" s="129" t="s">
        <v>765</v>
      </c>
      <c r="D310" s="128" t="s">
        <v>752</v>
      </c>
      <c r="E310" s="130">
        <v>1.631944444444444</v>
      </c>
      <c r="F310" s="128" t="s">
        <v>56</v>
      </c>
      <c r="G310" s="131">
        <v>9</v>
      </c>
      <c r="H310" s="128" t="s">
        <v>867</v>
      </c>
    </row>
    <row r="311" spans="1:8" ht="18" x14ac:dyDescent="0.3">
      <c r="A311" s="121">
        <v>45991</v>
      </c>
      <c r="B311" s="122" t="s">
        <v>54</v>
      </c>
      <c r="C311" s="123" t="s">
        <v>765</v>
      </c>
      <c r="D311" s="122" t="s">
        <v>752</v>
      </c>
      <c r="E311" s="124">
        <v>1.631944444444444</v>
      </c>
      <c r="F311" s="122" t="s">
        <v>58</v>
      </c>
      <c r="G311" s="125">
        <v>9</v>
      </c>
      <c r="H311" s="122" t="s">
        <v>771</v>
      </c>
    </row>
    <row r="312" spans="1:8" ht="18" x14ac:dyDescent="0.3">
      <c r="A312" s="121">
        <v>45991</v>
      </c>
      <c r="B312" s="122" t="s">
        <v>54</v>
      </c>
      <c r="C312" s="123" t="s">
        <v>765</v>
      </c>
      <c r="D312" s="122" t="s">
        <v>752</v>
      </c>
      <c r="E312" s="124">
        <v>1.631944444444444</v>
      </c>
      <c r="F312" s="122" t="s">
        <v>60</v>
      </c>
      <c r="G312" s="125">
        <v>9</v>
      </c>
      <c r="H312" s="122" t="s">
        <v>113</v>
      </c>
    </row>
    <row r="313" spans="1:8" ht="18" x14ac:dyDescent="0.3">
      <c r="A313" s="127">
        <v>45991</v>
      </c>
      <c r="B313" s="128" t="s">
        <v>54</v>
      </c>
      <c r="C313" s="129" t="s">
        <v>766</v>
      </c>
      <c r="D313" s="128" t="s">
        <v>752</v>
      </c>
      <c r="E313" s="130">
        <v>1.5590277777777779</v>
      </c>
      <c r="F313" s="128" t="s">
        <v>56</v>
      </c>
      <c r="G313" s="131">
        <v>9</v>
      </c>
      <c r="H313" s="128" t="s">
        <v>867</v>
      </c>
    </row>
    <row r="314" spans="1:8" ht="18" x14ac:dyDescent="0.3">
      <c r="A314" s="121">
        <v>45991</v>
      </c>
      <c r="B314" s="122" t="s">
        <v>54</v>
      </c>
      <c r="C314" s="123" t="s">
        <v>766</v>
      </c>
      <c r="D314" s="122" t="s">
        <v>752</v>
      </c>
      <c r="E314" s="124">
        <v>1.5590277777777779</v>
      </c>
      <c r="F314" s="122" t="s">
        <v>58</v>
      </c>
      <c r="G314" s="125">
        <v>9</v>
      </c>
      <c r="H314" s="122" t="s">
        <v>771</v>
      </c>
    </row>
    <row r="315" spans="1:8" ht="18" x14ac:dyDescent="0.3">
      <c r="A315" s="121">
        <v>45991</v>
      </c>
      <c r="B315" s="122" t="s">
        <v>54</v>
      </c>
      <c r="C315" s="123" t="s">
        <v>766</v>
      </c>
      <c r="D315" s="122" t="s">
        <v>752</v>
      </c>
      <c r="E315" s="124">
        <v>1.5590277777777779</v>
      </c>
      <c r="F315" s="122" t="s">
        <v>60</v>
      </c>
      <c r="G315" s="125">
        <v>9</v>
      </c>
      <c r="H315" s="122" t="s">
        <v>113</v>
      </c>
    </row>
    <row r="316" spans="1:8" ht="18" x14ac:dyDescent="0.3">
      <c r="A316" s="127">
        <v>45991</v>
      </c>
      <c r="B316" s="128" t="s">
        <v>54</v>
      </c>
      <c r="C316" s="129" t="s">
        <v>760</v>
      </c>
      <c r="D316" s="128" t="s">
        <v>752</v>
      </c>
      <c r="E316" s="130">
        <v>1.506944444444444</v>
      </c>
      <c r="F316" s="128" t="s">
        <v>56</v>
      </c>
      <c r="G316" s="131">
        <v>7</v>
      </c>
      <c r="H316" s="128" t="s">
        <v>867</v>
      </c>
    </row>
    <row r="317" spans="1:8" ht="18" x14ac:dyDescent="0.3">
      <c r="A317" s="121">
        <v>45991</v>
      </c>
      <c r="B317" s="122" t="s">
        <v>54</v>
      </c>
      <c r="C317" s="123" t="s">
        <v>760</v>
      </c>
      <c r="D317" s="122" t="s">
        <v>752</v>
      </c>
      <c r="E317" s="124">
        <v>1.506944444444444</v>
      </c>
      <c r="F317" s="122" t="s">
        <v>58</v>
      </c>
      <c r="G317" s="125">
        <v>7</v>
      </c>
      <c r="H317" s="122" t="s">
        <v>771</v>
      </c>
    </row>
    <row r="318" spans="1:8" ht="18" x14ac:dyDescent="0.3">
      <c r="A318" s="121">
        <v>45991</v>
      </c>
      <c r="B318" s="122" t="s">
        <v>54</v>
      </c>
      <c r="C318" s="123" t="s">
        <v>760</v>
      </c>
      <c r="D318" s="122" t="s">
        <v>752</v>
      </c>
      <c r="E318" s="124">
        <v>1.506944444444444</v>
      </c>
      <c r="F318" s="122" t="s">
        <v>60</v>
      </c>
      <c r="G318" s="125">
        <v>7</v>
      </c>
      <c r="H318" s="122" t="s">
        <v>113</v>
      </c>
    </row>
    <row r="319" spans="1:8" ht="18" x14ac:dyDescent="0.3">
      <c r="A319" s="127">
        <v>45991</v>
      </c>
      <c r="B319" s="128" t="s">
        <v>54</v>
      </c>
      <c r="C319" s="129" t="s">
        <v>768</v>
      </c>
      <c r="D319" s="128" t="s">
        <v>752</v>
      </c>
      <c r="E319" s="130">
        <v>1.958333333333333</v>
      </c>
      <c r="F319" s="128" t="s">
        <v>56</v>
      </c>
      <c r="G319" s="131">
        <v>4</v>
      </c>
      <c r="H319" s="128" t="s">
        <v>771</v>
      </c>
    </row>
    <row r="320" spans="1:8" ht="18" x14ac:dyDescent="0.3">
      <c r="A320" s="121">
        <v>45991</v>
      </c>
      <c r="B320" s="122" t="s">
        <v>54</v>
      </c>
      <c r="C320" s="123" t="s">
        <v>768</v>
      </c>
      <c r="D320" s="122" t="s">
        <v>752</v>
      </c>
      <c r="E320" s="124">
        <v>1.958333333333333</v>
      </c>
      <c r="F320" s="122" t="s">
        <v>58</v>
      </c>
      <c r="G320" s="125">
        <v>4</v>
      </c>
      <c r="H320" s="122" t="s">
        <v>823</v>
      </c>
    </row>
    <row r="321" spans="1:8" ht="18" x14ac:dyDescent="0.3">
      <c r="A321" s="121">
        <v>45991</v>
      </c>
      <c r="B321" s="122" t="s">
        <v>54</v>
      </c>
      <c r="C321" s="123" t="s">
        <v>768</v>
      </c>
      <c r="D321" s="122" t="s">
        <v>752</v>
      </c>
      <c r="E321" s="124">
        <v>1.958333333333333</v>
      </c>
      <c r="F321" s="122" t="s">
        <v>60</v>
      </c>
      <c r="G321" s="125">
        <v>4</v>
      </c>
      <c r="H321" s="122" t="s">
        <v>114</v>
      </c>
    </row>
    <row r="322" spans="1:8" ht="18" x14ac:dyDescent="0.3">
      <c r="A322" s="127">
        <v>45991</v>
      </c>
      <c r="B322" s="128" t="s">
        <v>54</v>
      </c>
      <c r="C322" s="129" t="s">
        <v>772</v>
      </c>
      <c r="D322" s="128" t="s">
        <v>752</v>
      </c>
      <c r="E322" s="130">
        <v>1.819444444444444</v>
      </c>
      <c r="F322" s="128" t="s">
        <v>56</v>
      </c>
      <c r="G322" s="131">
        <v>8</v>
      </c>
      <c r="H322" s="128" t="s">
        <v>771</v>
      </c>
    </row>
    <row r="323" spans="1:8" ht="18" x14ac:dyDescent="0.3">
      <c r="A323" s="121">
        <v>45991</v>
      </c>
      <c r="B323" s="122" t="s">
        <v>54</v>
      </c>
      <c r="C323" s="123" t="s">
        <v>772</v>
      </c>
      <c r="D323" s="122" t="s">
        <v>752</v>
      </c>
      <c r="E323" s="124">
        <v>1.819444444444444</v>
      </c>
      <c r="F323" s="122" t="s">
        <v>58</v>
      </c>
      <c r="G323" s="125">
        <v>8</v>
      </c>
      <c r="H323" s="122" t="s">
        <v>823</v>
      </c>
    </row>
    <row r="324" spans="1:8" ht="18" x14ac:dyDescent="0.3">
      <c r="A324" s="121">
        <v>45991</v>
      </c>
      <c r="B324" s="122" t="s">
        <v>54</v>
      </c>
      <c r="C324" s="123" t="s">
        <v>772</v>
      </c>
      <c r="D324" s="122" t="s">
        <v>752</v>
      </c>
      <c r="E324" s="124">
        <v>1.819444444444444</v>
      </c>
      <c r="F324" s="122" t="s">
        <v>60</v>
      </c>
      <c r="G324" s="125">
        <v>8</v>
      </c>
      <c r="H324" s="122" t="s">
        <v>114</v>
      </c>
    </row>
    <row r="325" spans="1:8" ht="18" x14ac:dyDescent="0.3">
      <c r="A325" s="127">
        <v>45991</v>
      </c>
      <c r="B325" s="128" t="s">
        <v>54</v>
      </c>
      <c r="C325" s="129" t="s">
        <v>767</v>
      </c>
      <c r="D325" s="128" t="s">
        <v>752</v>
      </c>
      <c r="E325" s="130">
        <v>1.697916666666667</v>
      </c>
      <c r="F325" s="128" t="s">
        <v>56</v>
      </c>
      <c r="G325" s="131">
        <v>6</v>
      </c>
      <c r="H325" s="128" t="s">
        <v>771</v>
      </c>
    </row>
    <row r="326" spans="1:8" ht="18" x14ac:dyDescent="0.3">
      <c r="A326" s="121">
        <v>45991</v>
      </c>
      <c r="B326" s="122" t="s">
        <v>54</v>
      </c>
      <c r="C326" s="123" t="s">
        <v>767</v>
      </c>
      <c r="D326" s="122" t="s">
        <v>752</v>
      </c>
      <c r="E326" s="124">
        <v>1.697916666666667</v>
      </c>
      <c r="F326" s="122" t="s">
        <v>58</v>
      </c>
      <c r="G326" s="125">
        <v>6</v>
      </c>
      <c r="H326" s="122" t="s">
        <v>823</v>
      </c>
    </row>
    <row r="327" spans="1:8" ht="18" x14ac:dyDescent="0.3">
      <c r="A327" s="121">
        <v>45991</v>
      </c>
      <c r="B327" s="122" t="s">
        <v>54</v>
      </c>
      <c r="C327" s="123" t="s">
        <v>767</v>
      </c>
      <c r="D327" s="122" t="s">
        <v>752</v>
      </c>
      <c r="E327" s="124">
        <v>1.697916666666667</v>
      </c>
      <c r="F327" s="122" t="s">
        <v>60</v>
      </c>
      <c r="G327" s="125">
        <v>6</v>
      </c>
      <c r="H327" s="122" t="s">
        <v>114</v>
      </c>
    </row>
    <row r="328" spans="1:8" ht="18" x14ac:dyDescent="0.3">
      <c r="A328" s="126">
        <v>45991</v>
      </c>
      <c r="B328" s="116" t="s">
        <v>35</v>
      </c>
      <c r="C328" s="117" t="s">
        <v>784</v>
      </c>
      <c r="D328" s="116" t="s">
        <v>752</v>
      </c>
      <c r="E328" s="118">
        <v>1.8298611111111109</v>
      </c>
      <c r="F328" s="116" t="s">
        <v>42</v>
      </c>
      <c r="G328" s="119">
        <v>9</v>
      </c>
      <c r="H328" s="116" t="s">
        <v>868</v>
      </c>
    </row>
    <row r="329" spans="1:8" ht="18" x14ac:dyDescent="0.3">
      <c r="A329" s="127">
        <v>45991</v>
      </c>
      <c r="B329" s="128" t="s">
        <v>35</v>
      </c>
      <c r="C329" s="129" t="s">
        <v>785</v>
      </c>
      <c r="D329" s="128" t="s">
        <v>752</v>
      </c>
      <c r="E329" s="130">
        <v>1.9826388888888891</v>
      </c>
      <c r="F329" s="128" t="s">
        <v>42</v>
      </c>
      <c r="G329" s="131">
        <v>9</v>
      </c>
      <c r="H329" s="128" t="s">
        <v>868</v>
      </c>
    </row>
    <row r="330" spans="1:8" ht="18" x14ac:dyDescent="0.3">
      <c r="A330" s="127">
        <v>45991</v>
      </c>
      <c r="B330" s="128" t="s">
        <v>35</v>
      </c>
      <c r="C330" s="129" t="s">
        <v>792</v>
      </c>
      <c r="D330" s="128" t="s">
        <v>752</v>
      </c>
      <c r="E330" s="130">
        <v>1.6284722222222221</v>
      </c>
      <c r="F330" s="128" t="s">
        <v>42</v>
      </c>
      <c r="G330" s="131">
        <v>9</v>
      </c>
      <c r="H330" s="128" t="s">
        <v>868</v>
      </c>
    </row>
    <row r="331" spans="1:8" ht="18" x14ac:dyDescent="0.3">
      <c r="A331" s="127">
        <v>45991</v>
      </c>
      <c r="B331" s="128" t="s">
        <v>35</v>
      </c>
      <c r="C331" s="129" t="s">
        <v>782</v>
      </c>
      <c r="D331" s="128" t="s">
        <v>752</v>
      </c>
      <c r="E331" s="130">
        <v>1.444444444444444</v>
      </c>
      <c r="F331" s="128" t="s">
        <v>42</v>
      </c>
      <c r="G331" s="131">
        <v>9</v>
      </c>
      <c r="H331" s="128" t="s">
        <v>843</v>
      </c>
    </row>
    <row r="332" spans="1:8" ht="18" x14ac:dyDescent="0.3">
      <c r="A332" s="127">
        <v>45991</v>
      </c>
      <c r="B332" s="128" t="s">
        <v>35</v>
      </c>
      <c r="C332" s="129" t="s">
        <v>806</v>
      </c>
      <c r="D332" s="128" t="s">
        <v>752</v>
      </c>
      <c r="E332" s="130">
        <v>1.697916666666667</v>
      </c>
      <c r="F332" s="128" t="s">
        <v>42</v>
      </c>
      <c r="G332" s="131">
        <v>9</v>
      </c>
      <c r="H332" s="128" t="s">
        <v>843</v>
      </c>
    </row>
    <row r="333" spans="1:8" ht="18" x14ac:dyDescent="0.3">
      <c r="A333" s="127">
        <v>45991</v>
      </c>
      <c r="B333" s="128" t="s">
        <v>35</v>
      </c>
      <c r="C333" s="129" t="s">
        <v>786</v>
      </c>
      <c r="D333" s="128" t="s">
        <v>752</v>
      </c>
      <c r="E333" s="130">
        <v>1.8888888888888891</v>
      </c>
      <c r="F333" s="128" t="s">
        <v>42</v>
      </c>
      <c r="G333" s="131">
        <v>4</v>
      </c>
      <c r="H333" s="128" t="s">
        <v>836</v>
      </c>
    </row>
    <row r="334" spans="1:8" ht="18" x14ac:dyDescent="0.3">
      <c r="A334" s="127">
        <v>45991</v>
      </c>
      <c r="B334" s="128" t="s">
        <v>35</v>
      </c>
      <c r="C334" s="129" t="s">
        <v>788</v>
      </c>
      <c r="D334" s="128" t="s">
        <v>752</v>
      </c>
      <c r="E334" s="130">
        <v>1.6284722222222221</v>
      </c>
      <c r="F334" s="128" t="s">
        <v>42</v>
      </c>
      <c r="G334" s="131">
        <v>4</v>
      </c>
      <c r="H334" s="128" t="s">
        <v>836</v>
      </c>
    </row>
    <row r="335" spans="1:8" ht="18" x14ac:dyDescent="0.3">
      <c r="A335" s="127">
        <v>45991</v>
      </c>
      <c r="B335" s="128" t="s">
        <v>35</v>
      </c>
      <c r="C335" s="129" t="s">
        <v>789</v>
      </c>
      <c r="D335" s="128" t="s">
        <v>752</v>
      </c>
      <c r="E335" s="130">
        <v>1.944444444444444</v>
      </c>
      <c r="F335" s="128" t="s">
        <v>42</v>
      </c>
      <c r="G335" s="131">
        <v>4</v>
      </c>
      <c r="H335" s="128" t="s">
        <v>836</v>
      </c>
    </row>
    <row r="336" spans="1:8" ht="18" x14ac:dyDescent="0.3">
      <c r="A336" s="126">
        <v>45991</v>
      </c>
      <c r="B336" s="116" t="s">
        <v>285</v>
      </c>
      <c r="C336" s="117" t="s">
        <v>824</v>
      </c>
      <c r="D336" s="116" t="s">
        <v>752</v>
      </c>
      <c r="E336" s="118">
        <v>1.1736111111111109</v>
      </c>
      <c r="F336" s="116" t="s">
        <v>81</v>
      </c>
      <c r="G336" s="119">
        <v>6</v>
      </c>
      <c r="H336" s="116" t="s">
        <v>846</v>
      </c>
    </row>
    <row r="337" spans="1:8" ht="18" x14ac:dyDescent="0.3">
      <c r="A337" s="127">
        <v>45991</v>
      </c>
      <c r="B337" s="128" t="s">
        <v>285</v>
      </c>
      <c r="C337" s="129" t="s">
        <v>869</v>
      </c>
      <c r="D337" s="128" t="s">
        <v>752</v>
      </c>
      <c r="E337" s="130">
        <v>1.131944444444444</v>
      </c>
      <c r="F337" s="128" t="s">
        <v>81</v>
      </c>
      <c r="G337" s="131">
        <v>4</v>
      </c>
      <c r="H337" s="128" t="s">
        <v>846</v>
      </c>
    </row>
    <row r="338" spans="1:8" ht="18" x14ac:dyDescent="0.3">
      <c r="A338" s="126">
        <v>45991</v>
      </c>
      <c r="B338" s="116" t="s">
        <v>63</v>
      </c>
      <c r="C338" s="117" t="s">
        <v>795</v>
      </c>
      <c r="D338" s="116" t="s">
        <v>752</v>
      </c>
      <c r="E338" s="118">
        <v>1.9826388888888891</v>
      </c>
      <c r="F338" s="116" t="s">
        <v>48</v>
      </c>
      <c r="G338" s="119">
        <v>9</v>
      </c>
      <c r="H338" s="116" t="s">
        <v>834</v>
      </c>
    </row>
    <row r="339" spans="1:8" ht="18" x14ac:dyDescent="0.3">
      <c r="A339" s="127">
        <v>45991</v>
      </c>
      <c r="B339" s="128" t="s">
        <v>63</v>
      </c>
      <c r="C339" s="129" t="s">
        <v>793</v>
      </c>
      <c r="D339" s="128" t="s">
        <v>752</v>
      </c>
      <c r="E339" s="130">
        <v>1.729166666666667</v>
      </c>
      <c r="F339" s="128" t="s">
        <v>48</v>
      </c>
      <c r="G339" s="131">
        <v>9</v>
      </c>
      <c r="H339" s="128" t="s">
        <v>103</v>
      </c>
    </row>
    <row r="340" spans="1:8" ht="18" x14ac:dyDescent="0.3">
      <c r="A340" s="150">
        <v>45991</v>
      </c>
      <c r="B340" s="151" t="s">
        <v>63</v>
      </c>
      <c r="C340" s="152" t="s">
        <v>796</v>
      </c>
      <c r="D340" s="151" t="s">
        <v>752</v>
      </c>
      <c r="E340" s="153">
        <v>1.333333333333333</v>
      </c>
      <c r="F340" s="151" t="s">
        <v>48</v>
      </c>
      <c r="G340" s="154">
        <v>9</v>
      </c>
      <c r="H340" s="151" t="s">
        <v>821</v>
      </c>
    </row>
  </sheetData>
  <dataValidations count="9">
    <dataValidation type="custom" allowBlank="1" showInputMessage="1" promptTitle="LOAD FACTOR ANALYSIS" prompt="SM-469_x000d__x000a_LF 68.7%_x000d__x000a_SOLD 123_x000d__x000a_LST-SOLD 22NOV_x000d__x000a_WEEKLY 64_x000d__x000a_TO-DAY NIL_x000d__x000a_Y-DAY 11_x000d__x000a_LOWEST AVAIL G1_x000d__x000a_CAPACITY 179_x000d__x000a_CLASSES L1 &amp; G8 &amp; S18 &amp; +6 more" sqref="A38 B38 C38 D38 E38 F38 G38 H38" xr:uid="{00000000-0002-0000-2100-000000000000}">
      <formula1>TRUE</formula1>
    </dataValidation>
    <dataValidation type="custom" allowBlank="1" showInputMessage="1" promptTitle="LOAD FACTOR ANALYSIS" prompt="SM-469_x000d__x000a_LF 76.0%_x000d__x000a_SOLD 136_x000d__x000a_LST-SOLD 22NOV_x000d__x000a_WEEKLY 45_x000d__x000a_TO-DAY NIL_x000d__x000a_Y-DAY 6_x000d__x000a_LOWEST AVAIL G1_x000d__x000a_CAPACITY 179_x000d__x000a_CLASSES L3 &amp; G8 &amp; S17 &amp; +6 more" sqref="A83 B83 C83 D83 E83 F83 G83 H83" xr:uid="{00000000-0002-0000-2100-000001000000}">
      <formula1>TRUE</formula1>
    </dataValidation>
    <dataValidation type="custom" allowBlank="1" showInputMessage="1" promptTitle="LOAD FACTOR ANALYSIS" prompt="SM-461_x000d__x000a_LF 77.1%_x000d__x000a_SOLD 138_x000d__x000a_LST-SOLD 22NOV_x000d__x000a_WEEKLY 76_x000d__x000a_TO-DAY NIL_x000d__x000a_Y-DAY 20_x000d__x000a_LOWEST AVAIL G1_x000d__x000a_CAPACITY 179_x000d__x000a_CLASSES L5 &amp; G17 &amp; S18 &amp; +5 more" sqref="A132 B132 C132 D132 E132 F132 G132 H132" xr:uid="{00000000-0002-0000-2100-000002000000}">
      <formula1>TRUE</formula1>
    </dataValidation>
    <dataValidation type="custom" allowBlank="1" showInputMessage="1" promptTitle="LOAD FACTOR ANALYSIS" prompt="SM-469_x000d__x000a_LF 69.3%_x000d__x000a_SOLD 124_x000d__x000a_LST-SOLD 22NOV_x000d__x000a_WEEKLY 39_x000d__x000a_TO-DAY NIL_x000d__x000a_Y-DAY 14_x000d__x000a_LOWEST AVAIL L1_x000d__x000a_CAPACITY 179_x000d__x000a_CLASSES V2 &amp; L8 &amp; G36 &amp; +7 more" sqref="A133 B133 C133 D133 E133 F133 G133 H133" xr:uid="{00000000-0002-0000-2100-000003000000}">
      <formula1>TRUE</formula1>
    </dataValidation>
    <dataValidation type="custom" allowBlank="1" showInputMessage="1" promptTitle="LOAD FACTOR ANALYSIS" prompt="SM-461_x000d__x000a_LF 63.1%_x000d__x000a_SOLD 113_x000d__x000a_LST-SOLD 23NOV_x000d__x000a_WEEKLY 46_x000d__x000a_TO-DAY 1_x000d__x000a_Y-DAY 9_x000d__x000a_LOWEST AVAIL V9_x000d__x000a_CAPACITY 179_x000d__x000a_CLASSES V3 &amp; L15 &amp; G30 &amp; +7 more" sqref="A183 B183 C183 D183 E183 F183 G183 H183" xr:uid="{00000000-0002-0000-2100-000004000000}">
      <formula1>TRUE</formula1>
    </dataValidation>
    <dataValidation type="custom" allowBlank="1" showInputMessage="1" promptTitle="LOAD FACTOR ANALYSIS" prompt="SM-461_x000d__x000a_LF 58.7%_x000d__x000a_SOLD 105_x000d__x000a_LST-SOLD 19NOV_x000d__x000a_WEEKLY 6_x000d__x000a_TO-DAY NIL_x000d__x000a_Y-DAY NIL_x000d__x000a_LOWEST AVAIL Q9_x000d__x000a_CAPACITY 179_x000d__x000a_CLASSES Q2 &amp; K22 &amp; V7 &amp; +9 more" sqref="A232 B232 C232 D232 E232 F232 G232 H232" xr:uid="{00000000-0002-0000-2100-000005000000}">
      <formula1>TRUE</formula1>
    </dataValidation>
    <dataValidation type="custom" allowBlank="1" showInputMessage="1" promptTitle="LOAD FACTOR ANALYSIS" prompt="SM-469_x000d__x000a_LF 57.5%_x000d__x000a_SOLD 103_x000d__x000a_LST-SOLD 22NOV_x000d__x000a_WEEKLY 11_x000d__x000a_TO-DAY NIL_x000d__x000a_Y-DAY 7_x000d__x000a_LOWEST AVAIL Q9_x000d__x000a_CAPACITY 179_x000d__x000a_CLASSES H6 &amp; Q11 &amp; K9 &amp; +10 more" sqref="A233 B233 C233 D233 E233 F233 G233 H233" xr:uid="{00000000-0002-0000-2100-000006000000}">
      <formula1>TRUE</formula1>
    </dataValidation>
    <dataValidation type="custom" allowBlank="1" showInputMessage="1" promptTitle="LOAD FACTOR ANALYSIS" prompt="SM-461_x000d__x000a_LF 68.7%_x000d__x000a_SOLD 123_x000d__x000a_LST-SOLD 22NOV_x000d__x000a_WEEKLY 25_x000d__x000a_TO-DAY NIL_x000d__x000a_Y-DAY 2_x000d__x000a_LOWEST AVAIL M9_x000d__x000a_CAPACITY 179_x000d__x000a_CLASSES M10 &amp; H21 &amp; K12 &amp; +10 more" sqref="A284 B284 C284 D284 E284 F284 G284 H284" xr:uid="{00000000-0002-0000-2100-000007000000}">
      <formula1>TRUE</formula1>
    </dataValidation>
    <dataValidation type="custom" allowBlank="1" showInputMessage="1" promptTitle="LOAD FACTOR ANALYSIS" prompt="SM-461_x000d__x000a_LF 61.5%_x000d__x000a_SOLD 110_x000d__x000a_LST-SOLD 22NOV_x000d__x000a_WEEKLY 21_x000d__x000a_TO-DAY NIL_x000d__x000a_Y-DAY 6_x000d__x000a_LOWEST AVAIL L2_x000d__x000a_CAPACITY 179_x000d__x000a_CLASSES K2 &amp; V19 &amp; L28 &amp; +8 more" sqref="A293 B293 C293 D293 E293 F293 G293 H293" xr:uid="{00000000-0002-0000-2100-000008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N8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109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902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45984.358578751308</v>
      </c>
      <c r="H2" s="287"/>
      <c r="I2" s="287"/>
      <c r="J2" s="287"/>
      <c r="K2" s="292">
        <v>45984.358578751839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54</v>
      </c>
      <c r="B6" s="8" t="s">
        <v>903</v>
      </c>
      <c r="C6" s="9">
        <v>0.3611111111111111</v>
      </c>
      <c r="D6" s="8" t="s">
        <v>904</v>
      </c>
      <c r="E6" s="8" t="s">
        <v>251</v>
      </c>
      <c r="F6" s="8" t="s">
        <v>905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54</v>
      </c>
      <c r="B7" s="15" t="s">
        <v>903</v>
      </c>
      <c r="C7" s="16">
        <v>0.3611111111111111</v>
      </c>
      <c r="D7" s="15" t="s">
        <v>58</v>
      </c>
      <c r="E7" s="15" t="s">
        <v>96</v>
      </c>
      <c r="F7" s="15" t="s">
        <v>906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54</v>
      </c>
      <c r="B8" s="15" t="s">
        <v>903</v>
      </c>
      <c r="C8" s="16">
        <v>0.3611111111111111</v>
      </c>
      <c r="D8" s="15" t="s">
        <v>60</v>
      </c>
      <c r="E8" s="15" t="s">
        <v>96</v>
      </c>
      <c r="F8" s="15" t="s">
        <v>907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65" t="s">
        <v>71</v>
      </c>
      <c r="B9" s="165" t="s">
        <v>908</v>
      </c>
      <c r="C9" s="166">
        <v>0.43055555555555558</v>
      </c>
      <c r="D9" s="165" t="s">
        <v>81</v>
      </c>
      <c r="E9" s="165" t="s">
        <v>38</v>
      </c>
      <c r="F9" s="165" t="s">
        <v>839</v>
      </c>
      <c r="G9" s="277"/>
      <c r="H9" s="168" t="s">
        <v>909</v>
      </c>
      <c r="I9" s="240">
        <v>0.70389999999999997</v>
      </c>
      <c r="J9" s="170">
        <v>126</v>
      </c>
      <c r="K9" s="171">
        <v>45984</v>
      </c>
      <c r="L9" s="170">
        <v>43</v>
      </c>
      <c r="M9" s="170">
        <v>1</v>
      </c>
      <c r="N9" s="170">
        <v>4</v>
      </c>
      <c r="O9" s="172" t="s">
        <v>840</v>
      </c>
      <c r="P9" s="173">
        <v>0.43055555555555558</v>
      </c>
      <c r="Q9" s="170">
        <v>179</v>
      </c>
      <c r="R9" s="174" t="s">
        <v>910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7" t="s">
        <v>63</v>
      </c>
      <c r="B10" s="17" t="s">
        <v>911</v>
      </c>
      <c r="C10" s="18">
        <v>0.43055555555555558</v>
      </c>
      <c r="D10" s="17" t="s">
        <v>48</v>
      </c>
      <c r="E10" s="17" t="s">
        <v>57</v>
      </c>
      <c r="F10" s="17" t="s">
        <v>912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8" x14ac:dyDescent="0.3">
      <c r="A11" s="300" t="s">
        <v>913</v>
      </c>
      <c r="B11" s="301"/>
      <c r="C11" s="301"/>
      <c r="D11" s="301"/>
      <c r="E11" s="301"/>
      <c r="F11" s="301"/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753</v>
      </c>
      <c r="C12" s="20" t="s">
        <v>914</v>
      </c>
      <c r="D12" s="19" t="s">
        <v>27</v>
      </c>
      <c r="E12" s="19" t="s">
        <v>212</v>
      </c>
      <c r="F12" s="19" t="s">
        <v>683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25</v>
      </c>
      <c r="B13" s="19" t="s">
        <v>756</v>
      </c>
      <c r="C13" s="20" t="s">
        <v>915</v>
      </c>
      <c r="D13" s="19" t="s">
        <v>27</v>
      </c>
      <c r="E13" s="19" t="s">
        <v>212</v>
      </c>
      <c r="F13" s="19" t="s">
        <v>683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25</v>
      </c>
      <c r="B14" s="19" t="s">
        <v>757</v>
      </c>
      <c r="C14" s="20" t="s">
        <v>583</v>
      </c>
      <c r="D14" s="19" t="s">
        <v>27</v>
      </c>
      <c r="E14" s="19" t="s">
        <v>214</v>
      </c>
      <c r="F14" s="19" t="s">
        <v>683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54</v>
      </c>
      <c r="B15" s="19" t="s">
        <v>766</v>
      </c>
      <c r="C15" s="20" t="s">
        <v>624</v>
      </c>
      <c r="D15" s="19" t="s">
        <v>56</v>
      </c>
      <c r="E15" s="19" t="s">
        <v>214</v>
      </c>
      <c r="F15" s="19" t="s">
        <v>683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54</v>
      </c>
      <c r="B16" s="19" t="s">
        <v>762</v>
      </c>
      <c r="C16" s="20" t="s">
        <v>623</v>
      </c>
      <c r="D16" s="19" t="s">
        <v>56</v>
      </c>
      <c r="E16" s="19" t="s">
        <v>204</v>
      </c>
      <c r="F16" s="19" t="s">
        <v>763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54</v>
      </c>
      <c r="B17" s="19" t="s">
        <v>765</v>
      </c>
      <c r="C17" s="20" t="s">
        <v>916</v>
      </c>
      <c r="D17" s="19" t="s">
        <v>56</v>
      </c>
      <c r="E17" s="19" t="s">
        <v>202</v>
      </c>
      <c r="F17" s="19" t="s">
        <v>763</v>
      </c>
      <c r="G17" s="277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54</v>
      </c>
      <c r="B18" s="19" t="s">
        <v>760</v>
      </c>
      <c r="C18" s="20" t="s">
        <v>917</v>
      </c>
      <c r="D18" s="19" t="s">
        <v>56</v>
      </c>
      <c r="E18" s="19" t="s">
        <v>223</v>
      </c>
      <c r="F18" s="19" t="s">
        <v>763</v>
      </c>
      <c r="G18" s="277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9" t="s">
        <v>54</v>
      </c>
      <c r="B19" s="19" t="s">
        <v>767</v>
      </c>
      <c r="C19" s="20" t="s">
        <v>225</v>
      </c>
      <c r="D19" s="19" t="s">
        <v>56</v>
      </c>
      <c r="E19" s="19" t="s">
        <v>202</v>
      </c>
      <c r="F19" s="19" t="s">
        <v>763</v>
      </c>
      <c r="G19" s="277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9" t="s">
        <v>71</v>
      </c>
      <c r="B20" s="19" t="s">
        <v>778</v>
      </c>
      <c r="C20" s="20" t="s">
        <v>918</v>
      </c>
      <c r="D20" s="19" t="s">
        <v>81</v>
      </c>
      <c r="E20" s="19" t="s">
        <v>214</v>
      </c>
      <c r="F20" s="19" t="s">
        <v>779</v>
      </c>
      <c r="G20" s="277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63" t="s">
        <v>25</v>
      </c>
      <c r="B21" s="63" t="s">
        <v>759</v>
      </c>
      <c r="C21" s="64" t="s">
        <v>604</v>
      </c>
      <c r="D21" s="63" t="s">
        <v>27</v>
      </c>
      <c r="E21" s="63" t="s">
        <v>204</v>
      </c>
      <c r="F21" s="63" t="s">
        <v>797</v>
      </c>
      <c r="G21" s="278"/>
      <c r="H21" s="178"/>
      <c r="I21" s="178"/>
      <c r="J21" s="178"/>
      <c r="K21" s="178"/>
      <c r="L21" s="178"/>
      <c r="M21" s="178"/>
      <c r="N21" s="178"/>
      <c r="O21" s="179"/>
      <c r="P21" s="178"/>
      <c r="Q21" s="180"/>
      <c r="R21" s="180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4.4" customHeight="1" x14ac:dyDescent="0.3">
      <c r="A22" s="282"/>
      <c r="B22" s="283"/>
      <c r="C22" s="283"/>
      <c r="D22" s="283"/>
      <c r="E22" s="283"/>
      <c r="F22" s="283"/>
      <c r="G22" s="280"/>
      <c r="H22" s="284"/>
      <c r="I22" s="284"/>
      <c r="J22" s="284"/>
      <c r="K22" s="284"/>
      <c r="L22" s="284"/>
      <c r="M22" s="284"/>
      <c r="N22" s="284"/>
      <c r="O22" s="285"/>
      <c r="P22" s="284"/>
      <c r="Q22" s="280"/>
      <c r="R22" s="28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2.05" customHeight="1" x14ac:dyDescent="0.3">
      <c r="A23" s="290" t="s">
        <v>5</v>
      </c>
      <c r="B23" s="291"/>
      <c r="C23" s="291"/>
      <c r="D23" s="291"/>
      <c r="E23" s="291"/>
      <c r="F23" s="291"/>
      <c r="G23" s="5">
        <v>45987</v>
      </c>
      <c r="H23" s="274" t="s">
        <v>6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24" customHeight="1" x14ac:dyDescent="0.3">
      <c r="A24" s="31" t="s">
        <v>7</v>
      </c>
      <c r="B24" s="31" t="s">
        <v>8</v>
      </c>
      <c r="C24" s="32" t="s">
        <v>9</v>
      </c>
      <c r="D24" s="31" t="s">
        <v>10</v>
      </c>
      <c r="E24" s="31" t="s">
        <v>11</v>
      </c>
      <c r="F24" s="31" t="s">
        <v>12</v>
      </c>
      <c r="G24" s="33" t="s">
        <v>13</v>
      </c>
      <c r="H24" s="31" t="s">
        <v>14</v>
      </c>
      <c r="I24" s="34" t="s">
        <v>15</v>
      </c>
      <c r="J24" s="35" t="s">
        <v>16</v>
      </c>
      <c r="K24" s="36" t="s">
        <v>17</v>
      </c>
      <c r="L24" s="35" t="s">
        <v>18</v>
      </c>
      <c r="M24" s="35" t="s">
        <v>19</v>
      </c>
      <c r="N24" s="35" t="s">
        <v>20</v>
      </c>
      <c r="O24" s="31" t="s">
        <v>21</v>
      </c>
      <c r="P24" s="32" t="s">
        <v>22</v>
      </c>
      <c r="Q24" s="35" t="s">
        <v>23</v>
      </c>
      <c r="R24" s="31" t="s">
        <v>24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65" t="s">
        <v>71</v>
      </c>
      <c r="B25" s="165" t="s">
        <v>919</v>
      </c>
      <c r="C25" s="166">
        <v>0.40625</v>
      </c>
      <c r="D25" s="165" t="s">
        <v>81</v>
      </c>
      <c r="E25" s="165" t="s">
        <v>38</v>
      </c>
      <c r="F25" s="165" t="s">
        <v>920</v>
      </c>
      <c r="G25" s="276"/>
      <c r="H25" s="168" t="s">
        <v>921</v>
      </c>
      <c r="I25" s="240">
        <v>0.81010000000000004</v>
      </c>
      <c r="J25" s="170">
        <v>145</v>
      </c>
      <c r="K25" s="171">
        <v>45983</v>
      </c>
      <c r="L25" s="170">
        <v>11</v>
      </c>
      <c r="M25" s="170">
        <v>0</v>
      </c>
      <c r="N25" s="170">
        <v>3</v>
      </c>
      <c r="O25" s="172" t="s">
        <v>922</v>
      </c>
      <c r="P25" s="173">
        <v>0.40625</v>
      </c>
      <c r="Q25" s="170">
        <v>179</v>
      </c>
      <c r="R25" s="174" t="s">
        <v>923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7" t="s">
        <v>63</v>
      </c>
      <c r="B26" s="17" t="s">
        <v>924</v>
      </c>
      <c r="C26" s="18">
        <v>0.40625</v>
      </c>
      <c r="D26" s="17" t="s">
        <v>48</v>
      </c>
      <c r="E26" s="17" t="s">
        <v>57</v>
      </c>
      <c r="F26" s="17" t="s">
        <v>925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8" x14ac:dyDescent="0.3">
      <c r="A27" s="300" t="s">
        <v>913</v>
      </c>
      <c r="B27" s="301"/>
      <c r="C27" s="301"/>
      <c r="D27" s="301"/>
      <c r="E27" s="301"/>
      <c r="F27" s="301"/>
      <c r="G27" s="277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25</v>
      </c>
      <c r="B28" s="19" t="s">
        <v>756</v>
      </c>
      <c r="C28" s="20" t="s">
        <v>915</v>
      </c>
      <c r="D28" s="19" t="s">
        <v>27</v>
      </c>
      <c r="E28" s="19" t="s">
        <v>202</v>
      </c>
      <c r="F28" s="19" t="s">
        <v>808</v>
      </c>
      <c r="G28" s="277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25</v>
      </c>
      <c r="B29" s="19" t="s">
        <v>757</v>
      </c>
      <c r="C29" s="20" t="s">
        <v>583</v>
      </c>
      <c r="D29" s="19" t="s">
        <v>97</v>
      </c>
      <c r="E29" s="19" t="s">
        <v>204</v>
      </c>
      <c r="F29" s="19" t="s">
        <v>808</v>
      </c>
      <c r="G29" s="277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25</v>
      </c>
      <c r="B30" s="19" t="s">
        <v>757</v>
      </c>
      <c r="C30" s="20" t="s">
        <v>583</v>
      </c>
      <c r="D30" s="19" t="s">
        <v>27</v>
      </c>
      <c r="E30" s="19" t="s">
        <v>204</v>
      </c>
      <c r="F30" s="19" t="s">
        <v>808</v>
      </c>
      <c r="G30" s="277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25</v>
      </c>
      <c r="B31" s="19" t="s">
        <v>759</v>
      </c>
      <c r="C31" s="20" t="s">
        <v>604</v>
      </c>
      <c r="D31" s="19" t="s">
        <v>27</v>
      </c>
      <c r="E31" s="19" t="s">
        <v>223</v>
      </c>
      <c r="F31" s="19" t="s">
        <v>808</v>
      </c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54</v>
      </c>
      <c r="B32" s="19" t="s">
        <v>762</v>
      </c>
      <c r="C32" s="20" t="s">
        <v>623</v>
      </c>
      <c r="D32" s="19" t="s">
        <v>56</v>
      </c>
      <c r="E32" s="19" t="s">
        <v>214</v>
      </c>
      <c r="F32" s="19" t="s">
        <v>763</v>
      </c>
      <c r="G32" s="277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54</v>
      </c>
      <c r="B33" s="19" t="s">
        <v>765</v>
      </c>
      <c r="C33" s="20" t="s">
        <v>916</v>
      </c>
      <c r="D33" s="19" t="s">
        <v>56</v>
      </c>
      <c r="E33" s="19" t="s">
        <v>606</v>
      </c>
      <c r="F33" s="19" t="s">
        <v>763</v>
      </c>
      <c r="G33" s="277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54</v>
      </c>
      <c r="B34" s="19" t="s">
        <v>766</v>
      </c>
      <c r="C34" s="20" t="s">
        <v>624</v>
      </c>
      <c r="D34" s="19" t="s">
        <v>56</v>
      </c>
      <c r="E34" s="19" t="s">
        <v>223</v>
      </c>
      <c r="F34" s="19" t="s">
        <v>763</v>
      </c>
      <c r="G34" s="277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54</v>
      </c>
      <c r="B35" s="19" t="s">
        <v>760</v>
      </c>
      <c r="C35" s="20" t="s">
        <v>917</v>
      </c>
      <c r="D35" s="19" t="s">
        <v>56</v>
      </c>
      <c r="E35" s="19" t="s">
        <v>220</v>
      </c>
      <c r="F35" s="19" t="s">
        <v>763</v>
      </c>
      <c r="G35" s="277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71</v>
      </c>
      <c r="B36" s="19" t="s">
        <v>810</v>
      </c>
      <c r="C36" s="20" t="s">
        <v>926</v>
      </c>
      <c r="D36" s="19" t="s">
        <v>81</v>
      </c>
      <c r="E36" s="19" t="s">
        <v>214</v>
      </c>
      <c r="F36" s="19" t="s">
        <v>779</v>
      </c>
      <c r="G36" s="277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63" t="s">
        <v>25</v>
      </c>
      <c r="B37" s="63" t="s">
        <v>753</v>
      </c>
      <c r="C37" s="64" t="s">
        <v>914</v>
      </c>
      <c r="D37" s="63" t="s">
        <v>27</v>
      </c>
      <c r="E37" s="63" t="s">
        <v>204</v>
      </c>
      <c r="F37" s="63" t="s">
        <v>797</v>
      </c>
      <c r="G37" s="278"/>
      <c r="H37" s="178"/>
      <c r="I37" s="178"/>
      <c r="J37" s="178"/>
      <c r="K37" s="178"/>
      <c r="L37" s="178"/>
      <c r="M37" s="178"/>
      <c r="N37" s="178"/>
      <c r="O37" s="179"/>
      <c r="P37" s="178"/>
      <c r="Q37" s="180"/>
      <c r="R37" s="180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4.4" customHeight="1" x14ac:dyDescent="0.3">
      <c r="A38" s="282"/>
      <c r="B38" s="283"/>
      <c r="C38" s="283"/>
      <c r="D38" s="283"/>
      <c r="E38" s="283"/>
      <c r="F38" s="283"/>
      <c r="G38" s="280"/>
      <c r="H38" s="284"/>
      <c r="I38" s="284"/>
      <c r="J38" s="284"/>
      <c r="K38" s="284"/>
      <c r="L38" s="284"/>
      <c r="M38" s="284"/>
      <c r="N38" s="284"/>
      <c r="O38" s="285"/>
      <c r="P38" s="284"/>
      <c r="Q38" s="280"/>
      <c r="R38" s="281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22.05" customHeight="1" x14ac:dyDescent="0.3">
      <c r="A39" s="290" t="s">
        <v>5</v>
      </c>
      <c r="B39" s="291"/>
      <c r="C39" s="291"/>
      <c r="D39" s="291"/>
      <c r="E39" s="291"/>
      <c r="F39" s="291"/>
      <c r="G39" s="5">
        <v>45988</v>
      </c>
      <c r="H39" s="274" t="s">
        <v>6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24" customHeight="1" x14ac:dyDescent="0.3">
      <c r="A40" s="31" t="s">
        <v>7</v>
      </c>
      <c r="B40" s="31" t="s">
        <v>8</v>
      </c>
      <c r="C40" s="32" t="s">
        <v>9</v>
      </c>
      <c r="D40" s="31" t="s">
        <v>10</v>
      </c>
      <c r="E40" s="31" t="s">
        <v>11</v>
      </c>
      <c r="F40" s="31" t="s">
        <v>12</v>
      </c>
      <c r="G40" s="33" t="s">
        <v>13</v>
      </c>
      <c r="H40" s="31" t="s">
        <v>14</v>
      </c>
      <c r="I40" s="34" t="s">
        <v>15</v>
      </c>
      <c r="J40" s="35" t="s">
        <v>16</v>
      </c>
      <c r="K40" s="36" t="s">
        <v>17</v>
      </c>
      <c r="L40" s="35" t="s">
        <v>18</v>
      </c>
      <c r="M40" s="35" t="s">
        <v>19</v>
      </c>
      <c r="N40" s="35" t="s">
        <v>20</v>
      </c>
      <c r="O40" s="31" t="s">
        <v>21</v>
      </c>
      <c r="P40" s="32" t="s">
        <v>22</v>
      </c>
      <c r="Q40" s="35" t="s">
        <v>23</v>
      </c>
      <c r="R40" s="31" t="s">
        <v>24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8" t="s">
        <v>54</v>
      </c>
      <c r="B41" s="8" t="s">
        <v>903</v>
      </c>
      <c r="C41" s="9">
        <v>0.3611111111111111</v>
      </c>
      <c r="D41" s="8" t="s">
        <v>904</v>
      </c>
      <c r="E41" s="8" t="s">
        <v>77</v>
      </c>
      <c r="F41" s="8" t="s">
        <v>905</v>
      </c>
      <c r="G41" s="276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54</v>
      </c>
      <c r="B42" s="15" t="s">
        <v>903</v>
      </c>
      <c r="C42" s="16">
        <v>0.3611111111111111</v>
      </c>
      <c r="D42" s="15" t="s">
        <v>58</v>
      </c>
      <c r="E42" s="15" t="s">
        <v>78</v>
      </c>
      <c r="F42" s="15" t="s">
        <v>906</v>
      </c>
      <c r="G42" s="277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54</v>
      </c>
      <c r="B43" s="15" t="s">
        <v>903</v>
      </c>
      <c r="C43" s="16">
        <v>0.3611111111111111</v>
      </c>
      <c r="D43" s="15" t="s">
        <v>60</v>
      </c>
      <c r="E43" s="15" t="s">
        <v>78</v>
      </c>
      <c r="F43" s="15" t="s">
        <v>907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8" x14ac:dyDescent="0.3">
      <c r="A44" s="300" t="s">
        <v>913</v>
      </c>
      <c r="B44" s="301"/>
      <c r="C44" s="301"/>
      <c r="D44" s="301"/>
      <c r="E44" s="301"/>
      <c r="F44" s="301"/>
      <c r="G44" s="277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54</v>
      </c>
      <c r="B45" s="19" t="s">
        <v>762</v>
      </c>
      <c r="C45" s="20" t="s">
        <v>623</v>
      </c>
      <c r="D45" s="19" t="s">
        <v>56</v>
      </c>
      <c r="E45" s="19" t="s">
        <v>214</v>
      </c>
      <c r="F45" s="19" t="s">
        <v>769</v>
      </c>
      <c r="G45" s="277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54</v>
      </c>
      <c r="B46" s="19" t="s">
        <v>766</v>
      </c>
      <c r="C46" s="20" t="s">
        <v>624</v>
      </c>
      <c r="D46" s="19" t="s">
        <v>56</v>
      </c>
      <c r="E46" s="19" t="s">
        <v>214</v>
      </c>
      <c r="F46" s="19" t="s">
        <v>769</v>
      </c>
      <c r="G46" s="277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25</v>
      </c>
      <c r="B47" s="19" t="s">
        <v>753</v>
      </c>
      <c r="C47" s="20" t="s">
        <v>914</v>
      </c>
      <c r="D47" s="19" t="s">
        <v>27</v>
      </c>
      <c r="E47" s="19" t="s">
        <v>212</v>
      </c>
      <c r="F47" s="19" t="s">
        <v>123</v>
      </c>
      <c r="G47" s="277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285</v>
      </c>
      <c r="B48" s="19" t="s">
        <v>824</v>
      </c>
      <c r="C48" s="20" t="s">
        <v>633</v>
      </c>
      <c r="D48" s="19" t="s">
        <v>81</v>
      </c>
      <c r="E48" s="19" t="s">
        <v>206</v>
      </c>
      <c r="F48" s="19" t="s">
        <v>825</v>
      </c>
      <c r="G48" s="277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71</v>
      </c>
      <c r="B49" s="19" t="s">
        <v>810</v>
      </c>
      <c r="C49" s="20" t="s">
        <v>926</v>
      </c>
      <c r="D49" s="19" t="s">
        <v>81</v>
      </c>
      <c r="E49" s="19" t="s">
        <v>206</v>
      </c>
      <c r="F49" s="19" t="s">
        <v>827</v>
      </c>
      <c r="G49" s="277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54</v>
      </c>
      <c r="B50" s="19" t="s">
        <v>765</v>
      </c>
      <c r="C50" s="20" t="s">
        <v>916</v>
      </c>
      <c r="D50" s="19" t="s">
        <v>56</v>
      </c>
      <c r="E50" s="19" t="s">
        <v>220</v>
      </c>
      <c r="F50" s="19" t="s">
        <v>275</v>
      </c>
      <c r="G50" s="277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9" t="s">
        <v>54</v>
      </c>
      <c r="B51" s="19" t="s">
        <v>760</v>
      </c>
      <c r="C51" s="20" t="s">
        <v>917</v>
      </c>
      <c r="D51" s="19" t="s">
        <v>56</v>
      </c>
      <c r="E51" s="19" t="s">
        <v>619</v>
      </c>
      <c r="F51" s="19" t="s">
        <v>275</v>
      </c>
      <c r="G51" s="277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54</v>
      </c>
      <c r="B52" s="19" t="s">
        <v>767</v>
      </c>
      <c r="C52" s="20" t="s">
        <v>225</v>
      </c>
      <c r="D52" s="19" t="s">
        <v>56</v>
      </c>
      <c r="E52" s="19" t="s">
        <v>204</v>
      </c>
      <c r="F52" s="19" t="s">
        <v>275</v>
      </c>
      <c r="G52" s="277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25</v>
      </c>
      <c r="B53" s="19" t="s">
        <v>756</v>
      </c>
      <c r="C53" s="20" t="s">
        <v>915</v>
      </c>
      <c r="D53" s="19" t="s">
        <v>27</v>
      </c>
      <c r="E53" s="19" t="s">
        <v>212</v>
      </c>
      <c r="F53" s="19" t="s">
        <v>29</v>
      </c>
      <c r="G53" s="277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63" t="s">
        <v>25</v>
      </c>
      <c r="B54" s="63" t="s">
        <v>759</v>
      </c>
      <c r="C54" s="64" t="s">
        <v>604</v>
      </c>
      <c r="D54" s="63" t="s">
        <v>27</v>
      </c>
      <c r="E54" s="63" t="s">
        <v>606</v>
      </c>
      <c r="F54" s="63" t="s">
        <v>29</v>
      </c>
      <c r="G54" s="278"/>
      <c r="H54" s="178"/>
      <c r="I54" s="178"/>
      <c r="J54" s="178"/>
      <c r="K54" s="178"/>
      <c r="L54" s="178"/>
      <c r="M54" s="178"/>
      <c r="N54" s="178"/>
      <c r="O54" s="179"/>
      <c r="P54" s="178"/>
      <c r="Q54" s="180"/>
      <c r="R54" s="180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4.4" customHeight="1" x14ac:dyDescent="0.3">
      <c r="A55" s="279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1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22.05" customHeight="1" x14ac:dyDescent="0.3">
      <c r="A56" s="290" t="s">
        <v>5</v>
      </c>
      <c r="B56" s="291"/>
      <c r="C56" s="291"/>
      <c r="D56" s="291"/>
      <c r="E56" s="291"/>
      <c r="F56" s="291"/>
      <c r="G56" s="5">
        <v>45990</v>
      </c>
      <c r="H56" s="274" t="s">
        <v>6</v>
      </c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24" customHeight="1" x14ac:dyDescent="0.3">
      <c r="A57" s="31" t="s">
        <v>7</v>
      </c>
      <c r="B57" s="31" t="s">
        <v>8</v>
      </c>
      <c r="C57" s="32" t="s">
        <v>9</v>
      </c>
      <c r="D57" s="31" t="s">
        <v>10</v>
      </c>
      <c r="E57" s="31" t="s">
        <v>11</v>
      </c>
      <c r="F57" s="31" t="s">
        <v>12</v>
      </c>
      <c r="G57" s="33" t="s">
        <v>13</v>
      </c>
      <c r="H57" s="31" t="s">
        <v>14</v>
      </c>
      <c r="I57" s="34" t="s">
        <v>15</v>
      </c>
      <c r="J57" s="35" t="s">
        <v>16</v>
      </c>
      <c r="K57" s="36" t="s">
        <v>17</v>
      </c>
      <c r="L57" s="35" t="s">
        <v>18</v>
      </c>
      <c r="M57" s="35" t="s">
        <v>19</v>
      </c>
      <c r="N57" s="35" t="s">
        <v>20</v>
      </c>
      <c r="O57" s="31" t="s">
        <v>21</v>
      </c>
      <c r="P57" s="32" t="s">
        <v>22</v>
      </c>
      <c r="Q57" s="35" t="s">
        <v>23</v>
      </c>
      <c r="R57" s="31" t="s">
        <v>24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8" t="s">
        <v>54</v>
      </c>
      <c r="B58" s="8" t="s">
        <v>903</v>
      </c>
      <c r="C58" s="9">
        <v>0.3611111111111111</v>
      </c>
      <c r="D58" s="8" t="s">
        <v>904</v>
      </c>
      <c r="E58" s="8" t="s">
        <v>251</v>
      </c>
      <c r="F58" s="8" t="s">
        <v>927</v>
      </c>
      <c r="G58" s="276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5" t="s">
        <v>54</v>
      </c>
      <c r="B59" s="15" t="s">
        <v>903</v>
      </c>
      <c r="C59" s="16">
        <v>0.3611111111111111</v>
      </c>
      <c r="D59" s="15" t="s">
        <v>58</v>
      </c>
      <c r="E59" s="15" t="s">
        <v>96</v>
      </c>
      <c r="F59" s="15" t="s">
        <v>928</v>
      </c>
      <c r="G59" s="277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54</v>
      </c>
      <c r="B60" s="15" t="s">
        <v>903</v>
      </c>
      <c r="C60" s="16">
        <v>0.3611111111111111</v>
      </c>
      <c r="D60" s="15" t="s">
        <v>60</v>
      </c>
      <c r="E60" s="15" t="s">
        <v>96</v>
      </c>
      <c r="F60" s="15" t="s">
        <v>929</v>
      </c>
      <c r="G60" s="277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8" x14ac:dyDescent="0.3">
      <c r="A61" s="300" t="s">
        <v>913</v>
      </c>
      <c r="B61" s="301"/>
      <c r="C61" s="301"/>
      <c r="D61" s="301"/>
      <c r="E61" s="301"/>
      <c r="F61" s="301"/>
      <c r="G61" s="277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9" t="s">
        <v>285</v>
      </c>
      <c r="B62" s="19" t="s">
        <v>845</v>
      </c>
      <c r="C62" s="20" t="s">
        <v>930</v>
      </c>
      <c r="D62" s="19" t="s">
        <v>81</v>
      </c>
      <c r="E62" s="19" t="s">
        <v>603</v>
      </c>
      <c r="F62" s="19" t="s">
        <v>837</v>
      </c>
      <c r="G62" s="277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285</v>
      </c>
      <c r="B63" s="19" t="s">
        <v>824</v>
      </c>
      <c r="C63" s="20" t="s">
        <v>633</v>
      </c>
      <c r="D63" s="19" t="s">
        <v>81</v>
      </c>
      <c r="E63" s="19" t="s">
        <v>206</v>
      </c>
      <c r="F63" s="19" t="s">
        <v>846</v>
      </c>
      <c r="G63" s="277"/>
      <c r="H63" s="175"/>
      <c r="I63" s="175"/>
      <c r="J63" s="175"/>
      <c r="K63" s="175"/>
      <c r="L63" s="175"/>
      <c r="M63" s="175"/>
      <c r="N63" s="175"/>
      <c r="O63" s="176"/>
      <c r="P63" s="175"/>
      <c r="Q63" s="177"/>
      <c r="R63" s="17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285</v>
      </c>
      <c r="B64" s="19" t="s">
        <v>847</v>
      </c>
      <c r="C64" s="20" t="s">
        <v>931</v>
      </c>
      <c r="D64" s="19" t="s">
        <v>81</v>
      </c>
      <c r="E64" s="19" t="s">
        <v>206</v>
      </c>
      <c r="F64" s="19" t="s">
        <v>846</v>
      </c>
      <c r="G64" s="277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9" t="s">
        <v>360</v>
      </c>
      <c r="B65" s="19" t="s">
        <v>801</v>
      </c>
      <c r="C65" s="20" t="s">
        <v>932</v>
      </c>
      <c r="D65" s="19" t="s">
        <v>81</v>
      </c>
      <c r="E65" s="19" t="s">
        <v>603</v>
      </c>
      <c r="F65" s="19" t="s">
        <v>848</v>
      </c>
      <c r="G65" s="277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9" t="s">
        <v>280</v>
      </c>
      <c r="B66" s="19" t="s">
        <v>775</v>
      </c>
      <c r="C66" s="20" t="s">
        <v>623</v>
      </c>
      <c r="D66" s="19" t="s">
        <v>282</v>
      </c>
      <c r="E66" s="19" t="s">
        <v>220</v>
      </c>
      <c r="F66" s="19" t="s">
        <v>850</v>
      </c>
      <c r="G66" s="277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9" t="s">
        <v>54</v>
      </c>
      <c r="B67" s="19" t="s">
        <v>762</v>
      </c>
      <c r="C67" s="20" t="s">
        <v>623</v>
      </c>
      <c r="D67" s="19" t="s">
        <v>56</v>
      </c>
      <c r="E67" s="19" t="s">
        <v>214</v>
      </c>
      <c r="F67" s="19" t="s">
        <v>119</v>
      </c>
      <c r="G67" s="277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360</v>
      </c>
      <c r="B68" s="19" t="s">
        <v>831</v>
      </c>
      <c r="C68" s="20" t="s">
        <v>933</v>
      </c>
      <c r="D68" s="19" t="s">
        <v>81</v>
      </c>
      <c r="E68" s="19" t="s">
        <v>223</v>
      </c>
      <c r="F68" s="19" t="s">
        <v>849</v>
      </c>
      <c r="G68" s="277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25</v>
      </c>
      <c r="B69" s="19" t="s">
        <v>753</v>
      </c>
      <c r="C69" s="20" t="s">
        <v>914</v>
      </c>
      <c r="D69" s="19" t="s">
        <v>27</v>
      </c>
      <c r="E69" s="19" t="s">
        <v>635</v>
      </c>
      <c r="F69" s="19" t="s">
        <v>857</v>
      </c>
      <c r="G69" s="277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25</v>
      </c>
      <c r="B70" s="19" t="s">
        <v>756</v>
      </c>
      <c r="C70" s="20" t="s">
        <v>915</v>
      </c>
      <c r="D70" s="19" t="s">
        <v>27</v>
      </c>
      <c r="E70" s="19" t="s">
        <v>202</v>
      </c>
      <c r="F70" s="19" t="s">
        <v>857</v>
      </c>
      <c r="G70" s="277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63" t="s">
        <v>25</v>
      </c>
      <c r="B71" s="63" t="s">
        <v>757</v>
      </c>
      <c r="C71" s="64" t="s">
        <v>583</v>
      </c>
      <c r="D71" s="63" t="s">
        <v>27</v>
      </c>
      <c r="E71" s="63" t="s">
        <v>603</v>
      </c>
      <c r="F71" s="63" t="s">
        <v>857</v>
      </c>
      <c r="G71" s="278"/>
      <c r="H71" s="178"/>
      <c r="I71" s="178"/>
      <c r="J71" s="178"/>
      <c r="K71" s="178"/>
      <c r="L71" s="178"/>
      <c r="M71" s="178"/>
      <c r="N71" s="178"/>
      <c r="O71" s="179"/>
      <c r="P71" s="178"/>
      <c r="Q71" s="180"/>
      <c r="R71" s="180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4.4" customHeight="1" x14ac:dyDescent="0.3">
      <c r="A72" s="279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1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22.05" customHeight="1" x14ac:dyDescent="0.3">
      <c r="A73" s="290" t="s">
        <v>5</v>
      </c>
      <c r="B73" s="291"/>
      <c r="C73" s="291"/>
      <c r="D73" s="291"/>
      <c r="E73" s="291"/>
      <c r="F73" s="291"/>
      <c r="G73" s="5">
        <v>45991</v>
      </c>
      <c r="H73" s="274" t="s">
        <v>6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24" customHeight="1" x14ac:dyDescent="0.3">
      <c r="A74" s="31" t="s">
        <v>7</v>
      </c>
      <c r="B74" s="31" t="s">
        <v>8</v>
      </c>
      <c r="C74" s="32" t="s">
        <v>9</v>
      </c>
      <c r="D74" s="31" t="s">
        <v>10</v>
      </c>
      <c r="E74" s="31" t="s">
        <v>11</v>
      </c>
      <c r="F74" s="31" t="s">
        <v>12</v>
      </c>
      <c r="G74" s="33" t="s">
        <v>13</v>
      </c>
      <c r="H74" s="31" t="s">
        <v>14</v>
      </c>
      <c r="I74" s="34" t="s">
        <v>15</v>
      </c>
      <c r="J74" s="35" t="s">
        <v>16</v>
      </c>
      <c r="K74" s="36" t="s">
        <v>17</v>
      </c>
      <c r="L74" s="35" t="s">
        <v>18</v>
      </c>
      <c r="M74" s="35" t="s">
        <v>19</v>
      </c>
      <c r="N74" s="35" t="s">
        <v>20</v>
      </c>
      <c r="O74" s="31" t="s">
        <v>21</v>
      </c>
      <c r="P74" s="32" t="s">
        <v>22</v>
      </c>
      <c r="Q74" s="35" t="s">
        <v>23</v>
      </c>
      <c r="R74" s="31" t="s">
        <v>24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82" t="s">
        <v>71</v>
      </c>
      <c r="B75" s="182" t="s">
        <v>908</v>
      </c>
      <c r="C75" s="183">
        <v>0.42708333333333331</v>
      </c>
      <c r="D75" s="182" t="s">
        <v>81</v>
      </c>
      <c r="E75" s="182" t="s">
        <v>57</v>
      </c>
      <c r="F75" s="182" t="s">
        <v>934</v>
      </c>
      <c r="G75" s="276"/>
      <c r="H75" s="49" t="s">
        <v>909</v>
      </c>
      <c r="I75" s="239">
        <v>0.57540000000000002</v>
      </c>
      <c r="J75" s="51">
        <v>103</v>
      </c>
      <c r="K75" s="52">
        <v>45983</v>
      </c>
      <c r="L75" s="51">
        <v>19</v>
      </c>
      <c r="M75" s="51">
        <v>0</v>
      </c>
      <c r="N75" s="51">
        <v>2</v>
      </c>
      <c r="O75" s="53" t="s">
        <v>935</v>
      </c>
      <c r="P75" s="54">
        <v>0.42708333333333331</v>
      </c>
      <c r="Q75" s="51">
        <v>179</v>
      </c>
      <c r="R75" s="55" t="s">
        <v>936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7" t="s">
        <v>63</v>
      </c>
      <c r="B76" s="17" t="s">
        <v>911</v>
      </c>
      <c r="C76" s="18">
        <v>0.42708333333333331</v>
      </c>
      <c r="D76" s="17" t="s">
        <v>48</v>
      </c>
      <c r="E76" s="17" t="s">
        <v>57</v>
      </c>
      <c r="F76" s="17" t="s">
        <v>937</v>
      </c>
      <c r="G76" s="277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8" x14ac:dyDescent="0.3">
      <c r="A77" s="300" t="s">
        <v>913</v>
      </c>
      <c r="B77" s="301"/>
      <c r="C77" s="301"/>
      <c r="D77" s="301"/>
      <c r="E77" s="301"/>
      <c r="F77" s="301"/>
      <c r="G77" s="277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71</v>
      </c>
      <c r="B78" s="19" t="s">
        <v>810</v>
      </c>
      <c r="C78" s="20" t="s">
        <v>938</v>
      </c>
      <c r="D78" s="19" t="s">
        <v>81</v>
      </c>
      <c r="E78" s="19" t="s">
        <v>204</v>
      </c>
      <c r="F78" s="19" t="s">
        <v>813</v>
      </c>
      <c r="G78" s="277"/>
      <c r="H78" s="175"/>
      <c r="I78" s="175"/>
      <c r="J78" s="175"/>
      <c r="K78" s="175"/>
      <c r="L78" s="175"/>
      <c r="M78" s="175"/>
      <c r="N78" s="175"/>
      <c r="O78" s="176"/>
      <c r="P78" s="175"/>
      <c r="Q78" s="177"/>
      <c r="R78" s="17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9" t="s">
        <v>25</v>
      </c>
      <c r="B79" s="19" t="s">
        <v>753</v>
      </c>
      <c r="C79" s="20" t="s">
        <v>914</v>
      </c>
      <c r="D79" s="19" t="s">
        <v>27</v>
      </c>
      <c r="E79" s="19" t="s">
        <v>212</v>
      </c>
      <c r="F79" s="19" t="s">
        <v>123</v>
      </c>
      <c r="G79" s="277"/>
      <c r="H79" s="175"/>
      <c r="I79" s="175"/>
      <c r="J79" s="175"/>
      <c r="K79" s="175"/>
      <c r="L79" s="175"/>
      <c r="M79" s="175"/>
      <c r="N79" s="175"/>
      <c r="O79" s="176"/>
      <c r="P79" s="175"/>
      <c r="Q79" s="177"/>
      <c r="R79" s="17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9" t="s">
        <v>360</v>
      </c>
      <c r="B80" s="19" t="s">
        <v>865</v>
      </c>
      <c r="C80" s="20" t="s">
        <v>600</v>
      </c>
      <c r="D80" s="19" t="s">
        <v>81</v>
      </c>
      <c r="E80" s="19" t="s">
        <v>206</v>
      </c>
      <c r="F80" s="19" t="s">
        <v>866</v>
      </c>
      <c r="G80" s="277"/>
      <c r="H80" s="175"/>
      <c r="I80" s="175"/>
      <c r="J80" s="175"/>
      <c r="K80" s="175"/>
      <c r="L80" s="175"/>
      <c r="M80" s="175"/>
      <c r="N80" s="175"/>
      <c r="O80" s="176"/>
      <c r="P80" s="175"/>
      <c r="Q80" s="177"/>
      <c r="R80" s="17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9" t="s">
        <v>25</v>
      </c>
      <c r="B81" s="19" t="s">
        <v>756</v>
      </c>
      <c r="C81" s="20" t="s">
        <v>915</v>
      </c>
      <c r="D81" s="19" t="s">
        <v>27</v>
      </c>
      <c r="E81" s="19" t="s">
        <v>220</v>
      </c>
      <c r="F81" s="19" t="s">
        <v>29</v>
      </c>
      <c r="G81" s="277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9" t="s">
        <v>25</v>
      </c>
      <c r="B82" s="19" t="s">
        <v>757</v>
      </c>
      <c r="C82" s="20" t="s">
        <v>583</v>
      </c>
      <c r="D82" s="19" t="s">
        <v>27</v>
      </c>
      <c r="E82" s="19" t="s">
        <v>220</v>
      </c>
      <c r="F82" s="19" t="s">
        <v>29</v>
      </c>
      <c r="G82" s="277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9" t="s">
        <v>25</v>
      </c>
      <c r="B83" s="19" t="s">
        <v>759</v>
      </c>
      <c r="C83" s="20" t="s">
        <v>604</v>
      </c>
      <c r="D83" s="19" t="s">
        <v>27</v>
      </c>
      <c r="E83" s="19" t="s">
        <v>619</v>
      </c>
      <c r="F83" s="19" t="s">
        <v>29</v>
      </c>
      <c r="G83" s="277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9" t="s">
        <v>54</v>
      </c>
      <c r="B84" s="19" t="s">
        <v>762</v>
      </c>
      <c r="C84" s="20" t="s">
        <v>623</v>
      </c>
      <c r="D84" s="19" t="s">
        <v>56</v>
      </c>
      <c r="E84" s="19" t="s">
        <v>204</v>
      </c>
      <c r="F84" s="19" t="s">
        <v>867</v>
      </c>
      <c r="G84" s="277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9" t="s">
        <v>54</v>
      </c>
      <c r="B85" s="19" t="s">
        <v>765</v>
      </c>
      <c r="C85" s="20" t="s">
        <v>916</v>
      </c>
      <c r="D85" s="19" t="s">
        <v>56</v>
      </c>
      <c r="E85" s="19" t="s">
        <v>220</v>
      </c>
      <c r="F85" s="19" t="s">
        <v>867</v>
      </c>
      <c r="G85" s="277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54</v>
      </c>
      <c r="B86" s="19" t="s">
        <v>766</v>
      </c>
      <c r="C86" s="20" t="s">
        <v>624</v>
      </c>
      <c r="D86" s="19" t="s">
        <v>56</v>
      </c>
      <c r="E86" s="19" t="s">
        <v>220</v>
      </c>
      <c r="F86" s="19" t="s">
        <v>867</v>
      </c>
      <c r="G86" s="277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63" t="s">
        <v>54</v>
      </c>
      <c r="B87" s="63" t="s">
        <v>760</v>
      </c>
      <c r="C87" s="64" t="s">
        <v>917</v>
      </c>
      <c r="D87" s="63" t="s">
        <v>56</v>
      </c>
      <c r="E87" s="63" t="s">
        <v>606</v>
      </c>
      <c r="F87" s="63" t="s">
        <v>867</v>
      </c>
      <c r="G87" s="278"/>
      <c r="H87" s="178"/>
      <c r="I87" s="178"/>
      <c r="J87" s="178"/>
      <c r="K87" s="178"/>
      <c r="L87" s="178"/>
      <c r="M87" s="178"/>
      <c r="N87" s="178"/>
      <c r="O87" s="179"/>
      <c r="P87" s="178"/>
      <c r="Q87" s="180"/>
      <c r="R87" s="180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4.4" customHeight="1" x14ac:dyDescent="0.3">
      <c r="A88" s="279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</sheetData>
  <mergeCells count="34">
    <mergeCell ref="O1:Q1"/>
    <mergeCell ref="A27:F27"/>
    <mergeCell ref="A56:F56"/>
    <mergeCell ref="H4:R4"/>
    <mergeCell ref="A2:F2"/>
    <mergeCell ref="A3:R3"/>
    <mergeCell ref="A55:R55"/>
    <mergeCell ref="H56:R56"/>
    <mergeCell ref="H39:R39"/>
    <mergeCell ref="A23:F23"/>
    <mergeCell ref="G41:G54"/>
    <mergeCell ref="A1:C1"/>
    <mergeCell ref="G1:H1"/>
    <mergeCell ref="A61:F61"/>
    <mergeCell ref="G6:G21"/>
    <mergeCell ref="H73:R73"/>
    <mergeCell ref="G2:J2"/>
    <mergeCell ref="A4:F4"/>
    <mergeCell ref="J1:M1"/>
    <mergeCell ref="A22:R22"/>
    <mergeCell ref="A72:R72"/>
    <mergeCell ref="A38:R38"/>
    <mergeCell ref="A44:F44"/>
    <mergeCell ref="K2:R2"/>
    <mergeCell ref="G25:G37"/>
    <mergeCell ref="A39:F39"/>
    <mergeCell ref="D1:F1"/>
    <mergeCell ref="A88:R88"/>
    <mergeCell ref="G58:G71"/>
    <mergeCell ref="A77:F77"/>
    <mergeCell ref="A73:F73"/>
    <mergeCell ref="A11:F11"/>
    <mergeCell ref="G75:G87"/>
    <mergeCell ref="H23:R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164</v>
      </c>
      <c r="B2" s="96">
        <v>45986</v>
      </c>
      <c r="C2" s="97" t="s">
        <v>909</v>
      </c>
      <c r="D2" s="98">
        <v>0.43055555555555558</v>
      </c>
      <c r="E2" s="97" t="s">
        <v>902</v>
      </c>
      <c r="F2" s="97" t="s">
        <v>158</v>
      </c>
      <c r="G2" s="99">
        <v>0.70389999999999997</v>
      </c>
      <c r="H2" s="100">
        <v>179</v>
      </c>
      <c r="I2" s="100">
        <v>126</v>
      </c>
      <c r="J2" s="100">
        <v>0</v>
      </c>
      <c r="K2" s="96">
        <v>45984</v>
      </c>
      <c r="L2" s="100">
        <v>1</v>
      </c>
      <c r="M2" s="100">
        <v>4</v>
      </c>
      <c r="N2" s="100">
        <v>43</v>
      </c>
      <c r="O2" s="97" t="s">
        <v>840</v>
      </c>
      <c r="P2" s="101"/>
      <c r="Q2" s="101"/>
      <c r="R2" s="101"/>
      <c r="S2" s="101"/>
      <c r="T2" s="100" t="s">
        <v>939</v>
      </c>
      <c r="U2" s="100" t="s">
        <v>940</v>
      </c>
      <c r="V2" s="100" t="s">
        <v>559</v>
      </c>
      <c r="W2" s="100" t="s">
        <v>554</v>
      </c>
      <c r="X2" s="100" t="s">
        <v>544</v>
      </c>
      <c r="Y2" s="100" t="s">
        <v>566</v>
      </c>
      <c r="Z2" s="100" t="s">
        <v>893</v>
      </c>
      <c r="AA2" s="100" t="s">
        <v>243</v>
      </c>
      <c r="AB2" s="100" t="s">
        <v>181</v>
      </c>
      <c r="AC2" s="100" t="s">
        <v>182</v>
      </c>
      <c r="AD2" s="100" t="s">
        <v>505</v>
      </c>
      <c r="AE2" s="101"/>
      <c r="AF2" s="101"/>
      <c r="AG2" s="101"/>
      <c r="AH2" s="101"/>
      <c r="AI2" s="101"/>
    </row>
    <row r="3" spans="1:35" ht="18" x14ac:dyDescent="0.3">
      <c r="A3" s="102" t="s">
        <v>232</v>
      </c>
      <c r="B3" s="103">
        <v>45987</v>
      </c>
      <c r="C3" s="104" t="s">
        <v>921</v>
      </c>
      <c r="D3" s="105">
        <v>0.40625</v>
      </c>
      <c r="E3" s="104" t="s">
        <v>902</v>
      </c>
      <c r="F3" s="104" t="s">
        <v>158</v>
      </c>
      <c r="G3" s="106">
        <v>0.81010000000000004</v>
      </c>
      <c r="H3" s="107">
        <v>179</v>
      </c>
      <c r="I3" s="107">
        <v>145</v>
      </c>
      <c r="J3" s="107">
        <v>0</v>
      </c>
      <c r="K3" s="103">
        <v>45983</v>
      </c>
      <c r="L3" s="107">
        <v>0</v>
      </c>
      <c r="M3" s="107">
        <v>3</v>
      </c>
      <c r="N3" s="107">
        <v>11</v>
      </c>
      <c r="O3" s="104" t="s">
        <v>922</v>
      </c>
      <c r="P3" s="107" t="s">
        <v>265</v>
      </c>
      <c r="Q3" s="108"/>
      <c r="R3" s="108"/>
      <c r="S3" s="107" t="s">
        <v>556</v>
      </c>
      <c r="T3" s="108"/>
      <c r="U3" s="108"/>
      <c r="V3" s="107" t="s">
        <v>879</v>
      </c>
      <c r="W3" s="107" t="s">
        <v>941</v>
      </c>
      <c r="X3" s="107" t="s">
        <v>942</v>
      </c>
      <c r="Y3" s="107" t="s">
        <v>445</v>
      </c>
      <c r="Z3" s="107" t="s">
        <v>943</v>
      </c>
      <c r="AA3" s="107" t="s">
        <v>266</v>
      </c>
      <c r="AB3" s="107" t="s">
        <v>261</v>
      </c>
      <c r="AC3" s="107" t="s">
        <v>944</v>
      </c>
      <c r="AD3" s="107" t="s">
        <v>178</v>
      </c>
      <c r="AE3" s="108"/>
      <c r="AF3" s="108"/>
      <c r="AG3" s="108"/>
      <c r="AH3" s="108"/>
      <c r="AI3" s="108"/>
    </row>
    <row r="4" spans="1:35" ht="18" x14ac:dyDescent="0.3">
      <c r="A4" s="95" t="s">
        <v>186</v>
      </c>
      <c r="B4" s="96">
        <v>45991</v>
      </c>
      <c r="C4" s="97" t="s">
        <v>909</v>
      </c>
      <c r="D4" s="98">
        <v>0.42708333333333331</v>
      </c>
      <c r="E4" s="97" t="s">
        <v>902</v>
      </c>
      <c r="F4" s="97" t="s">
        <v>158</v>
      </c>
      <c r="G4" s="99">
        <v>0.57540000000000002</v>
      </c>
      <c r="H4" s="100">
        <v>179</v>
      </c>
      <c r="I4" s="100">
        <v>103</v>
      </c>
      <c r="J4" s="100">
        <v>0</v>
      </c>
      <c r="K4" s="96">
        <v>45983</v>
      </c>
      <c r="L4" s="100">
        <v>0</v>
      </c>
      <c r="M4" s="100">
        <v>2</v>
      </c>
      <c r="N4" s="100">
        <v>19</v>
      </c>
      <c r="O4" s="97" t="s">
        <v>935</v>
      </c>
      <c r="P4" s="101"/>
      <c r="Q4" s="101"/>
      <c r="R4" s="101"/>
      <c r="S4" s="100" t="s">
        <v>945</v>
      </c>
      <c r="T4" s="100" t="s">
        <v>946</v>
      </c>
      <c r="U4" s="100" t="s">
        <v>947</v>
      </c>
      <c r="V4" s="100" t="s">
        <v>887</v>
      </c>
      <c r="W4" s="100" t="s">
        <v>125</v>
      </c>
      <c r="X4" s="101"/>
      <c r="Y4" s="100" t="s">
        <v>258</v>
      </c>
      <c r="Z4" s="100" t="s">
        <v>454</v>
      </c>
      <c r="AA4" s="100" t="s">
        <v>948</v>
      </c>
      <c r="AB4" s="100" t="s">
        <v>488</v>
      </c>
      <c r="AC4" s="100" t="s">
        <v>949</v>
      </c>
      <c r="AD4" s="100" t="s">
        <v>885</v>
      </c>
      <c r="AE4" s="100" t="s">
        <v>720</v>
      </c>
      <c r="AF4" s="101"/>
      <c r="AG4" s="101"/>
      <c r="AH4" s="101"/>
      <c r="AI4" s="101"/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0.69646666666666668</v>
      </c>
      <c r="H5" s="113">
        <f>SUM(H2:H4)</f>
        <v>537</v>
      </c>
      <c r="I5" s="113">
        <f>SUM(I2:I4)</f>
        <v>374</v>
      </c>
      <c r="J5" s="113">
        <f>SUM(J2:J4)</f>
        <v>0</v>
      </c>
      <c r="K5" s="110"/>
      <c r="L5" s="113">
        <f>SUM(L2:L4)</f>
        <v>1</v>
      </c>
      <c r="M5" s="113">
        <f>SUM(M2:M4)</f>
        <v>9</v>
      </c>
      <c r="N5" s="113">
        <f>SUM(N2:N4)</f>
        <v>73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23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93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44140625" bestFit="1" customWidth="1"/>
    <col min="5" max="5" width="32.88671875" bestFit="1" customWidth="1"/>
    <col min="6" max="6" width="36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950</v>
      </c>
      <c r="F2" s="185"/>
      <c r="G2" s="185"/>
      <c r="H2" s="3"/>
    </row>
    <row r="3" spans="1:8" ht="18" x14ac:dyDescent="0.3">
      <c r="A3" s="115">
        <v>45985</v>
      </c>
      <c r="B3" s="116" t="s">
        <v>25</v>
      </c>
      <c r="C3" s="117" t="s">
        <v>753</v>
      </c>
      <c r="D3" s="116" t="s">
        <v>752</v>
      </c>
      <c r="E3" s="118">
        <v>1.5763888888888891</v>
      </c>
      <c r="F3" s="116" t="s">
        <v>27</v>
      </c>
      <c r="G3" s="119">
        <v>2</v>
      </c>
      <c r="H3" s="120" t="s">
        <v>754</v>
      </c>
    </row>
    <row r="4" spans="1:8" ht="18" x14ac:dyDescent="0.3">
      <c r="A4" s="127">
        <v>45985</v>
      </c>
      <c r="B4" s="128" t="s">
        <v>25</v>
      </c>
      <c r="C4" s="129" t="s">
        <v>756</v>
      </c>
      <c r="D4" s="128" t="s">
        <v>752</v>
      </c>
      <c r="E4" s="130">
        <v>1.6284722222222221</v>
      </c>
      <c r="F4" s="128" t="s">
        <v>27</v>
      </c>
      <c r="G4" s="131">
        <v>2</v>
      </c>
      <c r="H4" s="128" t="s">
        <v>754</v>
      </c>
    </row>
    <row r="5" spans="1:8" ht="18" x14ac:dyDescent="0.3">
      <c r="A5" s="127">
        <v>45985</v>
      </c>
      <c r="B5" s="128" t="s">
        <v>25</v>
      </c>
      <c r="C5" s="129" t="s">
        <v>757</v>
      </c>
      <c r="D5" s="128" t="s">
        <v>752</v>
      </c>
      <c r="E5" s="130">
        <v>1.8888888888888891</v>
      </c>
      <c r="F5" s="128" t="s">
        <v>27</v>
      </c>
      <c r="G5" s="131">
        <v>1</v>
      </c>
      <c r="H5" s="128" t="s">
        <v>683</v>
      </c>
    </row>
    <row r="6" spans="1:8" ht="18" x14ac:dyDescent="0.3">
      <c r="A6" s="127">
        <v>45985</v>
      </c>
      <c r="B6" s="128" t="s">
        <v>25</v>
      </c>
      <c r="C6" s="129" t="s">
        <v>759</v>
      </c>
      <c r="D6" s="128" t="s">
        <v>752</v>
      </c>
      <c r="E6" s="130">
        <v>1.944444444444444</v>
      </c>
      <c r="F6" s="128" t="s">
        <v>27</v>
      </c>
      <c r="G6" s="131">
        <v>1</v>
      </c>
      <c r="H6" s="128" t="s">
        <v>683</v>
      </c>
    </row>
    <row r="7" spans="1:8" ht="18" x14ac:dyDescent="0.3">
      <c r="A7" s="126">
        <v>45985</v>
      </c>
      <c r="B7" s="116" t="s">
        <v>54</v>
      </c>
      <c r="C7" s="117" t="s">
        <v>760</v>
      </c>
      <c r="D7" s="116" t="s">
        <v>752</v>
      </c>
      <c r="E7" s="118">
        <v>1.506944444444444</v>
      </c>
      <c r="F7" s="116" t="s">
        <v>56</v>
      </c>
      <c r="G7" s="119">
        <v>3</v>
      </c>
      <c r="H7" s="116" t="s">
        <v>683</v>
      </c>
    </row>
    <row r="8" spans="1:8" ht="18" x14ac:dyDescent="0.3">
      <c r="A8" s="127">
        <v>45985</v>
      </c>
      <c r="B8" s="128" t="s">
        <v>54</v>
      </c>
      <c r="C8" s="129" t="s">
        <v>762</v>
      </c>
      <c r="D8" s="128" t="s">
        <v>752</v>
      </c>
      <c r="E8" s="130">
        <v>1.4375</v>
      </c>
      <c r="F8" s="128" t="s">
        <v>56</v>
      </c>
      <c r="G8" s="131">
        <v>7</v>
      </c>
      <c r="H8" s="128" t="s">
        <v>763</v>
      </c>
    </row>
    <row r="9" spans="1:8" ht="18" x14ac:dyDescent="0.3">
      <c r="A9" s="127">
        <v>45985</v>
      </c>
      <c r="B9" s="128" t="s">
        <v>54</v>
      </c>
      <c r="C9" s="129" t="s">
        <v>765</v>
      </c>
      <c r="D9" s="128" t="s">
        <v>752</v>
      </c>
      <c r="E9" s="130">
        <v>1.631944444444444</v>
      </c>
      <c r="F9" s="128" t="s">
        <v>56</v>
      </c>
      <c r="G9" s="131">
        <v>8</v>
      </c>
      <c r="H9" s="128" t="s">
        <v>763</v>
      </c>
    </row>
    <row r="10" spans="1:8" ht="18" x14ac:dyDescent="0.3">
      <c r="A10" s="127">
        <v>45985</v>
      </c>
      <c r="B10" s="128" t="s">
        <v>54</v>
      </c>
      <c r="C10" s="129" t="s">
        <v>766</v>
      </c>
      <c r="D10" s="128" t="s">
        <v>752</v>
      </c>
      <c r="E10" s="130">
        <v>1.5590277777777779</v>
      </c>
      <c r="F10" s="128" t="s">
        <v>56</v>
      </c>
      <c r="G10" s="131">
        <v>9</v>
      </c>
      <c r="H10" s="128" t="s">
        <v>763</v>
      </c>
    </row>
    <row r="11" spans="1:8" ht="18" x14ac:dyDescent="0.3">
      <c r="A11" s="127">
        <v>45985</v>
      </c>
      <c r="B11" s="128" t="s">
        <v>54</v>
      </c>
      <c r="C11" s="129" t="s">
        <v>767</v>
      </c>
      <c r="D11" s="128" t="s">
        <v>752</v>
      </c>
      <c r="E11" s="130">
        <v>1.697916666666667</v>
      </c>
      <c r="F11" s="128" t="s">
        <v>56</v>
      </c>
      <c r="G11" s="131">
        <v>5</v>
      </c>
      <c r="H11" s="128" t="s">
        <v>763</v>
      </c>
    </row>
    <row r="12" spans="1:8" ht="18" x14ac:dyDescent="0.3">
      <c r="A12" s="189">
        <v>45985</v>
      </c>
      <c r="B12" s="190" t="s">
        <v>285</v>
      </c>
      <c r="C12" s="191" t="s">
        <v>773</v>
      </c>
      <c r="D12" s="190" t="s">
        <v>752</v>
      </c>
      <c r="E12" s="192">
        <v>1.552083333333333</v>
      </c>
      <c r="F12" s="190" t="s">
        <v>81</v>
      </c>
      <c r="G12" s="193">
        <v>6</v>
      </c>
      <c r="H12" s="190" t="s">
        <v>774</v>
      </c>
    </row>
    <row r="13" spans="1:8" ht="18" x14ac:dyDescent="0.3">
      <c r="A13" s="115">
        <v>45986</v>
      </c>
      <c r="B13" s="116" t="s">
        <v>54</v>
      </c>
      <c r="C13" s="117" t="s">
        <v>903</v>
      </c>
      <c r="D13" s="116" t="s">
        <v>902</v>
      </c>
      <c r="E13" s="118">
        <v>1.3611111111111109</v>
      </c>
      <c r="F13" s="116" t="s">
        <v>904</v>
      </c>
      <c r="G13" s="119">
        <v>6</v>
      </c>
      <c r="H13" s="120" t="s">
        <v>905</v>
      </c>
    </row>
    <row r="14" spans="1:8" ht="18" x14ac:dyDescent="0.3">
      <c r="A14" s="121">
        <v>45986</v>
      </c>
      <c r="B14" s="122" t="s">
        <v>54</v>
      </c>
      <c r="C14" s="123" t="s">
        <v>903</v>
      </c>
      <c r="D14" s="122" t="s">
        <v>902</v>
      </c>
      <c r="E14" s="124">
        <v>1.3611111111111109</v>
      </c>
      <c r="F14" s="122" t="s">
        <v>58</v>
      </c>
      <c r="G14" s="125">
        <v>6</v>
      </c>
      <c r="H14" s="122" t="s">
        <v>906</v>
      </c>
    </row>
    <row r="15" spans="1:8" ht="18" x14ac:dyDescent="0.3">
      <c r="A15" s="121">
        <v>45986</v>
      </c>
      <c r="B15" s="122" t="s">
        <v>54</v>
      </c>
      <c r="C15" s="123" t="s">
        <v>903</v>
      </c>
      <c r="D15" s="122" t="s">
        <v>902</v>
      </c>
      <c r="E15" s="124">
        <v>1.3611111111111109</v>
      </c>
      <c r="F15" s="122" t="s">
        <v>60</v>
      </c>
      <c r="G15" s="125">
        <v>6</v>
      </c>
      <c r="H15" s="122" t="s">
        <v>907</v>
      </c>
    </row>
    <row r="16" spans="1:8" ht="18" x14ac:dyDescent="0.3">
      <c r="A16" s="136">
        <v>45986</v>
      </c>
      <c r="B16" s="137" t="s">
        <v>71</v>
      </c>
      <c r="C16" s="138" t="s">
        <v>908</v>
      </c>
      <c r="D16" s="137" t="s">
        <v>902</v>
      </c>
      <c r="E16" s="139">
        <v>1.430555555555556</v>
      </c>
      <c r="F16" s="137" t="s">
        <v>81</v>
      </c>
      <c r="G16" s="140">
        <v>9</v>
      </c>
      <c r="H16" s="137" t="s">
        <v>839</v>
      </c>
    </row>
    <row r="17" spans="1:8" ht="18" x14ac:dyDescent="0.3">
      <c r="A17" s="126">
        <v>45986</v>
      </c>
      <c r="B17" s="116" t="s">
        <v>63</v>
      </c>
      <c r="C17" s="117" t="s">
        <v>911</v>
      </c>
      <c r="D17" s="116" t="s">
        <v>902</v>
      </c>
      <c r="E17" s="118">
        <v>1.430555555555556</v>
      </c>
      <c r="F17" s="116" t="s">
        <v>48</v>
      </c>
      <c r="G17" s="119">
        <v>4</v>
      </c>
      <c r="H17" s="116" t="s">
        <v>912</v>
      </c>
    </row>
    <row r="18" spans="1:8" ht="15.6" x14ac:dyDescent="0.3">
      <c r="A18" s="185"/>
      <c r="B18" s="185"/>
      <c r="C18" s="185"/>
      <c r="D18" s="185"/>
      <c r="E18" s="186" t="s">
        <v>950</v>
      </c>
      <c r="F18" s="185"/>
      <c r="G18" s="185"/>
      <c r="H18" s="3"/>
    </row>
    <row r="19" spans="1:8" ht="18" x14ac:dyDescent="0.3">
      <c r="A19" s="126">
        <v>45986</v>
      </c>
      <c r="B19" s="116" t="s">
        <v>25</v>
      </c>
      <c r="C19" s="117" t="s">
        <v>753</v>
      </c>
      <c r="D19" s="116" t="s">
        <v>752</v>
      </c>
      <c r="E19" s="118">
        <v>1.5763888888888891</v>
      </c>
      <c r="F19" s="116" t="s">
        <v>27</v>
      </c>
      <c r="G19" s="119">
        <v>4</v>
      </c>
      <c r="H19" s="116" t="s">
        <v>683</v>
      </c>
    </row>
    <row r="20" spans="1:8" ht="18" x14ac:dyDescent="0.3">
      <c r="A20" s="127">
        <v>45986</v>
      </c>
      <c r="B20" s="128" t="s">
        <v>25</v>
      </c>
      <c r="C20" s="129" t="s">
        <v>756</v>
      </c>
      <c r="D20" s="128" t="s">
        <v>752</v>
      </c>
      <c r="E20" s="130">
        <v>1.6284722222222221</v>
      </c>
      <c r="F20" s="128" t="s">
        <v>27</v>
      </c>
      <c r="G20" s="131">
        <v>4</v>
      </c>
      <c r="H20" s="128" t="s">
        <v>683</v>
      </c>
    </row>
    <row r="21" spans="1:8" ht="18" x14ac:dyDescent="0.3">
      <c r="A21" s="127">
        <v>45986</v>
      </c>
      <c r="B21" s="128" t="s">
        <v>25</v>
      </c>
      <c r="C21" s="129" t="s">
        <v>757</v>
      </c>
      <c r="D21" s="128" t="s">
        <v>752</v>
      </c>
      <c r="E21" s="130">
        <v>1.8888888888888891</v>
      </c>
      <c r="F21" s="128" t="s">
        <v>27</v>
      </c>
      <c r="G21" s="131">
        <v>1</v>
      </c>
      <c r="H21" s="128" t="s">
        <v>683</v>
      </c>
    </row>
    <row r="22" spans="1:8" ht="18" x14ac:dyDescent="0.3">
      <c r="A22" s="127">
        <v>45986</v>
      </c>
      <c r="B22" s="128" t="s">
        <v>25</v>
      </c>
      <c r="C22" s="129" t="s">
        <v>759</v>
      </c>
      <c r="D22" s="128" t="s">
        <v>752</v>
      </c>
      <c r="E22" s="130">
        <v>1.944444444444444</v>
      </c>
      <c r="F22" s="128" t="s">
        <v>27</v>
      </c>
      <c r="G22" s="131">
        <v>2</v>
      </c>
      <c r="H22" s="128" t="s">
        <v>797</v>
      </c>
    </row>
    <row r="23" spans="1:8" ht="18" x14ac:dyDescent="0.3">
      <c r="A23" s="126">
        <v>45986</v>
      </c>
      <c r="B23" s="116" t="s">
        <v>54</v>
      </c>
      <c r="C23" s="117" t="s">
        <v>766</v>
      </c>
      <c r="D23" s="116" t="s">
        <v>752</v>
      </c>
      <c r="E23" s="118">
        <v>1.5590277777777779</v>
      </c>
      <c r="F23" s="116" t="s">
        <v>56</v>
      </c>
      <c r="G23" s="119">
        <v>1</v>
      </c>
      <c r="H23" s="116" t="s">
        <v>683</v>
      </c>
    </row>
    <row r="24" spans="1:8" ht="18" x14ac:dyDescent="0.3">
      <c r="A24" s="127">
        <v>45986</v>
      </c>
      <c r="B24" s="128" t="s">
        <v>54</v>
      </c>
      <c r="C24" s="129" t="s">
        <v>762</v>
      </c>
      <c r="D24" s="128" t="s">
        <v>752</v>
      </c>
      <c r="E24" s="130">
        <v>1.4375</v>
      </c>
      <c r="F24" s="128" t="s">
        <v>56</v>
      </c>
      <c r="G24" s="131">
        <v>2</v>
      </c>
      <c r="H24" s="128" t="s">
        <v>763</v>
      </c>
    </row>
    <row r="25" spans="1:8" ht="18" x14ac:dyDescent="0.3">
      <c r="A25" s="127">
        <v>45986</v>
      </c>
      <c r="B25" s="128" t="s">
        <v>54</v>
      </c>
      <c r="C25" s="129" t="s">
        <v>765</v>
      </c>
      <c r="D25" s="128" t="s">
        <v>752</v>
      </c>
      <c r="E25" s="130">
        <v>1.631944444444444</v>
      </c>
      <c r="F25" s="128" t="s">
        <v>56</v>
      </c>
      <c r="G25" s="131">
        <v>3</v>
      </c>
      <c r="H25" s="128" t="s">
        <v>763</v>
      </c>
    </row>
    <row r="26" spans="1:8" ht="18" x14ac:dyDescent="0.3">
      <c r="A26" s="127">
        <v>45986</v>
      </c>
      <c r="B26" s="128" t="s">
        <v>54</v>
      </c>
      <c r="C26" s="129" t="s">
        <v>760</v>
      </c>
      <c r="D26" s="128" t="s">
        <v>752</v>
      </c>
      <c r="E26" s="130">
        <v>1.506944444444444</v>
      </c>
      <c r="F26" s="128" t="s">
        <v>56</v>
      </c>
      <c r="G26" s="131">
        <v>5</v>
      </c>
      <c r="H26" s="128" t="s">
        <v>763</v>
      </c>
    </row>
    <row r="27" spans="1:8" ht="18" x14ac:dyDescent="0.3">
      <c r="A27" s="127">
        <v>45986</v>
      </c>
      <c r="B27" s="128" t="s">
        <v>54</v>
      </c>
      <c r="C27" s="129" t="s">
        <v>767</v>
      </c>
      <c r="D27" s="128" t="s">
        <v>752</v>
      </c>
      <c r="E27" s="130">
        <v>1.697916666666667</v>
      </c>
      <c r="F27" s="128" t="s">
        <v>56</v>
      </c>
      <c r="G27" s="131">
        <v>3</v>
      </c>
      <c r="H27" s="128" t="s">
        <v>763</v>
      </c>
    </row>
    <row r="28" spans="1:8" ht="18" x14ac:dyDescent="0.3">
      <c r="A28" s="132">
        <v>45986</v>
      </c>
      <c r="B28" s="133" t="s">
        <v>71</v>
      </c>
      <c r="C28" s="134" t="s">
        <v>778</v>
      </c>
      <c r="D28" s="133" t="s">
        <v>752</v>
      </c>
      <c r="E28" s="135">
        <v>1.7152777777777779</v>
      </c>
      <c r="F28" s="133" t="s">
        <v>81</v>
      </c>
      <c r="G28" s="237">
        <v>1</v>
      </c>
      <c r="H28" s="133" t="s">
        <v>779</v>
      </c>
    </row>
    <row r="29" spans="1:8" ht="18" x14ac:dyDescent="0.3">
      <c r="A29" s="187">
        <v>45987</v>
      </c>
      <c r="B29" s="137" t="s">
        <v>71</v>
      </c>
      <c r="C29" s="138" t="s">
        <v>919</v>
      </c>
      <c r="D29" s="137" t="s">
        <v>902</v>
      </c>
      <c r="E29" s="139">
        <v>1.40625</v>
      </c>
      <c r="F29" s="137" t="s">
        <v>81</v>
      </c>
      <c r="G29" s="140">
        <v>9</v>
      </c>
      <c r="H29" s="188" t="s">
        <v>920</v>
      </c>
    </row>
    <row r="30" spans="1:8" ht="18" x14ac:dyDescent="0.3">
      <c r="A30" s="126">
        <v>45987</v>
      </c>
      <c r="B30" s="116" t="s">
        <v>63</v>
      </c>
      <c r="C30" s="117" t="s">
        <v>924</v>
      </c>
      <c r="D30" s="116" t="s">
        <v>902</v>
      </c>
      <c r="E30" s="118">
        <v>1.40625</v>
      </c>
      <c r="F30" s="116" t="s">
        <v>48</v>
      </c>
      <c r="G30" s="119">
        <v>4</v>
      </c>
      <c r="H30" s="116" t="s">
        <v>925</v>
      </c>
    </row>
    <row r="31" spans="1:8" ht="15.6" x14ac:dyDescent="0.3">
      <c r="A31" s="185"/>
      <c r="B31" s="185"/>
      <c r="C31" s="185"/>
      <c r="D31" s="185"/>
      <c r="E31" s="186" t="s">
        <v>950</v>
      </c>
      <c r="F31" s="185"/>
      <c r="G31" s="185"/>
      <c r="H31" s="3"/>
    </row>
    <row r="32" spans="1:8" ht="18" x14ac:dyDescent="0.3">
      <c r="A32" s="126">
        <v>45987</v>
      </c>
      <c r="B32" s="116" t="s">
        <v>25</v>
      </c>
      <c r="C32" s="117" t="s">
        <v>756</v>
      </c>
      <c r="D32" s="116" t="s">
        <v>752</v>
      </c>
      <c r="E32" s="118">
        <v>1.6284722222222221</v>
      </c>
      <c r="F32" s="116" t="s">
        <v>27</v>
      </c>
      <c r="G32" s="119">
        <v>3</v>
      </c>
      <c r="H32" s="116" t="s">
        <v>808</v>
      </c>
    </row>
    <row r="33" spans="1:8" ht="18" x14ac:dyDescent="0.3">
      <c r="A33" s="127">
        <v>45987</v>
      </c>
      <c r="B33" s="128" t="s">
        <v>25</v>
      </c>
      <c r="C33" s="129" t="s">
        <v>757</v>
      </c>
      <c r="D33" s="128" t="s">
        <v>752</v>
      </c>
      <c r="E33" s="130">
        <v>1.8888888888888891</v>
      </c>
      <c r="F33" s="128" t="s">
        <v>97</v>
      </c>
      <c r="G33" s="131">
        <v>2</v>
      </c>
      <c r="H33" s="128" t="s">
        <v>808</v>
      </c>
    </row>
    <row r="34" spans="1:8" ht="18" x14ac:dyDescent="0.3">
      <c r="A34" s="121">
        <v>45987</v>
      </c>
      <c r="B34" s="122" t="s">
        <v>25</v>
      </c>
      <c r="C34" s="123" t="s">
        <v>757</v>
      </c>
      <c r="D34" s="122" t="s">
        <v>752</v>
      </c>
      <c r="E34" s="124">
        <v>1.8888888888888891</v>
      </c>
      <c r="F34" s="122" t="s">
        <v>27</v>
      </c>
      <c r="G34" s="125">
        <v>2</v>
      </c>
      <c r="H34" s="122" t="s">
        <v>808</v>
      </c>
    </row>
    <row r="35" spans="1:8" ht="18" x14ac:dyDescent="0.3">
      <c r="A35" s="127">
        <v>45987</v>
      </c>
      <c r="B35" s="128" t="s">
        <v>25</v>
      </c>
      <c r="C35" s="129" t="s">
        <v>759</v>
      </c>
      <c r="D35" s="128" t="s">
        <v>752</v>
      </c>
      <c r="E35" s="130">
        <v>1.944444444444444</v>
      </c>
      <c r="F35" s="128" t="s">
        <v>27</v>
      </c>
      <c r="G35" s="131">
        <v>5</v>
      </c>
      <c r="H35" s="128" t="s">
        <v>808</v>
      </c>
    </row>
    <row r="36" spans="1:8" ht="18" x14ac:dyDescent="0.3">
      <c r="A36" s="127">
        <v>45987</v>
      </c>
      <c r="B36" s="128" t="s">
        <v>25</v>
      </c>
      <c r="C36" s="129" t="s">
        <v>753</v>
      </c>
      <c r="D36" s="128" t="s">
        <v>752</v>
      </c>
      <c r="E36" s="130">
        <v>1.5763888888888891</v>
      </c>
      <c r="F36" s="128" t="s">
        <v>27</v>
      </c>
      <c r="G36" s="131">
        <v>2</v>
      </c>
      <c r="H36" s="128" t="s">
        <v>797</v>
      </c>
    </row>
    <row r="37" spans="1:8" ht="18" x14ac:dyDescent="0.3">
      <c r="A37" s="126">
        <v>45987</v>
      </c>
      <c r="B37" s="116" t="s">
        <v>54</v>
      </c>
      <c r="C37" s="117" t="s">
        <v>762</v>
      </c>
      <c r="D37" s="116" t="s">
        <v>752</v>
      </c>
      <c r="E37" s="118">
        <v>1.4375</v>
      </c>
      <c r="F37" s="116" t="s">
        <v>56</v>
      </c>
      <c r="G37" s="119">
        <v>1</v>
      </c>
      <c r="H37" s="116" t="s">
        <v>763</v>
      </c>
    </row>
    <row r="38" spans="1:8" ht="18" x14ac:dyDescent="0.3">
      <c r="A38" s="127">
        <v>45987</v>
      </c>
      <c r="B38" s="128" t="s">
        <v>54</v>
      </c>
      <c r="C38" s="129" t="s">
        <v>765</v>
      </c>
      <c r="D38" s="128" t="s">
        <v>752</v>
      </c>
      <c r="E38" s="130">
        <v>1.631944444444444</v>
      </c>
      <c r="F38" s="128" t="s">
        <v>56</v>
      </c>
      <c r="G38" s="131">
        <v>7</v>
      </c>
      <c r="H38" s="128" t="s">
        <v>763</v>
      </c>
    </row>
    <row r="39" spans="1:8" ht="18" x14ac:dyDescent="0.3">
      <c r="A39" s="127">
        <v>45987</v>
      </c>
      <c r="B39" s="128" t="s">
        <v>54</v>
      </c>
      <c r="C39" s="129" t="s">
        <v>766</v>
      </c>
      <c r="D39" s="128" t="s">
        <v>752</v>
      </c>
      <c r="E39" s="130">
        <v>1.5590277777777779</v>
      </c>
      <c r="F39" s="128" t="s">
        <v>56</v>
      </c>
      <c r="G39" s="131">
        <v>5</v>
      </c>
      <c r="H39" s="128" t="s">
        <v>763</v>
      </c>
    </row>
    <row r="40" spans="1:8" ht="18" x14ac:dyDescent="0.3">
      <c r="A40" s="127">
        <v>45987</v>
      </c>
      <c r="B40" s="128" t="s">
        <v>54</v>
      </c>
      <c r="C40" s="129" t="s">
        <v>760</v>
      </c>
      <c r="D40" s="128" t="s">
        <v>752</v>
      </c>
      <c r="E40" s="130">
        <v>1.506944444444444</v>
      </c>
      <c r="F40" s="128" t="s">
        <v>56</v>
      </c>
      <c r="G40" s="131">
        <v>9</v>
      </c>
      <c r="H40" s="128" t="s">
        <v>763</v>
      </c>
    </row>
    <row r="41" spans="1:8" ht="18" x14ac:dyDescent="0.3">
      <c r="A41" s="132">
        <v>45987</v>
      </c>
      <c r="B41" s="133" t="s">
        <v>71</v>
      </c>
      <c r="C41" s="134" t="s">
        <v>810</v>
      </c>
      <c r="D41" s="133" t="s">
        <v>752</v>
      </c>
      <c r="E41" s="135">
        <v>1.413194444444444</v>
      </c>
      <c r="F41" s="133" t="s">
        <v>81</v>
      </c>
      <c r="G41" s="237">
        <v>1</v>
      </c>
      <c r="H41" s="133" t="s">
        <v>779</v>
      </c>
    </row>
    <row r="42" spans="1:8" ht="18" x14ac:dyDescent="0.3">
      <c r="A42" s="115">
        <v>45988</v>
      </c>
      <c r="B42" s="116" t="s">
        <v>54</v>
      </c>
      <c r="C42" s="117" t="s">
        <v>903</v>
      </c>
      <c r="D42" s="116" t="s">
        <v>902</v>
      </c>
      <c r="E42" s="118">
        <v>1.3611111111111109</v>
      </c>
      <c r="F42" s="116" t="s">
        <v>904</v>
      </c>
      <c r="G42" s="119">
        <v>3</v>
      </c>
      <c r="H42" s="120" t="s">
        <v>905</v>
      </c>
    </row>
    <row r="43" spans="1:8" ht="18" x14ac:dyDescent="0.3">
      <c r="A43" s="121">
        <v>45988</v>
      </c>
      <c r="B43" s="122" t="s">
        <v>54</v>
      </c>
      <c r="C43" s="123" t="s">
        <v>903</v>
      </c>
      <c r="D43" s="122" t="s">
        <v>902</v>
      </c>
      <c r="E43" s="124">
        <v>1.3611111111111109</v>
      </c>
      <c r="F43" s="122" t="s">
        <v>58</v>
      </c>
      <c r="G43" s="125">
        <v>3</v>
      </c>
      <c r="H43" s="122" t="s">
        <v>906</v>
      </c>
    </row>
    <row r="44" spans="1:8" ht="18" x14ac:dyDescent="0.3">
      <c r="A44" s="121">
        <v>45988</v>
      </c>
      <c r="B44" s="122" t="s">
        <v>54</v>
      </c>
      <c r="C44" s="123" t="s">
        <v>903</v>
      </c>
      <c r="D44" s="122" t="s">
        <v>902</v>
      </c>
      <c r="E44" s="124">
        <v>1.3611111111111109</v>
      </c>
      <c r="F44" s="122" t="s">
        <v>60</v>
      </c>
      <c r="G44" s="125">
        <v>3</v>
      </c>
      <c r="H44" s="122" t="s">
        <v>907</v>
      </c>
    </row>
    <row r="45" spans="1:8" ht="15.6" x14ac:dyDescent="0.3">
      <c r="A45" s="185"/>
      <c r="B45" s="185"/>
      <c r="C45" s="185"/>
      <c r="D45" s="185"/>
      <c r="E45" s="186" t="s">
        <v>950</v>
      </c>
      <c r="F45" s="185"/>
      <c r="G45" s="185"/>
      <c r="H45" s="3"/>
    </row>
    <row r="46" spans="1:8" ht="18" x14ac:dyDescent="0.3">
      <c r="A46" s="126">
        <v>45988</v>
      </c>
      <c r="B46" s="116" t="s">
        <v>54</v>
      </c>
      <c r="C46" s="117" t="s">
        <v>762</v>
      </c>
      <c r="D46" s="116" t="s">
        <v>752</v>
      </c>
      <c r="E46" s="118">
        <v>1.4375</v>
      </c>
      <c r="F46" s="116" t="s">
        <v>56</v>
      </c>
      <c r="G46" s="119">
        <v>1</v>
      </c>
      <c r="H46" s="116" t="s">
        <v>769</v>
      </c>
    </row>
    <row r="47" spans="1:8" ht="18" x14ac:dyDescent="0.3">
      <c r="A47" s="127">
        <v>45988</v>
      </c>
      <c r="B47" s="128" t="s">
        <v>54</v>
      </c>
      <c r="C47" s="129" t="s">
        <v>766</v>
      </c>
      <c r="D47" s="128" t="s">
        <v>752</v>
      </c>
      <c r="E47" s="130">
        <v>1.5590277777777779</v>
      </c>
      <c r="F47" s="128" t="s">
        <v>56</v>
      </c>
      <c r="G47" s="131">
        <v>1</v>
      </c>
      <c r="H47" s="128" t="s">
        <v>769</v>
      </c>
    </row>
    <row r="48" spans="1:8" ht="18" x14ac:dyDescent="0.3">
      <c r="A48" s="127">
        <v>45988</v>
      </c>
      <c r="B48" s="128" t="s">
        <v>54</v>
      </c>
      <c r="C48" s="129" t="s">
        <v>765</v>
      </c>
      <c r="D48" s="128" t="s">
        <v>752</v>
      </c>
      <c r="E48" s="130">
        <v>1.631944444444444</v>
      </c>
      <c r="F48" s="128" t="s">
        <v>56</v>
      </c>
      <c r="G48" s="131">
        <v>9</v>
      </c>
      <c r="H48" s="128" t="s">
        <v>275</v>
      </c>
    </row>
    <row r="49" spans="1:8" ht="18" x14ac:dyDescent="0.3">
      <c r="A49" s="127">
        <v>45988</v>
      </c>
      <c r="B49" s="128" t="s">
        <v>54</v>
      </c>
      <c r="C49" s="129" t="s">
        <v>760</v>
      </c>
      <c r="D49" s="128" t="s">
        <v>752</v>
      </c>
      <c r="E49" s="130">
        <v>1.506944444444444</v>
      </c>
      <c r="F49" s="128" t="s">
        <v>56</v>
      </c>
      <c r="G49" s="131">
        <v>6</v>
      </c>
      <c r="H49" s="128" t="s">
        <v>275</v>
      </c>
    </row>
    <row r="50" spans="1:8" ht="18" x14ac:dyDescent="0.3">
      <c r="A50" s="127">
        <v>45988</v>
      </c>
      <c r="B50" s="128" t="s">
        <v>54</v>
      </c>
      <c r="C50" s="129" t="s">
        <v>767</v>
      </c>
      <c r="D50" s="128" t="s">
        <v>752</v>
      </c>
      <c r="E50" s="130">
        <v>1.697916666666667</v>
      </c>
      <c r="F50" s="128" t="s">
        <v>56</v>
      </c>
      <c r="G50" s="131">
        <v>2</v>
      </c>
      <c r="H50" s="128" t="s">
        <v>275</v>
      </c>
    </row>
    <row r="51" spans="1:8" ht="18" x14ac:dyDescent="0.3">
      <c r="A51" s="126">
        <v>45988</v>
      </c>
      <c r="B51" s="116" t="s">
        <v>25</v>
      </c>
      <c r="C51" s="117" t="s">
        <v>753</v>
      </c>
      <c r="D51" s="116" t="s">
        <v>752</v>
      </c>
      <c r="E51" s="118">
        <v>1.5763888888888891</v>
      </c>
      <c r="F51" s="116" t="s">
        <v>27</v>
      </c>
      <c r="G51" s="119">
        <v>4</v>
      </c>
      <c r="H51" s="116" t="s">
        <v>123</v>
      </c>
    </row>
    <row r="52" spans="1:8" ht="18" x14ac:dyDescent="0.3">
      <c r="A52" s="127">
        <v>45988</v>
      </c>
      <c r="B52" s="128" t="s">
        <v>25</v>
      </c>
      <c r="C52" s="129" t="s">
        <v>756</v>
      </c>
      <c r="D52" s="128" t="s">
        <v>752</v>
      </c>
      <c r="E52" s="130">
        <v>1.6284722222222221</v>
      </c>
      <c r="F52" s="128" t="s">
        <v>27</v>
      </c>
      <c r="G52" s="131">
        <v>4</v>
      </c>
      <c r="H52" s="128" t="s">
        <v>29</v>
      </c>
    </row>
    <row r="53" spans="1:8" ht="18" x14ac:dyDescent="0.3">
      <c r="A53" s="127">
        <v>45988</v>
      </c>
      <c r="B53" s="128" t="s">
        <v>25</v>
      </c>
      <c r="C53" s="129" t="s">
        <v>759</v>
      </c>
      <c r="D53" s="128" t="s">
        <v>752</v>
      </c>
      <c r="E53" s="130">
        <v>1.944444444444444</v>
      </c>
      <c r="F53" s="128" t="s">
        <v>27</v>
      </c>
      <c r="G53" s="131">
        <v>7</v>
      </c>
      <c r="H53" s="128" t="s">
        <v>29</v>
      </c>
    </row>
    <row r="54" spans="1:8" ht="18" x14ac:dyDescent="0.3">
      <c r="A54" s="126">
        <v>45988</v>
      </c>
      <c r="B54" s="116" t="s">
        <v>285</v>
      </c>
      <c r="C54" s="117" t="s">
        <v>824</v>
      </c>
      <c r="D54" s="116" t="s">
        <v>752</v>
      </c>
      <c r="E54" s="118">
        <v>1.1701388888888891</v>
      </c>
      <c r="F54" s="116" t="s">
        <v>81</v>
      </c>
      <c r="G54" s="119">
        <v>9</v>
      </c>
      <c r="H54" s="116" t="s">
        <v>825</v>
      </c>
    </row>
    <row r="55" spans="1:8" ht="18" x14ac:dyDescent="0.3">
      <c r="A55" s="132">
        <v>45988</v>
      </c>
      <c r="B55" s="133" t="s">
        <v>71</v>
      </c>
      <c r="C55" s="134" t="s">
        <v>810</v>
      </c>
      <c r="D55" s="133" t="s">
        <v>752</v>
      </c>
      <c r="E55" s="135">
        <v>1.413194444444444</v>
      </c>
      <c r="F55" s="133" t="s">
        <v>81</v>
      </c>
      <c r="G55" s="237">
        <v>9</v>
      </c>
      <c r="H55" s="133" t="s">
        <v>827</v>
      </c>
    </row>
    <row r="56" spans="1:8" ht="15.6" x14ac:dyDescent="0.3">
      <c r="A56" s="185"/>
      <c r="B56" s="185"/>
      <c r="C56" s="185"/>
      <c r="D56" s="185"/>
      <c r="E56" s="186" t="s">
        <v>950</v>
      </c>
      <c r="F56" s="185"/>
      <c r="G56" s="185"/>
      <c r="H56" s="3"/>
    </row>
    <row r="57" spans="1:8" ht="18" x14ac:dyDescent="0.3">
      <c r="A57" s="115">
        <v>45989</v>
      </c>
      <c r="B57" s="116" t="s">
        <v>360</v>
      </c>
      <c r="C57" s="117" t="s">
        <v>801</v>
      </c>
      <c r="D57" s="116" t="s">
        <v>752</v>
      </c>
      <c r="E57" s="118">
        <v>1.0902777777777779</v>
      </c>
      <c r="F57" s="116" t="s">
        <v>81</v>
      </c>
      <c r="G57" s="119">
        <v>4</v>
      </c>
      <c r="H57" s="120" t="s">
        <v>832</v>
      </c>
    </row>
    <row r="58" spans="1:8" ht="18" x14ac:dyDescent="0.3">
      <c r="A58" s="126">
        <v>45989</v>
      </c>
      <c r="B58" s="116" t="s">
        <v>25</v>
      </c>
      <c r="C58" s="117" t="s">
        <v>753</v>
      </c>
      <c r="D58" s="116" t="s">
        <v>752</v>
      </c>
      <c r="E58" s="118">
        <v>1.5763888888888891</v>
      </c>
      <c r="F58" s="116" t="s">
        <v>27</v>
      </c>
      <c r="G58" s="119">
        <v>1</v>
      </c>
      <c r="H58" s="116" t="s">
        <v>822</v>
      </c>
    </row>
    <row r="59" spans="1:8" ht="18" x14ac:dyDescent="0.3">
      <c r="A59" s="127">
        <v>45989</v>
      </c>
      <c r="B59" s="128" t="s">
        <v>25</v>
      </c>
      <c r="C59" s="129" t="s">
        <v>756</v>
      </c>
      <c r="D59" s="128" t="s">
        <v>752</v>
      </c>
      <c r="E59" s="130">
        <v>1.6284722222222221</v>
      </c>
      <c r="F59" s="128" t="s">
        <v>27</v>
      </c>
      <c r="G59" s="131">
        <v>1</v>
      </c>
      <c r="H59" s="128" t="s">
        <v>822</v>
      </c>
    </row>
    <row r="60" spans="1:8" ht="18" x14ac:dyDescent="0.3">
      <c r="A60" s="127">
        <v>45989</v>
      </c>
      <c r="B60" s="128" t="s">
        <v>25</v>
      </c>
      <c r="C60" s="129" t="s">
        <v>757</v>
      </c>
      <c r="D60" s="128" t="s">
        <v>752</v>
      </c>
      <c r="E60" s="130">
        <v>1.8888888888888891</v>
      </c>
      <c r="F60" s="128" t="s">
        <v>27</v>
      </c>
      <c r="G60" s="131">
        <v>2</v>
      </c>
      <c r="H60" s="128" t="s">
        <v>276</v>
      </c>
    </row>
    <row r="61" spans="1:8" ht="18" x14ac:dyDescent="0.3">
      <c r="A61" s="126">
        <v>45989</v>
      </c>
      <c r="B61" s="116" t="s">
        <v>285</v>
      </c>
      <c r="C61" s="117" t="s">
        <v>824</v>
      </c>
      <c r="D61" s="116" t="s">
        <v>752</v>
      </c>
      <c r="E61" s="118">
        <v>1.211805555555556</v>
      </c>
      <c r="F61" s="116" t="s">
        <v>81</v>
      </c>
      <c r="G61" s="119">
        <v>9</v>
      </c>
      <c r="H61" s="116" t="s">
        <v>837</v>
      </c>
    </row>
    <row r="62" spans="1:8" ht="18" x14ac:dyDescent="0.3">
      <c r="A62" s="126">
        <v>45989</v>
      </c>
      <c r="B62" s="116" t="s">
        <v>54</v>
      </c>
      <c r="C62" s="117" t="s">
        <v>762</v>
      </c>
      <c r="D62" s="116" t="s">
        <v>752</v>
      </c>
      <c r="E62" s="118">
        <v>1.4375</v>
      </c>
      <c r="F62" s="116" t="s">
        <v>56</v>
      </c>
      <c r="G62" s="119">
        <v>2</v>
      </c>
      <c r="H62" s="116" t="s">
        <v>771</v>
      </c>
    </row>
    <row r="63" spans="1:8" ht="18" x14ac:dyDescent="0.3">
      <c r="A63" s="127">
        <v>45989</v>
      </c>
      <c r="B63" s="128" t="s">
        <v>54</v>
      </c>
      <c r="C63" s="129" t="s">
        <v>760</v>
      </c>
      <c r="D63" s="128" t="s">
        <v>752</v>
      </c>
      <c r="E63" s="130">
        <v>1.506944444444444</v>
      </c>
      <c r="F63" s="128" t="s">
        <v>56</v>
      </c>
      <c r="G63" s="131">
        <v>1</v>
      </c>
      <c r="H63" s="128" t="s">
        <v>771</v>
      </c>
    </row>
    <row r="64" spans="1:8" ht="18" x14ac:dyDescent="0.3">
      <c r="A64" s="127">
        <v>45989</v>
      </c>
      <c r="B64" s="128" t="s">
        <v>54</v>
      </c>
      <c r="C64" s="129" t="s">
        <v>768</v>
      </c>
      <c r="D64" s="128" t="s">
        <v>752</v>
      </c>
      <c r="E64" s="130">
        <v>1.958333333333333</v>
      </c>
      <c r="F64" s="128" t="s">
        <v>56</v>
      </c>
      <c r="G64" s="131">
        <v>2</v>
      </c>
      <c r="H64" s="128" t="s">
        <v>335</v>
      </c>
    </row>
    <row r="65" spans="1:8" ht="18" x14ac:dyDescent="0.3">
      <c r="A65" s="127">
        <v>45989</v>
      </c>
      <c r="B65" s="128" t="s">
        <v>54</v>
      </c>
      <c r="C65" s="129" t="s">
        <v>765</v>
      </c>
      <c r="D65" s="128" t="s">
        <v>752</v>
      </c>
      <c r="E65" s="130">
        <v>1.631944444444444</v>
      </c>
      <c r="F65" s="128" t="s">
        <v>56</v>
      </c>
      <c r="G65" s="131">
        <v>5</v>
      </c>
      <c r="H65" s="128" t="s">
        <v>335</v>
      </c>
    </row>
    <row r="66" spans="1:8" ht="18" x14ac:dyDescent="0.3">
      <c r="A66" s="150">
        <v>45989</v>
      </c>
      <c r="B66" s="151" t="s">
        <v>54</v>
      </c>
      <c r="C66" s="152" t="s">
        <v>766</v>
      </c>
      <c r="D66" s="151" t="s">
        <v>752</v>
      </c>
      <c r="E66" s="153">
        <v>1.5590277777777779</v>
      </c>
      <c r="F66" s="151" t="s">
        <v>56</v>
      </c>
      <c r="G66" s="154">
        <v>9</v>
      </c>
      <c r="H66" s="151" t="s">
        <v>335</v>
      </c>
    </row>
    <row r="67" spans="1:8" ht="18" x14ac:dyDescent="0.3">
      <c r="A67" s="115">
        <v>45990</v>
      </c>
      <c r="B67" s="116" t="s">
        <v>54</v>
      </c>
      <c r="C67" s="117" t="s">
        <v>903</v>
      </c>
      <c r="D67" s="116" t="s">
        <v>902</v>
      </c>
      <c r="E67" s="118">
        <v>1.3611111111111109</v>
      </c>
      <c r="F67" s="116" t="s">
        <v>904</v>
      </c>
      <c r="G67" s="119">
        <v>6</v>
      </c>
      <c r="H67" s="120" t="s">
        <v>927</v>
      </c>
    </row>
    <row r="68" spans="1:8" ht="18" x14ac:dyDescent="0.3">
      <c r="A68" s="121">
        <v>45990</v>
      </c>
      <c r="B68" s="122" t="s">
        <v>54</v>
      </c>
      <c r="C68" s="123" t="s">
        <v>903</v>
      </c>
      <c r="D68" s="122" t="s">
        <v>902</v>
      </c>
      <c r="E68" s="124">
        <v>1.3611111111111109</v>
      </c>
      <c r="F68" s="122" t="s">
        <v>58</v>
      </c>
      <c r="G68" s="125">
        <v>6</v>
      </c>
      <c r="H68" s="122" t="s">
        <v>928</v>
      </c>
    </row>
    <row r="69" spans="1:8" ht="18" x14ac:dyDescent="0.3">
      <c r="A69" s="121">
        <v>45990</v>
      </c>
      <c r="B69" s="122" t="s">
        <v>54</v>
      </c>
      <c r="C69" s="123" t="s">
        <v>903</v>
      </c>
      <c r="D69" s="122" t="s">
        <v>902</v>
      </c>
      <c r="E69" s="124">
        <v>1.3611111111111109</v>
      </c>
      <c r="F69" s="122" t="s">
        <v>60</v>
      </c>
      <c r="G69" s="125">
        <v>6</v>
      </c>
      <c r="H69" s="122" t="s">
        <v>929</v>
      </c>
    </row>
    <row r="70" spans="1:8" ht="15.6" x14ac:dyDescent="0.3">
      <c r="A70" s="185"/>
      <c r="B70" s="185"/>
      <c r="C70" s="185"/>
      <c r="D70" s="185"/>
      <c r="E70" s="186" t="s">
        <v>950</v>
      </c>
      <c r="F70" s="185"/>
      <c r="G70" s="185"/>
      <c r="H70" s="3"/>
    </row>
    <row r="71" spans="1:8" ht="18" x14ac:dyDescent="0.3">
      <c r="A71" s="126">
        <v>45990</v>
      </c>
      <c r="B71" s="116" t="s">
        <v>285</v>
      </c>
      <c r="C71" s="117" t="s">
        <v>845</v>
      </c>
      <c r="D71" s="116" t="s">
        <v>752</v>
      </c>
      <c r="E71" s="118">
        <v>1.024305555555556</v>
      </c>
      <c r="F71" s="116" t="s">
        <v>81</v>
      </c>
      <c r="G71" s="119">
        <v>8</v>
      </c>
      <c r="H71" s="116" t="s">
        <v>837</v>
      </c>
    </row>
    <row r="72" spans="1:8" ht="18" x14ac:dyDescent="0.3">
      <c r="A72" s="127">
        <v>45990</v>
      </c>
      <c r="B72" s="128" t="s">
        <v>285</v>
      </c>
      <c r="C72" s="129" t="s">
        <v>824</v>
      </c>
      <c r="D72" s="128" t="s">
        <v>752</v>
      </c>
      <c r="E72" s="130">
        <v>1.1701388888888891</v>
      </c>
      <c r="F72" s="128" t="s">
        <v>81</v>
      </c>
      <c r="G72" s="131">
        <v>9</v>
      </c>
      <c r="H72" s="128" t="s">
        <v>846</v>
      </c>
    </row>
    <row r="73" spans="1:8" ht="18" x14ac:dyDescent="0.3">
      <c r="A73" s="127">
        <v>45990</v>
      </c>
      <c r="B73" s="128" t="s">
        <v>285</v>
      </c>
      <c r="C73" s="129" t="s">
        <v>847</v>
      </c>
      <c r="D73" s="128" t="s">
        <v>752</v>
      </c>
      <c r="E73" s="130">
        <v>1.538194444444444</v>
      </c>
      <c r="F73" s="128" t="s">
        <v>81</v>
      </c>
      <c r="G73" s="131">
        <v>9</v>
      </c>
      <c r="H73" s="128" t="s">
        <v>846</v>
      </c>
    </row>
    <row r="74" spans="1:8" ht="18" x14ac:dyDescent="0.3">
      <c r="A74" s="126">
        <v>45990</v>
      </c>
      <c r="B74" s="116" t="s">
        <v>360</v>
      </c>
      <c r="C74" s="117" t="s">
        <v>801</v>
      </c>
      <c r="D74" s="116" t="s">
        <v>752</v>
      </c>
      <c r="E74" s="118">
        <v>1.086805555555556</v>
      </c>
      <c r="F74" s="116" t="s">
        <v>81</v>
      </c>
      <c r="G74" s="119">
        <v>8</v>
      </c>
      <c r="H74" s="116" t="s">
        <v>848</v>
      </c>
    </row>
    <row r="75" spans="1:8" ht="18" x14ac:dyDescent="0.3">
      <c r="A75" s="127">
        <v>45990</v>
      </c>
      <c r="B75" s="128" t="s">
        <v>360</v>
      </c>
      <c r="C75" s="129" t="s">
        <v>831</v>
      </c>
      <c r="D75" s="128" t="s">
        <v>752</v>
      </c>
      <c r="E75" s="130">
        <v>1.6840277777777779</v>
      </c>
      <c r="F75" s="128" t="s">
        <v>81</v>
      </c>
      <c r="G75" s="131">
        <v>5</v>
      </c>
      <c r="H75" s="128" t="s">
        <v>849</v>
      </c>
    </row>
    <row r="76" spans="1:8" ht="18" x14ac:dyDescent="0.3">
      <c r="A76" s="126">
        <v>45990</v>
      </c>
      <c r="B76" s="116" t="s">
        <v>280</v>
      </c>
      <c r="C76" s="117" t="s">
        <v>775</v>
      </c>
      <c r="D76" s="116" t="s">
        <v>752</v>
      </c>
      <c r="E76" s="118">
        <v>1.4375</v>
      </c>
      <c r="F76" s="116" t="s">
        <v>282</v>
      </c>
      <c r="G76" s="119">
        <v>9</v>
      </c>
      <c r="H76" s="116" t="s">
        <v>850</v>
      </c>
    </row>
    <row r="77" spans="1:8" ht="18" x14ac:dyDescent="0.3">
      <c r="A77" s="126">
        <v>45990</v>
      </c>
      <c r="B77" s="116" t="s">
        <v>54</v>
      </c>
      <c r="C77" s="117" t="s">
        <v>762</v>
      </c>
      <c r="D77" s="116" t="s">
        <v>752</v>
      </c>
      <c r="E77" s="118">
        <v>1.4375</v>
      </c>
      <c r="F77" s="116" t="s">
        <v>56</v>
      </c>
      <c r="G77" s="119">
        <v>1</v>
      </c>
      <c r="H77" s="116" t="s">
        <v>119</v>
      </c>
    </row>
    <row r="78" spans="1:8" ht="18" x14ac:dyDescent="0.3">
      <c r="A78" s="126">
        <v>45990</v>
      </c>
      <c r="B78" s="116" t="s">
        <v>25</v>
      </c>
      <c r="C78" s="117" t="s">
        <v>753</v>
      </c>
      <c r="D78" s="116" t="s">
        <v>752</v>
      </c>
      <c r="E78" s="118">
        <v>1.5763888888888891</v>
      </c>
      <c r="F78" s="116" t="s">
        <v>27</v>
      </c>
      <c r="G78" s="119">
        <v>10</v>
      </c>
      <c r="H78" s="116" t="s">
        <v>857</v>
      </c>
    </row>
    <row r="79" spans="1:8" ht="18" x14ac:dyDescent="0.3">
      <c r="A79" s="127">
        <v>45990</v>
      </c>
      <c r="B79" s="128" t="s">
        <v>25</v>
      </c>
      <c r="C79" s="129" t="s">
        <v>756</v>
      </c>
      <c r="D79" s="128" t="s">
        <v>752</v>
      </c>
      <c r="E79" s="130">
        <v>1.6284722222222221</v>
      </c>
      <c r="F79" s="128" t="s">
        <v>27</v>
      </c>
      <c r="G79" s="131">
        <v>3</v>
      </c>
      <c r="H79" s="128" t="s">
        <v>857</v>
      </c>
    </row>
    <row r="80" spans="1:8" ht="18" x14ac:dyDescent="0.3">
      <c r="A80" s="150">
        <v>45990</v>
      </c>
      <c r="B80" s="151" t="s">
        <v>25</v>
      </c>
      <c r="C80" s="152" t="s">
        <v>757</v>
      </c>
      <c r="D80" s="151" t="s">
        <v>752</v>
      </c>
      <c r="E80" s="153">
        <v>1.8888888888888891</v>
      </c>
      <c r="F80" s="151" t="s">
        <v>27</v>
      </c>
      <c r="G80" s="154">
        <v>8</v>
      </c>
      <c r="H80" s="151" t="s">
        <v>857</v>
      </c>
    </row>
    <row r="81" spans="1:8" ht="18" x14ac:dyDescent="0.3">
      <c r="A81" s="187">
        <v>45991</v>
      </c>
      <c r="B81" s="137" t="s">
        <v>71</v>
      </c>
      <c r="C81" s="138" t="s">
        <v>908</v>
      </c>
      <c r="D81" s="137" t="s">
        <v>902</v>
      </c>
      <c r="E81" s="139">
        <v>1.427083333333333</v>
      </c>
      <c r="F81" s="137" t="s">
        <v>81</v>
      </c>
      <c r="G81" s="140">
        <v>4</v>
      </c>
      <c r="H81" s="188" t="s">
        <v>934</v>
      </c>
    </row>
    <row r="82" spans="1:8" ht="18" x14ac:dyDescent="0.3">
      <c r="A82" s="126">
        <v>45991</v>
      </c>
      <c r="B82" s="116" t="s">
        <v>63</v>
      </c>
      <c r="C82" s="117" t="s">
        <v>911</v>
      </c>
      <c r="D82" s="116" t="s">
        <v>902</v>
      </c>
      <c r="E82" s="118">
        <v>1.427083333333333</v>
      </c>
      <c r="F82" s="116" t="s">
        <v>48</v>
      </c>
      <c r="G82" s="119">
        <v>4</v>
      </c>
      <c r="H82" s="116" t="s">
        <v>937</v>
      </c>
    </row>
    <row r="83" spans="1:8" ht="15.6" x14ac:dyDescent="0.3">
      <c r="A83" s="185"/>
      <c r="B83" s="185"/>
      <c r="C83" s="185"/>
      <c r="D83" s="185"/>
      <c r="E83" s="186" t="s">
        <v>950</v>
      </c>
      <c r="F83" s="185"/>
      <c r="G83" s="185"/>
      <c r="H83" s="3"/>
    </row>
    <row r="84" spans="1:8" ht="18" x14ac:dyDescent="0.3">
      <c r="A84" s="136">
        <v>45991</v>
      </c>
      <c r="B84" s="137" t="s">
        <v>71</v>
      </c>
      <c r="C84" s="138" t="s">
        <v>810</v>
      </c>
      <c r="D84" s="137" t="s">
        <v>752</v>
      </c>
      <c r="E84" s="139">
        <v>1.427083333333333</v>
      </c>
      <c r="F84" s="137" t="s">
        <v>81</v>
      </c>
      <c r="G84" s="140">
        <v>2</v>
      </c>
      <c r="H84" s="137" t="s">
        <v>813</v>
      </c>
    </row>
    <row r="85" spans="1:8" ht="18" x14ac:dyDescent="0.3">
      <c r="A85" s="126">
        <v>45991</v>
      </c>
      <c r="B85" s="116" t="s">
        <v>25</v>
      </c>
      <c r="C85" s="117" t="s">
        <v>753</v>
      </c>
      <c r="D85" s="116" t="s">
        <v>752</v>
      </c>
      <c r="E85" s="118">
        <v>1.5763888888888891</v>
      </c>
      <c r="F85" s="116" t="s">
        <v>27</v>
      </c>
      <c r="G85" s="119">
        <v>4</v>
      </c>
      <c r="H85" s="116" t="s">
        <v>123</v>
      </c>
    </row>
    <row r="86" spans="1:8" ht="18" x14ac:dyDescent="0.3">
      <c r="A86" s="127">
        <v>45991</v>
      </c>
      <c r="B86" s="128" t="s">
        <v>25</v>
      </c>
      <c r="C86" s="129" t="s">
        <v>756</v>
      </c>
      <c r="D86" s="128" t="s">
        <v>752</v>
      </c>
      <c r="E86" s="130">
        <v>1.6284722222222221</v>
      </c>
      <c r="F86" s="128" t="s">
        <v>27</v>
      </c>
      <c r="G86" s="131">
        <v>9</v>
      </c>
      <c r="H86" s="128" t="s">
        <v>29</v>
      </c>
    </row>
    <row r="87" spans="1:8" ht="18" x14ac:dyDescent="0.3">
      <c r="A87" s="127">
        <v>45991</v>
      </c>
      <c r="B87" s="128" t="s">
        <v>25</v>
      </c>
      <c r="C87" s="129" t="s">
        <v>757</v>
      </c>
      <c r="D87" s="128" t="s">
        <v>752</v>
      </c>
      <c r="E87" s="130">
        <v>1.8888888888888891</v>
      </c>
      <c r="F87" s="128" t="s">
        <v>27</v>
      </c>
      <c r="G87" s="131">
        <v>9</v>
      </c>
      <c r="H87" s="128" t="s">
        <v>29</v>
      </c>
    </row>
    <row r="88" spans="1:8" ht="18" x14ac:dyDescent="0.3">
      <c r="A88" s="127">
        <v>45991</v>
      </c>
      <c r="B88" s="128" t="s">
        <v>25</v>
      </c>
      <c r="C88" s="129" t="s">
        <v>759</v>
      </c>
      <c r="D88" s="128" t="s">
        <v>752</v>
      </c>
      <c r="E88" s="130">
        <v>1.944444444444444</v>
      </c>
      <c r="F88" s="128" t="s">
        <v>27</v>
      </c>
      <c r="G88" s="131">
        <v>6</v>
      </c>
      <c r="H88" s="128" t="s">
        <v>29</v>
      </c>
    </row>
    <row r="89" spans="1:8" ht="18" x14ac:dyDescent="0.3">
      <c r="A89" s="126">
        <v>45991</v>
      </c>
      <c r="B89" s="116" t="s">
        <v>360</v>
      </c>
      <c r="C89" s="117" t="s">
        <v>865</v>
      </c>
      <c r="D89" s="116" t="s">
        <v>752</v>
      </c>
      <c r="E89" s="118">
        <v>1.399305555555556</v>
      </c>
      <c r="F89" s="116" t="s">
        <v>81</v>
      </c>
      <c r="G89" s="119">
        <v>9</v>
      </c>
      <c r="H89" s="116" t="s">
        <v>866</v>
      </c>
    </row>
    <row r="90" spans="1:8" ht="18" x14ac:dyDescent="0.3">
      <c r="A90" s="126">
        <v>45991</v>
      </c>
      <c r="B90" s="116" t="s">
        <v>54</v>
      </c>
      <c r="C90" s="117" t="s">
        <v>762</v>
      </c>
      <c r="D90" s="116" t="s">
        <v>752</v>
      </c>
      <c r="E90" s="118">
        <v>1.4375</v>
      </c>
      <c r="F90" s="116" t="s">
        <v>56</v>
      </c>
      <c r="G90" s="119">
        <v>2</v>
      </c>
      <c r="H90" s="116" t="s">
        <v>867</v>
      </c>
    </row>
    <row r="91" spans="1:8" ht="18" x14ac:dyDescent="0.3">
      <c r="A91" s="127">
        <v>45991</v>
      </c>
      <c r="B91" s="128" t="s">
        <v>54</v>
      </c>
      <c r="C91" s="129" t="s">
        <v>765</v>
      </c>
      <c r="D91" s="128" t="s">
        <v>752</v>
      </c>
      <c r="E91" s="130">
        <v>1.631944444444444</v>
      </c>
      <c r="F91" s="128" t="s">
        <v>56</v>
      </c>
      <c r="G91" s="131">
        <v>9</v>
      </c>
      <c r="H91" s="128" t="s">
        <v>867</v>
      </c>
    </row>
    <row r="92" spans="1:8" ht="18" x14ac:dyDescent="0.3">
      <c r="A92" s="127">
        <v>45991</v>
      </c>
      <c r="B92" s="128" t="s">
        <v>54</v>
      </c>
      <c r="C92" s="129" t="s">
        <v>766</v>
      </c>
      <c r="D92" s="128" t="s">
        <v>752</v>
      </c>
      <c r="E92" s="130">
        <v>1.5590277777777779</v>
      </c>
      <c r="F92" s="128" t="s">
        <v>56</v>
      </c>
      <c r="G92" s="131">
        <v>9</v>
      </c>
      <c r="H92" s="128" t="s">
        <v>867</v>
      </c>
    </row>
    <row r="93" spans="1:8" ht="18" x14ac:dyDescent="0.3">
      <c r="A93" s="150">
        <v>45991</v>
      </c>
      <c r="B93" s="151" t="s">
        <v>54</v>
      </c>
      <c r="C93" s="152" t="s">
        <v>760</v>
      </c>
      <c r="D93" s="151" t="s">
        <v>752</v>
      </c>
      <c r="E93" s="153">
        <v>1.506944444444444</v>
      </c>
      <c r="F93" s="151" t="s">
        <v>56</v>
      </c>
      <c r="G93" s="154">
        <v>7</v>
      </c>
      <c r="H93" s="151" t="s">
        <v>867</v>
      </c>
    </row>
  </sheetData>
  <dataValidations count="5">
    <dataValidation type="custom" allowBlank="1" showInputMessage="1" promptTitle="LOAD FACTOR ANALYSIS" prompt="SM-463_x000d__x000a_LF 70.4%_x000d__x000a_SOLD 126_x000d__x000a_LST-SOLD 23NOV_x000d__x000a_WEEKLY 43_x000d__x000a_TO-DAY 1_x000d__x000a_Y-DAY 4_x000d__x000a_LOWEST AVAIL Q9_x000d__x000a_CAPACITY 179_x000d__x000a_CLASSES Q1 &amp; K20 &amp; V20 &amp; +8 more" sqref="A16 B16 C16 D16 E16 F16 G16 H16" xr:uid="{00000000-0002-0000-2400-000000000000}">
      <formula1>TRUE</formula1>
    </dataValidation>
    <dataValidation type="custom" allowBlank="1" showInputMessage="1" promptTitle="LOAD FACTOR ANALYSIS" prompt="SM-469_x000d__x000a_LF -_x000d__x000a_SOLD -_x000d__x000a_LST-SOLD -_x000d__x000a_WEEKLY -_x000d__x000a_TO-DAY -_x000d__x000a_Y-DAY -_x000d__x000a_LOWEST AVAIL -_x000d__x000a_CAPACITY -_x000d__x000a_CLASSES -" sqref="A28 B28 C28 D28 E28 F28 G28 H28" xr:uid="{00000000-0002-0000-2400-000001000000}">
      <formula1>TRUE</formula1>
    </dataValidation>
    <dataValidation type="custom" allowBlank="1" showInputMessage="1" promptTitle="LOAD FACTOR ANALYSIS" prompt="SM-465_x000d__x000a_LF 81.0%_x000d__x000a_SOLD 145_x000d__x000a_LST-SOLD 22NOV_x000d__x000a_WEEKLY 11_x000d__x000a_TO-DAY NIL_x000d__x000a_Y-DAY 3_x000d__x000a_LOWEST AVAIL H9_x000d__x000a_CAPACITY 179_x000d__x000a_CLASSES Y1 &amp; H4 &amp; V2 &amp; +8 more" sqref="A29 B29 C29 D29 E29 F29 G29 H29" xr:uid="{00000000-0002-0000-2400-000002000000}">
      <formula1>TRUE</formula1>
    </dataValidation>
    <dataValidation type="custom" allowBlank="1" showInputMessage="1" promptTitle="LOAD FACTOR ANALYSIS" prompt="SM-461_x000d__x000a_LF -_x000d__x000a_SOLD -_x000d__x000a_LST-SOLD -_x000d__x000a_WEEKLY -_x000d__x000a_TO-DAY -_x000d__x000a_Y-DAY -_x000d__x000a_LOWEST AVAIL -_x000d__x000a_CAPACITY -_x000d__x000a_CLASSES -" sqref="A41 A55 A84 B41 B55 B84 C41 C55 C84 D41 D55 D84 E41 E55 E84 F41 F55 F84 G41 G55 G84 H41 H55 H84" xr:uid="{00000000-0002-0000-2400-000003000000}">
      <formula1>TRUE</formula1>
    </dataValidation>
    <dataValidation type="custom" allowBlank="1" showInputMessage="1" promptTitle="LOAD FACTOR ANALYSIS" prompt="SM-463_x000d__x000a_LF 57.5%_x000d__x000a_SOLD 103_x000d__x000a_LST-SOLD 22NOV_x000d__x000a_WEEKLY 19_x000d__x000a_TO-DAY NIL_x000d__x000a_Y-DAY 2_x000d__x000a_LOWEST AVAIL K4_x000d__x000a_CAPACITY 179_x000d__x000a_CLASSES H1 &amp; Q18 &amp; K15 &amp; +9 more" sqref="A81 B81 C81 D81 E81 F81 G81 H81" xr:uid="{00000000-0002-0000-2400-00000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N1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6.332031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951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45984.358582645669</v>
      </c>
      <c r="H2" s="287"/>
      <c r="I2" s="287"/>
      <c r="J2" s="287"/>
      <c r="K2" s="292">
        <v>45984.358582646237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952</v>
      </c>
      <c r="C6" s="9">
        <v>0.44791666666666669</v>
      </c>
      <c r="D6" s="8" t="s">
        <v>27</v>
      </c>
      <c r="E6" s="8" t="s">
        <v>104</v>
      </c>
      <c r="F6" s="8" t="s">
        <v>29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952</v>
      </c>
      <c r="C7" s="16">
        <v>0.44791666666666669</v>
      </c>
      <c r="D7" s="15" t="s">
        <v>30</v>
      </c>
      <c r="E7" s="15" t="s">
        <v>109</v>
      </c>
      <c r="F7" s="15" t="s">
        <v>32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952</v>
      </c>
      <c r="C8" s="16">
        <v>0.44791666666666669</v>
      </c>
      <c r="D8" s="15" t="s">
        <v>33</v>
      </c>
      <c r="E8" s="15" t="s">
        <v>109</v>
      </c>
      <c r="F8" s="15" t="s">
        <v>279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54</v>
      </c>
      <c r="B9" s="17" t="s">
        <v>953</v>
      </c>
      <c r="C9" s="18">
        <v>0.33680555555555558</v>
      </c>
      <c r="D9" s="17" t="s">
        <v>56</v>
      </c>
      <c r="E9" s="17" t="s">
        <v>82</v>
      </c>
      <c r="F9" s="17" t="s">
        <v>771</v>
      </c>
      <c r="G9" s="277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54</v>
      </c>
      <c r="B10" s="15" t="s">
        <v>953</v>
      </c>
      <c r="C10" s="16">
        <v>0.33680555555555558</v>
      </c>
      <c r="D10" s="15" t="s">
        <v>58</v>
      </c>
      <c r="E10" s="15" t="s">
        <v>92</v>
      </c>
      <c r="F10" s="15" t="s">
        <v>823</v>
      </c>
      <c r="G10" s="277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54</v>
      </c>
      <c r="B11" s="15" t="s">
        <v>953</v>
      </c>
      <c r="C11" s="16">
        <v>0.33680555555555558</v>
      </c>
      <c r="D11" s="15" t="s">
        <v>60</v>
      </c>
      <c r="E11" s="15" t="s">
        <v>92</v>
      </c>
      <c r="F11" s="15" t="s">
        <v>114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54</v>
      </c>
      <c r="B12" s="19" t="s">
        <v>954</v>
      </c>
      <c r="C12" s="20">
        <v>0.97222222222222221</v>
      </c>
      <c r="D12" s="19" t="s">
        <v>56</v>
      </c>
      <c r="E12" s="19" t="s">
        <v>89</v>
      </c>
      <c r="F12" s="19" t="s">
        <v>771</v>
      </c>
      <c r="G12" s="277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54</v>
      </c>
      <c r="B13" s="15" t="s">
        <v>954</v>
      </c>
      <c r="C13" s="16">
        <v>0.97222222222222221</v>
      </c>
      <c r="D13" s="15" t="s">
        <v>58</v>
      </c>
      <c r="E13" s="15" t="s">
        <v>109</v>
      </c>
      <c r="F13" s="15" t="s">
        <v>823</v>
      </c>
      <c r="G13" s="277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54</v>
      </c>
      <c r="B14" s="15" t="s">
        <v>954</v>
      </c>
      <c r="C14" s="16">
        <v>0.97222222222222221</v>
      </c>
      <c r="D14" s="15" t="s">
        <v>60</v>
      </c>
      <c r="E14" s="15" t="s">
        <v>109</v>
      </c>
      <c r="F14" s="15" t="s">
        <v>114</v>
      </c>
      <c r="G14" s="277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7" t="s">
        <v>285</v>
      </c>
      <c r="B15" s="17" t="s">
        <v>955</v>
      </c>
      <c r="C15" s="18">
        <v>0.75694444444444453</v>
      </c>
      <c r="D15" s="17" t="s">
        <v>81</v>
      </c>
      <c r="E15" s="17" t="s">
        <v>38</v>
      </c>
      <c r="F15" s="17" t="s">
        <v>956</v>
      </c>
      <c r="G15" s="277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7" t="s">
        <v>63</v>
      </c>
      <c r="B16" s="17" t="s">
        <v>957</v>
      </c>
      <c r="C16" s="18">
        <v>0.97916666666666663</v>
      </c>
      <c r="D16" s="17" t="s">
        <v>48</v>
      </c>
      <c r="E16" s="17" t="s">
        <v>38</v>
      </c>
      <c r="F16" s="17" t="s">
        <v>958</v>
      </c>
      <c r="G16" s="277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63</v>
      </c>
      <c r="B17" s="19" t="s">
        <v>959</v>
      </c>
      <c r="C17" s="20">
        <v>0.3263888888888889</v>
      </c>
      <c r="D17" s="19" t="s">
        <v>48</v>
      </c>
      <c r="E17" s="19" t="s">
        <v>121</v>
      </c>
      <c r="F17" s="19" t="s">
        <v>960</v>
      </c>
      <c r="G17" s="277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63</v>
      </c>
      <c r="B18" s="19" t="s">
        <v>961</v>
      </c>
      <c r="C18" s="20">
        <v>0.69444444444444453</v>
      </c>
      <c r="D18" s="19" t="s">
        <v>48</v>
      </c>
      <c r="E18" s="19" t="s">
        <v>45</v>
      </c>
      <c r="F18" s="19" t="s">
        <v>960</v>
      </c>
      <c r="G18" s="277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251" t="s">
        <v>35</v>
      </c>
      <c r="B19" s="251" t="s">
        <v>962</v>
      </c>
      <c r="C19" s="252">
        <v>0.44791666666666669</v>
      </c>
      <c r="D19" s="251" t="s">
        <v>42</v>
      </c>
      <c r="E19" s="251" t="s">
        <v>57</v>
      </c>
      <c r="F19" s="251" t="s">
        <v>836</v>
      </c>
      <c r="G19" s="278"/>
      <c r="H19" s="58"/>
      <c r="I19" s="59"/>
      <c r="J19" s="59"/>
      <c r="K19" s="59"/>
      <c r="L19" s="59"/>
      <c r="M19" s="59"/>
      <c r="N19" s="59"/>
      <c r="O19" s="60"/>
      <c r="P19" s="59"/>
      <c r="Q19" s="61"/>
      <c r="R19" s="62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82"/>
      <c r="B20" s="283"/>
      <c r="C20" s="283"/>
      <c r="D20" s="283"/>
      <c r="E20" s="283"/>
      <c r="F20" s="283"/>
      <c r="G20" s="280"/>
      <c r="H20" s="284"/>
      <c r="I20" s="284"/>
      <c r="J20" s="284"/>
      <c r="K20" s="284"/>
      <c r="L20" s="284"/>
      <c r="M20" s="284"/>
      <c r="N20" s="284"/>
      <c r="O20" s="285"/>
      <c r="P20" s="284"/>
      <c r="Q20" s="280"/>
      <c r="R20" s="28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2.05" customHeight="1" x14ac:dyDescent="0.3">
      <c r="A21" s="290" t="s">
        <v>5</v>
      </c>
      <c r="B21" s="291"/>
      <c r="C21" s="291"/>
      <c r="D21" s="291"/>
      <c r="E21" s="291"/>
      <c r="F21" s="291"/>
      <c r="G21" s="5">
        <v>45986</v>
      </c>
      <c r="H21" s="274" t="s">
        <v>6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4" customHeight="1" x14ac:dyDescent="0.3">
      <c r="A22" s="31" t="s">
        <v>7</v>
      </c>
      <c r="B22" s="31" t="s">
        <v>8</v>
      </c>
      <c r="C22" s="32" t="s">
        <v>9</v>
      </c>
      <c r="D22" s="31" t="s">
        <v>10</v>
      </c>
      <c r="E22" s="31" t="s">
        <v>11</v>
      </c>
      <c r="F22" s="31" t="s">
        <v>12</v>
      </c>
      <c r="G22" s="33" t="s">
        <v>13</v>
      </c>
      <c r="H22" s="31" t="s">
        <v>14</v>
      </c>
      <c r="I22" s="34" t="s">
        <v>15</v>
      </c>
      <c r="J22" s="35" t="s">
        <v>16</v>
      </c>
      <c r="K22" s="36" t="s">
        <v>17</v>
      </c>
      <c r="L22" s="35" t="s">
        <v>18</v>
      </c>
      <c r="M22" s="35" t="s">
        <v>19</v>
      </c>
      <c r="N22" s="35" t="s">
        <v>20</v>
      </c>
      <c r="O22" s="31" t="s">
        <v>21</v>
      </c>
      <c r="P22" s="32" t="s">
        <v>22</v>
      </c>
      <c r="Q22" s="35" t="s">
        <v>23</v>
      </c>
      <c r="R22" s="31" t="s">
        <v>24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8" t="s">
        <v>360</v>
      </c>
      <c r="B23" s="8" t="s">
        <v>963</v>
      </c>
      <c r="C23" s="9">
        <v>0.88194444444444453</v>
      </c>
      <c r="D23" s="8" t="s">
        <v>81</v>
      </c>
      <c r="E23" s="8" t="s">
        <v>104</v>
      </c>
      <c r="F23" s="8" t="s">
        <v>964</v>
      </c>
      <c r="G23" s="276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7" t="s">
        <v>25</v>
      </c>
      <c r="B24" s="17" t="s">
        <v>952</v>
      </c>
      <c r="C24" s="18">
        <v>0.44791666666666669</v>
      </c>
      <c r="D24" s="17" t="s">
        <v>27</v>
      </c>
      <c r="E24" s="17" t="s">
        <v>77</v>
      </c>
      <c r="F24" s="17" t="s">
        <v>822</v>
      </c>
      <c r="G24" s="277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25</v>
      </c>
      <c r="B25" s="15" t="s">
        <v>952</v>
      </c>
      <c r="C25" s="16">
        <v>0.44791666666666669</v>
      </c>
      <c r="D25" s="15" t="s">
        <v>30</v>
      </c>
      <c r="E25" s="15" t="s">
        <v>78</v>
      </c>
      <c r="F25" s="15" t="s">
        <v>823</v>
      </c>
      <c r="G25" s="277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25</v>
      </c>
      <c r="B26" s="15" t="s">
        <v>952</v>
      </c>
      <c r="C26" s="16">
        <v>0.44791666666666669</v>
      </c>
      <c r="D26" s="15" t="s">
        <v>33</v>
      </c>
      <c r="E26" s="15" t="s">
        <v>78</v>
      </c>
      <c r="F26" s="15" t="s">
        <v>416</v>
      </c>
      <c r="G26" s="277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82" t="s">
        <v>71</v>
      </c>
      <c r="B27" s="182" t="s">
        <v>965</v>
      </c>
      <c r="C27" s="183">
        <v>6.9444444444444434E-2</v>
      </c>
      <c r="D27" s="182" t="s">
        <v>81</v>
      </c>
      <c r="E27" s="182" t="s">
        <v>251</v>
      </c>
      <c r="F27" s="182" t="s">
        <v>966</v>
      </c>
      <c r="G27" s="277"/>
      <c r="H27" s="49" t="s">
        <v>967</v>
      </c>
      <c r="I27" s="239">
        <v>0.68889999999999996</v>
      </c>
      <c r="J27" s="51">
        <v>124</v>
      </c>
      <c r="K27" s="52">
        <v>45983</v>
      </c>
      <c r="L27" s="51">
        <v>79</v>
      </c>
      <c r="M27" s="51">
        <v>0</v>
      </c>
      <c r="N27" s="51">
        <v>13</v>
      </c>
      <c r="O27" s="53" t="s">
        <v>390</v>
      </c>
      <c r="P27" s="54">
        <v>6.9444444444444434E-2</v>
      </c>
      <c r="Q27" s="51">
        <v>180</v>
      </c>
      <c r="R27" s="55" t="s">
        <v>968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7" t="s">
        <v>54</v>
      </c>
      <c r="B28" s="17" t="s">
        <v>954</v>
      </c>
      <c r="C28" s="18">
        <v>0.97222222222222221</v>
      </c>
      <c r="D28" s="17" t="s">
        <v>56</v>
      </c>
      <c r="E28" s="17" t="s">
        <v>104</v>
      </c>
      <c r="F28" s="17" t="s">
        <v>771</v>
      </c>
      <c r="G28" s="277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54</v>
      </c>
      <c r="B29" s="15" t="s">
        <v>954</v>
      </c>
      <c r="C29" s="16">
        <v>0.97222222222222221</v>
      </c>
      <c r="D29" s="15" t="s">
        <v>58</v>
      </c>
      <c r="E29" s="15" t="s">
        <v>109</v>
      </c>
      <c r="F29" s="15" t="s">
        <v>823</v>
      </c>
      <c r="G29" s="277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5" t="s">
        <v>54</v>
      </c>
      <c r="B30" s="15" t="s">
        <v>954</v>
      </c>
      <c r="C30" s="16">
        <v>0.97222222222222221</v>
      </c>
      <c r="D30" s="15" t="s">
        <v>60</v>
      </c>
      <c r="E30" s="15" t="s">
        <v>109</v>
      </c>
      <c r="F30" s="15" t="s">
        <v>114</v>
      </c>
      <c r="G30" s="277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54</v>
      </c>
      <c r="B31" s="19" t="s">
        <v>953</v>
      </c>
      <c r="C31" s="20">
        <v>0.33680555555555558</v>
      </c>
      <c r="D31" s="19" t="s">
        <v>969</v>
      </c>
      <c r="E31" s="19" t="s">
        <v>91</v>
      </c>
      <c r="F31" s="19" t="s">
        <v>632</v>
      </c>
      <c r="G31" s="277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7" t="s">
        <v>285</v>
      </c>
      <c r="B32" s="17" t="s">
        <v>970</v>
      </c>
      <c r="C32" s="18">
        <v>0.75694444444444453</v>
      </c>
      <c r="D32" s="17" t="s">
        <v>81</v>
      </c>
      <c r="E32" s="17" t="s">
        <v>38</v>
      </c>
      <c r="F32" s="17" t="s">
        <v>593</v>
      </c>
      <c r="G32" s="277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7" t="s">
        <v>63</v>
      </c>
      <c r="B33" s="17" t="s">
        <v>959</v>
      </c>
      <c r="C33" s="18">
        <v>0.33680555555555558</v>
      </c>
      <c r="D33" s="17" t="s">
        <v>48</v>
      </c>
      <c r="E33" s="17" t="s">
        <v>402</v>
      </c>
      <c r="F33" s="17" t="s">
        <v>960</v>
      </c>
      <c r="G33" s="277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63</v>
      </c>
      <c r="B34" s="19" t="s">
        <v>957</v>
      </c>
      <c r="C34" s="20">
        <v>0.97916666666666663</v>
      </c>
      <c r="D34" s="19" t="s">
        <v>48</v>
      </c>
      <c r="E34" s="19" t="s">
        <v>121</v>
      </c>
      <c r="F34" s="19" t="s">
        <v>971</v>
      </c>
      <c r="G34" s="277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63</v>
      </c>
      <c r="B35" s="19" t="s">
        <v>961</v>
      </c>
      <c r="C35" s="20">
        <v>0.67361111111111116</v>
      </c>
      <c r="D35" s="19" t="s">
        <v>48</v>
      </c>
      <c r="E35" s="19" t="s">
        <v>289</v>
      </c>
      <c r="F35" s="19" t="s">
        <v>972</v>
      </c>
      <c r="G35" s="277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251" t="s">
        <v>35</v>
      </c>
      <c r="B36" s="251" t="s">
        <v>962</v>
      </c>
      <c r="C36" s="252">
        <v>0.44791666666666669</v>
      </c>
      <c r="D36" s="251" t="s">
        <v>42</v>
      </c>
      <c r="E36" s="251" t="s">
        <v>57</v>
      </c>
      <c r="F36" s="251" t="s">
        <v>844</v>
      </c>
      <c r="G36" s="278"/>
      <c r="H36" s="58"/>
      <c r="I36" s="59"/>
      <c r="J36" s="59"/>
      <c r="K36" s="59"/>
      <c r="L36" s="59"/>
      <c r="M36" s="59"/>
      <c r="N36" s="59"/>
      <c r="O36" s="60"/>
      <c r="P36" s="59"/>
      <c r="Q36" s="61"/>
      <c r="R36" s="62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4.4" customHeight="1" x14ac:dyDescent="0.3">
      <c r="A37" s="282"/>
      <c r="B37" s="283"/>
      <c r="C37" s="283"/>
      <c r="D37" s="283"/>
      <c r="E37" s="283"/>
      <c r="F37" s="283"/>
      <c r="G37" s="280"/>
      <c r="H37" s="284"/>
      <c r="I37" s="284"/>
      <c r="J37" s="284"/>
      <c r="K37" s="284"/>
      <c r="L37" s="284"/>
      <c r="M37" s="284"/>
      <c r="N37" s="284"/>
      <c r="O37" s="285"/>
      <c r="P37" s="284"/>
      <c r="Q37" s="280"/>
      <c r="R37" s="281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22.05" customHeight="1" x14ac:dyDescent="0.3">
      <c r="A38" s="290" t="s">
        <v>5</v>
      </c>
      <c r="B38" s="291"/>
      <c r="C38" s="291"/>
      <c r="D38" s="291"/>
      <c r="E38" s="291"/>
      <c r="F38" s="291"/>
      <c r="G38" s="5">
        <v>45987</v>
      </c>
      <c r="H38" s="274" t="s">
        <v>6</v>
      </c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24" customHeight="1" x14ac:dyDescent="0.3">
      <c r="A39" s="31" t="s">
        <v>7</v>
      </c>
      <c r="B39" s="31" t="s">
        <v>8</v>
      </c>
      <c r="C39" s="32" t="s">
        <v>9</v>
      </c>
      <c r="D39" s="31" t="s">
        <v>10</v>
      </c>
      <c r="E39" s="31" t="s">
        <v>11</v>
      </c>
      <c r="F39" s="31" t="s">
        <v>12</v>
      </c>
      <c r="G39" s="33" t="s">
        <v>13</v>
      </c>
      <c r="H39" s="31" t="s">
        <v>14</v>
      </c>
      <c r="I39" s="34" t="s">
        <v>15</v>
      </c>
      <c r="J39" s="35" t="s">
        <v>16</v>
      </c>
      <c r="K39" s="36" t="s">
        <v>17</v>
      </c>
      <c r="L39" s="35" t="s">
        <v>18</v>
      </c>
      <c r="M39" s="35" t="s">
        <v>19</v>
      </c>
      <c r="N39" s="35" t="s">
        <v>20</v>
      </c>
      <c r="O39" s="31" t="s">
        <v>21</v>
      </c>
      <c r="P39" s="32" t="s">
        <v>22</v>
      </c>
      <c r="Q39" s="35" t="s">
        <v>23</v>
      </c>
      <c r="R39" s="31" t="s">
        <v>24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8" t="s">
        <v>25</v>
      </c>
      <c r="B40" s="8" t="s">
        <v>952</v>
      </c>
      <c r="C40" s="9">
        <v>0.44791666666666669</v>
      </c>
      <c r="D40" s="8" t="s">
        <v>27</v>
      </c>
      <c r="E40" s="8" t="s">
        <v>77</v>
      </c>
      <c r="F40" s="8" t="s">
        <v>822</v>
      </c>
      <c r="G40" s="276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25</v>
      </c>
      <c r="B41" s="15" t="s">
        <v>952</v>
      </c>
      <c r="C41" s="16">
        <v>0.44791666666666669</v>
      </c>
      <c r="D41" s="15" t="s">
        <v>30</v>
      </c>
      <c r="E41" s="15" t="s">
        <v>78</v>
      </c>
      <c r="F41" s="15" t="s">
        <v>823</v>
      </c>
      <c r="G41" s="277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25</v>
      </c>
      <c r="B42" s="15" t="s">
        <v>952</v>
      </c>
      <c r="C42" s="16">
        <v>0.44791666666666669</v>
      </c>
      <c r="D42" s="15" t="s">
        <v>33</v>
      </c>
      <c r="E42" s="15" t="s">
        <v>78</v>
      </c>
      <c r="F42" s="15" t="s">
        <v>416</v>
      </c>
      <c r="G42" s="277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7" t="s">
        <v>54</v>
      </c>
      <c r="B43" s="17" t="s">
        <v>954</v>
      </c>
      <c r="C43" s="18">
        <v>0.97222222222222221</v>
      </c>
      <c r="D43" s="17" t="s">
        <v>56</v>
      </c>
      <c r="E43" s="17" t="s">
        <v>104</v>
      </c>
      <c r="F43" s="17" t="s">
        <v>771</v>
      </c>
      <c r="G43" s="277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54</v>
      </c>
      <c r="B44" s="15" t="s">
        <v>954</v>
      </c>
      <c r="C44" s="16">
        <v>0.97222222222222221</v>
      </c>
      <c r="D44" s="15" t="s">
        <v>58</v>
      </c>
      <c r="E44" s="15" t="s">
        <v>109</v>
      </c>
      <c r="F44" s="15" t="s">
        <v>823</v>
      </c>
      <c r="G44" s="277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54</v>
      </c>
      <c r="B45" s="15" t="s">
        <v>954</v>
      </c>
      <c r="C45" s="16">
        <v>0.97222222222222221</v>
      </c>
      <c r="D45" s="15" t="s">
        <v>60</v>
      </c>
      <c r="E45" s="15" t="s">
        <v>109</v>
      </c>
      <c r="F45" s="15" t="s">
        <v>114</v>
      </c>
      <c r="G45" s="277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7" t="s">
        <v>285</v>
      </c>
      <c r="B46" s="17" t="s">
        <v>955</v>
      </c>
      <c r="C46" s="18">
        <v>0.69791666666666663</v>
      </c>
      <c r="D46" s="17" t="s">
        <v>81</v>
      </c>
      <c r="E46" s="17" t="s">
        <v>383</v>
      </c>
      <c r="F46" s="17" t="s">
        <v>593</v>
      </c>
      <c r="G46" s="277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7" t="s">
        <v>63</v>
      </c>
      <c r="B47" s="17" t="s">
        <v>959</v>
      </c>
      <c r="C47" s="18">
        <v>0.33680555555555558</v>
      </c>
      <c r="D47" s="17" t="s">
        <v>48</v>
      </c>
      <c r="E47" s="17" t="s">
        <v>38</v>
      </c>
      <c r="F47" s="17" t="s">
        <v>973</v>
      </c>
      <c r="G47" s="277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63</v>
      </c>
      <c r="B48" s="19" t="s">
        <v>961</v>
      </c>
      <c r="C48" s="20">
        <v>0.67708333333333337</v>
      </c>
      <c r="D48" s="19" t="s">
        <v>48</v>
      </c>
      <c r="E48" s="19" t="s">
        <v>274</v>
      </c>
      <c r="F48" s="19" t="s">
        <v>974</v>
      </c>
      <c r="G48" s="277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251" t="s">
        <v>35</v>
      </c>
      <c r="B49" s="251" t="s">
        <v>962</v>
      </c>
      <c r="C49" s="252">
        <v>0.44791666666666669</v>
      </c>
      <c r="D49" s="251" t="s">
        <v>42</v>
      </c>
      <c r="E49" s="251" t="s">
        <v>57</v>
      </c>
      <c r="F49" s="251" t="s">
        <v>844</v>
      </c>
      <c r="G49" s="278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4.4" customHeight="1" x14ac:dyDescent="0.3">
      <c r="A50" s="282"/>
      <c r="B50" s="283"/>
      <c r="C50" s="283"/>
      <c r="D50" s="283"/>
      <c r="E50" s="283"/>
      <c r="F50" s="283"/>
      <c r="G50" s="280"/>
      <c r="H50" s="284"/>
      <c r="I50" s="284"/>
      <c r="J50" s="284"/>
      <c r="K50" s="284"/>
      <c r="L50" s="284"/>
      <c r="M50" s="284"/>
      <c r="N50" s="284"/>
      <c r="O50" s="285"/>
      <c r="P50" s="284"/>
      <c r="Q50" s="280"/>
      <c r="R50" s="281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22.05" customHeight="1" x14ac:dyDescent="0.3">
      <c r="A51" s="290" t="s">
        <v>5</v>
      </c>
      <c r="B51" s="291"/>
      <c r="C51" s="291"/>
      <c r="D51" s="291"/>
      <c r="E51" s="291"/>
      <c r="F51" s="291"/>
      <c r="G51" s="5">
        <v>45988</v>
      </c>
      <c r="H51" s="274" t="s">
        <v>6</v>
      </c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24" customHeight="1" x14ac:dyDescent="0.3">
      <c r="A52" s="31" t="s">
        <v>7</v>
      </c>
      <c r="B52" s="31" t="s">
        <v>8</v>
      </c>
      <c r="C52" s="32" t="s">
        <v>9</v>
      </c>
      <c r="D52" s="31" t="s">
        <v>10</v>
      </c>
      <c r="E52" s="31" t="s">
        <v>11</v>
      </c>
      <c r="F52" s="31" t="s">
        <v>12</v>
      </c>
      <c r="G52" s="33" t="s">
        <v>13</v>
      </c>
      <c r="H52" s="31" t="s">
        <v>14</v>
      </c>
      <c r="I52" s="34" t="s">
        <v>15</v>
      </c>
      <c r="J52" s="35" t="s">
        <v>16</v>
      </c>
      <c r="K52" s="36" t="s">
        <v>17</v>
      </c>
      <c r="L52" s="35" t="s">
        <v>18</v>
      </c>
      <c r="M52" s="35" t="s">
        <v>19</v>
      </c>
      <c r="N52" s="35" t="s">
        <v>20</v>
      </c>
      <c r="O52" s="31" t="s">
        <v>21</v>
      </c>
      <c r="P52" s="32" t="s">
        <v>22</v>
      </c>
      <c r="Q52" s="35" t="s">
        <v>23</v>
      </c>
      <c r="R52" s="31" t="s">
        <v>24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8" t="s">
        <v>360</v>
      </c>
      <c r="B53" s="8" t="s">
        <v>975</v>
      </c>
      <c r="C53" s="9">
        <v>7.6388888888888895E-2</v>
      </c>
      <c r="D53" s="8" t="s">
        <v>81</v>
      </c>
      <c r="E53" s="8" t="s">
        <v>104</v>
      </c>
      <c r="F53" s="8" t="s">
        <v>976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360</v>
      </c>
      <c r="B54" s="19" t="s">
        <v>977</v>
      </c>
      <c r="C54" s="20">
        <v>0.96527777777777779</v>
      </c>
      <c r="D54" s="19" t="s">
        <v>81</v>
      </c>
      <c r="E54" s="19" t="s">
        <v>89</v>
      </c>
      <c r="F54" s="19" t="s">
        <v>964</v>
      </c>
      <c r="G54" s="277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360</v>
      </c>
      <c r="B55" s="19" t="s">
        <v>963</v>
      </c>
      <c r="C55" s="20">
        <v>0.68055555555555547</v>
      </c>
      <c r="D55" s="19" t="s">
        <v>81</v>
      </c>
      <c r="E55" s="19" t="s">
        <v>95</v>
      </c>
      <c r="F55" s="19" t="s">
        <v>108</v>
      </c>
      <c r="G55" s="277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7" t="s">
        <v>54</v>
      </c>
      <c r="B56" s="17" t="s">
        <v>953</v>
      </c>
      <c r="C56" s="18">
        <v>0.33680555555555558</v>
      </c>
      <c r="D56" s="17" t="s">
        <v>56</v>
      </c>
      <c r="E56" s="17" t="s">
        <v>105</v>
      </c>
      <c r="F56" s="17" t="s">
        <v>771</v>
      </c>
      <c r="G56" s="277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5" t="s">
        <v>54</v>
      </c>
      <c r="B57" s="15" t="s">
        <v>953</v>
      </c>
      <c r="C57" s="16">
        <v>0.33680555555555558</v>
      </c>
      <c r="D57" s="15" t="s">
        <v>58</v>
      </c>
      <c r="E57" s="15" t="s">
        <v>106</v>
      </c>
      <c r="F57" s="15" t="s">
        <v>823</v>
      </c>
      <c r="G57" s="277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5" t="s">
        <v>54</v>
      </c>
      <c r="B58" s="15" t="s">
        <v>953</v>
      </c>
      <c r="C58" s="16">
        <v>0.33680555555555558</v>
      </c>
      <c r="D58" s="15" t="s">
        <v>60</v>
      </c>
      <c r="E58" s="15" t="s">
        <v>106</v>
      </c>
      <c r="F58" s="15" t="s">
        <v>114</v>
      </c>
      <c r="G58" s="277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54</v>
      </c>
      <c r="B59" s="19" t="s">
        <v>954</v>
      </c>
      <c r="C59" s="20">
        <v>0.97222222222222221</v>
      </c>
      <c r="D59" s="19" t="s">
        <v>56</v>
      </c>
      <c r="E59" s="19" t="s">
        <v>107</v>
      </c>
      <c r="F59" s="19" t="s">
        <v>61</v>
      </c>
      <c r="G59" s="277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54</v>
      </c>
      <c r="B60" s="15" t="s">
        <v>954</v>
      </c>
      <c r="C60" s="16">
        <v>0.97222222222222221</v>
      </c>
      <c r="D60" s="15" t="s">
        <v>58</v>
      </c>
      <c r="E60" s="15" t="s">
        <v>106</v>
      </c>
      <c r="F60" s="15" t="s">
        <v>34</v>
      </c>
      <c r="G60" s="277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5" t="s">
        <v>54</v>
      </c>
      <c r="B61" s="15" t="s">
        <v>954</v>
      </c>
      <c r="C61" s="16">
        <v>0.97222222222222221</v>
      </c>
      <c r="D61" s="15" t="s">
        <v>60</v>
      </c>
      <c r="E61" s="15" t="s">
        <v>106</v>
      </c>
      <c r="F61" s="15" t="s">
        <v>978</v>
      </c>
      <c r="G61" s="277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7" t="s">
        <v>285</v>
      </c>
      <c r="B62" s="17" t="s">
        <v>979</v>
      </c>
      <c r="C62" s="18">
        <v>0.3611111111111111</v>
      </c>
      <c r="D62" s="17" t="s">
        <v>81</v>
      </c>
      <c r="E62" s="17" t="s">
        <v>38</v>
      </c>
      <c r="F62" s="17" t="s">
        <v>593</v>
      </c>
      <c r="G62" s="277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285</v>
      </c>
      <c r="B63" s="19" t="s">
        <v>970</v>
      </c>
      <c r="C63" s="20">
        <v>0.75694444444444453</v>
      </c>
      <c r="D63" s="19" t="s">
        <v>81</v>
      </c>
      <c r="E63" s="19" t="s">
        <v>45</v>
      </c>
      <c r="F63" s="19" t="s">
        <v>956</v>
      </c>
      <c r="G63" s="277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7" t="s">
        <v>25</v>
      </c>
      <c r="B64" s="17" t="s">
        <v>952</v>
      </c>
      <c r="C64" s="18">
        <v>0.44791666666666669</v>
      </c>
      <c r="D64" s="17" t="s">
        <v>27</v>
      </c>
      <c r="E64" s="17" t="s">
        <v>82</v>
      </c>
      <c r="F64" s="17" t="s">
        <v>276</v>
      </c>
      <c r="G64" s="277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25</v>
      </c>
      <c r="B65" s="15" t="s">
        <v>952</v>
      </c>
      <c r="C65" s="16">
        <v>0.44791666666666669</v>
      </c>
      <c r="D65" s="15" t="s">
        <v>33</v>
      </c>
      <c r="E65" s="15" t="s">
        <v>92</v>
      </c>
      <c r="F65" s="15" t="s">
        <v>279</v>
      </c>
      <c r="G65" s="277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5" t="s">
        <v>25</v>
      </c>
      <c r="B66" s="15" t="s">
        <v>952</v>
      </c>
      <c r="C66" s="16">
        <v>0.44791666666666669</v>
      </c>
      <c r="D66" s="15" t="s">
        <v>30</v>
      </c>
      <c r="E66" s="15" t="s">
        <v>92</v>
      </c>
      <c r="F66" s="15" t="s">
        <v>119</v>
      </c>
      <c r="G66" s="277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85" t="s">
        <v>71</v>
      </c>
      <c r="B67" s="85" t="s">
        <v>965</v>
      </c>
      <c r="C67" s="86">
        <v>0.72222222222222221</v>
      </c>
      <c r="D67" s="85" t="s">
        <v>81</v>
      </c>
      <c r="E67" s="85" t="s">
        <v>57</v>
      </c>
      <c r="F67" s="85" t="s">
        <v>956</v>
      </c>
      <c r="G67" s="277"/>
      <c r="H67" s="87" t="s">
        <v>967</v>
      </c>
      <c r="I67" s="194">
        <v>0.7833</v>
      </c>
      <c r="J67" s="89">
        <v>141</v>
      </c>
      <c r="K67" s="90">
        <v>45983</v>
      </c>
      <c r="L67" s="89">
        <v>19</v>
      </c>
      <c r="M67" s="89">
        <v>0</v>
      </c>
      <c r="N67" s="89">
        <v>3</v>
      </c>
      <c r="O67" s="91" t="s">
        <v>556</v>
      </c>
      <c r="P67" s="92">
        <v>0.72222222222222221</v>
      </c>
      <c r="Q67" s="89">
        <v>180</v>
      </c>
      <c r="R67" s="93" t="s">
        <v>980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7" t="s">
        <v>63</v>
      </c>
      <c r="B68" s="17" t="s">
        <v>957</v>
      </c>
      <c r="C68" s="18">
        <v>0.97916666666666663</v>
      </c>
      <c r="D68" s="17" t="s">
        <v>48</v>
      </c>
      <c r="E68" s="17" t="s">
        <v>38</v>
      </c>
      <c r="F68" s="17" t="s">
        <v>972</v>
      </c>
      <c r="G68" s="277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63</v>
      </c>
      <c r="B69" s="19" t="s">
        <v>959</v>
      </c>
      <c r="C69" s="20">
        <v>0.33680555555555558</v>
      </c>
      <c r="D69" s="19" t="s">
        <v>48</v>
      </c>
      <c r="E69" s="19" t="s">
        <v>45</v>
      </c>
      <c r="F69" s="19" t="s">
        <v>974</v>
      </c>
      <c r="G69" s="277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9" t="s">
        <v>63</v>
      </c>
      <c r="B70" s="19" t="s">
        <v>961</v>
      </c>
      <c r="C70" s="20">
        <v>0.69444444444444453</v>
      </c>
      <c r="D70" s="19" t="s">
        <v>48</v>
      </c>
      <c r="E70" s="19" t="s">
        <v>45</v>
      </c>
      <c r="F70" s="19" t="s">
        <v>974</v>
      </c>
      <c r="G70" s="277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251" t="s">
        <v>35</v>
      </c>
      <c r="B71" s="251" t="s">
        <v>962</v>
      </c>
      <c r="C71" s="252">
        <v>0.44791666666666669</v>
      </c>
      <c r="D71" s="251" t="s">
        <v>42</v>
      </c>
      <c r="E71" s="251" t="s">
        <v>57</v>
      </c>
      <c r="F71" s="251" t="s">
        <v>981</v>
      </c>
      <c r="G71" s="278"/>
      <c r="H71" s="58"/>
      <c r="I71" s="59"/>
      <c r="J71" s="59"/>
      <c r="K71" s="59"/>
      <c r="L71" s="59"/>
      <c r="M71" s="59"/>
      <c r="N71" s="59"/>
      <c r="O71" s="60"/>
      <c r="P71" s="59"/>
      <c r="Q71" s="61"/>
      <c r="R71" s="62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4.4" customHeight="1" x14ac:dyDescent="0.3">
      <c r="A72" s="282"/>
      <c r="B72" s="283"/>
      <c r="C72" s="283"/>
      <c r="D72" s="283"/>
      <c r="E72" s="283"/>
      <c r="F72" s="283"/>
      <c r="G72" s="280"/>
      <c r="H72" s="284"/>
      <c r="I72" s="284"/>
      <c r="J72" s="284"/>
      <c r="K72" s="284"/>
      <c r="L72" s="284"/>
      <c r="M72" s="284"/>
      <c r="N72" s="284"/>
      <c r="O72" s="285"/>
      <c r="P72" s="284"/>
      <c r="Q72" s="280"/>
      <c r="R72" s="281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22.05" customHeight="1" x14ac:dyDescent="0.3">
      <c r="A73" s="290" t="s">
        <v>5</v>
      </c>
      <c r="B73" s="291"/>
      <c r="C73" s="291"/>
      <c r="D73" s="291"/>
      <c r="E73" s="291"/>
      <c r="F73" s="291"/>
      <c r="G73" s="5">
        <v>45989</v>
      </c>
      <c r="H73" s="274" t="s">
        <v>6</v>
      </c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24" customHeight="1" x14ac:dyDescent="0.3">
      <c r="A74" s="31" t="s">
        <v>7</v>
      </c>
      <c r="B74" s="31" t="s">
        <v>8</v>
      </c>
      <c r="C74" s="32" t="s">
        <v>9</v>
      </c>
      <c r="D74" s="31" t="s">
        <v>10</v>
      </c>
      <c r="E74" s="31" t="s">
        <v>11</v>
      </c>
      <c r="F74" s="31" t="s">
        <v>12</v>
      </c>
      <c r="G74" s="33" t="s">
        <v>13</v>
      </c>
      <c r="H74" s="31" t="s">
        <v>14</v>
      </c>
      <c r="I74" s="34" t="s">
        <v>15</v>
      </c>
      <c r="J74" s="35" t="s">
        <v>16</v>
      </c>
      <c r="K74" s="36" t="s">
        <v>17</v>
      </c>
      <c r="L74" s="35" t="s">
        <v>18</v>
      </c>
      <c r="M74" s="35" t="s">
        <v>19</v>
      </c>
      <c r="N74" s="35" t="s">
        <v>20</v>
      </c>
      <c r="O74" s="31" t="s">
        <v>21</v>
      </c>
      <c r="P74" s="32" t="s">
        <v>22</v>
      </c>
      <c r="Q74" s="35" t="s">
        <v>23</v>
      </c>
      <c r="R74" s="31" t="s">
        <v>24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8" t="s">
        <v>360</v>
      </c>
      <c r="B75" s="8" t="s">
        <v>963</v>
      </c>
      <c r="C75" s="9">
        <v>0.96527777777777779</v>
      </c>
      <c r="D75" s="8" t="s">
        <v>81</v>
      </c>
      <c r="E75" s="8" t="s">
        <v>77</v>
      </c>
      <c r="F75" s="8" t="s">
        <v>982</v>
      </c>
      <c r="G75" s="276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65" t="s">
        <v>71</v>
      </c>
      <c r="B76" s="165" t="s">
        <v>965</v>
      </c>
      <c r="C76" s="166">
        <v>0.38194444444444442</v>
      </c>
      <c r="D76" s="165" t="s">
        <v>81</v>
      </c>
      <c r="E76" s="165" t="s">
        <v>38</v>
      </c>
      <c r="F76" s="165" t="s">
        <v>956</v>
      </c>
      <c r="G76" s="277"/>
      <c r="H76" s="168" t="s">
        <v>967</v>
      </c>
      <c r="I76" s="240">
        <v>0.75560000000000005</v>
      </c>
      <c r="J76" s="170">
        <v>136</v>
      </c>
      <c r="K76" s="171">
        <v>45984</v>
      </c>
      <c r="L76" s="170">
        <v>19</v>
      </c>
      <c r="M76" s="170">
        <v>2</v>
      </c>
      <c r="N76" s="170">
        <v>5</v>
      </c>
      <c r="O76" s="172" t="s">
        <v>922</v>
      </c>
      <c r="P76" s="173">
        <v>0.38194444444444442</v>
      </c>
      <c r="Q76" s="170">
        <v>180</v>
      </c>
      <c r="R76" s="174" t="s">
        <v>983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7" t="s">
        <v>25</v>
      </c>
      <c r="B77" s="17" t="s">
        <v>952</v>
      </c>
      <c r="C77" s="18">
        <v>0.44791666666666669</v>
      </c>
      <c r="D77" s="17" t="s">
        <v>27</v>
      </c>
      <c r="E77" s="17" t="s">
        <v>105</v>
      </c>
      <c r="F77" s="17" t="s">
        <v>984</v>
      </c>
      <c r="G77" s="277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5" t="s">
        <v>25</v>
      </c>
      <c r="B78" s="15" t="s">
        <v>952</v>
      </c>
      <c r="C78" s="16">
        <v>0.44791666666666669</v>
      </c>
      <c r="D78" s="15" t="s">
        <v>30</v>
      </c>
      <c r="E78" s="15" t="s">
        <v>106</v>
      </c>
      <c r="F78" s="15" t="s">
        <v>985</v>
      </c>
      <c r="G78" s="277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25</v>
      </c>
      <c r="B79" s="15" t="s">
        <v>952</v>
      </c>
      <c r="C79" s="16">
        <v>0.44791666666666669</v>
      </c>
      <c r="D79" s="15" t="s">
        <v>33</v>
      </c>
      <c r="E79" s="15" t="s">
        <v>106</v>
      </c>
      <c r="F79" s="15" t="s">
        <v>986</v>
      </c>
      <c r="G79" s="277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7" t="s">
        <v>285</v>
      </c>
      <c r="B80" s="17" t="s">
        <v>955</v>
      </c>
      <c r="C80" s="18">
        <v>0.75694444444444453</v>
      </c>
      <c r="D80" s="17" t="s">
        <v>81</v>
      </c>
      <c r="E80" s="17" t="s">
        <v>38</v>
      </c>
      <c r="F80" s="17" t="s">
        <v>987</v>
      </c>
      <c r="G80" s="277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7" t="s">
        <v>54</v>
      </c>
      <c r="B81" s="17" t="s">
        <v>954</v>
      </c>
      <c r="C81" s="18">
        <v>0.97222222222222221</v>
      </c>
      <c r="D81" s="17" t="s">
        <v>56</v>
      </c>
      <c r="E81" s="17" t="s">
        <v>105</v>
      </c>
      <c r="F81" s="17" t="s">
        <v>404</v>
      </c>
      <c r="G81" s="277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5" t="s">
        <v>54</v>
      </c>
      <c r="B82" s="15" t="s">
        <v>954</v>
      </c>
      <c r="C82" s="16">
        <v>0.97222222222222221</v>
      </c>
      <c r="D82" s="15" t="s">
        <v>58</v>
      </c>
      <c r="E82" s="15" t="s">
        <v>106</v>
      </c>
      <c r="F82" s="15" t="s">
        <v>852</v>
      </c>
      <c r="G82" s="277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5" t="s">
        <v>54</v>
      </c>
      <c r="B83" s="15" t="s">
        <v>954</v>
      </c>
      <c r="C83" s="16">
        <v>0.97222222222222221</v>
      </c>
      <c r="D83" s="15" t="s">
        <v>60</v>
      </c>
      <c r="E83" s="15" t="s">
        <v>106</v>
      </c>
      <c r="F83" s="15" t="s">
        <v>853</v>
      </c>
      <c r="G83" s="277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7" t="s">
        <v>63</v>
      </c>
      <c r="B84" s="17" t="s">
        <v>957</v>
      </c>
      <c r="C84" s="18">
        <v>0.97916666666666663</v>
      </c>
      <c r="D84" s="17" t="s">
        <v>48</v>
      </c>
      <c r="E84" s="17" t="s">
        <v>38</v>
      </c>
      <c r="F84" s="17" t="s">
        <v>974</v>
      </c>
      <c r="G84" s="277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9" t="s">
        <v>63</v>
      </c>
      <c r="B85" s="19" t="s">
        <v>959</v>
      </c>
      <c r="C85" s="20">
        <v>0.3263888888888889</v>
      </c>
      <c r="D85" s="19" t="s">
        <v>48</v>
      </c>
      <c r="E85" s="19" t="s">
        <v>45</v>
      </c>
      <c r="F85" s="19" t="s">
        <v>988</v>
      </c>
      <c r="G85" s="277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251" t="s">
        <v>35</v>
      </c>
      <c r="B86" s="251" t="s">
        <v>962</v>
      </c>
      <c r="C86" s="252">
        <v>0.44791666666666669</v>
      </c>
      <c r="D86" s="251" t="s">
        <v>42</v>
      </c>
      <c r="E86" s="251" t="s">
        <v>57</v>
      </c>
      <c r="F86" s="251" t="s">
        <v>981</v>
      </c>
      <c r="G86" s="278"/>
      <c r="H86" s="58"/>
      <c r="I86" s="59"/>
      <c r="J86" s="59"/>
      <c r="K86" s="59"/>
      <c r="L86" s="59"/>
      <c r="M86" s="59"/>
      <c r="N86" s="59"/>
      <c r="O86" s="60"/>
      <c r="P86" s="59"/>
      <c r="Q86" s="61"/>
      <c r="R86" s="62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4.4" customHeight="1" x14ac:dyDescent="0.3">
      <c r="A87" s="279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22.05" customHeight="1" x14ac:dyDescent="0.3">
      <c r="A88" s="290" t="s">
        <v>5</v>
      </c>
      <c r="B88" s="291"/>
      <c r="C88" s="291"/>
      <c r="D88" s="291"/>
      <c r="E88" s="291"/>
      <c r="F88" s="291"/>
      <c r="G88" s="5">
        <v>45990</v>
      </c>
      <c r="H88" s="274" t="s">
        <v>6</v>
      </c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24" customHeight="1" x14ac:dyDescent="0.3">
      <c r="A89" s="31" t="s">
        <v>7</v>
      </c>
      <c r="B89" s="31" t="s">
        <v>8</v>
      </c>
      <c r="C89" s="32" t="s">
        <v>9</v>
      </c>
      <c r="D89" s="31" t="s">
        <v>10</v>
      </c>
      <c r="E89" s="31" t="s">
        <v>11</v>
      </c>
      <c r="F89" s="31" t="s">
        <v>12</v>
      </c>
      <c r="G89" s="33" t="s">
        <v>13</v>
      </c>
      <c r="H89" s="31" t="s">
        <v>14</v>
      </c>
      <c r="I89" s="34" t="s">
        <v>15</v>
      </c>
      <c r="J89" s="35" t="s">
        <v>16</v>
      </c>
      <c r="K89" s="36" t="s">
        <v>17</v>
      </c>
      <c r="L89" s="35" t="s">
        <v>18</v>
      </c>
      <c r="M89" s="35" t="s">
        <v>19</v>
      </c>
      <c r="N89" s="35" t="s">
        <v>20</v>
      </c>
      <c r="O89" s="31" t="s">
        <v>21</v>
      </c>
      <c r="P89" s="32" t="s">
        <v>22</v>
      </c>
      <c r="Q89" s="35" t="s">
        <v>23</v>
      </c>
      <c r="R89" s="31" t="s">
        <v>24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8" t="s">
        <v>285</v>
      </c>
      <c r="B90" s="8" t="s">
        <v>989</v>
      </c>
      <c r="C90" s="9">
        <v>0.96180555555555547</v>
      </c>
      <c r="D90" s="8" t="s">
        <v>81</v>
      </c>
      <c r="E90" s="8" t="s">
        <v>38</v>
      </c>
      <c r="F90" s="8" t="s">
        <v>956</v>
      </c>
      <c r="G90" s="276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9" t="s">
        <v>285</v>
      </c>
      <c r="B91" s="19" t="s">
        <v>970</v>
      </c>
      <c r="C91" s="20">
        <v>0.69444444444444453</v>
      </c>
      <c r="D91" s="19" t="s">
        <v>81</v>
      </c>
      <c r="E91" s="19" t="s">
        <v>45</v>
      </c>
      <c r="F91" s="19" t="s">
        <v>115</v>
      </c>
      <c r="G91" s="277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7" t="s">
        <v>54</v>
      </c>
      <c r="B92" s="17" t="s">
        <v>953</v>
      </c>
      <c r="C92" s="18">
        <v>0.33680555555555558</v>
      </c>
      <c r="D92" s="17" t="s">
        <v>56</v>
      </c>
      <c r="E92" s="17" t="s">
        <v>105</v>
      </c>
      <c r="F92" s="17" t="s">
        <v>115</v>
      </c>
      <c r="G92" s="277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54</v>
      </c>
      <c r="B93" s="15" t="s">
        <v>953</v>
      </c>
      <c r="C93" s="16">
        <v>0.33680555555555558</v>
      </c>
      <c r="D93" s="15" t="s">
        <v>58</v>
      </c>
      <c r="E93" s="15" t="s">
        <v>106</v>
      </c>
      <c r="F93" s="15" t="s">
        <v>400</v>
      </c>
      <c r="G93" s="277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5" t="s">
        <v>54</v>
      </c>
      <c r="B94" s="15" t="s">
        <v>953</v>
      </c>
      <c r="C94" s="16">
        <v>0.33680555555555558</v>
      </c>
      <c r="D94" s="15" t="s">
        <v>60</v>
      </c>
      <c r="E94" s="15" t="s">
        <v>106</v>
      </c>
      <c r="F94" s="15" t="s">
        <v>401</v>
      </c>
      <c r="G94" s="277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9" t="s">
        <v>54</v>
      </c>
      <c r="B95" s="19" t="s">
        <v>954</v>
      </c>
      <c r="C95" s="20">
        <v>0.97222222222222221</v>
      </c>
      <c r="D95" s="19" t="s">
        <v>56</v>
      </c>
      <c r="E95" s="19" t="s">
        <v>107</v>
      </c>
      <c r="F95" s="19" t="s">
        <v>404</v>
      </c>
      <c r="G95" s="277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5" t="s">
        <v>54</v>
      </c>
      <c r="B96" s="15" t="s">
        <v>954</v>
      </c>
      <c r="C96" s="16">
        <v>0.97222222222222221</v>
      </c>
      <c r="D96" s="15" t="s">
        <v>58</v>
      </c>
      <c r="E96" s="15" t="s">
        <v>106</v>
      </c>
      <c r="F96" s="15" t="s">
        <v>852</v>
      </c>
      <c r="G96" s="277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5" t="s">
        <v>54</v>
      </c>
      <c r="B97" s="15" t="s">
        <v>954</v>
      </c>
      <c r="C97" s="16">
        <v>0.97222222222222221</v>
      </c>
      <c r="D97" s="15" t="s">
        <v>60</v>
      </c>
      <c r="E97" s="15" t="s">
        <v>106</v>
      </c>
      <c r="F97" s="15" t="s">
        <v>853</v>
      </c>
      <c r="G97" s="277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7" t="s">
        <v>25</v>
      </c>
      <c r="B98" s="17" t="s">
        <v>952</v>
      </c>
      <c r="C98" s="18">
        <v>0.44791666666666669</v>
      </c>
      <c r="D98" s="17" t="s">
        <v>27</v>
      </c>
      <c r="E98" s="17" t="s">
        <v>82</v>
      </c>
      <c r="F98" s="17" t="s">
        <v>984</v>
      </c>
      <c r="G98" s="277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5" t="s">
        <v>25</v>
      </c>
      <c r="B99" s="15" t="s">
        <v>952</v>
      </c>
      <c r="C99" s="16">
        <v>0.44791666666666669</v>
      </c>
      <c r="D99" s="15" t="s">
        <v>30</v>
      </c>
      <c r="E99" s="15" t="s">
        <v>92</v>
      </c>
      <c r="F99" s="15" t="s">
        <v>985</v>
      </c>
      <c r="G99" s="277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5" t="s">
        <v>25</v>
      </c>
      <c r="B100" s="15" t="s">
        <v>952</v>
      </c>
      <c r="C100" s="16">
        <v>0.44791666666666669</v>
      </c>
      <c r="D100" s="15" t="s">
        <v>33</v>
      </c>
      <c r="E100" s="15" t="s">
        <v>92</v>
      </c>
      <c r="F100" s="15" t="s">
        <v>986</v>
      </c>
      <c r="G100" s="277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85" t="s">
        <v>71</v>
      </c>
      <c r="B101" s="85" t="s">
        <v>965</v>
      </c>
      <c r="C101" s="86">
        <v>0.72222222222222221</v>
      </c>
      <c r="D101" s="85" t="s">
        <v>81</v>
      </c>
      <c r="E101" s="85" t="s">
        <v>38</v>
      </c>
      <c r="F101" s="85" t="s">
        <v>990</v>
      </c>
      <c r="G101" s="277"/>
      <c r="H101" s="87" t="s">
        <v>967</v>
      </c>
      <c r="I101" s="194">
        <v>0.69440000000000002</v>
      </c>
      <c r="J101" s="89">
        <v>125</v>
      </c>
      <c r="K101" s="90">
        <v>45981</v>
      </c>
      <c r="L101" s="89">
        <v>14</v>
      </c>
      <c r="M101" s="89">
        <v>0</v>
      </c>
      <c r="N101" s="89">
        <v>0</v>
      </c>
      <c r="O101" s="91" t="s">
        <v>860</v>
      </c>
      <c r="P101" s="92">
        <v>0.72222222222222221</v>
      </c>
      <c r="Q101" s="89">
        <v>180</v>
      </c>
      <c r="R101" s="93" t="s">
        <v>991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7" t="s">
        <v>280</v>
      </c>
      <c r="B102" s="17" t="s">
        <v>992</v>
      </c>
      <c r="C102" s="18">
        <v>0.74652777777777779</v>
      </c>
      <c r="D102" s="17" t="s">
        <v>282</v>
      </c>
      <c r="E102" s="17" t="s">
        <v>105</v>
      </c>
      <c r="F102" s="17" t="s">
        <v>993</v>
      </c>
      <c r="G102" s="277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280</v>
      </c>
      <c r="B103" s="15" t="s">
        <v>992</v>
      </c>
      <c r="C103" s="16">
        <v>0.74652777777777779</v>
      </c>
      <c r="D103" s="15" t="s">
        <v>33</v>
      </c>
      <c r="E103" s="15" t="s">
        <v>106</v>
      </c>
      <c r="F103" s="15" t="s">
        <v>994</v>
      </c>
      <c r="G103" s="277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251" t="s">
        <v>35</v>
      </c>
      <c r="B104" s="251" t="s">
        <v>962</v>
      </c>
      <c r="C104" s="252">
        <v>0.44791666666666669</v>
      </c>
      <c r="D104" s="251" t="s">
        <v>42</v>
      </c>
      <c r="E104" s="251" t="s">
        <v>57</v>
      </c>
      <c r="F104" s="251" t="s">
        <v>995</v>
      </c>
      <c r="G104" s="278"/>
      <c r="H104" s="58"/>
      <c r="I104" s="59"/>
      <c r="J104" s="59"/>
      <c r="K104" s="59"/>
      <c r="L104" s="59"/>
      <c r="M104" s="59"/>
      <c r="N104" s="59"/>
      <c r="O104" s="60"/>
      <c r="P104" s="59"/>
      <c r="Q104" s="61"/>
      <c r="R104" s="62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4.4" customHeight="1" x14ac:dyDescent="0.3">
      <c r="A105" s="279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22.05" customHeight="1" x14ac:dyDescent="0.3">
      <c r="A106" s="290" t="s">
        <v>5</v>
      </c>
      <c r="B106" s="291"/>
      <c r="C106" s="291"/>
      <c r="D106" s="291"/>
      <c r="E106" s="291"/>
      <c r="F106" s="291"/>
      <c r="G106" s="5">
        <v>45991</v>
      </c>
      <c r="H106" s="274" t="s">
        <v>6</v>
      </c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24" customHeight="1" x14ac:dyDescent="0.3">
      <c r="A107" s="31" t="s">
        <v>7</v>
      </c>
      <c r="B107" s="31" t="s">
        <v>8</v>
      </c>
      <c r="C107" s="32" t="s">
        <v>9</v>
      </c>
      <c r="D107" s="31" t="s">
        <v>10</v>
      </c>
      <c r="E107" s="31" t="s">
        <v>11</v>
      </c>
      <c r="F107" s="31" t="s">
        <v>12</v>
      </c>
      <c r="G107" s="33" t="s">
        <v>13</v>
      </c>
      <c r="H107" s="31" t="s">
        <v>14</v>
      </c>
      <c r="I107" s="34" t="s">
        <v>15</v>
      </c>
      <c r="J107" s="35" t="s">
        <v>16</v>
      </c>
      <c r="K107" s="36" t="s">
        <v>17</v>
      </c>
      <c r="L107" s="35" t="s">
        <v>18</v>
      </c>
      <c r="M107" s="35" t="s">
        <v>19</v>
      </c>
      <c r="N107" s="35" t="s">
        <v>20</v>
      </c>
      <c r="O107" s="31" t="s">
        <v>21</v>
      </c>
      <c r="P107" s="32" t="s">
        <v>22</v>
      </c>
      <c r="Q107" s="35" t="s">
        <v>23</v>
      </c>
      <c r="R107" s="31" t="s">
        <v>24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8" t="s">
        <v>360</v>
      </c>
      <c r="B108" s="8" t="s">
        <v>975</v>
      </c>
      <c r="C108" s="9">
        <v>0.92013888888888884</v>
      </c>
      <c r="D108" s="8" t="s">
        <v>81</v>
      </c>
      <c r="E108" s="8" t="s">
        <v>104</v>
      </c>
      <c r="F108" s="8" t="s">
        <v>964</v>
      </c>
      <c r="G108" s="276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9" t="s">
        <v>360</v>
      </c>
      <c r="B109" s="19" t="s">
        <v>977</v>
      </c>
      <c r="C109" s="20">
        <v>6.9444444444444441E-3</v>
      </c>
      <c r="D109" s="19" t="s">
        <v>81</v>
      </c>
      <c r="E109" s="19" t="s">
        <v>93</v>
      </c>
      <c r="F109" s="19" t="s">
        <v>982</v>
      </c>
      <c r="G109" s="277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7" t="s">
        <v>285</v>
      </c>
      <c r="B110" s="17" t="s">
        <v>996</v>
      </c>
      <c r="C110" s="18">
        <v>0.4826388888888889</v>
      </c>
      <c r="D110" s="17" t="s">
        <v>81</v>
      </c>
      <c r="E110" s="17" t="s">
        <v>57</v>
      </c>
      <c r="F110" s="17" t="s">
        <v>593</v>
      </c>
      <c r="G110" s="277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" t="s">
        <v>285</v>
      </c>
      <c r="B111" s="19" t="s">
        <v>979</v>
      </c>
      <c r="C111" s="20">
        <v>0.75694444444444453</v>
      </c>
      <c r="D111" s="19" t="s">
        <v>81</v>
      </c>
      <c r="E111" s="19" t="s">
        <v>45</v>
      </c>
      <c r="F111" s="19" t="s">
        <v>593</v>
      </c>
      <c r="G111" s="277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7" t="s">
        <v>25</v>
      </c>
      <c r="B112" s="17" t="s">
        <v>952</v>
      </c>
      <c r="C112" s="18">
        <v>0.44791666666666669</v>
      </c>
      <c r="D112" s="17" t="s">
        <v>27</v>
      </c>
      <c r="E112" s="17" t="s">
        <v>251</v>
      </c>
      <c r="F112" s="17" t="s">
        <v>117</v>
      </c>
      <c r="G112" s="277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5" t="s">
        <v>25</v>
      </c>
      <c r="B113" s="15" t="s">
        <v>952</v>
      </c>
      <c r="C113" s="16">
        <v>0.44791666666666669</v>
      </c>
      <c r="D113" s="15" t="s">
        <v>30</v>
      </c>
      <c r="E113" s="15" t="s">
        <v>96</v>
      </c>
      <c r="F113" s="15" t="s">
        <v>399</v>
      </c>
      <c r="G113" s="277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5" t="s">
        <v>25</v>
      </c>
      <c r="B114" s="15" t="s">
        <v>952</v>
      </c>
      <c r="C114" s="16">
        <v>0.44791666666666669</v>
      </c>
      <c r="D114" s="15" t="s">
        <v>33</v>
      </c>
      <c r="E114" s="15" t="s">
        <v>96</v>
      </c>
      <c r="F114" s="15" t="s">
        <v>416</v>
      </c>
      <c r="G114" s="277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7" t="s">
        <v>54</v>
      </c>
      <c r="B115" s="17" t="s">
        <v>954</v>
      </c>
      <c r="C115" s="18">
        <v>0.97222222222222221</v>
      </c>
      <c r="D115" s="17" t="s">
        <v>56</v>
      </c>
      <c r="E115" s="17" t="s">
        <v>105</v>
      </c>
      <c r="F115" s="17" t="s">
        <v>115</v>
      </c>
      <c r="G115" s="277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5" t="s">
        <v>54</v>
      </c>
      <c r="B116" s="15" t="s">
        <v>954</v>
      </c>
      <c r="C116" s="16">
        <v>0.97222222222222221</v>
      </c>
      <c r="D116" s="15" t="s">
        <v>58</v>
      </c>
      <c r="E116" s="15" t="s">
        <v>106</v>
      </c>
      <c r="F116" s="15" t="s">
        <v>400</v>
      </c>
      <c r="G116" s="277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5" t="s">
        <v>54</v>
      </c>
      <c r="B117" s="15" t="s">
        <v>954</v>
      </c>
      <c r="C117" s="16">
        <v>0.97222222222222221</v>
      </c>
      <c r="D117" s="15" t="s">
        <v>60</v>
      </c>
      <c r="E117" s="15" t="s">
        <v>106</v>
      </c>
      <c r="F117" s="15" t="s">
        <v>401</v>
      </c>
      <c r="G117" s="277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7" t="s">
        <v>35</v>
      </c>
      <c r="B118" s="17" t="s">
        <v>962</v>
      </c>
      <c r="C118" s="18">
        <v>0.44791666666666669</v>
      </c>
      <c r="D118" s="17" t="s">
        <v>42</v>
      </c>
      <c r="E118" s="17" t="s">
        <v>57</v>
      </c>
      <c r="F118" s="17" t="s">
        <v>844</v>
      </c>
      <c r="G118" s="277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7" t="s">
        <v>63</v>
      </c>
      <c r="B119" s="17" t="s">
        <v>957</v>
      </c>
      <c r="C119" s="18">
        <v>0.97916666666666663</v>
      </c>
      <c r="D119" s="17" t="s">
        <v>48</v>
      </c>
      <c r="E119" s="17" t="s">
        <v>251</v>
      </c>
      <c r="F119" s="17" t="s">
        <v>997</v>
      </c>
      <c r="G119" s="277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63" t="s">
        <v>63</v>
      </c>
      <c r="B120" s="63" t="s">
        <v>961</v>
      </c>
      <c r="C120" s="64">
        <v>0.67361111111111116</v>
      </c>
      <c r="D120" s="63" t="s">
        <v>48</v>
      </c>
      <c r="E120" s="63" t="s">
        <v>121</v>
      </c>
      <c r="F120" s="63" t="s">
        <v>997</v>
      </c>
      <c r="G120" s="278"/>
      <c r="H120" s="58"/>
      <c r="I120" s="59"/>
      <c r="J120" s="59"/>
      <c r="K120" s="59"/>
      <c r="L120" s="59"/>
      <c r="M120" s="59"/>
      <c r="N120" s="59"/>
      <c r="O120" s="60"/>
      <c r="P120" s="59"/>
      <c r="Q120" s="61"/>
      <c r="R120" s="62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4.4" customHeight="1" x14ac:dyDescent="0.3">
      <c r="A121" s="279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</sheetData>
  <mergeCells count="37">
    <mergeCell ref="H106:R106"/>
    <mergeCell ref="O1:Q1"/>
    <mergeCell ref="A87:R87"/>
    <mergeCell ref="G75:G86"/>
    <mergeCell ref="H38:R38"/>
    <mergeCell ref="A37:R37"/>
    <mergeCell ref="A21:F21"/>
    <mergeCell ref="G40:G49"/>
    <mergeCell ref="H4:R4"/>
    <mergeCell ref="A105:R105"/>
    <mergeCell ref="A50:R50"/>
    <mergeCell ref="A2:F2"/>
    <mergeCell ref="A3:R3"/>
    <mergeCell ref="H21:R21"/>
    <mergeCell ref="A106:F106"/>
    <mergeCell ref="H73:R73"/>
    <mergeCell ref="A38:F38"/>
    <mergeCell ref="A20:R20"/>
    <mergeCell ref="A72:R72"/>
    <mergeCell ref="G53:G71"/>
    <mergeCell ref="G23:G36"/>
    <mergeCell ref="A121:R121"/>
    <mergeCell ref="K2:R2"/>
    <mergeCell ref="D1:F1"/>
    <mergeCell ref="A73:F73"/>
    <mergeCell ref="A51:F51"/>
    <mergeCell ref="A1:C1"/>
    <mergeCell ref="G1:H1"/>
    <mergeCell ref="A88:F88"/>
    <mergeCell ref="G6:G19"/>
    <mergeCell ref="G90:G104"/>
    <mergeCell ref="G2:J2"/>
    <mergeCell ref="H51:R51"/>
    <mergeCell ref="A4:F4"/>
    <mergeCell ref="G108:G120"/>
    <mergeCell ref="J1:M1"/>
    <mergeCell ref="H88:R8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332031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164</v>
      </c>
      <c r="B2" s="96">
        <v>45986</v>
      </c>
      <c r="C2" s="97" t="s">
        <v>967</v>
      </c>
      <c r="D2" s="98">
        <v>6.9444444444444434E-2</v>
      </c>
      <c r="E2" s="97" t="s">
        <v>951</v>
      </c>
      <c r="F2" s="97" t="s">
        <v>158</v>
      </c>
      <c r="G2" s="99">
        <v>0.68889999999999996</v>
      </c>
      <c r="H2" s="100">
        <v>180</v>
      </c>
      <c r="I2" s="100">
        <v>124</v>
      </c>
      <c r="J2" s="100">
        <v>0</v>
      </c>
      <c r="K2" s="96">
        <v>45983</v>
      </c>
      <c r="L2" s="100">
        <v>0</v>
      </c>
      <c r="M2" s="100">
        <v>13</v>
      </c>
      <c r="N2" s="100">
        <v>79</v>
      </c>
      <c r="O2" s="97" t="s">
        <v>390</v>
      </c>
      <c r="P2" s="101"/>
      <c r="Q2" s="101"/>
      <c r="R2" s="101"/>
      <c r="S2" s="101"/>
      <c r="T2" s="101"/>
      <c r="U2" s="100" t="s">
        <v>998</v>
      </c>
      <c r="V2" s="100" t="s">
        <v>559</v>
      </c>
      <c r="W2" s="100" t="s">
        <v>999</v>
      </c>
      <c r="X2" s="100" t="s">
        <v>565</v>
      </c>
      <c r="Y2" s="100" t="s">
        <v>461</v>
      </c>
      <c r="Z2" s="101"/>
      <c r="AA2" s="100" t="s">
        <v>457</v>
      </c>
      <c r="AB2" s="100" t="s">
        <v>510</v>
      </c>
      <c r="AC2" s="100" t="s">
        <v>871</v>
      </c>
      <c r="AD2" s="100" t="s">
        <v>1000</v>
      </c>
      <c r="AE2" s="100" t="s">
        <v>659</v>
      </c>
      <c r="AF2" s="101"/>
      <c r="AG2" s="101"/>
      <c r="AH2" s="101"/>
      <c r="AI2" s="101"/>
    </row>
    <row r="3" spans="1:35" ht="18" x14ac:dyDescent="0.3">
      <c r="A3" s="102" t="s">
        <v>177</v>
      </c>
      <c r="B3" s="103">
        <v>45988</v>
      </c>
      <c r="C3" s="104" t="s">
        <v>967</v>
      </c>
      <c r="D3" s="105">
        <v>0.72222222222222221</v>
      </c>
      <c r="E3" s="104" t="s">
        <v>951</v>
      </c>
      <c r="F3" s="104" t="s">
        <v>158</v>
      </c>
      <c r="G3" s="106">
        <v>0.7833</v>
      </c>
      <c r="H3" s="107">
        <v>180</v>
      </c>
      <c r="I3" s="107">
        <v>141</v>
      </c>
      <c r="J3" s="107">
        <v>0</v>
      </c>
      <c r="K3" s="103">
        <v>45983</v>
      </c>
      <c r="L3" s="107">
        <v>0</v>
      </c>
      <c r="M3" s="107">
        <v>3</v>
      </c>
      <c r="N3" s="107">
        <v>19</v>
      </c>
      <c r="O3" s="104" t="s">
        <v>556</v>
      </c>
      <c r="P3" s="108"/>
      <c r="Q3" s="108"/>
      <c r="R3" s="108"/>
      <c r="S3" s="107" t="s">
        <v>1001</v>
      </c>
      <c r="T3" s="107" t="s">
        <v>1002</v>
      </c>
      <c r="U3" s="107" t="s">
        <v>1003</v>
      </c>
      <c r="V3" s="107" t="s">
        <v>887</v>
      </c>
      <c r="W3" s="107" t="s">
        <v>472</v>
      </c>
      <c r="X3" s="107" t="s">
        <v>534</v>
      </c>
      <c r="Y3" s="107" t="s">
        <v>657</v>
      </c>
      <c r="Z3" s="107" t="s">
        <v>658</v>
      </c>
      <c r="AA3" s="107" t="s">
        <v>503</v>
      </c>
      <c r="AB3" s="107" t="s">
        <v>181</v>
      </c>
      <c r="AC3" s="107" t="s">
        <v>651</v>
      </c>
      <c r="AD3" s="107" t="s">
        <v>894</v>
      </c>
      <c r="AE3" s="107" t="s">
        <v>895</v>
      </c>
      <c r="AF3" s="108"/>
      <c r="AG3" s="108"/>
      <c r="AH3" s="108"/>
      <c r="AI3" s="108"/>
    </row>
    <row r="4" spans="1:35" ht="18" x14ac:dyDescent="0.3">
      <c r="A4" s="95" t="s">
        <v>520</v>
      </c>
      <c r="B4" s="96">
        <v>45989</v>
      </c>
      <c r="C4" s="97" t="s">
        <v>967</v>
      </c>
      <c r="D4" s="98">
        <v>0.38194444444444442</v>
      </c>
      <c r="E4" s="97" t="s">
        <v>951</v>
      </c>
      <c r="F4" s="97" t="s">
        <v>158</v>
      </c>
      <c r="G4" s="99">
        <v>0.75560000000000005</v>
      </c>
      <c r="H4" s="100">
        <v>180</v>
      </c>
      <c r="I4" s="100">
        <v>136</v>
      </c>
      <c r="J4" s="100">
        <v>0</v>
      </c>
      <c r="K4" s="96">
        <v>45984</v>
      </c>
      <c r="L4" s="100">
        <v>2</v>
      </c>
      <c r="M4" s="100">
        <v>5</v>
      </c>
      <c r="N4" s="100">
        <v>19</v>
      </c>
      <c r="O4" s="97" t="s">
        <v>922</v>
      </c>
      <c r="P4" s="101"/>
      <c r="Q4" s="101"/>
      <c r="R4" s="100" t="s">
        <v>1004</v>
      </c>
      <c r="S4" s="100" t="s">
        <v>1005</v>
      </c>
      <c r="T4" s="100" t="s">
        <v>1006</v>
      </c>
      <c r="U4" s="100" t="s">
        <v>1007</v>
      </c>
      <c r="V4" s="100" t="s">
        <v>887</v>
      </c>
      <c r="W4" s="100" t="s">
        <v>451</v>
      </c>
      <c r="X4" s="100" t="s">
        <v>1008</v>
      </c>
      <c r="Y4" s="100" t="s">
        <v>652</v>
      </c>
      <c r="Z4" s="100" t="s">
        <v>454</v>
      </c>
      <c r="AA4" s="100" t="s">
        <v>568</v>
      </c>
      <c r="AB4" s="100" t="s">
        <v>508</v>
      </c>
      <c r="AC4" s="100" t="s">
        <v>172</v>
      </c>
      <c r="AD4" s="100" t="s">
        <v>505</v>
      </c>
      <c r="AE4" s="100" t="s">
        <v>659</v>
      </c>
      <c r="AF4" s="101"/>
      <c r="AG4" s="101"/>
      <c r="AH4" s="101"/>
      <c r="AI4" s="101"/>
    </row>
    <row r="5" spans="1:35" ht="18" x14ac:dyDescent="0.3">
      <c r="A5" s="102" t="s">
        <v>180</v>
      </c>
      <c r="B5" s="103">
        <v>45990</v>
      </c>
      <c r="C5" s="104" t="s">
        <v>967</v>
      </c>
      <c r="D5" s="105">
        <v>0.72222222222222221</v>
      </c>
      <c r="E5" s="104" t="s">
        <v>951</v>
      </c>
      <c r="F5" s="104" t="s">
        <v>158</v>
      </c>
      <c r="G5" s="106">
        <v>0.69440000000000002</v>
      </c>
      <c r="H5" s="107">
        <v>180</v>
      </c>
      <c r="I5" s="107">
        <v>125</v>
      </c>
      <c r="J5" s="107">
        <v>0</v>
      </c>
      <c r="K5" s="103">
        <v>45981</v>
      </c>
      <c r="L5" s="107">
        <v>0</v>
      </c>
      <c r="M5" s="107">
        <v>0</v>
      </c>
      <c r="N5" s="107">
        <v>14</v>
      </c>
      <c r="O5" s="104" t="s">
        <v>860</v>
      </c>
      <c r="P5" s="108"/>
      <c r="Q5" s="107" t="s">
        <v>1009</v>
      </c>
      <c r="R5" s="107" t="s">
        <v>1010</v>
      </c>
      <c r="S5" s="107" t="s">
        <v>897</v>
      </c>
      <c r="T5" s="107" t="s">
        <v>840</v>
      </c>
      <c r="U5" s="108"/>
      <c r="V5" s="107" t="s">
        <v>1011</v>
      </c>
      <c r="W5" s="107" t="s">
        <v>941</v>
      </c>
      <c r="X5" s="107" t="s">
        <v>534</v>
      </c>
      <c r="Y5" s="107" t="s">
        <v>646</v>
      </c>
      <c r="Z5" s="107" t="s">
        <v>249</v>
      </c>
      <c r="AA5" s="107" t="s">
        <v>166</v>
      </c>
      <c r="AB5" s="107" t="s">
        <v>1012</v>
      </c>
      <c r="AC5" s="107" t="s">
        <v>647</v>
      </c>
      <c r="AD5" s="107" t="s">
        <v>894</v>
      </c>
      <c r="AE5" s="107" t="s">
        <v>233</v>
      </c>
      <c r="AF5" s="108"/>
      <c r="AG5" s="108"/>
      <c r="AH5" s="108"/>
      <c r="AI5" s="108"/>
    </row>
    <row r="6" spans="1:35" ht="18" x14ac:dyDescent="0.3">
      <c r="A6" s="109" t="s">
        <v>189</v>
      </c>
      <c r="B6" s="110"/>
      <c r="C6" s="111">
        <f>COUNTA(C2:C5)</f>
        <v>4</v>
      </c>
      <c r="D6" s="110"/>
      <c r="E6" s="110"/>
      <c r="F6" s="110"/>
      <c r="G6" s="112">
        <f>AVERAGE(G2:G5)</f>
        <v>0.73055000000000003</v>
      </c>
      <c r="H6" s="113">
        <f>SUM(H2:H5)</f>
        <v>720</v>
      </c>
      <c r="I6" s="113">
        <f>SUM(I2:I5)</f>
        <v>526</v>
      </c>
      <c r="J6" s="113">
        <f>SUM(J2:J5)</f>
        <v>0</v>
      </c>
      <c r="K6" s="110"/>
      <c r="L6" s="113">
        <f>SUM(L2:L5)</f>
        <v>2</v>
      </c>
      <c r="M6" s="113">
        <f>SUM(M2:M5)</f>
        <v>21</v>
      </c>
      <c r="N6" s="113">
        <f>SUM(N2:N5)</f>
        <v>131</v>
      </c>
      <c r="O6" s="110"/>
      <c r="P6" s="113">
        <f t="shared" ref="P6:AI6" si="0">SUMPRODUCT(--IFERROR(VALUE(SUBSTITUTE(SUBSTITUTE(SUBSTITUTE(SUBSTITUTE(SUBSTITUTE(SUBSTITUTE(SUBSTITUTE(SUBSTITUTE(SUBSTITUTE(SUBSTITUTE(SUBSTITUTE(SUBSTITUTE(SUBSTITUTE(SUBSTITUTE(SUBSTITUTE(SUBSTITUTE(SUBSTITUTE(SUBSTITUTE(SUBSTITUTE(SUBSTITUTE(P2:P5,"Y",""),"B",""),"M",""),"H",""),"Q",""),"K",""),"V",""),"L",""),"G",""),"S",""),"W",""),"T",""),"X",""),"U",""),"O",""),"I",""),"E",""),"A",""),"P",""),"N","")),0))</f>
        <v>0</v>
      </c>
      <c r="Q6" s="113">
        <f t="shared" si="0"/>
        <v>0</v>
      </c>
      <c r="R6" s="113">
        <f t="shared" si="0"/>
        <v>0</v>
      </c>
      <c r="S6" s="113">
        <f t="shared" si="0"/>
        <v>0</v>
      </c>
      <c r="T6" s="113">
        <f t="shared" si="0"/>
        <v>0</v>
      </c>
      <c r="U6" s="113">
        <f t="shared" si="0"/>
        <v>0</v>
      </c>
      <c r="V6" s="113">
        <f t="shared" si="0"/>
        <v>0</v>
      </c>
      <c r="W6" s="113">
        <f t="shared" si="0"/>
        <v>0</v>
      </c>
      <c r="X6" s="113">
        <f t="shared" si="0"/>
        <v>0</v>
      </c>
      <c r="Y6" s="113">
        <f t="shared" si="0"/>
        <v>0</v>
      </c>
      <c r="Z6" s="113">
        <f t="shared" si="0"/>
        <v>0</v>
      </c>
      <c r="AA6" s="113">
        <f t="shared" si="0"/>
        <v>0</v>
      </c>
      <c r="AB6" s="113">
        <f t="shared" si="0"/>
        <v>0</v>
      </c>
      <c r="AC6" s="113">
        <f t="shared" si="0"/>
        <v>0</v>
      </c>
      <c r="AD6" s="113">
        <f t="shared" si="0"/>
        <v>0</v>
      </c>
      <c r="AE6" s="113">
        <f t="shared" si="0"/>
        <v>0</v>
      </c>
      <c r="AF6" s="113">
        <f t="shared" si="0"/>
        <v>0</v>
      </c>
      <c r="AG6" s="113">
        <f t="shared" si="0"/>
        <v>0</v>
      </c>
      <c r="AH6" s="113">
        <f t="shared" si="0"/>
        <v>0</v>
      </c>
      <c r="AI6" s="113">
        <f t="shared" si="0"/>
        <v>0</v>
      </c>
    </row>
  </sheetData>
  <autoFilter ref="A1:AI5" xr:uid="{00000000-0009-0000-0000-000026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98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25</v>
      </c>
      <c r="C2" s="117" t="s">
        <v>952</v>
      </c>
      <c r="D2" s="116" t="s">
        <v>951</v>
      </c>
      <c r="E2" s="118">
        <v>1.447916666666667</v>
      </c>
      <c r="F2" s="116" t="s">
        <v>27</v>
      </c>
      <c r="G2" s="119">
        <v>1</v>
      </c>
      <c r="H2" s="120" t="s">
        <v>29</v>
      </c>
    </row>
    <row r="3" spans="1:8" ht="18" x14ac:dyDescent="0.3">
      <c r="A3" s="121">
        <v>45985</v>
      </c>
      <c r="B3" s="122" t="s">
        <v>25</v>
      </c>
      <c r="C3" s="123" t="s">
        <v>952</v>
      </c>
      <c r="D3" s="122" t="s">
        <v>951</v>
      </c>
      <c r="E3" s="124">
        <v>1.447916666666667</v>
      </c>
      <c r="F3" s="122" t="s">
        <v>30</v>
      </c>
      <c r="G3" s="125">
        <v>1</v>
      </c>
      <c r="H3" s="122" t="s">
        <v>32</v>
      </c>
    </row>
    <row r="4" spans="1:8" ht="18" x14ac:dyDescent="0.3">
      <c r="A4" s="121">
        <v>45985</v>
      </c>
      <c r="B4" s="122" t="s">
        <v>25</v>
      </c>
      <c r="C4" s="123" t="s">
        <v>952</v>
      </c>
      <c r="D4" s="122" t="s">
        <v>951</v>
      </c>
      <c r="E4" s="124">
        <v>1.447916666666667</v>
      </c>
      <c r="F4" s="122" t="s">
        <v>33</v>
      </c>
      <c r="G4" s="125">
        <v>1</v>
      </c>
      <c r="H4" s="122" t="s">
        <v>279</v>
      </c>
    </row>
    <row r="5" spans="1:8" ht="18" x14ac:dyDescent="0.3">
      <c r="A5" s="126">
        <v>45985</v>
      </c>
      <c r="B5" s="116" t="s">
        <v>54</v>
      </c>
      <c r="C5" s="117" t="s">
        <v>953</v>
      </c>
      <c r="D5" s="116" t="s">
        <v>951</v>
      </c>
      <c r="E5" s="118">
        <v>1.336805555555556</v>
      </c>
      <c r="F5" s="116" t="s">
        <v>56</v>
      </c>
      <c r="G5" s="119">
        <v>2</v>
      </c>
      <c r="H5" s="116" t="s">
        <v>771</v>
      </c>
    </row>
    <row r="6" spans="1:8" ht="18" x14ac:dyDescent="0.3">
      <c r="A6" s="121">
        <v>45985</v>
      </c>
      <c r="B6" s="122" t="s">
        <v>54</v>
      </c>
      <c r="C6" s="123" t="s">
        <v>953</v>
      </c>
      <c r="D6" s="122" t="s">
        <v>951</v>
      </c>
      <c r="E6" s="124">
        <v>1.336805555555556</v>
      </c>
      <c r="F6" s="122" t="s">
        <v>58</v>
      </c>
      <c r="G6" s="125">
        <v>2</v>
      </c>
      <c r="H6" s="122" t="s">
        <v>823</v>
      </c>
    </row>
    <row r="7" spans="1:8" ht="18" x14ac:dyDescent="0.3">
      <c r="A7" s="121">
        <v>45985</v>
      </c>
      <c r="B7" s="122" t="s">
        <v>54</v>
      </c>
      <c r="C7" s="123" t="s">
        <v>953</v>
      </c>
      <c r="D7" s="122" t="s">
        <v>951</v>
      </c>
      <c r="E7" s="124">
        <v>1.336805555555556</v>
      </c>
      <c r="F7" s="122" t="s">
        <v>60</v>
      </c>
      <c r="G7" s="125">
        <v>2</v>
      </c>
      <c r="H7" s="122" t="s">
        <v>114</v>
      </c>
    </row>
    <row r="8" spans="1:8" ht="18" x14ac:dyDescent="0.3">
      <c r="A8" s="127">
        <v>45985</v>
      </c>
      <c r="B8" s="128" t="s">
        <v>54</v>
      </c>
      <c r="C8" s="129" t="s">
        <v>954</v>
      </c>
      <c r="D8" s="128" t="s">
        <v>951</v>
      </c>
      <c r="E8" s="130">
        <v>1.9722222222222221</v>
      </c>
      <c r="F8" s="128" t="s">
        <v>56</v>
      </c>
      <c r="G8" s="131">
        <v>1</v>
      </c>
      <c r="H8" s="128" t="s">
        <v>771</v>
      </c>
    </row>
    <row r="9" spans="1:8" ht="18" x14ac:dyDescent="0.3">
      <c r="A9" s="121">
        <v>45985</v>
      </c>
      <c r="B9" s="122" t="s">
        <v>54</v>
      </c>
      <c r="C9" s="123" t="s">
        <v>954</v>
      </c>
      <c r="D9" s="122" t="s">
        <v>951</v>
      </c>
      <c r="E9" s="124">
        <v>1.9722222222222221</v>
      </c>
      <c r="F9" s="122" t="s">
        <v>58</v>
      </c>
      <c r="G9" s="125">
        <v>1</v>
      </c>
      <c r="H9" s="122" t="s">
        <v>823</v>
      </c>
    </row>
    <row r="10" spans="1:8" ht="18" x14ac:dyDescent="0.3">
      <c r="A10" s="121">
        <v>45985</v>
      </c>
      <c r="B10" s="122" t="s">
        <v>54</v>
      </c>
      <c r="C10" s="123" t="s">
        <v>954</v>
      </c>
      <c r="D10" s="122" t="s">
        <v>951</v>
      </c>
      <c r="E10" s="124">
        <v>1.9722222222222221</v>
      </c>
      <c r="F10" s="122" t="s">
        <v>60</v>
      </c>
      <c r="G10" s="125">
        <v>1</v>
      </c>
      <c r="H10" s="122" t="s">
        <v>114</v>
      </c>
    </row>
    <row r="11" spans="1:8" ht="18" x14ac:dyDescent="0.3">
      <c r="A11" s="126">
        <v>45985</v>
      </c>
      <c r="B11" s="116" t="s">
        <v>285</v>
      </c>
      <c r="C11" s="117" t="s">
        <v>955</v>
      </c>
      <c r="D11" s="116" t="s">
        <v>951</v>
      </c>
      <c r="E11" s="118">
        <v>1.756944444444444</v>
      </c>
      <c r="F11" s="116" t="s">
        <v>81</v>
      </c>
      <c r="G11" s="119">
        <v>9</v>
      </c>
      <c r="H11" s="116" t="s">
        <v>956</v>
      </c>
    </row>
    <row r="12" spans="1:8" ht="18" x14ac:dyDescent="0.3">
      <c r="A12" s="126">
        <v>45985</v>
      </c>
      <c r="B12" s="116" t="s">
        <v>63</v>
      </c>
      <c r="C12" s="117" t="s">
        <v>957</v>
      </c>
      <c r="D12" s="116" t="s">
        <v>951</v>
      </c>
      <c r="E12" s="118">
        <v>1.979166666666667</v>
      </c>
      <c r="F12" s="116" t="s">
        <v>48</v>
      </c>
      <c r="G12" s="119">
        <v>9</v>
      </c>
      <c r="H12" s="116" t="s">
        <v>958</v>
      </c>
    </row>
    <row r="13" spans="1:8" ht="18" x14ac:dyDescent="0.3">
      <c r="A13" s="127">
        <v>45985</v>
      </c>
      <c r="B13" s="128" t="s">
        <v>63</v>
      </c>
      <c r="C13" s="129" t="s">
        <v>959</v>
      </c>
      <c r="D13" s="128" t="s">
        <v>951</v>
      </c>
      <c r="E13" s="130">
        <v>1.3263888888888891</v>
      </c>
      <c r="F13" s="128" t="s">
        <v>48</v>
      </c>
      <c r="G13" s="131">
        <v>8</v>
      </c>
      <c r="H13" s="128" t="s">
        <v>960</v>
      </c>
    </row>
    <row r="14" spans="1:8" ht="18" x14ac:dyDescent="0.3">
      <c r="A14" s="127">
        <v>45985</v>
      </c>
      <c r="B14" s="128" t="s">
        <v>63</v>
      </c>
      <c r="C14" s="129" t="s">
        <v>961</v>
      </c>
      <c r="D14" s="128" t="s">
        <v>951</v>
      </c>
      <c r="E14" s="130">
        <v>1.694444444444444</v>
      </c>
      <c r="F14" s="128" t="s">
        <v>48</v>
      </c>
      <c r="G14" s="131">
        <v>9</v>
      </c>
      <c r="H14" s="128" t="s">
        <v>960</v>
      </c>
    </row>
    <row r="15" spans="1:8" ht="18" x14ac:dyDescent="0.3">
      <c r="A15" s="189">
        <v>45985</v>
      </c>
      <c r="B15" s="190" t="s">
        <v>35</v>
      </c>
      <c r="C15" s="191" t="s">
        <v>962</v>
      </c>
      <c r="D15" s="190" t="s">
        <v>951</v>
      </c>
      <c r="E15" s="192">
        <v>1.447916666666667</v>
      </c>
      <c r="F15" s="190" t="s">
        <v>42</v>
      </c>
      <c r="G15" s="193">
        <v>4</v>
      </c>
      <c r="H15" s="190" t="s">
        <v>836</v>
      </c>
    </row>
    <row r="16" spans="1:8" ht="18" x14ac:dyDescent="0.3">
      <c r="A16" s="115">
        <v>45986</v>
      </c>
      <c r="B16" s="116" t="s">
        <v>360</v>
      </c>
      <c r="C16" s="117" t="s">
        <v>963</v>
      </c>
      <c r="D16" s="116" t="s">
        <v>951</v>
      </c>
      <c r="E16" s="118">
        <v>1.881944444444444</v>
      </c>
      <c r="F16" s="116" t="s">
        <v>81</v>
      </c>
      <c r="G16" s="119">
        <v>1</v>
      </c>
      <c r="H16" s="120" t="s">
        <v>964</v>
      </c>
    </row>
    <row r="17" spans="1:8" ht="18" x14ac:dyDescent="0.3">
      <c r="A17" s="126">
        <v>45986</v>
      </c>
      <c r="B17" s="116" t="s">
        <v>25</v>
      </c>
      <c r="C17" s="117" t="s">
        <v>952</v>
      </c>
      <c r="D17" s="116" t="s">
        <v>951</v>
      </c>
      <c r="E17" s="118">
        <v>1.447916666666667</v>
      </c>
      <c r="F17" s="116" t="s">
        <v>27</v>
      </c>
      <c r="G17" s="119">
        <v>3</v>
      </c>
      <c r="H17" s="116" t="s">
        <v>822</v>
      </c>
    </row>
    <row r="18" spans="1:8" ht="18" x14ac:dyDescent="0.3">
      <c r="A18" s="121">
        <v>45986</v>
      </c>
      <c r="B18" s="122" t="s">
        <v>25</v>
      </c>
      <c r="C18" s="123" t="s">
        <v>952</v>
      </c>
      <c r="D18" s="122" t="s">
        <v>951</v>
      </c>
      <c r="E18" s="124">
        <v>1.447916666666667</v>
      </c>
      <c r="F18" s="122" t="s">
        <v>30</v>
      </c>
      <c r="G18" s="125">
        <v>3</v>
      </c>
      <c r="H18" s="122" t="s">
        <v>823</v>
      </c>
    </row>
    <row r="19" spans="1:8" ht="18" x14ac:dyDescent="0.3">
      <c r="A19" s="121">
        <v>45986</v>
      </c>
      <c r="B19" s="122" t="s">
        <v>25</v>
      </c>
      <c r="C19" s="123" t="s">
        <v>952</v>
      </c>
      <c r="D19" s="122" t="s">
        <v>951</v>
      </c>
      <c r="E19" s="124">
        <v>1.447916666666667</v>
      </c>
      <c r="F19" s="122" t="s">
        <v>33</v>
      </c>
      <c r="G19" s="125">
        <v>3</v>
      </c>
      <c r="H19" s="122" t="s">
        <v>416</v>
      </c>
    </row>
    <row r="20" spans="1:8" ht="18" x14ac:dyDescent="0.3">
      <c r="A20" s="136">
        <v>45986</v>
      </c>
      <c r="B20" s="137" t="s">
        <v>71</v>
      </c>
      <c r="C20" s="138" t="s">
        <v>965</v>
      </c>
      <c r="D20" s="137" t="s">
        <v>951</v>
      </c>
      <c r="E20" s="139">
        <v>1.069444444444444</v>
      </c>
      <c r="F20" s="137" t="s">
        <v>81</v>
      </c>
      <c r="G20" s="140">
        <v>6</v>
      </c>
      <c r="H20" s="137" t="s">
        <v>966</v>
      </c>
    </row>
    <row r="21" spans="1:8" ht="18" x14ac:dyDescent="0.3">
      <c r="A21" s="126">
        <v>45986</v>
      </c>
      <c r="B21" s="116" t="s">
        <v>54</v>
      </c>
      <c r="C21" s="117" t="s">
        <v>954</v>
      </c>
      <c r="D21" s="116" t="s">
        <v>951</v>
      </c>
      <c r="E21" s="118">
        <v>1.9722222222222221</v>
      </c>
      <c r="F21" s="116" t="s">
        <v>56</v>
      </c>
      <c r="G21" s="119">
        <v>1</v>
      </c>
      <c r="H21" s="116" t="s">
        <v>771</v>
      </c>
    </row>
    <row r="22" spans="1:8" ht="18" x14ac:dyDescent="0.3">
      <c r="A22" s="121">
        <v>45986</v>
      </c>
      <c r="B22" s="122" t="s">
        <v>54</v>
      </c>
      <c r="C22" s="123" t="s">
        <v>954</v>
      </c>
      <c r="D22" s="122" t="s">
        <v>951</v>
      </c>
      <c r="E22" s="124">
        <v>1.9722222222222221</v>
      </c>
      <c r="F22" s="122" t="s">
        <v>58</v>
      </c>
      <c r="G22" s="125">
        <v>1</v>
      </c>
      <c r="H22" s="122" t="s">
        <v>823</v>
      </c>
    </row>
    <row r="23" spans="1:8" ht="18" x14ac:dyDescent="0.3">
      <c r="A23" s="121">
        <v>45986</v>
      </c>
      <c r="B23" s="122" t="s">
        <v>54</v>
      </c>
      <c r="C23" s="123" t="s">
        <v>954</v>
      </c>
      <c r="D23" s="122" t="s">
        <v>951</v>
      </c>
      <c r="E23" s="124">
        <v>1.9722222222222221</v>
      </c>
      <c r="F23" s="122" t="s">
        <v>60</v>
      </c>
      <c r="G23" s="125">
        <v>1</v>
      </c>
      <c r="H23" s="122" t="s">
        <v>114</v>
      </c>
    </row>
    <row r="24" spans="1:8" ht="18" x14ac:dyDescent="0.3">
      <c r="A24" s="127">
        <v>45986</v>
      </c>
      <c r="B24" s="128" t="s">
        <v>54</v>
      </c>
      <c r="C24" s="129" t="s">
        <v>953</v>
      </c>
      <c r="D24" s="128" t="s">
        <v>951</v>
      </c>
      <c r="E24" s="130">
        <v>1.336805555555556</v>
      </c>
      <c r="F24" s="128" t="s">
        <v>969</v>
      </c>
      <c r="G24" s="131">
        <v>2</v>
      </c>
      <c r="H24" s="128" t="s">
        <v>632</v>
      </c>
    </row>
    <row r="25" spans="1:8" ht="18" x14ac:dyDescent="0.3">
      <c r="A25" s="126">
        <v>45986</v>
      </c>
      <c r="B25" s="116" t="s">
        <v>285</v>
      </c>
      <c r="C25" s="117" t="s">
        <v>970</v>
      </c>
      <c r="D25" s="116" t="s">
        <v>951</v>
      </c>
      <c r="E25" s="118">
        <v>1.756944444444444</v>
      </c>
      <c r="F25" s="116" t="s">
        <v>81</v>
      </c>
      <c r="G25" s="119">
        <v>9</v>
      </c>
      <c r="H25" s="116" t="s">
        <v>593</v>
      </c>
    </row>
    <row r="26" spans="1:8" ht="18" x14ac:dyDescent="0.3">
      <c r="A26" s="126">
        <v>45986</v>
      </c>
      <c r="B26" s="116" t="s">
        <v>63</v>
      </c>
      <c r="C26" s="117" t="s">
        <v>959</v>
      </c>
      <c r="D26" s="116" t="s">
        <v>951</v>
      </c>
      <c r="E26" s="118">
        <v>1.336805555555556</v>
      </c>
      <c r="F26" s="116" t="s">
        <v>48</v>
      </c>
      <c r="G26" s="119">
        <v>8</v>
      </c>
      <c r="H26" s="116" t="s">
        <v>960</v>
      </c>
    </row>
    <row r="27" spans="1:8" ht="18" x14ac:dyDescent="0.3">
      <c r="A27" s="127">
        <v>45986</v>
      </c>
      <c r="B27" s="128" t="s">
        <v>63</v>
      </c>
      <c r="C27" s="129" t="s">
        <v>957</v>
      </c>
      <c r="D27" s="128" t="s">
        <v>951</v>
      </c>
      <c r="E27" s="130">
        <v>1.979166666666667</v>
      </c>
      <c r="F27" s="128" t="s">
        <v>48</v>
      </c>
      <c r="G27" s="131">
        <v>8</v>
      </c>
      <c r="H27" s="128" t="s">
        <v>971</v>
      </c>
    </row>
    <row r="28" spans="1:8" ht="18" x14ac:dyDescent="0.3">
      <c r="A28" s="127">
        <v>45986</v>
      </c>
      <c r="B28" s="128" t="s">
        <v>63</v>
      </c>
      <c r="C28" s="129" t="s">
        <v>961</v>
      </c>
      <c r="D28" s="128" t="s">
        <v>951</v>
      </c>
      <c r="E28" s="130">
        <v>1.6736111111111109</v>
      </c>
      <c r="F28" s="128" t="s">
        <v>48</v>
      </c>
      <c r="G28" s="131">
        <v>5</v>
      </c>
      <c r="H28" s="128" t="s">
        <v>972</v>
      </c>
    </row>
    <row r="29" spans="1:8" ht="18" x14ac:dyDescent="0.3">
      <c r="A29" s="189">
        <v>45986</v>
      </c>
      <c r="B29" s="190" t="s">
        <v>35</v>
      </c>
      <c r="C29" s="191" t="s">
        <v>962</v>
      </c>
      <c r="D29" s="190" t="s">
        <v>951</v>
      </c>
      <c r="E29" s="192">
        <v>1.447916666666667</v>
      </c>
      <c r="F29" s="190" t="s">
        <v>42</v>
      </c>
      <c r="G29" s="193">
        <v>4</v>
      </c>
      <c r="H29" s="190" t="s">
        <v>844</v>
      </c>
    </row>
    <row r="30" spans="1:8" ht="18" x14ac:dyDescent="0.3">
      <c r="A30" s="115">
        <v>45987</v>
      </c>
      <c r="B30" s="116" t="s">
        <v>25</v>
      </c>
      <c r="C30" s="117" t="s">
        <v>952</v>
      </c>
      <c r="D30" s="116" t="s">
        <v>951</v>
      </c>
      <c r="E30" s="118">
        <v>1.447916666666667</v>
      </c>
      <c r="F30" s="116" t="s">
        <v>27</v>
      </c>
      <c r="G30" s="119">
        <v>3</v>
      </c>
      <c r="H30" s="120" t="s">
        <v>822</v>
      </c>
    </row>
    <row r="31" spans="1:8" ht="18" x14ac:dyDescent="0.3">
      <c r="A31" s="121">
        <v>45987</v>
      </c>
      <c r="B31" s="122" t="s">
        <v>25</v>
      </c>
      <c r="C31" s="123" t="s">
        <v>952</v>
      </c>
      <c r="D31" s="122" t="s">
        <v>951</v>
      </c>
      <c r="E31" s="124">
        <v>1.447916666666667</v>
      </c>
      <c r="F31" s="122" t="s">
        <v>30</v>
      </c>
      <c r="G31" s="125">
        <v>3</v>
      </c>
      <c r="H31" s="122" t="s">
        <v>823</v>
      </c>
    </row>
    <row r="32" spans="1:8" ht="18" x14ac:dyDescent="0.3">
      <c r="A32" s="121">
        <v>45987</v>
      </c>
      <c r="B32" s="122" t="s">
        <v>25</v>
      </c>
      <c r="C32" s="123" t="s">
        <v>952</v>
      </c>
      <c r="D32" s="122" t="s">
        <v>951</v>
      </c>
      <c r="E32" s="124">
        <v>1.447916666666667</v>
      </c>
      <c r="F32" s="122" t="s">
        <v>33</v>
      </c>
      <c r="G32" s="125">
        <v>3</v>
      </c>
      <c r="H32" s="122" t="s">
        <v>416</v>
      </c>
    </row>
    <row r="33" spans="1:8" ht="18" x14ac:dyDescent="0.3">
      <c r="A33" s="126">
        <v>45987</v>
      </c>
      <c r="B33" s="116" t="s">
        <v>54</v>
      </c>
      <c r="C33" s="117" t="s">
        <v>954</v>
      </c>
      <c r="D33" s="116" t="s">
        <v>951</v>
      </c>
      <c r="E33" s="118">
        <v>1.9722222222222221</v>
      </c>
      <c r="F33" s="116" t="s">
        <v>56</v>
      </c>
      <c r="G33" s="119">
        <v>1</v>
      </c>
      <c r="H33" s="116" t="s">
        <v>771</v>
      </c>
    </row>
    <row r="34" spans="1:8" ht="18" x14ac:dyDescent="0.3">
      <c r="A34" s="121">
        <v>45987</v>
      </c>
      <c r="B34" s="122" t="s">
        <v>54</v>
      </c>
      <c r="C34" s="123" t="s">
        <v>954</v>
      </c>
      <c r="D34" s="122" t="s">
        <v>951</v>
      </c>
      <c r="E34" s="124">
        <v>1.9722222222222221</v>
      </c>
      <c r="F34" s="122" t="s">
        <v>58</v>
      </c>
      <c r="G34" s="125">
        <v>1</v>
      </c>
      <c r="H34" s="122" t="s">
        <v>823</v>
      </c>
    </row>
    <row r="35" spans="1:8" ht="18" x14ac:dyDescent="0.3">
      <c r="A35" s="121">
        <v>45987</v>
      </c>
      <c r="B35" s="122" t="s">
        <v>54</v>
      </c>
      <c r="C35" s="123" t="s">
        <v>954</v>
      </c>
      <c r="D35" s="122" t="s">
        <v>951</v>
      </c>
      <c r="E35" s="124">
        <v>1.9722222222222221</v>
      </c>
      <c r="F35" s="122" t="s">
        <v>60</v>
      </c>
      <c r="G35" s="125">
        <v>1</v>
      </c>
      <c r="H35" s="122" t="s">
        <v>114</v>
      </c>
    </row>
    <row r="36" spans="1:8" ht="18" x14ac:dyDescent="0.3">
      <c r="A36" s="126">
        <v>45987</v>
      </c>
      <c r="B36" s="116" t="s">
        <v>285</v>
      </c>
      <c r="C36" s="117" t="s">
        <v>955</v>
      </c>
      <c r="D36" s="116" t="s">
        <v>951</v>
      </c>
      <c r="E36" s="118">
        <v>1.697916666666667</v>
      </c>
      <c r="F36" s="116" t="s">
        <v>81</v>
      </c>
      <c r="G36" s="119">
        <v>7</v>
      </c>
      <c r="H36" s="116" t="s">
        <v>593</v>
      </c>
    </row>
    <row r="37" spans="1:8" ht="18" x14ac:dyDescent="0.3">
      <c r="A37" s="126">
        <v>45987</v>
      </c>
      <c r="B37" s="116" t="s">
        <v>63</v>
      </c>
      <c r="C37" s="117" t="s">
        <v>959</v>
      </c>
      <c r="D37" s="116" t="s">
        <v>951</v>
      </c>
      <c r="E37" s="118">
        <v>1.336805555555556</v>
      </c>
      <c r="F37" s="116" t="s">
        <v>48</v>
      </c>
      <c r="G37" s="119">
        <v>9</v>
      </c>
      <c r="H37" s="116" t="s">
        <v>973</v>
      </c>
    </row>
    <row r="38" spans="1:8" ht="18" x14ac:dyDescent="0.3">
      <c r="A38" s="127">
        <v>45987</v>
      </c>
      <c r="B38" s="128" t="s">
        <v>63</v>
      </c>
      <c r="C38" s="129" t="s">
        <v>961</v>
      </c>
      <c r="D38" s="128" t="s">
        <v>951</v>
      </c>
      <c r="E38" s="130">
        <v>1.677083333333333</v>
      </c>
      <c r="F38" s="128" t="s">
        <v>48</v>
      </c>
      <c r="G38" s="131">
        <v>3</v>
      </c>
      <c r="H38" s="128" t="s">
        <v>974</v>
      </c>
    </row>
    <row r="39" spans="1:8" ht="18" x14ac:dyDescent="0.3">
      <c r="A39" s="189">
        <v>45987</v>
      </c>
      <c r="B39" s="190" t="s">
        <v>35</v>
      </c>
      <c r="C39" s="191" t="s">
        <v>962</v>
      </c>
      <c r="D39" s="190" t="s">
        <v>951</v>
      </c>
      <c r="E39" s="192">
        <v>1.447916666666667</v>
      </c>
      <c r="F39" s="190" t="s">
        <v>42</v>
      </c>
      <c r="G39" s="193">
        <v>4</v>
      </c>
      <c r="H39" s="190" t="s">
        <v>844</v>
      </c>
    </row>
    <row r="40" spans="1:8" ht="18" x14ac:dyDescent="0.3">
      <c r="A40" s="115">
        <v>45988</v>
      </c>
      <c r="B40" s="116" t="s">
        <v>360</v>
      </c>
      <c r="C40" s="117" t="s">
        <v>975</v>
      </c>
      <c r="D40" s="116" t="s">
        <v>951</v>
      </c>
      <c r="E40" s="118">
        <v>1.0763888888888891</v>
      </c>
      <c r="F40" s="116" t="s">
        <v>81</v>
      </c>
      <c r="G40" s="119">
        <v>1</v>
      </c>
      <c r="H40" s="120" t="s">
        <v>976</v>
      </c>
    </row>
    <row r="41" spans="1:8" ht="18" x14ac:dyDescent="0.3">
      <c r="A41" s="127">
        <v>45988</v>
      </c>
      <c r="B41" s="128" t="s">
        <v>360</v>
      </c>
      <c r="C41" s="129" t="s">
        <v>977</v>
      </c>
      <c r="D41" s="128" t="s">
        <v>951</v>
      </c>
      <c r="E41" s="130">
        <v>1.9652777777777779</v>
      </c>
      <c r="F41" s="128" t="s">
        <v>81</v>
      </c>
      <c r="G41" s="131">
        <v>1</v>
      </c>
      <c r="H41" s="128" t="s">
        <v>964</v>
      </c>
    </row>
    <row r="42" spans="1:8" ht="18" x14ac:dyDescent="0.3">
      <c r="A42" s="127">
        <v>45988</v>
      </c>
      <c r="B42" s="128" t="s">
        <v>360</v>
      </c>
      <c r="C42" s="129" t="s">
        <v>963</v>
      </c>
      <c r="D42" s="128" t="s">
        <v>951</v>
      </c>
      <c r="E42" s="130">
        <v>1.680555555555556</v>
      </c>
      <c r="F42" s="128" t="s">
        <v>81</v>
      </c>
      <c r="G42" s="131">
        <v>6</v>
      </c>
      <c r="H42" s="128" t="s">
        <v>108</v>
      </c>
    </row>
    <row r="43" spans="1:8" ht="18" x14ac:dyDescent="0.3">
      <c r="A43" s="126">
        <v>45988</v>
      </c>
      <c r="B43" s="116" t="s">
        <v>54</v>
      </c>
      <c r="C43" s="117" t="s">
        <v>953</v>
      </c>
      <c r="D43" s="116" t="s">
        <v>951</v>
      </c>
      <c r="E43" s="118">
        <v>1.336805555555556</v>
      </c>
      <c r="F43" s="116" t="s">
        <v>56</v>
      </c>
      <c r="G43" s="119">
        <v>9</v>
      </c>
      <c r="H43" s="116" t="s">
        <v>771</v>
      </c>
    </row>
    <row r="44" spans="1:8" ht="18" x14ac:dyDescent="0.3">
      <c r="A44" s="121">
        <v>45988</v>
      </c>
      <c r="B44" s="122" t="s">
        <v>54</v>
      </c>
      <c r="C44" s="123" t="s">
        <v>953</v>
      </c>
      <c r="D44" s="122" t="s">
        <v>951</v>
      </c>
      <c r="E44" s="124">
        <v>1.336805555555556</v>
      </c>
      <c r="F44" s="122" t="s">
        <v>58</v>
      </c>
      <c r="G44" s="125">
        <v>9</v>
      </c>
      <c r="H44" s="122" t="s">
        <v>823</v>
      </c>
    </row>
    <row r="45" spans="1:8" ht="18" x14ac:dyDescent="0.3">
      <c r="A45" s="121">
        <v>45988</v>
      </c>
      <c r="B45" s="122" t="s">
        <v>54</v>
      </c>
      <c r="C45" s="123" t="s">
        <v>953</v>
      </c>
      <c r="D45" s="122" t="s">
        <v>951</v>
      </c>
      <c r="E45" s="124">
        <v>1.336805555555556</v>
      </c>
      <c r="F45" s="122" t="s">
        <v>60</v>
      </c>
      <c r="G45" s="125">
        <v>9</v>
      </c>
      <c r="H45" s="122" t="s">
        <v>114</v>
      </c>
    </row>
    <row r="46" spans="1:8" ht="18" x14ac:dyDescent="0.3">
      <c r="A46" s="127">
        <v>45988</v>
      </c>
      <c r="B46" s="128" t="s">
        <v>54</v>
      </c>
      <c r="C46" s="129" t="s">
        <v>954</v>
      </c>
      <c r="D46" s="128" t="s">
        <v>951</v>
      </c>
      <c r="E46" s="130">
        <v>1.9722222222222221</v>
      </c>
      <c r="F46" s="128" t="s">
        <v>56</v>
      </c>
      <c r="G46" s="131">
        <v>9</v>
      </c>
      <c r="H46" s="128" t="s">
        <v>61</v>
      </c>
    </row>
    <row r="47" spans="1:8" ht="18" x14ac:dyDescent="0.3">
      <c r="A47" s="121">
        <v>45988</v>
      </c>
      <c r="B47" s="122" t="s">
        <v>54</v>
      </c>
      <c r="C47" s="123" t="s">
        <v>954</v>
      </c>
      <c r="D47" s="122" t="s">
        <v>951</v>
      </c>
      <c r="E47" s="124">
        <v>1.9722222222222221</v>
      </c>
      <c r="F47" s="122" t="s">
        <v>58</v>
      </c>
      <c r="G47" s="125">
        <v>9</v>
      </c>
      <c r="H47" s="122" t="s">
        <v>34</v>
      </c>
    </row>
    <row r="48" spans="1:8" ht="18" x14ac:dyDescent="0.3">
      <c r="A48" s="121">
        <v>45988</v>
      </c>
      <c r="B48" s="122" t="s">
        <v>54</v>
      </c>
      <c r="C48" s="123" t="s">
        <v>954</v>
      </c>
      <c r="D48" s="122" t="s">
        <v>951</v>
      </c>
      <c r="E48" s="124">
        <v>1.9722222222222221</v>
      </c>
      <c r="F48" s="122" t="s">
        <v>60</v>
      </c>
      <c r="G48" s="125">
        <v>9</v>
      </c>
      <c r="H48" s="122" t="s">
        <v>978</v>
      </c>
    </row>
    <row r="49" spans="1:8" ht="18" x14ac:dyDescent="0.3">
      <c r="A49" s="126">
        <v>45988</v>
      </c>
      <c r="B49" s="116" t="s">
        <v>285</v>
      </c>
      <c r="C49" s="117" t="s">
        <v>979</v>
      </c>
      <c r="D49" s="116" t="s">
        <v>951</v>
      </c>
      <c r="E49" s="118">
        <v>1.3611111111111109</v>
      </c>
      <c r="F49" s="116" t="s">
        <v>81</v>
      </c>
      <c r="G49" s="119">
        <v>9</v>
      </c>
      <c r="H49" s="116" t="s">
        <v>593</v>
      </c>
    </row>
    <row r="50" spans="1:8" ht="18" x14ac:dyDescent="0.3">
      <c r="A50" s="127">
        <v>45988</v>
      </c>
      <c r="B50" s="128" t="s">
        <v>285</v>
      </c>
      <c r="C50" s="129" t="s">
        <v>970</v>
      </c>
      <c r="D50" s="128" t="s">
        <v>951</v>
      </c>
      <c r="E50" s="130">
        <v>1.756944444444444</v>
      </c>
      <c r="F50" s="128" t="s">
        <v>81</v>
      </c>
      <c r="G50" s="131">
        <v>9</v>
      </c>
      <c r="H50" s="128" t="s">
        <v>956</v>
      </c>
    </row>
    <row r="51" spans="1:8" ht="18" x14ac:dyDescent="0.3">
      <c r="A51" s="126">
        <v>45988</v>
      </c>
      <c r="B51" s="116" t="s">
        <v>25</v>
      </c>
      <c r="C51" s="117" t="s">
        <v>952</v>
      </c>
      <c r="D51" s="116" t="s">
        <v>951</v>
      </c>
      <c r="E51" s="118">
        <v>1.447916666666667</v>
      </c>
      <c r="F51" s="116" t="s">
        <v>27</v>
      </c>
      <c r="G51" s="119">
        <v>2</v>
      </c>
      <c r="H51" s="116" t="s">
        <v>276</v>
      </c>
    </row>
    <row r="52" spans="1:8" ht="18" x14ac:dyDescent="0.3">
      <c r="A52" s="121">
        <v>45988</v>
      </c>
      <c r="B52" s="122" t="s">
        <v>25</v>
      </c>
      <c r="C52" s="123" t="s">
        <v>952</v>
      </c>
      <c r="D52" s="122" t="s">
        <v>951</v>
      </c>
      <c r="E52" s="124">
        <v>1.447916666666667</v>
      </c>
      <c r="F52" s="122" t="s">
        <v>33</v>
      </c>
      <c r="G52" s="125">
        <v>2</v>
      </c>
      <c r="H52" s="122" t="s">
        <v>279</v>
      </c>
    </row>
    <row r="53" spans="1:8" ht="18" x14ac:dyDescent="0.3">
      <c r="A53" s="121">
        <v>45988</v>
      </c>
      <c r="B53" s="122" t="s">
        <v>25</v>
      </c>
      <c r="C53" s="123" t="s">
        <v>952</v>
      </c>
      <c r="D53" s="122" t="s">
        <v>951</v>
      </c>
      <c r="E53" s="124">
        <v>1.447916666666667</v>
      </c>
      <c r="F53" s="122" t="s">
        <v>30</v>
      </c>
      <c r="G53" s="125">
        <v>2</v>
      </c>
      <c r="H53" s="122" t="s">
        <v>119</v>
      </c>
    </row>
    <row r="54" spans="1:8" ht="18" x14ac:dyDescent="0.3">
      <c r="A54" s="136">
        <v>45988</v>
      </c>
      <c r="B54" s="137" t="s">
        <v>71</v>
      </c>
      <c r="C54" s="138" t="s">
        <v>965</v>
      </c>
      <c r="D54" s="137" t="s">
        <v>951</v>
      </c>
      <c r="E54" s="139">
        <v>1.7222222222222221</v>
      </c>
      <c r="F54" s="137" t="s">
        <v>81</v>
      </c>
      <c r="G54" s="140">
        <v>4</v>
      </c>
      <c r="H54" s="137" t="s">
        <v>956</v>
      </c>
    </row>
    <row r="55" spans="1:8" ht="18" x14ac:dyDescent="0.3">
      <c r="A55" s="126">
        <v>45988</v>
      </c>
      <c r="B55" s="116" t="s">
        <v>63</v>
      </c>
      <c r="C55" s="117" t="s">
        <v>957</v>
      </c>
      <c r="D55" s="116" t="s">
        <v>951</v>
      </c>
      <c r="E55" s="118">
        <v>1.979166666666667</v>
      </c>
      <c r="F55" s="116" t="s">
        <v>48</v>
      </c>
      <c r="G55" s="119">
        <v>9</v>
      </c>
      <c r="H55" s="116" t="s">
        <v>972</v>
      </c>
    </row>
    <row r="56" spans="1:8" ht="18" x14ac:dyDescent="0.3">
      <c r="A56" s="127">
        <v>45988</v>
      </c>
      <c r="B56" s="128" t="s">
        <v>63</v>
      </c>
      <c r="C56" s="129" t="s">
        <v>959</v>
      </c>
      <c r="D56" s="128" t="s">
        <v>951</v>
      </c>
      <c r="E56" s="130">
        <v>1.336805555555556</v>
      </c>
      <c r="F56" s="128" t="s">
        <v>48</v>
      </c>
      <c r="G56" s="131">
        <v>9</v>
      </c>
      <c r="H56" s="128" t="s">
        <v>974</v>
      </c>
    </row>
    <row r="57" spans="1:8" ht="18" x14ac:dyDescent="0.3">
      <c r="A57" s="127">
        <v>45988</v>
      </c>
      <c r="B57" s="128" t="s">
        <v>63</v>
      </c>
      <c r="C57" s="129" t="s">
        <v>961</v>
      </c>
      <c r="D57" s="128" t="s">
        <v>951</v>
      </c>
      <c r="E57" s="130">
        <v>1.694444444444444</v>
      </c>
      <c r="F57" s="128" t="s">
        <v>48</v>
      </c>
      <c r="G57" s="131">
        <v>9</v>
      </c>
      <c r="H57" s="128" t="s">
        <v>974</v>
      </c>
    </row>
    <row r="58" spans="1:8" ht="18" x14ac:dyDescent="0.3">
      <c r="A58" s="189">
        <v>45988</v>
      </c>
      <c r="B58" s="190" t="s">
        <v>35</v>
      </c>
      <c r="C58" s="191" t="s">
        <v>962</v>
      </c>
      <c r="D58" s="190" t="s">
        <v>951</v>
      </c>
      <c r="E58" s="192">
        <v>1.447916666666667</v>
      </c>
      <c r="F58" s="190" t="s">
        <v>42</v>
      </c>
      <c r="G58" s="193">
        <v>4</v>
      </c>
      <c r="H58" s="190" t="s">
        <v>981</v>
      </c>
    </row>
    <row r="59" spans="1:8" ht="18" x14ac:dyDescent="0.3">
      <c r="A59" s="115">
        <v>45989</v>
      </c>
      <c r="B59" s="116" t="s">
        <v>360</v>
      </c>
      <c r="C59" s="117" t="s">
        <v>963</v>
      </c>
      <c r="D59" s="116" t="s">
        <v>951</v>
      </c>
      <c r="E59" s="118">
        <v>1.9652777777777779</v>
      </c>
      <c r="F59" s="116" t="s">
        <v>81</v>
      </c>
      <c r="G59" s="119">
        <v>3</v>
      </c>
      <c r="H59" s="120" t="s">
        <v>982</v>
      </c>
    </row>
    <row r="60" spans="1:8" ht="18" x14ac:dyDescent="0.3">
      <c r="A60" s="136">
        <v>45989</v>
      </c>
      <c r="B60" s="137" t="s">
        <v>71</v>
      </c>
      <c r="C60" s="138" t="s">
        <v>965</v>
      </c>
      <c r="D60" s="137" t="s">
        <v>951</v>
      </c>
      <c r="E60" s="139">
        <v>1.381944444444444</v>
      </c>
      <c r="F60" s="137" t="s">
        <v>81</v>
      </c>
      <c r="G60" s="140">
        <v>9</v>
      </c>
      <c r="H60" s="137" t="s">
        <v>956</v>
      </c>
    </row>
    <row r="61" spans="1:8" ht="18" x14ac:dyDescent="0.3">
      <c r="A61" s="126">
        <v>45989</v>
      </c>
      <c r="B61" s="116" t="s">
        <v>25</v>
      </c>
      <c r="C61" s="117" t="s">
        <v>952</v>
      </c>
      <c r="D61" s="116" t="s">
        <v>951</v>
      </c>
      <c r="E61" s="118">
        <v>1.447916666666667</v>
      </c>
      <c r="F61" s="116" t="s">
        <v>27</v>
      </c>
      <c r="G61" s="119">
        <v>9</v>
      </c>
      <c r="H61" s="116" t="s">
        <v>984</v>
      </c>
    </row>
    <row r="62" spans="1:8" ht="18" x14ac:dyDescent="0.3">
      <c r="A62" s="121">
        <v>45989</v>
      </c>
      <c r="B62" s="122" t="s">
        <v>25</v>
      </c>
      <c r="C62" s="123" t="s">
        <v>952</v>
      </c>
      <c r="D62" s="122" t="s">
        <v>951</v>
      </c>
      <c r="E62" s="124">
        <v>1.447916666666667</v>
      </c>
      <c r="F62" s="122" t="s">
        <v>30</v>
      </c>
      <c r="G62" s="125">
        <v>9</v>
      </c>
      <c r="H62" s="122" t="s">
        <v>985</v>
      </c>
    </row>
    <row r="63" spans="1:8" ht="18" x14ac:dyDescent="0.3">
      <c r="A63" s="121">
        <v>45989</v>
      </c>
      <c r="B63" s="122" t="s">
        <v>25</v>
      </c>
      <c r="C63" s="123" t="s">
        <v>952</v>
      </c>
      <c r="D63" s="122" t="s">
        <v>951</v>
      </c>
      <c r="E63" s="124">
        <v>1.447916666666667</v>
      </c>
      <c r="F63" s="122" t="s">
        <v>33</v>
      </c>
      <c r="G63" s="125">
        <v>9</v>
      </c>
      <c r="H63" s="122" t="s">
        <v>986</v>
      </c>
    </row>
    <row r="64" spans="1:8" ht="18" x14ac:dyDescent="0.3">
      <c r="A64" s="126">
        <v>45989</v>
      </c>
      <c r="B64" s="116" t="s">
        <v>285</v>
      </c>
      <c r="C64" s="117" t="s">
        <v>955</v>
      </c>
      <c r="D64" s="116" t="s">
        <v>951</v>
      </c>
      <c r="E64" s="118">
        <v>1.756944444444444</v>
      </c>
      <c r="F64" s="116" t="s">
        <v>81</v>
      </c>
      <c r="G64" s="119">
        <v>9</v>
      </c>
      <c r="H64" s="116" t="s">
        <v>987</v>
      </c>
    </row>
    <row r="65" spans="1:8" ht="18" x14ac:dyDescent="0.3">
      <c r="A65" s="126">
        <v>45989</v>
      </c>
      <c r="B65" s="116" t="s">
        <v>54</v>
      </c>
      <c r="C65" s="117" t="s">
        <v>954</v>
      </c>
      <c r="D65" s="116" t="s">
        <v>951</v>
      </c>
      <c r="E65" s="118">
        <v>1.9722222222222221</v>
      </c>
      <c r="F65" s="116" t="s">
        <v>56</v>
      </c>
      <c r="G65" s="119">
        <v>9</v>
      </c>
      <c r="H65" s="116" t="s">
        <v>404</v>
      </c>
    </row>
    <row r="66" spans="1:8" ht="18" x14ac:dyDescent="0.3">
      <c r="A66" s="121">
        <v>45989</v>
      </c>
      <c r="B66" s="122" t="s">
        <v>54</v>
      </c>
      <c r="C66" s="123" t="s">
        <v>954</v>
      </c>
      <c r="D66" s="122" t="s">
        <v>951</v>
      </c>
      <c r="E66" s="124">
        <v>1.9722222222222221</v>
      </c>
      <c r="F66" s="122" t="s">
        <v>58</v>
      </c>
      <c r="G66" s="125">
        <v>9</v>
      </c>
      <c r="H66" s="122" t="s">
        <v>852</v>
      </c>
    </row>
    <row r="67" spans="1:8" ht="18" x14ac:dyDescent="0.3">
      <c r="A67" s="121">
        <v>45989</v>
      </c>
      <c r="B67" s="122" t="s">
        <v>54</v>
      </c>
      <c r="C67" s="123" t="s">
        <v>954</v>
      </c>
      <c r="D67" s="122" t="s">
        <v>951</v>
      </c>
      <c r="E67" s="124">
        <v>1.9722222222222221</v>
      </c>
      <c r="F67" s="122" t="s">
        <v>60</v>
      </c>
      <c r="G67" s="125">
        <v>9</v>
      </c>
      <c r="H67" s="122" t="s">
        <v>853</v>
      </c>
    </row>
    <row r="68" spans="1:8" ht="18" x14ac:dyDescent="0.3">
      <c r="A68" s="126">
        <v>45989</v>
      </c>
      <c r="B68" s="116" t="s">
        <v>63</v>
      </c>
      <c r="C68" s="117" t="s">
        <v>957</v>
      </c>
      <c r="D68" s="116" t="s">
        <v>951</v>
      </c>
      <c r="E68" s="118">
        <v>1.979166666666667</v>
      </c>
      <c r="F68" s="116" t="s">
        <v>48</v>
      </c>
      <c r="G68" s="119">
        <v>9</v>
      </c>
      <c r="H68" s="116" t="s">
        <v>974</v>
      </c>
    </row>
    <row r="69" spans="1:8" ht="18" x14ac:dyDescent="0.3">
      <c r="A69" s="127">
        <v>45989</v>
      </c>
      <c r="B69" s="128" t="s">
        <v>63</v>
      </c>
      <c r="C69" s="129" t="s">
        <v>959</v>
      </c>
      <c r="D69" s="128" t="s">
        <v>951</v>
      </c>
      <c r="E69" s="130">
        <v>1.3263888888888891</v>
      </c>
      <c r="F69" s="128" t="s">
        <v>48</v>
      </c>
      <c r="G69" s="131">
        <v>9</v>
      </c>
      <c r="H69" s="128" t="s">
        <v>988</v>
      </c>
    </row>
    <row r="70" spans="1:8" ht="18" x14ac:dyDescent="0.3">
      <c r="A70" s="189">
        <v>45989</v>
      </c>
      <c r="B70" s="190" t="s">
        <v>35</v>
      </c>
      <c r="C70" s="191" t="s">
        <v>962</v>
      </c>
      <c r="D70" s="190" t="s">
        <v>951</v>
      </c>
      <c r="E70" s="192">
        <v>1.447916666666667</v>
      </c>
      <c r="F70" s="190" t="s">
        <v>42</v>
      </c>
      <c r="G70" s="193">
        <v>4</v>
      </c>
      <c r="H70" s="190" t="s">
        <v>981</v>
      </c>
    </row>
    <row r="71" spans="1:8" ht="18" x14ac:dyDescent="0.3">
      <c r="A71" s="115">
        <v>45990</v>
      </c>
      <c r="B71" s="116" t="s">
        <v>285</v>
      </c>
      <c r="C71" s="117" t="s">
        <v>989</v>
      </c>
      <c r="D71" s="116" t="s">
        <v>951</v>
      </c>
      <c r="E71" s="118">
        <v>1.961805555555556</v>
      </c>
      <c r="F71" s="116" t="s">
        <v>81</v>
      </c>
      <c r="G71" s="119">
        <v>9</v>
      </c>
      <c r="H71" s="120" t="s">
        <v>956</v>
      </c>
    </row>
    <row r="72" spans="1:8" ht="18" x14ac:dyDescent="0.3">
      <c r="A72" s="127">
        <v>45990</v>
      </c>
      <c r="B72" s="128" t="s">
        <v>285</v>
      </c>
      <c r="C72" s="129" t="s">
        <v>970</v>
      </c>
      <c r="D72" s="128" t="s">
        <v>951</v>
      </c>
      <c r="E72" s="130">
        <v>1.694444444444444</v>
      </c>
      <c r="F72" s="128" t="s">
        <v>81</v>
      </c>
      <c r="G72" s="131">
        <v>9</v>
      </c>
      <c r="H72" s="128" t="s">
        <v>115</v>
      </c>
    </row>
    <row r="73" spans="1:8" ht="18" x14ac:dyDescent="0.3">
      <c r="A73" s="126">
        <v>45990</v>
      </c>
      <c r="B73" s="116" t="s">
        <v>54</v>
      </c>
      <c r="C73" s="117" t="s">
        <v>953</v>
      </c>
      <c r="D73" s="116" t="s">
        <v>951</v>
      </c>
      <c r="E73" s="118">
        <v>1.336805555555556</v>
      </c>
      <c r="F73" s="116" t="s">
        <v>56</v>
      </c>
      <c r="G73" s="119">
        <v>9</v>
      </c>
      <c r="H73" s="116" t="s">
        <v>115</v>
      </c>
    </row>
    <row r="74" spans="1:8" ht="18" x14ac:dyDescent="0.3">
      <c r="A74" s="121">
        <v>45990</v>
      </c>
      <c r="B74" s="122" t="s">
        <v>54</v>
      </c>
      <c r="C74" s="123" t="s">
        <v>953</v>
      </c>
      <c r="D74" s="122" t="s">
        <v>951</v>
      </c>
      <c r="E74" s="124">
        <v>1.336805555555556</v>
      </c>
      <c r="F74" s="122" t="s">
        <v>58</v>
      </c>
      <c r="G74" s="125">
        <v>9</v>
      </c>
      <c r="H74" s="122" t="s">
        <v>400</v>
      </c>
    </row>
    <row r="75" spans="1:8" ht="18" x14ac:dyDescent="0.3">
      <c r="A75" s="121">
        <v>45990</v>
      </c>
      <c r="B75" s="122" t="s">
        <v>54</v>
      </c>
      <c r="C75" s="123" t="s">
        <v>953</v>
      </c>
      <c r="D75" s="122" t="s">
        <v>951</v>
      </c>
      <c r="E75" s="124">
        <v>1.336805555555556</v>
      </c>
      <c r="F75" s="122" t="s">
        <v>60</v>
      </c>
      <c r="G75" s="125">
        <v>9</v>
      </c>
      <c r="H75" s="122" t="s">
        <v>401</v>
      </c>
    </row>
    <row r="76" spans="1:8" ht="18" x14ac:dyDescent="0.3">
      <c r="A76" s="127">
        <v>45990</v>
      </c>
      <c r="B76" s="128" t="s">
        <v>54</v>
      </c>
      <c r="C76" s="129" t="s">
        <v>954</v>
      </c>
      <c r="D76" s="128" t="s">
        <v>951</v>
      </c>
      <c r="E76" s="130">
        <v>1.9722222222222221</v>
      </c>
      <c r="F76" s="128" t="s">
        <v>56</v>
      </c>
      <c r="G76" s="131">
        <v>9</v>
      </c>
      <c r="H76" s="128" t="s">
        <v>404</v>
      </c>
    </row>
    <row r="77" spans="1:8" ht="18" x14ac:dyDescent="0.3">
      <c r="A77" s="121">
        <v>45990</v>
      </c>
      <c r="B77" s="122" t="s">
        <v>54</v>
      </c>
      <c r="C77" s="123" t="s">
        <v>954</v>
      </c>
      <c r="D77" s="122" t="s">
        <v>951</v>
      </c>
      <c r="E77" s="124">
        <v>1.9722222222222221</v>
      </c>
      <c r="F77" s="122" t="s">
        <v>58</v>
      </c>
      <c r="G77" s="125">
        <v>9</v>
      </c>
      <c r="H77" s="122" t="s">
        <v>852</v>
      </c>
    </row>
    <row r="78" spans="1:8" ht="18" x14ac:dyDescent="0.3">
      <c r="A78" s="121">
        <v>45990</v>
      </c>
      <c r="B78" s="122" t="s">
        <v>54</v>
      </c>
      <c r="C78" s="123" t="s">
        <v>954</v>
      </c>
      <c r="D78" s="122" t="s">
        <v>951</v>
      </c>
      <c r="E78" s="124">
        <v>1.9722222222222221</v>
      </c>
      <c r="F78" s="122" t="s">
        <v>60</v>
      </c>
      <c r="G78" s="125">
        <v>9</v>
      </c>
      <c r="H78" s="122" t="s">
        <v>853</v>
      </c>
    </row>
    <row r="79" spans="1:8" ht="18" x14ac:dyDescent="0.3">
      <c r="A79" s="126">
        <v>45990</v>
      </c>
      <c r="B79" s="116" t="s">
        <v>25</v>
      </c>
      <c r="C79" s="117" t="s">
        <v>952</v>
      </c>
      <c r="D79" s="116" t="s">
        <v>951</v>
      </c>
      <c r="E79" s="118">
        <v>1.447916666666667</v>
      </c>
      <c r="F79" s="116" t="s">
        <v>27</v>
      </c>
      <c r="G79" s="119">
        <v>2</v>
      </c>
      <c r="H79" s="116" t="s">
        <v>984</v>
      </c>
    </row>
    <row r="80" spans="1:8" ht="18" x14ac:dyDescent="0.3">
      <c r="A80" s="121">
        <v>45990</v>
      </c>
      <c r="B80" s="122" t="s">
        <v>25</v>
      </c>
      <c r="C80" s="123" t="s">
        <v>952</v>
      </c>
      <c r="D80" s="122" t="s">
        <v>951</v>
      </c>
      <c r="E80" s="124">
        <v>1.447916666666667</v>
      </c>
      <c r="F80" s="122" t="s">
        <v>30</v>
      </c>
      <c r="G80" s="125">
        <v>2</v>
      </c>
      <c r="H80" s="122" t="s">
        <v>985</v>
      </c>
    </row>
    <row r="81" spans="1:8" ht="18" x14ac:dyDescent="0.3">
      <c r="A81" s="121">
        <v>45990</v>
      </c>
      <c r="B81" s="122" t="s">
        <v>25</v>
      </c>
      <c r="C81" s="123" t="s">
        <v>952</v>
      </c>
      <c r="D81" s="122" t="s">
        <v>951</v>
      </c>
      <c r="E81" s="124">
        <v>1.447916666666667</v>
      </c>
      <c r="F81" s="122" t="s">
        <v>33</v>
      </c>
      <c r="G81" s="125">
        <v>2</v>
      </c>
      <c r="H81" s="122" t="s">
        <v>986</v>
      </c>
    </row>
    <row r="82" spans="1:8" ht="18" x14ac:dyDescent="0.3">
      <c r="A82" s="136">
        <v>45990</v>
      </c>
      <c r="B82" s="137" t="s">
        <v>71</v>
      </c>
      <c r="C82" s="138" t="s">
        <v>965</v>
      </c>
      <c r="D82" s="137" t="s">
        <v>951</v>
      </c>
      <c r="E82" s="139">
        <v>1.7222222222222221</v>
      </c>
      <c r="F82" s="137" t="s">
        <v>81</v>
      </c>
      <c r="G82" s="140">
        <v>9</v>
      </c>
      <c r="H82" s="137" t="s">
        <v>990</v>
      </c>
    </row>
    <row r="83" spans="1:8" ht="18" x14ac:dyDescent="0.3">
      <c r="A83" s="126">
        <v>45990</v>
      </c>
      <c r="B83" s="116" t="s">
        <v>280</v>
      </c>
      <c r="C83" s="117" t="s">
        <v>992</v>
      </c>
      <c r="D83" s="116" t="s">
        <v>951</v>
      </c>
      <c r="E83" s="118">
        <v>1.7465277777777779</v>
      </c>
      <c r="F83" s="116" t="s">
        <v>282</v>
      </c>
      <c r="G83" s="119">
        <v>9</v>
      </c>
      <c r="H83" s="116" t="s">
        <v>993</v>
      </c>
    </row>
    <row r="84" spans="1:8" ht="18" x14ac:dyDescent="0.3">
      <c r="A84" s="121">
        <v>45990</v>
      </c>
      <c r="B84" s="122" t="s">
        <v>280</v>
      </c>
      <c r="C84" s="123" t="s">
        <v>992</v>
      </c>
      <c r="D84" s="122" t="s">
        <v>951</v>
      </c>
      <c r="E84" s="124">
        <v>1.7465277777777779</v>
      </c>
      <c r="F84" s="122" t="s">
        <v>33</v>
      </c>
      <c r="G84" s="125">
        <v>9</v>
      </c>
      <c r="H84" s="122" t="s">
        <v>994</v>
      </c>
    </row>
    <row r="85" spans="1:8" ht="18" x14ac:dyDescent="0.3">
      <c r="A85" s="189">
        <v>45990</v>
      </c>
      <c r="B85" s="190" t="s">
        <v>35</v>
      </c>
      <c r="C85" s="191" t="s">
        <v>962</v>
      </c>
      <c r="D85" s="190" t="s">
        <v>951</v>
      </c>
      <c r="E85" s="192">
        <v>1.447916666666667</v>
      </c>
      <c r="F85" s="190" t="s">
        <v>42</v>
      </c>
      <c r="G85" s="193">
        <v>4</v>
      </c>
      <c r="H85" s="190" t="s">
        <v>995</v>
      </c>
    </row>
    <row r="86" spans="1:8" ht="18" x14ac:dyDescent="0.3">
      <c r="A86" s="115">
        <v>45991</v>
      </c>
      <c r="B86" s="116" t="s">
        <v>360</v>
      </c>
      <c r="C86" s="117" t="s">
        <v>975</v>
      </c>
      <c r="D86" s="116" t="s">
        <v>951</v>
      </c>
      <c r="E86" s="118">
        <v>1.9201388888888891</v>
      </c>
      <c r="F86" s="116" t="s">
        <v>81</v>
      </c>
      <c r="G86" s="119">
        <v>1</v>
      </c>
      <c r="H86" s="120" t="s">
        <v>964</v>
      </c>
    </row>
    <row r="87" spans="1:8" ht="18" x14ac:dyDescent="0.3">
      <c r="A87" s="127">
        <v>45991</v>
      </c>
      <c r="B87" s="128" t="s">
        <v>360</v>
      </c>
      <c r="C87" s="129" t="s">
        <v>977</v>
      </c>
      <c r="D87" s="128" t="s">
        <v>951</v>
      </c>
      <c r="E87" s="130">
        <v>1.006944444444444</v>
      </c>
      <c r="F87" s="128" t="s">
        <v>81</v>
      </c>
      <c r="G87" s="131">
        <v>7</v>
      </c>
      <c r="H87" s="128" t="s">
        <v>982</v>
      </c>
    </row>
    <row r="88" spans="1:8" ht="18" x14ac:dyDescent="0.3">
      <c r="A88" s="126">
        <v>45991</v>
      </c>
      <c r="B88" s="116" t="s">
        <v>285</v>
      </c>
      <c r="C88" s="117" t="s">
        <v>996</v>
      </c>
      <c r="D88" s="116" t="s">
        <v>951</v>
      </c>
      <c r="E88" s="118">
        <v>1.4826388888888891</v>
      </c>
      <c r="F88" s="116" t="s">
        <v>81</v>
      </c>
      <c r="G88" s="119">
        <v>4</v>
      </c>
      <c r="H88" s="116" t="s">
        <v>593</v>
      </c>
    </row>
    <row r="89" spans="1:8" ht="18" x14ac:dyDescent="0.3">
      <c r="A89" s="127">
        <v>45991</v>
      </c>
      <c r="B89" s="128" t="s">
        <v>285</v>
      </c>
      <c r="C89" s="129" t="s">
        <v>979</v>
      </c>
      <c r="D89" s="128" t="s">
        <v>951</v>
      </c>
      <c r="E89" s="130">
        <v>1.756944444444444</v>
      </c>
      <c r="F89" s="128" t="s">
        <v>81</v>
      </c>
      <c r="G89" s="131">
        <v>9</v>
      </c>
      <c r="H89" s="128" t="s">
        <v>593</v>
      </c>
    </row>
    <row r="90" spans="1:8" ht="18" x14ac:dyDescent="0.3">
      <c r="A90" s="126">
        <v>45991</v>
      </c>
      <c r="B90" s="116" t="s">
        <v>25</v>
      </c>
      <c r="C90" s="117" t="s">
        <v>952</v>
      </c>
      <c r="D90" s="116" t="s">
        <v>951</v>
      </c>
      <c r="E90" s="118">
        <v>1.447916666666667</v>
      </c>
      <c r="F90" s="116" t="s">
        <v>27</v>
      </c>
      <c r="G90" s="119">
        <v>6</v>
      </c>
      <c r="H90" s="116" t="s">
        <v>117</v>
      </c>
    </row>
    <row r="91" spans="1:8" ht="18" x14ac:dyDescent="0.3">
      <c r="A91" s="121">
        <v>45991</v>
      </c>
      <c r="B91" s="122" t="s">
        <v>25</v>
      </c>
      <c r="C91" s="123" t="s">
        <v>952</v>
      </c>
      <c r="D91" s="122" t="s">
        <v>951</v>
      </c>
      <c r="E91" s="124">
        <v>1.447916666666667</v>
      </c>
      <c r="F91" s="122" t="s">
        <v>30</v>
      </c>
      <c r="G91" s="125">
        <v>6</v>
      </c>
      <c r="H91" s="122" t="s">
        <v>399</v>
      </c>
    </row>
    <row r="92" spans="1:8" ht="18" x14ac:dyDescent="0.3">
      <c r="A92" s="121">
        <v>45991</v>
      </c>
      <c r="B92" s="122" t="s">
        <v>25</v>
      </c>
      <c r="C92" s="123" t="s">
        <v>952</v>
      </c>
      <c r="D92" s="122" t="s">
        <v>951</v>
      </c>
      <c r="E92" s="124">
        <v>1.447916666666667</v>
      </c>
      <c r="F92" s="122" t="s">
        <v>33</v>
      </c>
      <c r="G92" s="125">
        <v>6</v>
      </c>
      <c r="H92" s="122" t="s">
        <v>416</v>
      </c>
    </row>
    <row r="93" spans="1:8" ht="18" x14ac:dyDescent="0.3">
      <c r="A93" s="126">
        <v>45991</v>
      </c>
      <c r="B93" s="116" t="s">
        <v>54</v>
      </c>
      <c r="C93" s="117" t="s">
        <v>954</v>
      </c>
      <c r="D93" s="116" t="s">
        <v>951</v>
      </c>
      <c r="E93" s="118">
        <v>1.9722222222222221</v>
      </c>
      <c r="F93" s="116" t="s">
        <v>56</v>
      </c>
      <c r="G93" s="119">
        <v>9</v>
      </c>
      <c r="H93" s="116" t="s">
        <v>115</v>
      </c>
    </row>
    <row r="94" spans="1:8" ht="18" x14ac:dyDescent="0.3">
      <c r="A94" s="121">
        <v>45991</v>
      </c>
      <c r="B94" s="122" t="s">
        <v>54</v>
      </c>
      <c r="C94" s="123" t="s">
        <v>954</v>
      </c>
      <c r="D94" s="122" t="s">
        <v>951</v>
      </c>
      <c r="E94" s="124">
        <v>1.9722222222222221</v>
      </c>
      <c r="F94" s="122" t="s">
        <v>58</v>
      </c>
      <c r="G94" s="125">
        <v>9</v>
      </c>
      <c r="H94" s="122" t="s">
        <v>400</v>
      </c>
    </row>
    <row r="95" spans="1:8" ht="18" x14ac:dyDescent="0.3">
      <c r="A95" s="121">
        <v>45991</v>
      </c>
      <c r="B95" s="122" t="s">
        <v>54</v>
      </c>
      <c r="C95" s="123" t="s">
        <v>954</v>
      </c>
      <c r="D95" s="122" t="s">
        <v>951</v>
      </c>
      <c r="E95" s="124">
        <v>1.9722222222222221</v>
      </c>
      <c r="F95" s="122" t="s">
        <v>60</v>
      </c>
      <c r="G95" s="125">
        <v>9</v>
      </c>
      <c r="H95" s="122" t="s">
        <v>401</v>
      </c>
    </row>
    <row r="96" spans="1:8" ht="18" x14ac:dyDescent="0.3">
      <c r="A96" s="126">
        <v>45991</v>
      </c>
      <c r="B96" s="116" t="s">
        <v>35</v>
      </c>
      <c r="C96" s="117" t="s">
        <v>962</v>
      </c>
      <c r="D96" s="116" t="s">
        <v>951</v>
      </c>
      <c r="E96" s="118">
        <v>1.447916666666667</v>
      </c>
      <c r="F96" s="116" t="s">
        <v>42</v>
      </c>
      <c r="G96" s="119">
        <v>4</v>
      </c>
      <c r="H96" s="116" t="s">
        <v>844</v>
      </c>
    </row>
    <row r="97" spans="1:8" ht="18" x14ac:dyDescent="0.3">
      <c r="A97" s="126">
        <v>45991</v>
      </c>
      <c r="B97" s="116" t="s">
        <v>63</v>
      </c>
      <c r="C97" s="117" t="s">
        <v>957</v>
      </c>
      <c r="D97" s="116" t="s">
        <v>951</v>
      </c>
      <c r="E97" s="118">
        <v>1.979166666666667</v>
      </c>
      <c r="F97" s="116" t="s">
        <v>48</v>
      </c>
      <c r="G97" s="119">
        <v>6</v>
      </c>
      <c r="H97" s="116" t="s">
        <v>997</v>
      </c>
    </row>
    <row r="98" spans="1:8" ht="18" x14ac:dyDescent="0.3">
      <c r="A98" s="150">
        <v>45991</v>
      </c>
      <c r="B98" s="151" t="s">
        <v>63</v>
      </c>
      <c r="C98" s="152" t="s">
        <v>961</v>
      </c>
      <c r="D98" s="151" t="s">
        <v>951</v>
      </c>
      <c r="E98" s="153">
        <v>1.6736111111111109</v>
      </c>
      <c r="F98" s="151" t="s">
        <v>48</v>
      </c>
      <c r="G98" s="154">
        <v>8</v>
      </c>
      <c r="H98" s="151" t="s">
        <v>997</v>
      </c>
    </row>
  </sheetData>
  <dataValidations count="4">
    <dataValidation type="custom" allowBlank="1" showInputMessage="1" promptTitle="LOAD FACTOR ANALYSIS" prompt="SM-433_x000d__x000a_LF 68.9%_x000d__x000a_SOLD 124_x000d__x000a_LST-SOLD 22NOV_x000d__x000a_WEEKLY 79_x000d__x000a_TO-DAY NIL_x000d__x000a_Y-DAY 13_x000d__x000a_LOWEST AVAIL K6_x000d__x000a_CAPACITY 180_x000d__x000a_CLASSES K14 &amp; V20 &amp; L30 &amp; +7 more" sqref="A20 B20 C20 D20 E20 F20 G20 H20" xr:uid="{00000000-0002-0000-2700-000000000000}">
      <formula1>TRUE</formula1>
    </dataValidation>
    <dataValidation type="custom" allowBlank="1" showInputMessage="1" promptTitle="LOAD FACTOR ANALYSIS" prompt="SM-433_x000d__x000a_LF 78.3%_x000d__x000a_SOLD 141_x000d__x000a_LST-SOLD 22NOV_x000d__x000a_WEEKLY 19_x000d__x000a_TO-DAY NIL_x000d__x000a_Y-DAY 3_x000d__x000a_LOWEST AVAIL H4_x000d__x000a_CAPACITY 180_x000d__x000a_CLASSES H3 &amp; Q31 &amp; K18 &amp; +10 more" sqref="A54 B54 C54 D54 E54 F54 G54 H54" xr:uid="{00000000-0002-0000-2700-000001000000}">
      <formula1>TRUE</formula1>
    </dataValidation>
    <dataValidation type="custom" allowBlank="1" showInputMessage="1" promptTitle="LOAD FACTOR ANALYSIS" prompt="SM-433_x000d__x000a_LF 75.6%_x000d__x000a_SOLD 136_x000d__x000a_LST-SOLD 23NOV_x000d__x000a_WEEKLY 19_x000d__x000a_TO-DAY 2_x000d__x000a_Y-DAY 5_x000d__x000a_LOWEST AVAIL H9_x000d__x000a_CAPACITY 180_x000d__x000a_CLASSES M6 &amp; H16 &amp; Q3 &amp; +11 more" sqref="A60 B60 C60 D60 E60 F60 G60 H60" xr:uid="{00000000-0002-0000-2700-000002000000}">
      <formula1>TRUE</formula1>
    </dataValidation>
    <dataValidation type="custom" allowBlank="1" showInputMessage="1" promptTitle="LOAD FACTOR ANALYSIS" prompt="SM-433_x000d__x000a_LF 69.4%_x000d__x000a_SOLD 125_x000d__x000a_LST-SOLD 20NOV_x000d__x000a_WEEKLY 14_x000d__x000a_TO-DAY NIL_x000d__x000a_Y-DAY NIL_x000d__x000a_LOWEST AVAIL M9_x000d__x000a_CAPACITY 180_x000d__x000a_CLASSES B1 &amp; M21 &amp; H21 &amp; +11 more" sqref="A82 B82 C82 D82 E82 F82 G82 H82" xr:uid="{00000000-0002-0000-2700-00000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N3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5.55468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1013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45984.358587417242</v>
      </c>
      <c r="H2" s="287"/>
      <c r="I2" s="287"/>
      <c r="J2" s="287"/>
      <c r="K2" s="292">
        <v>45984.358587417628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95" t="s">
        <v>71</v>
      </c>
      <c r="B6" s="195" t="s">
        <v>1014</v>
      </c>
      <c r="C6" s="196">
        <v>0.29166666666666669</v>
      </c>
      <c r="D6" s="195" t="s">
        <v>81</v>
      </c>
      <c r="E6" s="195" t="s">
        <v>77</v>
      </c>
      <c r="F6" s="195" t="s">
        <v>1015</v>
      </c>
      <c r="G6" s="276"/>
      <c r="H6" s="197" t="s">
        <v>1016</v>
      </c>
      <c r="I6" s="215">
        <v>0.9778</v>
      </c>
      <c r="J6" s="199">
        <v>176</v>
      </c>
      <c r="K6" s="200">
        <v>45983</v>
      </c>
      <c r="L6" s="199">
        <v>47</v>
      </c>
      <c r="M6" s="199">
        <v>0</v>
      </c>
      <c r="N6" s="199">
        <v>13</v>
      </c>
      <c r="O6" s="201" t="s">
        <v>1006</v>
      </c>
      <c r="P6" s="202">
        <v>0.29166666666666669</v>
      </c>
      <c r="Q6" s="199">
        <v>180</v>
      </c>
      <c r="R6" s="203" t="s">
        <v>1017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1018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952</v>
      </c>
      <c r="C8" s="20" t="s">
        <v>1019</v>
      </c>
      <c r="D8" s="19" t="s">
        <v>27</v>
      </c>
      <c r="E8" s="19" t="s">
        <v>214</v>
      </c>
      <c r="F8" s="19" t="s">
        <v>29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54</v>
      </c>
      <c r="B9" s="19" t="s">
        <v>953</v>
      </c>
      <c r="C9" s="20" t="s">
        <v>205</v>
      </c>
      <c r="D9" s="19" t="s">
        <v>56</v>
      </c>
      <c r="E9" s="19" t="s">
        <v>204</v>
      </c>
      <c r="F9" s="19" t="s">
        <v>771</v>
      </c>
      <c r="G9" s="277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54</v>
      </c>
      <c r="B10" s="19" t="s">
        <v>954</v>
      </c>
      <c r="C10" s="20" t="s">
        <v>1020</v>
      </c>
      <c r="D10" s="19" t="s">
        <v>56</v>
      </c>
      <c r="E10" s="19" t="s">
        <v>214</v>
      </c>
      <c r="F10" s="19" t="s">
        <v>771</v>
      </c>
      <c r="G10" s="277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952</v>
      </c>
      <c r="C11" s="20" t="s">
        <v>1019</v>
      </c>
      <c r="D11" s="19" t="s">
        <v>30</v>
      </c>
      <c r="E11" s="19" t="s">
        <v>214</v>
      </c>
      <c r="F11" s="19" t="s">
        <v>32</v>
      </c>
      <c r="G11" s="277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54</v>
      </c>
      <c r="B12" s="19" t="s">
        <v>953</v>
      </c>
      <c r="C12" s="20" t="s">
        <v>205</v>
      </c>
      <c r="D12" s="19" t="s">
        <v>58</v>
      </c>
      <c r="E12" s="19" t="s">
        <v>204</v>
      </c>
      <c r="F12" s="19" t="s">
        <v>823</v>
      </c>
      <c r="G12" s="277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54</v>
      </c>
      <c r="B13" s="19" t="s">
        <v>954</v>
      </c>
      <c r="C13" s="20" t="s">
        <v>1020</v>
      </c>
      <c r="D13" s="19" t="s">
        <v>58</v>
      </c>
      <c r="E13" s="19" t="s">
        <v>214</v>
      </c>
      <c r="F13" s="19" t="s">
        <v>823</v>
      </c>
      <c r="G13" s="277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25</v>
      </c>
      <c r="B14" s="19" t="s">
        <v>952</v>
      </c>
      <c r="C14" s="20" t="s">
        <v>1019</v>
      </c>
      <c r="D14" s="19" t="s">
        <v>33</v>
      </c>
      <c r="E14" s="19" t="s">
        <v>214</v>
      </c>
      <c r="F14" s="19" t="s">
        <v>279</v>
      </c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54</v>
      </c>
      <c r="B15" s="19" t="s">
        <v>953</v>
      </c>
      <c r="C15" s="20" t="s">
        <v>205</v>
      </c>
      <c r="D15" s="19" t="s">
        <v>60</v>
      </c>
      <c r="E15" s="19" t="s">
        <v>204</v>
      </c>
      <c r="F15" s="19" t="s">
        <v>114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54</v>
      </c>
      <c r="B16" s="19" t="s">
        <v>954</v>
      </c>
      <c r="C16" s="20" t="s">
        <v>1020</v>
      </c>
      <c r="D16" s="19" t="s">
        <v>60</v>
      </c>
      <c r="E16" s="19" t="s">
        <v>214</v>
      </c>
      <c r="F16" s="19" t="s">
        <v>114</v>
      </c>
      <c r="G16" s="277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63" t="s">
        <v>285</v>
      </c>
      <c r="B17" s="63" t="s">
        <v>955</v>
      </c>
      <c r="C17" s="64" t="s">
        <v>1021</v>
      </c>
      <c r="D17" s="63" t="s">
        <v>81</v>
      </c>
      <c r="E17" s="63" t="s">
        <v>206</v>
      </c>
      <c r="F17" s="63" t="s">
        <v>956</v>
      </c>
      <c r="G17" s="278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9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2.05" customHeight="1" x14ac:dyDescent="0.3">
      <c r="A19" s="290" t="s">
        <v>5</v>
      </c>
      <c r="B19" s="291"/>
      <c r="C19" s="291"/>
      <c r="D19" s="291"/>
      <c r="E19" s="291"/>
      <c r="F19" s="291"/>
      <c r="G19" s="5">
        <v>45989</v>
      </c>
      <c r="H19" s="274" t="s">
        <v>6</v>
      </c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4" customHeight="1" x14ac:dyDescent="0.3">
      <c r="A20" s="31" t="s">
        <v>7</v>
      </c>
      <c r="B20" s="31" t="s">
        <v>8</v>
      </c>
      <c r="C20" s="32" t="s">
        <v>9</v>
      </c>
      <c r="D20" s="31" t="s">
        <v>10</v>
      </c>
      <c r="E20" s="31" t="s">
        <v>11</v>
      </c>
      <c r="F20" s="31" t="s">
        <v>12</v>
      </c>
      <c r="G20" s="33" t="s">
        <v>13</v>
      </c>
      <c r="H20" s="31" t="s">
        <v>14</v>
      </c>
      <c r="I20" s="34" t="s">
        <v>15</v>
      </c>
      <c r="J20" s="35" t="s">
        <v>16</v>
      </c>
      <c r="K20" s="36" t="s">
        <v>17</v>
      </c>
      <c r="L20" s="35" t="s">
        <v>18</v>
      </c>
      <c r="M20" s="35" t="s">
        <v>19</v>
      </c>
      <c r="N20" s="35" t="s">
        <v>20</v>
      </c>
      <c r="O20" s="31" t="s">
        <v>21</v>
      </c>
      <c r="P20" s="32" t="s">
        <v>22</v>
      </c>
      <c r="Q20" s="35" t="s">
        <v>23</v>
      </c>
      <c r="R20" s="31" t="s">
        <v>24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85" t="s">
        <v>71</v>
      </c>
      <c r="B21" s="85" t="s">
        <v>1014</v>
      </c>
      <c r="C21" s="86">
        <v>7.2916666666666671E-2</v>
      </c>
      <c r="D21" s="85" t="s">
        <v>81</v>
      </c>
      <c r="E21" s="85" t="s">
        <v>402</v>
      </c>
      <c r="F21" s="85" t="s">
        <v>956</v>
      </c>
      <c r="G21" s="276"/>
      <c r="H21" s="87" t="s">
        <v>1016</v>
      </c>
      <c r="I21" s="88">
        <v>0.94440000000000002</v>
      </c>
      <c r="J21" s="89">
        <v>170</v>
      </c>
      <c r="K21" s="90">
        <v>45984</v>
      </c>
      <c r="L21" s="89">
        <v>56</v>
      </c>
      <c r="M21" s="89">
        <v>1</v>
      </c>
      <c r="N21" s="89">
        <v>16</v>
      </c>
      <c r="O21" s="91" t="s">
        <v>1022</v>
      </c>
      <c r="P21" s="92">
        <v>7.2916666666666671E-2</v>
      </c>
      <c r="Q21" s="89">
        <v>180</v>
      </c>
      <c r="R21" s="93" t="s">
        <v>1023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8" x14ac:dyDescent="0.3">
      <c r="A22" s="300" t="s">
        <v>1018</v>
      </c>
      <c r="B22" s="301"/>
      <c r="C22" s="301"/>
      <c r="D22" s="301"/>
      <c r="E22" s="301"/>
      <c r="F22" s="301"/>
      <c r="G22" s="277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360</v>
      </c>
      <c r="B23" s="19" t="s">
        <v>963</v>
      </c>
      <c r="C23" s="20" t="s">
        <v>1024</v>
      </c>
      <c r="D23" s="19" t="s">
        <v>81</v>
      </c>
      <c r="E23" s="19" t="s">
        <v>202</v>
      </c>
      <c r="F23" s="19" t="s">
        <v>982</v>
      </c>
      <c r="G23" s="277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71</v>
      </c>
      <c r="B24" s="19" t="s">
        <v>965</v>
      </c>
      <c r="C24" s="20" t="s">
        <v>1025</v>
      </c>
      <c r="D24" s="19" t="s">
        <v>81</v>
      </c>
      <c r="E24" s="19" t="s">
        <v>206</v>
      </c>
      <c r="F24" s="19" t="s">
        <v>956</v>
      </c>
      <c r="G24" s="277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25</v>
      </c>
      <c r="B25" s="19" t="s">
        <v>952</v>
      </c>
      <c r="C25" s="20" t="s">
        <v>1019</v>
      </c>
      <c r="D25" s="19" t="s">
        <v>27</v>
      </c>
      <c r="E25" s="19" t="s">
        <v>220</v>
      </c>
      <c r="F25" s="19" t="s">
        <v>984</v>
      </c>
      <c r="G25" s="277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25</v>
      </c>
      <c r="B26" s="19" t="s">
        <v>952</v>
      </c>
      <c r="C26" s="20" t="s">
        <v>1019</v>
      </c>
      <c r="D26" s="19" t="s">
        <v>30</v>
      </c>
      <c r="E26" s="19" t="s">
        <v>220</v>
      </c>
      <c r="F26" s="19" t="s">
        <v>985</v>
      </c>
      <c r="G26" s="277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285</v>
      </c>
      <c r="B27" s="19" t="s">
        <v>955</v>
      </c>
      <c r="C27" s="20" t="s">
        <v>1021</v>
      </c>
      <c r="D27" s="19" t="s">
        <v>81</v>
      </c>
      <c r="E27" s="19" t="s">
        <v>206</v>
      </c>
      <c r="F27" s="19" t="s">
        <v>987</v>
      </c>
      <c r="G27" s="277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54</v>
      </c>
      <c r="B28" s="19" t="s">
        <v>954</v>
      </c>
      <c r="C28" s="20" t="s">
        <v>1020</v>
      </c>
      <c r="D28" s="19" t="s">
        <v>56</v>
      </c>
      <c r="E28" s="19" t="s">
        <v>220</v>
      </c>
      <c r="F28" s="19" t="s">
        <v>404</v>
      </c>
      <c r="G28" s="277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54</v>
      </c>
      <c r="B29" s="19" t="s">
        <v>954</v>
      </c>
      <c r="C29" s="20" t="s">
        <v>1020</v>
      </c>
      <c r="D29" s="19" t="s">
        <v>58</v>
      </c>
      <c r="E29" s="19" t="s">
        <v>220</v>
      </c>
      <c r="F29" s="19" t="s">
        <v>852</v>
      </c>
      <c r="G29" s="277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54</v>
      </c>
      <c r="B30" s="19" t="s">
        <v>954</v>
      </c>
      <c r="C30" s="20" t="s">
        <v>1020</v>
      </c>
      <c r="D30" s="19" t="s">
        <v>60</v>
      </c>
      <c r="E30" s="19" t="s">
        <v>220</v>
      </c>
      <c r="F30" s="19" t="s">
        <v>853</v>
      </c>
      <c r="G30" s="277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63</v>
      </c>
      <c r="B31" s="19" t="s">
        <v>957</v>
      </c>
      <c r="C31" s="20" t="s">
        <v>1026</v>
      </c>
      <c r="D31" s="19" t="s">
        <v>48</v>
      </c>
      <c r="E31" s="19" t="s">
        <v>206</v>
      </c>
      <c r="F31" s="19" t="s">
        <v>974</v>
      </c>
      <c r="G31" s="277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63" t="s">
        <v>25</v>
      </c>
      <c r="B32" s="63" t="s">
        <v>952</v>
      </c>
      <c r="C32" s="64" t="s">
        <v>1019</v>
      </c>
      <c r="D32" s="63" t="s">
        <v>33</v>
      </c>
      <c r="E32" s="63" t="s">
        <v>220</v>
      </c>
      <c r="F32" s="63" t="s">
        <v>986</v>
      </c>
      <c r="G32" s="278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4.4" customHeight="1" x14ac:dyDescent="0.3">
      <c r="A33" s="279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1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</sheetData>
  <mergeCells count="19">
    <mergeCell ref="O1:Q1"/>
    <mergeCell ref="H4:R4"/>
    <mergeCell ref="A18:R18"/>
    <mergeCell ref="A2:F2"/>
    <mergeCell ref="A3:R3"/>
    <mergeCell ref="J1:M1"/>
    <mergeCell ref="D1:F1"/>
    <mergeCell ref="A1:C1"/>
    <mergeCell ref="G1:H1"/>
    <mergeCell ref="A33:R33"/>
    <mergeCell ref="G21:G32"/>
    <mergeCell ref="A22:F22"/>
    <mergeCell ref="G2:J2"/>
    <mergeCell ref="A4:F4"/>
    <mergeCell ref="A19:F19"/>
    <mergeCell ref="K2:R2"/>
    <mergeCell ref="H19:R19"/>
    <mergeCell ref="G6:G17"/>
    <mergeCell ref="A7:F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1016</v>
      </c>
      <c r="D2" s="98">
        <v>0.29166666666666669</v>
      </c>
      <c r="E2" s="97" t="s">
        <v>1013</v>
      </c>
      <c r="F2" s="97" t="s">
        <v>158</v>
      </c>
      <c r="G2" s="99">
        <v>0.9778</v>
      </c>
      <c r="H2" s="100">
        <v>180</v>
      </c>
      <c r="I2" s="100">
        <v>176</v>
      </c>
      <c r="J2" s="100">
        <v>0</v>
      </c>
      <c r="K2" s="96">
        <v>45983</v>
      </c>
      <c r="L2" s="100">
        <v>0</v>
      </c>
      <c r="M2" s="100">
        <v>13</v>
      </c>
      <c r="N2" s="100">
        <v>47</v>
      </c>
      <c r="O2" s="97" t="s">
        <v>1006</v>
      </c>
      <c r="P2" s="101"/>
      <c r="Q2" s="101"/>
      <c r="R2" s="101"/>
      <c r="S2" s="101"/>
      <c r="T2" s="100" t="s">
        <v>1027</v>
      </c>
      <c r="U2" s="100" t="s">
        <v>947</v>
      </c>
      <c r="V2" s="100" t="s">
        <v>1028</v>
      </c>
      <c r="W2" s="100" t="s">
        <v>554</v>
      </c>
      <c r="X2" s="100" t="s">
        <v>548</v>
      </c>
      <c r="Y2" s="100" t="s">
        <v>566</v>
      </c>
      <c r="Z2" s="100" t="s">
        <v>1029</v>
      </c>
      <c r="AA2" s="100" t="s">
        <v>484</v>
      </c>
      <c r="AB2" s="100" t="s">
        <v>644</v>
      </c>
      <c r="AC2" s="100" t="s">
        <v>1030</v>
      </c>
      <c r="AD2" s="100" t="s">
        <v>1031</v>
      </c>
      <c r="AE2" s="100" t="s">
        <v>1032</v>
      </c>
      <c r="AF2" s="101"/>
      <c r="AG2" s="101"/>
      <c r="AH2" s="101"/>
      <c r="AI2" s="101"/>
    </row>
    <row r="3" spans="1:35" ht="18" x14ac:dyDescent="0.3">
      <c r="A3" s="102" t="s">
        <v>520</v>
      </c>
      <c r="B3" s="103">
        <v>45989</v>
      </c>
      <c r="C3" s="104" t="s">
        <v>1016</v>
      </c>
      <c r="D3" s="105">
        <v>7.2916666666666671E-2</v>
      </c>
      <c r="E3" s="104" t="s">
        <v>1013</v>
      </c>
      <c r="F3" s="104" t="s">
        <v>158</v>
      </c>
      <c r="G3" s="106">
        <v>0.94440000000000002</v>
      </c>
      <c r="H3" s="107">
        <v>180</v>
      </c>
      <c r="I3" s="107">
        <v>170</v>
      </c>
      <c r="J3" s="107">
        <v>0</v>
      </c>
      <c r="K3" s="103">
        <v>45984</v>
      </c>
      <c r="L3" s="107">
        <v>1</v>
      </c>
      <c r="M3" s="107">
        <v>16</v>
      </c>
      <c r="N3" s="107">
        <v>56</v>
      </c>
      <c r="O3" s="104" t="s">
        <v>1022</v>
      </c>
      <c r="P3" s="107" t="s">
        <v>726</v>
      </c>
      <c r="Q3" s="108"/>
      <c r="R3" s="107" t="s">
        <v>422</v>
      </c>
      <c r="S3" s="107" t="s">
        <v>1033</v>
      </c>
      <c r="T3" s="107" t="s">
        <v>557</v>
      </c>
      <c r="U3" s="107" t="s">
        <v>947</v>
      </c>
      <c r="V3" s="107" t="s">
        <v>528</v>
      </c>
      <c r="W3" s="107" t="s">
        <v>554</v>
      </c>
      <c r="X3" s="107" t="s">
        <v>883</v>
      </c>
      <c r="Y3" s="107" t="s">
        <v>706</v>
      </c>
      <c r="Z3" s="107" t="s">
        <v>1034</v>
      </c>
      <c r="AA3" s="107" t="s">
        <v>501</v>
      </c>
      <c r="AB3" s="107" t="s">
        <v>255</v>
      </c>
      <c r="AC3" s="107" t="s">
        <v>268</v>
      </c>
      <c r="AD3" s="107" t="s">
        <v>269</v>
      </c>
      <c r="AE3" s="107" t="s">
        <v>720</v>
      </c>
      <c r="AF3" s="108"/>
      <c r="AG3" s="108"/>
      <c r="AH3" s="108"/>
      <c r="AI3" s="108"/>
    </row>
    <row r="4" spans="1:35" ht="18" x14ac:dyDescent="0.3">
      <c r="A4" s="109" t="s">
        <v>189</v>
      </c>
      <c r="B4" s="110"/>
      <c r="C4" s="111">
        <f>COUNTA(C2:C3)</f>
        <v>2</v>
      </c>
      <c r="D4" s="110"/>
      <c r="E4" s="110"/>
      <c r="F4" s="110"/>
      <c r="G4" s="112">
        <f>AVERAGE(G2:G3)</f>
        <v>0.96110000000000007</v>
      </c>
      <c r="H4" s="113">
        <f>SUM(H2:H3)</f>
        <v>360</v>
      </c>
      <c r="I4" s="113">
        <f>SUM(I2:I3)</f>
        <v>346</v>
      </c>
      <c r="J4" s="113">
        <f>SUM(J2:J3)</f>
        <v>0</v>
      </c>
      <c r="K4" s="110"/>
      <c r="L4" s="113">
        <f>SUM(L2:L3)</f>
        <v>1</v>
      </c>
      <c r="M4" s="113">
        <f>SUM(M2:M3)</f>
        <v>29</v>
      </c>
      <c r="N4" s="113">
        <f>SUM(N2:N3)</f>
        <v>103</v>
      </c>
      <c r="O4" s="110"/>
      <c r="P4" s="11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113">
        <f t="shared" si="0"/>
        <v>0</v>
      </c>
      <c r="R4" s="113">
        <f t="shared" si="0"/>
        <v>0</v>
      </c>
      <c r="S4" s="113">
        <f t="shared" si="0"/>
        <v>0</v>
      </c>
      <c r="T4" s="113">
        <f t="shared" si="0"/>
        <v>0</v>
      </c>
      <c r="U4" s="113">
        <f t="shared" si="0"/>
        <v>0</v>
      </c>
      <c r="V4" s="113">
        <f t="shared" si="0"/>
        <v>0</v>
      </c>
      <c r="W4" s="113">
        <f t="shared" si="0"/>
        <v>0</v>
      </c>
      <c r="X4" s="113">
        <f t="shared" si="0"/>
        <v>0</v>
      </c>
      <c r="Y4" s="113">
        <f t="shared" si="0"/>
        <v>0</v>
      </c>
      <c r="Z4" s="113">
        <f t="shared" si="0"/>
        <v>0</v>
      </c>
      <c r="AA4" s="113">
        <f t="shared" si="0"/>
        <v>0</v>
      </c>
      <c r="AB4" s="113">
        <f t="shared" si="0"/>
        <v>0</v>
      </c>
      <c r="AC4" s="113">
        <f t="shared" si="0"/>
        <v>0</v>
      </c>
      <c r="AD4" s="113">
        <f t="shared" si="0"/>
        <v>0</v>
      </c>
      <c r="AE4" s="113">
        <f t="shared" si="0"/>
        <v>0</v>
      </c>
      <c r="AF4" s="113">
        <f t="shared" si="0"/>
        <v>0</v>
      </c>
      <c r="AG4" s="113">
        <f t="shared" si="0"/>
        <v>0</v>
      </c>
      <c r="AH4" s="113">
        <f t="shared" si="0"/>
        <v>0</v>
      </c>
      <c r="AI4" s="113">
        <f t="shared" si="0"/>
        <v>0</v>
      </c>
    </row>
  </sheetData>
  <autoFilter ref="A1:AI3" xr:uid="{00000000-0009-0000-0000-000029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8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77734375" bestFit="1" customWidth="1"/>
    <col min="5" max="5" width="34.109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87">
        <v>45985</v>
      </c>
      <c r="B2" s="137" t="s">
        <v>71</v>
      </c>
      <c r="C2" s="138" t="s">
        <v>1014</v>
      </c>
      <c r="D2" s="137" t="s">
        <v>1013</v>
      </c>
      <c r="E2" s="139">
        <v>1.291666666666667</v>
      </c>
      <c r="F2" s="137" t="s">
        <v>81</v>
      </c>
      <c r="G2" s="140">
        <v>3</v>
      </c>
      <c r="H2" s="188" t="s">
        <v>1015</v>
      </c>
    </row>
    <row r="3" spans="1:8" ht="15.6" x14ac:dyDescent="0.3">
      <c r="A3" s="185"/>
      <c r="B3" s="185"/>
      <c r="C3" s="185"/>
      <c r="D3" s="185"/>
      <c r="E3" s="186" t="s">
        <v>1035</v>
      </c>
      <c r="F3" s="185"/>
      <c r="G3" s="185"/>
      <c r="H3" s="3"/>
    </row>
    <row r="4" spans="1:8" ht="18" x14ac:dyDescent="0.3">
      <c r="A4" s="126">
        <v>45985</v>
      </c>
      <c r="B4" s="116" t="s">
        <v>25</v>
      </c>
      <c r="C4" s="117" t="s">
        <v>952</v>
      </c>
      <c r="D4" s="116" t="s">
        <v>951</v>
      </c>
      <c r="E4" s="118">
        <v>1.447916666666667</v>
      </c>
      <c r="F4" s="116" t="s">
        <v>27</v>
      </c>
      <c r="G4" s="119">
        <v>1</v>
      </c>
      <c r="H4" s="116" t="s">
        <v>29</v>
      </c>
    </row>
    <row r="5" spans="1:8" ht="18" x14ac:dyDescent="0.3">
      <c r="A5" s="121">
        <v>45985</v>
      </c>
      <c r="B5" s="122" t="s">
        <v>25</v>
      </c>
      <c r="C5" s="123" t="s">
        <v>952</v>
      </c>
      <c r="D5" s="122" t="s">
        <v>951</v>
      </c>
      <c r="E5" s="124">
        <v>1.447916666666667</v>
      </c>
      <c r="F5" s="122" t="s">
        <v>30</v>
      </c>
      <c r="G5" s="125">
        <v>1</v>
      </c>
      <c r="H5" s="122" t="s">
        <v>32</v>
      </c>
    </row>
    <row r="6" spans="1:8" ht="18" x14ac:dyDescent="0.3">
      <c r="A6" s="121">
        <v>45985</v>
      </c>
      <c r="B6" s="122" t="s">
        <v>25</v>
      </c>
      <c r="C6" s="123" t="s">
        <v>952</v>
      </c>
      <c r="D6" s="122" t="s">
        <v>951</v>
      </c>
      <c r="E6" s="124">
        <v>1.447916666666667</v>
      </c>
      <c r="F6" s="122" t="s">
        <v>33</v>
      </c>
      <c r="G6" s="125">
        <v>1</v>
      </c>
      <c r="H6" s="122" t="s">
        <v>279</v>
      </c>
    </row>
    <row r="7" spans="1:8" ht="18" x14ac:dyDescent="0.3">
      <c r="A7" s="126">
        <v>45985</v>
      </c>
      <c r="B7" s="116" t="s">
        <v>54</v>
      </c>
      <c r="C7" s="117" t="s">
        <v>953</v>
      </c>
      <c r="D7" s="116" t="s">
        <v>951</v>
      </c>
      <c r="E7" s="118">
        <v>1.336805555555556</v>
      </c>
      <c r="F7" s="116" t="s">
        <v>56</v>
      </c>
      <c r="G7" s="119">
        <v>2</v>
      </c>
      <c r="H7" s="116" t="s">
        <v>771</v>
      </c>
    </row>
    <row r="8" spans="1:8" ht="18" x14ac:dyDescent="0.3">
      <c r="A8" s="121">
        <v>45985</v>
      </c>
      <c r="B8" s="122" t="s">
        <v>54</v>
      </c>
      <c r="C8" s="123" t="s">
        <v>953</v>
      </c>
      <c r="D8" s="122" t="s">
        <v>951</v>
      </c>
      <c r="E8" s="124">
        <v>1.336805555555556</v>
      </c>
      <c r="F8" s="122" t="s">
        <v>58</v>
      </c>
      <c r="G8" s="125">
        <v>2</v>
      </c>
      <c r="H8" s="122" t="s">
        <v>823</v>
      </c>
    </row>
    <row r="9" spans="1:8" ht="18" x14ac:dyDescent="0.3">
      <c r="A9" s="121">
        <v>45985</v>
      </c>
      <c r="B9" s="122" t="s">
        <v>54</v>
      </c>
      <c r="C9" s="123" t="s">
        <v>953</v>
      </c>
      <c r="D9" s="122" t="s">
        <v>951</v>
      </c>
      <c r="E9" s="124">
        <v>1.336805555555556</v>
      </c>
      <c r="F9" s="122" t="s">
        <v>60</v>
      </c>
      <c r="G9" s="125">
        <v>2</v>
      </c>
      <c r="H9" s="122" t="s">
        <v>114</v>
      </c>
    </row>
    <row r="10" spans="1:8" ht="18" x14ac:dyDescent="0.3">
      <c r="A10" s="127">
        <v>45985</v>
      </c>
      <c r="B10" s="128" t="s">
        <v>54</v>
      </c>
      <c r="C10" s="129" t="s">
        <v>954</v>
      </c>
      <c r="D10" s="128" t="s">
        <v>951</v>
      </c>
      <c r="E10" s="130">
        <v>1.9722222222222221</v>
      </c>
      <c r="F10" s="128" t="s">
        <v>56</v>
      </c>
      <c r="G10" s="131">
        <v>1</v>
      </c>
      <c r="H10" s="128" t="s">
        <v>771</v>
      </c>
    </row>
    <row r="11" spans="1:8" ht="18" x14ac:dyDescent="0.3">
      <c r="A11" s="121">
        <v>45985</v>
      </c>
      <c r="B11" s="122" t="s">
        <v>54</v>
      </c>
      <c r="C11" s="123" t="s">
        <v>954</v>
      </c>
      <c r="D11" s="122" t="s">
        <v>951</v>
      </c>
      <c r="E11" s="124">
        <v>1.9722222222222221</v>
      </c>
      <c r="F11" s="122" t="s">
        <v>58</v>
      </c>
      <c r="G11" s="125">
        <v>1</v>
      </c>
      <c r="H11" s="122" t="s">
        <v>823</v>
      </c>
    </row>
    <row r="12" spans="1:8" ht="18" x14ac:dyDescent="0.3">
      <c r="A12" s="121">
        <v>45985</v>
      </c>
      <c r="B12" s="122" t="s">
        <v>54</v>
      </c>
      <c r="C12" s="123" t="s">
        <v>954</v>
      </c>
      <c r="D12" s="122" t="s">
        <v>951</v>
      </c>
      <c r="E12" s="124">
        <v>1.9722222222222221</v>
      </c>
      <c r="F12" s="122" t="s">
        <v>60</v>
      </c>
      <c r="G12" s="125">
        <v>1</v>
      </c>
      <c r="H12" s="122" t="s">
        <v>114</v>
      </c>
    </row>
    <row r="13" spans="1:8" ht="18" x14ac:dyDescent="0.3">
      <c r="A13" s="189">
        <v>45985</v>
      </c>
      <c r="B13" s="190" t="s">
        <v>285</v>
      </c>
      <c r="C13" s="191" t="s">
        <v>955</v>
      </c>
      <c r="D13" s="190" t="s">
        <v>951</v>
      </c>
      <c r="E13" s="192">
        <v>1.756944444444444</v>
      </c>
      <c r="F13" s="190" t="s">
        <v>81</v>
      </c>
      <c r="G13" s="193">
        <v>9</v>
      </c>
      <c r="H13" s="190" t="s">
        <v>956</v>
      </c>
    </row>
    <row r="14" spans="1:8" ht="15.6" x14ac:dyDescent="0.3">
      <c r="A14" s="185"/>
      <c r="B14" s="185"/>
      <c r="C14" s="185"/>
      <c r="D14" s="185"/>
      <c r="E14" s="186" t="s">
        <v>1035</v>
      </c>
      <c r="F14" s="185"/>
      <c r="G14" s="185"/>
      <c r="H14" s="3"/>
    </row>
    <row r="15" spans="1:8" ht="18" x14ac:dyDescent="0.3">
      <c r="A15" s="115">
        <v>45986</v>
      </c>
      <c r="B15" s="116" t="s">
        <v>360</v>
      </c>
      <c r="C15" s="117" t="s">
        <v>963</v>
      </c>
      <c r="D15" s="116" t="s">
        <v>951</v>
      </c>
      <c r="E15" s="118">
        <v>1.881944444444444</v>
      </c>
      <c r="F15" s="116" t="s">
        <v>81</v>
      </c>
      <c r="G15" s="119">
        <v>1</v>
      </c>
      <c r="H15" s="120" t="s">
        <v>964</v>
      </c>
    </row>
    <row r="16" spans="1:8" ht="18" x14ac:dyDescent="0.3">
      <c r="A16" s="126">
        <v>45986</v>
      </c>
      <c r="B16" s="116" t="s">
        <v>25</v>
      </c>
      <c r="C16" s="117" t="s">
        <v>952</v>
      </c>
      <c r="D16" s="116" t="s">
        <v>951</v>
      </c>
      <c r="E16" s="118">
        <v>1.447916666666667</v>
      </c>
      <c r="F16" s="116" t="s">
        <v>27</v>
      </c>
      <c r="G16" s="119">
        <v>3</v>
      </c>
      <c r="H16" s="116" t="s">
        <v>822</v>
      </c>
    </row>
    <row r="17" spans="1:8" ht="18" x14ac:dyDescent="0.3">
      <c r="A17" s="121">
        <v>45986</v>
      </c>
      <c r="B17" s="122" t="s">
        <v>25</v>
      </c>
      <c r="C17" s="123" t="s">
        <v>952</v>
      </c>
      <c r="D17" s="122" t="s">
        <v>951</v>
      </c>
      <c r="E17" s="124">
        <v>1.447916666666667</v>
      </c>
      <c r="F17" s="122" t="s">
        <v>30</v>
      </c>
      <c r="G17" s="125">
        <v>3</v>
      </c>
      <c r="H17" s="122" t="s">
        <v>823</v>
      </c>
    </row>
    <row r="18" spans="1:8" ht="18" x14ac:dyDescent="0.3">
      <c r="A18" s="121">
        <v>45986</v>
      </c>
      <c r="B18" s="122" t="s">
        <v>25</v>
      </c>
      <c r="C18" s="123" t="s">
        <v>952</v>
      </c>
      <c r="D18" s="122" t="s">
        <v>951</v>
      </c>
      <c r="E18" s="124">
        <v>1.447916666666667</v>
      </c>
      <c r="F18" s="122" t="s">
        <v>33</v>
      </c>
      <c r="G18" s="125">
        <v>3</v>
      </c>
      <c r="H18" s="122" t="s">
        <v>416</v>
      </c>
    </row>
    <row r="19" spans="1:8" ht="18" x14ac:dyDescent="0.3">
      <c r="A19" s="136">
        <v>45986</v>
      </c>
      <c r="B19" s="137" t="s">
        <v>71</v>
      </c>
      <c r="C19" s="138" t="s">
        <v>965</v>
      </c>
      <c r="D19" s="137" t="s">
        <v>951</v>
      </c>
      <c r="E19" s="139">
        <v>1.069444444444444</v>
      </c>
      <c r="F19" s="137" t="s">
        <v>81</v>
      </c>
      <c r="G19" s="140">
        <v>6</v>
      </c>
      <c r="H19" s="137" t="s">
        <v>966</v>
      </c>
    </row>
    <row r="20" spans="1:8" ht="18" x14ac:dyDescent="0.3">
      <c r="A20" s="126">
        <v>45986</v>
      </c>
      <c r="B20" s="116" t="s">
        <v>54</v>
      </c>
      <c r="C20" s="117" t="s">
        <v>954</v>
      </c>
      <c r="D20" s="116" t="s">
        <v>951</v>
      </c>
      <c r="E20" s="118">
        <v>1.9722222222222221</v>
      </c>
      <c r="F20" s="116" t="s">
        <v>56</v>
      </c>
      <c r="G20" s="119">
        <v>1</v>
      </c>
      <c r="H20" s="116" t="s">
        <v>771</v>
      </c>
    </row>
    <row r="21" spans="1:8" ht="18" x14ac:dyDescent="0.3">
      <c r="A21" s="121">
        <v>45986</v>
      </c>
      <c r="B21" s="122" t="s">
        <v>54</v>
      </c>
      <c r="C21" s="123" t="s">
        <v>954</v>
      </c>
      <c r="D21" s="122" t="s">
        <v>951</v>
      </c>
      <c r="E21" s="124">
        <v>1.9722222222222221</v>
      </c>
      <c r="F21" s="122" t="s">
        <v>58</v>
      </c>
      <c r="G21" s="125">
        <v>1</v>
      </c>
      <c r="H21" s="122" t="s">
        <v>823</v>
      </c>
    </row>
    <row r="22" spans="1:8" ht="18" x14ac:dyDescent="0.3">
      <c r="A22" s="121">
        <v>45986</v>
      </c>
      <c r="B22" s="122" t="s">
        <v>54</v>
      </c>
      <c r="C22" s="123" t="s">
        <v>954</v>
      </c>
      <c r="D22" s="122" t="s">
        <v>951</v>
      </c>
      <c r="E22" s="124">
        <v>1.9722222222222221</v>
      </c>
      <c r="F22" s="122" t="s">
        <v>60</v>
      </c>
      <c r="G22" s="125">
        <v>1</v>
      </c>
      <c r="H22" s="122" t="s">
        <v>114</v>
      </c>
    </row>
    <row r="23" spans="1:8" ht="18" x14ac:dyDescent="0.3">
      <c r="A23" s="127">
        <v>45986</v>
      </c>
      <c r="B23" s="128" t="s">
        <v>54</v>
      </c>
      <c r="C23" s="129" t="s">
        <v>953</v>
      </c>
      <c r="D23" s="128" t="s">
        <v>951</v>
      </c>
      <c r="E23" s="130">
        <v>1.336805555555556</v>
      </c>
      <c r="F23" s="128" t="s">
        <v>969</v>
      </c>
      <c r="G23" s="131">
        <v>2</v>
      </c>
      <c r="H23" s="128" t="s">
        <v>632</v>
      </c>
    </row>
    <row r="24" spans="1:8" ht="18" x14ac:dyDescent="0.3">
      <c r="A24" s="189">
        <v>45986</v>
      </c>
      <c r="B24" s="190" t="s">
        <v>285</v>
      </c>
      <c r="C24" s="191" t="s">
        <v>970</v>
      </c>
      <c r="D24" s="190" t="s">
        <v>951</v>
      </c>
      <c r="E24" s="192">
        <v>1.756944444444444</v>
      </c>
      <c r="F24" s="190" t="s">
        <v>81</v>
      </c>
      <c r="G24" s="193">
        <v>9</v>
      </c>
      <c r="H24" s="190" t="s">
        <v>593</v>
      </c>
    </row>
    <row r="25" spans="1:8" ht="15.6" x14ac:dyDescent="0.3">
      <c r="A25" s="185"/>
      <c r="B25" s="185"/>
      <c r="C25" s="185"/>
      <c r="D25" s="185"/>
      <c r="E25" s="186" t="s">
        <v>1035</v>
      </c>
      <c r="F25" s="185"/>
      <c r="G25" s="185"/>
      <c r="H25" s="3"/>
    </row>
    <row r="26" spans="1:8" ht="18" x14ac:dyDescent="0.3">
      <c r="A26" s="115">
        <v>45987</v>
      </c>
      <c r="B26" s="116" t="s">
        <v>25</v>
      </c>
      <c r="C26" s="117" t="s">
        <v>952</v>
      </c>
      <c r="D26" s="116" t="s">
        <v>951</v>
      </c>
      <c r="E26" s="118">
        <v>1.447916666666667</v>
      </c>
      <c r="F26" s="116" t="s">
        <v>27</v>
      </c>
      <c r="G26" s="119">
        <v>3</v>
      </c>
      <c r="H26" s="120" t="s">
        <v>822</v>
      </c>
    </row>
    <row r="27" spans="1:8" ht="18" x14ac:dyDescent="0.3">
      <c r="A27" s="121">
        <v>45987</v>
      </c>
      <c r="B27" s="122" t="s">
        <v>25</v>
      </c>
      <c r="C27" s="123" t="s">
        <v>952</v>
      </c>
      <c r="D27" s="122" t="s">
        <v>951</v>
      </c>
      <c r="E27" s="124">
        <v>1.447916666666667</v>
      </c>
      <c r="F27" s="122" t="s">
        <v>30</v>
      </c>
      <c r="G27" s="125">
        <v>3</v>
      </c>
      <c r="H27" s="122" t="s">
        <v>823</v>
      </c>
    </row>
    <row r="28" spans="1:8" ht="18" x14ac:dyDescent="0.3">
      <c r="A28" s="121">
        <v>45987</v>
      </c>
      <c r="B28" s="122" t="s">
        <v>25</v>
      </c>
      <c r="C28" s="123" t="s">
        <v>952</v>
      </c>
      <c r="D28" s="122" t="s">
        <v>951</v>
      </c>
      <c r="E28" s="124">
        <v>1.447916666666667</v>
      </c>
      <c r="F28" s="122" t="s">
        <v>33</v>
      </c>
      <c r="G28" s="125">
        <v>3</v>
      </c>
      <c r="H28" s="122" t="s">
        <v>416</v>
      </c>
    </row>
    <row r="29" spans="1:8" ht="18" x14ac:dyDescent="0.3">
      <c r="A29" s="126">
        <v>45987</v>
      </c>
      <c r="B29" s="116" t="s">
        <v>54</v>
      </c>
      <c r="C29" s="117" t="s">
        <v>954</v>
      </c>
      <c r="D29" s="116" t="s">
        <v>951</v>
      </c>
      <c r="E29" s="118">
        <v>1.9722222222222221</v>
      </c>
      <c r="F29" s="116" t="s">
        <v>56</v>
      </c>
      <c r="G29" s="119">
        <v>1</v>
      </c>
      <c r="H29" s="116" t="s">
        <v>771</v>
      </c>
    </row>
    <row r="30" spans="1:8" ht="18" x14ac:dyDescent="0.3">
      <c r="A30" s="121">
        <v>45987</v>
      </c>
      <c r="B30" s="122" t="s">
        <v>54</v>
      </c>
      <c r="C30" s="123" t="s">
        <v>954</v>
      </c>
      <c r="D30" s="122" t="s">
        <v>951</v>
      </c>
      <c r="E30" s="124">
        <v>1.9722222222222221</v>
      </c>
      <c r="F30" s="122" t="s">
        <v>58</v>
      </c>
      <c r="G30" s="125">
        <v>1</v>
      </c>
      <c r="H30" s="122" t="s">
        <v>823</v>
      </c>
    </row>
    <row r="31" spans="1:8" ht="18" x14ac:dyDescent="0.3">
      <c r="A31" s="121">
        <v>45987</v>
      </c>
      <c r="B31" s="122" t="s">
        <v>54</v>
      </c>
      <c r="C31" s="123" t="s">
        <v>954</v>
      </c>
      <c r="D31" s="122" t="s">
        <v>951</v>
      </c>
      <c r="E31" s="124">
        <v>1.9722222222222221</v>
      </c>
      <c r="F31" s="122" t="s">
        <v>60</v>
      </c>
      <c r="G31" s="125">
        <v>1</v>
      </c>
      <c r="H31" s="122" t="s">
        <v>114</v>
      </c>
    </row>
    <row r="32" spans="1:8" ht="18" x14ac:dyDescent="0.3">
      <c r="A32" s="126">
        <v>45987</v>
      </c>
      <c r="B32" s="116" t="s">
        <v>285</v>
      </c>
      <c r="C32" s="117" t="s">
        <v>955</v>
      </c>
      <c r="D32" s="116" t="s">
        <v>951</v>
      </c>
      <c r="E32" s="118">
        <v>1.697916666666667</v>
      </c>
      <c r="F32" s="116" t="s">
        <v>81</v>
      </c>
      <c r="G32" s="119">
        <v>7</v>
      </c>
      <c r="H32" s="116" t="s">
        <v>593</v>
      </c>
    </row>
    <row r="33" spans="1:8" ht="18" x14ac:dyDescent="0.3">
      <c r="A33" s="126">
        <v>45987</v>
      </c>
      <c r="B33" s="116" t="s">
        <v>63</v>
      </c>
      <c r="C33" s="117" t="s">
        <v>959</v>
      </c>
      <c r="D33" s="116" t="s">
        <v>951</v>
      </c>
      <c r="E33" s="118">
        <v>1.336805555555556</v>
      </c>
      <c r="F33" s="116" t="s">
        <v>48</v>
      </c>
      <c r="G33" s="119">
        <v>9</v>
      </c>
      <c r="H33" s="116" t="s">
        <v>973</v>
      </c>
    </row>
    <row r="34" spans="1:8" ht="18" x14ac:dyDescent="0.3">
      <c r="A34" s="127">
        <v>45987</v>
      </c>
      <c r="B34" s="128" t="s">
        <v>63</v>
      </c>
      <c r="C34" s="129" t="s">
        <v>961</v>
      </c>
      <c r="D34" s="128" t="s">
        <v>951</v>
      </c>
      <c r="E34" s="130">
        <v>1.677083333333333</v>
      </c>
      <c r="F34" s="128" t="s">
        <v>48</v>
      </c>
      <c r="G34" s="131">
        <v>3</v>
      </c>
      <c r="H34" s="128" t="s">
        <v>974</v>
      </c>
    </row>
    <row r="35" spans="1:8" ht="18" x14ac:dyDescent="0.3">
      <c r="A35" s="189">
        <v>45987</v>
      </c>
      <c r="B35" s="190" t="s">
        <v>35</v>
      </c>
      <c r="C35" s="191" t="s">
        <v>962</v>
      </c>
      <c r="D35" s="190" t="s">
        <v>951</v>
      </c>
      <c r="E35" s="192">
        <v>1.447916666666667</v>
      </c>
      <c r="F35" s="190" t="s">
        <v>42</v>
      </c>
      <c r="G35" s="193">
        <v>4</v>
      </c>
      <c r="H35" s="190" t="s">
        <v>844</v>
      </c>
    </row>
    <row r="36" spans="1:8" ht="15.6" x14ac:dyDescent="0.3">
      <c r="A36" s="185"/>
      <c r="B36" s="185"/>
      <c r="C36" s="185"/>
      <c r="D36" s="185"/>
      <c r="E36" s="186" t="s">
        <v>1035</v>
      </c>
      <c r="F36" s="185"/>
      <c r="G36" s="185"/>
      <c r="H36" s="3"/>
    </row>
    <row r="37" spans="1:8" ht="18" x14ac:dyDescent="0.3">
      <c r="A37" s="115">
        <v>45988</v>
      </c>
      <c r="B37" s="116" t="s">
        <v>360</v>
      </c>
      <c r="C37" s="117" t="s">
        <v>975</v>
      </c>
      <c r="D37" s="116" t="s">
        <v>951</v>
      </c>
      <c r="E37" s="118">
        <v>1.0763888888888891</v>
      </c>
      <c r="F37" s="116" t="s">
        <v>81</v>
      </c>
      <c r="G37" s="119">
        <v>1</v>
      </c>
      <c r="H37" s="120" t="s">
        <v>976</v>
      </c>
    </row>
    <row r="38" spans="1:8" ht="18" x14ac:dyDescent="0.3">
      <c r="A38" s="127">
        <v>45988</v>
      </c>
      <c r="B38" s="128" t="s">
        <v>360</v>
      </c>
      <c r="C38" s="129" t="s">
        <v>977</v>
      </c>
      <c r="D38" s="128" t="s">
        <v>951</v>
      </c>
      <c r="E38" s="130">
        <v>1.9652777777777779</v>
      </c>
      <c r="F38" s="128" t="s">
        <v>81</v>
      </c>
      <c r="G38" s="131">
        <v>1</v>
      </c>
      <c r="H38" s="128" t="s">
        <v>964</v>
      </c>
    </row>
    <row r="39" spans="1:8" ht="18" x14ac:dyDescent="0.3">
      <c r="A39" s="127">
        <v>45988</v>
      </c>
      <c r="B39" s="128" t="s">
        <v>360</v>
      </c>
      <c r="C39" s="129" t="s">
        <v>963</v>
      </c>
      <c r="D39" s="128" t="s">
        <v>951</v>
      </c>
      <c r="E39" s="130">
        <v>1.680555555555556</v>
      </c>
      <c r="F39" s="128" t="s">
        <v>81</v>
      </c>
      <c r="G39" s="131">
        <v>6</v>
      </c>
      <c r="H39" s="128" t="s">
        <v>108</v>
      </c>
    </row>
    <row r="40" spans="1:8" ht="18" x14ac:dyDescent="0.3">
      <c r="A40" s="126">
        <v>45988</v>
      </c>
      <c r="B40" s="116" t="s">
        <v>54</v>
      </c>
      <c r="C40" s="117" t="s">
        <v>953</v>
      </c>
      <c r="D40" s="116" t="s">
        <v>951</v>
      </c>
      <c r="E40" s="118">
        <v>1.336805555555556</v>
      </c>
      <c r="F40" s="116" t="s">
        <v>56</v>
      </c>
      <c r="G40" s="119">
        <v>9</v>
      </c>
      <c r="H40" s="116" t="s">
        <v>771</v>
      </c>
    </row>
    <row r="41" spans="1:8" ht="18" x14ac:dyDescent="0.3">
      <c r="A41" s="121">
        <v>45988</v>
      </c>
      <c r="B41" s="122" t="s">
        <v>54</v>
      </c>
      <c r="C41" s="123" t="s">
        <v>953</v>
      </c>
      <c r="D41" s="122" t="s">
        <v>951</v>
      </c>
      <c r="E41" s="124">
        <v>1.336805555555556</v>
      </c>
      <c r="F41" s="122" t="s">
        <v>58</v>
      </c>
      <c r="G41" s="125">
        <v>9</v>
      </c>
      <c r="H41" s="122" t="s">
        <v>823</v>
      </c>
    </row>
    <row r="42" spans="1:8" ht="18" x14ac:dyDescent="0.3">
      <c r="A42" s="121">
        <v>45988</v>
      </c>
      <c r="B42" s="122" t="s">
        <v>54</v>
      </c>
      <c r="C42" s="123" t="s">
        <v>953</v>
      </c>
      <c r="D42" s="122" t="s">
        <v>951</v>
      </c>
      <c r="E42" s="124">
        <v>1.336805555555556</v>
      </c>
      <c r="F42" s="122" t="s">
        <v>60</v>
      </c>
      <c r="G42" s="125">
        <v>9</v>
      </c>
      <c r="H42" s="122" t="s">
        <v>114</v>
      </c>
    </row>
    <row r="43" spans="1:8" ht="18" x14ac:dyDescent="0.3">
      <c r="A43" s="126">
        <v>45988</v>
      </c>
      <c r="B43" s="116" t="s">
        <v>285</v>
      </c>
      <c r="C43" s="117" t="s">
        <v>979</v>
      </c>
      <c r="D43" s="116" t="s">
        <v>951</v>
      </c>
      <c r="E43" s="118">
        <v>1.3611111111111109</v>
      </c>
      <c r="F43" s="116" t="s">
        <v>81</v>
      </c>
      <c r="G43" s="119">
        <v>9</v>
      </c>
      <c r="H43" s="116" t="s">
        <v>593</v>
      </c>
    </row>
    <row r="44" spans="1:8" ht="18" x14ac:dyDescent="0.3">
      <c r="A44" s="126">
        <v>45988</v>
      </c>
      <c r="B44" s="116" t="s">
        <v>25</v>
      </c>
      <c r="C44" s="117" t="s">
        <v>952</v>
      </c>
      <c r="D44" s="116" t="s">
        <v>951</v>
      </c>
      <c r="E44" s="118">
        <v>1.447916666666667</v>
      </c>
      <c r="F44" s="116" t="s">
        <v>27</v>
      </c>
      <c r="G44" s="119">
        <v>2</v>
      </c>
      <c r="H44" s="116" t="s">
        <v>276</v>
      </c>
    </row>
    <row r="45" spans="1:8" ht="18" x14ac:dyDescent="0.3">
      <c r="A45" s="121">
        <v>45988</v>
      </c>
      <c r="B45" s="122" t="s">
        <v>25</v>
      </c>
      <c r="C45" s="123" t="s">
        <v>952</v>
      </c>
      <c r="D45" s="122" t="s">
        <v>951</v>
      </c>
      <c r="E45" s="124">
        <v>1.447916666666667</v>
      </c>
      <c r="F45" s="122" t="s">
        <v>33</v>
      </c>
      <c r="G45" s="125">
        <v>2</v>
      </c>
      <c r="H45" s="122" t="s">
        <v>279</v>
      </c>
    </row>
    <row r="46" spans="1:8" ht="18" x14ac:dyDescent="0.3">
      <c r="A46" s="145">
        <v>45988</v>
      </c>
      <c r="B46" s="146" t="s">
        <v>25</v>
      </c>
      <c r="C46" s="147" t="s">
        <v>952</v>
      </c>
      <c r="D46" s="146" t="s">
        <v>951</v>
      </c>
      <c r="E46" s="148">
        <v>1.447916666666667</v>
      </c>
      <c r="F46" s="146" t="s">
        <v>30</v>
      </c>
      <c r="G46" s="149">
        <v>2</v>
      </c>
      <c r="H46" s="146" t="s">
        <v>119</v>
      </c>
    </row>
    <row r="47" spans="1:8" ht="18" x14ac:dyDescent="0.3">
      <c r="A47" s="187">
        <v>45989</v>
      </c>
      <c r="B47" s="137" t="s">
        <v>71</v>
      </c>
      <c r="C47" s="138" t="s">
        <v>1014</v>
      </c>
      <c r="D47" s="137" t="s">
        <v>1013</v>
      </c>
      <c r="E47" s="139">
        <v>1.072916666666667</v>
      </c>
      <c r="F47" s="137" t="s">
        <v>81</v>
      </c>
      <c r="G47" s="140">
        <v>8</v>
      </c>
      <c r="H47" s="188" t="s">
        <v>956</v>
      </c>
    </row>
    <row r="48" spans="1:8" ht="15.6" x14ac:dyDescent="0.3">
      <c r="A48" s="185"/>
      <c r="B48" s="185"/>
      <c r="C48" s="185"/>
      <c r="D48" s="185"/>
      <c r="E48" s="186" t="s">
        <v>1035</v>
      </c>
      <c r="F48" s="185"/>
      <c r="G48" s="185"/>
      <c r="H48" s="3"/>
    </row>
    <row r="49" spans="1:8" ht="18" x14ac:dyDescent="0.3">
      <c r="A49" s="126">
        <v>45989</v>
      </c>
      <c r="B49" s="116" t="s">
        <v>360</v>
      </c>
      <c r="C49" s="117" t="s">
        <v>963</v>
      </c>
      <c r="D49" s="116" t="s">
        <v>951</v>
      </c>
      <c r="E49" s="118">
        <v>1.9652777777777779</v>
      </c>
      <c r="F49" s="116" t="s">
        <v>81</v>
      </c>
      <c r="G49" s="119">
        <v>3</v>
      </c>
      <c r="H49" s="116" t="s">
        <v>982</v>
      </c>
    </row>
    <row r="50" spans="1:8" ht="18" x14ac:dyDescent="0.3">
      <c r="A50" s="136">
        <v>45989</v>
      </c>
      <c r="B50" s="137" t="s">
        <v>71</v>
      </c>
      <c r="C50" s="138" t="s">
        <v>965</v>
      </c>
      <c r="D50" s="137" t="s">
        <v>951</v>
      </c>
      <c r="E50" s="139">
        <v>1.381944444444444</v>
      </c>
      <c r="F50" s="137" t="s">
        <v>81</v>
      </c>
      <c r="G50" s="140">
        <v>9</v>
      </c>
      <c r="H50" s="137" t="s">
        <v>956</v>
      </c>
    </row>
    <row r="51" spans="1:8" ht="18" x14ac:dyDescent="0.3">
      <c r="A51" s="126">
        <v>45989</v>
      </c>
      <c r="B51" s="116" t="s">
        <v>25</v>
      </c>
      <c r="C51" s="117" t="s">
        <v>952</v>
      </c>
      <c r="D51" s="116" t="s">
        <v>951</v>
      </c>
      <c r="E51" s="118">
        <v>1.447916666666667</v>
      </c>
      <c r="F51" s="116" t="s">
        <v>27</v>
      </c>
      <c r="G51" s="119">
        <v>9</v>
      </c>
      <c r="H51" s="116" t="s">
        <v>984</v>
      </c>
    </row>
    <row r="52" spans="1:8" ht="18" x14ac:dyDescent="0.3">
      <c r="A52" s="121">
        <v>45989</v>
      </c>
      <c r="B52" s="122" t="s">
        <v>25</v>
      </c>
      <c r="C52" s="123" t="s">
        <v>952</v>
      </c>
      <c r="D52" s="122" t="s">
        <v>951</v>
      </c>
      <c r="E52" s="124">
        <v>1.447916666666667</v>
      </c>
      <c r="F52" s="122" t="s">
        <v>30</v>
      </c>
      <c r="G52" s="125">
        <v>9</v>
      </c>
      <c r="H52" s="122" t="s">
        <v>985</v>
      </c>
    </row>
    <row r="53" spans="1:8" ht="18" x14ac:dyDescent="0.3">
      <c r="A53" s="121">
        <v>45989</v>
      </c>
      <c r="B53" s="122" t="s">
        <v>25</v>
      </c>
      <c r="C53" s="123" t="s">
        <v>952</v>
      </c>
      <c r="D53" s="122" t="s">
        <v>951</v>
      </c>
      <c r="E53" s="124">
        <v>1.447916666666667</v>
      </c>
      <c r="F53" s="122" t="s">
        <v>33</v>
      </c>
      <c r="G53" s="125">
        <v>9</v>
      </c>
      <c r="H53" s="122" t="s">
        <v>986</v>
      </c>
    </row>
    <row r="54" spans="1:8" ht="18" x14ac:dyDescent="0.3">
      <c r="A54" s="126">
        <v>45989</v>
      </c>
      <c r="B54" s="116" t="s">
        <v>285</v>
      </c>
      <c r="C54" s="117" t="s">
        <v>955</v>
      </c>
      <c r="D54" s="116" t="s">
        <v>951</v>
      </c>
      <c r="E54" s="118">
        <v>1.756944444444444</v>
      </c>
      <c r="F54" s="116" t="s">
        <v>81</v>
      </c>
      <c r="G54" s="119">
        <v>9</v>
      </c>
      <c r="H54" s="116" t="s">
        <v>987</v>
      </c>
    </row>
    <row r="55" spans="1:8" ht="18" x14ac:dyDescent="0.3">
      <c r="A55" s="126">
        <v>45989</v>
      </c>
      <c r="B55" s="116" t="s">
        <v>54</v>
      </c>
      <c r="C55" s="117" t="s">
        <v>954</v>
      </c>
      <c r="D55" s="116" t="s">
        <v>951</v>
      </c>
      <c r="E55" s="118">
        <v>1.9722222222222221</v>
      </c>
      <c r="F55" s="116" t="s">
        <v>56</v>
      </c>
      <c r="G55" s="119">
        <v>9</v>
      </c>
      <c r="H55" s="116" t="s">
        <v>404</v>
      </c>
    </row>
    <row r="56" spans="1:8" ht="18" x14ac:dyDescent="0.3">
      <c r="A56" s="121">
        <v>45989</v>
      </c>
      <c r="B56" s="122" t="s">
        <v>54</v>
      </c>
      <c r="C56" s="123" t="s">
        <v>954</v>
      </c>
      <c r="D56" s="122" t="s">
        <v>951</v>
      </c>
      <c r="E56" s="124">
        <v>1.9722222222222221</v>
      </c>
      <c r="F56" s="122" t="s">
        <v>58</v>
      </c>
      <c r="G56" s="125">
        <v>9</v>
      </c>
      <c r="H56" s="122" t="s">
        <v>852</v>
      </c>
    </row>
    <row r="57" spans="1:8" ht="18" x14ac:dyDescent="0.3">
      <c r="A57" s="121">
        <v>45989</v>
      </c>
      <c r="B57" s="122" t="s">
        <v>54</v>
      </c>
      <c r="C57" s="123" t="s">
        <v>954</v>
      </c>
      <c r="D57" s="122" t="s">
        <v>951</v>
      </c>
      <c r="E57" s="124">
        <v>1.9722222222222221</v>
      </c>
      <c r="F57" s="122" t="s">
        <v>60</v>
      </c>
      <c r="G57" s="125">
        <v>9</v>
      </c>
      <c r="H57" s="122" t="s">
        <v>853</v>
      </c>
    </row>
    <row r="58" spans="1:8" ht="18" x14ac:dyDescent="0.3">
      <c r="A58" s="189">
        <v>45989</v>
      </c>
      <c r="B58" s="190" t="s">
        <v>63</v>
      </c>
      <c r="C58" s="191" t="s">
        <v>957</v>
      </c>
      <c r="D58" s="190" t="s">
        <v>951</v>
      </c>
      <c r="E58" s="192">
        <v>1.979166666666667</v>
      </c>
      <c r="F58" s="190" t="s">
        <v>48</v>
      </c>
      <c r="G58" s="193">
        <v>9</v>
      </c>
      <c r="H58" s="190" t="s">
        <v>974</v>
      </c>
    </row>
    <row r="59" spans="1:8" ht="15.6" x14ac:dyDescent="0.3">
      <c r="A59" s="185"/>
      <c r="B59" s="185"/>
      <c r="C59" s="185"/>
      <c r="D59" s="185"/>
      <c r="E59" s="186" t="s">
        <v>1035</v>
      </c>
      <c r="F59" s="185"/>
      <c r="G59" s="185"/>
      <c r="H59" s="3"/>
    </row>
    <row r="60" spans="1:8" ht="18" x14ac:dyDescent="0.3">
      <c r="A60" s="115">
        <v>45990</v>
      </c>
      <c r="B60" s="116" t="s">
        <v>285</v>
      </c>
      <c r="C60" s="117" t="s">
        <v>989</v>
      </c>
      <c r="D60" s="116" t="s">
        <v>951</v>
      </c>
      <c r="E60" s="118">
        <v>1.961805555555556</v>
      </c>
      <c r="F60" s="116" t="s">
        <v>81</v>
      </c>
      <c r="G60" s="119">
        <v>9</v>
      </c>
      <c r="H60" s="120" t="s">
        <v>956</v>
      </c>
    </row>
    <row r="61" spans="1:8" ht="18" x14ac:dyDescent="0.3">
      <c r="A61" s="127">
        <v>45990</v>
      </c>
      <c r="B61" s="128" t="s">
        <v>285</v>
      </c>
      <c r="C61" s="129" t="s">
        <v>970</v>
      </c>
      <c r="D61" s="128" t="s">
        <v>951</v>
      </c>
      <c r="E61" s="130">
        <v>1.694444444444444</v>
      </c>
      <c r="F61" s="128" t="s">
        <v>81</v>
      </c>
      <c r="G61" s="131">
        <v>9</v>
      </c>
      <c r="H61" s="128" t="s">
        <v>115</v>
      </c>
    </row>
    <row r="62" spans="1:8" ht="18" x14ac:dyDescent="0.3">
      <c r="A62" s="126">
        <v>45990</v>
      </c>
      <c r="B62" s="116" t="s">
        <v>54</v>
      </c>
      <c r="C62" s="117" t="s">
        <v>953</v>
      </c>
      <c r="D62" s="116" t="s">
        <v>951</v>
      </c>
      <c r="E62" s="118">
        <v>1.336805555555556</v>
      </c>
      <c r="F62" s="116" t="s">
        <v>56</v>
      </c>
      <c r="G62" s="119">
        <v>9</v>
      </c>
      <c r="H62" s="116" t="s">
        <v>115</v>
      </c>
    </row>
    <row r="63" spans="1:8" ht="18" x14ac:dyDescent="0.3">
      <c r="A63" s="121">
        <v>45990</v>
      </c>
      <c r="B63" s="122" t="s">
        <v>54</v>
      </c>
      <c r="C63" s="123" t="s">
        <v>953</v>
      </c>
      <c r="D63" s="122" t="s">
        <v>951</v>
      </c>
      <c r="E63" s="124">
        <v>1.336805555555556</v>
      </c>
      <c r="F63" s="122" t="s">
        <v>58</v>
      </c>
      <c r="G63" s="125">
        <v>9</v>
      </c>
      <c r="H63" s="122" t="s">
        <v>400</v>
      </c>
    </row>
    <row r="64" spans="1:8" ht="18" x14ac:dyDescent="0.3">
      <c r="A64" s="121">
        <v>45990</v>
      </c>
      <c r="B64" s="122" t="s">
        <v>54</v>
      </c>
      <c r="C64" s="123" t="s">
        <v>953</v>
      </c>
      <c r="D64" s="122" t="s">
        <v>951</v>
      </c>
      <c r="E64" s="124">
        <v>1.336805555555556</v>
      </c>
      <c r="F64" s="122" t="s">
        <v>60</v>
      </c>
      <c r="G64" s="125">
        <v>9</v>
      </c>
      <c r="H64" s="122" t="s">
        <v>401</v>
      </c>
    </row>
    <row r="65" spans="1:8" ht="18" x14ac:dyDescent="0.3">
      <c r="A65" s="127">
        <v>45990</v>
      </c>
      <c r="B65" s="128" t="s">
        <v>54</v>
      </c>
      <c r="C65" s="129" t="s">
        <v>954</v>
      </c>
      <c r="D65" s="128" t="s">
        <v>951</v>
      </c>
      <c r="E65" s="130">
        <v>1.9722222222222221</v>
      </c>
      <c r="F65" s="128" t="s">
        <v>56</v>
      </c>
      <c r="G65" s="131">
        <v>9</v>
      </c>
      <c r="H65" s="128" t="s">
        <v>404</v>
      </c>
    </row>
    <row r="66" spans="1:8" ht="18" x14ac:dyDescent="0.3">
      <c r="A66" s="126">
        <v>45990</v>
      </c>
      <c r="B66" s="116" t="s">
        <v>25</v>
      </c>
      <c r="C66" s="117" t="s">
        <v>952</v>
      </c>
      <c r="D66" s="116" t="s">
        <v>951</v>
      </c>
      <c r="E66" s="118">
        <v>1.447916666666667</v>
      </c>
      <c r="F66" s="116" t="s">
        <v>27</v>
      </c>
      <c r="G66" s="119">
        <v>2</v>
      </c>
      <c r="H66" s="116" t="s">
        <v>984</v>
      </c>
    </row>
    <row r="67" spans="1:8" ht="18" x14ac:dyDescent="0.3">
      <c r="A67" s="121">
        <v>45990</v>
      </c>
      <c r="B67" s="122" t="s">
        <v>25</v>
      </c>
      <c r="C67" s="123" t="s">
        <v>952</v>
      </c>
      <c r="D67" s="122" t="s">
        <v>951</v>
      </c>
      <c r="E67" s="124">
        <v>1.447916666666667</v>
      </c>
      <c r="F67" s="122" t="s">
        <v>30</v>
      </c>
      <c r="G67" s="125">
        <v>2</v>
      </c>
      <c r="H67" s="122" t="s">
        <v>985</v>
      </c>
    </row>
    <row r="68" spans="1:8" ht="18" x14ac:dyDescent="0.3">
      <c r="A68" s="136">
        <v>45990</v>
      </c>
      <c r="B68" s="137" t="s">
        <v>71</v>
      </c>
      <c r="C68" s="138" t="s">
        <v>965</v>
      </c>
      <c r="D68" s="137" t="s">
        <v>951</v>
      </c>
      <c r="E68" s="139">
        <v>1.7222222222222221</v>
      </c>
      <c r="F68" s="137" t="s">
        <v>81</v>
      </c>
      <c r="G68" s="140">
        <v>9</v>
      </c>
      <c r="H68" s="137" t="s">
        <v>990</v>
      </c>
    </row>
    <row r="69" spans="1:8" ht="18" x14ac:dyDescent="0.3">
      <c r="A69" s="189">
        <v>45990</v>
      </c>
      <c r="B69" s="190" t="s">
        <v>280</v>
      </c>
      <c r="C69" s="191" t="s">
        <v>992</v>
      </c>
      <c r="D69" s="190" t="s">
        <v>951</v>
      </c>
      <c r="E69" s="192">
        <v>1.7465277777777779</v>
      </c>
      <c r="F69" s="190" t="s">
        <v>282</v>
      </c>
      <c r="G69" s="193">
        <v>9</v>
      </c>
      <c r="H69" s="190" t="s">
        <v>993</v>
      </c>
    </row>
    <row r="70" spans="1:8" ht="15.6" x14ac:dyDescent="0.3">
      <c r="A70" s="185"/>
      <c r="B70" s="185"/>
      <c r="C70" s="185"/>
      <c r="D70" s="185"/>
      <c r="E70" s="186" t="s">
        <v>1035</v>
      </c>
      <c r="F70" s="185"/>
      <c r="G70" s="185"/>
      <c r="H70" s="3"/>
    </row>
    <row r="71" spans="1:8" ht="18" x14ac:dyDescent="0.3">
      <c r="A71" s="115">
        <v>45991</v>
      </c>
      <c r="B71" s="116" t="s">
        <v>360</v>
      </c>
      <c r="C71" s="117" t="s">
        <v>975</v>
      </c>
      <c r="D71" s="116" t="s">
        <v>951</v>
      </c>
      <c r="E71" s="118">
        <v>1.9201388888888891</v>
      </c>
      <c r="F71" s="116" t="s">
        <v>81</v>
      </c>
      <c r="G71" s="119">
        <v>1</v>
      </c>
      <c r="H71" s="120" t="s">
        <v>964</v>
      </c>
    </row>
    <row r="72" spans="1:8" ht="18" x14ac:dyDescent="0.3">
      <c r="A72" s="127">
        <v>45991</v>
      </c>
      <c r="B72" s="128" t="s">
        <v>360</v>
      </c>
      <c r="C72" s="129" t="s">
        <v>977</v>
      </c>
      <c r="D72" s="128" t="s">
        <v>951</v>
      </c>
      <c r="E72" s="130">
        <v>1.006944444444444</v>
      </c>
      <c r="F72" s="128" t="s">
        <v>81</v>
      </c>
      <c r="G72" s="131">
        <v>7</v>
      </c>
      <c r="H72" s="128" t="s">
        <v>982</v>
      </c>
    </row>
    <row r="73" spans="1:8" ht="18" x14ac:dyDescent="0.3">
      <c r="A73" s="126">
        <v>45991</v>
      </c>
      <c r="B73" s="116" t="s">
        <v>285</v>
      </c>
      <c r="C73" s="117" t="s">
        <v>996</v>
      </c>
      <c r="D73" s="116" t="s">
        <v>951</v>
      </c>
      <c r="E73" s="118">
        <v>1.4826388888888891</v>
      </c>
      <c r="F73" s="116" t="s">
        <v>81</v>
      </c>
      <c r="G73" s="119">
        <v>4</v>
      </c>
      <c r="H73" s="116" t="s">
        <v>593</v>
      </c>
    </row>
    <row r="74" spans="1:8" ht="18" x14ac:dyDescent="0.3">
      <c r="A74" s="127">
        <v>45991</v>
      </c>
      <c r="B74" s="128" t="s">
        <v>285</v>
      </c>
      <c r="C74" s="129" t="s">
        <v>979</v>
      </c>
      <c r="D74" s="128" t="s">
        <v>951</v>
      </c>
      <c r="E74" s="130">
        <v>1.756944444444444</v>
      </c>
      <c r="F74" s="128" t="s">
        <v>81</v>
      </c>
      <c r="G74" s="131">
        <v>9</v>
      </c>
      <c r="H74" s="128" t="s">
        <v>593</v>
      </c>
    </row>
    <row r="75" spans="1:8" ht="18" x14ac:dyDescent="0.3">
      <c r="A75" s="126">
        <v>45991</v>
      </c>
      <c r="B75" s="116" t="s">
        <v>25</v>
      </c>
      <c r="C75" s="117" t="s">
        <v>952</v>
      </c>
      <c r="D75" s="116" t="s">
        <v>951</v>
      </c>
      <c r="E75" s="118">
        <v>1.447916666666667</v>
      </c>
      <c r="F75" s="116" t="s">
        <v>27</v>
      </c>
      <c r="G75" s="119">
        <v>6</v>
      </c>
      <c r="H75" s="116" t="s">
        <v>117</v>
      </c>
    </row>
    <row r="76" spans="1:8" ht="18" x14ac:dyDescent="0.3">
      <c r="A76" s="121">
        <v>45991</v>
      </c>
      <c r="B76" s="122" t="s">
        <v>25</v>
      </c>
      <c r="C76" s="123" t="s">
        <v>952</v>
      </c>
      <c r="D76" s="122" t="s">
        <v>951</v>
      </c>
      <c r="E76" s="124">
        <v>1.447916666666667</v>
      </c>
      <c r="F76" s="122" t="s">
        <v>30</v>
      </c>
      <c r="G76" s="125">
        <v>6</v>
      </c>
      <c r="H76" s="122" t="s">
        <v>399</v>
      </c>
    </row>
    <row r="77" spans="1:8" ht="18" x14ac:dyDescent="0.3">
      <c r="A77" s="121">
        <v>45991</v>
      </c>
      <c r="B77" s="122" t="s">
        <v>25</v>
      </c>
      <c r="C77" s="123" t="s">
        <v>952</v>
      </c>
      <c r="D77" s="122" t="s">
        <v>951</v>
      </c>
      <c r="E77" s="124">
        <v>1.447916666666667</v>
      </c>
      <c r="F77" s="122" t="s">
        <v>33</v>
      </c>
      <c r="G77" s="125">
        <v>6</v>
      </c>
      <c r="H77" s="122" t="s">
        <v>416</v>
      </c>
    </row>
    <row r="78" spans="1:8" ht="18" x14ac:dyDescent="0.3">
      <c r="A78" s="126">
        <v>45991</v>
      </c>
      <c r="B78" s="116" t="s">
        <v>54</v>
      </c>
      <c r="C78" s="117" t="s">
        <v>954</v>
      </c>
      <c r="D78" s="116" t="s">
        <v>951</v>
      </c>
      <c r="E78" s="118">
        <v>1.9722222222222221</v>
      </c>
      <c r="F78" s="116" t="s">
        <v>56</v>
      </c>
      <c r="G78" s="119">
        <v>9</v>
      </c>
      <c r="H78" s="116" t="s">
        <v>115</v>
      </c>
    </row>
    <row r="79" spans="1:8" ht="18" x14ac:dyDescent="0.3">
      <c r="A79" s="121">
        <v>45991</v>
      </c>
      <c r="B79" s="122" t="s">
        <v>54</v>
      </c>
      <c r="C79" s="123" t="s">
        <v>954</v>
      </c>
      <c r="D79" s="122" t="s">
        <v>951</v>
      </c>
      <c r="E79" s="124">
        <v>1.9722222222222221</v>
      </c>
      <c r="F79" s="122" t="s">
        <v>58</v>
      </c>
      <c r="G79" s="125">
        <v>9</v>
      </c>
      <c r="H79" s="122" t="s">
        <v>400</v>
      </c>
    </row>
    <row r="80" spans="1:8" ht="18" x14ac:dyDescent="0.3">
      <c r="A80" s="145">
        <v>45991</v>
      </c>
      <c r="B80" s="146" t="s">
        <v>54</v>
      </c>
      <c r="C80" s="147" t="s">
        <v>954</v>
      </c>
      <c r="D80" s="146" t="s">
        <v>951</v>
      </c>
      <c r="E80" s="148">
        <v>1.9722222222222221</v>
      </c>
      <c r="F80" s="146" t="s">
        <v>60</v>
      </c>
      <c r="G80" s="149">
        <v>9</v>
      </c>
      <c r="H80" s="146" t="s">
        <v>401</v>
      </c>
    </row>
  </sheetData>
  <dataValidations count="3">
    <dataValidation type="custom" allowBlank="1" showInputMessage="1" promptTitle="LOAD FACTOR ANALYSIS" prompt="SM-437_x000d__x000a_LF 97.8%_x000d__x000a_SOLD 176_x000d__x000a_LST-SOLD 22NOV_x000d__x000a_WEEKLY 47_x000d__x000a_TO-DAY NIL_x000d__x000a_Y-DAY 13_x000d__x000a_LOWEST AVAIL Q3_x000d__x000a_CAPACITY 180_x000d__x000a_CLASSES Q6 &amp; K15 &amp; V15 &amp; +9 more" sqref="A2 B2 C2 D2 E2 F2 G2 H2" xr:uid="{00000000-0002-0000-2A00-000000000000}">
      <formula1>TRUE</formula1>
    </dataValidation>
    <dataValidation type="custom" allowBlank="1" showInputMessage="1" promptTitle="LOAD FACTOR ANALYSIS" prompt="SM-433_x000d__x000a_LF -_x000d__x000a_SOLD -_x000d__x000a_LST-SOLD -_x000d__x000a_WEEKLY -_x000d__x000a_TO-DAY -_x000d__x000a_Y-DAY -_x000d__x000a_LOWEST AVAIL -_x000d__x000a_CAPACITY -_x000d__x000a_CLASSES -" sqref="A19 A50 A68 B19 B50 B68 C19 C50 C68 D19 D50 D68 E19 E50 E68 F19 F50 F68 G19 G50 G68 H19 H50 H68" xr:uid="{00000000-0002-0000-2A00-000001000000}">
      <formula1>TRUE</formula1>
    </dataValidation>
    <dataValidation type="custom" allowBlank="1" showInputMessage="1" promptTitle="LOAD FACTOR ANALYSIS" prompt="SM-437_x000d__x000a_LF 94.4%_x000d__x000a_SOLD 170_x000d__x000a_LST-SOLD 23NOV_x000d__x000a_WEEKLY 56_x000d__x000a_TO-DAY 1_x000d__x000a_Y-DAY 16_x000d__x000a_LOWEST AVAIL H8_x000d__x000a_CAPACITY 180_x000d__x000a_CLASSES Y2 &amp; M1 &amp; H2 &amp; +12 more" sqref="A47 B47 C47 D47 E47 F47 G47 H47" xr:uid="{00000000-0002-0000-2A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6.77734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1036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45984.358589448108</v>
      </c>
      <c r="H2" s="287"/>
      <c r="I2" s="287"/>
      <c r="J2" s="287"/>
      <c r="K2" s="292">
        <v>45984.358589448588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280</v>
      </c>
      <c r="B6" s="8" t="s">
        <v>1037</v>
      </c>
      <c r="C6" s="9">
        <v>0.53819444444444442</v>
      </c>
      <c r="D6" s="8" t="s">
        <v>282</v>
      </c>
      <c r="E6" s="8" t="s">
        <v>105</v>
      </c>
      <c r="F6" s="8" t="s">
        <v>1038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15" t="s">
        <v>280</v>
      </c>
      <c r="B7" s="15" t="s">
        <v>1037</v>
      </c>
      <c r="C7" s="16">
        <v>0.53819444444444442</v>
      </c>
      <c r="D7" s="15" t="s">
        <v>33</v>
      </c>
      <c r="E7" s="15" t="s">
        <v>106</v>
      </c>
      <c r="F7" s="15" t="s">
        <v>1039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7" t="s">
        <v>285</v>
      </c>
      <c r="B8" s="17" t="s">
        <v>1040</v>
      </c>
      <c r="C8" s="18">
        <v>0.71527777777777779</v>
      </c>
      <c r="D8" s="17" t="s">
        <v>81</v>
      </c>
      <c r="E8" s="17" t="s">
        <v>82</v>
      </c>
      <c r="F8" s="17" t="s">
        <v>1041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251" t="s">
        <v>63</v>
      </c>
      <c r="B9" s="251" t="s">
        <v>1042</v>
      </c>
      <c r="C9" s="252">
        <v>0.98263888888888884</v>
      </c>
      <c r="D9" s="251" t="s">
        <v>48</v>
      </c>
      <c r="E9" s="251" t="s">
        <v>402</v>
      </c>
      <c r="F9" s="251" t="s">
        <v>1043</v>
      </c>
      <c r="G9" s="278"/>
      <c r="H9" s="58"/>
      <c r="I9" s="59"/>
      <c r="J9" s="59"/>
      <c r="K9" s="59"/>
      <c r="L9" s="59"/>
      <c r="M9" s="59"/>
      <c r="N9" s="59"/>
      <c r="O9" s="60"/>
      <c r="P9" s="59"/>
      <c r="Q9" s="61"/>
      <c r="R9" s="6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82"/>
      <c r="B10" s="283"/>
      <c r="C10" s="283"/>
      <c r="D10" s="283"/>
      <c r="E10" s="283"/>
      <c r="F10" s="283"/>
      <c r="G10" s="280"/>
      <c r="H10" s="284"/>
      <c r="I10" s="284"/>
      <c r="J10" s="284"/>
      <c r="K10" s="284"/>
      <c r="L10" s="284"/>
      <c r="M10" s="284"/>
      <c r="N10" s="284"/>
      <c r="O10" s="285"/>
      <c r="P10" s="284"/>
      <c r="Q10" s="280"/>
      <c r="R10" s="281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22.05" customHeight="1" x14ac:dyDescent="0.3">
      <c r="A11" s="290" t="s">
        <v>5</v>
      </c>
      <c r="B11" s="291"/>
      <c r="C11" s="291"/>
      <c r="D11" s="291"/>
      <c r="E11" s="291"/>
      <c r="F11" s="291"/>
      <c r="G11" s="5">
        <v>45986</v>
      </c>
      <c r="H11" s="274" t="s">
        <v>6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4" customHeight="1" x14ac:dyDescent="0.3">
      <c r="A12" s="31" t="s">
        <v>7</v>
      </c>
      <c r="B12" s="31" t="s">
        <v>8</v>
      </c>
      <c r="C12" s="32" t="s">
        <v>9</v>
      </c>
      <c r="D12" s="31" t="s">
        <v>10</v>
      </c>
      <c r="E12" s="31" t="s">
        <v>11</v>
      </c>
      <c r="F12" s="31" t="s">
        <v>12</v>
      </c>
      <c r="G12" s="33" t="s">
        <v>13</v>
      </c>
      <c r="H12" s="31" t="s">
        <v>14</v>
      </c>
      <c r="I12" s="34" t="s">
        <v>15</v>
      </c>
      <c r="J12" s="35" t="s">
        <v>16</v>
      </c>
      <c r="K12" s="36" t="s">
        <v>17</v>
      </c>
      <c r="L12" s="35" t="s">
        <v>18</v>
      </c>
      <c r="M12" s="35" t="s">
        <v>19</v>
      </c>
      <c r="N12" s="35" t="s">
        <v>20</v>
      </c>
      <c r="O12" s="31" t="s">
        <v>21</v>
      </c>
      <c r="P12" s="32" t="s">
        <v>22</v>
      </c>
      <c r="Q12" s="35" t="s">
        <v>23</v>
      </c>
      <c r="R12" s="31" t="s">
        <v>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253" t="s">
        <v>360</v>
      </c>
      <c r="B13" s="253" t="s">
        <v>1044</v>
      </c>
      <c r="C13" s="254">
        <v>0.78125</v>
      </c>
      <c r="D13" s="253" t="s">
        <v>81</v>
      </c>
      <c r="E13" s="253" t="s">
        <v>38</v>
      </c>
      <c r="F13" s="253" t="s">
        <v>1045</v>
      </c>
      <c r="G13" s="302"/>
      <c r="H13" s="58"/>
      <c r="I13" s="59"/>
      <c r="J13" s="59"/>
      <c r="K13" s="59"/>
      <c r="L13" s="59"/>
      <c r="M13" s="59"/>
      <c r="N13" s="59"/>
      <c r="O13" s="60"/>
      <c r="P13" s="59"/>
      <c r="Q13" s="61"/>
      <c r="R13" s="62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4.4" customHeight="1" x14ac:dyDescent="0.3">
      <c r="A14" s="282"/>
      <c r="B14" s="283"/>
      <c r="C14" s="283"/>
      <c r="D14" s="283"/>
      <c r="E14" s="283"/>
      <c r="F14" s="283"/>
      <c r="G14" s="280"/>
      <c r="H14" s="284"/>
      <c r="I14" s="284"/>
      <c r="J14" s="284"/>
      <c r="K14" s="284"/>
      <c r="L14" s="284"/>
      <c r="M14" s="284"/>
      <c r="N14" s="284"/>
      <c r="O14" s="285"/>
      <c r="P14" s="284"/>
      <c r="Q14" s="280"/>
      <c r="R14" s="281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2.05" customHeight="1" x14ac:dyDescent="0.3">
      <c r="A15" s="290" t="s">
        <v>5</v>
      </c>
      <c r="B15" s="291"/>
      <c r="C15" s="291"/>
      <c r="D15" s="291"/>
      <c r="E15" s="291"/>
      <c r="F15" s="291"/>
      <c r="G15" s="5">
        <v>45987</v>
      </c>
      <c r="H15" s="274" t="s">
        <v>6</v>
      </c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4" customHeight="1" x14ac:dyDescent="0.3">
      <c r="A16" s="31" t="s">
        <v>7</v>
      </c>
      <c r="B16" s="31" t="s">
        <v>8</v>
      </c>
      <c r="C16" s="32" t="s">
        <v>9</v>
      </c>
      <c r="D16" s="31" t="s">
        <v>10</v>
      </c>
      <c r="E16" s="31" t="s">
        <v>11</v>
      </c>
      <c r="F16" s="31" t="s">
        <v>12</v>
      </c>
      <c r="G16" s="33" t="s">
        <v>13</v>
      </c>
      <c r="H16" s="31" t="s">
        <v>14</v>
      </c>
      <c r="I16" s="34" t="s">
        <v>15</v>
      </c>
      <c r="J16" s="35" t="s">
        <v>16</v>
      </c>
      <c r="K16" s="36" t="s">
        <v>17</v>
      </c>
      <c r="L16" s="35" t="s">
        <v>18</v>
      </c>
      <c r="M16" s="35" t="s">
        <v>19</v>
      </c>
      <c r="N16" s="35" t="s">
        <v>20</v>
      </c>
      <c r="O16" s="31" t="s">
        <v>21</v>
      </c>
      <c r="P16" s="32" t="s">
        <v>22</v>
      </c>
      <c r="Q16" s="35" t="s">
        <v>23</v>
      </c>
      <c r="R16" s="31" t="s">
        <v>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165" t="s">
        <v>71</v>
      </c>
      <c r="B17" s="165" t="s">
        <v>1046</v>
      </c>
      <c r="C17" s="166">
        <v>0.71180555555555547</v>
      </c>
      <c r="D17" s="165" t="s">
        <v>81</v>
      </c>
      <c r="E17" s="165" t="s">
        <v>402</v>
      </c>
      <c r="F17" s="165" t="s">
        <v>1047</v>
      </c>
      <c r="G17" s="276"/>
      <c r="H17" s="168" t="s">
        <v>1048</v>
      </c>
      <c r="I17" s="262">
        <v>0.51959999999999995</v>
      </c>
      <c r="J17" s="170">
        <v>93</v>
      </c>
      <c r="K17" s="171">
        <v>45983</v>
      </c>
      <c r="L17" s="170">
        <v>47</v>
      </c>
      <c r="M17" s="170">
        <v>0</v>
      </c>
      <c r="N17" s="170">
        <v>14</v>
      </c>
      <c r="O17" s="172" t="s">
        <v>536</v>
      </c>
      <c r="P17" s="173">
        <v>0.71180555555555547</v>
      </c>
      <c r="Q17" s="170">
        <v>179</v>
      </c>
      <c r="R17" s="174" t="s">
        <v>1049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17" t="s">
        <v>280</v>
      </c>
      <c r="B18" s="17" t="s">
        <v>1037</v>
      </c>
      <c r="C18" s="18">
        <v>0.49652777777777768</v>
      </c>
      <c r="D18" s="17" t="s">
        <v>282</v>
      </c>
      <c r="E18" s="17" t="s">
        <v>105</v>
      </c>
      <c r="F18" s="17" t="s">
        <v>1050</v>
      </c>
      <c r="G18" s="277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15" t="s">
        <v>280</v>
      </c>
      <c r="B19" s="15" t="s">
        <v>1037</v>
      </c>
      <c r="C19" s="16">
        <v>0.49652777777777768</v>
      </c>
      <c r="D19" s="15" t="s">
        <v>33</v>
      </c>
      <c r="E19" s="15" t="s">
        <v>106</v>
      </c>
      <c r="F19" s="15" t="s">
        <v>1051</v>
      </c>
      <c r="G19" s="277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17" t="s">
        <v>285</v>
      </c>
      <c r="B20" s="17" t="s">
        <v>1040</v>
      </c>
      <c r="C20" s="18">
        <v>0.75694444444444453</v>
      </c>
      <c r="D20" s="17" t="s">
        <v>81</v>
      </c>
      <c r="E20" s="17" t="s">
        <v>38</v>
      </c>
      <c r="F20" s="17" t="s">
        <v>1052</v>
      </c>
      <c r="G20" s="277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49.95" customHeight="1" x14ac:dyDescent="0.3">
      <c r="A21" s="251" t="s">
        <v>63</v>
      </c>
      <c r="B21" s="251" t="s">
        <v>1042</v>
      </c>
      <c r="C21" s="252">
        <v>0.98263888888888884</v>
      </c>
      <c r="D21" s="251" t="s">
        <v>48</v>
      </c>
      <c r="E21" s="251" t="s">
        <v>38</v>
      </c>
      <c r="F21" s="251" t="s">
        <v>1053</v>
      </c>
      <c r="G21" s="278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4.4" customHeight="1" x14ac:dyDescent="0.3">
      <c r="A22" s="282"/>
      <c r="B22" s="283"/>
      <c r="C22" s="283"/>
      <c r="D22" s="283"/>
      <c r="E22" s="283"/>
      <c r="F22" s="283"/>
      <c r="G22" s="280"/>
      <c r="H22" s="284"/>
      <c r="I22" s="284"/>
      <c r="J22" s="284"/>
      <c r="K22" s="284"/>
      <c r="L22" s="284"/>
      <c r="M22" s="284"/>
      <c r="N22" s="284"/>
      <c r="O22" s="285"/>
      <c r="P22" s="284"/>
      <c r="Q22" s="280"/>
      <c r="R22" s="28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2.05" customHeight="1" x14ac:dyDescent="0.3">
      <c r="A23" s="290" t="s">
        <v>5</v>
      </c>
      <c r="B23" s="291"/>
      <c r="C23" s="291"/>
      <c r="D23" s="291"/>
      <c r="E23" s="291"/>
      <c r="F23" s="291"/>
      <c r="G23" s="5">
        <v>45988</v>
      </c>
      <c r="H23" s="274" t="s">
        <v>6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24" customHeight="1" x14ac:dyDescent="0.3">
      <c r="A24" s="31" t="s">
        <v>7</v>
      </c>
      <c r="B24" s="31" t="s">
        <v>8</v>
      </c>
      <c r="C24" s="32" t="s">
        <v>9</v>
      </c>
      <c r="D24" s="31" t="s">
        <v>10</v>
      </c>
      <c r="E24" s="31" t="s">
        <v>11</v>
      </c>
      <c r="F24" s="31" t="s">
        <v>12</v>
      </c>
      <c r="G24" s="33" t="s">
        <v>13</v>
      </c>
      <c r="H24" s="31" t="s">
        <v>14</v>
      </c>
      <c r="I24" s="34" t="s">
        <v>15</v>
      </c>
      <c r="J24" s="35" t="s">
        <v>16</v>
      </c>
      <c r="K24" s="36" t="s">
        <v>17</v>
      </c>
      <c r="L24" s="35" t="s">
        <v>18</v>
      </c>
      <c r="M24" s="35" t="s">
        <v>19</v>
      </c>
      <c r="N24" s="35" t="s">
        <v>20</v>
      </c>
      <c r="O24" s="31" t="s">
        <v>21</v>
      </c>
      <c r="P24" s="32" t="s">
        <v>22</v>
      </c>
      <c r="Q24" s="35" t="s">
        <v>23</v>
      </c>
      <c r="R24" s="31" t="s">
        <v>24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49.95" customHeight="1" x14ac:dyDescent="0.3">
      <c r="A25" s="8" t="s">
        <v>360</v>
      </c>
      <c r="B25" s="8" t="s">
        <v>1044</v>
      </c>
      <c r="C25" s="9">
        <v>0.80555555555555547</v>
      </c>
      <c r="D25" s="8" t="s">
        <v>81</v>
      </c>
      <c r="E25" s="8" t="s">
        <v>82</v>
      </c>
      <c r="F25" s="8" t="s">
        <v>1045</v>
      </c>
      <c r="G25" s="276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49.95" customHeight="1" x14ac:dyDescent="0.3">
      <c r="A26" s="85" t="s">
        <v>71</v>
      </c>
      <c r="B26" s="85" t="s">
        <v>1046</v>
      </c>
      <c r="C26" s="86">
        <v>0.71180555555555547</v>
      </c>
      <c r="D26" s="85" t="s">
        <v>81</v>
      </c>
      <c r="E26" s="85" t="s">
        <v>38</v>
      </c>
      <c r="F26" s="85" t="s">
        <v>1054</v>
      </c>
      <c r="G26" s="277"/>
      <c r="H26" s="87" t="s">
        <v>1048</v>
      </c>
      <c r="I26" s="263">
        <v>0.51400000000000001</v>
      </c>
      <c r="J26" s="89">
        <v>92</v>
      </c>
      <c r="K26" s="90">
        <v>45983</v>
      </c>
      <c r="L26" s="89">
        <v>20</v>
      </c>
      <c r="M26" s="89">
        <v>0</v>
      </c>
      <c r="N26" s="89">
        <v>1</v>
      </c>
      <c r="O26" s="91" t="s">
        <v>458</v>
      </c>
      <c r="P26" s="92">
        <v>0.71180555555555547</v>
      </c>
      <c r="Q26" s="89">
        <v>179</v>
      </c>
      <c r="R26" s="93" t="s">
        <v>1055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49.95" customHeight="1" x14ac:dyDescent="0.3">
      <c r="A27" s="17" t="s">
        <v>285</v>
      </c>
      <c r="B27" s="17" t="s">
        <v>1056</v>
      </c>
      <c r="C27" s="18">
        <v>0.75694444444444453</v>
      </c>
      <c r="D27" s="17" t="s">
        <v>81</v>
      </c>
      <c r="E27" s="17" t="s">
        <v>383</v>
      </c>
      <c r="F27" s="17" t="s">
        <v>1052</v>
      </c>
      <c r="G27" s="277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49.95" customHeight="1" x14ac:dyDescent="0.3">
      <c r="A28" s="251" t="s">
        <v>63</v>
      </c>
      <c r="B28" s="251" t="s">
        <v>1042</v>
      </c>
      <c r="C28" s="252">
        <v>0.98263888888888884</v>
      </c>
      <c r="D28" s="251" t="s">
        <v>48</v>
      </c>
      <c r="E28" s="251" t="s">
        <v>402</v>
      </c>
      <c r="F28" s="251" t="s">
        <v>1043</v>
      </c>
      <c r="G28" s="278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4.4" customHeight="1" x14ac:dyDescent="0.3">
      <c r="A29" s="282"/>
      <c r="B29" s="283"/>
      <c r="C29" s="283"/>
      <c r="D29" s="283"/>
      <c r="E29" s="283"/>
      <c r="F29" s="283"/>
      <c r="G29" s="280"/>
      <c r="H29" s="284"/>
      <c r="I29" s="284"/>
      <c r="J29" s="284"/>
      <c r="K29" s="284"/>
      <c r="L29" s="284"/>
      <c r="M29" s="284"/>
      <c r="N29" s="284"/>
      <c r="O29" s="285"/>
      <c r="P29" s="284"/>
      <c r="Q29" s="280"/>
      <c r="R29" s="281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22.05" customHeight="1" x14ac:dyDescent="0.3">
      <c r="A30" s="290" t="s">
        <v>5</v>
      </c>
      <c r="B30" s="291"/>
      <c r="C30" s="291"/>
      <c r="D30" s="291"/>
      <c r="E30" s="291"/>
      <c r="F30" s="291"/>
      <c r="G30" s="5">
        <v>45989</v>
      </c>
      <c r="H30" s="274" t="s">
        <v>6</v>
      </c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24" customHeight="1" x14ac:dyDescent="0.3">
      <c r="A31" s="31" t="s">
        <v>7</v>
      </c>
      <c r="B31" s="31" t="s">
        <v>8</v>
      </c>
      <c r="C31" s="32" t="s">
        <v>9</v>
      </c>
      <c r="D31" s="31" t="s">
        <v>10</v>
      </c>
      <c r="E31" s="31" t="s">
        <v>11</v>
      </c>
      <c r="F31" s="31" t="s">
        <v>12</v>
      </c>
      <c r="G31" s="33" t="s">
        <v>13</v>
      </c>
      <c r="H31" s="31" t="s">
        <v>14</v>
      </c>
      <c r="I31" s="34" t="s">
        <v>15</v>
      </c>
      <c r="J31" s="35" t="s">
        <v>16</v>
      </c>
      <c r="K31" s="36" t="s">
        <v>17</v>
      </c>
      <c r="L31" s="35" t="s">
        <v>18</v>
      </c>
      <c r="M31" s="35" t="s">
        <v>19</v>
      </c>
      <c r="N31" s="35" t="s">
        <v>20</v>
      </c>
      <c r="O31" s="31" t="s">
        <v>21</v>
      </c>
      <c r="P31" s="32" t="s">
        <v>22</v>
      </c>
      <c r="Q31" s="35" t="s">
        <v>23</v>
      </c>
      <c r="R31" s="31" t="s">
        <v>24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49.95" customHeight="1" x14ac:dyDescent="0.3">
      <c r="A32" s="8" t="s">
        <v>280</v>
      </c>
      <c r="B32" s="8" t="s">
        <v>1037</v>
      </c>
      <c r="C32" s="9">
        <v>0.49652777777777768</v>
      </c>
      <c r="D32" s="8" t="s">
        <v>282</v>
      </c>
      <c r="E32" s="8" t="s">
        <v>105</v>
      </c>
      <c r="F32" s="8" t="s">
        <v>1057</v>
      </c>
      <c r="G32" s="276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49.95" customHeight="1" x14ac:dyDescent="0.3">
      <c r="A33" s="15" t="s">
        <v>280</v>
      </c>
      <c r="B33" s="15" t="s">
        <v>1037</v>
      </c>
      <c r="C33" s="16">
        <v>0.49652777777777768</v>
      </c>
      <c r="D33" s="15" t="s">
        <v>33</v>
      </c>
      <c r="E33" s="15" t="s">
        <v>106</v>
      </c>
      <c r="F33" s="15" t="s">
        <v>1058</v>
      </c>
      <c r="G33" s="277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49.95" customHeight="1" x14ac:dyDescent="0.3">
      <c r="A34" s="17" t="s">
        <v>285</v>
      </c>
      <c r="B34" s="17" t="s">
        <v>1040</v>
      </c>
      <c r="C34" s="18">
        <v>0.75694444444444453</v>
      </c>
      <c r="D34" s="17" t="s">
        <v>81</v>
      </c>
      <c r="E34" s="17" t="s">
        <v>38</v>
      </c>
      <c r="F34" s="17" t="s">
        <v>1059</v>
      </c>
      <c r="G34" s="277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49.95" customHeight="1" x14ac:dyDescent="0.3">
      <c r="A35" s="251" t="s">
        <v>63</v>
      </c>
      <c r="B35" s="251" t="s">
        <v>1042</v>
      </c>
      <c r="C35" s="252">
        <v>0.98263888888888884</v>
      </c>
      <c r="D35" s="251" t="s">
        <v>48</v>
      </c>
      <c r="E35" s="251" t="s">
        <v>104</v>
      </c>
      <c r="F35" s="251" t="s">
        <v>1060</v>
      </c>
      <c r="G35" s="278"/>
      <c r="H35" s="58"/>
      <c r="I35" s="59"/>
      <c r="J35" s="59"/>
      <c r="K35" s="59"/>
      <c r="L35" s="59"/>
      <c r="M35" s="59"/>
      <c r="N35" s="59"/>
      <c r="O35" s="60"/>
      <c r="P35" s="59"/>
      <c r="Q35" s="61"/>
      <c r="R35" s="62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4.4" customHeight="1" x14ac:dyDescent="0.3">
      <c r="A36" s="282"/>
      <c r="B36" s="283"/>
      <c r="C36" s="283"/>
      <c r="D36" s="283"/>
      <c r="E36" s="283"/>
      <c r="F36" s="283"/>
      <c r="G36" s="280"/>
      <c r="H36" s="284"/>
      <c r="I36" s="284"/>
      <c r="J36" s="284"/>
      <c r="K36" s="284"/>
      <c r="L36" s="284"/>
      <c r="M36" s="284"/>
      <c r="N36" s="284"/>
      <c r="O36" s="285"/>
      <c r="P36" s="284"/>
      <c r="Q36" s="280"/>
      <c r="R36" s="281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22.05" customHeight="1" x14ac:dyDescent="0.3">
      <c r="A37" s="290" t="s">
        <v>5</v>
      </c>
      <c r="B37" s="291"/>
      <c r="C37" s="291"/>
      <c r="D37" s="291"/>
      <c r="E37" s="291"/>
      <c r="F37" s="291"/>
      <c r="G37" s="5">
        <v>45990</v>
      </c>
      <c r="H37" s="274" t="s">
        <v>6</v>
      </c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24" customHeight="1" x14ac:dyDescent="0.3">
      <c r="A38" s="31" t="s">
        <v>7</v>
      </c>
      <c r="B38" s="31" t="s">
        <v>8</v>
      </c>
      <c r="C38" s="32" t="s">
        <v>9</v>
      </c>
      <c r="D38" s="31" t="s">
        <v>10</v>
      </c>
      <c r="E38" s="31" t="s">
        <v>11</v>
      </c>
      <c r="F38" s="31" t="s">
        <v>12</v>
      </c>
      <c r="G38" s="33" t="s">
        <v>13</v>
      </c>
      <c r="H38" s="31" t="s">
        <v>14</v>
      </c>
      <c r="I38" s="34" t="s">
        <v>15</v>
      </c>
      <c r="J38" s="35" t="s">
        <v>16</v>
      </c>
      <c r="K38" s="36" t="s">
        <v>17</v>
      </c>
      <c r="L38" s="35" t="s">
        <v>18</v>
      </c>
      <c r="M38" s="35" t="s">
        <v>19</v>
      </c>
      <c r="N38" s="35" t="s">
        <v>20</v>
      </c>
      <c r="O38" s="31" t="s">
        <v>21</v>
      </c>
      <c r="P38" s="32" t="s">
        <v>22</v>
      </c>
      <c r="Q38" s="35" t="s">
        <v>23</v>
      </c>
      <c r="R38" s="31" t="s">
        <v>24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49.95" customHeight="1" x14ac:dyDescent="0.3">
      <c r="A39" s="8" t="s">
        <v>360</v>
      </c>
      <c r="B39" s="8" t="s">
        <v>1044</v>
      </c>
      <c r="C39" s="9">
        <v>2.0833333333333329E-2</v>
      </c>
      <c r="D39" s="8" t="s">
        <v>81</v>
      </c>
      <c r="E39" s="8" t="s">
        <v>82</v>
      </c>
      <c r="F39" s="8" t="s">
        <v>1045</v>
      </c>
      <c r="G39" s="276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49.95" customHeight="1" x14ac:dyDescent="0.3">
      <c r="A40" s="17" t="s">
        <v>285</v>
      </c>
      <c r="B40" s="17" t="s">
        <v>1056</v>
      </c>
      <c r="C40" s="18">
        <v>0.75694444444444453</v>
      </c>
      <c r="D40" s="17" t="s">
        <v>81</v>
      </c>
      <c r="E40" s="17" t="s">
        <v>82</v>
      </c>
      <c r="F40" s="17" t="s">
        <v>1059</v>
      </c>
      <c r="G40" s="277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49.95" customHeight="1" x14ac:dyDescent="0.3">
      <c r="A41" s="264" t="s">
        <v>71</v>
      </c>
      <c r="B41" s="264" t="s">
        <v>1046</v>
      </c>
      <c r="C41" s="265">
        <v>0.83680555555555547</v>
      </c>
      <c r="D41" s="264" t="s">
        <v>81</v>
      </c>
      <c r="E41" s="264" t="s">
        <v>82</v>
      </c>
      <c r="F41" s="264" t="s">
        <v>1061</v>
      </c>
      <c r="G41" s="278"/>
      <c r="H41" s="241" t="s">
        <v>1048</v>
      </c>
      <c r="I41" s="266">
        <v>0.62570000000000003</v>
      </c>
      <c r="J41" s="243">
        <v>112</v>
      </c>
      <c r="K41" s="244">
        <v>45982</v>
      </c>
      <c r="L41" s="243">
        <v>5</v>
      </c>
      <c r="M41" s="243">
        <v>0</v>
      </c>
      <c r="N41" s="243">
        <v>0</v>
      </c>
      <c r="O41" s="245" t="s">
        <v>879</v>
      </c>
      <c r="P41" s="246">
        <v>0.83680555555555547</v>
      </c>
      <c r="Q41" s="243">
        <v>179</v>
      </c>
      <c r="R41" s="247" t="s">
        <v>1062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4.4" customHeight="1" x14ac:dyDescent="0.3">
      <c r="A42" s="279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1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22.05" customHeight="1" x14ac:dyDescent="0.3">
      <c r="A43" s="290" t="s">
        <v>5</v>
      </c>
      <c r="B43" s="291"/>
      <c r="C43" s="291"/>
      <c r="D43" s="291"/>
      <c r="E43" s="291"/>
      <c r="F43" s="291"/>
      <c r="G43" s="5">
        <v>45991</v>
      </c>
      <c r="H43" s="274" t="s">
        <v>6</v>
      </c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24" customHeight="1" x14ac:dyDescent="0.3">
      <c r="A44" s="31" t="s">
        <v>7</v>
      </c>
      <c r="B44" s="31" t="s">
        <v>8</v>
      </c>
      <c r="C44" s="32" t="s">
        <v>9</v>
      </c>
      <c r="D44" s="31" t="s">
        <v>10</v>
      </c>
      <c r="E44" s="31" t="s">
        <v>11</v>
      </c>
      <c r="F44" s="31" t="s">
        <v>12</v>
      </c>
      <c r="G44" s="33" t="s">
        <v>13</v>
      </c>
      <c r="H44" s="31" t="s">
        <v>14</v>
      </c>
      <c r="I44" s="34" t="s">
        <v>15</v>
      </c>
      <c r="J44" s="35" t="s">
        <v>16</v>
      </c>
      <c r="K44" s="36" t="s">
        <v>17</v>
      </c>
      <c r="L44" s="35" t="s">
        <v>18</v>
      </c>
      <c r="M44" s="35" t="s">
        <v>19</v>
      </c>
      <c r="N44" s="35" t="s">
        <v>20</v>
      </c>
      <c r="O44" s="31" t="s">
        <v>21</v>
      </c>
      <c r="P44" s="32" t="s">
        <v>22</v>
      </c>
      <c r="Q44" s="35" t="s">
        <v>23</v>
      </c>
      <c r="R44" s="31" t="s">
        <v>24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49.95" customHeight="1" x14ac:dyDescent="0.3">
      <c r="A45" s="8" t="s">
        <v>280</v>
      </c>
      <c r="B45" s="8" t="s">
        <v>1037</v>
      </c>
      <c r="C45" s="9">
        <v>0.53819444444444442</v>
      </c>
      <c r="D45" s="8" t="s">
        <v>282</v>
      </c>
      <c r="E45" s="8" t="s">
        <v>105</v>
      </c>
      <c r="F45" s="8" t="s">
        <v>1063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49.95" customHeight="1" x14ac:dyDescent="0.3">
      <c r="A46" s="15" t="s">
        <v>280</v>
      </c>
      <c r="B46" s="15" t="s">
        <v>1037</v>
      </c>
      <c r="C46" s="16">
        <v>0.53819444444444442</v>
      </c>
      <c r="D46" s="15" t="s">
        <v>33</v>
      </c>
      <c r="E46" s="15" t="s">
        <v>106</v>
      </c>
      <c r="F46" s="15" t="s">
        <v>976</v>
      </c>
      <c r="G46" s="277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49.95" customHeight="1" x14ac:dyDescent="0.3">
      <c r="A47" s="251" t="s">
        <v>285</v>
      </c>
      <c r="B47" s="251" t="s">
        <v>1064</v>
      </c>
      <c r="C47" s="252">
        <v>0.75694444444444453</v>
      </c>
      <c r="D47" s="251" t="s">
        <v>81</v>
      </c>
      <c r="E47" s="251" t="s">
        <v>82</v>
      </c>
      <c r="F47" s="251" t="s">
        <v>1052</v>
      </c>
      <c r="G47" s="278"/>
      <c r="H47" s="58"/>
      <c r="I47" s="59"/>
      <c r="J47" s="59"/>
      <c r="K47" s="59"/>
      <c r="L47" s="59"/>
      <c r="M47" s="59"/>
      <c r="N47" s="59"/>
      <c r="O47" s="60"/>
      <c r="P47" s="59"/>
      <c r="Q47" s="61"/>
      <c r="R47" s="62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4.4" customHeight="1" x14ac:dyDescent="0.3">
      <c r="A48" s="279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1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</sheetData>
  <mergeCells count="37">
    <mergeCell ref="O1:Q1"/>
    <mergeCell ref="G45:G47"/>
    <mergeCell ref="A37:F37"/>
    <mergeCell ref="H43:R43"/>
    <mergeCell ref="H4:R4"/>
    <mergeCell ref="A2:F2"/>
    <mergeCell ref="A3:R3"/>
    <mergeCell ref="A23:F23"/>
    <mergeCell ref="A42:R42"/>
    <mergeCell ref="A14:R14"/>
    <mergeCell ref="G2:J2"/>
    <mergeCell ref="A4:F4"/>
    <mergeCell ref="G6:G9"/>
    <mergeCell ref="J1:M1"/>
    <mergeCell ref="A22:R22"/>
    <mergeCell ref="A43:F43"/>
    <mergeCell ref="A29:R29"/>
    <mergeCell ref="H11:R11"/>
    <mergeCell ref="G39:G41"/>
    <mergeCell ref="H23:R23"/>
    <mergeCell ref="H30:R30"/>
    <mergeCell ref="D1:F1"/>
    <mergeCell ref="A15:F15"/>
    <mergeCell ref="G25:G28"/>
    <mergeCell ref="G13"/>
    <mergeCell ref="A48:R48"/>
    <mergeCell ref="G32:G35"/>
    <mergeCell ref="A11:F11"/>
    <mergeCell ref="A1:C1"/>
    <mergeCell ref="G1:H1"/>
    <mergeCell ref="A36:R36"/>
    <mergeCell ref="H15:R15"/>
    <mergeCell ref="A10:R10"/>
    <mergeCell ref="G17:G21"/>
    <mergeCell ref="K2:R2"/>
    <mergeCell ref="A30:F30"/>
    <mergeCell ref="H37:R3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232</v>
      </c>
      <c r="B2" s="96">
        <v>45987</v>
      </c>
      <c r="C2" s="97" t="s">
        <v>1048</v>
      </c>
      <c r="D2" s="98">
        <v>0.71180555555555547</v>
      </c>
      <c r="E2" s="97" t="s">
        <v>1036</v>
      </c>
      <c r="F2" s="97" t="s">
        <v>158</v>
      </c>
      <c r="G2" s="99">
        <v>0.51959999999999995</v>
      </c>
      <c r="H2" s="100">
        <v>179</v>
      </c>
      <c r="I2" s="100">
        <v>93</v>
      </c>
      <c r="J2" s="100">
        <v>0</v>
      </c>
      <c r="K2" s="96">
        <v>45983</v>
      </c>
      <c r="L2" s="100">
        <v>0</v>
      </c>
      <c r="M2" s="100">
        <v>14</v>
      </c>
      <c r="N2" s="100">
        <v>47</v>
      </c>
      <c r="O2" s="97" t="s">
        <v>536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0" t="s">
        <v>1065</v>
      </c>
      <c r="AD2" s="100" t="s">
        <v>1066</v>
      </c>
      <c r="AE2" s="100" t="s">
        <v>1067</v>
      </c>
      <c r="AF2" s="101"/>
      <c r="AG2" s="101"/>
      <c r="AH2" s="101"/>
      <c r="AI2" s="101"/>
    </row>
    <row r="3" spans="1:35" ht="18" x14ac:dyDescent="0.3">
      <c r="A3" s="102" t="s">
        <v>177</v>
      </c>
      <c r="B3" s="103">
        <v>45988</v>
      </c>
      <c r="C3" s="104" t="s">
        <v>1048</v>
      </c>
      <c r="D3" s="105">
        <v>0.71180555555555547</v>
      </c>
      <c r="E3" s="104" t="s">
        <v>1036</v>
      </c>
      <c r="F3" s="104" t="s">
        <v>158</v>
      </c>
      <c r="G3" s="106">
        <v>0.51400000000000001</v>
      </c>
      <c r="H3" s="107">
        <v>179</v>
      </c>
      <c r="I3" s="107">
        <v>92</v>
      </c>
      <c r="J3" s="107">
        <v>0</v>
      </c>
      <c r="K3" s="103">
        <v>45983</v>
      </c>
      <c r="L3" s="107">
        <v>0</v>
      </c>
      <c r="M3" s="107">
        <v>1</v>
      </c>
      <c r="N3" s="107">
        <v>20</v>
      </c>
      <c r="O3" s="104" t="s">
        <v>458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7" t="s">
        <v>503</v>
      </c>
      <c r="AB3" s="107" t="s">
        <v>513</v>
      </c>
      <c r="AC3" s="107" t="s">
        <v>168</v>
      </c>
      <c r="AD3" s="107" t="s">
        <v>1068</v>
      </c>
      <c r="AE3" s="107" t="s">
        <v>1069</v>
      </c>
      <c r="AF3" s="108"/>
      <c r="AG3" s="108"/>
      <c r="AH3" s="108"/>
      <c r="AI3" s="108"/>
    </row>
    <row r="4" spans="1:35" ht="18" x14ac:dyDescent="0.3">
      <c r="A4" s="95" t="s">
        <v>180</v>
      </c>
      <c r="B4" s="96">
        <v>45990</v>
      </c>
      <c r="C4" s="97" t="s">
        <v>1048</v>
      </c>
      <c r="D4" s="98">
        <v>0.83680555555555547</v>
      </c>
      <c r="E4" s="97" t="s">
        <v>1036</v>
      </c>
      <c r="F4" s="97" t="s">
        <v>158</v>
      </c>
      <c r="G4" s="99">
        <v>0.62570000000000003</v>
      </c>
      <c r="H4" s="100">
        <v>179</v>
      </c>
      <c r="I4" s="100">
        <v>112</v>
      </c>
      <c r="J4" s="100">
        <v>0</v>
      </c>
      <c r="K4" s="96">
        <v>45982</v>
      </c>
      <c r="L4" s="100">
        <v>0</v>
      </c>
      <c r="M4" s="100">
        <v>0</v>
      </c>
      <c r="N4" s="100">
        <v>5</v>
      </c>
      <c r="O4" s="97" t="s">
        <v>879</v>
      </c>
      <c r="P4" s="101"/>
      <c r="Q4" s="101"/>
      <c r="R4" s="101"/>
      <c r="S4" s="100" t="s">
        <v>945</v>
      </c>
      <c r="T4" s="100" t="s">
        <v>939</v>
      </c>
      <c r="U4" s="100" t="s">
        <v>898</v>
      </c>
      <c r="V4" s="100" t="s">
        <v>1070</v>
      </c>
      <c r="W4" s="100" t="s">
        <v>560</v>
      </c>
      <c r="X4" s="100" t="s">
        <v>551</v>
      </c>
      <c r="Y4" s="101"/>
      <c r="Z4" s="101"/>
      <c r="AA4" s="100" t="s">
        <v>884</v>
      </c>
      <c r="AB4" s="100" t="s">
        <v>488</v>
      </c>
      <c r="AC4" s="100" t="s">
        <v>651</v>
      </c>
      <c r="AD4" s="100" t="s">
        <v>441</v>
      </c>
      <c r="AE4" s="100" t="s">
        <v>481</v>
      </c>
      <c r="AF4" s="101"/>
      <c r="AG4" s="101"/>
      <c r="AH4" s="101"/>
      <c r="AI4" s="101"/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0.55310000000000004</v>
      </c>
      <c r="H5" s="113">
        <f>SUM(H2:H4)</f>
        <v>537</v>
      </c>
      <c r="I5" s="113">
        <f>SUM(I2:I4)</f>
        <v>297</v>
      </c>
      <c r="J5" s="113">
        <f>SUM(J2:J4)</f>
        <v>0</v>
      </c>
      <c r="K5" s="110"/>
      <c r="L5" s="113">
        <f>SUM(L2:L4)</f>
        <v>0</v>
      </c>
      <c r="M5" s="113">
        <f>SUM(M2:M4)</f>
        <v>15</v>
      </c>
      <c r="N5" s="113">
        <f>SUM(N2:N4)</f>
        <v>72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2C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25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280</v>
      </c>
      <c r="C2" s="117" t="s">
        <v>1037</v>
      </c>
      <c r="D2" s="116" t="s">
        <v>1036</v>
      </c>
      <c r="E2" s="118">
        <v>1.538194444444444</v>
      </c>
      <c r="F2" s="116" t="s">
        <v>282</v>
      </c>
      <c r="G2" s="119">
        <v>9</v>
      </c>
      <c r="H2" s="120" t="s">
        <v>1038</v>
      </c>
    </row>
    <row r="3" spans="1:8" ht="18" x14ac:dyDescent="0.3">
      <c r="A3" s="121">
        <v>45985</v>
      </c>
      <c r="B3" s="122" t="s">
        <v>280</v>
      </c>
      <c r="C3" s="123" t="s">
        <v>1037</v>
      </c>
      <c r="D3" s="122" t="s">
        <v>1036</v>
      </c>
      <c r="E3" s="124">
        <v>1.538194444444444</v>
      </c>
      <c r="F3" s="122" t="s">
        <v>33</v>
      </c>
      <c r="G3" s="125">
        <v>9</v>
      </c>
      <c r="H3" s="122" t="s">
        <v>1039</v>
      </c>
    </row>
    <row r="4" spans="1:8" ht="18" x14ac:dyDescent="0.3">
      <c r="A4" s="126">
        <v>45985</v>
      </c>
      <c r="B4" s="116" t="s">
        <v>285</v>
      </c>
      <c r="C4" s="117" t="s">
        <v>1040</v>
      </c>
      <c r="D4" s="116" t="s">
        <v>1036</v>
      </c>
      <c r="E4" s="118">
        <v>1.7152777777777779</v>
      </c>
      <c r="F4" s="116" t="s">
        <v>81</v>
      </c>
      <c r="G4" s="119">
        <v>2</v>
      </c>
      <c r="H4" s="116" t="s">
        <v>1041</v>
      </c>
    </row>
    <row r="5" spans="1:8" ht="18" x14ac:dyDescent="0.3">
      <c r="A5" s="189">
        <v>45985</v>
      </c>
      <c r="B5" s="190" t="s">
        <v>63</v>
      </c>
      <c r="C5" s="191" t="s">
        <v>1042</v>
      </c>
      <c r="D5" s="190" t="s">
        <v>1036</v>
      </c>
      <c r="E5" s="192">
        <v>1.9826388888888891</v>
      </c>
      <c r="F5" s="190" t="s">
        <v>48</v>
      </c>
      <c r="G5" s="193">
        <v>8</v>
      </c>
      <c r="H5" s="190" t="s">
        <v>1043</v>
      </c>
    </row>
    <row r="6" spans="1:8" ht="18" x14ac:dyDescent="0.3">
      <c r="A6" s="257">
        <v>45986</v>
      </c>
      <c r="B6" s="190" t="s">
        <v>360</v>
      </c>
      <c r="C6" s="191" t="s">
        <v>1044</v>
      </c>
      <c r="D6" s="190" t="s">
        <v>1036</v>
      </c>
      <c r="E6" s="192">
        <v>1.78125</v>
      </c>
      <c r="F6" s="190" t="s">
        <v>81</v>
      </c>
      <c r="G6" s="193">
        <v>9</v>
      </c>
      <c r="H6" s="258" t="s">
        <v>1045</v>
      </c>
    </row>
    <row r="7" spans="1:8" ht="18" x14ac:dyDescent="0.3">
      <c r="A7" s="187">
        <v>45987</v>
      </c>
      <c r="B7" s="137" t="s">
        <v>71</v>
      </c>
      <c r="C7" s="138" t="s">
        <v>1046</v>
      </c>
      <c r="D7" s="137" t="s">
        <v>1036</v>
      </c>
      <c r="E7" s="139">
        <v>1.711805555555556</v>
      </c>
      <c r="F7" s="137" t="s">
        <v>81</v>
      </c>
      <c r="G7" s="140">
        <v>8</v>
      </c>
      <c r="H7" s="188" t="s">
        <v>1047</v>
      </c>
    </row>
    <row r="8" spans="1:8" ht="18" x14ac:dyDescent="0.3">
      <c r="A8" s="126">
        <v>45987</v>
      </c>
      <c r="B8" s="116" t="s">
        <v>280</v>
      </c>
      <c r="C8" s="117" t="s">
        <v>1037</v>
      </c>
      <c r="D8" s="116" t="s">
        <v>1036</v>
      </c>
      <c r="E8" s="118">
        <v>1.4965277777777779</v>
      </c>
      <c r="F8" s="116" t="s">
        <v>282</v>
      </c>
      <c r="G8" s="119">
        <v>9</v>
      </c>
      <c r="H8" s="116" t="s">
        <v>1050</v>
      </c>
    </row>
    <row r="9" spans="1:8" ht="18" x14ac:dyDescent="0.3">
      <c r="A9" s="121">
        <v>45987</v>
      </c>
      <c r="B9" s="122" t="s">
        <v>280</v>
      </c>
      <c r="C9" s="123" t="s">
        <v>1037</v>
      </c>
      <c r="D9" s="122" t="s">
        <v>1036</v>
      </c>
      <c r="E9" s="124">
        <v>1.4965277777777779</v>
      </c>
      <c r="F9" s="122" t="s">
        <v>33</v>
      </c>
      <c r="G9" s="125">
        <v>9</v>
      </c>
      <c r="H9" s="122" t="s">
        <v>1051</v>
      </c>
    </row>
    <row r="10" spans="1:8" ht="18" x14ac:dyDescent="0.3">
      <c r="A10" s="126">
        <v>45987</v>
      </c>
      <c r="B10" s="116" t="s">
        <v>285</v>
      </c>
      <c r="C10" s="117" t="s">
        <v>1040</v>
      </c>
      <c r="D10" s="116" t="s">
        <v>1036</v>
      </c>
      <c r="E10" s="118">
        <v>1.756944444444444</v>
      </c>
      <c r="F10" s="116" t="s">
        <v>81</v>
      </c>
      <c r="G10" s="119">
        <v>9</v>
      </c>
      <c r="H10" s="116" t="s">
        <v>1052</v>
      </c>
    </row>
    <row r="11" spans="1:8" ht="18" x14ac:dyDescent="0.3">
      <c r="A11" s="189">
        <v>45987</v>
      </c>
      <c r="B11" s="190" t="s">
        <v>63</v>
      </c>
      <c r="C11" s="191" t="s">
        <v>1042</v>
      </c>
      <c r="D11" s="190" t="s">
        <v>1036</v>
      </c>
      <c r="E11" s="192">
        <v>1.9826388888888891</v>
      </c>
      <c r="F11" s="190" t="s">
        <v>48</v>
      </c>
      <c r="G11" s="193">
        <v>9</v>
      </c>
      <c r="H11" s="190" t="s">
        <v>1053</v>
      </c>
    </row>
    <row r="12" spans="1:8" ht="18" x14ac:dyDescent="0.3">
      <c r="A12" s="115">
        <v>45988</v>
      </c>
      <c r="B12" s="116" t="s">
        <v>360</v>
      </c>
      <c r="C12" s="117" t="s">
        <v>1044</v>
      </c>
      <c r="D12" s="116" t="s">
        <v>1036</v>
      </c>
      <c r="E12" s="118">
        <v>1.805555555555556</v>
      </c>
      <c r="F12" s="116" t="s">
        <v>81</v>
      </c>
      <c r="G12" s="119">
        <v>2</v>
      </c>
      <c r="H12" s="120" t="s">
        <v>1045</v>
      </c>
    </row>
    <row r="13" spans="1:8" ht="18" x14ac:dyDescent="0.3">
      <c r="A13" s="136">
        <v>45988</v>
      </c>
      <c r="B13" s="137" t="s">
        <v>71</v>
      </c>
      <c r="C13" s="138" t="s">
        <v>1046</v>
      </c>
      <c r="D13" s="137" t="s">
        <v>1036</v>
      </c>
      <c r="E13" s="139">
        <v>1.711805555555556</v>
      </c>
      <c r="F13" s="137" t="s">
        <v>81</v>
      </c>
      <c r="G13" s="140">
        <v>9</v>
      </c>
      <c r="H13" s="137" t="s">
        <v>1054</v>
      </c>
    </row>
    <row r="14" spans="1:8" ht="18" x14ac:dyDescent="0.3">
      <c r="A14" s="126">
        <v>45988</v>
      </c>
      <c r="B14" s="116" t="s">
        <v>285</v>
      </c>
      <c r="C14" s="117" t="s">
        <v>1056</v>
      </c>
      <c r="D14" s="116" t="s">
        <v>1036</v>
      </c>
      <c r="E14" s="118">
        <v>1.756944444444444</v>
      </c>
      <c r="F14" s="116" t="s">
        <v>81</v>
      </c>
      <c r="G14" s="119">
        <v>7</v>
      </c>
      <c r="H14" s="116" t="s">
        <v>1052</v>
      </c>
    </row>
    <row r="15" spans="1:8" ht="18" x14ac:dyDescent="0.3">
      <c r="A15" s="189">
        <v>45988</v>
      </c>
      <c r="B15" s="190" t="s">
        <v>63</v>
      </c>
      <c r="C15" s="191" t="s">
        <v>1042</v>
      </c>
      <c r="D15" s="190" t="s">
        <v>1036</v>
      </c>
      <c r="E15" s="192">
        <v>1.9826388888888891</v>
      </c>
      <c r="F15" s="190" t="s">
        <v>48</v>
      </c>
      <c r="G15" s="193">
        <v>8</v>
      </c>
      <c r="H15" s="190" t="s">
        <v>1043</v>
      </c>
    </row>
    <row r="16" spans="1:8" ht="18" x14ac:dyDescent="0.3">
      <c r="A16" s="115">
        <v>45989</v>
      </c>
      <c r="B16" s="116" t="s">
        <v>280</v>
      </c>
      <c r="C16" s="117" t="s">
        <v>1037</v>
      </c>
      <c r="D16" s="116" t="s">
        <v>1036</v>
      </c>
      <c r="E16" s="118">
        <v>1.4965277777777779</v>
      </c>
      <c r="F16" s="116" t="s">
        <v>282</v>
      </c>
      <c r="G16" s="119">
        <v>9</v>
      </c>
      <c r="H16" s="120" t="s">
        <v>1057</v>
      </c>
    </row>
    <row r="17" spans="1:8" ht="18" x14ac:dyDescent="0.3">
      <c r="A17" s="121">
        <v>45989</v>
      </c>
      <c r="B17" s="122" t="s">
        <v>280</v>
      </c>
      <c r="C17" s="123" t="s">
        <v>1037</v>
      </c>
      <c r="D17" s="122" t="s">
        <v>1036</v>
      </c>
      <c r="E17" s="124">
        <v>1.4965277777777779</v>
      </c>
      <c r="F17" s="122" t="s">
        <v>33</v>
      </c>
      <c r="G17" s="125">
        <v>9</v>
      </c>
      <c r="H17" s="122" t="s">
        <v>1058</v>
      </c>
    </row>
    <row r="18" spans="1:8" ht="18" x14ac:dyDescent="0.3">
      <c r="A18" s="126">
        <v>45989</v>
      </c>
      <c r="B18" s="116" t="s">
        <v>285</v>
      </c>
      <c r="C18" s="117" t="s">
        <v>1040</v>
      </c>
      <c r="D18" s="116" t="s">
        <v>1036</v>
      </c>
      <c r="E18" s="118">
        <v>1.756944444444444</v>
      </c>
      <c r="F18" s="116" t="s">
        <v>81</v>
      </c>
      <c r="G18" s="119">
        <v>9</v>
      </c>
      <c r="H18" s="116" t="s">
        <v>1059</v>
      </c>
    </row>
    <row r="19" spans="1:8" ht="18" x14ac:dyDescent="0.3">
      <c r="A19" s="189">
        <v>45989</v>
      </c>
      <c r="B19" s="190" t="s">
        <v>63</v>
      </c>
      <c r="C19" s="191" t="s">
        <v>1042</v>
      </c>
      <c r="D19" s="190" t="s">
        <v>1036</v>
      </c>
      <c r="E19" s="192">
        <v>1.9826388888888891</v>
      </c>
      <c r="F19" s="190" t="s">
        <v>48</v>
      </c>
      <c r="G19" s="193">
        <v>1</v>
      </c>
      <c r="H19" s="190" t="s">
        <v>1060</v>
      </c>
    </row>
    <row r="20" spans="1:8" ht="18" x14ac:dyDescent="0.3">
      <c r="A20" s="115">
        <v>45990</v>
      </c>
      <c r="B20" s="116" t="s">
        <v>360</v>
      </c>
      <c r="C20" s="117" t="s">
        <v>1044</v>
      </c>
      <c r="D20" s="116" t="s">
        <v>1036</v>
      </c>
      <c r="E20" s="118">
        <v>1.020833333333333</v>
      </c>
      <c r="F20" s="116" t="s">
        <v>81</v>
      </c>
      <c r="G20" s="119">
        <v>2</v>
      </c>
      <c r="H20" s="120" t="s">
        <v>1045</v>
      </c>
    </row>
    <row r="21" spans="1:8" ht="18" x14ac:dyDescent="0.3">
      <c r="A21" s="126">
        <v>45990</v>
      </c>
      <c r="B21" s="116" t="s">
        <v>285</v>
      </c>
      <c r="C21" s="117" t="s">
        <v>1056</v>
      </c>
      <c r="D21" s="116" t="s">
        <v>1036</v>
      </c>
      <c r="E21" s="118">
        <v>1.756944444444444</v>
      </c>
      <c r="F21" s="116" t="s">
        <v>81</v>
      </c>
      <c r="G21" s="119">
        <v>2</v>
      </c>
      <c r="H21" s="116" t="s">
        <v>1059</v>
      </c>
    </row>
    <row r="22" spans="1:8" ht="18" x14ac:dyDescent="0.3">
      <c r="A22" s="132">
        <v>45990</v>
      </c>
      <c r="B22" s="133" t="s">
        <v>71</v>
      </c>
      <c r="C22" s="134" t="s">
        <v>1046</v>
      </c>
      <c r="D22" s="133" t="s">
        <v>1036</v>
      </c>
      <c r="E22" s="135">
        <v>1.836805555555556</v>
      </c>
      <c r="F22" s="133" t="s">
        <v>81</v>
      </c>
      <c r="G22" s="237">
        <v>2</v>
      </c>
      <c r="H22" s="133" t="s">
        <v>1061</v>
      </c>
    </row>
    <row r="23" spans="1:8" ht="18" x14ac:dyDescent="0.3">
      <c r="A23" s="115">
        <v>45991</v>
      </c>
      <c r="B23" s="116" t="s">
        <v>280</v>
      </c>
      <c r="C23" s="117" t="s">
        <v>1037</v>
      </c>
      <c r="D23" s="116" t="s">
        <v>1036</v>
      </c>
      <c r="E23" s="118">
        <v>1.538194444444444</v>
      </c>
      <c r="F23" s="116" t="s">
        <v>282</v>
      </c>
      <c r="G23" s="119">
        <v>9</v>
      </c>
      <c r="H23" s="120" t="s">
        <v>1063</v>
      </c>
    </row>
    <row r="24" spans="1:8" ht="18" x14ac:dyDescent="0.3">
      <c r="A24" s="121">
        <v>45991</v>
      </c>
      <c r="B24" s="122" t="s">
        <v>280</v>
      </c>
      <c r="C24" s="123" t="s">
        <v>1037</v>
      </c>
      <c r="D24" s="122" t="s">
        <v>1036</v>
      </c>
      <c r="E24" s="124">
        <v>1.538194444444444</v>
      </c>
      <c r="F24" s="122" t="s">
        <v>33</v>
      </c>
      <c r="G24" s="125">
        <v>9</v>
      </c>
      <c r="H24" s="122" t="s">
        <v>976</v>
      </c>
    </row>
    <row r="25" spans="1:8" ht="18" x14ac:dyDescent="0.3">
      <c r="A25" s="189">
        <v>45991</v>
      </c>
      <c r="B25" s="190" t="s">
        <v>285</v>
      </c>
      <c r="C25" s="191" t="s">
        <v>1064</v>
      </c>
      <c r="D25" s="190" t="s">
        <v>1036</v>
      </c>
      <c r="E25" s="192">
        <v>1.756944444444444</v>
      </c>
      <c r="F25" s="190" t="s">
        <v>81</v>
      </c>
      <c r="G25" s="193">
        <v>2</v>
      </c>
      <c r="H25" s="190" t="s">
        <v>1052</v>
      </c>
    </row>
  </sheetData>
  <dataValidations count="3">
    <dataValidation type="custom" allowBlank="1" showInputMessage="1" promptTitle="LOAD FACTOR ANALYSIS" prompt="SM-325_x000d__x000a_LF 52.0%_x000d__x000a_SOLD 93_x000d__x000a_LST-SOLD 22NOV_x000d__x000a_WEEKLY 47_x000d__x000a_TO-DAY NIL_x000d__x000a_Y-DAY 14_x000d__x000a_LOWEST AVAIL U8_x000d__x000a_CAPACITY 179_x000d__x000a_CLASSES U2 &amp; O28 &amp; I63" sqref="A7 B7 C7 D7 E7 F7 G7 H7" xr:uid="{00000000-0002-0000-2D00-000000000000}">
      <formula1>TRUE</formula1>
    </dataValidation>
    <dataValidation type="custom" allowBlank="1" showInputMessage="1" promptTitle="LOAD FACTOR ANALYSIS" prompt="SM-325_x000d__x000a_LF 51.4%_x000d__x000a_SOLD 92_x000d__x000a_LST-SOLD 22NOV_x000d__x000a_WEEKLY 20_x000d__x000a_TO-DAY NIL_x000d__x000a_Y-DAY 1_x000d__x000a_LOWEST AVAIL X9_x000d__x000a_CAPACITY 179_x000d__x000a_CLASSES T9 &amp; X13 &amp; U10 &amp; +2 more" sqref="A13 B13 C13 D13 E13 F13 G13 H13" xr:uid="{00000000-0002-0000-2D00-000001000000}">
      <formula1>TRUE</formula1>
    </dataValidation>
    <dataValidation type="custom" allowBlank="1" showInputMessage="1" promptTitle="LOAD FACTOR ANALYSIS" prompt="SM-325_x000d__x000a_LF 62.6%_x000d__x000a_SOLD 112_x000d__x000a_LST-SOLD 21NOV_x000d__x000a_WEEKLY 5_x000d__x000a_TO-DAY NIL_x000d__x000a_Y-DAY NIL_x000d__x000a_LOWEST AVAIL V2_x000d__x000a_CAPACITY 179_x000d__x000a_CLASSES H1 &amp; Q1 &amp; K12 &amp; +8 more" sqref="A22 B22 C22 D22 E22 F22 G22 H22" xr:uid="{00000000-0002-0000-2D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N1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2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1071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45984.358591519922</v>
      </c>
      <c r="H2" s="287"/>
      <c r="I2" s="287"/>
      <c r="J2" s="287"/>
      <c r="K2" s="292">
        <v>45984.358591520388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45989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37" t="s">
        <v>71</v>
      </c>
      <c r="B6" s="37" t="s">
        <v>1072</v>
      </c>
      <c r="C6" s="38">
        <v>0.37847222222222232</v>
      </c>
      <c r="D6" s="37" t="s">
        <v>81</v>
      </c>
      <c r="E6" s="37" t="s">
        <v>38</v>
      </c>
      <c r="F6" s="37" t="s">
        <v>1073</v>
      </c>
      <c r="G6" s="276"/>
      <c r="H6" s="39" t="s">
        <v>1074</v>
      </c>
      <c r="I6" s="267">
        <v>0.48039999999999999</v>
      </c>
      <c r="J6" s="41">
        <v>86</v>
      </c>
      <c r="K6" s="42">
        <v>45983</v>
      </c>
      <c r="L6" s="41">
        <v>46</v>
      </c>
      <c r="M6" s="41">
        <v>0</v>
      </c>
      <c r="N6" s="41">
        <v>8</v>
      </c>
      <c r="O6" s="43" t="s">
        <v>496</v>
      </c>
      <c r="P6" s="44">
        <v>0.37847222222222232</v>
      </c>
      <c r="Q6" s="41">
        <v>179</v>
      </c>
      <c r="R6" s="45" t="s">
        <v>1075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1076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280</v>
      </c>
      <c r="B8" s="19" t="s">
        <v>1037</v>
      </c>
      <c r="C8" s="20" t="s">
        <v>1077</v>
      </c>
      <c r="D8" s="19" t="s">
        <v>282</v>
      </c>
      <c r="E8" s="19" t="s">
        <v>220</v>
      </c>
      <c r="F8" s="19" t="s">
        <v>1057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19" t="s">
        <v>280</v>
      </c>
      <c r="B9" s="19" t="s">
        <v>1037</v>
      </c>
      <c r="C9" s="20" t="s">
        <v>1077</v>
      </c>
      <c r="D9" s="19" t="s">
        <v>33</v>
      </c>
      <c r="E9" s="19" t="s">
        <v>220</v>
      </c>
      <c r="F9" s="19" t="s">
        <v>1058</v>
      </c>
      <c r="G9" s="277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19" t="s">
        <v>285</v>
      </c>
      <c r="B10" s="19" t="s">
        <v>1040</v>
      </c>
      <c r="C10" s="20" t="s">
        <v>1021</v>
      </c>
      <c r="D10" s="19" t="s">
        <v>81</v>
      </c>
      <c r="E10" s="19" t="s">
        <v>206</v>
      </c>
      <c r="F10" s="19" t="s">
        <v>1059</v>
      </c>
      <c r="G10" s="277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63" t="s">
        <v>63</v>
      </c>
      <c r="B11" s="63" t="s">
        <v>1042</v>
      </c>
      <c r="C11" s="64" t="s">
        <v>1078</v>
      </c>
      <c r="D11" s="63" t="s">
        <v>48</v>
      </c>
      <c r="E11" s="63" t="s">
        <v>214</v>
      </c>
      <c r="F11" s="63" t="s">
        <v>1060</v>
      </c>
      <c r="G11" s="278"/>
      <c r="H11" s="178"/>
      <c r="I11" s="178"/>
      <c r="J11" s="178"/>
      <c r="K11" s="178"/>
      <c r="L11" s="178"/>
      <c r="M11" s="178"/>
      <c r="N11" s="178"/>
      <c r="O11" s="179"/>
      <c r="P11" s="178"/>
      <c r="Q11" s="180"/>
      <c r="R11" s="180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4.4" customHeight="1" x14ac:dyDescent="0.3">
      <c r="A12" s="279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</sheetData>
  <mergeCells count="14">
    <mergeCell ref="A12:R12"/>
    <mergeCell ref="G6:G11"/>
    <mergeCell ref="A4:F4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520</v>
      </c>
      <c r="B2" s="96">
        <v>45989</v>
      </c>
      <c r="C2" s="97" t="s">
        <v>1074</v>
      </c>
      <c r="D2" s="98">
        <v>0.37847222222222232</v>
      </c>
      <c r="E2" s="97" t="s">
        <v>1071</v>
      </c>
      <c r="F2" s="97" t="s">
        <v>158</v>
      </c>
      <c r="G2" s="99">
        <v>0.48039999999999999</v>
      </c>
      <c r="H2" s="100">
        <v>179</v>
      </c>
      <c r="I2" s="100">
        <v>86</v>
      </c>
      <c r="J2" s="100">
        <v>0</v>
      </c>
      <c r="K2" s="96">
        <v>45983</v>
      </c>
      <c r="L2" s="100">
        <v>0</v>
      </c>
      <c r="M2" s="100">
        <v>8</v>
      </c>
      <c r="N2" s="100">
        <v>46</v>
      </c>
      <c r="O2" s="97" t="s">
        <v>496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0" t="s">
        <v>1079</v>
      </c>
      <c r="AE2" s="100" t="s">
        <v>1080</v>
      </c>
      <c r="AF2" s="101"/>
      <c r="AG2" s="101"/>
      <c r="AH2" s="101"/>
      <c r="AI2" s="101"/>
    </row>
    <row r="3" spans="1:35" ht="18" x14ac:dyDescent="0.3">
      <c r="A3" s="109" t="s">
        <v>189</v>
      </c>
      <c r="B3" s="110"/>
      <c r="C3" s="111">
        <f>COUNTA(C2:C2)</f>
        <v>1</v>
      </c>
      <c r="D3" s="110"/>
      <c r="E3" s="110"/>
      <c r="F3" s="110"/>
      <c r="G3" s="112">
        <f>AVERAGE(G2:G2)</f>
        <v>0.48039999999999999</v>
      </c>
      <c r="H3" s="113">
        <f>SUM(H2:H2)</f>
        <v>179</v>
      </c>
      <c r="I3" s="113">
        <f>SUM(I2:I2)</f>
        <v>86</v>
      </c>
      <c r="J3" s="113">
        <f>SUM(J2:J2)</f>
        <v>0</v>
      </c>
      <c r="K3" s="110"/>
      <c r="L3" s="113">
        <f>SUM(L2:L2)</f>
        <v>0</v>
      </c>
      <c r="M3" s="113">
        <f>SUM(M2:M2)</f>
        <v>8</v>
      </c>
      <c r="N3" s="113">
        <f>SUM(N2:N2)</f>
        <v>46</v>
      </c>
      <c r="O3" s="110"/>
      <c r="P3" s="11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113">
        <f t="shared" si="0"/>
        <v>0</v>
      </c>
      <c r="R3" s="113">
        <f t="shared" si="0"/>
        <v>0</v>
      </c>
      <c r="S3" s="113">
        <f t="shared" si="0"/>
        <v>0</v>
      </c>
      <c r="T3" s="113">
        <f t="shared" si="0"/>
        <v>0</v>
      </c>
      <c r="U3" s="113">
        <f t="shared" si="0"/>
        <v>0</v>
      </c>
      <c r="V3" s="113">
        <f t="shared" si="0"/>
        <v>0</v>
      </c>
      <c r="W3" s="113">
        <f t="shared" si="0"/>
        <v>0</v>
      </c>
      <c r="X3" s="113">
        <f t="shared" si="0"/>
        <v>0</v>
      </c>
      <c r="Y3" s="113">
        <f t="shared" si="0"/>
        <v>0</v>
      </c>
      <c r="Z3" s="113">
        <f t="shared" si="0"/>
        <v>0</v>
      </c>
      <c r="AA3" s="113">
        <f t="shared" si="0"/>
        <v>0</v>
      </c>
      <c r="AB3" s="113">
        <f t="shared" si="0"/>
        <v>0</v>
      </c>
      <c r="AC3" s="113">
        <f t="shared" si="0"/>
        <v>0</v>
      </c>
      <c r="AD3" s="113">
        <f t="shared" si="0"/>
        <v>36</v>
      </c>
      <c r="AE3" s="113">
        <f t="shared" si="0"/>
        <v>50</v>
      </c>
      <c r="AF3" s="113">
        <f t="shared" si="0"/>
        <v>0</v>
      </c>
      <c r="AG3" s="113">
        <f t="shared" si="0"/>
        <v>0</v>
      </c>
      <c r="AH3" s="113">
        <f t="shared" si="0"/>
        <v>0</v>
      </c>
      <c r="AI3" s="113">
        <f t="shared" si="0"/>
        <v>0</v>
      </c>
    </row>
  </sheetData>
  <autoFilter ref="A1:AI2" xr:uid="{00000000-0009-0000-0000-00002F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3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77734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1081</v>
      </c>
      <c r="F2" s="185"/>
      <c r="G2" s="185"/>
      <c r="H2" s="3"/>
    </row>
    <row r="3" spans="1:8" ht="18" x14ac:dyDescent="0.3">
      <c r="A3" s="115">
        <v>45985</v>
      </c>
      <c r="B3" s="116" t="s">
        <v>280</v>
      </c>
      <c r="C3" s="117" t="s">
        <v>1037</v>
      </c>
      <c r="D3" s="116" t="s">
        <v>1036</v>
      </c>
      <c r="E3" s="118">
        <v>1.538194444444444</v>
      </c>
      <c r="F3" s="116" t="s">
        <v>282</v>
      </c>
      <c r="G3" s="119">
        <v>9</v>
      </c>
      <c r="H3" s="120" t="s">
        <v>1038</v>
      </c>
    </row>
    <row r="4" spans="1:8" ht="18" x14ac:dyDescent="0.3">
      <c r="A4" s="121">
        <v>45985</v>
      </c>
      <c r="B4" s="122" t="s">
        <v>280</v>
      </c>
      <c r="C4" s="123" t="s">
        <v>1037</v>
      </c>
      <c r="D4" s="122" t="s">
        <v>1036</v>
      </c>
      <c r="E4" s="124">
        <v>1.538194444444444</v>
      </c>
      <c r="F4" s="122" t="s">
        <v>33</v>
      </c>
      <c r="G4" s="125">
        <v>9</v>
      </c>
      <c r="H4" s="122" t="s">
        <v>1039</v>
      </c>
    </row>
    <row r="5" spans="1:8" ht="18" x14ac:dyDescent="0.3">
      <c r="A5" s="126">
        <v>45985</v>
      </c>
      <c r="B5" s="116" t="s">
        <v>285</v>
      </c>
      <c r="C5" s="117" t="s">
        <v>1040</v>
      </c>
      <c r="D5" s="116" t="s">
        <v>1036</v>
      </c>
      <c r="E5" s="118">
        <v>1.7152777777777779</v>
      </c>
      <c r="F5" s="116" t="s">
        <v>81</v>
      </c>
      <c r="G5" s="119">
        <v>2</v>
      </c>
      <c r="H5" s="116" t="s">
        <v>1041</v>
      </c>
    </row>
    <row r="6" spans="1:8" ht="18" x14ac:dyDescent="0.3">
      <c r="A6" s="189">
        <v>45985</v>
      </c>
      <c r="B6" s="190" t="s">
        <v>63</v>
      </c>
      <c r="C6" s="191" t="s">
        <v>1042</v>
      </c>
      <c r="D6" s="190" t="s">
        <v>1036</v>
      </c>
      <c r="E6" s="192">
        <v>1.9826388888888891</v>
      </c>
      <c r="F6" s="190" t="s">
        <v>48</v>
      </c>
      <c r="G6" s="193">
        <v>8</v>
      </c>
      <c r="H6" s="190" t="s">
        <v>1043</v>
      </c>
    </row>
    <row r="7" spans="1:8" ht="15.6" x14ac:dyDescent="0.3">
      <c r="A7" s="185"/>
      <c r="B7" s="185"/>
      <c r="C7" s="185"/>
      <c r="D7" s="185"/>
      <c r="E7" s="186" t="s">
        <v>1081</v>
      </c>
      <c r="F7" s="185"/>
      <c r="G7" s="185"/>
      <c r="H7" s="3"/>
    </row>
    <row r="8" spans="1:8" ht="18" x14ac:dyDescent="0.3">
      <c r="A8" s="257">
        <v>45986</v>
      </c>
      <c r="B8" s="190" t="s">
        <v>360</v>
      </c>
      <c r="C8" s="191" t="s">
        <v>1044</v>
      </c>
      <c r="D8" s="190" t="s">
        <v>1036</v>
      </c>
      <c r="E8" s="192">
        <v>1.78125</v>
      </c>
      <c r="F8" s="190" t="s">
        <v>81</v>
      </c>
      <c r="G8" s="193">
        <v>9</v>
      </c>
      <c r="H8" s="258" t="s">
        <v>1045</v>
      </c>
    </row>
    <row r="9" spans="1:8" ht="15.6" x14ac:dyDescent="0.3">
      <c r="A9" s="185"/>
      <c r="B9" s="185"/>
      <c r="C9" s="185"/>
      <c r="D9" s="185"/>
      <c r="E9" s="186" t="s">
        <v>1081</v>
      </c>
      <c r="F9" s="185"/>
      <c r="G9" s="185"/>
      <c r="H9" s="3"/>
    </row>
    <row r="10" spans="1:8" ht="18" x14ac:dyDescent="0.3">
      <c r="A10" s="187">
        <v>45987</v>
      </c>
      <c r="B10" s="137" t="s">
        <v>71</v>
      </c>
      <c r="C10" s="138" t="s">
        <v>1046</v>
      </c>
      <c r="D10" s="137" t="s">
        <v>1036</v>
      </c>
      <c r="E10" s="139">
        <v>1.711805555555556</v>
      </c>
      <c r="F10" s="137" t="s">
        <v>81</v>
      </c>
      <c r="G10" s="140">
        <v>8</v>
      </c>
      <c r="H10" s="188" t="s">
        <v>1047</v>
      </c>
    </row>
    <row r="11" spans="1:8" ht="18" x14ac:dyDescent="0.3">
      <c r="A11" s="126">
        <v>45987</v>
      </c>
      <c r="B11" s="116" t="s">
        <v>280</v>
      </c>
      <c r="C11" s="117" t="s">
        <v>1037</v>
      </c>
      <c r="D11" s="116" t="s">
        <v>1036</v>
      </c>
      <c r="E11" s="118">
        <v>1.4965277777777779</v>
      </c>
      <c r="F11" s="116" t="s">
        <v>282</v>
      </c>
      <c r="G11" s="119">
        <v>9</v>
      </c>
      <c r="H11" s="116" t="s">
        <v>1050</v>
      </c>
    </row>
    <row r="12" spans="1:8" ht="18" x14ac:dyDescent="0.3">
      <c r="A12" s="121">
        <v>45987</v>
      </c>
      <c r="B12" s="122" t="s">
        <v>280</v>
      </c>
      <c r="C12" s="123" t="s">
        <v>1037</v>
      </c>
      <c r="D12" s="122" t="s">
        <v>1036</v>
      </c>
      <c r="E12" s="124">
        <v>1.4965277777777779</v>
      </c>
      <c r="F12" s="122" t="s">
        <v>33</v>
      </c>
      <c r="G12" s="125">
        <v>9</v>
      </c>
      <c r="H12" s="122" t="s">
        <v>1051</v>
      </c>
    </row>
    <row r="13" spans="1:8" ht="18" x14ac:dyDescent="0.3">
      <c r="A13" s="126">
        <v>45987</v>
      </c>
      <c r="B13" s="116" t="s">
        <v>285</v>
      </c>
      <c r="C13" s="117" t="s">
        <v>1040</v>
      </c>
      <c r="D13" s="116" t="s">
        <v>1036</v>
      </c>
      <c r="E13" s="118">
        <v>1.756944444444444</v>
      </c>
      <c r="F13" s="116" t="s">
        <v>81</v>
      </c>
      <c r="G13" s="119">
        <v>9</v>
      </c>
      <c r="H13" s="116" t="s">
        <v>1052</v>
      </c>
    </row>
    <row r="14" spans="1:8" ht="18" x14ac:dyDescent="0.3">
      <c r="A14" s="189">
        <v>45987</v>
      </c>
      <c r="B14" s="190" t="s">
        <v>63</v>
      </c>
      <c r="C14" s="191" t="s">
        <v>1042</v>
      </c>
      <c r="D14" s="190" t="s">
        <v>1036</v>
      </c>
      <c r="E14" s="192">
        <v>1.9826388888888891</v>
      </c>
      <c r="F14" s="190" t="s">
        <v>48</v>
      </c>
      <c r="G14" s="193">
        <v>9</v>
      </c>
      <c r="H14" s="190" t="s">
        <v>1053</v>
      </c>
    </row>
    <row r="15" spans="1:8" ht="15.6" x14ac:dyDescent="0.3">
      <c r="A15" s="185"/>
      <c r="B15" s="185"/>
      <c r="C15" s="185"/>
      <c r="D15" s="185"/>
      <c r="E15" s="186" t="s">
        <v>1081</v>
      </c>
      <c r="F15" s="185"/>
      <c r="G15" s="185"/>
      <c r="H15" s="3"/>
    </row>
    <row r="16" spans="1:8" ht="18" x14ac:dyDescent="0.3">
      <c r="A16" s="115">
        <v>45988</v>
      </c>
      <c r="B16" s="116" t="s">
        <v>360</v>
      </c>
      <c r="C16" s="117" t="s">
        <v>1044</v>
      </c>
      <c r="D16" s="116" t="s">
        <v>1036</v>
      </c>
      <c r="E16" s="118">
        <v>1.805555555555556</v>
      </c>
      <c r="F16" s="116" t="s">
        <v>81</v>
      </c>
      <c r="G16" s="119">
        <v>2</v>
      </c>
      <c r="H16" s="120" t="s">
        <v>1045</v>
      </c>
    </row>
    <row r="17" spans="1:8" ht="18" x14ac:dyDescent="0.3">
      <c r="A17" s="136">
        <v>45988</v>
      </c>
      <c r="B17" s="137" t="s">
        <v>71</v>
      </c>
      <c r="C17" s="138" t="s">
        <v>1046</v>
      </c>
      <c r="D17" s="137" t="s">
        <v>1036</v>
      </c>
      <c r="E17" s="139">
        <v>1.711805555555556</v>
      </c>
      <c r="F17" s="137" t="s">
        <v>81</v>
      </c>
      <c r="G17" s="140">
        <v>9</v>
      </c>
      <c r="H17" s="137" t="s">
        <v>1054</v>
      </c>
    </row>
    <row r="18" spans="1:8" ht="18" x14ac:dyDescent="0.3">
      <c r="A18" s="126">
        <v>45988</v>
      </c>
      <c r="B18" s="116" t="s">
        <v>285</v>
      </c>
      <c r="C18" s="117" t="s">
        <v>1056</v>
      </c>
      <c r="D18" s="116" t="s">
        <v>1036</v>
      </c>
      <c r="E18" s="118">
        <v>1.756944444444444</v>
      </c>
      <c r="F18" s="116" t="s">
        <v>81</v>
      </c>
      <c r="G18" s="119">
        <v>7</v>
      </c>
      <c r="H18" s="116" t="s">
        <v>1052</v>
      </c>
    </row>
    <row r="19" spans="1:8" ht="18" x14ac:dyDescent="0.3">
      <c r="A19" s="189">
        <v>45988</v>
      </c>
      <c r="B19" s="190" t="s">
        <v>63</v>
      </c>
      <c r="C19" s="191" t="s">
        <v>1042</v>
      </c>
      <c r="D19" s="190" t="s">
        <v>1036</v>
      </c>
      <c r="E19" s="192">
        <v>1.9826388888888891</v>
      </c>
      <c r="F19" s="190" t="s">
        <v>48</v>
      </c>
      <c r="G19" s="193">
        <v>8</v>
      </c>
      <c r="H19" s="190" t="s">
        <v>1043</v>
      </c>
    </row>
    <row r="20" spans="1:8" ht="18" x14ac:dyDescent="0.3">
      <c r="A20" s="187">
        <v>45989</v>
      </c>
      <c r="B20" s="137" t="s">
        <v>71</v>
      </c>
      <c r="C20" s="138" t="s">
        <v>1072</v>
      </c>
      <c r="D20" s="137" t="s">
        <v>1071</v>
      </c>
      <c r="E20" s="139">
        <v>1.3784722222222221</v>
      </c>
      <c r="F20" s="137" t="s">
        <v>81</v>
      </c>
      <c r="G20" s="140">
        <v>9</v>
      </c>
      <c r="H20" s="188" t="s">
        <v>1073</v>
      </c>
    </row>
    <row r="21" spans="1:8" ht="15.6" x14ac:dyDescent="0.3">
      <c r="A21" s="185"/>
      <c r="B21" s="185"/>
      <c r="C21" s="185"/>
      <c r="D21" s="185"/>
      <c r="E21" s="186" t="s">
        <v>1081</v>
      </c>
      <c r="F21" s="185"/>
      <c r="G21" s="185"/>
      <c r="H21" s="3"/>
    </row>
    <row r="22" spans="1:8" ht="18" x14ac:dyDescent="0.3">
      <c r="A22" s="126">
        <v>45989</v>
      </c>
      <c r="B22" s="116" t="s">
        <v>280</v>
      </c>
      <c r="C22" s="117" t="s">
        <v>1037</v>
      </c>
      <c r="D22" s="116" t="s">
        <v>1036</v>
      </c>
      <c r="E22" s="118">
        <v>1.4965277777777779</v>
      </c>
      <c r="F22" s="116" t="s">
        <v>282</v>
      </c>
      <c r="G22" s="119">
        <v>9</v>
      </c>
      <c r="H22" s="116" t="s">
        <v>1057</v>
      </c>
    </row>
    <row r="23" spans="1:8" ht="18" x14ac:dyDescent="0.3">
      <c r="A23" s="121">
        <v>45989</v>
      </c>
      <c r="B23" s="122" t="s">
        <v>280</v>
      </c>
      <c r="C23" s="123" t="s">
        <v>1037</v>
      </c>
      <c r="D23" s="122" t="s">
        <v>1036</v>
      </c>
      <c r="E23" s="124">
        <v>1.4965277777777779</v>
      </c>
      <c r="F23" s="122" t="s">
        <v>33</v>
      </c>
      <c r="G23" s="125">
        <v>9</v>
      </c>
      <c r="H23" s="122" t="s">
        <v>1058</v>
      </c>
    </row>
    <row r="24" spans="1:8" ht="18" x14ac:dyDescent="0.3">
      <c r="A24" s="126">
        <v>45989</v>
      </c>
      <c r="B24" s="116" t="s">
        <v>285</v>
      </c>
      <c r="C24" s="117" t="s">
        <v>1040</v>
      </c>
      <c r="D24" s="116" t="s">
        <v>1036</v>
      </c>
      <c r="E24" s="118">
        <v>1.756944444444444</v>
      </c>
      <c r="F24" s="116" t="s">
        <v>81</v>
      </c>
      <c r="G24" s="119">
        <v>9</v>
      </c>
      <c r="H24" s="116" t="s">
        <v>1059</v>
      </c>
    </row>
    <row r="25" spans="1:8" ht="18" x14ac:dyDescent="0.3">
      <c r="A25" s="189">
        <v>45989</v>
      </c>
      <c r="B25" s="190" t="s">
        <v>63</v>
      </c>
      <c r="C25" s="191" t="s">
        <v>1042</v>
      </c>
      <c r="D25" s="190" t="s">
        <v>1036</v>
      </c>
      <c r="E25" s="192">
        <v>1.9826388888888891</v>
      </c>
      <c r="F25" s="190" t="s">
        <v>48</v>
      </c>
      <c r="G25" s="193">
        <v>1</v>
      </c>
      <c r="H25" s="190" t="s">
        <v>1060</v>
      </c>
    </row>
    <row r="26" spans="1:8" ht="15.6" x14ac:dyDescent="0.3">
      <c r="A26" s="185"/>
      <c r="B26" s="185"/>
      <c r="C26" s="185"/>
      <c r="D26" s="185"/>
      <c r="E26" s="186" t="s">
        <v>1081</v>
      </c>
      <c r="F26" s="185"/>
      <c r="G26" s="185"/>
      <c r="H26" s="3"/>
    </row>
    <row r="27" spans="1:8" ht="18" x14ac:dyDescent="0.3">
      <c r="A27" s="115">
        <v>45990</v>
      </c>
      <c r="B27" s="116" t="s">
        <v>360</v>
      </c>
      <c r="C27" s="117" t="s">
        <v>1044</v>
      </c>
      <c r="D27" s="116" t="s">
        <v>1036</v>
      </c>
      <c r="E27" s="118">
        <v>1.020833333333333</v>
      </c>
      <c r="F27" s="116" t="s">
        <v>81</v>
      </c>
      <c r="G27" s="119">
        <v>2</v>
      </c>
      <c r="H27" s="120" t="s">
        <v>1045</v>
      </c>
    </row>
    <row r="28" spans="1:8" ht="18" x14ac:dyDescent="0.3">
      <c r="A28" s="126">
        <v>45990</v>
      </c>
      <c r="B28" s="116" t="s">
        <v>285</v>
      </c>
      <c r="C28" s="117" t="s">
        <v>1056</v>
      </c>
      <c r="D28" s="116" t="s">
        <v>1036</v>
      </c>
      <c r="E28" s="118">
        <v>1.756944444444444</v>
      </c>
      <c r="F28" s="116" t="s">
        <v>81</v>
      </c>
      <c r="G28" s="119">
        <v>2</v>
      </c>
      <c r="H28" s="116" t="s">
        <v>1059</v>
      </c>
    </row>
    <row r="29" spans="1:8" ht="18" x14ac:dyDescent="0.3">
      <c r="A29" s="132">
        <v>45990</v>
      </c>
      <c r="B29" s="133" t="s">
        <v>71</v>
      </c>
      <c r="C29" s="134" t="s">
        <v>1046</v>
      </c>
      <c r="D29" s="133" t="s">
        <v>1036</v>
      </c>
      <c r="E29" s="135">
        <v>1.836805555555556</v>
      </c>
      <c r="F29" s="133" t="s">
        <v>81</v>
      </c>
      <c r="G29" s="237">
        <v>2</v>
      </c>
      <c r="H29" s="133" t="s">
        <v>1061</v>
      </c>
    </row>
    <row r="30" spans="1:8" ht="15.6" x14ac:dyDescent="0.3">
      <c r="A30" s="185"/>
      <c r="B30" s="185"/>
      <c r="C30" s="185"/>
      <c r="D30" s="185"/>
      <c r="E30" s="186" t="s">
        <v>1081</v>
      </c>
      <c r="F30" s="185"/>
      <c r="G30" s="185"/>
      <c r="H30" s="3"/>
    </row>
    <row r="31" spans="1:8" ht="18" x14ac:dyDescent="0.3">
      <c r="A31" s="115">
        <v>45991</v>
      </c>
      <c r="B31" s="116" t="s">
        <v>280</v>
      </c>
      <c r="C31" s="117" t="s">
        <v>1037</v>
      </c>
      <c r="D31" s="116" t="s">
        <v>1036</v>
      </c>
      <c r="E31" s="118">
        <v>1.538194444444444</v>
      </c>
      <c r="F31" s="116" t="s">
        <v>282</v>
      </c>
      <c r="G31" s="119">
        <v>9</v>
      </c>
      <c r="H31" s="120" t="s">
        <v>1063</v>
      </c>
    </row>
    <row r="32" spans="1:8" ht="18" x14ac:dyDescent="0.3">
      <c r="A32" s="121">
        <v>45991</v>
      </c>
      <c r="B32" s="122" t="s">
        <v>280</v>
      </c>
      <c r="C32" s="123" t="s">
        <v>1037</v>
      </c>
      <c r="D32" s="122" t="s">
        <v>1036</v>
      </c>
      <c r="E32" s="124">
        <v>1.538194444444444</v>
      </c>
      <c r="F32" s="122" t="s">
        <v>33</v>
      </c>
      <c r="G32" s="125">
        <v>9</v>
      </c>
      <c r="H32" s="122" t="s">
        <v>976</v>
      </c>
    </row>
    <row r="33" spans="1:8" ht="18" x14ac:dyDescent="0.3">
      <c r="A33" s="189">
        <v>45991</v>
      </c>
      <c r="B33" s="190" t="s">
        <v>285</v>
      </c>
      <c r="C33" s="191" t="s">
        <v>1064</v>
      </c>
      <c r="D33" s="190" t="s">
        <v>1036</v>
      </c>
      <c r="E33" s="192">
        <v>1.756944444444444</v>
      </c>
      <c r="F33" s="190" t="s">
        <v>81</v>
      </c>
      <c r="G33" s="193">
        <v>2</v>
      </c>
      <c r="H33" s="190" t="s">
        <v>1052</v>
      </c>
    </row>
  </sheetData>
  <dataValidations count="2">
    <dataValidation type="custom" allowBlank="1" showInputMessage="1" promptTitle="LOAD FACTOR ANALYSIS" prompt="SM-325_x000d__x000a_LF -_x000d__x000a_SOLD -_x000d__x000a_LST-SOLD -_x000d__x000a_WEEKLY -_x000d__x000a_TO-DAY -_x000d__x000a_Y-DAY -_x000d__x000a_LOWEST AVAIL -_x000d__x000a_CAPACITY -_x000d__x000a_CLASSES -" sqref="A10 A17 A29 B10 B17 B29 C10 C17 C29 D10 D17 D29 E10 E17 E29 F10 F17 F29 G10 G17 G29 H10 H17 H29" xr:uid="{00000000-0002-0000-3000-000000000000}">
      <formula1>TRUE</formula1>
    </dataValidation>
    <dataValidation type="custom" allowBlank="1" showInputMessage="1" promptTitle="LOAD FACTOR ANALYSIS" prompt="SM-327_x000d__x000a_LF 48.0%_x000d__x000a_SOLD 86_x000d__x000a_LST-SOLD 22NOV_x000d__x000a_WEEKLY 46_x000d__x000a_TO-DAY NIL_x000d__x000a_Y-DAY 8_x000d__x000a_LOWEST AVAIL O9_x000d__x000a_CAPACITY 179_x000d__x000a_CLASSES O36 &amp; I50" sqref="A20 B20 C20 D20 E20 F20 G20 H20" xr:uid="{00000000-0002-0000-30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N2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5.441406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1082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45984.358592432138</v>
      </c>
      <c r="H2" s="287"/>
      <c r="I2" s="287"/>
      <c r="J2" s="287"/>
      <c r="K2" s="292">
        <v>45984.358592432684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5" t="s">
        <v>71</v>
      </c>
      <c r="B6" s="85" t="s">
        <v>1083</v>
      </c>
      <c r="C6" s="86">
        <v>0.3125</v>
      </c>
      <c r="D6" s="85" t="s">
        <v>81</v>
      </c>
      <c r="E6" s="85" t="s">
        <v>104</v>
      </c>
      <c r="F6" s="85" t="s">
        <v>1084</v>
      </c>
      <c r="G6" s="302"/>
      <c r="H6" s="24" t="s">
        <v>1085</v>
      </c>
      <c r="I6" s="268">
        <v>0.83240000000000003</v>
      </c>
      <c r="J6" s="26">
        <v>149</v>
      </c>
      <c r="K6" s="27">
        <v>45984</v>
      </c>
      <c r="L6" s="26">
        <v>112</v>
      </c>
      <c r="M6" s="26">
        <v>2</v>
      </c>
      <c r="N6" s="26">
        <v>21</v>
      </c>
      <c r="O6" s="28" t="s">
        <v>160</v>
      </c>
      <c r="P6" s="29">
        <v>0.3125</v>
      </c>
      <c r="Q6" s="26">
        <v>179</v>
      </c>
      <c r="R6" s="30" t="s">
        <v>1086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45988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195" t="s">
        <v>71</v>
      </c>
      <c r="B10" s="195" t="s">
        <v>1083</v>
      </c>
      <c r="C10" s="196">
        <v>0.76736111111111116</v>
      </c>
      <c r="D10" s="195" t="s">
        <v>81</v>
      </c>
      <c r="E10" s="195" t="s">
        <v>38</v>
      </c>
      <c r="F10" s="195" t="s">
        <v>1087</v>
      </c>
      <c r="G10" s="276"/>
      <c r="H10" s="197" t="s">
        <v>1085</v>
      </c>
      <c r="I10" s="215">
        <v>0.87709999999999999</v>
      </c>
      <c r="J10" s="199">
        <v>157</v>
      </c>
      <c r="K10" s="200">
        <v>45983</v>
      </c>
      <c r="L10" s="199">
        <v>74</v>
      </c>
      <c r="M10" s="199">
        <v>0</v>
      </c>
      <c r="N10" s="199">
        <v>14</v>
      </c>
      <c r="O10" s="201" t="s">
        <v>497</v>
      </c>
      <c r="P10" s="202">
        <v>0.76736111111111116</v>
      </c>
      <c r="Q10" s="199">
        <v>179</v>
      </c>
      <c r="R10" s="203" t="s">
        <v>1088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251" t="s">
        <v>285</v>
      </c>
      <c r="B11" s="251" t="s">
        <v>1089</v>
      </c>
      <c r="C11" s="252">
        <v>0.76041666666666663</v>
      </c>
      <c r="D11" s="251" t="s">
        <v>81</v>
      </c>
      <c r="E11" s="251" t="s">
        <v>82</v>
      </c>
      <c r="F11" s="251" t="s">
        <v>1090</v>
      </c>
      <c r="G11" s="278"/>
      <c r="H11" s="58"/>
      <c r="I11" s="59"/>
      <c r="J11" s="59"/>
      <c r="K11" s="59"/>
      <c r="L11" s="59"/>
      <c r="M11" s="59"/>
      <c r="N11" s="59"/>
      <c r="O11" s="60"/>
      <c r="P11" s="59"/>
      <c r="Q11" s="61"/>
      <c r="R11" s="62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4.4" customHeight="1" x14ac:dyDescent="0.3">
      <c r="A12" s="282"/>
      <c r="B12" s="283"/>
      <c r="C12" s="283"/>
      <c r="D12" s="283"/>
      <c r="E12" s="283"/>
      <c r="F12" s="283"/>
      <c r="G12" s="280"/>
      <c r="H12" s="284"/>
      <c r="I12" s="284"/>
      <c r="J12" s="284"/>
      <c r="K12" s="284"/>
      <c r="L12" s="284"/>
      <c r="M12" s="284"/>
      <c r="N12" s="284"/>
      <c r="O12" s="285"/>
      <c r="P12" s="284"/>
      <c r="Q12" s="280"/>
      <c r="R12" s="28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2.05" customHeight="1" x14ac:dyDescent="0.3">
      <c r="A13" s="290" t="s">
        <v>5</v>
      </c>
      <c r="B13" s="291"/>
      <c r="C13" s="291"/>
      <c r="D13" s="291"/>
      <c r="E13" s="291"/>
      <c r="F13" s="291"/>
      <c r="G13" s="5">
        <v>45989</v>
      </c>
      <c r="H13" s="274" t="s">
        <v>6</v>
      </c>
      <c r="I13" s="275"/>
      <c r="J13" s="275"/>
      <c r="K13" s="275"/>
      <c r="L13" s="275"/>
      <c r="M13" s="275"/>
      <c r="N13" s="275"/>
      <c r="O13" s="275"/>
      <c r="P13" s="275"/>
      <c r="Q13" s="275"/>
      <c r="R13" s="275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4" customHeight="1" x14ac:dyDescent="0.3">
      <c r="A14" s="31" t="s">
        <v>7</v>
      </c>
      <c r="B14" s="31" t="s">
        <v>8</v>
      </c>
      <c r="C14" s="32" t="s">
        <v>9</v>
      </c>
      <c r="D14" s="31" t="s">
        <v>10</v>
      </c>
      <c r="E14" s="31" t="s">
        <v>11</v>
      </c>
      <c r="F14" s="31" t="s">
        <v>12</v>
      </c>
      <c r="G14" s="33" t="s">
        <v>13</v>
      </c>
      <c r="H14" s="31" t="s">
        <v>14</v>
      </c>
      <c r="I14" s="34" t="s">
        <v>15</v>
      </c>
      <c r="J14" s="35" t="s">
        <v>16</v>
      </c>
      <c r="K14" s="36" t="s">
        <v>17</v>
      </c>
      <c r="L14" s="35" t="s">
        <v>18</v>
      </c>
      <c r="M14" s="35" t="s">
        <v>19</v>
      </c>
      <c r="N14" s="35" t="s">
        <v>20</v>
      </c>
      <c r="O14" s="31" t="s">
        <v>21</v>
      </c>
      <c r="P14" s="32" t="s">
        <v>22</v>
      </c>
      <c r="Q14" s="35" t="s">
        <v>23</v>
      </c>
      <c r="R14" s="31" t="s">
        <v>24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49.95" customHeight="1" x14ac:dyDescent="0.3">
      <c r="A15" s="253" t="s">
        <v>285</v>
      </c>
      <c r="B15" s="253" t="s">
        <v>1091</v>
      </c>
      <c r="C15" s="254">
        <v>0.30902777777777779</v>
      </c>
      <c r="D15" s="253" t="s">
        <v>81</v>
      </c>
      <c r="E15" s="253" t="s">
        <v>57</v>
      </c>
      <c r="F15" s="253" t="s">
        <v>1092</v>
      </c>
      <c r="G15" s="302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4.4" customHeight="1" x14ac:dyDescent="0.3">
      <c r="A16" s="279"/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2.05" customHeight="1" x14ac:dyDescent="0.3">
      <c r="A17" s="290" t="s">
        <v>5</v>
      </c>
      <c r="B17" s="291"/>
      <c r="C17" s="291"/>
      <c r="D17" s="291"/>
      <c r="E17" s="291"/>
      <c r="F17" s="291"/>
      <c r="G17" s="5">
        <v>45990</v>
      </c>
      <c r="H17" s="274" t="s">
        <v>6</v>
      </c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24" customHeight="1" x14ac:dyDescent="0.3">
      <c r="A18" s="31" t="s">
        <v>7</v>
      </c>
      <c r="B18" s="31" t="s">
        <v>8</v>
      </c>
      <c r="C18" s="32" t="s">
        <v>9</v>
      </c>
      <c r="D18" s="31" t="s">
        <v>10</v>
      </c>
      <c r="E18" s="31" t="s">
        <v>11</v>
      </c>
      <c r="F18" s="31" t="s">
        <v>12</v>
      </c>
      <c r="G18" s="33" t="s">
        <v>13</v>
      </c>
      <c r="H18" s="31" t="s">
        <v>14</v>
      </c>
      <c r="I18" s="34" t="s">
        <v>15</v>
      </c>
      <c r="J18" s="35" t="s">
        <v>16</v>
      </c>
      <c r="K18" s="36" t="s">
        <v>17</v>
      </c>
      <c r="L18" s="35" t="s">
        <v>18</v>
      </c>
      <c r="M18" s="35" t="s">
        <v>19</v>
      </c>
      <c r="N18" s="35" t="s">
        <v>20</v>
      </c>
      <c r="O18" s="31" t="s">
        <v>21</v>
      </c>
      <c r="P18" s="32" t="s">
        <v>22</v>
      </c>
      <c r="Q18" s="35" t="s">
        <v>23</v>
      </c>
      <c r="R18" s="31" t="s">
        <v>24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182" t="s">
        <v>71</v>
      </c>
      <c r="B19" s="182" t="s">
        <v>1083</v>
      </c>
      <c r="C19" s="183">
        <v>0.71875</v>
      </c>
      <c r="D19" s="182" t="s">
        <v>81</v>
      </c>
      <c r="E19" s="182" t="s">
        <v>402</v>
      </c>
      <c r="F19" s="182" t="s">
        <v>1093</v>
      </c>
      <c r="G19" s="302"/>
      <c r="H19" s="68" t="s">
        <v>1085</v>
      </c>
      <c r="I19" s="269">
        <v>0.83240000000000003</v>
      </c>
      <c r="J19" s="70">
        <v>149</v>
      </c>
      <c r="K19" s="71">
        <v>45983</v>
      </c>
      <c r="L19" s="70">
        <v>28</v>
      </c>
      <c r="M19" s="70">
        <v>0</v>
      </c>
      <c r="N19" s="70">
        <v>5</v>
      </c>
      <c r="O19" s="72" t="s">
        <v>1094</v>
      </c>
      <c r="P19" s="73">
        <v>0.71875</v>
      </c>
      <c r="Q19" s="70">
        <v>179</v>
      </c>
      <c r="R19" s="74" t="s">
        <v>1095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79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2.05" customHeight="1" x14ac:dyDescent="0.3">
      <c r="A21" s="290" t="s">
        <v>5</v>
      </c>
      <c r="B21" s="291"/>
      <c r="C21" s="291"/>
      <c r="D21" s="291"/>
      <c r="E21" s="291"/>
      <c r="F21" s="291"/>
      <c r="G21" s="5">
        <v>45991</v>
      </c>
      <c r="H21" s="274" t="s">
        <v>6</v>
      </c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4" customHeight="1" x14ac:dyDescent="0.3">
      <c r="A22" s="31" t="s">
        <v>7</v>
      </c>
      <c r="B22" s="31" t="s">
        <v>8</v>
      </c>
      <c r="C22" s="32" t="s">
        <v>9</v>
      </c>
      <c r="D22" s="31" t="s">
        <v>10</v>
      </c>
      <c r="E22" s="31" t="s">
        <v>11</v>
      </c>
      <c r="F22" s="31" t="s">
        <v>12</v>
      </c>
      <c r="G22" s="33" t="s">
        <v>13</v>
      </c>
      <c r="H22" s="31" t="s">
        <v>14</v>
      </c>
      <c r="I22" s="34" t="s">
        <v>15</v>
      </c>
      <c r="J22" s="35" t="s">
        <v>16</v>
      </c>
      <c r="K22" s="36" t="s">
        <v>17</v>
      </c>
      <c r="L22" s="35" t="s">
        <v>18</v>
      </c>
      <c r="M22" s="35" t="s">
        <v>19</v>
      </c>
      <c r="N22" s="35" t="s">
        <v>20</v>
      </c>
      <c r="O22" s="31" t="s">
        <v>21</v>
      </c>
      <c r="P22" s="32" t="s">
        <v>22</v>
      </c>
      <c r="Q22" s="35" t="s">
        <v>23</v>
      </c>
      <c r="R22" s="31" t="s">
        <v>24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49.95" customHeight="1" x14ac:dyDescent="0.3">
      <c r="A23" s="253" t="s">
        <v>285</v>
      </c>
      <c r="B23" s="253" t="s">
        <v>1091</v>
      </c>
      <c r="C23" s="254">
        <v>0.30902777777777779</v>
      </c>
      <c r="D23" s="253" t="s">
        <v>81</v>
      </c>
      <c r="E23" s="253" t="s">
        <v>104</v>
      </c>
      <c r="F23" s="253" t="s">
        <v>1096</v>
      </c>
      <c r="G23" s="302"/>
      <c r="H23" s="58"/>
      <c r="I23" s="59"/>
      <c r="J23" s="59"/>
      <c r="K23" s="59"/>
      <c r="L23" s="59"/>
      <c r="M23" s="59"/>
      <c r="N23" s="59"/>
      <c r="O23" s="60"/>
      <c r="P23" s="59"/>
      <c r="Q23" s="61"/>
      <c r="R23" s="6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4.4" customHeight="1" x14ac:dyDescent="0.3">
      <c r="A24" s="279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1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</sheetData>
  <mergeCells count="29">
    <mergeCell ref="J1:M1"/>
    <mergeCell ref="A2:F2"/>
    <mergeCell ref="A3:R3"/>
    <mergeCell ref="A8:F8"/>
    <mergeCell ref="H21:R21"/>
    <mergeCell ref="G2:J2"/>
    <mergeCell ref="A17:F17"/>
    <mergeCell ref="A4:F4"/>
    <mergeCell ref="A16:R16"/>
    <mergeCell ref="A21:F21"/>
    <mergeCell ref="H4:R4"/>
    <mergeCell ref="G10:G11"/>
    <mergeCell ref="A12:R12"/>
    <mergeCell ref="D1:F1"/>
    <mergeCell ref="G6"/>
    <mergeCell ref="H13:R13"/>
    <mergeCell ref="A1:C1"/>
    <mergeCell ref="A24:R24"/>
    <mergeCell ref="G1:H1"/>
    <mergeCell ref="G15"/>
    <mergeCell ref="A20:R20"/>
    <mergeCell ref="G23"/>
    <mergeCell ref="H17:R17"/>
    <mergeCell ref="A13:F13"/>
    <mergeCell ref="K2:R2"/>
    <mergeCell ref="G19"/>
    <mergeCell ref="H8:R8"/>
    <mergeCell ref="O1:Q1"/>
    <mergeCell ref="A7:R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164</v>
      </c>
      <c r="B2" s="96">
        <v>45986</v>
      </c>
      <c r="C2" s="97" t="s">
        <v>1085</v>
      </c>
      <c r="D2" s="98">
        <v>0.3125</v>
      </c>
      <c r="E2" s="97" t="s">
        <v>1082</v>
      </c>
      <c r="F2" s="97" t="s">
        <v>158</v>
      </c>
      <c r="G2" s="99">
        <v>0.83240000000000003</v>
      </c>
      <c r="H2" s="100">
        <v>179</v>
      </c>
      <c r="I2" s="100">
        <v>149</v>
      </c>
      <c r="J2" s="100">
        <v>0</v>
      </c>
      <c r="K2" s="96">
        <v>45984</v>
      </c>
      <c r="L2" s="100">
        <v>2</v>
      </c>
      <c r="M2" s="100">
        <v>21</v>
      </c>
      <c r="N2" s="100">
        <v>112</v>
      </c>
      <c r="O2" s="97" t="s">
        <v>160</v>
      </c>
      <c r="P2" s="101"/>
      <c r="Q2" s="101"/>
      <c r="R2" s="101"/>
      <c r="S2" s="101"/>
      <c r="T2" s="100" t="s">
        <v>939</v>
      </c>
      <c r="U2" s="101"/>
      <c r="V2" s="101"/>
      <c r="W2" s="101"/>
      <c r="X2" s="100" t="s">
        <v>1097</v>
      </c>
      <c r="Y2" s="100" t="s">
        <v>1098</v>
      </c>
      <c r="Z2" s="100" t="s">
        <v>549</v>
      </c>
      <c r="AA2" s="100" t="s">
        <v>503</v>
      </c>
      <c r="AB2" s="100" t="s">
        <v>1099</v>
      </c>
      <c r="AC2" s="101"/>
      <c r="AD2" s="100" t="s">
        <v>724</v>
      </c>
      <c r="AE2" s="100" t="s">
        <v>161</v>
      </c>
      <c r="AF2" s="101"/>
      <c r="AG2" s="101"/>
      <c r="AH2" s="101"/>
      <c r="AI2" s="101"/>
    </row>
    <row r="3" spans="1:35" ht="18" x14ac:dyDescent="0.3">
      <c r="A3" s="102" t="s">
        <v>177</v>
      </c>
      <c r="B3" s="103">
        <v>45988</v>
      </c>
      <c r="C3" s="104" t="s">
        <v>1085</v>
      </c>
      <c r="D3" s="105">
        <v>0.76736111111111116</v>
      </c>
      <c r="E3" s="104" t="s">
        <v>1082</v>
      </c>
      <c r="F3" s="104" t="s">
        <v>158</v>
      </c>
      <c r="G3" s="106">
        <v>0.87709999999999999</v>
      </c>
      <c r="H3" s="107">
        <v>179</v>
      </c>
      <c r="I3" s="107">
        <v>157</v>
      </c>
      <c r="J3" s="107">
        <v>0</v>
      </c>
      <c r="K3" s="103">
        <v>45983</v>
      </c>
      <c r="L3" s="107">
        <v>0</v>
      </c>
      <c r="M3" s="107">
        <v>14</v>
      </c>
      <c r="N3" s="107">
        <v>74</v>
      </c>
      <c r="O3" s="104" t="s">
        <v>497</v>
      </c>
      <c r="P3" s="108"/>
      <c r="Q3" s="108"/>
      <c r="R3" s="108"/>
      <c r="S3" s="108"/>
      <c r="T3" s="108"/>
      <c r="U3" s="108"/>
      <c r="V3" s="107" t="s">
        <v>1100</v>
      </c>
      <c r="W3" s="107" t="s">
        <v>1101</v>
      </c>
      <c r="X3" s="107" t="s">
        <v>942</v>
      </c>
      <c r="Y3" s="107" t="s">
        <v>1102</v>
      </c>
      <c r="Z3" s="107" t="s">
        <v>479</v>
      </c>
      <c r="AA3" s="107" t="s">
        <v>717</v>
      </c>
      <c r="AB3" s="107" t="s">
        <v>1103</v>
      </c>
      <c r="AC3" s="107" t="s">
        <v>536</v>
      </c>
      <c r="AD3" s="107" t="s">
        <v>269</v>
      </c>
      <c r="AE3" s="107" t="s">
        <v>537</v>
      </c>
      <c r="AF3" s="108"/>
      <c r="AG3" s="108"/>
      <c r="AH3" s="108"/>
      <c r="AI3" s="108"/>
    </row>
    <row r="4" spans="1:35" ht="18" x14ac:dyDescent="0.3">
      <c r="A4" s="95" t="s">
        <v>180</v>
      </c>
      <c r="B4" s="96">
        <v>45990</v>
      </c>
      <c r="C4" s="97" t="s">
        <v>1085</v>
      </c>
      <c r="D4" s="98">
        <v>0.71875</v>
      </c>
      <c r="E4" s="97" t="s">
        <v>1082</v>
      </c>
      <c r="F4" s="97" t="s">
        <v>158</v>
      </c>
      <c r="G4" s="99">
        <v>0.83240000000000003</v>
      </c>
      <c r="H4" s="100">
        <v>179</v>
      </c>
      <c r="I4" s="100">
        <v>149</v>
      </c>
      <c r="J4" s="100">
        <v>0</v>
      </c>
      <c r="K4" s="96">
        <v>45983</v>
      </c>
      <c r="L4" s="100">
        <v>0</v>
      </c>
      <c r="M4" s="100">
        <v>5</v>
      </c>
      <c r="N4" s="100">
        <v>28</v>
      </c>
      <c r="O4" s="97" t="s">
        <v>1094</v>
      </c>
      <c r="P4" s="101"/>
      <c r="Q4" s="101"/>
      <c r="R4" s="101"/>
      <c r="S4" s="101"/>
      <c r="T4" s="100" t="s">
        <v>1104</v>
      </c>
      <c r="U4" s="100" t="s">
        <v>998</v>
      </c>
      <c r="V4" s="100" t="s">
        <v>1105</v>
      </c>
      <c r="W4" s="100" t="s">
        <v>1106</v>
      </c>
      <c r="X4" s="100" t="s">
        <v>235</v>
      </c>
      <c r="Y4" s="100" t="s">
        <v>646</v>
      </c>
      <c r="Z4" s="100" t="s">
        <v>943</v>
      </c>
      <c r="AA4" s="100" t="s">
        <v>462</v>
      </c>
      <c r="AB4" s="100" t="s">
        <v>188</v>
      </c>
      <c r="AC4" s="100" t="s">
        <v>651</v>
      </c>
      <c r="AD4" s="100" t="s">
        <v>448</v>
      </c>
      <c r="AE4" s="100" t="s">
        <v>659</v>
      </c>
      <c r="AF4" s="101"/>
      <c r="AG4" s="101"/>
      <c r="AH4" s="101"/>
      <c r="AI4" s="101"/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0.84730000000000005</v>
      </c>
      <c r="H5" s="113">
        <f>SUM(H2:H4)</f>
        <v>537</v>
      </c>
      <c r="I5" s="113">
        <f>SUM(I2:I4)</f>
        <v>455</v>
      </c>
      <c r="J5" s="113">
        <f>SUM(J2:J4)</f>
        <v>0</v>
      </c>
      <c r="K5" s="110"/>
      <c r="L5" s="113">
        <f>SUM(L2:L4)</f>
        <v>2</v>
      </c>
      <c r="M5" s="113">
        <f>SUM(M2:M4)</f>
        <v>40</v>
      </c>
      <c r="N5" s="113">
        <f>SUM(N2:N4)</f>
        <v>214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32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7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5">
        <v>45986</v>
      </c>
      <c r="B2" s="133" t="s">
        <v>71</v>
      </c>
      <c r="C2" s="134" t="s">
        <v>1083</v>
      </c>
      <c r="D2" s="133" t="s">
        <v>1082</v>
      </c>
      <c r="E2" s="135">
        <v>1.3125</v>
      </c>
      <c r="F2" s="133" t="s">
        <v>81</v>
      </c>
      <c r="G2" s="237">
        <v>1</v>
      </c>
      <c r="H2" s="256" t="s">
        <v>1084</v>
      </c>
    </row>
    <row r="3" spans="1:8" ht="18" x14ac:dyDescent="0.3">
      <c r="A3" s="187">
        <v>45988</v>
      </c>
      <c r="B3" s="137" t="s">
        <v>71</v>
      </c>
      <c r="C3" s="138" t="s">
        <v>1083</v>
      </c>
      <c r="D3" s="137" t="s">
        <v>1082</v>
      </c>
      <c r="E3" s="139">
        <v>1.7673611111111109</v>
      </c>
      <c r="F3" s="137" t="s">
        <v>81</v>
      </c>
      <c r="G3" s="140">
        <v>9</v>
      </c>
      <c r="H3" s="188" t="s">
        <v>1087</v>
      </c>
    </row>
    <row r="4" spans="1:8" ht="18" x14ac:dyDescent="0.3">
      <c r="A4" s="189">
        <v>45988</v>
      </c>
      <c r="B4" s="190" t="s">
        <v>285</v>
      </c>
      <c r="C4" s="191" t="s">
        <v>1089</v>
      </c>
      <c r="D4" s="190" t="s">
        <v>1082</v>
      </c>
      <c r="E4" s="192">
        <v>1.760416666666667</v>
      </c>
      <c r="F4" s="190" t="s">
        <v>81</v>
      </c>
      <c r="G4" s="193">
        <v>2</v>
      </c>
      <c r="H4" s="190" t="s">
        <v>1090</v>
      </c>
    </row>
    <row r="5" spans="1:8" ht="18" x14ac:dyDescent="0.3">
      <c r="A5" s="257">
        <v>45989</v>
      </c>
      <c r="B5" s="190" t="s">
        <v>285</v>
      </c>
      <c r="C5" s="191" t="s">
        <v>1091</v>
      </c>
      <c r="D5" s="190" t="s">
        <v>1082</v>
      </c>
      <c r="E5" s="192">
        <v>1.3090277777777779</v>
      </c>
      <c r="F5" s="190" t="s">
        <v>81</v>
      </c>
      <c r="G5" s="193">
        <v>4</v>
      </c>
      <c r="H5" s="258" t="s">
        <v>1092</v>
      </c>
    </row>
    <row r="6" spans="1:8" ht="18" x14ac:dyDescent="0.3">
      <c r="A6" s="255">
        <v>45990</v>
      </c>
      <c r="B6" s="133" t="s">
        <v>71</v>
      </c>
      <c r="C6" s="134" t="s">
        <v>1083</v>
      </c>
      <c r="D6" s="133" t="s">
        <v>1082</v>
      </c>
      <c r="E6" s="135">
        <v>1.71875</v>
      </c>
      <c r="F6" s="133" t="s">
        <v>81</v>
      </c>
      <c r="G6" s="237">
        <v>8</v>
      </c>
      <c r="H6" s="256" t="s">
        <v>1093</v>
      </c>
    </row>
    <row r="7" spans="1:8" ht="18" x14ac:dyDescent="0.3">
      <c r="A7" s="257">
        <v>45991</v>
      </c>
      <c r="B7" s="190" t="s">
        <v>285</v>
      </c>
      <c r="C7" s="191" t="s">
        <v>1091</v>
      </c>
      <c r="D7" s="190" t="s">
        <v>1082</v>
      </c>
      <c r="E7" s="192">
        <v>1.3090277777777779</v>
      </c>
      <c r="F7" s="190" t="s">
        <v>81</v>
      </c>
      <c r="G7" s="193">
        <v>1</v>
      </c>
      <c r="H7" s="258" t="s">
        <v>1096</v>
      </c>
    </row>
  </sheetData>
  <dataValidations count="3">
    <dataValidation type="custom" allowBlank="1" showInputMessage="1" promptTitle="LOAD FACTOR ANALYSIS" prompt="SM-321_x000d__x000a_LF 83.2%_x000d__x000a_SOLD 149_x000d__x000a_LST-SOLD 23NOV_x000d__x000a_WEEKLY 112_x000d__x000a_TO-DAY 2_x000d__x000a_Y-DAY 21_x000d__x000a_LOWEST AVAIL G1_x000d__x000a_CAPACITY 179_x000d__x000a_CLASSES Q1 &amp; G52 &amp; S23 &amp; +5 more" sqref="A2 B2 C2 D2 E2 F2 G2 H2" xr:uid="{00000000-0002-0000-3300-000000000000}">
      <formula1>TRUE</formula1>
    </dataValidation>
    <dataValidation type="custom" allowBlank="1" showInputMessage="1" promptTitle="LOAD FACTOR ANALYSIS" prompt="SM-321_x000d__x000a_LF 87.7%_x000d__x000a_SOLD 157_x000d__x000a_LST-SOLD 22NOV_x000d__x000a_WEEKLY 74_x000d__x000a_TO-DAY NIL_x000d__x000a_Y-DAY 14_x000d__x000a_LOWEST AVAIL V9_x000d__x000a_CAPACITY 179_x000d__x000a_CLASSES V25 &amp; L22 &amp; G14 &amp; +7 more" sqref="A3 B3 C3 D3 E3 F3 G3 H3" xr:uid="{00000000-0002-0000-3300-000001000000}">
      <formula1>TRUE</formula1>
    </dataValidation>
    <dataValidation type="custom" allowBlank="1" showInputMessage="1" promptTitle="LOAD FACTOR ANALYSIS" prompt="SM-321_x000d__x000a_LF 83.2%_x000d__x000a_SOLD 149_x000d__x000a_LST-SOLD 22NOV_x000d__x000a_WEEKLY 28_x000d__x000a_TO-DAY NIL_x000d__x000a_Y-DAY 5_x000d__x000a_LOWEST AVAIL Q8_x000d__x000a_CAPACITY 179_x000d__x000a_CLASSES Q16 &amp; K14 &amp; V34 &amp; +9 more" sqref="A6 B6 C6 D6 E6 F6 G6 H6" xr:uid="{00000000-0002-0000-33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N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1107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45984.35859364667</v>
      </c>
      <c r="H2" s="287"/>
      <c r="I2" s="287"/>
      <c r="J2" s="287"/>
      <c r="K2" s="292">
        <v>45984.358593647114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45989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65" t="s">
        <v>71</v>
      </c>
      <c r="B6" s="165" t="s">
        <v>1108</v>
      </c>
      <c r="C6" s="166">
        <v>0.47916666666666669</v>
      </c>
      <c r="D6" s="165" t="s">
        <v>81</v>
      </c>
      <c r="E6" s="165" t="s">
        <v>38</v>
      </c>
      <c r="F6" s="165" t="s">
        <v>1109</v>
      </c>
      <c r="G6" s="276"/>
      <c r="H6" s="168" t="s">
        <v>1110</v>
      </c>
      <c r="I6" s="240">
        <v>0.63129999999999997</v>
      </c>
      <c r="J6" s="170">
        <v>113</v>
      </c>
      <c r="K6" s="171">
        <v>45983</v>
      </c>
      <c r="L6" s="170">
        <v>67</v>
      </c>
      <c r="M6" s="170">
        <v>0</v>
      </c>
      <c r="N6" s="170">
        <v>17</v>
      </c>
      <c r="O6" s="172" t="s">
        <v>458</v>
      </c>
      <c r="P6" s="173">
        <v>0.47916666666666669</v>
      </c>
      <c r="Q6" s="170">
        <v>179</v>
      </c>
      <c r="R6" s="174" t="s">
        <v>1111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1112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63" t="s">
        <v>285</v>
      </c>
      <c r="B8" s="63" t="s">
        <v>1091</v>
      </c>
      <c r="C8" s="64" t="s">
        <v>1113</v>
      </c>
      <c r="D8" s="63" t="s">
        <v>81</v>
      </c>
      <c r="E8" s="63" t="s">
        <v>212</v>
      </c>
      <c r="F8" s="63" t="s">
        <v>1092</v>
      </c>
      <c r="G8" s="278"/>
      <c r="H8" s="178"/>
      <c r="I8" s="178"/>
      <c r="J8" s="178"/>
      <c r="K8" s="178"/>
      <c r="L8" s="178"/>
      <c r="M8" s="178"/>
      <c r="N8" s="178"/>
      <c r="O8" s="179"/>
      <c r="P8" s="178"/>
      <c r="Q8" s="180"/>
      <c r="R8" s="180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4.4" customHeight="1" x14ac:dyDescent="0.3">
      <c r="A9" s="279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1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</sheetData>
  <mergeCells count="14">
    <mergeCell ref="G6:G8"/>
    <mergeCell ref="A4:F4"/>
    <mergeCell ref="A9:R9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520</v>
      </c>
      <c r="B2" s="96">
        <v>45989</v>
      </c>
      <c r="C2" s="97" t="s">
        <v>1110</v>
      </c>
      <c r="D2" s="98">
        <v>0.47916666666666669</v>
      </c>
      <c r="E2" s="97" t="s">
        <v>1107</v>
      </c>
      <c r="F2" s="97" t="s">
        <v>158</v>
      </c>
      <c r="G2" s="99">
        <v>0.63129999999999997</v>
      </c>
      <c r="H2" s="100">
        <v>179</v>
      </c>
      <c r="I2" s="100">
        <v>113</v>
      </c>
      <c r="J2" s="100">
        <v>0</v>
      </c>
      <c r="K2" s="96">
        <v>45983</v>
      </c>
      <c r="L2" s="100">
        <v>0</v>
      </c>
      <c r="M2" s="100">
        <v>17</v>
      </c>
      <c r="N2" s="100">
        <v>67</v>
      </c>
      <c r="O2" s="97" t="s">
        <v>458</v>
      </c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0" t="s">
        <v>1114</v>
      </c>
      <c r="AC2" s="100" t="s">
        <v>713</v>
      </c>
      <c r="AD2" s="100" t="s">
        <v>1000</v>
      </c>
      <c r="AE2" s="100" t="s">
        <v>1115</v>
      </c>
      <c r="AF2" s="101"/>
      <c r="AG2" s="101"/>
      <c r="AH2" s="101"/>
      <c r="AI2" s="101"/>
    </row>
    <row r="3" spans="1:35" ht="18" x14ac:dyDescent="0.3">
      <c r="A3" s="109" t="s">
        <v>189</v>
      </c>
      <c r="B3" s="110"/>
      <c r="C3" s="111">
        <f>COUNTA(C2:C2)</f>
        <v>1</v>
      </c>
      <c r="D3" s="110"/>
      <c r="E3" s="110"/>
      <c r="F3" s="110"/>
      <c r="G3" s="112">
        <f>AVERAGE(G2:G2)</f>
        <v>0.63129999999999997</v>
      </c>
      <c r="H3" s="113">
        <f>SUM(H2:H2)</f>
        <v>179</v>
      </c>
      <c r="I3" s="113">
        <f>SUM(I2:I2)</f>
        <v>113</v>
      </c>
      <c r="J3" s="113">
        <f>SUM(J2:J2)</f>
        <v>0</v>
      </c>
      <c r="K3" s="110"/>
      <c r="L3" s="113">
        <f>SUM(L2:L2)</f>
        <v>0</v>
      </c>
      <c r="M3" s="113">
        <f>SUM(M2:M2)</f>
        <v>17</v>
      </c>
      <c r="N3" s="113">
        <f>SUM(N2:N2)</f>
        <v>67</v>
      </c>
      <c r="O3" s="110"/>
      <c r="P3" s="11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113">
        <f t="shared" si="0"/>
        <v>0</v>
      </c>
      <c r="R3" s="113">
        <f t="shared" si="0"/>
        <v>0</v>
      </c>
      <c r="S3" s="113">
        <f t="shared" si="0"/>
        <v>0</v>
      </c>
      <c r="T3" s="113">
        <f t="shared" si="0"/>
        <v>0</v>
      </c>
      <c r="U3" s="113">
        <f t="shared" si="0"/>
        <v>0</v>
      </c>
      <c r="V3" s="113">
        <f t="shared" si="0"/>
        <v>0</v>
      </c>
      <c r="W3" s="113">
        <f t="shared" si="0"/>
        <v>0</v>
      </c>
      <c r="X3" s="113">
        <f t="shared" si="0"/>
        <v>0</v>
      </c>
      <c r="Y3" s="113">
        <f t="shared" si="0"/>
        <v>0</v>
      </c>
      <c r="Z3" s="113">
        <f t="shared" si="0"/>
        <v>0</v>
      </c>
      <c r="AA3" s="113">
        <f t="shared" si="0"/>
        <v>0</v>
      </c>
      <c r="AB3" s="113">
        <f t="shared" si="0"/>
        <v>36</v>
      </c>
      <c r="AC3" s="113">
        <f t="shared" si="0"/>
        <v>14</v>
      </c>
      <c r="AD3" s="113">
        <f t="shared" si="0"/>
        <v>19</v>
      </c>
      <c r="AE3" s="113">
        <f t="shared" si="0"/>
        <v>44</v>
      </c>
      <c r="AF3" s="113">
        <f t="shared" si="0"/>
        <v>0</v>
      </c>
      <c r="AG3" s="113">
        <f t="shared" si="0"/>
        <v>0</v>
      </c>
      <c r="AH3" s="113">
        <f t="shared" si="0"/>
        <v>0</v>
      </c>
      <c r="AI3" s="113">
        <f t="shared" si="0"/>
        <v>0</v>
      </c>
    </row>
  </sheetData>
  <autoFilter ref="A1:AI2" xr:uid="{00000000-0009-0000-0000-000035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3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31.88671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1116</v>
      </c>
      <c r="F2" s="185"/>
      <c r="G2" s="185"/>
      <c r="H2" s="3"/>
    </row>
    <row r="3" spans="1:8" ht="18" x14ac:dyDescent="0.3">
      <c r="A3" s="255">
        <v>45986</v>
      </c>
      <c r="B3" s="133" t="s">
        <v>71</v>
      </c>
      <c r="C3" s="134" t="s">
        <v>1083</v>
      </c>
      <c r="D3" s="133" t="s">
        <v>1082</v>
      </c>
      <c r="E3" s="135">
        <v>1.3125</v>
      </c>
      <c r="F3" s="133" t="s">
        <v>81</v>
      </c>
      <c r="G3" s="237">
        <v>1</v>
      </c>
      <c r="H3" s="256" t="s">
        <v>1084</v>
      </c>
    </row>
    <row r="4" spans="1:8" ht="15.6" x14ac:dyDescent="0.3">
      <c r="A4" s="185"/>
      <c r="B4" s="185"/>
      <c r="C4" s="185"/>
      <c r="D4" s="185"/>
      <c r="E4" s="186" t="s">
        <v>1116</v>
      </c>
      <c r="F4" s="185"/>
      <c r="G4" s="185"/>
      <c r="H4" s="3"/>
    </row>
    <row r="5" spans="1:8" ht="18" x14ac:dyDescent="0.3">
      <c r="A5" s="187">
        <v>45988</v>
      </c>
      <c r="B5" s="137" t="s">
        <v>71</v>
      </c>
      <c r="C5" s="138" t="s">
        <v>1083</v>
      </c>
      <c r="D5" s="137" t="s">
        <v>1082</v>
      </c>
      <c r="E5" s="139">
        <v>1.7673611111111109</v>
      </c>
      <c r="F5" s="137" t="s">
        <v>81</v>
      </c>
      <c r="G5" s="140">
        <v>9</v>
      </c>
      <c r="H5" s="188" t="s">
        <v>1087</v>
      </c>
    </row>
    <row r="6" spans="1:8" ht="18" x14ac:dyDescent="0.3">
      <c r="A6" s="189">
        <v>45988</v>
      </c>
      <c r="B6" s="190" t="s">
        <v>285</v>
      </c>
      <c r="C6" s="191" t="s">
        <v>1089</v>
      </c>
      <c r="D6" s="190" t="s">
        <v>1082</v>
      </c>
      <c r="E6" s="192">
        <v>1.760416666666667</v>
      </c>
      <c r="F6" s="190" t="s">
        <v>81</v>
      </c>
      <c r="G6" s="193">
        <v>2</v>
      </c>
      <c r="H6" s="190" t="s">
        <v>1090</v>
      </c>
    </row>
    <row r="7" spans="1:8" ht="18" x14ac:dyDescent="0.3">
      <c r="A7" s="187">
        <v>45989</v>
      </c>
      <c r="B7" s="137" t="s">
        <v>71</v>
      </c>
      <c r="C7" s="138" t="s">
        <v>1108</v>
      </c>
      <c r="D7" s="137" t="s">
        <v>1107</v>
      </c>
      <c r="E7" s="139">
        <v>1.479166666666667</v>
      </c>
      <c r="F7" s="137" t="s">
        <v>81</v>
      </c>
      <c r="G7" s="140">
        <v>9</v>
      </c>
      <c r="H7" s="188" t="s">
        <v>1109</v>
      </c>
    </row>
    <row r="8" spans="1:8" ht="15.6" x14ac:dyDescent="0.3">
      <c r="A8" s="185"/>
      <c r="B8" s="185"/>
      <c r="C8" s="185"/>
      <c r="D8" s="185"/>
      <c r="E8" s="186" t="s">
        <v>1116</v>
      </c>
      <c r="F8" s="185"/>
      <c r="G8" s="185"/>
      <c r="H8" s="3"/>
    </row>
    <row r="9" spans="1:8" ht="18" x14ac:dyDescent="0.3">
      <c r="A9" s="189">
        <v>45989</v>
      </c>
      <c r="B9" s="190" t="s">
        <v>285</v>
      </c>
      <c r="C9" s="191" t="s">
        <v>1091</v>
      </c>
      <c r="D9" s="190" t="s">
        <v>1082</v>
      </c>
      <c r="E9" s="192">
        <v>1.3090277777777779</v>
      </c>
      <c r="F9" s="190" t="s">
        <v>81</v>
      </c>
      <c r="G9" s="193">
        <v>4</v>
      </c>
      <c r="H9" s="190" t="s">
        <v>1092</v>
      </c>
    </row>
    <row r="10" spans="1:8" ht="15.6" x14ac:dyDescent="0.3">
      <c r="A10" s="185"/>
      <c r="B10" s="185"/>
      <c r="C10" s="185"/>
      <c r="D10" s="185"/>
      <c r="E10" s="186" t="s">
        <v>1116</v>
      </c>
      <c r="F10" s="185"/>
      <c r="G10" s="185"/>
      <c r="H10" s="3"/>
    </row>
    <row r="11" spans="1:8" ht="18" x14ac:dyDescent="0.3">
      <c r="A11" s="255">
        <v>45990</v>
      </c>
      <c r="B11" s="133" t="s">
        <v>71</v>
      </c>
      <c r="C11" s="134" t="s">
        <v>1083</v>
      </c>
      <c r="D11" s="133" t="s">
        <v>1082</v>
      </c>
      <c r="E11" s="135">
        <v>1.71875</v>
      </c>
      <c r="F11" s="133" t="s">
        <v>81</v>
      </c>
      <c r="G11" s="237">
        <v>8</v>
      </c>
      <c r="H11" s="256" t="s">
        <v>1093</v>
      </c>
    </row>
    <row r="12" spans="1:8" ht="15.6" x14ac:dyDescent="0.3">
      <c r="A12" s="185"/>
      <c r="B12" s="185"/>
      <c r="C12" s="185"/>
      <c r="D12" s="185"/>
      <c r="E12" s="186" t="s">
        <v>1116</v>
      </c>
      <c r="F12" s="185"/>
      <c r="G12" s="185"/>
      <c r="H12" s="3"/>
    </row>
    <row r="13" spans="1:8" ht="18" x14ac:dyDescent="0.3">
      <c r="A13" s="257">
        <v>45991</v>
      </c>
      <c r="B13" s="190" t="s">
        <v>285</v>
      </c>
      <c r="C13" s="191" t="s">
        <v>1091</v>
      </c>
      <c r="D13" s="190" t="s">
        <v>1082</v>
      </c>
      <c r="E13" s="192">
        <v>1.3090277777777779</v>
      </c>
      <c r="F13" s="190" t="s">
        <v>81</v>
      </c>
      <c r="G13" s="193">
        <v>1</v>
      </c>
      <c r="H13" s="258" t="s">
        <v>1096</v>
      </c>
    </row>
  </sheetData>
  <dataValidations count="2">
    <dataValidation type="custom" allowBlank="1" showInputMessage="1" promptTitle="LOAD FACTOR ANALYSIS" prompt="SM-321_x000d__x000a_LF -_x000d__x000a_SOLD -_x000d__x000a_LST-SOLD -_x000d__x000a_WEEKLY -_x000d__x000a_TO-DAY -_x000d__x000a_Y-DAY -_x000d__x000a_LOWEST AVAIL -_x000d__x000a_CAPACITY -_x000d__x000a_CLASSES -" sqref="A3 A5 A11 B3 B5 B11 C3 C5 C11 D3 D5 D11 E3 E5 E11 F3 F5 F11 G3 G5 G11 H3 H5 H11" xr:uid="{00000000-0002-0000-3600-000000000000}">
      <formula1>TRUE</formula1>
    </dataValidation>
    <dataValidation type="custom" allowBlank="1" showInputMessage="1" promptTitle="LOAD FACTOR ANALYSIS" prompt="SM-323_x000d__x000a_LF 63.1%_x000d__x000a_SOLD 113_x000d__x000a_LST-SOLD 22NOV_x000d__x000a_WEEKLY 67_x000d__x000a_TO-DAY NIL_x000d__x000a_Y-DAY 17_x000d__x000a_LOWEST AVAIL X9_x000d__x000a_CAPACITY 179_x000d__x000a_CLASSES X36 &amp; U14 &amp; O19 &amp; +1 more" sqref="A7 B7 C7 D7 E7 F7 G7 H7" xr:uid="{00000000-0002-0000-36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N34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2.109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1117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45984.358594283811</v>
      </c>
      <c r="H2" s="287"/>
      <c r="I2" s="287"/>
      <c r="J2" s="287"/>
      <c r="K2" s="292">
        <v>45984.358594284437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5" t="s">
        <v>71</v>
      </c>
      <c r="B6" s="85" t="s">
        <v>1118</v>
      </c>
      <c r="C6" s="86">
        <v>0.16666666666666671</v>
      </c>
      <c r="D6" s="85" t="s">
        <v>73</v>
      </c>
      <c r="E6" s="204"/>
      <c r="F6" s="85" t="s">
        <v>74</v>
      </c>
      <c r="G6" s="302"/>
      <c r="H6" s="24" t="s">
        <v>1118</v>
      </c>
      <c r="I6" s="25">
        <v>1</v>
      </c>
      <c r="J6" s="26">
        <v>179</v>
      </c>
      <c r="K6" s="27">
        <v>45980</v>
      </c>
      <c r="L6" s="26">
        <v>1</v>
      </c>
      <c r="M6" s="26">
        <v>0</v>
      </c>
      <c r="N6" s="26">
        <v>0</v>
      </c>
      <c r="O6" s="28" t="s">
        <v>75</v>
      </c>
      <c r="P6" s="29">
        <v>0.16666666666666671</v>
      </c>
      <c r="Q6" s="26">
        <v>179</v>
      </c>
      <c r="R6" s="30" t="s">
        <v>1119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45986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360</v>
      </c>
      <c r="B10" s="8" t="s">
        <v>1120</v>
      </c>
      <c r="C10" s="9">
        <v>0.34027777777777768</v>
      </c>
      <c r="D10" s="8" t="s">
        <v>81</v>
      </c>
      <c r="E10" s="8" t="s">
        <v>77</v>
      </c>
      <c r="F10" s="8" t="s">
        <v>1121</v>
      </c>
      <c r="G10" s="276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17" t="s">
        <v>285</v>
      </c>
      <c r="B11" s="17" t="s">
        <v>1122</v>
      </c>
      <c r="C11" s="18">
        <v>2.0833333333333329E-2</v>
      </c>
      <c r="D11" s="17" t="s">
        <v>81</v>
      </c>
      <c r="E11" s="17" t="s">
        <v>28</v>
      </c>
      <c r="F11" s="17" t="s">
        <v>1123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264" t="s">
        <v>71</v>
      </c>
      <c r="B12" s="264" t="s">
        <v>1118</v>
      </c>
      <c r="C12" s="265">
        <v>0.83333333333333337</v>
      </c>
      <c r="D12" s="264" t="s">
        <v>73</v>
      </c>
      <c r="E12" s="270"/>
      <c r="F12" s="264" t="s">
        <v>74</v>
      </c>
      <c r="G12" s="278"/>
      <c r="H12" s="241" t="s">
        <v>1118</v>
      </c>
      <c r="I12" s="271">
        <v>1</v>
      </c>
      <c r="J12" s="243">
        <v>179</v>
      </c>
      <c r="K12" s="244">
        <v>45981</v>
      </c>
      <c r="L12" s="243">
        <v>14</v>
      </c>
      <c r="M12" s="243">
        <v>0</v>
      </c>
      <c r="N12" s="243">
        <v>0</v>
      </c>
      <c r="O12" s="245" t="s">
        <v>75</v>
      </c>
      <c r="P12" s="246">
        <v>0.83333333333333337</v>
      </c>
      <c r="Q12" s="243">
        <v>179</v>
      </c>
      <c r="R12" s="247" t="s">
        <v>1124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4.4" customHeight="1" x14ac:dyDescent="0.3">
      <c r="A13" s="282"/>
      <c r="B13" s="283"/>
      <c r="C13" s="283"/>
      <c r="D13" s="283"/>
      <c r="E13" s="283"/>
      <c r="F13" s="283"/>
      <c r="G13" s="280"/>
      <c r="H13" s="284"/>
      <c r="I13" s="284"/>
      <c r="J13" s="284"/>
      <c r="K13" s="284"/>
      <c r="L13" s="284"/>
      <c r="M13" s="284"/>
      <c r="N13" s="284"/>
      <c r="O13" s="285"/>
      <c r="P13" s="284"/>
      <c r="Q13" s="280"/>
      <c r="R13" s="28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2.05" customHeight="1" x14ac:dyDescent="0.3">
      <c r="A14" s="290" t="s">
        <v>5</v>
      </c>
      <c r="B14" s="291"/>
      <c r="C14" s="291"/>
      <c r="D14" s="291"/>
      <c r="E14" s="291"/>
      <c r="F14" s="291"/>
      <c r="G14" s="5">
        <v>45987</v>
      </c>
      <c r="H14" s="274" t="s">
        <v>6</v>
      </c>
      <c r="I14" s="275"/>
      <c r="J14" s="275"/>
      <c r="K14" s="275"/>
      <c r="L14" s="275"/>
      <c r="M14" s="275"/>
      <c r="N14" s="275"/>
      <c r="O14" s="275"/>
      <c r="P14" s="275"/>
      <c r="Q14" s="275"/>
      <c r="R14" s="275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4" customHeight="1" x14ac:dyDescent="0.3">
      <c r="A15" s="31" t="s">
        <v>7</v>
      </c>
      <c r="B15" s="31" t="s">
        <v>8</v>
      </c>
      <c r="C15" s="32" t="s">
        <v>9</v>
      </c>
      <c r="D15" s="31" t="s">
        <v>10</v>
      </c>
      <c r="E15" s="31" t="s">
        <v>11</v>
      </c>
      <c r="F15" s="31" t="s">
        <v>12</v>
      </c>
      <c r="G15" s="33" t="s">
        <v>13</v>
      </c>
      <c r="H15" s="31" t="s">
        <v>14</v>
      </c>
      <c r="I15" s="34" t="s">
        <v>15</v>
      </c>
      <c r="J15" s="35" t="s">
        <v>16</v>
      </c>
      <c r="K15" s="36" t="s">
        <v>17</v>
      </c>
      <c r="L15" s="35" t="s">
        <v>18</v>
      </c>
      <c r="M15" s="35" t="s">
        <v>19</v>
      </c>
      <c r="N15" s="35" t="s">
        <v>20</v>
      </c>
      <c r="O15" s="31" t="s">
        <v>21</v>
      </c>
      <c r="P15" s="32" t="s">
        <v>22</v>
      </c>
      <c r="Q15" s="35" t="s">
        <v>23</v>
      </c>
      <c r="R15" s="31" t="s">
        <v>24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182" t="s">
        <v>71</v>
      </c>
      <c r="B16" s="182" t="s">
        <v>1118</v>
      </c>
      <c r="C16" s="183">
        <v>0.82638888888888884</v>
      </c>
      <c r="D16" s="182" t="s">
        <v>73</v>
      </c>
      <c r="E16" s="184"/>
      <c r="F16" s="182" t="s">
        <v>74</v>
      </c>
      <c r="G16" s="302"/>
      <c r="H16" s="68" t="s">
        <v>1118</v>
      </c>
      <c r="I16" s="69">
        <v>1</v>
      </c>
      <c r="J16" s="70">
        <v>179</v>
      </c>
      <c r="K16" s="71">
        <v>45980</v>
      </c>
      <c r="L16" s="70">
        <v>25</v>
      </c>
      <c r="M16" s="70">
        <v>0</v>
      </c>
      <c r="N16" s="70">
        <v>0</v>
      </c>
      <c r="O16" s="72" t="s">
        <v>75</v>
      </c>
      <c r="P16" s="73">
        <v>0.82638888888888884</v>
      </c>
      <c r="Q16" s="70">
        <v>179</v>
      </c>
      <c r="R16" s="74" t="s">
        <v>1125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4.4" customHeight="1" x14ac:dyDescent="0.3">
      <c r="A17" s="282"/>
      <c r="B17" s="283"/>
      <c r="C17" s="283"/>
      <c r="D17" s="283"/>
      <c r="E17" s="283"/>
      <c r="F17" s="283"/>
      <c r="G17" s="280"/>
      <c r="H17" s="284"/>
      <c r="I17" s="284"/>
      <c r="J17" s="284"/>
      <c r="K17" s="284"/>
      <c r="L17" s="284"/>
      <c r="M17" s="284"/>
      <c r="N17" s="284"/>
      <c r="O17" s="285"/>
      <c r="P17" s="284"/>
      <c r="Q17" s="280"/>
      <c r="R17" s="281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22.05" customHeight="1" x14ac:dyDescent="0.3">
      <c r="A18" s="290" t="s">
        <v>5</v>
      </c>
      <c r="B18" s="291"/>
      <c r="C18" s="291"/>
      <c r="D18" s="291"/>
      <c r="E18" s="291"/>
      <c r="F18" s="291"/>
      <c r="G18" s="5">
        <v>45988</v>
      </c>
      <c r="H18" s="274" t="s">
        <v>6</v>
      </c>
      <c r="I18" s="275"/>
      <c r="J18" s="275"/>
      <c r="K18" s="275"/>
      <c r="L18" s="275"/>
      <c r="M18" s="275"/>
      <c r="N18" s="275"/>
      <c r="O18" s="275"/>
      <c r="P18" s="275"/>
      <c r="Q18" s="275"/>
      <c r="R18" s="27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4" customHeight="1" x14ac:dyDescent="0.3">
      <c r="A19" s="31" t="s">
        <v>7</v>
      </c>
      <c r="B19" s="31" t="s">
        <v>8</v>
      </c>
      <c r="C19" s="32" t="s">
        <v>9</v>
      </c>
      <c r="D19" s="31" t="s">
        <v>10</v>
      </c>
      <c r="E19" s="31" t="s">
        <v>11</v>
      </c>
      <c r="F19" s="31" t="s">
        <v>12</v>
      </c>
      <c r="G19" s="33" t="s">
        <v>13</v>
      </c>
      <c r="H19" s="31" t="s">
        <v>14</v>
      </c>
      <c r="I19" s="34" t="s">
        <v>15</v>
      </c>
      <c r="J19" s="35" t="s">
        <v>16</v>
      </c>
      <c r="K19" s="36" t="s">
        <v>17</v>
      </c>
      <c r="L19" s="35" t="s">
        <v>18</v>
      </c>
      <c r="M19" s="35" t="s">
        <v>19</v>
      </c>
      <c r="N19" s="35" t="s">
        <v>20</v>
      </c>
      <c r="O19" s="31" t="s">
        <v>21</v>
      </c>
      <c r="P19" s="32" t="s">
        <v>22</v>
      </c>
      <c r="Q19" s="35" t="s">
        <v>23</v>
      </c>
      <c r="R19" s="31" t="s">
        <v>24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8" t="s">
        <v>285</v>
      </c>
      <c r="B20" s="8" t="s">
        <v>1122</v>
      </c>
      <c r="C20" s="9">
        <v>2.0833333333333329E-2</v>
      </c>
      <c r="D20" s="8" t="s">
        <v>81</v>
      </c>
      <c r="E20" s="8" t="s">
        <v>38</v>
      </c>
      <c r="F20" s="8" t="s">
        <v>1123</v>
      </c>
      <c r="G20" s="276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49.95" customHeight="1" x14ac:dyDescent="0.3">
      <c r="A21" s="65" t="s">
        <v>71</v>
      </c>
      <c r="B21" s="65" t="s">
        <v>1118</v>
      </c>
      <c r="C21" s="66">
        <v>0.4375</v>
      </c>
      <c r="D21" s="65" t="s">
        <v>73</v>
      </c>
      <c r="E21" s="67"/>
      <c r="F21" s="65" t="s">
        <v>74</v>
      </c>
      <c r="G21" s="278"/>
      <c r="H21" s="68" t="s">
        <v>1118</v>
      </c>
      <c r="I21" s="69">
        <v>1</v>
      </c>
      <c r="J21" s="70">
        <v>179</v>
      </c>
      <c r="K21" s="71">
        <v>45975</v>
      </c>
      <c r="L21" s="70">
        <v>0</v>
      </c>
      <c r="M21" s="70">
        <v>0</v>
      </c>
      <c r="N21" s="70">
        <v>0</v>
      </c>
      <c r="O21" s="72" t="s">
        <v>75</v>
      </c>
      <c r="P21" s="73">
        <v>0.4375</v>
      </c>
      <c r="Q21" s="70">
        <v>179</v>
      </c>
      <c r="R21" s="74" t="s">
        <v>1126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4.4" customHeight="1" x14ac:dyDescent="0.3">
      <c r="A22" s="282"/>
      <c r="B22" s="283"/>
      <c r="C22" s="283"/>
      <c r="D22" s="283"/>
      <c r="E22" s="283"/>
      <c r="F22" s="283"/>
      <c r="G22" s="280"/>
      <c r="H22" s="284"/>
      <c r="I22" s="284"/>
      <c r="J22" s="284"/>
      <c r="K22" s="284"/>
      <c r="L22" s="284"/>
      <c r="M22" s="284"/>
      <c r="N22" s="284"/>
      <c r="O22" s="285"/>
      <c r="P22" s="284"/>
      <c r="Q22" s="280"/>
      <c r="R22" s="28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2.05" customHeight="1" x14ac:dyDescent="0.3">
      <c r="A23" s="290" t="s">
        <v>5</v>
      </c>
      <c r="B23" s="291"/>
      <c r="C23" s="291"/>
      <c r="D23" s="291"/>
      <c r="E23" s="291"/>
      <c r="F23" s="291"/>
      <c r="G23" s="5">
        <v>45989</v>
      </c>
      <c r="H23" s="274" t="s">
        <v>6</v>
      </c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24" customHeight="1" x14ac:dyDescent="0.3">
      <c r="A24" s="31" t="s">
        <v>7</v>
      </c>
      <c r="B24" s="31" t="s">
        <v>8</v>
      </c>
      <c r="C24" s="32" t="s">
        <v>9</v>
      </c>
      <c r="D24" s="31" t="s">
        <v>10</v>
      </c>
      <c r="E24" s="31" t="s">
        <v>11</v>
      </c>
      <c r="F24" s="31" t="s">
        <v>12</v>
      </c>
      <c r="G24" s="33" t="s">
        <v>13</v>
      </c>
      <c r="H24" s="31" t="s">
        <v>14</v>
      </c>
      <c r="I24" s="34" t="s">
        <v>15</v>
      </c>
      <c r="J24" s="35" t="s">
        <v>16</v>
      </c>
      <c r="K24" s="36" t="s">
        <v>17</v>
      </c>
      <c r="L24" s="35" t="s">
        <v>18</v>
      </c>
      <c r="M24" s="35" t="s">
        <v>19</v>
      </c>
      <c r="N24" s="35" t="s">
        <v>20</v>
      </c>
      <c r="O24" s="31" t="s">
        <v>21</v>
      </c>
      <c r="P24" s="32" t="s">
        <v>22</v>
      </c>
      <c r="Q24" s="35" t="s">
        <v>23</v>
      </c>
      <c r="R24" s="31" t="s">
        <v>24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49.95" customHeight="1" x14ac:dyDescent="0.3">
      <c r="A25" s="85" t="s">
        <v>71</v>
      </c>
      <c r="B25" s="85" t="s">
        <v>1118</v>
      </c>
      <c r="C25" s="86">
        <v>0.16666666666666671</v>
      </c>
      <c r="D25" s="85" t="s">
        <v>73</v>
      </c>
      <c r="E25" s="204"/>
      <c r="F25" s="85" t="s">
        <v>74</v>
      </c>
      <c r="G25" s="302"/>
      <c r="H25" s="24" t="s">
        <v>1118</v>
      </c>
      <c r="I25" s="25">
        <v>1</v>
      </c>
      <c r="J25" s="26">
        <v>179</v>
      </c>
      <c r="K25" s="27">
        <v>45983</v>
      </c>
      <c r="L25" s="26">
        <v>10</v>
      </c>
      <c r="M25" s="26">
        <v>0</v>
      </c>
      <c r="N25" s="26">
        <v>1</v>
      </c>
      <c r="O25" s="28" t="s">
        <v>75</v>
      </c>
      <c r="P25" s="29">
        <v>0.16666666666666671</v>
      </c>
      <c r="Q25" s="26">
        <v>179</v>
      </c>
      <c r="R25" s="30" t="s">
        <v>1127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4.4" customHeight="1" x14ac:dyDescent="0.3">
      <c r="A26" s="279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1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22.05" customHeight="1" x14ac:dyDescent="0.3">
      <c r="A27" s="290" t="s">
        <v>5</v>
      </c>
      <c r="B27" s="291"/>
      <c r="C27" s="291"/>
      <c r="D27" s="291"/>
      <c r="E27" s="291"/>
      <c r="F27" s="291"/>
      <c r="G27" s="5">
        <v>45990</v>
      </c>
      <c r="H27" s="274" t="s">
        <v>6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24" customHeight="1" x14ac:dyDescent="0.3">
      <c r="A28" s="31" t="s">
        <v>7</v>
      </c>
      <c r="B28" s="31" t="s">
        <v>8</v>
      </c>
      <c r="C28" s="32" t="s">
        <v>9</v>
      </c>
      <c r="D28" s="31" t="s">
        <v>10</v>
      </c>
      <c r="E28" s="31" t="s">
        <v>11</v>
      </c>
      <c r="F28" s="31" t="s">
        <v>12</v>
      </c>
      <c r="G28" s="33" t="s">
        <v>13</v>
      </c>
      <c r="H28" s="31" t="s">
        <v>14</v>
      </c>
      <c r="I28" s="34" t="s">
        <v>15</v>
      </c>
      <c r="J28" s="35" t="s">
        <v>16</v>
      </c>
      <c r="K28" s="36" t="s">
        <v>17</v>
      </c>
      <c r="L28" s="35" t="s">
        <v>18</v>
      </c>
      <c r="M28" s="35" t="s">
        <v>19</v>
      </c>
      <c r="N28" s="35" t="s">
        <v>20</v>
      </c>
      <c r="O28" s="31" t="s">
        <v>21</v>
      </c>
      <c r="P28" s="32" t="s">
        <v>22</v>
      </c>
      <c r="Q28" s="35" t="s">
        <v>23</v>
      </c>
      <c r="R28" s="31" t="s">
        <v>24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49.95" customHeight="1" x14ac:dyDescent="0.3">
      <c r="A29" s="195" t="s">
        <v>71</v>
      </c>
      <c r="B29" s="195" t="s">
        <v>1128</v>
      </c>
      <c r="C29" s="196">
        <v>0.125</v>
      </c>
      <c r="D29" s="195" t="s">
        <v>81</v>
      </c>
      <c r="E29" s="195" t="s">
        <v>38</v>
      </c>
      <c r="F29" s="195" t="s">
        <v>1129</v>
      </c>
      <c r="G29" s="302"/>
      <c r="H29" s="78" t="s">
        <v>1118</v>
      </c>
      <c r="I29" s="79">
        <v>0.9274</v>
      </c>
      <c r="J29" s="80">
        <v>166</v>
      </c>
      <c r="K29" s="81">
        <v>45983</v>
      </c>
      <c r="L29" s="80">
        <v>5</v>
      </c>
      <c r="M29" s="80">
        <v>0</v>
      </c>
      <c r="N29" s="80">
        <v>1</v>
      </c>
      <c r="O29" s="82" t="s">
        <v>1130</v>
      </c>
      <c r="P29" s="83">
        <v>0.125</v>
      </c>
      <c r="Q29" s="80">
        <v>179</v>
      </c>
      <c r="R29" s="84" t="s">
        <v>1131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4.4" customHeight="1" x14ac:dyDescent="0.3">
      <c r="A30" s="282"/>
      <c r="B30" s="283"/>
      <c r="C30" s="283"/>
      <c r="D30" s="283"/>
      <c r="E30" s="283"/>
      <c r="F30" s="283"/>
      <c r="G30" s="280"/>
      <c r="H30" s="284"/>
      <c r="I30" s="284"/>
      <c r="J30" s="284"/>
      <c r="K30" s="284"/>
      <c r="L30" s="284"/>
      <c r="M30" s="284"/>
      <c r="N30" s="284"/>
      <c r="O30" s="285"/>
      <c r="P30" s="284"/>
      <c r="Q30" s="280"/>
      <c r="R30" s="281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22.05" customHeight="1" x14ac:dyDescent="0.3">
      <c r="A31" s="290" t="s">
        <v>5</v>
      </c>
      <c r="B31" s="291"/>
      <c r="C31" s="291"/>
      <c r="D31" s="291"/>
      <c r="E31" s="291"/>
      <c r="F31" s="291"/>
      <c r="G31" s="5">
        <v>45991</v>
      </c>
      <c r="H31" s="274" t="s">
        <v>6</v>
      </c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24" customHeight="1" x14ac:dyDescent="0.3">
      <c r="A32" s="31" t="s">
        <v>7</v>
      </c>
      <c r="B32" s="31" t="s">
        <v>8</v>
      </c>
      <c r="C32" s="32" t="s">
        <v>9</v>
      </c>
      <c r="D32" s="31" t="s">
        <v>10</v>
      </c>
      <c r="E32" s="31" t="s">
        <v>11</v>
      </c>
      <c r="F32" s="31" t="s">
        <v>12</v>
      </c>
      <c r="G32" s="33" t="s">
        <v>13</v>
      </c>
      <c r="H32" s="31" t="s">
        <v>14</v>
      </c>
      <c r="I32" s="34" t="s">
        <v>15</v>
      </c>
      <c r="J32" s="35" t="s">
        <v>16</v>
      </c>
      <c r="K32" s="36" t="s">
        <v>17</v>
      </c>
      <c r="L32" s="35" t="s">
        <v>18</v>
      </c>
      <c r="M32" s="35" t="s">
        <v>19</v>
      </c>
      <c r="N32" s="35" t="s">
        <v>20</v>
      </c>
      <c r="O32" s="31" t="s">
        <v>21</v>
      </c>
      <c r="P32" s="32" t="s">
        <v>22</v>
      </c>
      <c r="Q32" s="35" t="s">
        <v>23</v>
      </c>
      <c r="R32" s="31" t="s">
        <v>24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49.95" customHeight="1" x14ac:dyDescent="0.3">
      <c r="A33" s="37" t="s">
        <v>71</v>
      </c>
      <c r="B33" s="37" t="s">
        <v>1118</v>
      </c>
      <c r="C33" s="38">
        <v>0.21527777777777779</v>
      </c>
      <c r="D33" s="37" t="s">
        <v>73</v>
      </c>
      <c r="E33" s="181"/>
      <c r="F33" s="37" t="s">
        <v>74</v>
      </c>
      <c r="G33" s="302"/>
      <c r="H33" s="241" t="s">
        <v>1118</v>
      </c>
      <c r="I33" s="271">
        <v>1</v>
      </c>
      <c r="J33" s="243">
        <v>179</v>
      </c>
      <c r="K33" s="244">
        <v>45980</v>
      </c>
      <c r="L33" s="243">
        <v>8</v>
      </c>
      <c r="M33" s="243">
        <v>0</v>
      </c>
      <c r="N33" s="243">
        <v>0</v>
      </c>
      <c r="O33" s="245" t="s">
        <v>75</v>
      </c>
      <c r="P33" s="246">
        <v>0.21527777777777779</v>
      </c>
      <c r="Q33" s="243">
        <v>179</v>
      </c>
      <c r="R33" s="247" t="s">
        <v>1132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4.4" customHeight="1" x14ac:dyDescent="0.3">
      <c r="A34" s="279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1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</sheetData>
  <mergeCells count="37">
    <mergeCell ref="O1:Q1"/>
    <mergeCell ref="A7:R7"/>
    <mergeCell ref="G29"/>
    <mergeCell ref="A27:F27"/>
    <mergeCell ref="G25"/>
    <mergeCell ref="A18:F18"/>
    <mergeCell ref="G16"/>
    <mergeCell ref="H4:R4"/>
    <mergeCell ref="A2:F2"/>
    <mergeCell ref="A3:R3"/>
    <mergeCell ref="A26:R26"/>
    <mergeCell ref="J1:M1"/>
    <mergeCell ref="D1:F1"/>
    <mergeCell ref="G20:G21"/>
    <mergeCell ref="A22:R22"/>
    <mergeCell ref="A31:F31"/>
    <mergeCell ref="A13:R13"/>
    <mergeCell ref="K2:R2"/>
    <mergeCell ref="G6"/>
    <mergeCell ref="H23:R23"/>
    <mergeCell ref="H8:R8"/>
    <mergeCell ref="A34:R34"/>
    <mergeCell ref="G10:G12"/>
    <mergeCell ref="H27:R27"/>
    <mergeCell ref="A30:R30"/>
    <mergeCell ref="A1:C1"/>
    <mergeCell ref="G1:H1"/>
    <mergeCell ref="G33"/>
    <mergeCell ref="H18:R18"/>
    <mergeCell ref="H14:R14"/>
    <mergeCell ref="H31:R31"/>
    <mergeCell ref="A14:F14"/>
    <mergeCell ref="A23:F23"/>
    <mergeCell ref="A8:F8"/>
    <mergeCell ref="G2:J2"/>
    <mergeCell ref="A4:F4"/>
    <mergeCell ref="A17:R1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157</v>
      </c>
      <c r="B2" s="96">
        <v>45985</v>
      </c>
      <c r="C2" s="97" t="s">
        <v>1118</v>
      </c>
      <c r="D2" s="98">
        <v>0.16666666666666671</v>
      </c>
      <c r="E2" s="97" t="s">
        <v>1117</v>
      </c>
      <c r="F2" s="97" t="s">
        <v>158</v>
      </c>
      <c r="G2" s="99">
        <v>1</v>
      </c>
      <c r="H2" s="100">
        <v>179</v>
      </c>
      <c r="I2" s="100">
        <v>179</v>
      </c>
      <c r="J2" s="100">
        <v>143</v>
      </c>
      <c r="K2" s="96">
        <v>45980</v>
      </c>
      <c r="L2" s="100">
        <v>0</v>
      </c>
      <c r="M2" s="100">
        <v>0</v>
      </c>
      <c r="N2" s="100">
        <v>1</v>
      </c>
      <c r="O2" s="97" t="s">
        <v>75</v>
      </c>
      <c r="P2" s="101"/>
      <c r="Q2" s="101"/>
      <c r="R2" s="101"/>
      <c r="S2" s="101"/>
      <c r="T2" s="101"/>
      <c r="U2" s="101"/>
      <c r="V2" s="101"/>
      <c r="W2" s="101"/>
      <c r="X2" s="101"/>
      <c r="Y2" s="100" t="s">
        <v>646</v>
      </c>
      <c r="Z2" s="100" t="s">
        <v>567</v>
      </c>
      <c r="AA2" s="100" t="s">
        <v>166</v>
      </c>
      <c r="AB2" s="100" t="s">
        <v>167</v>
      </c>
      <c r="AC2" s="101"/>
      <c r="AD2" s="101"/>
      <c r="AE2" s="101"/>
      <c r="AF2" s="101"/>
      <c r="AG2" s="101"/>
      <c r="AH2" s="100" t="s">
        <v>1133</v>
      </c>
      <c r="AI2" s="101"/>
    </row>
    <row r="3" spans="1:35" ht="18" x14ac:dyDescent="0.3">
      <c r="A3" s="102" t="s">
        <v>164</v>
      </c>
      <c r="B3" s="103">
        <v>45986</v>
      </c>
      <c r="C3" s="104" t="s">
        <v>1118</v>
      </c>
      <c r="D3" s="105">
        <v>0.83333333333333337</v>
      </c>
      <c r="E3" s="104" t="s">
        <v>1117</v>
      </c>
      <c r="F3" s="104" t="s">
        <v>158</v>
      </c>
      <c r="G3" s="106">
        <v>1</v>
      </c>
      <c r="H3" s="107">
        <v>179</v>
      </c>
      <c r="I3" s="107">
        <v>179</v>
      </c>
      <c r="J3" s="107">
        <v>115</v>
      </c>
      <c r="K3" s="103">
        <v>45981</v>
      </c>
      <c r="L3" s="107">
        <v>0</v>
      </c>
      <c r="M3" s="107">
        <v>0</v>
      </c>
      <c r="N3" s="107">
        <v>14</v>
      </c>
      <c r="O3" s="104" t="s">
        <v>75</v>
      </c>
      <c r="P3" s="108"/>
      <c r="Q3" s="108"/>
      <c r="R3" s="108"/>
      <c r="S3" s="108"/>
      <c r="T3" s="108"/>
      <c r="U3" s="108"/>
      <c r="V3" s="108"/>
      <c r="W3" s="107" t="s">
        <v>564</v>
      </c>
      <c r="X3" s="107" t="s">
        <v>1134</v>
      </c>
      <c r="Y3" s="107" t="s">
        <v>1135</v>
      </c>
      <c r="Z3" s="107" t="s">
        <v>479</v>
      </c>
      <c r="AA3" s="107" t="s">
        <v>243</v>
      </c>
      <c r="AB3" s="107" t="s">
        <v>1012</v>
      </c>
      <c r="AC3" s="108"/>
      <c r="AD3" s="108"/>
      <c r="AE3" s="108"/>
      <c r="AF3" s="108"/>
      <c r="AG3" s="108"/>
      <c r="AH3" s="107" t="s">
        <v>1136</v>
      </c>
      <c r="AI3" s="108"/>
    </row>
    <row r="4" spans="1:35" ht="18" x14ac:dyDescent="0.3">
      <c r="A4" s="95" t="s">
        <v>232</v>
      </c>
      <c r="B4" s="96">
        <v>45987</v>
      </c>
      <c r="C4" s="97" t="s">
        <v>1118</v>
      </c>
      <c r="D4" s="98">
        <v>0.82638888888888884</v>
      </c>
      <c r="E4" s="97" t="s">
        <v>1117</v>
      </c>
      <c r="F4" s="97" t="s">
        <v>158</v>
      </c>
      <c r="G4" s="99">
        <v>1</v>
      </c>
      <c r="H4" s="100">
        <v>179</v>
      </c>
      <c r="I4" s="100">
        <v>179</v>
      </c>
      <c r="J4" s="100">
        <v>92</v>
      </c>
      <c r="K4" s="96">
        <v>45980</v>
      </c>
      <c r="L4" s="100">
        <v>0</v>
      </c>
      <c r="M4" s="100">
        <v>0</v>
      </c>
      <c r="N4" s="100">
        <v>25</v>
      </c>
      <c r="O4" s="97" t="s">
        <v>75</v>
      </c>
      <c r="P4" s="101"/>
      <c r="Q4" s="101"/>
      <c r="R4" s="101"/>
      <c r="S4" s="101"/>
      <c r="T4" s="101"/>
      <c r="U4" s="101"/>
      <c r="V4" s="100" t="s">
        <v>159</v>
      </c>
      <c r="W4" s="100" t="s">
        <v>1137</v>
      </c>
      <c r="X4" s="100" t="s">
        <v>1134</v>
      </c>
      <c r="Y4" s="100" t="s">
        <v>535</v>
      </c>
      <c r="Z4" s="100" t="s">
        <v>570</v>
      </c>
      <c r="AA4" s="100" t="s">
        <v>462</v>
      </c>
      <c r="AB4" s="100" t="s">
        <v>167</v>
      </c>
      <c r="AC4" s="101"/>
      <c r="AD4" s="101"/>
      <c r="AE4" s="101"/>
      <c r="AF4" s="101"/>
      <c r="AG4" s="101"/>
      <c r="AH4" s="100" t="s">
        <v>1138</v>
      </c>
      <c r="AI4" s="101"/>
    </row>
    <row r="5" spans="1:35" ht="18" x14ac:dyDescent="0.3">
      <c r="A5" s="102" t="s">
        <v>177</v>
      </c>
      <c r="B5" s="103">
        <v>45988</v>
      </c>
      <c r="C5" s="104" t="s">
        <v>1118</v>
      </c>
      <c r="D5" s="105">
        <v>0.4375</v>
      </c>
      <c r="E5" s="104" t="s">
        <v>1117</v>
      </c>
      <c r="F5" s="104" t="s">
        <v>158</v>
      </c>
      <c r="G5" s="106">
        <v>1</v>
      </c>
      <c r="H5" s="107">
        <v>179</v>
      </c>
      <c r="I5" s="107">
        <v>179</v>
      </c>
      <c r="J5" s="107">
        <v>135</v>
      </c>
      <c r="K5" s="103">
        <v>45975</v>
      </c>
      <c r="L5" s="107">
        <v>0</v>
      </c>
      <c r="M5" s="107">
        <v>0</v>
      </c>
      <c r="N5" s="107">
        <v>0</v>
      </c>
      <c r="O5" s="104" t="s">
        <v>75</v>
      </c>
      <c r="P5" s="108"/>
      <c r="Q5" s="108"/>
      <c r="R5" s="108"/>
      <c r="S5" s="108"/>
      <c r="T5" s="107" t="s">
        <v>939</v>
      </c>
      <c r="U5" s="108"/>
      <c r="V5" s="107" t="s">
        <v>387</v>
      </c>
      <c r="W5" s="107" t="s">
        <v>1139</v>
      </c>
      <c r="X5" s="107" t="s">
        <v>1134</v>
      </c>
      <c r="Y5" s="107" t="s">
        <v>531</v>
      </c>
      <c r="Z5" s="107" t="s">
        <v>468</v>
      </c>
      <c r="AA5" s="107" t="s">
        <v>243</v>
      </c>
      <c r="AB5" s="107" t="s">
        <v>1012</v>
      </c>
      <c r="AC5" s="108"/>
      <c r="AD5" s="108"/>
      <c r="AE5" s="108"/>
      <c r="AF5" s="108"/>
      <c r="AG5" s="108"/>
      <c r="AH5" s="107" t="s">
        <v>184</v>
      </c>
      <c r="AI5" s="108"/>
    </row>
    <row r="6" spans="1:35" ht="18" x14ac:dyDescent="0.3">
      <c r="A6" s="95" t="s">
        <v>520</v>
      </c>
      <c r="B6" s="96">
        <v>45989</v>
      </c>
      <c r="C6" s="97" t="s">
        <v>1118</v>
      </c>
      <c r="D6" s="98">
        <v>0.16666666666666671</v>
      </c>
      <c r="E6" s="97" t="s">
        <v>1117</v>
      </c>
      <c r="F6" s="97" t="s">
        <v>158</v>
      </c>
      <c r="G6" s="99">
        <v>1</v>
      </c>
      <c r="H6" s="100">
        <v>179</v>
      </c>
      <c r="I6" s="100">
        <v>179</v>
      </c>
      <c r="J6" s="100">
        <v>80</v>
      </c>
      <c r="K6" s="96">
        <v>45983</v>
      </c>
      <c r="L6" s="100">
        <v>0</v>
      </c>
      <c r="M6" s="100">
        <v>1</v>
      </c>
      <c r="N6" s="100">
        <v>10</v>
      </c>
      <c r="O6" s="97" t="s">
        <v>75</v>
      </c>
      <c r="P6" s="101"/>
      <c r="Q6" s="101"/>
      <c r="R6" s="101"/>
      <c r="S6" s="101"/>
      <c r="T6" s="100" t="s">
        <v>541</v>
      </c>
      <c r="U6" s="100" t="s">
        <v>538</v>
      </c>
      <c r="V6" s="100" t="s">
        <v>1140</v>
      </c>
      <c r="W6" s="100" t="s">
        <v>560</v>
      </c>
      <c r="X6" s="100" t="s">
        <v>1134</v>
      </c>
      <c r="Y6" s="100" t="s">
        <v>1135</v>
      </c>
      <c r="Z6" s="100" t="s">
        <v>479</v>
      </c>
      <c r="AA6" s="100" t="s">
        <v>243</v>
      </c>
      <c r="AB6" s="100" t="s">
        <v>1012</v>
      </c>
      <c r="AC6" s="101"/>
      <c r="AD6" s="101"/>
      <c r="AE6" s="101"/>
      <c r="AF6" s="101"/>
      <c r="AG6" s="101"/>
      <c r="AH6" s="100" t="s">
        <v>466</v>
      </c>
      <c r="AI6" s="101"/>
    </row>
    <row r="7" spans="1:35" ht="18" x14ac:dyDescent="0.3">
      <c r="A7" s="102" t="s">
        <v>180</v>
      </c>
      <c r="B7" s="103">
        <v>45990</v>
      </c>
      <c r="C7" s="104" t="s">
        <v>1118</v>
      </c>
      <c r="D7" s="105">
        <v>0.125</v>
      </c>
      <c r="E7" s="104" t="s">
        <v>1117</v>
      </c>
      <c r="F7" s="104" t="s">
        <v>158</v>
      </c>
      <c r="G7" s="106">
        <v>0.9274</v>
      </c>
      <c r="H7" s="107">
        <v>179</v>
      </c>
      <c r="I7" s="107">
        <v>166</v>
      </c>
      <c r="J7" s="107">
        <v>45</v>
      </c>
      <c r="K7" s="103">
        <v>45983</v>
      </c>
      <c r="L7" s="107">
        <v>0</v>
      </c>
      <c r="M7" s="107">
        <v>1</v>
      </c>
      <c r="N7" s="107">
        <v>5</v>
      </c>
      <c r="O7" s="104" t="s">
        <v>1130</v>
      </c>
      <c r="P7" s="108"/>
      <c r="Q7" s="107" t="s">
        <v>1141</v>
      </c>
      <c r="R7" s="107" t="s">
        <v>422</v>
      </c>
      <c r="S7" s="107" t="s">
        <v>1142</v>
      </c>
      <c r="T7" s="107" t="s">
        <v>1104</v>
      </c>
      <c r="U7" s="107" t="s">
        <v>1007</v>
      </c>
      <c r="V7" s="107" t="s">
        <v>1143</v>
      </c>
      <c r="W7" s="107" t="s">
        <v>492</v>
      </c>
      <c r="X7" s="107" t="s">
        <v>1134</v>
      </c>
      <c r="Y7" s="107" t="s">
        <v>535</v>
      </c>
      <c r="Z7" s="107" t="s">
        <v>479</v>
      </c>
      <c r="AA7" s="107" t="s">
        <v>243</v>
      </c>
      <c r="AB7" s="107" t="s">
        <v>510</v>
      </c>
      <c r="AC7" s="108"/>
      <c r="AD7" s="108"/>
      <c r="AE7" s="108"/>
      <c r="AF7" s="108"/>
      <c r="AG7" s="108"/>
      <c r="AH7" s="107" t="s">
        <v>509</v>
      </c>
      <c r="AI7" s="108"/>
    </row>
    <row r="8" spans="1:35" ht="18" x14ac:dyDescent="0.3">
      <c r="A8" s="95" t="s">
        <v>186</v>
      </c>
      <c r="B8" s="96">
        <v>45991</v>
      </c>
      <c r="C8" s="97" t="s">
        <v>1118</v>
      </c>
      <c r="D8" s="98">
        <v>0.21527777777777779</v>
      </c>
      <c r="E8" s="97" t="s">
        <v>1117</v>
      </c>
      <c r="F8" s="97" t="s">
        <v>158</v>
      </c>
      <c r="G8" s="99">
        <v>1</v>
      </c>
      <c r="H8" s="100">
        <v>179</v>
      </c>
      <c r="I8" s="100">
        <v>179</v>
      </c>
      <c r="J8" s="100">
        <v>90</v>
      </c>
      <c r="K8" s="96">
        <v>45980</v>
      </c>
      <c r="L8" s="100">
        <v>0</v>
      </c>
      <c r="M8" s="100">
        <v>0</v>
      </c>
      <c r="N8" s="100">
        <v>8</v>
      </c>
      <c r="O8" s="97" t="s">
        <v>75</v>
      </c>
      <c r="P8" s="101"/>
      <c r="Q8" s="101"/>
      <c r="R8" s="101"/>
      <c r="S8" s="101"/>
      <c r="T8" s="101"/>
      <c r="U8" s="101"/>
      <c r="V8" s="100" t="s">
        <v>497</v>
      </c>
      <c r="W8" s="100" t="s">
        <v>451</v>
      </c>
      <c r="X8" s="100" t="s">
        <v>1144</v>
      </c>
      <c r="Y8" s="100" t="s">
        <v>1145</v>
      </c>
      <c r="Z8" s="100" t="s">
        <v>1034</v>
      </c>
      <c r="AA8" s="100" t="s">
        <v>243</v>
      </c>
      <c r="AB8" s="100" t="s">
        <v>1012</v>
      </c>
      <c r="AC8" s="101"/>
      <c r="AD8" s="101"/>
      <c r="AE8" s="101"/>
      <c r="AF8" s="101"/>
      <c r="AG8" s="101"/>
      <c r="AH8" s="100" t="s">
        <v>471</v>
      </c>
      <c r="AI8" s="101"/>
    </row>
    <row r="9" spans="1:35" ht="18" x14ac:dyDescent="0.3">
      <c r="A9" s="109" t="s">
        <v>189</v>
      </c>
      <c r="B9" s="110"/>
      <c r="C9" s="111">
        <f>COUNTA(C2:C8)</f>
        <v>7</v>
      </c>
      <c r="D9" s="110"/>
      <c r="E9" s="110"/>
      <c r="F9" s="110"/>
      <c r="G9" s="112">
        <f>AVERAGE(G2:G8)</f>
        <v>0.98962857142857152</v>
      </c>
      <c r="H9" s="113">
        <f>SUM(H2:H8)</f>
        <v>1253</v>
      </c>
      <c r="I9" s="113">
        <f>SUM(I2:I8)</f>
        <v>1240</v>
      </c>
      <c r="J9" s="113">
        <f>SUM(J2:J8)</f>
        <v>700</v>
      </c>
      <c r="K9" s="110"/>
      <c r="L9" s="113">
        <f>SUM(L2:L8)</f>
        <v>0</v>
      </c>
      <c r="M9" s="113">
        <f>SUM(M2:M8)</f>
        <v>2</v>
      </c>
      <c r="N9" s="113">
        <f>SUM(N2:N8)</f>
        <v>63</v>
      </c>
      <c r="O9" s="110"/>
      <c r="P9" s="113">
        <f t="shared" ref="P9:AI9" si="0">SUMPRODUCT(--IFERROR(VALUE(SUBSTITUTE(SUBSTITUTE(SUBSTITUTE(SUBSTITUTE(SUBSTITUTE(SUBSTITUTE(SUBSTITUTE(SUBSTITUTE(SUBSTITUTE(SUBSTITUTE(SUBSTITUTE(SUBSTITUTE(SUBSTITUTE(SUBSTITUTE(SUBSTITUTE(SUBSTITUTE(SUBSTITUTE(SUBSTITUTE(SUBSTITUTE(SUBSTITUTE(P2:P8,"Y",""),"B",""),"M",""),"H",""),"Q",""),"K",""),"V",""),"L",""),"G",""),"S",""),"W",""),"T",""),"X",""),"U",""),"O",""),"I",""),"E",""),"A",""),"P",""),"N","")),0))</f>
        <v>0</v>
      </c>
      <c r="Q9" s="113">
        <f t="shared" si="0"/>
        <v>0</v>
      </c>
      <c r="R9" s="113">
        <f t="shared" si="0"/>
        <v>0</v>
      </c>
      <c r="S9" s="113">
        <f t="shared" si="0"/>
        <v>0</v>
      </c>
      <c r="T9" s="113">
        <f t="shared" si="0"/>
        <v>0</v>
      </c>
      <c r="U9" s="113">
        <f t="shared" si="0"/>
        <v>0</v>
      </c>
      <c r="V9" s="113">
        <f t="shared" si="0"/>
        <v>0</v>
      </c>
      <c r="W9" s="113">
        <f t="shared" si="0"/>
        <v>0</v>
      </c>
      <c r="X9" s="113">
        <f t="shared" si="0"/>
        <v>0</v>
      </c>
      <c r="Y9" s="113">
        <f t="shared" si="0"/>
        <v>0</v>
      </c>
      <c r="Z9" s="113">
        <f t="shared" si="0"/>
        <v>0</v>
      </c>
      <c r="AA9" s="113">
        <f t="shared" si="0"/>
        <v>0</v>
      </c>
      <c r="AB9" s="113">
        <f t="shared" si="0"/>
        <v>0</v>
      </c>
      <c r="AC9" s="113">
        <f t="shared" si="0"/>
        <v>0</v>
      </c>
      <c r="AD9" s="113">
        <f t="shared" si="0"/>
        <v>0</v>
      </c>
      <c r="AE9" s="113">
        <f t="shared" si="0"/>
        <v>0</v>
      </c>
      <c r="AF9" s="113">
        <f t="shared" si="0"/>
        <v>0</v>
      </c>
      <c r="AG9" s="113">
        <f t="shared" si="0"/>
        <v>0</v>
      </c>
      <c r="AH9" s="113">
        <f t="shared" si="0"/>
        <v>0</v>
      </c>
      <c r="AI9" s="113">
        <f t="shared" si="0"/>
        <v>0</v>
      </c>
    </row>
  </sheetData>
  <autoFilter ref="A1:AI8" xr:uid="{00000000-0009-0000-0000-000038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1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5">
        <v>45985</v>
      </c>
      <c r="B2" s="133" t="s">
        <v>71</v>
      </c>
      <c r="C2" s="134" t="s">
        <v>1118</v>
      </c>
      <c r="D2" s="133" t="s">
        <v>1117</v>
      </c>
      <c r="E2" s="135">
        <v>1.166666666666667</v>
      </c>
      <c r="F2" s="133" t="s">
        <v>73</v>
      </c>
      <c r="G2" s="133"/>
      <c r="H2" s="256" t="s">
        <v>74</v>
      </c>
    </row>
    <row r="3" spans="1:8" ht="18" x14ac:dyDescent="0.3">
      <c r="A3" s="115">
        <v>45986</v>
      </c>
      <c r="B3" s="116" t="s">
        <v>360</v>
      </c>
      <c r="C3" s="117" t="s">
        <v>1120</v>
      </c>
      <c r="D3" s="116" t="s">
        <v>1117</v>
      </c>
      <c r="E3" s="118">
        <v>1.3402777777777779</v>
      </c>
      <c r="F3" s="116" t="s">
        <v>81</v>
      </c>
      <c r="G3" s="119">
        <v>3</v>
      </c>
      <c r="H3" s="120" t="s">
        <v>1121</v>
      </c>
    </row>
    <row r="4" spans="1:8" ht="18" x14ac:dyDescent="0.3">
      <c r="A4" s="126">
        <v>45986</v>
      </c>
      <c r="B4" s="116" t="s">
        <v>285</v>
      </c>
      <c r="C4" s="117" t="s">
        <v>1122</v>
      </c>
      <c r="D4" s="116" t="s">
        <v>1117</v>
      </c>
      <c r="E4" s="118">
        <v>1.020833333333333</v>
      </c>
      <c r="F4" s="116" t="s">
        <v>81</v>
      </c>
      <c r="G4" s="119">
        <v>5</v>
      </c>
      <c r="H4" s="116" t="s">
        <v>1123</v>
      </c>
    </row>
    <row r="5" spans="1:8" ht="18" x14ac:dyDescent="0.3">
      <c r="A5" s="132">
        <v>45986</v>
      </c>
      <c r="B5" s="133" t="s">
        <v>71</v>
      </c>
      <c r="C5" s="134" t="s">
        <v>1118</v>
      </c>
      <c r="D5" s="133" t="s">
        <v>1117</v>
      </c>
      <c r="E5" s="135">
        <v>1.833333333333333</v>
      </c>
      <c r="F5" s="133" t="s">
        <v>73</v>
      </c>
      <c r="G5" s="133"/>
      <c r="H5" s="133" t="s">
        <v>74</v>
      </c>
    </row>
    <row r="6" spans="1:8" ht="18" x14ac:dyDescent="0.3">
      <c r="A6" s="255">
        <v>45987</v>
      </c>
      <c r="B6" s="133" t="s">
        <v>71</v>
      </c>
      <c r="C6" s="134" t="s">
        <v>1118</v>
      </c>
      <c r="D6" s="133" t="s">
        <v>1117</v>
      </c>
      <c r="E6" s="135">
        <v>1.8263888888888891</v>
      </c>
      <c r="F6" s="133" t="s">
        <v>73</v>
      </c>
      <c r="G6" s="133"/>
      <c r="H6" s="256" t="s">
        <v>74</v>
      </c>
    </row>
    <row r="7" spans="1:8" ht="18" x14ac:dyDescent="0.3">
      <c r="A7" s="115">
        <v>45988</v>
      </c>
      <c r="B7" s="116" t="s">
        <v>285</v>
      </c>
      <c r="C7" s="117" t="s">
        <v>1122</v>
      </c>
      <c r="D7" s="116" t="s">
        <v>1117</v>
      </c>
      <c r="E7" s="118">
        <v>1.020833333333333</v>
      </c>
      <c r="F7" s="116" t="s">
        <v>81</v>
      </c>
      <c r="G7" s="119">
        <v>9</v>
      </c>
      <c r="H7" s="120" t="s">
        <v>1123</v>
      </c>
    </row>
    <row r="8" spans="1:8" ht="18" x14ac:dyDescent="0.3">
      <c r="A8" s="132">
        <v>45988</v>
      </c>
      <c r="B8" s="133" t="s">
        <v>71</v>
      </c>
      <c r="C8" s="134" t="s">
        <v>1118</v>
      </c>
      <c r="D8" s="133" t="s">
        <v>1117</v>
      </c>
      <c r="E8" s="135">
        <v>1.4375</v>
      </c>
      <c r="F8" s="133" t="s">
        <v>73</v>
      </c>
      <c r="G8" s="133"/>
      <c r="H8" s="133" t="s">
        <v>74</v>
      </c>
    </row>
    <row r="9" spans="1:8" ht="18" x14ac:dyDescent="0.3">
      <c r="A9" s="255">
        <v>45989</v>
      </c>
      <c r="B9" s="133" t="s">
        <v>71</v>
      </c>
      <c r="C9" s="134" t="s">
        <v>1118</v>
      </c>
      <c r="D9" s="133" t="s">
        <v>1117</v>
      </c>
      <c r="E9" s="135">
        <v>1.166666666666667</v>
      </c>
      <c r="F9" s="133" t="s">
        <v>73</v>
      </c>
      <c r="G9" s="133"/>
      <c r="H9" s="256" t="s">
        <v>74</v>
      </c>
    </row>
    <row r="10" spans="1:8" ht="18" x14ac:dyDescent="0.3">
      <c r="A10" s="255">
        <v>45990</v>
      </c>
      <c r="B10" s="133" t="s">
        <v>71</v>
      </c>
      <c r="C10" s="134" t="s">
        <v>1128</v>
      </c>
      <c r="D10" s="133" t="s">
        <v>1117</v>
      </c>
      <c r="E10" s="135">
        <v>1.125</v>
      </c>
      <c r="F10" s="133" t="s">
        <v>81</v>
      </c>
      <c r="G10" s="237">
        <v>9</v>
      </c>
      <c r="H10" s="256" t="s">
        <v>1129</v>
      </c>
    </row>
    <row r="11" spans="1:8" ht="18" x14ac:dyDescent="0.3">
      <c r="A11" s="255">
        <v>45991</v>
      </c>
      <c r="B11" s="133" t="s">
        <v>71</v>
      </c>
      <c r="C11" s="134" t="s">
        <v>1118</v>
      </c>
      <c r="D11" s="133" t="s">
        <v>1117</v>
      </c>
      <c r="E11" s="135">
        <v>1.2152777777777779</v>
      </c>
      <c r="F11" s="133" t="s">
        <v>73</v>
      </c>
      <c r="G11" s="133"/>
      <c r="H11" s="256" t="s">
        <v>74</v>
      </c>
    </row>
  </sheetData>
  <dataValidations count="7">
    <dataValidation type="custom" allowBlank="1" showInputMessage="1" promptTitle="LOAD FACTOR ANALYSIS" prompt="SM441_x000d__x000a_LF 1.0%_x000d__x000a_SOLD 179_x000d__x000a_LST-SOLD 19NOV_x000d__x000a_WEEKLY 1_x000d__x000a_TO-DAY NIL_x000d__x000a_Y-DAY NIL_x000d__x000a_LOWEST AVAIL CLOSED_x000d__x000a_CAPACITY 179_x000d__x000a_CLASSES S6 &amp; W10 &amp; T10 &amp; +2 more" sqref="A2 B2 C2 D2 E2 F2 G2 H2" xr:uid="{00000000-0002-0000-3900-000000000000}">
      <formula1>TRUE</formula1>
    </dataValidation>
    <dataValidation type="custom" allowBlank="1" showInputMessage="1" promptTitle="LOAD FACTOR ANALYSIS" prompt="SM441_x000d__x000a_LF 1.0%_x000d__x000a_SOLD 179_x000d__x000a_LST-SOLD 20NOV_x000d__x000a_WEEKLY 14_x000d__x000a_TO-DAY NIL_x000d__x000a_Y-DAY NIL_x000d__x000a_LOWEST AVAIL CLOSED_x000d__x000a_CAPACITY 179_x000d__x000a_CLASSES L8 &amp; G18 &amp; S29 &amp; +4 more" sqref="A5 B5 C5 D5 E5 F5 G5 H5" xr:uid="{00000000-0002-0000-3900-000001000000}">
      <formula1>TRUE</formula1>
    </dataValidation>
    <dataValidation type="custom" allowBlank="1" showInputMessage="1" promptTitle="LOAD FACTOR ANALYSIS" prompt="SM441_x000d__x000a_LF 1.0%_x000d__x000a_SOLD 179_x000d__x000a_LST-SOLD 19NOV_x000d__x000a_WEEKLY 25_x000d__x000a_TO-DAY NIL_x000d__x000a_Y-DAY NIL_x000d__x000a_LOWEST AVAIL CLOSED_x000d__x000a_CAPACITY 179_x000d__x000a_CLASSES V6 &amp; L25 &amp; G18 &amp; +5 more" sqref="A6 B6 C6 D6 E6 F6 G6 H6" xr:uid="{00000000-0002-0000-3900-000002000000}">
      <formula1>TRUE</formula1>
    </dataValidation>
    <dataValidation type="custom" allowBlank="1" showInputMessage="1" promptTitle="LOAD FACTOR ANALYSIS" prompt="SM441_x000d__x000a_LF 1.0%_x000d__x000a_SOLD 179_x000d__x000a_LST-SOLD 14NOV_x000d__x000a_WEEKLY NIL_x000d__x000a_TO-DAY NIL_x000d__x000a_Y-DAY NIL_x000d__x000a_LOWEST AVAIL CLOSED_x000d__x000a_CAPACITY 179_x000d__x000a_CLASSES Q1 &amp; V1 &amp; L6 &amp; +6 more" sqref="A8 B8 C8 D8 E8 F8 G8 H8" xr:uid="{00000000-0002-0000-3900-000003000000}">
      <formula1>TRUE</formula1>
    </dataValidation>
    <dataValidation type="custom" allowBlank="1" showInputMessage="1" promptTitle="LOAD FACTOR ANALYSIS" prompt="SM441_x000d__x000a_LF 1.0%_x000d__x000a_SOLD 179_x000d__x000a_LST-SOLD 22NOV_x000d__x000a_WEEKLY 10_x000d__x000a_TO-DAY NIL_x000d__x000a_Y-DAY 1_x000d__x000a_LOWEST AVAIL CLOSED_x000d__x000a_CAPACITY 179_x000d__x000a_CLASSES Q2 &amp; K10 &amp; V13 &amp; +7 more" sqref="A9 B9 C9 D9 E9 F9 G9 H9" xr:uid="{00000000-0002-0000-3900-000004000000}">
      <formula1>TRUE</formula1>
    </dataValidation>
    <dataValidation type="custom" allowBlank="1" showInputMessage="1" promptTitle="LOAD FACTOR ANALYSIS" prompt="SM-441_x000d__x000a_LF 92.7%_x000d__x000a_SOLD 166_x000d__x000a_LST-SOLD 22NOV_x000d__x000a_WEEKLY 5_x000d__x000a_TO-DAY NIL_x000d__x000a_Y-DAY 1_x000d__x000a_LOWEST AVAIL B9_x000d__x000a_CAPACITY 179_x000d__x000a_CLASSES B7 &amp; M1 &amp; H11 &amp; +10 more" sqref="A10 B10 C10 D10 E10 F10 G10 H10" xr:uid="{00000000-0002-0000-3900-000005000000}">
      <formula1>TRUE</formula1>
    </dataValidation>
    <dataValidation type="custom" allowBlank="1" showInputMessage="1" promptTitle="LOAD FACTOR ANALYSIS" prompt="SM441_x000d__x000a_LF 1.0%_x000d__x000a_SOLD 179_x000d__x000a_LST-SOLD 19NOV_x000d__x000a_WEEKLY 8_x000d__x000a_TO-DAY NIL_x000d__x000a_Y-DAY NIL_x000d__x000a_LOWEST AVAIL CLOSED_x000d__x000a_CAPACITY 179_x000d__x000a_CLASSES V9 &amp; L11 &amp; G20 &amp; +5 more" sqref="A11 B11 C11 D11 E11 F11 G11 H11" xr:uid="{00000000-0002-0000-3900-000006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N3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97.4414062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1146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45984.358596077647</v>
      </c>
      <c r="H2" s="287"/>
      <c r="I2" s="287"/>
      <c r="J2" s="287"/>
      <c r="K2" s="292">
        <v>45984.358596078207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53" t="s">
        <v>285</v>
      </c>
      <c r="B6" s="253" t="s">
        <v>1147</v>
      </c>
      <c r="C6" s="254">
        <v>0.76388888888888884</v>
      </c>
      <c r="D6" s="253" t="s">
        <v>81</v>
      </c>
      <c r="E6" s="253" t="s">
        <v>57</v>
      </c>
      <c r="F6" s="253" t="s">
        <v>1148</v>
      </c>
      <c r="G6" s="302"/>
      <c r="H6" s="58"/>
      <c r="I6" s="59"/>
      <c r="J6" s="59"/>
      <c r="K6" s="59"/>
      <c r="L6" s="59"/>
      <c r="M6" s="59"/>
      <c r="N6" s="59"/>
      <c r="O6" s="60"/>
      <c r="P6" s="59"/>
      <c r="Q6" s="61"/>
      <c r="R6" s="6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45987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37" t="s">
        <v>71</v>
      </c>
      <c r="B10" s="37" t="s">
        <v>1149</v>
      </c>
      <c r="C10" s="38">
        <v>0.84375</v>
      </c>
      <c r="D10" s="37" t="s">
        <v>73</v>
      </c>
      <c r="E10" s="181"/>
      <c r="F10" s="37" t="s">
        <v>74</v>
      </c>
      <c r="G10" s="302"/>
      <c r="H10" s="241" t="s">
        <v>1149</v>
      </c>
      <c r="I10" s="271">
        <v>1</v>
      </c>
      <c r="J10" s="243">
        <v>179</v>
      </c>
      <c r="K10" s="244">
        <v>45984</v>
      </c>
      <c r="L10" s="243">
        <v>44</v>
      </c>
      <c r="M10" s="243">
        <v>8</v>
      </c>
      <c r="N10" s="243">
        <v>4</v>
      </c>
      <c r="O10" s="245" t="s">
        <v>75</v>
      </c>
      <c r="P10" s="246">
        <v>0.84375</v>
      </c>
      <c r="Q10" s="243">
        <v>179</v>
      </c>
      <c r="R10" s="247" t="s">
        <v>1150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82"/>
      <c r="B11" s="283"/>
      <c r="C11" s="283"/>
      <c r="D11" s="283"/>
      <c r="E11" s="283"/>
      <c r="F11" s="283"/>
      <c r="G11" s="280"/>
      <c r="H11" s="284"/>
      <c r="I11" s="284"/>
      <c r="J11" s="284"/>
      <c r="K11" s="284"/>
      <c r="L11" s="284"/>
      <c r="M11" s="284"/>
      <c r="N11" s="284"/>
      <c r="O11" s="285"/>
      <c r="P11" s="284"/>
      <c r="Q11" s="280"/>
      <c r="R11" s="28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90" t="s">
        <v>5</v>
      </c>
      <c r="B12" s="291"/>
      <c r="C12" s="291"/>
      <c r="D12" s="291"/>
      <c r="E12" s="291"/>
      <c r="F12" s="291"/>
      <c r="G12" s="5">
        <v>45988</v>
      </c>
      <c r="H12" s="274" t="s">
        <v>6</v>
      </c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1" t="s">
        <v>7</v>
      </c>
      <c r="B13" s="31" t="s">
        <v>8</v>
      </c>
      <c r="C13" s="32" t="s">
        <v>9</v>
      </c>
      <c r="D13" s="31" t="s">
        <v>10</v>
      </c>
      <c r="E13" s="31" t="s">
        <v>11</v>
      </c>
      <c r="F13" s="31" t="s">
        <v>12</v>
      </c>
      <c r="G13" s="33" t="s">
        <v>13</v>
      </c>
      <c r="H13" s="31" t="s">
        <v>14</v>
      </c>
      <c r="I13" s="34" t="s">
        <v>15</v>
      </c>
      <c r="J13" s="35" t="s">
        <v>16</v>
      </c>
      <c r="K13" s="36" t="s">
        <v>17</v>
      </c>
      <c r="L13" s="35" t="s">
        <v>18</v>
      </c>
      <c r="M13" s="35" t="s">
        <v>19</v>
      </c>
      <c r="N13" s="35" t="s">
        <v>20</v>
      </c>
      <c r="O13" s="31" t="s">
        <v>21</v>
      </c>
      <c r="P13" s="32" t="s">
        <v>22</v>
      </c>
      <c r="Q13" s="35" t="s">
        <v>23</v>
      </c>
      <c r="R13" s="31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8" t="s">
        <v>285</v>
      </c>
      <c r="B14" s="8" t="s">
        <v>1147</v>
      </c>
      <c r="C14" s="9">
        <v>0.80208333333333337</v>
      </c>
      <c r="D14" s="8" t="s">
        <v>81</v>
      </c>
      <c r="E14" s="8" t="s">
        <v>402</v>
      </c>
      <c r="F14" s="8" t="s">
        <v>1148</v>
      </c>
      <c r="G14" s="276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49.95" customHeight="1" x14ac:dyDescent="0.3">
      <c r="A15" s="65" t="s">
        <v>71</v>
      </c>
      <c r="B15" s="65" t="s">
        <v>1151</v>
      </c>
      <c r="C15" s="66">
        <v>0.80208333333333337</v>
      </c>
      <c r="D15" s="65" t="s">
        <v>73</v>
      </c>
      <c r="E15" s="67"/>
      <c r="F15" s="65" t="s">
        <v>1152</v>
      </c>
      <c r="G15" s="278"/>
      <c r="H15" s="68" t="s">
        <v>1151</v>
      </c>
      <c r="I15" s="69">
        <v>0.97770000000000001</v>
      </c>
      <c r="J15" s="70">
        <v>175</v>
      </c>
      <c r="K15" s="71">
        <v>45984</v>
      </c>
      <c r="L15" s="70">
        <v>49</v>
      </c>
      <c r="M15" s="70">
        <v>39</v>
      </c>
      <c r="N15" s="70">
        <v>3</v>
      </c>
      <c r="O15" s="72" t="s">
        <v>1153</v>
      </c>
      <c r="P15" s="73">
        <v>0.80208333333333337</v>
      </c>
      <c r="Q15" s="70">
        <v>179</v>
      </c>
      <c r="R15" s="74" t="s">
        <v>1154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4.4" customHeight="1" x14ac:dyDescent="0.3">
      <c r="A16" s="279"/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2.05" customHeight="1" x14ac:dyDescent="0.3">
      <c r="A17" s="290" t="s">
        <v>5</v>
      </c>
      <c r="B17" s="291"/>
      <c r="C17" s="291"/>
      <c r="D17" s="291"/>
      <c r="E17" s="291"/>
      <c r="F17" s="291"/>
      <c r="G17" s="5">
        <v>45989</v>
      </c>
      <c r="H17" s="274" t="s">
        <v>6</v>
      </c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24" customHeight="1" x14ac:dyDescent="0.3">
      <c r="A18" s="31" t="s">
        <v>7</v>
      </c>
      <c r="B18" s="31" t="s">
        <v>8</v>
      </c>
      <c r="C18" s="32" t="s">
        <v>9</v>
      </c>
      <c r="D18" s="31" t="s">
        <v>10</v>
      </c>
      <c r="E18" s="31" t="s">
        <v>11</v>
      </c>
      <c r="F18" s="31" t="s">
        <v>12</v>
      </c>
      <c r="G18" s="33" t="s">
        <v>13</v>
      </c>
      <c r="H18" s="31" t="s">
        <v>14</v>
      </c>
      <c r="I18" s="34" t="s">
        <v>15</v>
      </c>
      <c r="J18" s="35" t="s">
        <v>16</v>
      </c>
      <c r="K18" s="36" t="s">
        <v>17</v>
      </c>
      <c r="L18" s="35" t="s">
        <v>18</v>
      </c>
      <c r="M18" s="35" t="s">
        <v>19</v>
      </c>
      <c r="N18" s="35" t="s">
        <v>20</v>
      </c>
      <c r="O18" s="31" t="s">
        <v>21</v>
      </c>
      <c r="P18" s="32" t="s">
        <v>22</v>
      </c>
      <c r="Q18" s="35" t="s">
        <v>23</v>
      </c>
      <c r="R18" s="31" t="s">
        <v>24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8" t="s">
        <v>280</v>
      </c>
      <c r="B19" s="8" t="s">
        <v>1155</v>
      </c>
      <c r="C19" s="9">
        <v>0.72569444444444453</v>
      </c>
      <c r="D19" s="8" t="s">
        <v>282</v>
      </c>
      <c r="E19" s="8" t="s">
        <v>105</v>
      </c>
      <c r="F19" s="8" t="s">
        <v>1156</v>
      </c>
      <c r="G19" s="276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56" t="s">
        <v>280</v>
      </c>
      <c r="B20" s="56" t="s">
        <v>1155</v>
      </c>
      <c r="C20" s="57">
        <v>0.72569444444444453</v>
      </c>
      <c r="D20" s="56" t="s">
        <v>33</v>
      </c>
      <c r="E20" s="56" t="s">
        <v>106</v>
      </c>
      <c r="F20" s="56" t="s">
        <v>1157</v>
      </c>
      <c r="G20" s="278"/>
      <c r="H20" s="58"/>
      <c r="I20" s="59"/>
      <c r="J20" s="59"/>
      <c r="K20" s="59"/>
      <c r="L20" s="59"/>
      <c r="M20" s="59"/>
      <c r="N20" s="59"/>
      <c r="O20" s="60"/>
      <c r="P20" s="59"/>
      <c r="Q20" s="61"/>
      <c r="R20" s="62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4.4" customHeight="1" x14ac:dyDescent="0.3">
      <c r="A21" s="279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2.05" customHeight="1" x14ac:dyDescent="0.3">
      <c r="A22" s="290" t="s">
        <v>5</v>
      </c>
      <c r="B22" s="291"/>
      <c r="C22" s="291"/>
      <c r="D22" s="291"/>
      <c r="E22" s="291"/>
      <c r="F22" s="291"/>
      <c r="G22" s="5">
        <v>45990</v>
      </c>
      <c r="H22" s="274" t="s">
        <v>6</v>
      </c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24" customHeight="1" x14ac:dyDescent="0.3">
      <c r="A23" s="31" t="s">
        <v>7</v>
      </c>
      <c r="B23" s="31" t="s">
        <v>8</v>
      </c>
      <c r="C23" s="32" t="s">
        <v>9</v>
      </c>
      <c r="D23" s="31" t="s">
        <v>10</v>
      </c>
      <c r="E23" s="31" t="s">
        <v>11</v>
      </c>
      <c r="F23" s="31" t="s">
        <v>12</v>
      </c>
      <c r="G23" s="33" t="s">
        <v>13</v>
      </c>
      <c r="H23" s="31" t="s">
        <v>14</v>
      </c>
      <c r="I23" s="34" t="s">
        <v>15</v>
      </c>
      <c r="J23" s="35" t="s">
        <v>16</v>
      </c>
      <c r="K23" s="36" t="s">
        <v>17</v>
      </c>
      <c r="L23" s="35" t="s">
        <v>18</v>
      </c>
      <c r="M23" s="35" t="s">
        <v>19</v>
      </c>
      <c r="N23" s="35" t="s">
        <v>20</v>
      </c>
      <c r="O23" s="31" t="s">
        <v>21</v>
      </c>
      <c r="P23" s="32" t="s">
        <v>22</v>
      </c>
      <c r="Q23" s="35" t="s">
        <v>23</v>
      </c>
      <c r="R23" s="31" t="s">
        <v>24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49.95" customHeight="1" x14ac:dyDescent="0.3">
      <c r="A24" s="8" t="s">
        <v>285</v>
      </c>
      <c r="B24" s="8" t="s">
        <v>1158</v>
      </c>
      <c r="C24" s="9">
        <v>3.472222222222222E-3</v>
      </c>
      <c r="D24" s="8" t="s">
        <v>81</v>
      </c>
      <c r="E24" s="8" t="s">
        <v>38</v>
      </c>
      <c r="F24" s="8" t="s">
        <v>1148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49.95" customHeight="1" x14ac:dyDescent="0.3">
      <c r="A25" s="264" t="s">
        <v>71</v>
      </c>
      <c r="B25" s="264" t="s">
        <v>1151</v>
      </c>
      <c r="C25" s="265">
        <v>0.80208333333333337</v>
      </c>
      <c r="D25" s="264" t="s">
        <v>73</v>
      </c>
      <c r="E25" s="270"/>
      <c r="F25" s="264" t="s">
        <v>74</v>
      </c>
      <c r="G25" s="278"/>
      <c r="H25" s="241" t="s">
        <v>1151</v>
      </c>
      <c r="I25" s="271">
        <v>1</v>
      </c>
      <c r="J25" s="243">
        <v>179</v>
      </c>
      <c r="K25" s="244">
        <v>45984</v>
      </c>
      <c r="L25" s="243">
        <v>63</v>
      </c>
      <c r="M25" s="243">
        <v>55</v>
      </c>
      <c r="N25" s="243">
        <v>0</v>
      </c>
      <c r="O25" s="245" t="s">
        <v>75</v>
      </c>
      <c r="P25" s="246">
        <v>0.80208333333333337</v>
      </c>
      <c r="Q25" s="243">
        <v>179</v>
      </c>
      <c r="R25" s="247" t="s">
        <v>1159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4.4" customHeight="1" x14ac:dyDescent="0.3">
      <c r="A26" s="279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1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22.05" customHeight="1" x14ac:dyDescent="0.3">
      <c r="A27" s="290" t="s">
        <v>5</v>
      </c>
      <c r="B27" s="291"/>
      <c r="C27" s="291"/>
      <c r="D27" s="291"/>
      <c r="E27" s="291"/>
      <c r="F27" s="291"/>
      <c r="G27" s="5">
        <v>45991</v>
      </c>
      <c r="H27" s="274" t="s">
        <v>6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24" customHeight="1" x14ac:dyDescent="0.3">
      <c r="A28" s="31" t="s">
        <v>7</v>
      </c>
      <c r="B28" s="31" t="s">
        <v>8</v>
      </c>
      <c r="C28" s="32" t="s">
        <v>9</v>
      </c>
      <c r="D28" s="31" t="s">
        <v>10</v>
      </c>
      <c r="E28" s="31" t="s">
        <v>11</v>
      </c>
      <c r="F28" s="31" t="s">
        <v>12</v>
      </c>
      <c r="G28" s="33" t="s">
        <v>13</v>
      </c>
      <c r="H28" s="31" t="s">
        <v>14</v>
      </c>
      <c r="I28" s="34" t="s">
        <v>15</v>
      </c>
      <c r="J28" s="35" t="s">
        <v>16</v>
      </c>
      <c r="K28" s="36" t="s">
        <v>17</v>
      </c>
      <c r="L28" s="35" t="s">
        <v>18</v>
      </c>
      <c r="M28" s="35" t="s">
        <v>19</v>
      </c>
      <c r="N28" s="35" t="s">
        <v>20</v>
      </c>
      <c r="O28" s="31" t="s">
        <v>21</v>
      </c>
      <c r="P28" s="32" t="s">
        <v>22</v>
      </c>
      <c r="Q28" s="35" t="s">
        <v>23</v>
      </c>
      <c r="R28" s="31" t="s">
        <v>24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49.95" customHeight="1" x14ac:dyDescent="0.3">
      <c r="A29" s="253" t="s">
        <v>285</v>
      </c>
      <c r="B29" s="253" t="s">
        <v>1147</v>
      </c>
      <c r="C29" s="254">
        <v>0.71875</v>
      </c>
      <c r="D29" s="253" t="s">
        <v>81</v>
      </c>
      <c r="E29" s="253" t="s">
        <v>38</v>
      </c>
      <c r="F29" s="253" t="s">
        <v>1160</v>
      </c>
      <c r="G29" s="302"/>
      <c r="H29" s="58"/>
      <c r="I29" s="59"/>
      <c r="J29" s="59"/>
      <c r="K29" s="59"/>
      <c r="L29" s="59"/>
      <c r="M29" s="59"/>
      <c r="N29" s="59"/>
      <c r="O29" s="60"/>
      <c r="P29" s="59"/>
      <c r="Q29" s="61"/>
      <c r="R29" s="62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4.4" customHeight="1" x14ac:dyDescent="0.3">
      <c r="A30" s="279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1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</sheetData>
  <mergeCells count="33">
    <mergeCell ref="G29"/>
    <mergeCell ref="A27:F27"/>
    <mergeCell ref="A12:F12"/>
    <mergeCell ref="G19:G20"/>
    <mergeCell ref="H4:R4"/>
    <mergeCell ref="A21:R21"/>
    <mergeCell ref="A26:R26"/>
    <mergeCell ref="A8:F8"/>
    <mergeCell ref="A22:F22"/>
    <mergeCell ref="G6"/>
    <mergeCell ref="H8:R8"/>
    <mergeCell ref="O1:Q1"/>
    <mergeCell ref="A7:R7"/>
    <mergeCell ref="A16:R16"/>
    <mergeCell ref="A2:F2"/>
    <mergeCell ref="A3:R3"/>
    <mergeCell ref="G2:J2"/>
    <mergeCell ref="H27:R27"/>
    <mergeCell ref="A30:R30"/>
    <mergeCell ref="A1:C1"/>
    <mergeCell ref="H12:R12"/>
    <mergeCell ref="G1:H1"/>
    <mergeCell ref="A11:R11"/>
    <mergeCell ref="A17:F17"/>
    <mergeCell ref="A4:F4"/>
    <mergeCell ref="G24:G25"/>
    <mergeCell ref="J1:M1"/>
    <mergeCell ref="G14:G15"/>
    <mergeCell ref="H17:R17"/>
    <mergeCell ref="K2:R2"/>
    <mergeCell ref="G10"/>
    <mergeCell ref="D1:F1"/>
    <mergeCell ref="H22:R2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232</v>
      </c>
      <c r="B2" s="96">
        <v>45987</v>
      </c>
      <c r="C2" s="97" t="s">
        <v>1149</v>
      </c>
      <c r="D2" s="98">
        <v>0.84375</v>
      </c>
      <c r="E2" s="97" t="s">
        <v>1146</v>
      </c>
      <c r="F2" s="97" t="s">
        <v>158</v>
      </c>
      <c r="G2" s="99">
        <v>1</v>
      </c>
      <c r="H2" s="100">
        <v>179</v>
      </c>
      <c r="I2" s="100">
        <v>179</v>
      </c>
      <c r="J2" s="100">
        <v>0</v>
      </c>
      <c r="K2" s="96">
        <v>45984</v>
      </c>
      <c r="L2" s="100">
        <v>8</v>
      </c>
      <c r="M2" s="100">
        <v>4</v>
      </c>
      <c r="N2" s="100">
        <v>44</v>
      </c>
      <c r="O2" s="97" t="s">
        <v>75</v>
      </c>
      <c r="P2" s="101"/>
      <c r="Q2" s="100" t="s">
        <v>1161</v>
      </c>
      <c r="R2" s="100" t="s">
        <v>1162</v>
      </c>
      <c r="S2" s="100" t="s">
        <v>1163</v>
      </c>
      <c r="T2" s="100" t="s">
        <v>1164</v>
      </c>
      <c r="U2" s="100" t="s">
        <v>1165</v>
      </c>
      <c r="V2" s="100" t="s">
        <v>1166</v>
      </c>
      <c r="W2" s="100" t="s">
        <v>888</v>
      </c>
      <c r="X2" s="100" t="s">
        <v>555</v>
      </c>
      <c r="Y2" s="100" t="s">
        <v>657</v>
      </c>
      <c r="Z2" s="100" t="s">
        <v>700</v>
      </c>
      <c r="AA2" s="100" t="s">
        <v>166</v>
      </c>
      <c r="AB2" s="100" t="s">
        <v>1167</v>
      </c>
      <c r="AC2" s="100" t="s">
        <v>172</v>
      </c>
      <c r="AD2" s="100" t="s">
        <v>178</v>
      </c>
      <c r="AE2" s="100" t="s">
        <v>464</v>
      </c>
      <c r="AF2" s="101"/>
      <c r="AG2" s="101"/>
      <c r="AH2" s="101"/>
      <c r="AI2" s="101"/>
    </row>
    <row r="3" spans="1:35" ht="18" x14ac:dyDescent="0.3">
      <c r="A3" s="102" t="s">
        <v>177</v>
      </c>
      <c r="B3" s="103">
        <v>45988</v>
      </c>
      <c r="C3" s="104" t="s">
        <v>1151</v>
      </c>
      <c r="D3" s="105">
        <v>0.80208333333333337</v>
      </c>
      <c r="E3" s="104" t="s">
        <v>1146</v>
      </c>
      <c r="F3" s="104" t="s">
        <v>158</v>
      </c>
      <c r="G3" s="106">
        <v>0.97770000000000001</v>
      </c>
      <c r="H3" s="107">
        <v>179</v>
      </c>
      <c r="I3" s="107">
        <v>175</v>
      </c>
      <c r="J3" s="107">
        <v>0</v>
      </c>
      <c r="K3" s="103">
        <v>45984</v>
      </c>
      <c r="L3" s="107">
        <v>39</v>
      </c>
      <c r="M3" s="107">
        <v>3</v>
      </c>
      <c r="N3" s="107">
        <v>49</v>
      </c>
      <c r="O3" s="104" t="s">
        <v>1153</v>
      </c>
      <c r="P3" s="107" t="s">
        <v>1168</v>
      </c>
      <c r="Q3" s="107" t="s">
        <v>1169</v>
      </c>
      <c r="R3" s="107" t="s">
        <v>1162</v>
      </c>
      <c r="S3" s="107" t="s">
        <v>1170</v>
      </c>
      <c r="T3" s="107" t="s">
        <v>1171</v>
      </c>
      <c r="U3" s="107" t="s">
        <v>521</v>
      </c>
      <c r="V3" s="107" t="s">
        <v>1172</v>
      </c>
      <c r="W3" s="107" t="s">
        <v>888</v>
      </c>
      <c r="X3" s="107" t="s">
        <v>555</v>
      </c>
      <c r="Y3" s="107" t="s">
        <v>657</v>
      </c>
      <c r="Z3" s="107" t="s">
        <v>893</v>
      </c>
      <c r="AA3" s="107" t="s">
        <v>503</v>
      </c>
      <c r="AB3" s="107" t="s">
        <v>188</v>
      </c>
      <c r="AC3" s="107" t="s">
        <v>514</v>
      </c>
      <c r="AD3" s="107" t="s">
        <v>885</v>
      </c>
      <c r="AE3" s="107" t="s">
        <v>233</v>
      </c>
      <c r="AF3" s="108"/>
      <c r="AG3" s="108"/>
      <c r="AH3" s="108"/>
      <c r="AI3" s="108"/>
    </row>
    <row r="4" spans="1:35" ht="18" x14ac:dyDescent="0.3">
      <c r="A4" s="95" t="s">
        <v>180</v>
      </c>
      <c r="B4" s="96">
        <v>45990</v>
      </c>
      <c r="C4" s="97" t="s">
        <v>1151</v>
      </c>
      <c r="D4" s="98">
        <v>0.80208333333333337</v>
      </c>
      <c r="E4" s="97" t="s">
        <v>1146</v>
      </c>
      <c r="F4" s="97" t="s">
        <v>158</v>
      </c>
      <c r="G4" s="99">
        <v>1</v>
      </c>
      <c r="H4" s="100">
        <v>179</v>
      </c>
      <c r="I4" s="100">
        <v>179</v>
      </c>
      <c r="J4" s="100">
        <v>0</v>
      </c>
      <c r="K4" s="96">
        <v>45984</v>
      </c>
      <c r="L4" s="100">
        <v>55</v>
      </c>
      <c r="M4" s="100">
        <v>0</v>
      </c>
      <c r="N4" s="100">
        <v>63</v>
      </c>
      <c r="O4" s="97" t="s">
        <v>75</v>
      </c>
      <c r="P4" s="100" t="s">
        <v>1173</v>
      </c>
      <c r="Q4" s="100" t="s">
        <v>1161</v>
      </c>
      <c r="R4" s="100" t="s">
        <v>860</v>
      </c>
      <c r="S4" s="100" t="s">
        <v>1174</v>
      </c>
      <c r="T4" s="100" t="s">
        <v>1175</v>
      </c>
      <c r="U4" s="101"/>
      <c r="V4" s="101"/>
      <c r="W4" s="100" t="s">
        <v>888</v>
      </c>
      <c r="X4" s="100" t="s">
        <v>235</v>
      </c>
      <c r="Y4" s="100" t="s">
        <v>531</v>
      </c>
      <c r="Z4" s="100" t="s">
        <v>700</v>
      </c>
      <c r="AA4" s="100" t="s">
        <v>503</v>
      </c>
      <c r="AB4" s="100" t="s">
        <v>181</v>
      </c>
      <c r="AC4" s="100" t="s">
        <v>268</v>
      </c>
      <c r="AD4" s="100" t="s">
        <v>894</v>
      </c>
      <c r="AE4" s="100" t="s">
        <v>464</v>
      </c>
      <c r="AF4" s="101"/>
      <c r="AG4" s="101"/>
      <c r="AH4" s="101"/>
      <c r="AI4" s="101"/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0.99256666666666671</v>
      </c>
      <c r="H5" s="113">
        <f>SUM(H2:H4)</f>
        <v>537</v>
      </c>
      <c r="I5" s="113">
        <f>SUM(I2:I4)</f>
        <v>533</v>
      </c>
      <c r="J5" s="113">
        <f>SUM(J2:J4)</f>
        <v>0</v>
      </c>
      <c r="K5" s="110"/>
      <c r="L5" s="113">
        <f>SUM(L2:L4)</f>
        <v>102</v>
      </c>
      <c r="M5" s="113">
        <f>SUM(M2:M4)</f>
        <v>7</v>
      </c>
      <c r="N5" s="113">
        <f>SUM(N2:N4)</f>
        <v>156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3B000000}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7">
        <v>45986</v>
      </c>
      <c r="B2" s="190" t="s">
        <v>285</v>
      </c>
      <c r="C2" s="191" t="s">
        <v>1147</v>
      </c>
      <c r="D2" s="190" t="s">
        <v>1146</v>
      </c>
      <c r="E2" s="192">
        <v>1.7638888888888891</v>
      </c>
      <c r="F2" s="190" t="s">
        <v>81</v>
      </c>
      <c r="G2" s="193">
        <v>4</v>
      </c>
      <c r="H2" s="258" t="s">
        <v>1148</v>
      </c>
    </row>
    <row r="3" spans="1:8" ht="18" x14ac:dyDescent="0.3">
      <c r="A3" s="255">
        <v>45987</v>
      </c>
      <c r="B3" s="133" t="s">
        <v>71</v>
      </c>
      <c r="C3" s="134" t="s">
        <v>1149</v>
      </c>
      <c r="D3" s="133" t="s">
        <v>1146</v>
      </c>
      <c r="E3" s="135">
        <v>1.84375</v>
      </c>
      <c r="F3" s="133" t="s">
        <v>73</v>
      </c>
      <c r="G3" s="133"/>
      <c r="H3" s="256" t="s">
        <v>74</v>
      </c>
    </row>
    <row r="4" spans="1:8" ht="18" x14ac:dyDescent="0.3">
      <c r="A4" s="115">
        <v>45988</v>
      </c>
      <c r="B4" s="116" t="s">
        <v>285</v>
      </c>
      <c r="C4" s="117" t="s">
        <v>1147</v>
      </c>
      <c r="D4" s="116" t="s">
        <v>1146</v>
      </c>
      <c r="E4" s="118">
        <v>1.802083333333333</v>
      </c>
      <c r="F4" s="116" t="s">
        <v>81</v>
      </c>
      <c r="G4" s="119">
        <v>8</v>
      </c>
      <c r="H4" s="120" t="s">
        <v>1148</v>
      </c>
    </row>
    <row r="5" spans="1:8" ht="18" x14ac:dyDescent="0.3">
      <c r="A5" s="132">
        <v>45988</v>
      </c>
      <c r="B5" s="133" t="s">
        <v>71</v>
      </c>
      <c r="C5" s="134" t="s">
        <v>1151</v>
      </c>
      <c r="D5" s="133" t="s">
        <v>1146</v>
      </c>
      <c r="E5" s="135">
        <v>1.802083333333333</v>
      </c>
      <c r="F5" s="133" t="s">
        <v>73</v>
      </c>
      <c r="G5" s="133"/>
      <c r="H5" s="133" t="s">
        <v>1152</v>
      </c>
    </row>
    <row r="6" spans="1:8" ht="18" x14ac:dyDescent="0.3">
      <c r="A6" s="115">
        <v>45989</v>
      </c>
      <c r="B6" s="116" t="s">
        <v>280</v>
      </c>
      <c r="C6" s="117" t="s">
        <v>1155</v>
      </c>
      <c r="D6" s="116" t="s">
        <v>1146</v>
      </c>
      <c r="E6" s="118">
        <v>1.725694444444444</v>
      </c>
      <c r="F6" s="116" t="s">
        <v>282</v>
      </c>
      <c r="G6" s="119">
        <v>9</v>
      </c>
      <c r="H6" s="120" t="s">
        <v>1156</v>
      </c>
    </row>
    <row r="7" spans="1:8" ht="18" x14ac:dyDescent="0.3">
      <c r="A7" s="145">
        <v>45989</v>
      </c>
      <c r="B7" s="146" t="s">
        <v>280</v>
      </c>
      <c r="C7" s="147" t="s">
        <v>1155</v>
      </c>
      <c r="D7" s="146" t="s">
        <v>1146</v>
      </c>
      <c r="E7" s="148">
        <v>1.725694444444444</v>
      </c>
      <c r="F7" s="146" t="s">
        <v>33</v>
      </c>
      <c r="G7" s="149">
        <v>9</v>
      </c>
      <c r="H7" s="146" t="s">
        <v>1157</v>
      </c>
    </row>
    <row r="8" spans="1:8" ht="18" x14ac:dyDescent="0.3">
      <c r="A8" s="115">
        <v>45990</v>
      </c>
      <c r="B8" s="116" t="s">
        <v>285</v>
      </c>
      <c r="C8" s="117" t="s">
        <v>1158</v>
      </c>
      <c r="D8" s="116" t="s">
        <v>1146</v>
      </c>
      <c r="E8" s="118">
        <v>1.0034722222222221</v>
      </c>
      <c r="F8" s="116" t="s">
        <v>81</v>
      </c>
      <c r="G8" s="119">
        <v>9</v>
      </c>
      <c r="H8" s="120" t="s">
        <v>1148</v>
      </c>
    </row>
    <row r="9" spans="1:8" ht="18" x14ac:dyDescent="0.3">
      <c r="A9" s="132">
        <v>45990</v>
      </c>
      <c r="B9" s="133" t="s">
        <v>71</v>
      </c>
      <c r="C9" s="134" t="s">
        <v>1151</v>
      </c>
      <c r="D9" s="133" t="s">
        <v>1146</v>
      </c>
      <c r="E9" s="135">
        <v>1.802083333333333</v>
      </c>
      <c r="F9" s="133" t="s">
        <v>73</v>
      </c>
      <c r="G9" s="133"/>
      <c r="H9" s="133" t="s">
        <v>74</v>
      </c>
    </row>
    <row r="10" spans="1:8" ht="18" x14ac:dyDescent="0.3">
      <c r="A10" s="257">
        <v>45991</v>
      </c>
      <c r="B10" s="190" t="s">
        <v>285</v>
      </c>
      <c r="C10" s="191" t="s">
        <v>1147</v>
      </c>
      <c r="D10" s="190" t="s">
        <v>1146</v>
      </c>
      <c r="E10" s="192">
        <v>1.71875</v>
      </c>
      <c r="F10" s="190" t="s">
        <v>81</v>
      </c>
      <c r="G10" s="193">
        <v>9</v>
      </c>
      <c r="H10" s="258" t="s">
        <v>1160</v>
      </c>
    </row>
  </sheetData>
  <dataValidations count="3">
    <dataValidation type="custom" allowBlank="1" showInputMessage="1" promptTitle="LOAD FACTOR ANALYSIS" prompt="SM447_x000d__x000a_LF 1.0%_x000d__x000a_SOLD 179_x000d__x000a_LST-SOLD 23NOV_x000d__x000a_WEEKLY 44_x000d__x000a_TO-DAY 8_x000d__x000a_Y-DAY 4_x000d__x000a_LOWEST AVAIL CLOSED_x000d__x000a_CAPACITY 179_x000d__x000a_CLASSES B5 &amp; M15 &amp; H14 &amp; +12 more" sqref="A3 B3 C3 D3 E3 F3 G3 H3" xr:uid="{00000000-0002-0000-3C00-000000000000}">
      <formula1>TRUE</formula1>
    </dataValidation>
    <dataValidation type="custom" allowBlank="1" showInputMessage="1" promptTitle="LOAD FACTOR ANALYSIS" prompt="SM443_x000d__x000a_LF 97.8%_x000d__x000a_SOLD 175_x000d__x000a_LST-SOLD 23NOV_x000d__x000a_WEEKLY 49_x000d__x000a_TO-DAY 39_x000d__x000a_Y-DAY 3_x000d__x000a_LOWEST AVAIL Y4_x000d__x000a_CAPACITY 179_x000d__x000a_CLASSES Y20 &amp; B15 &amp; M15 &amp; +13 more" sqref="A5 B5 C5 D5 E5 F5 G5 H5" xr:uid="{00000000-0002-0000-3C00-000001000000}">
      <formula1>TRUE</formula1>
    </dataValidation>
    <dataValidation type="custom" allowBlank="1" showInputMessage="1" promptTitle="LOAD FACTOR ANALYSIS" prompt="SM443_x000d__x000a_LF 1.0%_x000d__x000a_SOLD 179_x000d__x000a_LST-SOLD 23NOV_x000d__x000a_WEEKLY 63_x000d__x000a_TO-DAY 55_x000d__x000a_Y-DAY NIL_x000d__x000a_LOWEST AVAIL CLOSED_x000d__x000a_CAPACITY 179_x000d__x000a_CLASSES Y73 &amp; B5 &amp; M9 &amp; +11 more" sqref="A9 B9 C9 D9 E9 F9 G9 H9" xr:uid="{00000000-0002-0000-3C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N1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218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1176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45984.358597503451</v>
      </c>
      <c r="H2" s="287"/>
      <c r="I2" s="287"/>
      <c r="J2" s="287"/>
      <c r="K2" s="292">
        <v>45984.35859750391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45989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65" t="s">
        <v>71</v>
      </c>
      <c r="B6" s="165" t="s">
        <v>1177</v>
      </c>
      <c r="C6" s="166">
        <v>0.58333333333333337</v>
      </c>
      <c r="D6" s="165" t="s">
        <v>73</v>
      </c>
      <c r="E6" s="167"/>
      <c r="F6" s="165" t="s">
        <v>74</v>
      </c>
      <c r="G6" s="276"/>
      <c r="H6" s="168" t="s">
        <v>1177</v>
      </c>
      <c r="I6" s="169">
        <v>1</v>
      </c>
      <c r="J6" s="170">
        <v>179</v>
      </c>
      <c r="K6" s="171">
        <v>45984</v>
      </c>
      <c r="L6" s="170">
        <v>66</v>
      </c>
      <c r="M6" s="170">
        <v>3</v>
      </c>
      <c r="N6" s="170">
        <v>5</v>
      </c>
      <c r="O6" s="172" t="s">
        <v>75</v>
      </c>
      <c r="P6" s="173">
        <v>0.58333333333333337</v>
      </c>
      <c r="Q6" s="170">
        <v>179</v>
      </c>
      <c r="R6" s="174" t="s">
        <v>1178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1179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280</v>
      </c>
      <c r="B8" s="19" t="s">
        <v>1155</v>
      </c>
      <c r="C8" s="20" t="s">
        <v>1180</v>
      </c>
      <c r="D8" s="19" t="s">
        <v>282</v>
      </c>
      <c r="E8" s="19" t="s">
        <v>220</v>
      </c>
      <c r="F8" s="19" t="s">
        <v>1156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63" t="s">
        <v>280</v>
      </c>
      <c r="B9" s="63" t="s">
        <v>1155</v>
      </c>
      <c r="C9" s="64" t="s">
        <v>1180</v>
      </c>
      <c r="D9" s="63" t="s">
        <v>33</v>
      </c>
      <c r="E9" s="63" t="s">
        <v>220</v>
      </c>
      <c r="F9" s="63" t="s">
        <v>1157</v>
      </c>
      <c r="G9" s="278"/>
      <c r="H9" s="178"/>
      <c r="I9" s="178"/>
      <c r="J9" s="178"/>
      <c r="K9" s="178"/>
      <c r="L9" s="178"/>
      <c r="M9" s="178"/>
      <c r="N9" s="178"/>
      <c r="O9" s="179"/>
      <c r="P9" s="178"/>
      <c r="Q9" s="180"/>
      <c r="R9" s="18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79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1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</sheetData>
  <mergeCells count="14">
    <mergeCell ref="O1:Q1"/>
    <mergeCell ref="H4:R4"/>
    <mergeCell ref="A1:C1"/>
    <mergeCell ref="G1:H1"/>
    <mergeCell ref="D1:F1"/>
    <mergeCell ref="J1:M1"/>
    <mergeCell ref="A10:R10"/>
    <mergeCell ref="K2:R2"/>
    <mergeCell ref="G2:J2"/>
    <mergeCell ref="A4:F4"/>
    <mergeCell ref="G6:G9"/>
    <mergeCell ref="A7:F7"/>
    <mergeCell ref="A2:F2"/>
    <mergeCell ref="A3:R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520</v>
      </c>
      <c r="B2" s="96">
        <v>45989</v>
      </c>
      <c r="C2" s="97" t="s">
        <v>1177</v>
      </c>
      <c r="D2" s="98">
        <v>0.58333333333333337</v>
      </c>
      <c r="E2" s="97" t="s">
        <v>1176</v>
      </c>
      <c r="F2" s="97" t="s">
        <v>158</v>
      </c>
      <c r="G2" s="99">
        <v>1</v>
      </c>
      <c r="H2" s="100">
        <v>179</v>
      </c>
      <c r="I2" s="100">
        <v>179</v>
      </c>
      <c r="J2" s="100">
        <v>0</v>
      </c>
      <c r="K2" s="96">
        <v>45984</v>
      </c>
      <c r="L2" s="100">
        <v>3</v>
      </c>
      <c r="M2" s="100">
        <v>5</v>
      </c>
      <c r="N2" s="100">
        <v>66</v>
      </c>
      <c r="O2" s="97" t="s">
        <v>75</v>
      </c>
      <c r="P2" s="101"/>
      <c r="Q2" s="101"/>
      <c r="R2" s="101"/>
      <c r="S2" s="101"/>
      <c r="T2" s="101"/>
      <c r="U2" s="101"/>
      <c r="V2" s="101"/>
      <c r="W2" s="100" t="s">
        <v>888</v>
      </c>
      <c r="X2" s="100" t="s">
        <v>1144</v>
      </c>
      <c r="Y2" s="100" t="s">
        <v>566</v>
      </c>
      <c r="Z2" s="100" t="s">
        <v>549</v>
      </c>
      <c r="AA2" s="100" t="s">
        <v>1181</v>
      </c>
      <c r="AB2" s="100" t="s">
        <v>261</v>
      </c>
      <c r="AC2" s="100" t="s">
        <v>1182</v>
      </c>
      <c r="AD2" s="100" t="s">
        <v>1183</v>
      </c>
      <c r="AE2" s="101"/>
      <c r="AF2" s="101"/>
      <c r="AG2" s="101"/>
      <c r="AH2" s="101"/>
      <c r="AI2" s="101"/>
    </row>
    <row r="3" spans="1:35" ht="18" x14ac:dyDescent="0.3">
      <c r="A3" s="109" t="s">
        <v>189</v>
      </c>
      <c r="B3" s="110"/>
      <c r="C3" s="111">
        <f>COUNTA(C2:C2)</f>
        <v>1</v>
      </c>
      <c r="D3" s="110"/>
      <c r="E3" s="110"/>
      <c r="F3" s="110"/>
      <c r="G3" s="112">
        <f>AVERAGE(G2:G2)</f>
        <v>1</v>
      </c>
      <c r="H3" s="113">
        <f>SUM(H2:H2)</f>
        <v>179</v>
      </c>
      <c r="I3" s="113">
        <f>SUM(I2:I2)</f>
        <v>179</v>
      </c>
      <c r="J3" s="113">
        <f>SUM(J2:J2)</f>
        <v>0</v>
      </c>
      <c r="K3" s="110"/>
      <c r="L3" s="113">
        <f>SUM(L2:L2)</f>
        <v>3</v>
      </c>
      <c r="M3" s="113">
        <f>SUM(M2:M2)</f>
        <v>5</v>
      </c>
      <c r="N3" s="113">
        <f>SUM(N2:N2)</f>
        <v>66</v>
      </c>
      <c r="O3" s="110"/>
      <c r="P3" s="11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113">
        <f t="shared" si="0"/>
        <v>0</v>
      </c>
      <c r="R3" s="113">
        <f t="shared" si="0"/>
        <v>0</v>
      </c>
      <c r="S3" s="113">
        <f t="shared" si="0"/>
        <v>0</v>
      </c>
      <c r="T3" s="113">
        <f t="shared" si="0"/>
        <v>0</v>
      </c>
      <c r="U3" s="113">
        <f t="shared" si="0"/>
        <v>0</v>
      </c>
      <c r="V3" s="113">
        <f t="shared" si="0"/>
        <v>0</v>
      </c>
      <c r="W3" s="113">
        <f t="shared" si="0"/>
        <v>9</v>
      </c>
      <c r="X3" s="113">
        <f t="shared" si="0"/>
        <v>20</v>
      </c>
      <c r="Y3" s="113">
        <f t="shared" si="0"/>
        <v>20</v>
      </c>
      <c r="Z3" s="113">
        <f t="shared" si="0"/>
        <v>20</v>
      </c>
      <c r="AA3" s="113">
        <f t="shared" si="0"/>
        <v>38</v>
      </c>
      <c r="AB3" s="113">
        <f t="shared" si="0"/>
        <v>18</v>
      </c>
      <c r="AC3" s="113">
        <f t="shared" si="0"/>
        <v>27</v>
      </c>
      <c r="AD3" s="113">
        <f t="shared" si="0"/>
        <v>27</v>
      </c>
      <c r="AE3" s="113">
        <f t="shared" si="0"/>
        <v>0</v>
      </c>
      <c r="AF3" s="113">
        <f t="shared" si="0"/>
        <v>0</v>
      </c>
      <c r="AG3" s="113">
        <f t="shared" si="0"/>
        <v>0</v>
      </c>
      <c r="AH3" s="113">
        <f t="shared" si="0"/>
        <v>0</v>
      </c>
      <c r="AI3" s="113">
        <f t="shared" si="0"/>
        <v>0</v>
      </c>
    </row>
  </sheetData>
  <autoFilter ref="A1:AI2" xr:uid="{00000000-0009-0000-0000-00003E000000}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3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33203125" bestFit="1" customWidth="1"/>
    <col min="5" max="5" width="32.77734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1184</v>
      </c>
      <c r="F2" s="185"/>
      <c r="G2" s="185"/>
      <c r="H2" s="3"/>
    </row>
    <row r="3" spans="1:8" ht="18" x14ac:dyDescent="0.3">
      <c r="A3" s="257">
        <v>45986</v>
      </c>
      <c r="B3" s="190" t="s">
        <v>285</v>
      </c>
      <c r="C3" s="191" t="s">
        <v>1147</v>
      </c>
      <c r="D3" s="190" t="s">
        <v>1146</v>
      </c>
      <c r="E3" s="192">
        <v>1.7638888888888891</v>
      </c>
      <c r="F3" s="190" t="s">
        <v>81</v>
      </c>
      <c r="G3" s="193">
        <v>4</v>
      </c>
      <c r="H3" s="258" t="s">
        <v>1148</v>
      </c>
    </row>
    <row r="4" spans="1:8" ht="15.6" x14ac:dyDescent="0.3">
      <c r="A4" s="185"/>
      <c r="B4" s="185"/>
      <c r="C4" s="185"/>
      <c r="D4" s="185"/>
      <c r="E4" s="186" t="s">
        <v>1184</v>
      </c>
      <c r="F4" s="185"/>
      <c r="G4" s="185"/>
      <c r="H4" s="3"/>
    </row>
    <row r="5" spans="1:8" ht="18" x14ac:dyDescent="0.3">
      <c r="A5" s="257">
        <v>45988</v>
      </c>
      <c r="B5" s="190" t="s">
        <v>285</v>
      </c>
      <c r="C5" s="191" t="s">
        <v>1147</v>
      </c>
      <c r="D5" s="190" t="s">
        <v>1146</v>
      </c>
      <c r="E5" s="192">
        <v>1.802083333333333</v>
      </c>
      <c r="F5" s="190" t="s">
        <v>81</v>
      </c>
      <c r="G5" s="193">
        <v>8</v>
      </c>
      <c r="H5" s="258" t="s">
        <v>1148</v>
      </c>
    </row>
    <row r="6" spans="1:8" ht="18" x14ac:dyDescent="0.3">
      <c r="A6" s="187">
        <v>45989</v>
      </c>
      <c r="B6" s="137" t="s">
        <v>71</v>
      </c>
      <c r="C6" s="138" t="s">
        <v>1177</v>
      </c>
      <c r="D6" s="137" t="s">
        <v>1176</v>
      </c>
      <c r="E6" s="139">
        <v>1.583333333333333</v>
      </c>
      <c r="F6" s="137" t="s">
        <v>73</v>
      </c>
      <c r="G6" s="137"/>
      <c r="H6" s="188" t="s">
        <v>74</v>
      </c>
    </row>
    <row r="7" spans="1:8" ht="15.6" x14ac:dyDescent="0.3">
      <c r="A7" s="185"/>
      <c r="B7" s="185"/>
      <c r="C7" s="185"/>
      <c r="D7" s="185"/>
      <c r="E7" s="186" t="s">
        <v>1184</v>
      </c>
      <c r="F7" s="185"/>
      <c r="G7" s="185"/>
      <c r="H7" s="3"/>
    </row>
    <row r="8" spans="1:8" ht="18" x14ac:dyDescent="0.3">
      <c r="A8" s="126">
        <v>45989</v>
      </c>
      <c r="B8" s="116" t="s">
        <v>280</v>
      </c>
      <c r="C8" s="117" t="s">
        <v>1155</v>
      </c>
      <c r="D8" s="116" t="s">
        <v>1146</v>
      </c>
      <c r="E8" s="118">
        <v>1.725694444444444</v>
      </c>
      <c r="F8" s="116" t="s">
        <v>282</v>
      </c>
      <c r="G8" s="119">
        <v>9</v>
      </c>
      <c r="H8" s="116" t="s">
        <v>1156</v>
      </c>
    </row>
    <row r="9" spans="1:8" ht="18" x14ac:dyDescent="0.3">
      <c r="A9" s="145">
        <v>45989</v>
      </c>
      <c r="B9" s="146" t="s">
        <v>280</v>
      </c>
      <c r="C9" s="147" t="s">
        <v>1155</v>
      </c>
      <c r="D9" s="146" t="s">
        <v>1146</v>
      </c>
      <c r="E9" s="148">
        <v>1.725694444444444</v>
      </c>
      <c r="F9" s="146" t="s">
        <v>33</v>
      </c>
      <c r="G9" s="149">
        <v>9</v>
      </c>
      <c r="H9" s="146" t="s">
        <v>1157</v>
      </c>
    </row>
    <row r="10" spans="1:8" ht="15.6" x14ac:dyDescent="0.3">
      <c r="A10" s="185"/>
      <c r="B10" s="185"/>
      <c r="C10" s="185"/>
      <c r="D10" s="185"/>
      <c r="E10" s="186" t="s">
        <v>1184</v>
      </c>
      <c r="F10" s="185"/>
      <c r="G10" s="185"/>
      <c r="H10" s="3"/>
    </row>
    <row r="11" spans="1:8" ht="18" x14ac:dyDescent="0.3">
      <c r="A11" s="257">
        <v>45990</v>
      </c>
      <c r="B11" s="190" t="s">
        <v>285</v>
      </c>
      <c r="C11" s="191" t="s">
        <v>1158</v>
      </c>
      <c r="D11" s="190" t="s">
        <v>1146</v>
      </c>
      <c r="E11" s="192">
        <v>1.0034722222222221</v>
      </c>
      <c r="F11" s="190" t="s">
        <v>81</v>
      </c>
      <c r="G11" s="193">
        <v>9</v>
      </c>
      <c r="H11" s="258" t="s">
        <v>1148</v>
      </c>
    </row>
    <row r="12" spans="1:8" ht="15.6" x14ac:dyDescent="0.3">
      <c r="A12" s="185"/>
      <c r="B12" s="185"/>
      <c r="C12" s="185"/>
      <c r="D12" s="185"/>
      <c r="E12" s="186" t="s">
        <v>1184</v>
      </c>
      <c r="F12" s="185"/>
      <c r="G12" s="185"/>
      <c r="H12" s="3"/>
    </row>
    <row r="13" spans="1:8" ht="18" x14ac:dyDescent="0.3">
      <c r="A13" s="257">
        <v>45991</v>
      </c>
      <c r="B13" s="190" t="s">
        <v>285</v>
      </c>
      <c r="C13" s="191" t="s">
        <v>1147</v>
      </c>
      <c r="D13" s="190" t="s">
        <v>1146</v>
      </c>
      <c r="E13" s="192">
        <v>1.71875</v>
      </c>
      <c r="F13" s="190" t="s">
        <v>81</v>
      </c>
      <c r="G13" s="193">
        <v>9</v>
      </c>
      <c r="H13" s="258" t="s">
        <v>1160</v>
      </c>
    </row>
  </sheetData>
  <dataValidations count="1">
    <dataValidation type="custom" allowBlank="1" showInputMessage="1" promptTitle="LOAD FACTOR ANALYSIS" prompt="SM445_x000d__x000a_LF 1.0%_x000d__x000a_SOLD 179_x000d__x000a_LST-SOLD 23NOV_x000d__x000a_WEEKLY 66_x000d__x000a_TO-DAY 3_x000d__x000a_Y-DAY 5_x000d__x000a_LOWEST AVAIL CLOSED_x000d__x000a_CAPACITY 179_x000d__x000a_CLASSES L9 &amp; G20 &amp; S20 &amp; +5 more" sqref="A6 B6 C6 D6 E6 F6 G6 H6" xr:uid="{00000000-0002-0000-3F00-000000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N5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886718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1185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45984.358598779603</v>
      </c>
      <c r="H2" s="287"/>
      <c r="I2" s="287"/>
      <c r="J2" s="287"/>
      <c r="K2" s="292">
        <v>45984.358598780163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45985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285</v>
      </c>
      <c r="B6" s="8" t="s">
        <v>1186</v>
      </c>
      <c r="C6" s="9">
        <v>0.48958333333333331</v>
      </c>
      <c r="D6" s="8" t="s">
        <v>81</v>
      </c>
      <c r="E6" s="8" t="s">
        <v>383</v>
      </c>
      <c r="F6" s="8" t="s">
        <v>1187</v>
      </c>
      <c r="G6" s="276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17" t="s">
        <v>280</v>
      </c>
      <c r="B7" s="17" t="s">
        <v>1188</v>
      </c>
      <c r="C7" s="18">
        <v>0.76736111111111116</v>
      </c>
      <c r="D7" s="17" t="s">
        <v>282</v>
      </c>
      <c r="E7" s="17" t="s">
        <v>104</v>
      </c>
      <c r="F7" s="17" t="s">
        <v>1189</v>
      </c>
      <c r="G7" s="277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5" t="s">
        <v>280</v>
      </c>
      <c r="B8" s="15" t="s">
        <v>1188</v>
      </c>
      <c r="C8" s="16">
        <v>0.76736111111111116</v>
      </c>
      <c r="D8" s="15" t="s">
        <v>33</v>
      </c>
      <c r="E8" s="15" t="s">
        <v>109</v>
      </c>
      <c r="F8" s="15" t="s">
        <v>1190</v>
      </c>
      <c r="G8" s="277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251" t="s">
        <v>63</v>
      </c>
      <c r="B9" s="251" t="s">
        <v>1191</v>
      </c>
      <c r="C9" s="252">
        <v>0.87152777777777779</v>
      </c>
      <c r="D9" s="251" t="s">
        <v>48</v>
      </c>
      <c r="E9" s="251" t="s">
        <v>38</v>
      </c>
      <c r="F9" s="251" t="s">
        <v>1192</v>
      </c>
      <c r="G9" s="278"/>
      <c r="H9" s="58"/>
      <c r="I9" s="59"/>
      <c r="J9" s="59"/>
      <c r="K9" s="59"/>
      <c r="L9" s="59"/>
      <c r="M9" s="59"/>
      <c r="N9" s="59"/>
      <c r="O9" s="60"/>
      <c r="P9" s="59"/>
      <c r="Q9" s="61"/>
      <c r="R9" s="62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82"/>
      <c r="B10" s="283"/>
      <c r="C10" s="283"/>
      <c r="D10" s="283"/>
      <c r="E10" s="283"/>
      <c r="F10" s="283"/>
      <c r="G10" s="280"/>
      <c r="H10" s="284"/>
      <c r="I10" s="284"/>
      <c r="J10" s="284"/>
      <c r="K10" s="284"/>
      <c r="L10" s="284"/>
      <c r="M10" s="284"/>
      <c r="N10" s="284"/>
      <c r="O10" s="285"/>
      <c r="P10" s="284"/>
      <c r="Q10" s="280"/>
      <c r="R10" s="281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22.05" customHeight="1" x14ac:dyDescent="0.3">
      <c r="A11" s="290" t="s">
        <v>5</v>
      </c>
      <c r="B11" s="291"/>
      <c r="C11" s="291"/>
      <c r="D11" s="291"/>
      <c r="E11" s="291"/>
      <c r="F11" s="291"/>
      <c r="G11" s="5">
        <v>45986</v>
      </c>
      <c r="H11" s="274" t="s">
        <v>6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4" customHeight="1" x14ac:dyDescent="0.3">
      <c r="A12" s="31" t="s">
        <v>7</v>
      </c>
      <c r="B12" s="31" t="s">
        <v>8</v>
      </c>
      <c r="C12" s="32" t="s">
        <v>9</v>
      </c>
      <c r="D12" s="31" t="s">
        <v>10</v>
      </c>
      <c r="E12" s="31" t="s">
        <v>11</v>
      </c>
      <c r="F12" s="31" t="s">
        <v>12</v>
      </c>
      <c r="G12" s="33" t="s">
        <v>13</v>
      </c>
      <c r="H12" s="31" t="s">
        <v>14</v>
      </c>
      <c r="I12" s="34" t="s">
        <v>15</v>
      </c>
      <c r="J12" s="35" t="s">
        <v>16</v>
      </c>
      <c r="K12" s="36" t="s">
        <v>17</v>
      </c>
      <c r="L12" s="35" t="s">
        <v>18</v>
      </c>
      <c r="M12" s="35" t="s">
        <v>19</v>
      </c>
      <c r="N12" s="35" t="s">
        <v>20</v>
      </c>
      <c r="O12" s="31" t="s">
        <v>21</v>
      </c>
      <c r="P12" s="32" t="s">
        <v>22</v>
      </c>
      <c r="Q12" s="35" t="s">
        <v>23</v>
      </c>
      <c r="R12" s="31" t="s">
        <v>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8" t="s">
        <v>285</v>
      </c>
      <c r="B13" s="8" t="s">
        <v>1186</v>
      </c>
      <c r="C13" s="9">
        <v>0.48958333333333331</v>
      </c>
      <c r="D13" s="8" t="s">
        <v>81</v>
      </c>
      <c r="E13" s="8" t="s">
        <v>82</v>
      </c>
      <c r="F13" s="8" t="s">
        <v>1187</v>
      </c>
      <c r="G13" s="276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251" t="s">
        <v>360</v>
      </c>
      <c r="B14" s="251" t="s">
        <v>1193</v>
      </c>
      <c r="C14" s="252">
        <v>0.4375</v>
      </c>
      <c r="D14" s="251" t="s">
        <v>81</v>
      </c>
      <c r="E14" s="251" t="s">
        <v>28</v>
      </c>
      <c r="F14" s="251" t="s">
        <v>1194</v>
      </c>
      <c r="G14" s="278"/>
      <c r="H14" s="58"/>
      <c r="I14" s="59"/>
      <c r="J14" s="59"/>
      <c r="K14" s="59"/>
      <c r="L14" s="59"/>
      <c r="M14" s="59"/>
      <c r="N14" s="59"/>
      <c r="O14" s="60"/>
      <c r="P14" s="59"/>
      <c r="Q14" s="61"/>
      <c r="R14" s="62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82"/>
      <c r="B15" s="283"/>
      <c r="C15" s="283"/>
      <c r="D15" s="283"/>
      <c r="E15" s="283"/>
      <c r="F15" s="283"/>
      <c r="G15" s="280"/>
      <c r="H15" s="284"/>
      <c r="I15" s="284"/>
      <c r="J15" s="284"/>
      <c r="K15" s="284"/>
      <c r="L15" s="284"/>
      <c r="M15" s="284"/>
      <c r="N15" s="284"/>
      <c r="O15" s="285"/>
      <c r="P15" s="284"/>
      <c r="Q15" s="280"/>
      <c r="R15" s="281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90" t="s">
        <v>5</v>
      </c>
      <c r="B16" s="291"/>
      <c r="C16" s="291"/>
      <c r="D16" s="291"/>
      <c r="E16" s="291"/>
      <c r="F16" s="291"/>
      <c r="G16" s="5">
        <v>45987</v>
      </c>
      <c r="H16" s="274" t="s">
        <v>6</v>
      </c>
      <c r="I16" s="275"/>
      <c r="J16" s="275"/>
      <c r="K16" s="275"/>
      <c r="L16" s="275"/>
      <c r="M16" s="275"/>
      <c r="N16" s="275"/>
      <c r="O16" s="275"/>
      <c r="P16" s="275"/>
      <c r="Q16" s="275"/>
      <c r="R16" s="275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1" t="s">
        <v>7</v>
      </c>
      <c r="B17" s="31" t="s">
        <v>8</v>
      </c>
      <c r="C17" s="32" t="s">
        <v>9</v>
      </c>
      <c r="D17" s="31" t="s">
        <v>10</v>
      </c>
      <c r="E17" s="31" t="s">
        <v>11</v>
      </c>
      <c r="F17" s="31" t="s">
        <v>12</v>
      </c>
      <c r="G17" s="33" t="s">
        <v>13</v>
      </c>
      <c r="H17" s="31" t="s">
        <v>14</v>
      </c>
      <c r="I17" s="34" t="s">
        <v>15</v>
      </c>
      <c r="J17" s="35" t="s">
        <v>16</v>
      </c>
      <c r="K17" s="36" t="s">
        <v>17</v>
      </c>
      <c r="L17" s="35" t="s">
        <v>18</v>
      </c>
      <c r="M17" s="35" t="s">
        <v>19</v>
      </c>
      <c r="N17" s="35" t="s">
        <v>20</v>
      </c>
      <c r="O17" s="31" t="s">
        <v>21</v>
      </c>
      <c r="P17" s="32" t="s">
        <v>22</v>
      </c>
      <c r="Q17" s="35" t="s">
        <v>23</v>
      </c>
      <c r="R17" s="31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8" t="s">
        <v>285</v>
      </c>
      <c r="B18" s="8" t="s">
        <v>1186</v>
      </c>
      <c r="C18" s="9">
        <v>0.48958333333333331</v>
      </c>
      <c r="D18" s="8" t="s">
        <v>81</v>
      </c>
      <c r="E18" s="8" t="s">
        <v>104</v>
      </c>
      <c r="F18" s="8" t="s">
        <v>815</v>
      </c>
      <c r="G18" s="276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17" t="s">
        <v>360</v>
      </c>
      <c r="B19" s="17" t="s">
        <v>1193</v>
      </c>
      <c r="C19" s="18">
        <v>0.4548611111111111</v>
      </c>
      <c r="D19" s="17" t="s">
        <v>81</v>
      </c>
      <c r="E19" s="17" t="s">
        <v>104</v>
      </c>
      <c r="F19" s="17" t="s">
        <v>1195</v>
      </c>
      <c r="G19" s="277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17" t="s">
        <v>280</v>
      </c>
      <c r="B20" s="17" t="s">
        <v>1188</v>
      </c>
      <c r="C20" s="18">
        <v>0.76736111111111116</v>
      </c>
      <c r="D20" s="17" t="s">
        <v>282</v>
      </c>
      <c r="E20" s="17" t="s">
        <v>82</v>
      </c>
      <c r="F20" s="17" t="s">
        <v>1196</v>
      </c>
      <c r="G20" s="277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49.95" customHeight="1" x14ac:dyDescent="0.3">
      <c r="A21" s="15" t="s">
        <v>280</v>
      </c>
      <c r="B21" s="15" t="s">
        <v>1188</v>
      </c>
      <c r="C21" s="16">
        <v>0.76736111111111116</v>
      </c>
      <c r="D21" s="15" t="s">
        <v>33</v>
      </c>
      <c r="E21" s="15" t="s">
        <v>92</v>
      </c>
      <c r="F21" s="15" t="s">
        <v>1197</v>
      </c>
      <c r="G21" s="277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49.95" customHeight="1" x14ac:dyDescent="0.3">
      <c r="A22" s="251" t="s">
        <v>63</v>
      </c>
      <c r="B22" s="251" t="s">
        <v>1191</v>
      </c>
      <c r="C22" s="252">
        <v>0.87152777777777779</v>
      </c>
      <c r="D22" s="251" t="s">
        <v>48</v>
      </c>
      <c r="E22" s="251" t="s">
        <v>38</v>
      </c>
      <c r="F22" s="251" t="s">
        <v>1198</v>
      </c>
      <c r="G22" s="278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4.4" customHeight="1" x14ac:dyDescent="0.3">
      <c r="A23" s="282"/>
      <c r="B23" s="283"/>
      <c r="C23" s="283"/>
      <c r="D23" s="283"/>
      <c r="E23" s="283"/>
      <c r="F23" s="283"/>
      <c r="G23" s="280"/>
      <c r="H23" s="284"/>
      <c r="I23" s="284"/>
      <c r="J23" s="284"/>
      <c r="K23" s="284"/>
      <c r="L23" s="284"/>
      <c r="M23" s="284"/>
      <c r="N23" s="284"/>
      <c r="O23" s="285"/>
      <c r="P23" s="284"/>
      <c r="Q23" s="280"/>
      <c r="R23" s="281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22.05" customHeight="1" x14ac:dyDescent="0.3">
      <c r="A24" s="290" t="s">
        <v>5</v>
      </c>
      <c r="B24" s="291"/>
      <c r="C24" s="291"/>
      <c r="D24" s="291"/>
      <c r="E24" s="291"/>
      <c r="F24" s="291"/>
      <c r="G24" s="5">
        <v>45988</v>
      </c>
      <c r="H24" s="274" t="s">
        <v>6</v>
      </c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24" customHeight="1" x14ac:dyDescent="0.3">
      <c r="A25" s="31" t="s">
        <v>7</v>
      </c>
      <c r="B25" s="31" t="s">
        <v>8</v>
      </c>
      <c r="C25" s="32" t="s">
        <v>9</v>
      </c>
      <c r="D25" s="31" t="s">
        <v>10</v>
      </c>
      <c r="E25" s="31" t="s">
        <v>11</v>
      </c>
      <c r="F25" s="31" t="s">
        <v>12</v>
      </c>
      <c r="G25" s="33" t="s">
        <v>13</v>
      </c>
      <c r="H25" s="31" t="s">
        <v>14</v>
      </c>
      <c r="I25" s="34" t="s">
        <v>15</v>
      </c>
      <c r="J25" s="35" t="s">
        <v>16</v>
      </c>
      <c r="K25" s="36" t="s">
        <v>17</v>
      </c>
      <c r="L25" s="35" t="s">
        <v>18</v>
      </c>
      <c r="M25" s="35" t="s">
        <v>19</v>
      </c>
      <c r="N25" s="35" t="s">
        <v>20</v>
      </c>
      <c r="O25" s="31" t="s">
        <v>21</v>
      </c>
      <c r="P25" s="32" t="s">
        <v>22</v>
      </c>
      <c r="Q25" s="35" t="s">
        <v>23</v>
      </c>
      <c r="R25" s="31" t="s">
        <v>24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8" t="s">
        <v>285</v>
      </c>
      <c r="B26" s="8" t="s">
        <v>1186</v>
      </c>
      <c r="C26" s="9">
        <v>0.48958333333333331</v>
      </c>
      <c r="D26" s="8" t="s">
        <v>81</v>
      </c>
      <c r="E26" s="8" t="s">
        <v>77</v>
      </c>
      <c r="F26" s="8" t="s">
        <v>1199</v>
      </c>
      <c r="G26" s="276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85" t="s">
        <v>71</v>
      </c>
      <c r="B27" s="85" t="s">
        <v>1200</v>
      </c>
      <c r="C27" s="86">
        <v>0.63194444444444442</v>
      </c>
      <c r="D27" s="85" t="s">
        <v>81</v>
      </c>
      <c r="E27" s="85" t="s">
        <v>82</v>
      </c>
      <c r="F27" s="85" t="s">
        <v>1201</v>
      </c>
      <c r="G27" s="277"/>
      <c r="H27" s="87" t="s">
        <v>1202</v>
      </c>
      <c r="I27" s="194">
        <v>0.6704</v>
      </c>
      <c r="J27" s="89">
        <v>120</v>
      </c>
      <c r="K27" s="90">
        <v>45983</v>
      </c>
      <c r="L27" s="89">
        <v>22</v>
      </c>
      <c r="M27" s="89">
        <v>0</v>
      </c>
      <c r="N27" s="89">
        <v>7</v>
      </c>
      <c r="O27" s="91" t="s">
        <v>899</v>
      </c>
      <c r="P27" s="92">
        <v>0.63194444444444442</v>
      </c>
      <c r="Q27" s="89">
        <v>179</v>
      </c>
      <c r="R27" s="93" t="s">
        <v>1203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7" t="s">
        <v>280</v>
      </c>
      <c r="B28" s="17" t="s">
        <v>1188</v>
      </c>
      <c r="C28" s="18">
        <v>0.76736111111111116</v>
      </c>
      <c r="D28" s="17" t="s">
        <v>282</v>
      </c>
      <c r="E28" s="17" t="s">
        <v>104</v>
      </c>
      <c r="F28" s="17" t="s">
        <v>1204</v>
      </c>
      <c r="G28" s="277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280</v>
      </c>
      <c r="B29" s="15" t="s">
        <v>1188</v>
      </c>
      <c r="C29" s="16">
        <v>0.76736111111111116</v>
      </c>
      <c r="D29" s="15" t="s">
        <v>33</v>
      </c>
      <c r="E29" s="15" t="s">
        <v>109</v>
      </c>
      <c r="F29" s="15" t="s">
        <v>1205</v>
      </c>
      <c r="G29" s="277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7" t="s">
        <v>360</v>
      </c>
      <c r="B30" s="17" t="s">
        <v>1193</v>
      </c>
      <c r="C30" s="18">
        <v>0.4548611111111111</v>
      </c>
      <c r="D30" s="17" t="s">
        <v>81</v>
      </c>
      <c r="E30" s="17" t="s">
        <v>28</v>
      </c>
      <c r="F30" s="17" t="s">
        <v>1206</v>
      </c>
      <c r="G30" s="277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251" t="s">
        <v>63</v>
      </c>
      <c r="B31" s="251" t="s">
        <v>1191</v>
      </c>
      <c r="C31" s="252">
        <v>0.87152777777777779</v>
      </c>
      <c r="D31" s="251" t="s">
        <v>48</v>
      </c>
      <c r="E31" s="251" t="s">
        <v>402</v>
      </c>
      <c r="F31" s="251" t="s">
        <v>1207</v>
      </c>
      <c r="G31" s="278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4.4" customHeight="1" x14ac:dyDescent="0.3">
      <c r="A32" s="282"/>
      <c r="B32" s="283"/>
      <c r="C32" s="283"/>
      <c r="D32" s="283"/>
      <c r="E32" s="283"/>
      <c r="F32" s="283"/>
      <c r="G32" s="280"/>
      <c r="H32" s="284"/>
      <c r="I32" s="284"/>
      <c r="J32" s="284"/>
      <c r="K32" s="284"/>
      <c r="L32" s="284"/>
      <c r="M32" s="284"/>
      <c r="N32" s="284"/>
      <c r="O32" s="285"/>
      <c r="P32" s="284"/>
      <c r="Q32" s="280"/>
      <c r="R32" s="281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22.05" customHeight="1" x14ac:dyDescent="0.3">
      <c r="A33" s="290" t="s">
        <v>5</v>
      </c>
      <c r="B33" s="291"/>
      <c r="C33" s="291"/>
      <c r="D33" s="291"/>
      <c r="E33" s="291"/>
      <c r="F33" s="291"/>
      <c r="G33" s="5">
        <v>45989</v>
      </c>
      <c r="H33" s="274" t="s">
        <v>6</v>
      </c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24" customHeight="1" x14ac:dyDescent="0.3">
      <c r="A34" s="31" t="s">
        <v>7</v>
      </c>
      <c r="B34" s="31" t="s">
        <v>8</v>
      </c>
      <c r="C34" s="32" t="s">
        <v>9</v>
      </c>
      <c r="D34" s="31" t="s">
        <v>10</v>
      </c>
      <c r="E34" s="31" t="s">
        <v>11</v>
      </c>
      <c r="F34" s="31" t="s">
        <v>12</v>
      </c>
      <c r="G34" s="33" t="s">
        <v>13</v>
      </c>
      <c r="H34" s="31" t="s">
        <v>14</v>
      </c>
      <c r="I34" s="34" t="s">
        <v>15</v>
      </c>
      <c r="J34" s="35" t="s">
        <v>16</v>
      </c>
      <c r="K34" s="36" t="s">
        <v>17</v>
      </c>
      <c r="L34" s="35" t="s">
        <v>18</v>
      </c>
      <c r="M34" s="35" t="s">
        <v>19</v>
      </c>
      <c r="N34" s="35" t="s">
        <v>20</v>
      </c>
      <c r="O34" s="31" t="s">
        <v>21</v>
      </c>
      <c r="P34" s="32" t="s">
        <v>22</v>
      </c>
      <c r="Q34" s="35" t="s">
        <v>23</v>
      </c>
      <c r="R34" s="31" t="s">
        <v>24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49.95" customHeight="1" x14ac:dyDescent="0.3">
      <c r="A35" s="8" t="s">
        <v>285</v>
      </c>
      <c r="B35" s="8" t="s">
        <v>1186</v>
      </c>
      <c r="C35" s="9">
        <v>0.48958333333333331</v>
      </c>
      <c r="D35" s="8" t="s">
        <v>81</v>
      </c>
      <c r="E35" s="8" t="s">
        <v>104</v>
      </c>
      <c r="F35" s="8" t="s">
        <v>1199</v>
      </c>
      <c r="G35" s="276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49.95" customHeight="1" x14ac:dyDescent="0.3">
      <c r="A36" s="17" t="s">
        <v>360</v>
      </c>
      <c r="B36" s="17" t="s">
        <v>1193</v>
      </c>
      <c r="C36" s="18">
        <v>0.69791666666666663</v>
      </c>
      <c r="D36" s="17" t="s">
        <v>81</v>
      </c>
      <c r="E36" s="17" t="s">
        <v>82</v>
      </c>
      <c r="F36" s="17" t="s">
        <v>1206</v>
      </c>
      <c r="G36" s="277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49.95" customHeight="1" x14ac:dyDescent="0.3">
      <c r="A37" s="165" t="s">
        <v>71</v>
      </c>
      <c r="B37" s="165" t="s">
        <v>1200</v>
      </c>
      <c r="C37" s="166">
        <v>0.82986111111111116</v>
      </c>
      <c r="D37" s="165" t="s">
        <v>81</v>
      </c>
      <c r="E37" s="165" t="s">
        <v>402</v>
      </c>
      <c r="F37" s="165" t="s">
        <v>1208</v>
      </c>
      <c r="G37" s="277"/>
      <c r="H37" s="168" t="s">
        <v>1202</v>
      </c>
      <c r="I37" s="240">
        <v>0.77090000000000003</v>
      </c>
      <c r="J37" s="170">
        <v>138</v>
      </c>
      <c r="K37" s="171">
        <v>45983</v>
      </c>
      <c r="L37" s="170">
        <v>30</v>
      </c>
      <c r="M37" s="170">
        <v>0</v>
      </c>
      <c r="N37" s="170">
        <v>4</v>
      </c>
      <c r="O37" s="172" t="s">
        <v>1022</v>
      </c>
      <c r="P37" s="173">
        <v>0.82986111111111116</v>
      </c>
      <c r="Q37" s="170">
        <v>179</v>
      </c>
      <c r="R37" s="174" t="s">
        <v>1209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49.95" customHeight="1" x14ac:dyDescent="0.3">
      <c r="A38" s="251" t="s">
        <v>63</v>
      </c>
      <c r="B38" s="251" t="s">
        <v>1191</v>
      </c>
      <c r="C38" s="252">
        <v>0.87152777777777779</v>
      </c>
      <c r="D38" s="251" t="s">
        <v>48</v>
      </c>
      <c r="E38" s="251" t="s">
        <v>38</v>
      </c>
      <c r="F38" s="251" t="s">
        <v>404</v>
      </c>
      <c r="G38" s="278"/>
      <c r="H38" s="58"/>
      <c r="I38" s="59"/>
      <c r="J38" s="59"/>
      <c r="K38" s="59"/>
      <c r="L38" s="59"/>
      <c r="M38" s="59"/>
      <c r="N38" s="59"/>
      <c r="O38" s="60"/>
      <c r="P38" s="59"/>
      <c r="Q38" s="61"/>
      <c r="R38" s="62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4.4" customHeight="1" x14ac:dyDescent="0.3">
      <c r="A39" s="282"/>
      <c r="B39" s="283"/>
      <c r="C39" s="283"/>
      <c r="D39" s="283"/>
      <c r="E39" s="283"/>
      <c r="F39" s="283"/>
      <c r="G39" s="280"/>
      <c r="H39" s="284"/>
      <c r="I39" s="284"/>
      <c r="J39" s="284"/>
      <c r="K39" s="284"/>
      <c r="L39" s="284"/>
      <c r="M39" s="284"/>
      <c r="N39" s="284"/>
      <c r="O39" s="285"/>
      <c r="P39" s="284"/>
      <c r="Q39" s="280"/>
      <c r="R39" s="281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22.05" customHeight="1" x14ac:dyDescent="0.3">
      <c r="A40" s="290" t="s">
        <v>5</v>
      </c>
      <c r="B40" s="291"/>
      <c r="C40" s="291"/>
      <c r="D40" s="291"/>
      <c r="E40" s="291"/>
      <c r="F40" s="291"/>
      <c r="G40" s="5">
        <v>45990</v>
      </c>
      <c r="H40" s="274" t="s">
        <v>6</v>
      </c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24" customHeight="1" x14ac:dyDescent="0.3">
      <c r="A41" s="31" t="s">
        <v>7</v>
      </c>
      <c r="B41" s="31" t="s">
        <v>8</v>
      </c>
      <c r="C41" s="32" t="s">
        <v>9</v>
      </c>
      <c r="D41" s="31" t="s">
        <v>10</v>
      </c>
      <c r="E41" s="31" t="s">
        <v>11</v>
      </c>
      <c r="F41" s="31" t="s">
        <v>12</v>
      </c>
      <c r="G41" s="33" t="s">
        <v>13</v>
      </c>
      <c r="H41" s="31" t="s">
        <v>14</v>
      </c>
      <c r="I41" s="34" t="s">
        <v>15</v>
      </c>
      <c r="J41" s="35" t="s">
        <v>16</v>
      </c>
      <c r="K41" s="36" t="s">
        <v>17</v>
      </c>
      <c r="L41" s="35" t="s">
        <v>18</v>
      </c>
      <c r="M41" s="35" t="s">
        <v>19</v>
      </c>
      <c r="N41" s="35" t="s">
        <v>20</v>
      </c>
      <c r="O41" s="31" t="s">
        <v>21</v>
      </c>
      <c r="P41" s="32" t="s">
        <v>22</v>
      </c>
      <c r="Q41" s="35" t="s">
        <v>23</v>
      </c>
      <c r="R41" s="31" t="s">
        <v>24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49.95" customHeight="1" x14ac:dyDescent="0.3">
      <c r="A42" s="8" t="s">
        <v>285</v>
      </c>
      <c r="B42" s="8" t="s">
        <v>1210</v>
      </c>
      <c r="C42" s="9">
        <v>0.84027777777777779</v>
      </c>
      <c r="D42" s="8" t="s">
        <v>81</v>
      </c>
      <c r="E42" s="8" t="s">
        <v>251</v>
      </c>
      <c r="F42" s="8" t="s">
        <v>1211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49.95" customHeight="1" x14ac:dyDescent="0.3">
      <c r="A43" s="251" t="s">
        <v>63</v>
      </c>
      <c r="B43" s="251" t="s">
        <v>1191</v>
      </c>
      <c r="C43" s="252">
        <v>0.86805555555555547</v>
      </c>
      <c r="D43" s="251" t="s">
        <v>48</v>
      </c>
      <c r="E43" s="251" t="s">
        <v>38</v>
      </c>
      <c r="F43" s="251" t="s">
        <v>1212</v>
      </c>
      <c r="G43" s="278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4.4" customHeight="1" x14ac:dyDescent="0.3">
      <c r="A44" s="282"/>
      <c r="B44" s="283"/>
      <c r="C44" s="283"/>
      <c r="D44" s="283"/>
      <c r="E44" s="283"/>
      <c r="F44" s="283"/>
      <c r="G44" s="280"/>
      <c r="H44" s="284"/>
      <c r="I44" s="284"/>
      <c r="J44" s="284"/>
      <c r="K44" s="284"/>
      <c r="L44" s="284"/>
      <c r="M44" s="284"/>
      <c r="N44" s="284"/>
      <c r="O44" s="285"/>
      <c r="P44" s="284"/>
      <c r="Q44" s="280"/>
      <c r="R44" s="281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22.05" customHeight="1" x14ac:dyDescent="0.3">
      <c r="A45" s="290" t="s">
        <v>5</v>
      </c>
      <c r="B45" s="291"/>
      <c r="C45" s="291"/>
      <c r="D45" s="291"/>
      <c r="E45" s="291"/>
      <c r="F45" s="291"/>
      <c r="G45" s="5">
        <v>45991</v>
      </c>
      <c r="H45" s="274" t="s">
        <v>6</v>
      </c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24" customHeight="1" x14ac:dyDescent="0.3">
      <c r="A46" s="31" t="s">
        <v>7</v>
      </c>
      <c r="B46" s="31" t="s">
        <v>8</v>
      </c>
      <c r="C46" s="32" t="s">
        <v>9</v>
      </c>
      <c r="D46" s="31" t="s">
        <v>10</v>
      </c>
      <c r="E46" s="31" t="s">
        <v>11</v>
      </c>
      <c r="F46" s="31" t="s">
        <v>12</v>
      </c>
      <c r="G46" s="33" t="s">
        <v>13</v>
      </c>
      <c r="H46" s="31" t="s">
        <v>14</v>
      </c>
      <c r="I46" s="34" t="s">
        <v>15</v>
      </c>
      <c r="J46" s="35" t="s">
        <v>16</v>
      </c>
      <c r="K46" s="36" t="s">
        <v>17</v>
      </c>
      <c r="L46" s="35" t="s">
        <v>18</v>
      </c>
      <c r="M46" s="35" t="s">
        <v>19</v>
      </c>
      <c r="N46" s="35" t="s">
        <v>20</v>
      </c>
      <c r="O46" s="31" t="s">
        <v>21</v>
      </c>
      <c r="P46" s="32" t="s">
        <v>22</v>
      </c>
      <c r="Q46" s="35" t="s">
        <v>23</v>
      </c>
      <c r="R46" s="31" t="s">
        <v>24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49.95" customHeight="1" x14ac:dyDescent="0.3">
      <c r="A47" s="195" t="s">
        <v>71</v>
      </c>
      <c r="B47" s="195" t="s">
        <v>1200</v>
      </c>
      <c r="C47" s="196">
        <v>0.63194444444444442</v>
      </c>
      <c r="D47" s="195" t="s">
        <v>81</v>
      </c>
      <c r="E47" s="195" t="s">
        <v>104</v>
      </c>
      <c r="F47" s="195" t="s">
        <v>123</v>
      </c>
      <c r="G47" s="276"/>
      <c r="H47" s="197" t="s">
        <v>1202</v>
      </c>
      <c r="I47" s="198">
        <v>0.74299999999999999</v>
      </c>
      <c r="J47" s="199">
        <v>133</v>
      </c>
      <c r="K47" s="200">
        <v>45983</v>
      </c>
      <c r="L47" s="199">
        <v>53</v>
      </c>
      <c r="M47" s="199">
        <v>0</v>
      </c>
      <c r="N47" s="199">
        <v>8</v>
      </c>
      <c r="O47" s="201" t="s">
        <v>387</v>
      </c>
      <c r="P47" s="202">
        <v>0.63194444444444442</v>
      </c>
      <c r="Q47" s="199">
        <v>179</v>
      </c>
      <c r="R47" s="203" t="s">
        <v>1213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49.95" customHeight="1" x14ac:dyDescent="0.3">
      <c r="A48" s="17" t="s">
        <v>285</v>
      </c>
      <c r="B48" s="17" t="s">
        <v>1186</v>
      </c>
      <c r="C48" s="18">
        <v>0.48958333333333331</v>
      </c>
      <c r="D48" s="17" t="s">
        <v>81</v>
      </c>
      <c r="E48" s="17" t="s">
        <v>38</v>
      </c>
      <c r="F48" s="17" t="s">
        <v>1214</v>
      </c>
      <c r="G48" s="277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49.95" customHeight="1" x14ac:dyDescent="0.3">
      <c r="A49" s="251" t="s">
        <v>360</v>
      </c>
      <c r="B49" s="251" t="s">
        <v>1193</v>
      </c>
      <c r="C49" s="252">
        <v>0.4375</v>
      </c>
      <c r="D49" s="251" t="s">
        <v>81</v>
      </c>
      <c r="E49" s="251" t="s">
        <v>28</v>
      </c>
      <c r="F49" s="251" t="s">
        <v>1195</v>
      </c>
      <c r="G49" s="278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4.4" customHeight="1" x14ac:dyDescent="0.3">
      <c r="A50" s="279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1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</sheetData>
  <mergeCells count="37">
    <mergeCell ref="G13:G14"/>
    <mergeCell ref="G42:G43"/>
    <mergeCell ref="H4:R4"/>
    <mergeCell ref="J1:M1"/>
    <mergeCell ref="A40:F40"/>
    <mergeCell ref="A50:R50"/>
    <mergeCell ref="H40:R40"/>
    <mergeCell ref="A2:F2"/>
    <mergeCell ref="A3:R3"/>
    <mergeCell ref="A33:F33"/>
    <mergeCell ref="G47:G49"/>
    <mergeCell ref="A32:R32"/>
    <mergeCell ref="G2:J2"/>
    <mergeCell ref="A4:F4"/>
    <mergeCell ref="G6:G9"/>
    <mergeCell ref="A23:R23"/>
    <mergeCell ref="H11:R11"/>
    <mergeCell ref="A10:R10"/>
    <mergeCell ref="H16:R16"/>
    <mergeCell ref="H45:R45"/>
    <mergeCell ref="K2:R2"/>
    <mergeCell ref="A45:F45"/>
    <mergeCell ref="H24:R24"/>
    <mergeCell ref="H33:R33"/>
    <mergeCell ref="A44:R44"/>
    <mergeCell ref="D1:F1"/>
    <mergeCell ref="A24:F24"/>
    <mergeCell ref="G35:G38"/>
    <mergeCell ref="A11:F11"/>
    <mergeCell ref="A39:R39"/>
    <mergeCell ref="A15:R15"/>
    <mergeCell ref="A1:C1"/>
    <mergeCell ref="G26:G31"/>
    <mergeCell ref="G1:H1"/>
    <mergeCell ref="A16:F16"/>
    <mergeCell ref="G18:G22"/>
    <mergeCell ref="O1:Q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177</v>
      </c>
      <c r="B2" s="96">
        <v>45988</v>
      </c>
      <c r="C2" s="97" t="s">
        <v>1202</v>
      </c>
      <c r="D2" s="98">
        <v>0.63194444444444442</v>
      </c>
      <c r="E2" s="97" t="s">
        <v>1185</v>
      </c>
      <c r="F2" s="97" t="s">
        <v>158</v>
      </c>
      <c r="G2" s="99">
        <v>0.6704</v>
      </c>
      <c r="H2" s="100">
        <v>179</v>
      </c>
      <c r="I2" s="100">
        <v>120</v>
      </c>
      <c r="J2" s="100">
        <v>0</v>
      </c>
      <c r="K2" s="96">
        <v>45983</v>
      </c>
      <c r="L2" s="100">
        <v>0</v>
      </c>
      <c r="M2" s="100">
        <v>7</v>
      </c>
      <c r="N2" s="100">
        <v>22</v>
      </c>
      <c r="O2" s="97" t="s">
        <v>899</v>
      </c>
      <c r="P2" s="101"/>
      <c r="Q2" s="101"/>
      <c r="R2" s="101"/>
      <c r="S2" s="101"/>
      <c r="T2" s="100" t="s">
        <v>541</v>
      </c>
      <c r="U2" s="100" t="s">
        <v>553</v>
      </c>
      <c r="V2" s="100" t="s">
        <v>528</v>
      </c>
      <c r="W2" s="100" t="s">
        <v>888</v>
      </c>
      <c r="X2" s="100" t="s">
        <v>876</v>
      </c>
      <c r="Y2" s="100" t="s">
        <v>531</v>
      </c>
      <c r="Z2" s="100" t="s">
        <v>567</v>
      </c>
      <c r="AA2" s="100" t="s">
        <v>1215</v>
      </c>
      <c r="AB2" s="100" t="s">
        <v>1216</v>
      </c>
      <c r="AC2" s="100" t="s">
        <v>172</v>
      </c>
      <c r="AD2" s="100" t="s">
        <v>885</v>
      </c>
      <c r="AE2" s="100" t="s">
        <v>174</v>
      </c>
      <c r="AF2" s="101"/>
      <c r="AG2" s="101"/>
      <c r="AH2" s="101"/>
      <c r="AI2" s="101"/>
    </row>
    <row r="3" spans="1:35" ht="18" x14ac:dyDescent="0.3">
      <c r="A3" s="102" t="s">
        <v>520</v>
      </c>
      <c r="B3" s="103">
        <v>45989</v>
      </c>
      <c r="C3" s="104" t="s">
        <v>1202</v>
      </c>
      <c r="D3" s="105">
        <v>0.82986111111111116</v>
      </c>
      <c r="E3" s="104" t="s">
        <v>1185</v>
      </c>
      <c r="F3" s="104" t="s">
        <v>158</v>
      </c>
      <c r="G3" s="106">
        <v>0.77090000000000003</v>
      </c>
      <c r="H3" s="107">
        <v>179</v>
      </c>
      <c r="I3" s="107">
        <v>138</v>
      </c>
      <c r="J3" s="107">
        <v>0</v>
      </c>
      <c r="K3" s="103">
        <v>45983</v>
      </c>
      <c r="L3" s="107">
        <v>0</v>
      </c>
      <c r="M3" s="107">
        <v>4</v>
      </c>
      <c r="N3" s="107">
        <v>30</v>
      </c>
      <c r="O3" s="104" t="s">
        <v>1022</v>
      </c>
      <c r="P3" s="108"/>
      <c r="Q3" s="108"/>
      <c r="R3" s="107" t="s">
        <v>1217</v>
      </c>
      <c r="S3" s="107" t="s">
        <v>1218</v>
      </c>
      <c r="T3" s="108"/>
      <c r="U3" s="107" t="s">
        <v>521</v>
      </c>
      <c r="V3" s="107" t="s">
        <v>887</v>
      </c>
      <c r="W3" s="107" t="s">
        <v>888</v>
      </c>
      <c r="X3" s="107" t="s">
        <v>544</v>
      </c>
      <c r="Y3" s="107" t="s">
        <v>657</v>
      </c>
      <c r="Z3" s="107" t="s">
        <v>881</v>
      </c>
      <c r="AA3" s="107" t="s">
        <v>252</v>
      </c>
      <c r="AB3" s="107" t="s">
        <v>181</v>
      </c>
      <c r="AC3" s="107" t="s">
        <v>651</v>
      </c>
      <c r="AD3" s="107" t="s">
        <v>183</v>
      </c>
      <c r="AE3" s="108"/>
      <c r="AF3" s="108"/>
      <c r="AG3" s="108"/>
      <c r="AH3" s="108"/>
      <c r="AI3" s="108"/>
    </row>
    <row r="4" spans="1:35" ht="18" x14ac:dyDescent="0.3">
      <c r="A4" s="95" t="s">
        <v>186</v>
      </c>
      <c r="B4" s="96">
        <v>45991</v>
      </c>
      <c r="C4" s="97" t="s">
        <v>1202</v>
      </c>
      <c r="D4" s="98">
        <v>0.63194444444444442</v>
      </c>
      <c r="E4" s="97" t="s">
        <v>1185</v>
      </c>
      <c r="F4" s="97" t="s">
        <v>158</v>
      </c>
      <c r="G4" s="99">
        <v>0.74299999999999999</v>
      </c>
      <c r="H4" s="100">
        <v>179</v>
      </c>
      <c r="I4" s="100">
        <v>133</v>
      </c>
      <c r="J4" s="100">
        <v>0</v>
      </c>
      <c r="K4" s="96">
        <v>45983</v>
      </c>
      <c r="L4" s="100">
        <v>0</v>
      </c>
      <c r="M4" s="100">
        <v>8</v>
      </c>
      <c r="N4" s="100">
        <v>53</v>
      </c>
      <c r="O4" s="97" t="s">
        <v>387</v>
      </c>
      <c r="P4" s="101"/>
      <c r="Q4" s="101"/>
      <c r="R4" s="101"/>
      <c r="S4" s="100" t="s">
        <v>945</v>
      </c>
      <c r="T4" s="101"/>
      <c r="U4" s="100" t="s">
        <v>899</v>
      </c>
      <c r="V4" s="100" t="s">
        <v>1219</v>
      </c>
      <c r="W4" s="100" t="s">
        <v>888</v>
      </c>
      <c r="X4" s="100" t="s">
        <v>544</v>
      </c>
      <c r="Y4" s="100" t="s">
        <v>709</v>
      </c>
      <c r="Z4" s="100" t="s">
        <v>525</v>
      </c>
      <c r="AA4" s="100" t="s">
        <v>166</v>
      </c>
      <c r="AB4" s="100" t="s">
        <v>488</v>
      </c>
      <c r="AC4" s="100" t="s">
        <v>268</v>
      </c>
      <c r="AD4" s="100" t="s">
        <v>441</v>
      </c>
      <c r="AE4" s="100" t="s">
        <v>659</v>
      </c>
      <c r="AF4" s="101"/>
      <c r="AG4" s="101"/>
      <c r="AH4" s="101"/>
      <c r="AI4" s="100" t="s">
        <v>163</v>
      </c>
    </row>
    <row r="5" spans="1:35" ht="18" x14ac:dyDescent="0.3">
      <c r="A5" s="109" t="s">
        <v>189</v>
      </c>
      <c r="B5" s="110"/>
      <c r="C5" s="111">
        <f>COUNTA(C2:C4)</f>
        <v>3</v>
      </c>
      <c r="D5" s="110"/>
      <c r="E5" s="110"/>
      <c r="F5" s="110"/>
      <c r="G5" s="112">
        <f>AVERAGE(G2:G4)</f>
        <v>0.72809999999999997</v>
      </c>
      <c r="H5" s="113">
        <f>SUM(H2:H4)</f>
        <v>537</v>
      </c>
      <c r="I5" s="113">
        <f>SUM(I2:I4)</f>
        <v>391</v>
      </c>
      <c r="J5" s="113">
        <f>SUM(J2:J4)</f>
        <v>0</v>
      </c>
      <c r="K5" s="110"/>
      <c r="L5" s="113">
        <f>SUM(L2:L4)</f>
        <v>0</v>
      </c>
      <c r="M5" s="113">
        <f>SUM(M2:M4)</f>
        <v>19</v>
      </c>
      <c r="N5" s="113">
        <f>SUM(N2:N4)</f>
        <v>105</v>
      </c>
      <c r="O5" s="110"/>
      <c r="P5" s="11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113">
        <f t="shared" si="0"/>
        <v>0</v>
      </c>
      <c r="R5" s="113">
        <f t="shared" si="0"/>
        <v>0</v>
      </c>
      <c r="S5" s="113">
        <f t="shared" si="0"/>
        <v>0</v>
      </c>
      <c r="T5" s="113">
        <f t="shared" si="0"/>
        <v>0</v>
      </c>
      <c r="U5" s="113">
        <f t="shared" si="0"/>
        <v>0</v>
      </c>
      <c r="V5" s="113">
        <f t="shared" si="0"/>
        <v>0</v>
      </c>
      <c r="W5" s="113">
        <f t="shared" si="0"/>
        <v>0</v>
      </c>
      <c r="X5" s="113">
        <f t="shared" si="0"/>
        <v>0</v>
      </c>
      <c r="Y5" s="113">
        <f t="shared" si="0"/>
        <v>0</v>
      </c>
      <c r="Z5" s="113">
        <f t="shared" si="0"/>
        <v>0</v>
      </c>
      <c r="AA5" s="113">
        <f t="shared" si="0"/>
        <v>0</v>
      </c>
      <c r="AB5" s="113">
        <f t="shared" si="0"/>
        <v>0</v>
      </c>
      <c r="AC5" s="113">
        <f t="shared" si="0"/>
        <v>0</v>
      </c>
      <c r="AD5" s="113">
        <f t="shared" si="0"/>
        <v>0</v>
      </c>
      <c r="AE5" s="113">
        <f t="shared" si="0"/>
        <v>0</v>
      </c>
      <c r="AF5" s="113">
        <f t="shared" si="0"/>
        <v>0</v>
      </c>
      <c r="AG5" s="113">
        <f t="shared" si="0"/>
        <v>0</v>
      </c>
      <c r="AH5" s="113">
        <f t="shared" si="0"/>
        <v>0</v>
      </c>
      <c r="AI5" s="113">
        <f t="shared" si="0"/>
        <v>0</v>
      </c>
    </row>
  </sheetData>
  <autoFilter ref="A1:AI4" xr:uid="{00000000-0009-0000-0000-000041000000}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27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115">
        <v>45985</v>
      </c>
      <c r="B2" s="116" t="s">
        <v>285</v>
      </c>
      <c r="C2" s="117" t="s">
        <v>1186</v>
      </c>
      <c r="D2" s="116" t="s">
        <v>1185</v>
      </c>
      <c r="E2" s="118">
        <v>1.489583333333333</v>
      </c>
      <c r="F2" s="116" t="s">
        <v>81</v>
      </c>
      <c r="G2" s="119">
        <v>7</v>
      </c>
      <c r="H2" s="120" t="s">
        <v>1187</v>
      </c>
    </row>
    <row r="3" spans="1:8" ht="18" x14ac:dyDescent="0.3">
      <c r="A3" s="126">
        <v>45985</v>
      </c>
      <c r="B3" s="116" t="s">
        <v>280</v>
      </c>
      <c r="C3" s="117" t="s">
        <v>1188</v>
      </c>
      <c r="D3" s="116" t="s">
        <v>1185</v>
      </c>
      <c r="E3" s="118">
        <v>1.7673611111111109</v>
      </c>
      <c r="F3" s="116" t="s">
        <v>282</v>
      </c>
      <c r="G3" s="119">
        <v>1</v>
      </c>
      <c r="H3" s="116" t="s">
        <v>1189</v>
      </c>
    </row>
    <row r="4" spans="1:8" ht="18" x14ac:dyDescent="0.3">
      <c r="A4" s="121">
        <v>45985</v>
      </c>
      <c r="B4" s="122" t="s">
        <v>280</v>
      </c>
      <c r="C4" s="123" t="s">
        <v>1188</v>
      </c>
      <c r="D4" s="122" t="s">
        <v>1185</v>
      </c>
      <c r="E4" s="124">
        <v>1.7673611111111109</v>
      </c>
      <c r="F4" s="122" t="s">
        <v>33</v>
      </c>
      <c r="G4" s="125">
        <v>1</v>
      </c>
      <c r="H4" s="122" t="s">
        <v>1190</v>
      </c>
    </row>
    <row r="5" spans="1:8" ht="18" x14ac:dyDescent="0.3">
      <c r="A5" s="189">
        <v>45985</v>
      </c>
      <c r="B5" s="190" t="s">
        <v>63</v>
      </c>
      <c r="C5" s="191" t="s">
        <v>1191</v>
      </c>
      <c r="D5" s="190" t="s">
        <v>1185</v>
      </c>
      <c r="E5" s="192">
        <v>1.8715277777777779</v>
      </c>
      <c r="F5" s="190" t="s">
        <v>48</v>
      </c>
      <c r="G5" s="193">
        <v>9</v>
      </c>
      <c r="H5" s="190" t="s">
        <v>1192</v>
      </c>
    </row>
    <row r="6" spans="1:8" ht="18" x14ac:dyDescent="0.3">
      <c r="A6" s="115">
        <v>45986</v>
      </c>
      <c r="B6" s="116" t="s">
        <v>285</v>
      </c>
      <c r="C6" s="117" t="s">
        <v>1186</v>
      </c>
      <c r="D6" s="116" t="s">
        <v>1185</v>
      </c>
      <c r="E6" s="118">
        <v>1.489583333333333</v>
      </c>
      <c r="F6" s="116" t="s">
        <v>81</v>
      </c>
      <c r="G6" s="119">
        <v>2</v>
      </c>
      <c r="H6" s="120" t="s">
        <v>1187</v>
      </c>
    </row>
    <row r="7" spans="1:8" ht="18" x14ac:dyDescent="0.3">
      <c r="A7" s="189">
        <v>45986</v>
      </c>
      <c r="B7" s="190" t="s">
        <v>360</v>
      </c>
      <c r="C7" s="191" t="s">
        <v>1193</v>
      </c>
      <c r="D7" s="190" t="s">
        <v>1185</v>
      </c>
      <c r="E7" s="192">
        <v>1.4375</v>
      </c>
      <c r="F7" s="190" t="s">
        <v>81</v>
      </c>
      <c r="G7" s="193">
        <v>5</v>
      </c>
      <c r="H7" s="190" t="s">
        <v>1194</v>
      </c>
    </row>
    <row r="8" spans="1:8" ht="18" x14ac:dyDescent="0.3">
      <c r="A8" s="115">
        <v>45987</v>
      </c>
      <c r="B8" s="116" t="s">
        <v>285</v>
      </c>
      <c r="C8" s="117" t="s">
        <v>1186</v>
      </c>
      <c r="D8" s="116" t="s">
        <v>1185</v>
      </c>
      <c r="E8" s="118">
        <v>1.489583333333333</v>
      </c>
      <c r="F8" s="116" t="s">
        <v>81</v>
      </c>
      <c r="G8" s="119">
        <v>1</v>
      </c>
      <c r="H8" s="120" t="s">
        <v>815</v>
      </c>
    </row>
    <row r="9" spans="1:8" ht="18" x14ac:dyDescent="0.3">
      <c r="A9" s="126">
        <v>45987</v>
      </c>
      <c r="B9" s="116" t="s">
        <v>360</v>
      </c>
      <c r="C9" s="117" t="s">
        <v>1193</v>
      </c>
      <c r="D9" s="116" t="s">
        <v>1185</v>
      </c>
      <c r="E9" s="118">
        <v>1.4548611111111109</v>
      </c>
      <c r="F9" s="116" t="s">
        <v>81</v>
      </c>
      <c r="G9" s="119">
        <v>1</v>
      </c>
      <c r="H9" s="116" t="s">
        <v>1195</v>
      </c>
    </row>
    <row r="10" spans="1:8" ht="18" x14ac:dyDescent="0.3">
      <c r="A10" s="126">
        <v>45987</v>
      </c>
      <c r="B10" s="116" t="s">
        <v>280</v>
      </c>
      <c r="C10" s="117" t="s">
        <v>1188</v>
      </c>
      <c r="D10" s="116" t="s">
        <v>1185</v>
      </c>
      <c r="E10" s="118">
        <v>1.7673611111111109</v>
      </c>
      <c r="F10" s="116" t="s">
        <v>282</v>
      </c>
      <c r="G10" s="119">
        <v>2</v>
      </c>
      <c r="H10" s="116" t="s">
        <v>1196</v>
      </c>
    </row>
    <row r="11" spans="1:8" ht="18" x14ac:dyDescent="0.3">
      <c r="A11" s="121">
        <v>45987</v>
      </c>
      <c r="B11" s="122" t="s">
        <v>280</v>
      </c>
      <c r="C11" s="123" t="s">
        <v>1188</v>
      </c>
      <c r="D11" s="122" t="s">
        <v>1185</v>
      </c>
      <c r="E11" s="124">
        <v>1.7673611111111109</v>
      </c>
      <c r="F11" s="122" t="s">
        <v>33</v>
      </c>
      <c r="G11" s="125">
        <v>2</v>
      </c>
      <c r="H11" s="122" t="s">
        <v>1197</v>
      </c>
    </row>
    <row r="12" spans="1:8" ht="18" x14ac:dyDescent="0.3">
      <c r="A12" s="189">
        <v>45987</v>
      </c>
      <c r="B12" s="190" t="s">
        <v>63</v>
      </c>
      <c r="C12" s="191" t="s">
        <v>1191</v>
      </c>
      <c r="D12" s="190" t="s">
        <v>1185</v>
      </c>
      <c r="E12" s="192">
        <v>1.8715277777777779</v>
      </c>
      <c r="F12" s="190" t="s">
        <v>48</v>
      </c>
      <c r="G12" s="193">
        <v>9</v>
      </c>
      <c r="H12" s="190" t="s">
        <v>1198</v>
      </c>
    </row>
    <row r="13" spans="1:8" ht="18" x14ac:dyDescent="0.3">
      <c r="A13" s="115">
        <v>45988</v>
      </c>
      <c r="B13" s="116" t="s">
        <v>285</v>
      </c>
      <c r="C13" s="117" t="s">
        <v>1186</v>
      </c>
      <c r="D13" s="116" t="s">
        <v>1185</v>
      </c>
      <c r="E13" s="118">
        <v>1.489583333333333</v>
      </c>
      <c r="F13" s="116" t="s">
        <v>81</v>
      </c>
      <c r="G13" s="119">
        <v>3</v>
      </c>
      <c r="H13" s="120" t="s">
        <v>1199</v>
      </c>
    </row>
    <row r="14" spans="1:8" ht="18" x14ac:dyDescent="0.3">
      <c r="A14" s="136">
        <v>45988</v>
      </c>
      <c r="B14" s="137" t="s">
        <v>71</v>
      </c>
      <c r="C14" s="138" t="s">
        <v>1200</v>
      </c>
      <c r="D14" s="137" t="s">
        <v>1185</v>
      </c>
      <c r="E14" s="139">
        <v>1.631944444444444</v>
      </c>
      <c r="F14" s="137" t="s">
        <v>81</v>
      </c>
      <c r="G14" s="140">
        <v>2</v>
      </c>
      <c r="H14" s="137" t="s">
        <v>1201</v>
      </c>
    </row>
    <row r="15" spans="1:8" ht="18" x14ac:dyDescent="0.3">
      <c r="A15" s="126">
        <v>45988</v>
      </c>
      <c r="B15" s="116" t="s">
        <v>280</v>
      </c>
      <c r="C15" s="117" t="s">
        <v>1188</v>
      </c>
      <c r="D15" s="116" t="s">
        <v>1185</v>
      </c>
      <c r="E15" s="118">
        <v>1.7673611111111109</v>
      </c>
      <c r="F15" s="116" t="s">
        <v>282</v>
      </c>
      <c r="G15" s="119">
        <v>1</v>
      </c>
      <c r="H15" s="116" t="s">
        <v>1204</v>
      </c>
    </row>
    <row r="16" spans="1:8" ht="18" x14ac:dyDescent="0.3">
      <c r="A16" s="121">
        <v>45988</v>
      </c>
      <c r="B16" s="122" t="s">
        <v>280</v>
      </c>
      <c r="C16" s="123" t="s">
        <v>1188</v>
      </c>
      <c r="D16" s="122" t="s">
        <v>1185</v>
      </c>
      <c r="E16" s="124">
        <v>1.7673611111111109</v>
      </c>
      <c r="F16" s="122" t="s">
        <v>33</v>
      </c>
      <c r="G16" s="125">
        <v>1</v>
      </c>
      <c r="H16" s="122" t="s">
        <v>1205</v>
      </c>
    </row>
    <row r="17" spans="1:8" ht="18" x14ac:dyDescent="0.3">
      <c r="A17" s="126">
        <v>45988</v>
      </c>
      <c r="B17" s="116" t="s">
        <v>360</v>
      </c>
      <c r="C17" s="117" t="s">
        <v>1193</v>
      </c>
      <c r="D17" s="116" t="s">
        <v>1185</v>
      </c>
      <c r="E17" s="118">
        <v>1.4548611111111109</v>
      </c>
      <c r="F17" s="116" t="s">
        <v>81</v>
      </c>
      <c r="G17" s="119">
        <v>5</v>
      </c>
      <c r="H17" s="116" t="s">
        <v>1206</v>
      </c>
    </row>
    <row r="18" spans="1:8" ht="18" x14ac:dyDescent="0.3">
      <c r="A18" s="189">
        <v>45988</v>
      </c>
      <c r="B18" s="190" t="s">
        <v>63</v>
      </c>
      <c r="C18" s="191" t="s">
        <v>1191</v>
      </c>
      <c r="D18" s="190" t="s">
        <v>1185</v>
      </c>
      <c r="E18" s="192">
        <v>1.8715277777777779</v>
      </c>
      <c r="F18" s="190" t="s">
        <v>48</v>
      </c>
      <c r="G18" s="193">
        <v>8</v>
      </c>
      <c r="H18" s="190" t="s">
        <v>1207</v>
      </c>
    </row>
    <row r="19" spans="1:8" ht="18" x14ac:dyDescent="0.3">
      <c r="A19" s="115">
        <v>45989</v>
      </c>
      <c r="B19" s="116" t="s">
        <v>285</v>
      </c>
      <c r="C19" s="117" t="s">
        <v>1186</v>
      </c>
      <c r="D19" s="116" t="s">
        <v>1185</v>
      </c>
      <c r="E19" s="118">
        <v>1.489583333333333</v>
      </c>
      <c r="F19" s="116" t="s">
        <v>81</v>
      </c>
      <c r="G19" s="119">
        <v>1</v>
      </c>
      <c r="H19" s="120" t="s">
        <v>1199</v>
      </c>
    </row>
    <row r="20" spans="1:8" ht="18" x14ac:dyDescent="0.3">
      <c r="A20" s="126">
        <v>45989</v>
      </c>
      <c r="B20" s="116" t="s">
        <v>360</v>
      </c>
      <c r="C20" s="117" t="s">
        <v>1193</v>
      </c>
      <c r="D20" s="116" t="s">
        <v>1185</v>
      </c>
      <c r="E20" s="118">
        <v>1.697916666666667</v>
      </c>
      <c r="F20" s="116" t="s">
        <v>81</v>
      </c>
      <c r="G20" s="119">
        <v>2</v>
      </c>
      <c r="H20" s="116" t="s">
        <v>1206</v>
      </c>
    </row>
    <row r="21" spans="1:8" ht="18" x14ac:dyDescent="0.3">
      <c r="A21" s="136">
        <v>45989</v>
      </c>
      <c r="B21" s="137" t="s">
        <v>71</v>
      </c>
      <c r="C21" s="138" t="s">
        <v>1200</v>
      </c>
      <c r="D21" s="137" t="s">
        <v>1185</v>
      </c>
      <c r="E21" s="139">
        <v>1.8298611111111109</v>
      </c>
      <c r="F21" s="137" t="s">
        <v>81</v>
      </c>
      <c r="G21" s="140">
        <v>8</v>
      </c>
      <c r="H21" s="137" t="s">
        <v>1208</v>
      </c>
    </row>
    <row r="22" spans="1:8" ht="18" x14ac:dyDescent="0.3">
      <c r="A22" s="189">
        <v>45989</v>
      </c>
      <c r="B22" s="190" t="s">
        <v>63</v>
      </c>
      <c r="C22" s="191" t="s">
        <v>1191</v>
      </c>
      <c r="D22" s="190" t="s">
        <v>1185</v>
      </c>
      <c r="E22" s="192">
        <v>1.8715277777777779</v>
      </c>
      <c r="F22" s="190" t="s">
        <v>48</v>
      </c>
      <c r="G22" s="193">
        <v>9</v>
      </c>
      <c r="H22" s="190" t="s">
        <v>404</v>
      </c>
    </row>
    <row r="23" spans="1:8" ht="18" x14ac:dyDescent="0.3">
      <c r="A23" s="115">
        <v>45990</v>
      </c>
      <c r="B23" s="116" t="s">
        <v>285</v>
      </c>
      <c r="C23" s="117" t="s">
        <v>1210</v>
      </c>
      <c r="D23" s="116" t="s">
        <v>1185</v>
      </c>
      <c r="E23" s="118">
        <v>1.8402777777777779</v>
      </c>
      <c r="F23" s="116" t="s">
        <v>81</v>
      </c>
      <c r="G23" s="119">
        <v>6</v>
      </c>
      <c r="H23" s="120" t="s">
        <v>1211</v>
      </c>
    </row>
    <row r="24" spans="1:8" ht="18" x14ac:dyDescent="0.3">
      <c r="A24" s="189">
        <v>45990</v>
      </c>
      <c r="B24" s="190" t="s">
        <v>63</v>
      </c>
      <c r="C24" s="191" t="s">
        <v>1191</v>
      </c>
      <c r="D24" s="190" t="s">
        <v>1185</v>
      </c>
      <c r="E24" s="192">
        <v>1.868055555555556</v>
      </c>
      <c r="F24" s="190" t="s">
        <v>48</v>
      </c>
      <c r="G24" s="193">
        <v>9</v>
      </c>
      <c r="H24" s="190" t="s">
        <v>1212</v>
      </c>
    </row>
    <row r="25" spans="1:8" ht="18" x14ac:dyDescent="0.3">
      <c r="A25" s="187">
        <v>45991</v>
      </c>
      <c r="B25" s="137" t="s">
        <v>71</v>
      </c>
      <c r="C25" s="138" t="s">
        <v>1200</v>
      </c>
      <c r="D25" s="137" t="s">
        <v>1185</v>
      </c>
      <c r="E25" s="139">
        <v>1.631944444444444</v>
      </c>
      <c r="F25" s="137" t="s">
        <v>81</v>
      </c>
      <c r="G25" s="140">
        <v>1</v>
      </c>
      <c r="H25" s="188" t="s">
        <v>123</v>
      </c>
    </row>
    <row r="26" spans="1:8" ht="18" x14ac:dyDescent="0.3">
      <c r="A26" s="126">
        <v>45991</v>
      </c>
      <c r="B26" s="116" t="s">
        <v>285</v>
      </c>
      <c r="C26" s="117" t="s">
        <v>1186</v>
      </c>
      <c r="D26" s="116" t="s">
        <v>1185</v>
      </c>
      <c r="E26" s="118">
        <v>1.489583333333333</v>
      </c>
      <c r="F26" s="116" t="s">
        <v>81</v>
      </c>
      <c r="G26" s="119">
        <v>9</v>
      </c>
      <c r="H26" s="116" t="s">
        <v>1214</v>
      </c>
    </row>
    <row r="27" spans="1:8" ht="18" x14ac:dyDescent="0.3">
      <c r="A27" s="189">
        <v>45991</v>
      </c>
      <c r="B27" s="190" t="s">
        <v>360</v>
      </c>
      <c r="C27" s="191" t="s">
        <v>1193</v>
      </c>
      <c r="D27" s="190" t="s">
        <v>1185</v>
      </c>
      <c r="E27" s="192">
        <v>1.4375</v>
      </c>
      <c r="F27" s="190" t="s">
        <v>81</v>
      </c>
      <c r="G27" s="193">
        <v>5</v>
      </c>
      <c r="H27" s="190" t="s">
        <v>1195</v>
      </c>
    </row>
  </sheetData>
  <dataValidations count="3">
    <dataValidation type="custom" allowBlank="1" showInputMessage="1" promptTitle="LOAD FACTOR ANALYSIS" prompt="SM-427_x000d__x000a_LF 67.0%_x000d__x000a_SOLD 120_x000d__x000a_LST-SOLD 22NOV_x000d__x000a_WEEKLY 22_x000d__x000a_TO-DAY NIL_x000d__x000a_Y-DAY 7_x000d__x000a_LOWEST AVAIL K2_x000d__x000a_CAPACITY 179_x000d__x000a_CLASSES Q2 &amp; K8 &amp; V10 &amp; +9 more" sqref="A14 B14 C14 D14 E14 F14 G14 H14" xr:uid="{00000000-0002-0000-4200-000000000000}">
      <formula1>TRUE</formula1>
    </dataValidation>
    <dataValidation type="custom" allowBlank="1" showInputMessage="1" promptTitle="LOAD FACTOR ANALYSIS" prompt="SM-427_x000d__x000a_LF 77.1%_x000d__x000a_SOLD 138_x000d__x000a_LST-SOLD 22NOV_x000d__x000a_WEEKLY 30_x000d__x000a_TO-DAY NIL_x000d__x000a_Y-DAY 4_x000d__x000a_LOWEST AVAIL H8_x000d__x000a_CAPACITY 179_x000d__x000a_CLASSES M16 &amp; H41 &amp; K9 &amp; +9 more" sqref="A21 B21 C21 D21 E21 F21 G21 H21" xr:uid="{00000000-0002-0000-4200-000001000000}">
      <formula1>TRUE</formula1>
    </dataValidation>
    <dataValidation type="custom" allowBlank="1" showInputMessage="1" promptTitle="LOAD FACTOR ANALYSIS" prompt="SM-427_x000d__x000a_LF 74.3%_x000d__x000a_SOLD 133_x000d__x000a_LST-SOLD 22NOV_x000d__x000a_WEEKLY 53_x000d__x000a_TO-DAY NIL_x000d__x000a_Y-DAY 8_x000d__x000a_LOWEST AVAIL V1_x000d__x000a_CAPACITY 179_x000d__x000a_CLASSES H1 &amp; K2 &amp; V44 &amp; +10 more" sqref="A25 B25 C25 D25 E25 F25 G25 H25" xr:uid="{00000000-0002-0000-42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N1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1093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1220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45984.358602115652</v>
      </c>
      <c r="H2" s="287"/>
      <c r="I2" s="287"/>
      <c r="J2" s="287"/>
      <c r="K2" s="292">
        <v>45984.358602116074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65" t="s">
        <v>71</v>
      </c>
      <c r="B6" s="165" t="s">
        <v>1221</v>
      </c>
      <c r="C6" s="166">
        <v>0.85763888888888884</v>
      </c>
      <c r="D6" s="165" t="s">
        <v>81</v>
      </c>
      <c r="E6" s="165" t="s">
        <v>38</v>
      </c>
      <c r="F6" s="165" t="s">
        <v>1222</v>
      </c>
      <c r="G6" s="276"/>
      <c r="H6" s="168" t="s">
        <v>1223</v>
      </c>
      <c r="I6" s="240">
        <v>0.59219999999999995</v>
      </c>
      <c r="J6" s="170">
        <v>106</v>
      </c>
      <c r="K6" s="171">
        <v>45984</v>
      </c>
      <c r="L6" s="170">
        <v>43</v>
      </c>
      <c r="M6" s="170">
        <v>1</v>
      </c>
      <c r="N6" s="170">
        <v>6</v>
      </c>
      <c r="O6" s="172" t="s">
        <v>497</v>
      </c>
      <c r="P6" s="173">
        <v>0.85763888888888884</v>
      </c>
      <c r="Q6" s="170">
        <v>179</v>
      </c>
      <c r="R6" s="174" t="s">
        <v>1224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1225</v>
      </c>
      <c r="B7" s="301"/>
      <c r="C7" s="301"/>
      <c r="D7" s="301"/>
      <c r="E7" s="301"/>
      <c r="F7" s="301"/>
      <c r="G7" s="277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285</v>
      </c>
      <c r="B8" s="19" t="s">
        <v>1186</v>
      </c>
      <c r="C8" s="20" t="s">
        <v>582</v>
      </c>
      <c r="D8" s="19" t="s">
        <v>81</v>
      </c>
      <c r="E8" s="19" t="s">
        <v>204</v>
      </c>
      <c r="F8" s="19" t="s">
        <v>1187</v>
      </c>
      <c r="G8" s="277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63" t="s">
        <v>360</v>
      </c>
      <c r="B9" s="63" t="s">
        <v>1193</v>
      </c>
      <c r="C9" s="64" t="s">
        <v>623</v>
      </c>
      <c r="D9" s="63" t="s">
        <v>81</v>
      </c>
      <c r="E9" s="63" t="s">
        <v>223</v>
      </c>
      <c r="F9" s="63" t="s">
        <v>1194</v>
      </c>
      <c r="G9" s="278"/>
      <c r="H9" s="178"/>
      <c r="I9" s="178"/>
      <c r="J9" s="178"/>
      <c r="K9" s="178"/>
      <c r="L9" s="178"/>
      <c r="M9" s="178"/>
      <c r="N9" s="178"/>
      <c r="O9" s="179"/>
      <c r="P9" s="178"/>
      <c r="Q9" s="180"/>
      <c r="R9" s="180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82"/>
      <c r="B10" s="283"/>
      <c r="C10" s="283"/>
      <c r="D10" s="283"/>
      <c r="E10" s="283"/>
      <c r="F10" s="283"/>
      <c r="G10" s="280"/>
      <c r="H10" s="284"/>
      <c r="I10" s="284"/>
      <c r="J10" s="284"/>
      <c r="K10" s="284"/>
      <c r="L10" s="284"/>
      <c r="M10" s="284"/>
      <c r="N10" s="284"/>
      <c r="O10" s="285"/>
      <c r="P10" s="284"/>
      <c r="Q10" s="280"/>
      <c r="R10" s="281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22.05" customHeight="1" x14ac:dyDescent="0.3">
      <c r="A11" s="290" t="s">
        <v>5</v>
      </c>
      <c r="B11" s="291"/>
      <c r="C11" s="291"/>
      <c r="D11" s="291"/>
      <c r="E11" s="291"/>
      <c r="F11" s="291"/>
      <c r="G11" s="5">
        <v>45990</v>
      </c>
      <c r="H11" s="274" t="s">
        <v>6</v>
      </c>
      <c r="I11" s="275"/>
      <c r="J11" s="275"/>
      <c r="K11" s="275"/>
      <c r="L11" s="275"/>
      <c r="M11" s="275"/>
      <c r="N11" s="275"/>
      <c r="O11" s="275"/>
      <c r="P11" s="275"/>
      <c r="Q11" s="275"/>
      <c r="R11" s="275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4" customHeight="1" x14ac:dyDescent="0.3">
      <c r="A12" s="31" t="s">
        <v>7</v>
      </c>
      <c r="B12" s="31" t="s">
        <v>8</v>
      </c>
      <c r="C12" s="32" t="s">
        <v>9</v>
      </c>
      <c r="D12" s="31" t="s">
        <v>10</v>
      </c>
      <c r="E12" s="31" t="s">
        <v>11</v>
      </c>
      <c r="F12" s="31" t="s">
        <v>12</v>
      </c>
      <c r="G12" s="33" t="s">
        <v>13</v>
      </c>
      <c r="H12" s="31" t="s">
        <v>14</v>
      </c>
      <c r="I12" s="34" t="s">
        <v>15</v>
      </c>
      <c r="J12" s="35" t="s">
        <v>16</v>
      </c>
      <c r="K12" s="36" t="s">
        <v>17</v>
      </c>
      <c r="L12" s="35" t="s">
        <v>18</v>
      </c>
      <c r="M12" s="35" t="s">
        <v>19</v>
      </c>
      <c r="N12" s="35" t="s">
        <v>20</v>
      </c>
      <c r="O12" s="31" t="s">
        <v>21</v>
      </c>
      <c r="P12" s="32" t="s">
        <v>22</v>
      </c>
      <c r="Q12" s="35" t="s">
        <v>23</v>
      </c>
      <c r="R12" s="31" t="s">
        <v>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37" t="s">
        <v>71</v>
      </c>
      <c r="B13" s="37" t="s">
        <v>1221</v>
      </c>
      <c r="C13" s="38">
        <v>0.69097222222222221</v>
      </c>
      <c r="D13" s="37" t="s">
        <v>81</v>
      </c>
      <c r="E13" s="37" t="s">
        <v>28</v>
      </c>
      <c r="F13" s="37" t="s">
        <v>275</v>
      </c>
      <c r="G13" s="276"/>
      <c r="H13" s="39" t="s">
        <v>1223</v>
      </c>
      <c r="I13" s="267">
        <v>0.50280000000000002</v>
      </c>
      <c r="J13" s="41">
        <v>90</v>
      </c>
      <c r="K13" s="42">
        <v>45983</v>
      </c>
      <c r="L13" s="41">
        <v>34</v>
      </c>
      <c r="M13" s="41">
        <v>0</v>
      </c>
      <c r="N13" s="41">
        <v>13</v>
      </c>
      <c r="O13" s="43" t="s">
        <v>511</v>
      </c>
      <c r="P13" s="44">
        <v>0.69097222222222221</v>
      </c>
      <c r="Q13" s="41">
        <v>179</v>
      </c>
      <c r="R13" s="45" t="s">
        <v>1226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8" x14ac:dyDescent="0.3">
      <c r="A14" s="300" t="s">
        <v>1225</v>
      </c>
      <c r="B14" s="301"/>
      <c r="C14" s="301"/>
      <c r="D14" s="301"/>
      <c r="E14" s="301"/>
      <c r="F14" s="301"/>
      <c r="G14" s="277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49.95" customHeight="1" x14ac:dyDescent="0.3">
      <c r="A15" s="19" t="s">
        <v>285</v>
      </c>
      <c r="B15" s="19" t="s">
        <v>1210</v>
      </c>
      <c r="C15" s="20" t="s">
        <v>1227</v>
      </c>
      <c r="D15" s="19" t="s">
        <v>81</v>
      </c>
      <c r="E15" s="19" t="s">
        <v>619</v>
      </c>
      <c r="F15" s="19" t="s">
        <v>1211</v>
      </c>
      <c r="G15" s="277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63" t="s">
        <v>63</v>
      </c>
      <c r="B16" s="63" t="s">
        <v>1191</v>
      </c>
      <c r="C16" s="64" t="s">
        <v>587</v>
      </c>
      <c r="D16" s="63" t="s">
        <v>48</v>
      </c>
      <c r="E16" s="63" t="s">
        <v>206</v>
      </c>
      <c r="F16" s="63" t="s">
        <v>1212</v>
      </c>
      <c r="G16" s="278"/>
      <c r="H16" s="178"/>
      <c r="I16" s="178"/>
      <c r="J16" s="178"/>
      <c r="K16" s="178"/>
      <c r="L16" s="178"/>
      <c r="M16" s="178"/>
      <c r="N16" s="178"/>
      <c r="O16" s="179"/>
      <c r="P16" s="178"/>
      <c r="Q16" s="180"/>
      <c r="R16" s="180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4.4" customHeight="1" x14ac:dyDescent="0.3">
      <c r="A17" s="279"/>
      <c r="B17" s="280"/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O17" s="280"/>
      <c r="P17" s="280"/>
      <c r="Q17" s="280"/>
      <c r="R17" s="281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</sheetData>
  <mergeCells count="19">
    <mergeCell ref="G2:J2"/>
    <mergeCell ref="A4:F4"/>
    <mergeCell ref="G6:G9"/>
    <mergeCell ref="A17:R17"/>
    <mergeCell ref="J1:M1"/>
    <mergeCell ref="H11:R11"/>
    <mergeCell ref="A10:R10"/>
    <mergeCell ref="K2:R2"/>
    <mergeCell ref="D1:F1"/>
    <mergeCell ref="A11:F11"/>
    <mergeCell ref="A1:C1"/>
    <mergeCell ref="G1:H1"/>
    <mergeCell ref="A7:F7"/>
    <mergeCell ref="O1:Q1"/>
    <mergeCell ref="H4:R4"/>
    <mergeCell ref="A2:F2"/>
    <mergeCell ref="A3:R3"/>
    <mergeCell ref="G13:G16"/>
    <mergeCell ref="A14:F1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164</v>
      </c>
      <c r="B2" s="96">
        <v>45986</v>
      </c>
      <c r="C2" s="97" t="s">
        <v>1223</v>
      </c>
      <c r="D2" s="98">
        <v>0.85763888888888884</v>
      </c>
      <c r="E2" s="97" t="s">
        <v>1220</v>
      </c>
      <c r="F2" s="97" t="s">
        <v>158</v>
      </c>
      <c r="G2" s="99">
        <v>0.59219999999999995</v>
      </c>
      <c r="H2" s="100">
        <v>179</v>
      </c>
      <c r="I2" s="100">
        <v>106</v>
      </c>
      <c r="J2" s="100">
        <v>0</v>
      </c>
      <c r="K2" s="96">
        <v>45984</v>
      </c>
      <c r="L2" s="100">
        <v>1</v>
      </c>
      <c r="M2" s="100">
        <v>6</v>
      </c>
      <c r="N2" s="100">
        <v>43</v>
      </c>
      <c r="O2" s="97" t="s">
        <v>497</v>
      </c>
      <c r="P2" s="101"/>
      <c r="Q2" s="101"/>
      <c r="R2" s="101"/>
      <c r="S2" s="101"/>
      <c r="T2" s="101"/>
      <c r="U2" s="101"/>
      <c r="V2" s="100" t="s">
        <v>159</v>
      </c>
      <c r="W2" s="100" t="s">
        <v>941</v>
      </c>
      <c r="X2" s="100" t="s">
        <v>1228</v>
      </c>
      <c r="Y2" s="100" t="s">
        <v>709</v>
      </c>
      <c r="Z2" s="100" t="s">
        <v>881</v>
      </c>
      <c r="AA2" s="101"/>
      <c r="AB2" s="100" t="s">
        <v>181</v>
      </c>
      <c r="AC2" s="100" t="s">
        <v>1030</v>
      </c>
      <c r="AD2" s="100" t="s">
        <v>448</v>
      </c>
      <c r="AE2" s="100" t="s">
        <v>256</v>
      </c>
      <c r="AF2" s="101"/>
      <c r="AG2" s="101"/>
      <c r="AH2" s="101"/>
      <c r="AI2" s="101"/>
    </row>
    <row r="3" spans="1:35" ht="18" x14ac:dyDescent="0.3">
      <c r="A3" s="102" t="s">
        <v>180</v>
      </c>
      <c r="B3" s="103">
        <v>45990</v>
      </c>
      <c r="C3" s="104" t="s">
        <v>1223</v>
      </c>
      <c r="D3" s="105">
        <v>0.69097222222222221</v>
      </c>
      <c r="E3" s="104" t="s">
        <v>1220</v>
      </c>
      <c r="F3" s="104" t="s">
        <v>158</v>
      </c>
      <c r="G3" s="106">
        <v>0.50280000000000002</v>
      </c>
      <c r="H3" s="107">
        <v>179</v>
      </c>
      <c r="I3" s="107">
        <v>90</v>
      </c>
      <c r="J3" s="107">
        <v>0</v>
      </c>
      <c r="K3" s="103">
        <v>45983</v>
      </c>
      <c r="L3" s="107">
        <v>0</v>
      </c>
      <c r="M3" s="107">
        <v>13</v>
      </c>
      <c r="N3" s="107">
        <v>34</v>
      </c>
      <c r="O3" s="104" t="s">
        <v>511</v>
      </c>
      <c r="P3" s="108"/>
      <c r="Q3" s="108"/>
      <c r="R3" s="108"/>
      <c r="S3" s="108"/>
      <c r="T3" s="108"/>
      <c r="U3" s="108"/>
      <c r="V3" s="107" t="s">
        <v>879</v>
      </c>
      <c r="W3" s="107" t="s">
        <v>472</v>
      </c>
      <c r="X3" s="107" t="s">
        <v>548</v>
      </c>
      <c r="Y3" s="107" t="s">
        <v>706</v>
      </c>
      <c r="Z3" s="107" t="s">
        <v>1229</v>
      </c>
      <c r="AA3" s="107" t="s">
        <v>254</v>
      </c>
      <c r="AB3" s="107" t="s">
        <v>181</v>
      </c>
      <c r="AC3" s="107" t="s">
        <v>651</v>
      </c>
      <c r="AD3" s="107" t="s">
        <v>505</v>
      </c>
      <c r="AE3" s="108"/>
      <c r="AF3" s="108"/>
      <c r="AG3" s="108"/>
      <c r="AH3" s="108"/>
      <c r="AI3" s="108"/>
    </row>
    <row r="4" spans="1:35" ht="18" x14ac:dyDescent="0.3">
      <c r="A4" s="109" t="s">
        <v>189</v>
      </c>
      <c r="B4" s="110"/>
      <c r="C4" s="111">
        <f>COUNTA(C2:C3)</f>
        <v>2</v>
      </c>
      <c r="D4" s="110"/>
      <c r="E4" s="110"/>
      <c r="F4" s="110"/>
      <c r="G4" s="112">
        <f>AVERAGE(G2:G3)</f>
        <v>0.54749999999999999</v>
      </c>
      <c r="H4" s="113">
        <f>SUM(H2:H3)</f>
        <v>358</v>
      </c>
      <c r="I4" s="113">
        <f>SUM(I2:I3)</f>
        <v>196</v>
      </c>
      <c r="J4" s="113">
        <f>SUM(J2:J3)</f>
        <v>0</v>
      </c>
      <c r="K4" s="110"/>
      <c r="L4" s="113">
        <f>SUM(L2:L3)</f>
        <v>1</v>
      </c>
      <c r="M4" s="113">
        <f>SUM(M2:M3)</f>
        <v>19</v>
      </c>
      <c r="N4" s="113">
        <f>SUM(N2:N3)</f>
        <v>77</v>
      </c>
      <c r="O4" s="110"/>
      <c r="P4" s="11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113">
        <f t="shared" si="0"/>
        <v>0</v>
      </c>
      <c r="R4" s="113">
        <f t="shared" si="0"/>
        <v>0</v>
      </c>
      <c r="S4" s="113">
        <f t="shared" si="0"/>
        <v>0</v>
      </c>
      <c r="T4" s="113">
        <f t="shared" si="0"/>
        <v>0</v>
      </c>
      <c r="U4" s="113">
        <f t="shared" si="0"/>
        <v>0</v>
      </c>
      <c r="V4" s="113">
        <f t="shared" si="0"/>
        <v>0</v>
      </c>
      <c r="W4" s="113">
        <f t="shared" si="0"/>
        <v>0</v>
      </c>
      <c r="X4" s="113">
        <f t="shared" si="0"/>
        <v>0</v>
      </c>
      <c r="Y4" s="113">
        <f t="shared" si="0"/>
        <v>0</v>
      </c>
      <c r="Z4" s="113">
        <f t="shared" si="0"/>
        <v>0</v>
      </c>
      <c r="AA4" s="113">
        <f t="shared" si="0"/>
        <v>0</v>
      </c>
      <c r="AB4" s="113">
        <f t="shared" si="0"/>
        <v>0</v>
      </c>
      <c r="AC4" s="113">
        <f t="shared" si="0"/>
        <v>0</v>
      </c>
      <c r="AD4" s="113">
        <f t="shared" si="0"/>
        <v>0</v>
      </c>
      <c r="AE4" s="113">
        <f t="shared" si="0"/>
        <v>0</v>
      </c>
      <c r="AF4" s="113">
        <f t="shared" si="0"/>
        <v>0</v>
      </c>
      <c r="AG4" s="113">
        <f t="shared" si="0"/>
        <v>0</v>
      </c>
      <c r="AH4" s="113">
        <f t="shared" si="0"/>
        <v>0</v>
      </c>
      <c r="AI4" s="113">
        <f t="shared" si="0"/>
        <v>0</v>
      </c>
    </row>
  </sheetData>
  <autoFilter ref="A1:AI3" xr:uid="{00000000-0009-0000-0000-000044000000}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36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3320312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5.6" x14ac:dyDescent="0.3">
      <c r="A2" s="185"/>
      <c r="B2" s="185"/>
      <c r="C2" s="185"/>
      <c r="D2" s="185"/>
      <c r="E2" s="186" t="s">
        <v>1230</v>
      </c>
      <c r="F2" s="185"/>
      <c r="G2" s="185"/>
      <c r="H2" s="3"/>
    </row>
    <row r="3" spans="1:8" ht="18" x14ac:dyDescent="0.3">
      <c r="A3" s="115">
        <v>45985</v>
      </c>
      <c r="B3" s="116" t="s">
        <v>285</v>
      </c>
      <c r="C3" s="117" t="s">
        <v>1186</v>
      </c>
      <c r="D3" s="116" t="s">
        <v>1185</v>
      </c>
      <c r="E3" s="118">
        <v>1.489583333333333</v>
      </c>
      <c r="F3" s="116" t="s">
        <v>81</v>
      </c>
      <c r="G3" s="119">
        <v>7</v>
      </c>
      <c r="H3" s="120" t="s">
        <v>1187</v>
      </c>
    </row>
    <row r="4" spans="1:8" ht="18" x14ac:dyDescent="0.3">
      <c r="A4" s="126">
        <v>45985</v>
      </c>
      <c r="B4" s="116" t="s">
        <v>280</v>
      </c>
      <c r="C4" s="117" t="s">
        <v>1188</v>
      </c>
      <c r="D4" s="116" t="s">
        <v>1185</v>
      </c>
      <c r="E4" s="118">
        <v>1.7673611111111109</v>
      </c>
      <c r="F4" s="116" t="s">
        <v>282</v>
      </c>
      <c r="G4" s="119">
        <v>1</v>
      </c>
      <c r="H4" s="116" t="s">
        <v>1189</v>
      </c>
    </row>
    <row r="5" spans="1:8" ht="18" x14ac:dyDescent="0.3">
      <c r="A5" s="121">
        <v>45985</v>
      </c>
      <c r="B5" s="122" t="s">
        <v>280</v>
      </c>
      <c r="C5" s="123" t="s">
        <v>1188</v>
      </c>
      <c r="D5" s="122" t="s">
        <v>1185</v>
      </c>
      <c r="E5" s="124">
        <v>1.7673611111111109</v>
      </c>
      <c r="F5" s="122" t="s">
        <v>33</v>
      </c>
      <c r="G5" s="125">
        <v>1</v>
      </c>
      <c r="H5" s="122" t="s">
        <v>1190</v>
      </c>
    </row>
    <row r="6" spans="1:8" ht="18" x14ac:dyDescent="0.3">
      <c r="A6" s="189">
        <v>45985</v>
      </c>
      <c r="B6" s="190" t="s">
        <v>63</v>
      </c>
      <c r="C6" s="191" t="s">
        <v>1191</v>
      </c>
      <c r="D6" s="190" t="s">
        <v>1185</v>
      </c>
      <c r="E6" s="192">
        <v>1.8715277777777779</v>
      </c>
      <c r="F6" s="190" t="s">
        <v>48</v>
      </c>
      <c r="G6" s="193">
        <v>9</v>
      </c>
      <c r="H6" s="190" t="s">
        <v>1192</v>
      </c>
    </row>
    <row r="7" spans="1:8" ht="18" x14ac:dyDescent="0.3">
      <c r="A7" s="187">
        <v>45986</v>
      </c>
      <c r="B7" s="137" t="s">
        <v>71</v>
      </c>
      <c r="C7" s="138" t="s">
        <v>1221</v>
      </c>
      <c r="D7" s="137" t="s">
        <v>1220</v>
      </c>
      <c r="E7" s="139">
        <v>1.8576388888888891</v>
      </c>
      <c r="F7" s="137" t="s">
        <v>81</v>
      </c>
      <c r="G7" s="140">
        <v>9</v>
      </c>
      <c r="H7" s="188" t="s">
        <v>1222</v>
      </c>
    </row>
    <row r="8" spans="1:8" ht="15.6" x14ac:dyDescent="0.3">
      <c r="A8" s="185"/>
      <c r="B8" s="185"/>
      <c r="C8" s="185"/>
      <c r="D8" s="185"/>
      <c r="E8" s="186" t="s">
        <v>1230</v>
      </c>
      <c r="F8" s="185"/>
      <c r="G8" s="185"/>
      <c r="H8" s="3"/>
    </row>
    <row r="9" spans="1:8" ht="18" x14ac:dyDescent="0.3">
      <c r="A9" s="126">
        <v>45986</v>
      </c>
      <c r="B9" s="116" t="s">
        <v>285</v>
      </c>
      <c r="C9" s="117" t="s">
        <v>1186</v>
      </c>
      <c r="D9" s="116" t="s">
        <v>1185</v>
      </c>
      <c r="E9" s="118">
        <v>1.489583333333333</v>
      </c>
      <c r="F9" s="116" t="s">
        <v>81</v>
      </c>
      <c r="G9" s="119">
        <v>2</v>
      </c>
      <c r="H9" s="116" t="s">
        <v>1187</v>
      </c>
    </row>
    <row r="10" spans="1:8" ht="18" x14ac:dyDescent="0.3">
      <c r="A10" s="189">
        <v>45986</v>
      </c>
      <c r="B10" s="190" t="s">
        <v>360</v>
      </c>
      <c r="C10" s="191" t="s">
        <v>1193</v>
      </c>
      <c r="D10" s="190" t="s">
        <v>1185</v>
      </c>
      <c r="E10" s="192">
        <v>1.4375</v>
      </c>
      <c r="F10" s="190" t="s">
        <v>81</v>
      </c>
      <c r="G10" s="193">
        <v>5</v>
      </c>
      <c r="H10" s="190" t="s">
        <v>1194</v>
      </c>
    </row>
    <row r="11" spans="1:8" ht="15.6" x14ac:dyDescent="0.3">
      <c r="A11" s="185"/>
      <c r="B11" s="185"/>
      <c r="C11" s="185"/>
      <c r="D11" s="185"/>
      <c r="E11" s="186" t="s">
        <v>1230</v>
      </c>
      <c r="F11" s="185"/>
      <c r="G11" s="185"/>
      <c r="H11" s="3"/>
    </row>
    <row r="12" spans="1:8" ht="18" x14ac:dyDescent="0.3">
      <c r="A12" s="115">
        <v>45987</v>
      </c>
      <c r="B12" s="116" t="s">
        <v>285</v>
      </c>
      <c r="C12" s="117" t="s">
        <v>1186</v>
      </c>
      <c r="D12" s="116" t="s">
        <v>1185</v>
      </c>
      <c r="E12" s="118">
        <v>1.489583333333333</v>
      </c>
      <c r="F12" s="116" t="s">
        <v>81</v>
      </c>
      <c r="G12" s="119">
        <v>1</v>
      </c>
      <c r="H12" s="120" t="s">
        <v>815</v>
      </c>
    </row>
    <row r="13" spans="1:8" ht="18" x14ac:dyDescent="0.3">
      <c r="A13" s="126">
        <v>45987</v>
      </c>
      <c r="B13" s="116" t="s">
        <v>360</v>
      </c>
      <c r="C13" s="117" t="s">
        <v>1193</v>
      </c>
      <c r="D13" s="116" t="s">
        <v>1185</v>
      </c>
      <c r="E13" s="118">
        <v>1.4548611111111109</v>
      </c>
      <c r="F13" s="116" t="s">
        <v>81</v>
      </c>
      <c r="G13" s="119">
        <v>1</v>
      </c>
      <c r="H13" s="116" t="s">
        <v>1195</v>
      </c>
    </row>
    <row r="14" spans="1:8" ht="18" x14ac:dyDescent="0.3">
      <c r="A14" s="126">
        <v>45987</v>
      </c>
      <c r="B14" s="116" t="s">
        <v>280</v>
      </c>
      <c r="C14" s="117" t="s">
        <v>1188</v>
      </c>
      <c r="D14" s="116" t="s">
        <v>1185</v>
      </c>
      <c r="E14" s="118">
        <v>1.7673611111111109</v>
      </c>
      <c r="F14" s="116" t="s">
        <v>282</v>
      </c>
      <c r="G14" s="119">
        <v>2</v>
      </c>
      <c r="H14" s="116" t="s">
        <v>1196</v>
      </c>
    </row>
    <row r="15" spans="1:8" ht="18" x14ac:dyDescent="0.3">
      <c r="A15" s="121">
        <v>45987</v>
      </c>
      <c r="B15" s="122" t="s">
        <v>280</v>
      </c>
      <c r="C15" s="123" t="s">
        <v>1188</v>
      </c>
      <c r="D15" s="122" t="s">
        <v>1185</v>
      </c>
      <c r="E15" s="124">
        <v>1.7673611111111109</v>
      </c>
      <c r="F15" s="122" t="s">
        <v>33</v>
      </c>
      <c r="G15" s="125">
        <v>2</v>
      </c>
      <c r="H15" s="122" t="s">
        <v>1197</v>
      </c>
    </row>
    <row r="16" spans="1:8" ht="18" x14ac:dyDescent="0.3">
      <c r="A16" s="189">
        <v>45987</v>
      </c>
      <c r="B16" s="190" t="s">
        <v>63</v>
      </c>
      <c r="C16" s="191" t="s">
        <v>1191</v>
      </c>
      <c r="D16" s="190" t="s">
        <v>1185</v>
      </c>
      <c r="E16" s="192">
        <v>1.8715277777777779</v>
      </c>
      <c r="F16" s="190" t="s">
        <v>48</v>
      </c>
      <c r="G16" s="193">
        <v>9</v>
      </c>
      <c r="H16" s="190" t="s">
        <v>1198</v>
      </c>
    </row>
    <row r="17" spans="1:8" ht="15.6" x14ac:dyDescent="0.3">
      <c r="A17" s="185"/>
      <c r="B17" s="185"/>
      <c r="C17" s="185"/>
      <c r="D17" s="185"/>
      <c r="E17" s="186" t="s">
        <v>1230</v>
      </c>
      <c r="F17" s="185"/>
      <c r="G17" s="185"/>
      <c r="H17" s="3"/>
    </row>
    <row r="18" spans="1:8" ht="18" x14ac:dyDescent="0.3">
      <c r="A18" s="115">
        <v>45988</v>
      </c>
      <c r="B18" s="116" t="s">
        <v>285</v>
      </c>
      <c r="C18" s="117" t="s">
        <v>1186</v>
      </c>
      <c r="D18" s="116" t="s">
        <v>1185</v>
      </c>
      <c r="E18" s="118">
        <v>1.489583333333333</v>
      </c>
      <c r="F18" s="116" t="s">
        <v>81</v>
      </c>
      <c r="G18" s="119">
        <v>3</v>
      </c>
      <c r="H18" s="120" t="s">
        <v>1199</v>
      </c>
    </row>
    <row r="19" spans="1:8" ht="18" x14ac:dyDescent="0.3">
      <c r="A19" s="136">
        <v>45988</v>
      </c>
      <c r="B19" s="137" t="s">
        <v>71</v>
      </c>
      <c r="C19" s="138" t="s">
        <v>1200</v>
      </c>
      <c r="D19" s="137" t="s">
        <v>1185</v>
      </c>
      <c r="E19" s="139">
        <v>1.631944444444444</v>
      </c>
      <c r="F19" s="137" t="s">
        <v>81</v>
      </c>
      <c r="G19" s="140">
        <v>2</v>
      </c>
      <c r="H19" s="137" t="s">
        <v>1201</v>
      </c>
    </row>
    <row r="20" spans="1:8" ht="18" x14ac:dyDescent="0.3">
      <c r="A20" s="126">
        <v>45988</v>
      </c>
      <c r="B20" s="116" t="s">
        <v>280</v>
      </c>
      <c r="C20" s="117" t="s">
        <v>1188</v>
      </c>
      <c r="D20" s="116" t="s">
        <v>1185</v>
      </c>
      <c r="E20" s="118">
        <v>1.7673611111111109</v>
      </c>
      <c r="F20" s="116" t="s">
        <v>282</v>
      </c>
      <c r="G20" s="119">
        <v>1</v>
      </c>
      <c r="H20" s="116" t="s">
        <v>1204</v>
      </c>
    </row>
    <row r="21" spans="1:8" ht="18" x14ac:dyDescent="0.3">
      <c r="A21" s="121">
        <v>45988</v>
      </c>
      <c r="B21" s="122" t="s">
        <v>280</v>
      </c>
      <c r="C21" s="123" t="s">
        <v>1188</v>
      </c>
      <c r="D21" s="122" t="s">
        <v>1185</v>
      </c>
      <c r="E21" s="124">
        <v>1.7673611111111109</v>
      </c>
      <c r="F21" s="122" t="s">
        <v>33</v>
      </c>
      <c r="G21" s="125">
        <v>1</v>
      </c>
      <c r="H21" s="122" t="s">
        <v>1205</v>
      </c>
    </row>
    <row r="22" spans="1:8" ht="18" x14ac:dyDescent="0.3">
      <c r="A22" s="126">
        <v>45988</v>
      </c>
      <c r="B22" s="116" t="s">
        <v>360</v>
      </c>
      <c r="C22" s="117" t="s">
        <v>1193</v>
      </c>
      <c r="D22" s="116" t="s">
        <v>1185</v>
      </c>
      <c r="E22" s="118">
        <v>1.4548611111111109</v>
      </c>
      <c r="F22" s="116" t="s">
        <v>81</v>
      </c>
      <c r="G22" s="119">
        <v>5</v>
      </c>
      <c r="H22" s="116" t="s">
        <v>1206</v>
      </c>
    </row>
    <row r="23" spans="1:8" ht="18" x14ac:dyDescent="0.3">
      <c r="A23" s="189">
        <v>45988</v>
      </c>
      <c r="B23" s="190" t="s">
        <v>63</v>
      </c>
      <c r="C23" s="191" t="s">
        <v>1191</v>
      </c>
      <c r="D23" s="190" t="s">
        <v>1185</v>
      </c>
      <c r="E23" s="192">
        <v>1.8715277777777779</v>
      </c>
      <c r="F23" s="190" t="s">
        <v>48</v>
      </c>
      <c r="G23" s="193">
        <v>8</v>
      </c>
      <c r="H23" s="190" t="s">
        <v>1207</v>
      </c>
    </row>
    <row r="24" spans="1:8" ht="15.6" x14ac:dyDescent="0.3">
      <c r="A24" s="185"/>
      <c r="B24" s="185"/>
      <c r="C24" s="185"/>
      <c r="D24" s="185"/>
      <c r="E24" s="186" t="s">
        <v>1230</v>
      </c>
      <c r="F24" s="185"/>
      <c r="G24" s="185"/>
      <c r="H24" s="3"/>
    </row>
    <row r="25" spans="1:8" ht="18" x14ac:dyDescent="0.3">
      <c r="A25" s="115">
        <v>45989</v>
      </c>
      <c r="B25" s="116" t="s">
        <v>285</v>
      </c>
      <c r="C25" s="117" t="s">
        <v>1186</v>
      </c>
      <c r="D25" s="116" t="s">
        <v>1185</v>
      </c>
      <c r="E25" s="118">
        <v>1.489583333333333</v>
      </c>
      <c r="F25" s="116" t="s">
        <v>81</v>
      </c>
      <c r="G25" s="119">
        <v>1</v>
      </c>
      <c r="H25" s="120" t="s">
        <v>1199</v>
      </c>
    </row>
    <row r="26" spans="1:8" ht="18" x14ac:dyDescent="0.3">
      <c r="A26" s="126">
        <v>45989</v>
      </c>
      <c r="B26" s="116" t="s">
        <v>360</v>
      </c>
      <c r="C26" s="117" t="s">
        <v>1193</v>
      </c>
      <c r="D26" s="116" t="s">
        <v>1185</v>
      </c>
      <c r="E26" s="118">
        <v>1.697916666666667</v>
      </c>
      <c r="F26" s="116" t="s">
        <v>81</v>
      </c>
      <c r="G26" s="119">
        <v>2</v>
      </c>
      <c r="H26" s="116" t="s">
        <v>1206</v>
      </c>
    </row>
    <row r="27" spans="1:8" ht="18" x14ac:dyDescent="0.3">
      <c r="A27" s="136">
        <v>45989</v>
      </c>
      <c r="B27" s="137" t="s">
        <v>71</v>
      </c>
      <c r="C27" s="138" t="s">
        <v>1200</v>
      </c>
      <c r="D27" s="137" t="s">
        <v>1185</v>
      </c>
      <c r="E27" s="139">
        <v>1.8298611111111109</v>
      </c>
      <c r="F27" s="137" t="s">
        <v>81</v>
      </c>
      <c r="G27" s="140">
        <v>8</v>
      </c>
      <c r="H27" s="137" t="s">
        <v>1208</v>
      </c>
    </row>
    <row r="28" spans="1:8" ht="18" x14ac:dyDescent="0.3">
      <c r="A28" s="189">
        <v>45989</v>
      </c>
      <c r="B28" s="190" t="s">
        <v>63</v>
      </c>
      <c r="C28" s="191" t="s">
        <v>1191</v>
      </c>
      <c r="D28" s="190" t="s">
        <v>1185</v>
      </c>
      <c r="E28" s="192">
        <v>1.8715277777777779</v>
      </c>
      <c r="F28" s="190" t="s">
        <v>48</v>
      </c>
      <c r="G28" s="193">
        <v>9</v>
      </c>
      <c r="H28" s="190" t="s">
        <v>404</v>
      </c>
    </row>
    <row r="29" spans="1:8" ht="18" x14ac:dyDescent="0.3">
      <c r="A29" s="187">
        <v>45990</v>
      </c>
      <c r="B29" s="137" t="s">
        <v>71</v>
      </c>
      <c r="C29" s="138" t="s">
        <v>1221</v>
      </c>
      <c r="D29" s="137" t="s">
        <v>1220</v>
      </c>
      <c r="E29" s="139">
        <v>1.6909722222222221</v>
      </c>
      <c r="F29" s="137" t="s">
        <v>81</v>
      </c>
      <c r="G29" s="140">
        <v>5</v>
      </c>
      <c r="H29" s="188" t="s">
        <v>275</v>
      </c>
    </row>
    <row r="30" spans="1:8" ht="15.6" x14ac:dyDescent="0.3">
      <c r="A30" s="185"/>
      <c r="B30" s="185"/>
      <c r="C30" s="185"/>
      <c r="D30" s="185"/>
      <c r="E30" s="186" t="s">
        <v>1230</v>
      </c>
      <c r="F30" s="185"/>
      <c r="G30" s="185"/>
      <c r="H30" s="3"/>
    </row>
    <row r="31" spans="1:8" ht="18" x14ac:dyDescent="0.3">
      <c r="A31" s="126">
        <v>45990</v>
      </c>
      <c r="B31" s="116" t="s">
        <v>285</v>
      </c>
      <c r="C31" s="117" t="s">
        <v>1210</v>
      </c>
      <c r="D31" s="116" t="s">
        <v>1185</v>
      </c>
      <c r="E31" s="118">
        <v>1.8402777777777779</v>
      </c>
      <c r="F31" s="116" t="s">
        <v>81</v>
      </c>
      <c r="G31" s="119">
        <v>6</v>
      </c>
      <c r="H31" s="116" t="s">
        <v>1211</v>
      </c>
    </row>
    <row r="32" spans="1:8" ht="18" x14ac:dyDescent="0.3">
      <c r="A32" s="189">
        <v>45990</v>
      </c>
      <c r="B32" s="190" t="s">
        <v>63</v>
      </c>
      <c r="C32" s="191" t="s">
        <v>1191</v>
      </c>
      <c r="D32" s="190" t="s">
        <v>1185</v>
      </c>
      <c r="E32" s="192">
        <v>1.868055555555556</v>
      </c>
      <c r="F32" s="190" t="s">
        <v>48</v>
      </c>
      <c r="G32" s="193">
        <v>9</v>
      </c>
      <c r="H32" s="190" t="s">
        <v>1212</v>
      </c>
    </row>
    <row r="33" spans="1:8" ht="15.6" x14ac:dyDescent="0.3">
      <c r="A33" s="185"/>
      <c r="B33" s="185"/>
      <c r="C33" s="185"/>
      <c r="D33" s="185"/>
      <c r="E33" s="186" t="s">
        <v>1230</v>
      </c>
      <c r="F33" s="185"/>
      <c r="G33" s="185"/>
      <c r="H33" s="3"/>
    </row>
    <row r="34" spans="1:8" ht="18" x14ac:dyDescent="0.3">
      <c r="A34" s="187">
        <v>45991</v>
      </c>
      <c r="B34" s="137" t="s">
        <v>71</v>
      </c>
      <c r="C34" s="138" t="s">
        <v>1200</v>
      </c>
      <c r="D34" s="137" t="s">
        <v>1185</v>
      </c>
      <c r="E34" s="139">
        <v>1.631944444444444</v>
      </c>
      <c r="F34" s="137" t="s">
        <v>81</v>
      </c>
      <c r="G34" s="140">
        <v>1</v>
      </c>
      <c r="H34" s="188" t="s">
        <v>123</v>
      </c>
    </row>
    <row r="35" spans="1:8" ht="18" x14ac:dyDescent="0.3">
      <c r="A35" s="126">
        <v>45991</v>
      </c>
      <c r="B35" s="116" t="s">
        <v>285</v>
      </c>
      <c r="C35" s="117" t="s">
        <v>1186</v>
      </c>
      <c r="D35" s="116" t="s">
        <v>1185</v>
      </c>
      <c r="E35" s="118">
        <v>1.489583333333333</v>
      </c>
      <c r="F35" s="116" t="s">
        <v>81</v>
      </c>
      <c r="G35" s="119">
        <v>9</v>
      </c>
      <c r="H35" s="116" t="s">
        <v>1214</v>
      </c>
    </row>
    <row r="36" spans="1:8" ht="18" x14ac:dyDescent="0.3">
      <c r="A36" s="189">
        <v>45991</v>
      </c>
      <c r="B36" s="190" t="s">
        <v>360</v>
      </c>
      <c r="C36" s="191" t="s">
        <v>1193</v>
      </c>
      <c r="D36" s="190" t="s">
        <v>1185</v>
      </c>
      <c r="E36" s="192">
        <v>1.4375</v>
      </c>
      <c r="F36" s="190" t="s">
        <v>81</v>
      </c>
      <c r="G36" s="193">
        <v>5</v>
      </c>
      <c r="H36" s="190" t="s">
        <v>1195</v>
      </c>
    </row>
  </sheetData>
  <dataValidations count="3">
    <dataValidation type="custom" allowBlank="1" showInputMessage="1" promptTitle="LOAD FACTOR ANALYSIS" prompt="SM-435_x000d__x000a_LF 59.2%_x000d__x000a_SOLD 106_x000d__x000a_LST-SOLD 23NOV_x000d__x000a_WEEKLY 43_x000d__x000a_TO-DAY 1_x000d__x000a_Y-DAY 6_x000d__x000a_LOWEST AVAIL V9_x000d__x000a_CAPACITY 179_x000d__x000a_CLASSES V6 &amp; L12 &amp; G13 &amp; +6 more" sqref="A7 B7 C7 D7 E7 F7 G7 H7" xr:uid="{00000000-0002-0000-4500-000000000000}">
      <formula1>TRUE</formula1>
    </dataValidation>
    <dataValidation type="custom" allowBlank="1" showInputMessage="1" promptTitle="LOAD FACTOR ANALYSIS" prompt="SM-427_x000d__x000a_LF -_x000d__x000a_SOLD -_x000d__x000a_LST-SOLD -_x000d__x000a_WEEKLY -_x000d__x000a_TO-DAY -_x000d__x000a_Y-DAY -_x000d__x000a_LOWEST AVAIL -_x000d__x000a_CAPACITY -_x000d__x000a_CLASSES -" sqref="A19 A27 A34 B19 B27 B34 C19 C27 C34 D19 D27 D34 E19 E27 E34 F19 F27 F34 G19 G27 G34 H19 H27 H34" xr:uid="{00000000-0002-0000-4500-000001000000}">
      <formula1>TRUE</formula1>
    </dataValidation>
    <dataValidation type="custom" allowBlank="1" showInputMessage="1" promptTitle="LOAD FACTOR ANALYSIS" prompt="SM-435_x000d__x000a_LF 50.3%_x000d__x000a_SOLD 90_x000d__x000a_LST-SOLD 22NOV_x000d__x000a_WEEKLY 34_x000d__x000a_TO-DAY NIL_x000d__x000a_Y-DAY 13_x000d__x000a_LOWEST AVAIL L5_x000d__x000a_CAPACITY 179_x000d__x000a_CLASSES V2 &amp; L10 &amp; G15 &amp; +6 more" sqref="A29 B29 C29 D29 E29 F29 G29 H29" xr:uid="{00000000-0002-0000-45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N19"/>
  <sheetViews>
    <sheetView tabSelected="1" zoomScale="85" workbookViewId="0">
      <selection sqref="A1:C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2.5546875" bestFit="1" customWidth="1"/>
  </cols>
  <sheetData>
    <row r="1" spans="1:92" ht="28.8" customHeight="1" x14ac:dyDescent="0.3">
      <c r="A1" s="272" t="s">
        <v>0</v>
      </c>
      <c r="B1" s="273"/>
      <c r="C1" s="273"/>
      <c r="D1" s="272" t="s">
        <v>1231</v>
      </c>
      <c r="E1" s="273"/>
      <c r="F1" s="273"/>
      <c r="G1" s="272" t="s">
        <v>2</v>
      </c>
      <c r="H1" s="273"/>
      <c r="I1" s="2"/>
      <c r="J1" s="299">
        <v>45985</v>
      </c>
      <c r="K1" s="273"/>
      <c r="L1" s="273"/>
      <c r="M1" s="273"/>
      <c r="N1" s="1" t="s">
        <v>3</v>
      </c>
      <c r="O1" s="297">
        <v>45991</v>
      </c>
      <c r="P1" s="273"/>
      <c r="Q1" s="27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4" t="s">
        <v>4</v>
      </c>
      <c r="B2" s="287"/>
      <c r="C2" s="287"/>
      <c r="D2" s="287"/>
      <c r="E2" s="287"/>
      <c r="F2" s="287"/>
      <c r="G2" s="286">
        <v>45984.358603428162</v>
      </c>
      <c r="H2" s="287"/>
      <c r="I2" s="287"/>
      <c r="J2" s="287"/>
      <c r="K2" s="292">
        <v>45984.358603428678</v>
      </c>
      <c r="L2" s="287"/>
      <c r="M2" s="287"/>
      <c r="N2" s="287"/>
      <c r="O2" s="287"/>
      <c r="P2" s="287"/>
      <c r="Q2" s="293"/>
      <c r="R2" s="29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5"/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8" t="s">
        <v>5</v>
      </c>
      <c r="B4" s="289"/>
      <c r="C4" s="289"/>
      <c r="D4" s="289"/>
      <c r="E4" s="289"/>
      <c r="F4" s="289"/>
      <c r="G4" s="5">
        <v>45986</v>
      </c>
      <c r="H4" s="298" t="s">
        <v>6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53" t="s">
        <v>285</v>
      </c>
      <c r="B6" s="253" t="s">
        <v>1232</v>
      </c>
      <c r="C6" s="254">
        <v>0.33680555555555558</v>
      </c>
      <c r="D6" s="253" t="s">
        <v>81</v>
      </c>
      <c r="E6" s="253" t="s">
        <v>104</v>
      </c>
      <c r="F6" s="253" t="s">
        <v>1233</v>
      </c>
      <c r="G6" s="302"/>
      <c r="H6" s="58"/>
      <c r="I6" s="59"/>
      <c r="J6" s="59"/>
      <c r="K6" s="59"/>
      <c r="L6" s="59"/>
      <c r="M6" s="59"/>
      <c r="N6" s="59"/>
      <c r="O6" s="60"/>
      <c r="P6" s="59"/>
      <c r="Q6" s="61"/>
      <c r="R6" s="6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9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90" t="s">
        <v>5</v>
      </c>
      <c r="B8" s="291"/>
      <c r="C8" s="291"/>
      <c r="D8" s="291"/>
      <c r="E8" s="291"/>
      <c r="F8" s="291"/>
      <c r="G8" s="5">
        <v>45988</v>
      </c>
      <c r="H8" s="274" t="s">
        <v>6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280</v>
      </c>
      <c r="B10" s="8" t="s">
        <v>1234</v>
      </c>
      <c r="C10" s="9">
        <v>0.98263888888888884</v>
      </c>
      <c r="D10" s="8" t="s">
        <v>282</v>
      </c>
      <c r="E10" s="8" t="s">
        <v>57</v>
      </c>
      <c r="F10" s="8" t="s">
        <v>1235</v>
      </c>
      <c r="G10" s="276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15" t="s">
        <v>280</v>
      </c>
      <c r="B11" s="15" t="s">
        <v>1234</v>
      </c>
      <c r="C11" s="16">
        <v>0.98263888888888884</v>
      </c>
      <c r="D11" s="15" t="s">
        <v>33</v>
      </c>
      <c r="E11" s="15" t="s">
        <v>53</v>
      </c>
      <c r="F11" s="15" t="s">
        <v>1236</v>
      </c>
      <c r="G11" s="277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17" t="s">
        <v>285</v>
      </c>
      <c r="B12" s="17" t="s">
        <v>1232</v>
      </c>
      <c r="C12" s="18">
        <v>0.33680555555555558</v>
      </c>
      <c r="D12" s="17" t="s">
        <v>81</v>
      </c>
      <c r="E12" s="17" t="s">
        <v>104</v>
      </c>
      <c r="F12" s="17" t="s">
        <v>119</v>
      </c>
      <c r="G12" s="277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65" t="s">
        <v>71</v>
      </c>
      <c r="B13" s="65" t="s">
        <v>1237</v>
      </c>
      <c r="C13" s="66">
        <v>0.8125</v>
      </c>
      <c r="D13" s="65" t="s">
        <v>81</v>
      </c>
      <c r="E13" s="65" t="s">
        <v>38</v>
      </c>
      <c r="F13" s="65" t="s">
        <v>1238</v>
      </c>
      <c r="G13" s="278"/>
      <c r="H13" s="68" t="s">
        <v>1239</v>
      </c>
      <c r="I13" s="269">
        <v>0.72629999999999995</v>
      </c>
      <c r="J13" s="70">
        <v>130</v>
      </c>
      <c r="K13" s="71">
        <v>45983</v>
      </c>
      <c r="L13" s="70">
        <v>24</v>
      </c>
      <c r="M13" s="70">
        <v>0</v>
      </c>
      <c r="N13" s="70">
        <v>12</v>
      </c>
      <c r="O13" s="72" t="s">
        <v>922</v>
      </c>
      <c r="P13" s="73">
        <v>0.8125</v>
      </c>
      <c r="Q13" s="70">
        <v>179</v>
      </c>
      <c r="R13" s="74" t="s">
        <v>1240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4.4" customHeight="1" x14ac:dyDescent="0.3">
      <c r="A14" s="279"/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1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2.05" customHeight="1" x14ac:dyDescent="0.3">
      <c r="A15" s="290" t="s">
        <v>5</v>
      </c>
      <c r="B15" s="291"/>
      <c r="C15" s="291"/>
      <c r="D15" s="291"/>
      <c r="E15" s="291"/>
      <c r="F15" s="291"/>
      <c r="G15" s="5">
        <v>45990</v>
      </c>
      <c r="H15" s="274" t="s">
        <v>6</v>
      </c>
      <c r="I15" s="275"/>
      <c r="J15" s="275"/>
      <c r="K15" s="275"/>
      <c r="L15" s="275"/>
      <c r="M15" s="275"/>
      <c r="N15" s="275"/>
      <c r="O15" s="275"/>
      <c r="P15" s="275"/>
      <c r="Q15" s="275"/>
      <c r="R15" s="275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4" customHeight="1" x14ac:dyDescent="0.3">
      <c r="A16" s="31" t="s">
        <v>7</v>
      </c>
      <c r="B16" s="31" t="s">
        <v>8</v>
      </c>
      <c r="C16" s="32" t="s">
        <v>9</v>
      </c>
      <c r="D16" s="31" t="s">
        <v>10</v>
      </c>
      <c r="E16" s="31" t="s">
        <v>11</v>
      </c>
      <c r="F16" s="31" t="s">
        <v>12</v>
      </c>
      <c r="G16" s="33" t="s">
        <v>13</v>
      </c>
      <c r="H16" s="31" t="s">
        <v>14</v>
      </c>
      <c r="I16" s="34" t="s">
        <v>15</v>
      </c>
      <c r="J16" s="35" t="s">
        <v>16</v>
      </c>
      <c r="K16" s="36" t="s">
        <v>17</v>
      </c>
      <c r="L16" s="35" t="s">
        <v>18</v>
      </c>
      <c r="M16" s="35" t="s">
        <v>19</v>
      </c>
      <c r="N16" s="35" t="s">
        <v>20</v>
      </c>
      <c r="O16" s="31" t="s">
        <v>21</v>
      </c>
      <c r="P16" s="32" t="s">
        <v>22</v>
      </c>
      <c r="Q16" s="35" t="s">
        <v>23</v>
      </c>
      <c r="R16" s="31" t="s">
        <v>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85" t="s">
        <v>71</v>
      </c>
      <c r="B17" s="85" t="s">
        <v>1237</v>
      </c>
      <c r="C17" s="86">
        <v>0.8125</v>
      </c>
      <c r="D17" s="85" t="s">
        <v>81</v>
      </c>
      <c r="E17" s="85" t="s">
        <v>38</v>
      </c>
      <c r="F17" s="85" t="s">
        <v>1241</v>
      </c>
      <c r="G17" s="276"/>
      <c r="H17" s="87" t="s">
        <v>1239</v>
      </c>
      <c r="I17" s="194">
        <v>0.69830000000000003</v>
      </c>
      <c r="J17" s="89">
        <v>125</v>
      </c>
      <c r="K17" s="90">
        <v>45981</v>
      </c>
      <c r="L17" s="89">
        <v>8</v>
      </c>
      <c r="M17" s="89">
        <v>0</v>
      </c>
      <c r="N17" s="89">
        <v>0</v>
      </c>
      <c r="O17" s="91" t="s">
        <v>860</v>
      </c>
      <c r="P17" s="92">
        <v>0.8125</v>
      </c>
      <c r="Q17" s="89">
        <v>179</v>
      </c>
      <c r="R17" s="93" t="s">
        <v>1242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51" t="s">
        <v>285</v>
      </c>
      <c r="B18" s="251" t="s">
        <v>1232</v>
      </c>
      <c r="C18" s="252">
        <v>0.33680555555555558</v>
      </c>
      <c r="D18" s="251" t="s">
        <v>81</v>
      </c>
      <c r="E18" s="251" t="s">
        <v>82</v>
      </c>
      <c r="F18" s="251" t="s">
        <v>575</v>
      </c>
      <c r="G18" s="278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9"/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1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</sheetData>
  <mergeCells count="21">
    <mergeCell ref="A8:F8"/>
    <mergeCell ref="A14:R14"/>
    <mergeCell ref="G2:J2"/>
    <mergeCell ref="A4:F4"/>
    <mergeCell ref="J1:M1"/>
    <mergeCell ref="A19:R19"/>
    <mergeCell ref="K2:R2"/>
    <mergeCell ref="D1:F1"/>
    <mergeCell ref="A15:F15"/>
    <mergeCell ref="G6"/>
    <mergeCell ref="A1:C1"/>
    <mergeCell ref="G1:H1"/>
    <mergeCell ref="H15:R15"/>
    <mergeCell ref="H8:R8"/>
    <mergeCell ref="O1:Q1"/>
    <mergeCell ref="A7:R7"/>
    <mergeCell ref="G17:G18"/>
    <mergeCell ref="H4:R4"/>
    <mergeCell ref="A2:F2"/>
    <mergeCell ref="A3:R3"/>
    <mergeCell ref="G10:G1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94" t="s">
        <v>128</v>
      </c>
      <c r="B1" s="94" t="s">
        <v>129</v>
      </c>
      <c r="C1" s="94" t="s">
        <v>130</v>
      </c>
      <c r="D1" s="94" t="s">
        <v>22</v>
      </c>
      <c r="E1" s="94" t="s">
        <v>131</v>
      </c>
      <c r="F1" s="94" t="s">
        <v>132</v>
      </c>
      <c r="G1" s="94" t="s">
        <v>133</v>
      </c>
      <c r="H1" s="94" t="s">
        <v>134</v>
      </c>
      <c r="I1" s="94" t="s">
        <v>135</v>
      </c>
      <c r="J1" s="94" t="s">
        <v>136</v>
      </c>
      <c r="K1" s="94" t="s">
        <v>17</v>
      </c>
      <c r="L1" s="94" t="s">
        <v>19</v>
      </c>
      <c r="M1" s="94" t="s">
        <v>20</v>
      </c>
      <c r="N1" s="94" t="s">
        <v>18</v>
      </c>
      <c r="O1" s="94" t="s">
        <v>21</v>
      </c>
      <c r="P1" s="94" t="s">
        <v>137</v>
      </c>
      <c r="Q1" s="94" t="s">
        <v>138</v>
      </c>
      <c r="R1" s="94" t="s">
        <v>139</v>
      </c>
      <c r="S1" s="94" t="s">
        <v>140</v>
      </c>
      <c r="T1" s="94" t="s">
        <v>141</v>
      </c>
      <c r="U1" s="94" t="s">
        <v>142</v>
      </c>
      <c r="V1" s="94" t="s">
        <v>143</v>
      </c>
      <c r="W1" s="94" t="s">
        <v>144</v>
      </c>
      <c r="X1" s="94" t="s">
        <v>145</v>
      </c>
      <c r="Y1" s="94" t="s">
        <v>146</v>
      </c>
      <c r="Z1" s="94" t="s">
        <v>147</v>
      </c>
      <c r="AA1" s="94" t="s">
        <v>148</v>
      </c>
      <c r="AB1" s="94" t="s">
        <v>149</v>
      </c>
      <c r="AC1" s="94" t="s">
        <v>150</v>
      </c>
      <c r="AD1" s="94" t="s">
        <v>151</v>
      </c>
      <c r="AE1" s="94" t="s">
        <v>152</v>
      </c>
      <c r="AF1" s="94" t="s">
        <v>153</v>
      </c>
      <c r="AG1" s="94" t="s">
        <v>154</v>
      </c>
      <c r="AH1" s="94" t="s">
        <v>155</v>
      </c>
      <c r="AI1" s="94" t="s">
        <v>156</v>
      </c>
    </row>
    <row r="2" spans="1:35" ht="18" x14ac:dyDescent="0.3">
      <c r="A2" s="95" t="s">
        <v>177</v>
      </c>
      <c r="B2" s="96">
        <v>45988</v>
      </c>
      <c r="C2" s="97" t="s">
        <v>1239</v>
      </c>
      <c r="D2" s="98">
        <v>0.8125</v>
      </c>
      <c r="E2" s="97" t="s">
        <v>1231</v>
      </c>
      <c r="F2" s="97" t="s">
        <v>158</v>
      </c>
      <c r="G2" s="99">
        <v>0.72629999999999995</v>
      </c>
      <c r="H2" s="100">
        <v>179</v>
      </c>
      <c r="I2" s="100">
        <v>130</v>
      </c>
      <c r="J2" s="100">
        <v>0</v>
      </c>
      <c r="K2" s="96">
        <v>45983</v>
      </c>
      <c r="L2" s="100">
        <v>0</v>
      </c>
      <c r="M2" s="100">
        <v>12</v>
      </c>
      <c r="N2" s="100">
        <v>24</v>
      </c>
      <c r="O2" s="97" t="s">
        <v>922</v>
      </c>
      <c r="P2" s="101"/>
      <c r="Q2" s="101"/>
      <c r="R2" s="101"/>
      <c r="S2" s="100" t="s">
        <v>945</v>
      </c>
      <c r="T2" s="100" t="s">
        <v>557</v>
      </c>
      <c r="U2" s="100" t="s">
        <v>1243</v>
      </c>
      <c r="V2" s="100" t="s">
        <v>559</v>
      </c>
      <c r="W2" s="100" t="s">
        <v>564</v>
      </c>
      <c r="X2" s="100" t="s">
        <v>444</v>
      </c>
      <c r="Y2" s="100" t="s">
        <v>535</v>
      </c>
      <c r="Z2" s="100" t="s">
        <v>249</v>
      </c>
      <c r="AA2" s="100" t="s">
        <v>166</v>
      </c>
      <c r="AB2" s="100" t="s">
        <v>1244</v>
      </c>
      <c r="AC2" s="100" t="s">
        <v>536</v>
      </c>
      <c r="AD2" s="100" t="s">
        <v>496</v>
      </c>
      <c r="AE2" s="100" t="s">
        <v>659</v>
      </c>
      <c r="AF2" s="101"/>
      <c r="AG2" s="101"/>
      <c r="AH2" s="101"/>
      <c r="AI2" s="101"/>
    </row>
    <row r="3" spans="1:35" ht="18" x14ac:dyDescent="0.3">
      <c r="A3" s="102" t="s">
        <v>180</v>
      </c>
      <c r="B3" s="103">
        <v>45990</v>
      </c>
      <c r="C3" s="104" t="s">
        <v>1239</v>
      </c>
      <c r="D3" s="105">
        <v>0.8125</v>
      </c>
      <c r="E3" s="104" t="s">
        <v>1231</v>
      </c>
      <c r="F3" s="104" t="s">
        <v>158</v>
      </c>
      <c r="G3" s="106">
        <v>0.69830000000000003</v>
      </c>
      <c r="H3" s="107">
        <v>179</v>
      </c>
      <c r="I3" s="107">
        <v>125</v>
      </c>
      <c r="J3" s="107">
        <v>0</v>
      </c>
      <c r="K3" s="103">
        <v>45981</v>
      </c>
      <c r="L3" s="107">
        <v>0</v>
      </c>
      <c r="M3" s="107">
        <v>0</v>
      </c>
      <c r="N3" s="107">
        <v>8</v>
      </c>
      <c r="O3" s="104" t="s">
        <v>860</v>
      </c>
      <c r="P3" s="108"/>
      <c r="Q3" s="108"/>
      <c r="R3" s="107" t="s">
        <v>1245</v>
      </c>
      <c r="S3" s="107" t="s">
        <v>1246</v>
      </c>
      <c r="T3" s="107" t="s">
        <v>1104</v>
      </c>
      <c r="U3" s="107" t="s">
        <v>553</v>
      </c>
      <c r="V3" s="107" t="s">
        <v>228</v>
      </c>
      <c r="W3" s="107" t="s">
        <v>888</v>
      </c>
      <c r="X3" s="107" t="s">
        <v>444</v>
      </c>
      <c r="Y3" s="107" t="s">
        <v>535</v>
      </c>
      <c r="Z3" s="107" t="s">
        <v>570</v>
      </c>
      <c r="AA3" s="107" t="s">
        <v>166</v>
      </c>
      <c r="AB3" s="107" t="s">
        <v>458</v>
      </c>
      <c r="AC3" s="107" t="s">
        <v>651</v>
      </c>
      <c r="AD3" s="107" t="s">
        <v>496</v>
      </c>
      <c r="AE3" s="107" t="s">
        <v>711</v>
      </c>
      <c r="AF3" s="108"/>
      <c r="AG3" s="108"/>
      <c r="AH3" s="108"/>
      <c r="AI3" s="108"/>
    </row>
    <row r="4" spans="1:35" ht="18" x14ac:dyDescent="0.3">
      <c r="A4" s="109" t="s">
        <v>189</v>
      </c>
      <c r="B4" s="110"/>
      <c r="C4" s="111">
        <f>COUNTA(C2:C3)</f>
        <v>2</v>
      </c>
      <c r="D4" s="110"/>
      <c r="E4" s="110"/>
      <c r="F4" s="110"/>
      <c r="G4" s="112">
        <f>AVERAGE(G2:G3)</f>
        <v>0.71229999999999993</v>
      </c>
      <c r="H4" s="113">
        <f>SUM(H2:H3)</f>
        <v>358</v>
      </c>
      <c r="I4" s="113">
        <f>SUM(I2:I3)</f>
        <v>255</v>
      </c>
      <c r="J4" s="113">
        <f>SUM(J2:J3)</f>
        <v>0</v>
      </c>
      <c r="K4" s="110"/>
      <c r="L4" s="113">
        <f>SUM(L2:L3)</f>
        <v>0</v>
      </c>
      <c r="M4" s="113">
        <f>SUM(M2:M3)</f>
        <v>12</v>
      </c>
      <c r="N4" s="113">
        <f>SUM(N2:N3)</f>
        <v>32</v>
      </c>
      <c r="O4" s="110"/>
      <c r="P4" s="11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113">
        <f t="shared" si="0"/>
        <v>0</v>
      </c>
      <c r="R4" s="113">
        <f t="shared" si="0"/>
        <v>0</v>
      </c>
      <c r="S4" s="113">
        <f t="shared" si="0"/>
        <v>0</v>
      </c>
      <c r="T4" s="113">
        <f t="shared" si="0"/>
        <v>0</v>
      </c>
      <c r="U4" s="113">
        <f t="shared" si="0"/>
        <v>0</v>
      </c>
      <c r="V4" s="113">
        <f t="shared" si="0"/>
        <v>0</v>
      </c>
      <c r="W4" s="113">
        <f t="shared" si="0"/>
        <v>0</v>
      </c>
      <c r="X4" s="113">
        <f t="shared" si="0"/>
        <v>0</v>
      </c>
      <c r="Y4" s="113">
        <f t="shared" si="0"/>
        <v>0</v>
      </c>
      <c r="Z4" s="113">
        <f t="shared" si="0"/>
        <v>0</v>
      </c>
      <c r="AA4" s="113">
        <f t="shared" si="0"/>
        <v>0</v>
      </c>
      <c r="AB4" s="113">
        <f t="shared" si="0"/>
        <v>0</v>
      </c>
      <c r="AC4" s="113">
        <f t="shared" si="0"/>
        <v>0</v>
      </c>
      <c r="AD4" s="113">
        <f t="shared" si="0"/>
        <v>0</v>
      </c>
      <c r="AE4" s="113">
        <f t="shared" si="0"/>
        <v>0</v>
      </c>
      <c r="AF4" s="113">
        <f t="shared" si="0"/>
        <v>0</v>
      </c>
      <c r="AG4" s="113">
        <f t="shared" si="0"/>
        <v>0</v>
      </c>
      <c r="AH4" s="113">
        <f t="shared" si="0"/>
        <v>0</v>
      </c>
      <c r="AI4" s="113">
        <f t="shared" si="0"/>
        <v>0</v>
      </c>
    </row>
  </sheetData>
  <autoFilter ref="A1:AI3" xr:uid="{00000000-0009-0000-0000-000047000000}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8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114" t="s">
        <v>190</v>
      </c>
      <c r="B1" s="114" t="s">
        <v>7</v>
      </c>
      <c r="C1" s="114" t="s">
        <v>8</v>
      </c>
      <c r="D1" s="114" t="s">
        <v>191</v>
      </c>
      <c r="E1" s="114" t="s">
        <v>9</v>
      </c>
      <c r="F1" s="114" t="s">
        <v>10</v>
      </c>
      <c r="G1" s="114" t="s">
        <v>11</v>
      </c>
      <c r="H1" s="114" t="s">
        <v>12</v>
      </c>
    </row>
    <row r="2" spans="1:8" ht="18" x14ac:dyDescent="0.3">
      <c r="A2" s="257">
        <v>45986</v>
      </c>
      <c r="B2" s="190" t="s">
        <v>285</v>
      </c>
      <c r="C2" s="191" t="s">
        <v>1232</v>
      </c>
      <c r="D2" s="190" t="s">
        <v>1231</v>
      </c>
      <c r="E2" s="192">
        <v>1.336805555555556</v>
      </c>
      <c r="F2" s="190" t="s">
        <v>81</v>
      </c>
      <c r="G2" s="193">
        <v>1</v>
      </c>
      <c r="H2" s="258" t="s">
        <v>1233</v>
      </c>
    </row>
    <row r="3" spans="1:8" ht="18" x14ac:dyDescent="0.3">
      <c r="A3" s="115">
        <v>45988</v>
      </c>
      <c r="B3" s="116" t="s">
        <v>280</v>
      </c>
      <c r="C3" s="117" t="s">
        <v>1234</v>
      </c>
      <c r="D3" s="116" t="s">
        <v>1231</v>
      </c>
      <c r="E3" s="118">
        <v>1.9826388888888891</v>
      </c>
      <c r="F3" s="116" t="s">
        <v>282</v>
      </c>
      <c r="G3" s="119">
        <v>4</v>
      </c>
      <c r="H3" s="120" t="s">
        <v>1235</v>
      </c>
    </row>
    <row r="4" spans="1:8" ht="18" x14ac:dyDescent="0.3">
      <c r="A4" s="121">
        <v>45988</v>
      </c>
      <c r="B4" s="122" t="s">
        <v>280</v>
      </c>
      <c r="C4" s="123" t="s">
        <v>1234</v>
      </c>
      <c r="D4" s="122" t="s">
        <v>1231</v>
      </c>
      <c r="E4" s="124">
        <v>1.9826388888888891</v>
      </c>
      <c r="F4" s="122" t="s">
        <v>33</v>
      </c>
      <c r="G4" s="125">
        <v>4</v>
      </c>
      <c r="H4" s="122" t="s">
        <v>1236</v>
      </c>
    </row>
    <row r="5" spans="1:8" ht="18" x14ac:dyDescent="0.3">
      <c r="A5" s="126">
        <v>45988</v>
      </c>
      <c r="B5" s="116" t="s">
        <v>285</v>
      </c>
      <c r="C5" s="117" t="s">
        <v>1232</v>
      </c>
      <c r="D5" s="116" t="s">
        <v>1231</v>
      </c>
      <c r="E5" s="118">
        <v>1.336805555555556</v>
      </c>
      <c r="F5" s="116" t="s">
        <v>81</v>
      </c>
      <c r="G5" s="119">
        <v>1</v>
      </c>
      <c r="H5" s="116" t="s">
        <v>119</v>
      </c>
    </row>
    <row r="6" spans="1:8" ht="18" x14ac:dyDescent="0.3">
      <c r="A6" s="132">
        <v>45988</v>
      </c>
      <c r="B6" s="133" t="s">
        <v>71</v>
      </c>
      <c r="C6" s="134" t="s">
        <v>1237</v>
      </c>
      <c r="D6" s="133" t="s">
        <v>1231</v>
      </c>
      <c r="E6" s="135">
        <v>1.8125</v>
      </c>
      <c r="F6" s="133" t="s">
        <v>81</v>
      </c>
      <c r="G6" s="237">
        <v>9</v>
      </c>
      <c r="H6" s="133" t="s">
        <v>1238</v>
      </c>
    </row>
    <row r="7" spans="1:8" ht="18" x14ac:dyDescent="0.3">
      <c r="A7" s="187">
        <v>45990</v>
      </c>
      <c r="B7" s="137" t="s">
        <v>71</v>
      </c>
      <c r="C7" s="138" t="s">
        <v>1237</v>
      </c>
      <c r="D7" s="137" t="s">
        <v>1231</v>
      </c>
      <c r="E7" s="139">
        <v>1.8125</v>
      </c>
      <c r="F7" s="137" t="s">
        <v>81</v>
      </c>
      <c r="G7" s="140">
        <v>9</v>
      </c>
      <c r="H7" s="188" t="s">
        <v>1241</v>
      </c>
    </row>
    <row r="8" spans="1:8" ht="18" x14ac:dyDescent="0.3">
      <c r="A8" s="189">
        <v>45990</v>
      </c>
      <c r="B8" s="190" t="s">
        <v>285</v>
      </c>
      <c r="C8" s="191" t="s">
        <v>1232</v>
      </c>
      <c r="D8" s="190" t="s">
        <v>1231</v>
      </c>
      <c r="E8" s="192">
        <v>1.336805555555556</v>
      </c>
      <c r="F8" s="190" t="s">
        <v>81</v>
      </c>
      <c r="G8" s="193">
        <v>2</v>
      </c>
      <c r="H8" s="190" t="s">
        <v>575</v>
      </c>
    </row>
  </sheetData>
  <dataValidations count="2">
    <dataValidation type="custom" allowBlank="1" showInputMessage="1" promptTitle="LOAD FACTOR ANALYSIS" prompt="SM-329_x000d__x000a_LF 72.6%_x000d__x000a_SOLD 130_x000d__x000a_LST-SOLD 22NOV_x000d__x000a_WEEKLY 24_x000d__x000a_TO-DAY NIL_x000d__x000a_Y-DAY 12_x000d__x000a_LOWEST AVAIL H9_x000d__x000a_CAPACITY 179_x000d__x000a_CLASSES H1 &amp; Q10 &amp; K29 &amp; +10 more" sqref="A6 B6 C6 D6 E6 F6 G6 H6" xr:uid="{00000000-0002-0000-4800-000000000000}">
      <formula1>TRUE</formula1>
    </dataValidation>
    <dataValidation type="custom" allowBlank="1" showInputMessage="1" promptTitle="LOAD FACTOR ANALYSIS" prompt="SM-329_x000d__x000a_LF 69.8%_x000d__x000a_SOLD 125_x000d__x000a_LST-SOLD 20NOV_x000d__x000a_WEEKLY 8_x000d__x000a_TO-DAY NIL_x000d__x000a_Y-DAY NIL_x000d__x000a_LOWEST AVAIL M9_x000d__x000a_CAPACITY 179_x000d__x000a_CLASSES M5 &amp; H20 &amp; Q16 &amp; +11 more" sqref="A7 B7 C7 D7 E7 F7 G7 H7" xr:uid="{00000000-0002-0000-48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I124"/>
  <sheetViews>
    <sheetView workbookViewId="0">
      <pane ySplit="1" topLeftCell="A2" activePane="bottomLeft" state="frozen"/>
      <selection pane="bottomLeft" activeCell="I114" sqref="I114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155" t="s">
        <v>128</v>
      </c>
      <c r="B1" s="155" t="s">
        <v>129</v>
      </c>
      <c r="C1" s="155" t="s">
        <v>130</v>
      </c>
      <c r="D1" s="155" t="s">
        <v>22</v>
      </c>
      <c r="E1" s="155" t="s">
        <v>131</v>
      </c>
      <c r="F1" s="155" t="s">
        <v>132</v>
      </c>
      <c r="G1" s="155" t="s">
        <v>15</v>
      </c>
      <c r="H1" s="155" t="s">
        <v>134</v>
      </c>
      <c r="I1" s="155" t="s">
        <v>135</v>
      </c>
      <c r="J1" s="155" t="s">
        <v>136</v>
      </c>
      <c r="K1" s="155" t="s">
        <v>17</v>
      </c>
      <c r="L1" s="155" t="s">
        <v>19</v>
      </c>
      <c r="M1" s="155" t="s">
        <v>20</v>
      </c>
      <c r="N1" s="155" t="s">
        <v>18</v>
      </c>
      <c r="O1" s="155" t="s">
        <v>21</v>
      </c>
      <c r="P1" s="155" t="s">
        <v>137</v>
      </c>
      <c r="Q1" s="155" t="s">
        <v>138</v>
      </c>
      <c r="R1" s="155" t="s">
        <v>139</v>
      </c>
      <c r="S1" s="155" t="s">
        <v>140</v>
      </c>
      <c r="T1" s="155" t="s">
        <v>141</v>
      </c>
      <c r="U1" s="155" t="s">
        <v>142</v>
      </c>
      <c r="V1" s="155" t="s">
        <v>143</v>
      </c>
      <c r="W1" s="155" t="s">
        <v>144</v>
      </c>
      <c r="X1" s="155" t="s">
        <v>145</v>
      </c>
      <c r="Y1" s="155" t="s">
        <v>146</v>
      </c>
      <c r="Z1" s="155" t="s">
        <v>147</v>
      </c>
      <c r="AA1" s="155" t="s">
        <v>148</v>
      </c>
      <c r="AB1" s="155" t="s">
        <v>149</v>
      </c>
      <c r="AC1" s="155" t="s">
        <v>150</v>
      </c>
      <c r="AD1" s="155" t="s">
        <v>151</v>
      </c>
      <c r="AE1" s="155" t="s">
        <v>152</v>
      </c>
      <c r="AF1" s="155" t="s">
        <v>153</v>
      </c>
      <c r="AG1" s="155" t="s">
        <v>154</v>
      </c>
      <c r="AH1" s="155" t="s">
        <v>155</v>
      </c>
      <c r="AI1" s="155" t="s">
        <v>156</v>
      </c>
    </row>
    <row r="2" spans="1:35" ht="18" x14ac:dyDescent="0.3">
      <c r="A2" s="156" t="s">
        <v>1247</v>
      </c>
      <c r="B2" s="157">
        <v>45987</v>
      </c>
      <c r="C2" s="129" t="s">
        <v>1048</v>
      </c>
      <c r="D2" s="158">
        <v>0.71180555555555547</v>
      </c>
      <c r="E2" s="129" t="s">
        <v>1036</v>
      </c>
      <c r="F2" s="129" t="s">
        <v>158</v>
      </c>
      <c r="G2" s="159">
        <v>0.51959999999999995</v>
      </c>
      <c r="H2" s="131">
        <v>179</v>
      </c>
      <c r="I2" s="131">
        <v>93</v>
      </c>
      <c r="J2" s="131">
        <v>0</v>
      </c>
      <c r="K2" s="157">
        <v>45983</v>
      </c>
      <c r="L2" s="131">
        <v>0</v>
      </c>
      <c r="M2" s="131">
        <v>14</v>
      </c>
      <c r="N2" s="131">
        <v>47</v>
      </c>
      <c r="O2" s="129" t="s">
        <v>536</v>
      </c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31">
        <v>2</v>
      </c>
      <c r="AD2" s="131">
        <v>28</v>
      </c>
      <c r="AE2" s="131">
        <v>63</v>
      </c>
      <c r="AF2" s="128"/>
      <c r="AG2" s="128"/>
      <c r="AH2" s="128"/>
      <c r="AI2" s="128"/>
    </row>
    <row r="3" spans="1:35" ht="18" x14ac:dyDescent="0.3">
      <c r="A3" s="156" t="s">
        <v>193</v>
      </c>
      <c r="B3" s="157">
        <v>45988</v>
      </c>
      <c r="C3" s="129" t="s">
        <v>1048</v>
      </c>
      <c r="D3" s="158">
        <v>0.71180555555555547</v>
      </c>
      <c r="E3" s="129" t="s">
        <v>1036</v>
      </c>
      <c r="F3" s="129" t="s">
        <v>158</v>
      </c>
      <c r="G3" s="159">
        <v>0.51400000000000001</v>
      </c>
      <c r="H3" s="131">
        <v>179</v>
      </c>
      <c r="I3" s="131">
        <v>92</v>
      </c>
      <c r="J3" s="131">
        <v>0</v>
      </c>
      <c r="K3" s="157">
        <v>45983</v>
      </c>
      <c r="L3" s="131">
        <v>0</v>
      </c>
      <c r="M3" s="131">
        <v>1</v>
      </c>
      <c r="N3" s="131">
        <v>20</v>
      </c>
      <c r="O3" s="129" t="s">
        <v>458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31">
        <v>9</v>
      </c>
      <c r="AB3" s="131">
        <v>13</v>
      </c>
      <c r="AC3" s="131">
        <v>10</v>
      </c>
      <c r="AD3" s="131">
        <v>20</v>
      </c>
      <c r="AE3" s="131">
        <v>40</v>
      </c>
      <c r="AF3" s="128"/>
      <c r="AG3" s="128"/>
      <c r="AH3" s="128"/>
      <c r="AI3" s="128"/>
    </row>
    <row r="4" spans="1:35" ht="18" x14ac:dyDescent="0.3">
      <c r="A4" s="156" t="s">
        <v>194</v>
      </c>
      <c r="B4" s="157">
        <v>45990</v>
      </c>
      <c r="C4" s="129" t="s">
        <v>1048</v>
      </c>
      <c r="D4" s="158">
        <v>0.83680555555555547</v>
      </c>
      <c r="E4" s="129" t="s">
        <v>1036</v>
      </c>
      <c r="F4" s="129" t="s">
        <v>158</v>
      </c>
      <c r="G4" s="159">
        <v>0.62570000000000003</v>
      </c>
      <c r="H4" s="131">
        <v>179</v>
      </c>
      <c r="I4" s="131">
        <v>112</v>
      </c>
      <c r="J4" s="131">
        <v>0</v>
      </c>
      <c r="K4" s="157">
        <v>45982</v>
      </c>
      <c r="L4" s="131">
        <v>0</v>
      </c>
      <c r="M4" s="131">
        <v>0</v>
      </c>
      <c r="N4" s="131">
        <v>5</v>
      </c>
      <c r="O4" s="129" t="s">
        <v>879</v>
      </c>
      <c r="P4" s="128"/>
      <c r="Q4" s="128"/>
      <c r="R4" s="128"/>
      <c r="S4" s="131">
        <v>1</v>
      </c>
      <c r="T4" s="131">
        <v>1</v>
      </c>
      <c r="U4" s="131">
        <v>12</v>
      </c>
      <c r="V4" s="131">
        <v>21</v>
      </c>
      <c r="W4" s="131">
        <v>18</v>
      </c>
      <c r="X4" s="131">
        <v>5</v>
      </c>
      <c r="Y4" s="128"/>
      <c r="Z4" s="128"/>
      <c r="AA4" s="131">
        <v>7</v>
      </c>
      <c r="AB4" s="131">
        <v>12</v>
      </c>
      <c r="AC4" s="131">
        <v>9</v>
      </c>
      <c r="AD4" s="131">
        <v>8</v>
      </c>
      <c r="AE4" s="131">
        <v>18</v>
      </c>
      <c r="AF4" s="128"/>
      <c r="AG4" s="128"/>
      <c r="AH4" s="128"/>
      <c r="AI4" s="128"/>
    </row>
    <row r="5" spans="1:35" ht="18" x14ac:dyDescent="0.3">
      <c r="A5" s="156" t="s">
        <v>1248</v>
      </c>
      <c r="B5" s="157">
        <v>45989</v>
      </c>
      <c r="C5" s="129" t="s">
        <v>1074</v>
      </c>
      <c r="D5" s="158">
        <v>0.37847222222222232</v>
      </c>
      <c r="E5" s="129" t="s">
        <v>1071</v>
      </c>
      <c r="F5" s="129" t="s">
        <v>158</v>
      </c>
      <c r="G5" s="159">
        <v>0.48039999999999999</v>
      </c>
      <c r="H5" s="131">
        <v>179</v>
      </c>
      <c r="I5" s="131">
        <v>86</v>
      </c>
      <c r="J5" s="131">
        <v>0</v>
      </c>
      <c r="K5" s="157">
        <v>45983</v>
      </c>
      <c r="L5" s="131">
        <v>0</v>
      </c>
      <c r="M5" s="131">
        <v>8</v>
      </c>
      <c r="N5" s="131">
        <v>46</v>
      </c>
      <c r="O5" s="129" t="s">
        <v>496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31">
        <v>36</v>
      </c>
      <c r="AE5" s="131">
        <v>50</v>
      </c>
      <c r="AF5" s="128"/>
      <c r="AG5" s="128"/>
      <c r="AH5" s="128"/>
      <c r="AI5" s="128"/>
    </row>
    <row r="6" spans="1:35" ht="18" x14ac:dyDescent="0.3">
      <c r="A6" s="156" t="s">
        <v>193</v>
      </c>
      <c r="B6" s="157">
        <v>45988</v>
      </c>
      <c r="C6" s="129" t="s">
        <v>1239</v>
      </c>
      <c r="D6" s="158">
        <v>0.8125</v>
      </c>
      <c r="E6" s="129" t="s">
        <v>1231</v>
      </c>
      <c r="F6" s="129" t="s">
        <v>158</v>
      </c>
      <c r="G6" s="159">
        <v>0.72629999999999995</v>
      </c>
      <c r="H6" s="131">
        <v>179</v>
      </c>
      <c r="I6" s="131">
        <v>130</v>
      </c>
      <c r="J6" s="131">
        <v>0</v>
      </c>
      <c r="K6" s="157">
        <v>45983</v>
      </c>
      <c r="L6" s="131">
        <v>0</v>
      </c>
      <c r="M6" s="131">
        <v>12</v>
      </c>
      <c r="N6" s="131">
        <v>24</v>
      </c>
      <c r="O6" s="129" t="s">
        <v>922</v>
      </c>
      <c r="P6" s="128"/>
      <c r="Q6" s="128"/>
      <c r="R6" s="128"/>
      <c r="S6" s="131">
        <v>1</v>
      </c>
      <c r="T6" s="131">
        <v>10</v>
      </c>
      <c r="U6" s="131">
        <v>29</v>
      </c>
      <c r="V6" s="131">
        <v>20</v>
      </c>
      <c r="W6" s="131">
        <v>8</v>
      </c>
      <c r="X6" s="131">
        <v>7</v>
      </c>
      <c r="Y6" s="131">
        <v>9</v>
      </c>
      <c r="Z6" s="131">
        <v>9</v>
      </c>
      <c r="AA6" s="131">
        <v>10</v>
      </c>
      <c r="AB6" s="131">
        <v>6</v>
      </c>
      <c r="AC6" s="131">
        <v>8</v>
      </c>
      <c r="AD6" s="131">
        <v>9</v>
      </c>
      <c r="AE6" s="131">
        <v>4</v>
      </c>
      <c r="AF6" s="128"/>
      <c r="AG6" s="128"/>
      <c r="AH6" s="128"/>
      <c r="AI6" s="128"/>
    </row>
    <row r="7" spans="1:35" ht="18" x14ac:dyDescent="0.3">
      <c r="A7" s="156" t="s">
        <v>194</v>
      </c>
      <c r="B7" s="157">
        <v>45990</v>
      </c>
      <c r="C7" s="129" t="s">
        <v>1239</v>
      </c>
      <c r="D7" s="158">
        <v>0.8125</v>
      </c>
      <c r="E7" s="129" t="s">
        <v>1231</v>
      </c>
      <c r="F7" s="129" t="s">
        <v>158</v>
      </c>
      <c r="G7" s="159">
        <v>0.69830000000000003</v>
      </c>
      <c r="H7" s="131">
        <v>179</v>
      </c>
      <c r="I7" s="131">
        <v>125</v>
      </c>
      <c r="J7" s="131">
        <v>0</v>
      </c>
      <c r="K7" s="157">
        <v>45981</v>
      </c>
      <c r="L7" s="131">
        <v>0</v>
      </c>
      <c r="M7" s="131">
        <v>0</v>
      </c>
      <c r="N7" s="131">
        <v>8</v>
      </c>
      <c r="O7" s="129" t="s">
        <v>860</v>
      </c>
      <c r="P7" s="128"/>
      <c r="Q7" s="128"/>
      <c r="R7" s="131">
        <v>5</v>
      </c>
      <c r="S7" s="131">
        <v>20</v>
      </c>
      <c r="T7" s="131">
        <v>16</v>
      </c>
      <c r="U7" s="131">
        <v>8</v>
      </c>
      <c r="V7" s="131">
        <v>5</v>
      </c>
      <c r="W7" s="131">
        <v>9</v>
      </c>
      <c r="X7" s="131">
        <v>7</v>
      </c>
      <c r="Y7" s="131">
        <v>9</v>
      </c>
      <c r="Z7" s="131">
        <v>7</v>
      </c>
      <c r="AA7" s="131">
        <v>10</v>
      </c>
      <c r="AB7" s="131">
        <v>9</v>
      </c>
      <c r="AC7" s="131">
        <v>9</v>
      </c>
      <c r="AD7" s="131">
        <v>9</v>
      </c>
      <c r="AE7" s="131">
        <v>2</v>
      </c>
      <c r="AF7" s="128"/>
      <c r="AG7" s="128"/>
      <c r="AH7" s="128"/>
      <c r="AI7" s="128"/>
    </row>
    <row r="8" spans="1:35" ht="18" x14ac:dyDescent="0.3">
      <c r="A8" s="156" t="s">
        <v>196</v>
      </c>
      <c r="B8" s="157">
        <v>45985</v>
      </c>
      <c r="C8" s="129" t="s">
        <v>671</v>
      </c>
      <c r="D8" s="158">
        <v>0.34722222222222232</v>
      </c>
      <c r="E8" s="129" t="s">
        <v>662</v>
      </c>
      <c r="F8" s="129" t="s">
        <v>158</v>
      </c>
      <c r="G8" s="159">
        <v>1</v>
      </c>
      <c r="H8" s="131">
        <v>180</v>
      </c>
      <c r="I8" s="131">
        <v>180</v>
      </c>
      <c r="J8" s="131">
        <v>90</v>
      </c>
      <c r="K8" s="157">
        <v>45982</v>
      </c>
      <c r="L8" s="131">
        <v>0</v>
      </c>
      <c r="M8" s="131">
        <v>0</v>
      </c>
      <c r="N8" s="131">
        <v>46</v>
      </c>
      <c r="O8" s="129" t="s">
        <v>75</v>
      </c>
      <c r="P8" s="128"/>
      <c r="Q8" s="128"/>
      <c r="R8" s="128"/>
      <c r="S8" s="128"/>
      <c r="T8" s="128"/>
      <c r="U8" s="128"/>
      <c r="V8" s="128"/>
      <c r="W8" s="128"/>
      <c r="X8" s="128"/>
      <c r="Y8" s="131">
        <v>1</v>
      </c>
      <c r="Z8" s="128"/>
      <c r="AA8" s="128"/>
      <c r="AB8" s="131">
        <v>1</v>
      </c>
      <c r="AC8" s="131">
        <v>39</v>
      </c>
      <c r="AD8" s="131">
        <v>31</v>
      </c>
      <c r="AE8" s="131">
        <v>18</v>
      </c>
      <c r="AF8" s="128"/>
      <c r="AG8" s="128"/>
      <c r="AH8" s="131">
        <v>90</v>
      </c>
      <c r="AI8" s="128"/>
    </row>
    <row r="9" spans="1:35" ht="18" x14ac:dyDescent="0.3">
      <c r="A9" s="156" t="s">
        <v>1247</v>
      </c>
      <c r="B9" s="157">
        <v>45987</v>
      </c>
      <c r="C9" s="129" t="s">
        <v>671</v>
      </c>
      <c r="D9" s="158">
        <v>0.92361111111111116</v>
      </c>
      <c r="E9" s="129" t="s">
        <v>662</v>
      </c>
      <c r="F9" s="129" t="s">
        <v>158</v>
      </c>
      <c r="G9" s="159">
        <v>0.99439999999999995</v>
      </c>
      <c r="H9" s="131">
        <v>180</v>
      </c>
      <c r="I9" s="131">
        <v>179</v>
      </c>
      <c r="J9" s="131">
        <v>109</v>
      </c>
      <c r="K9" s="157">
        <v>45984</v>
      </c>
      <c r="L9" s="131">
        <v>1</v>
      </c>
      <c r="M9" s="131">
        <v>2</v>
      </c>
      <c r="N9" s="131">
        <v>13</v>
      </c>
      <c r="O9" s="129" t="s">
        <v>75</v>
      </c>
      <c r="P9" s="128"/>
      <c r="Q9" s="128"/>
      <c r="R9" s="128"/>
      <c r="S9" s="128"/>
      <c r="T9" s="128"/>
      <c r="U9" s="128"/>
      <c r="V9" s="128"/>
      <c r="W9" s="128"/>
      <c r="X9" s="128"/>
      <c r="Y9" s="131">
        <v>1</v>
      </c>
      <c r="Z9" s="131">
        <v>2</v>
      </c>
      <c r="AA9" s="128"/>
      <c r="AB9" s="131">
        <v>12</v>
      </c>
      <c r="AC9" s="131">
        <v>21</v>
      </c>
      <c r="AD9" s="131">
        <v>18</v>
      </c>
      <c r="AE9" s="131">
        <v>16</v>
      </c>
      <c r="AF9" s="128"/>
      <c r="AG9" s="128"/>
      <c r="AH9" s="131">
        <v>109</v>
      </c>
      <c r="AI9" s="128"/>
    </row>
    <row r="10" spans="1:35" ht="18" x14ac:dyDescent="0.3">
      <c r="A10" s="156" t="s">
        <v>192</v>
      </c>
      <c r="B10" s="157">
        <v>45986</v>
      </c>
      <c r="C10" s="129" t="s">
        <v>351</v>
      </c>
      <c r="D10" s="158">
        <v>0.75694444444444453</v>
      </c>
      <c r="E10" s="129" t="s">
        <v>271</v>
      </c>
      <c r="F10" s="129" t="s">
        <v>158</v>
      </c>
      <c r="G10" s="159">
        <v>0.99439999999999995</v>
      </c>
      <c r="H10" s="131">
        <v>180</v>
      </c>
      <c r="I10" s="131">
        <v>179</v>
      </c>
      <c r="J10" s="131">
        <v>90</v>
      </c>
      <c r="K10" s="157">
        <v>45979</v>
      </c>
      <c r="L10" s="131">
        <v>0</v>
      </c>
      <c r="M10" s="131">
        <v>0</v>
      </c>
      <c r="N10" s="131">
        <v>6</v>
      </c>
      <c r="O10" s="129" t="s">
        <v>75</v>
      </c>
      <c r="P10" s="128"/>
      <c r="Q10" s="128"/>
      <c r="R10" s="128"/>
      <c r="S10" s="128"/>
      <c r="T10" s="128"/>
      <c r="U10" s="128"/>
      <c r="V10" s="128"/>
      <c r="W10" s="128"/>
      <c r="X10" s="128"/>
      <c r="Y10" s="131">
        <v>5</v>
      </c>
      <c r="Z10" s="131">
        <v>2</v>
      </c>
      <c r="AA10" s="131">
        <v>11</v>
      </c>
      <c r="AB10" s="131">
        <v>11</v>
      </c>
      <c r="AC10" s="131">
        <v>17</v>
      </c>
      <c r="AD10" s="131">
        <v>23</v>
      </c>
      <c r="AE10" s="131">
        <v>20</v>
      </c>
      <c r="AF10" s="128"/>
      <c r="AG10" s="128"/>
      <c r="AH10" s="131">
        <v>90</v>
      </c>
      <c r="AI10" s="128"/>
    </row>
    <row r="11" spans="1:35" ht="18" x14ac:dyDescent="0.3">
      <c r="A11" s="156" t="s">
        <v>1247</v>
      </c>
      <c r="B11" s="157">
        <v>45987</v>
      </c>
      <c r="C11" s="129" t="s">
        <v>351</v>
      </c>
      <c r="D11" s="158">
        <v>0.2326388888888889</v>
      </c>
      <c r="E11" s="129" t="s">
        <v>271</v>
      </c>
      <c r="F11" s="129" t="s">
        <v>158</v>
      </c>
      <c r="G11" s="159">
        <v>1</v>
      </c>
      <c r="H11" s="131">
        <v>180</v>
      </c>
      <c r="I11" s="131">
        <v>180</v>
      </c>
      <c r="J11" s="131">
        <v>90</v>
      </c>
      <c r="K11" s="157">
        <v>45980</v>
      </c>
      <c r="L11" s="131">
        <v>0</v>
      </c>
      <c r="M11" s="131">
        <v>0</v>
      </c>
      <c r="N11" s="131">
        <v>11</v>
      </c>
      <c r="O11" s="129" t="s">
        <v>75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31">
        <v>4</v>
      </c>
      <c r="Z11" s="131">
        <v>3</v>
      </c>
      <c r="AA11" s="131">
        <v>11</v>
      </c>
      <c r="AB11" s="131">
        <v>19</v>
      </c>
      <c r="AC11" s="131">
        <v>17</v>
      </c>
      <c r="AD11" s="131">
        <v>18</v>
      </c>
      <c r="AE11" s="131">
        <v>18</v>
      </c>
      <c r="AF11" s="128"/>
      <c r="AG11" s="128"/>
      <c r="AH11" s="131">
        <v>90</v>
      </c>
      <c r="AI11" s="128"/>
    </row>
    <row r="12" spans="1:35" ht="18" x14ac:dyDescent="0.3">
      <c r="A12" s="156" t="s">
        <v>193</v>
      </c>
      <c r="B12" s="157">
        <v>45988</v>
      </c>
      <c r="C12" s="129" t="s">
        <v>351</v>
      </c>
      <c r="D12" s="158">
        <v>0.9375</v>
      </c>
      <c r="E12" s="129" t="s">
        <v>271</v>
      </c>
      <c r="F12" s="129" t="s">
        <v>158</v>
      </c>
      <c r="G12" s="159">
        <v>0.91669999999999996</v>
      </c>
      <c r="H12" s="131">
        <v>180</v>
      </c>
      <c r="I12" s="131">
        <v>165</v>
      </c>
      <c r="J12" s="131">
        <v>0</v>
      </c>
      <c r="K12" s="157">
        <v>45984</v>
      </c>
      <c r="L12" s="131">
        <v>2</v>
      </c>
      <c r="M12" s="131">
        <v>14</v>
      </c>
      <c r="N12" s="131">
        <v>34</v>
      </c>
      <c r="O12" s="129" t="s">
        <v>345</v>
      </c>
      <c r="P12" s="128"/>
      <c r="Q12" s="128"/>
      <c r="R12" s="128"/>
      <c r="S12" s="128"/>
      <c r="T12" s="128"/>
      <c r="U12" s="131">
        <v>6</v>
      </c>
      <c r="V12" s="131">
        <v>24</v>
      </c>
      <c r="W12" s="131">
        <v>23</v>
      </c>
      <c r="X12" s="131">
        <v>11</v>
      </c>
      <c r="Y12" s="131">
        <v>22</v>
      </c>
      <c r="Z12" s="131">
        <v>12</v>
      </c>
      <c r="AA12" s="131">
        <v>9</v>
      </c>
      <c r="AB12" s="131">
        <v>12</v>
      </c>
      <c r="AC12" s="131">
        <v>21</v>
      </c>
      <c r="AD12" s="131">
        <v>11</v>
      </c>
      <c r="AE12" s="131">
        <v>10</v>
      </c>
      <c r="AF12" s="128"/>
      <c r="AG12" s="128"/>
      <c r="AH12" s="128"/>
      <c r="AI12" s="131">
        <v>4</v>
      </c>
    </row>
    <row r="13" spans="1:35" ht="18" x14ac:dyDescent="0.3">
      <c r="A13" s="156" t="s">
        <v>194</v>
      </c>
      <c r="B13" s="157">
        <v>45990</v>
      </c>
      <c r="C13" s="129" t="s">
        <v>351</v>
      </c>
      <c r="D13" s="158">
        <v>0.90625</v>
      </c>
      <c r="E13" s="129" t="s">
        <v>271</v>
      </c>
      <c r="F13" s="129" t="s">
        <v>158</v>
      </c>
      <c r="G13" s="159">
        <v>0.9556</v>
      </c>
      <c r="H13" s="131">
        <v>180</v>
      </c>
      <c r="I13" s="131">
        <v>172</v>
      </c>
      <c r="J13" s="131">
        <v>0</v>
      </c>
      <c r="K13" s="157">
        <v>45981</v>
      </c>
      <c r="L13" s="131">
        <v>0</v>
      </c>
      <c r="M13" s="131">
        <v>0</v>
      </c>
      <c r="N13" s="131">
        <v>29</v>
      </c>
      <c r="O13" s="129" t="s">
        <v>422</v>
      </c>
      <c r="P13" s="128"/>
      <c r="Q13" s="128"/>
      <c r="R13" s="128"/>
      <c r="S13" s="131">
        <v>4</v>
      </c>
      <c r="T13" s="131">
        <v>10</v>
      </c>
      <c r="U13" s="131">
        <v>13</v>
      </c>
      <c r="V13" s="131">
        <v>20</v>
      </c>
      <c r="W13" s="131">
        <v>18</v>
      </c>
      <c r="X13" s="131">
        <v>16</v>
      </c>
      <c r="Y13" s="131">
        <v>21</v>
      </c>
      <c r="Z13" s="131">
        <v>12</v>
      </c>
      <c r="AA13" s="131">
        <v>11</v>
      </c>
      <c r="AB13" s="131">
        <v>11</v>
      </c>
      <c r="AC13" s="131">
        <v>12</v>
      </c>
      <c r="AD13" s="131">
        <v>11</v>
      </c>
      <c r="AE13" s="131">
        <v>10</v>
      </c>
      <c r="AF13" s="128"/>
      <c r="AG13" s="128"/>
      <c r="AH13" s="128"/>
      <c r="AI13" s="131">
        <v>3</v>
      </c>
    </row>
    <row r="14" spans="1:35" ht="18" x14ac:dyDescent="0.3">
      <c r="A14" s="156" t="s">
        <v>193</v>
      </c>
      <c r="B14" s="157">
        <v>45988</v>
      </c>
      <c r="C14" s="129" t="s">
        <v>1202</v>
      </c>
      <c r="D14" s="158">
        <v>0.63194444444444442</v>
      </c>
      <c r="E14" s="129" t="s">
        <v>1185</v>
      </c>
      <c r="F14" s="129" t="s">
        <v>158</v>
      </c>
      <c r="G14" s="159">
        <v>0.6704</v>
      </c>
      <c r="H14" s="131">
        <v>179</v>
      </c>
      <c r="I14" s="131">
        <v>120</v>
      </c>
      <c r="J14" s="131">
        <v>0</v>
      </c>
      <c r="K14" s="157">
        <v>45983</v>
      </c>
      <c r="L14" s="131">
        <v>0</v>
      </c>
      <c r="M14" s="131">
        <v>7</v>
      </c>
      <c r="N14" s="131">
        <v>22</v>
      </c>
      <c r="O14" s="129" t="s">
        <v>899</v>
      </c>
      <c r="P14" s="128"/>
      <c r="Q14" s="128"/>
      <c r="R14" s="128"/>
      <c r="S14" s="128"/>
      <c r="T14" s="131">
        <v>2</v>
      </c>
      <c r="U14" s="131">
        <v>8</v>
      </c>
      <c r="V14" s="131">
        <v>10</v>
      </c>
      <c r="W14" s="131">
        <v>9</v>
      </c>
      <c r="X14" s="131">
        <v>17</v>
      </c>
      <c r="Y14" s="131">
        <v>10</v>
      </c>
      <c r="Z14" s="131">
        <v>10</v>
      </c>
      <c r="AA14" s="131">
        <v>21</v>
      </c>
      <c r="AB14" s="131">
        <v>16</v>
      </c>
      <c r="AC14" s="131">
        <v>3</v>
      </c>
      <c r="AD14" s="131">
        <v>6</v>
      </c>
      <c r="AE14" s="131">
        <v>8</v>
      </c>
      <c r="AF14" s="128"/>
      <c r="AG14" s="128"/>
      <c r="AH14" s="128"/>
      <c r="AI14" s="128"/>
    </row>
    <row r="15" spans="1:35" ht="18" x14ac:dyDescent="0.3">
      <c r="A15" s="156" t="s">
        <v>1248</v>
      </c>
      <c r="B15" s="157">
        <v>45989</v>
      </c>
      <c r="C15" s="129" t="s">
        <v>1202</v>
      </c>
      <c r="D15" s="158">
        <v>0.82986111111111116</v>
      </c>
      <c r="E15" s="129" t="s">
        <v>1185</v>
      </c>
      <c r="F15" s="129" t="s">
        <v>158</v>
      </c>
      <c r="G15" s="159">
        <v>0.77090000000000003</v>
      </c>
      <c r="H15" s="131">
        <v>179</v>
      </c>
      <c r="I15" s="131">
        <v>138</v>
      </c>
      <c r="J15" s="131">
        <v>0</v>
      </c>
      <c r="K15" s="157">
        <v>45983</v>
      </c>
      <c r="L15" s="131">
        <v>0</v>
      </c>
      <c r="M15" s="131">
        <v>4</v>
      </c>
      <c r="N15" s="131">
        <v>30</v>
      </c>
      <c r="O15" s="129" t="s">
        <v>1022</v>
      </c>
      <c r="P15" s="128"/>
      <c r="Q15" s="128"/>
      <c r="R15" s="131">
        <v>16</v>
      </c>
      <c r="S15" s="131">
        <v>41</v>
      </c>
      <c r="T15" s="128"/>
      <c r="U15" s="131">
        <v>9</v>
      </c>
      <c r="V15" s="131">
        <v>7</v>
      </c>
      <c r="W15" s="131">
        <v>9</v>
      </c>
      <c r="X15" s="131">
        <v>10</v>
      </c>
      <c r="Y15" s="131">
        <v>8</v>
      </c>
      <c r="Z15" s="131">
        <v>5</v>
      </c>
      <c r="AA15" s="131">
        <v>6</v>
      </c>
      <c r="AB15" s="131">
        <v>7</v>
      </c>
      <c r="AC15" s="131">
        <v>9</v>
      </c>
      <c r="AD15" s="131">
        <v>11</v>
      </c>
      <c r="AE15" s="128"/>
      <c r="AF15" s="128"/>
      <c r="AG15" s="128"/>
      <c r="AH15" s="128"/>
      <c r="AI15" s="128"/>
    </row>
    <row r="16" spans="1:35" ht="18" x14ac:dyDescent="0.3">
      <c r="A16" s="156" t="s">
        <v>195</v>
      </c>
      <c r="B16" s="157">
        <v>45991</v>
      </c>
      <c r="C16" s="129" t="s">
        <v>1202</v>
      </c>
      <c r="D16" s="158">
        <v>0.63194444444444442</v>
      </c>
      <c r="E16" s="129" t="s">
        <v>1185</v>
      </c>
      <c r="F16" s="129" t="s">
        <v>158</v>
      </c>
      <c r="G16" s="159">
        <v>0.74299999999999999</v>
      </c>
      <c r="H16" s="131">
        <v>179</v>
      </c>
      <c r="I16" s="131">
        <v>133</v>
      </c>
      <c r="J16" s="131">
        <v>0</v>
      </c>
      <c r="K16" s="157">
        <v>45983</v>
      </c>
      <c r="L16" s="131">
        <v>0</v>
      </c>
      <c r="M16" s="131">
        <v>8</v>
      </c>
      <c r="N16" s="131">
        <v>53</v>
      </c>
      <c r="O16" s="129" t="s">
        <v>387</v>
      </c>
      <c r="P16" s="128"/>
      <c r="Q16" s="128"/>
      <c r="R16" s="128"/>
      <c r="S16" s="131">
        <v>1</v>
      </c>
      <c r="T16" s="128"/>
      <c r="U16" s="131">
        <v>2</v>
      </c>
      <c r="V16" s="131">
        <v>44</v>
      </c>
      <c r="W16" s="131">
        <v>9</v>
      </c>
      <c r="X16" s="131">
        <v>10</v>
      </c>
      <c r="Y16" s="131">
        <v>15</v>
      </c>
      <c r="Z16" s="131">
        <v>11</v>
      </c>
      <c r="AA16" s="131">
        <v>10</v>
      </c>
      <c r="AB16" s="131">
        <v>12</v>
      </c>
      <c r="AC16" s="131">
        <v>5</v>
      </c>
      <c r="AD16" s="131">
        <v>8</v>
      </c>
      <c r="AE16" s="131">
        <v>4</v>
      </c>
      <c r="AF16" s="128"/>
      <c r="AG16" s="128"/>
      <c r="AH16" s="128"/>
      <c r="AI16" s="131">
        <v>2</v>
      </c>
    </row>
    <row r="17" spans="1:35" ht="18" x14ac:dyDescent="0.3">
      <c r="A17" s="156" t="s">
        <v>192</v>
      </c>
      <c r="B17" s="157">
        <v>45986</v>
      </c>
      <c r="C17" s="129" t="s">
        <v>739</v>
      </c>
      <c r="D17" s="158">
        <v>0.2638888888888889</v>
      </c>
      <c r="E17" s="129" t="s">
        <v>736</v>
      </c>
      <c r="F17" s="129" t="s">
        <v>158</v>
      </c>
      <c r="G17" s="159">
        <v>0</v>
      </c>
      <c r="H17" s="131">
        <v>180</v>
      </c>
      <c r="I17" s="131">
        <v>0</v>
      </c>
      <c r="J17" s="131">
        <v>0</v>
      </c>
      <c r="K17" s="157" t="s">
        <v>738</v>
      </c>
      <c r="L17" s="131">
        <v>0</v>
      </c>
      <c r="M17" s="131">
        <v>0</v>
      </c>
      <c r="N17" s="131">
        <v>0</v>
      </c>
      <c r="O17" s="129" t="s">
        <v>75</v>
      </c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</row>
    <row r="18" spans="1:35" ht="18" x14ac:dyDescent="0.3">
      <c r="A18" s="156" t="s">
        <v>193</v>
      </c>
      <c r="B18" s="157">
        <v>45988</v>
      </c>
      <c r="C18" s="129" t="s">
        <v>380</v>
      </c>
      <c r="D18" s="158">
        <v>0.1875</v>
      </c>
      <c r="E18" s="129" t="s">
        <v>271</v>
      </c>
      <c r="F18" s="129" t="s">
        <v>158</v>
      </c>
      <c r="G18" s="159">
        <v>0.99439999999999995</v>
      </c>
      <c r="H18" s="131">
        <v>180</v>
      </c>
      <c r="I18" s="131">
        <v>179</v>
      </c>
      <c r="J18" s="131">
        <v>45</v>
      </c>
      <c r="K18" s="157">
        <v>45983</v>
      </c>
      <c r="L18" s="131">
        <v>0</v>
      </c>
      <c r="M18" s="131">
        <v>9</v>
      </c>
      <c r="N18" s="131">
        <v>72</v>
      </c>
      <c r="O18" s="129" t="s">
        <v>75</v>
      </c>
      <c r="P18" s="128"/>
      <c r="Q18" s="128"/>
      <c r="R18" s="128"/>
      <c r="S18" s="128"/>
      <c r="T18" s="128"/>
      <c r="U18" s="128"/>
      <c r="V18" s="131">
        <v>4</v>
      </c>
      <c r="W18" s="131">
        <v>10</v>
      </c>
      <c r="X18" s="131">
        <v>25</v>
      </c>
      <c r="Y18" s="131">
        <v>46</v>
      </c>
      <c r="Z18" s="131">
        <v>9</v>
      </c>
      <c r="AA18" s="131">
        <v>20</v>
      </c>
      <c r="AB18" s="131">
        <v>5</v>
      </c>
      <c r="AC18" s="131">
        <v>5</v>
      </c>
      <c r="AD18" s="131">
        <v>5</v>
      </c>
      <c r="AE18" s="131">
        <v>5</v>
      </c>
      <c r="AF18" s="128"/>
      <c r="AG18" s="128"/>
      <c r="AH18" s="131">
        <v>45</v>
      </c>
      <c r="AI18" s="128"/>
    </row>
    <row r="19" spans="1:35" ht="18" x14ac:dyDescent="0.3">
      <c r="A19" s="156" t="s">
        <v>195</v>
      </c>
      <c r="B19" s="157">
        <v>45991</v>
      </c>
      <c r="C19" s="129" t="s">
        <v>380</v>
      </c>
      <c r="D19" s="158">
        <v>0.15625</v>
      </c>
      <c r="E19" s="129" t="s">
        <v>271</v>
      </c>
      <c r="F19" s="129" t="s">
        <v>158</v>
      </c>
      <c r="G19" s="159">
        <v>1</v>
      </c>
      <c r="H19" s="131">
        <v>180</v>
      </c>
      <c r="I19" s="131">
        <v>180</v>
      </c>
      <c r="J19" s="131">
        <v>86</v>
      </c>
      <c r="K19" s="157">
        <v>45982</v>
      </c>
      <c r="L19" s="131">
        <v>0</v>
      </c>
      <c r="M19" s="131">
        <v>0</v>
      </c>
      <c r="N19" s="131">
        <v>23</v>
      </c>
      <c r="O19" s="129" t="s">
        <v>75</v>
      </c>
      <c r="P19" s="128"/>
      <c r="Q19" s="128"/>
      <c r="R19" s="128"/>
      <c r="S19" s="128"/>
      <c r="T19" s="128"/>
      <c r="U19" s="128"/>
      <c r="V19" s="131">
        <v>4</v>
      </c>
      <c r="W19" s="131">
        <v>11</v>
      </c>
      <c r="X19" s="131">
        <v>29</v>
      </c>
      <c r="Y19" s="131">
        <v>12</v>
      </c>
      <c r="Z19" s="131">
        <v>9</v>
      </c>
      <c r="AA19" s="131">
        <v>10</v>
      </c>
      <c r="AB19" s="131">
        <v>4</v>
      </c>
      <c r="AC19" s="131">
        <v>5</v>
      </c>
      <c r="AD19" s="131">
        <v>5</v>
      </c>
      <c r="AE19" s="131">
        <v>5</v>
      </c>
      <c r="AF19" s="131">
        <v>40</v>
      </c>
      <c r="AG19" s="128"/>
      <c r="AH19" s="131">
        <v>46</v>
      </c>
      <c r="AI19" s="128"/>
    </row>
    <row r="20" spans="1:35" ht="18" x14ac:dyDescent="0.3">
      <c r="A20" s="156" t="s">
        <v>192</v>
      </c>
      <c r="B20" s="157">
        <v>45986</v>
      </c>
      <c r="C20" s="129" t="s">
        <v>967</v>
      </c>
      <c r="D20" s="158">
        <v>6.9444444444444434E-2</v>
      </c>
      <c r="E20" s="129" t="s">
        <v>951</v>
      </c>
      <c r="F20" s="129" t="s">
        <v>158</v>
      </c>
      <c r="G20" s="159">
        <v>0.68889999999999996</v>
      </c>
      <c r="H20" s="131">
        <v>180</v>
      </c>
      <c r="I20" s="131">
        <v>124</v>
      </c>
      <c r="J20" s="131">
        <v>0</v>
      </c>
      <c r="K20" s="157">
        <v>45983</v>
      </c>
      <c r="L20" s="131">
        <v>0</v>
      </c>
      <c r="M20" s="131">
        <v>13</v>
      </c>
      <c r="N20" s="131">
        <v>79</v>
      </c>
      <c r="O20" s="129" t="s">
        <v>390</v>
      </c>
      <c r="P20" s="128"/>
      <c r="Q20" s="128"/>
      <c r="R20" s="128"/>
      <c r="S20" s="128"/>
      <c r="T20" s="128"/>
      <c r="U20" s="131">
        <v>14</v>
      </c>
      <c r="V20" s="131">
        <v>20</v>
      </c>
      <c r="W20" s="131">
        <v>30</v>
      </c>
      <c r="X20" s="131">
        <v>21</v>
      </c>
      <c r="Y20" s="131">
        <v>7</v>
      </c>
      <c r="Z20" s="128"/>
      <c r="AA20" s="131">
        <v>1</v>
      </c>
      <c r="AB20" s="131">
        <v>1</v>
      </c>
      <c r="AC20" s="131">
        <v>7</v>
      </c>
      <c r="AD20" s="131">
        <v>19</v>
      </c>
      <c r="AE20" s="131">
        <v>4</v>
      </c>
      <c r="AF20" s="128"/>
      <c r="AG20" s="128"/>
      <c r="AH20" s="128"/>
      <c r="AI20" s="128"/>
    </row>
    <row r="21" spans="1:35" ht="18" x14ac:dyDescent="0.3">
      <c r="A21" s="156" t="s">
        <v>193</v>
      </c>
      <c r="B21" s="157">
        <v>45988</v>
      </c>
      <c r="C21" s="129" t="s">
        <v>967</v>
      </c>
      <c r="D21" s="158">
        <v>0.72222222222222221</v>
      </c>
      <c r="E21" s="129" t="s">
        <v>951</v>
      </c>
      <c r="F21" s="129" t="s">
        <v>158</v>
      </c>
      <c r="G21" s="159">
        <v>0.7833</v>
      </c>
      <c r="H21" s="131">
        <v>180</v>
      </c>
      <c r="I21" s="131">
        <v>141</v>
      </c>
      <c r="J21" s="131">
        <v>0</v>
      </c>
      <c r="K21" s="157">
        <v>45983</v>
      </c>
      <c r="L21" s="131">
        <v>0</v>
      </c>
      <c r="M21" s="131">
        <v>3</v>
      </c>
      <c r="N21" s="131">
        <v>19</v>
      </c>
      <c r="O21" s="129" t="s">
        <v>556</v>
      </c>
      <c r="P21" s="128"/>
      <c r="Q21" s="128"/>
      <c r="R21" s="128"/>
      <c r="S21" s="131">
        <v>3</v>
      </c>
      <c r="T21" s="131">
        <v>31</v>
      </c>
      <c r="U21" s="131">
        <v>18</v>
      </c>
      <c r="V21" s="131">
        <v>7</v>
      </c>
      <c r="W21" s="131">
        <v>10</v>
      </c>
      <c r="X21" s="131">
        <v>8</v>
      </c>
      <c r="Y21" s="131">
        <v>8</v>
      </c>
      <c r="Z21" s="131">
        <v>17</v>
      </c>
      <c r="AA21" s="131">
        <v>9</v>
      </c>
      <c r="AB21" s="131">
        <v>7</v>
      </c>
      <c r="AC21" s="131">
        <v>9</v>
      </c>
      <c r="AD21" s="131">
        <v>7</v>
      </c>
      <c r="AE21" s="131">
        <v>7</v>
      </c>
      <c r="AF21" s="128"/>
      <c r="AG21" s="128"/>
      <c r="AH21" s="128"/>
      <c r="AI21" s="128"/>
    </row>
    <row r="22" spans="1:35" ht="18" x14ac:dyDescent="0.3">
      <c r="A22" s="156" t="s">
        <v>1248</v>
      </c>
      <c r="B22" s="157">
        <v>45989</v>
      </c>
      <c r="C22" s="129" t="s">
        <v>967</v>
      </c>
      <c r="D22" s="158">
        <v>0.38194444444444442</v>
      </c>
      <c r="E22" s="129" t="s">
        <v>951</v>
      </c>
      <c r="F22" s="129" t="s">
        <v>158</v>
      </c>
      <c r="G22" s="159">
        <v>0.75560000000000005</v>
      </c>
      <c r="H22" s="131">
        <v>180</v>
      </c>
      <c r="I22" s="131">
        <v>136</v>
      </c>
      <c r="J22" s="131">
        <v>0</v>
      </c>
      <c r="K22" s="157">
        <v>45984</v>
      </c>
      <c r="L22" s="131">
        <v>2</v>
      </c>
      <c r="M22" s="131">
        <v>5</v>
      </c>
      <c r="N22" s="131">
        <v>19</v>
      </c>
      <c r="O22" s="129" t="s">
        <v>922</v>
      </c>
      <c r="P22" s="128"/>
      <c r="Q22" s="128"/>
      <c r="R22" s="131">
        <v>6</v>
      </c>
      <c r="S22" s="131">
        <v>16</v>
      </c>
      <c r="T22" s="131">
        <v>3</v>
      </c>
      <c r="U22" s="131">
        <v>16</v>
      </c>
      <c r="V22" s="131">
        <v>7</v>
      </c>
      <c r="W22" s="131">
        <v>11</v>
      </c>
      <c r="X22" s="131">
        <v>27</v>
      </c>
      <c r="Y22" s="131">
        <v>13</v>
      </c>
      <c r="Z22" s="131">
        <v>12</v>
      </c>
      <c r="AA22" s="131">
        <v>8</v>
      </c>
      <c r="AB22" s="131">
        <v>5</v>
      </c>
      <c r="AC22" s="131">
        <v>3</v>
      </c>
      <c r="AD22" s="131">
        <v>5</v>
      </c>
      <c r="AE22" s="131">
        <v>4</v>
      </c>
      <c r="AF22" s="128"/>
      <c r="AG22" s="128"/>
      <c r="AH22" s="128"/>
      <c r="AI22" s="128"/>
    </row>
    <row r="23" spans="1:35" ht="18" x14ac:dyDescent="0.3">
      <c r="A23" s="156" t="s">
        <v>194</v>
      </c>
      <c r="B23" s="157">
        <v>45990</v>
      </c>
      <c r="C23" s="129" t="s">
        <v>967</v>
      </c>
      <c r="D23" s="158">
        <v>0.72222222222222221</v>
      </c>
      <c r="E23" s="129" t="s">
        <v>951</v>
      </c>
      <c r="F23" s="129" t="s">
        <v>158</v>
      </c>
      <c r="G23" s="159">
        <v>0.69440000000000002</v>
      </c>
      <c r="H23" s="131">
        <v>180</v>
      </c>
      <c r="I23" s="131">
        <v>125</v>
      </c>
      <c r="J23" s="131">
        <v>0</v>
      </c>
      <c r="K23" s="157">
        <v>45981</v>
      </c>
      <c r="L23" s="131">
        <v>0</v>
      </c>
      <c r="M23" s="131">
        <v>0</v>
      </c>
      <c r="N23" s="131">
        <v>14</v>
      </c>
      <c r="O23" s="129" t="s">
        <v>860</v>
      </c>
      <c r="P23" s="128"/>
      <c r="Q23" s="131">
        <v>1</v>
      </c>
      <c r="R23" s="131">
        <v>21</v>
      </c>
      <c r="S23" s="131">
        <v>21</v>
      </c>
      <c r="T23" s="131">
        <v>9</v>
      </c>
      <c r="U23" s="128"/>
      <c r="V23" s="131">
        <v>12</v>
      </c>
      <c r="W23" s="131">
        <v>12</v>
      </c>
      <c r="X23" s="131">
        <v>8</v>
      </c>
      <c r="Y23" s="131">
        <v>6</v>
      </c>
      <c r="Z23" s="131">
        <v>9</v>
      </c>
      <c r="AA23" s="131">
        <v>10</v>
      </c>
      <c r="AB23" s="131">
        <v>2</v>
      </c>
      <c r="AC23" s="131">
        <v>4</v>
      </c>
      <c r="AD23" s="131">
        <v>7</v>
      </c>
      <c r="AE23" s="131">
        <v>3</v>
      </c>
      <c r="AF23" s="128"/>
      <c r="AG23" s="128"/>
      <c r="AH23" s="128"/>
      <c r="AI23" s="128"/>
    </row>
    <row r="24" spans="1:35" ht="18" x14ac:dyDescent="0.3">
      <c r="A24" s="156" t="s">
        <v>192</v>
      </c>
      <c r="B24" s="157">
        <v>45986</v>
      </c>
      <c r="C24" s="129" t="s">
        <v>1223</v>
      </c>
      <c r="D24" s="158">
        <v>0.85763888888888884</v>
      </c>
      <c r="E24" s="129" t="s">
        <v>1220</v>
      </c>
      <c r="F24" s="129" t="s">
        <v>158</v>
      </c>
      <c r="G24" s="159">
        <v>0.59219999999999995</v>
      </c>
      <c r="H24" s="131">
        <v>179</v>
      </c>
      <c r="I24" s="131">
        <v>106</v>
      </c>
      <c r="J24" s="131">
        <v>0</v>
      </c>
      <c r="K24" s="157">
        <v>45984</v>
      </c>
      <c r="L24" s="131">
        <v>1</v>
      </c>
      <c r="M24" s="131">
        <v>6</v>
      </c>
      <c r="N24" s="131">
        <v>43</v>
      </c>
      <c r="O24" s="129" t="s">
        <v>497</v>
      </c>
      <c r="P24" s="128"/>
      <c r="Q24" s="128"/>
      <c r="R24" s="128"/>
      <c r="S24" s="128"/>
      <c r="T24" s="128"/>
      <c r="U24" s="128"/>
      <c r="V24" s="131">
        <v>6</v>
      </c>
      <c r="W24" s="131">
        <v>12</v>
      </c>
      <c r="X24" s="131">
        <v>13</v>
      </c>
      <c r="Y24" s="131">
        <v>15</v>
      </c>
      <c r="Z24" s="131">
        <v>5</v>
      </c>
      <c r="AA24" s="128"/>
      <c r="AB24" s="131">
        <v>7</v>
      </c>
      <c r="AC24" s="131">
        <v>15</v>
      </c>
      <c r="AD24" s="131">
        <v>14</v>
      </c>
      <c r="AE24" s="131">
        <v>19</v>
      </c>
      <c r="AF24" s="128"/>
      <c r="AG24" s="128"/>
      <c r="AH24" s="128"/>
      <c r="AI24" s="128"/>
    </row>
    <row r="25" spans="1:35" ht="18" x14ac:dyDescent="0.3">
      <c r="A25" s="156" t="s">
        <v>194</v>
      </c>
      <c r="B25" s="157">
        <v>45990</v>
      </c>
      <c r="C25" s="129" t="s">
        <v>1223</v>
      </c>
      <c r="D25" s="158">
        <v>0.69097222222222221</v>
      </c>
      <c r="E25" s="129" t="s">
        <v>1220</v>
      </c>
      <c r="F25" s="129" t="s">
        <v>158</v>
      </c>
      <c r="G25" s="159">
        <v>0.50280000000000002</v>
      </c>
      <c r="H25" s="131">
        <v>179</v>
      </c>
      <c r="I25" s="131">
        <v>90</v>
      </c>
      <c r="J25" s="131">
        <v>0</v>
      </c>
      <c r="K25" s="157">
        <v>45983</v>
      </c>
      <c r="L25" s="131">
        <v>0</v>
      </c>
      <c r="M25" s="131">
        <v>13</v>
      </c>
      <c r="N25" s="131">
        <v>34</v>
      </c>
      <c r="O25" s="129" t="s">
        <v>511</v>
      </c>
      <c r="P25" s="128"/>
      <c r="Q25" s="128"/>
      <c r="R25" s="128"/>
      <c r="S25" s="128"/>
      <c r="T25" s="128"/>
      <c r="U25" s="128"/>
      <c r="V25" s="131">
        <v>2</v>
      </c>
      <c r="W25" s="131">
        <v>10</v>
      </c>
      <c r="X25" s="131">
        <v>15</v>
      </c>
      <c r="Y25" s="131">
        <v>16</v>
      </c>
      <c r="Z25" s="131">
        <v>15</v>
      </c>
      <c r="AA25" s="131">
        <v>11</v>
      </c>
      <c r="AB25" s="131">
        <v>7</v>
      </c>
      <c r="AC25" s="131">
        <v>9</v>
      </c>
      <c r="AD25" s="131">
        <v>5</v>
      </c>
      <c r="AE25" s="128"/>
      <c r="AF25" s="128"/>
      <c r="AG25" s="128"/>
      <c r="AH25" s="128"/>
      <c r="AI25" s="128"/>
    </row>
    <row r="26" spans="1:35" ht="18" x14ac:dyDescent="0.3">
      <c r="A26" s="156" t="s">
        <v>196</v>
      </c>
      <c r="B26" s="157">
        <v>45985</v>
      </c>
      <c r="C26" s="129" t="s">
        <v>1016</v>
      </c>
      <c r="D26" s="158">
        <v>0.29166666666666669</v>
      </c>
      <c r="E26" s="129" t="s">
        <v>1013</v>
      </c>
      <c r="F26" s="129" t="s">
        <v>158</v>
      </c>
      <c r="G26" s="159">
        <v>0.9778</v>
      </c>
      <c r="H26" s="131">
        <v>180</v>
      </c>
      <c r="I26" s="131">
        <v>176</v>
      </c>
      <c r="J26" s="131">
        <v>0</v>
      </c>
      <c r="K26" s="157">
        <v>45983</v>
      </c>
      <c r="L26" s="131">
        <v>0</v>
      </c>
      <c r="M26" s="131">
        <v>13</v>
      </c>
      <c r="N26" s="131">
        <v>47</v>
      </c>
      <c r="O26" s="129" t="s">
        <v>1006</v>
      </c>
      <c r="P26" s="128"/>
      <c r="Q26" s="128"/>
      <c r="R26" s="128"/>
      <c r="S26" s="128"/>
      <c r="T26" s="131">
        <v>6</v>
      </c>
      <c r="U26" s="131">
        <v>15</v>
      </c>
      <c r="V26" s="131">
        <v>15</v>
      </c>
      <c r="W26" s="131">
        <v>15</v>
      </c>
      <c r="X26" s="131">
        <v>15</v>
      </c>
      <c r="Y26" s="131">
        <v>20</v>
      </c>
      <c r="Z26" s="131">
        <v>14</v>
      </c>
      <c r="AA26" s="131">
        <v>18</v>
      </c>
      <c r="AB26" s="131">
        <v>14</v>
      </c>
      <c r="AC26" s="131">
        <v>15</v>
      </c>
      <c r="AD26" s="131">
        <v>15</v>
      </c>
      <c r="AE26" s="131">
        <v>14</v>
      </c>
      <c r="AF26" s="128"/>
      <c r="AG26" s="128"/>
      <c r="AH26" s="128"/>
      <c r="AI26" s="128"/>
    </row>
    <row r="27" spans="1:35" ht="18" x14ac:dyDescent="0.3">
      <c r="A27" s="156" t="s">
        <v>1248</v>
      </c>
      <c r="B27" s="157">
        <v>45989</v>
      </c>
      <c r="C27" s="129" t="s">
        <v>1016</v>
      </c>
      <c r="D27" s="158">
        <v>7.2916666666666671E-2</v>
      </c>
      <c r="E27" s="129" t="s">
        <v>1013</v>
      </c>
      <c r="F27" s="129" t="s">
        <v>158</v>
      </c>
      <c r="G27" s="159">
        <v>0.94440000000000002</v>
      </c>
      <c r="H27" s="131">
        <v>180</v>
      </c>
      <c r="I27" s="131">
        <v>170</v>
      </c>
      <c r="J27" s="131">
        <v>0</v>
      </c>
      <c r="K27" s="157">
        <v>45984</v>
      </c>
      <c r="L27" s="131">
        <v>1</v>
      </c>
      <c r="M27" s="131">
        <v>16</v>
      </c>
      <c r="N27" s="131">
        <v>56</v>
      </c>
      <c r="O27" s="129" t="s">
        <v>1022</v>
      </c>
      <c r="P27" s="131">
        <v>2</v>
      </c>
      <c r="Q27" s="128"/>
      <c r="R27" s="131">
        <v>1</v>
      </c>
      <c r="S27" s="131">
        <v>2</v>
      </c>
      <c r="T27" s="131">
        <v>10</v>
      </c>
      <c r="U27" s="131">
        <v>15</v>
      </c>
      <c r="V27" s="131">
        <v>10</v>
      </c>
      <c r="W27" s="131">
        <v>15</v>
      </c>
      <c r="X27" s="131">
        <v>30</v>
      </c>
      <c r="Y27" s="131">
        <v>16</v>
      </c>
      <c r="Z27" s="131">
        <v>19</v>
      </c>
      <c r="AA27" s="131">
        <v>20</v>
      </c>
      <c r="AB27" s="131">
        <v>20</v>
      </c>
      <c r="AC27" s="131">
        <v>5</v>
      </c>
      <c r="AD27" s="131">
        <v>4</v>
      </c>
      <c r="AE27" s="131">
        <v>1</v>
      </c>
      <c r="AF27" s="128"/>
      <c r="AG27" s="128"/>
      <c r="AH27" s="128"/>
      <c r="AI27" s="128"/>
    </row>
    <row r="28" spans="1:35" ht="18" x14ac:dyDescent="0.3">
      <c r="A28" s="156" t="s">
        <v>196</v>
      </c>
      <c r="B28" s="157">
        <v>45985</v>
      </c>
      <c r="C28" s="129" t="s">
        <v>1118</v>
      </c>
      <c r="D28" s="158">
        <v>0.16666666666666671</v>
      </c>
      <c r="E28" s="129" t="s">
        <v>1117</v>
      </c>
      <c r="F28" s="129" t="s">
        <v>158</v>
      </c>
      <c r="G28" s="159">
        <v>1</v>
      </c>
      <c r="H28" s="131">
        <v>179</v>
      </c>
      <c r="I28" s="131">
        <v>179</v>
      </c>
      <c r="J28" s="131">
        <v>143</v>
      </c>
      <c r="K28" s="157">
        <v>45980</v>
      </c>
      <c r="L28" s="131">
        <v>0</v>
      </c>
      <c r="M28" s="131">
        <v>0</v>
      </c>
      <c r="N28" s="131">
        <v>1</v>
      </c>
      <c r="O28" s="129" t="s">
        <v>75</v>
      </c>
      <c r="P28" s="128"/>
      <c r="Q28" s="128"/>
      <c r="R28" s="128"/>
      <c r="S28" s="128"/>
      <c r="T28" s="128"/>
      <c r="U28" s="128"/>
      <c r="V28" s="128"/>
      <c r="W28" s="128"/>
      <c r="X28" s="128"/>
      <c r="Y28" s="131">
        <v>6</v>
      </c>
      <c r="Z28" s="131">
        <v>10</v>
      </c>
      <c r="AA28" s="131">
        <v>10</v>
      </c>
      <c r="AB28" s="131">
        <v>10</v>
      </c>
      <c r="AC28" s="128"/>
      <c r="AD28" s="128"/>
      <c r="AE28" s="128"/>
      <c r="AF28" s="128"/>
      <c r="AG28" s="128"/>
      <c r="AH28" s="131">
        <v>143</v>
      </c>
      <c r="AI28" s="128"/>
    </row>
    <row r="29" spans="1:35" ht="18" x14ac:dyDescent="0.3">
      <c r="A29" s="156" t="s">
        <v>192</v>
      </c>
      <c r="B29" s="157">
        <v>45986</v>
      </c>
      <c r="C29" s="129" t="s">
        <v>1118</v>
      </c>
      <c r="D29" s="158">
        <v>0.83333333333333337</v>
      </c>
      <c r="E29" s="129" t="s">
        <v>1117</v>
      </c>
      <c r="F29" s="129" t="s">
        <v>158</v>
      </c>
      <c r="G29" s="159">
        <v>1</v>
      </c>
      <c r="H29" s="131">
        <v>179</v>
      </c>
      <c r="I29" s="131">
        <v>179</v>
      </c>
      <c r="J29" s="131">
        <v>115</v>
      </c>
      <c r="K29" s="157">
        <v>45981</v>
      </c>
      <c r="L29" s="131">
        <v>0</v>
      </c>
      <c r="M29" s="131">
        <v>0</v>
      </c>
      <c r="N29" s="131">
        <v>14</v>
      </c>
      <c r="O29" s="129" t="s">
        <v>75</v>
      </c>
      <c r="P29" s="128"/>
      <c r="Q29" s="128"/>
      <c r="R29" s="128"/>
      <c r="S29" s="128"/>
      <c r="T29" s="128"/>
      <c r="U29" s="128"/>
      <c r="V29" s="128"/>
      <c r="W29" s="131">
        <v>8</v>
      </c>
      <c r="X29" s="131">
        <v>18</v>
      </c>
      <c r="Y29" s="131">
        <v>29</v>
      </c>
      <c r="Z29" s="131">
        <v>3</v>
      </c>
      <c r="AA29" s="131">
        <v>4</v>
      </c>
      <c r="AB29" s="131">
        <v>2</v>
      </c>
      <c r="AC29" s="128"/>
      <c r="AD29" s="128"/>
      <c r="AE29" s="128"/>
      <c r="AF29" s="128"/>
      <c r="AG29" s="128"/>
      <c r="AH29" s="131">
        <v>115</v>
      </c>
      <c r="AI29" s="128"/>
    </row>
    <row r="30" spans="1:35" ht="18" x14ac:dyDescent="0.3">
      <c r="A30" s="156" t="s">
        <v>1247</v>
      </c>
      <c r="B30" s="157">
        <v>45987</v>
      </c>
      <c r="C30" s="129" t="s">
        <v>1118</v>
      </c>
      <c r="D30" s="158">
        <v>0.82638888888888884</v>
      </c>
      <c r="E30" s="129" t="s">
        <v>1117</v>
      </c>
      <c r="F30" s="129" t="s">
        <v>158</v>
      </c>
      <c r="G30" s="159">
        <v>1</v>
      </c>
      <c r="H30" s="131">
        <v>179</v>
      </c>
      <c r="I30" s="131">
        <v>179</v>
      </c>
      <c r="J30" s="131">
        <v>92</v>
      </c>
      <c r="K30" s="157">
        <v>45980</v>
      </c>
      <c r="L30" s="131">
        <v>0</v>
      </c>
      <c r="M30" s="131">
        <v>0</v>
      </c>
      <c r="N30" s="131">
        <v>25</v>
      </c>
      <c r="O30" s="129" t="s">
        <v>75</v>
      </c>
      <c r="P30" s="128"/>
      <c r="Q30" s="128"/>
      <c r="R30" s="128"/>
      <c r="S30" s="128"/>
      <c r="T30" s="128"/>
      <c r="U30" s="128"/>
      <c r="V30" s="131">
        <v>6</v>
      </c>
      <c r="W30" s="131">
        <v>25</v>
      </c>
      <c r="X30" s="131">
        <v>18</v>
      </c>
      <c r="Y30" s="131">
        <v>9</v>
      </c>
      <c r="Z30" s="131">
        <v>7</v>
      </c>
      <c r="AA30" s="131">
        <v>12</v>
      </c>
      <c r="AB30" s="131">
        <v>10</v>
      </c>
      <c r="AC30" s="128"/>
      <c r="AD30" s="128"/>
      <c r="AE30" s="128"/>
      <c r="AF30" s="128"/>
      <c r="AG30" s="128"/>
      <c r="AH30" s="131">
        <v>92</v>
      </c>
      <c r="AI30" s="128"/>
    </row>
    <row r="31" spans="1:35" ht="18" x14ac:dyDescent="0.3">
      <c r="A31" s="156" t="s">
        <v>193</v>
      </c>
      <c r="B31" s="157">
        <v>45988</v>
      </c>
      <c r="C31" s="129" t="s">
        <v>1118</v>
      </c>
      <c r="D31" s="158">
        <v>0.4375</v>
      </c>
      <c r="E31" s="129" t="s">
        <v>1117</v>
      </c>
      <c r="F31" s="129" t="s">
        <v>158</v>
      </c>
      <c r="G31" s="159">
        <v>1</v>
      </c>
      <c r="H31" s="131">
        <v>179</v>
      </c>
      <c r="I31" s="131">
        <v>179</v>
      </c>
      <c r="J31" s="131">
        <v>135</v>
      </c>
      <c r="K31" s="157">
        <v>45975</v>
      </c>
      <c r="L31" s="131">
        <v>0</v>
      </c>
      <c r="M31" s="131">
        <v>0</v>
      </c>
      <c r="N31" s="131">
        <v>0</v>
      </c>
      <c r="O31" s="129" t="s">
        <v>75</v>
      </c>
      <c r="P31" s="128"/>
      <c r="Q31" s="128"/>
      <c r="R31" s="128"/>
      <c r="S31" s="128"/>
      <c r="T31" s="131">
        <v>1</v>
      </c>
      <c r="U31" s="128"/>
      <c r="V31" s="131">
        <v>1</v>
      </c>
      <c r="W31" s="131">
        <v>6</v>
      </c>
      <c r="X31" s="131">
        <v>18</v>
      </c>
      <c r="Y31" s="131">
        <v>10</v>
      </c>
      <c r="Z31" s="131">
        <v>2</v>
      </c>
      <c r="AA31" s="131">
        <v>4</v>
      </c>
      <c r="AB31" s="131">
        <v>2</v>
      </c>
      <c r="AC31" s="128"/>
      <c r="AD31" s="128"/>
      <c r="AE31" s="128"/>
      <c r="AF31" s="128"/>
      <c r="AG31" s="128"/>
      <c r="AH31" s="131">
        <v>135</v>
      </c>
      <c r="AI31" s="128"/>
    </row>
    <row r="32" spans="1:35" ht="18" x14ac:dyDescent="0.3">
      <c r="A32" s="156" t="s">
        <v>1248</v>
      </c>
      <c r="B32" s="157">
        <v>45989</v>
      </c>
      <c r="C32" s="129" t="s">
        <v>1118</v>
      </c>
      <c r="D32" s="158">
        <v>0.16666666666666671</v>
      </c>
      <c r="E32" s="129" t="s">
        <v>1117</v>
      </c>
      <c r="F32" s="129" t="s">
        <v>158</v>
      </c>
      <c r="G32" s="159">
        <v>1</v>
      </c>
      <c r="H32" s="131">
        <v>179</v>
      </c>
      <c r="I32" s="131">
        <v>179</v>
      </c>
      <c r="J32" s="131">
        <v>80</v>
      </c>
      <c r="K32" s="157">
        <v>45983</v>
      </c>
      <c r="L32" s="131">
        <v>0</v>
      </c>
      <c r="M32" s="131">
        <v>1</v>
      </c>
      <c r="N32" s="131">
        <v>10</v>
      </c>
      <c r="O32" s="129" t="s">
        <v>75</v>
      </c>
      <c r="P32" s="128"/>
      <c r="Q32" s="128"/>
      <c r="R32" s="128"/>
      <c r="S32" s="128"/>
      <c r="T32" s="131">
        <v>2</v>
      </c>
      <c r="U32" s="131">
        <v>10</v>
      </c>
      <c r="V32" s="131">
        <v>13</v>
      </c>
      <c r="W32" s="131">
        <v>18</v>
      </c>
      <c r="X32" s="131">
        <v>18</v>
      </c>
      <c r="Y32" s="131">
        <v>29</v>
      </c>
      <c r="Z32" s="131">
        <v>3</v>
      </c>
      <c r="AA32" s="131">
        <v>4</v>
      </c>
      <c r="AB32" s="131">
        <v>2</v>
      </c>
      <c r="AC32" s="128"/>
      <c r="AD32" s="128"/>
      <c r="AE32" s="128"/>
      <c r="AF32" s="128"/>
      <c r="AG32" s="128"/>
      <c r="AH32" s="131">
        <v>80</v>
      </c>
      <c r="AI32" s="128"/>
    </row>
    <row r="33" spans="1:35" ht="18" x14ac:dyDescent="0.3">
      <c r="A33" s="156" t="s">
        <v>194</v>
      </c>
      <c r="B33" s="157">
        <v>45990</v>
      </c>
      <c r="C33" s="129" t="s">
        <v>1118</v>
      </c>
      <c r="D33" s="158">
        <v>0.125</v>
      </c>
      <c r="E33" s="129" t="s">
        <v>1117</v>
      </c>
      <c r="F33" s="129" t="s">
        <v>158</v>
      </c>
      <c r="G33" s="159">
        <v>0.9274</v>
      </c>
      <c r="H33" s="131">
        <v>179</v>
      </c>
      <c r="I33" s="131">
        <v>166</v>
      </c>
      <c r="J33" s="131">
        <v>45</v>
      </c>
      <c r="K33" s="157">
        <v>45983</v>
      </c>
      <c r="L33" s="131">
        <v>0</v>
      </c>
      <c r="M33" s="131">
        <v>1</v>
      </c>
      <c r="N33" s="131">
        <v>5</v>
      </c>
      <c r="O33" s="129" t="s">
        <v>1130</v>
      </c>
      <c r="P33" s="128"/>
      <c r="Q33" s="131">
        <v>7</v>
      </c>
      <c r="R33" s="131">
        <v>1</v>
      </c>
      <c r="S33" s="131">
        <v>11</v>
      </c>
      <c r="T33" s="131">
        <v>16</v>
      </c>
      <c r="U33" s="131">
        <v>16</v>
      </c>
      <c r="V33" s="131">
        <v>18</v>
      </c>
      <c r="W33" s="131">
        <v>17</v>
      </c>
      <c r="X33" s="131">
        <v>18</v>
      </c>
      <c r="Y33" s="131">
        <v>9</v>
      </c>
      <c r="Z33" s="131">
        <v>3</v>
      </c>
      <c r="AA33" s="131">
        <v>4</v>
      </c>
      <c r="AB33" s="131">
        <v>1</v>
      </c>
      <c r="AC33" s="128"/>
      <c r="AD33" s="128"/>
      <c r="AE33" s="128"/>
      <c r="AF33" s="128"/>
      <c r="AG33" s="128"/>
      <c r="AH33" s="131">
        <v>45</v>
      </c>
      <c r="AI33" s="128"/>
    </row>
    <row r="34" spans="1:35" ht="18" x14ac:dyDescent="0.3">
      <c r="A34" s="156" t="s">
        <v>195</v>
      </c>
      <c r="B34" s="157">
        <v>45991</v>
      </c>
      <c r="C34" s="129" t="s">
        <v>1118</v>
      </c>
      <c r="D34" s="158">
        <v>0.21527777777777779</v>
      </c>
      <c r="E34" s="129" t="s">
        <v>1117</v>
      </c>
      <c r="F34" s="129" t="s">
        <v>158</v>
      </c>
      <c r="G34" s="159">
        <v>1</v>
      </c>
      <c r="H34" s="131">
        <v>179</v>
      </c>
      <c r="I34" s="131">
        <v>179</v>
      </c>
      <c r="J34" s="131">
        <v>90</v>
      </c>
      <c r="K34" s="157">
        <v>45980</v>
      </c>
      <c r="L34" s="131">
        <v>0</v>
      </c>
      <c r="M34" s="131">
        <v>0</v>
      </c>
      <c r="N34" s="131">
        <v>8</v>
      </c>
      <c r="O34" s="129" t="s">
        <v>75</v>
      </c>
      <c r="P34" s="128"/>
      <c r="Q34" s="128"/>
      <c r="R34" s="128"/>
      <c r="S34" s="128"/>
      <c r="T34" s="128"/>
      <c r="U34" s="128"/>
      <c r="V34" s="131">
        <v>9</v>
      </c>
      <c r="W34" s="131">
        <v>11</v>
      </c>
      <c r="X34" s="131">
        <v>20</v>
      </c>
      <c r="Y34" s="131">
        <v>24</v>
      </c>
      <c r="Z34" s="131">
        <v>19</v>
      </c>
      <c r="AA34" s="131">
        <v>4</v>
      </c>
      <c r="AB34" s="131">
        <v>2</v>
      </c>
      <c r="AC34" s="128"/>
      <c r="AD34" s="128"/>
      <c r="AE34" s="128"/>
      <c r="AF34" s="128"/>
      <c r="AG34" s="128"/>
      <c r="AH34" s="131">
        <v>90</v>
      </c>
      <c r="AI34" s="128"/>
    </row>
    <row r="35" spans="1:35" ht="18" x14ac:dyDescent="0.3">
      <c r="A35" s="156" t="s">
        <v>193</v>
      </c>
      <c r="B35" s="157">
        <v>45988</v>
      </c>
      <c r="C35" s="129" t="s">
        <v>1151</v>
      </c>
      <c r="D35" s="158">
        <v>0.80208333333333337</v>
      </c>
      <c r="E35" s="129" t="s">
        <v>1146</v>
      </c>
      <c r="F35" s="129" t="s">
        <v>158</v>
      </c>
      <c r="G35" s="159">
        <v>0.97770000000000001</v>
      </c>
      <c r="H35" s="131">
        <v>179</v>
      </c>
      <c r="I35" s="131">
        <v>175</v>
      </c>
      <c r="J35" s="131">
        <v>0</v>
      </c>
      <c r="K35" s="157">
        <v>45984</v>
      </c>
      <c r="L35" s="131">
        <v>39</v>
      </c>
      <c r="M35" s="131">
        <v>3</v>
      </c>
      <c r="N35" s="131">
        <v>49</v>
      </c>
      <c r="O35" s="129" t="s">
        <v>1153</v>
      </c>
      <c r="P35" s="131">
        <v>20</v>
      </c>
      <c r="Q35" s="131">
        <v>15</v>
      </c>
      <c r="R35" s="131">
        <v>15</v>
      </c>
      <c r="S35" s="131">
        <v>25</v>
      </c>
      <c r="T35" s="131">
        <v>12</v>
      </c>
      <c r="U35" s="131">
        <v>9</v>
      </c>
      <c r="V35" s="131">
        <v>8</v>
      </c>
      <c r="W35" s="131">
        <v>9</v>
      </c>
      <c r="X35" s="131">
        <v>9</v>
      </c>
      <c r="Y35" s="131">
        <v>8</v>
      </c>
      <c r="Z35" s="131">
        <v>13</v>
      </c>
      <c r="AA35" s="131">
        <v>9</v>
      </c>
      <c r="AB35" s="131">
        <v>8</v>
      </c>
      <c r="AC35" s="131">
        <v>6</v>
      </c>
      <c r="AD35" s="131">
        <v>6</v>
      </c>
      <c r="AE35" s="131">
        <v>3</v>
      </c>
      <c r="AF35" s="128"/>
      <c r="AG35" s="128"/>
      <c r="AH35" s="128"/>
      <c r="AI35" s="128"/>
    </row>
    <row r="36" spans="1:35" ht="18" x14ac:dyDescent="0.3">
      <c r="A36" s="156" t="s">
        <v>194</v>
      </c>
      <c r="B36" s="157">
        <v>45990</v>
      </c>
      <c r="C36" s="129" t="s">
        <v>1151</v>
      </c>
      <c r="D36" s="158">
        <v>0.80208333333333337</v>
      </c>
      <c r="E36" s="129" t="s">
        <v>1146</v>
      </c>
      <c r="F36" s="129" t="s">
        <v>158</v>
      </c>
      <c r="G36" s="159">
        <v>1</v>
      </c>
      <c r="H36" s="131">
        <v>179</v>
      </c>
      <c r="I36" s="131">
        <v>179</v>
      </c>
      <c r="J36" s="131">
        <v>0</v>
      </c>
      <c r="K36" s="157">
        <v>45984</v>
      </c>
      <c r="L36" s="131">
        <v>55</v>
      </c>
      <c r="M36" s="131">
        <v>0</v>
      </c>
      <c r="N36" s="131">
        <v>63</v>
      </c>
      <c r="O36" s="129" t="s">
        <v>75</v>
      </c>
      <c r="P36" s="131">
        <v>73</v>
      </c>
      <c r="Q36" s="131">
        <v>5</v>
      </c>
      <c r="R36" s="131">
        <v>9</v>
      </c>
      <c r="S36" s="131">
        <v>7</v>
      </c>
      <c r="T36" s="131">
        <v>21</v>
      </c>
      <c r="U36" s="128"/>
      <c r="V36" s="128"/>
      <c r="W36" s="131">
        <v>9</v>
      </c>
      <c r="X36" s="131">
        <v>3</v>
      </c>
      <c r="Y36" s="131">
        <v>10</v>
      </c>
      <c r="Z36" s="131">
        <v>8</v>
      </c>
      <c r="AA36" s="131">
        <v>9</v>
      </c>
      <c r="AB36" s="131">
        <v>7</v>
      </c>
      <c r="AC36" s="131">
        <v>5</v>
      </c>
      <c r="AD36" s="131">
        <v>7</v>
      </c>
      <c r="AE36" s="131">
        <v>6</v>
      </c>
      <c r="AF36" s="128"/>
      <c r="AG36" s="128"/>
      <c r="AH36" s="128"/>
      <c r="AI36" s="128"/>
    </row>
    <row r="37" spans="1:35" ht="18" x14ac:dyDescent="0.3">
      <c r="A37" s="156" t="s">
        <v>1248</v>
      </c>
      <c r="B37" s="157">
        <v>45989</v>
      </c>
      <c r="C37" s="129" t="s">
        <v>1177</v>
      </c>
      <c r="D37" s="158">
        <v>0.58333333333333337</v>
      </c>
      <c r="E37" s="129" t="s">
        <v>1176</v>
      </c>
      <c r="F37" s="129" t="s">
        <v>158</v>
      </c>
      <c r="G37" s="159">
        <v>1</v>
      </c>
      <c r="H37" s="131">
        <v>179</v>
      </c>
      <c r="I37" s="131">
        <v>179</v>
      </c>
      <c r="J37" s="131">
        <v>0</v>
      </c>
      <c r="K37" s="157">
        <v>45984</v>
      </c>
      <c r="L37" s="131">
        <v>3</v>
      </c>
      <c r="M37" s="131">
        <v>5</v>
      </c>
      <c r="N37" s="131">
        <v>66</v>
      </c>
      <c r="O37" s="129" t="s">
        <v>75</v>
      </c>
      <c r="P37" s="128"/>
      <c r="Q37" s="128"/>
      <c r="R37" s="128"/>
      <c r="S37" s="128"/>
      <c r="T37" s="128"/>
      <c r="U37" s="128"/>
      <c r="V37" s="128"/>
      <c r="W37" s="131">
        <v>9</v>
      </c>
      <c r="X37" s="131">
        <v>20</v>
      </c>
      <c r="Y37" s="131">
        <v>20</v>
      </c>
      <c r="Z37" s="131">
        <v>20</v>
      </c>
      <c r="AA37" s="131">
        <v>38</v>
      </c>
      <c r="AB37" s="131">
        <v>18</v>
      </c>
      <c r="AC37" s="131">
        <v>27</v>
      </c>
      <c r="AD37" s="131">
        <v>27</v>
      </c>
      <c r="AE37" s="128"/>
      <c r="AF37" s="128"/>
      <c r="AG37" s="128"/>
      <c r="AH37" s="128"/>
      <c r="AI37" s="128"/>
    </row>
    <row r="38" spans="1:35" ht="18" x14ac:dyDescent="0.3">
      <c r="A38" s="156" t="s">
        <v>1247</v>
      </c>
      <c r="B38" s="157">
        <v>45987</v>
      </c>
      <c r="C38" s="129" t="s">
        <v>1149</v>
      </c>
      <c r="D38" s="158">
        <v>0.84375</v>
      </c>
      <c r="E38" s="129" t="s">
        <v>1146</v>
      </c>
      <c r="F38" s="129" t="s">
        <v>158</v>
      </c>
      <c r="G38" s="159">
        <v>1</v>
      </c>
      <c r="H38" s="131">
        <v>179</v>
      </c>
      <c r="I38" s="131">
        <v>179</v>
      </c>
      <c r="J38" s="131">
        <v>0</v>
      </c>
      <c r="K38" s="157">
        <v>45984</v>
      </c>
      <c r="L38" s="131">
        <v>8</v>
      </c>
      <c r="M38" s="131">
        <v>4</v>
      </c>
      <c r="N38" s="131">
        <v>44</v>
      </c>
      <c r="O38" s="129" t="s">
        <v>75</v>
      </c>
      <c r="P38" s="128"/>
      <c r="Q38" s="131">
        <v>5</v>
      </c>
      <c r="R38" s="131">
        <v>15</v>
      </c>
      <c r="S38" s="131">
        <v>14</v>
      </c>
      <c r="T38" s="131">
        <v>20</v>
      </c>
      <c r="U38" s="131">
        <v>27</v>
      </c>
      <c r="V38" s="131">
        <v>27</v>
      </c>
      <c r="W38" s="131">
        <v>9</v>
      </c>
      <c r="X38" s="131">
        <v>9</v>
      </c>
      <c r="Y38" s="131">
        <v>8</v>
      </c>
      <c r="Z38" s="131">
        <v>8</v>
      </c>
      <c r="AA38" s="131">
        <v>10</v>
      </c>
      <c r="AB38" s="131">
        <v>15</v>
      </c>
      <c r="AC38" s="131">
        <v>3</v>
      </c>
      <c r="AD38" s="131">
        <v>3</v>
      </c>
      <c r="AE38" s="131">
        <v>6</v>
      </c>
      <c r="AF38" s="128"/>
      <c r="AG38" s="128"/>
      <c r="AH38" s="128"/>
      <c r="AI38" s="128"/>
    </row>
    <row r="39" spans="1:35" ht="18" x14ac:dyDescent="0.3">
      <c r="A39" s="156" t="s">
        <v>193</v>
      </c>
      <c r="B39" s="157">
        <v>45988</v>
      </c>
      <c r="C39" s="129" t="s">
        <v>377</v>
      </c>
      <c r="D39" s="158">
        <v>6.5972222222222224E-2</v>
      </c>
      <c r="E39" s="129" t="s">
        <v>271</v>
      </c>
      <c r="F39" s="129" t="s">
        <v>158</v>
      </c>
      <c r="G39" s="159">
        <v>0.99439999999999995</v>
      </c>
      <c r="H39" s="131">
        <v>180</v>
      </c>
      <c r="I39" s="131">
        <v>179</v>
      </c>
      <c r="J39" s="131">
        <v>0</v>
      </c>
      <c r="K39" s="157">
        <v>45984</v>
      </c>
      <c r="L39" s="131">
        <v>4</v>
      </c>
      <c r="M39" s="131">
        <v>29</v>
      </c>
      <c r="N39" s="131">
        <v>67</v>
      </c>
      <c r="O39" s="129" t="s">
        <v>75</v>
      </c>
      <c r="P39" s="128"/>
      <c r="Q39" s="128"/>
      <c r="R39" s="128"/>
      <c r="S39" s="128"/>
      <c r="T39" s="128"/>
      <c r="U39" s="128"/>
      <c r="V39" s="131">
        <v>9</v>
      </c>
      <c r="W39" s="131">
        <v>10</v>
      </c>
      <c r="X39" s="131">
        <v>25</v>
      </c>
      <c r="Y39" s="131">
        <v>31</v>
      </c>
      <c r="Z39" s="131">
        <v>22</v>
      </c>
      <c r="AA39" s="131">
        <v>20</v>
      </c>
      <c r="AB39" s="131">
        <v>19</v>
      </c>
      <c r="AC39" s="131">
        <v>11</v>
      </c>
      <c r="AD39" s="131">
        <v>11</v>
      </c>
      <c r="AE39" s="131">
        <v>21</v>
      </c>
      <c r="AF39" s="128"/>
      <c r="AG39" s="128"/>
      <c r="AH39" s="128"/>
      <c r="AI39" s="128"/>
    </row>
    <row r="40" spans="1:35" ht="18" x14ac:dyDescent="0.3">
      <c r="A40" s="156" t="s">
        <v>194</v>
      </c>
      <c r="B40" s="157">
        <v>45990</v>
      </c>
      <c r="C40" s="129" t="s">
        <v>377</v>
      </c>
      <c r="D40" s="158">
        <v>4.8611111111111112E-2</v>
      </c>
      <c r="E40" s="129" t="s">
        <v>271</v>
      </c>
      <c r="F40" s="129" t="s">
        <v>158</v>
      </c>
      <c r="G40" s="159">
        <v>1.0333000000000001</v>
      </c>
      <c r="H40" s="131">
        <v>180</v>
      </c>
      <c r="I40" s="131">
        <v>186</v>
      </c>
      <c r="J40" s="131">
        <v>45</v>
      </c>
      <c r="K40" s="157">
        <v>45974</v>
      </c>
      <c r="L40" s="131">
        <v>0</v>
      </c>
      <c r="M40" s="131">
        <v>0</v>
      </c>
      <c r="N40" s="131">
        <v>0</v>
      </c>
      <c r="O40" s="129" t="s">
        <v>75</v>
      </c>
      <c r="P40" s="128"/>
      <c r="Q40" s="128"/>
      <c r="R40" s="128"/>
      <c r="S40" s="128"/>
      <c r="T40" s="128"/>
      <c r="U40" s="128"/>
      <c r="V40" s="131">
        <v>1</v>
      </c>
      <c r="W40" s="128"/>
      <c r="X40" s="131">
        <v>15</v>
      </c>
      <c r="Y40" s="131">
        <v>21</v>
      </c>
      <c r="Z40" s="131">
        <v>20</v>
      </c>
      <c r="AA40" s="131">
        <v>42</v>
      </c>
      <c r="AB40" s="131">
        <v>9</v>
      </c>
      <c r="AC40" s="131">
        <v>12</v>
      </c>
      <c r="AD40" s="131">
        <v>11</v>
      </c>
      <c r="AE40" s="131">
        <v>10</v>
      </c>
      <c r="AF40" s="128"/>
      <c r="AG40" s="128"/>
      <c r="AH40" s="131">
        <v>45</v>
      </c>
      <c r="AI40" s="128"/>
    </row>
    <row r="41" spans="1:35" ht="18" x14ac:dyDescent="0.3">
      <c r="A41" s="156" t="s">
        <v>196</v>
      </c>
      <c r="B41" s="157">
        <v>45985</v>
      </c>
      <c r="C41" s="129" t="s">
        <v>578</v>
      </c>
      <c r="D41" s="158">
        <v>0.45833333333333331</v>
      </c>
      <c r="E41" s="129" t="s">
        <v>571</v>
      </c>
      <c r="F41" s="129" t="s">
        <v>158</v>
      </c>
      <c r="G41" s="159">
        <v>1</v>
      </c>
      <c r="H41" s="131">
        <v>180</v>
      </c>
      <c r="I41" s="131">
        <v>180</v>
      </c>
      <c r="J41" s="131">
        <v>131</v>
      </c>
      <c r="K41" s="157">
        <v>45983</v>
      </c>
      <c r="L41" s="131">
        <v>0</v>
      </c>
      <c r="M41" s="131">
        <v>1</v>
      </c>
      <c r="N41" s="131">
        <v>12</v>
      </c>
      <c r="O41" s="129" t="s">
        <v>75</v>
      </c>
      <c r="P41" s="128"/>
      <c r="Q41" s="128"/>
      <c r="R41" s="128"/>
      <c r="S41" s="128"/>
      <c r="T41" s="128"/>
      <c r="U41" s="128"/>
      <c r="V41" s="128"/>
      <c r="W41" s="128"/>
      <c r="X41" s="128"/>
      <c r="Y41" s="131">
        <v>6</v>
      </c>
      <c r="Z41" s="131">
        <v>2</v>
      </c>
      <c r="AA41" s="131">
        <v>8</v>
      </c>
      <c r="AB41" s="131">
        <v>13</v>
      </c>
      <c r="AC41" s="131">
        <v>4</v>
      </c>
      <c r="AD41" s="131">
        <v>8</v>
      </c>
      <c r="AE41" s="131">
        <v>8</v>
      </c>
      <c r="AF41" s="128"/>
      <c r="AG41" s="128"/>
      <c r="AH41" s="131">
        <v>131</v>
      </c>
      <c r="AI41" s="128"/>
    </row>
    <row r="42" spans="1:35" ht="18" x14ac:dyDescent="0.3">
      <c r="A42" s="156" t="s">
        <v>192</v>
      </c>
      <c r="B42" s="157">
        <v>45986</v>
      </c>
      <c r="C42" s="129" t="s">
        <v>578</v>
      </c>
      <c r="D42" s="158">
        <v>0.52083333333333337</v>
      </c>
      <c r="E42" s="129" t="s">
        <v>571</v>
      </c>
      <c r="F42" s="129" t="s">
        <v>158</v>
      </c>
      <c r="G42" s="159">
        <v>1</v>
      </c>
      <c r="H42" s="131">
        <v>180</v>
      </c>
      <c r="I42" s="131">
        <v>180</v>
      </c>
      <c r="J42" s="131">
        <v>161</v>
      </c>
      <c r="K42" s="157">
        <v>45961</v>
      </c>
      <c r="L42" s="131">
        <v>0</v>
      </c>
      <c r="M42" s="131">
        <v>0</v>
      </c>
      <c r="N42" s="131">
        <v>0</v>
      </c>
      <c r="O42" s="129" t="s">
        <v>75</v>
      </c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31">
        <v>5</v>
      </c>
      <c r="AC42" s="131">
        <v>4</v>
      </c>
      <c r="AD42" s="131">
        <v>5</v>
      </c>
      <c r="AE42" s="131">
        <v>5</v>
      </c>
      <c r="AF42" s="128"/>
      <c r="AG42" s="128"/>
      <c r="AH42" s="131">
        <v>161</v>
      </c>
      <c r="AI42" s="128"/>
    </row>
    <row r="43" spans="1:35" ht="18" x14ac:dyDescent="0.3">
      <c r="A43" s="156" t="s">
        <v>1247</v>
      </c>
      <c r="B43" s="157">
        <v>45987</v>
      </c>
      <c r="C43" s="129" t="s">
        <v>578</v>
      </c>
      <c r="D43" s="158">
        <v>0.14583333333333329</v>
      </c>
      <c r="E43" s="129" t="s">
        <v>571</v>
      </c>
      <c r="F43" s="129" t="s">
        <v>158</v>
      </c>
      <c r="G43" s="159">
        <v>0.99439999999999995</v>
      </c>
      <c r="H43" s="131">
        <v>180</v>
      </c>
      <c r="I43" s="131">
        <v>179</v>
      </c>
      <c r="J43" s="131">
        <v>130</v>
      </c>
      <c r="K43" s="157">
        <v>45983</v>
      </c>
      <c r="L43" s="131">
        <v>0</v>
      </c>
      <c r="M43" s="131">
        <v>2</v>
      </c>
      <c r="N43" s="131">
        <v>13</v>
      </c>
      <c r="O43" s="129" t="s">
        <v>75</v>
      </c>
      <c r="P43" s="128"/>
      <c r="Q43" s="128"/>
      <c r="R43" s="128"/>
      <c r="S43" s="128"/>
      <c r="T43" s="128"/>
      <c r="U43" s="131">
        <v>1</v>
      </c>
      <c r="V43" s="128"/>
      <c r="W43" s="128"/>
      <c r="X43" s="128"/>
      <c r="Y43" s="131">
        <v>3</v>
      </c>
      <c r="Z43" s="131">
        <v>9</v>
      </c>
      <c r="AA43" s="131">
        <v>19</v>
      </c>
      <c r="AB43" s="131">
        <v>17</v>
      </c>
      <c r="AC43" s="128"/>
      <c r="AD43" s="128"/>
      <c r="AE43" s="128"/>
      <c r="AF43" s="128"/>
      <c r="AG43" s="128"/>
      <c r="AH43" s="131">
        <v>130</v>
      </c>
      <c r="AI43" s="128"/>
    </row>
    <row r="44" spans="1:35" ht="18" x14ac:dyDescent="0.3">
      <c r="A44" s="156" t="s">
        <v>193</v>
      </c>
      <c r="B44" s="157">
        <v>45988</v>
      </c>
      <c r="C44" s="129" t="s">
        <v>578</v>
      </c>
      <c r="D44" s="158">
        <v>8.6805555555555566E-2</v>
      </c>
      <c r="E44" s="129" t="s">
        <v>571</v>
      </c>
      <c r="F44" s="129" t="s">
        <v>158</v>
      </c>
      <c r="G44" s="159">
        <v>0.99439999999999995</v>
      </c>
      <c r="H44" s="131">
        <v>180</v>
      </c>
      <c r="I44" s="131">
        <v>179</v>
      </c>
      <c r="J44" s="131">
        <v>126</v>
      </c>
      <c r="K44" s="157">
        <v>45980</v>
      </c>
      <c r="L44" s="131">
        <v>0</v>
      </c>
      <c r="M44" s="131">
        <v>0</v>
      </c>
      <c r="N44" s="131">
        <v>13</v>
      </c>
      <c r="O44" s="129" t="s">
        <v>75</v>
      </c>
      <c r="P44" s="128"/>
      <c r="Q44" s="128"/>
      <c r="R44" s="128"/>
      <c r="S44" s="128"/>
      <c r="T44" s="128"/>
      <c r="U44" s="128"/>
      <c r="V44" s="128"/>
      <c r="W44" s="128"/>
      <c r="X44" s="128"/>
      <c r="Y44" s="131">
        <v>13</v>
      </c>
      <c r="Z44" s="131">
        <v>10</v>
      </c>
      <c r="AA44" s="131">
        <v>5</v>
      </c>
      <c r="AB44" s="131">
        <v>5</v>
      </c>
      <c r="AC44" s="131">
        <v>5</v>
      </c>
      <c r="AD44" s="131">
        <v>5</v>
      </c>
      <c r="AE44" s="131">
        <v>5</v>
      </c>
      <c r="AF44" s="128"/>
      <c r="AG44" s="128"/>
      <c r="AH44" s="131">
        <v>126</v>
      </c>
      <c r="AI44" s="131">
        <v>5</v>
      </c>
    </row>
    <row r="45" spans="1:35" ht="18" x14ac:dyDescent="0.3">
      <c r="A45" s="156" t="s">
        <v>1248</v>
      </c>
      <c r="B45" s="157">
        <v>45989</v>
      </c>
      <c r="C45" s="129" t="s">
        <v>578</v>
      </c>
      <c r="D45" s="158">
        <v>0.22916666666666671</v>
      </c>
      <c r="E45" s="129" t="s">
        <v>571</v>
      </c>
      <c r="F45" s="129" t="s">
        <v>158</v>
      </c>
      <c r="G45" s="159">
        <v>0.9889</v>
      </c>
      <c r="H45" s="131">
        <v>180</v>
      </c>
      <c r="I45" s="131">
        <v>178</v>
      </c>
      <c r="J45" s="131">
        <v>50</v>
      </c>
      <c r="K45" s="157">
        <v>45983</v>
      </c>
      <c r="L45" s="131">
        <v>0</v>
      </c>
      <c r="M45" s="131">
        <v>10</v>
      </c>
      <c r="N45" s="131">
        <v>64</v>
      </c>
      <c r="O45" s="129" t="s">
        <v>160</v>
      </c>
      <c r="P45" s="128"/>
      <c r="Q45" s="128"/>
      <c r="R45" s="128"/>
      <c r="S45" s="128"/>
      <c r="T45" s="128"/>
      <c r="U45" s="128"/>
      <c r="V45" s="128"/>
      <c r="W45" s="128"/>
      <c r="X45" s="131">
        <v>7</v>
      </c>
      <c r="Y45" s="131">
        <v>40</v>
      </c>
      <c r="Z45" s="131">
        <v>28</v>
      </c>
      <c r="AA45" s="131">
        <v>33</v>
      </c>
      <c r="AB45" s="131">
        <v>18</v>
      </c>
      <c r="AC45" s="128"/>
      <c r="AD45" s="128"/>
      <c r="AE45" s="128"/>
      <c r="AF45" s="128"/>
      <c r="AG45" s="128"/>
      <c r="AH45" s="131">
        <v>50</v>
      </c>
      <c r="AI45" s="131">
        <v>2</v>
      </c>
    </row>
    <row r="46" spans="1:35" ht="18" x14ac:dyDescent="0.3">
      <c r="A46" s="156" t="s">
        <v>194</v>
      </c>
      <c r="B46" s="157">
        <v>45990</v>
      </c>
      <c r="C46" s="129" t="s">
        <v>578</v>
      </c>
      <c r="D46" s="158">
        <v>0.60416666666666663</v>
      </c>
      <c r="E46" s="129" t="s">
        <v>571</v>
      </c>
      <c r="F46" s="129" t="s">
        <v>158</v>
      </c>
      <c r="G46" s="159">
        <v>0.9889</v>
      </c>
      <c r="H46" s="131">
        <v>180</v>
      </c>
      <c r="I46" s="131">
        <v>178</v>
      </c>
      <c r="J46" s="131">
        <v>95</v>
      </c>
      <c r="K46" s="157">
        <v>45983</v>
      </c>
      <c r="L46" s="131">
        <v>0</v>
      </c>
      <c r="M46" s="131">
        <v>3</v>
      </c>
      <c r="N46" s="131">
        <v>15</v>
      </c>
      <c r="O46" s="129" t="s">
        <v>125</v>
      </c>
      <c r="P46" s="128"/>
      <c r="Q46" s="128"/>
      <c r="R46" s="128"/>
      <c r="S46" s="128"/>
      <c r="T46" s="128"/>
      <c r="U46" s="131">
        <v>3</v>
      </c>
      <c r="V46" s="131">
        <v>9</v>
      </c>
      <c r="W46" s="131">
        <v>10</v>
      </c>
      <c r="X46" s="131">
        <v>7</v>
      </c>
      <c r="Y46" s="131">
        <v>18</v>
      </c>
      <c r="Z46" s="131">
        <v>18</v>
      </c>
      <c r="AA46" s="131">
        <v>9</v>
      </c>
      <c r="AB46" s="131">
        <v>9</v>
      </c>
      <c r="AC46" s="128"/>
      <c r="AD46" s="128"/>
      <c r="AE46" s="128"/>
      <c r="AF46" s="128"/>
      <c r="AG46" s="128"/>
      <c r="AH46" s="131">
        <v>95</v>
      </c>
      <c r="AI46" s="128"/>
    </row>
    <row r="47" spans="1:35" ht="18" x14ac:dyDescent="0.3">
      <c r="A47" s="156" t="s">
        <v>195</v>
      </c>
      <c r="B47" s="157">
        <v>45991</v>
      </c>
      <c r="C47" s="129" t="s">
        <v>578</v>
      </c>
      <c r="D47" s="158">
        <v>0.49652777777777768</v>
      </c>
      <c r="E47" s="129" t="s">
        <v>571</v>
      </c>
      <c r="F47" s="129" t="s">
        <v>158</v>
      </c>
      <c r="G47" s="159">
        <v>0.99439999999999995</v>
      </c>
      <c r="H47" s="131">
        <v>180</v>
      </c>
      <c r="I47" s="131">
        <v>179</v>
      </c>
      <c r="J47" s="131">
        <v>135</v>
      </c>
      <c r="K47" s="157">
        <v>45983</v>
      </c>
      <c r="L47" s="131">
        <v>0</v>
      </c>
      <c r="M47" s="131">
        <v>1</v>
      </c>
      <c r="N47" s="131">
        <v>12</v>
      </c>
      <c r="O47" s="129" t="s">
        <v>75</v>
      </c>
      <c r="P47" s="128"/>
      <c r="Q47" s="128"/>
      <c r="R47" s="128"/>
      <c r="S47" s="128"/>
      <c r="T47" s="128"/>
      <c r="U47" s="128"/>
      <c r="V47" s="128"/>
      <c r="W47" s="128"/>
      <c r="X47" s="131">
        <v>5</v>
      </c>
      <c r="Y47" s="131">
        <v>11</v>
      </c>
      <c r="Z47" s="131">
        <v>4</v>
      </c>
      <c r="AA47" s="131">
        <v>5</v>
      </c>
      <c r="AB47" s="131">
        <v>5</v>
      </c>
      <c r="AC47" s="131">
        <v>5</v>
      </c>
      <c r="AD47" s="131">
        <v>5</v>
      </c>
      <c r="AE47" s="131">
        <v>4</v>
      </c>
      <c r="AF47" s="128"/>
      <c r="AG47" s="128"/>
      <c r="AH47" s="131">
        <v>135</v>
      </c>
      <c r="AI47" s="128"/>
    </row>
    <row r="48" spans="1:35" ht="18" x14ac:dyDescent="0.3">
      <c r="A48" s="156" t="s">
        <v>196</v>
      </c>
      <c r="B48" s="157">
        <v>45985</v>
      </c>
      <c r="C48" s="129" t="s">
        <v>665</v>
      </c>
      <c r="D48" s="158">
        <v>0.69444444444444453</v>
      </c>
      <c r="E48" s="129" t="s">
        <v>662</v>
      </c>
      <c r="F48" s="129" t="s">
        <v>158</v>
      </c>
      <c r="G48" s="159">
        <v>0.75</v>
      </c>
      <c r="H48" s="131">
        <v>180</v>
      </c>
      <c r="I48" s="131">
        <v>135</v>
      </c>
      <c r="J48" s="131">
        <v>52</v>
      </c>
      <c r="K48" s="157">
        <v>45983</v>
      </c>
      <c r="L48" s="131">
        <v>0</v>
      </c>
      <c r="M48" s="131">
        <v>6</v>
      </c>
      <c r="N48" s="131">
        <v>52</v>
      </c>
      <c r="O48" s="129" t="s">
        <v>486</v>
      </c>
      <c r="P48" s="128"/>
      <c r="Q48" s="128"/>
      <c r="R48" s="128"/>
      <c r="S48" s="128"/>
      <c r="T48" s="128"/>
      <c r="U48" s="128"/>
      <c r="V48" s="128"/>
      <c r="W48" s="131">
        <v>1</v>
      </c>
      <c r="X48" s="131">
        <v>4</v>
      </c>
      <c r="Y48" s="131">
        <v>16</v>
      </c>
      <c r="Z48" s="131">
        <v>3</v>
      </c>
      <c r="AA48" s="131">
        <v>10</v>
      </c>
      <c r="AB48" s="131">
        <v>18</v>
      </c>
      <c r="AC48" s="131">
        <v>21</v>
      </c>
      <c r="AD48" s="131">
        <v>5</v>
      </c>
      <c r="AE48" s="131">
        <v>5</v>
      </c>
      <c r="AF48" s="128"/>
      <c r="AG48" s="128"/>
      <c r="AH48" s="131">
        <v>52</v>
      </c>
      <c r="AI48" s="128"/>
    </row>
    <row r="49" spans="1:35" ht="18" x14ac:dyDescent="0.3">
      <c r="A49" s="156" t="s">
        <v>192</v>
      </c>
      <c r="B49" s="157">
        <v>45986</v>
      </c>
      <c r="C49" s="129" t="s">
        <v>665</v>
      </c>
      <c r="D49" s="158">
        <v>0.16666666666666671</v>
      </c>
      <c r="E49" s="129" t="s">
        <v>662</v>
      </c>
      <c r="F49" s="129" t="s">
        <v>158</v>
      </c>
      <c r="G49" s="159">
        <v>0.7833</v>
      </c>
      <c r="H49" s="131">
        <v>180</v>
      </c>
      <c r="I49" s="131">
        <v>141</v>
      </c>
      <c r="J49" s="131">
        <v>45</v>
      </c>
      <c r="K49" s="157">
        <v>45984</v>
      </c>
      <c r="L49" s="131">
        <v>1</v>
      </c>
      <c r="M49" s="131">
        <v>9</v>
      </c>
      <c r="N49" s="131">
        <v>57</v>
      </c>
      <c r="O49" s="129" t="s">
        <v>646</v>
      </c>
      <c r="P49" s="128"/>
      <c r="Q49" s="128"/>
      <c r="R49" s="128"/>
      <c r="S49" s="128"/>
      <c r="T49" s="128"/>
      <c r="U49" s="128"/>
      <c r="V49" s="128"/>
      <c r="W49" s="128"/>
      <c r="X49" s="131">
        <v>1</v>
      </c>
      <c r="Y49" s="131">
        <v>4</v>
      </c>
      <c r="Z49" s="131">
        <v>20</v>
      </c>
      <c r="AA49" s="131">
        <v>4</v>
      </c>
      <c r="AB49" s="131">
        <v>10</v>
      </c>
      <c r="AC49" s="131">
        <v>17</v>
      </c>
      <c r="AD49" s="131">
        <v>30</v>
      </c>
      <c r="AE49" s="131">
        <v>10</v>
      </c>
      <c r="AF49" s="128"/>
      <c r="AG49" s="128"/>
      <c r="AH49" s="131">
        <v>45</v>
      </c>
      <c r="AI49" s="128"/>
    </row>
    <row r="50" spans="1:35" ht="18" x14ac:dyDescent="0.3">
      <c r="A50" s="156" t="s">
        <v>1247</v>
      </c>
      <c r="B50" s="157">
        <v>45987</v>
      </c>
      <c r="C50" s="129" t="s">
        <v>665</v>
      </c>
      <c r="D50" s="158">
        <v>0.1076388888888889</v>
      </c>
      <c r="E50" s="129" t="s">
        <v>662</v>
      </c>
      <c r="F50" s="129" t="s">
        <v>158</v>
      </c>
      <c r="G50" s="159">
        <v>1</v>
      </c>
      <c r="H50" s="131">
        <v>180</v>
      </c>
      <c r="I50" s="131">
        <v>180</v>
      </c>
      <c r="J50" s="131">
        <v>180</v>
      </c>
      <c r="K50" s="157">
        <v>45905</v>
      </c>
      <c r="L50" s="131">
        <v>0</v>
      </c>
      <c r="M50" s="131">
        <v>0</v>
      </c>
      <c r="N50" s="131">
        <v>0</v>
      </c>
      <c r="O50" s="129" t="s">
        <v>75</v>
      </c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31">
        <v>45</v>
      </c>
      <c r="AG50" s="128"/>
      <c r="AH50" s="131">
        <v>135</v>
      </c>
      <c r="AI50" s="128"/>
    </row>
    <row r="51" spans="1:35" ht="18" x14ac:dyDescent="0.3">
      <c r="A51" s="156" t="s">
        <v>193</v>
      </c>
      <c r="B51" s="157">
        <v>45988</v>
      </c>
      <c r="C51" s="129" t="s">
        <v>665</v>
      </c>
      <c r="D51" s="158">
        <v>0.3298611111111111</v>
      </c>
      <c r="E51" s="129" t="s">
        <v>662</v>
      </c>
      <c r="F51" s="129" t="s">
        <v>158</v>
      </c>
      <c r="G51" s="159">
        <v>1</v>
      </c>
      <c r="H51" s="131">
        <v>180</v>
      </c>
      <c r="I51" s="131">
        <v>180</v>
      </c>
      <c r="J51" s="131">
        <v>135</v>
      </c>
      <c r="K51" s="157">
        <v>45983</v>
      </c>
      <c r="L51" s="131">
        <v>0</v>
      </c>
      <c r="M51" s="131">
        <v>1</v>
      </c>
      <c r="N51" s="131">
        <v>15</v>
      </c>
      <c r="O51" s="129" t="s">
        <v>75</v>
      </c>
      <c r="P51" s="128"/>
      <c r="Q51" s="128"/>
      <c r="R51" s="128"/>
      <c r="S51" s="128"/>
      <c r="T51" s="128"/>
      <c r="U51" s="128"/>
      <c r="V51" s="128"/>
      <c r="W51" s="128"/>
      <c r="X51" s="128"/>
      <c r="Y51" s="131">
        <v>2</v>
      </c>
      <c r="Z51" s="131">
        <v>1</v>
      </c>
      <c r="AA51" s="131">
        <v>9</v>
      </c>
      <c r="AB51" s="131">
        <v>23</v>
      </c>
      <c r="AC51" s="131">
        <v>5</v>
      </c>
      <c r="AD51" s="131">
        <v>3</v>
      </c>
      <c r="AE51" s="131">
        <v>2</v>
      </c>
      <c r="AF51" s="128"/>
      <c r="AG51" s="128"/>
      <c r="AH51" s="131">
        <v>135</v>
      </c>
      <c r="AI51" s="128"/>
    </row>
    <row r="52" spans="1:35" ht="18" x14ac:dyDescent="0.3">
      <c r="A52" s="156" t="s">
        <v>192</v>
      </c>
      <c r="B52" s="157">
        <v>45986</v>
      </c>
      <c r="C52" s="129" t="s">
        <v>678</v>
      </c>
      <c r="D52" s="158">
        <v>0.52777777777777779</v>
      </c>
      <c r="E52" s="129" t="s">
        <v>662</v>
      </c>
      <c r="F52" s="129" t="s">
        <v>158</v>
      </c>
      <c r="G52" s="159">
        <v>0.86109999999999998</v>
      </c>
      <c r="H52" s="131">
        <v>180</v>
      </c>
      <c r="I52" s="131">
        <v>155</v>
      </c>
      <c r="J52" s="131">
        <v>50</v>
      </c>
      <c r="K52" s="157">
        <v>45984</v>
      </c>
      <c r="L52" s="131">
        <v>1</v>
      </c>
      <c r="M52" s="131">
        <v>3</v>
      </c>
      <c r="N52" s="131">
        <v>71</v>
      </c>
      <c r="O52" s="129" t="s">
        <v>551</v>
      </c>
      <c r="P52" s="128"/>
      <c r="Q52" s="128"/>
      <c r="R52" s="128"/>
      <c r="S52" s="128"/>
      <c r="T52" s="128"/>
      <c r="U52" s="128"/>
      <c r="V52" s="128"/>
      <c r="W52" s="128"/>
      <c r="X52" s="131">
        <v>6</v>
      </c>
      <c r="Y52" s="131">
        <v>15</v>
      </c>
      <c r="Z52" s="131">
        <v>12</v>
      </c>
      <c r="AA52" s="131">
        <v>10</v>
      </c>
      <c r="AB52" s="131">
        <v>9</v>
      </c>
      <c r="AC52" s="131">
        <v>41</v>
      </c>
      <c r="AD52" s="131">
        <v>10</v>
      </c>
      <c r="AE52" s="131">
        <v>2</v>
      </c>
      <c r="AF52" s="128"/>
      <c r="AG52" s="128"/>
      <c r="AH52" s="131">
        <v>50</v>
      </c>
      <c r="AI52" s="128"/>
    </row>
    <row r="53" spans="1:35" ht="18" x14ac:dyDescent="0.3">
      <c r="A53" s="156" t="s">
        <v>193</v>
      </c>
      <c r="B53" s="157">
        <v>45988</v>
      </c>
      <c r="C53" s="129" t="s">
        <v>678</v>
      </c>
      <c r="D53" s="158">
        <v>0.54861111111111105</v>
      </c>
      <c r="E53" s="129" t="s">
        <v>662</v>
      </c>
      <c r="F53" s="129" t="s">
        <v>158</v>
      </c>
      <c r="G53" s="159">
        <v>0.99439999999999995</v>
      </c>
      <c r="H53" s="131">
        <v>180</v>
      </c>
      <c r="I53" s="131">
        <v>179</v>
      </c>
      <c r="J53" s="131">
        <v>95</v>
      </c>
      <c r="K53" s="157">
        <v>45983</v>
      </c>
      <c r="L53" s="131">
        <v>0</v>
      </c>
      <c r="M53" s="131">
        <v>15</v>
      </c>
      <c r="N53" s="131">
        <v>67</v>
      </c>
      <c r="O53" s="129" t="s">
        <v>258</v>
      </c>
      <c r="P53" s="128"/>
      <c r="Q53" s="128"/>
      <c r="R53" s="128"/>
      <c r="S53" s="128"/>
      <c r="T53" s="128"/>
      <c r="U53" s="128"/>
      <c r="V53" s="128"/>
      <c r="W53" s="128"/>
      <c r="X53" s="128"/>
      <c r="Y53" s="131">
        <v>13</v>
      </c>
      <c r="Z53" s="131">
        <v>28</v>
      </c>
      <c r="AA53" s="131">
        <v>15</v>
      </c>
      <c r="AB53" s="131">
        <v>25</v>
      </c>
      <c r="AC53" s="128"/>
      <c r="AD53" s="131">
        <v>2</v>
      </c>
      <c r="AE53" s="131">
        <v>1</v>
      </c>
      <c r="AF53" s="128"/>
      <c r="AG53" s="128"/>
      <c r="AH53" s="131">
        <v>95</v>
      </c>
      <c r="AI53" s="128"/>
    </row>
    <row r="54" spans="1:35" ht="18" x14ac:dyDescent="0.3">
      <c r="A54" s="156" t="s">
        <v>194</v>
      </c>
      <c r="B54" s="157">
        <v>45990</v>
      </c>
      <c r="C54" s="129" t="s">
        <v>678</v>
      </c>
      <c r="D54" s="158">
        <v>0.52777777777777779</v>
      </c>
      <c r="E54" s="129" t="s">
        <v>662</v>
      </c>
      <c r="F54" s="129" t="s">
        <v>158</v>
      </c>
      <c r="G54" s="159">
        <v>0.95</v>
      </c>
      <c r="H54" s="131">
        <v>180</v>
      </c>
      <c r="I54" s="131">
        <v>171</v>
      </c>
      <c r="J54" s="131">
        <v>90</v>
      </c>
      <c r="K54" s="157">
        <v>45983</v>
      </c>
      <c r="L54" s="131">
        <v>0</v>
      </c>
      <c r="M54" s="131">
        <v>5</v>
      </c>
      <c r="N54" s="131">
        <v>21</v>
      </c>
      <c r="O54" s="129" t="s">
        <v>160</v>
      </c>
      <c r="P54" s="131">
        <v>2</v>
      </c>
      <c r="Q54" s="128"/>
      <c r="R54" s="128"/>
      <c r="S54" s="128"/>
      <c r="T54" s="128"/>
      <c r="U54" s="128"/>
      <c r="V54" s="128"/>
      <c r="W54" s="128"/>
      <c r="X54" s="131">
        <v>22</v>
      </c>
      <c r="Y54" s="131">
        <v>19</v>
      </c>
      <c r="Z54" s="131">
        <v>25</v>
      </c>
      <c r="AA54" s="131">
        <v>2</v>
      </c>
      <c r="AB54" s="131">
        <v>11</v>
      </c>
      <c r="AC54" s="128"/>
      <c r="AD54" s="128"/>
      <c r="AE54" s="128"/>
      <c r="AF54" s="128"/>
      <c r="AG54" s="128"/>
      <c r="AH54" s="131">
        <v>90</v>
      </c>
      <c r="AI54" s="128"/>
    </row>
    <row r="55" spans="1:35" ht="18" x14ac:dyDescent="0.3">
      <c r="A55" s="156" t="s">
        <v>195</v>
      </c>
      <c r="B55" s="157">
        <v>45991</v>
      </c>
      <c r="C55" s="129" t="s">
        <v>678</v>
      </c>
      <c r="D55" s="158">
        <v>0.69097222222222221</v>
      </c>
      <c r="E55" s="129" t="s">
        <v>662</v>
      </c>
      <c r="F55" s="129" t="s">
        <v>158</v>
      </c>
      <c r="G55" s="159">
        <v>0.67220000000000002</v>
      </c>
      <c r="H55" s="131">
        <v>180</v>
      </c>
      <c r="I55" s="131">
        <v>121</v>
      </c>
      <c r="J55" s="131">
        <v>45</v>
      </c>
      <c r="K55" s="157">
        <v>45984</v>
      </c>
      <c r="L55" s="131">
        <v>1</v>
      </c>
      <c r="M55" s="131">
        <v>12</v>
      </c>
      <c r="N55" s="131">
        <v>62</v>
      </c>
      <c r="O55" s="129" t="s">
        <v>468</v>
      </c>
      <c r="P55" s="131">
        <v>1</v>
      </c>
      <c r="Q55" s="128"/>
      <c r="R55" s="128"/>
      <c r="S55" s="128"/>
      <c r="T55" s="128"/>
      <c r="U55" s="128"/>
      <c r="V55" s="128"/>
      <c r="W55" s="128"/>
      <c r="X55" s="128"/>
      <c r="Y55" s="131">
        <v>2</v>
      </c>
      <c r="Z55" s="131">
        <v>18</v>
      </c>
      <c r="AA55" s="131">
        <v>23</v>
      </c>
      <c r="AB55" s="131">
        <v>12</v>
      </c>
      <c r="AC55" s="131">
        <v>20</v>
      </c>
      <c r="AD55" s="128"/>
      <c r="AE55" s="128"/>
      <c r="AF55" s="128"/>
      <c r="AG55" s="128"/>
      <c r="AH55" s="131">
        <v>45</v>
      </c>
      <c r="AI55" s="128"/>
    </row>
    <row r="56" spans="1:35" ht="18" x14ac:dyDescent="0.3">
      <c r="A56" s="156" t="s">
        <v>196</v>
      </c>
      <c r="B56" s="157">
        <v>45985</v>
      </c>
      <c r="C56" s="129" t="s">
        <v>576</v>
      </c>
      <c r="D56" s="158">
        <v>0.14930555555555561</v>
      </c>
      <c r="E56" s="129" t="s">
        <v>571</v>
      </c>
      <c r="F56" s="129" t="s">
        <v>158</v>
      </c>
      <c r="G56" s="159">
        <v>0.99439999999999995</v>
      </c>
      <c r="H56" s="131">
        <v>180</v>
      </c>
      <c r="I56" s="131">
        <v>179</v>
      </c>
      <c r="J56" s="131">
        <v>134</v>
      </c>
      <c r="K56" s="157">
        <v>45980</v>
      </c>
      <c r="L56" s="131">
        <v>0</v>
      </c>
      <c r="M56" s="131">
        <v>0</v>
      </c>
      <c r="N56" s="131">
        <v>7</v>
      </c>
      <c r="O56" s="129" t="s">
        <v>75</v>
      </c>
      <c r="P56" s="128"/>
      <c r="Q56" s="128"/>
      <c r="R56" s="128"/>
      <c r="S56" s="128"/>
      <c r="T56" s="128"/>
      <c r="U56" s="128"/>
      <c r="V56" s="128"/>
      <c r="W56" s="128"/>
      <c r="X56" s="128"/>
      <c r="Y56" s="131">
        <v>1</v>
      </c>
      <c r="Z56" s="128"/>
      <c r="AA56" s="128"/>
      <c r="AB56" s="131">
        <v>14</v>
      </c>
      <c r="AC56" s="131">
        <v>12</v>
      </c>
      <c r="AD56" s="131">
        <v>9</v>
      </c>
      <c r="AE56" s="131">
        <v>9</v>
      </c>
      <c r="AF56" s="128"/>
      <c r="AG56" s="128"/>
      <c r="AH56" s="131">
        <v>134</v>
      </c>
      <c r="AI56" s="128"/>
    </row>
    <row r="57" spans="1:35" ht="18" x14ac:dyDescent="0.3">
      <c r="A57" s="156" t="s">
        <v>1247</v>
      </c>
      <c r="B57" s="157">
        <v>45987</v>
      </c>
      <c r="C57" s="129" t="s">
        <v>576</v>
      </c>
      <c r="D57" s="158">
        <v>0.53125</v>
      </c>
      <c r="E57" s="129" t="s">
        <v>571</v>
      </c>
      <c r="F57" s="129" t="s">
        <v>158</v>
      </c>
      <c r="G57" s="159">
        <v>1</v>
      </c>
      <c r="H57" s="131">
        <v>180</v>
      </c>
      <c r="I57" s="131">
        <v>180</v>
      </c>
      <c r="J57" s="131">
        <v>135</v>
      </c>
      <c r="K57" s="157">
        <v>45972</v>
      </c>
      <c r="L57" s="131">
        <v>0</v>
      </c>
      <c r="M57" s="131">
        <v>0</v>
      </c>
      <c r="N57" s="131">
        <v>0</v>
      </c>
      <c r="O57" s="129" t="s">
        <v>75</v>
      </c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31">
        <v>9</v>
      </c>
      <c r="AB57" s="131">
        <v>9</v>
      </c>
      <c r="AC57" s="131">
        <v>9</v>
      </c>
      <c r="AD57" s="131">
        <v>9</v>
      </c>
      <c r="AE57" s="131">
        <v>9</v>
      </c>
      <c r="AF57" s="128"/>
      <c r="AG57" s="128"/>
      <c r="AH57" s="131">
        <v>135</v>
      </c>
      <c r="AI57" s="128"/>
    </row>
    <row r="58" spans="1:35" ht="18" x14ac:dyDescent="0.3">
      <c r="A58" s="156" t="s">
        <v>194</v>
      </c>
      <c r="B58" s="157">
        <v>45990</v>
      </c>
      <c r="C58" s="129" t="s">
        <v>576</v>
      </c>
      <c r="D58" s="158">
        <v>0.27083333333333331</v>
      </c>
      <c r="E58" s="129" t="s">
        <v>571</v>
      </c>
      <c r="F58" s="129" t="s">
        <v>158</v>
      </c>
      <c r="G58" s="159">
        <v>1</v>
      </c>
      <c r="H58" s="131">
        <v>180</v>
      </c>
      <c r="I58" s="131">
        <v>180</v>
      </c>
      <c r="J58" s="131">
        <v>135</v>
      </c>
      <c r="K58" s="157">
        <v>45976</v>
      </c>
      <c r="L58" s="131">
        <v>0</v>
      </c>
      <c r="M58" s="131">
        <v>0</v>
      </c>
      <c r="N58" s="131">
        <v>0</v>
      </c>
      <c r="O58" s="129" t="s">
        <v>75</v>
      </c>
      <c r="P58" s="128"/>
      <c r="Q58" s="128"/>
      <c r="R58" s="128"/>
      <c r="S58" s="128"/>
      <c r="T58" s="128"/>
      <c r="U58" s="128"/>
      <c r="V58" s="128"/>
      <c r="W58" s="131">
        <v>2</v>
      </c>
      <c r="X58" s="128"/>
      <c r="Y58" s="131">
        <v>8</v>
      </c>
      <c r="Z58" s="131">
        <v>17</v>
      </c>
      <c r="AA58" s="131">
        <v>9</v>
      </c>
      <c r="AB58" s="131">
        <v>9</v>
      </c>
      <c r="AC58" s="128"/>
      <c r="AD58" s="128"/>
      <c r="AE58" s="128"/>
      <c r="AF58" s="128"/>
      <c r="AG58" s="128"/>
      <c r="AH58" s="131">
        <v>135</v>
      </c>
      <c r="AI58" s="128"/>
    </row>
    <row r="59" spans="1:35" ht="18" x14ac:dyDescent="0.3">
      <c r="A59" s="156" t="s">
        <v>195</v>
      </c>
      <c r="B59" s="157">
        <v>45991</v>
      </c>
      <c r="C59" s="129" t="s">
        <v>576</v>
      </c>
      <c r="D59" s="158">
        <v>0.57986111111111105</v>
      </c>
      <c r="E59" s="129" t="s">
        <v>571</v>
      </c>
      <c r="F59" s="129" t="s">
        <v>158</v>
      </c>
      <c r="G59" s="159">
        <v>1</v>
      </c>
      <c r="H59" s="131">
        <v>180</v>
      </c>
      <c r="I59" s="131">
        <v>180</v>
      </c>
      <c r="J59" s="131">
        <v>135</v>
      </c>
      <c r="K59" s="157">
        <v>45982</v>
      </c>
      <c r="L59" s="131">
        <v>0</v>
      </c>
      <c r="M59" s="131">
        <v>0</v>
      </c>
      <c r="N59" s="131">
        <v>2</v>
      </c>
      <c r="O59" s="129" t="s">
        <v>75</v>
      </c>
      <c r="P59" s="128"/>
      <c r="Q59" s="128"/>
      <c r="R59" s="128"/>
      <c r="S59" s="128"/>
      <c r="T59" s="128"/>
      <c r="U59" s="128"/>
      <c r="V59" s="128"/>
      <c r="W59" s="128"/>
      <c r="X59" s="131">
        <v>6</v>
      </c>
      <c r="Y59" s="131">
        <v>3</v>
      </c>
      <c r="Z59" s="131">
        <v>1</v>
      </c>
      <c r="AA59" s="131">
        <v>18</v>
      </c>
      <c r="AB59" s="131">
        <v>17</v>
      </c>
      <c r="AC59" s="128"/>
      <c r="AD59" s="128"/>
      <c r="AE59" s="128"/>
      <c r="AF59" s="128"/>
      <c r="AG59" s="128"/>
      <c r="AH59" s="131">
        <v>135</v>
      </c>
      <c r="AI59" s="128"/>
    </row>
    <row r="60" spans="1:35" ht="18" x14ac:dyDescent="0.3">
      <c r="A60" s="156" t="s">
        <v>196</v>
      </c>
      <c r="B60" s="157">
        <v>45985</v>
      </c>
      <c r="C60" s="129" t="s">
        <v>332</v>
      </c>
      <c r="D60" s="158">
        <v>0.80208333333333337</v>
      </c>
      <c r="E60" s="129" t="s">
        <v>271</v>
      </c>
      <c r="F60" s="129" t="s">
        <v>158</v>
      </c>
      <c r="G60" s="159">
        <v>0.99439999999999995</v>
      </c>
      <c r="H60" s="131">
        <v>180</v>
      </c>
      <c r="I60" s="131">
        <v>179</v>
      </c>
      <c r="J60" s="131">
        <v>50</v>
      </c>
      <c r="K60" s="157">
        <v>45983</v>
      </c>
      <c r="L60" s="131">
        <v>0</v>
      </c>
      <c r="M60" s="131">
        <v>8</v>
      </c>
      <c r="N60" s="131">
        <v>68</v>
      </c>
      <c r="O60" s="129" t="s">
        <v>75</v>
      </c>
      <c r="P60" s="128"/>
      <c r="Q60" s="128"/>
      <c r="R60" s="128"/>
      <c r="S60" s="128"/>
      <c r="T60" s="128"/>
      <c r="U60" s="128"/>
      <c r="V60" s="128"/>
      <c r="W60" s="128"/>
      <c r="X60" s="131">
        <v>7</v>
      </c>
      <c r="Y60" s="131">
        <v>26</v>
      </c>
      <c r="Z60" s="131">
        <v>28</v>
      </c>
      <c r="AA60" s="131">
        <v>10</v>
      </c>
      <c r="AB60" s="131">
        <v>11</v>
      </c>
      <c r="AC60" s="131">
        <v>12</v>
      </c>
      <c r="AD60" s="131">
        <v>14</v>
      </c>
      <c r="AE60" s="131">
        <v>21</v>
      </c>
      <c r="AF60" s="128"/>
      <c r="AG60" s="128"/>
      <c r="AH60" s="131">
        <v>50</v>
      </c>
      <c r="AI60" s="128"/>
    </row>
    <row r="61" spans="1:35" ht="18" x14ac:dyDescent="0.3">
      <c r="A61" s="156" t="s">
        <v>192</v>
      </c>
      <c r="B61" s="157">
        <v>45986</v>
      </c>
      <c r="C61" s="129" t="s">
        <v>332</v>
      </c>
      <c r="D61" s="158">
        <v>0.55208333333333337</v>
      </c>
      <c r="E61" s="129" t="s">
        <v>271</v>
      </c>
      <c r="F61" s="129" t="s">
        <v>158</v>
      </c>
      <c r="G61" s="159">
        <v>0.98329999999999995</v>
      </c>
      <c r="H61" s="131">
        <v>180</v>
      </c>
      <c r="I61" s="131">
        <v>177</v>
      </c>
      <c r="J61" s="131">
        <v>120</v>
      </c>
      <c r="K61" s="157">
        <v>45983</v>
      </c>
      <c r="L61" s="131">
        <v>0</v>
      </c>
      <c r="M61" s="131">
        <v>4</v>
      </c>
      <c r="N61" s="131">
        <v>45</v>
      </c>
      <c r="O61" s="129" t="s">
        <v>75</v>
      </c>
      <c r="P61" s="128"/>
      <c r="Q61" s="128"/>
      <c r="R61" s="128"/>
      <c r="S61" s="128"/>
      <c r="T61" s="128"/>
      <c r="U61" s="128"/>
      <c r="V61" s="128"/>
      <c r="W61" s="128"/>
      <c r="X61" s="128"/>
      <c r="Y61" s="131">
        <v>11</v>
      </c>
      <c r="Z61" s="128"/>
      <c r="AA61" s="128"/>
      <c r="AB61" s="128"/>
      <c r="AC61" s="131">
        <v>18</v>
      </c>
      <c r="AD61" s="131">
        <v>22</v>
      </c>
      <c r="AE61" s="131">
        <v>6</v>
      </c>
      <c r="AF61" s="131">
        <v>40</v>
      </c>
      <c r="AG61" s="128"/>
      <c r="AH61" s="131">
        <v>80</v>
      </c>
      <c r="AI61" s="128"/>
    </row>
    <row r="62" spans="1:35" ht="18" x14ac:dyDescent="0.3">
      <c r="A62" s="156" t="s">
        <v>1247</v>
      </c>
      <c r="B62" s="157">
        <v>45987</v>
      </c>
      <c r="C62" s="129" t="s">
        <v>332</v>
      </c>
      <c r="D62" s="158">
        <v>0.34375</v>
      </c>
      <c r="E62" s="129" t="s">
        <v>271</v>
      </c>
      <c r="F62" s="129" t="s">
        <v>158</v>
      </c>
      <c r="G62" s="159">
        <v>0.99439999999999995</v>
      </c>
      <c r="H62" s="131">
        <v>180</v>
      </c>
      <c r="I62" s="131">
        <v>179</v>
      </c>
      <c r="J62" s="131">
        <v>90</v>
      </c>
      <c r="K62" s="157">
        <v>45980</v>
      </c>
      <c r="L62" s="131">
        <v>0</v>
      </c>
      <c r="M62" s="131">
        <v>0</v>
      </c>
      <c r="N62" s="131">
        <v>15</v>
      </c>
      <c r="O62" s="129" t="s">
        <v>75</v>
      </c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31">
        <v>11</v>
      </c>
      <c r="AB62" s="131">
        <v>21</v>
      </c>
      <c r="AC62" s="131">
        <v>18</v>
      </c>
      <c r="AD62" s="131">
        <v>18</v>
      </c>
      <c r="AE62" s="131">
        <v>18</v>
      </c>
      <c r="AF62" s="128"/>
      <c r="AG62" s="128"/>
      <c r="AH62" s="131">
        <v>90</v>
      </c>
      <c r="AI62" s="131">
        <v>3</v>
      </c>
    </row>
    <row r="63" spans="1:35" ht="18" x14ac:dyDescent="0.3">
      <c r="A63" s="156" t="s">
        <v>1248</v>
      </c>
      <c r="B63" s="157">
        <v>45989</v>
      </c>
      <c r="C63" s="129" t="s">
        <v>332</v>
      </c>
      <c r="D63" s="158">
        <v>0.76041666666666663</v>
      </c>
      <c r="E63" s="129" t="s">
        <v>271</v>
      </c>
      <c r="F63" s="129" t="s">
        <v>158</v>
      </c>
      <c r="G63" s="159">
        <v>1</v>
      </c>
      <c r="H63" s="131">
        <v>180</v>
      </c>
      <c r="I63" s="131">
        <v>180</v>
      </c>
      <c r="J63" s="131">
        <v>0</v>
      </c>
      <c r="K63" s="157">
        <v>45983</v>
      </c>
      <c r="L63" s="131">
        <v>0</v>
      </c>
      <c r="M63" s="131">
        <v>4</v>
      </c>
      <c r="N63" s="131">
        <v>20</v>
      </c>
      <c r="O63" s="129" t="s">
        <v>75</v>
      </c>
      <c r="P63" s="128"/>
      <c r="Q63" s="128"/>
      <c r="R63" s="128"/>
      <c r="S63" s="128"/>
      <c r="T63" s="131">
        <v>2</v>
      </c>
      <c r="U63" s="131">
        <v>25</v>
      </c>
      <c r="V63" s="131">
        <v>29</v>
      </c>
      <c r="W63" s="131">
        <v>26</v>
      </c>
      <c r="X63" s="131">
        <v>10</v>
      </c>
      <c r="Y63" s="131">
        <v>12</v>
      </c>
      <c r="Z63" s="131">
        <v>21</v>
      </c>
      <c r="AA63" s="131">
        <v>13</v>
      </c>
      <c r="AB63" s="131">
        <v>9</v>
      </c>
      <c r="AC63" s="131">
        <v>12</v>
      </c>
      <c r="AD63" s="131">
        <v>11</v>
      </c>
      <c r="AE63" s="131">
        <v>10</v>
      </c>
      <c r="AF63" s="128"/>
      <c r="AG63" s="128"/>
      <c r="AH63" s="128"/>
      <c r="AI63" s="128"/>
    </row>
    <row r="64" spans="1:35" ht="18" x14ac:dyDescent="0.3">
      <c r="A64" s="156" t="s">
        <v>195</v>
      </c>
      <c r="B64" s="157">
        <v>45991</v>
      </c>
      <c r="C64" s="129" t="s">
        <v>332</v>
      </c>
      <c r="D64" s="158">
        <v>0.33333333333333331</v>
      </c>
      <c r="E64" s="129" t="s">
        <v>271</v>
      </c>
      <c r="F64" s="129" t="s">
        <v>158</v>
      </c>
      <c r="G64" s="159">
        <v>1</v>
      </c>
      <c r="H64" s="131">
        <v>180</v>
      </c>
      <c r="I64" s="131">
        <v>180</v>
      </c>
      <c r="J64" s="131">
        <v>89</v>
      </c>
      <c r="K64" s="157">
        <v>45981</v>
      </c>
      <c r="L64" s="131">
        <v>0</v>
      </c>
      <c r="M64" s="131">
        <v>0</v>
      </c>
      <c r="N64" s="131">
        <v>4</v>
      </c>
      <c r="O64" s="129" t="s">
        <v>75</v>
      </c>
      <c r="P64" s="128"/>
      <c r="Q64" s="128"/>
      <c r="R64" s="128"/>
      <c r="S64" s="128"/>
      <c r="T64" s="128"/>
      <c r="U64" s="128"/>
      <c r="V64" s="128"/>
      <c r="W64" s="128"/>
      <c r="X64" s="131">
        <v>7</v>
      </c>
      <c r="Y64" s="131">
        <v>9</v>
      </c>
      <c r="Z64" s="131">
        <v>11</v>
      </c>
      <c r="AA64" s="131">
        <v>10</v>
      </c>
      <c r="AB64" s="131">
        <v>10</v>
      </c>
      <c r="AC64" s="131">
        <v>12</v>
      </c>
      <c r="AD64" s="131">
        <v>22</v>
      </c>
      <c r="AE64" s="131">
        <v>10</v>
      </c>
      <c r="AF64" s="128"/>
      <c r="AG64" s="128"/>
      <c r="AH64" s="131">
        <v>89</v>
      </c>
      <c r="AI64" s="128"/>
    </row>
    <row r="65" spans="1:35" ht="18" x14ac:dyDescent="0.3">
      <c r="A65" s="156" t="s">
        <v>1247</v>
      </c>
      <c r="B65" s="157">
        <v>45987</v>
      </c>
      <c r="C65" s="129" t="s">
        <v>811</v>
      </c>
      <c r="D65" s="158">
        <v>0.41319444444444442</v>
      </c>
      <c r="E65" s="129" t="s">
        <v>752</v>
      </c>
      <c r="F65" s="129" t="s">
        <v>158</v>
      </c>
      <c r="G65" s="159">
        <v>0.77090000000000003</v>
      </c>
      <c r="H65" s="131">
        <v>179</v>
      </c>
      <c r="I65" s="131">
        <v>138</v>
      </c>
      <c r="J65" s="131">
        <v>0</v>
      </c>
      <c r="K65" s="157">
        <v>45983</v>
      </c>
      <c r="L65" s="131">
        <v>0</v>
      </c>
      <c r="M65" s="131">
        <v>20</v>
      </c>
      <c r="N65" s="131">
        <v>76</v>
      </c>
      <c r="O65" s="129" t="s">
        <v>160</v>
      </c>
      <c r="P65" s="128"/>
      <c r="Q65" s="128"/>
      <c r="R65" s="128"/>
      <c r="S65" s="128"/>
      <c r="T65" s="128"/>
      <c r="U65" s="128"/>
      <c r="V65" s="128"/>
      <c r="W65" s="131">
        <v>5</v>
      </c>
      <c r="X65" s="131">
        <v>17</v>
      </c>
      <c r="Y65" s="131">
        <v>18</v>
      </c>
      <c r="Z65" s="131">
        <v>38</v>
      </c>
      <c r="AA65" s="128"/>
      <c r="AB65" s="131">
        <v>7</v>
      </c>
      <c r="AC65" s="131">
        <v>18</v>
      </c>
      <c r="AD65" s="131">
        <v>8</v>
      </c>
      <c r="AE65" s="131">
        <v>27</v>
      </c>
      <c r="AF65" s="128"/>
      <c r="AG65" s="128"/>
      <c r="AH65" s="128"/>
      <c r="AI65" s="128"/>
    </row>
    <row r="66" spans="1:35" ht="18" x14ac:dyDescent="0.3">
      <c r="A66" s="156" t="s">
        <v>193</v>
      </c>
      <c r="B66" s="157">
        <v>45988</v>
      </c>
      <c r="C66" s="129" t="s">
        <v>811</v>
      </c>
      <c r="D66" s="158">
        <v>0.41319444444444442</v>
      </c>
      <c r="E66" s="129" t="s">
        <v>752</v>
      </c>
      <c r="F66" s="129" t="s">
        <v>158</v>
      </c>
      <c r="G66" s="159">
        <v>0.63129999999999997</v>
      </c>
      <c r="H66" s="131">
        <v>179</v>
      </c>
      <c r="I66" s="131">
        <v>113</v>
      </c>
      <c r="J66" s="131">
        <v>0</v>
      </c>
      <c r="K66" s="157">
        <v>45984</v>
      </c>
      <c r="L66" s="131">
        <v>1</v>
      </c>
      <c r="M66" s="131">
        <v>9</v>
      </c>
      <c r="N66" s="131">
        <v>46</v>
      </c>
      <c r="O66" s="129" t="s">
        <v>497</v>
      </c>
      <c r="P66" s="128"/>
      <c r="Q66" s="128"/>
      <c r="R66" s="128"/>
      <c r="S66" s="128"/>
      <c r="T66" s="128"/>
      <c r="U66" s="128"/>
      <c r="V66" s="131">
        <v>3</v>
      </c>
      <c r="W66" s="131">
        <v>15</v>
      </c>
      <c r="X66" s="131">
        <v>30</v>
      </c>
      <c r="Y66" s="131">
        <v>18</v>
      </c>
      <c r="Z66" s="131">
        <v>9</v>
      </c>
      <c r="AA66" s="131">
        <v>7</v>
      </c>
      <c r="AB66" s="131">
        <v>12</v>
      </c>
      <c r="AC66" s="131">
        <v>10</v>
      </c>
      <c r="AD66" s="131">
        <v>6</v>
      </c>
      <c r="AE66" s="131">
        <v>3</v>
      </c>
      <c r="AF66" s="128"/>
      <c r="AG66" s="128"/>
      <c r="AH66" s="128"/>
      <c r="AI66" s="128"/>
    </row>
    <row r="67" spans="1:35" ht="18" x14ac:dyDescent="0.3">
      <c r="A67" s="156" t="s">
        <v>1248</v>
      </c>
      <c r="B67" s="157">
        <v>45989</v>
      </c>
      <c r="C67" s="129" t="s">
        <v>811</v>
      </c>
      <c r="D67" s="158">
        <v>0.40625</v>
      </c>
      <c r="E67" s="129" t="s">
        <v>752</v>
      </c>
      <c r="F67" s="129" t="s">
        <v>158</v>
      </c>
      <c r="G67" s="159">
        <v>0.58660000000000001</v>
      </c>
      <c r="H67" s="131">
        <v>179</v>
      </c>
      <c r="I67" s="131">
        <v>105</v>
      </c>
      <c r="J67" s="131">
        <v>0</v>
      </c>
      <c r="K67" s="157">
        <v>45980</v>
      </c>
      <c r="L67" s="131">
        <v>0</v>
      </c>
      <c r="M67" s="131">
        <v>0</v>
      </c>
      <c r="N67" s="131">
        <v>6</v>
      </c>
      <c r="O67" s="129" t="s">
        <v>840</v>
      </c>
      <c r="P67" s="128"/>
      <c r="Q67" s="128"/>
      <c r="R67" s="128"/>
      <c r="S67" s="128"/>
      <c r="T67" s="131">
        <v>2</v>
      </c>
      <c r="U67" s="131">
        <v>22</v>
      </c>
      <c r="V67" s="131">
        <v>7</v>
      </c>
      <c r="W67" s="131">
        <v>9</v>
      </c>
      <c r="X67" s="131">
        <v>12</v>
      </c>
      <c r="Y67" s="131">
        <v>15</v>
      </c>
      <c r="Z67" s="131">
        <v>8</v>
      </c>
      <c r="AA67" s="131">
        <v>6</v>
      </c>
      <c r="AB67" s="131">
        <v>4</v>
      </c>
      <c r="AC67" s="131">
        <v>9</v>
      </c>
      <c r="AD67" s="131">
        <v>5</v>
      </c>
      <c r="AE67" s="131">
        <v>6</v>
      </c>
      <c r="AF67" s="128"/>
      <c r="AG67" s="128"/>
      <c r="AH67" s="128"/>
      <c r="AI67" s="128"/>
    </row>
    <row r="68" spans="1:35" ht="18" x14ac:dyDescent="0.3">
      <c r="A68" s="156" t="s">
        <v>194</v>
      </c>
      <c r="B68" s="157">
        <v>45990</v>
      </c>
      <c r="C68" s="129" t="s">
        <v>811</v>
      </c>
      <c r="D68" s="158">
        <v>0.41319444444444442</v>
      </c>
      <c r="E68" s="129" t="s">
        <v>752</v>
      </c>
      <c r="F68" s="129" t="s">
        <v>158</v>
      </c>
      <c r="G68" s="159">
        <v>0.68720000000000003</v>
      </c>
      <c r="H68" s="131">
        <v>179</v>
      </c>
      <c r="I68" s="131">
        <v>123</v>
      </c>
      <c r="J68" s="131">
        <v>0</v>
      </c>
      <c r="K68" s="157">
        <v>45983</v>
      </c>
      <c r="L68" s="131">
        <v>0</v>
      </c>
      <c r="M68" s="131">
        <v>2</v>
      </c>
      <c r="N68" s="131">
        <v>25</v>
      </c>
      <c r="O68" s="129" t="s">
        <v>860</v>
      </c>
      <c r="P68" s="128"/>
      <c r="Q68" s="128"/>
      <c r="R68" s="131">
        <v>10</v>
      </c>
      <c r="S68" s="131">
        <v>21</v>
      </c>
      <c r="T68" s="128"/>
      <c r="U68" s="131">
        <v>12</v>
      </c>
      <c r="V68" s="131">
        <v>14</v>
      </c>
      <c r="W68" s="131">
        <v>11</v>
      </c>
      <c r="X68" s="131">
        <v>12</v>
      </c>
      <c r="Y68" s="131">
        <v>6</v>
      </c>
      <c r="Z68" s="131">
        <v>10</v>
      </c>
      <c r="AA68" s="131">
        <v>3</v>
      </c>
      <c r="AB68" s="131">
        <v>4</v>
      </c>
      <c r="AC68" s="131">
        <v>8</v>
      </c>
      <c r="AD68" s="131">
        <v>9</v>
      </c>
      <c r="AE68" s="131">
        <v>3</v>
      </c>
      <c r="AF68" s="128"/>
      <c r="AG68" s="128"/>
      <c r="AH68" s="128"/>
      <c r="AI68" s="128"/>
    </row>
    <row r="69" spans="1:35" ht="18" x14ac:dyDescent="0.3">
      <c r="A69" s="156" t="s">
        <v>195</v>
      </c>
      <c r="B69" s="157">
        <v>45991</v>
      </c>
      <c r="C69" s="129" t="s">
        <v>811</v>
      </c>
      <c r="D69" s="158">
        <v>0.42708333333333331</v>
      </c>
      <c r="E69" s="129" t="s">
        <v>752</v>
      </c>
      <c r="F69" s="129" t="s">
        <v>158</v>
      </c>
      <c r="G69" s="159">
        <v>0.61450000000000005</v>
      </c>
      <c r="H69" s="131">
        <v>179</v>
      </c>
      <c r="I69" s="131">
        <v>110</v>
      </c>
      <c r="J69" s="131">
        <v>0</v>
      </c>
      <c r="K69" s="157">
        <v>45983</v>
      </c>
      <c r="L69" s="131">
        <v>0</v>
      </c>
      <c r="M69" s="131">
        <v>6</v>
      </c>
      <c r="N69" s="131">
        <v>21</v>
      </c>
      <c r="O69" s="129" t="s">
        <v>345</v>
      </c>
      <c r="P69" s="128"/>
      <c r="Q69" s="128"/>
      <c r="R69" s="128"/>
      <c r="S69" s="128"/>
      <c r="T69" s="128"/>
      <c r="U69" s="131">
        <v>2</v>
      </c>
      <c r="V69" s="131">
        <v>19</v>
      </c>
      <c r="W69" s="131">
        <v>28</v>
      </c>
      <c r="X69" s="131">
        <v>7</v>
      </c>
      <c r="Y69" s="131">
        <v>19</v>
      </c>
      <c r="Z69" s="131">
        <v>6</v>
      </c>
      <c r="AA69" s="131">
        <v>7</v>
      </c>
      <c r="AB69" s="131">
        <v>4</v>
      </c>
      <c r="AC69" s="131">
        <v>6</v>
      </c>
      <c r="AD69" s="131">
        <v>7</v>
      </c>
      <c r="AE69" s="131">
        <v>5</v>
      </c>
      <c r="AF69" s="128"/>
      <c r="AG69" s="128"/>
      <c r="AH69" s="128"/>
      <c r="AI69" s="128"/>
    </row>
    <row r="70" spans="1:35" ht="18" x14ac:dyDescent="0.3">
      <c r="A70" s="156" t="s">
        <v>192</v>
      </c>
      <c r="B70" s="157">
        <v>45986</v>
      </c>
      <c r="C70" s="129" t="s">
        <v>909</v>
      </c>
      <c r="D70" s="158">
        <v>0.43055555555555558</v>
      </c>
      <c r="E70" s="129" t="s">
        <v>902</v>
      </c>
      <c r="F70" s="129" t="s">
        <v>158</v>
      </c>
      <c r="G70" s="159">
        <v>0.70389999999999997</v>
      </c>
      <c r="H70" s="131">
        <v>179</v>
      </c>
      <c r="I70" s="131">
        <v>126</v>
      </c>
      <c r="J70" s="131">
        <v>0</v>
      </c>
      <c r="K70" s="157">
        <v>45984</v>
      </c>
      <c r="L70" s="131">
        <v>1</v>
      </c>
      <c r="M70" s="131">
        <v>4</v>
      </c>
      <c r="N70" s="131">
        <v>43</v>
      </c>
      <c r="O70" s="129" t="s">
        <v>840</v>
      </c>
      <c r="P70" s="128"/>
      <c r="Q70" s="128"/>
      <c r="R70" s="128"/>
      <c r="S70" s="128"/>
      <c r="T70" s="131">
        <v>1</v>
      </c>
      <c r="U70" s="131">
        <v>20</v>
      </c>
      <c r="V70" s="131">
        <v>20</v>
      </c>
      <c r="W70" s="131">
        <v>15</v>
      </c>
      <c r="X70" s="131">
        <v>10</v>
      </c>
      <c r="Y70" s="131">
        <v>20</v>
      </c>
      <c r="Z70" s="131">
        <v>13</v>
      </c>
      <c r="AA70" s="131">
        <v>4</v>
      </c>
      <c r="AB70" s="131">
        <v>7</v>
      </c>
      <c r="AC70" s="131">
        <v>11</v>
      </c>
      <c r="AD70" s="131">
        <v>5</v>
      </c>
      <c r="AE70" s="128"/>
      <c r="AF70" s="128"/>
      <c r="AG70" s="128"/>
      <c r="AH70" s="128"/>
      <c r="AI70" s="128"/>
    </row>
    <row r="71" spans="1:35" ht="18" x14ac:dyDescent="0.3">
      <c r="A71" s="156" t="s">
        <v>195</v>
      </c>
      <c r="B71" s="157">
        <v>45991</v>
      </c>
      <c r="C71" s="129" t="s">
        <v>909</v>
      </c>
      <c r="D71" s="158">
        <v>0.42708333333333331</v>
      </c>
      <c r="E71" s="129" t="s">
        <v>902</v>
      </c>
      <c r="F71" s="129" t="s">
        <v>158</v>
      </c>
      <c r="G71" s="159">
        <v>0.57540000000000002</v>
      </c>
      <c r="H71" s="131">
        <v>179</v>
      </c>
      <c r="I71" s="131">
        <v>103</v>
      </c>
      <c r="J71" s="131">
        <v>0</v>
      </c>
      <c r="K71" s="157">
        <v>45983</v>
      </c>
      <c r="L71" s="131">
        <v>0</v>
      </c>
      <c r="M71" s="131">
        <v>2</v>
      </c>
      <c r="N71" s="131">
        <v>19</v>
      </c>
      <c r="O71" s="129" t="s">
        <v>935</v>
      </c>
      <c r="P71" s="128"/>
      <c r="Q71" s="128"/>
      <c r="R71" s="128"/>
      <c r="S71" s="131">
        <v>1</v>
      </c>
      <c r="T71" s="131">
        <v>18</v>
      </c>
      <c r="U71" s="131">
        <v>15</v>
      </c>
      <c r="V71" s="131">
        <v>7</v>
      </c>
      <c r="W71" s="131">
        <v>1</v>
      </c>
      <c r="X71" s="128"/>
      <c r="Y71" s="131">
        <v>1</v>
      </c>
      <c r="Z71" s="131">
        <v>12</v>
      </c>
      <c r="AA71" s="131">
        <v>16</v>
      </c>
      <c r="AB71" s="131">
        <v>12</v>
      </c>
      <c r="AC71" s="131">
        <v>13</v>
      </c>
      <c r="AD71" s="131">
        <v>6</v>
      </c>
      <c r="AE71" s="131">
        <v>1</v>
      </c>
      <c r="AF71" s="128"/>
      <c r="AG71" s="128"/>
      <c r="AH71" s="128"/>
      <c r="AI71" s="128"/>
    </row>
    <row r="72" spans="1:35" ht="18" x14ac:dyDescent="0.3">
      <c r="A72" s="156" t="s">
        <v>1247</v>
      </c>
      <c r="B72" s="157">
        <v>45987</v>
      </c>
      <c r="C72" s="129" t="s">
        <v>921</v>
      </c>
      <c r="D72" s="158">
        <v>0.40625</v>
      </c>
      <c r="E72" s="129" t="s">
        <v>902</v>
      </c>
      <c r="F72" s="129" t="s">
        <v>158</v>
      </c>
      <c r="G72" s="159">
        <v>0.81010000000000004</v>
      </c>
      <c r="H72" s="131">
        <v>179</v>
      </c>
      <c r="I72" s="131">
        <v>145</v>
      </c>
      <c r="J72" s="131">
        <v>0</v>
      </c>
      <c r="K72" s="157">
        <v>45983</v>
      </c>
      <c r="L72" s="131">
        <v>0</v>
      </c>
      <c r="M72" s="131">
        <v>3</v>
      </c>
      <c r="N72" s="131">
        <v>11</v>
      </c>
      <c r="O72" s="129" t="s">
        <v>922</v>
      </c>
      <c r="P72" s="131">
        <v>1</v>
      </c>
      <c r="Q72" s="128"/>
      <c r="R72" s="128"/>
      <c r="S72" s="131">
        <v>4</v>
      </c>
      <c r="T72" s="128"/>
      <c r="U72" s="128"/>
      <c r="V72" s="131">
        <v>2</v>
      </c>
      <c r="W72" s="131">
        <v>12</v>
      </c>
      <c r="X72" s="131">
        <v>14</v>
      </c>
      <c r="Y72" s="131">
        <v>26</v>
      </c>
      <c r="Z72" s="131">
        <v>16</v>
      </c>
      <c r="AA72" s="131">
        <v>17</v>
      </c>
      <c r="AB72" s="131">
        <v>18</v>
      </c>
      <c r="AC72" s="131">
        <v>32</v>
      </c>
      <c r="AD72" s="131">
        <v>3</v>
      </c>
      <c r="AE72" s="128"/>
      <c r="AF72" s="128"/>
      <c r="AG72" s="128"/>
      <c r="AH72" s="128"/>
      <c r="AI72" s="128"/>
    </row>
    <row r="73" spans="1:35" ht="18" x14ac:dyDescent="0.3">
      <c r="A73" s="156" t="s">
        <v>196</v>
      </c>
      <c r="B73" s="157">
        <v>45985</v>
      </c>
      <c r="C73" s="129" t="s">
        <v>780</v>
      </c>
      <c r="D73" s="158">
        <v>0.72569444444444453</v>
      </c>
      <c r="E73" s="129" t="s">
        <v>752</v>
      </c>
      <c r="F73" s="129" t="s">
        <v>158</v>
      </c>
      <c r="G73" s="159">
        <v>0.68720000000000003</v>
      </c>
      <c r="H73" s="131">
        <v>179</v>
      </c>
      <c r="I73" s="131">
        <v>123</v>
      </c>
      <c r="J73" s="131">
        <v>0</v>
      </c>
      <c r="K73" s="157">
        <v>45983</v>
      </c>
      <c r="L73" s="131">
        <v>0</v>
      </c>
      <c r="M73" s="131">
        <v>11</v>
      </c>
      <c r="N73" s="131">
        <v>64</v>
      </c>
      <c r="O73" s="129" t="s">
        <v>160</v>
      </c>
      <c r="P73" s="128"/>
      <c r="Q73" s="128"/>
      <c r="R73" s="128"/>
      <c r="S73" s="128"/>
      <c r="T73" s="128"/>
      <c r="U73" s="128"/>
      <c r="V73" s="128"/>
      <c r="W73" s="131">
        <v>1</v>
      </c>
      <c r="X73" s="131">
        <v>8</v>
      </c>
      <c r="Y73" s="131">
        <v>18</v>
      </c>
      <c r="Z73" s="131">
        <v>9</v>
      </c>
      <c r="AA73" s="131">
        <v>37</v>
      </c>
      <c r="AB73" s="131">
        <v>9</v>
      </c>
      <c r="AC73" s="131">
        <v>7</v>
      </c>
      <c r="AD73" s="131">
        <v>8</v>
      </c>
      <c r="AE73" s="131">
        <v>26</v>
      </c>
      <c r="AF73" s="128"/>
      <c r="AG73" s="128"/>
      <c r="AH73" s="128"/>
      <c r="AI73" s="128"/>
    </row>
    <row r="74" spans="1:35" ht="18" x14ac:dyDescent="0.3">
      <c r="A74" s="156" t="s">
        <v>192</v>
      </c>
      <c r="B74" s="157">
        <v>45986</v>
      </c>
      <c r="C74" s="129" t="s">
        <v>780</v>
      </c>
      <c r="D74" s="158">
        <v>0.71527777777777779</v>
      </c>
      <c r="E74" s="129" t="s">
        <v>752</v>
      </c>
      <c r="F74" s="129" t="s">
        <v>158</v>
      </c>
      <c r="G74" s="159">
        <v>0.75980000000000003</v>
      </c>
      <c r="H74" s="131">
        <v>179</v>
      </c>
      <c r="I74" s="131">
        <v>136</v>
      </c>
      <c r="J74" s="131">
        <v>0</v>
      </c>
      <c r="K74" s="157">
        <v>45983</v>
      </c>
      <c r="L74" s="131">
        <v>0</v>
      </c>
      <c r="M74" s="131">
        <v>6</v>
      </c>
      <c r="N74" s="131">
        <v>45</v>
      </c>
      <c r="O74" s="129" t="s">
        <v>160</v>
      </c>
      <c r="P74" s="128"/>
      <c r="Q74" s="128"/>
      <c r="R74" s="128"/>
      <c r="S74" s="128"/>
      <c r="T74" s="128"/>
      <c r="U74" s="128"/>
      <c r="V74" s="128"/>
      <c r="W74" s="131">
        <v>3</v>
      </c>
      <c r="X74" s="131">
        <v>8</v>
      </c>
      <c r="Y74" s="131">
        <v>17</v>
      </c>
      <c r="Z74" s="131">
        <v>29</v>
      </c>
      <c r="AA74" s="131">
        <v>18</v>
      </c>
      <c r="AB74" s="131">
        <v>9</v>
      </c>
      <c r="AC74" s="131">
        <v>8</v>
      </c>
      <c r="AD74" s="131">
        <v>43</v>
      </c>
      <c r="AE74" s="131">
        <v>1</v>
      </c>
      <c r="AF74" s="128"/>
      <c r="AG74" s="128"/>
      <c r="AH74" s="128"/>
      <c r="AI74" s="128"/>
    </row>
    <row r="75" spans="1:35" ht="18" x14ac:dyDescent="0.3">
      <c r="A75" s="156" t="s">
        <v>1247</v>
      </c>
      <c r="B75" s="157">
        <v>45987</v>
      </c>
      <c r="C75" s="129" t="s">
        <v>780</v>
      </c>
      <c r="D75" s="158">
        <v>0.72569444444444453</v>
      </c>
      <c r="E75" s="129" t="s">
        <v>752</v>
      </c>
      <c r="F75" s="129" t="s">
        <v>158</v>
      </c>
      <c r="G75" s="159">
        <v>0.69269999999999998</v>
      </c>
      <c r="H75" s="131">
        <v>179</v>
      </c>
      <c r="I75" s="131">
        <v>124</v>
      </c>
      <c r="J75" s="131">
        <v>0</v>
      </c>
      <c r="K75" s="157">
        <v>45983</v>
      </c>
      <c r="L75" s="131">
        <v>0</v>
      </c>
      <c r="M75" s="131">
        <v>14</v>
      </c>
      <c r="N75" s="131">
        <v>39</v>
      </c>
      <c r="O75" s="129" t="s">
        <v>125</v>
      </c>
      <c r="P75" s="128"/>
      <c r="Q75" s="128"/>
      <c r="R75" s="128"/>
      <c r="S75" s="128"/>
      <c r="T75" s="128"/>
      <c r="U75" s="128"/>
      <c r="V75" s="131">
        <v>2</v>
      </c>
      <c r="W75" s="131">
        <v>8</v>
      </c>
      <c r="X75" s="131">
        <v>36</v>
      </c>
      <c r="Y75" s="131">
        <v>7</v>
      </c>
      <c r="Z75" s="131">
        <v>5</v>
      </c>
      <c r="AA75" s="131">
        <v>4</v>
      </c>
      <c r="AB75" s="131">
        <v>21</v>
      </c>
      <c r="AC75" s="131">
        <v>7</v>
      </c>
      <c r="AD75" s="131">
        <v>30</v>
      </c>
      <c r="AE75" s="131">
        <v>4</v>
      </c>
      <c r="AF75" s="128"/>
      <c r="AG75" s="128"/>
      <c r="AH75" s="128"/>
      <c r="AI75" s="128"/>
    </row>
    <row r="76" spans="1:35" ht="18" x14ac:dyDescent="0.3">
      <c r="A76" s="156" t="s">
        <v>1248</v>
      </c>
      <c r="B76" s="157">
        <v>45989</v>
      </c>
      <c r="C76" s="129" t="s">
        <v>780</v>
      </c>
      <c r="D76" s="158">
        <v>0.72569444444444453</v>
      </c>
      <c r="E76" s="129" t="s">
        <v>752</v>
      </c>
      <c r="F76" s="129" t="s">
        <v>158</v>
      </c>
      <c r="G76" s="159">
        <v>0.57540000000000002</v>
      </c>
      <c r="H76" s="131">
        <v>179</v>
      </c>
      <c r="I76" s="131">
        <v>103</v>
      </c>
      <c r="J76" s="131">
        <v>0</v>
      </c>
      <c r="K76" s="157">
        <v>45983</v>
      </c>
      <c r="L76" s="131">
        <v>0</v>
      </c>
      <c r="M76" s="131">
        <v>7</v>
      </c>
      <c r="N76" s="131">
        <v>11</v>
      </c>
      <c r="O76" s="129" t="s">
        <v>840</v>
      </c>
      <c r="P76" s="128"/>
      <c r="Q76" s="128"/>
      <c r="R76" s="128"/>
      <c r="S76" s="131">
        <v>6</v>
      </c>
      <c r="T76" s="131">
        <v>11</v>
      </c>
      <c r="U76" s="131">
        <v>9</v>
      </c>
      <c r="V76" s="131">
        <v>7</v>
      </c>
      <c r="W76" s="131">
        <v>16</v>
      </c>
      <c r="X76" s="131">
        <v>10</v>
      </c>
      <c r="Y76" s="131">
        <v>3</v>
      </c>
      <c r="Z76" s="131">
        <v>13</v>
      </c>
      <c r="AA76" s="131">
        <v>5</v>
      </c>
      <c r="AB76" s="131">
        <v>5</v>
      </c>
      <c r="AC76" s="131">
        <v>4</v>
      </c>
      <c r="AD76" s="131">
        <v>7</v>
      </c>
      <c r="AE76" s="131">
        <v>7</v>
      </c>
      <c r="AF76" s="128"/>
      <c r="AG76" s="128"/>
      <c r="AH76" s="128"/>
      <c r="AI76" s="128"/>
    </row>
    <row r="77" spans="1:35" ht="18" x14ac:dyDescent="0.3">
      <c r="A77" s="156" t="s">
        <v>192</v>
      </c>
      <c r="B77" s="157">
        <v>45986</v>
      </c>
      <c r="C77" s="129" t="s">
        <v>342</v>
      </c>
      <c r="D77" s="158">
        <v>5.2083333333333343E-2</v>
      </c>
      <c r="E77" s="129" t="s">
        <v>271</v>
      </c>
      <c r="F77" s="129" t="s">
        <v>158</v>
      </c>
      <c r="G77" s="159">
        <v>0.9778</v>
      </c>
      <c r="H77" s="131">
        <v>180</v>
      </c>
      <c r="I77" s="131">
        <v>176</v>
      </c>
      <c r="J77" s="131">
        <v>46</v>
      </c>
      <c r="K77" s="157">
        <v>45983</v>
      </c>
      <c r="L77" s="131">
        <v>0</v>
      </c>
      <c r="M77" s="131">
        <v>16</v>
      </c>
      <c r="N77" s="131">
        <v>77</v>
      </c>
      <c r="O77" s="129" t="s">
        <v>125</v>
      </c>
      <c r="P77" s="128"/>
      <c r="Q77" s="128"/>
      <c r="R77" s="128"/>
      <c r="S77" s="128"/>
      <c r="T77" s="128"/>
      <c r="U77" s="128"/>
      <c r="V77" s="131">
        <v>4</v>
      </c>
      <c r="W77" s="131">
        <v>11</v>
      </c>
      <c r="X77" s="131">
        <v>11</v>
      </c>
      <c r="Y77" s="131">
        <v>11</v>
      </c>
      <c r="Z77" s="131">
        <v>12</v>
      </c>
      <c r="AA77" s="131">
        <v>11</v>
      </c>
      <c r="AB77" s="131">
        <v>28</v>
      </c>
      <c r="AC77" s="131">
        <v>10</v>
      </c>
      <c r="AD77" s="131">
        <v>11</v>
      </c>
      <c r="AE77" s="131">
        <v>21</v>
      </c>
      <c r="AF77" s="128"/>
      <c r="AG77" s="128"/>
      <c r="AH77" s="131">
        <v>46</v>
      </c>
      <c r="AI77" s="128"/>
    </row>
    <row r="78" spans="1:35" ht="18" x14ac:dyDescent="0.3">
      <c r="A78" s="156" t="s">
        <v>1247</v>
      </c>
      <c r="B78" s="157">
        <v>45987</v>
      </c>
      <c r="C78" s="129" t="s">
        <v>342</v>
      </c>
      <c r="D78" s="158">
        <v>0.9375</v>
      </c>
      <c r="E78" s="129" t="s">
        <v>271</v>
      </c>
      <c r="F78" s="129" t="s">
        <v>158</v>
      </c>
      <c r="G78" s="159">
        <v>0.99439999999999995</v>
      </c>
      <c r="H78" s="131">
        <v>180</v>
      </c>
      <c r="I78" s="131">
        <v>179</v>
      </c>
      <c r="J78" s="131">
        <v>0</v>
      </c>
      <c r="K78" s="157">
        <v>45984</v>
      </c>
      <c r="L78" s="131">
        <v>1</v>
      </c>
      <c r="M78" s="131">
        <v>28</v>
      </c>
      <c r="N78" s="131">
        <v>95</v>
      </c>
      <c r="O78" s="129" t="s">
        <v>75</v>
      </c>
      <c r="P78" s="128"/>
      <c r="Q78" s="128"/>
      <c r="R78" s="128"/>
      <c r="S78" s="128"/>
      <c r="T78" s="128"/>
      <c r="U78" s="128"/>
      <c r="V78" s="131">
        <v>14</v>
      </c>
      <c r="W78" s="131">
        <v>17</v>
      </c>
      <c r="X78" s="131">
        <v>33</v>
      </c>
      <c r="Y78" s="131">
        <v>33</v>
      </c>
      <c r="Z78" s="131">
        <v>18</v>
      </c>
      <c r="AA78" s="131">
        <v>24</v>
      </c>
      <c r="AB78" s="131">
        <v>10</v>
      </c>
      <c r="AC78" s="131">
        <v>11</v>
      </c>
      <c r="AD78" s="131">
        <v>9</v>
      </c>
      <c r="AE78" s="131">
        <v>10</v>
      </c>
      <c r="AF78" s="128"/>
      <c r="AG78" s="128"/>
      <c r="AH78" s="128"/>
      <c r="AI78" s="128"/>
    </row>
    <row r="79" spans="1:35" ht="18" x14ac:dyDescent="0.3">
      <c r="A79" s="156" t="s">
        <v>1248</v>
      </c>
      <c r="B79" s="157">
        <v>45989</v>
      </c>
      <c r="C79" s="129" t="s">
        <v>342</v>
      </c>
      <c r="D79" s="158">
        <v>0.55902777777777779</v>
      </c>
      <c r="E79" s="129" t="s">
        <v>271</v>
      </c>
      <c r="F79" s="129" t="s">
        <v>158</v>
      </c>
      <c r="G79" s="159">
        <v>0.96109999999999995</v>
      </c>
      <c r="H79" s="131">
        <v>180</v>
      </c>
      <c r="I79" s="131">
        <v>173</v>
      </c>
      <c r="J79" s="131">
        <v>0</v>
      </c>
      <c r="K79" s="157">
        <v>45984</v>
      </c>
      <c r="L79" s="131">
        <v>1</v>
      </c>
      <c r="M79" s="131">
        <v>13</v>
      </c>
      <c r="N79" s="131">
        <v>46</v>
      </c>
      <c r="O79" s="129" t="s">
        <v>387</v>
      </c>
      <c r="P79" s="128"/>
      <c r="Q79" s="128"/>
      <c r="R79" s="128"/>
      <c r="S79" s="128"/>
      <c r="T79" s="128"/>
      <c r="U79" s="131">
        <v>10</v>
      </c>
      <c r="V79" s="131">
        <v>29</v>
      </c>
      <c r="W79" s="131">
        <v>41</v>
      </c>
      <c r="X79" s="131">
        <v>11</v>
      </c>
      <c r="Y79" s="131">
        <v>11</v>
      </c>
      <c r="Z79" s="131">
        <v>11</v>
      </c>
      <c r="AA79" s="131">
        <v>10</v>
      </c>
      <c r="AB79" s="131">
        <v>18</v>
      </c>
      <c r="AC79" s="131">
        <v>11</v>
      </c>
      <c r="AD79" s="131">
        <v>11</v>
      </c>
      <c r="AE79" s="131">
        <v>10</v>
      </c>
      <c r="AF79" s="128"/>
      <c r="AG79" s="128"/>
      <c r="AH79" s="128"/>
      <c r="AI79" s="128"/>
    </row>
    <row r="80" spans="1:35" ht="18" x14ac:dyDescent="0.3">
      <c r="A80" s="156" t="s">
        <v>1247</v>
      </c>
      <c r="B80" s="157">
        <v>45987</v>
      </c>
      <c r="C80" s="129" t="s">
        <v>611</v>
      </c>
      <c r="D80" s="158">
        <v>0.86111111111111116</v>
      </c>
      <c r="E80" s="129" t="s">
        <v>571</v>
      </c>
      <c r="F80" s="129" t="s">
        <v>158</v>
      </c>
      <c r="G80" s="159">
        <v>1</v>
      </c>
      <c r="H80" s="131">
        <v>180</v>
      </c>
      <c r="I80" s="131">
        <v>180</v>
      </c>
      <c r="J80" s="131">
        <v>166</v>
      </c>
      <c r="K80" s="157">
        <v>45971</v>
      </c>
      <c r="L80" s="131">
        <v>0</v>
      </c>
      <c r="M80" s="131">
        <v>0</v>
      </c>
      <c r="N80" s="131">
        <v>0</v>
      </c>
      <c r="O80" s="129" t="s">
        <v>75</v>
      </c>
      <c r="P80" s="128"/>
      <c r="Q80" s="128"/>
      <c r="R80" s="128"/>
      <c r="S80" s="128"/>
      <c r="T80" s="128"/>
      <c r="U80" s="128"/>
      <c r="V80" s="128"/>
      <c r="W80" s="128"/>
      <c r="X80" s="128"/>
      <c r="Y80" s="131">
        <v>1</v>
      </c>
      <c r="Z80" s="128"/>
      <c r="AA80" s="131">
        <v>4</v>
      </c>
      <c r="AB80" s="131">
        <v>9</v>
      </c>
      <c r="AC80" s="128"/>
      <c r="AD80" s="128"/>
      <c r="AE80" s="128"/>
      <c r="AF80" s="128"/>
      <c r="AG80" s="128"/>
      <c r="AH80" s="131">
        <v>166</v>
      </c>
      <c r="AI80" s="128"/>
    </row>
    <row r="81" spans="1:35" ht="18" x14ac:dyDescent="0.3">
      <c r="A81" s="156" t="s">
        <v>196</v>
      </c>
      <c r="B81" s="157">
        <v>45985</v>
      </c>
      <c r="C81" s="129" t="s">
        <v>328</v>
      </c>
      <c r="D81" s="158">
        <v>0.24652777777777779</v>
      </c>
      <c r="E81" s="129" t="s">
        <v>271</v>
      </c>
      <c r="F81" s="129" t="s">
        <v>158</v>
      </c>
      <c r="G81" s="159">
        <v>1</v>
      </c>
      <c r="H81" s="131">
        <v>180</v>
      </c>
      <c r="I81" s="131">
        <v>180</v>
      </c>
      <c r="J81" s="131">
        <v>130</v>
      </c>
      <c r="K81" s="157">
        <v>45981</v>
      </c>
      <c r="L81" s="131">
        <v>0</v>
      </c>
      <c r="M81" s="131">
        <v>0</v>
      </c>
      <c r="N81" s="131">
        <v>12</v>
      </c>
      <c r="O81" s="129" t="s">
        <v>75</v>
      </c>
      <c r="P81" s="128"/>
      <c r="Q81" s="128"/>
      <c r="R81" s="128"/>
      <c r="S81" s="128"/>
      <c r="T81" s="128"/>
      <c r="U81" s="128"/>
      <c r="V81" s="128"/>
      <c r="W81" s="128"/>
      <c r="X81" s="128"/>
      <c r="Y81" s="131">
        <v>4</v>
      </c>
      <c r="Z81" s="128"/>
      <c r="AA81" s="128"/>
      <c r="AB81" s="131">
        <v>4</v>
      </c>
      <c r="AC81" s="131">
        <v>12</v>
      </c>
      <c r="AD81" s="131">
        <v>11</v>
      </c>
      <c r="AE81" s="131">
        <v>19</v>
      </c>
      <c r="AF81" s="128"/>
      <c r="AG81" s="128"/>
      <c r="AH81" s="131">
        <v>130</v>
      </c>
      <c r="AI81" s="128"/>
    </row>
    <row r="82" spans="1:35" ht="18" x14ac:dyDescent="0.3">
      <c r="A82" s="156" t="s">
        <v>192</v>
      </c>
      <c r="B82" s="157">
        <v>45986</v>
      </c>
      <c r="C82" s="129" t="s">
        <v>328</v>
      </c>
      <c r="D82" s="158">
        <v>0.79166666666666663</v>
      </c>
      <c r="E82" s="129" t="s">
        <v>271</v>
      </c>
      <c r="F82" s="129" t="s">
        <v>158</v>
      </c>
      <c r="G82" s="159">
        <v>0.97219999999999995</v>
      </c>
      <c r="H82" s="131">
        <v>180</v>
      </c>
      <c r="I82" s="131">
        <v>175</v>
      </c>
      <c r="J82" s="131">
        <v>2</v>
      </c>
      <c r="K82" s="157">
        <v>45984</v>
      </c>
      <c r="L82" s="131">
        <v>2</v>
      </c>
      <c r="M82" s="131">
        <v>19</v>
      </c>
      <c r="N82" s="131">
        <v>108</v>
      </c>
      <c r="O82" s="129" t="s">
        <v>345</v>
      </c>
      <c r="P82" s="128"/>
      <c r="Q82" s="128"/>
      <c r="R82" s="128"/>
      <c r="S82" s="128"/>
      <c r="T82" s="128"/>
      <c r="U82" s="128"/>
      <c r="V82" s="131">
        <v>6</v>
      </c>
      <c r="W82" s="131">
        <v>10</v>
      </c>
      <c r="X82" s="131">
        <v>26</v>
      </c>
      <c r="Y82" s="131">
        <v>28</v>
      </c>
      <c r="Z82" s="131">
        <v>12</v>
      </c>
      <c r="AA82" s="131">
        <v>19</v>
      </c>
      <c r="AB82" s="131">
        <v>21</v>
      </c>
      <c r="AC82" s="131">
        <v>29</v>
      </c>
      <c r="AD82" s="131">
        <v>11</v>
      </c>
      <c r="AE82" s="131">
        <v>10</v>
      </c>
      <c r="AF82" s="128"/>
      <c r="AG82" s="128"/>
      <c r="AH82" s="131">
        <v>2</v>
      </c>
      <c r="AI82" s="131">
        <v>1</v>
      </c>
    </row>
    <row r="83" spans="1:35" ht="18" x14ac:dyDescent="0.3">
      <c r="A83" s="156" t="s">
        <v>1247</v>
      </c>
      <c r="B83" s="157">
        <v>45987</v>
      </c>
      <c r="C83" s="129" t="s">
        <v>328</v>
      </c>
      <c r="D83" s="158">
        <v>0.34027777777777768</v>
      </c>
      <c r="E83" s="129" t="s">
        <v>271</v>
      </c>
      <c r="F83" s="129" t="s">
        <v>158</v>
      </c>
      <c r="G83" s="159">
        <v>0.99439999999999995</v>
      </c>
      <c r="H83" s="131">
        <v>180</v>
      </c>
      <c r="I83" s="131">
        <v>179</v>
      </c>
      <c r="J83" s="131">
        <v>51</v>
      </c>
      <c r="K83" s="157">
        <v>45983</v>
      </c>
      <c r="L83" s="131">
        <v>0</v>
      </c>
      <c r="M83" s="131">
        <v>3</v>
      </c>
      <c r="N83" s="131">
        <v>61</v>
      </c>
      <c r="O83" s="129" t="s">
        <v>75</v>
      </c>
      <c r="P83" s="128"/>
      <c r="Q83" s="128"/>
      <c r="R83" s="128"/>
      <c r="S83" s="128"/>
      <c r="T83" s="128"/>
      <c r="U83" s="128"/>
      <c r="V83" s="128"/>
      <c r="W83" s="128"/>
      <c r="X83" s="131">
        <v>2</v>
      </c>
      <c r="Y83" s="131">
        <v>18</v>
      </c>
      <c r="Z83" s="131">
        <v>18</v>
      </c>
      <c r="AA83" s="131">
        <v>18</v>
      </c>
      <c r="AB83" s="131">
        <v>20</v>
      </c>
      <c r="AC83" s="131">
        <v>16</v>
      </c>
      <c r="AD83" s="131">
        <v>18</v>
      </c>
      <c r="AE83" s="131">
        <v>18</v>
      </c>
      <c r="AF83" s="128"/>
      <c r="AG83" s="128"/>
      <c r="AH83" s="131">
        <v>51</v>
      </c>
      <c r="AI83" s="128"/>
    </row>
    <row r="84" spans="1:35" ht="18" x14ac:dyDescent="0.3">
      <c r="A84" s="156" t="s">
        <v>193</v>
      </c>
      <c r="B84" s="157">
        <v>45988</v>
      </c>
      <c r="C84" s="129" t="s">
        <v>328</v>
      </c>
      <c r="D84" s="158">
        <v>0.15625</v>
      </c>
      <c r="E84" s="129" t="s">
        <v>271</v>
      </c>
      <c r="F84" s="129" t="s">
        <v>158</v>
      </c>
      <c r="G84" s="159">
        <v>0.99439999999999995</v>
      </c>
      <c r="H84" s="131">
        <v>180</v>
      </c>
      <c r="I84" s="131">
        <v>179</v>
      </c>
      <c r="J84" s="131">
        <v>65</v>
      </c>
      <c r="K84" s="157">
        <v>45984</v>
      </c>
      <c r="L84" s="131">
        <v>1</v>
      </c>
      <c r="M84" s="131">
        <v>1</v>
      </c>
      <c r="N84" s="131">
        <v>24</v>
      </c>
      <c r="O84" s="129" t="s">
        <v>75</v>
      </c>
      <c r="P84" s="128"/>
      <c r="Q84" s="128"/>
      <c r="R84" s="128"/>
      <c r="S84" s="128"/>
      <c r="T84" s="128"/>
      <c r="U84" s="128"/>
      <c r="V84" s="128"/>
      <c r="W84" s="131">
        <v>3</v>
      </c>
      <c r="X84" s="131">
        <v>11</v>
      </c>
      <c r="Y84" s="131">
        <v>21</v>
      </c>
      <c r="Z84" s="131">
        <v>9</v>
      </c>
      <c r="AA84" s="131">
        <v>9</v>
      </c>
      <c r="AB84" s="131">
        <v>23</v>
      </c>
      <c r="AC84" s="131">
        <v>12</v>
      </c>
      <c r="AD84" s="131">
        <v>5</v>
      </c>
      <c r="AE84" s="131">
        <v>21</v>
      </c>
      <c r="AF84" s="128"/>
      <c r="AG84" s="128"/>
      <c r="AH84" s="131">
        <v>65</v>
      </c>
      <c r="AI84" s="128"/>
    </row>
    <row r="85" spans="1:35" ht="18" x14ac:dyDescent="0.3">
      <c r="A85" s="156" t="s">
        <v>1248</v>
      </c>
      <c r="B85" s="157">
        <v>45989</v>
      </c>
      <c r="C85" s="129" t="s">
        <v>328</v>
      </c>
      <c r="D85" s="158">
        <v>0.1423611111111111</v>
      </c>
      <c r="E85" s="129" t="s">
        <v>271</v>
      </c>
      <c r="F85" s="129" t="s">
        <v>158</v>
      </c>
      <c r="G85" s="159">
        <v>1</v>
      </c>
      <c r="H85" s="131">
        <v>180</v>
      </c>
      <c r="I85" s="131">
        <v>180</v>
      </c>
      <c r="J85" s="131">
        <v>35</v>
      </c>
      <c r="K85" s="157">
        <v>45980</v>
      </c>
      <c r="L85" s="131">
        <v>0</v>
      </c>
      <c r="M85" s="131">
        <v>0</v>
      </c>
      <c r="N85" s="131">
        <v>20</v>
      </c>
      <c r="O85" s="129" t="s">
        <v>75</v>
      </c>
      <c r="P85" s="128"/>
      <c r="Q85" s="128"/>
      <c r="R85" s="128"/>
      <c r="S85" s="128"/>
      <c r="T85" s="128"/>
      <c r="U85" s="131">
        <v>9</v>
      </c>
      <c r="V85" s="131">
        <v>11</v>
      </c>
      <c r="W85" s="131">
        <v>24</v>
      </c>
      <c r="X85" s="131">
        <v>11</v>
      </c>
      <c r="Y85" s="131">
        <v>14</v>
      </c>
      <c r="Z85" s="131">
        <v>11</v>
      </c>
      <c r="AA85" s="131">
        <v>9</v>
      </c>
      <c r="AB85" s="131">
        <v>11</v>
      </c>
      <c r="AC85" s="131">
        <v>23</v>
      </c>
      <c r="AD85" s="131">
        <v>11</v>
      </c>
      <c r="AE85" s="131">
        <v>10</v>
      </c>
      <c r="AF85" s="128"/>
      <c r="AG85" s="128"/>
      <c r="AH85" s="131">
        <v>35</v>
      </c>
      <c r="AI85" s="131">
        <v>1</v>
      </c>
    </row>
    <row r="86" spans="1:35" ht="18" x14ac:dyDescent="0.3">
      <c r="A86" s="156" t="s">
        <v>194</v>
      </c>
      <c r="B86" s="157">
        <v>45990</v>
      </c>
      <c r="C86" s="129" t="s">
        <v>328</v>
      </c>
      <c r="D86" s="158">
        <v>0.15625</v>
      </c>
      <c r="E86" s="129" t="s">
        <v>271</v>
      </c>
      <c r="F86" s="129" t="s">
        <v>158</v>
      </c>
      <c r="G86" s="159">
        <v>1</v>
      </c>
      <c r="H86" s="131">
        <v>180</v>
      </c>
      <c r="I86" s="131">
        <v>180</v>
      </c>
      <c r="J86" s="131">
        <v>135</v>
      </c>
      <c r="K86" s="157">
        <v>45983</v>
      </c>
      <c r="L86" s="131">
        <v>0</v>
      </c>
      <c r="M86" s="131">
        <v>2</v>
      </c>
      <c r="N86" s="131">
        <v>5</v>
      </c>
      <c r="O86" s="129" t="s">
        <v>75</v>
      </c>
      <c r="P86" s="128"/>
      <c r="Q86" s="128"/>
      <c r="R86" s="128"/>
      <c r="S86" s="128"/>
      <c r="T86" s="128"/>
      <c r="U86" s="128"/>
      <c r="V86" s="128"/>
      <c r="W86" s="128"/>
      <c r="X86" s="131">
        <v>5</v>
      </c>
      <c r="Y86" s="128"/>
      <c r="Z86" s="128"/>
      <c r="AA86" s="128"/>
      <c r="AB86" s="131">
        <v>7</v>
      </c>
      <c r="AC86" s="131">
        <v>11</v>
      </c>
      <c r="AD86" s="131">
        <v>11</v>
      </c>
      <c r="AE86" s="131">
        <v>10</v>
      </c>
      <c r="AF86" s="128"/>
      <c r="AG86" s="128"/>
      <c r="AH86" s="131">
        <v>135</v>
      </c>
      <c r="AI86" s="131">
        <v>1</v>
      </c>
    </row>
    <row r="87" spans="1:35" ht="18" x14ac:dyDescent="0.3">
      <c r="A87" s="156" t="s">
        <v>195</v>
      </c>
      <c r="B87" s="157">
        <v>45991</v>
      </c>
      <c r="C87" s="129" t="s">
        <v>328</v>
      </c>
      <c r="D87" s="158">
        <v>0.1423611111111111</v>
      </c>
      <c r="E87" s="129" t="s">
        <v>271</v>
      </c>
      <c r="F87" s="129" t="s">
        <v>158</v>
      </c>
      <c r="G87" s="159">
        <v>1</v>
      </c>
      <c r="H87" s="131">
        <v>180</v>
      </c>
      <c r="I87" s="131">
        <v>180</v>
      </c>
      <c r="J87" s="131">
        <v>90</v>
      </c>
      <c r="K87" s="157">
        <v>45966</v>
      </c>
      <c r="L87" s="131">
        <v>0</v>
      </c>
      <c r="M87" s="131">
        <v>0</v>
      </c>
      <c r="N87" s="131">
        <v>0</v>
      </c>
      <c r="O87" s="129" t="s">
        <v>75</v>
      </c>
      <c r="P87" s="128"/>
      <c r="Q87" s="128"/>
      <c r="R87" s="128"/>
      <c r="S87" s="128"/>
      <c r="T87" s="128"/>
      <c r="U87" s="128"/>
      <c r="V87" s="128"/>
      <c r="W87" s="128"/>
      <c r="X87" s="131">
        <v>2</v>
      </c>
      <c r="Y87" s="131">
        <v>10</v>
      </c>
      <c r="Z87" s="131">
        <v>12</v>
      </c>
      <c r="AA87" s="131">
        <v>11</v>
      </c>
      <c r="AB87" s="131">
        <v>11</v>
      </c>
      <c r="AC87" s="131">
        <v>23</v>
      </c>
      <c r="AD87" s="131">
        <v>11</v>
      </c>
      <c r="AE87" s="131">
        <v>10</v>
      </c>
      <c r="AF87" s="128"/>
      <c r="AG87" s="128"/>
      <c r="AH87" s="131">
        <v>90</v>
      </c>
      <c r="AI87" s="128"/>
    </row>
    <row r="88" spans="1:35" ht="18" x14ac:dyDescent="0.3">
      <c r="A88" s="156" t="s">
        <v>196</v>
      </c>
      <c r="B88" s="157">
        <v>45985</v>
      </c>
      <c r="C88" s="129" t="s">
        <v>330</v>
      </c>
      <c r="D88" s="158">
        <v>0.4375</v>
      </c>
      <c r="E88" s="129" t="s">
        <v>271</v>
      </c>
      <c r="F88" s="129" t="s">
        <v>158</v>
      </c>
      <c r="G88" s="159">
        <v>1</v>
      </c>
      <c r="H88" s="131">
        <v>180</v>
      </c>
      <c r="I88" s="131">
        <v>180</v>
      </c>
      <c r="J88" s="131">
        <v>132</v>
      </c>
      <c r="K88" s="157">
        <v>45983</v>
      </c>
      <c r="L88" s="131">
        <v>0</v>
      </c>
      <c r="M88" s="131">
        <v>1</v>
      </c>
      <c r="N88" s="131">
        <v>5</v>
      </c>
      <c r="O88" s="129" t="s">
        <v>75</v>
      </c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31">
        <v>4</v>
      </c>
      <c r="AC88" s="131">
        <v>16</v>
      </c>
      <c r="AD88" s="131">
        <v>8</v>
      </c>
      <c r="AE88" s="131">
        <v>20</v>
      </c>
      <c r="AF88" s="128"/>
      <c r="AG88" s="128"/>
      <c r="AH88" s="131">
        <v>132</v>
      </c>
      <c r="AI88" s="128"/>
    </row>
    <row r="89" spans="1:35" ht="18" x14ac:dyDescent="0.3">
      <c r="A89" s="156" t="s">
        <v>192</v>
      </c>
      <c r="B89" s="157">
        <v>45986</v>
      </c>
      <c r="C89" s="129" t="s">
        <v>330</v>
      </c>
      <c r="D89" s="158">
        <v>0.4375</v>
      </c>
      <c r="E89" s="129" t="s">
        <v>271</v>
      </c>
      <c r="F89" s="129" t="s">
        <v>158</v>
      </c>
      <c r="G89" s="159">
        <v>1</v>
      </c>
      <c r="H89" s="131">
        <v>180</v>
      </c>
      <c r="I89" s="131">
        <v>180</v>
      </c>
      <c r="J89" s="131">
        <v>95</v>
      </c>
      <c r="K89" s="157">
        <v>45983</v>
      </c>
      <c r="L89" s="131">
        <v>0</v>
      </c>
      <c r="M89" s="131">
        <v>1</v>
      </c>
      <c r="N89" s="131">
        <v>27</v>
      </c>
      <c r="O89" s="129" t="s">
        <v>75</v>
      </c>
      <c r="P89" s="128"/>
      <c r="Q89" s="128"/>
      <c r="R89" s="128"/>
      <c r="S89" s="128"/>
      <c r="T89" s="128"/>
      <c r="U89" s="128"/>
      <c r="V89" s="128"/>
      <c r="W89" s="128"/>
      <c r="X89" s="128"/>
      <c r="Y89" s="131">
        <v>7</v>
      </c>
      <c r="Z89" s="131">
        <v>12</v>
      </c>
      <c r="AA89" s="131">
        <v>12</v>
      </c>
      <c r="AB89" s="131">
        <v>10</v>
      </c>
      <c r="AC89" s="131">
        <v>12</v>
      </c>
      <c r="AD89" s="131">
        <v>22</v>
      </c>
      <c r="AE89" s="131">
        <v>10</v>
      </c>
      <c r="AF89" s="128"/>
      <c r="AG89" s="128"/>
      <c r="AH89" s="131">
        <v>95</v>
      </c>
      <c r="AI89" s="128"/>
    </row>
    <row r="90" spans="1:35" ht="18" x14ac:dyDescent="0.3">
      <c r="A90" s="156" t="s">
        <v>1247</v>
      </c>
      <c r="B90" s="157">
        <v>45987</v>
      </c>
      <c r="C90" s="129" t="s">
        <v>330</v>
      </c>
      <c r="D90" s="158">
        <v>0.4375</v>
      </c>
      <c r="E90" s="129" t="s">
        <v>271</v>
      </c>
      <c r="F90" s="129" t="s">
        <v>158</v>
      </c>
      <c r="G90" s="159">
        <v>0.99439999999999995</v>
      </c>
      <c r="H90" s="131">
        <v>180</v>
      </c>
      <c r="I90" s="131">
        <v>179</v>
      </c>
      <c r="J90" s="131">
        <v>114</v>
      </c>
      <c r="K90" s="157">
        <v>45983</v>
      </c>
      <c r="L90" s="131">
        <v>0</v>
      </c>
      <c r="M90" s="131">
        <v>1</v>
      </c>
      <c r="N90" s="131">
        <v>55</v>
      </c>
      <c r="O90" s="129" t="s">
        <v>75</v>
      </c>
      <c r="P90" s="128"/>
      <c r="Q90" s="128"/>
      <c r="R90" s="128"/>
      <c r="S90" s="128"/>
      <c r="T90" s="128"/>
      <c r="U90" s="128"/>
      <c r="V90" s="128"/>
      <c r="W90" s="128"/>
      <c r="X90" s="128"/>
      <c r="Y90" s="131">
        <v>3</v>
      </c>
      <c r="Z90" s="131">
        <v>6</v>
      </c>
      <c r="AA90" s="131">
        <v>11</v>
      </c>
      <c r="AB90" s="131">
        <v>12</v>
      </c>
      <c r="AC90" s="131">
        <v>12</v>
      </c>
      <c r="AD90" s="131">
        <v>10</v>
      </c>
      <c r="AE90" s="131">
        <v>11</v>
      </c>
      <c r="AF90" s="128"/>
      <c r="AG90" s="128"/>
      <c r="AH90" s="131">
        <v>114</v>
      </c>
      <c r="AI90" s="128"/>
    </row>
    <row r="91" spans="1:35" ht="18" x14ac:dyDescent="0.3">
      <c r="A91" s="156" t="s">
        <v>193</v>
      </c>
      <c r="B91" s="157">
        <v>45988</v>
      </c>
      <c r="C91" s="129" t="s">
        <v>330</v>
      </c>
      <c r="D91" s="158">
        <v>0.40625</v>
      </c>
      <c r="E91" s="129" t="s">
        <v>271</v>
      </c>
      <c r="F91" s="129" t="s">
        <v>158</v>
      </c>
      <c r="G91" s="159">
        <v>1</v>
      </c>
      <c r="H91" s="131">
        <v>180</v>
      </c>
      <c r="I91" s="131">
        <v>180</v>
      </c>
      <c r="J91" s="131">
        <v>135</v>
      </c>
      <c r="K91" s="157">
        <v>45960</v>
      </c>
      <c r="L91" s="131">
        <v>0</v>
      </c>
      <c r="M91" s="131">
        <v>0</v>
      </c>
      <c r="N91" s="131">
        <v>0</v>
      </c>
      <c r="O91" s="129" t="s">
        <v>75</v>
      </c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31">
        <v>1</v>
      </c>
      <c r="AC91" s="131">
        <v>12</v>
      </c>
      <c r="AD91" s="131">
        <v>11</v>
      </c>
      <c r="AE91" s="131">
        <v>21</v>
      </c>
      <c r="AF91" s="128"/>
      <c r="AG91" s="128"/>
      <c r="AH91" s="131">
        <v>135</v>
      </c>
      <c r="AI91" s="128"/>
    </row>
    <row r="92" spans="1:35" ht="18" x14ac:dyDescent="0.3">
      <c r="A92" s="156" t="s">
        <v>1248</v>
      </c>
      <c r="B92" s="157">
        <v>45989</v>
      </c>
      <c r="C92" s="129" t="s">
        <v>330</v>
      </c>
      <c r="D92" s="158">
        <v>0.28125</v>
      </c>
      <c r="E92" s="129" t="s">
        <v>271</v>
      </c>
      <c r="F92" s="129" t="s">
        <v>158</v>
      </c>
      <c r="G92" s="159">
        <v>0.96109999999999995</v>
      </c>
      <c r="H92" s="131">
        <v>180</v>
      </c>
      <c r="I92" s="131">
        <v>173</v>
      </c>
      <c r="J92" s="131">
        <v>0</v>
      </c>
      <c r="K92" s="157">
        <v>45983</v>
      </c>
      <c r="L92" s="131">
        <v>0</v>
      </c>
      <c r="M92" s="131">
        <v>16</v>
      </c>
      <c r="N92" s="131">
        <v>52</v>
      </c>
      <c r="O92" s="129" t="s">
        <v>390</v>
      </c>
      <c r="P92" s="128"/>
      <c r="Q92" s="128"/>
      <c r="R92" s="128"/>
      <c r="S92" s="128"/>
      <c r="T92" s="128"/>
      <c r="U92" s="131">
        <v>3</v>
      </c>
      <c r="V92" s="131">
        <v>10</v>
      </c>
      <c r="W92" s="131">
        <v>35</v>
      </c>
      <c r="X92" s="131">
        <v>38</v>
      </c>
      <c r="Y92" s="131">
        <v>10</v>
      </c>
      <c r="Z92" s="131">
        <v>11</v>
      </c>
      <c r="AA92" s="131">
        <v>11</v>
      </c>
      <c r="AB92" s="131">
        <v>11</v>
      </c>
      <c r="AC92" s="131">
        <v>12</v>
      </c>
      <c r="AD92" s="131">
        <v>22</v>
      </c>
      <c r="AE92" s="131">
        <v>10</v>
      </c>
      <c r="AF92" s="128"/>
      <c r="AG92" s="128"/>
      <c r="AH92" s="128"/>
      <c r="AI92" s="128"/>
    </row>
    <row r="93" spans="1:35" ht="18" x14ac:dyDescent="0.3">
      <c r="A93" s="156" t="s">
        <v>194</v>
      </c>
      <c r="B93" s="157">
        <v>45990</v>
      </c>
      <c r="C93" s="129" t="s">
        <v>330</v>
      </c>
      <c r="D93" s="158">
        <v>0.50347222222222221</v>
      </c>
      <c r="E93" s="129" t="s">
        <v>271</v>
      </c>
      <c r="F93" s="129" t="s">
        <v>158</v>
      </c>
      <c r="G93" s="159">
        <v>1</v>
      </c>
      <c r="H93" s="131">
        <v>180</v>
      </c>
      <c r="I93" s="131">
        <v>180</v>
      </c>
      <c r="J93" s="131">
        <v>90</v>
      </c>
      <c r="K93" s="157">
        <v>45973</v>
      </c>
      <c r="L93" s="131">
        <v>0</v>
      </c>
      <c r="M93" s="131">
        <v>0</v>
      </c>
      <c r="N93" s="131">
        <v>0</v>
      </c>
      <c r="O93" s="129" t="s">
        <v>75</v>
      </c>
      <c r="P93" s="131">
        <v>3</v>
      </c>
      <c r="Q93" s="128"/>
      <c r="R93" s="128"/>
      <c r="S93" s="128"/>
      <c r="T93" s="128"/>
      <c r="U93" s="131">
        <v>8</v>
      </c>
      <c r="V93" s="131">
        <v>9</v>
      </c>
      <c r="W93" s="131">
        <v>15</v>
      </c>
      <c r="X93" s="131">
        <v>9</v>
      </c>
      <c r="Y93" s="131">
        <v>10</v>
      </c>
      <c r="Z93" s="131">
        <v>18</v>
      </c>
      <c r="AA93" s="131">
        <v>9</v>
      </c>
      <c r="AB93" s="131">
        <v>9</v>
      </c>
      <c r="AC93" s="128"/>
      <c r="AD93" s="128"/>
      <c r="AE93" s="128"/>
      <c r="AF93" s="128"/>
      <c r="AG93" s="128"/>
      <c r="AH93" s="131">
        <v>90</v>
      </c>
      <c r="AI93" s="128"/>
    </row>
    <row r="94" spans="1:35" ht="18" x14ac:dyDescent="0.3">
      <c r="A94" s="156" t="s">
        <v>195</v>
      </c>
      <c r="B94" s="157">
        <v>45991</v>
      </c>
      <c r="C94" s="129" t="s">
        <v>330</v>
      </c>
      <c r="D94" s="158">
        <v>0.4548611111111111</v>
      </c>
      <c r="E94" s="129" t="s">
        <v>271</v>
      </c>
      <c r="F94" s="129" t="s">
        <v>158</v>
      </c>
      <c r="G94" s="159">
        <v>0.98329999999999995</v>
      </c>
      <c r="H94" s="131">
        <v>180</v>
      </c>
      <c r="I94" s="131">
        <v>177</v>
      </c>
      <c r="J94" s="131">
        <v>90</v>
      </c>
      <c r="K94" s="157">
        <v>45984</v>
      </c>
      <c r="L94" s="131">
        <v>1</v>
      </c>
      <c r="M94" s="131">
        <v>1</v>
      </c>
      <c r="N94" s="131">
        <v>29</v>
      </c>
      <c r="O94" s="129" t="s">
        <v>427</v>
      </c>
      <c r="P94" s="128"/>
      <c r="Q94" s="128"/>
      <c r="R94" s="128"/>
      <c r="S94" s="128"/>
      <c r="T94" s="128"/>
      <c r="U94" s="128"/>
      <c r="V94" s="128"/>
      <c r="W94" s="131">
        <v>8</v>
      </c>
      <c r="X94" s="131">
        <v>21</v>
      </c>
      <c r="Y94" s="131">
        <v>20</v>
      </c>
      <c r="Z94" s="131">
        <v>10</v>
      </c>
      <c r="AA94" s="131">
        <v>8</v>
      </c>
      <c r="AB94" s="131">
        <v>20</v>
      </c>
      <c r="AC94" s="128"/>
      <c r="AD94" s="128"/>
      <c r="AE94" s="128"/>
      <c r="AF94" s="128"/>
      <c r="AG94" s="128"/>
      <c r="AH94" s="131">
        <v>90</v>
      </c>
      <c r="AI94" s="128"/>
    </row>
    <row r="95" spans="1:35" ht="18" x14ac:dyDescent="0.3">
      <c r="A95" s="156" t="s">
        <v>192</v>
      </c>
      <c r="B95" s="157">
        <v>45986</v>
      </c>
      <c r="C95" s="129" t="s">
        <v>347</v>
      </c>
      <c r="D95" s="158">
        <v>0.38194444444444442</v>
      </c>
      <c r="E95" s="129" t="s">
        <v>271</v>
      </c>
      <c r="F95" s="129" t="s">
        <v>158</v>
      </c>
      <c r="G95" s="159">
        <v>1.0056</v>
      </c>
      <c r="H95" s="131">
        <v>180</v>
      </c>
      <c r="I95" s="131">
        <v>181</v>
      </c>
      <c r="J95" s="131">
        <v>139</v>
      </c>
      <c r="K95" s="157">
        <v>45981</v>
      </c>
      <c r="L95" s="131">
        <v>0</v>
      </c>
      <c r="M95" s="131">
        <v>0</v>
      </c>
      <c r="N95" s="131">
        <v>6</v>
      </c>
      <c r="O95" s="129" t="s">
        <v>75</v>
      </c>
      <c r="P95" s="128"/>
      <c r="Q95" s="128"/>
      <c r="R95" s="128"/>
      <c r="S95" s="128"/>
      <c r="T95" s="128"/>
      <c r="U95" s="128"/>
      <c r="V95" s="128"/>
      <c r="W95" s="128"/>
      <c r="X95" s="128"/>
      <c r="Y95" s="131">
        <v>4</v>
      </c>
      <c r="Z95" s="128"/>
      <c r="AA95" s="131">
        <v>1</v>
      </c>
      <c r="AB95" s="131">
        <v>9</v>
      </c>
      <c r="AC95" s="131">
        <v>10</v>
      </c>
      <c r="AD95" s="131">
        <v>10</v>
      </c>
      <c r="AE95" s="131">
        <v>5</v>
      </c>
      <c r="AF95" s="128"/>
      <c r="AG95" s="128"/>
      <c r="AH95" s="131">
        <v>139</v>
      </c>
      <c r="AI95" s="131">
        <v>3</v>
      </c>
    </row>
    <row r="96" spans="1:35" ht="18" x14ac:dyDescent="0.3">
      <c r="A96" s="156" t="s">
        <v>193</v>
      </c>
      <c r="B96" s="157">
        <v>45988</v>
      </c>
      <c r="C96" s="129" t="s">
        <v>347</v>
      </c>
      <c r="D96" s="158">
        <v>0.5625</v>
      </c>
      <c r="E96" s="129" t="s">
        <v>271</v>
      </c>
      <c r="F96" s="129" t="s">
        <v>158</v>
      </c>
      <c r="G96" s="159">
        <v>0.9778</v>
      </c>
      <c r="H96" s="131">
        <v>180</v>
      </c>
      <c r="I96" s="131">
        <v>176</v>
      </c>
      <c r="J96" s="131">
        <v>132</v>
      </c>
      <c r="K96" s="157">
        <v>45975</v>
      </c>
      <c r="L96" s="131">
        <v>0</v>
      </c>
      <c r="M96" s="131">
        <v>0</v>
      </c>
      <c r="N96" s="131">
        <v>0</v>
      </c>
      <c r="O96" s="129" t="s">
        <v>375</v>
      </c>
      <c r="P96" s="128"/>
      <c r="Q96" s="128"/>
      <c r="R96" s="128"/>
      <c r="S96" s="128"/>
      <c r="T96" s="128"/>
      <c r="U96" s="131">
        <v>3</v>
      </c>
      <c r="V96" s="128"/>
      <c r="W96" s="131">
        <v>5</v>
      </c>
      <c r="X96" s="128"/>
      <c r="Y96" s="131">
        <v>3</v>
      </c>
      <c r="Z96" s="131">
        <v>2</v>
      </c>
      <c r="AA96" s="131">
        <v>3</v>
      </c>
      <c r="AB96" s="131">
        <v>13</v>
      </c>
      <c r="AC96" s="131">
        <v>6</v>
      </c>
      <c r="AD96" s="131">
        <v>4</v>
      </c>
      <c r="AE96" s="131">
        <v>5</v>
      </c>
      <c r="AF96" s="128"/>
      <c r="AG96" s="128"/>
      <c r="AH96" s="131">
        <v>132</v>
      </c>
      <c r="AI96" s="128"/>
    </row>
    <row r="97" spans="1:35" ht="18" x14ac:dyDescent="0.3">
      <c r="A97" s="156" t="s">
        <v>1248</v>
      </c>
      <c r="B97" s="157">
        <v>45989</v>
      </c>
      <c r="C97" s="129" t="s">
        <v>347</v>
      </c>
      <c r="D97" s="158">
        <v>0.4375</v>
      </c>
      <c r="E97" s="129" t="s">
        <v>271</v>
      </c>
      <c r="F97" s="129" t="s">
        <v>158</v>
      </c>
      <c r="G97" s="159">
        <v>0.9889</v>
      </c>
      <c r="H97" s="131">
        <v>180</v>
      </c>
      <c r="I97" s="131">
        <v>178</v>
      </c>
      <c r="J97" s="131">
        <v>45</v>
      </c>
      <c r="K97" s="157">
        <v>45983</v>
      </c>
      <c r="L97" s="131">
        <v>0</v>
      </c>
      <c r="M97" s="131">
        <v>9</v>
      </c>
      <c r="N97" s="131">
        <v>37</v>
      </c>
      <c r="O97" s="129" t="s">
        <v>125</v>
      </c>
      <c r="P97" s="128"/>
      <c r="Q97" s="128"/>
      <c r="R97" s="128"/>
      <c r="S97" s="128"/>
      <c r="T97" s="128"/>
      <c r="U97" s="131">
        <v>3</v>
      </c>
      <c r="V97" s="131">
        <v>22</v>
      </c>
      <c r="W97" s="131">
        <v>31</v>
      </c>
      <c r="X97" s="131">
        <v>8</v>
      </c>
      <c r="Y97" s="131">
        <v>9</v>
      </c>
      <c r="Z97" s="131">
        <v>9</v>
      </c>
      <c r="AA97" s="131">
        <v>9</v>
      </c>
      <c r="AB97" s="131">
        <v>9</v>
      </c>
      <c r="AC97" s="131">
        <v>8</v>
      </c>
      <c r="AD97" s="131">
        <v>8</v>
      </c>
      <c r="AE97" s="131">
        <v>17</v>
      </c>
      <c r="AF97" s="128"/>
      <c r="AG97" s="128"/>
      <c r="AH97" s="131">
        <v>45</v>
      </c>
      <c r="AI97" s="128"/>
    </row>
    <row r="98" spans="1:35" ht="18" x14ac:dyDescent="0.3">
      <c r="A98" s="156" t="s">
        <v>195</v>
      </c>
      <c r="B98" s="157">
        <v>45991</v>
      </c>
      <c r="C98" s="129" t="s">
        <v>347</v>
      </c>
      <c r="D98" s="158">
        <v>0.82986111111111116</v>
      </c>
      <c r="E98" s="129" t="s">
        <v>271</v>
      </c>
      <c r="F98" s="129" t="s">
        <v>158</v>
      </c>
      <c r="G98" s="159">
        <v>0.99439999999999995</v>
      </c>
      <c r="H98" s="131">
        <v>180</v>
      </c>
      <c r="I98" s="131">
        <v>179</v>
      </c>
      <c r="J98" s="131">
        <v>90</v>
      </c>
      <c r="K98" s="157">
        <v>45983</v>
      </c>
      <c r="L98" s="131">
        <v>0</v>
      </c>
      <c r="M98" s="131">
        <v>4</v>
      </c>
      <c r="N98" s="131">
        <v>15</v>
      </c>
      <c r="O98" s="129" t="s">
        <v>75</v>
      </c>
      <c r="P98" s="128"/>
      <c r="Q98" s="128"/>
      <c r="R98" s="128"/>
      <c r="S98" s="128"/>
      <c r="T98" s="128"/>
      <c r="U98" s="128"/>
      <c r="V98" s="131">
        <v>5</v>
      </c>
      <c r="W98" s="131">
        <v>10</v>
      </c>
      <c r="X98" s="131">
        <v>23</v>
      </c>
      <c r="Y98" s="131">
        <v>11</v>
      </c>
      <c r="Z98" s="131">
        <v>7</v>
      </c>
      <c r="AA98" s="131">
        <v>9</v>
      </c>
      <c r="AB98" s="131">
        <v>9</v>
      </c>
      <c r="AC98" s="131">
        <v>5</v>
      </c>
      <c r="AD98" s="131">
        <v>5</v>
      </c>
      <c r="AE98" s="131">
        <v>5</v>
      </c>
      <c r="AF98" s="128"/>
      <c r="AG98" s="128"/>
      <c r="AH98" s="131">
        <v>90</v>
      </c>
      <c r="AI98" s="128"/>
    </row>
    <row r="99" spans="1:35" ht="18" x14ac:dyDescent="0.3">
      <c r="A99" s="156" t="s">
        <v>196</v>
      </c>
      <c r="B99" s="157">
        <v>45985</v>
      </c>
      <c r="C99" s="129" t="s">
        <v>737</v>
      </c>
      <c r="D99" s="158">
        <v>0.96180555555555547</v>
      </c>
      <c r="E99" s="129" t="s">
        <v>736</v>
      </c>
      <c r="F99" s="129" t="s">
        <v>158</v>
      </c>
      <c r="G99" s="159">
        <v>0</v>
      </c>
      <c r="H99" s="131">
        <v>180</v>
      </c>
      <c r="I99" s="131">
        <v>0</v>
      </c>
      <c r="J99" s="131">
        <v>0</v>
      </c>
      <c r="K99" s="157" t="s">
        <v>738</v>
      </c>
      <c r="L99" s="131">
        <v>0</v>
      </c>
      <c r="M99" s="131">
        <v>0</v>
      </c>
      <c r="N99" s="131">
        <v>0</v>
      </c>
      <c r="O99" s="129" t="s">
        <v>75</v>
      </c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</row>
    <row r="100" spans="1:35" ht="18" x14ac:dyDescent="0.3">
      <c r="A100" s="156" t="s">
        <v>192</v>
      </c>
      <c r="B100" s="157">
        <v>45986</v>
      </c>
      <c r="C100" s="129" t="s">
        <v>740</v>
      </c>
      <c r="D100" s="158">
        <v>0.63888888888888895</v>
      </c>
      <c r="E100" s="129" t="s">
        <v>736</v>
      </c>
      <c r="F100" s="129" t="s">
        <v>158</v>
      </c>
      <c r="G100" s="159">
        <v>0</v>
      </c>
      <c r="H100" s="131">
        <v>180</v>
      </c>
      <c r="I100" s="131">
        <v>0</v>
      </c>
      <c r="J100" s="131">
        <v>0</v>
      </c>
      <c r="K100" s="157" t="s">
        <v>738</v>
      </c>
      <c r="L100" s="131">
        <v>0</v>
      </c>
      <c r="M100" s="131">
        <v>0</v>
      </c>
      <c r="N100" s="131">
        <v>0</v>
      </c>
      <c r="O100" s="129" t="s">
        <v>75</v>
      </c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</row>
    <row r="101" spans="1:35" ht="18" x14ac:dyDescent="0.3">
      <c r="A101" s="156" t="s">
        <v>192</v>
      </c>
      <c r="B101" s="157">
        <v>45986</v>
      </c>
      <c r="C101" s="129" t="s">
        <v>198</v>
      </c>
      <c r="D101" s="158">
        <v>0.15972222222222221</v>
      </c>
      <c r="E101" s="129" t="s">
        <v>197</v>
      </c>
      <c r="F101" s="129" t="s">
        <v>158</v>
      </c>
      <c r="G101" s="159">
        <v>1</v>
      </c>
      <c r="H101" s="131">
        <v>180</v>
      </c>
      <c r="I101" s="131">
        <v>180</v>
      </c>
      <c r="J101" s="131">
        <v>166</v>
      </c>
      <c r="K101" s="157">
        <v>45983</v>
      </c>
      <c r="L101" s="131">
        <v>0</v>
      </c>
      <c r="M101" s="131">
        <v>3</v>
      </c>
      <c r="N101" s="131">
        <v>47</v>
      </c>
      <c r="O101" s="129" t="s">
        <v>75</v>
      </c>
      <c r="P101" s="128"/>
      <c r="Q101" s="128"/>
      <c r="R101" s="128"/>
      <c r="S101" s="128"/>
      <c r="T101" s="128"/>
      <c r="U101" s="128"/>
      <c r="V101" s="131">
        <v>5</v>
      </c>
      <c r="W101" s="128"/>
      <c r="X101" s="128"/>
      <c r="Y101" s="128"/>
      <c r="Z101" s="128"/>
      <c r="AA101" s="131">
        <v>5</v>
      </c>
      <c r="AB101" s="131">
        <v>4</v>
      </c>
      <c r="AC101" s="128"/>
      <c r="AD101" s="128"/>
      <c r="AE101" s="128"/>
      <c r="AF101" s="131">
        <v>41</v>
      </c>
      <c r="AG101" s="128"/>
      <c r="AH101" s="131">
        <v>125</v>
      </c>
      <c r="AI101" s="128"/>
    </row>
    <row r="102" spans="1:35" ht="18" x14ac:dyDescent="0.3">
      <c r="A102" s="156" t="s">
        <v>1247</v>
      </c>
      <c r="B102" s="157">
        <v>45987</v>
      </c>
      <c r="C102" s="129" t="s">
        <v>198</v>
      </c>
      <c r="D102" s="158">
        <v>0.77777777777777779</v>
      </c>
      <c r="E102" s="129" t="s">
        <v>197</v>
      </c>
      <c r="F102" s="129" t="s">
        <v>158</v>
      </c>
      <c r="G102" s="159">
        <v>0.99439999999999995</v>
      </c>
      <c r="H102" s="131">
        <v>180</v>
      </c>
      <c r="I102" s="131">
        <v>179</v>
      </c>
      <c r="J102" s="131">
        <v>175</v>
      </c>
      <c r="K102" s="157">
        <v>45976</v>
      </c>
      <c r="L102" s="131">
        <v>0</v>
      </c>
      <c r="M102" s="131">
        <v>0</v>
      </c>
      <c r="N102" s="131">
        <v>0</v>
      </c>
      <c r="O102" s="129" t="s">
        <v>75</v>
      </c>
      <c r="P102" s="128"/>
      <c r="Q102" s="128"/>
      <c r="R102" s="128"/>
      <c r="S102" s="128"/>
      <c r="T102" s="128"/>
      <c r="U102" s="128"/>
      <c r="V102" s="128"/>
      <c r="W102" s="128"/>
      <c r="X102" s="131">
        <v>1</v>
      </c>
      <c r="Y102" s="128"/>
      <c r="Z102" s="128"/>
      <c r="AA102" s="128"/>
      <c r="AB102" s="128"/>
      <c r="AC102" s="128"/>
      <c r="AD102" s="128"/>
      <c r="AE102" s="131">
        <v>3</v>
      </c>
      <c r="AF102" s="128"/>
      <c r="AG102" s="128"/>
      <c r="AH102" s="131">
        <v>175</v>
      </c>
      <c r="AI102" s="128"/>
    </row>
    <row r="103" spans="1:35" ht="18" x14ac:dyDescent="0.3">
      <c r="A103" s="156" t="s">
        <v>193</v>
      </c>
      <c r="B103" s="157">
        <v>45988</v>
      </c>
      <c r="C103" s="129" t="s">
        <v>198</v>
      </c>
      <c r="D103" s="158">
        <v>0.47916666666666669</v>
      </c>
      <c r="E103" s="129" t="s">
        <v>197</v>
      </c>
      <c r="F103" s="129" t="s">
        <v>158</v>
      </c>
      <c r="G103" s="159">
        <v>1</v>
      </c>
      <c r="H103" s="131">
        <v>180</v>
      </c>
      <c r="I103" s="131">
        <v>180</v>
      </c>
      <c r="J103" s="131">
        <v>166</v>
      </c>
      <c r="K103" s="157">
        <v>45980</v>
      </c>
      <c r="L103" s="131">
        <v>0</v>
      </c>
      <c r="M103" s="131">
        <v>0</v>
      </c>
      <c r="N103" s="131">
        <v>2</v>
      </c>
      <c r="O103" s="129" t="s">
        <v>75</v>
      </c>
      <c r="P103" s="128"/>
      <c r="Q103" s="128"/>
      <c r="R103" s="128"/>
      <c r="S103" s="128"/>
      <c r="T103" s="128"/>
      <c r="U103" s="128"/>
      <c r="V103" s="128"/>
      <c r="W103" s="128"/>
      <c r="X103" s="131">
        <v>3</v>
      </c>
      <c r="Y103" s="128"/>
      <c r="Z103" s="128"/>
      <c r="AA103" s="128"/>
      <c r="AB103" s="131">
        <v>3</v>
      </c>
      <c r="AC103" s="128"/>
      <c r="AD103" s="128"/>
      <c r="AE103" s="131">
        <v>8</v>
      </c>
      <c r="AF103" s="128"/>
      <c r="AG103" s="128"/>
      <c r="AH103" s="131">
        <v>166</v>
      </c>
      <c r="AI103" s="128"/>
    </row>
    <row r="104" spans="1:35" ht="18" x14ac:dyDescent="0.3">
      <c r="A104" s="156" t="s">
        <v>195</v>
      </c>
      <c r="B104" s="157">
        <v>45991</v>
      </c>
      <c r="C104" s="129" t="s">
        <v>198</v>
      </c>
      <c r="D104" s="158">
        <v>0.2361111111111111</v>
      </c>
      <c r="E104" s="129" t="s">
        <v>197</v>
      </c>
      <c r="F104" s="129" t="s">
        <v>158</v>
      </c>
      <c r="G104" s="159">
        <v>1</v>
      </c>
      <c r="H104" s="131">
        <v>180</v>
      </c>
      <c r="I104" s="131">
        <v>180</v>
      </c>
      <c r="J104" s="131">
        <v>135</v>
      </c>
      <c r="K104" s="157">
        <v>45977</v>
      </c>
      <c r="L104" s="131">
        <v>0</v>
      </c>
      <c r="M104" s="131">
        <v>0</v>
      </c>
      <c r="N104" s="131">
        <v>2</v>
      </c>
      <c r="O104" s="129" t="s">
        <v>75</v>
      </c>
      <c r="P104" s="128"/>
      <c r="Q104" s="128"/>
      <c r="R104" s="128"/>
      <c r="S104" s="128"/>
      <c r="T104" s="128"/>
      <c r="U104" s="128"/>
      <c r="V104" s="128"/>
      <c r="W104" s="131">
        <v>3</v>
      </c>
      <c r="X104" s="128"/>
      <c r="Y104" s="128"/>
      <c r="Z104" s="128"/>
      <c r="AA104" s="128"/>
      <c r="AB104" s="131">
        <v>10</v>
      </c>
      <c r="AC104" s="131">
        <v>11</v>
      </c>
      <c r="AD104" s="131">
        <v>11</v>
      </c>
      <c r="AE104" s="131">
        <v>10</v>
      </c>
      <c r="AF104" s="128"/>
      <c r="AG104" s="128"/>
      <c r="AH104" s="131">
        <v>135</v>
      </c>
      <c r="AI104" s="128"/>
    </row>
    <row r="105" spans="1:35" ht="18" x14ac:dyDescent="0.3">
      <c r="A105" s="156" t="s">
        <v>192</v>
      </c>
      <c r="B105" s="157">
        <v>45986</v>
      </c>
      <c r="C105" s="129" t="s">
        <v>87</v>
      </c>
      <c r="D105" s="158">
        <v>0.11805555555555559</v>
      </c>
      <c r="E105" s="129" t="s">
        <v>1</v>
      </c>
      <c r="F105" s="129" t="s">
        <v>158</v>
      </c>
      <c r="G105" s="159">
        <v>0.99439999999999995</v>
      </c>
      <c r="H105" s="131">
        <v>180</v>
      </c>
      <c r="I105" s="131">
        <v>179</v>
      </c>
      <c r="J105" s="131">
        <v>125</v>
      </c>
      <c r="K105" s="157">
        <v>45984</v>
      </c>
      <c r="L105" s="131">
        <v>4</v>
      </c>
      <c r="M105" s="131">
        <v>1</v>
      </c>
      <c r="N105" s="131">
        <v>5</v>
      </c>
      <c r="O105" s="129" t="s">
        <v>75</v>
      </c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31">
        <v>4</v>
      </c>
      <c r="AA105" s="131">
        <v>10</v>
      </c>
      <c r="AB105" s="131">
        <v>10</v>
      </c>
      <c r="AC105" s="131">
        <v>10</v>
      </c>
      <c r="AD105" s="131">
        <v>10</v>
      </c>
      <c r="AE105" s="131">
        <v>10</v>
      </c>
      <c r="AF105" s="128"/>
      <c r="AG105" s="128"/>
      <c r="AH105" s="131">
        <v>125</v>
      </c>
      <c r="AI105" s="128"/>
    </row>
    <row r="106" spans="1:35" ht="18" x14ac:dyDescent="0.3">
      <c r="A106" s="156" t="s">
        <v>196</v>
      </c>
      <c r="B106" s="157">
        <v>45985</v>
      </c>
      <c r="C106" s="129" t="s">
        <v>87</v>
      </c>
      <c r="D106" s="158">
        <v>0.64583333333333337</v>
      </c>
      <c r="E106" s="129" t="s">
        <v>240</v>
      </c>
      <c r="F106" s="129" t="s">
        <v>158</v>
      </c>
      <c r="G106" s="159">
        <v>0.67220000000000002</v>
      </c>
      <c r="H106" s="131">
        <v>180</v>
      </c>
      <c r="I106" s="131">
        <v>121</v>
      </c>
      <c r="J106" s="131">
        <v>50</v>
      </c>
      <c r="K106" s="157">
        <v>45983</v>
      </c>
      <c r="L106" s="131">
        <v>0</v>
      </c>
      <c r="M106" s="131">
        <v>5</v>
      </c>
      <c r="N106" s="131">
        <v>82</v>
      </c>
      <c r="O106" s="129" t="s">
        <v>243</v>
      </c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31">
        <v>11</v>
      </c>
      <c r="AB106" s="131">
        <v>20</v>
      </c>
      <c r="AC106" s="131">
        <v>10</v>
      </c>
      <c r="AD106" s="131">
        <v>11</v>
      </c>
      <c r="AE106" s="131">
        <v>19</v>
      </c>
      <c r="AF106" s="128"/>
      <c r="AG106" s="128"/>
      <c r="AH106" s="131">
        <v>50</v>
      </c>
      <c r="AI106" s="128"/>
    </row>
    <row r="107" spans="1:35" ht="18" x14ac:dyDescent="0.3">
      <c r="A107" s="156" t="s">
        <v>194</v>
      </c>
      <c r="B107" s="157">
        <v>45990</v>
      </c>
      <c r="C107" s="129" t="s">
        <v>87</v>
      </c>
      <c r="D107" s="158">
        <v>0.80208333333333337</v>
      </c>
      <c r="E107" s="129" t="s">
        <v>240</v>
      </c>
      <c r="F107" s="129" t="s">
        <v>158</v>
      </c>
      <c r="G107" s="159">
        <v>0.85560000000000003</v>
      </c>
      <c r="H107" s="131">
        <v>180</v>
      </c>
      <c r="I107" s="131">
        <v>154</v>
      </c>
      <c r="J107" s="131">
        <v>97</v>
      </c>
      <c r="K107" s="157">
        <v>45983</v>
      </c>
      <c r="L107" s="131">
        <v>0</v>
      </c>
      <c r="M107" s="131">
        <v>3</v>
      </c>
      <c r="N107" s="131">
        <v>18</v>
      </c>
      <c r="O107" s="129" t="s">
        <v>252</v>
      </c>
      <c r="P107" s="131">
        <v>1</v>
      </c>
      <c r="Q107" s="128"/>
      <c r="R107" s="128"/>
      <c r="S107" s="128"/>
      <c r="T107" s="128"/>
      <c r="U107" s="128"/>
      <c r="V107" s="128"/>
      <c r="W107" s="128"/>
      <c r="X107" s="128"/>
      <c r="Y107" s="131">
        <v>1</v>
      </c>
      <c r="Z107" s="131">
        <v>1</v>
      </c>
      <c r="AA107" s="131">
        <v>17</v>
      </c>
      <c r="AB107" s="131">
        <v>19</v>
      </c>
      <c r="AC107" s="131">
        <v>5</v>
      </c>
      <c r="AD107" s="131">
        <v>4</v>
      </c>
      <c r="AE107" s="131">
        <v>9</v>
      </c>
      <c r="AF107" s="128"/>
      <c r="AG107" s="128"/>
      <c r="AH107" s="131">
        <v>97</v>
      </c>
      <c r="AI107" s="128"/>
    </row>
    <row r="108" spans="1:35" ht="18" x14ac:dyDescent="0.3">
      <c r="A108" s="156" t="s">
        <v>1247</v>
      </c>
      <c r="B108" s="157">
        <v>45987</v>
      </c>
      <c r="C108" s="129" t="s">
        <v>248</v>
      </c>
      <c r="D108" s="158">
        <v>0.46180555555555558</v>
      </c>
      <c r="E108" s="129" t="s">
        <v>240</v>
      </c>
      <c r="F108" s="129" t="s">
        <v>158</v>
      </c>
      <c r="G108" s="159">
        <v>0.84440000000000004</v>
      </c>
      <c r="H108" s="131">
        <v>180</v>
      </c>
      <c r="I108" s="131">
        <v>152</v>
      </c>
      <c r="J108" s="131">
        <v>50</v>
      </c>
      <c r="K108" s="157">
        <v>45983</v>
      </c>
      <c r="L108" s="131">
        <v>0</v>
      </c>
      <c r="M108" s="131">
        <v>6</v>
      </c>
      <c r="N108" s="131">
        <v>50</v>
      </c>
      <c r="O108" s="129" t="s">
        <v>249</v>
      </c>
      <c r="P108" s="128"/>
      <c r="Q108" s="128"/>
      <c r="R108" s="128"/>
      <c r="S108" s="128"/>
      <c r="T108" s="128"/>
      <c r="U108" s="128"/>
      <c r="V108" s="128"/>
      <c r="W108" s="128"/>
      <c r="X108" s="128"/>
      <c r="Y108" s="131">
        <v>1</v>
      </c>
      <c r="Z108" s="131">
        <v>1</v>
      </c>
      <c r="AA108" s="131">
        <v>19</v>
      </c>
      <c r="AB108" s="131">
        <v>18</v>
      </c>
      <c r="AC108" s="131">
        <v>18</v>
      </c>
      <c r="AD108" s="131">
        <v>22</v>
      </c>
      <c r="AE108" s="131">
        <v>23</v>
      </c>
      <c r="AF108" s="128"/>
      <c r="AG108" s="128"/>
      <c r="AH108" s="131">
        <v>50</v>
      </c>
      <c r="AI108" s="128"/>
    </row>
    <row r="109" spans="1:35" ht="18" x14ac:dyDescent="0.3">
      <c r="A109" s="156" t="s">
        <v>196</v>
      </c>
      <c r="B109" s="157">
        <v>45985</v>
      </c>
      <c r="C109" s="129" t="s">
        <v>669</v>
      </c>
      <c r="D109" s="158">
        <v>9.375E-2</v>
      </c>
      <c r="E109" s="129" t="s">
        <v>662</v>
      </c>
      <c r="F109" s="129" t="s">
        <v>158</v>
      </c>
      <c r="G109" s="159">
        <v>0.94440000000000002</v>
      </c>
      <c r="H109" s="131">
        <v>180</v>
      </c>
      <c r="I109" s="131">
        <v>170</v>
      </c>
      <c r="J109" s="131">
        <v>100</v>
      </c>
      <c r="K109" s="157">
        <v>45983</v>
      </c>
      <c r="L109" s="131">
        <v>0</v>
      </c>
      <c r="M109" s="131">
        <v>1</v>
      </c>
      <c r="N109" s="131">
        <v>24</v>
      </c>
      <c r="O109" s="129" t="s">
        <v>555</v>
      </c>
      <c r="P109" s="128"/>
      <c r="Q109" s="128"/>
      <c r="R109" s="128"/>
      <c r="S109" s="128"/>
      <c r="T109" s="128"/>
      <c r="U109" s="128"/>
      <c r="V109" s="128"/>
      <c r="W109" s="128"/>
      <c r="X109" s="131">
        <v>2</v>
      </c>
      <c r="Y109" s="131">
        <v>5</v>
      </c>
      <c r="Z109" s="131">
        <v>3</v>
      </c>
      <c r="AA109" s="131">
        <v>5</v>
      </c>
      <c r="AB109" s="131">
        <v>10</v>
      </c>
      <c r="AC109" s="131">
        <v>12</v>
      </c>
      <c r="AD109" s="131">
        <v>22</v>
      </c>
      <c r="AE109" s="131">
        <v>11</v>
      </c>
      <c r="AF109" s="128"/>
      <c r="AG109" s="128"/>
      <c r="AH109" s="131">
        <v>100</v>
      </c>
      <c r="AI109" s="128"/>
    </row>
    <row r="110" spans="1:35" ht="18" x14ac:dyDescent="0.3">
      <c r="A110" s="156" t="s">
        <v>1247</v>
      </c>
      <c r="B110" s="157">
        <v>45987</v>
      </c>
      <c r="C110" s="129" t="s">
        <v>669</v>
      </c>
      <c r="D110" s="158">
        <v>0.5</v>
      </c>
      <c r="E110" s="129" t="s">
        <v>662</v>
      </c>
      <c r="F110" s="129" t="s">
        <v>158</v>
      </c>
      <c r="G110" s="159">
        <v>0.9889</v>
      </c>
      <c r="H110" s="131">
        <v>180</v>
      </c>
      <c r="I110" s="131">
        <v>178</v>
      </c>
      <c r="J110" s="131">
        <v>134</v>
      </c>
      <c r="K110" s="157">
        <v>45983</v>
      </c>
      <c r="L110" s="131">
        <v>0</v>
      </c>
      <c r="M110" s="131">
        <v>3</v>
      </c>
      <c r="N110" s="131">
        <v>4</v>
      </c>
      <c r="O110" s="129" t="s">
        <v>160</v>
      </c>
      <c r="P110" s="128"/>
      <c r="Q110" s="128"/>
      <c r="R110" s="128"/>
      <c r="S110" s="128"/>
      <c r="T110" s="128"/>
      <c r="U110" s="128"/>
      <c r="V110" s="128"/>
      <c r="W110" s="131">
        <v>1</v>
      </c>
      <c r="X110" s="131">
        <v>4</v>
      </c>
      <c r="Y110" s="128"/>
      <c r="Z110" s="128"/>
      <c r="AA110" s="128"/>
      <c r="AB110" s="131">
        <v>3</v>
      </c>
      <c r="AC110" s="131">
        <v>14</v>
      </c>
      <c r="AD110" s="131">
        <v>10</v>
      </c>
      <c r="AE110" s="131">
        <v>12</v>
      </c>
      <c r="AF110" s="128"/>
      <c r="AG110" s="128"/>
      <c r="AH110" s="131">
        <v>134</v>
      </c>
      <c r="AI110" s="128"/>
    </row>
    <row r="111" spans="1:35" ht="18" x14ac:dyDescent="0.3">
      <c r="A111" s="156" t="s">
        <v>1248</v>
      </c>
      <c r="B111" s="157">
        <v>45989</v>
      </c>
      <c r="C111" s="129" t="s">
        <v>669</v>
      </c>
      <c r="D111" s="158">
        <v>0.13541666666666671</v>
      </c>
      <c r="E111" s="129" t="s">
        <v>662</v>
      </c>
      <c r="F111" s="129" t="s">
        <v>158</v>
      </c>
      <c r="G111" s="159">
        <v>0.56669999999999998</v>
      </c>
      <c r="H111" s="131">
        <v>180</v>
      </c>
      <c r="I111" s="131">
        <v>102</v>
      </c>
      <c r="J111" s="131">
        <v>0</v>
      </c>
      <c r="K111" s="157">
        <v>45984</v>
      </c>
      <c r="L111" s="131">
        <v>1</v>
      </c>
      <c r="M111" s="131">
        <v>15</v>
      </c>
      <c r="N111" s="131">
        <v>64</v>
      </c>
      <c r="O111" s="129" t="s">
        <v>479</v>
      </c>
      <c r="P111" s="128"/>
      <c r="Q111" s="128"/>
      <c r="R111" s="128"/>
      <c r="S111" s="128"/>
      <c r="T111" s="128"/>
      <c r="U111" s="128"/>
      <c r="V111" s="128"/>
      <c r="W111" s="128"/>
      <c r="X111" s="131">
        <v>3</v>
      </c>
      <c r="Y111" s="131">
        <v>12</v>
      </c>
      <c r="Z111" s="131">
        <v>17</v>
      </c>
      <c r="AA111" s="131">
        <v>22</v>
      </c>
      <c r="AB111" s="131">
        <v>46</v>
      </c>
      <c r="AC111" s="131">
        <v>1</v>
      </c>
      <c r="AD111" s="131">
        <v>1</v>
      </c>
      <c r="AE111" s="128"/>
      <c r="AF111" s="128"/>
      <c r="AG111" s="128"/>
      <c r="AH111" s="128"/>
      <c r="AI111" s="128"/>
    </row>
    <row r="112" spans="1:35" ht="18" x14ac:dyDescent="0.3">
      <c r="A112" s="156" t="s">
        <v>194</v>
      </c>
      <c r="B112" s="157">
        <v>45990</v>
      </c>
      <c r="C112" s="129" t="s">
        <v>669</v>
      </c>
      <c r="D112" s="158">
        <v>0.1423611111111111</v>
      </c>
      <c r="E112" s="129" t="s">
        <v>662</v>
      </c>
      <c r="F112" s="129" t="s">
        <v>158</v>
      </c>
      <c r="G112" s="159">
        <v>0.69440000000000002</v>
      </c>
      <c r="H112" s="131">
        <v>180</v>
      </c>
      <c r="I112" s="131">
        <v>125</v>
      </c>
      <c r="J112" s="131">
        <v>85</v>
      </c>
      <c r="K112" s="157">
        <v>45983</v>
      </c>
      <c r="L112" s="131">
        <v>0</v>
      </c>
      <c r="M112" s="131">
        <v>4</v>
      </c>
      <c r="N112" s="131">
        <v>17</v>
      </c>
      <c r="O112" s="129" t="s">
        <v>427</v>
      </c>
      <c r="P112" s="131">
        <v>1</v>
      </c>
      <c r="Q112" s="128"/>
      <c r="R112" s="128"/>
      <c r="S112" s="128"/>
      <c r="T112" s="128"/>
      <c r="U112" s="128"/>
      <c r="V112" s="128"/>
      <c r="W112" s="128"/>
      <c r="X112" s="131">
        <v>1</v>
      </c>
      <c r="Y112" s="131">
        <v>18</v>
      </c>
      <c r="Z112" s="131">
        <v>11</v>
      </c>
      <c r="AA112" s="131">
        <v>5</v>
      </c>
      <c r="AB112" s="131">
        <v>4</v>
      </c>
      <c r="AC112" s="128"/>
      <c r="AD112" s="128"/>
      <c r="AE112" s="128"/>
      <c r="AF112" s="128"/>
      <c r="AG112" s="128"/>
      <c r="AH112" s="131">
        <v>85</v>
      </c>
      <c r="AI112" s="128"/>
    </row>
    <row r="113" spans="1:35" ht="18" x14ac:dyDescent="0.3">
      <c r="A113" s="156" t="s">
        <v>195</v>
      </c>
      <c r="B113" s="157">
        <v>45991</v>
      </c>
      <c r="C113" s="129" t="s">
        <v>669</v>
      </c>
      <c r="D113" s="158">
        <v>0.3298611111111111</v>
      </c>
      <c r="E113" s="129" t="s">
        <v>662</v>
      </c>
      <c r="F113" s="129" t="s">
        <v>158</v>
      </c>
      <c r="G113" s="159">
        <v>0.90559999999999996</v>
      </c>
      <c r="H113" s="131">
        <v>180</v>
      </c>
      <c r="I113" s="131">
        <v>163</v>
      </c>
      <c r="J113" s="131">
        <v>82</v>
      </c>
      <c r="K113" s="157">
        <v>45984</v>
      </c>
      <c r="L113" s="131">
        <v>1</v>
      </c>
      <c r="M113" s="131">
        <v>7</v>
      </c>
      <c r="N113" s="131">
        <v>56</v>
      </c>
      <c r="O113" s="129" t="s">
        <v>700</v>
      </c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31">
        <v>6</v>
      </c>
      <c r="AA113" s="131">
        <v>30</v>
      </c>
      <c r="AB113" s="131">
        <v>18</v>
      </c>
      <c r="AC113" s="131">
        <v>22</v>
      </c>
      <c r="AD113" s="131">
        <v>3</v>
      </c>
      <c r="AE113" s="131">
        <v>2</v>
      </c>
      <c r="AF113" s="131">
        <v>37</v>
      </c>
      <c r="AG113" s="128"/>
      <c r="AH113" s="131">
        <v>45</v>
      </c>
      <c r="AI113" s="128"/>
    </row>
    <row r="114" spans="1:35" ht="18" x14ac:dyDescent="0.3">
      <c r="A114" s="156" t="s">
        <v>192</v>
      </c>
      <c r="B114" s="157">
        <v>45986</v>
      </c>
      <c r="C114" s="129" t="s">
        <v>84</v>
      </c>
      <c r="D114" s="158">
        <v>0.81944444444444453</v>
      </c>
      <c r="E114" s="129" t="s">
        <v>1</v>
      </c>
      <c r="F114" s="129" t="s">
        <v>158</v>
      </c>
      <c r="G114" s="159">
        <v>0.9889</v>
      </c>
      <c r="H114" s="131">
        <v>180</v>
      </c>
      <c r="I114" s="131">
        <v>178</v>
      </c>
      <c r="J114" s="131">
        <v>152</v>
      </c>
      <c r="K114" s="157">
        <v>45982</v>
      </c>
      <c r="L114" s="131">
        <v>0</v>
      </c>
      <c r="M114" s="131">
        <v>0</v>
      </c>
      <c r="N114" s="131">
        <v>4</v>
      </c>
      <c r="O114" s="129" t="s">
        <v>85</v>
      </c>
      <c r="P114" s="128"/>
      <c r="Q114" s="128"/>
      <c r="R114" s="128"/>
      <c r="S114" s="128"/>
      <c r="T114" s="128"/>
      <c r="U114" s="128"/>
      <c r="V114" s="128"/>
      <c r="W114" s="128"/>
      <c r="X114" s="131">
        <v>1</v>
      </c>
      <c r="Y114" s="128"/>
      <c r="Z114" s="128"/>
      <c r="AA114" s="128"/>
      <c r="AB114" s="128"/>
      <c r="AC114" s="131">
        <v>3</v>
      </c>
      <c r="AD114" s="131">
        <v>12</v>
      </c>
      <c r="AE114" s="131">
        <v>8</v>
      </c>
      <c r="AF114" s="131">
        <v>65</v>
      </c>
      <c r="AG114" s="128"/>
      <c r="AH114" s="131">
        <v>87</v>
      </c>
      <c r="AI114" s="131">
        <v>2</v>
      </c>
    </row>
    <row r="115" spans="1:35" ht="18" x14ac:dyDescent="0.3">
      <c r="A115" s="156" t="s">
        <v>193</v>
      </c>
      <c r="B115" s="157">
        <v>45988</v>
      </c>
      <c r="C115" s="129" t="s">
        <v>84</v>
      </c>
      <c r="D115" s="158">
        <v>0.38194444444444442</v>
      </c>
      <c r="E115" s="129" t="s">
        <v>1</v>
      </c>
      <c r="F115" s="129" t="s">
        <v>158</v>
      </c>
      <c r="G115" s="159">
        <v>1</v>
      </c>
      <c r="H115" s="131">
        <v>180</v>
      </c>
      <c r="I115" s="131">
        <v>180</v>
      </c>
      <c r="J115" s="131">
        <v>168</v>
      </c>
      <c r="K115" s="157">
        <v>45970</v>
      </c>
      <c r="L115" s="131">
        <v>0</v>
      </c>
      <c r="M115" s="131">
        <v>0</v>
      </c>
      <c r="N115" s="131">
        <v>0</v>
      </c>
      <c r="O115" s="129" t="s">
        <v>75</v>
      </c>
      <c r="P115" s="128"/>
      <c r="Q115" s="128"/>
      <c r="R115" s="128"/>
      <c r="S115" s="128"/>
      <c r="T115" s="128"/>
      <c r="U115" s="128"/>
      <c r="V115" s="128"/>
      <c r="W115" s="131">
        <v>1</v>
      </c>
      <c r="X115" s="128"/>
      <c r="Y115" s="128"/>
      <c r="Z115" s="128"/>
      <c r="AA115" s="128"/>
      <c r="AB115" s="128"/>
      <c r="AC115" s="128"/>
      <c r="AD115" s="131">
        <v>3</v>
      </c>
      <c r="AE115" s="131">
        <v>8</v>
      </c>
      <c r="AF115" s="128"/>
      <c r="AG115" s="128"/>
      <c r="AH115" s="131">
        <v>168</v>
      </c>
      <c r="AI115" s="128"/>
    </row>
    <row r="116" spans="1:35" ht="18" x14ac:dyDescent="0.3">
      <c r="A116" s="156" t="s">
        <v>194</v>
      </c>
      <c r="B116" s="157">
        <v>45990</v>
      </c>
      <c r="C116" s="129" t="s">
        <v>84</v>
      </c>
      <c r="D116" s="158">
        <v>0.2361111111111111</v>
      </c>
      <c r="E116" s="129" t="s">
        <v>1</v>
      </c>
      <c r="F116" s="129" t="s">
        <v>158</v>
      </c>
      <c r="G116" s="159">
        <v>0.99439999999999995</v>
      </c>
      <c r="H116" s="131">
        <v>180</v>
      </c>
      <c r="I116" s="131">
        <v>179</v>
      </c>
      <c r="J116" s="131">
        <v>138</v>
      </c>
      <c r="K116" s="157">
        <v>45977</v>
      </c>
      <c r="L116" s="131">
        <v>0</v>
      </c>
      <c r="M116" s="131">
        <v>0</v>
      </c>
      <c r="N116" s="131">
        <v>1</v>
      </c>
      <c r="O116" s="129" t="s">
        <v>75</v>
      </c>
      <c r="P116" s="128"/>
      <c r="Q116" s="128"/>
      <c r="R116" s="128"/>
      <c r="S116" s="128"/>
      <c r="T116" s="128"/>
      <c r="U116" s="128"/>
      <c r="V116" s="128"/>
      <c r="W116" s="128"/>
      <c r="X116" s="131">
        <v>2</v>
      </c>
      <c r="Y116" s="128"/>
      <c r="Z116" s="128"/>
      <c r="AA116" s="128"/>
      <c r="AB116" s="131">
        <v>7</v>
      </c>
      <c r="AC116" s="131">
        <v>11</v>
      </c>
      <c r="AD116" s="131">
        <v>11</v>
      </c>
      <c r="AE116" s="131">
        <v>10</v>
      </c>
      <c r="AF116" s="128"/>
      <c r="AG116" s="128"/>
      <c r="AH116" s="131">
        <v>135</v>
      </c>
      <c r="AI116" s="131">
        <v>3</v>
      </c>
    </row>
    <row r="117" spans="1:35" ht="18" x14ac:dyDescent="0.3">
      <c r="A117" s="156" t="s">
        <v>195</v>
      </c>
      <c r="B117" s="157">
        <v>45991</v>
      </c>
      <c r="C117" s="129" t="s">
        <v>84</v>
      </c>
      <c r="D117" s="158">
        <v>0.74305555555555547</v>
      </c>
      <c r="E117" s="129" t="s">
        <v>1</v>
      </c>
      <c r="F117" s="129" t="s">
        <v>158</v>
      </c>
      <c r="G117" s="159">
        <v>0.99439999999999995</v>
      </c>
      <c r="H117" s="131">
        <v>180</v>
      </c>
      <c r="I117" s="131">
        <v>179</v>
      </c>
      <c r="J117" s="131">
        <v>135</v>
      </c>
      <c r="K117" s="157">
        <v>45977</v>
      </c>
      <c r="L117" s="131">
        <v>0</v>
      </c>
      <c r="M117" s="131">
        <v>0</v>
      </c>
      <c r="N117" s="131">
        <v>2</v>
      </c>
      <c r="O117" s="129" t="s">
        <v>125</v>
      </c>
      <c r="P117" s="128"/>
      <c r="Q117" s="128"/>
      <c r="R117" s="128"/>
      <c r="S117" s="128"/>
      <c r="T117" s="128"/>
      <c r="U117" s="128"/>
      <c r="V117" s="128"/>
      <c r="W117" s="131">
        <v>4</v>
      </c>
      <c r="X117" s="128"/>
      <c r="Y117" s="128"/>
      <c r="Z117" s="128"/>
      <c r="AA117" s="128"/>
      <c r="AB117" s="131">
        <v>8</v>
      </c>
      <c r="AC117" s="131">
        <v>11</v>
      </c>
      <c r="AD117" s="131">
        <v>11</v>
      </c>
      <c r="AE117" s="131">
        <v>10</v>
      </c>
      <c r="AF117" s="128"/>
      <c r="AG117" s="128"/>
      <c r="AH117" s="131">
        <v>135</v>
      </c>
      <c r="AI117" s="128"/>
    </row>
    <row r="118" spans="1:35" ht="18" x14ac:dyDescent="0.3">
      <c r="A118" s="156" t="s">
        <v>196</v>
      </c>
      <c r="B118" s="157">
        <v>45985</v>
      </c>
      <c r="C118" s="129" t="s">
        <v>72</v>
      </c>
      <c r="D118" s="158">
        <v>0.86805555555555547</v>
      </c>
      <c r="E118" s="129" t="s">
        <v>1</v>
      </c>
      <c r="F118" s="129" t="s">
        <v>158</v>
      </c>
      <c r="G118" s="159">
        <v>0.99439999999999995</v>
      </c>
      <c r="H118" s="131">
        <v>180</v>
      </c>
      <c r="I118" s="131">
        <v>179</v>
      </c>
      <c r="J118" s="131">
        <v>161</v>
      </c>
      <c r="K118" s="157">
        <v>45983</v>
      </c>
      <c r="L118" s="131">
        <v>0</v>
      </c>
      <c r="M118" s="131">
        <v>4</v>
      </c>
      <c r="N118" s="131">
        <v>6</v>
      </c>
      <c r="O118" s="129" t="s">
        <v>75</v>
      </c>
      <c r="P118" s="128"/>
      <c r="Q118" s="128"/>
      <c r="R118" s="128"/>
      <c r="S118" s="128"/>
      <c r="T118" s="128"/>
      <c r="U118" s="128"/>
      <c r="V118" s="131">
        <v>6</v>
      </c>
      <c r="W118" s="128"/>
      <c r="X118" s="131">
        <v>1</v>
      </c>
      <c r="Y118" s="128"/>
      <c r="Z118" s="128"/>
      <c r="AA118" s="128"/>
      <c r="AB118" s="128"/>
      <c r="AC118" s="128"/>
      <c r="AD118" s="128"/>
      <c r="AE118" s="131">
        <v>9</v>
      </c>
      <c r="AF118" s="128"/>
      <c r="AG118" s="128"/>
      <c r="AH118" s="131">
        <v>161</v>
      </c>
      <c r="AI118" s="131">
        <v>2</v>
      </c>
    </row>
    <row r="119" spans="1:35" ht="18" x14ac:dyDescent="0.3">
      <c r="A119" s="156" t="s">
        <v>192</v>
      </c>
      <c r="B119" s="157">
        <v>45986</v>
      </c>
      <c r="C119" s="129" t="s">
        <v>741</v>
      </c>
      <c r="D119" s="158">
        <v>0.79166666666666663</v>
      </c>
      <c r="E119" s="129" t="s">
        <v>736</v>
      </c>
      <c r="F119" s="129" t="s">
        <v>158</v>
      </c>
      <c r="G119" s="159">
        <v>0</v>
      </c>
      <c r="H119" s="131">
        <v>180</v>
      </c>
      <c r="I119" s="131">
        <v>0</v>
      </c>
      <c r="J119" s="131">
        <v>0</v>
      </c>
      <c r="K119" s="157" t="s">
        <v>738</v>
      </c>
      <c r="L119" s="131">
        <v>0</v>
      </c>
      <c r="M119" s="131">
        <v>0</v>
      </c>
      <c r="N119" s="131">
        <v>0</v>
      </c>
      <c r="O119" s="129" t="s">
        <v>75</v>
      </c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</row>
    <row r="120" spans="1:35" ht="18" x14ac:dyDescent="0.3">
      <c r="A120" s="156" t="s">
        <v>192</v>
      </c>
      <c r="B120" s="157">
        <v>45986</v>
      </c>
      <c r="C120" s="129" t="s">
        <v>1085</v>
      </c>
      <c r="D120" s="158">
        <v>0.3125</v>
      </c>
      <c r="E120" s="129" t="s">
        <v>1082</v>
      </c>
      <c r="F120" s="129" t="s">
        <v>158</v>
      </c>
      <c r="G120" s="159">
        <v>0.83240000000000003</v>
      </c>
      <c r="H120" s="131">
        <v>179</v>
      </c>
      <c r="I120" s="131">
        <v>149</v>
      </c>
      <c r="J120" s="131">
        <v>0</v>
      </c>
      <c r="K120" s="157">
        <v>45984</v>
      </c>
      <c r="L120" s="131">
        <v>2</v>
      </c>
      <c r="M120" s="131">
        <v>21</v>
      </c>
      <c r="N120" s="131">
        <v>112</v>
      </c>
      <c r="O120" s="129" t="s">
        <v>160</v>
      </c>
      <c r="P120" s="128"/>
      <c r="Q120" s="128"/>
      <c r="R120" s="128"/>
      <c r="S120" s="128"/>
      <c r="T120" s="131">
        <v>1</v>
      </c>
      <c r="U120" s="128"/>
      <c r="V120" s="128"/>
      <c r="W120" s="128"/>
      <c r="X120" s="131">
        <v>52</v>
      </c>
      <c r="Y120" s="131">
        <v>23</v>
      </c>
      <c r="Z120" s="131">
        <v>20</v>
      </c>
      <c r="AA120" s="131">
        <v>9</v>
      </c>
      <c r="AB120" s="131">
        <v>34</v>
      </c>
      <c r="AC120" s="128"/>
      <c r="AD120" s="131">
        <v>1</v>
      </c>
      <c r="AE120" s="131">
        <v>9</v>
      </c>
      <c r="AF120" s="128"/>
      <c r="AG120" s="128"/>
      <c r="AH120" s="128"/>
      <c r="AI120" s="128"/>
    </row>
    <row r="121" spans="1:35" ht="18" x14ac:dyDescent="0.3">
      <c r="A121" s="156" t="s">
        <v>193</v>
      </c>
      <c r="B121" s="157">
        <v>45988</v>
      </c>
      <c r="C121" s="129" t="s">
        <v>1085</v>
      </c>
      <c r="D121" s="158">
        <v>0.76736111111111116</v>
      </c>
      <c r="E121" s="129" t="s">
        <v>1082</v>
      </c>
      <c r="F121" s="129" t="s">
        <v>158</v>
      </c>
      <c r="G121" s="159">
        <v>0.87709999999999999</v>
      </c>
      <c r="H121" s="131">
        <v>179</v>
      </c>
      <c r="I121" s="131">
        <v>157</v>
      </c>
      <c r="J121" s="131">
        <v>0</v>
      </c>
      <c r="K121" s="157">
        <v>45983</v>
      </c>
      <c r="L121" s="131">
        <v>0</v>
      </c>
      <c r="M121" s="131">
        <v>14</v>
      </c>
      <c r="N121" s="131">
        <v>74</v>
      </c>
      <c r="O121" s="129" t="s">
        <v>497</v>
      </c>
      <c r="P121" s="128"/>
      <c r="Q121" s="128"/>
      <c r="R121" s="128"/>
      <c r="S121" s="128"/>
      <c r="T121" s="128"/>
      <c r="U121" s="128"/>
      <c r="V121" s="131">
        <v>25</v>
      </c>
      <c r="W121" s="131">
        <v>22</v>
      </c>
      <c r="X121" s="131">
        <v>14</v>
      </c>
      <c r="Y121" s="131">
        <v>25</v>
      </c>
      <c r="Z121" s="131">
        <v>3</v>
      </c>
      <c r="AA121" s="131">
        <v>15</v>
      </c>
      <c r="AB121" s="131">
        <v>24</v>
      </c>
      <c r="AC121" s="131">
        <v>8</v>
      </c>
      <c r="AD121" s="131">
        <v>4</v>
      </c>
      <c r="AE121" s="131">
        <v>17</v>
      </c>
      <c r="AF121" s="128"/>
      <c r="AG121" s="128"/>
      <c r="AH121" s="128"/>
      <c r="AI121" s="128"/>
    </row>
    <row r="122" spans="1:35" ht="18" x14ac:dyDescent="0.3">
      <c r="A122" s="156" t="s">
        <v>194</v>
      </c>
      <c r="B122" s="157">
        <v>45990</v>
      </c>
      <c r="C122" s="129" t="s">
        <v>1085</v>
      </c>
      <c r="D122" s="158">
        <v>0.71875</v>
      </c>
      <c r="E122" s="129" t="s">
        <v>1082</v>
      </c>
      <c r="F122" s="129" t="s">
        <v>158</v>
      </c>
      <c r="G122" s="159">
        <v>0.83240000000000003</v>
      </c>
      <c r="H122" s="131">
        <v>179</v>
      </c>
      <c r="I122" s="131">
        <v>149</v>
      </c>
      <c r="J122" s="131">
        <v>0</v>
      </c>
      <c r="K122" s="157">
        <v>45983</v>
      </c>
      <c r="L122" s="131">
        <v>0</v>
      </c>
      <c r="M122" s="131">
        <v>5</v>
      </c>
      <c r="N122" s="131">
        <v>28</v>
      </c>
      <c r="O122" s="129" t="s">
        <v>1094</v>
      </c>
      <c r="P122" s="128"/>
      <c r="Q122" s="128"/>
      <c r="R122" s="128"/>
      <c r="S122" s="128"/>
      <c r="T122" s="131">
        <v>16</v>
      </c>
      <c r="U122" s="131">
        <v>14</v>
      </c>
      <c r="V122" s="131">
        <v>34</v>
      </c>
      <c r="W122" s="131">
        <v>13</v>
      </c>
      <c r="X122" s="131">
        <v>3</v>
      </c>
      <c r="Y122" s="131">
        <v>6</v>
      </c>
      <c r="Z122" s="131">
        <v>16</v>
      </c>
      <c r="AA122" s="131">
        <v>12</v>
      </c>
      <c r="AB122" s="131">
        <v>8</v>
      </c>
      <c r="AC122" s="131">
        <v>9</v>
      </c>
      <c r="AD122" s="131">
        <v>14</v>
      </c>
      <c r="AE122" s="131">
        <v>4</v>
      </c>
      <c r="AF122" s="128"/>
      <c r="AG122" s="128"/>
      <c r="AH122" s="128"/>
      <c r="AI122" s="128"/>
    </row>
    <row r="123" spans="1:35" ht="18" x14ac:dyDescent="0.3">
      <c r="A123" s="156" t="s">
        <v>1248</v>
      </c>
      <c r="B123" s="157">
        <v>45989</v>
      </c>
      <c r="C123" s="129" t="s">
        <v>1110</v>
      </c>
      <c r="D123" s="158">
        <v>0.47916666666666669</v>
      </c>
      <c r="E123" s="129" t="s">
        <v>1107</v>
      </c>
      <c r="F123" s="129" t="s">
        <v>158</v>
      </c>
      <c r="G123" s="159">
        <v>0.63129999999999997</v>
      </c>
      <c r="H123" s="131">
        <v>179</v>
      </c>
      <c r="I123" s="131">
        <v>113</v>
      </c>
      <c r="J123" s="131">
        <v>0</v>
      </c>
      <c r="K123" s="157">
        <v>45983</v>
      </c>
      <c r="L123" s="131">
        <v>0</v>
      </c>
      <c r="M123" s="131">
        <v>17</v>
      </c>
      <c r="N123" s="131">
        <v>67</v>
      </c>
      <c r="O123" s="129" t="s">
        <v>458</v>
      </c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31">
        <v>36</v>
      </c>
      <c r="AC123" s="131">
        <v>14</v>
      </c>
      <c r="AD123" s="131">
        <v>19</v>
      </c>
      <c r="AE123" s="131">
        <v>44</v>
      </c>
      <c r="AF123" s="128"/>
      <c r="AG123" s="128"/>
      <c r="AH123" s="128"/>
      <c r="AI123" s="128"/>
    </row>
    <row r="124" spans="1:35" x14ac:dyDescent="0.3">
      <c r="A124" s="160" t="s">
        <v>189</v>
      </c>
      <c r="B124" s="161"/>
      <c r="C124" s="162">
        <f>COUNTA(C2:C123)</f>
        <v>122</v>
      </c>
      <c r="D124" s="161"/>
      <c r="E124" s="161"/>
      <c r="F124" s="161"/>
      <c r="G124" s="163">
        <f>AVERAGE(G2:G123)</f>
        <v>0.85996639344262282</v>
      </c>
      <c r="H124" s="164">
        <f>SUM(H2:H123)</f>
        <v>21922</v>
      </c>
      <c r="I124" s="164">
        <f>SUM(I2:I123)</f>
        <v>18856</v>
      </c>
      <c r="J124" s="164">
        <f>SUM(J2:J123)</f>
        <v>7564</v>
      </c>
      <c r="K124" s="161"/>
      <c r="L124" s="164">
        <f>SUM(L2:L123)</f>
        <v>135</v>
      </c>
      <c r="M124" s="164">
        <f>SUM(M2:M123)</f>
        <v>583</v>
      </c>
      <c r="N124" s="164">
        <f>SUM(N2:N123)</f>
        <v>3532</v>
      </c>
      <c r="O124" s="161"/>
      <c r="P124" s="164">
        <f t="shared" ref="P124:AI124" si="0">SUM(P2:P123)</f>
        <v>104</v>
      </c>
      <c r="Q124" s="164">
        <f t="shared" si="0"/>
        <v>33</v>
      </c>
      <c r="R124" s="164">
        <f t="shared" si="0"/>
        <v>99</v>
      </c>
      <c r="S124" s="164">
        <f t="shared" si="0"/>
        <v>199</v>
      </c>
      <c r="T124" s="164">
        <f t="shared" si="0"/>
        <v>221</v>
      </c>
      <c r="U124" s="164">
        <f t="shared" si="0"/>
        <v>386</v>
      </c>
      <c r="V124" s="164">
        <f t="shared" si="0"/>
        <v>629</v>
      </c>
      <c r="W124" s="164">
        <f t="shared" si="0"/>
        <v>787</v>
      </c>
      <c r="X124" s="164">
        <f t="shared" si="0"/>
        <v>1009</v>
      </c>
      <c r="Y124" s="164">
        <f t="shared" si="0"/>
        <v>1197</v>
      </c>
      <c r="Z124" s="164">
        <f t="shared" si="0"/>
        <v>1004</v>
      </c>
      <c r="AA124" s="164">
        <f t="shared" si="0"/>
        <v>1096</v>
      </c>
      <c r="AB124" s="164">
        <f t="shared" si="0"/>
        <v>1261</v>
      </c>
      <c r="AC124" s="164">
        <f t="shared" si="0"/>
        <v>1081</v>
      </c>
      <c r="AD124" s="164">
        <f t="shared" si="0"/>
        <v>1091</v>
      </c>
      <c r="AE124" s="164">
        <f t="shared" si="0"/>
        <v>1066</v>
      </c>
      <c r="AF124" s="164">
        <f t="shared" si="0"/>
        <v>268</v>
      </c>
      <c r="AG124" s="164">
        <f t="shared" si="0"/>
        <v>0</v>
      </c>
      <c r="AH124" s="164">
        <f t="shared" si="0"/>
        <v>7293</v>
      </c>
      <c r="AI124" s="164">
        <f t="shared" si="0"/>
        <v>32</v>
      </c>
    </row>
  </sheetData>
  <autoFilter ref="A1:AI123" xr:uid="{00000000-0009-0000-0000-00004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2025-11-23T05:36:15Z</dcterms:created>
  <dcterms:modified xsi:type="dcterms:W3CDTF">2025-11-23T06:19:57Z</dcterms:modified>
</cp:coreProperties>
</file>