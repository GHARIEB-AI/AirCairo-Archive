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2BA9E07-8C97-4772-A23F-2EEFA3AEA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LF_ALL_ROU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4" l="1"/>
  <c r="O19" i="4"/>
  <c r="N19" i="4"/>
  <c r="M19" i="4"/>
  <c r="I19" i="4"/>
  <c r="H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200-000001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 &amp; S2 &amp; X11 &amp; U6 &amp; O7 &amp; I40_x000D_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40.6%]   -   [SOLD » 67 PAX]</t>
        </r>
      </text>
    </comment>
    <comment ref="F47" authorId="0" shapeId="0" xr:uid="{00000000-0006-0000-0200-000002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U3 &amp; O5 &amp; I27_x000D_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21.4%]   -   [SOLD » 36 PAX]</t>
        </r>
      </text>
    </comment>
    <comment ref="F74" authorId="0" shapeId="0" xr:uid="{00000000-0006-0000-0200-000003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X2 &amp; U7 &amp; O11 &amp; I40_x000D_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36.3%]   -   [SOLD » 61 PAX]</t>
        </r>
      </text>
    </comment>
    <comment ref="F84" authorId="0" shapeId="0" xr:uid="{00000000-0006-0000-0200-000004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W1 &amp; X8 &amp; U9 &amp; O8 &amp; I40_x000D_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39.9%]   -   [SOLD » 67 PAX]</t>
        </r>
      </text>
    </comment>
    <comment ref="F97" authorId="0" shapeId="0" xr:uid="{00000000-0006-0000-0200-000005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X2 &amp; U5 &amp; O9 &amp; I40_x000D_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33.9%]   -   [SOLD » 57 PAX]</t>
        </r>
      </text>
    </comment>
    <comment ref="F138" authorId="0" shapeId="0" xr:uid="{00000000-0006-0000-0200-000006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O8 &amp; I48_x000D_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35.7%]   -   [SOLD » 60 PAX]</t>
        </r>
      </text>
    </comment>
    <comment ref="F168" authorId="0" shapeId="0" xr:uid="{00000000-0006-0000-0200-000007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T2 &amp; X6 &amp; U11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1"/>
            <color indexed="9"/>
            <rFont val="Calibri"/>
            <family val="2"/>
            <scheme val="minor"/>
          </rPr>
          <t>[LF » 12.5%]   -   [SOLD » 21 PAX]</t>
        </r>
      </text>
    </comment>
    <comment ref="F182" authorId="0" shapeId="0" xr:uid="{00000000-0006-0000-0200-000008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W1 &amp; T6 &amp; X9 &amp; U8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19.1%]   -   [SOLD » 32 PAX]</t>
        </r>
      </text>
    </comment>
    <comment ref="F198" authorId="0" shapeId="0" xr:uid="{00000000-0006-0000-0200-000009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G4 &amp; S1 &amp; W2 &amp; T3 &amp; X10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28-NOV]_x000D_
_x000D_
</t>
        </r>
        <r>
          <rPr>
            <b/>
            <sz val="11"/>
            <color indexed="9"/>
            <rFont val="Calibri"/>
            <family val="2"/>
            <scheme val="minor"/>
          </rPr>
          <t>[LF » 14.5%]   -   [SOLD » 24 PAX]</t>
        </r>
      </text>
    </comment>
    <comment ref="F238" authorId="0" shapeId="0" xr:uid="{00000000-0006-0000-0200-00000A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X3 &amp; U10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9.5%]   -   [SOLD » 16 PAX]</t>
        </r>
      </text>
    </comment>
    <comment ref="F269" authorId="0" shapeId="0" xr:uid="{00000000-0006-0000-0200-00000B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 &amp; G16 &amp; S12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20.2%]   -   [SOLD » 34 PAX]</t>
        </r>
      </text>
    </comment>
    <comment ref="F286" authorId="0" shapeId="0" xr:uid="{00000000-0006-0000-0200-00000C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 &amp; G15 &amp; S9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20.2%]   -   [SOLD » 34 PAX]</t>
        </r>
      </text>
    </comment>
    <comment ref="F304" authorId="0" shapeId="0" xr:uid="{00000000-0006-0000-0200-00000D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 &amp; S12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13.1%]   -   [SOLD » 22 PAX]</t>
        </r>
      </text>
    </comment>
    <comment ref="F343" authorId="0" shapeId="0" xr:uid="{00000000-0006-0000-0200-00000E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G3 &amp; X7 &amp; U8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11.3%]   -   [SOLD » 19 PAX]</t>
        </r>
      </text>
    </comment>
    <comment ref="F375" authorId="0" shapeId="0" xr:uid="{00000000-0006-0000-0200-00000F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 &amp; S4 &amp; T3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1"/>
            <color indexed="9"/>
            <rFont val="Calibri"/>
            <family val="2"/>
            <scheme val="minor"/>
          </rPr>
          <t>[LF » 13.7%]   -   [SOLD » 23 PAX]</t>
        </r>
      </text>
    </comment>
    <comment ref="F391" authorId="0" shapeId="0" xr:uid="{00000000-0006-0000-0200-000010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T2 &amp; X8 &amp; U10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1"/>
            <color indexed="9"/>
            <rFont val="Calibri"/>
            <family val="2"/>
            <scheme val="minor"/>
          </rPr>
          <t>[LF » 13.7%]   -   [SOLD » 23 PAX]</t>
        </r>
      </text>
    </comment>
    <comment ref="F403" authorId="0" shapeId="0" xr:uid="{00000000-0006-0000-0200-000011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U7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1"/>
            <color indexed="9"/>
            <rFont val="Calibri"/>
            <family val="2"/>
            <scheme val="minor"/>
          </rPr>
          <t>[LF » 8.9%]   -   [SOLD » 15 PAX]</t>
        </r>
      </text>
    </comment>
    <comment ref="F448" authorId="0" shapeId="0" xr:uid="{00000000-0006-0000-0200-000012000000}">
      <text>
        <r>
          <rPr>
            <b/>
            <sz val="11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U12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24-NOV]_x000D_
_x000D_
</t>
        </r>
        <r>
          <rPr>
            <b/>
            <sz val="11"/>
            <color indexed="9"/>
            <rFont val="Calibri"/>
            <family val="2"/>
            <scheme val="minor"/>
          </rPr>
          <t>[LF » 10.7%]   -   [SOLD » 18 PAX]</t>
        </r>
      </text>
    </comment>
  </commentList>
</comments>
</file>

<file path=xl/sharedStrings.xml><?xml version="1.0" encoding="utf-8"?>
<sst xmlns="http://schemas.openxmlformats.org/spreadsheetml/2006/main" count="5290" uniqueCount="303">
  <si>
    <t>COMPREHENSIVE REPORT</t>
  </si>
  <si>
    <t>DMM-CAI</t>
  </si>
  <si>
    <t>FROM</t>
  </si>
  <si>
    <t>2025-12-20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</si>
  <si>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</si>
  <si>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</si>
  <si>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</si>
  <si>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</si>
  <si>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</si>
  <si>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</si>
  <si>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</si>
  <si>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</si>
  <si>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</si>
  <si>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</si>
  <si>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</si>
  <si>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</si>
  <si>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</si>
  <si>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</si>
  <si>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</si>
  <si>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</si>
  <si>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</si>
  <si>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</si>
  <si>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</si>
  <si>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</si>
  <si>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</si>
  <si>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</si>
  <si>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</si>
  <si>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</si>
  <si>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</si>
  <si>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MS-684</t>
  </si>
  <si>
    <t>Cabin: 7 KG</t>
  </si>
  <si>
    <t>5 FOR SAME CLASS</t>
  </si>
  <si>
    <t>369 SAR</t>
  </si>
  <si>
    <t>MS-682</t>
  </si>
  <si>
    <t>411 SAR</t>
  </si>
  <si>
    <t>MS-688</t>
  </si>
  <si>
    <t>+9 FOR SAME CLASS</t>
  </si>
  <si>
    <t>419 SAR</t>
  </si>
  <si>
    <t>Air Arabia Egypt</t>
  </si>
  <si>
    <t>E5-316</t>
  </si>
  <si>
    <t>Cabin: 10 KG / Check-in: 30 KG</t>
  </si>
  <si>
    <t>9 FOR SAME CLASS</t>
  </si>
  <si>
    <t>373 SAR</t>
  </si>
  <si>
    <t>Cabin: 10 KG / Check-in: 2 x 40 KG</t>
  </si>
  <si>
    <t>496 SAR</t>
  </si>
  <si>
    <t>flynas</t>
  </si>
  <si>
    <t>XY-854</t>
  </si>
  <si>
    <t>Cabin: 7 KG / Check-in: 20 KG</t>
  </si>
  <si>
    <t>379 SAR</t>
  </si>
  <si>
    <t>Cabin: 7 KG / Check-in: 30 KG</t>
  </si>
  <si>
    <t>479 SAR</t>
  </si>
  <si>
    <t>Cabin: 7 KG / Check-in: 2 x 40 KG</t>
  </si>
  <si>
    <t>569 SAR</t>
  </si>
  <si>
    <t>XY-894</t>
  </si>
  <si>
    <t>439 SAR</t>
  </si>
  <si>
    <t>539 SAR</t>
  </si>
  <si>
    <t>629 SAR</t>
  </si>
  <si>
    <t>flyadeal</t>
  </si>
  <si>
    <t>F3-911</t>
  </si>
  <si>
    <t>Cabin: 7 KG / Check-in: 15 KG</t>
  </si>
  <si>
    <t>11 FOR SAME CLASS</t>
  </si>
  <si>
    <t>429 SAR</t>
  </si>
  <si>
    <t>Cabin: 7 KG / Check-in: 25 KG</t>
  </si>
  <si>
    <t>607 SAR</t>
  </si>
  <si>
    <t>1,249 SAR</t>
  </si>
  <si>
    <t>Air Cairo</t>
  </si>
  <si>
    <t>SM-434</t>
  </si>
  <si>
    <t>Cabin: 7 KG | Check-in: 40 KG</t>
  </si>
  <si>
    <t>3 FOR SAME CLASS</t>
  </si>
  <si>
    <t>476 SAR</t>
  </si>
  <si>
    <t>SM434</t>
  </si>
  <si>
    <t>O3</t>
  </si>
  <si>
    <t>G1 &amp; S2 &amp; X11 &amp; U6 &amp; O7 &amp; I40</t>
  </si>
  <si>
    <t>Saudia</t>
  </si>
  <si>
    <t>SV-6446</t>
  </si>
  <si>
    <t>Cabin: 7 KG / Check-in: 2 x 46 KG</t>
  </si>
  <si>
    <t>4 FOR SAME CLASS</t>
  </si>
  <si>
    <t>1,340 SAR</t>
  </si>
  <si>
    <t>7 FOR SAME CLASS</t>
  </si>
  <si>
    <t>339 SAR</t>
  </si>
  <si>
    <t>529 SAR</t>
  </si>
  <si>
    <t>547 SAR</t>
  </si>
  <si>
    <t>899 SAR</t>
  </si>
  <si>
    <t>Nile Air</t>
  </si>
  <si>
    <t>NP-332</t>
  </si>
  <si>
    <t>1,277 SAR</t>
  </si>
  <si>
    <t>517 SAR</t>
  </si>
  <si>
    <t>8 FOR SAME CLASS</t>
  </si>
  <si>
    <t>6 FOR SAME CLASS</t>
  </si>
  <si>
    <t>Nesma Airlines</t>
  </si>
  <si>
    <t>NE-153</t>
  </si>
  <si>
    <t>371 SAR</t>
  </si>
  <si>
    <t>NP-232</t>
  </si>
  <si>
    <t>1,227 SAR</t>
  </si>
  <si>
    <t>I9</t>
  </si>
  <si>
    <t>X1 &amp; U3 &amp; O5 &amp; I27</t>
  </si>
  <si>
    <t>NP-132</t>
  </si>
  <si>
    <t>367 SAR</t>
  </si>
  <si>
    <t>573 SAR</t>
  </si>
  <si>
    <t>10 FOR SAME CLASS</t>
  </si>
  <si>
    <t>NE-155</t>
  </si>
  <si>
    <t>377 SAR</t>
  </si>
  <si>
    <t>2 FOR SAME CLASS</t>
  </si>
  <si>
    <t>409 SAR</t>
  </si>
  <si>
    <t>509 SAR</t>
  </si>
  <si>
    <t>599 SAR</t>
  </si>
  <si>
    <t>CHECK Nile Air "NP-132" FARE</t>
  </si>
  <si>
    <t>Cabin: 7 KG | Check-in: 2 PIECE</t>
  </si>
  <si>
    <t>817 SAR</t>
  </si>
  <si>
    <t>1,035 SAR</t>
  </si>
  <si>
    <t>Cabin: 7 KG | Check-in: 30 KG</t>
  </si>
  <si>
    <t>O9</t>
  </si>
  <si>
    <t>S1 &amp; X2 &amp; U7 &amp; O11 &amp; I40</t>
  </si>
  <si>
    <t>12 FOR SAME CLASS</t>
  </si>
  <si>
    <t>735 SAR</t>
  </si>
  <si>
    <t>O2</t>
  </si>
  <si>
    <t>S1 &amp; W1 &amp; X8 &amp; U9 &amp; O8 &amp; I40</t>
  </si>
  <si>
    <t>1 FOR SAME CLASS</t>
  </si>
  <si>
    <t>579 SAR</t>
  </si>
  <si>
    <t>O1</t>
  </si>
  <si>
    <t>S1 &amp; X2 &amp; U5 &amp; O9 &amp; I40</t>
  </si>
  <si>
    <t>13 FOR SAME CLASS</t>
  </si>
  <si>
    <t>O7</t>
  </si>
  <si>
    <t>S4 &amp; O8 &amp; I48</t>
  </si>
  <si>
    <t>348 SAR</t>
  </si>
  <si>
    <t>554 SAR</t>
  </si>
  <si>
    <t>727 SAR</t>
  </si>
  <si>
    <t>399 SAR</t>
  </si>
  <si>
    <t>577 SAR</t>
  </si>
  <si>
    <t>CHECK flynas "XY-854" FARE
CHECK flynas "XY-854" FARE &amp; BAGGAGE
CHECK flynas "XY-894" FARE
CHECK flynas "XY-894" FARE &amp; BAGGAGE
CHECK Nile Air "NP-332" FARE
CHECK Nile Air "NP-132" FARE</t>
  </si>
  <si>
    <t>566 SAR</t>
  </si>
  <si>
    <t>X4</t>
  </si>
  <si>
    <t>S1 &amp; T2 &amp; X6 &amp; U11 &amp; O1</t>
  </si>
  <si>
    <t>568 SAR</t>
  </si>
  <si>
    <t>Cabin: 7 KG | Check-in: 1 PIECE</t>
  </si>
  <si>
    <t>667 SAR</t>
  </si>
  <si>
    <t>19 FOR SAME CLASS</t>
  </si>
  <si>
    <t>CHECK flynas "XY-894" FARE
CHECK flynas "XY-894" FARE &amp; BAGGAGE
CHECK Nile Air "NP-232" FARE
CHECK EgyptAir "MS-684" FARE &amp; BAGGAGE
CHECK EgyptAir "MS-688" FARE &amp; BAGGAGE
CHECK EgyptAir "MS-682" FARE &amp; BAGGAGE</t>
  </si>
  <si>
    <t>563 SAR</t>
  </si>
  <si>
    <t>626 SAR</t>
  </si>
  <si>
    <t>T2</t>
  </si>
  <si>
    <t>S5 &amp; W1 &amp; T6 &amp; X9 &amp; U8 &amp; O3</t>
  </si>
  <si>
    <t>825 SAR</t>
  </si>
  <si>
    <t>CHECK flyadeal "F3-911" FARE
CHECK flynas "XY-894" FARE
CHECK flynas "XY-894" FARE &amp; BAGGAGE
CHECK flynas "XY-854" FARE
CHECK flynas "XY-854" FARE &amp; BAGGAGE
CHECK Air Arabia Egypt "E5-316" FARE
CHECK Air Arabia Egypt "E5-316" FARE &amp; BAGGAGE</t>
  </si>
  <si>
    <t>669 SAR</t>
  </si>
  <si>
    <t>474 SAR</t>
  </si>
  <si>
    <t>679 SAR</t>
  </si>
  <si>
    <t>615 SAR</t>
  </si>
  <si>
    <t>T7</t>
  </si>
  <si>
    <t>G4 &amp; S1 &amp; W2 &amp; T3 &amp; X10 &amp; U4</t>
  </si>
  <si>
    <t>NE-151</t>
  </si>
  <si>
    <t>500 SAR</t>
  </si>
  <si>
    <t>18 FOR SAME CLASS</t>
  </si>
  <si>
    <t>16 FOR SAME CLASS</t>
  </si>
  <si>
    <t>CHECK flynas "XY-854" FARE
CHECK flynas "XY-854" FARE &amp; BAGGAGE
CHECK flynas "XY-894" FARE &amp; BAGGAGE
CHECK Nesma Airlines "NE-151" FARE
CHECK EgyptAir "MS-682" FARE &amp; BAGGAGE</t>
  </si>
  <si>
    <t>519 SAR</t>
  </si>
  <si>
    <t>619 SAR</t>
  </si>
  <si>
    <t>709 SAR</t>
  </si>
  <si>
    <t>X7</t>
  </si>
  <si>
    <t>S1 &amp; X3 &amp; U10 &amp; O2</t>
  </si>
  <si>
    <t>469 SAR</t>
  </si>
  <si>
    <t>647 SAR</t>
  </si>
  <si>
    <t>622 SAR</t>
  </si>
  <si>
    <t>827 SAR</t>
  </si>
  <si>
    <t>659 SAR</t>
  </si>
  <si>
    <t>759 SAR</t>
  </si>
  <si>
    <t>849 SAR</t>
  </si>
  <si>
    <t>723 SAR</t>
  </si>
  <si>
    <t>1,147 SAR</t>
  </si>
  <si>
    <t>1,267 SAR</t>
  </si>
  <si>
    <t>1,479 SAR</t>
  </si>
  <si>
    <t>549 SAR</t>
  </si>
  <si>
    <t>CHECK flyadeal "F3-911" FARE
CHECK flyadeal "F3-911" FARE &amp; BAGGAGE
CHECK flynas "XY-854" FARE
CHECK flynas "XY-854" FARE &amp; BAGGAGE
CHECK EgyptAir "MS-684" FARE &amp; BAGGAGE</t>
  </si>
  <si>
    <t>609 SAR</t>
  </si>
  <si>
    <t>799 SAR</t>
  </si>
  <si>
    <t>1,109 SAR</t>
  </si>
  <si>
    <t>1,209 SAR</t>
  </si>
  <si>
    <t>1,299 SAR</t>
  </si>
  <si>
    <t>1,016 SAR</t>
  </si>
  <si>
    <t>L1</t>
  </si>
  <si>
    <t>L3 &amp; G16 &amp; S12 &amp; W3</t>
  </si>
  <si>
    <t>1,023 SAR</t>
  </si>
  <si>
    <t>1,027 SAR</t>
  </si>
  <si>
    <t>1,395 SAR</t>
  </si>
  <si>
    <t>1,429 SAR</t>
  </si>
  <si>
    <t>1,663 SAR</t>
  </si>
  <si>
    <t>CHECK flynas "XY-894" FARE
CHECK flynas "XY-894" FARE &amp; BAGGAGE
CHECK Nile Air "NP-232" FARE</t>
  </si>
  <si>
    <t>859 SAR</t>
  </si>
  <si>
    <t>949 SAR</t>
  </si>
  <si>
    <t>977 SAR</t>
  </si>
  <si>
    <t>914 SAR</t>
  </si>
  <si>
    <t>L4 &amp; G15 &amp; S9 &amp; W6</t>
  </si>
  <si>
    <t>1,575 SAR</t>
  </si>
  <si>
    <t>2,105 SAR</t>
  </si>
  <si>
    <t>CHECK flyadeal "F3-911" FARE
CHECK flyadeal "F3-911" FARE &amp; BAGGAGE
CHECK flynas "XY-894" FARE
CHECK flynas "XY-894" FARE &amp; BAGGAGE
CHECK flynas "XY-854" FARE
CHECK flynas "XY-854" FARE &amp; BAGGAGE
CHECK Air Arabia Egypt "E5-316" FARE
CHECK Air Arabia Egypt "E5-316" FARE &amp; BAGGAGE
CHECK Nile Air "NP-132" FARE</t>
  </si>
  <si>
    <t>687 SAR</t>
  </si>
  <si>
    <t>559 SAR</t>
  </si>
  <si>
    <t>749 SAR</t>
  </si>
  <si>
    <t>627 SAR</t>
  </si>
  <si>
    <t>833 SAR</t>
  </si>
  <si>
    <t>896 SAR</t>
  </si>
  <si>
    <t>G3</t>
  </si>
  <si>
    <t>G1 &amp; S12 &amp; W9</t>
  </si>
  <si>
    <t>CHECK flynas "XY-854" FARE
CHECK flynas "XY-854" FARE &amp; BAGGAGE
CHECK flynas "XY-894" FARE &amp; BAGGAGE
CHECK Nesma Airlines "NE-151" FARE
CHECK Nile Air "NP-132" FARE</t>
  </si>
  <si>
    <t>G3 &amp; X7 &amp; U8 &amp; O1</t>
  </si>
  <si>
    <t>506 SAR</t>
  </si>
  <si>
    <t>711 SAR</t>
  </si>
  <si>
    <t>CHECK flynas "XY-854" FARE
CHECK flynas "XY-854" FARE &amp; BAGGAGE
CHECK flynas "XY-894" FARE &amp; BAGGAGE
CHECK Nile Air "NP-132" FARE
CHECK Nesma Airlines "NE-155" FARE
CHECK EgyptAir "MS-688" FARE &amp; BAGGAGE</t>
  </si>
  <si>
    <t>G5 &amp; S4 &amp; T3 &amp; X11</t>
  </si>
  <si>
    <t>CHECK flynas "XY-894" FARE
CHECK flynas "XY-894" FARE &amp; BAGGAGE
CHECK Nesma Airlines "NE-151" FARE
CHECK Nile Air "NP-232" FARE
CHECK EgyptAir "MS-682" FARE &amp; BAGGAGE</t>
  </si>
  <si>
    <t>W1 &amp; T2 &amp; X8 &amp; U10 &amp; O2</t>
  </si>
  <si>
    <t>CHECK flynas "XY-894" FARE
CHECK flynas "XY-894" FARE &amp; BAGGAGE
CHECK flynas "XY-854" FARE &amp; BAGGAGE
CHECK Air Arabia Egypt "E5-316" FARE
CHECK Nile Air "NP-132" FARE</t>
  </si>
  <si>
    <t>511 SAR</t>
  </si>
  <si>
    <t>717 SAR</t>
  </si>
  <si>
    <t>X6</t>
  </si>
  <si>
    <t>W5 &amp; U7 &amp; O3</t>
  </si>
  <si>
    <t>CHECK flynas "XY-894" FARE
CHECK flynas "XY-894" FARE &amp; BAGGAGE
CHECK flynas "XY-854" FARE
CHECK flynas "XY-854" FARE &amp; BAGGAGE
CHECK Nile Air "NP-132" FARE</t>
  </si>
  <si>
    <t>X3</t>
  </si>
  <si>
    <t>X5 &amp; U12 &amp; O1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</si>
  <si>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</si>
  <si>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</si>
  <si>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</si>
  <si>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</si>
  <si>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</si>
  <si>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</si>
  <si>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</si>
  <si>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</si>
  <si>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</si>
  <si>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</si>
  <si>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</si>
  <si>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</si>
  <si>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</si>
  <si>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</si>
  <si>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</si>
  <si>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</si>
  <si>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</si>
  <si>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</si>
  <si>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</si>
  <si>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</si>
  <si>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</si>
  <si>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</si>
  <si>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</si>
  <si>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</si>
  <si>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</si>
  <si>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</si>
  <si>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</si>
  <si>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</si>
  <si>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</si>
  <si>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</si>
  <si>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22:10</t>
  </si>
  <si>
    <t>320</t>
  </si>
  <si>
    <t>UPCOMING</t>
  </si>
  <si>
    <t>G1</t>
  </si>
  <si>
    <t>S2</t>
  </si>
  <si>
    <t>X11</t>
  </si>
  <si>
    <t>U6</t>
  </si>
  <si>
    <t>I40</t>
  </si>
  <si>
    <t>TUESDAY</t>
  </si>
  <si>
    <t>06:30</t>
  </si>
  <si>
    <t>X1</t>
  </si>
  <si>
    <t>U3</t>
  </si>
  <si>
    <t>O5</t>
  </si>
  <si>
    <t>I27</t>
  </si>
  <si>
    <t>THURSDAY</t>
  </si>
  <si>
    <t>S1</t>
  </si>
  <si>
    <t>X2</t>
  </si>
  <si>
    <t>U7</t>
  </si>
  <si>
    <t>O11</t>
  </si>
  <si>
    <t>FRIDAY</t>
  </si>
  <si>
    <t>13:55</t>
  </si>
  <si>
    <t>W1</t>
  </si>
  <si>
    <t>X8</t>
  </si>
  <si>
    <t>U9</t>
  </si>
  <si>
    <t>O8</t>
  </si>
  <si>
    <t>U5</t>
  </si>
  <si>
    <t>S4</t>
  </si>
  <si>
    <t>I48</t>
  </si>
  <si>
    <t>U11</t>
  </si>
  <si>
    <t>S5</t>
  </si>
  <si>
    <t>T6</t>
  </si>
  <si>
    <t>X9</t>
  </si>
  <si>
    <t>U8</t>
  </si>
  <si>
    <t>G4</t>
  </si>
  <si>
    <t>W2</t>
  </si>
  <si>
    <t>T3</t>
  </si>
  <si>
    <t>X10</t>
  </si>
  <si>
    <t>U4</t>
  </si>
  <si>
    <t>U10</t>
  </si>
  <si>
    <t>L3</t>
  </si>
  <si>
    <t>G16</t>
  </si>
  <si>
    <t>S12</t>
  </si>
  <si>
    <t>W3</t>
  </si>
  <si>
    <t>L4</t>
  </si>
  <si>
    <t>G15</t>
  </si>
  <si>
    <t>S9</t>
  </si>
  <si>
    <t>W6</t>
  </si>
  <si>
    <t>W9</t>
  </si>
  <si>
    <t>G5</t>
  </si>
  <si>
    <t>W5</t>
  </si>
  <si>
    <t>X5</t>
  </si>
  <si>
    <t>U12</t>
  </si>
  <si>
    <t>DATE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</si>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</sst>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  <numFmt numFmtId="172" formatCode="[$-409]d\-mmm\-yy;@"/>
    <numFmt numFmtId="173" formatCode="[$-F400]h:mm:ss\ AM/PM"/>
    <numFmt numFmtId="174" formatCode="[$-409]d\-mmm;@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sz val="11"/>
      <color rgb="FFBC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i/>
      <sz val="18"/>
      <color rgb="FFFF0000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B4C7DC"/>
        <bgColor rgb="FFB4C7DC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7" fontId="1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167" fontId="6" fillId="7" borderId="3" xfId="0" applyNumberFormat="1" applyFont="1" applyFill="1" applyBorder="1" applyAlignment="1">
      <alignment horizontal="center" vertical="center"/>
    </xf>
    <xf numFmtId="1" fontId="6" fillId="7" borderId="3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7" fontId="1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7" fontId="1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7" fontId="1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3" fillId="13" borderId="3" xfId="0" applyNumberFormat="1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7" fontId="18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3" fillId="14" borderId="3" xfId="0" applyNumberFormat="1" applyFont="1" applyFill="1" applyBorder="1" applyAlignment="1">
      <alignment horizontal="center" vertical="center"/>
    </xf>
    <xf numFmtId="49" fontId="8" fillId="14" borderId="7" xfId="0" applyNumberFormat="1" applyFont="1" applyFill="1" applyBorder="1" applyAlignment="1">
      <alignment horizontal="center" vertical="center"/>
    </xf>
    <xf numFmtId="167" fontId="18" fillId="14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6" fontId="8" fillId="14" borderId="8" xfId="0" applyNumberFormat="1" applyFont="1" applyFill="1" applyBorder="1" applyAlignment="1">
      <alignment horizontal="center" vertical="center"/>
    </xf>
    <xf numFmtId="49" fontId="9" fillId="14" borderId="8" xfId="0" applyNumberFormat="1" applyFont="1" applyFill="1" applyBorder="1" applyAlignment="1">
      <alignment horizontal="center" vertical="center"/>
    </xf>
    <xf numFmtId="49" fontId="8" fillId="14" borderId="9" xfId="0" applyNumberFormat="1" applyFont="1" applyFill="1" applyBorder="1" applyAlignment="1">
      <alignment horizontal="center" vertical="center"/>
    </xf>
    <xf numFmtId="49" fontId="13" fillId="15" borderId="3" xfId="0" applyNumberFormat="1" applyFont="1" applyFill="1" applyBorder="1" applyAlignment="1">
      <alignment horizontal="center" vertical="center"/>
    </xf>
    <xf numFmtId="49" fontId="8" fillId="15" borderId="7" xfId="0" applyNumberFormat="1" applyFont="1" applyFill="1" applyBorder="1" applyAlignment="1">
      <alignment horizontal="center" vertical="center"/>
    </xf>
    <xf numFmtId="167" fontId="18" fillId="15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6" fontId="8" fillId="15" borderId="8" xfId="0" applyNumberFormat="1" applyFont="1" applyFill="1" applyBorder="1" applyAlignment="1">
      <alignment horizontal="center" vertical="center"/>
    </xf>
    <xf numFmtId="49" fontId="9" fillId="15" borderId="8" xfId="0" applyNumberFormat="1" applyFont="1" applyFill="1" applyBorder="1" applyAlignment="1">
      <alignment horizontal="center" vertical="center"/>
    </xf>
    <xf numFmtId="49" fontId="8" fillId="15" borderId="9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3" fillId="16" borderId="20" xfId="0" applyFont="1" applyFill="1" applyBorder="1" applyAlignment="1">
      <alignment horizontal="center" vertical="center"/>
    </xf>
    <xf numFmtId="0" fontId="23" fillId="16" borderId="19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26" fillId="17" borderId="0" xfId="0" applyNumberFormat="1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9" fontId="26" fillId="17" borderId="0" xfId="0" applyNumberFormat="1" applyFont="1" applyFill="1" applyAlignment="1">
      <alignment horizontal="center" vertical="center"/>
    </xf>
    <xf numFmtId="1" fontId="26" fillId="17" borderId="0" xfId="0" applyNumberFormat="1" applyFont="1" applyFill="1" applyAlignment="1">
      <alignment horizontal="center" vertical="center"/>
    </xf>
    <xf numFmtId="165" fontId="22" fillId="5" borderId="3" xfId="0" applyNumberFormat="1" applyFont="1" applyFill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/>
    </xf>
    <xf numFmtId="166" fontId="16" fillId="0" borderId="14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166" fontId="13" fillId="8" borderId="3" xfId="0" applyNumberFormat="1" applyFont="1" applyFill="1" applyBorder="1" applyAlignment="1">
      <alignment horizontal="center" vertical="center"/>
    </xf>
    <xf numFmtId="166" fontId="8" fillId="8" borderId="8" xfId="0" applyNumberFormat="1" applyFont="1" applyFill="1" applyBorder="1" applyAlignment="1">
      <alignment horizontal="center" vertical="center"/>
    </xf>
    <xf numFmtId="166" fontId="13" fillId="0" borderId="15" xfId="0" applyNumberFormat="1" applyFont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6" fontId="6" fillId="7" borderId="3" xfId="0" applyNumberFormat="1" applyFont="1" applyFill="1" applyBorder="1" applyAlignment="1">
      <alignment horizontal="center" vertical="center"/>
    </xf>
    <xf numFmtId="166" fontId="13" fillId="10" borderId="3" xfId="0" applyNumberFormat="1" applyFont="1" applyFill="1" applyBorder="1" applyAlignment="1">
      <alignment horizontal="center" vertical="center"/>
    </xf>
    <xf numFmtId="166" fontId="8" fillId="10" borderId="8" xfId="0" applyNumberFormat="1" applyFont="1" applyFill="1" applyBorder="1" applyAlignment="1">
      <alignment horizontal="center" vertical="center"/>
    </xf>
    <xf numFmtId="166" fontId="13" fillId="11" borderId="3" xfId="0" applyNumberFormat="1" applyFont="1" applyFill="1" applyBorder="1" applyAlignment="1">
      <alignment horizontal="center" vertical="center"/>
    </xf>
    <xf numFmtId="166" fontId="8" fillId="11" borderId="8" xfId="0" applyNumberFormat="1" applyFont="1" applyFill="1" applyBorder="1" applyAlignment="1">
      <alignment horizontal="center" vertical="center"/>
    </xf>
    <xf numFmtId="166" fontId="13" fillId="12" borderId="3" xfId="0" applyNumberFormat="1" applyFont="1" applyFill="1" applyBorder="1" applyAlignment="1">
      <alignment horizontal="center" vertical="center"/>
    </xf>
    <xf numFmtId="166" fontId="8" fillId="12" borderId="8" xfId="0" applyNumberFormat="1" applyFont="1" applyFill="1" applyBorder="1" applyAlignment="1">
      <alignment horizontal="center" vertical="center"/>
    </xf>
    <xf numFmtId="166" fontId="13" fillId="13" borderId="3" xfId="0" applyNumberFormat="1" applyFont="1" applyFill="1" applyBorder="1" applyAlignment="1">
      <alignment horizontal="center" vertical="center"/>
    </xf>
    <xf numFmtId="166" fontId="8" fillId="13" borderId="8" xfId="0" applyNumberFormat="1" applyFont="1" applyFill="1" applyBorder="1" applyAlignment="1">
      <alignment horizontal="center" vertical="center"/>
    </xf>
    <xf numFmtId="166" fontId="13" fillId="14" borderId="3" xfId="0" applyNumberFormat="1" applyFont="1" applyFill="1" applyBorder="1" applyAlignment="1">
      <alignment horizontal="center" vertical="center"/>
    </xf>
    <xf numFmtId="166" fontId="8" fillId="14" borderId="8" xfId="0" applyNumberFormat="1" applyFont="1" applyFill="1" applyBorder="1" applyAlignment="1">
      <alignment horizontal="center" vertical="center"/>
    </xf>
    <xf numFmtId="166" fontId="13" fillId="15" borderId="3" xfId="0" applyNumberFormat="1" applyFont="1" applyFill="1" applyBorder="1" applyAlignment="1">
      <alignment horizontal="center" vertical="center"/>
    </xf>
    <xf numFmtId="166" fontId="8" fillId="15" borderId="8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24" fillId="0" borderId="21" xfId="0" applyNumberFormat="1" applyFont="1" applyBorder="1" applyAlignment="1">
      <alignment horizontal="center" vertical="center"/>
    </xf>
    <xf numFmtId="170" fontId="24" fillId="0" borderId="17" xfId="0" applyNumberFormat="1" applyFont="1" applyBorder="1" applyAlignment="1">
      <alignment horizontal="center" vertical="center"/>
    </xf>
    <xf numFmtId="171" fontId="24" fillId="0" borderId="24" xfId="0" applyNumberFormat="1" applyFont="1" applyBorder="1" applyAlignment="1">
      <alignment horizontal="center" vertical="center"/>
    </xf>
    <xf numFmtId="169" fontId="25" fillId="0" borderId="21" xfId="0" applyNumberFormat="1" applyFont="1" applyBorder="1" applyAlignment="1">
      <alignment horizontal="center" vertical="center"/>
    </xf>
    <xf numFmtId="170" fontId="25" fillId="0" borderId="17" xfId="0" applyNumberFormat="1" applyFont="1" applyBorder="1" applyAlignment="1">
      <alignment horizontal="center" vertical="center"/>
    </xf>
    <xf numFmtId="171" fontId="25" fillId="0" borderId="24" xfId="0" applyNumberFormat="1" applyFont="1" applyBorder="1" applyAlignment="1">
      <alignment horizontal="center" vertical="center"/>
    </xf>
    <xf numFmtId="169" fontId="24" fillId="0" borderId="22" xfId="0" applyNumberFormat="1" applyFont="1" applyBorder="1" applyAlignment="1">
      <alignment horizontal="center" vertical="center"/>
    </xf>
    <xf numFmtId="170" fontId="24" fillId="0" borderId="18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2" fontId="26" fillId="17" borderId="0" xfId="0" applyNumberFormat="1" applyFont="1" applyFill="1" applyAlignment="1">
      <alignment horizontal="center" vertical="center"/>
    </xf>
    <xf numFmtId="173" fontId="26" fillId="17" borderId="0" xfId="0" applyNumberFormat="1" applyFont="1" applyFill="1" applyAlignment="1">
      <alignment horizontal="center" vertical="center"/>
    </xf>
    <xf numFmtId="174" fontId="26" fillId="17" borderId="0" xfId="0" applyNumberFormat="1" applyFont="1" applyFill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19" fillId="9" borderId="16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49" fontId="10" fillId="0" borderId="30" xfId="0" applyNumberFormat="1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2" fillId="4" borderId="3" xfId="0" applyNumberFormat="1" applyFont="1" applyFill="1" applyBorder="1" applyAlignment="1">
      <alignment horizontal="center" vertical="center"/>
    </xf>
    <xf numFmtId="49" fontId="20" fillId="0" borderId="30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165" fontId="11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11" fillId="3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19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_DMM_CAI" displayName="FocusMode_DMM_CAI_DMM_CAI" ref="A1:H457" totalsRowShown="0">
  <autoFilter ref="A1:H45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F_ALL_ROUTES" displayName="LF_ALL_ROUTES" ref="A1:AJ19" totalsRowShown="0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554"/>
  <sheetViews>
    <sheetView tabSelected="1" zoomScale="85" workbookViewId="0">
      <selection activeCell="G6" sqref="G6:G21"/>
    </sheetView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5.21875" customWidth="1"/>
    <col min="5" max="5" width="23.5546875" customWidth="1"/>
    <col min="6" max="6" width="20" customWidth="1"/>
    <col min="7" max="7" width="50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39.21875" customWidth="1"/>
    <col min="19" max="92" width="8" customWidth="1"/>
  </cols>
  <sheetData>
    <row r="1" spans="1:92" ht="28.8" customHeight="1" x14ac:dyDescent="0.3">
      <c r="A1" s="153" t="s">
        <v>0</v>
      </c>
      <c r="B1" s="152"/>
      <c r="C1" s="152"/>
      <c r="D1" s="152"/>
      <c r="E1" s="152"/>
      <c r="F1" s="1" t="s">
        <v>1</v>
      </c>
      <c r="G1" s="1" t="s">
        <v>2</v>
      </c>
      <c r="H1" s="151" t="s">
        <v>3</v>
      </c>
      <c r="I1" s="152"/>
      <c r="J1" s="152"/>
      <c r="K1" s="152"/>
      <c r="L1" s="152"/>
      <c r="M1" s="1" t="s">
        <v>4</v>
      </c>
      <c r="N1" s="160" t="s">
        <v>5</v>
      </c>
      <c r="O1" s="152"/>
      <c r="P1" s="152"/>
      <c r="Q1" s="152"/>
      <c r="R1" s="15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8" t="s">
        <v>6</v>
      </c>
      <c r="B2" s="152"/>
      <c r="C2" s="152"/>
      <c r="D2" s="152"/>
      <c r="E2" s="152"/>
      <c r="F2" s="152"/>
      <c r="G2" s="159">
        <v>45998.130664293982</v>
      </c>
      <c r="H2" s="152"/>
      <c r="I2" s="152"/>
      <c r="J2" s="152"/>
      <c r="K2" s="161">
        <v>45998.130664293982</v>
      </c>
      <c r="L2" s="152"/>
      <c r="M2" s="152"/>
      <c r="N2" s="152"/>
      <c r="O2" s="152"/>
      <c r="P2" s="152"/>
      <c r="Q2" s="152"/>
      <c r="R2" s="152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63" t="s">
        <v>7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64" t="s">
        <v>8</v>
      </c>
      <c r="B4" s="143"/>
      <c r="C4" s="143"/>
      <c r="D4" s="143"/>
      <c r="E4" s="143"/>
      <c r="F4" s="144"/>
      <c r="G4" s="104">
        <v>46011</v>
      </c>
      <c r="H4" s="162" t="s">
        <v>9</v>
      </c>
      <c r="I4" s="143"/>
      <c r="J4" s="143"/>
      <c r="K4" s="143"/>
      <c r="L4" s="143"/>
      <c r="M4" s="143"/>
      <c r="N4" s="143"/>
      <c r="O4" s="143"/>
      <c r="P4" s="143"/>
      <c r="Q4" s="143"/>
      <c r="R4" s="14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28</v>
      </c>
      <c r="B6" s="8" t="s">
        <v>29</v>
      </c>
      <c r="C6" s="105">
        <v>0.1701388888888889</v>
      </c>
      <c r="D6" s="8" t="s">
        <v>30</v>
      </c>
      <c r="E6" s="8" t="s">
        <v>31</v>
      </c>
      <c r="F6" s="8" t="s">
        <v>32</v>
      </c>
      <c r="G6" s="1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28</v>
      </c>
      <c r="B7" s="14" t="s">
        <v>33</v>
      </c>
      <c r="C7" s="106">
        <v>0.52777777777777779</v>
      </c>
      <c r="D7" s="14" t="s">
        <v>30</v>
      </c>
      <c r="E7" s="14" t="s">
        <v>31</v>
      </c>
      <c r="F7" s="14" t="s">
        <v>34</v>
      </c>
      <c r="G7" s="1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28</v>
      </c>
      <c r="B8" s="14" t="s">
        <v>35</v>
      </c>
      <c r="C8" s="106">
        <v>0.86458333333333337</v>
      </c>
      <c r="D8" s="14" t="s">
        <v>30</v>
      </c>
      <c r="E8" s="14" t="s">
        <v>36</v>
      </c>
      <c r="F8" s="14" t="s">
        <v>37</v>
      </c>
      <c r="G8" s="1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38</v>
      </c>
      <c r="B9" s="15" t="s">
        <v>39</v>
      </c>
      <c r="C9" s="107">
        <v>0.97222222222222221</v>
      </c>
      <c r="D9" s="15" t="s">
        <v>40</v>
      </c>
      <c r="E9" s="15" t="s">
        <v>41</v>
      </c>
      <c r="F9" s="15" t="s">
        <v>42</v>
      </c>
      <c r="G9" s="1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38</v>
      </c>
      <c r="B10" s="16" t="s">
        <v>39</v>
      </c>
      <c r="C10" s="108">
        <v>0.97222222222222221</v>
      </c>
      <c r="D10" s="16" t="s">
        <v>43</v>
      </c>
      <c r="E10" s="16" t="s">
        <v>41</v>
      </c>
      <c r="F10" s="16" t="s">
        <v>44</v>
      </c>
      <c r="G10" s="1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" t="s">
        <v>45</v>
      </c>
      <c r="B11" s="15" t="s">
        <v>46</v>
      </c>
      <c r="C11" s="107">
        <v>0.19791666666666671</v>
      </c>
      <c r="D11" s="15" t="s">
        <v>47</v>
      </c>
      <c r="E11" s="15" t="s">
        <v>41</v>
      </c>
      <c r="F11" s="15" t="s">
        <v>48</v>
      </c>
      <c r="G11" s="1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45</v>
      </c>
      <c r="B12" s="16" t="s">
        <v>46</v>
      </c>
      <c r="C12" s="108">
        <v>0.19791666666666671</v>
      </c>
      <c r="D12" s="16" t="s">
        <v>49</v>
      </c>
      <c r="E12" s="16" t="s">
        <v>41</v>
      </c>
      <c r="F12" s="16" t="s">
        <v>50</v>
      </c>
      <c r="G12" s="1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45</v>
      </c>
      <c r="B13" s="16" t="s">
        <v>46</v>
      </c>
      <c r="C13" s="108">
        <v>0.19791666666666671</v>
      </c>
      <c r="D13" s="16" t="s">
        <v>51</v>
      </c>
      <c r="E13" s="16" t="s">
        <v>41</v>
      </c>
      <c r="F13" s="16" t="s">
        <v>52</v>
      </c>
      <c r="G13" s="1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45</v>
      </c>
      <c r="B14" s="14" t="s">
        <v>53</v>
      </c>
      <c r="C14" s="106">
        <v>0.83333333333333337</v>
      </c>
      <c r="D14" s="14" t="s">
        <v>47</v>
      </c>
      <c r="E14" s="14" t="s">
        <v>41</v>
      </c>
      <c r="F14" s="14" t="s">
        <v>54</v>
      </c>
      <c r="G14" s="1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45</v>
      </c>
      <c r="B15" s="16" t="s">
        <v>53</v>
      </c>
      <c r="C15" s="108">
        <v>0.83333333333333337</v>
      </c>
      <c r="D15" s="16" t="s">
        <v>49</v>
      </c>
      <c r="E15" s="16" t="s">
        <v>41</v>
      </c>
      <c r="F15" s="16" t="s">
        <v>55</v>
      </c>
      <c r="G15" s="1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45</v>
      </c>
      <c r="B16" s="16" t="s">
        <v>53</v>
      </c>
      <c r="C16" s="108">
        <v>0.83333333333333337</v>
      </c>
      <c r="D16" s="16" t="s">
        <v>51</v>
      </c>
      <c r="E16" s="16" t="s">
        <v>41</v>
      </c>
      <c r="F16" s="16" t="s">
        <v>56</v>
      </c>
      <c r="G16" s="1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5" t="s">
        <v>57</v>
      </c>
      <c r="B17" s="15" t="s">
        <v>58</v>
      </c>
      <c r="C17" s="107">
        <v>0.30555555555555558</v>
      </c>
      <c r="D17" s="15" t="s">
        <v>59</v>
      </c>
      <c r="E17" s="15" t="s">
        <v>60</v>
      </c>
      <c r="F17" s="15" t="s">
        <v>61</v>
      </c>
      <c r="G17" s="1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57</v>
      </c>
      <c r="B18" s="16" t="s">
        <v>58</v>
      </c>
      <c r="C18" s="108">
        <v>0.30555555555555558</v>
      </c>
      <c r="D18" s="16" t="s">
        <v>62</v>
      </c>
      <c r="E18" s="16" t="s">
        <v>60</v>
      </c>
      <c r="F18" s="16" t="s">
        <v>63</v>
      </c>
      <c r="G18" s="1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57</v>
      </c>
      <c r="B19" s="16" t="s">
        <v>58</v>
      </c>
      <c r="C19" s="108">
        <v>0.30555555555555558</v>
      </c>
      <c r="D19" s="16" t="s">
        <v>51</v>
      </c>
      <c r="E19" s="16" t="s">
        <v>60</v>
      </c>
      <c r="F19" s="16" t="s">
        <v>64</v>
      </c>
      <c r="G19" s="1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7" t="s">
        <v>65</v>
      </c>
      <c r="B20" s="17" t="s">
        <v>66</v>
      </c>
      <c r="C20" s="109">
        <v>0.92361111111111116</v>
      </c>
      <c r="D20" s="17" t="s">
        <v>67</v>
      </c>
      <c r="E20" s="17" t="s">
        <v>68</v>
      </c>
      <c r="F20" s="17" t="s">
        <v>69</v>
      </c>
      <c r="G20" s="149"/>
      <c r="H20" s="18" t="s">
        <v>70</v>
      </c>
      <c r="I20" s="19">
        <v>0.40610000000000002</v>
      </c>
      <c r="J20" s="20">
        <v>67</v>
      </c>
      <c r="K20" s="21">
        <v>45996</v>
      </c>
      <c r="L20" s="20">
        <v>18</v>
      </c>
      <c r="M20" s="20">
        <v>0</v>
      </c>
      <c r="N20" s="20">
        <v>0</v>
      </c>
      <c r="O20" s="22" t="s">
        <v>71</v>
      </c>
      <c r="P20" s="110">
        <v>0.92361111111111116</v>
      </c>
      <c r="Q20" s="20">
        <v>165</v>
      </c>
      <c r="R20" s="23" t="s">
        <v>72</v>
      </c>
    </row>
    <row r="21" spans="1:18" ht="15" customHeight="1" x14ac:dyDescent="0.3">
      <c r="A21" s="24" t="s">
        <v>73</v>
      </c>
      <c r="B21" s="24" t="s">
        <v>74</v>
      </c>
      <c r="C21" s="111">
        <v>0.30555555555555558</v>
      </c>
      <c r="D21" s="24" t="s">
        <v>75</v>
      </c>
      <c r="E21" s="24" t="s">
        <v>76</v>
      </c>
      <c r="F21" s="24" t="s">
        <v>77</v>
      </c>
      <c r="G21" s="150"/>
      <c r="H21" s="25"/>
      <c r="I21" s="26"/>
      <c r="J21" s="26"/>
      <c r="K21" s="26"/>
      <c r="L21" s="26"/>
      <c r="M21" s="26"/>
      <c r="N21" s="26"/>
      <c r="O21" s="27"/>
      <c r="P21" s="26"/>
      <c r="Q21" s="28"/>
      <c r="R21" s="29"/>
    </row>
    <row r="22" spans="1:18" ht="17.399999999999999" customHeight="1" x14ac:dyDescent="0.3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7"/>
    </row>
    <row r="23" spans="1:18" ht="22.05" customHeight="1" x14ac:dyDescent="0.3">
      <c r="A23" s="154" t="s">
        <v>8</v>
      </c>
      <c r="B23" s="143"/>
      <c r="C23" s="143"/>
      <c r="D23" s="143"/>
      <c r="E23" s="143"/>
      <c r="F23" s="144"/>
      <c r="G23" s="112">
        <v>46012</v>
      </c>
      <c r="H23" s="142" t="s">
        <v>9</v>
      </c>
      <c r="I23" s="143"/>
      <c r="J23" s="143"/>
      <c r="K23" s="143"/>
      <c r="L23" s="143"/>
      <c r="M23" s="143"/>
      <c r="N23" s="143"/>
      <c r="O23" s="143"/>
      <c r="P23" s="143"/>
      <c r="Q23" s="143"/>
      <c r="R23" s="144"/>
    </row>
    <row r="24" spans="1:18" ht="24" customHeight="1" x14ac:dyDescent="0.3">
      <c r="A24" s="30" t="s">
        <v>10</v>
      </c>
      <c r="B24" s="30" t="s">
        <v>11</v>
      </c>
      <c r="C24" s="113" t="s">
        <v>12</v>
      </c>
      <c r="D24" s="30" t="s">
        <v>13</v>
      </c>
      <c r="E24" s="30" t="s">
        <v>14</v>
      </c>
      <c r="F24" s="31" t="s">
        <v>15</v>
      </c>
      <c r="G24" s="32" t="s">
        <v>16</v>
      </c>
      <c r="H24" s="30" t="s">
        <v>17</v>
      </c>
      <c r="I24" s="33" t="s">
        <v>18</v>
      </c>
      <c r="J24" s="34" t="s">
        <v>19</v>
      </c>
      <c r="K24" s="35" t="s">
        <v>20</v>
      </c>
      <c r="L24" s="34" t="s">
        <v>21</v>
      </c>
      <c r="M24" s="34" t="s">
        <v>22</v>
      </c>
      <c r="N24" s="34" t="s">
        <v>23</v>
      </c>
      <c r="O24" s="30" t="s">
        <v>24</v>
      </c>
      <c r="P24" s="113" t="s">
        <v>25</v>
      </c>
      <c r="Q24" s="34" t="s">
        <v>26</v>
      </c>
      <c r="R24" s="30" t="s">
        <v>27</v>
      </c>
    </row>
    <row r="25" spans="1:18" ht="15" customHeight="1" x14ac:dyDescent="0.3">
      <c r="A25" s="8" t="s">
        <v>45</v>
      </c>
      <c r="B25" s="8" t="s">
        <v>53</v>
      </c>
      <c r="C25" s="105">
        <v>0.84722222222222221</v>
      </c>
      <c r="D25" s="8" t="s">
        <v>47</v>
      </c>
      <c r="E25" s="8" t="s">
        <v>78</v>
      </c>
      <c r="F25" s="8" t="s">
        <v>79</v>
      </c>
      <c r="G25" s="1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45</v>
      </c>
      <c r="B26" s="16" t="s">
        <v>53</v>
      </c>
      <c r="C26" s="108">
        <v>0.84722222222222221</v>
      </c>
      <c r="D26" s="16" t="s">
        <v>49</v>
      </c>
      <c r="E26" s="16" t="s">
        <v>78</v>
      </c>
      <c r="F26" s="16" t="s">
        <v>54</v>
      </c>
      <c r="G26" s="1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45</v>
      </c>
      <c r="B27" s="16" t="s">
        <v>53</v>
      </c>
      <c r="C27" s="108">
        <v>0.84722222222222221</v>
      </c>
      <c r="D27" s="16" t="s">
        <v>51</v>
      </c>
      <c r="E27" s="16" t="s">
        <v>78</v>
      </c>
      <c r="F27" s="16" t="s">
        <v>80</v>
      </c>
      <c r="G27" s="1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5" t="s">
        <v>57</v>
      </c>
      <c r="B28" s="15" t="s">
        <v>58</v>
      </c>
      <c r="C28" s="107">
        <v>0.30555555555555558</v>
      </c>
      <c r="D28" s="15" t="s">
        <v>59</v>
      </c>
      <c r="E28" s="15" t="s">
        <v>31</v>
      </c>
      <c r="F28" s="15" t="s">
        <v>32</v>
      </c>
      <c r="G28" s="1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57</v>
      </c>
      <c r="B29" s="16" t="s">
        <v>58</v>
      </c>
      <c r="C29" s="108">
        <v>0.30555555555555558</v>
      </c>
      <c r="D29" s="16" t="s">
        <v>62</v>
      </c>
      <c r="E29" s="16" t="s">
        <v>31</v>
      </c>
      <c r="F29" s="16" t="s">
        <v>81</v>
      </c>
      <c r="G29" s="1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57</v>
      </c>
      <c r="B30" s="16" t="s">
        <v>58</v>
      </c>
      <c r="C30" s="108">
        <v>0.30555555555555558</v>
      </c>
      <c r="D30" s="16" t="s">
        <v>51</v>
      </c>
      <c r="E30" s="16" t="s">
        <v>31</v>
      </c>
      <c r="F30" s="16" t="s">
        <v>82</v>
      </c>
      <c r="G30" s="1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5" t="s">
        <v>28</v>
      </c>
      <c r="B31" s="15" t="s">
        <v>29</v>
      </c>
      <c r="C31" s="107">
        <v>0.1701388888888889</v>
      </c>
      <c r="D31" s="15" t="s">
        <v>30</v>
      </c>
      <c r="E31" s="15" t="s">
        <v>36</v>
      </c>
      <c r="F31" s="15" t="s">
        <v>32</v>
      </c>
      <c r="G31" s="1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28</v>
      </c>
      <c r="B32" s="14" t="s">
        <v>35</v>
      </c>
      <c r="C32" s="106">
        <v>0.86458333333333337</v>
      </c>
      <c r="D32" s="14" t="s">
        <v>30</v>
      </c>
      <c r="E32" s="14" t="s">
        <v>36</v>
      </c>
      <c r="F32" s="14" t="s">
        <v>34</v>
      </c>
      <c r="G32" s="1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28</v>
      </c>
      <c r="B33" s="14" t="s">
        <v>33</v>
      </c>
      <c r="C33" s="106">
        <v>0.52777777777777779</v>
      </c>
      <c r="D33" s="14" t="s">
        <v>30</v>
      </c>
      <c r="E33" s="14" t="s">
        <v>36</v>
      </c>
      <c r="F33" s="14" t="s">
        <v>34</v>
      </c>
      <c r="G33" s="1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5" t="s">
        <v>83</v>
      </c>
      <c r="B34" s="15" t="s">
        <v>84</v>
      </c>
      <c r="C34" s="107">
        <v>0.95833333333333337</v>
      </c>
      <c r="D34" s="15" t="s">
        <v>67</v>
      </c>
      <c r="E34" s="15" t="s">
        <v>36</v>
      </c>
      <c r="F34" s="15" t="s">
        <v>54</v>
      </c>
      <c r="G34" s="1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4" t="s">
        <v>73</v>
      </c>
      <c r="B35" s="24" t="s">
        <v>74</v>
      </c>
      <c r="C35" s="111">
        <v>0.30555555555555558</v>
      </c>
      <c r="D35" s="24" t="s">
        <v>75</v>
      </c>
      <c r="E35" s="24" t="s">
        <v>76</v>
      </c>
      <c r="F35" s="24" t="s">
        <v>85</v>
      </c>
      <c r="G35" s="150"/>
      <c r="H35" s="25"/>
      <c r="I35" s="26"/>
      <c r="J35" s="26"/>
      <c r="K35" s="26"/>
      <c r="L35" s="26"/>
      <c r="M35" s="26"/>
      <c r="N35" s="26"/>
      <c r="O35" s="27"/>
      <c r="P35" s="26"/>
      <c r="Q35" s="28"/>
      <c r="R35" s="29"/>
    </row>
    <row r="36" spans="1:18" ht="17.399999999999999" customHeight="1" x14ac:dyDescent="0.3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7"/>
    </row>
    <row r="37" spans="1:18" ht="22.05" customHeight="1" x14ac:dyDescent="0.3">
      <c r="A37" s="154" t="s">
        <v>8</v>
      </c>
      <c r="B37" s="143"/>
      <c r="C37" s="143"/>
      <c r="D37" s="143"/>
      <c r="E37" s="143"/>
      <c r="F37" s="144"/>
      <c r="G37" s="112">
        <v>46013</v>
      </c>
      <c r="H37" s="142" t="s">
        <v>9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4"/>
    </row>
    <row r="38" spans="1:18" ht="24" customHeight="1" x14ac:dyDescent="0.3">
      <c r="A38" s="30" t="s">
        <v>10</v>
      </c>
      <c r="B38" s="30" t="s">
        <v>11</v>
      </c>
      <c r="C38" s="113" t="s">
        <v>12</v>
      </c>
      <c r="D38" s="30" t="s">
        <v>13</v>
      </c>
      <c r="E38" s="30" t="s">
        <v>14</v>
      </c>
      <c r="F38" s="31" t="s">
        <v>15</v>
      </c>
      <c r="G38" s="32" t="s">
        <v>16</v>
      </c>
      <c r="H38" s="30" t="s">
        <v>17</v>
      </c>
      <c r="I38" s="33" t="s">
        <v>18</v>
      </c>
      <c r="J38" s="34" t="s">
        <v>19</v>
      </c>
      <c r="K38" s="35" t="s">
        <v>20</v>
      </c>
      <c r="L38" s="34" t="s">
        <v>21</v>
      </c>
      <c r="M38" s="34" t="s">
        <v>22</v>
      </c>
      <c r="N38" s="34" t="s">
        <v>23</v>
      </c>
      <c r="O38" s="30" t="s">
        <v>24</v>
      </c>
      <c r="P38" s="113" t="s">
        <v>25</v>
      </c>
      <c r="Q38" s="34" t="s">
        <v>26</v>
      </c>
      <c r="R38" s="30" t="s">
        <v>27</v>
      </c>
    </row>
    <row r="39" spans="1:18" ht="15" customHeight="1" x14ac:dyDescent="0.3">
      <c r="A39" s="8" t="s">
        <v>57</v>
      </c>
      <c r="B39" s="8" t="s">
        <v>58</v>
      </c>
      <c r="C39" s="105">
        <v>0.30555555555555558</v>
      </c>
      <c r="D39" s="8" t="s">
        <v>59</v>
      </c>
      <c r="E39" s="8" t="s">
        <v>76</v>
      </c>
      <c r="F39" s="8" t="s">
        <v>79</v>
      </c>
      <c r="G39" s="1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57</v>
      </c>
      <c r="B40" s="16" t="s">
        <v>58</v>
      </c>
      <c r="C40" s="108">
        <v>0.30555555555555558</v>
      </c>
      <c r="D40" s="16" t="s">
        <v>62</v>
      </c>
      <c r="E40" s="16" t="s">
        <v>76</v>
      </c>
      <c r="F40" s="16" t="s">
        <v>86</v>
      </c>
      <c r="G40" s="1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57</v>
      </c>
      <c r="B41" s="16" t="s">
        <v>58</v>
      </c>
      <c r="C41" s="108">
        <v>0.30555555555555558</v>
      </c>
      <c r="D41" s="16" t="s">
        <v>51</v>
      </c>
      <c r="E41" s="16" t="s">
        <v>76</v>
      </c>
      <c r="F41" s="16" t="s">
        <v>82</v>
      </c>
      <c r="G41" s="1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45</v>
      </c>
      <c r="B42" s="15" t="s">
        <v>53</v>
      </c>
      <c r="C42" s="107">
        <v>0.83333333333333337</v>
      </c>
      <c r="D42" s="15" t="s">
        <v>47</v>
      </c>
      <c r="E42" s="15" t="s">
        <v>87</v>
      </c>
      <c r="F42" s="15" t="s">
        <v>79</v>
      </c>
      <c r="G42" s="1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45</v>
      </c>
      <c r="B43" s="16" t="s">
        <v>53</v>
      </c>
      <c r="C43" s="108">
        <v>0.83333333333333337</v>
      </c>
      <c r="D43" s="16" t="s">
        <v>49</v>
      </c>
      <c r="E43" s="16" t="s">
        <v>87</v>
      </c>
      <c r="F43" s="16" t="s">
        <v>54</v>
      </c>
      <c r="G43" s="1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45</v>
      </c>
      <c r="B44" s="16" t="s">
        <v>53</v>
      </c>
      <c r="C44" s="108">
        <v>0.83333333333333337</v>
      </c>
      <c r="D44" s="16" t="s">
        <v>51</v>
      </c>
      <c r="E44" s="16" t="s">
        <v>87</v>
      </c>
      <c r="F44" s="16" t="s">
        <v>80</v>
      </c>
      <c r="G44" s="1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45</v>
      </c>
      <c r="B45" s="14" t="s">
        <v>46</v>
      </c>
      <c r="C45" s="106">
        <v>0.19791666666666671</v>
      </c>
      <c r="D45" s="14" t="s">
        <v>47</v>
      </c>
      <c r="E45" s="14" t="s">
        <v>88</v>
      </c>
      <c r="F45" s="14" t="s">
        <v>79</v>
      </c>
      <c r="G45" s="1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45</v>
      </c>
      <c r="B46" s="16" t="s">
        <v>46</v>
      </c>
      <c r="C46" s="108">
        <v>0.19791666666666671</v>
      </c>
      <c r="D46" s="16" t="s">
        <v>49</v>
      </c>
      <c r="E46" s="16" t="s">
        <v>88</v>
      </c>
      <c r="F46" s="16" t="s">
        <v>54</v>
      </c>
      <c r="G46" s="1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45</v>
      </c>
      <c r="B47" s="16" t="s">
        <v>46</v>
      </c>
      <c r="C47" s="108">
        <v>0.19791666666666671</v>
      </c>
      <c r="D47" s="16" t="s">
        <v>51</v>
      </c>
      <c r="E47" s="16" t="s">
        <v>88</v>
      </c>
      <c r="F47" s="16" t="s">
        <v>80</v>
      </c>
      <c r="G47" s="1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5" t="s">
        <v>89</v>
      </c>
      <c r="B48" s="15" t="s">
        <v>90</v>
      </c>
      <c r="C48" s="107">
        <v>0.1215277777777778</v>
      </c>
      <c r="D48" s="15" t="s">
        <v>67</v>
      </c>
      <c r="E48" s="15" t="s">
        <v>36</v>
      </c>
      <c r="F48" s="15" t="s">
        <v>91</v>
      </c>
      <c r="G48" s="1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5" t="s">
        <v>83</v>
      </c>
      <c r="B49" s="15" t="s">
        <v>92</v>
      </c>
      <c r="C49" s="107">
        <v>0.95833333333333337</v>
      </c>
      <c r="D49" s="15" t="s">
        <v>67</v>
      </c>
      <c r="E49" s="15" t="s">
        <v>68</v>
      </c>
      <c r="F49" s="15" t="s">
        <v>48</v>
      </c>
      <c r="G49" s="1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5" t="s">
        <v>28</v>
      </c>
      <c r="B50" s="15" t="s">
        <v>35</v>
      </c>
      <c r="C50" s="107">
        <v>0.86458333333333337</v>
      </c>
      <c r="D50" s="15" t="s">
        <v>30</v>
      </c>
      <c r="E50" s="15" t="s">
        <v>36</v>
      </c>
      <c r="F50" s="15" t="s">
        <v>34</v>
      </c>
      <c r="G50" s="1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28</v>
      </c>
      <c r="B51" s="14" t="s">
        <v>33</v>
      </c>
      <c r="C51" s="106">
        <v>0.52777777777777779</v>
      </c>
      <c r="D51" s="14" t="s">
        <v>30</v>
      </c>
      <c r="E51" s="14" t="s">
        <v>36</v>
      </c>
      <c r="F51" s="14" t="s">
        <v>34</v>
      </c>
      <c r="G51" s="1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24" t="s">
        <v>73</v>
      </c>
      <c r="B52" s="24" t="s">
        <v>74</v>
      </c>
      <c r="C52" s="111">
        <v>0.30555555555555558</v>
      </c>
      <c r="D52" s="24" t="s">
        <v>75</v>
      </c>
      <c r="E52" s="24" t="s">
        <v>76</v>
      </c>
      <c r="F52" s="24" t="s">
        <v>93</v>
      </c>
      <c r="G52" s="150"/>
      <c r="H52" s="25"/>
      <c r="I52" s="26"/>
      <c r="J52" s="26"/>
      <c r="K52" s="26"/>
      <c r="L52" s="26"/>
      <c r="M52" s="26"/>
      <c r="N52" s="26"/>
      <c r="O52" s="27"/>
      <c r="P52" s="26"/>
      <c r="Q52" s="28"/>
      <c r="R52" s="29"/>
    </row>
    <row r="53" spans="1:18" ht="17.399999999999999" customHeight="1" x14ac:dyDescent="0.3">
      <c r="A53" s="145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7"/>
    </row>
    <row r="54" spans="1:18" ht="22.05" customHeight="1" x14ac:dyDescent="0.3">
      <c r="A54" s="154" t="s">
        <v>8</v>
      </c>
      <c r="B54" s="143"/>
      <c r="C54" s="143"/>
      <c r="D54" s="143"/>
      <c r="E54" s="143"/>
      <c r="F54" s="144"/>
      <c r="G54" s="112">
        <v>46014</v>
      </c>
      <c r="H54" s="142" t="s">
        <v>9</v>
      </c>
      <c r="I54" s="143"/>
      <c r="J54" s="143"/>
      <c r="K54" s="143"/>
      <c r="L54" s="143"/>
      <c r="M54" s="143"/>
      <c r="N54" s="143"/>
      <c r="O54" s="143"/>
      <c r="P54" s="143"/>
      <c r="Q54" s="143"/>
      <c r="R54" s="144"/>
    </row>
    <row r="55" spans="1:18" ht="24" customHeight="1" x14ac:dyDescent="0.3">
      <c r="A55" s="30" t="s">
        <v>10</v>
      </c>
      <c r="B55" s="30" t="s">
        <v>11</v>
      </c>
      <c r="C55" s="113" t="s">
        <v>12</v>
      </c>
      <c r="D55" s="30" t="s">
        <v>13</v>
      </c>
      <c r="E55" s="30" t="s">
        <v>14</v>
      </c>
      <c r="F55" s="31" t="s">
        <v>15</v>
      </c>
      <c r="G55" s="32" t="s">
        <v>16</v>
      </c>
      <c r="H55" s="30" t="s">
        <v>17</v>
      </c>
      <c r="I55" s="33" t="s">
        <v>18</v>
      </c>
      <c r="J55" s="34" t="s">
        <v>19</v>
      </c>
      <c r="K55" s="35" t="s">
        <v>20</v>
      </c>
      <c r="L55" s="34" t="s">
        <v>21</v>
      </c>
      <c r="M55" s="34" t="s">
        <v>22</v>
      </c>
      <c r="N55" s="34" t="s">
        <v>23</v>
      </c>
      <c r="O55" s="30" t="s">
        <v>24</v>
      </c>
      <c r="P55" s="113" t="s">
        <v>25</v>
      </c>
      <c r="Q55" s="34" t="s">
        <v>26</v>
      </c>
      <c r="R55" s="30" t="s">
        <v>27</v>
      </c>
    </row>
    <row r="56" spans="1:18" ht="15" customHeight="1" x14ac:dyDescent="0.3">
      <c r="A56" s="8" t="s">
        <v>57</v>
      </c>
      <c r="B56" s="8" t="s">
        <v>58</v>
      </c>
      <c r="C56" s="105">
        <v>0.30555555555555558</v>
      </c>
      <c r="D56" s="8" t="s">
        <v>59</v>
      </c>
      <c r="E56" s="8" t="s">
        <v>68</v>
      </c>
      <c r="F56" s="8" t="s">
        <v>79</v>
      </c>
      <c r="G56" s="1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57</v>
      </c>
      <c r="B57" s="16" t="s">
        <v>58</v>
      </c>
      <c r="C57" s="108">
        <v>0.30555555555555558</v>
      </c>
      <c r="D57" s="16" t="s">
        <v>62</v>
      </c>
      <c r="E57" s="16" t="s">
        <v>68</v>
      </c>
      <c r="F57" s="16" t="s">
        <v>86</v>
      </c>
      <c r="G57" s="1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57</v>
      </c>
      <c r="B58" s="16" t="s">
        <v>58</v>
      </c>
      <c r="C58" s="108">
        <v>0.30555555555555558</v>
      </c>
      <c r="D58" s="16" t="s">
        <v>51</v>
      </c>
      <c r="E58" s="16" t="s">
        <v>68</v>
      </c>
      <c r="F58" s="16" t="s">
        <v>82</v>
      </c>
      <c r="G58" s="1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45</v>
      </c>
      <c r="B59" s="15" t="s">
        <v>53</v>
      </c>
      <c r="C59" s="107">
        <v>0.83333333333333337</v>
      </c>
      <c r="D59" s="15" t="s">
        <v>47</v>
      </c>
      <c r="E59" s="15" t="s">
        <v>68</v>
      </c>
      <c r="F59" s="15" t="s">
        <v>79</v>
      </c>
      <c r="G59" s="1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45</v>
      </c>
      <c r="B60" s="16" t="s">
        <v>53</v>
      </c>
      <c r="C60" s="108">
        <v>0.83333333333333337</v>
      </c>
      <c r="D60" s="16" t="s">
        <v>49</v>
      </c>
      <c r="E60" s="16" t="s">
        <v>68</v>
      </c>
      <c r="F60" s="16" t="s">
        <v>54</v>
      </c>
      <c r="G60" s="1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45</v>
      </c>
      <c r="B61" s="16" t="s">
        <v>53</v>
      </c>
      <c r="C61" s="108">
        <v>0.83333333333333337</v>
      </c>
      <c r="D61" s="16" t="s">
        <v>51</v>
      </c>
      <c r="E61" s="16" t="s">
        <v>68</v>
      </c>
      <c r="F61" s="16" t="s">
        <v>80</v>
      </c>
      <c r="G61" s="1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45</v>
      </c>
      <c r="B62" s="14" t="s">
        <v>46</v>
      </c>
      <c r="C62" s="106">
        <v>0.19791666666666671</v>
      </c>
      <c r="D62" s="14" t="s">
        <v>47</v>
      </c>
      <c r="E62" s="14" t="s">
        <v>68</v>
      </c>
      <c r="F62" s="14" t="s">
        <v>79</v>
      </c>
      <c r="G62" s="1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45</v>
      </c>
      <c r="B63" s="16" t="s">
        <v>46</v>
      </c>
      <c r="C63" s="108">
        <v>0.19791666666666671</v>
      </c>
      <c r="D63" s="16" t="s">
        <v>49</v>
      </c>
      <c r="E63" s="16" t="s">
        <v>68</v>
      </c>
      <c r="F63" s="16" t="s">
        <v>54</v>
      </c>
      <c r="G63" s="1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45</v>
      </c>
      <c r="B64" s="16" t="s">
        <v>46</v>
      </c>
      <c r="C64" s="108">
        <v>0.19791666666666671</v>
      </c>
      <c r="D64" s="16" t="s">
        <v>51</v>
      </c>
      <c r="E64" s="16" t="s">
        <v>68</v>
      </c>
      <c r="F64" s="16" t="s">
        <v>80</v>
      </c>
      <c r="G64" s="1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28</v>
      </c>
      <c r="B65" s="15" t="s">
        <v>29</v>
      </c>
      <c r="C65" s="107">
        <v>0.1701388888888889</v>
      </c>
      <c r="D65" s="15" t="s">
        <v>30</v>
      </c>
      <c r="E65" s="15" t="s">
        <v>36</v>
      </c>
      <c r="F65" s="15" t="s">
        <v>32</v>
      </c>
      <c r="G65" s="1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28</v>
      </c>
      <c r="B66" s="14" t="s">
        <v>35</v>
      </c>
      <c r="C66" s="106">
        <v>0.86458333333333337</v>
      </c>
      <c r="D66" s="14" t="s">
        <v>30</v>
      </c>
      <c r="E66" s="14" t="s">
        <v>87</v>
      </c>
      <c r="F66" s="14" t="s">
        <v>34</v>
      </c>
      <c r="G66" s="1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36" t="s">
        <v>65</v>
      </c>
      <c r="B67" s="36" t="s">
        <v>66</v>
      </c>
      <c r="C67" s="114">
        <v>0.27083333333333331</v>
      </c>
      <c r="D67" s="36" t="s">
        <v>67</v>
      </c>
      <c r="E67" s="36" t="s">
        <v>36</v>
      </c>
      <c r="F67" s="36" t="s">
        <v>48</v>
      </c>
      <c r="G67" s="149"/>
      <c r="H67" s="37" t="s">
        <v>70</v>
      </c>
      <c r="I67" s="38">
        <v>0.21429999999999999</v>
      </c>
      <c r="J67" s="39">
        <v>36</v>
      </c>
      <c r="K67" s="40">
        <v>45997</v>
      </c>
      <c r="L67" s="39">
        <v>7</v>
      </c>
      <c r="M67" s="39">
        <v>0</v>
      </c>
      <c r="N67" s="39">
        <v>1</v>
      </c>
      <c r="O67" s="41" t="s">
        <v>94</v>
      </c>
      <c r="P67" s="115">
        <v>0.27083333333333331</v>
      </c>
      <c r="Q67" s="39">
        <v>168</v>
      </c>
      <c r="R67" s="42" t="s">
        <v>95</v>
      </c>
    </row>
    <row r="68" spans="1:18" ht="15" customHeight="1" x14ac:dyDescent="0.3">
      <c r="A68" s="15" t="s">
        <v>83</v>
      </c>
      <c r="B68" s="15" t="s">
        <v>96</v>
      </c>
      <c r="C68" s="107">
        <v>0.95833333333333337</v>
      </c>
      <c r="D68" s="15" t="s">
        <v>67</v>
      </c>
      <c r="E68" s="15" t="s">
        <v>78</v>
      </c>
      <c r="F68" s="15" t="s">
        <v>48</v>
      </c>
      <c r="G68" s="1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4" t="s">
        <v>73</v>
      </c>
      <c r="B69" s="24" t="s">
        <v>74</v>
      </c>
      <c r="C69" s="111">
        <v>0.30555555555555558</v>
      </c>
      <c r="D69" s="24" t="s">
        <v>75</v>
      </c>
      <c r="E69" s="24" t="s">
        <v>76</v>
      </c>
      <c r="F69" s="24" t="s">
        <v>93</v>
      </c>
      <c r="G69" s="150"/>
      <c r="H69" s="25"/>
      <c r="I69" s="26"/>
      <c r="J69" s="26"/>
      <c r="K69" s="26"/>
      <c r="L69" s="26"/>
      <c r="M69" s="26"/>
      <c r="N69" s="26"/>
      <c r="O69" s="27"/>
      <c r="P69" s="26"/>
      <c r="Q69" s="28"/>
      <c r="R69" s="29"/>
    </row>
    <row r="70" spans="1:18" ht="17.399999999999999" customHeight="1" x14ac:dyDescent="0.3">
      <c r="A70" s="145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7"/>
    </row>
    <row r="71" spans="1:18" ht="22.05" customHeight="1" x14ac:dyDescent="0.3">
      <c r="A71" s="154" t="s">
        <v>8</v>
      </c>
      <c r="B71" s="143"/>
      <c r="C71" s="143"/>
      <c r="D71" s="143"/>
      <c r="E71" s="143"/>
      <c r="F71" s="144"/>
      <c r="G71" s="112">
        <v>46015</v>
      </c>
      <c r="H71" s="142" t="s">
        <v>9</v>
      </c>
      <c r="I71" s="143"/>
      <c r="J71" s="143"/>
      <c r="K71" s="143"/>
      <c r="L71" s="143"/>
      <c r="M71" s="143"/>
      <c r="N71" s="143"/>
      <c r="O71" s="143"/>
      <c r="P71" s="143"/>
      <c r="Q71" s="143"/>
      <c r="R71" s="144"/>
    </row>
    <row r="72" spans="1:18" ht="24" customHeight="1" x14ac:dyDescent="0.3">
      <c r="A72" s="30" t="s">
        <v>10</v>
      </c>
      <c r="B72" s="30" t="s">
        <v>11</v>
      </c>
      <c r="C72" s="113" t="s">
        <v>12</v>
      </c>
      <c r="D72" s="30" t="s">
        <v>13</v>
      </c>
      <c r="E72" s="30" t="s">
        <v>14</v>
      </c>
      <c r="F72" s="31" t="s">
        <v>15</v>
      </c>
      <c r="G72" s="32" t="s">
        <v>16</v>
      </c>
      <c r="H72" s="30" t="s">
        <v>17</v>
      </c>
      <c r="I72" s="33" t="s">
        <v>18</v>
      </c>
      <c r="J72" s="34" t="s">
        <v>19</v>
      </c>
      <c r="K72" s="35" t="s">
        <v>20</v>
      </c>
      <c r="L72" s="34" t="s">
        <v>21</v>
      </c>
      <c r="M72" s="34" t="s">
        <v>22</v>
      </c>
      <c r="N72" s="34" t="s">
        <v>23</v>
      </c>
      <c r="O72" s="30" t="s">
        <v>24</v>
      </c>
      <c r="P72" s="113" t="s">
        <v>25</v>
      </c>
      <c r="Q72" s="34" t="s">
        <v>26</v>
      </c>
      <c r="R72" s="30" t="s">
        <v>27</v>
      </c>
    </row>
    <row r="73" spans="1:18" ht="15" customHeight="1" x14ac:dyDescent="0.3">
      <c r="A73" s="8" t="s">
        <v>38</v>
      </c>
      <c r="B73" s="8" t="s">
        <v>39</v>
      </c>
      <c r="C73" s="105">
        <v>0.97222222222222221</v>
      </c>
      <c r="D73" s="8" t="s">
        <v>40</v>
      </c>
      <c r="E73" s="8" t="s">
        <v>41</v>
      </c>
      <c r="F73" s="8" t="s">
        <v>97</v>
      </c>
      <c r="G73" s="1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38</v>
      </c>
      <c r="B74" s="16" t="s">
        <v>39</v>
      </c>
      <c r="C74" s="108">
        <v>0.97222222222222221</v>
      </c>
      <c r="D74" s="16" t="s">
        <v>43</v>
      </c>
      <c r="E74" s="16" t="s">
        <v>41</v>
      </c>
      <c r="F74" s="16" t="s">
        <v>98</v>
      </c>
      <c r="G74" s="1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57</v>
      </c>
      <c r="B75" s="15" t="s">
        <v>58</v>
      </c>
      <c r="C75" s="107">
        <v>0.30555555555555558</v>
      </c>
      <c r="D75" s="15" t="s">
        <v>59</v>
      </c>
      <c r="E75" s="15" t="s">
        <v>99</v>
      </c>
      <c r="F75" s="15" t="s">
        <v>32</v>
      </c>
      <c r="G75" s="1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57</v>
      </c>
      <c r="B76" s="16" t="s">
        <v>58</v>
      </c>
      <c r="C76" s="108">
        <v>0.30555555555555558</v>
      </c>
      <c r="D76" s="16" t="s">
        <v>62</v>
      </c>
      <c r="E76" s="16" t="s">
        <v>99</v>
      </c>
      <c r="F76" s="16" t="s">
        <v>81</v>
      </c>
      <c r="G76" s="1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57</v>
      </c>
      <c r="B77" s="16" t="s">
        <v>58</v>
      </c>
      <c r="C77" s="108">
        <v>0.30555555555555558</v>
      </c>
      <c r="D77" s="16" t="s">
        <v>51</v>
      </c>
      <c r="E77" s="16" t="s">
        <v>99</v>
      </c>
      <c r="F77" s="16" t="s">
        <v>82</v>
      </c>
      <c r="G77" s="1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89</v>
      </c>
      <c r="B78" s="15" t="s">
        <v>100</v>
      </c>
      <c r="C78" s="107">
        <v>9.0277777777777776E-2</v>
      </c>
      <c r="D78" s="15" t="s">
        <v>67</v>
      </c>
      <c r="E78" s="15" t="s">
        <v>36</v>
      </c>
      <c r="F78" s="15" t="s">
        <v>91</v>
      </c>
      <c r="G78" s="1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28</v>
      </c>
      <c r="B79" s="15" t="s">
        <v>29</v>
      </c>
      <c r="C79" s="107">
        <v>0.1701388888888889</v>
      </c>
      <c r="D79" s="15" t="s">
        <v>30</v>
      </c>
      <c r="E79" s="15" t="s">
        <v>87</v>
      </c>
      <c r="F79" s="15" t="s">
        <v>101</v>
      </c>
      <c r="G79" s="1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28</v>
      </c>
      <c r="B80" s="14" t="s">
        <v>35</v>
      </c>
      <c r="C80" s="106">
        <v>0.86458333333333337</v>
      </c>
      <c r="D80" s="14" t="s">
        <v>30</v>
      </c>
      <c r="E80" s="14" t="s">
        <v>78</v>
      </c>
      <c r="F80" s="14" t="s">
        <v>34</v>
      </c>
      <c r="G80" s="1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28</v>
      </c>
      <c r="B81" s="14" t="s">
        <v>33</v>
      </c>
      <c r="C81" s="106">
        <v>0.52777777777777779</v>
      </c>
      <c r="D81" s="14" t="s">
        <v>30</v>
      </c>
      <c r="E81" s="14" t="s">
        <v>36</v>
      </c>
      <c r="F81" s="14" t="s">
        <v>34</v>
      </c>
      <c r="G81" s="1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5" t="s">
        <v>83</v>
      </c>
      <c r="B82" s="15" t="s">
        <v>92</v>
      </c>
      <c r="C82" s="107">
        <v>0.89583333333333337</v>
      </c>
      <c r="D82" s="15" t="s">
        <v>67</v>
      </c>
      <c r="E82" s="15" t="s">
        <v>78</v>
      </c>
      <c r="F82" s="15" t="s">
        <v>48</v>
      </c>
      <c r="G82" s="1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5" t="s">
        <v>45</v>
      </c>
      <c r="B83" s="15" t="s">
        <v>53</v>
      </c>
      <c r="C83" s="107">
        <v>0.84722222222222221</v>
      </c>
      <c r="D83" s="15" t="s">
        <v>47</v>
      </c>
      <c r="E83" s="15" t="s">
        <v>102</v>
      </c>
      <c r="F83" s="15" t="s">
        <v>103</v>
      </c>
      <c r="G83" s="1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45</v>
      </c>
      <c r="B84" s="16" t="s">
        <v>53</v>
      </c>
      <c r="C84" s="108">
        <v>0.84722222222222221</v>
      </c>
      <c r="D84" s="16" t="s">
        <v>49</v>
      </c>
      <c r="E84" s="16" t="s">
        <v>102</v>
      </c>
      <c r="F84" s="16" t="s">
        <v>104</v>
      </c>
      <c r="G84" s="1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45</v>
      </c>
      <c r="B85" s="16" t="s">
        <v>53</v>
      </c>
      <c r="C85" s="108">
        <v>0.84722222222222221</v>
      </c>
      <c r="D85" s="16" t="s">
        <v>51</v>
      </c>
      <c r="E85" s="16" t="s">
        <v>102</v>
      </c>
      <c r="F85" s="16" t="s">
        <v>105</v>
      </c>
      <c r="G85" s="1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4" t="s">
        <v>73</v>
      </c>
      <c r="B86" s="24" t="s">
        <v>74</v>
      </c>
      <c r="C86" s="111">
        <v>0.30555555555555558</v>
      </c>
      <c r="D86" s="24" t="s">
        <v>75</v>
      </c>
      <c r="E86" s="24" t="s">
        <v>76</v>
      </c>
      <c r="F86" s="24" t="s">
        <v>93</v>
      </c>
      <c r="G86" s="150"/>
      <c r="H86" s="25"/>
      <c r="I86" s="26"/>
      <c r="J86" s="26"/>
      <c r="K86" s="26"/>
      <c r="L86" s="26"/>
      <c r="M86" s="26"/>
      <c r="N86" s="26"/>
      <c r="O86" s="27"/>
      <c r="P86" s="26"/>
      <c r="Q86" s="28"/>
      <c r="R86" s="29"/>
    </row>
    <row r="87" spans="1:18" ht="17.399999999999999" customHeight="1" x14ac:dyDescent="0.3">
      <c r="A87" s="145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7"/>
    </row>
    <row r="88" spans="1:18" ht="22.05" customHeight="1" x14ac:dyDescent="0.3">
      <c r="A88" s="154" t="s">
        <v>8</v>
      </c>
      <c r="B88" s="143"/>
      <c r="C88" s="143"/>
      <c r="D88" s="143"/>
      <c r="E88" s="143"/>
      <c r="F88" s="144"/>
      <c r="G88" s="112">
        <v>46016</v>
      </c>
      <c r="H88" s="142" t="s">
        <v>9</v>
      </c>
      <c r="I88" s="143"/>
      <c r="J88" s="143"/>
      <c r="K88" s="143"/>
      <c r="L88" s="143"/>
      <c r="M88" s="143"/>
      <c r="N88" s="143"/>
      <c r="O88" s="143"/>
      <c r="P88" s="143"/>
      <c r="Q88" s="143"/>
      <c r="R88" s="144"/>
    </row>
    <row r="89" spans="1:18" ht="24" customHeight="1" x14ac:dyDescent="0.3">
      <c r="A89" s="30" t="s">
        <v>10</v>
      </c>
      <c r="B89" s="30" t="s">
        <v>11</v>
      </c>
      <c r="C89" s="113" t="s">
        <v>12</v>
      </c>
      <c r="D89" s="30" t="s">
        <v>13</v>
      </c>
      <c r="E89" s="30" t="s">
        <v>14</v>
      </c>
      <c r="F89" s="31" t="s">
        <v>15</v>
      </c>
      <c r="G89" s="32" t="s">
        <v>16</v>
      </c>
      <c r="H89" s="30" t="s">
        <v>17</v>
      </c>
      <c r="I89" s="33" t="s">
        <v>18</v>
      </c>
      <c r="J89" s="34" t="s">
        <v>19</v>
      </c>
      <c r="K89" s="35" t="s">
        <v>20</v>
      </c>
      <c r="L89" s="34" t="s">
        <v>21</v>
      </c>
      <c r="M89" s="34" t="s">
        <v>22</v>
      </c>
      <c r="N89" s="34" t="s">
        <v>23</v>
      </c>
      <c r="O89" s="30" t="s">
        <v>24</v>
      </c>
      <c r="P89" s="113" t="s">
        <v>25</v>
      </c>
      <c r="Q89" s="34" t="s">
        <v>26</v>
      </c>
      <c r="R89" s="30" t="s">
        <v>27</v>
      </c>
    </row>
    <row r="90" spans="1:18" ht="15" customHeight="1" x14ac:dyDescent="0.3">
      <c r="A90" s="8" t="s">
        <v>28</v>
      </c>
      <c r="B90" s="8" t="s">
        <v>29</v>
      </c>
      <c r="C90" s="105">
        <v>0.1701388888888889</v>
      </c>
      <c r="D90" s="8" t="s">
        <v>30</v>
      </c>
      <c r="E90" s="8" t="s">
        <v>87</v>
      </c>
      <c r="F90" s="8" t="s">
        <v>32</v>
      </c>
      <c r="G90" s="148" t="s">
        <v>106</v>
      </c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28</v>
      </c>
      <c r="B91" s="14" t="s">
        <v>35</v>
      </c>
      <c r="C91" s="106">
        <v>0.86458333333333337</v>
      </c>
      <c r="D91" s="14" t="s">
        <v>107</v>
      </c>
      <c r="E91" s="14" t="s">
        <v>36</v>
      </c>
      <c r="F91" s="14" t="s">
        <v>108</v>
      </c>
      <c r="G91" s="1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28</v>
      </c>
      <c r="B92" s="14" t="s">
        <v>33</v>
      </c>
      <c r="C92" s="106">
        <v>0.52777777777777779</v>
      </c>
      <c r="D92" s="14" t="s">
        <v>107</v>
      </c>
      <c r="E92" s="14" t="s">
        <v>36</v>
      </c>
      <c r="F92" s="14" t="s">
        <v>109</v>
      </c>
      <c r="G92" s="1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89</v>
      </c>
      <c r="B93" s="15" t="s">
        <v>100</v>
      </c>
      <c r="C93" s="107">
        <v>0.88888888888888884</v>
      </c>
      <c r="D93" s="15" t="s">
        <v>110</v>
      </c>
      <c r="E93" s="15" t="s">
        <v>87</v>
      </c>
      <c r="F93" s="15" t="s">
        <v>91</v>
      </c>
      <c r="G93" s="1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5" t="s">
        <v>83</v>
      </c>
      <c r="B94" s="15" t="s">
        <v>96</v>
      </c>
      <c r="C94" s="107">
        <v>0.95833333333333337</v>
      </c>
      <c r="D94" s="15" t="s">
        <v>67</v>
      </c>
      <c r="E94" s="15" t="s">
        <v>68</v>
      </c>
      <c r="F94" s="15" t="s">
        <v>54</v>
      </c>
      <c r="G94" s="1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36" t="s">
        <v>65</v>
      </c>
      <c r="B95" s="36" t="s">
        <v>66</v>
      </c>
      <c r="C95" s="114">
        <v>0.92361111111111116</v>
      </c>
      <c r="D95" s="36" t="s">
        <v>67</v>
      </c>
      <c r="E95" s="36" t="s">
        <v>36</v>
      </c>
      <c r="F95" s="36" t="s">
        <v>69</v>
      </c>
      <c r="G95" s="149"/>
      <c r="H95" s="37" t="s">
        <v>70</v>
      </c>
      <c r="I95" s="38">
        <v>0.36309999999999998</v>
      </c>
      <c r="J95" s="39">
        <v>61</v>
      </c>
      <c r="K95" s="40">
        <v>45996</v>
      </c>
      <c r="L95" s="39">
        <v>18</v>
      </c>
      <c r="M95" s="39">
        <v>0</v>
      </c>
      <c r="N95" s="39">
        <v>0</v>
      </c>
      <c r="O95" s="41" t="s">
        <v>111</v>
      </c>
      <c r="P95" s="115">
        <v>0.92361111111111116</v>
      </c>
      <c r="Q95" s="39">
        <v>168</v>
      </c>
      <c r="R95" s="42" t="s">
        <v>112</v>
      </c>
    </row>
    <row r="96" spans="1:18" ht="15" customHeight="1" x14ac:dyDescent="0.3">
      <c r="A96" s="24" t="s">
        <v>73</v>
      </c>
      <c r="B96" s="24" t="s">
        <v>74</v>
      </c>
      <c r="C96" s="111">
        <v>0.30555555555555558</v>
      </c>
      <c r="D96" s="24" t="s">
        <v>75</v>
      </c>
      <c r="E96" s="24" t="s">
        <v>76</v>
      </c>
      <c r="F96" s="24" t="s">
        <v>93</v>
      </c>
      <c r="G96" s="150"/>
      <c r="H96" s="25"/>
      <c r="I96" s="26"/>
      <c r="J96" s="26"/>
      <c r="K96" s="26"/>
      <c r="L96" s="26"/>
      <c r="M96" s="26"/>
      <c r="N96" s="26"/>
      <c r="O96" s="27"/>
      <c r="P96" s="26"/>
      <c r="Q96" s="28"/>
      <c r="R96" s="29"/>
    </row>
    <row r="97" spans="1:18" ht="17.399999999999999" customHeight="1" x14ac:dyDescent="0.3">
      <c r="A97" s="145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7"/>
    </row>
    <row r="98" spans="1:18" ht="22.05" customHeight="1" x14ac:dyDescent="0.3">
      <c r="A98" s="154" t="s">
        <v>8</v>
      </c>
      <c r="B98" s="143"/>
      <c r="C98" s="143"/>
      <c r="D98" s="143"/>
      <c r="E98" s="143"/>
      <c r="F98" s="144"/>
      <c r="G98" s="112">
        <v>46017</v>
      </c>
      <c r="H98" s="142" t="s">
        <v>9</v>
      </c>
      <c r="I98" s="143"/>
      <c r="J98" s="143"/>
      <c r="K98" s="143"/>
      <c r="L98" s="143"/>
      <c r="M98" s="143"/>
      <c r="N98" s="143"/>
      <c r="O98" s="143"/>
      <c r="P98" s="143"/>
      <c r="Q98" s="143"/>
      <c r="R98" s="144"/>
    </row>
    <row r="99" spans="1:18" ht="24" customHeight="1" x14ac:dyDescent="0.3">
      <c r="A99" s="30" t="s">
        <v>10</v>
      </c>
      <c r="B99" s="30" t="s">
        <v>11</v>
      </c>
      <c r="C99" s="113" t="s">
        <v>12</v>
      </c>
      <c r="D99" s="30" t="s">
        <v>13</v>
      </c>
      <c r="E99" s="30" t="s">
        <v>14</v>
      </c>
      <c r="F99" s="31" t="s">
        <v>15</v>
      </c>
      <c r="G99" s="32" t="s">
        <v>16</v>
      </c>
      <c r="H99" s="30" t="s">
        <v>17</v>
      </c>
      <c r="I99" s="33" t="s">
        <v>18</v>
      </c>
      <c r="J99" s="34" t="s">
        <v>19</v>
      </c>
      <c r="K99" s="35" t="s">
        <v>20</v>
      </c>
      <c r="L99" s="34" t="s">
        <v>21</v>
      </c>
      <c r="M99" s="34" t="s">
        <v>22</v>
      </c>
      <c r="N99" s="34" t="s">
        <v>23</v>
      </c>
      <c r="O99" s="30" t="s">
        <v>24</v>
      </c>
      <c r="P99" s="113" t="s">
        <v>25</v>
      </c>
      <c r="Q99" s="34" t="s">
        <v>26</v>
      </c>
      <c r="R99" s="30" t="s">
        <v>27</v>
      </c>
    </row>
    <row r="100" spans="1:18" ht="15" customHeight="1" x14ac:dyDescent="0.3">
      <c r="A100" s="8" t="s">
        <v>45</v>
      </c>
      <c r="B100" s="8" t="s">
        <v>53</v>
      </c>
      <c r="C100" s="105">
        <v>0.83333333333333337</v>
      </c>
      <c r="D100" s="8" t="s">
        <v>47</v>
      </c>
      <c r="E100" s="8" t="s">
        <v>31</v>
      </c>
      <c r="F100" s="8" t="s">
        <v>79</v>
      </c>
      <c r="G100" s="1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45</v>
      </c>
      <c r="B101" s="16" t="s">
        <v>53</v>
      </c>
      <c r="C101" s="108">
        <v>0.83333333333333337</v>
      </c>
      <c r="D101" s="16" t="s">
        <v>49</v>
      </c>
      <c r="E101" s="16" t="s">
        <v>31</v>
      </c>
      <c r="F101" s="16" t="s">
        <v>54</v>
      </c>
      <c r="G101" s="1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45</v>
      </c>
      <c r="B102" s="16" t="s">
        <v>53</v>
      </c>
      <c r="C102" s="108">
        <v>0.83333333333333337</v>
      </c>
      <c r="D102" s="16" t="s">
        <v>51</v>
      </c>
      <c r="E102" s="16" t="s">
        <v>31</v>
      </c>
      <c r="F102" s="16" t="s">
        <v>80</v>
      </c>
      <c r="G102" s="1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57</v>
      </c>
      <c r="B103" s="15" t="s">
        <v>58</v>
      </c>
      <c r="C103" s="107">
        <v>0.30555555555555558</v>
      </c>
      <c r="D103" s="15" t="s">
        <v>59</v>
      </c>
      <c r="E103" s="15" t="s">
        <v>113</v>
      </c>
      <c r="F103" s="15" t="s">
        <v>32</v>
      </c>
      <c r="G103" s="1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57</v>
      </c>
      <c r="B104" s="16" t="s">
        <v>58</v>
      </c>
      <c r="C104" s="108">
        <v>0.30555555555555558</v>
      </c>
      <c r="D104" s="16" t="s">
        <v>62</v>
      </c>
      <c r="E104" s="16" t="s">
        <v>113</v>
      </c>
      <c r="F104" s="16" t="s">
        <v>81</v>
      </c>
      <c r="G104" s="1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57</v>
      </c>
      <c r="B105" s="16" t="s">
        <v>58</v>
      </c>
      <c r="C105" s="108">
        <v>0.30555555555555558</v>
      </c>
      <c r="D105" s="16" t="s">
        <v>51</v>
      </c>
      <c r="E105" s="16" t="s">
        <v>113</v>
      </c>
      <c r="F105" s="16" t="s">
        <v>64</v>
      </c>
      <c r="G105" s="1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5" t="s">
        <v>28</v>
      </c>
      <c r="B106" s="15" t="s">
        <v>29</v>
      </c>
      <c r="C106" s="107">
        <v>0.1701388888888889</v>
      </c>
      <c r="D106" s="15" t="s">
        <v>30</v>
      </c>
      <c r="E106" s="15" t="s">
        <v>31</v>
      </c>
      <c r="F106" s="15" t="s">
        <v>32</v>
      </c>
      <c r="G106" s="1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28</v>
      </c>
      <c r="B107" s="14" t="s">
        <v>35</v>
      </c>
      <c r="C107" s="106">
        <v>0.86458333333333337</v>
      </c>
      <c r="D107" s="14" t="s">
        <v>30</v>
      </c>
      <c r="E107" s="14" t="s">
        <v>36</v>
      </c>
      <c r="F107" s="14" t="s">
        <v>34</v>
      </c>
      <c r="G107" s="1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28</v>
      </c>
      <c r="B108" s="14" t="s">
        <v>33</v>
      </c>
      <c r="C108" s="106">
        <v>0.52777777777777779</v>
      </c>
      <c r="D108" s="14" t="s">
        <v>107</v>
      </c>
      <c r="E108" s="14" t="s">
        <v>76</v>
      </c>
      <c r="F108" s="14" t="s">
        <v>114</v>
      </c>
      <c r="G108" s="1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5" t="s">
        <v>83</v>
      </c>
      <c r="B109" s="15" t="s">
        <v>92</v>
      </c>
      <c r="C109" s="107">
        <v>0.95833333333333337</v>
      </c>
      <c r="D109" s="15" t="s">
        <v>110</v>
      </c>
      <c r="E109" s="15" t="s">
        <v>36</v>
      </c>
      <c r="F109" s="15" t="s">
        <v>48</v>
      </c>
      <c r="G109" s="1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43" t="s">
        <v>65</v>
      </c>
      <c r="B110" s="43" t="s">
        <v>66</v>
      </c>
      <c r="C110" s="116">
        <v>0.57986111111111116</v>
      </c>
      <c r="D110" s="43" t="s">
        <v>67</v>
      </c>
      <c r="E110" s="43" t="s">
        <v>102</v>
      </c>
      <c r="F110" s="43" t="s">
        <v>69</v>
      </c>
      <c r="G110" s="149"/>
      <c r="H110" s="44" t="s">
        <v>70</v>
      </c>
      <c r="I110" s="45">
        <v>0.39879999999999999</v>
      </c>
      <c r="J110" s="46">
        <v>67</v>
      </c>
      <c r="K110" s="47">
        <v>45996</v>
      </c>
      <c r="L110" s="46">
        <v>16</v>
      </c>
      <c r="M110" s="46">
        <v>0</v>
      </c>
      <c r="N110" s="46">
        <v>0</v>
      </c>
      <c r="O110" s="48" t="s">
        <v>115</v>
      </c>
      <c r="P110" s="117">
        <v>0.57986111111111116</v>
      </c>
      <c r="Q110" s="46">
        <v>168</v>
      </c>
      <c r="R110" s="49" t="s">
        <v>116</v>
      </c>
    </row>
    <row r="111" spans="1:18" ht="15" customHeight="1" x14ac:dyDescent="0.3">
      <c r="A111" s="24" t="s">
        <v>73</v>
      </c>
      <c r="B111" s="24" t="s">
        <v>74</v>
      </c>
      <c r="C111" s="111">
        <v>0.30555555555555558</v>
      </c>
      <c r="D111" s="24" t="s">
        <v>75</v>
      </c>
      <c r="E111" s="24" t="s">
        <v>76</v>
      </c>
      <c r="F111" s="24" t="s">
        <v>93</v>
      </c>
      <c r="G111" s="150"/>
      <c r="H111" s="25"/>
      <c r="I111" s="26"/>
      <c r="J111" s="26"/>
      <c r="K111" s="26"/>
      <c r="L111" s="26"/>
      <c r="M111" s="26"/>
      <c r="N111" s="26"/>
      <c r="O111" s="27"/>
      <c r="P111" s="26"/>
      <c r="Q111" s="28"/>
      <c r="R111" s="29"/>
    </row>
    <row r="112" spans="1:18" ht="17.399999999999999" customHeight="1" x14ac:dyDescent="0.3">
      <c r="A112" s="145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7"/>
    </row>
    <row r="113" spans="1:18" ht="22.05" customHeight="1" x14ac:dyDescent="0.3">
      <c r="A113" s="154" t="s">
        <v>8</v>
      </c>
      <c r="B113" s="143"/>
      <c r="C113" s="143"/>
      <c r="D113" s="143"/>
      <c r="E113" s="143"/>
      <c r="F113" s="144"/>
      <c r="G113" s="112">
        <v>46018</v>
      </c>
      <c r="H113" s="142" t="s">
        <v>9</v>
      </c>
      <c r="I113" s="143"/>
      <c r="J113" s="143"/>
      <c r="K113" s="143"/>
      <c r="L113" s="143"/>
      <c r="M113" s="143"/>
      <c r="N113" s="143"/>
      <c r="O113" s="143"/>
      <c r="P113" s="143"/>
      <c r="Q113" s="143"/>
      <c r="R113" s="144"/>
    </row>
    <row r="114" spans="1:18" ht="24" customHeight="1" x14ac:dyDescent="0.3">
      <c r="A114" s="30" t="s">
        <v>10</v>
      </c>
      <c r="B114" s="30" t="s">
        <v>11</v>
      </c>
      <c r="C114" s="113" t="s">
        <v>12</v>
      </c>
      <c r="D114" s="30" t="s">
        <v>13</v>
      </c>
      <c r="E114" s="30" t="s">
        <v>14</v>
      </c>
      <c r="F114" s="31" t="s">
        <v>15</v>
      </c>
      <c r="G114" s="32" t="s">
        <v>16</v>
      </c>
      <c r="H114" s="30" t="s">
        <v>17</v>
      </c>
      <c r="I114" s="33" t="s">
        <v>18</v>
      </c>
      <c r="J114" s="34" t="s">
        <v>19</v>
      </c>
      <c r="K114" s="35" t="s">
        <v>20</v>
      </c>
      <c r="L114" s="34" t="s">
        <v>21</v>
      </c>
      <c r="M114" s="34" t="s">
        <v>22</v>
      </c>
      <c r="N114" s="34" t="s">
        <v>23</v>
      </c>
      <c r="O114" s="30" t="s">
        <v>24</v>
      </c>
      <c r="P114" s="113" t="s">
        <v>25</v>
      </c>
      <c r="Q114" s="34" t="s">
        <v>26</v>
      </c>
      <c r="R114" s="30" t="s">
        <v>27</v>
      </c>
    </row>
    <row r="115" spans="1:18" ht="15" customHeight="1" x14ac:dyDescent="0.3">
      <c r="A115" s="8" t="s">
        <v>57</v>
      </c>
      <c r="B115" s="8" t="s">
        <v>58</v>
      </c>
      <c r="C115" s="105">
        <v>0.30555555555555558</v>
      </c>
      <c r="D115" s="8" t="s">
        <v>59</v>
      </c>
      <c r="E115" s="8" t="s">
        <v>68</v>
      </c>
      <c r="F115" s="8" t="s">
        <v>79</v>
      </c>
      <c r="G115" s="1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57</v>
      </c>
      <c r="B116" s="16" t="s">
        <v>58</v>
      </c>
      <c r="C116" s="108">
        <v>0.30555555555555558</v>
      </c>
      <c r="D116" s="16" t="s">
        <v>62</v>
      </c>
      <c r="E116" s="16" t="s">
        <v>68</v>
      </c>
      <c r="F116" s="16" t="s">
        <v>86</v>
      </c>
      <c r="G116" s="1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57</v>
      </c>
      <c r="B117" s="16" t="s">
        <v>58</v>
      </c>
      <c r="C117" s="108">
        <v>0.30555555555555558</v>
      </c>
      <c r="D117" s="16" t="s">
        <v>51</v>
      </c>
      <c r="E117" s="16" t="s">
        <v>68</v>
      </c>
      <c r="F117" s="16" t="s">
        <v>82</v>
      </c>
      <c r="G117" s="1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45</v>
      </c>
      <c r="B118" s="15" t="s">
        <v>46</v>
      </c>
      <c r="C118" s="107">
        <v>0.19791666666666671</v>
      </c>
      <c r="D118" s="15" t="s">
        <v>47</v>
      </c>
      <c r="E118" s="15" t="s">
        <v>117</v>
      </c>
      <c r="F118" s="15" t="s">
        <v>79</v>
      </c>
      <c r="G118" s="1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45</v>
      </c>
      <c r="B119" s="16" t="s">
        <v>46</v>
      </c>
      <c r="C119" s="108">
        <v>0.19791666666666671</v>
      </c>
      <c r="D119" s="16" t="s">
        <v>49</v>
      </c>
      <c r="E119" s="16" t="s">
        <v>117</v>
      </c>
      <c r="F119" s="16" t="s">
        <v>54</v>
      </c>
      <c r="G119" s="1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45</v>
      </c>
      <c r="B120" s="16" t="s">
        <v>46</v>
      </c>
      <c r="C120" s="108">
        <v>0.19791666666666671</v>
      </c>
      <c r="D120" s="16" t="s">
        <v>51</v>
      </c>
      <c r="E120" s="16" t="s">
        <v>117</v>
      </c>
      <c r="F120" s="16" t="s">
        <v>80</v>
      </c>
      <c r="G120" s="1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45</v>
      </c>
      <c r="B121" s="14" t="s">
        <v>53</v>
      </c>
      <c r="C121" s="106">
        <v>0.83333333333333337</v>
      </c>
      <c r="D121" s="14" t="s">
        <v>47</v>
      </c>
      <c r="E121" s="14" t="s">
        <v>102</v>
      </c>
      <c r="F121" s="14" t="s">
        <v>48</v>
      </c>
      <c r="G121" s="1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45</v>
      </c>
      <c r="B122" s="16" t="s">
        <v>53</v>
      </c>
      <c r="C122" s="108">
        <v>0.83333333333333337</v>
      </c>
      <c r="D122" s="16" t="s">
        <v>49</v>
      </c>
      <c r="E122" s="16" t="s">
        <v>102</v>
      </c>
      <c r="F122" s="16" t="s">
        <v>50</v>
      </c>
      <c r="G122" s="1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45</v>
      </c>
      <c r="B123" s="16" t="s">
        <v>53</v>
      </c>
      <c r="C123" s="108">
        <v>0.83333333333333337</v>
      </c>
      <c r="D123" s="16" t="s">
        <v>51</v>
      </c>
      <c r="E123" s="16" t="s">
        <v>102</v>
      </c>
      <c r="F123" s="16" t="s">
        <v>52</v>
      </c>
      <c r="G123" s="1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5" t="s">
        <v>28</v>
      </c>
      <c r="B124" s="15" t="s">
        <v>29</v>
      </c>
      <c r="C124" s="107">
        <v>0.1701388888888889</v>
      </c>
      <c r="D124" s="15" t="s">
        <v>30</v>
      </c>
      <c r="E124" s="15" t="s">
        <v>36</v>
      </c>
      <c r="F124" s="15" t="s">
        <v>32</v>
      </c>
      <c r="G124" s="1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28</v>
      </c>
      <c r="B125" s="14" t="s">
        <v>35</v>
      </c>
      <c r="C125" s="106">
        <v>0.86805555555555558</v>
      </c>
      <c r="D125" s="14" t="s">
        <v>30</v>
      </c>
      <c r="E125" s="14" t="s">
        <v>36</v>
      </c>
      <c r="F125" s="14" t="s">
        <v>37</v>
      </c>
      <c r="G125" s="1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5" t="s">
        <v>38</v>
      </c>
      <c r="B126" s="15" t="s">
        <v>39</v>
      </c>
      <c r="C126" s="107">
        <v>0.97222222222222221</v>
      </c>
      <c r="D126" s="15" t="s">
        <v>40</v>
      </c>
      <c r="E126" s="15" t="s">
        <v>41</v>
      </c>
      <c r="F126" s="15" t="s">
        <v>42</v>
      </c>
      <c r="G126" s="1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38</v>
      </c>
      <c r="B127" s="16" t="s">
        <v>39</v>
      </c>
      <c r="C127" s="108">
        <v>0.97222222222222221</v>
      </c>
      <c r="D127" s="16" t="s">
        <v>43</v>
      </c>
      <c r="E127" s="16" t="s">
        <v>41</v>
      </c>
      <c r="F127" s="16" t="s">
        <v>118</v>
      </c>
      <c r="G127" s="1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50" t="s">
        <v>65</v>
      </c>
      <c r="B128" s="50" t="s">
        <v>66</v>
      </c>
      <c r="C128" s="118">
        <v>0.92361111111111116</v>
      </c>
      <c r="D128" s="50" t="s">
        <v>67</v>
      </c>
      <c r="E128" s="50" t="s">
        <v>117</v>
      </c>
      <c r="F128" s="50" t="s">
        <v>69</v>
      </c>
      <c r="G128" s="149"/>
      <c r="H128" s="51" t="s">
        <v>70</v>
      </c>
      <c r="I128" s="52">
        <v>0.33929999999999999</v>
      </c>
      <c r="J128" s="53">
        <v>57</v>
      </c>
      <c r="K128" s="54">
        <v>45997</v>
      </c>
      <c r="L128" s="53">
        <v>15</v>
      </c>
      <c r="M128" s="53">
        <v>0</v>
      </c>
      <c r="N128" s="53">
        <v>4</v>
      </c>
      <c r="O128" s="55" t="s">
        <v>119</v>
      </c>
      <c r="P128" s="119">
        <v>0.92361111111111116</v>
      </c>
      <c r="Q128" s="53">
        <v>168</v>
      </c>
      <c r="R128" s="56" t="s">
        <v>120</v>
      </c>
    </row>
    <row r="129" spans="1:18" ht="15" customHeight="1" x14ac:dyDescent="0.3">
      <c r="A129" s="24" t="s">
        <v>73</v>
      </c>
      <c r="B129" s="24" t="s">
        <v>74</v>
      </c>
      <c r="C129" s="111">
        <v>0.30555555555555558</v>
      </c>
      <c r="D129" s="24" t="s">
        <v>75</v>
      </c>
      <c r="E129" s="24" t="s">
        <v>76</v>
      </c>
      <c r="F129" s="24" t="s">
        <v>93</v>
      </c>
      <c r="G129" s="150"/>
      <c r="H129" s="25"/>
      <c r="I129" s="26"/>
      <c r="J129" s="26"/>
      <c r="K129" s="26"/>
      <c r="L129" s="26"/>
      <c r="M129" s="26"/>
      <c r="N129" s="26"/>
      <c r="O129" s="27"/>
      <c r="P129" s="26"/>
      <c r="Q129" s="28"/>
      <c r="R129" s="29"/>
    </row>
    <row r="130" spans="1:18" ht="17.399999999999999" customHeight="1" x14ac:dyDescent="0.3">
      <c r="A130" s="145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7"/>
    </row>
    <row r="131" spans="1:18" ht="22.05" customHeight="1" x14ac:dyDescent="0.3">
      <c r="A131" s="154" t="s">
        <v>8</v>
      </c>
      <c r="B131" s="143"/>
      <c r="C131" s="143"/>
      <c r="D131" s="143"/>
      <c r="E131" s="143"/>
      <c r="F131" s="144"/>
      <c r="G131" s="112">
        <v>46019</v>
      </c>
      <c r="H131" s="142" t="s">
        <v>9</v>
      </c>
      <c r="I131" s="143"/>
      <c r="J131" s="143"/>
      <c r="K131" s="143"/>
      <c r="L131" s="143"/>
      <c r="M131" s="143"/>
      <c r="N131" s="143"/>
      <c r="O131" s="143"/>
      <c r="P131" s="143"/>
      <c r="Q131" s="143"/>
      <c r="R131" s="144"/>
    </row>
    <row r="132" spans="1:18" ht="24" customHeight="1" x14ac:dyDescent="0.3">
      <c r="A132" s="30" t="s">
        <v>10</v>
      </c>
      <c r="B132" s="30" t="s">
        <v>11</v>
      </c>
      <c r="C132" s="113" t="s">
        <v>12</v>
      </c>
      <c r="D132" s="30" t="s">
        <v>13</v>
      </c>
      <c r="E132" s="30" t="s">
        <v>14</v>
      </c>
      <c r="F132" s="31" t="s">
        <v>15</v>
      </c>
      <c r="G132" s="32" t="s">
        <v>16</v>
      </c>
      <c r="H132" s="30" t="s">
        <v>17</v>
      </c>
      <c r="I132" s="33" t="s">
        <v>18</v>
      </c>
      <c r="J132" s="34" t="s">
        <v>19</v>
      </c>
      <c r="K132" s="35" t="s">
        <v>20</v>
      </c>
      <c r="L132" s="34" t="s">
        <v>21</v>
      </c>
      <c r="M132" s="34" t="s">
        <v>22</v>
      </c>
      <c r="N132" s="34" t="s">
        <v>23</v>
      </c>
      <c r="O132" s="30" t="s">
        <v>24</v>
      </c>
      <c r="P132" s="113" t="s">
        <v>25</v>
      </c>
      <c r="Q132" s="34" t="s">
        <v>26</v>
      </c>
      <c r="R132" s="30" t="s">
        <v>27</v>
      </c>
    </row>
    <row r="133" spans="1:18" ht="15" customHeight="1" x14ac:dyDescent="0.3">
      <c r="A133" s="8" t="s">
        <v>57</v>
      </c>
      <c r="B133" s="8" t="s">
        <v>58</v>
      </c>
      <c r="C133" s="105">
        <v>0.30555555555555558</v>
      </c>
      <c r="D133" s="8" t="s">
        <v>59</v>
      </c>
      <c r="E133" s="8" t="s">
        <v>121</v>
      </c>
      <c r="F133" s="8" t="s">
        <v>32</v>
      </c>
      <c r="G133" s="1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57</v>
      </c>
      <c r="B134" s="16" t="s">
        <v>58</v>
      </c>
      <c r="C134" s="108">
        <v>0.30555555555555558</v>
      </c>
      <c r="D134" s="16" t="s">
        <v>62</v>
      </c>
      <c r="E134" s="16" t="s">
        <v>121</v>
      </c>
      <c r="F134" s="16" t="s">
        <v>81</v>
      </c>
      <c r="G134" s="1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57</v>
      </c>
      <c r="B135" s="16" t="s">
        <v>58</v>
      </c>
      <c r="C135" s="108">
        <v>0.30555555555555558</v>
      </c>
      <c r="D135" s="16" t="s">
        <v>51</v>
      </c>
      <c r="E135" s="16" t="s">
        <v>121</v>
      </c>
      <c r="F135" s="16" t="s">
        <v>82</v>
      </c>
      <c r="G135" s="1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28</v>
      </c>
      <c r="B136" s="15" t="s">
        <v>29</v>
      </c>
      <c r="C136" s="107">
        <v>0.1701388888888889</v>
      </c>
      <c r="D136" s="15" t="s">
        <v>30</v>
      </c>
      <c r="E136" s="15" t="s">
        <v>36</v>
      </c>
      <c r="F136" s="15" t="s">
        <v>32</v>
      </c>
      <c r="G136" s="1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28</v>
      </c>
      <c r="B137" s="14" t="s">
        <v>35</v>
      </c>
      <c r="C137" s="106">
        <v>0.86458333333333337</v>
      </c>
      <c r="D137" s="14" t="s">
        <v>30</v>
      </c>
      <c r="E137" s="14" t="s">
        <v>87</v>
      </c>
      <c r="F137" s="14" t="s">
        <v>34</v>
      </c>
      <c r="G137" s="1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28</v>
      </c>
      <c r="B138" s="14" t="s">
        <v>33</v>
      </c>
      <c r="C138" s="106">
        <v>0.52777777777777779</v>
      </c>
      <c r="D138" s="14" t="s">
        <v>30</v>
      </c>
      <c r="E138" s="14" t="s">
        <v>87</v>
      </c>
      <c r="F138" s="14" t="s">
        <v>34</v>
      </c>
      <c r="G138" s="1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83</v>
      </c>
      <c r="B139" s="15" t="s">
        <v>84</v>
      </c>
      <c r="C139" s="107">
        <v>0.95833333333333337</v>
      </c>
      <c r="D139" s="15" t="s">
        <v>110</v>
      </c>
      <c r="E139" s="15" t="s">
        <v>31</v>
      </c>
      <c r="F139" s="15" t="s">
        <v>48</v>
      </c>
      <c r="G139" s="1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45</v>
      </c>
      <c r="B140" s="15" t="s">
        <v>53</v>
      </c>
      <c r="C140" s="107">
        <v>0.84722222222222221</v>
      </c>
      <c r="D140" s="15" t="s">
        <v>47</v>
      </c>
      <c r="E140" s="15" t="s">
        <v>76</v>
      </c>
      <c r="F140" s="15" t="s">
        <v>103</v>
      </c>
      <c r="G140" s="1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45</v>
      </c>
      <c r="B141" s="16" t="s">
        <v>53</v>
      </c>
      <c r="C141" s="108">
        <v>0.84722222222222221</v>
      </c>
      <c r="D141" s="16" t="s">
        <v>49</v>
      </c>
      <c r="E141" s="16" t="s">
        <v>76</v>
      </c>
      <c r="F141" s="16" t="s">
        <v>104</v>
      </c>
      <c r="G141" s="1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45</v>
      </c>
      <c r="B142" s="16" t="s">
        <v>53</v>
      </c>
      <c r="C142" s="108">
        <v>0.84722222222222221</v>
      </c>
      <c r="D142" s="16" t="s">
        <v>51</v>
      </c>
      <c r="E142" s="16" t="s">
        <v>76</v>
      </c>
      <c r="F142" s="16" t="s">
        <v>105</v>
      </c>
      <c r="G142" s="1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4" t="s">
        <v>73</v>
      </c>
      <c r="B143" s="24" t="s">
        <v>74</v>
      </c>
      <c r="C143" s="111">
        <v>0.30555555555555558</v>
      </c>
      <c r="D143" s="24" t="s">
        <v>75</v>
      </c>
      <c r="E143" s="24" t="s">
        <v>76</v>
      </c>
      <c r="F143" s="24" t="s">
        <v>93</v>
      </c>
      <c r="G143" s="150"/>
      <c r="H143" s="25"/>
      <c r="I143" s="26"/>
      <c r="J143" s="26"/>
      <c r="K143" s="26"/>
      <c r="L143" s="26"/>
      <c r="M143" s="26"/>
      <c r="N143" s="26"/>
      <c r="O143" s="27"/>
      <c r="P143" s="26"/>
      <c r="Q143" s="28"/>
      <c r="R143" s="29"/>
    </row>
    <row r="144" spans="1:18" ht="17.399999999999999" customHeight="1" x14ac:dyDescent="0.3">
      <c r="A144" s="145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7"/>
    </row>
    <row r="145" spans="1:18" ht="22.05" customHeight="1" x14ac:dyDescent="0.3">
      <c r="A145" s="154" t="s">
        <v>8</v>
      </c>
      <c r="B145" s="143"/>
      <c r="C145" s="143"/>
      <c r="D145" s="143"/>
      <c r="E145" s="143"/>
      <c r="F145" s="144"/>
      <c r="G145" s="112">
        <v>46020</v>
      </c>
      <c r="H145" s="142" t="s">
        <v>9</v>
      </c>
      <c r="I145" s="143"/>
      <c r="J145" s="143"/>
      <c r="K145" s="143"/>
      <c r="L145" s="143"/>
      <c r="M145" s="143"/>
      <c r="N145" s="143"/>
      <c r="O145" s="143"/>
      <c r="P145" s="143"/>
      <c r="Q145" s="143"/>
      <c r="R145" s="144"/>
    </row>
    <row r="146" spans="1:18" ht="24" customHeight="1" x14ac:dyDescent="0.3">
      <c r="A146" s="30" t="s">
        <v>10</v>
      </c>
      <c r="B146" s="30" t="s">
        <v>11</v>
      </c>
      <c r="C146" s="113" t="s">
        <v>12</v>
      </c>
      <c r="D146" s="30" t="s">
        <v>13</v>
      </c>
      <c r="E146" s="30" t="s">
        <v>14</v>
      </c>
      <c r="F146" s="31" t="s">
        <v>15</v>
      </c>
      <c r="G146" s="32" t="s">
        <v>16</v>
      </c>
      <c r="H146" s="30" t="s">
        <v>17</v>
      </c>
      <c r="I146" s="33" t="s">
        <v>18</v>
      </c>
      <c r="J146" s="34" t="s">
        <v>19</v>
      </c>
      <c r="K146" s="35" t="s">
        <v>20</v>
      </c>
      <c r="L146" s="34" t="s">
        <v>21</v>
      </c>
      <c r="M146" s="34" t="s">
        <v>22</v>
      </c>
      <c r="N146" s="34" t="s">
        <v>23</v>
      </c>
      <c r="O146" s="30" t="s">
        <v>24</v>
      </c>
      <c r="P146" s="113" t="s">
        <v>25</v>
      </c>
      <c r="Q146" s="34" t="s">
        <v>26</v>
      </c>
      <c r="R146" s="30" t="s">
        <v>27</v>
      </c>
    </row>
    <row r="147" spans="1:18" ht="15" customHeight="1" x14ac:dyDescent="0.3">
      <c r="A147" s="8" t="s">
        <v>45</v>
      </c>
      <c r="B147" s="8" t="s">
        <v>53</v>
      </c>
      <c r="C147" s="105">
        <v>0.83333333333333337</v>
      </c>
      <c r="D147" s="8" t="s">
        <v>47</v>
      </c>
      <c r="E147" s="8" t="s">
        <v>41</v>
      </c>
      <c r="F147" s="8" t="s">
        <v>79</v>
      </c>
      <c r="G147" s="1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45</v>
      </c>
      <c r="B148" s="16" t="s">
        <v>53</v>
      </c>
      <c r="C148" s="108">
        <v>0.83333333333333337</v>
      </c>
      <c r="D148" s="16" t="s">
        <v>49</v>
      </c>
      <c r="E148" s="16" t="s">
        <v>41</v>
      </c>
      <c r="F148" s="16" t="s">
        <v>54</v>
      </c>
      <c r="G148" s="1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45</v>
      </c>
      <c r="B149" s="16" t="s">
        <v>53</v>
      </c>
      <c r="C149" s="108">
        <v>0.83333333333333337</v>
      </c>
      <c r="D149" s="16" t="s">
        <v>51</v>
      </c>
      <c r="E149" s="16" t="s">
        <v>41</v>
      </c>
      <c r="F149" s="16" t="s">
        <v>80</v>
      </c>
      <c r="G149" s="1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45</v>
      </c>
      <c r="B150" s="14" t="s">
        <v>46</v>
      </c>
      <c r="C150" s="106">
        <v>0.19791666666666671</v>
      </c>
      <c r="D150" s="14" t="s">
        <v>47</v>
      </c>
      <c r="E150" s="14" t="s">
        <v>117</v>
      </c>
      <c r="F150" s="14" t="s">
        <v>79</v>
      </c>
      <c r="G150" s="1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45</v>
      </c>
      <c r="B151" s="16" t="s">
        <v>46</v>
      </c>
      <c r="C151" s="108">
        <v>0.19791666666666671</v>
      </c>
      <c r="D151" s="16" t="s">
        <v>49</v>
      </c>
      <c r="E151" s="16" t="s">
        <v>117</v>
      </c>
      <c r="F151" s="16" t="s">
        <v>54</v>
      </c>
      <c r="G151" s="1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45</v>
      </c>
      <c r="B152" s="16" t="s">
        <v>46</v>
      </c>
      <c r="C152" s="108">
        <v>0.19791666666666671</v>
      </c>
      <c r="D152" s="16" t="s">
        <v>51</v>
      </c>
      <c r="E152" s="16" t="s">
        <v>117</v>
      </c>
      <c r="F152" s="16" t="s">
        <v>80</v>
      </c>
      <c r="G152" s="1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57</v>
      </c>
      <c r="B153" s="15" t="s">
        <v>58</v>
      </c>
      <c r="C153" s="107">
        <v>0.30555555555555558</v>
      </c>
      <c r="D153" s="15" t="s">
        <v>59</v>
      </c>
      <c r="E153" s="15" t="s">
        <v>113</v>
      </c>
      <c r="F153" s="15" t="s">
        <v>32</v>
      </c>
      <c r="G153" s="1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57</v>
      </c>
      <c r="B154" s="16" t="s">
        <v>58</v>
      </c>
      <c r="C154" s="108">
        <v>0.30555555555555558</v>
      </c>
      <c r="D154" s="16" t="s">
        <v>62</v>
      </c>
      <c r="E154" s="16" t="s">
        <v>113</v>
      </c>
      <c r="F154" s="16" t="s">
        <v>81</v>
      </c>
      <c r="G154" s="1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57</v>
      </c>
      <c r="B155" s="16" t="s">
        <v>58</v>
      </c>
      <c r="C155" s="108">
        <v>0.30555555555555558</v>
      </c>
      <c r="D155" s="16" t="s">
        <v>51</v>
      </c>
      <c r="E155" s="16" t="s">
        <v>113</v>
      </c>
      <c r="F155" s="16" t="s">
        <v>82</v>
      </c>
      <c r="G155" s="1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28</v>
      </c>
      <c r="B156" s="15" t="s">
        <v>29</v>
      </c>
      <c r="C156" s="107">
        <v>0.1701388888888889</v>
      </c>
      <c r="D156" s="15" t="s">
        <v>30</v>
      </c>
      <c r="E156" s="15" t="s">
        <v>36</v>
      </c>
      <c r="F156" s="15" t="s">
        <v>32</v>
      </c>
      <c r="G156" s="1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28</v>
      </c>
      <c r="B157" s="14" t="s">
        <v>35</v>
      </c>
      <c r="C157" s="106">
        <v>0.86458333333333337</v>
      </c>
      <c r="D157" s="14" t="s">
        <v>30</v>
      </c>
      <c r="E157" s="14" t="s">
        <v>87</v>
      </c>
      <c r="F157" s="14" t="s">
        <v>34</v>
      </c>
      <c r="G157" s="1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28</v>
      </c>
      <c r="B158" s="14" t="s">
        <v>33</v>
      </c>
      <c r="C158" s="106">
        <v>0.52777777777777779</v>
      </c>
      <c r="D158" s="14" t="s">
        <v>30</v>
      </c>
      <c r="E158" s="14" t="s">
        <v>87</v>
      </c>
      <c r="F158" s="14" t="s">
        <v>34</v>
      </c>
      <c r="G158" s="1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5" t="s">
        <v>89</v>
      </c>
      <c r="B159" s="15" t="s">
        <v>90</v>
      </c>
      <c r="C159" s="107">
        <v>0.12847222222222221</v>
      </c>
      <c r="D159" s="15" t="s">
        <v>110</v>
      </c>
      <c r="E159" s="15" t="s">
        <v>36</v>
      </c>
      <c r="F159" s="15" t="s">
        <v>91</v>
      </c>
      <c r="G159" s="1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5" t="s">
        <v>83</v>
      </c>
      <c r="B160" s="15" t="s">
        <v>92</v>
      </c>
      <c r="C160" s="107">
        <v>0.95833333333333337</v>
      </c>
      <c r="D160" s="15" t="s">
        <v>110</v>
      </c>
      <c r="E160" s="15" t="s">
        <v>36</v>
      </c>
      <c r="F160" s="15" t="s">
        <v>48</v>
      </c>
      <c r="G160" s="1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4" t="s">
        <v>73</v>
      </c>
      <c r="B161" s="24" t="s">
        <v>74</v>
      </c>
      <c r="C161" s="111">
        <v>0.30555555555555558</v>
      </c>
      <c r="D161" s="24" t="s">
        <v>75</v>
      </c>
      <c r="E161" s="24" t="s">
        <v>76</v>
      </c>
      <c r="F161" s="24" t="s">
        <v>93</v>
      </c>
      <c r="G161" s="150"/>
      <c r="H161" s="25"/>
      <c r="I161" s="26"/>
      <c r="J161" s="26"/>
      <c r="K161" s="26"/>
      <c r="L161" s="26"/>
      <c r="M161" s="26"/>
      <c r="N161" s="26"/>
      <c r="O161" s="27"/>
      <c r="P161" s="26"/>
      <c r="Q161" s="28"/>
      <c r="R161" s="29"/>
    </row>
    <row r="162" spans="1:18" ht="17.399999999999999" customHeight="1" x14ac:dyDescent="0.3">
      <c r="A162" s="145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7"/>
    </row>
    <row r="163" spans="1:18" ht="22.05" customHeight="1" x14ac:dyDescent="0.3">
      <c r="A163" s="154" t="s">
        <v>8</v>
      </c>
      <c r="B163" s="143"/>
      <c r="C163" s="143"/>
      <c r="D163" s="143"/>
      <c r="E163" s="143"/>
      <c r="F163" s="144"/>
      <c r="G163" s="112">
        <v>46021</v>
      </c>
      <c r="H163" s="142" t="s">
        <v>9</v>
      </c>
      <c r="I163" s="143"/>
      <c r="J163" s="143"/>
      <c r="K163" s="143"/>
      <c r="L163" s="143"/>
      <c r="M163" s="143"/>
      <c r="N163" s="143"/>
      <c r="O163" s="143"/>
      <c r="P163" s="143"/>
      <c r="Q163" s="143"/>
      <c r="R163" s="144"/>
    </row>
    <row r="164" spans="1:18" ht="24" customHeight="1" x14ac:dyDescent="0.3">
      <c r="A164" s="30" t="s">
        <v>10</v>
      </c>
      <c r="B164" s="30" t="s">
        <v>11</v>
      </c>
      <c r="C164" s="113" t="s">
        <v>12</v>
      </c>
      <c r="D164" s="30" t="s">
        <v>13</v>
      </c>
      <c r="E164" s="30" t="s">
        <v>14</v>
      </c>
      <c r="F164" s="31" t="s">
        <v>15</v>
      </c>
      <c r="G164" s="32" t="s">
        <v>16</v>
      </c>
      <c r="H164" s="30" t="s">
        <v>17</v>
      </c>
      <c r="I164" s="33" t="s">
        <v>18</v>
      </c>
      <c r="J164" s="34" t="s">
        <v>19</v>
      </c>
      <c r="K164" s="35" t="s">
        <v>20</v>
      </c>
      <c r="L164" s="34" t="s">
        <v>21</v>
      </c>
      <c r="M164" s="34" t="s">
        <v>22</v>
      </c>
      <c r="N164" s="34" t="s">
        <v>23</v>
      </c>
      <c r="O164" s="30" t="s">
        <v>24</v>
      </c>
      <c r="P164" s="113" t="s">
        <v>25</v>
      </c>
      <c r="Q164" s="34" t="s">
        <v>26</v>
      </c>
      <c r="R164" s="30" t="s">
        <v>27</v>
      </c>
    </row>
    <row r="165" spans="1:18" ht="15" customHeight="1" x14ac:dyDescent="0.3">
      <c r="A165" s="8" t="s">
        <v>57</v>
      </c>
      <c r="B165" s="8" t="s">
        <v>58</v>
      </c>
      <c r="C165" s="105">
        <v>0.30555555555555558</v>
      </c>
      <c r="D165" s="8" t="s">
        <v>59</v>
      </c>
      <c r="E165" s="8" t="s">
        <v>87</v>
      </c>
      <c r="F165" s="8" t="s">
        <v>32</v>
      </c>
      <c r="G165" s="1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57</v>
      </c>
      <c r="B166" s="16" t="s">
        <v>58</v>
      </c>
      <c r="C166" s="108">
        <v>0.30555555555555558</v>
      </c>
      <c r="D166" s="16" t="s">
        <v>62</v>
      </c>
      <c r="E166" s="16" t="s">
        <v>87</v>
      </c>
      <c r="F166" s="16" t="s">
        <v>81</v>
      </c>
      <c r="G166" s="1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57</v>
      </c>
      <c r="B167" s="16" t="s">
        <v>58</v>
      </c>
      <c r="C167" s="108">
        <v>0.30555555555555558</v>
      </c>
      <c r="D167" s="16" t="s">
        <v>51</v>
      </c>
      <c r="E167" s="16" t="s">
        <v>87</v>
      </c>
      <c r="F167" s="16" t="s">
        <v>64</v>
      </c>
      <c r="G167" s="1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28</v>
      </c>
      <c r="B168" s="15" t="s">
        <v>29</v>
      </c>
      <c r="C168" s="107">
        <v>0.1701388888888889</v>
      </c>
      <c r="D168" s="15" t="s">
        <v>30</v>
      </c>
      <c r="E168" s="15" t="s">
        <v>36</v>
      </c>
      <c r="F168" s="15" t="s">
        <v>32</v>
      </c>
      <c r="G168" s="1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28</v>
      </c>
      <c r="B169" s="14" t="s">
        <v>35</v>
      </c>
      <c r="C169" s="106">
        <v>0.86805555555555558</v>
      </c>
      <c r="D169" s="14" t="s">
        <v>30</v>
      </c>
      <c r="E169" s="14" t="s">
        <v>87</v>
      </c>
      <c r="F169" s="14" t="s">
        <v>34</v>
      </c>
      <c r="G169" s="1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28</v>
      </c>
      <c r="B170" s="14" t="s">
        <v>33</v>
      </c>
      <c r="C170" s="106">
        <v>0.52777777777777779</v>
      </c>
      <c r="D170" s="14" t="s">
        <v>30</v>
      </c>
      <c r="E170" s="14" t="s">
        <v>78</v>
      </c>
      <c r="F170" s="14" t="s">
        <v>34</v>
      </c>
      <c r="G170" s="1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45</v>
      </c>
      <c r="B171" s="15" t="s">
        <v>53</v>
      </c>
      <c r="C171" s="107">
        <v>0.83333333333333337</v>
      </c>
      <c r="D171" s="15" t="s">
        <v>47</v>
      </c>
      <c r="E171" s="15" t="s">
        <v>117</v>
      </c>
      <c r="F171" s="15" t="s">
        <v>48</v>
      </c>
      <c r="G171" s="1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45</v>
      </c>
      <c r="B172" s="16" t="s">
        <v>53</v>
      </c>
      <c r="C172" s="108">
        <v>0.83333333333333337</v>
      </c>
      <c r="D172" s="16" t="s">
        <v>49</v>
      </c>
      <c r="E172" s="16" t="s">
        <v>117</v>
      </c>
      <c r="F172" s="16" t="s">
        <v>50</v>
      </c>
      <c r="G172" s="1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45</v>
      </c>
      <c r="B173" s="16" t="s">
        <v>53</v>
      </c>
      <c r="C173" s="108">
        <v>0.83333333333333337</v>
      </c>
      <c r="D173" s="16" t="s">
        <v>51</v>
      </c>
      <c r="E173" s="16" t="s">
        <v>117</v>
      </c>
      <c r="F173" s="16" t="s">
        <v>52</v>
      </c>
      <c r="G173" s="1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45</v>
      </c>
      <c r="B174" s="14" t="s">
        <v>46</v>
      </c>
      <c r="C174" s="106">
        <v>0.19791666666666671</v>
      </c>
      <c r="D174" s="14" t="s">
        <v>47</v>
      </c>
      <c r="E174" s="14" t="s">
        <v>68</v>
      </c>
      <c r="F174" s="14" t="s">
        <v>48</v>
      </c>
      <c r="G174" s="1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45</v>
      </c>
      <c r="B175" s="16" t="s">
        <v>46</v>
      </c>
      <c r="C175" s="108">
        <v>0.19791666666666671</v>
      </c>
      <c r="D175" s="16" t="s">
        <v>49</v>
      </c>
      <c r="E175" s="16" t="s">
        <v>68</v>
      </c>
      <c r="F175" s="16" t="s">
        <v>50</v>
      </c>
      <c r="G175" s="1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45</v>
      </c>
      <c r="B176" s="16" t="s">
        <v>46</v>
      </c>
      <c r="C176" s="108">
        <v>0.19791666666666671</v>
      </c>
      <c r="D176" s="16" t="s">
        <v>51</v>
      </c>
      <c r="E176" s="16" t="s">
        <v>68</v>
      </c>
      <c r="F176" s="16" t="s">
        <v>52</v>
      </c>
      <c r="G176" s="1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83</v>
      </c>
      <c r="B177" s="15" t="s">
        <v>96</v>
      </c>
      <c r="C177" s="107">
        <v>0.95833333333333337</v>
      </c>
      <c r="D177" s="15" t="s">
        <v>110</v>
      </c>
      <c r="E177" s="15" t="s">
        <v>36</v>
      </c>
      <c r="F177" s="15" t="s">
        <v>48</v>
      </c>
      <c r="G177" s="1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7" t="s">
        <v>65</v>
      </c>
      <c r="B178" s="17" t="s">
        <v>66</v>
      </c>
      <c r="C178" s="109">
        <v>0.27083333333333331</v>
      </c>
      <c r="D178" s="17" t="s">
        <v>67</v>
      </c>
      <c r="E178" s="17" t="s">
        <v>78</v>
      </c>
      <c r="F178" s="17" t="s">
        <v>69</v>
      </c>
      <c r="G178" s="149"/>
      <c r="H178" s="18" t="s">
        <v>70</v>
      </c>
      <c r="I178" s="19">
        <v>0.35709999999999997</v>
      </c>
      <c r="J178" s="20">
        <v>60</v>
      </c>
      <c r="K178" s="21">
        <v>45997</v>
      </c>
      <c r="L178" s="20">
        <v>24</v>
      </c>
      <c r="M178" s="20">
        <v>0</v>
      </c>
      <c r="N178" s="20">
        <v>3</v>
      </c>
      <c r="O178" s="22" t="s">
        <v>122</v>
      </c>
      <c r="P178" s="110">
        <v>0.27083333333333331</v>
      </c>
      <c r="Q178" s="20">
        <v>168</v>
      </c>
      <c r="R178" s="23" t="s">
        <v>123</v>
      </c>
    </row>
    <row r="179" spans="1:18" ht="15" customHeight="1" x14ac:dyDescent="0.3">
      <c r="A179" s="24" t="s">
        <v>73</v>
      </c>
      <c r="B179" s="24" t="s">
        <v>74</v>
      </c>
      <c r="C179" s="111">
        <v>0.30555555555555558</v>
      </c>
      <c r="D179" s="24" t="s">
        <v>75</v>
      </c>
      <c r="E179" s="24" t="s">
        <v>76</v>
      </c>
      <c r="F179" s="24" t="s">
        <v>93</v>
      </c>
      <c r="G179" s="150"/>
      <c r="H179" s="25"/>
      <c r="I179" s="26"/>
      <c r="J179" s="26"/>
      <c r="K179" s="26"/>
      <c r="L179" s="26"/>
      <c r="M179" s="26"/>
      <c r="N179" s="26"/>
      <c r="O179" s="27"/>
      <c r="P179" s="26"/>
      <c r="Q179" s="28"/>
      <c r="R179" s="29"/>
    </row>
    <row r="180" spans="1:18" ht="17.399999999999999" customHeight="1" x14ac:dyDescent="0.3">
      <c r="A180" s="145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7"/>
    </row>
    <row r="181" spans="1:18" ht="22.05" customHeight="1" x14ac:dyDescent="0.3">
      <c r="A181" s="154" t="s">
        <v>8</v>
      </c>
      <c r="B181" s="143"/>
      <c r="C181" s="143"/>
      <c r="D181" s="143"/>
      <c r="E181" s="143"/>
      <c r="F181" s="144"/>
      <c r="G181" s="112">
        <v>46022</v>
      </c>
      <c r="H181" s="142" t="s">
        <v>9</v>
      </c>
      <c r="I181" s="143"/>
      <c r="J181" s="143"/>
      <c r="K181" s="143"/>
      <c r="L181" s="143"/>
      <c r="M181" s="143"/>
      <c r="N181" s="143"/>
      <c r="O181" s="143"/>
      <c r="P181" s="143"/>
      <c r="Q181" s="143"/>
      <c r="R181" s="144"/>
    </row>
    <row r="182" spans="1:18" ht="24" customHeight="1" x14ac:dyDescent="0.3">
      <c r="A182" s="30" t="s">
        <v>10</v>
      </c>
      <c r="B182" s="30" t="s">
        <v>11</v>
      </c>
      <c r="C182" s="113" t="s">
        <v>12</v>
      </c>
      <c r="D182" s="30" t="s">
        <v>13</v>
      </c>
      <c r="E182" s="30" t="s">
        <v>14</v>
      </c>
      <c r="F182" s="31" t="s">
        <v>15</v>
      </c>
      <c r="G182" s="32" t="s">
        <v>16</v>
      </c>
      <c r="H182" s="30" t="s">
        <v>17</v>
      </c>
      <c r="I182" s="33" t="s">
        <v>18</v>
      </c>
      <c r="J182" s="34" t="s">
        <v>19</v>
      </c>
      <c r="K182" s="35" t="s">
        <v>20</v>
      </c>
      <c r="L182" s="34" t="s">
        <v>21</v>
      </c>
      <c r="M182" s="34" t="s">
        <v>22</v>
      </c>
      <c r="N182" s="34" t="s">
        <v>23</v>
      </c>
      <c r="O182" s="30" t="s">
        <v>24</v>
      </c>
      <c r="P182" s="113" t="s">
        <v>25</v>
      </c>
      <c r="Q182" s="34" t="s">
        <v>26</v>
      </c>
      <c r="R182" s="30" t="s">
        <v>27</v>
      </c>
    </row>
    <row r="183" spans="1:18" ht="15" customHeight="1" x14ac:dyDescent="0.3">
      <c r="A183" s="8" t="s">
        <v>38</v>
      </c>
      <c r="B183" s="8" t="s">
        <v>39</v>
      </c>
      <c r="C183" s="105">
        <v>0.97222222222222221</v>
      </c>
      <c r="D183" s="8" t="s">
        <v>40</v>
      </c>
      <c r="E183" s="8" t="s">
        <v>41</v>
      </c>
      <c r="F183" s="8" t="s">
        <v>124</v>
      </c>
      <c r="G183" s="1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38</v>
      </c>
      <c r="B184" s="16" t="s">
        <v>39</v>
      </c>
      <c r="C184" s="108">
        <v>0.97222222222222221</v>
      </c>
      <c r="D184" s="16" t="s">
        <v>43</v>
      </c>
      <c r="E184" s="16" t="s">
        <v>41</v>
      </c>
      <c r="F184" s="16" t="s">
        <v>125</v>
      </c>
      <c r="G184" s="1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5" t="s">
        <v>28</v>
      </c>
      <c r="B185" s="15" t="s">
        <v>29</v>
      </c>
      <c r="C185" s="107">
        <v>0.1701388888888889</v>
      </c>
      <c r="D185" s="15" t="s">
        <v>30</v>
      </c>
      <c r="E185" s="15" t="s">
        <v>36</v>
      </c>
      <c r="F185" s="15" t="s">
        <v>32</v>
      </c>
      <c r="G185" s="1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28</v>
      </c>
      <c r="B186" s="14" t="s">
        <v>33</v>
      </c>
      <c r="C186" s="106">
        <v>0.52777777777777779</v>
      </c>
      <c r="D186" s="14" t="s">
        <v>30</v>
      </c>
      <c r="E186" s="14" t="s">
        <v>76</v>
      </c>
      <c r="F186" s="14" t="s">
        <v>34</v>
      </c>
      <c r="G186" s="1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28</v>
      </c>
      <c r="B187" s="14" t="s">
        <v>35</v>
      </c>
      <c r="C187" s="106">
        <v>0.86458333333333337</v>
      </c>
      <c r="D187" s="14" t="s">
        <v>107</v>
      </c>
      <c r="E187" s="14" t="s">
        <v>36</v>
      </c>
      <c r="F187" s="14" t="s">
        <v>126</v>
      </c>
      <c r="G187" s="1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5" t="s">
        <v>89</v>
      </c>
      <c r="B188" s="15" t="s">
        <v>100</v>
      </c>
      <c r="C188" s="107">
        <v>9.0277777777777776E-2</v>
      </c>
      <c r="D188" s="15" t="s">
        <v>110</v>
      </c>
      <c r="E188" s="15" t="s">
        <v>87</v>
      </c>
      <c r="F188" s="15" t="s">
        <v>91</v>
      </c>
      <c r="G188" s="1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83</v>
      </c>
      <c r="B189" s="15" t="s">
        <v>92</v>
      </c>
      <c r="C189" s="107">
        <v>0.89583333333333337</v>
      </c>
      <c r="D189" s="15" t="s">
        <v>110</v>
      </c>
      <c r="E189" s="15" t="s">
        <v>31</v>
      </c>
      <c r="F189" s="15" t="s">
        <v>48</v>
      </c>
      <c r="G189" s="1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5" t="s">
        <v>57</v>
      </c>
      <c r="B190" s="15" t="s">
        <v>58</v>
      </c>
      <c r="C190" s="107">
        <v>0.30555555555555558</v>
      </c>
      <c r="D190" s="15" t="s">
        <v>59</v>
      </c>
      <c r="E190" s="15" t="s">
        <v>121</v>
      </c>
      <c r="F190" s="15" t="s">
        <v>127</v>
      </c>
      <c r="G190" s="1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57</v>
      </c>
      <c r="B191" s="16" t="s">
        <v>58</v>
      </c>
      <c r="C191" s="108">
        <v>0.30555555555555558</v>
      </c>
      <c r="D191" s="16" t="s">
        <v>62</v>
      </c>
      <c r="E191" s="16" t="s">
        <v>121</v>
      </c>
      <c r="F191" s="16" t="s">
        <v>128</v>
      </c>
      <c r="G191" s="1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57</v>
      </c>
      <c r="B192" s="16" t="s">
        <v>58</v>
      </c>
      <c r="C192" s="108">
        <v>0.30555555555555558</v>
      </c>
      <c r="D192" s="16" t="s">
        <v>51</v>
      </c>
      <c r="E192" s="16" t="s">
        <v>121</v>
      </c>
      <c r="F192" s="16" t="s">
        <v>82</v>
      </c>
      <c r="G192" s="1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45</v>
      </c>
      <c r="B193" s="15" t="s">
        <v>53</v>
      </c>
      <c r="C193" s="107">
        <v>0.84722222222222221</v>
      </c>
      <c r="D193" s="15" t="s">
        <v>47</v>
      </c>
      <c r="E193" s="15" t="s">
        <v>68</v>
      </c>
      <c r="F193" s="15" t="s">
        <v>103</v>
      </c>
      <c r="G193" s="1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45</v>
      </c>
      <c r="B194" s="16" t="s">
        <v>53</v>
      </c>
      <c r="C194" s="108">
        <v>0.84722222222222221</v>
      </c>
      <c r="D194" s="16" t="s">
        <v>49</v>
      </c>
      <c r="E194" s="16" t="s">
        <v>68</v>
      </c>
      <c r="F194" s="16" t="s">
        <v>104</v>
      </c>
      <c r="G194" s="1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45</v>
      </c>
      <c r="B195" s="16" t="s">
        <v>53</v>
      </c>
      <c r="C195" s="108">
        <v>0.84722222222222221</v>
      </c>
      <c r="D195" s="16" t="s">
        <v>51</v>
      </c>
      <c r="E195" s="16" t="s">
        <v>68</v>
      </c>
      <c r="F195" s="16" t="s">
        <v>105</v>
      </c>
      <c r="G195" s="1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24" t="s">
        <v>73</v>
      </c>
      <c r="B196" s="24" t="s">
        <v>74</v>
      </c>
      <c r="C196" s="111">
        <v>0.30555555555555558</v>
      </c>
      <c r="D196" s="24" t="s">
        <v>75</v>
      </c>
      <c r="E196" s="24" t="s">
        <v>76</v>
      </c>
      <c r="F196" s="24" t="s">
        <v>85</v>
      </c>
      <c r="G196" s="150"/>
      <c r="H196" s="25"/>
      <c r="I196" s="26"/>
      <c r="J196" s="26"/>
      <c r="K196" s="26"/>
      <c r="L196" s="26"/>
      <c r="M196" s="26"/>
      <c r="N196" s="26"/>
      <c r="O196" s="27"/>
      <c r="P196" s="26"/>
      <c r="Q196" s="28"/>
      <c r="R196" s="29"/>
    </row>
    <row r="197" spans="1:18" ht="17.399999999999999" customHeight="1" x14ac:dyDescent="0.3">
      <c r="A197" s="145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7"/>
    </row>
    <row r="198" spans="1:18" ht="22.05" customHeight="1" x14ac:dyDescent="0.3">
      <c r="A198" s="154" t="s">
        <v>8</v>
      </c>
      <c r="B198" s="143"/>
      <c r="C198" s="143"/>
      <c r="D198" s="143"/>
      <c r="E198" s="143"/>
      <c r="F198" s="144"/>
      <c r="G198" s="112">
        <v>46023</v>
      </c>
      <c r="H198" s="142" t="s">
        <v>9</v>
      </c>
      <c r="I198" s="143"/>
      <c r="J198" s="143"/>
      <c r="K198" s="143"/>
      <c r="L198" s="143"/>
      <c r="M198" s="143"/>
      <c r="N198" s="143"/>
      <c r="O198" s="143"/>
      <c r="P198" s="143"/>
      <c r="Q198" s="143"/>
      <c r="R198" s="144"/>
    </row>
    <row r="199" spans="1:18" ht="24" customHeight="1" x14ac:dyDescent="0.3">
      <c r="A199" s="30" t="s">
        <v>10</v>
      </c>
      <c r="B199" s="30" t="s">
        <v>11</v>
      </c>
      <c r="C199" s="113" t="s">
        <v>12</v>
      </c>
      <c r="D199" s="30" t="s">
        <v>13</v>
      </c>
      <c r="E199" s="30" t="s">
        <v>14</v>
      </c>
      <c r="F199" s="31" t="s">
        <v>15</v>
      </c>
      <c r="G199" s="32" t="s">
        <v>16</v>
      </c>
      <c r="H199" s="30" t="s">
        <v>17</v>
      </c>
      <c r="I199" s="33" t="s">
        <v>18</v>
      </c>
      <c r="J199" s="34" t="s">
        <v>19</v>
      </c>
      <c r="K199" s="35" t="s">
        <v>20</v>
      </c>
      <c r="L199" s="34" t="s">
        <v>21</v>
      </c>
      <c r="M199" s="34" t="s">
        <v>22</v>
      </c>
      <c r="N199" s="34" t="s">
        <v>23</v>
      </c>
      <c r="O199" s="30" t="s">
        <v>24</v>
      </c>
      <c r="P199" s="113" t="s">
        <v>25</v>
      </c>
      <c r="Q199" s="34" t="s">
        <v>26</v>
      </c>
      <c r="R199" s="30" t="s">
        <v>27</v>
      </c>
    </row>
    <row r="200" spans="1:18" ht="15" customHeight="1" x14ac:dyDescent="0.3">
      <c r="A200" s="8" t="s">
        <v>57</v>
      </c>
      <c r="B200" s="8" t="s">
        <v>58</v>
      </c>
      <c r="C200" s="105">
        <v>0.30555555555555558</v>
      </c>
      <c r="D200" s="8" t="s">
        <v>59</v>
      </c>
      <c r="E200" s="8" t="s">
        <v>102</v>
      </c>
      <c r="F200" s="8" t="s">
        <v>32</v>
      </c>
      <c r="G200" s="148" t="s">
        <v>129</v>
      </c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57</v>
      </c>
      <c r="B201" s="16" t="s">
        <v>58</v>
      </c>
      <c r="C201" s="108">
        <v>0.30555555555555558</v>
      </c>
      <c r="D201" s="16" t="s">
        <v>62</v>
      </c>
      <c r="E201" s="16" t="s">
        <v>102</v>
      </c>
      <c r="F201" s="16" t="s">
        <v>81</v>
      </c>
      <c r="G201" s="1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57</v>
      </c>
      <c r="B202" s="16" t="s">
        <v>58</v>
      </c>
      <c r="C202" s="108">
        <v>0.30555555555555558</v>
      </c>
      <c r="D202" s="16" t="s">
        <v>51</v>
      </c>
      <c r="E202" s="16" t="s">
        <v>102</v>
      </c>
      <c r="F202" s="16" t="s">
        <v>82</v>
      </c>
      <c r="G202" s="1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5" t="s">
        <v>45</v>
      </c>
      <c r="B203" s="15" t="s">
        <v>46</v>
      </c>
      <c r="C203" s="107">
        <v>0.2013888888888889</v>
      </c>
      <c r="D203" s="15" t="s">
        <v>47</v>
      </c>
      <c r="E203" s="15" t="s">
        <v>78</v>
      </c>
      <c r="F203" s="15" t="s">
        <v>103</v>
      </c>
      <c r="G203" s="1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45</v>
      </c>
      <c r="B204" s="16" t="s">
        <v>46</v>
      </c>
      <c r="C204" s="108">
        <v>0.2013888888888889</v>
      </c>
      <c r="D204" s="16" t="s">
        <v>49</v>
      </c>
      <c r="E204" s="16" t="s">
        <v>78</v>
      </c>
      <c r="F204" s="16" t="s">
        <v>104</v>
      </c>
      <c r="G204" s="1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45</v>
      </c>
      <c r="B205" s="16" t="s">
        <v>46</v>
      </c>
      <c r="C205" s="108">
        <v>0.2013888888888889</v>
      </c>
      <c r="D205" s="16" t="s">
        <v>51</v>
      </c>
      <c r="E205" s="16" t="s">
        <v>78</v>
      </c>
      <c r="F205" s="16" t="s">
        <v>105</v>
      </c>
      <c r="G205" s="1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45</v>
      </c>
      <c r="B206" s="14" t="s">
        <v>53</v>
      </c>
      <c r="C206" s="106">
        <v>0.83680555555555558</v>
      </c>
      <c r="D206" s="14" t="s">
        <v>47</v>
      </c>
      <c r="E206" s="14" t="s">
        <v>117</v>
      </c>
      <c r="F206" s="14" t="s">
        <v>54</v>
      </c>
      <c r="G206" s="1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45</v>
      </c>
      <c r="B207" s="16" t="s">
        <v>53</v>
      </c>
      <c r="C207" s="108">
        <v>0.83680555555555558</v>
      </c>
      <c r="D207" s="16" t="s">
        <v>49</v>
      </c>
      <c r="E207" s="16" t="s">
        <v>117</v>
      </c>
      <c r="F207" s="16" t="s">
        <v>55</v>
      </c>
      <c r="G207" s="1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45</v>
      </c>
      <c r="B208" s="16" t="s">
        <v>53</v>
      </c>
      <c r="C208" s="108">
        <v>0.83680555555555558</v>
      </c>
      <c r="D208" s="16" t="s">
        <v>51</v>
      </c>
      <c r="E208" s="16" t="s">
        <v>117</v>
      </c>
      <c r="F208" s="16" t="s">
        <v>56</v>
      </c>
      <c r="G208" s="1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83</v>
      </c>
      <c r="B209" s="15" t="s">
        <v>84</v>
      </c>
      <c r="C209" s="107">
        <v>0.5625</v>
      </c>
      <c r="D209" s="15" t="s">
        <v>110</v>
      </c>
      <c r="E209" s="15" t="s">
        <v>117</v>
      </c>
      <c r="F209" s="15" t="s">
        <v>54</v>
      </c>
      <c r="G209" s="1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83</v>
      </c>
      <c r="B210" s="14" t="s">
        <v>96</v>
      </c>
      <c r="C210" s="106">
        <v>0.95833333333333337</v>
      </c>
      <c r="D210" s="14" t="s">
        <v>110</v>
      </c>
      <c r="E210" s="14" t="s">
        <v>36</v>
      </c>
      <c r="F210" s="14" t="s">
        <v>54</v>
      </c>
      <c r="G210" s="1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57" t="s">
        <v>65</v>
      </c>
      <c r="B211" s="57" t="s">
        <v>66</v>
      </c>
      <c r="C211" s="120">
        <v>0.92361111111111116</v>
      </c>
      <c r="D211" s="57" t="s">
        <v>110</v>
      </c>
      <c r="E211" s="57" t="s">
        <v>76</v>
      </c>
      <c r="F211" s="57" t="s">
        <v>130</v>
      </c>
      <c r="G211" s="149"/>
      <c r="H211" s="58" t="s">
        <v>70</v>
      </c>
      <c r="I211" s="59">
        <v>0.125</v>
      </c>
      <c r="J211" s="60">
        <v>21</v>
      </c>
      <c r="K211" s="61">
        <v>46352</v>
      </c>
      <c r="L211" s="60">
        <v>21</v>
      </c>
      <c r="M211" s="60">
        <v>0</v>
      </c>
      <c r="N211" s="60">
        <v>0</v>
      </c>
      <c r="O211" s="62" t="s">
        <v>131</v>
      </c>
      <c r="P211" s="121">
        <v>0.92361111111111116</v>
      </c>
      <c r="Q211" s="60">
        <v>168</v>
      </c>
      <c r="R211" s="63" t="s">
        <v>132</v>
      </c>
    </row>
    <row r="212" spans="1:18" ht="15" customHeight="1" x14ac:dyDescent="0.3">
      <c r="A212" s="15" t="s">
        <v>89</v>
      </c>
      <c r="B212" s="15" t="s">
        <v>100</v>
      </c>
      <c r="C212" s="107">
        <v>0.88888888888888884</v>
      </c>
      <c r="D212" s="15" t="s">
        <v>110</v>
      </c>
      <c r="E212" s="15" t="s">
        <v>31</v>
      </c>
      <c r="F212" s="15" t="s">
        <v>133</v>
      </c>
      <c r="G212" s="1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28</v>
      </c>
      <c r="B213" s="15" t="s">
        <v>29</v>
      </c>
      <c r="C213" s="107">
        <v>0.1701388888888889</v>
      </c>
      <c r="D213" s="15" t="s">
        <v>134</v>
      </c>
      <c r="E213" s="15" t="s">
        <v>36</v>
      </c>
      <c r="F213" s="15" t="s">
        <v>63</v>
      </c>
      <c r="G213" s="1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28</v>
      </c>
      <c r="B214" s="14" t="s">
        <v>33</v>
      </c>
      <c r="C214" s="106">
        <v>0.52777777777777779</v>
      </c>
      <c r="D214" s="14" t="s">
        <v>134</v>
      </c>
      <c r="E214" s="14" t="s">
        <v>36</v>
      </c>
      <c r="F214" s="14" t="s">
        <v>135</v>
      </c>
      <c r="G214" s="1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28</v>
      </c>
      <c r="B215" s="14" t="s">
        <v>35</v>
      </c>
      <c r="C215" s="106">
        <v>0.86458333333333337</v>
      </c>
      <c r="D215" s="14" t="s">
        <v>107</v>
      </c>
      <c r="E215" s="14" t="s">
        <v>36</v>
      </c>
      <c r="F215" s="14" t="s">
        <v>108</v>
      </c>
      <c r="G215" s="1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24" t="s">
        <v>73</v>
      </c>
      <c r="B216" s="24" t="s">
        <v>74</v>
      </c>
      <c r="C216" s="111">
        <v>0.30555555555555558</v>
      </c>
      <c r="D216" s="24" t="s">
        <v>75</v>
      </c>
      <c r="E216" s="24" t="s">
        <v>76</v>
      </c>
      <c r="F216" s="24" t="s">
        <v>85</v>
      </c>
      <c r="G216" s="150"/>
      <c r="H216" s="25"/>
      <c r="I216" s="26"/>
      <c r="J216" s="26"/>
      <c r="K216" s="26"/>
      <c r="L216" s="26"/>
      <c r="M216" s="26"/>
      <c r="N216" s="26"/>
      <c r="O216" s="27"/>
      <c r="P216" s="26"/>
      <c r="Q216" s="28"/>
      <c r="R216" s="29"/>
    </row>
    <row r="217" spans="1:18" ht="17.399999999999999" customHeight="1" x14ac:dyDescent="0.3">
      <c r="A217" s="145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7"/>
    </row>
    <row r="218" spans="1:18" ht="22.05" customHeight="1" x14ac:dyDescent="0.3">
      <c r="A218" s="154" t="s">
        <v>8</v>
      </c>
      <c r="B218" s="143"/>
      <c r="C218" s="143"/>
      <c r="D218" s="143"/>
      <c r="E218" s="143"/>
      <c r="F218" s="144"/>
      <c r="G218" s="112">
        <v>46024</v>
      </c>
      <c r="H218" s="142" t="s">
        <v>9</v>
      </c>
      <c r="I218" s="143"/>
      <c r="J218" s="143"/>
      <c r="K218" s="143"/>
      <c r="L218" s="143"/>
      <c r="M218" s="143"/>
      <c r="N218" s="143"/>
      <c r="O218" s="143"/>
      <c r="P218" s="143"/>
      <c r="Q218" s="143"/>
      <c r="R218" s="144"/>
    </row>
    <row r="219" spans="1:18" ht="24" customHeight="1" x14ac:dyDescent="0.3">
      <c r="A219" s="30" t="s">
        <v>10</v>
      </c>
      <c r="B219" s="30" t="s">
        <v>11</v>
      </c>
      <c r="C219" s="113" t="s">
        <v>12</v>
      </c>
      <c r="D219" s="30" t="s">
        <v>13</v>
      </c>
      <c r="E219" s="30" t="s">
        <v>14</v>
      </c>
      <c r="F219" s="31" t="s">
        <v>15</v>
      </c>
      <c r="G219" s="32" t="s">
        <v>16</v>
      </c>
      <c r="H219" s="30" t="s">
        <v>17</v>
      </c>
      <c r="I219" s="33" t="s">
        <v>18</v>
      </c>
      <c r="J219" s="34" t="s">
        <v>19</v>
      </c>
      <c r="K219" s="35" t="s">
        <v>20</v>
      </c>
      <c r="L219" s="34" t="s">
        <v>21</v>
      </c>
      <c r="M219" s="34" t="s">
        <v>22</v>
      </c>
      <c r="N219" s="34" t="s">
        <v>23</v>
      </c>
      <c r="O219" s="30" t="s">
        <v>24</v>
      </c>
      <c r="P219" s="113" t="s">
        <v>25</v>
      </c>
      <c r="Q219" s="34" t="s">
        <v>26</v>
      </c>
      <c r="R219" s="30" t="s">
        <v>27</v>
      </c>
    </row>
    <row r="220" spans="1:18" ht="15" customHeight="1" x14ac:dyDescent="0.3">
      <c r="A220" s="8" t="s">
        <v>57</v>
      </c>
      <c r="B220" s="8" t="s">
        <v>58</v>
      </c>
      <c r="C220" s="105">
        <v>0.30555555555555558</v>
      </c>
      <c r="D220" s="8" t="s">
        <v>59</v>
      </c>
      <c r="E220" s="8" t="s">
        <v>136</v>
      </c>
      <c r="F220" s="8" t="s">
        <v>61</v>
      </c>
      <c r="G220" s="148" t="s">
        <v>137</v>
      </c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57</v>
      </c>
      <c r="B221" s="16" t="s">
        <v>58</v>
      </c>
      <c r="C221" s="108">
        <v>0.30555555555555558</v>
      </c>
      <c r="D221" s="16" t="s">
        <v>62</v>
      </c>
      <c r="E221" s="16" t="s">
        <v>136</v>
      </c>
      <c r="F221" s="16" t="s">
        <v>63</v>
      </c>
      <c r="G221" s="1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57</v>
      </c>
      <c r="B222" s="16" t="s">
        <v>58</v>
      </c>
      <c r="C222" s="108">
        <v>0.30555555555555558</v>
      </c>
      <c r="D222" s="16" t="s">
        <v>51</v>
      </c>
      <c r="E222" s="16" t="s">
        <v>136</v>
      </c>
      <c r="F222" s="16" t="s">
        <v>82</v>
      </c>
      <c r="G222" s="1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45</v>
      </c>
      <c r="B223" s="15" t="s">
        <v>53</v>
      </c>
      <c r="C223" s="107">
        <v>0.83680555555555558</v>
      </c>
      <c r="D223" s="15" t="s">
        <v>47</v>
      </c>
      <c r="E223" s="15" t="s">
        <v>87</v>
      </c>
      <c r="F223" s="15" t="s">
        <v>54</v>
      </c>
      <c r="G223" s="1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45</v>
      </c>
      <c r="B224" s="16" t="s">
        <v>53</v>
      </c>
      <c r="C224" s="108">
        <v>0.83680555555555558</v>
      </c>
      <c r="D224" s="16" t="s">
        <v>49</v>
      </c>
      <c r="E224" s="16" t="s">
        <v>87</v>
      </c>
      <c r="F224" s="16" t="s">
        <v>55</v>
      </c>
      <c r="G224" s="14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45</v>
      </c>
      <c r="B225" s="16" t="s">
        <v>53</v>
      </c>
      <c r="C225" s="108">
        <v>0.83680555555555558</v>
      </c>
      <c r="D225" s="16" t="s">
        <v>51</v>
      </c>
      <c r="E225" s="16" t="s">
        <v>87</v>
      </c>
      <c r="F225" s="16" t="s">
        <v>56</v>
      </c>
      <c r="G225" s="1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83</v>
      </c>
      <c r="B226" s="15" t="s">
        <v>92</v>
      </c>
      <c r="C226" s="107">
        <v>0.95833333333333337</v>
      </c>
      <c r="D226" s="15" t="s">
        <v>110</v>
      </c>
      <c r="E226" s="15" t="s">
        <v>78</v>
      </c>
      <c r="F226" s="15" t="s">
        <v>138</v>
      </c>
      <c r="G226" s="14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50" t="s">
        <v>65</v>
      </c>
      <c r="B227" s="50" t="s">
        <v>66</v>
      </c>
      <c r="C227" s="118">
        <v>0.57986111111111116</v>
      </c>
      <c r="D227" s="50" t="s">
        <v>110</v>
      </c>
      <c r="E227" s="50" t="s">
        <v>102</v>
      </c>
      <c r="F227" s="50" t="s">
        <v>139</v>
      </c>
      <c r="G227" s="149"/>
      <c r="H227" s="51" t="s">
        <v>70</v>
      </c>
      <c r="I227" s="52">
        <v>0.1905</v>
      </c>
      <c r="J227" s="53">
        <v>32</v>
      </c>
      <c r="K227" s="54">
        <v>46362</v>
      </c>
      <c r="L227" s="53">
        <v>32</v>
      </c>
      <c r="M227" s="53">
        <v>0</v>
      </c>
      <c r="N227" s="53">
        <v>0</v>
      </c>
      <c r="O227" s="55" t="s">
        <v>140</v>
      </c>
      <c r="P227" s="119">
        <v>0.57986111111111116</v>
      </c>
      <c r="Q227" s="53">
        <v>168</v>
      </c>
      <c r="R227" s="56" t="s">
        <v>141</v>
      </c>
    </row>
    <row r="228" spans="1:18" ht="15" customHeight="1" x14ac:dyDescent="0.3">
      <c r="A228" s="15" t="s">
        <v>28</v>
      </c>
      <c r="B228" s="15" t="s">
        <v>29</v>
      </c>
      <c r="C228" s="107">
        <v>0.1701388888888889</v>
      </c>
      <c r="D228" s="15" t="s">
        <v>107</v>
      </c>
      <c r="E228" s="15" t="s">
        <v>36</v>
      </c>
      <c r="F228" s="15" t="s">
        <v>135</v>
      </c>
      <c r="G228" s="1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28</v>
      </c>
      <c r="B229" s="14" t="s">
        <v>35</v>
      </c>
      <c r="C229" s="106">
        <v>0.86458333333333337</v>
      </c>
      <c r="D229" s="14" t="s">
        <v>107</v>
      </c>
      <c r="E229" s="14" t="s">
        <v>36</v>
      </c>
      <c r="F229" s="14" t="s">
        <v>126</v>
      </c>
      <c r="G229" s="1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28</v>
      </c>
      <c r="B230" s="14" t="s">
        <v>33</v>
      </c>
      <c r="C230" s="106">
        <v>0.52777777777777779</v>
      </c>
      <c r="D230" s="14" t="s">
        <v>107</v>
      </c>
      <c r="E230" s="14" t="s">
        <v>36</v>
      </c>
      <c r="F230" s="14" t="s">
        <v>142</v>
      </c>
      <c r="G230" s="1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4" t="s">
        <v>73</v>
      </c>
      <c r="B231" s="24" t="s">
        <v>74</v>
      </c>
      <c r="C231" s="111">
        <v>0.30555555555555558</v>
      </c>
      <c r="D231" s="24" t="s">
        <v>75</v>
      </c>
      <c r="E231" s="24" t="s">
        <v>76</v>
      </c>
      <c r="F231" s="24" t="s">
        <v>77</v>
      </c>
      <c r="G231" s="150"/>
      <c r="H231" s="25"/>
      <c r="I231" s="26"/>
      <c r="J231" s="26"/>
      <c r="K231" s="26"/>
      <c r="L231" s="26"/>
      <c r="M231" s="26"/>
      <c r="N231" s="26"/>
      <c r="O231" s="27"/>
      <c r="P231" s="26"/>
      <c r="Q231" s="28"/>
      <c r="R231" s="29"/>
    </row>
    <row r="232" spans="1:18" ht="17.399999999999999" customHeight="1" x14ac:dyDescent="0.3">
      <c r="A232" s="145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7"/>
    </row>
    <row r="233" spans="1:18" ht="22.05" customHeight="1" x14ac:dyDescent="0.3">
      <c r="A233" s="154" t="s">
        <v>8</v>
      </c>
      <c r="B233" s="143"/>
      <c r="C233" s="143"/>
      <c r="D233" s="143"/>
      <c r="E233" s="143"/>
      <c r="F233" s="144"/>
      <c r="G233" s="112">
        <v>46025</v>
      </c>
      <c r="H233" s="142" t="s">
        <v>9</v>
      </c>
      <c r="I233" s="143"/>
      <c r="J233" s="143"/>
      <c r="K233" s="143"/>
      <c r="L233" s="143"/>
      <c r="M233" s="143"/>
      <c r="N233" s="143"/>
      <c r="O233" s="143"/>
      <c r="P233" s="143"/>
      <c r="Q233" s="143"/>
      <c r="R233" s="144"/>
    </row>
    <row r="234" spans="1:18" ht="24" customHeight="1" x14ac:dyDescent="0.3">
      <c r="A234" s="30" t="s">
        <v>10</v>
      </c>
      <c r="B234" s="30" t="s">
        <v>11</v>
      </c>
      <c r="C234" s="113" t="s">
        <v>12</v>
      </c>
      <c r="D234" s="30" t="s">
        <v>13</v>
      </c>
      <c r="E234" s="30" t="s">
        <v>14</v>
      </c>
      <c r="F234" s="31" t="s">
        <v>15</v>
      </c>
      <c r="G234" s="32" t="s">
        <v>16</v>
      </c>
      <c r="H234" s="30" t="s">
        <v>17</v>
      </c>
      <c r="I234" s="33" t="s">
        <v>18</v>
      </c>
      <c r="J234" s="34" t="s">
        <v>19</v>
      </c>
      <c r="K234" s="35" t="s">
        <v>20</v>
      </c>
      <c r="L234" s="34" t="s">
        <v>21</v>
      </c>
      <c r="M234" s="34" t="s">
        <v>22</v>
      </c>
      <c r="N234" s="34" t="s">
        <v>23</v>
      </c>
      <c r="O234" s="30" t="s">
        <v>24</v>
      </c>
      <c r="P234" s="113" t="s">
        <v>25</v>
      </c>
      <c r="Q234" s="34" t="s">
        <v>26</v>
      </c>
      <c r="R234" s="30" t="s">
        <v>27</v>
      </c>
    </row>
    <row r="235" spans="1:18" ht="15" customHeight="1" x14ac:dyDescent="0.3">
      <c r="A235" s="8" t="s">
        <v>57</v>
      </c>
      <c r="B235" s="8" t="s">
        <v>58</v>
      </c>
      <c r="C235" s="105">
        <v>0.30555555555555558</v>
      </c>
      <c r="D235" s="8" t="s">
        <v>59</v>
      </c>
      <c r="E235" s="8" t="s">
        <v>88</v>
      </c>
      <c r="F235" s="8" t="s">
        <v>127</v>
      </c>
      <c r="G235" s="155" t="s">
        <v>143</v>
      </c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57</v>
      </c>
      <c r="B236" s="16" t="s">
        <v>58</v>
      </c>
      <c r="C236" s="108">
        <v>0.30555555555555558</v>
      </c>
      <c r="D236" s="16" t="s">
        <v>62</v>
      </c>
      <c r="E236" s="16" t="s">
        <v>88</v>
      </c>
      <c r="F236" s="16" t="s">
        <v>128</v>
      </c>
      <c r="G236" s="1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57</v>
      </c>
      <c r="B237" s="16" t="s">
        <v>58</v>
      </c>
      <c r="C237" s="108">
        <v>0.30555555555555558</v>
      </c>
      <c r="D237" s="16" t="s">
        <v>51</v>
      </c>
      <c r="E237" s="16" t="s">
        <v>88</v>
      </c>
      <c r="F237" s="16" t="s">
        <v>82</v>
      </c>
      <c r="G237" s="1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45</v>
      </c>
      <c r="B238" s="15" t="s">
        <v>53</v>
      </c>
      <c r="C238" s="107">
        <v>0.83680555555555558</v>
      </c>
      <c r="D238" s="15" t="s">
        <v>47</v>
      </c>
      <c r="E238" s="15" t="s">
        <v>68</v>
      </c>
      <c r="F238" s="15" t="s">
        <v>103</v>
      </c>
      <c r="G238" s="1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45</v>
      </c>
      <c r="B239" s="16" t="s">
        <v>53</v>
      </c>
      <c r="C239" s="108">
        <v>0.83680555555555558</v>
      </c>
      <c r="D239" s="16" t="s">
        <v>49</v>
      </c>
      <c r="E239" s="16" t="s">
        <v>68</v>
      </c>
      <c r="F239" s="16" t="s">
        <v>104</v>
      </c>
      <c r="G239" s="1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45</v>
      </c>
      <c r="B240" s="16" t="s">
        <v>53</v>
      </c>
      <c r="C240" s="108">
        <v>0.83680555555555558</v>
      </c>
      <c r="D240" s="16" t="s">
        <v>51</v>
      </c>
      <c r="E240" s="16" t="s">
        <v>68</v>
      </c>
      <c r="F240" s="16" t="s">
        <v>105</v>
      </c>
      <c r="G240" s="1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45</v>
      </c>
      <c r="B241" s="14" t="s">
        <v>46</v>
      </c>
      <c r="C241" s="106">
        <v>0.2013888888888889</v>
      </c>
      <c r="D241" s="14" t="s">
        <v>47</v>
      </c>
      <c r="E241" s="14" t="s">
        <v>41</v>
      </c>
      <c r="F241" s="14" t="s">
        <v>50</v>
      </c>
      <c r="G241" s="1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45</v>
      </c>
      <c r="B242" s="16" t="s">
        <v>46</v>
      </c>
      <c r="C242" s="108">
        <v>0.2013888888888889</v>
      </c>
      <c r="D242" s="16" t="s">
        <v>49</v>
      </c>
      <c r="E242" s="16" t="s">
        <v>41</v>
      </c>
      <c r="F242" s="16" t="s">
        <v>118</v>
      </c>
      <c r="G242" s="1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45</v>
      </c>
      <c r="B243" s="16" t="s">
        <v>46</v>
      </c>
      <c r="C243" s="108">
        <v>0.2013888888888889</v>
      </c>
      <c r="D243" s="16" t="s">
        <v>51</v>
      </c>
      <c r="E243" s="16" t="s">
        <v>41</v>
      </c>
      <c r="F243" s="16" t="s">
        <v>144</v>
      </c>
      <c r="G243" s="1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5" t="s">
        <v>38</v>
      </c>
      <c r="B244" s="15" t="s">
        <v>39</v>
      </c>
      <c r="C244" s="107">
        <v>0.97222222222222221</v>
      </c>
      <c r="D244" s="15" t="s">
        <v>40</v>
      </c>
      <c r="E244" s="15" t="s">
        <v>41</v>
      </c>
      <c r="F244" s="15" t="s">
        <v>145</v>
      </c>
      <c r="G244" s="1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38</v>
      </c>
      <c r="B245" s="16" t="s">
        <v>39</v>
      </c>
      <c r="C245" s="108">
        <v>0.97222222222222221</v>
      </c>
      <c r="D245" s="16" t="s">
        <v>43</v>
      </c>
      <c r="E245" s="16" t="s">
        <v>41</v>
      </c>
      <c r="F245" s="16" t="s">
        <v>146</v>
      </c>
      <c r="G245" s="1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5" t="s">
        <v>28</v>
      </c>
      <c r="B246" s="15" t="s">
        <v>29</v>
      </c>
      <c r="C246" s="107">
        <v>0.1701388888888889</v>
      </c>
      <c r="D246" s="15" t="s">
        <v>134</v>
      </c>
      <c r="E246" s="15" t="s">
        <v>36</v>
      </c>
      <c r="F246" s="15" t="s">
        <v>147</v>
      </c>
      <c r="G246" s="1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28</v>
      </c>
      <c r="B247" s="14" t="s">
        <v>35</v>
      </c>
      <c r="C247" s="106">
        <v>0.86458333333333337</v>
      </c>
      <c r="D247" s="14" t="s">
        <v>134</v>
      </c>
      <c r="E247" s="14" t="s">
        <v>36</v>
      </c>
      <c r="F247" s="14" t="s">
        <v>135</v>
      </c>
      <c r="G247" s="1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28</v>
      </c>
      <c r="B248" s="14" t="s">
        <v>33</v>
      </c>
      <c r="C248" s="106">
        <v>0.52777777777777779</v>
      </c>
      <c r="D248" s="14" t="s">
        <v>134</v>
      </c>
      <c r="E248" s="14" t="s">
        <v>36</v>
      </c>
      <c r="F248" s="14" t="s">
        <v>135</v>
      </c>
      <c r="G248" s="1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57" t="s">
        <v>65</v>
      </c>
      <c r="B249" s="57" t="s">
        <v>66</v>
      </c>
      <c r="C249" s="120">
        <v>0.92361111111111116</v>
      </c>
      <c r="D249" s="57" t="s">
        <v>110</v>
      </c>
      <c r="E249" s="57" t="s">
        <v>78</v>
      </c>
      <c r="F249" s="57" t="s">
        <v>139</v>
      </c>
      <c r="G249" s="149"/>
      <c r="H249" s="58" t="s">
        <v>70</v>
      </c>
      <c r="I249" s="59">
        <v>0.14549999999999999</v>
      </c>
      <c r="J249" s="60">
        <v>24</v>
      </c>
      <c r="K249" s="61">
        <v>46354</v>
      </c>
      <c r="L249" s="60">
        <v>24</v>
      </c>
      <c r="M249" s="60">
        <v>0</v>
      </c>
      <c r="N249" s="60">
        <v>0</v>
      </c>
      <c r="O249" s="62" t="s">
        <v>148</v>
      </c>
      <c r="P249" s="121">
        <v>0.92361111111111116</v>
      </c>
      <c r="Q249" s="60">
        <v>165</v>
      </c>
      <c r="R249" s="63" t="s">
        <v>149</v>
      </c>
    </row>
    <row r="250" spans="1:18" ht="15" customHeight="1" x14ac:dyDescent="0.3">
      <c r="A250" s="15" t="s">
        <v>83</v>
      </c>
      <c r="B250" s="15" t="s">
        <v>96</v>
      </c>
      <c r="C250" s="107">
        <v>0.89583333333333337</v>
      </c>
      <c r="D250" s="15" t="s">
        <v>110</v>
      </c>
      <c r="E250" s="15" t="s">
        <v>78</v>
      </c>
      <c r="F250" s="15" t="s">
        <v>56</v>
      </c>
      <c r="G250" s="1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4" t="s">
        <v>73</v>
      </c>
      <c r="B251" s="24" t="s">
        <v>74</v>
      </c>
      <c r="C251" s="111">
        <v>0.30555555555555558</v>
      </c>
      <c r="D251" s="24" t="s">
        <v>75</v>
      </c>
      <c r="E251" s="24" t="s">
        <v>76</v>
      </c>
      <c r="F251" s="24" t="s">
        <v>85</v>
      </c>
      <c r="G251" s="150"/>
      <c r="H251" s="25"/>
      <c r="I251" s="26"/>
      <c r="J251" s="26"/>
      <c r="K251" s="26"/>
      <c r="L251" s="26"/>
      <c r="M251" s="26"/>
      <c r="N251" s="26"/>
      <c r="O251" s="27"/>
      <c r="P251" s="26"/>
      <c r="Q251" s="28"/>
      <c r="R251" s="29"/>
    </row>
    <row r="252" spans="1:18" ht="17.399999999999999" customHeight="1" x14ac:dyDescent="0.3">
      <c r="A252" s="145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7"/>
    </row>
    <row r="253" spans="1:18" ht="22.05" customHeight="1" x14ac:dyDescent="0.3">
      <c r="A253" s="154" t="s">
        <v>8</v>
      </c>
      <c r="B253" s="143"/>
      <c r="C253" s="143"/>
      <c r="D253" s="143"/>
      <c r="E253" s="143"/>
      <c r="F253" s="144"/>
      <c r="G253" s="112">
        <v>46026</v>
      </c>
      <c r="H253" s="142" t="s">
        <v>9</v>
      </c>
      <c r="I253" s="143"/>
      <c r="J253" s="143"/>
      <c r="K253" s="143"/>
      <c r="L253" s="143"/>
      <c r="M253" s="143"/>
      <c r="N253" s="143"/>
      <c r="O253" s="143"/>
      <c r="P253" s="143"/>
      <c r="Q253" s="143"/>
      <c r="R253" s="144"/>
    </row>
    <row r="254" spans="1:18" ht="24" customHeight="1" x14ac:dyDescent="0.3">
      <c r="A254" s="30" t="s">
        <v>10</v>
      </c>
      <c r="B254" s="30" t="s">
        <v>11</v>
      </c>
      <c r="C254" s="113" t="s">
        <v>12</v>
      </c>
      <c r="D254" s="30" t="s">
        <v>13</v>
      </c>
      <c r="E254" s="30" t="s">
        <v>14</v>
      </c>
      <c r="F254" s="31" t="s">
        <v>15</v>
      </c>
      <c r="G254" s="32" t="s">
        <v>16</v>
      </c>
      <c r="H254" s="30" t="s">
        <v>17</v>
      </c>
      <c r="I254" s="33" t="s">
        <v>18</v>
      </c>
      <c r="J254" s="34" t="s">
        <v>19</v>
      </c>
      <c r="K254" s="35" t="s">
        <v>20</v>
      </c>
      <c r="L254" s="34" t="s">
        <v>21</v>
      </c>
      <c r="M254" s="34" t="s">
        <v>22</v>
      </c>
      <c r="N254" s="34" t="s">
        <v>23</v>
      </c>
      <c r="O254" s="30" t="s">
        <v>24</v>
      </c>
      <c r="P254" s="113" t="s">
        <v>25</v>
      </c>
      <c r="Q254" s="34" t="s">
        <v>26</v>
      </c>
      <c r="R254" s="30" t="s">
        <v>27</v>
      </c>
    </row>
    <row r="255" spans="1:18" ht="15" customHeight="1" x14ac:dyDescent="0.3">
      <c r="A255" s="8" t="s">
        <v>57</v>
      </c>
      <c r="B255" s="8" t="s">
        <v>58</v>
      </c>
      <c r="C255" s="105">
        <v>0.30555555555555558</v>
      </c>
      <c r="D255" s="8" t="s">
        <v>59</v>
      </c>
      <c r="E255" s="8" t="s">
        <v>136</v>
      </c>
      <c r="F255" s="8" t="s">
        <v>61</v>
      </c>
      <c r="G255" s="1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57</v>
      </c>
      <c r="B256" s="16" t="s">
        <v>58</v>
      </c>
      <c r="C256" s="108">
        <v>0.30555555555555558</v>
      </c>
      <c r="D256" s="16" t="s">
        <v>62</v>
      </c>
      <c r="E256" s="16" t="s">
        <v>136</v>
      </c>
      <c r="F256" s="16" t="s">
        <v>63</v>
      </c>
      <c r="G256" s="1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57</v>
      </c>
      <c r="B257" s="16" t="s">
        <v>58</v>
      </c>
      <c r="C257" s="108">
        <v>0.30555555555555558</v>
      </c>
      <c r="D257" s="16" t="s">
        <v>51</v>
      </c>
      <c r="E257" s="16" t="s">
        <v>136</v>
      </c>
      <c r="F257" s="16" t="s">
        <v>82</v>
      </c>
      <c r="G257" s="1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45</v>
      </c>
      <c r="B258" s="15" t="s">
        <v>53</v>
      </c>
      <c r="C258" s="107">
        <v>0.83680555555555558</v>
      </c>
      <c r="D258" s="15" t="s">
        <v>47</v>
      </c>
      <c r="E258" s="15" t="s">
        <v>31</v>
      </c>
      <c r="F258" s="15" t="s">
        <v>54</v>
      </c>
      <c r="G258" s="1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45</v>
      </c>
      <c r="B259" s="16" t="s">
        <v>53</v>
      </c>
      <c r="C259" s="108">
        <v>0.83680555555555558</v>
      </c>
      <c r="D259" s="16" t="s">
        <v>49</v>
      </c>
      <c r="E259" s="16" t="s">
        <v>31</v>
      </c>
      <c r="F259" s="16" t="s">
        <v>55</v>
      </c>
      <c r="G259" s="1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45</v>
      </c>
      <c r="B260" s="16" t="s">
        <v>53</v>
      </c>
      <c r="C260" s="108">
        <v>0.83680555555555558</v>
      </c>
      <c r="D260" s="16" t="s">
        <v>51</v>
      </c>
      <c r="E260" s="16" t="s">
        <v>31</v>
      </c>
      <c r="F260" s="16" t="s">
        <v>56</v>
      </c>
      <c r="G260" s="1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89</v>
      </c>
      <c r="B261" s="15" t="s">
        <v>150</v>
      </c>
      <c r="C261" s="107">
        <v>0.21527777777777779</v>
      </c>
      <c r="D261" s="15" t="s">
        <v>110</v>
      </c>
      <c r="E261" s="15" t="s">
        <v>68</v>
      </c>
      <c r="F261" s="15" t="s">
        <v>151</v>
      </c>
      <c r="G261" s="1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83</v>
      </c>
      <c r="B262" s="15" t="s">
        <v>84</v>
      </c>
      <c r="C262" s="107">
        <v>0.95833333333333337</v>
      </c>
      <c r="D262" s="15" t="s">
        <v>110</v>
      </c>
      <c r="E262" s="15" t="s">
        <v>31</v>
      </c>
      <c r="F262" s="15" t="s">
        <v>138</v>
      </c>
      <c r="G262" s="1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28</v>
      </c>
      <c r="B263" s="15" t="s">
        <v>29</v>
      </c>
      <c r="C263" s="107">
        <v>0.1701388888888889</v>
      </c>
      <c r="D263" s="15" t="s">
        <v>134</v>
      </c>
      <c r="E263" s="15" t="s">
        <v>36</v>
      </c>
      <c r="F263" s="15" t="s">
        <v>147</v>
      </c>
      <c r="G263" s="1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28</v>
      </c>
      <c r="B264" s="14" t="s">
        <v>35</v>
      </c>
      <c r="C264" s="106">
        <v>0.86458333333333337</v>
      </c>
      <c r="D264" s="14" t="s">
        <v>134</v>
      </c>
      <c r="E264" s="14" t="s">
        <v>36</v>
      </c>
      <c r="F264" s="14" t="s">
        <v>135</v>
      </c>
      <c r="G264" s="1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28</v>
      </c>
      <c r="B265" s="14" t="s">
        <v>33</v>
      </c>
      <c r="C265" s="106">
        <v>0.52777777777777779</v>
      </c>
      <c r="D265" s="14" t="s">
        <v>134</v>
      </c>
      <c r="E265" s="14" t="s">
        <v>36</v>
      </c>
      <c r="F265" s="14" t="s">
        <v>135</v>
      </c>
      <c r="G265" s="1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4" t="s">
        <v>73</v>
      </c>
      <c r="B266" s="24" t="s">
        <v>74</v>
      </c>
      <c r="C266" s="111">
        <v>0.30555555555555558</v>
      </c>
      <c r="D266" s="24" t="s">
        <v>75</v>
      </c>
      <c r="E266" s="24" t="s">
        <v>76</v>
      </c>
      <c r="F266" s="24" t="s">
        <v>77</v>
      </c>
      <c r="G266" s="150"/>
      <c r="H266" s="25"/>
      <c r="I266" s="26"/>
      <c r="J266" s="26"/>
      <c r="K266" s="26"/>
      <c r="L266" s="26"/>
      <c r="M266" s="26"/>
      <c r="N266" s="26"/>
      <c r="O266" s="27"/>
      <c r="P266" s="26"/>
      <c r="Q266" s="28"/>
      <c r="R266" s="29"/>
    </row>
    <row r="267" spans="1:18" ht="17.399999999999999" customHeight="1" x14ac:dyDescent="0.3">
      <c r="A267" s="145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7"/>
    </row>
    <row r="268" spans="1:18" ht="22.05" customHeight="1" x14ac:dyDescent="0.3">
      <c r="A268" s="154" t="s">
        <v>8</v>
      </c>
      <c r="B268" s="143"/>
      <c r="C268" s="143"/>
      <c r="D268" s="143"/>
      <c r="E268" s="143"/>
      <c r="F268" s="144"/>
      <c r="G268" s="112">
        <v>46027</v>
      </c>
      <c r="H268" s="142" t="s">
        <v>9</v>
      </c>
      <c r="I268" s="143"/>
      <c r="J268" s="143"/>
      <c r="K268" s="143"/>
      <c r="L268" s="143"/>
      <c r="M268" s="143"/>
      <c r="N268" s="143"/>
      <c r="O268" s="143"/>
      <c r="P268" s="143"/>
      <c r="Q268" s="143"/>
      <c r="R268" s="144"/>
    </row>
    <row r="269" spans="1:18" ht="24" customHeight="1" x14ac:dyDescent="0.3">
      <c r="A269" s="30" t="s">
        <v>10</v>
      </c>
      <c r="B269" s="30" t="s">
        <v>11</v>
      </c>
      <c r="C269" s="113" t="s">
        <v>12</v>
      </c>
      <c r="D269" s="30" t="s">
        <v>13</v>
      </c>
      <c r="E269" s="30" t="s">
        <v>14</v>
      </c>
      <c r="F269" s="31" t="s">
        <v>15</v>
      </c>
      <c r="G269" s="32" t="s">
        <v>16</v>
      </c>
      <c r="H269" s="30" t="s">
        <v>17</v>
      </c>
      <c r="I269" s="33" t="s">
        <v>18</v>
      </c>
      <c r="J269" s="34" t="s">
        <v>19</v>
      </c>
      <c r="K269" s="35" t="s">
        <v>20</v>
      </c>
      <c r="L269" s="34" t="s">
        <v>21</v>
      </c>
      <c r="M269" s="34" t="s">
        <v>22</v>
      </c>
      <c r="N269" s="34" t="s">
        <v>23</v>
      </c>
      <c r="O269" s="30" t="s">
        <v>24</v>
      </c>
      <c r="P269" s="113" t="s">
        <v>25</v>
      </c>
      <c r="Q269" s="34" t="s">
        <v>26</v>
      </c>
      <c r="R269" s="30" t="s">
        <v>27</v>
      </c>
    </row>
    <row r="270" spans="1:18" ht="15" customHeight="1" x14ac:dyDescent="0.3">
      <c r="A270" s="8" t="s">
        <v>57</v>
      </c>
      <c r="B270" s="8" t="s">
        <v>58</v>
      </c>
      <c r="C270" s="105">
        <v>0.30555555555555558</v>
      </c>
      <c r="D270" s="8" t="s">
        <v>59</v>
      </c>
      <c r="E270" s="8" t="s">
        <v>152</v>
      </c>
      <c r="F270" s="8" t="s">
        <v>127</v>
      </c>
      <c r="G270" s="1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57</v>
      </c>
      <c r="B271" s="16" t="s">
        <v>58</v>
      </c>
      <c r="C271" s="108">
        <v>0.30555555555555558</v>
      </c>
      <c r="D271" s="16" t="s">
        <v>62</v>
      </c>
      <c r="E271" s="16" t="s">
        <v>152</v>
      </c>
      <c r="F271" s="16" t="s">
        <v>128</v>
      </c>
      <c r="G271" s="1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57</v>
      </c>
      <c r="B272" s="16" t="s">
        <v>58</v>
      </c>
      <c r="C272" s="108">
        <v>0.30555555555555558</v>
      </c>
      <c r="D272" s="16" t="s">
        <v>51</v>
      </c>
      <c r="E272" s="16" t="s">
        <v>152</v>
      </c>
      <c r="F272" s="16" t="s">
        <v>82</v>
      </c>
      <c r="G272" s="1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45</v>
      </c>
      <c r="B273" s="15" t="s">
        <v>53</v>
      </c>
      <c r="C273" s="107">
        <v>0.83680555555555558</v>
      </c>
      <c r="D273" s="15" t="s">
        <v>47</v>
      </c>
      <c r="E273" s="15" t="s">
        <v>31</v>
      </c>
      <c r="F273" s="15" t="s">
        <v>103</v>
      </c>
      <c r="G273" s="1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45</v>
      </c>
      <c r="B274" s="16" t="s">
        <v>53</v>
      </c>
      <c r="C274" s="108">
        <v>0.83680555555555558</v>
      </c>
      <c r="D274" s="16" t="s">
        <v>49</v>
      </c>
      <c r="E274" s="16" t="s">
        <v>31</v>
      </c>
      <c r="F274" s="16" t="s">
        <v>104</v>
      </c>
      <c r="G274" s="1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45</v>
      </c>
      <c r="B275" s="16" t="s">
        <v>53</v>
      </c>
      <c r="C275" s="108">
        <v>0.83680555555555558</v>
      </c>
      <c r="D275" s="16" t="s">
        <v>51</v>
      </c>
      <c r="E275" s="16" t="s">
        <v>31</v>
      </c>
      <c r="F275" s="16" t="s">
        <v>105</v>
      </c>
      <c r="G275" s="1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45</v>
      </c>
      <c r="B276" s="14" t="s">
        <v>46</v>
      </c>
      <c r="C276" s="106">
        <v>0.2013888888888889</v>
      </c>
      <c r="D276" s="14" t="s">
        <v>47</v>
      </c>
      <c r="E276" s="14" t="s">
        <v>41</v>
      </c>
      <c r="F276" s="14" t="s">
        <v>54</v>
      </c>
      <c r="G276" s="1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45</v>
      </c>
      <c r="B277" s="16" t="s">
        <v>46</v>
      </c>
      <c r="C277" s="108">
        <v>0.2013888888888889</v>
      </c>
      <c r="D277" s="16" t="s">
        <v>49</v>
      </c>
      <c r="E277" s="16" t="s">
        <v>41</v>
      </c>
      <c r="F277" s="16" t="s">
        <v>55</v>
      </c>
      <c r="G277" s="1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45</v>
      </c>
      <c r="B278" s="16" t="s">
        <v>46</v>
      </c>
      <c r="C278" s="108">
        <v>0.2013888888888889</v>
      </c>
      <c r="D278" s="16" t="s">
        <v>51</v>
      </c>
      <c r="E278" s="16" t="s">
        <v>41</v>
      </c>
      <c r="F278" s="16" t="s">
        <v>56</v>
      </c>
      <c r="G278" s="1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89</v>
      </c>
      <c r="B279" s="15" t="s">
        <v>90</v>
      </c>
      <c r="C279" s="107">
        <v>0.12847222222222221</v>
      </c>
      <c r="D279" s="15" t="s">
        <v>110</v>
      </c>
      <c r="E279" s="15" t="s">
        <v>87</v>
      </c>
      <c r="F279" s="15" t="s">
        <v>133</v>
      </c>
      <c r="G279" s="1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28</v>
      </c>
      <c r="B280" s="15" t="s">
        <v>29</v>
      </c>
      <c r="C280" s="107">
        <v>0.1701388888888889</v>
      </c>
      <c r="D280" s="15" t="s">
        <v>134</v>
      </c>
      <c r="E280" s="15" t="s">
        <v>36</v>
      </c>
      <c r="F280" s="15" t="s">
        <v>63</v>
      </c>
      <c r="G280" s="1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28</v>
      </c>
      <c r="B281" s="14" t="s">
        <v>35</v>
      </c>
      <c r="C281" s="106">
        <v>0.86458333333333337</v>
      </c>
      <c r="D281" s="14" t="s">
        <v>134</v>
      </c>
      <c r="E281" s="14" t="s">
        <v>36</v>
      </c>
      <c r="F281" s="14" t="s">
        <v>135</v>
      </c>
      <c r="G281" s="1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28</v>
      </c>
      <c r="B282" s="14" t="s">
        <v>33</v>
      </c>
      <c r="C282" s="106">
        <v>0.52777777777777779</v>
      </c>
      <c r="D282" s="14" t="s">
        <v>134</v>
      </c>
      <c r="E282" s="14" t="s">
        <v>36</v>
      </c>
      <c r="F282" s="14" t="s">
        <v>135</v>
      </c>
      <c r="G282" s="1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83</v>
      </c>
      <c r="B283" s="15" t="s">
        <v>92</v>
      </c>
      <c r="C283" s="107">
        <v>0.95833333333333337</v>
      </c>
      <c r="D283" s="15" t="s">
        <v>110</v>
      </c>
      <c r="E283" s="15" t="s">
        <v>36</v>
      </c>
      <c r="F283" s="15" t="s">
        <v>146</v>
      </c>
      <c r="G283" s="1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4" t="s">
        <v>73</v>
      </c>
      <c r="B284" s="24" t="s">
        <v>74</v>
      </c>
      <c r="C284" s="111">
        <v>0.30555555555555558</v>
      </c>
      <c r="D284" s="24" t="s">
        <v>75</v>
      </c>
      <c r="E284" s="24" t="s">
        <v>76</v>
      </c>
      <c r="F284" s="24" t="s">
        <v>85</v>
      </c>
      <c r="G284" s="150"/>
      <c r="H284" s="25"/>
      <c r="I284" s="26"/>
      <c r="J284" s="26"/>
      <c r="K284" s="26"/>
      <c r="L284" s="26"/>
      <c r="M284" s="26"/>
      <c r="N284" s="26"/>
      <c r="O284" s="27"/>
      <c r="P284" s="26"/>
      <c r="Q284" s="28"/>
      <c r="R284" s="29"/>
    </row>
    <row r="285" spans="1:18" ht="17.399999999999999" customHeight="1" x14ac:dyDescent="0.3">
      <c r="A285" s="145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7"/>
    </row>
    <row r="286" spans="1:18" ht="22.05" customHeight="1" x14ac:dyDescent="0.3">
      <c r="A286" s="154" t="s">
        <v>8</v>
      </c>
      <c r="B286" s="143"/>
      <c r="C286" s="143"/>
      <c r="D286" s="143"/>
      <c r="E286" s="143"/>
      <c r="F286" s="144"/>
      <c r="G286" s="112">
        <v>46028</v>
      </c>
      <c r="H286" s="142" t="s">
        <v>9</v>
      </c>
      <c r="I286" s="143"/>
      <c r="J286" s="143"/>
      <c r="K286" s="143"/>
      <c r="L286" s="143"/>
      <c r="M286" s="143"/>
      <c r="N286" s="143"/>
      <c r="O286" s="143"/>
      <c r="P286" s="143"/>
      <c r="Q286" s="143"/>
      <c r="R286" s="144"/>
    </row>
    <row r="287" spans="1:18" ht="24" customHeight="1" x14ac:dyDescent="0.3">
      <c r="A287" s="30" t="s">
        <v>10</v>
      </c>
      <c r="B287" s="30" t="s">
        <v>11</v>
      </c>
      <c r="C287" s="113" t="s">
        <v>12</v>
      </c>
      <c r="D287" s="30" t="s">
        <v>13</v>
      </c>
      <c r="E287" s="30" t="s">
        <v>14</v>
      </c>
      <c r="F287" s="31" t="s">
        <v>15</v>
      </c>
      <c r="G287" s="32" t="s">
        <v>16</v>
      </c>
      <c r="H287" s="30" t="s">
        <v>17</v>
      </c>
      <c r="I287" s="33" t="s">
        <v>18</v>
      </c>
      <c r="J287" s="34" t="s">
        <v>19</v>
      </c>
      <c r="K287" s="35" t="s">
        <v>20</v>
      </c>
      <c r="L287" s="34" t="s">
        <v>21</v>
      </c>
      <c r="M287" s="34" t="s">
        <v>22</v>
      </c>
      <c r="N287" s="34" t="s">
        <v>23</v>
      </c>
      <c r="O287" s="30" t="s">
        <v>24</v>
      </c>
      <c r="P287" s="113" t="s">
        <v>25</v>
      </c>
      <c r="Q287" s="34" t="s">
        <v>26</v>
      </c>
      <c r="R287" s="30" t="s">
        <v>27</v>
      </c>
    </row>
    <row r="288" spans="1:18" ht="15" customHeight="1" x14ac:dyDescent="0.3">
      <c r="A288" s="8" t="s">
        <v>57</v>
      </c>
      <c r="B288" s="8" t="s">
        <v>58</v>
      </c>
      <c r="C288" s="105">
        <v>0.30555555555555558</v>
      </c>
      <c r="D288" s="8" t="s">
        <v>59</v>
      </c>
      <c r="E288" s="8" t="s">
        <v>153</v>
      </c>
      <c r="F288" s="8" t="s">
        <v>127</v>
      </c>
      <c r="G288" s="148" t="s">
        <v>154</v>
      </c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57</v>
      </c>
      <c r="B289" s="16" t="s">
        <v>58</v>
      </c>
      <c r="C289" s="108">
        <v>0.30555555555555558</v>
      </c>
      <c r="D289" s="16" t="s">
        <v>62</v>
      </c>
      <c r="E289" s="16" t="s">
        <v>153</v>
      </c>
      <c r="F289" s="16" t="s">
        <v>128</v>
      </c>
      <c r="G289" s="1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57</v>
      </c>
      <c r="B290" s="16" t="s">
        <v>58</v>
      </c>
      <c r="C290" s="108">
        <v>0.30555555555555558</v>
      </c>
      <c r="D290" s="16" t="s">
        <v>51</v>
      </c>
      <c r="E290" s="16" t="s">
        <v>153</v>
      </c>
      <c r="F290" s="16" t="s">
        <v>64</v>
      </c>
      <c r="G290" s="1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45</v>
      </c>
      <c r="B291" s="15" t="s">
        <v>46</v>
      </c>
      <c r="C291" s="107">
        <v>0.2013888888888889</v>
      </c>
      <c r="D291" s="15" t="s">
        <v>47</v>
      </c>
      <c r="E291" s="15" t="s">
        <v>31</v>
      </c>
      <c r="F291" s="15" t="s">
        <v>54</v>
      </c>
      <c r="G291" s="1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45</v>
      </c>
      <c r="B292" s="16" t="s">
        <v>46</v>
      </c>
      <c r="C292" s="108">
        <v>0.2013888888888889</v>
      </c>
      <c r="D292" s="16" t="s">
        <v>49</v>
      </c>
      <c r="E292" s="16" t="s">
        <v>31</v>
      </c>
      <c r="F292" s="16" t="s">
        <v>55</v>
      </c>
      <c r="G292" s="1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45</v>
      </c>
      <c r="B293" s="16" t="s">
        <v>46</v>
      </c>
      <c r="C293" s="108">
        <v>0.2013888888888889</v>
      </c>
      <c r="D293" s="16" t="s">
        <v>51</v>
      </c>
      <c r="E293" s="16" t="s">
        <v>31</v>
      </c>
      <c r="F293" s="16" t="s">
        <v>56</v>
      </c>
      <c r="G293" s="1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45</v>
      </c>
      <c r="B294" s="14" t="s">
        <v>53</v>
      </c>
      <c r="C294" s="106">
        <v>0.83680555555555558</v>
      </c>
      <c r="D294" s="14" t="s">
        <v>47</v>
      </c>
      <c r="E294" s="14" t="s">
        <v>76</v>
      </c>
      <c r="F294" s="14" t="s">
        <v>155</v>
      </c>
      <c r="G294" s="1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45</v>
      </c>
      <c r="B295" s="16" t="s">
        <v>53</v>
      </c>
      <c r="C295" s="108">
        <v>0.83680555555555558</v>
      </c>
      <c r="D295" s="16" t="s">
        <v>49</v>
      </c>
      <c r="E295" s="16" t="s">
        <v>76</v>
      </c>
      <c r="F295" s="16" t="s">
        <v>156</v>
      </c>
      <c r="G295" s="1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45</v>
      </c>
      <c r="B296" s="16" t="s">
        <v>53</v>
      </c>
      <c r="C296" s="108">
        <v>0.83680555555555558</v>
      </c>
      <c r="D296" s="16" t="s">
        <v>51</v>
      </c>
      <c r="E296" s="16" t="s">
        <v>76</v>
      </c>
      <c r="F296" s="16" t="s">
        <v>157</v>
      </c>
      <c r="G296" s="1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" t="s">
        <v>89</v>
      </c>
      <c r="B297" s="15" t="s">
        <v>150</v>
      </c>
      <c r="C297" s="107">
        <v>0.21527777777777779</v>
      </c>
      <c r="D297" s="15" t="s">
        <v>110</v>
      </c>
      <c r="E297" s="15" t="s">
        <v>117</v>
      </c>
      <c r="F297" s="15" t="s">
        <v>151</v>
      </c>
      <c r="G297" s="1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43" t="s">
        <v>65</v>
      </c>
      <c r="B298" s="43" t="s">
        <v>66</v>
      </c>
      <c r="C298" s="116">
        <v>0.27083333333333331</v>
      </c>
      <c r="D298" s="43" t="s">
        <v>110</v>
      </c>
      <c r="E298" s="43" t="s">
        <v>78</v>
      </c>
      <c r="F298" s="43" t="s">
        <v>130</v>
      </c>
      <c r="G298" s="149"/>
      <c r="H298" s="44" t="s">
        <v>70</v>
      </c>
      <c r="I298" s="45">
        <v>9.5200000000000007E-2</v>
      </c>
      <c r="J298" s="46">
        <v>16</v>
      </c>
      <c r="K298" s="47">
        <v>46362</v>
      </c>
      <c r="L298" s="46">
        <v>16</v>
      </c>
      <c r="M298" s="46">
        <v>0</v>
      </c>
      <c r="N298" s="46">
        <v>0</v>
      </c>
      <c r="O298" s="48" t="s">
        <v>158</v>
      </c>
      <c r="P298" s="117">
        <v>0.27083333333333331</v>
      </c>
      <c r="Q298" s="46">
        <v>168</v>
      </c>
      <c r="R298" s="49" t="s">
        <v>159</v>
      </c>
    </row>
    <row r="299" spans="1:18" ht="15" customHeight="1" x14ac:dyDescent="0.3">
      <c r="A299" s="15" t="s">
        <v>28</v>
      </c>
      <c r="B299" s="15" t="s">
        <v>29</v>
      </c>
      <c r="C299" s="107">
        <v>0.1701388888888889</v>
      </c>
      <c r="D299" s="15" t="s">
        <v>134</v>
      </c>
      <c r="E299" s="15" t="s">
        <v>36</v>
      </c>
      <c r="F299" s="15" t="s">
        <v>147</v>
      </c>
      <c r="G299" s="1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28</v>
      </c>
      <c r="B300" s="14" t="s">
        <v>33</v>
      </c>
      <c r="C300" s="106">
        <v>0.52777777777777779</v>
      </c>
      <c r="D300" s="14" t="s">
        <v>107</v>
      </c>
      <c r="E300" s="14" t="s">
        <v>36</v>
      </c>
      <c r="F300" s="14" t="s">
        <v>126</v>
      </c>
      <c r="G300" s="1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28</v>
      </c>
      <c r="B301" s="14" t="s">
        <v>35</v>
      </c>
      <c r="C301" s="106">
        <v>0.86458333333333337</v>
      </c>
      <c r="D301" s="14" t="s">
        <v>107</v>
      </c>
      <c r="E301" s="14" t="s">
        <v>36</v>
      </c>
      <c r="F301" s="14" t="s">
        <v>108</v>
      </c>
      <c r="G301" s="1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83</v>
      </c>
      <c r="B302" s="15" t="s">
        <v>96</v>
      </c>
      <c r="C302" s="107">
        <v>0.95833333333333337</v>
      </c>
      <c r="D302" s="15" t="s">
        <v>110</v>
      </c>
      <c r="E302" s="15" t="s">
        <v>76</v>
      </c>
      <c r="F302" s="15" t="s">
        <v>56</v>
      </c>
      <c r="G302" s="1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4" t="s">
        <v>73</v>
      </c>
      <c r="B303" s="24" t="s">
        <v>74</v>
      </c>
      <c r="C303" s="111">
        <v>0.30555555555555558</v>
      </c>
      <c r="D303" s="24" t="s">
        <v>75</v>
      </c>
      <c r="E303" s="24" t="s">
        <v>76</v>
      </c>
      <c r="F303" s="24" t="s">
        <v>85</v>
      </c>
      <c r="G303" s="150"/>
      <c r="H303" s="25"/>
      <c r="I303" s="26"/>
      <c r="J303" s="26"/>
      <c r="K303" s="26"/>
      <c r="L303" s="26"/>
      <c r="M303" s="26"/>
      <c r="N303" s="26"/>
      <c r="O303" s="27"/>
      <c r="P303" s="26"/>
      <c r="Q303" s="28"/>
      <c r="R303" s="29"/>
    </row>
    <row r="304" spans="1:18" ht="17.399999999999999" customHeight="1" x14ac:dyDescent="0.3">
      <c r="A304" s="145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7"/>
    </row>
    <row r="305" spans="1:18" ht="22.05" customHeight="1" x14ac:dyDescent="0.3">
      <c r="A305" s="154" t="s">
        <v>8</v>
      </c>
      <c r="B305" s="143"/>
      <c r="C305" s="143"/>
      <c r="D305" s="143"/>
      <c r="E305" s="143"/>
      <c r="F305" s="144"/>
      <c r="G305" s="112">
        <v>46029</v>
      </c>
      <c r="H305" s="142" t="s">
        <v>9</v>
      </c>
      <c r="I305" s="143"/>
      <c r="J305" s="143"/>
      <c r="K305" s="143"/>
      <c r="L305" s="143"/>
      <c r="M305" s="143"/>
      <c r="N305" s="143"/>
      <c r="O305" s="143"/>
      <c r="P305" s="143"/>
      <c r="Q305" s="143"/>
      <c r="R305" s="144"/>
    </row>
    <row r="306" spans="1:18" ht="24" customHeight="1" x14ac:dyDescent="0.3">
      <c r="A306" s="30" t="s">
        <v>10</v>
      </c>
      <c r="B306" s="30" t="s">
        <v>11</v>
      </c>
      <c r="C306" s="113" t="s">
        <v>12</v>
      </c>
      <c r="D306" s="30" t="s">
        <v>13</v>
      </c>
      <c r="E306" s="30" t="s">
        <v>14</v>
      </c>
      <c r="F306" s="31" t="s">
        <v>15</v>
      </c>
      <c r="G306" s="32" t="s">
        <v>16</v>
      </c>
      <c r="H306" s="30" t="s">
        <v>17</v>
      </c>
      <c r="I306" s="33" t="s">
        <v>18</v>
      </c>
      <c r="J306" s="34" t="s">
        <v>19</v>
      </c>
      <c r="K306" s="35" t="s">
        <v>20</v>
      </c>
      <c r="L306" s="34" t="s">
        <v>21</v>
      </c>
      <c r="M306" s="34" t="s">
        <v>22</v>
      </c>
      <c r="N306" s="34" t="s">
        <v>23</v>
      </c>
      <c r="O306" s="30" t="s">
        <v>24</v>
      </c>
      <c r="P306" s="113" t="s">
        <v>25</v>
      </c>
      <c r="Q306" s="34" t="s">
        <v>26</v>
      </c>
      <c r="R306" s="30" t="s">
        <v>27</v>
      </c>
    </row>
    <row r="307" spans="1:18" ht="15" customHeight="1" x14ac:dyDescent="0.3">
      <c r="A307" s="8" t="s">
        <v>57</v>
      </c>
      <c r="B307" s="8" t="s">
        <v>58</v>
      </c>
      <c r="C307" s="105">
        <v>0.30555555555555558</v>
      </c>
      <c r="D307" s="8" t="s">
        <v>59</v>
      </c>
      <c r="E307" s="8" t="s">
        <v>153</v>
      </c>
      <c r="F307" s="8" t="s">
        <v>160</v>
      </c>
      <c r="G307" s="1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57</v>
      </c>
      <c r="B308" s="16" t="s">
        <v>58</v>
      </c>
      <c r="C308" s="108">
        <v>0.30555555555555558</v>
      </c>
      <c r="D308" s="16" t="s">
        <v>62</v>
      </c>
      <c r="E308" s="16" t="s">
        <v>153</v>
      </c>
      <c r="F308" s="16" t="s">
        <v>161</v>
      </c>
      <c r="G308" s="1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57</v>
      </c>
      <c r="B309" s="16" t="s">
        <v>58</v>
      </c>
      <c r="C309" s="108">
        <v>0.30555555555555558</v>
      </c>
      <c r="D309" s="16" t="s">
        <v>51</v>
      </c>
      <c r="E309" s="16" t="s">
        <v>153</v>
      </c>
      <c r="F309" s="16" t="s">
        <v>82</v>
      </c>
      <c r="G309" s="1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89</v>
      </c>
      <c r="B310" s="15" t="s">
        <v>100</v>
      </c>
      <c r="C310" s="107">
        <v>9.0277777777777776E-2</v>
      </c>
      <c r="D310" s="15" t="s">
        <v>110</v>
      </c>
      <c r="E310" s="15" t="s">
        <v>102</v>
      </c>
      <c r="F310" s="15" t="s">
        <v>133</v>
      </c>
      <c r="G310" s="1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38</v>
      </c>
      <c r="B311" s="15" t="s">
        <v>39</v>
      </c>
      <c r="C311" s="107">
        <v>0.97222222222222221</v>
      </c>
      <c r="D311" s="15" t="s">
        <v>40</v>
      </c>
      <c r="E311" s="15" t="s">
        <v>41</v>
      </c>
      <c r="F311" s="15" t="s">
        <v>162</v>
      </c>
      <c r="G311" s="1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38</v>
      </c>
      <c r="B312" s="16" t="s">
        <v>39</v>
      </c>
      <c r="C312" s="108">
        <v>0.97222222222222221</v>
      </c>
      <c r="D312" s="16" t="s">
        <v>43</v>
      </c>
      <c r="E312" s="16" t="s">
        <v>41</v>
      </c>
      <c r="F312" s="16" t="s">
        <v>163</v>
      </c>
      <c r="G312" s="1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5" t="s">
        <v>45</v>
      </c>
      <c r="B313" s="15" t="s">
        <v>53</v>
      </c>
      <c r="C313" s="107">
        <v>0.83680555555555558</v>
      </c>
      <c r="D313" s="15" t="s">
        <v>47</v>
      </c>
      <c r="E313" s="15" t="s">
        <v>68</v>
      </c>
      <c r="F313" s="15" t="s">
        <v>164</v>
      </c>
      <c r="G313" s="1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45</v>
      </c>
      <c r="B314" s="16" t="s">
        <v>53</v>
      </c>
      <c r="C314" s="108">
        <v>0.83680555555555558</v>
      </c>
      <c r="D314" s="16" t="s">
        <v>49</v>
      </c>
      <c r="E314" s="16" t="s">
        <v>68</v>
      </c>
      <c r="F314" s="16" t="s">
        <v>165</v>
      </c>
      <c r="G314" s="1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45</v>
      </c>
      <c r="B315" s="16" t="s">
        <v>53</v>
      </c>
      <c r="C315" s="108">
        <v>0.83680555555555558</v>
      </c>
      <c r="D315" s="16" t="s">
        <v>51</v>
      </c>
      <c r="E315" s="16" t="s">
        <v>68</v>
      </c>
      <c r="F315" s="16" t="s">
        <v>166</v>
      </c>
      <c r="G315" s="1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83</v>
      </c>
      <c r="B316" s="15" t="s">
        <v>92</v>
      </c>
      <c r="C316" s="107">
        <v>0.89583333333333337</v>
      </c>
      <c r="D316" s="15" t="s">
        <v>110</v>
      </c>
      <c r="E316" s="15" t="s">
        <v>31</v>
      </c>
      <c r="F316" s="15" t="s">
        <v>167</v>
      </c>
      <c r="G316" s="1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28</v>
      </c>
      <c r="B317" s="15" t="s">
        <v>29</v>
      </c>
      <c r="C317" s="107">
        <v>0.1701388888888889</v>
      </c>
      <c r="D317" s="15" t="s">
        <v>107</v>
      </c>
      <c r="E317" s="15" t="s">
        <v>36</v>
      </c>
      <c r="F317" s="15" t="s">
        <v>109</v>
      </c>
      <c r="G317" s="1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28</v>
      </c>
      <c r="B318" s="14" t="s">
        <v>33</v>
      </c>
      <c r="C318" s="106">
        <v>0.52777777777777779</v>
      </c>
      <c r="D318" s="14" t="s">
        <v>107</v>
      </c>
      <c r="E318" s="14" t="s">
        <v>36</v>
      </c>
      <c r="F318" s="14" t="s">
        <v>168</v>
      </c>
      <c r="G318" s="1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28</v>
      </c>
      <c r="B319" s="14" t="s">
        <v>35</v>
      </c>
      <c r="C319" s="106">
        <v>0.86458333333333337</v>
      </c>
      <c r="D319" s="14" t="s">
        <v>107</v>
      </c>
      <c r="E319" s="14" t="s">
        <v>36</v>
      </c>
      <c r="F319" s="14" t="s">
        <v>169</v>
      </c>
      <c r="G319" s="1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24" t="s">
        <v>73</v>
      </c>
      <c r="B320" s="24" t="s">
        <v>74</v>
      </c>
      <c r="C320" s="111">
        <v>0.30555555555555558</v>
      </c>
      <c r="D320" s="24" t="s">
        <v>75</v>
      </c>
      <c r="E320" s="24" t="s">
        <v>76</v>
      </c>
      <c r="F320" s="24" t="s">
        <v>170</v>
      </c>
      <c r="G320" s="150"/>
      <c r="H320" s="25"/>
      <c r="I320" s="26"/>
      <c r="J320" s="26"/>
      <c r="K320" s="26"/>
      <c r="L320" s="26"/>
      <c r="M320" s="26"/>
      <c r="N320" s="26"/>
      <c r="O320" s="27"/>
      <c r="P320" s="26"/>
      <c r="Q320" s="28"/>
      <c r="R320" s="29"/>
    </row>
    <row r="321" spans="1:18" ht="17.399999999999999" customHeight="1" x14ac:dyDescent="0.3">
      <c r="A321" s="145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7"/>
    </row>
    <row r="322" spans="1:18" ht="22.05" customHeight="1" x14ac:dyDescent="0.3">
      <c r="A322" s="154" t="s">
        <v>8</v>
      </c>
      <c r="B322" s="143"/>
      <c r="C322" s="143"/>
      <c r="D322" s="143"/>
      <c r="E322" s="143"/>
      <c r="F322" s="144"/>
      <c r="G322" s="112">
        <v>46030</v>
      </c>
      <c r="H322" s="142" t="s">
        <v>9</v>
      </c>
      <c r="I322" s="143"/>
      <c r="J322" s="143"/>
      <c r="K322" s="143"/>
      <c r="L322" s="143"/>
      <c r="M322" s="143"/>
      <c r="N322" s="143"/>
      <c r="O322" s="143"/>
      <c r="P322" s="143"/>
      <c r="Q322" s="143"/>
      <c r="R322" s="144"/>
    </row>
    <row r="323" spans="1:18" ht="24" customHeight="1" x14ac:dyDescent="0.3">
      <c r="A323" s="30" t="s">
        <v>10</v>
      </c>
      <c r="B323" s="30" t="s">
        <v>11</v>
      </c>
      <c r="C323" s="113" t="s">
        <v>12</v>
      </c>
      <c r="D323" s="30" t="s">
        <v>13</v>
      </c>
      <c r="E323" s="30" t="s">
        <v>14</v>
      </c>
      <c r="F323" s="31" t="s">
        <v>15</v>
      </c>
      <c r="G323" s="32" t="s">
        <v>16</v>
      </c>
      <c r="H323" s="30" t="s">
        <v>17</v>
      </c>
      <c r="I323" s="33" t="s">
        <v>18</v>
      </c>
      <c r="J323" s="34" t="s">
        <v>19</v>
      </c>
      <c r="K323" s="35" t="s">
        <v>20</v>
      </c>
      <c r="L323" s="34" t="s">
        <v>21</v>
      </c>
      <c r="M323" s="34" t="s">
        <v>22</v>
      </c>
      <c r="N323" s="34" t="s">
        <v>23</v>
      </c>
      <c r="O323" s="30" t="s">
        <v>24</v>
      </c>
      <c r="P323" s="113" t="s">
        <v>25</v>
      </c>
      <c r="Q323" s="34" t="s">
        <v>26</v>
      </c>
      <c r="R323" s="30" t="s">
        <v>27</v>
      </c>
    </row>
    <row r="324" spans="1:18" ht="15" customHeight="1" x14ac:dyDescent="0.3">
      <c r="A324" s="8" t="s">
        <v>57</v>
      </c>
      <c r="B324" s="8" t="s">
        <v>58</v>
      </c>
      <c r="C324" s="105">
        <v>0.30555555555555558</v>
      </c>
      <c r="D324" s="8" t="s">
        <v>59</v>
      </c>
      <c r="E324" s="8" t="s">
        <v>68</v>
      </c>
      <c r="F324" s="8" t="s">
        <v>171</v>
      </c>
      <c r="G324" s="155" t="s">
        <v>172</v>
      </c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57</v>
      </c>
      <c r="B325" s="16" t="s">
        <v>58</v>
      </c>
      <c r="C325" s="108">
        <v>0.30555555555555558</v>
      </c>
      <c r="D325" s="16" t="s">
        <v>62</v>
      </c>
      <c r="E325" s="16" t="s">
        <v>68</v>
      </c>
      <c r="F325" s="16" t="s">
        <v>126</v>
      </c>
      <c r="G325" s="1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57</v>
      </c>
      <c r="B326" s="16" t="s">
        <v>58</v>
      </c>
      <c r="C326" s="108">
        <v>0.30555555555555558</v>
      </c>
      <c r="D326" s="16" t="s">
        <v>51</v>
      </c>
      <c r="E326" s="16" t="s">
        <v>68</v>
      </c>
      <c r="F326" s="16" t="s">
        <v>82</v>
      </c>
      <c r="G326" s="1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45</v>
      </c>
      <c r="B327" s="15" t="s">
        <v>46</v>
      </c>
      <c r="C327" s="107">
        <v>0.2013888888888889</v>
      </c>
      <c r="D327" s="15" t="s">
        <v>47</v>
      </c>
      <c r="E327" s="15" t="s">
        <v>102</v>
      </c>
      <c r="F327" s="15" t="s">
        <v>173</v>
      </c>
      <c r="G327" s="1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45</v>
      </c>
      <c r="B328" s="16" t="s">
        <v>46</v>
      </c>
      <c r="C328" s="108">
        <v>0.2013888888888889</v>
      </c>
      <c r="D328" s="16" t="s">
        <v>49</v>
      </c>
      <c r="E328" s="16" t="s">
        <v>102</v>
      </c>
      <c r="F328" s="16" t="s">
        <v>157</v>
      </c>
      <c r="G328" s="1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45</v>
      </c>
      <c r="B329" s="16" t="s">
        <v>46</v>
      </c>
      <c r="C329" s="108">
        <v>0.2013888888888889</v>
      </c>
      <c r="D329" s="16" t="s">
        <v>51</v>
      </c>
      <c r="E329" s="16" t="s">
        <v>102</v>
      </c>
      <c r="F329" s="16" t="s">
        <v>174</v>
      </c>
      <c r="G329" s="1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45</v>
      </c>
      <c r="B330" s="14" t="s">
        <v>53</v>
      </c>
      <c r="C330" s="106">
        <v>0.83680555555555558</v>
      </c>
      <c r="D330" s="14" t="s">
        <v>47</v>
      </c>
      <c r="E330" s="14" t="s">
        <v>117</v>
      </c>
      <c r="F330" s="14" t="s">
        <v>175</v>
      </c>
      <c r="G330" s="1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45</v>
      </c>
      <c r="B331" s="16" t="s">
        <v>53</v>
      </c>
      <c r="C331" s="108">
        <v>0.83680555555555558</v>
      </c>
      <c r="D331" s="16" t="s">
        <v>49</v>
      </c>
      <c r="E331" s="16" t="s">
        <v>117</v>
      </c>
      <c r="F331" s="16" t="s">
        <v>176</v>
      </c>
      <c r="G331" s="1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45</v>
      </c>
      <c r="B332" s="16" t="s">
        <v>53</v>
      </c>
      <c r="C332" s="108">
        <v>0.83680555555555558</v>
      </c>
      <c r="D332" s="16" t="s">
        <v>51</v>
      </c>
      <c r="E332" s="16" t="s">
        <v>117</v>
      </c>
      <c r="F332" s="16" t="s">
        <v>177</v>
      </c>
      <c r="G332" s="1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43" t="s">
        <v>65</v>
      </c>
      <c r="B333" s="43" t="s">
        <v>66</v>
      </c>
      <c r="C333" s="116">
        <v>0.92361111111111116</v>
      </c>
      <c r="D333" s="43" t="s">
        <v>110</v>
      </c>
      <c r="E333" s="43" t="s">
        <v>117</v>
      </c>
      <c r="F333" s="43" t="s">
        <v>178</v>
      </c>
      <c r="G333" s="149"/>
      <c r="H333" s="44" t="s">
        <v>70</v>
      </c>
      <c r="I333" s="45">
        <v>0.2024</v>
      </c>
      <c r="J333" s="46">
        <v>34</v>
      </c>
      <c r="K333" s="47">
        <v>46361</v>
      </c>
      <c r="L333" s="46">
        <v>34</v>
      </c>
      <c r="M333" s="46">
        <v>0</v>
      </c>
      <c r="N333" s="46">
        <v>0</v>
      </c>
      <c r="O333" s="48" t="s">
        <v>179</v>
      </c>
      <c r="P333" s="117">
        <v>0.92361111111111116</v>
      </c>
      <c r="Q333" s="46">
        <v>168</v>
      </c>
      <c r="R333" s="49" t="s">
        <v>180</v>
      </c>
    </row>
    <row r="334" spans="1:18" ht="15" customHeight="1" x14ac:dyDescent="0.3">
      <c r="A334" s="15" t="s">
        <v>83</v>
      </c>
      <c r="B334" s="15" t="s">
        <v>84</v>
      </c>
      <c r="C334" s="107">
        <v>0.5625</v>
      </c>
      <c r="D334" s="15" t="s">
        <v>110</v>
      </c>
      <c r="E334" s="15" t="s">
        <v>36</v>
      </c>
      <c r="F334" s="15" t="s">
        <v>181</v>
      </c>
      <c r="G334" s="1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83</v>
      </c>
      <c r="B335" s="14" t="s">
        <v>96</v>
      </c>
      <c r="C335" s="106">
        <v>0.95833333333333337</v>
      </c>
      <c r="D335" s="14" t="s">
        <v>110</v>
      </c>
      <c r="E335" s="14" t="s">
        <v>36</v>
      </c>
      <c r="F335" s="14" t="s">
        <v>181</v>
      </c>
      <c r="G335" s="1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28</v>
      </c>
      <c r="B336" s="15" t="s">
        <v>29</v>
      </c>
      <c r="C336" s="107">
        <v>0.1701388888888889</v>
      </c>
      <c r="D336" s="15" t="s">
        <v>107</v>
      </c>
      <c r="E336" s="15" t="s">
        <v>36</v>
      </c>
      <c r="F336" s="15" t="s">
        <v>182</v>
      </c>
      <c r="G336" s="1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28</v>
      </c>
      <c r="B337" s="14" t="s">
        <v>33</v>
      </c>
      <c r="C337" s="106">
        <v>0.52777777777777779</v>
      </c>
      <c r="D337" s="14" t="s">
        <v>107</v>
      </c>
      <c r="E337" s="14" t="s">
        <v>36</v>
      </c>
      <c r="F337" s="14" t="s">
        <v>169</v>
      </c>
      <c r="G337" s="1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28</v>
      </c>
      <c r="B338" s="14" t="s">
        <v>35</v>
      </c>
      <c r="C338" s="106">
        <v>0.87847222222222221</v>
      </c>
      <c r="D338" s="14" t="s">
        <v>107</v>
      </c>
      <c r="E338" s="14" t="s">
        <v>36</v>
      </c>
      <c r="F338" s="14" t="s">
        <v>183</v>
      </c>
      <c r="G338" s="1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89</v>
      </c>
      <c r="B339" s="15" t="s">
        <v>100</v>
      </c>
      <c r="C339" s="107">
        <v>0.96527777777777779</v>
      </c>
      <c r="D339" s="15" t="s">
        <v>110</v>
      </c>
      <c r="E339" s="15" t="s">
        <v>31</v>
      </c>
      <c r="F339" s="15" t="s">
        <v>184</v>
      </c>
      <c r="G339" s="1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4" t="s">
        <v>73</v>
      </c>
      <c r="B340" s="24" t="s">
        <v>74</v>
      </c>
      <c r="C340" s="111">
        <v>0.30555555555555558</v>
      </c>
      <c r="D340" s="24" t="s">
        <v>75</v>
      </c>
      <c r="E340" s="24" t="s">
        <v>76</v>
      </c>
      <c r="F340" s="24" t="s">
        <v>185</v>
      </c>
      <c r="G340" s="150"/>
      <c r="H340" s="25"/>
      <c r="I340" s="26"/>
      <c r="J340" s="26"/>
      <c r="K340" s="26"/>
      <c r="L340" s="26"/>
      <c r="M340" s="26"/>
      <c r="N340" s="26"/>
      <c r="O340" s="27"/>
      <c r="P340" s="26"/>
      <c r="Q340" s="28"/>
      <c r="R340" s="29"/>
    </row>
    <row r="341" spans="1:18" ht="17.399999999999999" customHeight="1" x14ac:dyDescent="0.3">
      <c r="A341" s="145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7"/>
    </row>
    <row r="342" spans="1:18" ht="22.05" customHeight="1" x14ac:dyDescent="0.3">
      <c r="A342" s="154" t="s">
        <v>8</v>
      </c>
      <c r="B342" s="143"/>
      <c r="C342" s="143"/>
      <c r="D342" s="143"/>
      <c r="E342" s="143"/>
      <c r="F342" s="144"/>
      <c r="G342" s="112">
        <v>46031</v>
      </c>
      <c r="H342" s="142" t="s">
        <v>9</v>
      </c>
      <c r="I342" s="143"/>
      <c r="J342" s="143"/>
      <c r="K342" s="143"/>
      <c r="L342" s="143"/>
      <c r="M342" s="143"/>
      <c r="N342" s="143"/>
      <c r="O342" s="143"/>
      <c r="P342" s="143"/>
      <c r="Q342" s="143"/>
      <c r="R342" s="144"/>
    </row>
    <row r="343" spans="1:18" ht="24" customHeight="1" x14ac:dyDescent="0.3">
      <c r="A343" s="30" t="s">
        <v>10</v>
      </c>
      <c r="B343" s="30" t="s">
        <v>11</v>
      </c>
      <c r="C343" s="113" t="s">
        <v>12</v>
      </c>
      <c r="D343" s="30" t="s">
        <v>13</v>
      </c>
      <c r="E343" s="30" t="s">
        <v>14</v>
      </c>
      <c r="F343" s="31" t="s">
        <v>15</v>
      </c>
      <c r="G343" s="32" t="s">
        <v>16</v>
      </c>
      <c r="H343" s="30" t="s">
        <v>17</v>
      </c>
      <c r="I343" s="33" t="s">
        <v>18</v>
      </c>
      <c r="J343" s="34" t="s">
        <v>19</v>
      </c>
      <c r="K343" s="35" t="s">
        <v>20</v>
      </c>
      <c r="L343" s="34" t="s">
        <v>21</v>
      </c>
      <c r="M343" s="34" t="s">
        <v>22</v>
      </c>
      <c r="N343" s="34" t="s">
        <v>23</v>
      </c>
      <c r="O343" s="30" t="s">
        <v>24</v>
      </c>
      <c r="P343" s="113" t="s">
        <v>25</v>
      </c>
      <c r="Q343" s="34" t="s">
        <v>26</v>
      </c>
      <c r="R343" s="30" t="s">
        <v>27</v>
      </c>
    </row>
    <row r="344" spans="1:18" ht="15" customHeight="1" x14ac:dyDescent="0.3">
      <c r="A344" s="8" t="s">
        <v>45</v>
      </c>
      <c r="B344" s="8" t="s">
        <v>53</v>
      </c>
      <c r="C344" s="105">
        <v>0.83680555555555558</v>
      </c>
      <c r="D344" s="8" t="s">
        <v>47</v>
      </c>
      <c r="E344" s="8" t="s">
        <v>102</v>
      </c>
      <c r="F344" s="8" t="s">
        <v>165</v>
      </c>
      <c r="G344" s="148" t="s">
        <v>186</v>
      </c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45</v>
      </c>
      <c r="B345" s="16" t="s">
        <v>53</v>
      </c>
      <c r="C345" s="108">
        <v>0.83680555555555558</v>
      </c>
      <c r="D345" s="16" t="s">
        <v>49</v>
      </c>
      <c r="E345" s="16" t="s">
        <v>102</v>
      </c>
      <c r="F345" s="16" t="s">
        <v>187</v>
      </c>
      <c r="G345" s="14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45</v>
      </c>
      <c r="B346" s="16" t="s">
        <v>53</v>
      </c>
      <c r="C346" s="108">
        <v>0.83680555555555558</v>
      </c>
      <c r="D346" s="16" t="s">
        <v>51</v>
      </c>
      <c r="E346" s="16" t="s">
        <v>102</v>
      </c>
      <c r="F346" s="16" t="s">
        <v>188</v>
      </c>
      <c r="G346" s="1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57</v>
      </c>
      <c r="B347" s="15" t="s">
        <v>58</v>
      </c>
      <c r="C347" s="107">
        <v>0.30555555555555558</v>
      </c>
      <c r="D347" s="15" t="s">
        <v>59</v>
      </c>
      <c r="E347" s="15" t="s">
        <v>121</v>
      </c>
      <c r="F347" s="15" t="s">
        <v>174</v>
      </c>
      <c r="G347" s="1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57</v>
      </c>
      <c r="B348" s="16" t="s">
        <v>58</v>
      </c>
      <c r="C348" s="108">
        <v>0.30555555555555558</v>
      </c>
      <c r="D348" s="16" t="s">
        <v>62</v>
      </c>
      <c r="E348" s="16" t="s">
        <v>121</v>
      </c>
      <c r="F348" s="16" t="s">
        <v>189</v>
      </c>
      <c r="G348" s="1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57</v>
      </c>
      <c r="B349" s="16" t="s">
        <v>58</v>
      </c>
      <c r="C349" s="108">
        <v>0.30555555555555558</v>
      </c>
      <c r="D349" s="16" t="s">
        <v>51</v>
      </c>
      <c r="E349" s="16" t="s">
        <v>121</v>
      </c>
      <c r="F349" s="16" t="s">
        <v>64</v>
      </c>
      <c r="G349" s="1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83</v>
      </c>
      <c r="B350" s="15" t="s">
        <v>92</v>
      </c>
      <c r="C350" s="107">
        <v>0.95833333333333337</v>
      </c>
      <c r="D350" s="15" t="s">
        <v>110</v>
      </c>
      <c r="E350" s="15" t="s">
        <v>88</v>
      </c>
      <c r="F350" s="15" t="s">
        <v>190</v>
      </c>
      <c r="G350" s="1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64" t="s">
        <v>65</v>
      </c>
      <c r="B351" s="64" t="s">
        <v>66</v>
      </c>
      <c r="C351" s="122">
        <v>0.57986111111111116</v>
      </c>
      <c r="D351" s="64" t="s">
        <v>110</v>
      </c>
      <c r="E351" s="64" t="s">
        <v>117</v>
      </c>
      <c r="F351" s="64" t="s">
        <v>178</v>
      </c>
      <c r="G351" s="149"/>
      <c r="H351" s="65" t="s">
        <v>70</v>
      </c>
      <c r="I351" s="66">
        <v>0.2024</v>
      </c>
      <c r="J351" s="67">
        <v>34</v>
      </c>
      <c r="K351" s="68">
        <v>46359</v>
      </c>
      <c r="L351" s="67">
        <v>34</v>
      </c>
      <c r="M351" s="67">
        <v>0</v>
      </c>
      <c r="N351" s="67">
        <v>0</v>
      </c>
      <c r="O351" s="69" t="s">
        <v>179</v>
      </c>
      <c r="P351" s="123">
        <v>0.57986111111111116</v>
      </c>
      <c r="Q351" s="67">
        <v>168</v>
      </c>
      <c r="R351" s="70" t="s">
        <v>191</v>
      </c>
    </row>
    <row r="352" spans="1:18" ht="15" customHeight="1" x14ac:dyDescent="0.3">
      <c r="A352" s="15" t="s">
        <v>28</v>
      </c>
      <c r="B352" s="15" t="s">
        <v>35</v>
      </c>
      <c r="C352" s="107">
        <v>0.86458333333333337</v>
      </c>
      <c r="D352" s="15" t="s">
        <v>107</v>
      </c>
      <c r="E352" s="15" t="s">
        <v>36</v>
      </c>
      <c r="F352" s="15" t="s">
        <v>169</v>
      </c>
      <c r="G352" s="1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28</v>
      </c>
      <c r="B353" s="14" t="s">
        <v>29</v>
      </c>
      <c r="C353" s="106">
        <v>0.1701388888888889</v>
      </c>
      <c r="D353" s="14" t="s">
        <v>107</v>
      </c>
      <c r="E353" s="14" t="s">
        <v>36</v>
      </c>
      <c r="F353" s="14" t="s">
        <v>169</v>
      </c>
      <c r="G353" s="1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28</v>
      </c>
      <c r="B354" s="14" t="s">
        <v>33</v>
      </c>
      <c r="C354" s="106">
        <v>0.51388888888888884</v>
      </c>
      <c r="D354" s="14" t="s">
        <v>107</v>
      </c>
      <c r="E354" s="14" t="s">
        <v>36</v>
      </c>
      <c r="F354" s="14" t="s">
        <v>192</v>
      </c>
      <c r="G354" s="1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89</v>
      </c>
      <c r="B355" s="15" t="s">
        <v>150</v>
      </c>
      <c r="C355" s="107">
        <v>0.21527777777777779</v>
      </c>
      <c r="D355" s="15" t="s">
        <v>110</v>
      </c>
      <c r="E355" s="15" t="s">
        <v>76</v>
      </c>
      <c r="F355" s="15" t="s">
        <v>184</v>
      </c>
      <c r="G355" s="1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4" t="s">
        <v>73</v>
      </c>
      <c r="B356" s="24" t="s">
        <v>74</v>
      </c>
      <c r="C356" s="111">
        <v>0.30555555555555558</v>
      </c>
      <c r="D356" s="24" t="s">
        <v>75</v>
      </c>
      <c r="E356" s="24" t="s">
        <v>76</v>
      </c>
      <c r="F356" s="24" t="s">
        <v>193</v>
      </c>
      <c r="G356" s="150"/>
      <c r="H356" s="25"/>
      <c r="I356" s="26"/>
      <c r="J356" s="26"/>
      <c r="K356" s="26"/>
      <c r="L356" s="26"/>
      <c r="M356" s="26"/>
      <c r="N356" s="26"/>
      <c r="O356" s="27"/>
      <c r="P356" s="26"/>
      <c r="Q356" s="28"/>
      <c r="R356" s="29"/>
    </row>
    <row r="357" spans="1:18" ht="17.399999999999999" customHeight="1" x14ac:dyDescent="0.3">
      <c r="A357" s="145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7"/>
    </row>
    <row r="358" spans="1:18" ht="22.05" customHeight="1" x14ac:dyDescent="0.3">
      <c r="A358" s="154" t="s">
        <v>8</v>
      </c>
      <c r="B358" s="143"/>
      <c r="C358" s="143"/>
      <c r="D358" s="143"/>
      <c r="E358" s="143"/>
      <c r="F358" s="144"/>
      <c r="G358" s="112">
        <v>46032</v>
      </c>
      <c r="H358" s="142" t="s">
        <v>9</v>
      </c>
      <c r="I358" s="143"/>
      <c r="J358" s="143"/>
      <c r="K358" s="143"/>
      <c r="L358" s="143"/>
      <c r="M358" s="143"/>
      <c r="N358" s="143"/>
      <c r="O358" s="143"/>
      <c r="P358" s="143"/>
      <c r="Q358" s="143"/>
      <c r="R358" s="144"/>
    </row>
    <row r="359" spans="1:18" ht="24" customHeight="1" x14ac:dyDescent="0.3">
      <c r="A359" s="30" t="s">
        <v>10</v>
      </c>
      <c r="B359" s="30" t="s">
        <v>11</v>
      </c>
      <c r="C359" s="113" t="s">
        <v>12</v>
      </c>
      <c r="D359" s="30" t="s">
        <v>13</v>
      </c>
      <c r="E359" s="30" t="s">
        <v>14</v>
      </c>
      <c r="F359" s="31" t="s">
        <v>15</v>
      </c>
      <c r="G359" s="32" t="s">
        <v>16</v>
      </c>
      <c r="H359" s="30" t="s">
        <v>17</v>
      </c>
      <c r="I359" s="33" t="s">
        <v>18</v>
      </c>
      <c r="J359" s="34" t="s">
        <v>19</v>
      </c>
      <c r="K359" s="35" t="s">
        <v>20</v>
      </c>
      <c r="L359" s="34" t="s">
        <v>21</v>
      </c>
      <c r="M359" s="34" t="s">
        <v>22</v>
      </c>
      <c r="N359" s="34" t="s">
        <v>23</v>
      </c>
      <c r="O359" s="30" t="s">
        <v>24</v>
      </c>
      <c r="P359" s="113" t="s">
        <v>25</v>
      </c>
      <c r="Q359" s="34" t="s">
        <v>26</v>
      </c>
      <c r="R359" s="30" t="s">
        <v>27</v>
      </c>
    </row>
    <row r="360" spans="1:18" ht="15" customHeight="1" x14ac:dyDescent="0.3">
      <c r="A360" s="8" t="s">
        <v>57</v>
      </c>
      <c r="B360" s="8" t="s">
        <v>58</v>
      </c>
      <c r="C360" s="105">
        <v>0.30555555555555558</v>
      </c>
      <c r="D360" s="8" t="s">
        <v>59</v>
      </c>
      <c r="E360" s="8" t="s">
        <v>88</v>
      </c>
      <c r="F360" s="8" t="s">
        <v>104</v>
      </c>
      <c r="G360" s="148" t="s">
        <v>194</v>
      </c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57</v>
      </c>
      <c r="B361" s="16" t="s">
        <v>58</v>
      </c>
      <c r="C361" s="108">
        <v>0.30555555555555558</v>
      </c>
      <c r="D361" s="16" t="s">
        <v>62</v>
      </c>
      <c r="E361" s="16" t="s">
        <v>88</v>
      </c>
      <c r="F361" s="16" t="s">
        <v>195</v>
      </c>
      <c r="G361" s="1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57</v>
      </c>
      <c r="B362" s="16" t="s">
        <v>58</v>
      </c>
      <c r="C362" s="108">
        <v>0.30555555555555558</v>
      </c>
      <c r="D362" s="16" t="s">
        <v>51</v>
      </c>
      <c r="E362" s="16" t="s">
        <v>88</v>
      </c>
      <c r="F362" s="16" t="s">
        <v>82</v>
      </c>
      <c r="G362" s="1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5" t="s">
        <v>45</v>
      </c>
      <c r="B363" s="15" t="s">
        <v>53</v>
      </c>
      <c r="C363" s="107">
        <v>0.83680555555555558</v>
      </c>
      <c r="D363" s="15" t="s">
        <v>47</v>
      </c>
      <c r="E363" s="15" t="s">
        <v>102</v>
      </c>
      <c r="F363" s="15" t="s">
        <v>155</v>
      </c>
      <c r="G363" s="1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45</v>
      </c>
      <c r="B364" s="16" t="s">
        <v>53</v>
      </c>
      <c r="C364" s="108">
        <v>0.83680555555555558</v>
      </c>
      <c r="D364" s="16" t="s">
        <v>49</v>
      </c>
      <c r="E364" s="16" t="s">
        <v>102</v>
      </c>
      <c r="F364" s="16" t="s">
        <v>156</v>
      </c>
      <c r="G364" s="1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45</v>
      </c>
      <c r="B365" s="16" t="s">
        <v>53</v>
      </c>
      <c r="C365" s="108">
        <v>0.83680555555555558</v>
      </c>
      <c r="D365" s="16" t="s">
        <v>51</v>
      </c>
      <c r="E365" s="16" t="s">
        <v>102</v>
      </c>
      <c r="F365" s="16" t="s">
        <v>157</v>
      </c>
      <c r="G365" s="1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45</v>
      </c>
      <c r="B366" s="14" t="s">
        <v>46</v>
      </c>
      <c r="C366" s="106">
        <v>0.2013888888888889</v>
      </c>
      <c r="D366" s="14" t="s">
        <v>47</v>
      </c>
      <c r="E366" s="14" t="s">
        <v>78</v>
      </c>
      <c r="F366" s="14" t="s">
        <v>196</v>
      </c>
      <c r="G366" s="1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45</v>
      </c>
      <c r="B367" s="16" t="s">
        <v>46</v>
      </c>
      <c r="C367" s="108">
        <v>0.2013888888888889</v>
      </c>
      <c r="D367" s="16" t="s">
        <v>49</v>
      </c>
      <c r="E367" s="16" t="s">
        <v>78</v>
      </c>
      <c r="F367" s="16" t="s">
        <v>164</v>
      </c>
      <c r="G367" s="1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45</v>
      </c>
      <c r="B368" s="16" t="s">
        <v>46</v>
      </c>
      <c r="C368" s="108">
        <v>0.2013888888888889</v>
      </c>
      <c r="D368" s="16" t="s">
        <v>51</v>
      </c>
      <c r="E368" s="16" t="s">
        <v>78</v>
      </c>
      <c r="F368" s="16" t="s">
        <v>197</v>
      </c>
      <c r="G368" s="1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5" t="s">
        <v>38</v>
      </c>
      <c r="B369" s="15" t="s">
        <v>39</v>
      </c>
      <c r="C369" s="107">
        <v>0.97222222222222221</v>
      </c>
      <c r="D369" s="15" t="s">
        <v>40</v>
      </c>
      <c r="E369" s="15" t="s">
        <v>41</v>
      </c>
      <c r="F369" s="15" t="s">
        <v>198</v>
      </c>
      <c r="G369" s="1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38</v>
      </c>
      <c r="B370" s="16" t="s">
        <v>39</v>
      </c>
      <c r="C370" s="108">
        <v>0.97222222222222221</v>
      </c>
      <c r="D370" s="16" t="s">
        <v>43</v>
      </c>
      <c r="E370" s="16" t="s">
        <v>41</v>
      </c>
      <c r="F370" s="16" t="s">
        <v>199</v>
      </c>
      <c r="G370" s="1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83</v>
      </c>
      <c r="B371" s="15" t="s">
        <v>96</v>
      </c>
      <c r="C371" s="107">
        <v>0.89583333333333337</v>
      </c>
      <c r="D371" s="15" t="s">
        <v>110</v>
      </c>
      <c r="E371" s="15" t="s">
        <v>36</v>
      </c>
      <c r="F371" s="15" t="s">
        <v>167</v>
      </c>
      <c r="G371" s="1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71" t="s">
        <v>65</v>
      </c>
      <c r="B372" s="71" t="s">
        <v>66</v>
      </c>
      <c r="C372" s="124">
        <v>0.92361111111111116</v>
      </c>
      <c r="D372" s="71" t="s">
        <v>110</v>
      </c>
      <c r="E372" s="71" t="s">
        <v>68</v>
      </c>
      <c r="F372" s="71" t="s">
        <v>200</v>
      </c>
      <c r="G372" s="149"/>
      <c r="H372" s="72" t="s">
        <v>70</v>
      </c>
      <c r="I372" s="73">
        <v>0.13100000000000001</v>
      </c>
      <c r="J372" s="74">
        <v>22</v>
      </c>
      <c r="K372" s="75">
        <v>46358</v>
      </c>
      <c r="L372" s="74">
        <v>22</v>
      </c>
      <c r="M372" s="74">
        <v>0</v>
      </c>
      <c r="N372" s="74">
        <v>0</v>
      </c>
      <c r="O372" s="76" t="s">
        <v>201</v>
      </c>
      <c r="P372" s="125">
        <v>0.92361111111111116</v>
      </c>
      <c r="Q372" s="74">
        <v>168</v>
      </c>
      <c r="R372" s="77" t="s">
        <v>202</v>
      </c>
    </row>
    <row r="373" spans="1:18" ht="15" customHeight="1" x14ac:dyDescent="0.3">
      <c r="A373" s="15" t="s">
        <v>28</v>
      </c>
      <c r="B373" s="15" t="s">
        <v>35</v>
      </c>
      <c r="C373" s="107">
        <v>0.86458333333333337</v>
      </c>
      <c r="D373" s="15" t="s">
        <v>107</v>
      </c>
      <c r="E373" s="15" t="s">
        <v>36</v>
      </c>
      <c r="F373" s="15" t="s">
        <v>168</v>
      </c>
      <c r="G373" s="1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28</v>
      </c>
      <c r="B374" s="14" t="s">
        <v>33</v>
      </c>
      <c r="C374" s="106">
        <v>0.52777777777777779</v>
      </c>
      <c r="D374" s="14" t="s">
        <v>107</v>
      </c>
      <c r="E374" s="14" t="s">
        <v>36</v>
      </c>
      <c r="F374" s="14" t="s">
        <v>168</v>
      </c>
      <c r="G374" s="1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28</v>
      </c>
      <c r="B375" s="14" t="s">
        <v>29</v>
      </c>
      <c r="C375" s="106">
        <v>0.1701388888888889</v>
      </c>
      <c r="D375" s="14" t="s">
        <v>107</v>
      </c>
      <c r="E375" s="14" t="s">
        <v>36</v>
      </c>
      <c r="F375" s="14" t="s">
        <v>168</v>
      </c>
      <c r="G375" s="1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24" t="s">
        <v>73</v>
      </c>
      <c r="B376" s="24" t="s">
        <v>74</v>
      </c>
      <c r="C376" s="111">
        <v>0.30555555555555558</v>
      </c>
      <c r="D376" s="24" t="s">
        <v>75</v>
      </c>
      <c r="E376" s="24" t="s">
        <v>76</v>
      </c>
      <c r="F376" s="24" t="s">
        <v>170</v>
      </c>
      <c r="G376" s="150"/>
      <c r="H376" s="25"/>
      <c r="I376" s="26"/>
      <c r="J376" s="26"/>
      <c r="K376" s="26"/>
      <c r="L376" s="26"/>
      <c r="M376" s="26"/>
      <c r="N376" s="26"/>
      <c r="O376" s="27"/>
      <c r="P376" s="26"/>
      <c r="Q376" s="28"/>
      <c r="R376" s="29"/>
    </row>
    <row r="377" spans="1:18" ht="17.399999999999999" customHeight="1" x14ac:dyDescent="0.3">
      <c r="A377" s="145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7"/>
    </row>
    <row r="378" spans="1:18" ht="22.05" customHeight="1" x14ac:dyDescent="0.3">
      <c r="A378" s="154" t="s">
        <v>8</v>
      </c>
      <c r="B378" s="143"/>
      <c r="C378" s="143"/>
      <c r="D378" s="143"/>
      <c r="E378" s="143"/>
      <c r="F378" s="144"/>
      <c r="G378" s="112">
        <v>46033</v>
      </c>
      <c r="H378" s="142" t="s">
        <v>9</v>
      </c>
      <c r="I378" s="143"/>
      <c r="J378" s="143"/>
      <c r="K378" s="143"/>
      <c r="L378" s="143"/>
      <c r="M378" s="143"/>
      <c r="N378" s="143"/>
      <c r="O378" s="143"/>
      <c r="P378" s="143"/>
      <c r="Q378" s="143"/>
      <c r="R378" s="144"/>
    </row>
    <row r="379" spans="1:18" ht="24" customHeight="1" x14ac:dyDescent="0.3">
      <c r="A379" s="30" t="s">
        <v>10</v>
      </c>
      <c r="B379" s="30" t="s">
        <v>11</v>
      </c>
      <c r="C379" s="113" t="s">
        <v>12</v>
      </c>
      <c r="D379" s="30" t="s">
        <v>13</v>
      </c>
      <c r="E379" s="30" t="s">
        <v>14</v>
      </c>
      <c r="F379" s="31" t="s">
        <v>15</v>
      </c>
      <c r="G379" s="32" t="s">
        <v>16</v>
      </c>
      <c r="H379" s="30" t="s">
        <v>17</v>
      </c>
      <c r="I379" s="33" t="s">
        <v>18</v>
      </c>
      <c r="J379" s="34" t="s">
        <v>19</v>
      </c>
      <c r="K379" s="35" t="s">
        <v>20</v>
      </c>
      <c r="L379" s="34" t="s">
        <v>21</v>
      </c>
      <c r="M379" s="34" t="s">
        <v>22</v>
      </c>
      <c r="N379" s="34" t="s">
        <v>23</v>
      </c>
      <c r="O379" s="30" t="s">
        <v>24</v>
      </c>
      <c r="P379" s="113" t="s">
        <v>25</v>
      </c>
      <c r="Q379" s="34" t="s">
        <v>26</v>
      </c>
      <c r="R379" s="30" t="s">
        <v>27</v>
      </c>
    </row>
    <row r="380" spans="1:18" ht="15" customHeight="1" x14ac:dyDescent="0.3">
      <c r="A380" s="8" t="s">
        <v>57</v>
      </c>
      <c r="B380" s="8" t="s">
        <v>58</v>
      </c>
      <c r="C380" s="105">
        <v>0.30555555555555558</v>
      </c>
      <c r="D380" s="8" t="s">
        <v>59</v>
      </c>
      <c r="E380" s="8" t="s">
        <v>153</v>
      </c>
      <c r="F380" s="8" t="s">
        <v>160</v>
      </c>
      <c r="G380" s="1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57</v>
      </c>
      <c r="B381" s="16" t="s">
        <v>58</v>
      </c>
      <c r="C381" s="108">
        <v>0.30555555555555558</v>
      </c>
      <c r="D381" s="16" t="s">
        <v>62</v>
      </c>
      <c r="E381" s="16" t="s">
        <v>153</v>
      </c>
      <c r="F381" s="16" t="s">
        <v>161</v>
      </c>
      <c r="G381" s="1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57</v>
      </c>
      <c r="B382" s="16" t="s">
        <v>58</v>
      </c>
      <c r="C382" s="108">
        <v>0.30555555555555558</v>
      </c>
      <c r="D382" s="16" t="s">
        <v>51</v>
      </c>
      <c r="E382" s="16" t="s">
        <v>153</v>
      </c>
      <c r="F382" s="16" t="s">
        <v>82</v>
      </c>
      <c r="G382" s="1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45</v>
      </c>
      <c r="B383" s="15" t="s">
        <v>53</v>
      </c>
      <c r="C383" s="107">
        <v>0.83680555555555558</v>
      </c>
      <c r="D383" s="15" t="s">
        <v>47</v>
      </c>
      <c r="E383" s="15" t="s">
        <v>78</v>
      </c>
      <c r="F383" s="15" t="s">
        <v>50</v>
      </c>
      <c r="G383" s="1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45</v>
      </c>
      <c r="B384" s="16" t="s">
        <v>53</v>
      </c>
      <c r="C384" s="108">
        <v>0.83680555555555558</v>
      </c>
      <c r="D384" s="16" t="s">
        <v>49</v>
      </c>
      <c r="E384" s="16" t="s">
        <v>78</v>
      </c>
      <c r="F384" s="16" t="s">
        <v>118</v>
      </c>
      <c r="G384" s="1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45</v>
      </c>
      <c r="B385" s="16" t="s">
        <v>53</v>
      </c>
      <c r="C385" s="108">
        <v>0.83680555555555558</v>
      </c>
      <c r="D385" s="16" t="s">
        <v>51</v>
      </c>
      <c r="E385" s="16" t="s">
        <v>78</v>
      </c>
      <c r="F385" s="16" t="s">
        <v>144</v>
      </c>
      <c r="G385" s="1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89</v>
      </c>
      <c r="B386" s="15" t="s">
        <v>150</v>
      </c>
      <c r="C386" s="107">
        <v>0.21527777777777779</v>
      </c>
      <c r="D386" s="15" t="s">
        <v>110</v>
      </c>
      <c r="E386" s="15" t="s">
        <v>78</v>
      </c>
      <c r="F386" s="15" t="s">
        <v>133</v>
      </c>
      <c r="G386" s="1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28</v>
      </c>
      <c r="B387" s="15" t="s">
        <v>29</v>
      </c>
      <c r="C387" s="107">
        <v>0.1701388888888889</v>
      </c>
      <c r="D387" s="15" t="s">
        <v>134</v>
      </c>
      <c r="E387" s="15" t="s">
        <v>36</v>
      </c>
      <c r="F387" s="15" t="s">
        <v>63</v>
      </c>
      <c r="G387" s="1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28</v>
      </c>
      <c r="B388" s="14" t="s">
        <v>35</v>
      </c>
      <c r="C388" s="106">
        <v>0.86458333333333337</v>
      </c>
      <c r="D388" s="14" t="s">
        <v>134</v>
      </c>
      <c r="E388" s="14" t="s">
        <v>36</v>
      </c>
      <c r="F388" s="14" t="s">
        <v>135</v>
      </c>
      <c r="G388" s="1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28</v>
      </c>
      <c r="B389" s="14" t="s">
        <v>33</v>
      </c>
      <c r="C389" s="106">
        <v>0.52777777777777779</v>
      </c>
      <c r="D389" s="14" t="s">
        <v>134</v>
      </c>
      <c r="E389" s="14" t="s">
        <v>36</v>
      </c>
      <c r="F389" s="14" t="s">
        <v>135</v>
      </c>
      <c r="G389" s="1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5" t="s">
        <v>83</v>
      </c>
      <c r="B390" s="15" t="s">
        <v>84</v>
      </c>
      <c r="C390" s="107">
        <v>0.95833333333333337</v>
      </c>
      <c r="D390" s="15" t="s">
        <v>110</v>
      </c>
      <c r="E390" s="15" t="s">
        <v>31</v>
      </c>
      <c r="F390" s="15" t="s">
        <v>56</v>
      </c>
      <c r="G390" s="1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4" t="s">
        <v>73</v>
      </c>
      <c r="B391" s="24" t="s">
        <v>74</v>
      </c>
      <c r="C391" s="111">
        <v>0.30555555555555558</v>
      </c>
      <c r="D391" s="24" t="s">
        <v>75</v>
      </c>
      <c r="E391" s="24" t="s">
        <v>76</v>
      </c>
      <c r="F391" s="24" t="s">
        <v>170</v>
      </c>
      <c r="G391" s="150"/>
      <c r="H391" s="25"/>
      <c r="I391" s="26"/>
      <c r="J391" s="26"/>
      <c r="K391" s="26"/>
      <c r="L391" s="26"/>
      <c r="M391" s="26"/>
      <c r="N391" s="26"/>
      <c r="O391" s="27"/>
      <c r="P391" s="26"/>
      <c r="Q391" s="28"/>
      <c r="R391" s="29"/>
    </row>
    <row r="392" spans="1:18" ht="17.399999999999999" customHeight="1" x14ac:dyDescent="0.3">
      <c r="A392" s="145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7"/>
    </row>
    <row r="393" spans="1:18" ht="22.05" customHeight="1" x14ac:dyDescent="0.3">
      <c r="A393" s="154" t="s">
        <v>8</v>
      </c>
      <c r="B393" s="143"/>
      <c r="C393" s="143"/>
      <c r="D393" s="143"/>
      <c r="E393" s="143"/>
      <c r="F393" s="144"/>
      <c r="G393" s="112">
        <v>46034</v>
      </c>
      <c r="H393" s="142" t="s">
        <v>9</v>
      </c>
      <c r="I393" s="143"/>
      <c r="J393" s="143"/>
      <c r="K393" s="143"/>
      <c r="L393" s="143"/>
      <c r="M393" s="143"/>
      <c r="N393" s="143"/>
      <c r="O393" s="143"/>
      <c r="P393" s="143"/>
      <c r="Q393" s="143"/>
      <c r="R393" s="144"/>
    </row>
    <row r="394" spans="1:18" ht="24" customHeight="1" x14ac:dyDescent="0.3">
      <c r="A394" s="30" t="s">
        <v>10</v>
      </c>
      <c r="B394" s="30" t="s">
        <v>11</v>
      </c>
      <c r="C394" s="113" t="s">
        <v>12</v>
      </c>
      <c r="D394" s="30" t="s">
        <v>13</v>
      </c>
      <c r="E394" s="30" t="s">
        <v>14</v>
      </c>
      <c r="F394" s="31" t="s">
        <v>15</v>
      </c>
      <c r="G394" s="32" t="s">
        <v>16</v>
      </c>
      <c r="H394" s="30" t="s">
        <v>17</v>
      </c>
      <c r="I394" s="33" t="s">
        <v>18</v>
      </c>
      <c r="J394" s="34" t="s">
        <v>19</v>
      </c>
      <c r="K394" s="35" t="s">
        <v>20</v>
      </c>
      <c r="L394" s="34" t="s">
        <v>21</v>
      </c>
      <c r="M394" s="34" t="s">
        <v>22</v>
      </c>
      <c r="N394" s="34" t="s">
        <v>23</v>
      </c>
      <c r="O394" s="30" t="s">
        <v>24</v>
      </c>
      <c r="P394" s="113" t="s">
        <v>25</v>
      </c>
      <c r="Q394" s="34" t="s">
        <v>26</v>
      </c>
      <c r="R394" s="30" t="s">
        <v>27</v>
      </c>
    </row>
    <row r="395" spans="1:18" ht="15" customHeight="1" x14ac:dyDescent="0.3">
      <c r="A395" s="8" t="s">
        <v>57</v>
      </c>
      <c r="B395" s="8" t="s">
        <v>58</v>
      </c>
      <c r="C395" s="105">
        <v>0.30555555555555558</v>
      </c>
      <c r="D395" s="8" t="s">
        <v>59</v>
      </c>
      <c r="E395" s="8" t="s">
        <v>78</v>
      </c>
      <c r="F395" s="8" t="s">
        <v>61</v>
      </c>
      <c r="G395" s="1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57</v>
      </c>
      <c r="B396" s="16" t="s">
        <v>58</v>
      </c>
      <c r="C396" s="108">
        <v>0.30555555555555558</v>
      </c>
      <c r="D396" s="16" t="s">
        <v>62</v>
      </c>
      <c r="E396" s="16" t="s">
        <v>78</v>
      </c>
      <c r="F396" s="16" t="s">
        <v>63</v>
      </c>
      <c r="G396" s="1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57</v>
      </c>
      <c r="B397" s="16" t="s">
        <v>58</v>
      </c>
      <c r="C397" s="108">
        <v>0.30555555555555558</v>
      </c>
      <c r="D397" s="16" t="s">
        <v>51</v>
      </c>
      <c r="E397" s="16" t="s">
        <v>78</v>
      </c>
      <c r="F397" s="16" t="s">
        <v>82</v>
      </c>
      <c r="G397" s="1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" t="s">
        <v>45</v>
      </c>
      <c r="B398" s="15" t="s">
        <v>53</v>
      </c>
      <c r="C398" s="107">
        <v>0.83680555555555558</v>
      </c>
      <c r="D398" s="15" t="s">
        <v>47</v>
      </c>
      <c r="E398" s="15" t="s">
        <v>102</v>
      </c>
      <c r="F398" s="15" t="s">
        <v>54</v>
      </c>
      <c r="G398" s="1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45</v>
      </c>
      <c r="B399" s="16" t="s">
        <v>53</v>
      </c>
      <c r="C399" s="108">
        <v>0.83680555555555558</v>
      </c>
      <c r="D399" s="16" t="s">
        <v>49</v>
      </c>
      <c r="E399" s="16" t="s">
        <v>102</v>
      </c>
      <c r="F399" s="16" t="s">
        <v>55</v>
      </c>
      <c r="G399" s="1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45</v>
      </c>
      <c r="B400" s="16" t="s">
        <v>53</v>
      </c>
      <c r="C400" s="108">
        <v>0.83680555555555558</v>
      </c>
      <c r="D400" s="16" t="s">
        <v>51</v>
      </c>
      <c r="E400" s="16" t="s">
        <v>102</v>
      </c>
      <c r="F400" s="16" t="s">
        <v>56</v>
      </c>
      <c r="G400" s="14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45</v>
      </c>
      <c r="B401" s="14" t="s">
        <v>46</v>
      </c>
      <c r="C401" s="106">
        <v>0.2013888888888889</v>
      </c>
      <c r="D401" s="14" t="s">
        <v>47</v>
      </c>
      <c r="E401" s="14" t="s">
        <v>88</v>
      </c>
      <c r="F401" s="14" t="s">
        <v>54</v>
      </c>
      <c r="G401" s="1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45</v>
      </c>
      <c r="B402" s="16" t="s">
        <v>46</v>
      </c>
      <c r="C402" s="108">
        <v>0.2013888888888889</v>
      </c>
      <c r="D402" s="16" t="s">
        <v>49</v>
      </c>
      <c r="E402" s="16" t="s">
        <v>88</v>
      </c>
      <c r="F402" s="16" t="s">
        <v>55</v>
      </c>
      <c r="G402" s="14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45</v>
      </c>
      <c r="B403" s="16" t="s">
        <v>46</v>
      </c>
      <c r="C403" s="108">
        <v>0.2013888888888889</v>
      </c>
      <c r="D403" s="16" t="s">
        <v>51</v>
      </c>
      <c r="E403" s="16" t="s">
        <v>88</v>
      </c>
      <c r="F403" s="16" t="s">
        <v>56</v>
      </c>
      <c r="G403" s="1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5" t="s">
        <v>89</v>
      </c>
      <c r="B404" s="15" t="s">
        <v>90</v>
      </c>
      <c r="C404" s="107">
        <v>0.12847222222222221</v>
      </c>
      <c r="D404" s="15" t="s">
        <v>110</v>
      </c>
      <c r="E404" s="15" t="s">
        <v>88</v>
      </c>
      <c r="F404" s="15" t="s">
        <v>151</v>
      </c>
      <c r="G404" s="1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5" t="s">
        <v>28</v>
      </c>
      <c r="B405" s="15" t="s">
        <v>29</v>
      </c>
      <c r="C405" s="107">
        <v>0.1701388888888889</v>
      </c>
      <c r="D405" s="15" t="s">
        <v>134</v>
      </c>
      <c r="E405" s="15" t="s">
        <v>36</v>
      </c>
      <c r="F405" s="15" t="s">
        <v>63</v>
      </c>
      <c r="G405" s="1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28</v>
      </c>
      <c r="B406" s="14" t="s">
        <v>35</v>
      </c>
      <c r="C406" s="106">
        <v>0.86458333333333337</v>
      </c>
      <c r="D406" s="14" t="s">
        <v>134</v>
      </c>
      <c r="E406" s="14" t="s">
        <v>36</v>
      </c>
      <c r="F406" s="14" t="s">
        <v>135</v>
      </c>
      <c r="G406" s="1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28</v>
      </c>
      <c r="B407" s="14" t="s">
        <v>33</v>
      </c>
      <c r="C407" s="106">
        <v>0.52777777777777779</v>
      </c>
      <c r="D407" s="14" t="s">
        <v>134</v>
      </c>
      <c r="E407" s="14" t="s">
        <v>36</v>
      </c>
      <c r="F407" s="14" t="s">
        <v>135</v>
      </c>
      <c r="G407" s="1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5" t="s">
        <v>83</v>
      </c>
      <c r="B408" s="15" t="s">
        <v>92</v>
      </c>
      <c r="C408" s="107">
        <v>0.95833333333333337</v>
      </c>
      <c r="D408" s="15" t="s">
        <v>110</v>
      </c>
      <c r="E408" s="15" t="s">
        <v>36</v>
      </c>
      <c r="F408" s="15" t="s">
        <v>56</v>
      </c>
      <c r="G408" s="1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4" t="s">
        <v>73</v>
      </c>
      <c r="B409" s="24" t="s">
        <v>74</v>
      </c>
      <c r="C409" s="111">
        <v>0.30555555555555558</v>
      </c>
      <c r="D409" s="24" t="s">
        <v>75</v>
      </c>
      <c r="E409" s="24" t="s">
        <v>76</v>
      </c>
      <c r="F409" s="24" t="s">
        <v>77</v>
      </c>
      <c r="G409" s="150"/>
      <c r="H409" s="25"/>
      <c r="I409" s="26"/>
      <c r="J409" s="26"/>
      <c r="K409" s="26"/>
      <c r="L409" s="26"/>
      <c r="M409" s="26"/>
      <c r="N409" s="26"/>
      <c r="O409" s="27"/>
      <c r="P409" s="26"/>
      <c r="Q409" s="28"/>
      <c r="R409" s="29"/>
    </row>
    <row r="410" spans="1:18" ht="17.399999999999999" customHeight="1" x14ac:dyDescent="0.3">
      <c r="A410" s="145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7"/>
    </row>
    <row r="411" spans="1:18" ht="22.05" customHeight="1" x14ac:dyDescent="0.3">
      <c r="A411" s="154" t="s">
        <v>8</v>
      </c>
      <c r="B411" s="143"/>
      <c r="C411" s="143"/>
      <c r="D411" s="143"/>
      <c r="E411" s="143"/>
      <c r="F411" s="144"/>
      <c r="G411" s="112">
        <v>46035</v>
      </c>
      <c r="H411" s="142" t="s">
        <v>9</v>
      </c>
      <c r="I411" s="143"/>
      <c r="J411" s="143"/>
      <c r="K411" s="143"/>
      <c r="L411" s="143"/>
      <c r="M411" s="143"/>
      <c r="N411" s="143"/>
      <c r="O411" s="143"/>
      <c r="P411" s="143"/>
      <c r="Q411" s="143"/>
      <c r="R411" s="144"/>
    </row>
    <row r="412" spans="1:18" ht="24" customHeight="1" x14ac:dyDescent="0.3">
      <c r="A412" s="30" t="s">
        <v>10</v>
      </c>
      <c r="B412" s="30" t="s">
        <v>11</v>
      </c>
      <c r="C412" s="113" t="s">
        <v>12</v>
      </c>
      <c r="D412" s="30" t="s">
        <v>13</v>
      </c>
      <c r="E412" s="30" t="s">
        <v>14</v>
      </c>
      <c r="F412" s="31" t="s">
        <v>15</v>
      </c>
      <c r="G412" s="32" t="s">
        <v>16</v>
      </c>
      <c r="H412" s="30" t="s">
        <v>17</v>
      </c>
      <c r="I412" s="33" t="s">
        <v>18</v>
      </c>
      <c r="J412" s="34" t="s">
        <v>19</v>
      </c>
      <c r="K412" s="35" t="s">
        <v>20</v>
      </c>
      <c r="L412" s="34" t="s">
        <v>21</v>
      </c>
      <c r="M412" s="34" t="s">
        <v>22</v>
      </c>
      <c r="N412" s="34" t="s">
        <v>23</v>
      </c>
      <c r="O412" s="30" t="s">
        <v>24</v>
      </c>
      <c r="P412" s="113" t="s">
        <v>25</v>
      </c>
      <c r="Q412" s="34" t="s">
        <v>26</v>
      </c>
      <c r="R412" s="30" t="s">
        <v>27</v>
      </c>
    </row>
    <row r="413" spans="1:18" ht="15" customHeight="1" x14ac:dyDescent="0.3">
      <c r="A413" s="8" t="s">
        <v>57</v>
      </c>
      <c r="B413" s="8" t="s">
        <v>58</v>
      </c>
      <c r="C413" s="105">
        <v>0.30555555555555558</v>
      </c>
      <c r="D413" s="8" t="s">
        <v>59</v>
      </c>
      <c r="E413" s="8" t="s">
        <v>87</v>
      </c>
      <c r="F413" s="8" t="s">
        <v>61</v>
      </c>
      <c r="G413" s="148" t="s">
        <v>203</v>
      </c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57</v>
      </c>
      <c r="B414" s="16" t="s">
        <v>58</v>
      </c>
      <c r="C414" s="108">
        <v>0.30555555555555558</v>
      </c>
      <c r="D414" s="16" t="s">
        <v>62</v>
      </c>
      <c r="E414" s="16" t="s">
        <v>87</v>
      </c>
      <c r="F414" s="16" t="s">
        <v>63</v>
      </c>
      <c r="G414" s="1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57</v>
      </c>
      <c r="B415" s="16" t="s">
        <v>58</v>
      </c>
      <c r="C415" s="108">
        <v>0.30555555555555558</v>
      </c>
      <c r="D415" s="16" t="s">
        <v>51</v>
      </c>
      <c r="E415" s="16" t="s">
        <v>87</v>
      </c>
      <c r="F415" s="16" t="s">
        <v>82</v>
      </c>
      <c r="G415" s="1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45</v>
      </c>
      <c r="B416" s="15" t="s">
        <v>46</v>
      </c>
      <c r="C416" s="107">
        <v>0.2013888888888889</v>
      </c>
      <c r="D416" s="15" t="s">
        <v>47</v>
      </c>
      <c r="E416" s="15" t="s">
        <v>88</v>
      </c>
      <c r="F416" s="15" t="s">
        <v>54</v>
      </c>
      <c r="G416" s="1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45</v>
      </c>
      <c r="B417" s="16" t="s">
        <v>46</v>
      </c>
      <c r="C417" s="108">
        <v>0.2013888888888889</v>
      </c>
      <c r="D417" s="16" t="s">
        <v>49</v>
      </c>
      <c r="E417" s="16" t="s">
        <v>88</v>
      </c>
      <c r="F417" s="16" t="s">
        <v>55</v>
      </c>
      <c r="G417" s="1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45</v>
      </c>
      <c r="B418" s="16" t="s">
        <v>46</v>
      </c>
      <c r="C418" s="108">
        <v>0.2013888888888889</v>
      </c>
      <c r="D418" s="16" t="s">
        <v>51</v>
      </c>
      <c r="E418" s="16" t="s">
        <v>88</v>
      </c>
      <c r="F418" s="16" t="s">
        <v>56</v>
      </c>
      <c r="G418" s="1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45</v>
      </c>
      <c r="B419" s="14" t="s">
        <v>53</v>
      </c>
      <c r="C419" s="106">
        <v>0.83680555555555558</v>
      </c>
      <c r="D419" s="14" t="s">
        <v>47</v>
      </c>
      <c r="E419" s="14" t="s">
        <v>41</v>
      </c>
      <c r="F419" s="14" t="s">
        <v>50</v>
      </c>
      <c r="G419" s="1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45</v>
      </c>
      <c r="B420" s="16" t="s">
        <v>53</v>
      </c>
      <c r="C420" s="108">
        <v>0.83680555555555558</v>
      </c>
      <c r="D420" s="16" t="s">
        <v>49</v>
      </c>
      <c r="E420" s="16" t="s">
        <v>41</v>
      </c>
      <c r="F420" s="16" t="s">
        <v>118</v>
      </c>
      <c r="G420" s="1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45</v>
      </c>
      <c r="B421" s="16" t="s">
        <v>53</v>
      </c>
      <c r="C421" s="108">
        <v>0.83680555555555558</v>
      </c>
      <c r="D421" s="16" t="s">
        <v>51</v>
      </c>
      <c r="E421" s="16" t="s">
        <v>41</v>
      </c>
      <c r="F421" s="16" t="s">
        <v>144</v>
      </c>
      <c r="G421" s="1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5" t="s">
        <v>89</v>
      </c>
      <c r="B422" s="15" t="s">
        <v>150</v>
      </c>
      <c r="C422" s="107">
        <v>0.21527777777777779</v>
      </c>
      <c r="D422" s="15" t="s">
        <v>110</v>
      </c>
      <c r="E422" s="15" t="s">
        <v>88</v>
      </c>
      <c r="F422" s="15" t="s">
        <v>151</v>
      </c>
      <c r="G422" s="1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5" t="s">
        <v>83</v>
      </c>
      <c r="B423" s="15" t="s">
        <v>96</v>
      </c>
      <c r="C423" s="107">
        <v>0.95833333333333337</v>
      </c>
      <c r="D423" s="15" t="s">
        <v>110</v>
      </c>
      <c r="E423" s="15" t="s">
        <v>78</v>
      </c>
      <c r="F423" s="15" t="s">
        <v>138</v>
      </c>
      <c r="G423" s="1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71" t="s">
        <v>65</v>
      </c>
      <c r="B424" s="71" t="s">
        <v>66</v>
      </c>
      <c r="C424" s="124">
        <v>0.27083333333333331</v>
      </c>
      <c r="D424" s="71" t="s">
        <v>110</v>
      </c>
      <c r="E424" s="71" t="s">
        <v>76</v>
      </c>
      <c r="F424" s="71" t="s">
        <v>130</v>
      </c>
      <c r="G424" s="149"/>
      <c r="H424" s="72" t="s">
        <v>70</v>
      </c>
      <c r="I424" s="73">
        <v>0.11310000000000001</v>
      </c>
      <c r="J424" s="74">
        <v>19</v>
      </c>
      <c r="K424" s="75">
        <v>46362</v>
      </c>
      <c r="L424" s="74">
        <v>19</v>
      </c>
      <c r="M424" s="74">
        <v>0</v>
      </c>
      <c r="N424" s="74">
        <v>0</v>
      </c>
      <c r="O424" s="76" t="s">
        <v>131</v>
      </c>
      <c r="P424" s="125">
        <v>0.27083333333333331</v>
      </c>
      <c r="Q424" s="74">
        <v>168</v>
      </c>
      <c r="R424" s="77" t="s">
        <v>204</v>
      </c>
    </row>
    <row r="425" spans="1:18" ht="15" customHeight="1" x14ac:dyDescent="0.3">
      <c r="A425" s="15" t="s">
        <v>28</v>
      </c>
      <c r="B425" s="15" t="s">
        <v>29</v>
      </c>
      <c r="C425" s="107">
        <v>0.1701388888888889</v>
      </c>
      <c r="D425" s="15" t="s">
        <v>134</v>
      </c>
      <c r="E425" s="15" t="s">
        <v>36</v>
      </c>
      <c r="F425" s="15" t="s">
        <v>63</v>
      </c>
      <c r="G425" s="1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28</v>
      </c>
      <c r="B426" s="14" t="s">
        <v>35</v>
      </c>
      <c r="C426" s="106">
        <v>0.86458333333333337</v>
      </c>
      <c r="D426" s="14" t="s">
        <v>134</v>
      </c>
      <c r="E426" s="14" t="s">
        <v>36</v>
      </c>
      <c r="F426" s="14" t="s">
        <v>135</v>
      </c>
      <c r="G426" s="1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28</v>
      </c>
      <c r="B427" s="14" t="s">
        <v>33</v>
      </c>
      <c r="C427" s="106">
        <v>0.52777777777777779</v>
      </c>
      <c r="D427" s="14" t="s">
        <v>134</v>
      </c>
      <c r="E427" s="14" t="s">
        <v>36</v>
      </c>
      <c r="F427" s="14" t="s">
        <v>135</v>
      </c>
      <c r="G427" s="1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4" t="s">
        <v>73</v>
      </c>
      <c r="B428" s="24" t="s">
        <v>74</v>
      </c>
      <c r="C428" s="111">
        <v>0.30555555555555558</v>
      </c>
      <c r="D428" s="24" t="s">
        <v>75</v>
      </c>
      <c r="E428" s="24" t="s">
        <v>76</v>
      </c>
      <c r="F428" s="24" t="s">
        <v>77</v>
      </c>
      <c r="G428" s="150"/>
      <c r="H428" s="25"/>
      <c r="I428" s="26"/>
      <c r="J428" s="26"/>
      <c r="K428" s="26"/>
      <c r="L428" s="26"/>
      <c r="M428" s="26"/>
      <c r="N428" s="26"/>
      <c r="O428" s="27"/>
      <c r="P428" s="26"/>
      <c r="Q428" s="28"/>
      <c r="R428" s="29"/>
    </row>
    <row r="429" spans="1:18" ht="17.399999999999999" customHeight="1" x14ac:dyDescent="0.3">
      <c r="A429" s="145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7"/>
    </row>
    <row r="430" spans="1:18" ht="22.05" customHeight="1" x14ac:dyDescent="0.3">
      <c r="A430" s="154" t="s">
        <v>8</v>
      </c>
      <c r="B430" s="143"/>
      <c r="C430" s="143"/>
      <c r="D430" s="143"/>
      <c r="E430" s="143"/>
      <c r="F430" s="144"/>
      <c r="G430" s="112">
        <v>46036</v>
      </c>
      <c r="H430" s="142" t="s">
        <v>9</v>
      </c>
      <c r="I430" s="143"/>
      <c r="J430" s="143"/>
      <c r="K430" s="143"/>
      <c r="L430" s="143"/>
      <c r="M430" s="143"/>
      <c r="N430" s="143"/>
      <c r="O430" s="143"/>
      <c r="P430" s="143"/>
      <c r="Q430" s="143"/>
      <c r="R430" s="144"/>
    </row>
    <row r="431" spans="1:18" ht="24" customHeight="1" x14ac:dyDescent="0.3">
      <c r="A431" s="30" t="s">
        <v>10</v>
      </c>
      <c r="B431" s="30" t="s">
        <v>11</v>
      </c>
      <c r="C431" s="113" t="s">
        <v>12</v>
      </c>
      <c r="D431" s="30" t="s">
        <v>13</v>
      </c>
      <c r="E431" s="30" t="s">
        <v>14</v>
      </c>
      <c r="F431" s="31" t="s">
        <v>15</v>
      </c>
      <c r="G431" s="32" t="s">
        <v>16</v>
      </c>
      <c r="H431" s="30" t="s">
        <v>17</v>
      </c>
      <c r="I431" s="33" t="s">
        <v>18</v>
      </c>
      <c r="J431" s="34" t="s">
        <v>19</v>
      </c>
      <c r="K431" s="35" t="s">
        <v>20</v>
      </c>
      <c r="L431" s="34" t="s">
        <v>21</v>
      </c>
      <c r="M431" s="34" t="s">
        <v>22</v>
      </c>
      <c r="N431" s="34" t="s">
        <v>23</v>
      </c>
      <c r="O431" s="30" t="s">
        <v>24</v>
      </c>
      <c r="P431" s="113" t="s">
        <v>25</v>
      </c>
      <c r="Q431" s="34" t="s">
        <v>26</v>
      </c>
      <c r="R431" s="30" t="s">
        <v>27</v>
      </c>
    </row>
    <row r="432" spans="1:18" ht="15" customHeight="1" x14ac:dyDescent="0.3">
      <c r="A432" s="8" t="s">
        <v>57</v>
      </c>
      <c r="B432" s="8" t="s">
        <v>58</v>
      </c>
      <c r="C432" s="105">
        <v>0.30555555555555558</v>
      </c>
      <c r="D432" s="8" t="s">
        <v>59</v>
      </c>
      <c r="E432" s="8" t="s">
        <v>88</v>
      </c>
      <c r="F432" s="8" t="s">
        <v>61</v>
      </c>
      <c r="G432" s="1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57</v>
      </c>
      <c r="B433" s="16" t="s">
        <v>58</v>
      </c>
      <c r="C433" s="108">
        <v>0.30555555555555558</v>
      </c>
      <c r="D433" s="16" t="s">
        <v>62</v>
      </c>
      <c r="E433" s="16" t="s">
        <v>88</v>
      </c>
      <c r="F433" s="16" t="s">
        <v>63</v>
      </c>
      <c r="G433" s="1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57</v>
      </c>
      <c r="B434" s="16" t="s">
        <v>58</v>
      </c>
      <c r="C434" s="108">
        <v>0.30555555555555558</v>
      </c>
      <c r="D434" s="16" t="s">
        <v>51</v>
      </c>
      <c r="E434" s="16" t="s">
        <v>88</v>
      </c>
      <c r="F434" s="16" t="s">
        <v>82</v>
      </c>
      <c r="G434" s="1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" t="s">
        <v>45</v>
      </c>
      <c r="B435" s="15" t="s">
        <v>53</v>
      </c>
      <c r="C435" s="107">
        <v>0.83680555555555558</v>
      </c>
      <c r="D435" s="15" t="s">
        <v>47</v>
      </c>
      <c r="E435" s="15" t="s">
        <v>88</v>
      </c>
      <c r="F435" s="15" t="s">
        <v>50</v>
      </c>
      <c r="G435" s="1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45</v>
      </c>
      <c r="B436" s="16" t="s">
        <v>53</v>
      </c>
      <c r="C436" s="108">
        <v>0.83680555555555558</v>
      </c>
      <c r="D436" s="16" t="s">
        <v>49</v>
      </c>
      <c r="E436" s="16" t="s">
        <v>88</v>
      </c>
      <c r="F436" s="16" t="s">
        <v>118</v>
      </c>
      <c r="G436" s="1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45</v>
      </c>
      <c r="B437" s="16" t="s">
        <v>53</v>
      </c>
      <c r="C437" s="108">
        <v>0.83680555555555558</v>
      </c>
      <c r="D437" s="16" t="s">
        <v>51</v>
      </c>
      <c r="E437" s="16" t="s">
        <v>88</v>
      </c>
      <c r="F437" s="16" t="s">
        <v>144</v>
      </c>
      <c r="G437" s="1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5" t="s">
        <v>89</v>
      </c>
      <c r="B438" s="15" t="s">
        <v>100</v>
      </c>
      <c r="C438" s="107">
        <v>9.0277777777777776E-2</v>
      </c>
      <c r="D438" s="15" t="s">
        <v>110</v>
      </c>
      <c r="E438" s="15" t="s">
        <v>68</v>
      </c>
      <c r="F438" s="15" t="s">
        <v>151</v>
      </c>
      <c r="G438" s="1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5" t="s">
        <v>38</v>
      </c>
      <c r="B439" s="15" t="s">
        <v>39</v>
      </c>
      <c r="C439" s="107">
        <v>0.97222222222222221</v>
      </c>
      <c r="D439" s="15" t="s">
        <v>40</v>
      </c>
      <c r="E439" s="15" t="s">
        <v>41</v>
      </c>
      <c r="F439" s="15" t="s">
        <v>205</v>
      </c>
      <c r="G439" s="1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38</v>
      </c>
      <c r="B440" s="16" t="s">
        <v>39</v>
      </c>
      <c r="C440" s="108">
        <v>0.97222222222222221</v>
      </c>
      <c r="D440" s="16" t="s">
        <v>43</v>
      </c>
      <c r="E440" s="16" t="s">
        <v>41</v>
      </c>
      <c r="F440" s="16" t="s">
        <v>206</v>
      </c>
      <c r="G440" s="1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5" t="s">
        <v>83</v>
      </c>
      <c r="B441" s="15" t="s">
        <v>92</v>
      </c>
      <c r="C441" s="107">
        <v>0.89583333333333337</v>
      </c>
      <c r="D441" s="15" t="s">
        <v>110</v>
      </c>
      <c r="E441" s="15" t="s">
        <v>102</v>
      </c>
      <c r="F441" s="15" t="s">
        <v>138</v>
      </c>
      <c r="G441" s="1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5" t="s">
        <v>28</v>
      </c>
      <c r="B442" s="15" t="s">
        <v>29</v>
      </c>
      <c r="C442" s="107">
        <v>0.1701388888888889</v>
      </c>
      <c r="D442" s="15" t="s">
        <v>134</v>
      </c>
      <c r="E442" s="15" t="s">
        <v>36</v>
      </c>
      <c r="F442" s="15" t="s">
        <v>63</v>
      </c>
      <c r="G442" s="1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28</v>
      </c>
      <c r="B443" s="14" t="s">
        <v>35</v>
      </c>
      <c r="C443" s="106">
        <v>0.86458333333333337</v>
      </c>
      <c r="D443" s="14" t="s">
        <v>134</v>
      </c>
      <c r="E443" s="14" t="s">
        <v>36</v>
      </c>
      <c r="F443" s="14" t="s">
        <v>135</v>
      </c>
      <c r="G443" s="1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28</v>
      </c>
      <c r="B444" s="14" t="s">
        <v>33</v>
      </c>
      <c r="C444" s="106">
        <v>0.52777777777777779</v>
      </c>
      <c r="D444" s="14" t="s">
        <v>134</v>
      </c>
      <c r="E444" s="14" t="s">
        <v>36</v>
      </c>
      <c r="F444" s="14" t="s">
        <v>135</v>
      </c>
      <c r="G444" s="1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4" t="s">
        <v>73</v>
      </c>
      <c r="B445" s="24" t="s">
        <v>74</v>
      </c>
      <c r="C445" s="111">
        <v>0.30555555555555558</v>
      </c>
      <c r="D445" s="24" t="s">
        <v>75</v>
      </c>
      <c r="E445" s="24" t="s">
        <v>76</v>
      </c>
      <c r="F445" s="24" t="s">
        <v>77</v>
      </c>
      <c r="G445" s="150"/>
      <c r="H445" s="25"/>
      <c r="I445" s="26"/>
      <c r="J445" s="26"/>
      <c r="K445" s="26"/>
      <c r="L445" s="26"/>
      <c r="M445" s="26"/>
      <c r="N445" s="26"/>
      <c r="O445" s="27"/>
      <c r="P445" s="26"/>
      <c r="Q445" s="28"/>
      <c r="R445" s="29"/>
    </row>
    <row r="446" spans="1:18" ht="17.399999999999999" customHeight="1" x14ac:dyDescent="0.3">
      <c r="A446" s="145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7"/>
    </row>
    <row r="447" spans="1:18" ht="22.05" customHeight="1" x14ac:dyDescent="0.3">
      <c r="A447" s="154" t="s">
        <v>8</v>
      </c>
      <c r="B447" s="143"/>
      <c r="C447" s="143"/>
      <c r="D447" s="143"/>
      <c r="E447" s="143"/>
      <c r="F447" s="144"/>
      <c r="G447" s="112">
        <v>46037</v>
      </c>
      <c r="H447" s="142" t="s">
        <v>9</v>
      </c>
      <c r="I447" s="143"/>
      <c r="J447" s="143"/>
      <c r="K447" s="143"/>
      <c r="L447" s="143"/>
      <c r="M447" s="143"/>
      <c r="N447" s="143"/>
      <c r="O447" s="143"/>
      <c r="P447" s="143"/>
      <c r="Q447" s="143"/>
      <c r="R447" s="144"/>
    </row>
    <row r="448" spans="1:18" ht="24" customHeight="1" x14ac:dyDescent="0.3">
      <c r="A448" s="30" t="s">
        <v>10</v>
      </c>
      <c r="B448" s="30" t="s">
        <v>11</v>
      </c>
      <c r="C448" s="113" t="s">
        <v>12</v>
      </c>
      <c r="D448" s="30" t="s">
        <v>13</v>
      </c>
      <c r="E448" s="30" t="s">
        <v>14</v>
      </c>
      <c r="F448" s="31" t="s">
        <v>15</v>
      </c>
      <c r="G448" s="32" t="s">
        <v>16</v>
      </c>
      <c r="H448" s="30" t="s">
        <v>17</v>
      </c>
      <c r="I448" s="33" t="s">
        <v>18</v>
      </c>
      <c r="J448" s="34" t="s">
        <v>19</v>
      </c>
      <c r="K448" s="35" t="s">
        <v>20</v>
      </c>
      <c r="L448" s="34" t="s">
        <v>21</v>
      </c>
      <c r="M448" s="34" t="s">
        <v>22</v>
      </c>
      <c r="N448" s="34" t="s">
        <v>23</v>
      </c>
      <c r="O448" s="30" t="s">
        <v>24</v>
      </c>
      <c r="P448" s="113" t="s">
        <v>25</v>
      </c>
      <c r="Q448" s="34" t="s">
        <v>26</v>
      </c>
      <c r="R448" s="30" t="s">
        <v>27</v>
      </c>
    </row>
    <row r="449" spans="1:18" ht="15" customHeight="1" x14ac:dyDescent="0.3">
      <c r="A449" s="8" t="s">
        <v>57</v>
      </c>
      <c r="B449" s="8" t="s">
        <v>58</v>
      </c>
      <c r="C449" s="105">
        <v>0.30555555555555558</v>
      </c>
      <c r="D449" s="8" t="s">
        <v>59</v>
      </c>
      <c r="E449" s="8" t="s">
        <v>76</v>
      </c>
      <c r="F449" s="8" t="s">
        <v>61</v>
      </c>
      <c r="G449" s="148" t="s">
        <v>207</v>
      </c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57</v>
      </c>
      <c r="B450" s="16" t="s">
        <v>58</v>
      </c>
      <c r="C450" s="108">
        <v>0.30555555555555558</v>
      </c>
      <c r="D450" s="16" t="s">
        <v>62</v>
      </c>
      <c r="E450" s="16" t="s">
        <v>76</v>
      </c>
      <c r="F450" s="16" t="s">
        <v>63</v>
      </c>
      <c r="G450" s="1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57</v>
      </c>
      <c r="B451" s="16" t="s">
        <v>58</v>
      </c>
      <c r="C451" s="108">
        <v>0.30555555555555558</v>
      </c>
      <c r="D451" s="16" t="s">
        <v>51</v>
      </c>
      <c r="E451" s="16" t="s">
        <v>76</v>
      </c>
      <c r="F451" s="16" t="s">
        <v>82</v>
      </c>
      <c r="G451" s="1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5" t="s">
        <v>45</v>
      </c>
      <c r="B452" s="15" t="s">
        <v>46</v>
      </c>
      <c r="C452" s="107">
        <v>0.2013888888888889</v>
      </c>
      <c r="D452" s="15" t="s">
        <v>47</v>
      </c>
      <c r="E452" s="15" t="s">
        <v>78</v>
      </c>
      <c r="F452" s="15" t="s">
        <v>50</v>
      </c>
      <c r="G452" s="1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45</v>
      </c>
      <c r="B453" s="16" t="s">
        <v>46</v>
      </c>
      <c r="C453" s="108">
        <v>0.2013888888888889</v>
      </c>
      <c r="D453" s="16" t="s">
        <v>49</v>
      </c>
      <c r="E453" s="16" t="s">
        <v>78</v>
      </c>
      <c r="F453" s="16" t="s">
        <v>118</v>
      </c>
      <c r="G453" s="1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45</v>
      </c>
      <c r="B454" s="16" t="s">
        <v>46</v>
      </c>
      <c r="C454" s="108">
        <v>0.2013888888888889</v>
      </c>
      <c r="D454" s="16" t="s">
        <v>51</v>
      </c>
      <c r="E454" s="16" t="s">
        <v>78</v>
      </c>
      <c r="F454" s="16" t="s">
        <v>144</v>
      </c>
      <c r="G454" s="1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45</v>
      </c>
      <c r="B455" s="14" t="s">
        <v>53</v>
      </c>
      <c r="C455" s="106">
        <v>0.83680555555555558</v>
      </c>
      <c r="D455" s="14" t="s">
        <v>47</v>
      </c>
      <c r="E455" s="14" t="s">
        <v>31</v>
      </c>
      <c r="F455" s="14" t="s">
        <v>196</v>
      </c>
      <c r="G455" s="1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45</v>
      </c>
      <c r="B456" s="16" t="s">
        <v>53</v>
      </c>
      <c r="C456" s="108">
        <v>0.83680555555555558</v>
      </c>
      <c r="D456" s="16" t="s">
        <v>49</v>
      </c>
      <c r="E456" s="16" t="s">
        <v>31</v>
      </c>
      <c r="F456" s="16" t="s">
        <v>164</v>
      </c>
      <c r="G456" s="1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45</v>
      </c>
      <c r="B457" s="16" t="s">
        <v>53</v>
      </c>
      <c r="C457" s="108">
        <v>0.83680555555555558</v>
      </c>
      <c r="D457" s="16" t="s">
        <v>51</v>
      </c>
      <c r="E457" s="16" t="s">
        <v>31</v>
      </c>
      <c r="F457" s="16" t="s">
        <v>197</v>
      </c>
      <c r="G457" s="1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5" t="s">
        <v>83</v>
      </c>
      <c r="B458" s="15" t="s">
        <v>96</v>
      </c>
      <c r="C458" s="107">
        <v>0.95833333333333337</v>
      </c>
      <c r="D458" s="15" t="s">
        <v>110</v>
      </c>
      <c r="E458" s="15" t="s">
        <v>76</v>
      </c>
      <c r="F458" s="15" t="s">
        <v>138</v>
      </c>
      <c r="G458" s="1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83</v>
      </c>
      <c r="B459" s="14" t="s">
        <v>84</v>
      </c>
      <c r="C459" s="106">
        <v>0.5625</v>
      </c>
      <c r="D459" s="14" t="s">
        <v>110</v>
      </c>
      <c r="E459" s="14" t="s">
        <v>68</v>
      </c>
      <c r="F459" s="14" t="s">
        <v>56</v>
      </c>
      <c r="G459" s="1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5" t="s">
        <v>89</v>
      </c>
      <c r="B460" s="15" t="s">
        <v>100</v>
      </c>
      <c r="C460" s="107">
        <v>0.96527777777777779</v>
      </c>
      <c r="D460" s="15" t="s">
        <v>110</v>
      </c>
      <c r="E460" s="15" t="s">
        <v>68</v>
      </c>
      <c r="F460" s="15" t="s">
        <v>133</v>
      </c>
      <c r="G460" s="1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5" t="s">
        <v>28</v>
      </c>
      <c r="B461" s="15" t="s">
        <v>29</v>
      </c>
      <c r="C461" s="107">
        <v>0.1701388888888889</v>
      </c>
      <c r="D461" s="15" t="s">
        <v>134</v>
      </c>
      <c r="E461" s="15" t="s">
        <v>36</v>
      </c>
      <c r="F461" s="15" t="s">
        <v>63</v>
      </c>
      <c r="G461" s="1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28</v>
      </c>
      <c r="B462" s="14" t="s">
        <v>33</v>
      </c>
      <c r="C462" s="106">
        <v>0.52777777777777779</v>
      </c>
      <c r="D462" s="14" t="s">
        <v>134</v>
      </c>
      <c r="E462" s="14" t="s">
        <v>36</v>
      </c>
      <c r="F462" s="14" t="s">
        <v>135</v>
      </c>
      <c r="G462" s="1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28</v>
      </c>
      <c r="B463" s="14" t="s">
        <v>35</v>
      </c>
      <c r="C463" s="106">
        <v>0.86458333333333337</v>
      </c>
      <c r="D463" s="14" t="s">
        <v>107</v>
      </c>
      <c r="E463" s="14" t="s">
        <v>36</v>
      </c>
      <c r="F463" s="14" t="s">
        <v>126</v>
      </c>
      <c r="G463" s="1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57" t="s">
        <v>65</v>
      </c>
      <c r="B464" s="57" t="s">
        <v>66</v>
      </c>
      <c r="C464" s="120">
        <v>0.92361111111111116</v>
      </c>
      <c r="D464" s="57" t="s">
        <v>110</v>
      </c>
      <c r="E464" s="57" t="s">
        <v>78</v>
      </c>
      <c r="F464" s="57" t="s">
        <v>139</v>
      </c>
      <c r="G464" s="149"/>
      <c r="H464" s="58" t="s">
        <v>70</v>
      </c>
      <c r="I464" s="59">
        <v>0.13689999999999999</v>
      </c>
      <c r="J464" s="60">
        <v>23</v>
      </c>
      <c r="K464" s="61">
        <v>46355</v>
      </c>
      <c r="L464" s="60">
        <v>23</v>
      </c>
      <c r="M464" s="60">
        <v>0</v>
      </c>
      <c r="N464" s="60">
        <v>0</v>
      </c>
      <c r="O464" s="62" t="s">
        <v>148</v>
      </c>
      <c r="P464" s="121">
        <v>0.92361111111111116</v>
      </c>
      <c r="Q464" s="60">
        <v>168</v>
      </c>
      <c r="R464" s="63" t="s">
        <v>208</v>
      </c>
    </row>
    <row r="465" spans="1:18" ht="15" customHeight="1" x14ac:dyDescent="0.3">
      <c r="A465" s="24" t="s">
        <v>73</v>
      </c>
      <c r="B465" s="24" t="s">
        <v>74</v>
      </c>
      <c r="C465" s="111">
        <v>0.30555555555555558</v>
      </c>
      <c r="D465" s="24" t="s">
        <v>75</v>
      </c>
      <c r="E465" s="24" t="s">
        <v>76</v>
      </c>
      <c r="F465" s="24" t="s">
        <v>170</v>
      </c>
      <c r="G465" s="150"/>
      <c r="H465" s="25"/>
      <c r="I465" s="26"/>
      <c r="J465" s="26"/>
      <c r="K465" s="26"/>
      <c r="L465" s="26"/>
      <c r="M465" s="26"/>
      <c r="N465" s="26"/>
      <c r="O465" s="27"/>
      <c r="P465" s="26"/>
      <c r="Q465" s="28"/>
      <c r="R465" s="29"/>
    </row>
    <row r="466" spans="1:18" ht="17.399999999999999" customHeight="1" x14ac:dyDescent="0.3">
      <c r="A466" s="145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7"/>
    </row>
    <row r="467" spans="1:18" ht="22.05" customHeight="1" x14ac:dyDescent="0.3">
      <c r="A467" s="154" t="s">
        <v>8</v>
      </c>
      <c r="B467" s="143"/>
      <c r="C467" s="143"/>
      <c r="D467" s="143"/>
      <c r="E467" s="143"/>
      <c r="F467" s="144"/>
      <c r="G467" s="112">
        <v>46038</v>
      </c>
      <c r="H467" s="142" t="s">
        <v>9</v>
      </c>
      <c r="I467" s="143"/>
      <c r="J467" s="143"/>
      <c r="K467" s="143"/>
      <c r="L467" s="143"/>
      <c r="M467" s="143"/>
      <c r="N467" s="143"/>
      <c r="O467" s="143"/>
      <c r="P467" s="143"/>
      <c r="Q467" s="143"/>
      <c r="R467" s="144"/>
    </row>
    <row r="468" spans="1:18" ht="24" customHeight="1" x14ac:dyDescent="0.3">
      <c r="A468" s="30" t="s">
        <v>10</v>
      </c>
      <c r="B468" s="30" t="s">
        <v>11</v>
      </c>
      <c r="C468" s="113" t="s">
        <v>12</v>
      </c>
      <c r="D468" s="30" t="s">
        <v>13</v>
      </c>
      <c r="E468" s="30" t="s">
        <v>14</v>
      </c>
      <c r="F468" s="31" t="s">
        <v>15</v>
      </c>
      <c r="G468" s="32" t="s">
        <v>16</v>
      </c>
      <c r="H468" s="30" t="s">
        <v>17</v>
      </c>
      <c r="I468" s="33" t="s">
        <v>18</v>
      </c>
      <c r="J468" s="34" t="s">
        <v>19</v>
      </c>
      <c r="K468" s="35" t="s">
        <v>20</v>
      </c>
      <c r="L468" s="34" t="s">
        <v>21</v>
      </c>
      <c r="M468" s="34" t="s">
        <v>22</v>
      </c>
      <c r="N468" s="34" t="s">
        <v>23</v>
      </c>
      <c r="O468" s="30" t="s">
        <v>24</v>
      </c>
      <c r="P468" s="113" t="s">
        <v>25</v>
      </c>
      <c r="Q468" s="34" t="s">
        <v>26</v>
      </c>
      <c r="R468" s="30" t="s">
        <v>27</v>
      </c>
    </row>
    <row r="469" spans="1:18" ht="15" customHeight="1" x14ac:dyDescent="0.3">
      <c r="A469" s="8" t="s">
        <v>57</v>
      </c>
      <c r="B469" s="8" t="s">
        <v>58</v>
      </c>
      <c r="C469" s="105">
        <v>0.30555555555555558</v>
      </c>
      <c r="D469" s="8" t="s">
        <v>59</v>
      </c>
      <c r="E469" s="8" t="s">
        <v>87</v>
      </c>
      <c r="F469" s="8" t="s">
        <v>61</v>
      </c>
      <c r="G469" s="148" t="s">
        <v>209</v>
      </c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57</v>
      </c>
      <c r="B470" s="16" t="s">
        <v>58</v>
      </c>
      <c r="C470" s="108">
        <v>0.30555555555555558</v>
      </c>
      <c r="D470" s="16" t="s">
        <v>62</v>
      </c>
      <c r="E470" s="16" t="s">
        <v>87</v>
      </c>
      <c r="F470" s="16" t="s">
        <v>63</v>
      </c>
      <c r="G470" s="1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57</v>
      </c>
      <c r="B471" s="16" t="s">
        <v>58</v>
      </c>
      <c r="C471" s="108">
        <v>0.30555555555555558</v>
      </c>
      <c r="D471" s="16" t="s">
        <v>51</v>
      </c>
      <c r="E471" s="16" t="s">
        <v>87</v>
      </c>
      <c r="F471" s="16" t="s">
        <v>82</v>
      </c>
      <c r="G471" s="1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5" t="s">
        <v>45</v>
      </c>
      <c r="B472" s="15" t="s">
        <v>53</v>
      </c>
      <c r="C472" s="107">
        <v>0.83680555555555558</v>
      </c>
      <c r="D472" s="15" t="s">
        <v>47</v>
      </c>
      <c r="E472" s="15" t="s">
        <v>68</v>
      </c>
      <c r="F472" s="15" t="s">
        <v>54</v>
      </c>
      <c r="G472" s="1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45</v>
      </c>
      <c r="B473" s="16" t="s">
        <v>53</v>
      </c>
      <c r="C473" s="108">
        <v>0.83680555555555558</v>
      </c>
      <c r="D473" s="16" t="s">
        <v>49</v>
      </c>
      <c r="E473" s="16" t="s">
        <v>68</v>
      </c>
      <c r="F473" s="16" t="s">
        <v>55</v>
      </c>
      <c r="G473" s="1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45</v>
      </c>
      <c r="B474" s="16" t="s">
        <v>53</v>
      </c>
      <c r="C474" s="108">
        <v>0.83680555555555558</v>
      </c>
      <c r="D474" s="16" t="s">
        <v>51</v>
      </c>
      <c r="E474" s="16" t="s">
        <v>68</v>
      </c>
      <c r="F474" s="16" t="s">
        <v>56</v>
      </c>
      <c r="G474" s="1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5" t="s">
        <v>89</v>
      </c>
      <c r="B475" s="15" t="s">
        <v>150</v>
      </c>
      <c r="C475" s="107">
        <v>0.21527777777777779</v>
      </c>
      <c r="D475" s="15" t="s">
        <v>110</v>
      </c>
      <c r="E475" s="15" t="s">
        <v>102</v>
      </c>
      <c r="F475" s="15" t="s">
        <v>151</v>
      </c>
      <c r="G475" s="1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5" t="s">
        <v>83</v>
      </c>
      <c r="B476" s="15" t="s">
        <v>92</v>
      </c>
      <c r="C476" s="107">
        <v>0.95833333333333337</v>
      </c>
      <c r="D476" s="15" t="s">
        <v>110</v>
      </c>
      <c r="E476" s="15" t="s">
        <v>117</v>
      </c>
      <c r="F476" s="15" t="s">
        <v>138</v>
      </c>
      <c r="G476" s="1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5" t="s">
        <v>28</v>
      </c>
      <c r="B477" s="15" t="s">
        <v>29</v>
      </c>
      <c r="C477" s="107">
        <v>0.1701388888888889</v>
      </c>
      <c r="D477" s="15" t="s">
        <v>134</v>
      </c>
      <c r="E477" s="15" t="s">
        <v>36</v>
      </c>
      <c r="F477" s="15" t="s">
        <v>63</v>
      </c>
      <c r="G477" s="1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28</v>
      </c>
      <c r="B478" s="14" t="s">
        <v>35</v>
      </c>
      <c r="C478" s="106">
        <v>0.86458333333333337</v>
      </c>
      <c r="D478" s="14" t="s">
        <v>134</v>
      </c>
      <c r="E478" s="14" t="s">
        <v>36</v>
      </c>
      <c r="F478" s="14" t="s">
        <v>135</v>
      </c>
      <c r="G478" s="1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28</v>
      </c>
      <c r="B479" s="14" t="s">
        <v>33</v>
      </c>
      <c r="C479" s="106">
        <v>0.52777777777777779</v>
      </c>
      <c r="D479" s="14" t="s">
        <v>107</v>
      </c>
      <c r="E479" s="14" t="s">
        <v>36</v>
      </c>
      <c r="F479" s="14" t="s">
        <v>114</v>
      </c>
      <c r="G479" s="1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64" t="s">
        <v>65</v>
      </c>
      <c r="B480" s="64" t="s">
        <v>66</v>
      </c>
      <c r="C480" s="122">
        <v>0.57986111111111116</v>
      </c>
      <c r="D480" s="64" t="s">
        <v>110</v>
      </c>
      <c r="E480" s="64" t="s">
        <v>78</v>
      </c>
      <c r="F480" s="64" t="s">
        <v>139</v>
      </c>
      <c r="G480" s="149"/>
      <c r="H480" s="65" t="s">
        <v>70</v>
      </c>
      <c r="I480" s="66">
        <v>0.13689999999999999</v>
      </c>
      <c r="J480" s="67">
        <v>23</v>
      </c>
      <c r="K480" s="68">
        <v>46361</v>
      </c>
      <c r="L480" s="67">
        <v>23</v>
      </c>
      <c r="M480" s="67">
        <v>0</v>
      </c>
      <c r="N480" s="67">
        <v>0</v>
      </c>
      <c r="O480" s="69" t="s">
        <v>148</v>
      </c>
      <c r="P480" s="123">
        <v>0.57986111111111116</v>
      </c>
      <c r="Q480" s="67">
        <v>168</v>
      </c>
      <c r="R480" s="70" t="s">
        <v>210</v>
      </c>
    </row>
    <row r="481" spans="1:18" ht="15" customHeight="1" x14ac:dyDescent="0.3">
      <c r="A481" s="24" t="s">
        <v>73</v>
      </c>
      <c r="B481" s="24" t="s">
        <v>74</v>
      </c>
      <c r="C481" s="111">
        <v>0.30555555555555558</v>
      </c>
      <c r="D481" s="24" t="s">
        <v>75</v>
      </c>
      <c r="E481" s="24" t="s">
        <v>76</v>
      </c>
      <c r="F481" s="24" t="s">
        <v>77</v>
      </c>
      <c r="G481" s="150"/>
      <c r="H481" s="25"/>
      <c r="I481" s="26"/>
      <c r="J481" s="26"/>
      <c r="K481" s="26"/>
      <c r="L481" s="26"/>
      <c r="M481" s="26"/>
      <c r="N481" s="26"/>
      <c r="O481" s="27"/>
      <c r="P481" s="26"/>
      <c r="Q481" s="28"/>
      <c r="R481" s="29"/>
    </row>
    <row r="482" spans="1:18" ht="17.399999999999999" customHeight="1" x14ac:dyDescent="0.3">
      <c r="A482" s="145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7"/>
    </row>
    <row r="483" spans="1:18" ht="22.05" customHeight="1" x14ac:dyDescent="0.3">
      <c r="A483" s="154" t="s">
        <v>8</v>
      </c>
      <c r="B483" s="143"/>
      <c r="C483" s="143"/>
      <c r="D483" s="143"/>
      <c r="E483" s="143"/>
      <c r="F483" s="144"/>
      <c r="G483" s="112">
        <v>46039</v>
      </c>
      <c r="H483" s="142" t="s">
        <v>9</v>
      </c>
      <c r="I483" s="143"/>
      <c r="J483" s="143"/>
      <c r="K483" s="143"/>
      <c r="L483" s="143"/>
      <c r="M483" s="143"/>
      <c r="N483" s="143"/>
      <c r="O483" s="143"/>
      <c r="P483" s="143"/>
      <c r="Q483" s="143"/>
      <c r="R483" s="144"/>
    </row>
    <row r="484" spans="1:18" ht="24" customHeight="1" x14ac:dyDescent="0.3">
      <c r="A484" s="30" t="s">
        <v>10</v>
      </c>
      <c r="B484" s="30" t="s">
        <v>11</v>
      </c>
      <c r="C484" s="113" t="s">
        <v>12</v>
      </c>
      <c r="D484" s="30" t="s">
        <v>13</v>
      </c>
      <c r="E484" s="30" t="s">
        <v>14</v>
      </c>
      <c r="F484" s="31" t="s">
        <v>15</v>
      </c>
      <c r="G484" s="32" t="s">
        <v>16</v>
      </c>
      <c r="H484" s="30" t="s">
        <v>17</v>
      </c>
      <c r="I484" s="33" t="s">
        <v>18</v>
      </c>
      <c r="J484" s="34" t="s">
        <v>19</v>
      </c>
      <c r="K484" s="35" t="s">
        <v>20</v>
      </c>
      <c r="L484" s="34" t="s">
        <v>21</v>
      </c>
      <c r="M484" s="34" t="s">
        <v>22</v>
      </c>
      <c r="N484" s="34" t="s">
        <v>23</v>
      </c>
      <c r="O484" s="30" t="s">
        <v>24</v>
      </c>
      <c r="P484" s="113" t="s">
        <v>25</v>
      </c>
      <c r="Q484" s="34" t="s">
        <v>26</v>
      </c>
      <c r="R484" s="30" t="s">
        <v>27</v>
      </c>
    </row>
    <row r="485" spans="1:18" ht="15" customHeight="1" x14ac:dyDescent="0.3">
      <c r="A485" s="8" t="s">
        <v>57</v>
      </c>
      <c r="B485" s="8" t="s">
        <v>58</v>
      </c>
      <c r="C485" s="105">
        <v>0.30555555555555558</v>
      </c>
      <c r="D485" s="8" t="s">
        <v>59</v>
      </c>
      <c r="E485" s="8" t="s">
        <v>78</v>
      </c>
      <c r="F485" s="8" t="s">
        <v>61</v>
      </c>
      <c r="G485" s="155" t="s">
        <v>211</v>
      </c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57</v>
      </c>
      <c r="B486" s="16" t="s">
        <v>58</v>
      </c>
      <c r="C486" s="108">
        <v>0.30555555555555558</v>
      </c>
      <c r="D486" s="16" t="s">
        <v>62</v>
      </c>
      <c r="E486" s="16" t="s">
        <v>78</v>
      </c>
      <c r="F486" s="16" t="s">
        <v>63</v>
      </c>
      <c r="G486" s="1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57</v>
      </c>
      <c r="B487" s="16" t="s">
        <v>58</v>
      </c>
      <c r="C487" s="108">
        <v>0.30555555555555558</v>
      </c>
      <c r="D487" s="16" t="s">
        <v>51</v>
      </c>
      <c r="E487" s="16" t="s">
        <v>78</v>
      </c>
      <c r="F487" s="16" t="s">
        <v>82</v>
      </c>
      <c r="G487" s="14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45</v>
      </c>
      <c r="B488" s="15" t="s">
        <v>53</v>
      </c>
      <c r="C488" s="107">
        <v>0.83680555555555558</v>
      </c>
      <c r="D488" s="15" t="s">
        <v>47</v>
      </c>
      <c r="E488" s="15" t="s">
        <v>41</v>
      </c>
      <c r="F488" s="15" t="s">
        <v>54</v>
      </c>
      <c r="G488" s="1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45</v>
      </c>
      <c r="B489" s="16" t="s">
        <v>53</v>
      </c>
      <c r="C489" s="108">
        <v>0.83680555555555558</v>
      </c>
      <c r="D489" s="16" t="s">
        <v>49</v>
      </c>
      <c r="E489" s="16" t="s">
        <v>41</v>
      </c>
      <c r="F489" s="16" t="s">
        <v>55</v>
      </c>
      <c r="G489" s="1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45</v>
      </c>
      <c r="B490" s="16" t="s">
        <v>53</v>
      </c>
      <c r="C490" s="108">
        <v>0.83680555555555558</v>
      </c>
      <c r="D490" s="16" t="s">
        <v>51</v>
      </c>
      <c r="E490" s="16" t="s">
        <v>41</v>
      </c>
      <c r="F490" s="16" t="s">
        <v>56</v>
      </c>
      <c r="G490" s="1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45</v>
      </c>
      <c r="B491" s="14" t="s">
        <v>46</v>
      </c>
      <c r="C491" s="106">
        <v>0.2013888888888889</v>
      </c>
      <c r="D491" s="14" t="s">
        <v>47</v>
      </c>
      <c r="E491" s="14" t="s">
        <v>31</v>
      </c>
      <c r="F491" s="14" t="s">
        <v>50</v>
      </c>
      <c r="G491" s="1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45</v>
      </c>
      <c r="B492" s="16" t="s">
        <v>46</v>
      </c>
      <c r="C492" s="108">
        <v>0.2013888888888889</v>
      </c>
      <c r="D492" s="16" t="s">
        <v>49</v>
      </c>
      <c r="E492" s="16" t="s">
        <v>31</v>
      </c>
      <c r="F492" s="16" t="s">
        <v>118</v>
      </c>
      <c r="G492" s="1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45</v>
      </c>
      <c r="B493" s="16" t="s">
        <v>46</v>
      </c>
      <c r="C493" s="108">
        <v>0.2013888888888889</v>
      </c>
      <c r="D493" s="16" t="s">
        <v>51</v>
      </c>
      <c r="E493" s="16" t="s">
        <v>31</v>
      </c>
      <c r="F493" s="16" t="s">
        <v>144</v>
      </c>
      <c r="G493" s="1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38</v>
      </c>
      <c r="B494" s="15" t="s">
        <v>39</v>
      </c>
      <c r="C494" s="107">
        <v>0.97222222222222221</v>
      </c>
      <c r="D494" s="15" t="s">
        <v>40</v>
      </c>
      <c r="E494" s="15" t="s">
        <v>41</v>
      </c>
      <c r="F494" s="15" t="s">
        <v>212</v>
      </c>
      <c r="G494" s="1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38</v>
      </c>
      <c r="B495" s="16" t="s">
        <v>39</v>
      </c>
      <c r="C495" s="108">
        <v>0.97222222222222221</v>
      </c>
      <c r="D495" s="16" t="s">
        <v>43</v>
      </c>
      <c r="E495" s="16" t="s">
        <v>41</v>
      </c>
      <c r="F495" s="16" t="s">
        <v>213</v>
      </c>
      <c r="G495" s="1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5" t="s">
        <v>83</v>
      </c>
      <c r="B496" s="15" t="s">
        <v>96</v>
      </c>
      <c r="C496" s="107">
        <v>0.89583333333333337</v>
      </c>
      <c r="D496" s="15" t="s">
        <v>110</v>
      </c>
      <c r="E496" s="15" t="s">
        <v>76</v>
      </c>
      <c r="F496" s="15" t="s">
        <v>138</v>
      </c>
      <c r="G496" s="1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43" t="s">
        <v>65</v>
      </c>
      <c r="B497" s="43" t="s">
        <v>66</v>
      </c>
      <c r="C497" s="116">
        <v>0.92361111111111116</v>
      </c>
      <c r="D497" s="43" t="s">
        <v>110</v>
      </c>
      <c r="E497" s="43" t="s">
        <v>88</v>
      </c>
      <c r="F497" s="43" t="s">
        <v>130</v>
      </c>
      <c r="G497" s="149"/>
      <c r="H497" s="44" t="s">
        <v>70</v>
      </c>
      <c r="I497" s="45">
        <v>8.9300000000000004E-2</v>
      </c>
      <c r="J497" s="46">
        <v>15</v>
      </c>
      <c r="K497" s="47">
        <v>46355</v>
      </c>
      <c r="L497" s="46">
        <v>15</v>
      </c>
      <c r="M497" s="46">
        <v>0</v>
      </c>
      <c r="N497" s="46">
        <v>0</v>
      </c>
      <c r="O497" s="48" t="s">
        <v>214</v>
      </c>
      <c r="P497" s="117">
        <v>0.92361111111111116</v>
      </c>
      <c r="Q497" s="46">
        <v>168</v>
      </c>
      <c r="R497" s="49" t="s">
        <v>215</v>
      </c>
    </row>
    <row r="498" spans="1:18" ht="15" customHeight="1" x14ac:dyDescent="0.3">
      <c r="A498" s="15" t="s">
        <v>89</v>
      </c>
      <c r="B498" s="15" t="s">
        <v>100</v>
      </c>
      <c r="C498" s="107">
        <v>0.54861111111111116</v>
      </c>
      <c r="D498" s="15" t="s">
        <v>110</v>
      </c>
      <c r="E498" s="15" t="s">
        <v>36</v>
      </c>
      <c r="F498" s="15" t="s">
        <v>133</v>
      </c>
      <c r="G498" s="1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5" t="s">
        <v>28</v>
      </c>
      <c r="B499" s="15" t="s">
        <v>29</v>
      </c>
      <c r="C499" s="107">
        <v>0.1701388888888889</v>
      </c>
      <c r="D499" s="15" t="s">
        <v>134</v>
      </c>
      <c r="E499" s="15" t="s">
        <v>36</v>
      </c>
      <c r="F499" s="15" t="s">
        <v>63</v>
      </c>
      <c r="G499" s="1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28</v>
      </c>
      <c r="B500" s="14" t="s">
        <v>35</v>
      </c>
      <c r="C500" s="106">
        <v>0.86458333333333337</v>
      </c>
      <c r="D500" s="14" t="s">
        <v>134</v>
      </c>
      <c r="E500" s="14" t="s">
        <v>36</v>
      </c>
      <c r="F500" s="14" t="s">
        <v>135</v>
      </c>
      <c r="G500" s="1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28</v>
      </c>
      <c r="B501" s="14" t="s">
        <v>33</v>
      </c>
      <c r="C501" s="106">
        <v>0.52777777777777779</v>
      </c>
      <c r="D501" s="14" t="s">
        <v>134</v>
      </c>
      <c r="E501" s="14" t="s">
        <v>36</v>
      </c>
      <c r="F501" s="14" t="s">
        <v>135</v>
      </c>
      <c r="G501" s="1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4" t="s">
        <v>73</v>
      </c>
      <c r="B502" s="24" t="s">
        <v>74</v>
      </c>
      <c r="C502" s="111">
        <v>0.30555555555555558</v>
      </c>
      <c r="D502" s="24" t="s">
        <v>75</v>
      </c>
      <c r="E502" s="24" t="s">
        <v>76</v>
      </c>
      <c r="F502" s="24" t="s">
        <v>77</v>
      </c>
      <c r="G502" s="150"/>
      <c r="H502" s="25"/>
      <c r="I502" s="26"/>
      <c r="J502" s="26"/>
      <c r="K502" s="26"/>
      <c r="L502" s="26"/>
      <c r="M502" s="26"/>
      <c r="N502" s="26"/>
      <c r="O502" s="27"/>
      <c r="P502" s="26"/>
      <c r="Q502" s="28"/>
      <c r="R502" s="29"/>
    </row>
    <row r="503" spans="1:18" ht="17.399999999999999" customHeight="1" x14ac:dyDescent="0.3">
      <c r="A503" s="145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7"/>
    </row>
    <row r="504" spans="1:18" ht="22.05" customHeight="1" x14ac:dyDescent="0.3">
      <c r="A504" s="154" t="s">
        <v>8</v>
      </c>
      <c r="B504" s="143"/>
      <c r="C504" s="143"/>
      <c r="D504" s="143"/>
      <c r="E504" s="143"/>
      <c r="F504" s="144"/>
      <c r="G504" s="112">
        <v>46040</v>
      </c>
      <c r="H504" s="142" t="s">
        <v>9</v>
      </c>
      <c r="I504" s="143"/>
      <c r="J504" s="143"/>
      <c r="K504" s="143"/>
      <c r="L504" s="143"/>
      <c r="M504" s="143"/>
      <c r="N504" s="143"/>
      <c r="O504" s="143"/>
      <c r="P504" s="143"/>
      <c r="Q504" s="143"/>
      <c r="R504" s="144"/>
    </row>
    <row r="505" spans="1:18" ht="24" customHeight="1" x14ac:dyDescent="0.3">
      <c r="A505" s="30" t="s">
        <v>10</v>
      </c>
      <c r="B505" s="30" t="s">
        <v>11</v>
      </c>
      <c r="C505" s="113" t="s">
        <v>12</v>
      </c>
      <c r="D505" s="30" t="s">
        <v>13</v>
      </c>
      <c r="E505" s="30" t="s">
        <v>14</v>
      </c>
      <c r="F505" s="31" t="s">
        <v>15</v>
      </c>
      <c r="G505" s="32" t="s">
        <v>16</v>
      </c>
      <c r="H505" s="30" t="s">
        <v>17</v>
      </c>
      <c r="I505" s="33" t="s">
        <v>18</v>
      </c>
      <c r="J505" s="34" t="s">
        <v>19</v>
      </c>
      <c r="K505" s="35" t="s">
        <v>20</v>
      </c>
      <c r="L505" s="34" t="s">
        <v>21</v>
      </c>
      <c r="M505" s="34" t="s">
        <v>22</v>
      </c>
      <c r="N505" s="34" t="s">
        <v>23</v>
      </c>
      <c r="O505" s="30" t="s">
        <v>24</v>
      </c>
      <c r="P505" s="113" t="s">
        <v>25</v>
      </c>
      <c r="Q505" s="34" t="s">
        <v>26</v>
      </c>
      <c r="R505" s="30" t="s">
        <v>27</v>
      </c>
    </row>
    <row r="506" spans="1:18" ht="15" customHeight="1" x14ac:dyDescent="0.3">
      <c r="A506" s="8" t="s">
        <v>57</v>
      </c>
      <c r="B506" s="8" t="s">
        <v>58</v>
      </c>
      <c r="C506" s="105">
        <v>0.30555555555555558</v>
      </c>
      <c r="D506" s="8" t="s">
        <v>59</v>
      </c>
      <c r="E506" s="8" t="s">
        <v>78</v>
      </c>
      <c r="F506" s="8" t="s">
        <v>61</v>
      </c>
      <c r="G506" s="1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57</v>
      </c>
      <c r="B507" s="16" t="s">
        <v>58</v>
      </c>
      <c r="C507" s="108">
        <v>0.30555555555555558</v>
      </c>
      <c r="D507" s="16" t="s">
        <v>62</v>
      </c>
      <c r="E507" s="16" t="s">
        <v>78</v>
      </c>
      <c r="F507" s="16" t="s">
        <v>63</v>
      </c>
      <c r="G507" s="1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57</v>
      </c>
      <c r="B508" s="16" t="s">
        <v>58</v>
      </c>
      <c r="C508" s="108">
        <v>0.30555555555555558</v>
      </c>
      <c r="D508" s="16" t="s">
        <v>51</v>
      </c>
      <c r="E508" s="16" t="s">
        <v>78</v>
      </c>
      <c r="F508" s="16" t="s">
        <v>82</v>
      </c>
      <c r="G508" s="1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5" t="s">
        <v>45</v>
      </c>
      <c r="B509" s="15" t="s">
        <v>53</v>
      </c>
      <c r="C509" s="107">
        <v>0.83680555555555558</v>
      </c>
      <c r="D509" s="15" t="s">
        <v>47</v>
      </c>
      <c r="E509" s="15" t="s">
        <v>41</v>
      </c>
      <c r="F509" s="15" t="s">
        <v>54</v>
      </c>
      <c r="G509" s="14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45</v>
      </c>
      <c r="B510" s="16" t="s">
        <v>53</v>
      </c>
      <c r="C510" s="108">
        <v>0.83680555555555558</v>
      </c>
      <c r="D510" s="16" t="s">
        <v>49</v>
      </c>
      <c r="E510" s="16" t="s">
        <v>41</v>
      </c>
      <c r="F510" s="16" t="s">
        <v>55</v>
      </c>
      <c r="G510" s="1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45</v>
      </c>
      <c r="B511" s="16" t="s">
        <v>53</v>
      </c>
      <c r="C511" s="108">
        <v>0.83680555555555558</v>
      </c>
      <c r="D511" s="16" t="s">
        <v>51</v>
      </c>
      <c r="E511" s="16" t="s">
        <v>41</v>
      </c>
      <c r="F511" s="16" t="s">
        <v>56</v>
      </c>
      <c r="G511" s="14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5" t="s">
        <v>89</v>
      </c>
      <c r="B512" s="15" t="s">
        <v>150</v>
      </c>
      <c r="C512" s="107">
        <v>0.21527777777777779</v>
      </c>
      <c r="D512" s="15" t="s">
        <v>110</v>
      </c>
      <c r="E512" s="15" t="s">
        <v>78</v>
      </c>
      <c r="F512" s="15" t="s">
        <v>151</v>
      </c>
      <c r="G512" s="14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5" t="s">
        <v>83</v>
      </c>
      <c r="B513" s="15" t="s">
        <v>84</v>
      </c>
      <c r="C513" s="107">
        <v>0.95833333333333337</v>
      </c>
      <c r="D513" s="15" t="s">
        <v>110</v>
      </c>
      <c r="E513" s="15" t="s">
        <v>76</v>
      </c>
      <c r="F513" s="15" t="s">
        <v>138</v>
      </c>
      <c r="G513" s="1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5" t="s">
        <v>28</v>
      </c>
      <c r="B514" s="15" t="s">
        <v>29</v>
      </c>
      <c r="C514" s="107">
        <v>0.1701388888888889</v>
      </c>
      <c r="D514" s="15" t="s">
        <v>134</v>
      </c>
      <c r="E514" s="15" t="s">
        <v>36</v>
      </c>
      <c r="F514" s="15" t="s">
        <v>63</v>
      </c>
      <c r="G514" s="1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28</v>
      </c>
      <c r="B515" s="14" t="s">
        <v>35</v>
      </c>
      <c r="C515" s="106">
        <v>0.86458333333333337</v>
      </c>
      <c r="D515" s="14" t="s">
        <v>134</v>
      </c>
      <c r="E515" s="14" t="s">
        <v>36</v>
      </c>
      <c r="F515" s="14" t="s">
        <v>135</v>
      </c>
      <c r="G515" s="1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28</v>
      </c>
      <c r="B516" s="14" t="s">
        <v>33</v>
      </c>
      <c r="C516" s="106">
        <v>0.52777777777777779</v>
      </c>
      <c r="D516" s="14" t="s">
        <v>134</v>
      </c>
      <c r="E516" s="14" t="s">
        <v>36</v>
      </c>
      <c r="F516" s="14" t="s">
        <v>135</v>
      </c>
      <c r="G516" s="1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24" t="s">
        <v>73</v>
      </c>
      <c r="B517" s="24" t="s">
        <v>74</v>
      </c>
      <c r="C517" s="111">
        <v>0.30555555555555558</v>
      </c>
      <c r="D517" s="24" t="s">
        <v>75</v>
      </c>
      <c r="E517" s="24" t="s">
        <v>76</v>
      </c>
      <c r="F517" s="24" t="s">
        <v>77</v>
      </c>
      <c r="G517" s="150"/>
      <c r="H517" s="25"/>
      <c r="I517" s="26"/>
      <c r="J517" s="26"/>
      <c r="K517" s="26"/>
      <c r="L517" s="26"/>
      <c r="M517" s="26"/>
      <c r="N517" s="26"/>
      <c r="O517" s="27"/>
      <c r="P517" s="26"/>
      <c r="Q517" s="28"/>
      <c r="R517" s="29"/>
    </row>
    <row r="518" spans="1:18" ht="17.399999999999999" customHeight="1" x14ac:dyDescent="0.3">
      <c r="A518" s="145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7"/>
    </row>
    <row r="519" spans="1:18" ht="22.05" customHeight="1" x14ac:dyDescent="0.3">
      <c r="A519" s="154" t="s">
        <v>8</v>
      </c>
      <c r="B519" s="143"/>
      <c r="C519" s="143"/>
      <c r="D519" s="143"/>
      <c r="E519" s="143"/>
      <c r="F519" s="144"/>
      <c r="G519" s="112">
        <v>46041</v>
      </c>
      <c r="H519" s="142" t="s">
        <v>9</v>
      </c>
      <c r="I519" s="143"/>
      <c r="J519" s="143"/>
      <c r="K519" s="143"/>
      <c r="L519" s="143"/>
      <c r="M519" s="143"/>
      <c r="N519" s="143"/>
      <c r="O519" s="143"/>
      <c r="P519" s="143"/>
      <c r="Q519" s="143"/>
      <c r="R519" s="144"/>
    </row>
    <row r="520" spans="1:18" ht="24" customHeight="1" x14ac:dyDescent="0.3">
      <c r="A520" s="30" t="s">
        <v>10</v>
      </c>
      <c r="B520" s="30" t="s">
        <v>11</v>
      </c>
      <c r="C520" s="113" t="s">
        <v>12</v>
      </c>
      <c r="D520" s="30" t="s">
        <v>13</v>
      </c>
      <c r="E520" s="30" t="s">
        <v>14</v>
      </c>
      <c r="F520" s="31" t="s">
        <v>15</v>
      </c>
      <c r="G520" s="32" t="s">
        <v>16</v>
      </c>
      <c r="H520" s="30" t="s">
        <v>17</v>
      </c>
      <c r="I520" s="33" t="s">
        <v>18</v>
      </c>
      <c r="J520" s="34" t="s">
        <v>19</v>
      </c>
      <c r="K520" s="35" t="s">
        <v>20</v>
      </c>
      <c r="L520" s="34" t="s">
        <v>21</v>
      </c>
      <c r="M520" s="34" t="s">
        <v>22</v>
      </c>
      <c r="N520" s="34" t="s">
        <v>23</v>
      </c>
      <c r="O520" s="30" t="s">
        <v>24</v>
      </c>
      <c r="P520" s="113" t="s">
        <v>25</v>
      </c>
      <c r="Q520" s="34" t="s">
        <v>26</v>
      </c>
      <c r="R520" s="30" t="s">
        <v>27</v>
      </c>
    </row>
    <row r="521" spans="1:18" ht="15" customHeight="1" x14ac:dyDescent="0.3">
      <c r="A521" s="8" t="s">
        <v>57</v>
      </c>
      <c r="B521" s="8" t="s">
        <v>58</v>
      </c>
      <c r="C521" s="105">
        <v>0.30555555555555558</v>
      </c>
      <c r="D521" s="8" t="s">
        <v>59</v>
      </c>
      <c r="E521" s="8" t="s">
        <v>87</v>
      </c>
      <c r="F521" s="8" t="s">
        <v>61</v>
      </c>
      <c r="G521" s="1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57</v>
      </c>
      <c r="B522" s="16" t="s">
        <v>58</v>
      </c>
      <c r="C522" s="108">
        <v>0.30555555555555558</v>
      </c>
      <c r="D522" s="16" t="s">
        <v>62</v>
      </c>
      <c r="E522" s="16" t="s">
        <v>87</v>
      </c>
      <c r="F522" s="16" t="s">
        <v>63</v>
      </c>
      <c r="G522" s="1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57</v>
      </c>
      <c r="B523" s="16" t="s">
        <v>58</v>
      </c>
      <c r="C523" s="108">
        <v>0.30555555555555558</v>
      </c>
      <c r="D523" s="16" t="s">
        <v>51</v>
      </c>
      <c r="E523" s="16" t="s">
        <v>87</v>
      </c>
      <c r="F523" s="16" t="s">
        <v>82</v>
      </c>
      <c r="G523" s="1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5" t="s">
        <v>45</v>
      </c>
      <c r="B524" s="15" t="s">
        <v>53</v>
      </c>
      <c r="C524" s="107">
        <v>0.83680555555555558</v>
      </c>
      <c r="D524" s="15" t="s">
        <v>47</v>
      </c>
      <c r="E524" s="15" t="s">
        <v>41</v>
      </c>
      <c r="F524" s="15" t="s">
        <v>54</v>
      </c>
      <c r="G524" s="1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45</v>
      </c>
      <c r="B525" s="16" t="s">
        <v>53</v>
      </c>
      <c r="C525" s="108">
        <v>0.83680555555555558</v>
      </c>
      <c r="D525" s="16" t="s">
        <v>49</v>
      </c>
      <c r="E525" s="16" t="s">
        <v>41</v>
      </c>
      <c r="F525" s="16" t="s">
        <v>55</v>
      </c>
      <c r="G525" s="1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45</v>
      </c>
      <c r="B526" s="16" t="s">
        <v>53</v>
      </c>
      <c r="C526" s="108">
        <v>0.83680555555555558</v>
      </c>
      <c r="D526" s="16" t="s">
        <v>51</v>
      </c>
      <c r="E526" s="16" t="s">
        <v>41</v>
      </c>
      <c r="F526" s="16" t="s">
        <v>56</v>
      </c>
      <c r="G526" s="1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45</v>
      </c>
      <c r="B527" s="14" t="s">
        <v>46</v>
      </c>
      <c r="C527" s="106">
        <v>0.2013888888888889</v>
      </c>
      <c r="D527" s="14" t="s">
        <v>47</v>
      </c>
      <c r="E527" s="14" t="s">
        <v>76</v>
      </c>
      <c r="F527" s="14" t="s">
        <v>54</v>
      </c>
      <c r="G527" s="1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45</v>
      </c>
      <c r="B528" s="16" t="s">
        <v>46</v>
      </c>
      <c r="C528" s="108">
        <v>0.2013888888888889</v>
      </c>
      <c r="D528" s="16" t="s">
        <v>49</v>
      </c>
      <c r="E528" s="16" t="s">
        <v>76</v>
      </c>
      <c r="F528" s="16" t="s">
        <v>55</v>
      </c>
      <c r="G528" s="1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45</v>
      </c>
      <c r="B529" s="16" t="s">
        <v>46</v>
      </c>
      <c r="C529" s="108">
        <v>0.2013888888888889</v>
      </c>
      <c r="D529" s="16" t="s">
        <v>51</v>
      </c>
      <c r="E529" s="16" t="s">
        <v>76</v>
      </c>
      <c r="F529" s="16" t="s">
        <v>56</v>
      </c>
      <c r="G529" s="1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5" t="s">
        <v>89</v>
      </c>
      <c r="B530" s="15" t="s">
        <v>90</v>
      </c>
      <c r="C530" s="107">
        <v>0.12847222222222221</v>
      </c>
      <c r="D530" s="15" t="s">
        <v>110</v>
      </c>
      <c r="E530" s="15" t="s">
        <v>117</v>
      </c>
      <c r="F530" s="15" t="s">
        <v>151</v>
      </c>
      <c r="G530" s="1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5" t="s">
        <v>83</v>
      </c>
      <c r="B531" s="15" t="s">
        <v>92</v>
      </c>
      <c r="C531" s="107">
        <v>0.95833333333333337</v>
      </c>
      <c r="D531" s="15" t="s">
        <v>110</v>
      </c>
      <c r="E531" s="15" t="s">
        <v>76</v>
      </c>
      <c r="F531" s="15" t="s">
        <v>138</v>
      </c>
      <c r="G531" s="1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5" t="s">
        <v>28</v>
      </c>
      <c r="B532" s="15" t="s">
        <v>29</v>
      </c>
      <c r="C532" s="107">
        <v>0.1701388888888889</v>
      </c>
      <c r="D532" s="15" t="s">
        <v>134</v>
      </c>
      <c r="E532" s="15" t="s">
        <v>36</v>
      </c>
      <c r="F532" s="15" t="s">
        <v>63</v>
      </c>
      <c r="G532" s="1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28</v>
      </c>
      <c r="B533" s="14" t="s">
        <v>35</v>
      </c>
      <c r="C533" s="106">
        <v>0.86458333333333337</v>
      </c>
      <c r="D533" s="14" t="s">
        <v>134</v>
      </c>
      <c r="E533" s="14" t="s">
        <v>36</v>
      </c>
      <c r="F533" s="14" t="s">
        <v>135</v>
      </c>
      <c r="G533" s="1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28</v>
      </c>
      <c r="B534" s="14" t="s">
        <v>33</v>
      </c>
      <c r="C534" s="106">
        <v>0.52777777777777779</v>
      </c>
      <c r="D534" s="14" t="s">
        <v>134</v>
      </c>
      <c r="E534" s="14" t="s">
        <v>36</v>
      </c>
      <c r="F534" s="14" t="s">
        <v>135</v>
      </c>
      <c r="G534" s="1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24" t="s">
        <v>73</v>
      </c>
      <c r="B535" s="24" t="s">
        <v>74</v>
      </c>
      <c r="C535" s="111">
        <v>0.30555555555555558</v>
      </c>
      <c r="D535" s="24" t="s">
        <v>75</v>
      </c>
      <c r="E535" s="24" t="s">
        <v>76</v>
      </c>
      <c r="F535" s="24" t="s">
        <v>77</v>
      </c>
      <c r="G535" s="150"/>
      <c r="H535" s="25"/>
      <c r="I535" s="26"/>
      <c r="J535" s="26"/>
      <c r="K535" s="26"/>
      <c r="L535" s="26"/>
      <c r="M535" s="26"/>
      <c r="N535" s="26"/>
      <c r="O535" s="27"/>
      <c r="P535" s="26"/>
      <c r="Q535" s="28"/>
      <c r="R535" s="29"/>
    </row>
    <row r="536" spans="1:18" ht="17.399999999999999" customHeight="1" x14ac:dyDescent="0.3">
      <c r="A536" s="145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7"/>
    </row>
    <row r="537" spans="1:18" ht="22.05" customHeight="1" x14ac:dyDescent="0.3">
      <c r="A537" s="154" t="s">
        <v>8</v>
      </c>
      <c r="B537" s="143"/>
      <c r="C537" s="143"/>
      <c r="D537" s="143"/>
      <c r="E537" s="143"/>
      <c r="F537" s="144"/>
      <c r="G537" s="112">
        <v>46042</v>
      </c>
      <c r="H537" s="142" t="s">
        <v>9</v>
      </c>
      <c r="I537" s="143"/>
      <c r="J537" s="143"/>
      <c r="K537" s="143"/>
      <c r="L537" s="143"/>
      <c r="M537" s="143"/>
      <c r="N537" s="143"/>
      <c r="O537" s="143"/>
      <c r="P537" s="143"/>
      <c r="Q537" s="143"/>
      <c r="R537" s="144"/>
    </row>
    <row r="538" spans="1:18" ht="24" customHeight="1" x14ac:dyDescent="0.3">
      <c r="A538" s="30" t="s">
        <v>10</v>
      </c>
      <c r="B538" s="30" t="s">
        <v>11</v>
      </c>
      <c r="C538" s="113" t="s">
        <v>12</v>
      </c>
      <c r="D538" s="30" t="s">
        <v>13</v>
      </c>
      <c r="E538" s="30" t="s">
        <v>14</v>
      </c>
      <c r="F538" s="31" t="s">
        <v>15</v>
      </c>
      <c r="G538" s="32" t="s">
        <v>16</v>
      </c>
      <c r="H538" s="30" t="s">
        <v>17</v>
      </c>
      <c r="I538" s="33" t="s">
        <v>18</v>
      </c>
      <c r="J538" s="34" t="s">
        <v>19</v>
      </c>
      <c r="K538" s="35" t="s">
        <v>20</v>
      </c>
      <c r="L538" s="34" t="s">
        <v>21</v>
      </c>
      <c r="M538" s="34" t="s">
        <v>22</v>
      </c>
      <c r="N538" s="34" t="s">
        <v>23</v>
      </c>
      <c r="O538" s="30" t="s">
        <v>24</v>
      </c>
      <c r="P538" s="113" t="s">
        <v>25</v>
      </c>
      <c r="Q538" s="34" t="s">
        <v>26</v>
      </c>
      <c r="R538" s="30" t="s">
        <v>27</v>
      </c>
    </row>
    <row r="539" spans="1:18" ht="15" customHeight="1" x14ac:dyDescent="0.3">
      <c r="A539" s="8" t="s">
        <v>57</v>
      </c>
      <c r="B539" s="8" t="s">
        <v>58</v>
      </c>
      <c r="C539" s="105">
        <v>0.30555555555555558</v>
      </c>
      <c r="D539" s="8" t="s">
        <v>59</v>
      </c>
      <c r="E539" s="8" t="s">
        <v>87</v>
      </c>
      <c r="F539" s="8" t="s">
        <v>61</v>
      </c>
      <c r="G539" s="155" t="s">
        <v>216</v>
      </c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57</v>
      </c>
      <c r="B540" s="16" t="s">
        <v>58</v>
      </c>
      <c r="C540" s="108">
        <v>0.30555555555555558</v>
      </c>
      <c r="D540" s="16" t="s">
        <v>62</v>
      </c>
      <c r="E540" s="16" t="s">
        <v>87</v>
      </c>
      <c r="F540" s="16" t="s">
        <v>63</v>
      </c>
      <c r="G540" s="1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57</v>
      </c>
      <c r="B541" s="16" t="s">
        <v>58</v>
      </c>
      <c r="C541" s="108">
        <v>0.30555555555555558</v>
      </c>
      <c r="D541" s="16" t="s">
        <v>51</v>
      </c>
      <c r="E541" s="16" t="s">
        <v>87</v>
      </c>
      <c r="F541" s="16" t="s">
        <v>82</v>
      </c>
      <c r="G541" s="1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5" t="s">
        <v>45</v>
      </c>
      <c r="B542" s="15" t="s">
        <v>53</v>
      </c>
      <c r="C542" s="107">
        <v>0.83680555555555558</v>
      </c>
      <c r="D542" s="15" t="s">
        <v>47</v>
      </c>
      <c r="E542" s="15" t="s">
        <v>68</v>
      </c>
      <c r="F542" s="15" t="s">
        <v>54</v>
      </c>
      <c r="G542" s="1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45</v>
      </c>
      <c r="B543" s="16" t="s">
        <v>53</v>
      </c>
      <c r="C543" s="108">
        <v>0.83680555555555558</v>
      </c>
      <c r="D543" s="16" t="s">
        <v>49</v>
      </c>
      <c r="E543" s="16" t="s">
        <v>68</v>
      </c>
      <c r="F543" s="16" t="s">
        <v>55</v>
      </c>
      <c r="G543" s="14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45</v>
      </c>
      <c r="B544" s="16" t="s">
        <v>53</v>
      </c>
      <c r="C544" s="108">
        <v>0.83680555555555558</v>
      </c>
      <c r="D544" s="16" t="s">
        <v>51</v>
      </c>
      <c r="E544" s="16" t="s">
        <v>68</v>
      </c>
      <c r="F544" s="16" t="s">
        <v>56</v>
      </c>
      <c r="G544" s="1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45</v>
      </c>
      <c r="B545" s="14" t="s">
        <v>46</v>
      </c>
      <c r="C545" s="106">
        <v>0.2013888888888889</v>
      </c>
      <c r="D545" s="14" t="s">
        <v>47</v>
      </c>
      <c r="E545" s="14" t="s">
        <v>68</v>
      </c>
      <c r="F545" s="14" t="s">
        <v>54</v>
      </c>
      <c r="G545" s="1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45</v>
      </c>
      <c r="B546" s="16" t="s">
        <v>46</v>
      </c>
      <c r="C546" s="108">
        <v>0.2013888888888889</v>
      </c>
      <c r="D546" s="16" t="s">
        <v>49</v>
      </c>
      <c r="E546" s="16" t="s">
        <v>68</v>
      </c>
      <c r="F546" s="16" t="s">
        <v>55</v>
      </c>
      <c r="G546" s="1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45</v>
      </c>
      <c r="B547" s="16" t="s">
        <v>46</v>
      </c>
      <c r="C547" s="108">
        <v>0.2013888888888889</v>
      </c>
      <c r="D547" s="16" t="s">
        <v>51</v>
      </c>
      <c r="E547" s="16" t="s">
        <v>68</v>
      </c>
      <c r="F547" s="16" t="s">
        <v>56</v>
      </c>
      <c r="G547" s="1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5" t="s">
        <v>83</v>
      </c>
      <c r="B548" s="15" t="s">
        <v>96</v>
      </c>
      <c r="C548" s="107">
        <v>0.95833333333333337</v>
      </c>
      <c r="D548" s="15" t="s">
        <v>110</v>
      </c>
      <c r="E548" s="15" t="s">
        <v>102</v>
      </c>
      <c r="F548" s="15" t="s">
        <v>138</v>
      </c>
      <c r="G548" s="1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7" t="s">
        <v>65</v>
      </c>
      <c r="B549" s="17" t="s">
        <v>66</v>
      </c>
      <c r="C549" s="109">
        <v>0.27083333333333331</v>
      </c>
      <c r="D549" s="17" t="s">
        <v>110</v>
      </c>
      <c r="E549" s="17" t="s">
        <v>68</v>
      </c>
      <c r="F549" s="17" t="s">
        <v>130</v>
      </c>
      <c r="G549" s="149"/>
      <c r="H549" s="18" t="s">
        <v>70</v>
      </c>
      <c r="I549" s="19">
        <v>0.1071</v>
      </c>
      <c r="J549" s="20">
        <v>18</v>
      </c>
      <c r="K549" s="21">
        <v>46350</v>
      </c>
      <c r="L549" s="20">
        <v>18</v>
      </c>
      <c r="M549" s="20">
        <v>0</v>
      </c>
      <c r="N549" s="20">
        <v>0</v>
      </c>
      <c r="O549" s="22" t="s">
        <v>217</v>
      </c>
      <c r="P549" s="110">
        <v>0.27083333333333331</v>
      </c>
      <c r="Q549" s="20">
        <v>168</v>
      </c>
      <c r="R549" s="23" t="s">
        <v>218</v>
      </c>
    </row>
    <row r="550" spans="1:18" ht="15" customHeight="1" x14ac:dyDescent="0.3">
      <c r="A550" s="15" t="s">
        <v>89</v>
      </c>
      <c r="B550" s="15" t="s">
        <v>150</v>
      </c>
      <c r="C550" s="107">
        <v>0.21527777777777779</v>
      </c>
      <c r="D550" s="15" t="s">
        <v>110</v>
      </c>
      <c r="E550" s="15" t="s">
        <v>76</v>
      </c>
      <c r="F550" s="15" t="s">
        <v>133</v>
      </c>
      <c r="G550" s="1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5" t="s">
        <v>28</v>
      </c>
      <c r="B551" s="15" t="s">
        <v>29</v>
      </c>
      <c r="C551" s="107">
        <v>0.1701388888888889</v>
      </c>
      <c r="D551" s="15" t="s">
        <v>134</v>
      </c>
      <c r="E551" s="15" t="s">
        <v>36</v>
      </c>
      <c r="F551" s="15" t="s">
        <v>63</v>
      </c>
      <c r="G551" s="1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28</v>
      </c>
      <c r="B552" s="14" t="s">
        <v>35</v>
      </c>
      <c r="C552" s="106">
        <v>0.86458333333333337</v>
      </c>
      <c r="D552" s="14" t="s">
        <v>134</v>
      </c>
      <c r="E552" s="14" t="s">
        <v>36</v>
      </c>
      <c r="F552" s="14" t="s">
        <v>135</v>
      </c>
      <c r="G552" s="1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28</v>
      </c>
      <c r="B553" s="14" t="s">
        <v>33</v>
      </c>
      <c r="C553" s="106">
        <v>0.52777777777777779</v>
      </c>
      <c r="D553" s="14" t="s">
        <v>134</v>
      </c>
      <c r="E553" s="14" t="s">
        <v>36</v>
      </c>
      <c r="F553" s="14" t="s">
        <v>135</v>
      </c>
      <c r="G553" s="1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24" t="s">
        <v>73</v>
      </c>
      <c r="B554" s="24" t="s">
        <v>74</v>
      </c>
      <c r="C554" s="111">
        <v>0.30555555555555558</v>
      </c>
      <c r="D554" s="24" t="s">
        <v>75</v>
      </c>
      <c r="E554" s="24" t="s">
        <v>76</v>
      </c>
      <c r="F554" s="24" t="s">
        <v>77</v>
      </c>
      <c r="G554" s="150"/>
      <c r="H554" s="25"/>
      <c r="I554" s="26"/>
      <c r="J554" s="26"/>
      <c r="K554" s="26"/>
      <c r="L554" s="26"/>
      <c r="M554" s="26"/>
      <c r="N554" s="26"/>
      <c r="O554" s="27"/>
      <c r="P554" s="26"/>
      <c r="Q554" s="28"/>
      <c r="R554" s="29"/>
    </row>
  </sheetData>
  <mergeCells count="134">
    <mergeCell ref="H519:R519"/>
    <mergeCell ref="G39:G52"/>
    <mergeCell ref="H131:R131"/>
    <mergeCell ref="A430:F430"/>
    <mergeCell ref="A536:R536"/>
    <mergeCell ref="A70:R70"/>
    <mergeCell ref="G6:G21"/>
    <mergeCell ref="G521:G535"/>
    <mergeCell ref="A233:F233"/>
    <mergeCell ref="A37:F37"/>
    <mergeCell ref="A410:R410"/>
    <mergeCell ref="G255:G266"/>
    <mergeCell ref="A378:F378"/>
    <mergeCell ref="G413:G428"/>
    <mergeCell ref="H4:R4"/>
    <mergeCell ref="A113:F113"/>
    <mergeCell ref="G100:G111"/>
    <mergeCell ref="A483:F483"/>
    <mergeCell ref="A23:F23"/>
    <mergeCell ref="G183:G196"/>
    <mergeCell ref="H98:R98"/>
    <mergeCell ref="A4:F4"/>
    <mergeCell ref="A321:R321"/>
    <mergeCell ref="A144:R144"/>
    <mergeCell ref="A97:R97"/>
    <mergeCell ref="H88:R88"/>
    <mergeCell ref="G360:G376"/>
    <mergeCell ref="G90:G96"/>
    <mergeCell ref="A357:R357"/>
    <mergeCell ref="H305:R305"/>
    <mergeCell ref="G200:G216"/>
    <mergeCell ref="A518:R518"/>
    <mergeCell ref="A130:R130"/>
    <mergeCell ref="H342:R342"/>
    <mergeCell ref="H447:R447"/>
    <mergeCell ref="H198:R198"/>
    <mergeCell ref="G220:G231"/>
    <mergeCell ref="A446:R446"/>
    <mergeCell ref="G395:G409"/>
    <mergeCell ref="A197:R197"/>
    <mergeCell ref="G2:J2"/>
    <mergeCell ref="A131:F131"/>
    <mergeCell ref="H358:R358"/>
    <mergeCell ref="A253:F253"/>
    <mergeCell ref="A342:F342"/>
    <mergeCell ref="N1:R1"/>
    <mergeCell ref="H163:R163"/>
    <mergeCell ref="G235:G251"/>
    <mergeCell ref="G25:G35"/>
    <mergeCell ref="K2:R2"/>
    <mergeCell ref="A3:R3"/>
    <mergeCell ref="H145:R145"/>
    <mergeCell ref="H23:R23"/>
    <mergeCell ref="A54:F54"/>
    <mergeCell ref="A87:R87"/>
    <mergeCell ref="A268:F268"/>
    <mergeCell ref="G485:G502"/>
    <mergeCell ref="G469:G481"/>
    <mergeCell ref="A145:F145"/>
    <mergeCell ref="A71:F71"/>
    <mergeCell ref="A322:F322"/>
    <mergeCell ref="A181:F181"/>
    <mergeCell ref="A519:F519"/>
    <mergeCell ref="A286:F286"/>
    <mergeCell ref="A537:F537"/>
    <mergeCell ref="H54:R54"/>
    <mergeCell ref="A217:R217"/>
    <mergeCell ref="G380:G391"/>
    <mergeCell ref="A163:F163"/>
    <mergeCell ref="A447:F447"/>
    <mergeCell ref="G449:G465"/>
    <mergeCell ref="H286:R286"/>
    <mergeCell ref="G56:G69"/>
    <mergeCell ref="G307:G320"/>
    <mergeCell ref="A411:F411"/>
    <mergeCell ref="A504:F504"/>
    <mergeCell ref="H483:R483"/>
    <mergeCell ref="A180:R180"/>
    <mergeCell ref="H253:R253"/>
    <mergeCell ref="H233:R233"/>
    <mergeCell ref="A98:F98"/>
    <mergeCell ref="A467:F467"/>
    <mergeCell ref="G324:G340"/>
    <mergeCell ref="H537:R537"/>
    <mergeCell ref="A88:F88"/>
    <mergeCell ref="G270:G284"/>
    <mergeCell ref="G539:G554"/>
    <mergeCell ref="A267:R267"/>
    <mergeCell ref="G432:G445"/>
    <mergeCell ref="A503:R503"/>
    <mergeCell ref="H113:R113"/>
    <mergeCell ref="G73:G86"/>
    <mergeCell ref="A341:R341"/>
    <mergeCell ref="A285:R285"/>
    <mergeCell ref="A393:F393"/>
    <mergeCell ref="G147:G161"/>
    <mergeCell ref="G506:G517"/>
    <mergeCell ref="G133:G143"/>
    <mergeCell ref="G344:G356"/>
    <mergeCell ref="H378:R378"/>
    <mergeCell ref="H393:R393"/>
    <mergeCell ref="A377:R377"/>
    <mergeCell ref="H467:R467"/>
    <mergeCell ref="A482:R482"/>
    <mergeCell ref="A392:R392"/>
    <mergeCell ref="H218:R218"/>
    <mergeCell ref="A112:R112"/>
    <mergeCell ref="A466:R466"/>
    <mergeCell ref="H268:R268"/>
    <mergeCell ref="A232:R232"/>
    <mergeCell ref="H430:R430"/>
    <mergeCell ref="A252:R252"/>
    <mergeCell ref="H411:R411"/>
    <mergeCell ref="G288:G303"/>
    <mergeCell ref="H504:R504"/>
    <mergeCell ref="H181:R181"/>
    <mergeCell ref="H1:L1"/>
    <mergeCell ref="A1:E1"/>
    <mergeCell ref="A198:F198"/>
    <mergeCell ref="A22:R22"/>
    <mergeCell ref="H37:R37"/>
    <mergeCell ref="A358:F358"/>
    <mergeCell ref="A304:R304"/>
    <mergeCell ref="H71:R71"/>
    <mergeCell ref="G115:G129"/>
    <mergeCell ref="H322:R322"/>
    <mergeCell ref="A305:F305"/>
    <mergeCell ref="A162:R162"/>
    <mergeCell ref="A429:R429"/>
    <mergeCell ref="A2:F2"/>
    <mergeCell ref="A53:R53"/>
    <mergeCell ref="A36:R36"/>
    <mergeCell ref="G165:G179"/>
    <mergeCell ref="A218:F2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1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" t="s">
        <v>219</v>
      </c>
      <c r="B1" s="2" t="s">
        <v>220</v>
      </c>
      <c r="C1" s="2" t="s">
        <v>221</v>
      </c>
      <c r="D1" s="2" t="s">
        <v>25</v>
      </c>
      <c r="E1" s="2" t="s">
        <v>222</v>
      </c>
      <c r="F1" s="2" t="s">
        <v>223</v>
      </c>
      <c r="G1" s="2" t="s">
        <v>18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20</v>
      </c>
      <c r="M1" s="2" t="s">
        <v>22</v>
      </c>
      <c r="N1" s="2" t="s">
        <v>23</v>
      </c>
      <c r="O1" s="2" t="s">
        <v>21</v>
      </c>
      <c r="P1" s="2" t="s">
        <v>24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236</v>
      </c>
      <c r="Z1" s="2" t="s">
        <v>237</v>
      </c>
      <c r="AA1" s="2" t="s">
        <v>238</v>
      </c>
      <c r="AB1" s="2" t="s">
        <v>239</v>
      </c>
      <c r="AC1" s="2" t="s">
        <v>240</v>
      </c>
      <c r="AD1" s="2" t="s">
        <v>241</v>
      </c>
      <c r="AE1" s="2" t="s">
        <v>242</v>
      </c>
      <c r="AF1" s="2" t="s">
        <v>243</v>
      </c>
      <c r="AG1" s="2" t="s">
        <v>244</v>
      </c>
      <c r="AH1" s="2" t="s">
        <v>245</v>
      </c>
      <c r="AI1" s="2" t="s">
        <v>246</v>
      </c>
      <c r="AJ1" s="2" t="s">
        <v>247</v>
      </c>
    </row>
    <row r="2" spans="1:36" x14ac:dyDescent="0.3">
      <c r="A2" s="126" t="s">
        <v>248</v>
      </c>
      <c r="B2" s="78">
        <v>46011</v>
      </c>
      <c r="C2" s="79" t="s">
        <v>70</v>
      </c>
      <c r="D2" s="127" t="s">
        <v>249</v>
      </c>
      <c r="E2" s="79" t="s">
        <v>1</v>
      </c>
      <c r="F2" s="79" t="s">
        <v>250</v>
      </c>
      <c r="G2" s="80">
        <v>0.40610000000000002</v>
      </c>
      <c r="H2" s="81">
        <v>165</v>
      </c>
      <c r="I2" s="81">
        <v>67</v>
      </c>
      <c r="J2" s="81">
        <v>0</v>
      </c>
      <c r="K2" s="79" t="s">
        <v>251</v>
      </c>
      <c r="L2" s="82">
        <v>45996</v>
      </c>
      <c r="M2" s="81">
        <v>0</v>
      </c>
      <c r="N2" s="81">
        <v>0</v>
      </c>
      <c r="O2" s="81">
        <v>18</v>
      </c>
      <c r="P2" s="79" t="s">
        <v>71</v>
      </c>
      <c r="Q2" s="2"/>
      <c r="R2" s="2"/>
      <c r="S2" s="2"/>
      <c r="T2" s="2"/>
      <c r="U2" s="2"/>
      <c r="V2" s="2"/>
      <c r="W2" s="2"/>
      <c r="X2" s="2"/>
      <c r="Y2" s="81" t="s">
        <v>252</v>
      </c>
      <c r="Z2" s="81" t="s">
        <v>253</v>
      </c>
      <c r="AA2" s="2"/>
      <c r="AB2" s="2"/>
      <c r="AC2" s="81" t="s">
        <v>254</v>
      </c>
      <c r="AD2" s="81" t="s">
        <v>255</v>
      </c>
      <c r="AE2" s="81" t="s">
        <v>122</v>
      </c>
      <c r="AF2" s="81" t="s">
        <v>256</v>
      </c>
      <c r="AG2" s="2"/>
      <c r="AH2" s="2"/>
      <c r="AI2" s="2"/>
      <c r="AJ2" s="2"/>
    </row>
    <row r="3" spans="1:36" x14ac:dyDescent="0.3">
      <c r="A3" s="126" t="s">
        <v>257</v>
      </c>
      <c r="B3" s="78">
        <v>46014</v>
      </c>
      <c r="C3" s="79" t="s">
        <v>70</v>
      </c>
      <c r="D3" s="127" t="s">
        <v>258</v>
      </c>
      <c r="E3" s="79" t="s">
        <v>1</v>
      </c>
      <c r="F3" s="79" t="s">
        <v>250</v>
      </c>
      <c r="G3" s="80">
        <v>0.21429999999999999</v>
      </c>
      <c r="H3" s="81">
        <v>168</v>
      </c>
      <c r="I3" s="81">
        <v>36</v>
      </c>
      <c r="J3" s="81">
        <v>0</v>
      </c>
      <c r="K3" s="79" t="s">
        <v>251</v>
      </c>
      <c r="L3" s="82">
        <v>45997</v>
      </c>
      <c r="M3" s="81">
        <v>0</v>
      </c>
      <c r="N3" s="81">
        <v>1</v>
      </c>
      <c r="O3" s="81">
        <v>7</v>
      </c>
      <c r="P3" s="79" t="s">
        <v>94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81" t="s">
        <v>259</v>
      </c>
      <c r="AD3" s="81" t="s">
        <v>260</v>
      </c>
      <c r="AE3" s="81" t="s">
        <v>261</v>
      </c>
      <c r="AF3" s="81" t="s">
        <v>262</v>
      </c>
      <c r="AG3" s="2"/>
      <c r="AH3" s="2"/>
      <c r="AI3" s="2"/>
      <c r="AJ3" s="2"/>
    </row>
    <row r="4" spans="1:36" x14ac:dyDescent="0.3">
      <c r="A4" s="126" t="s">
        <v>263</v>
      </c>
      <c r="B4" s="78">
        <v>46016</v>
      </c>
      <c r="C4" s="79" t="s">
        <v>70</v>
      </c>
      <c r="D4" s="127" t="s">
        <v>249</v>
      </c>
      <c r="E4" s="79" t="s">
        <v>1</v>
      </c>
      <c r="F4" s="79" t="s">
        <v>250</v>
      </c>
      <c r="G4" s="80">
        <v>0.36309999999999998</v>
      </c>
      <c r="H4" s="81">
        <v>168</v>
      </c>
      <c r="I4" s="81">
        <v>61</v>
      </c>
      <c r="J4" s="81">
        <v>0</v>
      </c>
      <c r="K4" s="79" t="s">
        <v>251</v>
      </c>
      <c r="L4" s="82">
        <v>45996</v>
      </c>
      <c r="M4" s="81">
        <v>0</v>
      </c>
      <c r="N4" s="81">
        <v>0</v>
      </c>
      <c r="O4" s="81">
        <v>18</v>
      </c>
      <c r="P4" s="79" t="s">
        <v>111</v>
      </c>
      <c r="Q4" s="2"/>
      <c r="R4" s="2"/>
      <c r="S4" s="2"/>
      <c r="T4" s="2"/>
      <c r="U4" s="2"/>
      <c r="V4" s="2"/>
      <c r="W4" s="2"/>
      <c r="X4" s="2"/>
      <c r="Y4" s="2"/>
      <c r="Z4" s="81" t="s">
        <v>264</v>
      </c>
      <c r="AA4" s="2"/>
      <c r="AB4" s="2"/>
      <c r="AC4" s="81" t="s">
        <v>265</v>
      </c>
      <c r="AD4" s="81" t="s">
        <v>266</v>
      </c>
      <c r="AE4" s="81" t="s">
        <v>267</v>
      </c>
      <c r="AF4" s="81" t="s">
        <v>256</v>
      </c>
      <c r="AG4" s="2"/>
      <c r="AH4" s="2"/>
      <c r="AI4" s="2"/>
      <c r="AJ4" s="2"/>
    </row>
    <row r="5" spans="1:36" x14ac:dyDescent="0.3">
      <c r="A5" s="126" t="s">
        <v>268</v>
      </c>
      <c r="B5" s="78">
        <v>46017</v>
      </c>
      <c r="C5" s="79" t="s">
        <v>70</v>
      </c>
      <c r="D5" s="127" t="s">
        <v>269</v>
      </c>
      <c r="E5" s="79" t="s">
        <v>1</v>
      </c>
      <c r="F5" s="79" t="s">
        <v>250</v>
      </c>
      <c r="G5" s="80">
        <v>0.39879999999999999</v>
      </c>
      <c r="H5" s="81">
        <v>168</v>
      </c>
      <c r="I5" s="81">
        <v>67</v>
      </c>
      <c r="J5" s="81">
        <v>0</v>
      </c>
      <c r="K5" s="79" t="s">
        <v>251</v>
      </c>
      <c r="L5" s="82">
        <v>45996</v>
      </c>
      <c r="M5" s="81">
        <v>0</v>
      </c>
      <c r="N5" s="81">
        <v>0</v>
      </c>
      <c r="O5" s="81">
        <v>16</v>
      </c>
      <c r="P5" s="79" t="s">
        <v>115</v>
      </c>
      <c r="Q5" s="2"/>
      <c r="R5" s="2"/>
      <c r="S5" s="2"/>
      <c r="T5" s="2"/>
      <c r="U5" s="2"/>
      <c r="V5" s="2"/>
      <c r="W5" s="2"/>
      <c r="X5" s="2"/>
      <c r="Y5" s="2"/>
      <c r="Z5" s="81" t="s">
        <v>264</v>
      </c>
      <c r="AA5" s="81" t="s">
        <v>270</v>
      </c>
      <c r="AB5" s="2"/>
      <c r="AC5" s="81" t="s">
        <v>271</v>
      </c>
      <c r="AD5" s="81" t="s">
        <v>272</v>
      </c>
      <c r="AE5" s="81" t="s">
        <v>273</v>
      </c>
      <c r="AF5" s="81" t="s">
        <v>256</v>
      </c>
      <c r="AG5" s="2"/>
      <c r="AH5" s="2"/>
      <c r="AI5" s="2"/>
      <c r="AJ5" s="2"/>
    </row>
    <row r="6" spans="1:36" x14ac:dyDescent="0.3">
      <c r="A6" s="126" t="s">
        <v>248</v>
      </c>
      <c r="B6" s="78">
        <v>46018</v>
      </c>
      <c r="C6" s="79" t="s">
        <v>70</v>
      </c>
      <c r="D6" s="127" t="s">
        <v>249</v>
      </c>
      <c r="E6" s="79" t="s">
        <v>1</v>
      </c>
      <c r="F6" s="79" t="s">
        <v>250</v>
      </c>
      <c r="G6" s="80">
        <v>0.33929999999999999</v>
      </c>
      <c r="H6" s="81">
        <v>168</v>
      </c>
      <c r="I6" s="81">
        <v>57</v>
      </c>
      <c r="J6" s="81">
        <v>0</v>
      </c>
      <c r="K6" s="79" t="s">
        <v>251</v>
      </c>
      <c r="L6" s="82">
        <v>45997</v>
      </c>
      <c r="M6" s="81">
        <v>0</v>
      </c>
      <c r="N6" s="81">
        <v>4</v>
      </c>
      <c r="O6" s="81">
        <v>15</v>
      </c>
      <c r="P6" s="79" t="s">
        <v>119</v>
      </c>
      <c r="Q6" s="2"/>
      <c r="R6" s="2"/>
      <c r="S6" s="2"/>
      <c r="T6" s="2"/>
      <c r="U6" s="2"/>
      <c r="V6" s="2"/>
      <c r="W6" s="2"/>
      <c r="X6" s="2"/>
      <c r="Y6" s="2"/>
      <c r="Z6" s="81" t="s">
        <v>264</v>
      </c>
      <c r="AA6" s="2"/>
      <c r="AB6" s="2"/>
      <c r="AC6" s="81" t="s">
        <v>265</v>
      </c>
      <c r="AD6" s="81" t="s">
        <v>274</v>
      </c>
      <c r="AE6" s="81" t="s">
        <v>111</v>
      </c>
      <c r="AF6" s="81" t="s">
        <v>256</v>
      </c>
      <c r="AG6" s="2"/>
      <c r="AH6" s="2"/>
      <c r="AI6" s="2"/>
      <c r="AJ6" s="2"/>
    </row>
    <row r="7" spans="1:36" x14ac:dyDescent="0.3">
      <c r="A7" s="126" t="s">
        <v>257</v>
      </c>
      <c r="B7" s="78">
        <v>46021</v>
      </c>
      <c r="C7" s="79" t="s">
        <v>70</v>
      </c>
      <c r="D7" s="127" t="s">
        <v>258</v>
      </c>
      <c r="E7" s="79" t="s">
        <v>1</v>
      </c>
      <c r="F7" s="79" t="s">
        <v>250</v>
      </c>
      <c r="G7" s="80">
        <v>0.35709999999999997</v>
      </c>
      <c r="H7" s="81">
        <v>168</v>
      </c>
      <c r="I7" s="81">
        <v>60</v>
      </c>
      <c r="J7" s="81">
        <v>0</v>
      </c>
      <c r="K7" s="79" t="s">
        <v>251</v>
      </c>
      <c r="L7" s="82">
        <v>45997</v>
      </c>
      <c r="M7" s="81">
        <v>0</v>
      </c>
      <c r="N7" s="81">
        <v>3</v>
      </c>
      <c r="O7" s="81">
        <v>24</v>
      </c>
      <c r="P7" s="79" t="s">
        <v>122</v>
      </c>
      <c r="Q7" s="2"/>
      <c r="R7" s="2"/>
      <c r="S7" s="2"/>
      <c r="T7" s="2"/>
      <c r="U7" s="2"/>
      <c r="V7" s="2"/>
      <c r="W7" s="2"/>
      <c r="X7" s="2"/>
      <c r="Y7" s="2"/>
      <c r="Z7" s="81" t="s">
        <v>275</v>
      </c>
      <c r="AA7" s="2"/>
      <c r="AB7" s="2"/>
      <c r="AC7" s="2"/>
      <c r="AD7" s="2"/>
      <c r="AE7" s="81" t="s">
        <v>273</v>
      </c>
      <c r="AF7" s="81" t="s">
        <v>276</v>
      </c>
      <c r="AG7" s="2"/>
      <c r="AH7" s="2"/>
      <c r="AI7" s="2"/>
      <c r="AJ7" s="2"/>
    </row>
    <row r="8" spans="1:36" x14ac:dyDescent="0.3">
      <c r="A8" s="126" t="s">
        <v>263</v>
      </c>
      <c r="B8" s="78">
        <v>46023</v>
      </c>
      <c r="C8" s="79" t="s">
        <v>70</v>
      </c>
      <c r="D8" s="127" t="s">
        <v>249</v>
      </c>
      <c r="E8" s="79" t="s">
        <v>1</v>
      </c>
      <c r="F8" s="79" t="s">
        <v>250</v>
      </c>
      <c r="G8" s="80">
        <v>0.125</v>
      </c>
      <c r="H8" s="81">
        <v>168</v>
      </c>
      <c r="I8" s="81">
        <v>21</v>
      </c>
      <c r="J8" s="81">
        <v>0</v>
      </c>
      <c r="K8" s="79" t="s">
        <v>251</v>
      </c>
      <c r="L8" s="82">
        <v>46352</v>
      </c>
      <c r="M8" s="81">
        <v>0</v>
      </c>
      <c r="N8" s="81">
        <v>0</v>
      </c>
      <c r="O8" s="81">
        <v>21</v>
      </c>
      <c r="P8" s="79" t="s">
        <v>131</v>
      </c>
      <c r="Q8" s="2"/>
      <c r="R8" s="2"/>
      <c r="S8" s="2"/>
      <c r="T8" s="2"/>
      <c r="U8" s="2"/>
      <c r="V8" s="2"/>
      <c r="W8" s="2"/>
      <c r="X8" s="2"/>
      <c r="Y8" s="2"/>
      <c r="Z8" s="81" t="s">
        <v>264</v>
      </c>
      <c r="AA8" s="2"/>
      <c r="AB8" s="81" t="s">
        <v>140</v>
      </c>
      <c r="AC8" s="81" t="s">
        <v>214</v>
      </c>
      <c r="AD8" s="81" t="s">
        <v>277</v>
      </c>
      <c r="AE8" s="81" t="s">
        <v>119</v>
      </c>
      <c r="AF8" s="2"/>
      <c r="AG8" s="2"/>
      <c r="AH8" s="2"/>
      <c r="AI8" s="2"/>
      <c r="AJ8" s="2"/>
    </row>
    <row r="9" spans="1:36" x14ac:dyDescent="0.3">
      <c r="A9" s="126" t="s">
        <v>268</v>
      </c>
      <c r="B9" s="78">
        <v>46024</v>
      </c>
      <c r="C9" s="79" t="s">
        <v>70</v>
      </c>
      <c r="D9" s="127" t="s">
        <v>269</v>
      </c>
      <c r="E9" s="79" t="s">
        <v>1</v>
      </c>
      <c r="F9" s="79" t="s">
        <v>250</v>
      </c>
      <c r="G9" s="80">
        <v>0.1905</v>
      </c>
      <c r="H9" s="81">
        <v>168</v>
      </c>
      <c r="I9" s="81">
        <v>32</v>
      </c>
      <c r="J9" s="81">
        <v>0</v>
      </c>
      <c r="K9" s="79" t="s">
        <v>251</v>
      </c>
      <c r="L9" s="82">
        <v>46362</v>
      </c>
      <c r="M9" s="81">
        <v>0</v>
      </c>
      <c r="N9" s="81">
        <v>0</v>
      </c>
      <c r="O9" s="81">
        <v>32</v>
      </c>
      <c r="P9" s="79" t="s">
        <v>140</v>
      </c>
      <c r="Q9" s="2"/>
      <c r="R9" s="2"/>
      <c r="S9" s="2"/>
      <c r="T9" s="2"/>
      <c r="U9" s="2"/>
      <c r="V9" s="2"/>
      <c r="W9" s="2"/>
      <c r="X9" s="2"/>
      <c r="Y9" s="2"/>
      <c r="Z9" s="81" t="s">
        <v>278</v>
      </c>
      <c r="AA9" s="81" t="s">
        <v>270</v>
      </c>
      <c r="AB9" s="81" t="s">
        <v>279</v>
      </c>
      <c r="AC9" s="81" t="s">
        <v>280</v>
      </c>
      <c r="AD9" s="81" t="s">
        <v>281</v>
      </c>
      <c r="AE9" s="81" t="s">
        <v>71</v>
      </c>
      <c r="AF9" s="2"/>
      <c r="AG9" s="2"/>
      <c r="AH9" s="2"/>
      <c r="AI9" s="2"/>
      <c r="AJ9" s="2"/>
    </row>
    <row r="10" spans="1:36" x14ac:dyDescent="0.3">
      <c r="A10" s="126" t="s">
        <v>248</v>
      </c>
      <c r="B10" s="78">
        <v>46025</v>
      </c>
      <c r="C10" s="79" t="s">
        <v>70</v>
      </c>
      <c r="D10" s="127" t="s">
        <v>249</v>
      </c>
      <c r="E10" s="79" t="s">
        <v>1</v>
      </c>
      <c r="F10" s="79" t="s">
        <v>250</v>
      </c>
      <c r="G10" s="80">
        <v>0.14549999999999999</v>
      </c>
      <c r="H10" s="81">
        <v>165</v>
      </c>
      <c r="I10" s="81">
        <v>24</v>
      </c>
      <c r="J10" s="81">
        <v>0</v>
      </c>
      <c r="K10" s="79" t="s">
        <v>251</v>
      </c>
      <c r="L10" s="82">
        <v>46354</v>
      </c>
      <c r="M10" s="81">
        <v>0</v>
      </c>
      <c r="N10" s="81">
        <v>0</v>
      </c>
      <c r="O10" s="81">
        <v>24</v>
      </c>
      <c r="P10" s="79" t="s">
        <v>148</v>
      </c>
      <c r="Q10" s="2"/>
      <c r="R10" s="2"/>
      <c r="S10" s="2"/>
      <c r="T10" s="2"/>
      <c r="U10" s="2"/>
      <c r="V10" s="2"/>
      <c r="W10" s="2"/>
      <c r="X10" s="2"/>
      <c r="Y10" s="81" t="s">
        <v>282</v>
      </c>
      <c r="Z10" s="81" t="s">
        <v>264</v>
      </c>
      <c r="AA10" s="81" t="s">
        <v>283</v>
      </c>
      <c r="AB10" s="81" t="s">
        <v>284</v>
      </c>
      <c r="AC10" s="81" t="s">
        <v>285</v>
      </c>
      <c r="AD10" s="81" t="s">
        <v>286</v>
      </c>
      <c r="AE10" s="2"/>
      <c r="AF10" s="2"/>
      <c r="AG10" s="2"/>
      <c r="AH10" s="2"/>
      <c r="AI10" s="2"/>
      <c r="AJ10" s="2"/>
    </row>
    <row r="11" spans="1:36" x14ac:dyDescent="0.3">
      <c r="A11" s="126" t="s">
        <v>257</v>
      </c>
      <c r="B11" s="78">
        <v>46028</v>
      </c>
      <c r="C11" s="79" t="s">
        <v>70</v>
      </c>
      <c r="D11" s="127" t="s">
        <v>258</v>
      </c>
      <c r="E11" s="79" t="s">
        <v>1</v>
      </c>
      <c r="F11" s="79" t="s">
        <v>250</v>
      </c>
      <c r="G11" s="80">
        <v>9.5200000000000007E-2</v>
      </c>
      <c r="H11" s="81">
        <v>168</v>
      </c>
      <c r="I11" s="81">
        <v>16</v>
      </c>
      <c r="J11" s="81">
        <v>0</v>
      </c>
      <c r="K11" s="79" t="s">
        <v>251</v>
      </c>
      <c r="L11" s="82">
        <v>46362</v>
      </c>
      <c r="M11" s="81">
        <v>0</v>
      </c>
      <c r="N11" s="81">
        <v>0</v>
      </c>
      <c r="O11" s="81">
        <v>16</v>
      </c>
      <c r="P11" s="79" t="s">
        <v>158</v>
      </c>
      <c r="Q11" s="2"/>
      <c r="R11" s="2"/>
      <c r="S11" s="2"/>
      <c r="T11" s="2"/>
      <c r="U11" s="2"/>
      <c r="V11" s="2"/>
      <c r="W11" s="2"/>
      <c r="X11" s="2"/>
      <c r="Y11" s="2"/>
      <c r="Z11" s="81" t="s">
        <v>264</v>
      </c>
      <c r="AA11" s="2"/>
      <c r="AB11" s="2"/>
      <c r="AC11" s="81" t="s">
        <v>217</v>
      </c>
      <c r="AD11" s="81" t="s">
        <v>287</v>
      </c>
      <c r="AE11" s="81" t="s">
        <v>115</v>
      </c>
      <c r="AF11" s="2"/>
      <c r="AG11" s="2"/>
      <c r="AH11" s="2"/>
      <c r="AI11" s="2"/>
      <c r="AJ11" s="2"/>
    </row>
    <row r="12" spans="1:36" x14ac:dyDescent="0.3">
      <c r="A12" s="126" t="s">
        <v>263</v>
      </c>
      <c r="B12" s="78">
        <v>46030</v>
      </c>
      <c r="C12" s="79" t="s">
        <v>70</v>
      </c>
      <c r="D12" s="127" t="s">
        <v>249</v>
      </c>
      <c r="E12" s="79" t="s">
        <v>1</v>
      </c>
      <c r="F12" s="79" t="s">
        <v>250</v>
      </c>
      <c r="G12" s="80">
        <v>0.2024</v>
      </c>
      <c r="H12" s="81">
        <v>168</v>
      </c>
      <c r="I12" s="81">
        <v>34</v>
      </c>
      <c r="J12" s="81">
        <v>0</v>
      </c>
      <c r="K12" s="79" t="s">
        <v>251</v>
      </c>
      <c r="L12" s="82">
        <v>46361</v>
      </c>
      <c r="M12" s="81">
        <v>0</v>
      </c>
      <c r="N12" s="81">
        <v>0</v>
      </c>
      <c r="O12" s="81">
        <v>34</v>
      </c>
      <c r="P12" s="79" t="s">
        <v>179</v>
      </c>
      <c r="Q12" s="2"/>
      <c r="R12" s="2"/>
      <c r="S12" s="2"/>
      <c r="T12" s="2"/>
      <c r="U12" s="2"/>
      <c r="V12" s="2"/>
      <c r="W12" s="2"/>
      <c r="X12" s="81" t="s">
        <v>288</v>
      </c>
      <c r="Y12" s="81" t="s">
        <v>289</v>
      </c>
      <c r="Z12" s="81" t="s">
        <v>290</v>
      </c>
      <c r="AA12" s="81" t="s">
        <v>291</v>
      </c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126" t="s">
        <v>268</v>
      </c>
      <c r="B13" s="78">
        <v>46031</v>
      </c>
      <c r="C13" s="79" t="s">
        <v>70</v>
      </c>
      <c r="D13" s="127" t="s">
        <v>269</v>
      </c>
      <c r="E13" s="79" t="s">
        <v>1</v>
      </c>
      <c r="F13" s="79" t="s">
        <v>250</v>
      </c>
      <c r="G13" s="80">
        <v>0.2024</v>
      </c>
      <c r="H13" s="81">
        <v>168</v>
      </c>
      <c r="I13" s="81">
        <v>34</v>
      </c>
      <c r="J13" s="81">
        <v>0</v>
      </c>
      <c r="K13" s="79" t="s">
        <v>251</v>
      </c>
      <c r="L13" s="82">
        <v>46359</v>
      </c>
      <c r="M13" s="81">
        <v>0</v>
      </c>
      <c r="N13" s="81">
        <v>0</v>
      </c>
      <c r="O13" s="81">
        <v>34</v>
      </c>
      <c r="P13" s="79" t="s">
        <v>179</v>
      </c>
      <c r="Q13" s="2"/>
      <c r="R13" s="2"/>
      <c r="S13" s="2"/>
      <c r="T13" s="2"/>
      <c r="U13" s="2"/>
      <c r="V13" s="2"/>
      <c r="W13" s="2"/>
      <c r="X13" s="81" t="s">
        <v>292</v>
      </c>
      <c r="Y13" s="81" t="s">
        <v>293</v>
      </c>
      <c r="Z13" s="81" t="s">
        <v>294</v>
      </c>
      <c r="AA13" s="81" t="s">
        <v>295</v>
      </c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126" t="s">
        <v>248</v>
      </c>
      <c r="B14" s="78">
        <v>46032</v>
      </c>
      <c r="C14" s="79" t="s">
        <v>70</v>
      </c>
      <c r="D14" s="127" t="s">
        <v>249</v>
      </c>
      <c r="E14" s="79" t="s">
        <v>1</v>
      </c>
      <c r="F14" s="79" t="s">
        <v>250</v>
      </c>
      <c r="G14" s="80">
        <v>0.13100000000000001</v>
      </c>
      <c r="H14" s="81">
        <v>168</v>
      </c>
      <c r="I14" s="81">
        <v>22</v>
      </c>
      <c r="J14" s="81">
        <v>0</v>
      </c>
      <c r="K14" s="79" t="s">
        <v>251</v>
      </c>
      <c r="L14" s="82">
        <v>46358</v>
      </c>
      <c r="M14" s="81">
        <v>0</v>
      </c>
      <c r="N14" s="81">
        <v>0</v>
      </c>
      <c r="O14" s="81">
        <v>22</v>
      </c>
      <c r="P14" s="79" t="s">
        <v>201</v>
      </c>
      <c r="Q14" s="2"/>
      <c r="R14" s="2"/>
      <c r="S14" s="2"/>
      <c r="T14" s="2"/>
      <c r="U14" s="2"/>
      <c r="V14" s="2"/>
      <c r="W14" s="2"/>
      <c r="X14" s="2"/>
      <c r="Y14" s="81" t="s">
        <v>252</v>
      </c>
      <c r="Z14" s="81" t="s">
        <v>290</v>
      </c>
      <c r="AA14" s="81" t="s">
        <v>296</v>
      </c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126" t="s">
        <v>257</v>
      </c>
      <c r="B15" s="78">
        <v>46035</v>
      </c>
      <c r="C15" s="79" t="s">
        <v>70</v>
      </c>
      <c r="D15" s="127" t="s">
        <v>258</v>
      </c>
      <c r="E15" s="79" t="s">
        <v>1</v>
      </c>
      <c r="F15" s="79" t="s">
        <v>250</v>
      </c>
      <c r="G15" s="80">
        <v>0.11310000000000001</v>
      </c>
      <c r="H15" s="81">
        <v>168</v>
      </c>
      <c r="I15" s="81">
        <v>19</v>
      </c>
      <c r="J15" s="81">
        <v>0</v>
      </c>
      <c r="K15" s="79" t="s">
        <v>251</v>
      </c>
      <c r="L15" s="82">
        <v>46362</v>
      </c>
      <c r="M15" s="81">
        <v>0</v>
      </c>
      <c r="N15" s="81">
        <v>0</v>
      </c>
      <c r="O15" s="81">
        <v>19</v>
      </c>
      <c r="P15" s="79" t="s">
        <v>131</v>
      </c>
      <c r="Q15" s="2"/>
      <c r="R15" s="2"/>
      <c r="S15" s="2"/>
      <c r="T15" s="2"/>
      <c r="U15" s="2"/>
      <c r="V15" s="2"/>
      <c r="W15" s="2"/>
      <c r="X15" s="2"/>
      <c r="Y15" s="81" t="s">
        <v>201</v>
      </c>
      <c r="Z15" s="2"/>
      <c r="AA15" s="2"/>
      <c r="AB15" s="2"/>
      <c r="AC15" s="81" t="s">
        <v>158</v>
      </c>
      <c r="AD15" s="81" t="s">
        <v>281</v>
      </c>
      <c r="AE15" s="81" t="s">
        <v>119</v>
      </c>
      <c r="AF15" s="2"/>
      <c r="AG15" s="2"/>
      <c r="AH15" s="2"/>
      <c r="AI15" s="2"/>
      <c r="AJ15" s="2"/>
    </row>
    <row r="16" spans="1:36" x14ac:dyDescent="0.3">
      <c r="A16" s="126" t="s">
        <v>263</v>
      </c>
      <c r="B16" s="78">
        <v>46037</v>
      </c>
      <c r="C16" s="79" t="s">
        <v>70</v>
      </c>
      <c r="D16" s="127" t="s">
        <v>249</v>
      </c>
      <c r="E16" s="79" t="s">
        <v>1</v>
      </c>
      <c r="F16" s="79" t="s">
        <v>250</v>
      </c>
      <c r="G16" s="80">
        <v>0.13689999999999999</v>
      </c>
      <c r="H16" s="81">
        <v>168</v>
      </c>
      <c r="I16" s="81">
        <v>23</v>
      </c>
      <c r="J16" s="81">
        <v>0</v>
      </c>
      <c r="K16" s="79" t="s">
        <v>251</v>
      </c>
      <c r="L16" s="82">
        <v>46355</v>
      </c>
      <c r="M16" s="81">
        <v>0</v>
      </c>
      <c r="N16" s="81">
        <v>0</v>
      </c>
      <c r="O16" s="81">
        <v>23</v>
      </c>
      <c r="P16" s="79" t="s">
        <v>148</v>
      </c>
      <c r="Q16" s="2"/>
      <c r="R16" s="2"/>
      <c r="S16" s="2"/>
      <c r="T16" s="2"/>
      <c r="U16" s="2"/>
      <c r="V16" s="2"/>
      <c r="W16" s="2"/>
      <c r="X16" s="2"/>
      <c r="Y16" s="81" t="s">
        <v>297</v>
      </c>
      <c r="Z16" s="81" t="s">
        <v>275</v>
      </c>
      <c r="AA16" s="2"/>
      <c r="AB16" s="81" t="s">
        <v>284</v>
      </c>
      <c r="AC16" s="81" t="s">
        <v>254</v>
      </c>
      <c r="AD16" s="2"/>
      <c r="AE16" s="2"/>
      <c r="AF16" s="2"/>
      <c r="AG16" s="2"/>
      <c r="AH16" s="2"/>
      <c r="AI16" s="2"/>
      <c r="AJ16" s="2"/>
    </row>
    <row r="17" spans="1:36" x14ac:dyDescent="0.3">
      <c r="A17" s="126" t="s">
        <v>268</v>
      </c>
      <c r="B17" s="78">
        <v>46038</v>
      </c>
      <c r="C17" s="79" t="s">
        <v>70</v>
      </c>
      <c r="D17" s="127" t="s">
        <v>269</v>
      </c>
      <c r="E17" s="79" t="s">
        <v>1</v>
      </c>
      <c r="F17" s="79" t="s">
        <v>250</v>
      </c>
      <c r="G17" s="80">
        <v>0.13689999999999999</v>
      </c>
      <c r="H17" s="81">
        <v>168</v>
      </c>
      <c r="I17" s="81">
        <v>23</v>
      </c>
      <c r="J17" s="81">
        <v>0</v>
      </c>
      <c r="K17" s="79" t="s">
        <v>251</v>
      </c>
      <c r="L17" s="82">
        <v>46361</v>
      </c>
      <c r="M17" s="81">
        <v>0</v>
      </c>
      <c r="N17" s="81">
        <v>0</v>
      </c>
      <c r="O17" s="81">
        <v>23</v>
      </c>
      <c r="P17" s="79" t="s">
        <v>148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81" t="s">
        <v>270</v>
      </c>
      <c r="AB17" s="81" t="s">
        <v>140</v>
      </c>
      <c r="AC17" s="81" t="s">
        <v>271</v>
      </c>
      <c r="AD17" s="81" t="s">
        <v>287</v>
      </c>
      <c r="AE17" s="81" t="s">
        <v>115</v>
      </c>
      <c r="AF17" s="2"/>
      <c r="AG17" s="2"/>
      <c r="AH17" s="2"/>
      <c r="AI17" s="2"/>
      <c r="AJ17" s="2"/>
    </row>
    <row r="18" spans="1:36" x14ac:dyDescent="0.3">
      <c r="A18" s="126" t="s">
        <v>248</v>
      </c>
      <c r="B18" s="78">
        <v>46039</v>
      </c>
      <c r="C18" s="79" t="s">
        <v>70</v>
      </c>
      <c r="D18" s="127" t="s">
        <v>249</v>
      </c>
      <c r="E18" s="79" t="s">
        <v>1</v>
      </c>
      <c r="F18" s="79" t="s">
        <v>250</v>
      </c>
      <c r="G18" s="80">
        <v>8.9300000000000004E-2</v>
      </c>
      <c r="H18" s="81">
        <v>168</v>
      </c>
      <c r="I18" s="81">
        <v>15</v>
      </c>
      <c r="J18" s="81">
        <v>0</v>
      </c>
      <c r="K18" s="79" t="s">
        <v>251</v>
      </c>
      <c r="L18" s="82">
        <v>46355</v>
      </c>
      <c r="M18" s="81">
        <v>0</v>
      </c>
      <c r="N18" s="81">
        <v>0</v>
      </c>
      <c r="O18" s="81">
        <v>15</v>
      </c>
      <c r="P18" s="79" t="s">
        <v>214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81" t="s">
        <v>298</v>
      </c>
      <c r="AB18" s="2"/>
      <c r="AC18" s="2"/>
      <c r="AD18" s="81" t="s">
        <v>266</v>
      </c>
      <c r="AE18" s="81" t="s">
        <v>71</v>
      </c>
      <c r="AF18" s="2"/>
      <c r="AG18" s="2"/>
      <c r="AH18" s="2"/>
      <c r="AI18" s="2"/>
      <c r="AJ18" s="2"/>
    </row>
    <row r="19" spans="1:36" x14ac:dyDescent="0.3">
      <c r="A19" s="126" t="s">
        <v>257</v>
      </c>
      <c r="B19" s="78">
        <v>46042</v>
      </c>
      <c r="C19" s="79" t="s">
        <v>70</v>
      </c>
      <c r="D19" s="127" t="s">
        <v>258</v>
      </c>
      <c r="E19" s="79" t="s">
        <v>1</v>
      </c>
      <c r="F19" s="79" t="s">
        <v>250</v>
      </c>
      <c r="G19" s="80">
        <v>0.1071</v>
      </c>
      <c r="H19" s="81">
        <v>168</v>
      </c>
      <c r="I19" s="81">
        <v>18</v>
      </c>
      <c r="J19" s="81">
        <v>0</v>
      </c>
      <c r="K19" s="79" t="s">
        <v>251</v>
      </c>
      <c r="L19" s="82">
        <v>46350</v>
      </c>
      <c r="M19" s="81">
        <v>0</v>
      </c>
      <c r="N19" s="81">
        <v>0</v>
      </c>
      <c r="O19" s="81">
        <v>18</v>
      </c>
      <c r="P19" s="79" t="s">
        <v>217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81" t="s">
        <v>299</v>
      </c>
      <c r="AD19" s="81" t="s">
        <v>300</v>
      </c>
      <c r="AE19" s="81" t="s">
        <v>119</v>
      </c>
      <c r="AF19" s="2"/>
      <c r="AG19" s="2"/>
      <c r="AH19" s="2"/>
      <c r="AI19" s="2"/>
      <c r="AJ19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57"/>
  <sheetViews>
    <sheetView topLeftCell="A87" workbookViewId="0">
      <selection activeCell="F97" sqref="F97"/>
    </sheetView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83" t="s">
        <v>301</v>
      </c>
      <c r="B1" s="84" t="s">
        <v>10</v>
      </c>
      <c r="C1" s="84" t="s">
        <v>11</v>
      </c>
      <c r="D1" s="84" t="s">
        <v>302</v>
      </c>
      <c r="E1" s="84" t="s">
        <v>12</v>
      </c>
      <c r="F1" s="84" t="s">
        <v>13</v>
      </c>
      <c r="G1" s="84" t="s">
        <v>14</v>
      </c>
      <c r="H1" s="85" t="s">
        <v>15</v>
      </c>
    </row>
    <row r="2" spans="1:8" ht="19.8" customHeight="1" x14ac:dyDescent="0.3">
      <c r="A2" s="128">
        <v>46011</v>
      </c>
      <c r="B2" s="86" t="s">
        <v>28</v>
      </c>
      <c r="C2" s="87" t="s">
        <v>29</v>
      </c>
      <c r="D2" s="86" t="s">
        <v>1</v>
      </c>
      <c r="E2" s="129">
        <v>1.1701388888888891</v>
      </c>
      <c r="F2" s="86" t="s">
        <v>30</v>
      </c>
      <c r="G2" s="88">
        <v>5</v>
      </c>
      <c r="H2" s="130">
        <v>369</v>
      </c>
    </row>
    <row r="3" spans="1:8" ht="19.8" customHeight="1" x14ac:dyDescent="0.3">
      <c r="A3" s="128">
        <v>46011</v>
      </c>
      <c r="B3" s="86" t="s">
        <v>38</v>
      </c>
      <c r="C3" s="87" t="s">
        <v>39</v>
      </c>
      <c r="D3" s="86" t="s">
        <v>1</v>
      </c>
      <c r="E3" s="129">
        <v>1.9722222222222221</v>
      </c>
      <c r="F3" s="86" t="s">
        <v>40</v>
      </c>
      <c r="G3" s="88">
        <v>9</v>
      </c>
      <c r="H3" s="130">
        <v>373</v>
      </c>
    </row>
    <row r="4" spans="1:8" ht="19.8" customHeight="1" x14ac:dyDescent="0.3">
      <c r="A4" s="128">
        <v>46011</v>
      </c>
      <c r="B4" s="86" t="s">
        <v>45</v>
      </c>
      <c r="C4" s="87" t="s">
        <v>46</v>
      </c>
      <c r="D4" s="86" t="s">
        <v>1</v>
      </c>
      <c r="E4" s="129">
        <v>1.197916666666667</v>
      </c>
      <c r="F4" s="86" t="s">
        <v>47</v>
      </c>
      <c r="G4" s="88">
        <v>9</v>
      </c>
      <c r="H4" s="130">
        <v>379</v>
      </c>
    </row>
    <row r="5" spans="1:8" ht="19.8" customHeight="1" x14ac:dyDescent="0.3">
      <c r="A5" s="128">
        <v>46011</v>
      </c>
      <c r="B5" s="86" t="s">
        <v>28</v>
      </c>
      <c r="C5" s="87" t="s">
        <v>33</v>
      </c>
      <c r="D5" s="86" t="s">
        <v>1</v>
      </c>
      <c r="E5" s="129">
        <v>1.5277777777777779</v>
      </c>
      <c r="F5" s="86" t="s">
        <v>30</v>
      </c>
      <c r="G5" s="88">
        <v>5</v>
      </c>
      <c r="H5" s="130">
        <v>411</v>
      </c>
    </row>
    <row r="6" spans="1:8" ht="19.8" customHeight="1" x14ac:dyDescent="0.3">
      <c r="A6" s="128">
        <v>46011</v>
      </c>
      <c r="B6" s="86" t="s">
        <v>28</v>
      </c>
      <c r="C6" s="87" t="s">
        <v>35</v>
      </c>
      <c r="D6" s="86" t="s">
        <v>1</v>
      </c>
      <c r="E6" s="129">
        <v>1.864583333333333</v>
      </c>
      <c r="F6" s="86" t="s">
        <v>30</v>
      </c>
      <c r="G6" s="88">
        <v>9</v>
      </c>
      <c r="H6" s="130">
        <v>419</v>
      </c>
    </row>
    <row r="7" spans="1:8" ht="19.8" customHeight="1" x14ac:dyDescent="0.3">
      <c r="A7" s="128">
        <v>46011</v>
      </c>
      <c r="B7" s="86" t="s">
        <v>57</v>
      </c>
      <c r="C7" s="87" t="s">
        <v>58</v>
      </c>
      <c r="D7" s="86" t="s">
        <v>1</v>
      </c>
      <c r="E7" s="129">
        <v>1.305555555555556</v>
      </c>
      <c r="F7" s="86" t="s">
        <v>59</v>
      </c>
      <c r="G7" s="88">
        <v>11</v>
      </c>
      <c r="H7" s="130">
        <v>429</v>
      </c>
    </row>
    <row r="8" spans="1:8" ht="19.8" customHeight="1" x14ac:dyDescent="0.3">
      <c r="A8" s="128">
        <v>46011</v>
      </c>
      <c r="B8" s="86" t="s">
        <v>45</v>
      </c>
      <c r="C8" s="87" t="s">
        <v>53</v>
      </c>
      <c r="D8" s="86" t="s">
        <v>1</v>
      </c>
      <c r="E8" s="129">
        <v>1.833333333333333</v>
      </c>
      <c r="F8" s="86" t="s">
        <v>47</v>
      </c>
      <c r="G8" s="88">
        <v>9</v>
      </c>
      <c r="H8" s="130">
        <v>439</v>
      </c>
    </row>
    <row r="9" spans="1:8" ht="19.8" customHeight="1" x14ac:dyDescent="0.3">
      <c r="A9" s="131">
        <v>46011</v>
      </c>
      <c r="B9" s="89" t="s">
        <v>65</v>
      </c>
      <c r="C9" s="90" t="s">
        <v>66</v>
      </c>
      <c r="D9" s="89" t="s">
        <v>1</v>
      </c>
      <c r="E9" s="132">
        <v>1.9236111111111109</v>
      </c>
      <c r="F9" s="89" t="s">
        <v>67</v>
      </c>
      <c r="G9" s="91">
        <v>3</v>
      </c>
      <c r="H9" s="133">
        <v>476</v>
      </c>
    </row>
    <row r="10" spans="1:8" ht="19.8" customHeight="1" x14ac:dyDescent="0.3">
      <c r="A10" s="128">
        <v>46011</v>
      </c>
      <c r="B10" s="86" t="s">
        <v>45</v>
      </c>
      <c r="C10" s="87" t="s">
        <v>46</v>
      </c>
      <c r="D10" s="86" t="s">
        <v>1</v>
      </c>
      <c r="E10" s="129">
        <v>1.197916666666667</v>
      </c>
      <c r="F10" s="86" t="s">
        <v>49</v>
      </c>
      <c r="G10" s="88">
        <v>9</v>
      </c>
      <c r="H10" s="130">
        <v>479</v>
      </c>
    </row>
    <row r="11" spans="1:8" ht="19.8" customHeight="1" x14ac:dyDescent="0.3">
      <c r="A11" s="128">
        <v>46011</v>
      </c>
      <c r="B11" s="86" t="s">
        <v>38</v>
      </c>
      <c r="C11" s="87" t="s">
        <v>39</v>
      </c>
      <c r="D11" s="86" t="s">
        <v>1</v>
      </c>
      <c r="E11" s="129">
        <v>1.9722222222222221</v>
      </c>
      <c r="F11" s="86" t="s">
        <v>43</v>
      </c>
      <c r="G11" s="88">
        <v>9</v>
      </c>
      <c r="H11" s="130">
        <v>496</v>
      </c>
    </row>
    <row r="12" spans="1:8" ht="19.8" customHeight="1" x14ac:dyDescent="0.3">
      <c r="A12" s="128">
        <v>46011</v>
      </c>
      <c r="B12" s="86" t="s">
        <v>45</v>
      </c>
      <c r="C12" s="87" t="s">
        <v>53</v>
      </c>
      <c r="D12" s="86" t="s">
        <v>1</v>
      </c>
      <c r="E12" s="129">
        <v>1.833333333333333</v>
      </c>
      <c r="F12" s="86" t="s">
        <v>49</v>
      </c>
      <c r="G12" s="88">
        <v>9</v>
      </c>
      <c r="H12" s="130">
        <v>539</v>
      </c>
    </row>
    <row r="13" spans="1:8" ht="19.8" customHeight="1" x14ac:dyDescent="0.3">
      <c r="A13" s="128">
        <v>46011</v>
      </c>
      <c r="B13" s="86" t="s">
        <v>45</v>
      </c>
      <c r="C13" s="87" t="s">
        <v>46</v>
      </c>
      <c r="D13" s="86" t="s">
        <v>1</v>
      </c>
      <c r="E13" s="129">
        <v>1.197916666666667</v>
      </c>
      <c r="F13" s="86" t="s">
        <v>51</v>
      </c>
      <c r="G13" s="88">
        <v>9</v>
      </c>
      <c r="H13" s="130">
        <v>569</v>
      </c>
    </row>
    <row r="14" spans="1:8" ht="19.8" customHeight="1" x14ac:dyDescent="0.3">
      <c r="A14" s="128">
        <v>46011</v>
      </c>
      <c r="B14" s="86" t="s">
        <v>57</v>
      </c>
      <c r="C14" s="87" t="s">
        <v>58</v>
      </c>
      <c r="D14" s="86" t="s">
        <v>1</v>
      </c>
      <c r="E14" s="129">
        <v>1.305555555555556</v>
      </c>
      <c r="F14" s="86" t="s">
        <v>62</v>
      </c>
      <c r="G14" s="88">
        <v>11</v>
      </c>
      <c r="H14" s="130">
        <v>607</v>
      </c>
    </row>
    <row r="15" spans="1:8" ht="19.8" customHeight="1" x14ac:dyDescent="0.3">
      <c r="A15" s="128">
        <v>46011</v>
      </c>
      <c r="B15" s="86" t="s">
        <v>45</v>
      </c>
      <c r="C15" s="87" t="s">
        <v>53</v>
      </c>
      <c r="D15" s="86" t="s">
        <v>1</v>
      </c>
      <c r="E15" s="129">
        <v>1.833333333333333</v>
      </c>
      <c r="F15" s="86" t="s">
        <v>51</v>
      </c>
      <c r="G15" s="88">
        <v>9</v>
      </c>
      <c r="H15" s="130">
        <v>629</v>
      </c>
    </row>
    <row r="16" spans="1:8" ht="19.8" customHeight="1" x14ac:dyDescent="0.3">
      <c r="A16" s="128">
        <v>46011</v>
      </c>
      <c r="B16" s="86" t="s">
        <v>57</v>
      </c>
      <c r="C16" s="87" t="s">
        <v>58</v>
      </c>
      <c r="D16" s="86" t="s">
        <v>1</v>
      </c>
      <c r="E16" s="129">
        <v>1.305555555555556</v>
      </c>
      <c r="F16" s="86" t="s">
        <v>51</v>
      </c>
      <c r="G16" s="88">
        <v>11</v>
      </c>
      <c r="H16" s="92" t="s">
        <v>64</v>
      </c>
    </row>
    <row r="17" spans="1:8" ht="19.8" customHeight="1" x14ac:dyDescent="0.3">
      <c r="A17" s="134">
        <v>46011</v>
      </c>
      <c r="B17" s="93" t="s">
        <v>73</v>
      </c>
      <c r="C17" s="94" t="s">
        <v>74</v>
      </c>
      <c r="D17" s="93" t="s">
        <v>1</v>
      </c>
      <c r="E17" s="135">
        <v>1.305555555555556</v>
      </c>
      <c r="F17" s="93" t="s">
        <v>75</v>
      </c>
      <c r="G17" s="95">
        <v>4</v>
      </c>
      <c r="H17" s="96" t="s">
        <v>77</v>
      </c>
    </row>
    <row r="18" spans="1:8" ht="19.8" customHeight="1" x14ac:dyDescent="0.3">
      <c r="A18" s="128">
        <v>46012</v>
      </c>
      <c r="B18" s="86" t="s">
        <v>45</v>
      </c>
      <c r="C18" s="87" t="s">
        <v>53</v>
      </c>
      <c r="D18" s="86" t="s">
        <v>1</v>
      </c>
      <c r="E18" s="129">
        <v>1.8472222222222221</v>
      </c>
      <c r="F18" s="86" t="s">
        <v>47</v>
      </c>
      <c r="G18" s="88">
        <v>7</v>
      </c>
      <c r="H18" s="130">
        <v>339</v>
      </c>
    </row>
    <row r="19" spans="1:8" ht="19.8" customHeight="1" x14ac:dyDescent="0.3">
      <c r="A19" s="128">
        <v>46012</v>
      </c>
      <c r="B19" s="86" t="s">
        <v>57</v>
      </c>
      <c r="C19" s="87" t="s">
        <v>58</v>
      </c>
      <c r="D19" s="86" t="s">
        <v>1</v>
      </c>
      <c r="E19" s="129">
        <v>1.305555555555556</v>
      </c>
      <c r="F19" s="86" t="s">
        <v>59</v>
      </c>
      <c r="G19" s="88">
        <v>5</v>
      </c>
      <c r="H19" s="130">
        <v>369</v>
      </c>
    </row>
    <row r="20" spans="1:8" ht="19.8" customHeight="1" x14ac:dyDescent="0.3">
      <c r="A20" s="128">
        <v>46012</v>
      </c>
      <c r="B20" s="86" t="s">
        <v>28</v>
      </c>
      <c r="C20" s="87" t="s">
        <v>29</v>
      </c>
      <c r="D20" s="86" t="s">
        <v>1</v>
      </c>
      <c r="E20" s="129">
        <v>1.1701388888888891</v>
      </c>
      <c r="F20" s="86" t="s">
        <v>30</v>
      </c>
      <c r="G20" s="88">
        <v>9</v>
      </c>
      <c r="H20" s="130">
        <v>369</v>
      </c>
    </row>
    <row r="21" spans="1:8" ht="19.8" customHeight="1" x14ac:dyDescent="0.3">
      <c r="A21" s="128">
        <v>46012</v>
      </c>
      <c r="B21" s="86" t="s">
        <v>28</v>
      </c>
      <c r="C21" s="87" t="s">
        <v>35</v>
      </c>
      <c r="D21" s="86" t="s">
        <v>1</v>
      </c>
      <c r="E21" s="129">
        <v>1.864583333333333</v>
      </c>
      <c r="F21" s="86" t="s">
        <v>30</v>
      </c>
      <c r="G21" s="88">
        <v>9</v>
      </c>
      <c r="H21" s="130">
        <v>411</v>
      </c>
    </row>
    <row r="22" spans="1:8" ht="19.8" customHeight="1" x14ac:dyDescent="0.3">
      <c r="A22" s="128">
        <v>46012</v>
      </c>
      <c r="B22" s="86" t="s">
        <v>28</v>
      </c>
      <c r="C22" s="87" t="s">
        <v>33</v>
      </c>
      <c r="D22" s="86" t="s">
        <v>1</v>
      </c>
      <c r="E22" s="129">
        <v>1.5277777777777779</v>
      </c>
      <c r="F22" s="86" t="s">
        <v>30</v>
      </c>
      <c r="G22" s="88">
        <v>9</v>
      </c>
      <c r="H22" s="130">
        <v>411</v>
      </c>
    </row>
    <row r="23" spans="1:8" ht="19.8" customHeight="1" x14ac:dyDescent="0.3">
      <c r="A23" s="128">
        <v>46012</v>
      </c>
      <c r="B23" s="86" t="s">
        <v>45</v>
      </c>
      <c r="C23" s="87" t="s">
        <v>53</v>
      </c>
      <c r="D23" s="86" t="s">
        <v>1</v>
      </c>
      <c r="E23" s="129">
        <v>1.8472222222222221</v>
      </c>
      <c r="F23" s="86" t="s">
        <v>49</v>
      </c>
      <c r="G23" s="88">
        <v>7</v>
      </c>
      <c r="H23" s="130">
        <v>439</v>
      </c>
    </row>
    <row r="24" spans="1:8" ht="19.8" customHeight="1" x14ac:dyDescent="0.3">
      <c r="A24" s="128">
        <v>46012</v>
      </c>
      <c r="B24" s="86" t="s">
        <v>83</v>
      </c>
      <c r="C24" s="87" t="s">
        <v>84</v>
      </c>
      <c r="D24" s="86" t="s">
        <v>1</v>
      </c>
      <c r="E24" s="129">
        <v>1.958333333333333</v>
      </c>
      <c r="F24" s="86" t="s">
        <v>67</v>
      </c>
      <c r="G24" s="88">
        <v>9</v>
      </c>
      <c r="H24" s="130">
        <v>439</v>
      </c>
    </row>
    <row r="25" spans="1:8" ht="19.8" customHeight="1" x14ac:dyDescent="0.3">
      <c r="A25" s="128">
        <v>46012</v>
      </c>
      <c r="B25" s="86" t="s">
        <v>45</v>
      </c>
      <c r="C25" s="87" t="s">
        <v>53</v>
      </c>
      <c r="D25" s="86" t="s">
        <v>1</v>
      </c>
      <c r="E25" s="129">
        <v>1.8472222222222221</v>
      </c>
      <c r="F25" s="86" t="s">
        <v>51</v>
      </c>
      <c r="G25" s="88">
        <v>7</v>
      </c>
      <c r="H25" s="130">
        <v>529</v>
      </c>
    </row>
    <row r="26" spans="1:8" ht="19.8" customHeight="1" x14ac:dyDescent="0.3">
      <c r="A26" s="128">
        <v>46012</v>
      </c>
      <c r="B26" s="86" t="s">
        <v>57</v>
      </c>
      <c r="C26" s="87" t="s">
        <v>58</v>
      </c>
      <c r="D26" s="86" t="s">
        <v>1</v>
      </c>
      <c r="E26" s="129">
        <v>1.305555555555556</v>
      </c>
      <c r="F26" s="86" t="s">
        <v>62</v>
      </c>
      <c r="G26" s="88">
        <v>5</v>
      </c>
      <c r="H26" s="130">
        <v>547</v>
      </c>
    </row>
    <row r="27" spans="1:8" ht="19.8" customHeight="1" x14ac:dyDescent="0.3">
      <c r="A27" s="128">
        <v>46012</v>
      </c>
      <c r="B27" s="86" t="s">
        <v>57</v>
      </c>
      <c r="C27" s="87" t="s">
        <v>58</v>
      </c>
      <c r="D27" s="86" t="s">
        <v>1</v>
      </c>
      <c r="E27" s="129">
        <v>1.305555555555556</v>
      </c>
      <c r="F27" s="86" t="s">
        <v>51</v>
      </c>
      <c r="G27" s="88">
        <v>5</v>
      </c>
      <c r="H27" s="130">
        <v>899</v>
      </c>
    </row>
    <row r="28" spans="1:8" ht="19.8" customHeight="1" x14ac:dyDescent="0.3">
      <c r="A28" s="134">
        <v>46012</v>
      </c>
      <c r="B28" s="93" t="s">
        <v>73</v>
      </c>
      <c r="C28" s="94" t="s">
        <v>74</v>
      </c>
      <c r="D28" s="93" t="s">
        <v>1</v>
      </c>
      <c r="E28" s="135">
        <v>1.305555555555556</v>
      </c>
      <c r="F28" s="93" t="s">
        <v>75</v>
      </c>
      <c r="G28" s="95">
        <v>4</v>
      </c>
      <c r="H28" s="96" t="s">
        <v>85</v>
      </c>
    </row>
    <row r="29" spans="1:8" ht="19.8" customHeight="1" x14ac:dyDescent="0.3">
      <c r="A29" s="128">
        <v>46013</v>
      </c>
      <c r="B29" s="86" t="s">
        <v>57</v>
      </c>
      <c r="C29" s="87" t="s">
        <v>58</v>
      </c>
      <c r="D29" s="86" t="s">
        <v>1</v>
      </c>
      <c r="E29" s="129">
        <v>1.305555555555556</v>
      </c>
      <c r="F29" s="86" t="s">
        <v>59</v>
      </c>
      <c r="G29" s="88">
        <v>4</v>
      </c>
      <c r="H29" s="130">
        <v>339</v>
      </c>
    </row>
    <row r="30" spans="1:8" ht="19.8" customHeight="1" x14ac:dyDescent="0.3">
      <c r="A30" s="128">
        <v>46013</v>
      </c>
      <c r="B30" s="86" t="s">
        <v>45</v>
      </c>
      <c r="C30" s="87" t="s">
        <v>53</v>
      </c>
      <c r="D30" s="86" t="s">
        <v>1</v>
      </c>
      <c r="E30" s="129">
        <v>1.833333333333333</v>
      </c>
      <c r="F30" s="86" t="s">
        <v>47</v>
      </c>
      <c r="G30" s="88">
        <v>8</v>
      </c>
      <c r="H30" s="130">
        <v>339</v>
      </c>
    </row>
    <row r="31" spans="1:8" ht="19.8" customHeight="1" x14ac:dyDescent="0.3">
      <c r="A31" s="128">
        <v>46013</v>
      </c>
      <c r="B31" s="86" t="s">
        <v>45</v>
      </c>
      <c r="C31" s="87" t="s">
        <v>46</v>
      </c>
      <c r="D31" s="86" t="s">
        <v>1</v>
      </c>
      <c r="E31" s="129">
        <v>1.197916666666667</v>
      </c>
      <c r="F31" s="86" t="s">
        <v>47</v>
      </c>
      <c r="G31" s="88">
        <v>6</v>
      </c>
      <c r="H31" s="130">
        <v>339</v>
      </c>
    </row>
    <row r="32" spans="1:8" ht="19.8" customHeight="1" x14ac:dyDescent="0.3">
      <c r="A32" s="128">
        <v>46013</v>
      </c>
      <c r="B32" s="86" t="s">
        <v>89</v>
      </c>
      <c r="C32" s="87" t="s">
        <v>90</v>
      </c>
      <c r="D32" s="86" t="s">
        <v>1</v>
      </c>
      <c r="E32" s="129">
        <v>1.1215277777777779</v>
      </c>
      <c r="F32" s="86" t="s">
        <v>67</v>
      </c>
      <c r="G32" s="88">
        <v>9</v>
      </c>
      <c r="H32" s="130">
        <v>371</v>
      </c>
    </row>
    <row r="33" spans="1:8" ht="19.8" customHeight="1" x14ac:dyDescent="0.3">
      <c r="A33" s="128">
        <v>46013</v>
      </c>
      <c r="B33" s="86" t="s">
        <v>83</v>
      </c>
      <c r="C33" s="87" t="s">
        <v>92</v>
      </c>
      <c r="D33" s="86" t="s">
        <v>1</v>
      </c>
      <c r="E33" s="129">
        <v>1.958333333333333</v>
      </c>
      <c r="F33" s="86" t="s">
        <v>67</v>
      </c>
      <c r="G33" s="88">
        <v>3</v>
      </c>
      <c r="H33" s="130">
        <v>379</v>
      </c>
    </row>
    <row r="34" spans="1:8" ht="19.8" customHeight="1" x14ac:dyDescent="0.3">
      <c r="A34" s="128">
        <v>46013</v>
      </c>
      <c r="B34" s="86" t="s">
        <v>28</v>
      </c>
      <c r="C34" s="87" t="s">
        <v>35</v>
      </c>
      <c r="D34" s="86" t="s">
        <v>1</v>
      </c>
      <c r="E34" s="129">
        <v>1.864583333333333</v>
      </c>
      <c r="F34" s="86" t="s">
        <v>30</v>
      </c>
      <c r="G34" s="88">
        <v>9</v>
      </c>
      <c r="H34" s="130">
        <v>411</v>
      </c>
    </row>
    <row r="35" spans="1:8" ht="19.8" customHeight="1" x14ac:dyDescent="0.3">
      <c r="A35" s="128">
        <v>46013</v>
      </c>
      <c r="B35" s="86" t="s">
        <v>28</v>
      </c>
      <c r="C35" s="87" t="s">
        <v>33</v>
      </c>
      <c r="D35" s="86" t="s">
        <v>1</v>
      </c>
      <c r="E35" s="129">
        <v>1.5277777777777779</v>
      </c>
      <c r="F35" s="86" t="s">
        <v>30</v>
      </c>
      <c r="G35" s="88">
        <v>9</v>
      </c>
      <c r="H35" s="130">
        <v>411</v>
      </c>
    </row>
    <row r="36" spans="1:8" ht="19.8" customHeight="1" x14ac:dyDescent="0.3">
      <c r="A36" s="128">
        <v>46013</v>
      </c>
      <c r="B36" s="86" t="s">
        <v>45</v>
      </c>
      <c r="C36" s="87" t="s">
        <v>53</v>
      </c>
      <c r="D36" s="86" t="s">
        <v>1</v>
      </c>
      <c r="E36" s="129">
        <v>1.833333333333333</v>
      </c>
      <c r="F36" s="86" t="s">
        <v>49</v>
      </c>
      <c r="G36" s="88">
        <v>8</v>
      </c>
      <c r="H36" s="130">
        <v>439</v>
      </c>
    </row>
    <row r="37" spans="1:8" ht="19.8" customHeight="1" x14ac:dyDescent="0.3">
      <c r="A37" s="128">
        <v>46013</v>
      </c>
      <c r="B37" s="86" t="s">
        <v>45</v>
      </c>
      <c r="C37" s="87" t="s">
        <v>46</v>
      </c>
      <c r="D37" s="86" t="s">
        <v>1</v>
      </c>
      <c r="E37" s="129">
        <v>1.197916666666667</v>
      </c>
      <c r="F37" s="86" t="s">
        <v>49</v>
      </c>
      <c r="G37" s="88">
        <v>6</v>
      </c>
      <c r="H37" s="130">
        <v>439</v>
      </c>
    </row>
    <row r="38" spans="1:8" ht="19.8" customHeight="1" x14ac:dyDescent="0.3">
      <c r="A38" s="128">
        <v>46013</v>
      </c>
      <c r="B38" s="86" t="s">
        <v>57</v>
      </c>
      <c r="C38" s="87" t="s">
        <v>58</v>
      </c>
      <c r="D38" s="86" t="s">
        <v>1</v>
      </c>
      <c r="E38" s="129">
        <v>1.305555555555556</v>
      </c>
      <c r="F38" s="86" t="s">
        <v>62</v>
      </c>
      <c r="G38" s="88">
        <v>4</v>
      </c>
      <c r="H38" s="130">
        <v>517</v>
      </c>
    </row>
    <row r="39" spans="1:8" ht="19.8" customHeight="1" x14ac:dyDescent="0.3">
      <c r="A39" s="128">
        <v>46013</v>
      </c>
      <c r="B39" s="86" t="s">
        <v>45</v>
      </c>
      <c r="C39" s="87" t="s">
        <v>53</v>
      </c>
      <c r="D39" s="86" t="s">
        <v>1</v>
      </c>
      <c r="E39" s="129">
        <v>1.833333333333333</v>
      </c>
      <c r="F39" s="86" t="s">
        <v>51</v>
      </c>
      <c r="G39" s="88">
        <v>8</v>
      </c>
      <c r="H39" s="130">
        <v>529</v>
      </c>
    </row>
    <row r="40" spans="1:8" ht="19.8" customHeight="1" x14ac:dyDescent="0.3">
      <c r="A40" s="128">
        <v>46013</v>
      </c>
      <c r="B40" s="86" t="s">
        <v>45</v>
      </c>
      <c r="C40" s="87" t="s">
        <v>46</v>
      </c>
      <c r="D40" s="86" t="s">
        <v>1</v>
      </c>
      <c r="E40" s="129">
        <v>1.197916666666667</v>
      </c>
      <c r="F40" s="86" t="s">
        <v>51</v>
      </c>
      <c r="G40" s="88">
        <v>6</v>
      </c>
      <c r="H40" s="130">
        <v>529</v>
      </c>
    </row>
    <row r="41" spans="1:8" ht="19.8" customHeight="1" x14ac:dyDescent="0.3">
      <c r="A41" s="128">
        <v>46013</v>
      </c>
      <c r="B41" s="86" t="s">
        <v>57</v>
      </c>
      <c r="C41" s="87" t="s">
        <v>58</v>
      </c>
      <c r="D41" s="86" t="s">
        <v>1</v>
      </c>
      <c r="E41" s="129">
        <v>1.305555555555556</v>
      </c>
      <c r="F41" s="86" t="s">
        <v>51</v>
      </c>
      <c r="G41" s="88">
        <v>4</v>
      </c>
      <c r="H41" s="130">
        <v>899</v>
      </c>
    </row>
    <row r="42" spans="1:8" ht="19.8" customHeight="1" x14ac:dyDescent="0.3">
      <c r="A42" s="134">
        <v>46013</v>
      </c>
      <c r="B42" s="93" t="s">
        <v>73</v>
      </c>
      <c r="C42" s="94" t="s">
        <v>74</v>
      </c>
      <c r="D42" s="93" t="s">
        <v>1</v>
      </c>
      <c r="E42" s="135">
        <v>1.305555555555556</v>
      </c>
      <c r="F42" s="93" t="s">
        <v>75</v>
      </c>
      <c r="G42" s="95">
        <v>4</v>
      </c>
      <c r="H42" s="96" t="s">
        <v>93</v>
      </c>
    </row>
    <row r="43" spans="1:8" ht="19.8" customHeight="1" x14ac:dyDescent="0.3">
      <c r="A43" s="128">
        <v>46014</v>
      </c>
      <c r="B43" s="86" t="s">
        <v>57</v>
      </c>
      <c r="C43" s="87" t="s">
        <v>58</v>
      </c>
      <c r="D43" s="86" t="s">
        <v>1</v>
      </c>
      <c r="E43" s="129">
        <v>1.305555555555556</v>
      </c>
      <c r="F43" s="86" t="s">
        <v>59</v>
      </c>
      <c r="G43" s="88">
        <v>3</v>
      </c>
      <c r="H43" s="130">
        <v>339</v>
      </c>
    </row>
    <row r="44" spans="1:8" ht="19.8" customHeight="1" x14ac:dyDescent="0.3">
      <c r="A44" s="128">
        <v>46014</v>
      </c>
      <c r="B44" s="86" t="s">
        <v>45</v>
      </c>
      <c r="C44" s="87" t="s">
        <v>53</v>
      </c>
      <c r="D44" s="86" t="s">
        <v>1</v>
      </c>
      <c r="E44" s="129">
        <v>1.833333333333333</v>
      </c>
      <c r="F44" s="86" t="s">
        <v>47</v>
      </c>
      <c r="G44" s="88">
        <v>3</v>
      </c>
      <c r="H44" s="130">
        <v>339</v>
      </c>
    </row>
    <row r="45" spans="1:8" ht="19.8" customHeight="1" x14ac:dyDescent="0.3">
      <c r="A45" s="128">
        <v>46014</v>
      </c>
      <c r="B45" s="86" t="s">
        <v>45</v>
      </c>
      <c r="C45" s="87" t="s">
        <v>46</v>
      </c>
      <c r="D45" s="86" t="s">
        <v>1</v>
      </c>
      <c r="E45" s="129">
        <v>1.197916666666667</v>
      </c>
      <c r="F45" s="86" t="s">
        <v>47</v>
      </c>
      <c r="G45" s="88">
        <v>3</v>
      </c>
      <c r="H45" s="130">
        <v>339</v>
      </c>
    </row>
    <row r="46" spans="1:8" ht="19.8" customHeight="1" x14ac:dyDescent="0.3">
      <c r="A46" s="128">
        <v>46014</v>
      </c>
      <c r="B46" s="86" t="s">
        <v>28</v>
      </c>
      <c r="C46" s="87" t="s">
        <v>29</v>
      </c>
      <c r="D46" s="86" t="s">
        <v>1</v>
      </c>
      <c r="E46" s="129">
        <v>1.1701388888888891</v>
      </c>
      <c r="F46" s="86" t="s">
        <v>30</v>
      </c>
      <c r="G46" s="88">
        <v>9</v>
      </c>
      <c r="H46" s="130">
        <v>369</v>
      </c>
    </row>
    <row r="47" spans="1:8" ht="19.8" customHeight="1" x14ac:dyDescent="0.3">
      <c r="A47" s="131">
        <v>46014</v>
      </c>
      <c r="B47" s="89" t="s">
        <v>65</v>
      </c>
      <c r="C47" s="90" t="s">
        <v>66</v>
      </c>
      <c r="D47" s="89" t="s">
        <v>1</v>
      </c>
      <c r="E47" s="132">
        <v>1.270833333333333</v>
      </c>
      <c r="F47" s="89" t="s">
        <v>67</v>
      </c>
      <c r="G47" s="91">
        <v>9</v>
      </c>
      <c r="H47" s="133">
        <v>379</v>
      </c>
    </row>
    <row r="48" spans="1:8" ht="19.8" customHeight="1" x14ac:dyDescent="0.3">
      <c r="A48" s="128">
        <v>46014</v>
      </c>
      <c r="B48" s="86" t="s">
        <v>83</v>
      </c>
      <c r="C48" s="87" t="s">
        <v>96</v>
      </c>
      <c r="D48" s="86" t="s">
        <v>1</v>
      </c>
      <c r="E48" s="129">
        <v>1.958333333333333</v>
      </c>
      <c r="F48" s="86" t="s">
        <v>67</v>
      </c>
      <c r="G48" s="88">
        <v>7</v>
      </c>
      <c r="H48" s="130">
        <v>379</v>
      </c>
    </row>
    <row r="49" spans="1:8" ht="19.8" customHeight="1" x14ac:dyDescent="0.3">
      <c r="A49" s="128">
        <v>46014</v>
      </c>
      <c r="B49" s="86" t="s">
        <v>28</v>
      </c>
      <c r="C49" s="87" t="s">
        <v>35</v>
      </c>
      <c r="D49" s="86" t="s">
        <v>1</v>
      </c>
      <c r="E49" s="129">
        <v>1.864583333333333</v>
      </c>
      <c r="F49" s="86" t="s">
        <v>30</v>
      </c>
      <c r="G49" s="88">
        <v>8</v>
      </c>
      <c r="H49" s="130">
        <v>411</v>
      </c>
    </row>
    <row r="50" spans="1:8" ht="19.8" customHeight="1" x14ac:dyDescent="0.3">
      <c r="A50" s="128">
        <v>46014</v>
      </c>
      <c r="B50" s="86" t="s">
        <v>45</v>
      </c>
      <c r="C50" s="87" t="s">
        <v>53</v>
      </c>
      <c r="D50" s="86" t="s">
        <v>1</v>
      </c>
      <c r="E50" s="129">
        <v>1.833333333333333</v>
      </c>
      <c r="F50" s="86" t="s">
        <v>49</v>
      </c>
      <c r="G50" s="88">
        <v>3</v>
      </c>
      <c r="H50" s="130">
        <v>439</v>
      </c>
    </row>
    <row r="51" spans="1:8" ht="19.8" customHeight="1" x14ac:dyDescent="0.3">
      <c r="A51" s="128">
        <v>46014</v>
      </c>
      <c r="B51" s="86" t="s">
        <v>45</v>
      </c>
      <c r="C51" s="87" t="s">
        <v>46</v>
      </c>
      <c r="D51" s="86" t="s">
        <v>1</v>
      </c>
      <c r="E51" s="129">
        <v>1.197916666666667</v>
      </c>
      <c r="F51" s="86" t="s">
        <v>49</v>
      </c>
      <c r="G51" s="88">
        <v>3</v>
      </c>
      <c r="H51" s="130">
        <v>439</v>
      </c>
    </row>
    <row r="52" spans="1:8" ht="19.8" customHeight="1" x14ac:dyDescent="0.3">
      <c r="A52" s="128">
        <v>46014</v>
      </c>
      <c r="B52" s="86" t="s">
        <v>57</v>
      </c>
      <c r="C52" s="87" t="s">
        <v>58</v>
      </c>
      <c r="D52" s="86" t="s">
        <v>1</v>
      </c>
      <c r="E52" s="129">
        <v>1.305555555555556</v>
      </c>
      <c r="F52" s="86" t="s">
        <v>62</v>
      </c>
      <c r="G52" s="88">
        <v>3</v>
      </c>
      <c r="H52" s="130">
        <v>517</v>
      </c>
    </row>
    <row r="53" spans="1:8" ht="19.8" customHeight="1" x14ac:dyDescent="0.3">
      <c r="A53" s="128">
        <v>46014</v>
      </c>
      <c r="B53" s="86" t="s">
        <v>45</v>
      </c>
      <c r="C53" s="87" t="s">
        <v>53</v>
      </c>
      <c r="D53" s="86" t="s">
        <v>1</v>
      </c>
      <c r="E53" s="129">
        <v>1.833333333333333</v>
      </c>
      <c r="F53" s="86" t="s">
        <v>51</v>
      </c>
      <c r="G53" s="88">
        <v>3</v>
      </c>
      <c r="H53" s="130">
        <v>529</v>
      </c>
    </row>
    <row r="54" spans="1:8" ht="19.8" customHeight="1" x14ac:dyDescent="0.3">
      <c r="A54" s="128">
        <v>46014</v>
      </c>
      <c r="B54" s="86" t="s">
        <v>45</v>
      </c>
      <c r="C54" s="87" t="s">
        <v>46</v>
      </c>
      <c r="D54" s="86" t="s">
        <v>1</v>
      </c>
      <c r="E54" s="129">
        <v>1.197916666666667</v>
      </c>
      <c r="F54" s="86" t="s">
        <v>51</v>
      </c>
      <c r="G54" s="88">
        <v>3</v>
      </c>
      <c r="H54" s="130">
        <v>529</v>
      </c>
    </row>
    <row r="55" spans="1:8" ht="19.8" customHeight="1" x14ac:dyDescent="0.3">
      <c r="A55" s="128">
        <v>46014</v>
      </c>
      <c r="B55" s="86" t="s">
        <v>57</v>
      </c>
      <c r="C55" s="87" t="s">
        <v>58</v>
      </c>
      <c r="D55" s="86" t="s">
        <v>1</v>
      </c>
      <c r="E55" s="129">
        <v>1.305555555555556</v>
      </c>
      <c r="F55" s="86" t="s">
        <v>51</v>
      </c>
      <c r="G55" s="88">
        <v>3</v>
      </c>
      <c r="H55" s="130">
        <v>899</v>
      </c>
    </row>
    <row r="56" spans="1:8" ht="19.8" customHeight="1" x14ac:dyDescent="0.3">
      <c r="A56" s="134">
        <v>46014</v>
      </c>
      <c r="B56" s="93" t="s">
        <v>73</v>
      </c>
      <c r="C56" s="94" t="s">
        <v>74</v>
      </c>
      <c r="D56" s="93" t="s">
        <v>1</v>
      </c>
      <c r="E56" s="135">
        <v>1.305555555555556</v>
      </c>
      <c r="F56" s="93" t="s">
        <v>75</v>
      </c>
      <c r="G56" s="95">
        <v>4</v>
      </c>
      <c r="H56" s="96" t="s">
        <v>93</v>
      </c>
    </row>
    <row r="57" spans="1:8" ht="19.8" customHeight="1" x14ac:dyDescent="0.3">
      <c r="A57" s="128">
        <v>46015</v>
      </c>
      <c r="B57" s="86" t="s">
        <v>38</v>
      </c>
      <c r="C57" s="87" t="s">
        <v>39</v>
      </c>
      <c r="D57" s="86" t="s">
        <v>1</v>
      </c>
      <c r="E57" s="129">
        <v>1.9722222222222221</v>
      </c>
      <c r="F57" s="86" t="s">
        <v>40</v>
      </c>
      <c r="G57" s="88">
        <v>9</v>
      </c>
      <c r="H57" s="130">
        <v>367</v>
      </c>
    </row>
    <row r="58" spans="1:8" ht="19.8" customHeight="1" x14ac:dyDescent="0.3">
      <c r="A58" s="128">
        <v>46015</v>
      </c>
      <c r="B58" s="86" t="s">
        <v>57</v>
      </c>
      <c r="C58" s="87" t="s">
        <v>58</v>
      </c>
      <c r="D58" s="86" t="s">
        <v>1</v>
      </c>
      <c r="E58" s="129">
        <v>1.305555555555556</v>
      </c>
      <c r="F58" s="86" t="s">
        <v>59</v>
      </c>
      <c r="G58" s="88">
        <v>10</v>
      </c>
      <c r="H58" s="130">
        <v>369</v>
      </c>
    </row>
    <row r="59" spans="1:8" ht="19.8" customHeight="1" x14ac:dyDescent="0.3">
      <c r="A59" s="128">
        <v>46015</v>
      </c>
      <c r="B59" s="86" t="s">
        <v>89</v>
      </c>
      <c r="C59" s="87" t="s">
        <v>100</v>
      </c>
      <c r="D59" s="86" t="s">
        <v>1</v>
      </c>
      <c r="E59" s="129">
        <v>1.0902777777777779</v>
      </c>
      <c r="F59" s="86" t="s">
        <v>67</v>
      </c>
      <c r="G59" s="88">
        <v>9</v>
      </c>
      <c r="H59" s="130">
        <v>371</v>
      </c>
    </row>
    <row r="60" spans="1:8" ht="19.8" customHeight="1" x14ac:dyDescent="0.3">
      <c r="A60" s="128">
        <v>46015</v>
      </c>
      <c r="B60" s="86" t="s">
        <v>28</v>
      </c>
      <c r="C60" s="87" t="s">
        <v>29</v>
      </c>
      <c r="D60" s="86" t="s">
        <v>1</v>
      </c>
      <c r="E60" s="129">
        <v>1.1701388888888891</v>
      </c>
      <c r="F60" s="86" t="s">
        <v>30</v>
      </c>
      <c r="G60" s="88">
        <v>8</v>
      </c>
      <c r="H60" s="130">
        <v>377</v>
      </c>
    </row>
    <row r="61" spans="1:8" ht="19.8" customHeight="1" x14ac:dyDescent="0.3">
      <c r="A61" s="128">
        <v>46015</v>
      </c>
      <c r="B61" s="86" t="s">
        <v>83</v>
      </c>
      <c r="C61" s="87" t="s">
        <v>92</v>
      </c>
      <c r="D61" s="86" t="s">
        <v>1</v>
      </c>
      <c r="E61" s="129">
        <v>1.895833333333333</v>
      </c>
      <c r="F61" s="86" t="s">
        <v>67</v>
      </c>
      <c r="G61" s="88">
        <v>7</v>
      </c>
      <c r="H61" s="130">
        <v>379</v>
      </c>
    </row>
    <row r="62" spans="1:8" ht="19.8" customHeight="1" x14ac:dyDescent="0.3">
      <c r="A62" s="128">
        <v>46015</v>
      </c>
      <c r="B62" s="86" t="s">
        <v>45</v>
      </c>
      <c r="C62" s="87" t="s">
        <v>53</v>
      </c>
      <c r="D62" s="86" t="s">
        <v>1</v>
      </c>
      <c r="E62" s="129">
        <v>1.8472222222222221</v>
      </c>
      <c r="F62" s="86" t="s">
        <v>47</v>
      </c>
      <c r="G62" s="88">
        <v>2</v>
      </c>
      <c r="H62" s="130">
        <v>409</v>
      </c>
    </row>
    <row r="63" spans="1:8" ht="19.8" customHeight="1" x14ac:dyDescent="0.3">
      <c r="A63" s="128">
        <v>46015</v>
      </c>
      <c r="B63" s="86" t="s">
        <v>28</v>
      </c>
      <c r="C63" s="87" t="s">
        <v>35</v>
      </c>
      <c r="D63" s="86" t="s">
        <v>1</v>
      </c>
      <c r="E63" s="129">
        <v>1.864583333333333</v>
      </c>
      <c r="F63" s="86" t="s">
        <v>30</v>
      </c>
      <c r="G63" s="88">
        <v>7</v>
      </c>
      <c r="H63" s="130">
        <v>411</v>
      </c>
    </row>
    <row r="64" spans="1:8" ht="19.8" customHeight="1" x14ac:dyDescent="0.3">
      <c r="A64" s="128">
        <v>46015</v>
      </c>
      <c r="B64" s="86" t="s">
        <v>28</v>
      </c>
      <c r="C64" s="87" t="s">
        <v>33</v>
      </c>
      <c r="D64" s="86" t="s">
        <v>1</v>
      </c>
      <c r="E64" s="129">
        <v>1.5277777777777779</v>
      </c>
      <c r="F64" s="86" t="s">
        <v>30</v>
      </c>
      <c r="G64" s="88">
        <v>9</v>
      </c>
      <c r="H64" s="130">
        <v>411</v>
      </c>
    </row>
    <row r="65" spans="1:8" ht="19.8" customHeight="1" x14ac:dyDescent="0.3">
      <c r="A65" s="128">
        <v>46015</v>
      </c>
      <c r="B65" s="86" t="s">
        <v>45</v>
      </c>
      <c r="C65" s="87" t="s">
        <v>53</v>
      </c>
      <c r="D65" s="86" t="s">
        <v>1</v>
      </c>
      <c r="E65" s="129">
        <v>1.8472222222222221</v>
      </c>
      <c r="F65" s="86" t="s">
        <v>49</v>
      </c>
      <c r="G65" s="88">
        <v>2</v>
      </c>
      <c r="H65" s="130">
        <v>509</v>
      </c>
    </row>
    <row r="66" spans="1:8" ht="19.8" customHeight="1" x14ac:dyDescent="0.3">
      <c r="A66" s="128">
        <v>46015</v>
      </c>
      <c r="B66" s="86" t="s">
        <v>57</v>
      </c>
      <c r="C66" s="87" t="s">
        <v>58</v>
      </c>
      <c r="D66" s="86" t="s">
        <v>1</v>
      </c>
      <c r="E66" s="129">
        <v>1.305555555555556</v>
      </c>
      <c r="F66" s="86" t="s">
        <v>62</v>
      </c>
      <c r="G66" s="88">
        <v>10</v>
      </c>
      <c r="H66" s="130">
        <v>547</v>
      </c>
    </row>
    <row r="67" spans="1:8" ht="19.8" customHeight="1" x14ac:dyDescent="0.3">
      <c r="A67" s="128">
        <v>46015</v>
      </c>
      <c r="B67" s="86" t="s">
        <v>38</v>
      </c>
      <c r="C67" s="87" t="s">
        <v>39</v>
      </c>
      <c r="D67" s="86" t="s">
        <v>1</v>
      </c>
      <c r="E67" s="129">
        <v>1.9722222222222221</v>
      </c>
      <c r="F67" s="86" t="s">
        <v>43</v>
      </c>
      <c r="G67" s="88">
        <v>9</v>
      </c>
      <c r="H67" s="130">
        <v>573</v>
      </c>
    </row>
    <row r="68" spans="1:8" ht="19.8" customHeight="1" x14ac:dyDescent="0.3">
      <c r="A68" s="128">
        <v>46015</v>
      </c>
      <c r="B68" s="86" t="s">
        <v>45</v>
      </c>
      <c r="C68" s="87" t="s">
        <v>53</v>
      </c>
      <c r="D68" s="86" t="s">
        <v>1</v>
      </c>
      <c r="E68" s="129">
        <v>1.8472222222222221</v>
      </c>
      <c r="F68" s="86" t="s">
        <v>51</v>
      </c>
      <c r="G68" s="88">
        <v>2</v>
      </c>
      <c r="H68" s="130">
        <v>599</v>
      </c>
    </row>
    <row r="69" spans="1:8" ht="19.8" customHeight="1" x14ac:dyDescent="0.3">
      <c r="A69" s="128">
        <v>46015</v>
      </c>
      <c r="B69" s="86" t="s">
        <v>57</v>
      </c>
      <c r="C69" s="87" t="s">
        <v>58</v>
      </c>
      <c r="D69" s="86" t="s">
        <v>1</v>
      </c>
      <c r="E69" s="129">
        <v>1.305555555555556</v>
      </c>
      <c r="F69" s="86" t="s">
        <v>51</v>
      </c>
      <c r="G69" s="88">
        <v>10</v>
      </c>
      <c r="H69" s="130">
        <v>899</v>
      </c>
    </row>
    <row r="70" spans="1:8" ht="19.8" customHeight="1" x14ac:dyDescent="0.3">
      <c r="A70" s="134">
        <v>46015</v>
      </c>
      <c r="B70" s="93" t="s">
        <v>73</v>
      </c>
      <c r="C70" s="94" t="s">
        <v>74</v>
      </c>
      <c r="D70" s="93" t="s">
        <v>1</v>
      </c>
      <c r="E70" s="135">
        <v>1.305555555555556</v>
      </c>
      <c r="F70" s="93" t="s">
        <v>75</v>
      </c>
      <c r="G70" s="95">
        <v>4</v>
      </c>
      <c r="H70" s="96" t="s">
        <v>93</v>
      </c>
    </row>
    <row r="71" spans="1:8" ht="19.8" customHeight="1" x14ac:dyDescent="0.3">
      <c r="A71" s="128">
        <v>46016</v>
      </c>
      <c r="B71" s="86" t="s">
        <v>28</v>
      </c>
      <c r="C71" s="87" t="s">
        <v>29</v>
      </c>
      <c r="D71" s="86" t="s">
        <v>1</v>
      </c>
      <c r="E71" s="129">
        <v>1.1701388888888891</v>
      </c>
      <c r="F71" s="86" t="s">
        <v>30</v>
      </c>
      <c r="G71" s="88">
        <v>8</v>
      </c>
      <c r="H71" s="130">
        <v>369</v>
      </c>
    </row>
    <row r="72" spans="1:8" ht="19.8" customHeight="1" x14ac:dyDescent="0.3">
      <c r="A72" s="128">
        <v>46016</v>
      </c>
      <c r="B72" s="86" t="s">
        <v>89</v>
      </c>
      <c r="C72" s="87" t="s">
        <v>100</v>
      </c>
      <c r="D72" s="86" t="s">
        <v>1</v>
      </c>
      <c r="E72" s="129">
        <v>1.8888888888888891</v>
      </c>
      <c r="F72" s="86" t="s">
        <v>110</v>
      </c>
      <c r="G72" s="88">
        <v>8</v>
      </c>
      <c r="H72" s="130">
        <v>371</v>
      </c>
    </row>
    <row r="73" spans="1:8" ht="19.8" customHeight="1" x14ac:dyDescent="0.3">
      <c r="A73" s="128">
        <v>46016</v>
      </c>
      <c r="B73" s="86" t="s">
        <v>83</v>
      </c>
      <c r="C73" s="87" t="s">
        <v>96</v>
      </c>
      <c r="D73" s="86" t="s">
        <v>1</v>
      </c>
      <c r="E73" s="129">
        <v>1.958333333333333</v>
      </c>
      <c r="F73" s="86" t="s">
        <v>67</v>
      </c>
      <c r="G73" s="88">
        <v>3</v>
      </c>
      <c r="H73" s="130">
        <v>439</v>
      </c>
    </row>
    <row r="74" spans="1:8" ht="19.8" customHeight="1" x14ac:dyDescent="0.3">
      <c r="A74" s="131">
        <v>46016</v>
      </c>
      <c r="B74" s="89" t="s">
        <v>65</v>
      </c>
      <c r="C74" s="90" t="s">
        <v>66</v>
      </c>
      <c r="D74" s="89" t="s">
        <v>1</v>
      </c>
      <c r="E74" s="132">
        <v>1.9236111111111109</v>
      </c>
      <c r="F74" s="89" t="s">
        <v>67</v>
      </c>
      <c r="G74" s="91">
        <v>9</v>
      </c>
      <c r="H74" s="133">
        <v>476</v>
      </c>
    </row>
    <row r="75" spans="1:8" ht="19.8" customHeight="1" x14ac:dyDescent="0.3">
      <c r="A75" s="128">
        <v>46016</v>
      </c>
      <c r="B75" s="86" t="s">
        <v>28</v>
      </c>
      <c r="C75" s="87" t="s">
        <v>35</v>
      </c>
      <c r="D75" s="86" t="s">
        <v>1</v>
      </c>
      <c r="E75" s="129">
        <v>1.864583333333333</v>
      </c>
      <c r="F75" s="86" t="s">
        <v>107</v>
      </c>
      <c r="G75" s="88">
        <v>9</v>
      </c>
      <c r="H75" s="130">
        <v>817</v>
      </c>
    </row>
    <row r="76" spans="1:8" ht="19.8" customHeight="1" x14ac:dyDescent="0.3">
      <c r="A76" s="128">
        <v>46016</v>
      </c>
      <c r="B76" s="86" t="s">
        <v>28</v>
      </c>
      <c r="C76" s="87" t="s">
        <v>33</v>
      </c>
      <c r="D76" s="86" t="s">
        <v>1</v>
      </c>
      <c r="E76" s="129">
        <v>1.5277777777777779</v>
      </c>
      <c r="F76" s="86" t="s">
        <v>107</v>
      </c>
      <c r="G76" s="88">
        <v>9</v>
      </c>
      <c r="H76" s="92" t="s">
        <v>109</v>
      </c>
    </row>
    <row r="77" spans="1:8" ht="19.8" customHeight="1" x14ac:dyDescent="0.3">
      <c r="A77" s="134">
        <v>46016</v>
      </c>
      <c r="B77" s="93" t="s">
        <v>73</v>
      </c>
      <c r="C77" s="94" t="s">
        <v>74</v>
      </c>
      <c r="D77" s="93" t="s">
        <v>1</v>
      </c>
      <c r="E77" s="135">
        <v>1.305555555555556</v>
      </c>
      <c r="F77" s="93" t="s">
        <v>75</v>
      </c>
      <c r="G77" s="95">
        <v>4</v>
      </c>
      <c r="H77" s="96" t="s">
        <v>93</v>
      </c>
    </row>
    <row r="78" spans="1:8" ht="19.8" customHeight="1" x14ac:dyDescent="0.3">
      <c r="A78" s="128">
        <v>46017</v>
      </c>
      <c r="B78" s="86" t="s">
        <v>45</v>
      </c>
      <c r="C78" s="87" t="s">
        <v>53</v>
      </c>
      <c r="D78" s="86" t="s">
        <v>1</v>
      </c>
      <c r="E78" s="129">
        <v>1.833333333333333</v>
      </c>
      <c r="F78" s="86" t="s">
        <v>47</v>
      </c>
      <c r="G78" s="88">
        <v>5</v>
      </c>
      <c r="H78" s="130">
        <v>339</v>
      </c>
    </row>
    <row r="79" spans="1:8" ht="19.8" customHeight="1" x14ac:dyDescent="0.3">
      <c r="A79" s="128">
        <v>46017</v>
      </c>
      <c r="B79" s="86" t="s">
        <v>57</v>
      </c>
      <c r="C79" s="87" t="s">
        <v>58</v>
      </c>
      <c r="D79" s="86" t="s">
        <v>1</v>
      </c>
      <c r="E79" s="129">
        <v>1.305555555555556</v>
      </c>
      <c r="F79" s="86" t="s">
        <v>59</v>
      </c>
      <c r="G79" s="88">
        <v>12</v>
      </c>
      <c r="H79" s="130">
        <v>369</v>
      </c>
    </row>
    <row r="80" spans="1:8" ht="19.8" customHeight="1" x14ac:dyDescent="0.3">
      <c r="A80" s="128">
        <v>46017</v>
      </c>
      <c r="B80" s="86" t="s">
        <v>28</v>
      </c>
      <c r="C80" s="87" t="s">
        <v>29</v>
      </c>
      <c r="D80" s="86" t="s">
        <v>1</v>
      </c>
      <c r="E80" s="129">
        <v>1.1701388888888891</v>
      </c>
      <c r="F80" s="86" t="s">
        <v>30</v>
      </c>
      <c r="G80" s="88">
        <v>5</v>
      </c>
      <c r="H80" s="130">
        <v>369</v>
      </c>
    </row>
    <row r="81" spans="1:8" ht="19.8" customHeight="1" x14ac:dyDescent="0.3">
      <c r="A81" s="128">
        <v>46017</v>
      </c>
      <c r="B81" s="86" t="s">
        <v>83</v>
      </c>
      <c r="C81" s="87" t="s">
        <v>92</v>
      </c>
      <c r="D81" s="86" t="s">
        <v>1</v>
      </c>
      <c r="E81" s="129">
        <v>1.958333333333333</v>
      </c>
      <c r="F81" s="86" t="s">
        <v>110</v>
      </c>
      <c r="G81" s="88">
        <v>9</v>
      </c>
      <c r="H81" s="130">
        <v>379</v>
      </c>
    </row>
    <row r="82" spans="1:8" ht="19.8" customHeight="1" x14ac:dyDescent="0.3">
      <c r="A82" s="128">
        <v>46017</v>
      </c>
      <c r="B82" s="86" t="s">
        <v>28</v>
      </c>
      <c r="C82" s="87" t="s">
        <v>35</v>
      </c>
      <c r="D82" s="86" t="s">
        <v>1</v>
      </c>
      <c r="E82" s="129">
        <v>1.864583333333333</v>
      </c>
      <c r="F82" s="86" t="s">
        <v>30</v>
      </c>
      <c r="G82" s="88">
        <v>9</v>
      </c>
      <c r="H82" s="130">
        <v>411</v>
      </c>
    </row>
    <row r="83" spans="1:8" ht="19.8" customHeight="1" x14ac:dyDescent="0.3">
      <c r="A83" s="128">
        <v>46017</v>
      </c>
      <c r="B83" s="86" t="s">
        <v>45</v>
      </c>
      <c r="C83" s="87" t="s">
        <v>53</v>
      </c>
      <c r="D83" s="86" t="s">
        <v>1</v>
      </c>
      <c r="E83" s="129">
        <v>1.833333333333333</v>
      </c>
      <c r="F83" s="86" t="s">
        <v>49</v>
      </c>
      <c r="G83" s="88">
        <v>5</v>
      </c>
      <c r="H83" s="130">
        <v>439</v>
      </c>
    </row>
    <row r="84" spans="1:8" ht="19.8" customHeight="1" x14ac:dyDescent="0.3">
      <c r="A84" s="131">
        <v>46017</v>
      </c>
      <c r="B84" s="89" t="s">
        <v>65</v>
      </c>
      <c r="C84" s="90" t="s">
        <v>66</v>
      </c>
      <c r="D84" s="89" t="s">
        <v>1</v>
      </c>
      <c r="E84" s="132">
        <v>1.5798611111111109</v>
      </c>
      <c r="F84" s="89" t="s">
        <v>67</v>
      </c>
      <c r="G84" s="91">
        <v>2</v>
      </c>
      <c r="H84" s="133">
        <v>476</v>
      </c>
    </row>
    <row r="85" spans="1:8" ht="19.8" customHeight="1" x14ac:dyDescent="0.3">
      <c r="A85" s="128">
        <v>46017</v>
      </c>
      <c r="B85" s="86" t="s">
        <v>45</v>
      </c>
      <c r="C85" s="87" t="s">
        <v>53</v>
      </c>
      <c r="D85" s="86" t="s">
        <v>1</v>
      </c>
      <c r="E85" s="129">
        <v>1.833333333333333</v>
      </c>
      <c r="F85" s="86" t="s">
        <v>51</v>
      </c>
      <c r="G85" s="88">
        <v>5</v>
      </c>
      <c r="H85" s="130">
        <v>529</v>
      </c>
    </row>
    <row r="86" spans="1:8" ht="19.8" customHeight="1" x14ac:dyDescent="0.3">
      <c r="A86" s="128">
        <v>46017</v>
      </c>
      <c r="B86" s="86" t="s">
        <v>57</v>
      </c>
      <c r="C86" s="87" t="s">
        <v>58</v>
      </c>
      <c r="D86" s="86" t="s">
        <v>1</v>
      </c>
      <c r="E86" s="129">
        <v>1.305555555555556</v>
      </c>
      <c r="F86" s="86" t="s">
        <v>62</v>
      </c>
      <c r="G86" s="88">
        <v>12</v>
      </c>
      <c r="H86" s="130">
        <v>547</v>
      </c>
    </row>
    <row r="87" spans="1:8" ht="19.8" customHeight="1" x14ac:dyDescent="0.3">
      <c r="A87" s="128">
        <v>46017</v>
      </c>
      <c r="B87" s="86" t="s">
        <v>28</v>
      </c>
      <c r="C87" s="87" t="s">
        <v>33</v>
      </c>
      <c r="D87" s="86" t="s">
        <v>1</v>
      </c>
      <c r="E87" s="129">
        <v>1.5277777777777779</v>
      </c>
      <c r="F87" s="86" t="s">
        <v>107</v>
      </c>
      <c r="G87" s="88">
        <v>4</v>
      </c>
      <c r="H87" s="130">
        <v>735</v>
      </c>
    </row>
    <row r="88" spans="1:8" ht="19.8" customHeight="1" x14ac:dyDescent="0.3">
      <c r="A88" s="128">
        <v>46017</v>
      </c>
      <c r="B88" s="86" t="s">
        <v>73</v>
      </c>
      <c r="C88" s="87" t="s">
        <v>74</v>
      </c>
      <c r="D88" s="86" t="s">
        <v>1</v>
      </c>
      <c r="E88" s="129">
        <v>1.305555555555556</v>
      </c>
      <c r="F88" s="86" t="s">
        <v>75</v>
      </c>
      <c r="G88" s="88">
        <v>4</v>
      </c>
      <c r="H88" s="92" t="s">
        <v>93</v>
      </c>
    </row>
    <row r="89" spans="1:8" ht="19.8" customHeight="1" x14ac:dyDescent="0.3">
      <c r="A89" s="134">
        <v>46017</v>
      </c>
      <c r="B89" s="93" t="s">
        <v>57</v>
      </c>
      <c r="C89" s="94" t="s">
        <v>58</v>
      </c>
      <c r="D89" s="93" t="s">
        <v>1</v>
      </c>
      <c r="E89" s="135">
        <v>1.305555555555556</v>
      </c>
      <c r="F89" s="93" t="s">
        <v>51</v>
      </c>
      <c r="G89" s="95">
        <v>12</v>
      </c>
      <c r="H89" s="96" t="s">
        <v>64</v>
      </c>
    </row>
    <row r="90" spans="1:8" ht="19.8" customHeight="1" x14ac:dyDescent="0.3">
      <c r="A90" s="128">
        <v>46018</v>
      </c>
      <c r="B90" s="86" t="s">
        <v>57</v>
      </c>
      <c r="C90" s="87" t="s">
        <v>58</v>
      </c>
      <c r="D90" s="86" t="s">
        <v>1</v>
      </c>
      <c r="E90" s="129">
        <v>1.305555555555556</v>
      </c>
      <c r="F90" s="86" t="s">
        <v>59</v>
      </c>
      <c r="G90" s="88">
        <v>3</v>
      </c>
      <c r="H90" s="130">
        <v>339</v>
      </c>
    </row>
    <row r="91" spans="1:8" ht="19.8" customHeight="1" x14ac:dyDescent="0.3">
      <c r="A91" s="128">
        <v>46018</v>
      </c>
      <c r="B91" s="86" t="s">
        <v>45</v>
      </c>
      <c r="C91" s="87" t="s">
        <v>46</v>
      </c>
      <c r="D91" s="86" t="s">
        <v>1</v>
      </c>
      <c r="E91" s="129">
        <v>1.197916666666667</v>
      </c>
      <c r="F91" s="86" t="s">
        <v>47</v>
      </c>
      <c r="G91" s="88">
        <v>1</v>
      </c>
      <c r="H91" s="130">
        <v>339</v>
      </c>
    </row>
    <row r="92" spans="1:8" ht="19.8" customHeight="1" x14ac:dyDescent="0.3">
      <c r="A92" s="128">
        <v>46018</v>
      </c>
      <c r="B92" s="86" t="s">
        <v>28</v>
      </c>
      <c r="C92" s="87" t="s">
        <v>29</v>
      </c>
      <c r="D92" s="86" t="s">
        <v>1</v>
      </c>
      <c r="E92" s="129">
        <v>1.1701388888888891</v>
      </c>
      <c r="F92" s="86" t="s">
        <v>30</v>
      </c>
      <c r="G92" s="88">
        <v>9</v>
      </c>
      <c r="H92" s="130">
        <v>369</v>
      </c>
    </row>
    <row r="93" spans="1:8" ht="19.8" customHeight="1" x14ac:dyDescent="0.3">
      <c r="A93" s="128">
        <v>46018</v>
      </c>
      <c r="B93" s="86" t="s">
        <v>38</v>
      </c>
      <c r="C93" s="87" t="s">
        <v>39</v>
      </c>
      <c r="D93" s="86" t="s">
        <v>1</v>
      </c>
      <c r="E93" s="129">
        <v>1.9722222222222221</v>
      </c>
      <c r="F93" s="86" t="s">
        <v>40</v>
      </c>
      <c r="G93" s="88">
        <v>9</v>
      </c>
      <c r="H93" s="130">
        <v>373</v>
      </c>
    </row>
    <row r="94" spans="1:8" ht="19.8" customHeight="1" x14ac:dyDescent="0.3">
      <c r="A94" s="128">
        <v>46018</v>
      </c>
      <c r="B94" s="86" t="s">
        <v>45</v>
      </c>
      <c r="C94" s="87" t="s">
        <v>53</v>
      </c>
      <c r="D94" s="86" t="s">
        <v>1</v>
      </c>
      <c r="E94" s="129">
        <v>1.833333333333333</v>
      </c>
      <c r="F94" s="86" t="s">
        <v>47</v>
      </c>
      <c r="G94" s="88">
        <v>2</v>
      </c>
      <c r="H94" s="130">
        <v>379</v>
      </c>
    </row>
    <row r="95" spans="1:8" ht="19.8" customHeight="1" x14ac:dyDescent="0.3">
      <c r="A95" s="128">
        <v>46018</v>
      </c>
      <c r="B95" s="86" t="s">
        <v>28</v>
      </c>
      <c r="C95" s="87" t="s">
        <v>35</v>
      </c>
      <c r="D95" s="86" t="s">
        <v>1</v>
      </c>
      <c r="E95" s="129">
        <v>1.868055555555556</v>
      </c>
      <c r="F95" s="86" t="s">
        <v>30</v>
      </c>
      <c r="G95" s="88">
        <v>9</v>
      </c>
      <c r="H95" s="130">
        <v>419</v>
      </c>
    </row>
    <row r="96" spans="1:8" ht="19.8" customHeight="1" x14ac:dyDescent="0.3">
      <c r="A96" s="128">
        <v>46018</v>
      </c>
      <c r="B96" s="86" t="s">
        <v>45</v>
      </c>
      <c r="C96" s="87" t="s">
        <v>46</v>
      </c>
      <c r="D96" s="86" t="s">
        <v>1</v>
      </c>
      <c r="E96" s="129">
        <v>1.197916666666667</v>
      </c>
      <c r="F96" s="86" t="s">
        <v>49</v>
      </c>
      <c r="G96" s="88">
        <v>1</v>
      </c>
      <c r="H96" s="130">
        <v>439</v>
      </c>
    </row>
    <row r="97" spans="1:8" ht="19.8" customHeight="1" x14ac:dyDescent="0.3">
      <c r="A97" s="131">
        <v>46018</v>
      </c>
      <c r="B97" s="89" t="s">
        <v>65</v>
      </c>
      <c r="C97" s="90" t="s">
        <v>66</v>
      </c>
      <c r="D97" s="89" t="s">
        <v>1</v>
      </c>
      <c r="E97" s="132">
        <v>1.9236111111111109</v>
      </c>
      <c r="F97" s="89" t="s">
        <v>67</v>
      </c>
      <c r="G97" s="91">
        <v>1</v>
      </c>
      <c r="H97" s="133">
        <v>476</v>
      </c>
    </row>
    <row r="98" spans="1:8" ht="19.8" customHeight="1" x14ac:dyDescent="0.3">
      <c r="A98" s="128">
        <v>46018</v>
      </c>
      <c r="B98" s="86" t="s">
        <v>45</v>
      </c>
      <c r="C98" s="87" t="s">
        <v>53</v>
      </c>
      <c r="D98" s="86" t="s">
        <v>1</v>
      </c>
      <c r="E98" s="129">
        <v>1.833333333333333</v>
      </c>
      <c r="F98" s="86" t="s">
        <v>49</v>
      </c>
      <c r="G98" s="88">
        <v>2</v>
      </c>
      <c r="H98" s="130">
        <v>479</v>
      </c>
    </row>
    <row r="99" spans="1:8" ht="19.8" customHeight="1" x14ac:dyDescent="0.3">
      <c r="A99" s="128">
        <v>46018</v>
      </c>
      <c r="B99" s="86" t="s">
        <v>57</v>
      </c>
      <c r="C99" s="87" t="s">
        <v>58</v>
      </c>
      <c r="D99" s="86" t="s">
        <v>1</v>
      </c>
      <c r="E99" s="129">
        <v>1.305555555555556</v>
      </c>
      <c r="F99" s="86" t="s">
        <v>62</v>
      </c>
      <c r="G99" s="88">
        <v>3</v>
      </c>
      <c r="H99" s="130">
        <v>517</v>
      </c>
    </row>
    <row r="100" spans="1:8" ht="19.8" customHeight="1" x14ac:dyDescent="0.3">
      <c r="A100" s="128">
        <v>46018</v>
      </c>
      <c r="B100" s="86" t="s">
        <v>45</v>
      </c>
      <c r="C100" s="87" t="s">
        <v>46</v>
      </c>
      <c r="D100" s="86" t="s">
        <v>1</v>
      </c>
      <c r="E100" s="129">
        <v>1.197916666666667</v>
      </c>
      <c r="F100" s="86" t="s">
        <v>51</v>
      </c>
      <c r="G100" s="88">
        <v>1</v>
      </c>
      <c r="H100" s="130">
        <v>529</v>
      </c>
    </row>
    <row r="101" spans="1:8" ht="19.8" customHeight="1" x14ac:dyDescent="0.3">
      <c r="A101" s="128">
        <v>46018</v>
      </c>
      <c r="B101" s="86" t="s">
        <v>45</v>
      </c>
      <c r="C101" s="87" t="s">
        <v>53</v>
      </c>
      <c r="D101" s="86" t="s">
        <v>1</v>
      </c>
      <c r="E101" s="129">
        <v>1.833333333333333</v>
      </c>
      <c r="F101" s="86" t="s">
        <v>51</v>
      </c>
      <c r="G101" s="88">
        <v>2</v>
      </c>
      <c r="H101" s="130">
        <v>569</v>
      </c>
    </row>
    <row r="102" spans="1:8" ht="19.8" customHeight="1" x14ac:dyDescent="0.3">
      <c r="A102" s="128">
        <v>46018</v>
      </c>
      <c r="B102" s="86" t="s">
        <v>38</v>
      </c>
      <c r="C102" s="87" t="s">
        <v>39</v>
      </c>
      <c r="D102" s="86" t="s">
        <v>1</v>
      </c>
      <c r="E102" s="129">
        <v>1.9722222222222221</v>
      </c>
      <c r="F102" s="86" t="s">
        <v>43</v>
      </c>
      <c r="G102" s="88">
        <v>9</v>
      </c>
      <c r="H102" s="130">
        <v>579</v>
      </c>
    </row>
    <row r="103" spans="1:8" ht="19.8" customHeight="1" x14ac:dyDescent="0.3">
      <c r="A103" s="128">
        <v>46018</v>
      </c>
      <c r="B103" s="86" t="s">
        <v>57</v>
      </c>
      <c r="C103" s="87" t="s">
        <v>58</v>
      </c>
      <c r="D103" s="86" t="s">
        <v>1</v>
      </c>
      <c r="E103" s="129">
        <v>1.305555555555556</v>
      </c>
      <c r="F103" s="86" t="s">
        <v>51</v>
      </c>
      <c r="G103" s="88">
        <v>3</v>
      </c>
      <c r="H103" s="130">
        <v>899</v>
      </c>
    </row>
    <row r="104" spans="1:8" ht="19.8" customHeight="1" x14ac:dyDescent="0.3">
      <c r="A104" s="134">
        <v>46018</v>
      </c>
      <c r="B104" s="93" t="s">
        <v>73</v>
      </c>
      <c r="C104" s="94" t="s">
        <v>74</v>
      </c>
      <c r="D104" s="93" t="s">
        <v>1</v>
      </c>
      <c r="E104" s="135">
        <v>1.305555555555556</v>
      </c>
      <c r="F104" s="93" t="s">
        <v>75</v>
      </c>
      <c r="G104" s="95">
        <v>4</v>
      </c>
      <c r="H104" s="96" t="s">
        <v>93</v>
      </c>
    </row>
    <row r="105" spans="1:8" ht="19.8" customHeight="1" x14ac:dyDescent="0.3">
      <c r="A105" s="128">
        <v>46019</v>
      </c>
      <c r="B105" s="86" t="s">
        <v>57</v>
      </c>
      <c r="C105" s="87" t="s">
        <v>58</v>
      </c>
      <c r="D105" s="86" t="s">
        <v>1</v>
      </c>
      <c r="E105" s="129">
        <v>1.305555555555556</v>
      </c>
      <c r="F105" s="86" t="s">
        <v>59</v>
      </c>
      <c r="G105" s="88">
        <v>13</v>
      </c>
      <c r="H105" s="130">
        <v>369</v>
      </c>
    </row>
    <row r="106" spans="1:8" ht="19.8" customHeight="1" x14ac:dyDescent="0.3">
      <c r="A106" s="128">
        <v>46019</v>
      </c>
      <c r="B106" s="86" t="s">
        <v>28</v>
      </c>
      <c r="C106" s="87" t="s">
        <v>29</v>
      </c>
      <c r="D106" s="86" t="s">
        <v>1</v>
      </c>
      <c r="E106" s="129">
        <v>1.1701388888888891</v>
      </c>
      <c r="F106" s="86" t="s">
        <v>30</v>
      </c>
      <c r="G106" s="88">
        <v>9</v>
      </c>
      <c r="H106" s="130">
        <v>369</v>
      </c>
    </row>
    <row r="107" spans="1:8" ht="19.8" customHeight="1" x14ac:dyDescent="0.3">
      <c r="A107" s="128">
        <v>46019</v>
      </c>
      <c r="B107" s="86" t="s">
        <v>83</v>
      </c>
      <c r="C107" s="87" t="s">
        <v>84</v>
      </c>
      <c r="D107" s="86" t="s">
        <v>1</v>
      </c>
      <c r="E107" s="129">
        <v>1.958333333333333</v>
      </c>
      <c r="F107" s="86" t="s">
        <v>110</v>
      </c>
      <c r="G107" s="88">
        <v>5</v>
      </c>
      <c r="H107" s="130">
        <v>379</v>
      </c>
    </row>
    <row r="108" spans="1:8" ht="19.8" customHeight="1" x14ac:dyDescent="0.3">
      <c r="A108" s="128">
        <v>46019</v>
      </c>
      <c r="B108" s="86" t="s">
        <v>45</v>
      </c>
      <c r="C108" s="87" t="s">
        <v>53</v>
      </c>
      <c r="D108" s="86" t="s">
        <v>1</v>
      </c>
      <c r="E108" s="129">
        <v>1.8472222222222221</v>
      </c>
      <c r="F108" s="86" t="s">
        <v>47</v>
      </c>
      <c r="G108" s="88">
        <v>4</v>
      </c>
      <c r="H108" s="130">
        <v>409</v>
      </c>
    </row>
    <row r="109" spans="1:8" ht="19.8" customHeight="1" x14ac:dyDescent="0.3">
      <c r="A109" s="128">
        <v>46019</v>
      </c>
      <c r="B109" s="86" t="s">
        <v>28</v>
      </c>
      <c r="C109" s="87" t="s">
        <v>35</v>
      </c>
      <c r="D109" s="86" t="s">
        <v>1</v>
      </c>
      <c r="E109" s="129">
        <v>1.864583333333333</v>
      </c>
      <c r="F109" s="86" t="s">
        <v>30</v>
      </c>
      <c r="G109" s="88">
        <v>8</v>
      </c>
      <c r="H109" s="130">
        <v>411</v>
      </c>
    </row>
    <row r="110" spans="1:8" ht="19.8" customHeight="1" x14ac:dyDescent="0.3">
      <c r="A110" s="128">
        <v>46019</v>
      </c>
      <c r="B110" s="86" t="s">
        <v>28</v>
      </c>
      <c r="C110" s="87" t="s">
        <v>33</v>
      </c>
      <c r="D110" s="86" t="s">
        <v>1</v>
      </c>
      <c r="E110" s="129">
        <v>1.5277777777777779</v>
      </c>
      <c r="F110" s="86" t="s">
        <v>30</v>
      </c>
      <c r="G110" s="88">
        <v>8</v>
      </c>
      <c r="H110" s="130">
        <v>411</v>
      </c>
    </row>
    <row r="111" spans="1:8" ht="19.8" customHeight="1" x14ac:dyDescent="0.3">
      <c r="A111" s="128">
        <v>46019</v>
      </c>
      <c r="B111" s="86" t="s">
        <v>45</v>
      </c>
      <c r="C111" s="87" t="s">
        <v>53</v>
      </c>
      <c r="D111" s="86" t="s">
        <v>1</v>
      </c>
      <c r="E111" s="129">
        <v>1.8472222222222221</v>
      </c>
      <c r="F111" s="86" t="s">
        <v>49</v>
      </c>
      <c r="G111" s="88">
        <v>4</v>
      </c>
      <c r="H111" s="130">
        <v>509</v>
      </c>
    </row>
    <row r="112" spans="1:8" ht="19.8" customHeight="1" x14ac:dyDescent="0.3">
      <c r="A112" s="128">
        <v>46019</v>
      </c>
      <c r="B112" s="86" t="s">
        <v>57</v>
      </c>
      <c r="C112" s="87" t="s">
        <v>58</v>
      </c>
      <c r="D112" s="86" t="s">
        <v>1</v>
      </c>
      <c r="E112" s="129">
        <v>1.305555555555556</v>
      </c>
      <c r="F112" s="86" t="s">
        <v>62</v>
      </c>
      <c r="G112" s="88">
        <v>13</v>
      </c>
      <c r="H112" s="130">
        <v>547</v>
      </c>
    </row>
    <row r="113" spans="1:8" ht="19.8" customHeight="1" x14ac:dyDescent="0.3">
      <c r="A113" s="128">
        <v>46019</v>
      </c>
      <c r="B113" s="86" t="s">
        <v>45</v>
      </c>
      <c r="C113" s="87" t="s">
        <v>53</v>
      </c>
      <c r="D113" s="86" t="s">
        <v>1</v>
      </c>
      <c r="E113" s="129">
        <v>1.8472222222222221</v>
      </c>
      <c r="F113" s="86" t="s">
        <v>51</v>
      </c>
      <c r="G113" s="88">
        <v>4</v>
      </c>
      <c r="H113" s="130">
        <v>599</v>
      </c>
    </row>
    <row r="114" spans="1:8" ht="19.8" customHeight="1" x14ac:dyDescent="0.3">
      <c r="A114" s="128">
        <v>46019</v>
      </c>
      <c r="B114" s="86" t="s">
        <v>57</v>
      </c>
      <c r="C114" s="87" t="s">
        <v>58</v>
      </c>
      <c r="D114" s="86" t="s">
        <v>1</v>
      </c>
      <c r="E114" s="129">
        <v>1.305555555555556</v>
      </c>
      <c r="F114" s="86" t="s">
        <v>51</v>
      </c>
      <c r="G114" s="88">
        <v>13</v>
      </c>
      <c r="H114" s="130">
        <v>899</v>
      </c>
    </row>
    <row r="115" spans="1:8" ht="19.8" customHeight="1" x14ac:dyDescent="0.3">
      <c r="A115" s="134">
        <v>46019</v>
      </c>
      <c r="B115" s="93" t="s">
        <v>73</v>
      </c>
      <c r="C115" s="94" t="s">
        <v>74</v>
      </c>
      <c r="D115" s="93" t="s">
        <v>1</v>
      </c>
      <c r="E115" s="135">
        <v>1.305555555555556</v>
      </c>
      <c r="F115" s="93" t="s">
        <v>75</v>
      </c>
      <c r="G115" s="95">
        <v>4</v>
      </c>
      <c r="H115" s="96" t="s">
        <v>93</v>
      </c>
    </row>
    <row r="116" spans="1:8" ht="19.8" customHeight="1" x14ac:dyDescent="0.3">
      <c r="A116" s="128">
        <v>46020</v>
      </c>
      <c r="B116" s="86" t="s">
        <v>45</v>
      </c>
      <c r="C116" s="87" t="s">
        <v>53</v>
      </c>
      <c r="D116" s="86" t="s">
        <v>1</v>
      </c>
      <c r="E116" s="129">
        <v>1.833333333333333</v>
      </c>
      <c r="F116" s="86" t="s">
        <v>47</v>
      </c>
      <c r="G116" s="88">
        <v>9</v>
      </c>
      <c r="H116" s="130">
        <v>339</v>
      </c>
    </row>
    <row r="117" spans="1:8" ht="19.8" customHeight="1" x14ac:dyDescent="0.3">
      <c r="A117" s="128">
        <v>46020</v>
      </c>
      <c r="B117" s="86" t="s">
        <v>45</v>
      </c>
      <c r="C117" s="87" t="s">
        <v>46</v>
      </c>
      <c r="D117" s="86" t="s">
        <v>1</v>
      </c>
      <c r="E117" s="129">
        <v>1.197916666666667</v>
      </c>
      <c r="F117" s="86" t="s">
        <v>47</v>
      </c>
      <c r="G117" s="88">
        <v>1</v>
      </c>
      <c r="H117" s="130">
        <v>339</v>
      </c>
    </row>
    <row r="118" spans="1:8" ht="19.8" customHeight="1" x14ac:dyDescent="0.3">
      <c r="A118" s="128">
        <v>46020</v>
      </c>
      <c r="B118" s="86" t="s">
        <v>57</v>
      </c>
      <c r="C118" s="87" t="s">
        <v>58</v>
      </c>
      <c r="D118" s="86" t="s">
        <v>1</v>
      </c>
      <c r="E118" s="129">
        <v>1.305555555555556</v>
      </c>
      <c r="F118" s="86" t="s">
        <v>59</v>
      </c>
      <c r="G118" s="88">
        <v>12</v>
      </c>
      <c r="H118" s="130">
        <v>369</v>
      </c>
    </row>
    <row r="119" spans="1:8" ht="19.8" customHeight="1" x14ac:dyDescent="0.3">
      <c r="A119" s="128">
        <v>46020</v>
      </c>
      <c r="B119" s="86" t="s">
        <v>28</v>
      </c>
      <c r="C119" s="87" t="s">
        <v>29</v>
      </c>
      <c r="D119" s="86" t="s">
        <v>1</v>
      </c>
      <c r="E119" s="129">
        <v>1.1701388888888891</v>
      </c>
      <c r="F119" s="86" t="s">
        <v>30</v>
      </c>
      <c r="G119" s="88">
        <v>9</v>
      </c>
      <c r="H119" s="130">
        <v>369</v>
      </c>
    </row>
    <row r="120" spans="1:8" ht="19.8" customHeight="1" x14ac:dyDescent="0.3">
      <c r="A120" s="128">
        <v>46020</v>
      </c>
      <c r="B120" s="86" t="s">
        <v>89</v>
      </c>
      <c r="C120" s="87" t="s">
        <v>90</v>
      </c>
      <c r="D120" s="86" t="s">
        <v>1</v>
      </c>
      <c r="E120" s="129">
        <v>1.1284722222222221</v>
      </c>
      <c r="F120" s="86" t="s">
        <v>110</v>
      </c>
      <c r="G120" s="88">
        <v>9</v>
      </c>
      <c r="H120" s="130">
        <v>371</v>
      </c>
    </row>
    <row r="121" spans="1:8" ht="19.8" customHeight="1" x14ac:dyDescent="0.3">
      <c r="A121" s="128">
        <v>46020</v>
      </c>
      <c r="B121" s="86" t="s">
        <v>83</v>
      </c>
      <c r="C121" s="87" t="s">
        <v>92</v>
      </c>
      <c r="D121" s="86" t="s">
        <v>1</v>
      </c>
      <c r="E121" s="129">
        <v>1.958333333333333</v>
      </c>
      <c r="F121" s="86" t="s">
        <v>110</v>
      </c>
      <c r="G121" s="88">
        <v>9</v>
      </c>
      <c r="H121" s="130">
        <v>379</v>
      </c>
    </row>
    <row r="122" spans="1:8" ht="19.8" customHeight="1" x14ac:dyDescent="0.3">
      <c r="A122" s="128">
        <v>46020</v>
      </c>
      <c r="B122" s="86" t="s">
        <v>28</v>
      </c>
      <c r="C122" s="87" t="s">
        <v>35</v>
      </c>
      <c r="D122" s="86" t="s">
        <v>1</v>
      </c>
      <c r="E122" s="129">
        <v>1.864583333333333</v>
      </c>
      <c r="F122" s="86" t="s">
        <v>30</v>
      </c>
      <c r="G122" s="88">
        <v>8</v>
      </c>
      <c r="H122" s="130">
        <v>411</v>
      </c>
    </row>
    <row r="123" spans="1:8" ht="19.8" customHeight="1" x14ac:dyDescent="0.3">
      <c r="A123" s="128">
        <v>46020</v>
      </c>
      <c r="B123" s="86" t="s">
        <v>28</v>
      </c>
      <c r="C123" s="87" t="s">
        <v>33</v>
      </c>
      <c r="D123" s="86" t="s">
        <v>1</v>
      </c>
      <c r="E123" s="129">
        <v>1.5277777777777779</v>
      </c>
      <c r="F123" s="86" t="s">
        <v>30</v>
      </c>
      <c r="G123" s="88">
        <v>8</v>
      </c>
      <c r="H123" s="130">
        <v>411</v>
      </c>
    </row>
    <row r="124" spans="1:8" ht="19.8" customHeight="1" x14ac:dyDescent="0.3">
      <c r="A124" s="128">
        <v>46020</v>
      </c>
      <c r="B124" s="86" t="s">
        <v>45</v>
      </c>
      <c r="C124" s="87" t="s">
        <v>53</v>
      </c>
      <c r="D124" s="86" t="s">
        <v>1</v>
      </c>
      <c r="E124" s="129">
        <v>1.833333333333333</v>
      </c>
      <c r="F124" s="86" t="s">
        <v>49</v>
      </c>
      <c r="G124" s="88">
        <v>9</v>
      </c>
      <c r="H124" s="130">
        <v>439</v>
      </c>
    </row>
    <row r="125" spans="1:8" ht="19.8" customHeight="1" x14ac:dyDescent="0.3">
      <c r="A125" s="128">
        <v>46020</v>
      </c>
      <c r="B125" s="86" t="s">
        <v>45</v>
      </c>
      <c r="C125" s="87" t="s">
        <v>46</v>
      </c>
      <c r="D125" s="86" t="s">
        <v>1</v>
      </c>
      <c r="E125" s="129">
        <v>1.197916666666667</v>
      </c>
      <c r="F125" s="86" t="s">
        <v>49</v>
      </c>
      <c r="G125" s="88">
        <v>1</v>
      </c>
      <c r="H125" s="130">
        <v>439</v>
      </c>
    </row>
    <row r="126" spans="1:8" ht="19.8" customHeight="1" x14ac:dyDescent="0.3">
      <c r="A126" s="128">
        <v>46020</v>
      </c>
      <c r="B126" s="86" t="s">
        <v>45</v>
      </c>
      <c r="C126" s="87" t="s">
        <v>53</v>
      </c>
      <c r="D126" s="86" t="s">
        <v>1</v>
      </c>
      <c r="E126" s="129">
        <v>1.833333333333333</v>
      </c>
      <c r="F126" s="86" t="s">
        <v>51</v>
      </c>
      <c r="G126" s="88">
        <v>9</v>
      </c>
      <c r="H126" s="130">
        <v>529</v>
      </c>
    </row>
    <row r="127" spans="1:8" ht="19.8" customHeight="1" x14ac:dyDescent="0.3">
      <c r="A127" s="128">
        <v>46020</v>
      </c>
      <c r="B127" s="86" t="s">
        <v>45</v>
      </c>
      <c r="C127" s="87" t="s">
        <v>46</v>
      </c>
      <c r="D127" s="86" t="s">
        <v>1</v>
      </c>
      <c r="E127" s="129">
        <v>1.197916666666667</v>
      </c>
      <c r="F127" s="86" t="s">
        <v>51</v>
      </c>
      <c r="G127" s="88">
        <v>1</v>
      </c>
      <c r="H127" s="130">
        <v>529</v>
      </c>
    </row>
    <row r="128" spans="1:8" ht="19.8" customHeight="1" x14ac:dyDescent="0.3">
      <c r="A128" s="128">
        <v>46020</v>
      </c>
      <c r="B128" s="86" t="s">
        <v>57</v>
      </c>
      <c r="C128" s="87" t="s">
        <v>58</v>
      </c>
      <c r="D128" s="86" t="s">
        <v>1</v>
      </c>
      <c r="E128" s="129">
        <v>1.305555555555556</v>
      </c>
      <c r="F128" s="86" t="s">
        <v>62</v>
      </c>
      <c r="G128" s="88">
        <v>12</v>
      </c>
      <c r="H128" s="130">
        <v>547</v>
      </c>
    </row>
    <row r="129" spans="1:8" ht="19.8" customHeight="1" x14ac:dyDescent="0.3">
      <c r="A129" s="128">
        <v>46020</v>
      </c>
      <c r="B129" s="86" t="s">
        <v>57</v>
      </c>
      <c r="C129" s="87" t="s">
        <v>58</v>
      </c>
      <c r="D129" s="86" t="s">
        <v>1</v>
      </c>
      <c r="E129" s="129">
        <v>1.305555555555556</v>
      </c>
      <c r="F129" s="86" t="s">
        <v>51</v>
      </c>
      <c r="G129" s="88">
        <v>12</v>
      </c>
      <c r="H129" s="130">
        <v>899</v>
      </c>
    </row>
    <row r="130" spans="1:8" ht="19.8" customHeight="1" x14ac:dyDescent="0.3">
      <c r="A130" s="134">
        <v>46020</v>
      </c>
      <c r="B130" s="93" t="s">
        <v>73</v>
      </c>
      <c r="C130" s="94" t="s">
        <v>74</v>
      </c>
      <c r="D130" s="93" t="s">
        <v>1</v>
      </c>
      <c r="E130" s="135">
        <v>1.305555555555556</v>
      </c>
      <c r="F130" s="93" t="s">
        <v>75</v>
      </c>
      <c r="G130" s="95">
        <v>4</v>
      </c>
      <c r="H130" s="96" t="s">
        <v>93</v>
      </c>
    </row>
    <row r="131" spans="1:8" ht="19.8" customHeight="1" x14ac:dyDescent="0.3">
      <c r="A131" s="128">
        <v>46021</v>
      </c>
      <c r="B131" s="86" t="s">
        <v>57</v>
      </c>
      <c r="C131" s="87" t="s">
        <v>58</v>
      </c>
      <c r="D131" s="86" t="s">
        <v>1</v>
      </c>
      <c r="E131" s="129">
        <v>1.305555555555556</v>
      </c>
      <c r="F131" s="86" t="s">
        <v>59</v>
      </c>
      <c r="G131" s="88">
        <v>8</v>
      </c>
      <c r="H131" s="130">
        <v>369</v>
      </c>
    </row>
    <row r="132" spans="1:8" ht="19.8" customHeight="1" x14ac:dyDescent="0.3">
      <c r="A132" s="128">
        <v>46021</v>
      </c>
      <c r="B132" s="86" t="s">
        <v>28</v>
      </c>
      <c r="C132" s="87" t="s">
        <v>29</v>
      </c>
      <c r="D132" s="86" t="s">
        <v>1</v>
      </c>
      <c r="E132" s="129">
        <v>1.1701388888888891</v>
      </c>
      <c r="F132" s="86" t="s">
        <v>30</v>
      </c>
      <c r="G132" s="88">
        <v>9</v>
      </c>
      <c r="H132" s="130">
        <v>369</v>
      </c>
    </row>
    <row r="133" spans="1:8" ht="19.8" customHeight="1" x14ac:dyDescent="0.3">
      <c r="A133" s="128">
        <v>46021</v>
      </c>
      <c r="B133" s="86" t="s">
        <v>45</v>
      </c>
      <c r="C133" s="87" t="s">
        <v>53</v>
      </c>
      <c r="D133" s="86" t="s">
        <v>1</v>
      </c>
      <c r="E133" s="129">
        <v>1.833333333333333</v>
      </c>
      <c r="F133" s="86" t="s">
        <v>47</v>
      </c>
      <c r="G133" s="88">
        <v>1</v>
      </c>
      <c r="H133" s="130">
        <v>379</v>
      </c>
    </row>
    <row r="134" spans="1:8" ht="19.8" customHeight="1" x14ac:dyDescent="0.3">
      <c r="A134" s="128">
        <v>46021</v>
      </c>
      <c r="B134" s="86" t="s">
        <v>45</v>
      </c>
      <c r="C134" s="87" t="s">
        <v>46</v>
      </c>
      <c r="D134" s="86" t="s">
        <v>1</v>
      </c>
      <c r="E134" s="129">
        <v>1.197916666666667</v>
      </c>
      <c r="F134" s="86" t="s">
        <v>47</v>
      </c>
      <c r="G134" s="88">
        <v>3</v>
      </c>
      <c r="H134" s="130">
        <v>379</v>
      </c>
    </row>
    <row r="135" spans="1:8" ht="19.8" customHeight="1" x14ac:dyDescent="0.3">
      <c r="A135" s="128">
        <v>46021</v>
      </c>
      <c r="B135" s="86" t="s">
        <v>83</v>
      </c>
      <c r="C135" s="87" t="s">
        <v>96</v>
      </c>
      <c r="D135" s="86" t="s">
        <v>1</v>
      </c>
      <c r="E135" s="129">
        <v>1.958333333333333</v>
      </c>
      <c r="F135" s="86" t="s">
        <v>110</v>
      </c>
      <c r="G135" s="88">
        <v>9</v>
      </c>
      <c r="H135" s="130">
        <v>379</v>
      </c>
    </row>
    <row r="136" spans="1:8" ht="19.8" customHeight="1" x14ac:dyDescent="0.3">
      <c r="A136" s="128">
        <v>46021</v>
      </c>
      <c r="B136" s="86" t="s">
        <v>28</v>
      </c>
      <c r="C136" s="87" t="s">
        <v>35</v>
      </c>
      <c r="D136" s="86" t="s">
        <v>1</v>
      </c>
      <c r="E136" s="129">
        <v>1.868055555555556</v>
      </c>
      <c r="F136" s="86" t="s">
        <v>30</v>
      </c>
      <c r="G136" s="88">
        <v>8</v>
      </c>
      <c r="H136" s="130">
        <v>411</v>
      </c>
    </row>
    <row r="137" spans="1:8" ht="19.8" customHeight="1" x14ac:dyDescent="0.3">
      <c r="A137" s="128">
        <v>46021</v>
      </c>
      <c r="B137" s="86" t="s">
        <v>28</v>
      </c>
      <c r="C137" s="87" t="s">
        <v>33</v>
      </c>
      <c r="D137" s="86" t="s">
        <v>1</v>
      </c>
      <c r="E137" s="129">
        <v>1.5277777777777779</v>
      </c>
      <c r="F137" s="86" t="s">
        <v>30</v>
      </c>
      <c r="G137" s="88">
        <v>7</v>
      </c>
      <c r="H137" s="130">
        <v>411</v>
      </c>
    </row>
    <row r="138" spans="1:8" ht="19.8" customHeight="1" x14ac:dyDescent="0.3">
      <c r="A138" s="131">
        <v>46021</v>
      </c>
      <c r="B138" s="89" t="s">
        <v>65</v>
      </c>
      <c r="C138" s="90" t="s">
        <v>66</v>
      </c>
      <c r="D138" s="89" t="s">
        <v>1</v>
      </c>
      <c r="E138" s="132">
        <v>1.270833333333333</v>
      </c>
      <c r="F138" s="89" t="s">
        <v>67</v>
      </c>
      <c r="G138" s="91">
        <v>7</v>
      </c>
      <c r="H138" s="133">
        <v>476</v>
      </c>
    </row>
    <row r="139" spans="1:8" ht="19.8" customHeight="1" x14ac:dyDescent="0.3">
      <c r="A139" s="128">
        <v>46021</v>
      </c>
      <c r="B139" s="86" t="s">
        <v>45</v>
      </c>
      <c r="C139" s="87" t="s">
        <v>53</v>
      </c>
      <c r="D139" s="86" t="s">
        <v>1</v>
      </c>
      <c r="E139" s="129">
        <v>1.833333333333333</v>
      </c>
      <c r="F139" s="86" t="s">
        <v>49</v>
      </c>
      <c r="G139" s="88">
        <v>1</v>
      </c>
      <c r="H139" s="130">
        <v>479</v>
      </c>
    </row>
    <row r="140" spans="1:8" ht="19.8" customHeight="1" x14ac:dyDescent="0.3">
      <c r="A140" s="128">
        <v>46021</v>
      </c>
      <c r="B140" s="86" t="s">
        <v>45</v>
      </c>
      <c r="C140" s="87" t="s">
        <v>46</v>
      </c>
      <c r="D140" s="86" t="s">
        <v>1</v>
      </c>
      <c r="E140" s="129">
        <v>1.197916666666667</v>
      </c>
      <c r="F140" s="86" t="s">
        <v>49</v>
      </c>
      <c r="G140" s="88">
        <v>3</v>
      </c>
      <c r="H140" s="130">
        <v>479</v>
      </c>
    </row>
    <row r="141" spans="1:8" ht="19.8" customHeight="1" x14ac:dyDescent="0.3">
      <c r="A141" s="128">
        <v>46021</v>
      </c>
      <c r="B141" s="86" t="s">
        <v>57</v>
      </c>
      <c r="C141" s="87" t="s">
        <v>58</v>
      </c>
      <c r="D141" s="86" t="s">
        <v>1</v>
      </c>
      <c r="E141" s="129">
        <v>1.305555555555556</v>
      </c>
      <c r="F141" s="86" t="s">
        <v>62</v>
      </c>
      <c r="G141" s="88">
        <v>8</v>
      </c>
      <c r="H141" s="130">
        <v>547</v>
      </c>
    </row>
    <row r="142" spans="1:8" ht="19.8" customHeight="1" x14ac:dyDescent="0.3">
      <c r="A142" s="128">
        <v>46021</v>
      </c>
      <c r="B142" s="86" t="s">
        <v>45</v>
      </c>
      <c r="C142" s="87" t="s">
        <v>53</v>
      </c>
      <c r="D142" s="86" t="s">
        <v>1</v>
      </c>
      <c r="E142" s="129">
        <v>1.833333333333333</v>
      </c>
      <c r="F142" s="86" t="s">
        <v>51</v>
      </c>
      <c r="G142" s="88">
        <v>1</v>
      </c>
      <c r="H142" s="130">
        <v>569</v>
      </c>
    </row>
    <row r="143" spans="1:8" ht="19.8" customHeight="1" x14ac:dyDescent="0.3">
      <c r="A143" s="128">
        <v>46021</v>
      </c>
      <c r="B143" s="86" t="s">
        <v>45</v>
      </c>
      <c r="C143" s="87" t="s">
        <v>46</v>
      </c>
      <c r="D143" s="86" t="s">
        <v>1</v>
      </c>
      <c r="E143" s="129">
        <v>1.197916666666667</v>
      </c>
      <c r="F143" s="86" t="s">
        <v>51</v>
      </c>
      <c r="G143" s="88">
        <v>3</v>
      </c>
      <c r="H143" s="130">
        <v>569</v>
      </c>
    </row>
    <row r="144" spans="1:8" ht="19.8" customHeight="1" x14ac:dyDescent="0.3">
      <c r="A144" s="128">
        <v>46021</v>
      </c>
      <c r="B144" s="86" t="s">
        <v>73</v>
      </c>
      <c r="C144" s="87" t="s">
        <v>74</v>
      </c>
      <c r="D144" s="86" t="s">
        <v>1</v>
      </c>
      <c r="E144" s="129">
        <v>1.305555555555556</v>
      </c>
      <c r="F144" s="86" t="s">
        <v>75</v>
      </c>
      <c r="G144" s="88">
        <v>4</v>
      </c>
      <c r="H144" s="92" t="s">
        <v>93</v>
      </c>
    </row>
    <row r="145" spans="1:8" ht="19.8" customHeight="1" x14ac:dyDescent="0.3">
      <c r="A145" s="134">
        <v>46021</v>
      </c>
      <c r="B145" s="93" t="s">
        <v>57</v>
      </c>
      <c r="C145" s="94" t="s">
        <v>58</v>
      </c>
      <c r="D145" s="93" t="s">
        <v>1</v>
      </c>
      <c r="E145" s="135">
        <v>1.305555555555556</v>
      </c>
      <c r="F145" s="93" t="s">
        <v>51</v>
      </c>
      <c r="G145" s="95">
        <v>8</v>
      </c>
      <c r="H145" s="96" t="s">
        <v>64</v>
      </c>
    </row>
    <row r="146" spans="1:8" ht="19.8" customHeight="1" x14ac:dyDescent="0.3">
      <c r="A146" s="128">
        <v>46022</v>
      </c>
      <c r="B146" s="86" t="s">
        <v>38</v>
      </c>
      <c r="C146" s="87" t="s">
        <v>39</v>
      </c>
      <c r="D146" s="86" t="s">
        <v>1</v>
      </c>
      <c r="E146" s="129">
        <v>1.9722222222222221</v>
      </c>
      <c r="F146" s="86" t="s">
        <v>40</v>
      </c>
      <c r="G146" s="88">
        <v>9</v>
      </c>
      <c r="H146" s="130">
        <v>348</v>
      </c>
    </row>
    <row r="147" spans="1:8" ht="19.8" customHeight="1" x14ac:dyDescent="0.3">
      <c r="A147" s="128">
        <v>46022</v>
      </c>
      <c r="B147" s="86" t="s">
        <v>28</v>
      </c>
      <c r="C147" s="87" t="s">
        <v>29</v>
      </c>
      <c r="D147" s="86" t="s">
        <v>1</v>
      </c>
      <c r="E147" s="129">
        <v>1.1701388888888891</v>
      </c>
      <c r="F147" s="86" t="s">
        <v>30</v>
      </c>
      <c r="G147" s="88">
        <v>9</v>
      </c>
      <c r="H147" s="130">
        <v>369</v>
      </c>
    </row>
    <row r="148" spans="1:8" ht="19.8" customHeight="1" x14ac:dyDescent="0.3">
      <c r="A148" s="128">
        <v>46022</v>
      </c>
      <c r="B148" s="86" t="s">
        <v>89</v>
      </c>
      <c r="C148" s="87" t="s">
        <v>100</v>
      </c>
      <c r="D148" s="86" t="s">
        <v>1</v>
      </c>
      <c r="E148" s="129">
        <v>1.0902777777777779</v>
      </c>
      <c r="F148" s="86" t="s">
        <v>110</v>
      </c>
      <c r="G148" s="88">
        <v>8</v>
      </c>
      <c r="H148" s="130">
        <v>371</v>
      </c>
    </row>
    <row r="149" spans="1:8" ht="19.8" customHeight="1" x14ac:dyDescent="0.3">
      <c r="A149" s="128">
        <v>46022</v>
      </c>
      <c r="B149" s="86" t="s">
        <v>83</v>
      </c>
      <c r="C149" s="87" t="s">
        <v>92</v>
      </c>
      <c r="D149" s="86" t="s">
        <v>1</v>
      </c>
      <c r="E149" s="129">
        <v>1.895833333333333</v>
      </c>
      <c r="F149" s="86" t="s">
        <v>110</v>
      </c>
      <c r="G149" s="88">
        <v>5</v>
      </c>
      <c r="H149" s="130">
        <v>379</v>
      </c>
    </row>
    <row r="150" spans="1:8" ht="19.8" customHeight="1" x14ac:dyDescent="0.3">
      <c r="A150" s="128">
        <v>46022</v>
      </c>
      <c r="B150" s="86" t="s">
        <v>57</v>
      </c>
      <c r="C150" s="87" t="s">
        <v>58</v>
      </c>
      <c r="D150" s="86" t="s">
        <v>1</v>
      </c>
      <c r="E150" s="129">
        <v>1.305555555555556</v>
      </c>
      <c r="F150" s="86" t="s">
        <v>59</v>
      </c>
      <c r="G150" s="88">
        <v>13</v>
      </c>
      <c r="H150" s="130">
        <v>399</v>
      </c>
    </row>
    <row r="151" spans="1:8" ht="19.8" customHeight="1" x14ac:dyDescent="0.3">
      <c r="A151" s="128">
        <v>46022</v>
      </c>
      <c r="B151" s="86" t="s">
        <v>45</v>
      </c>
      <c r="C151" s="87" t="s">
        <v>53</v>
      </c>
      <c r="D151" s="86" t="s">
        <v>1</v>
      </c>
      <c r="E151" s="129">
        <v>1.8472222222222221</v>
      </c>
      <c r="F151" s="86" t="s">
        <v>47</v>
      </c>
      <c r="G151" s="88">
        <v>3</v>
      </c>
      <c r="H151" s="130">
        <v>409</v>
      </c>
    </row>
    <row r="152" spans="1:8" ht="19.8" customHeight="1" x14ac:dyDescent="0.3">
      <c r="A152" s="128">
        <v>46022</v>
      </c>
      <c r="B152" s="86" t="s">
        <v>28</v>
      </c>
      <c r="C152" s="87" t="s">
        <v>33</v>
      </c>
      <c r="D152" s="86" t="s">
        <v>1</v>
      </c>
      <c r="E152" s="129">
        <v>1.5277777777777779</v>
      </c>
      <c r="F152" s="86" t="s">
        <v>30</v>
      </c>
      <c r="G152" s="88">
        <v>4</v>
      </c>
      <c r="H152" s="130">
        <v>411</v>
      </c>
    </row>
    <row r="153" spans="1:8" ht="19.8" customHeight="1" x14ac:dyDescent="0.3">
      <c r="A153" s="128">
        <v>46022</v>
      </c>
      <c r="B153" s="86" t="s">
        <v>45</v>
      </c>
      <c r="C153" s="87" t="s">
        <v>53</v>
      </c>
      <c r="D153" s="86" t="s">
        <v>1</v>
      </c>
      <c r="E153" s="129">
        <v>1.8472222222222221</v>
      </c>
      <c r="F153" s="86" t="s">
        <v>49</v>
      </c>
      <c r="G153" s="88">
        <v>3</v>
      </c>
      <c r="H153" s="130">
        <v>509</v>
      </c>
    </row>
    <row r="154" spans="1:8" ht="19.8" customHeight="1" x14ac:dyDescent="0.3">
      <c r="A154" s="128">
        <v>46022</v>
      </c>
      <c r="B154" s="86" t="s">
        <v>38</v>
      </c>
      <c r="C154" s="87" t="s">
        <v>39</v>
      </c>
      <c r="D154" s="86" t="s">
        <v>1</v>
      </c>
      <c r="E154" s="129">
        <v>1.9722222222222221</v>
      </c>
      <c r="F154" s="86" t="s">
        <v>43</v>
      </c>
      <c r="G154" s="88">
        <v>9</v>
      </c>
      <c r="H154" s="130">
        <v>554</v>
      </c>
    </row>
    <row r="155" spans="1:8" ht="19.8" customHeight="1" x14ac:dyDescent="0.3">
      <c r="A155" s="128">
        <v>46022</v>
      </c>
      <c r="B155" s="86" t="s">
        <v>57</v>
      </c>
      <c r="C155" s="87" t="s">
        <v>58</v>
      </c>
      <c r="D155" s="86" t="s">
        <v>1</v>
      </c>
      <c r="E155" s="129">
        <v>1.305555555555556</v>
      </c>
      <c r="F155" s="86" t="s">
        <v>62</v>
      </c>
      <c r="G155" s="88">
        <v>13</v>
      </c>
      <c r="H155" s="130">
        <v>577</v>
      </c>
    </row>
    <row r="156" spans="1:8" ht="19.8" customHeight="1" x14ac:dyDescent="0.3">
      <c r="A156" s="128">
        <v>46022</v>
      </c>
      <c r="B156" s="86" t="s">
        <v>45</v>
      </c>
      <c r="C156" s="87" t="s">
        <v>53</v>
      </c>
      <c r="D156" s="86" t="s">
        <v>1</v>
      </c>
      <c r="E156" s="129">
        <v>1.8472222222222221</v>
      </c>
      <c r="F156" s="86" t="s">
        <v>51</v>
      </c>
      <c r="G156" s="88">
        <v>3</v>
      </c>
      <c r="H156" s="130">
        <v>599</v>
      </c>
    </row>
    <row r="157" spans="1:8" ht="19.8" customHeight="1" x14ac:dyDescent="0.3">
      <c r="A157" s="128">
        <v>46022</v>
      </c>
      <c r="B157" s="86" t="s">
        <v>28</v>
      </c>
      <c r="C157" s="87" t="s">
        <v>35</v>
      </c>
      <c r="D157" s="86" t="s">
        <v>1</v>
      </c>
      <c r="E157" s="129">
        <v>1.864583333333333</v>
      </c>
      <c r="F157" s="86" t="s">
        <v>107</v>
      </c>
      <c r="G157" s="88">
        <v>9</v>
      </c>
      <c r="H157" s="130">
        <v>727</v>
      </c>
    </row>
    <row r="158" spans="1:8" ht="19.8" customHeight="1" x14ac:dyDescent="0.3">
      <c r="A158" s="128">
        <v>46022</v>
      </c>
      <c r="B158" s="86" t="s">
        <v>57</v>
      </c>
      <c r="C158" s="87" t="s">
        <v>58</v>
      </c>
      <c r="D158" s="86" t="s">
        <v>1</v>
      </c>
      <c r="E158" s="129">
        <v>1.305555555555556</v>
      </c>
      <c r="F158" s="86" t="s">
        <v>51</v>
      </c>
      <c r="G158" s="88">
        <v>13</v>
      </c>
      <c r="H158" s="130">
        <v>899</v>
      </c>
    </row>
    <row r="159" spans="1:8" ht="19.8" customHeight="1" x14ac:dyDescent="0.3">
      <c r="A159" s="134">
        <v>46022</v>
      </c>
      <c r="B159" s="93" t="s">
        <v>73</v>
      </c>
      <c r="C159" s="94" t="s">
        <v>74</v>
      </c>
      <c r="D159" s="93" t="s">
        <v>1</v>
      </c>
      <c r="E159" s="135">
        <v>1.305555555555556</v>
      </c>
      <c r="F159" s="93" t="s">
        <v>75</v>
      </c>
      <c r="G159" s="95">
        <v>4</v>
      </c>
      <c r="H159" s="96" t="s">
        <v>85</v>
      </c>
    </row>
    <row r="160" spans="1:8" ht="19.8" customHeight="1" x14ac:dyDescent="0.3">
      <c r="A160" s="128">
        <v>46023</v>
      </c>
      <c r="B160" s="86" t="s">
        <v>57</v>
      </c>
      <c r="C160" s="87" t="s">
        <v>58</v>
      </c>
      <c r="D160" s="86" t="s">
        <v>1</v>
      </c>
      <c r="E160" s="129">
        <v>1.305555555555556</v>
      </c>
      <c r="F160" s="86" t="s">
        <v>59</v>
      </c>
      <c r="G160" s="88">
        <v>2</v>
      </c>
      <c r="H160" s="130">
        <v>369</v>
      </c>
    </row>
    <row r="161" spans="1:8" ht="19.8" customHeight="1" x14ac:dyDescent="0.3">
      <c r="A161" s="128">
        <v>46023</v>
      </c>
      <c r="B161" s="86" t="s">
        <v>45</v>
      </c>
      <c r="C161" s="87" t="s">
        <v>46</v>
      </c>
      <c r="D161" s="86" t="s">
        <v>1</v>
      </c>
      <c r="E161" s="129">
        <v>1.2013888888888891</v>
      </c>
      <c r="F161" s="86" t="s">
        <v>47</v>
      </c>
      <c r="G161" s="88">
        <v>7</v>
      </c>
      <c r="H161" s="130">
        <v>409</v>
      </c>
    </row>
    <row r="162" spans="1:8" ht="19.8" customHeight="1" x14ac:dyDescent="0.3">
      <c r="A162" s="128">
        <v>46023</v>
      </c>
      <c r="B162" s="86" t="s">
        <v>45</v>
      </c>
      <c r="C162" s="87" t="s">
        <v>53</v>
      </c>
      <c r="D162" s="86" t="s">
        <v>1</v>
      </c>
      <c r="E162" s="129">
        <v>1.836805555555556</v>
      </c>
      <c r="F162" s="86" t="s">
        <v>47</v>
      </c>
      <c r="G162" s="88">
        <v>1</v>
      </c>
      <c r="H162" s="130">
        <v>439</v>
      </c>
    </row>
    <row r="163" spans="1:8" ht="19.8" customHeight="1" x14ac:dyDescent="0.3">
      <c r="A163" s="128">
        <v>46023</v>
      </c>
      <c r="B163" s="86" t="s">
        <v>83</v>
      </c>
      <c r="C163" s="87" t="s">
        <v>84</v>
      </c>
      <c r="D163" s="86" t="s">
        <v>1</v>
      </c>
      <c r="E163" s="129">
        <v>1.5625</v>
      </c>
      <c r="F163" s="86" t="s">
        <v>110</v>
      </c>
      <c r="G163" s="88">
        <v>1</v>
      </c>
      <c r="H163" s="130">
        <v>439</v>
      </c>
    </row>
    <row r="164" spans="1:8" ht="19.8" customHeight="1" x14ac:dyDescent="0.3">
      <c r="A164" s="128">
        <v>46023</v>
      </c>
      <c r="B164" s="86" t="s">
        <v>83</v>
      </c>
      <c r="C164" s="87" t="s">
        <v>96</v>
      </c>
      <c r="D164" s="86" t="s">
        <v>1</v>
      </c>
      <c r="E164" s="129">
        <v>1.958333333333333</v>
      </c>
      <c r="F164" s="86" t="s">
        <v>110</v>
      </c>
      <c r="G164" s="88">
        <v>9</v>
      </c>
      <c r="H164" s="130">
        <v>439</v>
      </c>
    </row>
    <row r="165" spans="1:8" ht="19.8" customHeight="1" x14ac:dyDescent="0.3">
      <c r="A165" s="128">
        <v>46023</v>
      </c>
      <c r="B165" s="86" t="s">
        <v>45</v>
      </c>
      <c r="C165" s="87" t="s">
        <v>46</v>
      </c>
      <c r="D165" s="86" t="s">
        <v>1</v>
      </c>
      <c r="E165" s="129">
        <v>1.2013888888888891</v>
      </c>
      <c r="F165" s="86" t="s">
        <v>49</v>
      </c>
      <c r="G165" s="88">
        <v>7</v>
      </c>
      <c r="H165" s="130">
        <v>509</v>
      </c>
    </row>
    <row r="166" spans="1:8" ht="19.8" customHeight="1" x14ac:dyDescent="0.3">
      <c r="A166" s="128">
        <v>46023</v>
      </c>
      <c r="B166" s="86" t="s">
        <v>45</v>
      </c>
      <c r="C166" s="87" t="s">
        <v>53</v>
      </c>
      <c r="D166" s="86" t="s">
        <v>1</v>
      </c>
      <c r="E166" s="129">
        <v>1.836805555555556</v>
      </c>
      <c r="F166" s="86" t="s">
        <v>49</v>
      </c>
      <c r="G166" s="88">
        <v>1</v>
      </c>
      <c r="H166" s="130">
        <v>539</v>
      </c>
    </row>
    <row r="167" spans="1:8" ht="19.8" customHeight="1" x14ac:dyDescent="0.3">
      <c r="A167" s="128">
        <v>46023</v>
      </c>
      <c r="B167" s="86" t="s">
        <v>57</v>
      </c>
      <c r="C167" s="87" t="s">
        <v>58</v>
      </c>
      <c r="D167" s="86" t="s">
        <v>1</v>
      </c>
      <c r="E167" s="129">
        <v>1.305555555555556</v>
      </c>
      <c r="F167" s="86" t="s">
        <v>62</v>
      </c>
      <c r="G167" s="88">
        <v>2</v>
      </c>
      <c r="H167" s="130">
        <v>547</v>
      </c>
    </row>
    <row r="168" spans="1:8" ht="19.8" customHeight="1" x14ac:dyDescent="0.3">
      <c r="A168" s="131">
        <v>46023</v>
      </c>
      <c r="B168" s="89" t="s">
        <v>65</v>
      </c>
      <c r="C168" s="90" t="s">
        <v>66</v>
      </c>
      <c r="D168" s="89" t="s">
        <v>1</v>
      </c>
      <c r="E168" s="132">
        <v>1.9236111111111109</v>
      </c>
      <c r="F168" s="89" t="s">
        <v>110</v>
      </c>
      <c r="G168" s="91">
        <v>4</v>
      </c>
      <c r="H168" s="133">
        <v>566</v>
      </c>
    </row>
    <row r="169" spans="1:8" ht="19.8" customHeight="1" x14ac:dyDescent="0.3">
      <c r="A169" s="128">
        <v>46023</v>
      </c>
      <c r="B169" s="86" t="s">
        <v>89</v>
      </c>
      <c r="C169" s="87" t="s">
        <v>100</v>
      </c>
      <c r="D169" s="86" t="s">
        <v>1</v>
      </c>
      <c r="E169" s="129">
        <v>1.8888888888888891</v>
      </c>
      <c r="F169" s="86" t="s">
        <v>110</v>
      </c>
      <c r="G169" s="88">
        <v>5</v>
      </c>
      <c r="H169" s="130">
        <v>568</v>
      </c>
    </row>
    <row r="170" spans="1:8" ht="19.8" customHeight="1" x14ac:dyDescent="0.3">
      <c r="A170" s="128">
        <v>46023</v>
      </c>
      <c r="B170" s="86" t="s">
        <v>45</v>
      </c>
      <c r="C170" s="87" t="s">
        <v>46</v>
      </c>
      <c r="D170" s="86" t="s">
        <v>1</v>
      </c>
      <c r="E170" s="129">
        <v>1.2013888888888891</v>
      </c>
      <c r="F170" s="86" t="s">
        <v>51</v>
      </c>
      <c r="G170" s="88">
        <v>7</v>
      </c>
      <c r="H170" s="130">
        <v>599</v>
      </c>
    </row>
    <row r="171" spans="1:8" ht="19.8" customHeight="1" x14ac:dyDescent="0.3">
      <c r="A171" s="128">
        <v>46023</v>
      </c>
      <c r="B171" s="86" t="s">
        <v>28</v>
      </c>
      <c r="C171" s="87" t="s">
        <v>29</v>
      </c>
      <c r="D171" s="86" t="s">
        <v>1</v>
      </c>
      <c r="E171" s="129">
        <v>1.1701388888888891</v>
      </c>
      <c r="F171" s="86" t="s">
        <v>134</v>
      </c>
      <c r="G171" s="88">
        <v>9</v>
      </c>
      <c r="H171" s="130">
        <v>607</v>
      </c>
    </row>
    <row r="172" spans="1:8" ht="19.8" customHeight="1" x14ac:dyDescent="0.3">
      <c r="A172" s="128">
        <v>46023</v>
      </c>
      <c r="B172" s="86" t="s">
        <v>45</v>
      </c>
      <c r="C172" s="87" t="s">
        <v>53</v>
      </c>
      <c r="D172" s="86" t="s">
        <v>1</v>
      </c>
      <c r="E172" s="129">
        <v>1.836805555555556</v>
      </c>
      <c r="F172" s="86" t="s">
        <v>51</v>
      </c>
      <c r="G172" s="88">
        <v>1</v>
      </c>
      <c r="H172" s="130">
        <v>629</v>
      </c>
    </row>
    <row r="173" spans="1:8" ht="19.8" customHeight="1" x14ac:dyDescent="0.3">
      <c r="A173" s="128">
        <v>46023</v>
      </c>
      <c r="B173" s="86" t="s">
        <v>28</v>
      </c>
      <c r="C173" s="87" t="s">
        <v>33</v>
      </c>
      <c r="D173" s="86" t="s">
        <v>1</v>
      </c>
      <c r="E173" s="129">
        <v>1.5277777777777779</v>
      </c>
      <c r="F173" s="86" t="s">
        <v>134</v>
      </c>
      <c r="G173" s="88">
        <v>9</v>
      </c>
      <c r="H173" s="130">
        <v>667</v>
      </c>
    </row>
    <row r="174" spans="1:8" ht="19.8" customHeight="1" x14ac:dyDescent="0.3">
      <c r="A174" s="128">
        <v>46023</v>
      </c>
      <c r="B174" s="86" t="s">
        <v>28</v>
      </c>
      <c r="C174" s="87" t="s">
        <v>35</v>
      </c>
      <c r="D174" s="86" t="s">
        <v>1</v>
      </c>
      <c r="E174" s="129">
        <v>1.864583333333333</v>
      </c>
      <c r="F174" s="86" t="s">
        <v>107</v>
      </c>
      <c r="G174" s="88">
        <v>9</v>
      </c>
      <c r="H174" s="130">
        <v>817</v>
      </c>
    </row>
    <row r="175" spans="1:8" ht="19.8" customHeight="1" x14ac:dyDescent="0.3">
      <c r="A175" s="128">
        <v>46023</v>
      </c>
      <c r="B175" s="86" t="s">
        <v>57</v>
      </c>
      <c r="C175" s="87" t="s">
        <v>58</v>
      </c>
      <c r="D175" s="86" t="s">
        <v>1</v>
      </c>
      <c r="E175" s="129">
        <v>1.305555555555556</v>
      </c>
      <c r="F175" s="86" t="s">
        <v>51</v>
      </c>
      <c r="G175" s="88">
        <v>2</v>
      </c>
      <c r="H175" s="130">
        <v>899</v>
      </c>
    </row>
    <row r="176" spans="1:8" ht="19.8" customHeight="1" x14ac:dyDescent="0.3">
      <c r="A176" s="134">
        <v>46023</v>
      </c>
      <c r="B176" s="93" t="s">
        <v>73</v>
      </c>
      <c r="C176" s="94" t="s">
        <v>74</v>
      </c>
      <c r="D176" s="93" t="s">
        <v>1</v>
      </c>
      <c r="E176" s="135">
        <v>1.305555555555556</v>
      </c>
      <c r="F176" s="93" t="s">
        <v>75</v>
      </c>
      <c r="G176" s="95">
        <v>4</v>
      </c>
      <c r="H176" s="96" t="s">
        <v>85</v>
      </c>
    </row>
    <row r="177" spans="1:8" ht="19.8" customHeight="1" x14ac:dyDescent="0.3">
      <c r="A177" s="128">
        <v>46024</v>
      </c>
      <c r="B177" s="86" t="s">
        <v>57</v>
      </c>
      <c r="C177" s="87" t="s">
        <v>58</v>
      </c>
      <c r="D177" s="86" t="s">
        <v>1</v>
      </c>
      <c r="E177" s="129">
        <v>1.305555555555556</v>
      </c>
      <c r="F177" s="86" t="s">
        <v>59</v>
      </c>
      <c r="G177" s="88">
        <v>19</v>
      </c>
      <c r="H177" s="130">
        <v>429</v>
      </c>
    </row>
    <row r="178" spans="1:8" ht="19.8" customHeight="1" x14ac:dyDescent="0.3">
      <c r="A178" s="128">
        <v>46024</v>
      </c>
      <c r="B178" s="86" t="s">
        <v>45</v>
      </c>
      <c r="C178" s="87" t="s">
        <v>53</v>
      </c>
      <c r="D178" s="86" t="s">
        <v>1</v>
      </c>
      <c r="E178" s="129">
        <v>1.836805555555556</v>
      </c>
      <c r="F178" s="86" t="s">
        <v>47</v>
      </c>
      <c r="G178" s="88">
        <v>8</v>
      </c>
      <c r="H178" s="130">
        <v>439</v>
      </c>
    </row>
    <row r="179" spans="1:8" ht="19.8" customHeight="1" x14ac:dyDescent="0.3">
      <c r="A179" s="128">
        <v>46024</v>
      </c>
      <c r="B179" s="86" t="s">
        <v>45</v>
      </c>
      <c r="C179" s="87" t="s">
        <v>53</v>
      </c>
      <c r="D179" s="86" t="s">
        <v>1</v>
      </c>
      <c r="E179" s="129">
        <v>1.836805555555556</v>
      </c>
      <c r="F179" s="86" t="s">
        <v>49</v>
      </c>
      <c r="G179" s="88">
        <v>8</v>
      </c>
      <c r="H179" s="130">
        <v>539</v>
      </c>
    </row>
    <row r="180" spans="1:8" ht="19.8" customHeight="1" x14ac:dyDescent="0.3">
      <c r="A180" s="128">
        <v>46024</v>
      </c>
      <c r="B180" s="86" t="s">
        <v>83</v>
      </c>
      <c r="C180" s="87" t="s">
        <v>92</v>
      </c>
      <c r="D180" s="86" t="s">
        <v>1</v>
      </c>
      <c r="E180" s="129">
        <v>1.958333333333333</v>
      </c>
      <c r="F180" s="86" t="s">
        <v>110</v>
      </c>
      <c r="G180" s="88">
        <v>7</v>
      </c>
      <c r="H180" s="130">
        <v>563</v>
      </c>
    </row>
    <row r="181" spans="1:8" ht="19.8" customHeight="1" x14ac:dyDescent="0.3">
      <c r="A181" s="128">
        <v>46024</v>
      </c>
      <c r="B181" s="86" t="s">
        <v>57</v>
      </c>
      <c r="C181" s="87" t="s">
        <v>58</v>
      </c>
      <c r="D181" s="86" t="s">
        <v>1</v>
      </c>
      <c r="E181" s="129">
        <v>1.305555555555556</v>
      </c>
      <c r="F181" s="86" t="s">
        <v>62</v>
      </c>
      <c r="G181" s="88">
        <v>19</v>
      </c>
      <c r="H181" s="130">
        <v>607</v>
      </c>
    </row>
    <row r="182" spans="1:8" ht="19.8" customHeight="1" x14ac:dyDescent="0.3">
      <c r="A182" s="131">
        <v>46024</v>
      </c>
      <c r="B182" s="89" t="s">
        <v>65</v>
      </c>
      <c r="C182" s="90" t="s">
        <v>66</v>
      </c>
      <c r="D182" s="89" t="s">
        <v>1</v>
      </c>
      <c r="E182" s="132">
        <v>1.5798611111111109</v>
      </c>
      <c r="F182" s="89" t="s">
        <v>110</v>
      </c>
      <c r="G182" s="91">
        <v>2</v>
      </c>
      <c r="H182" s="133">
        <v>626</v>
      </c>
    </row>
    <row r="183" spans="1:8" ht="19.8" customHeight="1" x14ac:dyDescent="0.3">
      <c r="A183" s="128">
        <v>46024</v>
      </c>
      <c r="B183" s="86" t="s">
        <v>45</v>
      </c>
      <c r="C183" s="87" t="s">
        <v>53</v>
      </c>
      <c r="D183" s="86" t="s">
        <v>1</v>
      </c>
      <c r="E183" s="129">
        <v>1.836805555555556</v>
      </c>
      <c r="F183" s="86" t="s">
        <v>51</v>
      </c>
      <c r="G183" s="88">
        <v>8</v>
      </c>
      <c r="H183" s="130">
        <v>629</v>
      </c>
    </row>
    <row r="184" spans="1:8" ht="19.8" customHeight="1" x14ac:dyDescent="0.3">
      <c r="A184" s="128">
        <v>46024</v>
      </c>
      <c r="B184" s="86" t="s">
        <v>28</v>
      </c>
      <c r="C184" s="87" t="s">
        <v>29</v>
      </c>
      <c r="D184" s="86" t="s">
        <v>1</v>
      </c>
      <c r="E184" s="129">
        <v>1.1701388888888891</v>
      </c>
      <c r="F184" s="86" t="s">
        <v>107</v>
      </c>
      <c r="G184" s="88">
        <v>9</v>
      </c>
      <c r="H184" s="130">
        <v>667</v>
      </c>
    </row>
    <row r="185" spans="1:8" ht="19.8" customHeight="1" x14ac:dyDescent="0.3">
      <c r="A185" s="128">
        <v>46024</v>
      </c>
      <c r="B185" s="86" t="s">
        <v>28</v>
      </c>
      <c r="C185" s="87" t="s">
        <v>35</v>
      </c>
      <c r="D185" s="86" t="s">
        <v>1</v>
      </c>
      <c r="E185" s="129">
        <v>1.864583333333333</v>
      </c>
      <c r="F185" s="86" t="s">
        <v>107</v>
      </c>
      <c r="G185" s="88">
        <v>9</v>
      </c>
      <c r="H185" s="130">
        <v>727</v>
      </c>
    </row>
    <row r="186" spans="1:8" ht="19.8" customHeight="1" x14ac:dyDescent="0.3">
      <c r="A186" s="128">
        <v>46024</v>
      </c>
      <c r="B186" s="86" t="s">
        <v>28</v>
      </c>
      <c r="C186" s="87" t="s">
        <v>33</v>
      </c>
      <c r="D186" s="86" t="s">
        <v>1</v>
      </c>
      <c r="E186" s="129">
        <v>1.5277777777777779</v>
      </c>
      <c r="F186" s="86" t="s">
        <v>107</v>
      </c>
      <c r="G186" s="88">
        <v>9</v>
      </c>
      <c r="H186" s="130">
        <v>825</v>
      </c>
    </row>
    <row r="187" spans="1:8" ht="19.8" customHeight="1" x14ac:dyDescent="0.3">
      <c r="A187" s="128">
        <v>46024</v>
      </c>
      <c r="B187" s="86" t="s">
        <v>57</v>
      </c>
      <c r="C187" s="87" t="s">
        <v>58</v>
      </c>
      <c r="D187" s="86" t="s">
        <v>1</v>
      </c>
      <c r="E187" s="129">
        <v>1.305555555555556</v>
      </c>
      <c r="F187" s="86" t="s">
        <v>51</v>
      </c>
      <c r="G187" s="88">
        <v>19</v>
      </c>
      <c r="H187" s="130">
        <v>899</v>
      </c>
    </row>
    <row r="188" spans="1:8" ht="19.8" customHeight="1" x14ac:dyDescent="0.3">
      <c r="A188" s="134">
        <v>46024</v>
      </c>
      <c r="B188" s="93" t="s">
        <v>73</v>
      </c>
      <c r="C188" s="94" t="s">
        <v>74</v>
      </c>
      <c r="D188" s="93" t="s">
        <v>1</v>
      </c>
      <c r="E188" s="135">
        <v>1.305555555555556</v>
      </c>
      <c r="F188" s="93" t="s">
        <v>75</v>
      </c>
      <c r="G188" s="95">
        <v>4</v>
      </c>
      <c r="H188" s="96" t="s">
        <v>77</v>
      </c>
    </row>
    <row r="189" spans="1:8" ht="19.8" customHeight="1" x14ac:dyDescent="0.3">
      <c r="A189" s="128">
        <v>46025</v>
      </c>
      <c r="B189" s="86" t="s">
        <v>57</v>
      </c>
      <c r="C189" s="87" t="s">
        <v>58</v>
      </c>
      <c r="D189" s="86" t="s">
        <v>1</v>
      </c>
      <c r="E189" s="129">
        <v>1.305555555555556</v>
      </c>
      <c r="F189" s="86" t="s">
        <v>59</v>
      </c>
      <c r="G189" s="88">
        <v>6</v>
      </c>
      <c r="H189" s="130">
        <v>399</v>
      </c>
    </row>
    <row r="190" spans="1:8" ht="19.8" customHeight="1" x14ac:dyDescent="0.3">
      <c r="A190" s="128">
        <v>46025</v>
      </c>
      <c r="B190" s="86" t="s">
        <v>45</v>
      </c>
      <c r="C190" s="87" t="s">
        <v>53</v>
      </c>
      <c r="D190" s="86" t="s">
        <v>1</v>
      </c>
      <c r="E190" s="129">
        <v>1.836805555555556</v>
      </c>
      <c r="F190" s="86" t="s">
        <v>47</v>
      </c>
      <c r="G190" s="88">
        <v>3</v>
      </c>
      <c r="H190" s="130">
        <v>409</v>
      </c>
    </row>
    <row r="191" spans="1:8" ht="19.8" customHeight="1" x14ac:dyDescent="0.3">
      <c r="A191" s="128">
        <v>46025</v>
      </c>
      <c r="B191" s="86" t="s">
        <v>38</v>
      </c>
      <c r="C191" s="87" t="s">
        <v>39</v>
      </c>
      <c r="D191" s="86" t="s">
        <v>1</v>
      </c>
      <c r="E191" s="129">
        <v>1.9722222222222221</v>
      </c>
      <c r="F191" s="86" t="s">
        <v>40</v>
      </c>
      <c r="G191" s="88">
        <v>9</v>
      </c>
      <c r="H191" s="130">
        <v>474</v>
      </c>
    </row>
    <row r="192" spans="1:8" ht="19.8" customHeight="1" x14ac:dyDescent="0.3">
      <c r="A192" s="128">
        <v>46025</v>
      </c>
      <c r="B192" s="86" t="s">
        <v>45</v>
      </c>
      <c r="C192" s="87" t="s">
        <v>46</v>
      </c>
      <c r="D192" s="86" t="s">
        <v>1</v>
      </c>
      <c r="E192" s="129">
        <v>1.2013888888888891</v>
      </c>
      <c r="F192" s="86" t="s">
        <v>47</v>
      </c>
      <c r="G192" s="88">
        <v>9</v>
      </c>
      <c r="H192" s="130">
        <v>479</v>
      </c>
    </row>
    <row r="193" spans="1:8" ht="19.8" customHeight="1" x14ac:dyDescent="0.3">
      <c r="A193" s="128">
        <v>46025</v>
      </c>
      <c r="B193" s="86" t="s">
        <v>45</v>
      </c>
      <c r="C193" s="87" t="s">
        <v>53</v>
      </c>
      <c r="D193" s="86" t="s">
        <v>1</v>
      </c>
      <c r="E193" s="129">
        <v>1.836805555555556</v>
      </c>
      <c r="F193" s="86" t="s">
        <v>49</v>
      </c>
      <c r="G193" s="88">
        <v>3</v>
      </c>
      <c r="H193" s="130">
        <v>509</v>
      </c>
    </row>
    <row r="194" spans="1:8" ht="19.8" customHeight="1" x14ac:dyDescent="0.3">
      <c r="A194" s="128">
        <v>46025</v>
      </c>
      <c r="B194" s="86" t="s">
        <v>57</v>
      </c>
      <c r="C194" s="87" t="s">
        <v>58</v>
      </c>
      <c r="D194" s="86" t="s">
        <v>1</v>
      </c>
      <c r="E194" s="129">
        <v>1.305555555555556</v>
      </c>
      <c r="F194" s="86" t="s">
        <v>62</v>
      </c>
      <c r="G194" s="88">
        <v>6</v>
      </c>
      <c r="H194" s="130">
        <v>577</v>
      </c>
    </row>
    <row r="195" spans="1:8" ht="19.8" customHeight="1" x14ac:dyDescent="0.3">
      <c r="A195" s="128">
        <v>46025</v>
      </c>
      <c r="B195" s="86" t="s">
        <v>45</v>
      </c>
      <c r="C195" s="87" t="s">
        <v>46</v>
      </c>
      <c r="D195" s="86" t="s">
        <v>1</v>
      </c>
      <c r="E195" s="129">
        <v>1.2013888888888891</v>
      </c>
      <c r="F195" s="86" t="s">
        <v>49</v>
      </c>
      <c r="G195" s="88">
        <v>9</v>
      </c>
      <c r="H195" s="130">
        <v>579</v>
      </c>
    </row>
    <row r="196" spans="1:8" ht="19.8" customHeight="1" x14ac:dyDescent="0.3">
      <c r="A196" s="128">
        <v>46025</v>
      </c>
      <c r="B196" s="86" t="s">
        <v>45</v>
      </c>
      <c r="C196" s="87" t="s">
        <v>53</v>
      </c>
      <c r="D196" s="86" t="s">
        <v>1</v>
      </c>
      <c r="E196" s="129">
        <v>1.836805555555556</v>
      </c>
      <c r="F196" s="86" t="s">
        <v>51</v>
      </c>
      <c r="G196" s="88">
        <v>3</v>
      </c>
      <c r="H196" s="130">
        <v>599</v>
      </c>
    </row>
    <row r="197" spans="1:8" ht="19.8" customHeight="1" x14ac:dyDescent="0.3">
      <c r="A197" s="128">
        <v>46025</v>
      </c>
      <c r="B197" s="86" t="s">
        <v>28</v>
      </c>
      <c r="C197" s="87" t="s">
        <v>29</v>
      </c>
      <c r="D197" s="86" t="s">
        <v>1</v>
      </c>
      <c r="E197" s="129">
        <v>1.1701388888888891</v>
      </c>
      <c r="F197" s="86" t="s">
        <v>134</v>
      </c>
      <c r="G197" s="88">
        <v>9</v>
      </c>
      <c r="H197" s="130">
        <v>615</v>
      </c>
    </row>
    <row r="198" spans="1:8" ht="19.8" customHeight="1" x14ac:dyDescent="0.3">
      <c r="A198" s="131">
        <v>46025</v>
      </c>
      <c r="B198" s="89" t="s">
        <v>65</v>
      </c>
      <c r="C198" s="90" t="s">
        <v>66</v>
      </c>
      <c r="D198" s="89" t="s">
        <v>1</v>
      </c>
      <c r="E198" s="132">
        <v>1.9236111111111109</v>
      </c>
      <c r="F198" s="89" t="s">
        <v>110</v>
      </c>
      <c r="G198" s="91">
        <v>7</v>
      </c>
      <c r="H198" s="133">
        <v>626</v>
      </c>
    </row>
    <row r="199" spans="1:8" ht="19.8" customHeight="1" x14ac:dyDescent="0.3">
      <c r="A199" s="128">
        <v>46025</v>
      </c>
      <c r="B199" s="86" t="s">
        <v>83</v>
      </c>
      <c r="C199" s="87" t="s">
        <v>96</v>
      </c>
      <c r="D199" s="86" t="s">
        <v>1</v>
      </c>
      <c r="E199" s="129">
        <v>1.895833333333333</v>
      </c>
      <c r="F199" s="86" t="s">
        <v>110</v>
      </c>
      <c r="G199" s="88">
        <v>7</v>
      </c>
      <c r="H199" s="130">
        <v>629</v>
      </c>
    </row>
    <row r="200" spans="1:8" ht="19.8" customHeight="1" x14ac:dyDescent="0.3">
      <c r="A200" s="128">
        <v>46025</v>
      </c>
      <c r="B200" s="86" t="s">
        <v>28</v>
      </c>
      <c r="C200" s="87" t="s">
        <v>35</v>
      </c>
      <c r="D200" s="86" t="s">
        <v>1</v>
      </c>
      <c r="E200" s="129">
        <v>1.864583333333333</v>
      </c>
      <c r="F200" s="86" t="s">
        <v>134</v>
      </c>
      <c r="G200" s="88">
        <v>9</v>
      </c>
      <c r="H200" s="130">
        <v>667</v>
      </c>
    </row>
    <row r="201" spans="1:8" ht="19.8" customHeight="1" x14ac:dyDescent="0.3">
      <c r="A201" s="128">
        <v>46025</v>
      </c>
      <c r="B201" s="86" t="s">
        <v>28</v>
      </c>
      <c r="C201" s="87" t="s">
        <v>33</v>
      </c>
      <c r="D201" s="86" t="s">
        <v>1</v>
      </c>
      <c r="E201" s="129">
        <v>1.5277777777777779</v>
      </c>
      <c r="F201" s="86" t="s">
        <v>134</v>
      </c>
      <c r="G201" s="88">
        <v>9</v>
      </c>
      <c r="H201" s="130">
        <v>667</v>
      </c>
    </row>
    <row r="202" spans="1:8" ht="19.8" customHeight="1" x14ac:dyDescent="0.3">
      <c r="A202" s="128">
        <v>46025</v>
      </c>
      <c r="B202" s="86" t="s">
        <v>45</v>
      </c>
      <c r="C202" s="87" t="s">
        <v>46</v>
      </c>
      <c r="D202" s="86" t="s">
        <v>1</v>
      </c>
      <c r="E202" s="129">
        <v>1.2013888888888891</v>
      </c>
      <c r="F202" s="86" t="s">
        <v>51</v>
      </c>
      <c r="G202" s="88">
        <v>9</v>
      </c>
      <c r="H202" s="130">
        <v>669</v>
      </c>
    </row>
    <row r="203" spans="1:8" ht="19.8" customHeight="1" x14ac:dyDescent="0.3">
      <c r="A203" s="128">
        <v>46025</v>
      </c>
      <c r="B203" s="86" t="s">
        <v>38</v>
      </c>
      <c r="C203" s="87" t="s">
        <v>39</v>
      </c>
      <c r="D203" s="86" t="s">
        <v>1</v>
      </c>
      <c r="E203" s="129">
        <v>1.9722222222222221</v>
      </c>
      <c r="F203" s="86" t="s">
        <v>43</v>
      </c>
      <c r="G203" s="88">
        <v>9</v>
      </c>
      <c r="H203" s="130">
        <v>679</v>
      </c>
    </row>
    <row r="204" spans="1:8" ht="19.8" customHeight="1" x14ac:dyDescent="0.3">
      <c r="A204" s="128">
        <v>46025</v>
      </c>
      <c r="B204" s="86" t="s">
        <v>57</v>
      </c>
      <c r="C204" s="87" t="s">
        <v>58</v>
      </c>
      <c r="D204" s="86" t="s">
        <v>1</v>
      </c>
      <c r="E204" s="129">
        <v>1.305555555555556</v>
      </c>
      <c r="F204" s="86" t="s">
        <v>51</v>
      </c>
      <c r="G204" s="88">
        <v>6</v>
      </c>
      <c r="H204" s="130">
        <v>899</v>
      </c>
    </row>
    <row r="205" spans="1:8" ht="19.8" customHeight="1" x14ac:dyDescent="0.3">
      <c r="A205" s="134">
        <v>46025</v>
      </c>
      <c r="B205" s="93" t="s">
        <v>73</v>
      </c>
      <c r="C205" s="94" t="s">
        <v>74</v>
      </c>
      <c r="D205" s="93" t="s">
        <v>1</v>
      </c>
      <c r="E205" s="135">
        <v>1.305555555555556</v>
      </c>
      <c r="F205" s="93" t="s">
        <v>75</v>
      </c>
      <c r="G205" s="95">
        <v>4</v>
      </c>
      <c r="H205" s="96" t="s">
        <v>85</v>
      </c>
    </row>
    <row r="206" spans="1:8" ht="19.8" customHeight="1" x14ac:dyDescent="0.3">
      <c r="A206" s="128">
        <v>46026</v>
      </c>
      <c r="B206" s="86" t="s">
        <v>57</v>
      </c>
      <c r="C206" s="87" t="s">
        <v>58</v>
      </c>
      <c r="D206" s="86" t="s">
        <v>1</v>
      </c>
      <c r="E206" s="129">
        <v>1.305555555555556</v>
      </c>
      <c r="F206" s="86" t="s">
        <v>59</v>
      </c>
      <c r="G206" s="88">
        <v>19</v>
      </c>
      <c r="H206" s="130">
        <v>429</v>
      </c>
    </row>
    <row r="207" spans="1:8" ht="19.8" customHeight="1" x14ac:dyDescent="0.3">
      <c r="A207" s="128">
        <v>46026</v>
      </c>
      <c r="B207" s="86" t="s">
        <v>45</v>
      </c>
      <c r="C207" s="87" t="s">
        <v>53</v>
      </c>
      <c r="D207" s="86" t="s">
        <v>1</v>
      </c>
      <c r="E207" s="129">
        <v>1.836805555555556</v>
      </c>
      <c r="F207" s="86" t="s">
        <v>47</v>
      </c>
      <c r="G207" s="88">
        <v>5</v>
      </c>
      <c r="H207" s="130">
        <v>439</v>
      </c>
    </row>
    <row r="208" spans="1:8" ht="19.8" customHeight="1" x14ac:dyDescent="0.3">
      <c r="A208" s="128">
        <v>46026</v>
      </c>
      <c r="B208" s="86" t="s">
        <v>89</v>
      </c>
      <c r="C208" s="87" t="s">
        <v>150</v>
      </c>
      <c r="D208" s="86" t="s">
        <v>1</v>
      </c>
      <c r="E208" s="129">
        <v>1.2152777777777779</v>
      </c>
      <c r="F208" s="86" t="s">
        <v>110</v>
      </c>
      <c r="G208" s="88">
        <v>3</v>
      </c>
      <c r="H208" s="130">
        <v>500</v>
      </c>
    </row>
    <row r="209" spans="1:8" ht="19.8" customHeight="1" x14ac:dyDescent="0.3">
      <c r="A209" s="128">
        <v>46026</v>
      </c>
      <c r="B209" s="86" t="s">
        <v>45</v>
      </c>
      <c r="C209" s="87" t="s">
        <v>53</v>
      </c>
      <c r="D209" s="86" t="s">
        <v>1</v>
      </c>
      <c r="E209" s="129">
        <v>1.836805555555556</v>
      </c>
      <c r="F209" s="86" t="s">
        <v>49</v>
      </c>
      <c r="G209" s="88">
        <v>5</v>
      </c>
      <c r="H209" s="130">
        <v>539</v>
      </c>
    </row>
    <row r="210" spans="1:8" ht="19.8" customHeight="1" x14ac:dyDescent="0.3">
      <c r="A210" s="128">
        <v>46026</v>
      </c>
      <c r="B210" s="86" t="s">
        <v>83</v>
      </c>
      <c r="C210" s="87" t="s">
        <v>84</v>
      </c>
      <c r="D210" s="86" t="s">
        <v>1</v>
      </c>
      <c r="E210" s="129">
        <v>1.958333333333333</v>
      </c>
      <c r="F210" s="86" t="s">
        <v>110</v>
      </c>
      <c r="G210" s="88">
        <v>5</v>
      </c>
      <c r="H210" s="130">
        <v>563</v>
      </c>
    </row>
    <row r="211" spans="1:8" ht="19.8" customHeight="1" x14ac:dyDescent="0.3">
      <c r="A211" s="128">
        <v>46026</v>
      </c>
      <c r="B211" s="86" t="s">
        <v>57</v>
      </c>
      <c r="C211" s="87" t="s">
        <v>58</v>
      </c>
      <c r="D211" s="86" t="s">
        <v>1</v>
      </c>
      <c r="E211" s="129">
        <v>1.305555555555556</v>
      </c>
      <c r="F211" s="86" t="s">
        <v>62</v>
      </c>
      <c r="G211" s="88">
        <v>19</v>
      </c>
      <c r="H211" s="130">
        <v>607</v>
      </c>
    </row>
    <row r="212" spans="1:8" ht="19.8" customHeight="1" x14ac:dyDescent="0.3">
      <c r="A212" s="128">
        <v>46026</v>
      </c>
      <c r="B212" s="86" t="s">
        <v>28</v>
      </c>
      <c r="C212" s="87" t="s">
        <v>29</v>
      </c>
      <c r="D212" s="86" t="s">
        <v>1</v>
      </c>
      <c r="E212" s="129">
        <v>1.1701388888888891</v>
      </c>
      <c r="F212" s="86" t="s">
        <v>134</v>
      </c>
      <c r="G212" s="88">
        <v>9</v>
      </c>
      <c r="H212" s="130">
        <v>615</v>
      </c>
    </row>
    <row r="213" spans="1:8" ht="19.8" customHeight="1" x14ac:dyDescent="0.3">
      <c r="A213" s="128">
        <v>46026</v>
      </c>
      <c r="B213" s="86" t="s">
        <v>45</v>
      </c>
      <c r="C213" s="87" t="s">
        <v>53</v>
      </c>
      <c r="D213" s="86" t="s">
        <v>1</v>
      </c>
      <c r="E213" s="129">
        <v>1.836805555555556</v>
      </c>
      <c r="F213" s="86" t="s">
        <v>51</v>
      </c>
      <c r="G213" s="88">
        <v>5</v>
      </c>
      <c r="H213" s="130">
        <v>629</v>
      </c>
    </row>
    <row r="214" spans="1:8" ht="19.8" customHeight="1" x14ac:dyDescent="0.3">
      <c r="A214" s="128">
        <v>46026</v>
      </c>
      <c r="B214" s="86" t="s">
        <v>28</v>
      </c>
      <c r="C214" s="87" t="s">
        <v>35</v>
      </c>
      <c r="D214" s="86" t="s">
        <v>1</v>
      </c>
      <c r="E214" s="129">
        <v>1.864583333333333</v>
      </c>
      <c r="F214" s="86" t="s">
        <v>134</v>
      </c>
      <c r="G214" s="88">
        <v>9</v>
      </c>
      <c r="H214" s="130">
        <v>667</v>
      </c>
    </row>
    <row r="215" spans="1:8" ht="19.8" customHeight="1" x14ac:dyDescent="0.3">
      <c r="A215" s="128">
        <v>46026</v>
      </c>
      <c r="B215" s="86" t="s">
        <v>28</v>
      </c>
      <c r="C215" s="87" t="s">
        <v>33</v>
      </c>
      <c r="D215" s="86" t="s">
        <v>1</v>
      </c>
      <c r="E215" s="129">
        <v>1.5277777777777779</v>
      </c>
      <c r="F215" s="86" t="s">
        <v>134</v>
      </c>
      <c r="G215" s="88">
        <v>9</v>
      </c>
      <c r="H215" s="130">
        <v>667</v>
      </c>
    </row>
    <row r="216" spans="1:8" ht="19.8" customHeight="1" x14ac:dyDescent="0.3">
      <c r="A216" s="128">
        <v>46026</v>
      </c>
      <c r="B216" s="86" t="s">
        <v>57</v>
      </c>
      <c r="C216" s="87" t="s">
        <v>58</v>
      </c>
      <c r="D216" s="86" t="s">
        <v>1</v>
      </c>
      <c r="E216" s="129">
        <v>1.305555555555556</v>
      </c>
      <c r="F216" s="86" t="s">
        <v>51</v>
      </c>
      <c r="G216" s="88">
        <v>19</v>
      </c>
      <c r="H216" s="130">
        <v>899</v>
      </c>
    </row>
    <row r="217" spans="1:8" ht="19.8" customHeight="1" x14ac:dyDescent="0.3">
      <c r="A217" s="134">
        <v>46026</v>
      </c>
      <c r="B217" s="93" t="s">
        <v>73</v>
      </c>
      <c r="C217" s="94" t="s">
        <v>74</v>
      </c>
      <c r="D217" s="93" t="s">
        <v>1</v>
      </c>
      <c r="E217" s="135">
        <v>1.305555555555556</v>
      </c>
      <c r="F217" s="93" t="s">
        <v>75</v>
      </c>
      <c r="G217" s="95">
        <v>4</v>
      </c>
      <c r="H217" s="96" t="s">
        <v>77</v>
      </c>
    </row>
    <row r="218" spans="1:8" ht="19.8" customHeight="1" x14ac:dyDescent="0.3">
      <c r="A218" s="128">
        <v>46027</v>
      </c>
      <c r="B218" s="86" t="s">
        <v>57</v>
      </c>
      <c r="C218" s="87" t="s">
        <v>58</v>
      </c>
      <c r="D218" s="86" t="s">
        <v>1</v>
      </c>
      <c r="E218" s="129">
        <v>1.305555555555556</v>
      </c>
      <c r="F218" s="86" t="s">
        <v>59</v>
      </c>
      <c r="G218" s="88">
        <v>18</v>
      </c>
      <c r="H218" s="130">
        <v>399</v>
      </c>
    </row>
    <row r="219" spans="1:8" ht="19.8" customHeight="1" x14ac:dyDescent="0.3">
      <c r="A219" s="128">
        <v>46027</v>
      </c>
      <c r="B219" s="86" t="s">
        <v>45</v>
      </c>
      <c r="C219" s="87" t="s">
        <v>53</v>
      </c>
      <c r="D219" s="86" t="s">
        <v>1</v>
      </c>
      <c r="E219" s="129">
        <v>1.836805555555556</v>
      </c>
      <c r="F219" s="86" t="s">
        <v>47</v>
      </c>
      <c r="G219" s="88">
        <v>5</v>
      </c>
      <c r="H219" s="130">
        <v>409</v>
      </c>
    </row>
    <row r="220" spans="1:8" ht="19.8" customHeight="1" x14ac:dyDescent="0.3">
      <c r="A220" s="128">
        <v>46027</v>
      </c>
      <c r="B220" s="86" t="s">
        <v>45</v>
      </c>
      <c r="C220" s="87" t="s">
        <v>46</v>
      </c>
      <c r="D220" s="86" t="s">
        <v>1</v>
      </c>
      <c r="E220" s="129">
        <v>1.2013888888888891</v>
      </c>
      <c r="F220" s="86" t="s">
        <v>47</v>
      </c>
      <c r="G220" s="88">
        <v>9</v>
      </c>
      <c r="H220" s="130">
        <v>439</v>
      </c>
    </row>
    <row r="221" spans="1:8" ht="19.8" customHeight="1" x14ac:dyDescent="0.3">
      <c r="A221" s="128">
        <v>46027</v>
      </c>
      <c r="B221" s="86" t="s">
        <v>45</v>
      </c>
      <c r="C221" s="87" t="s">
        <v>53</v>
      </c>
      <c r="D221" s="86" t="s">
        <v>1</v>
      </c>
      <c r="E221" s="129">
        <v>1.836805555555556</v>
      </c>
      <c r="F221" s="86" t="s">
        <v>49</v>
      </c>
      <c r="G221" s="88">
        <v>5</v>
      </c>
      <c r="H221" s="130">
        <v>509</v>
      </c>
    </row>
    <row r="222" spans="1:8" ht="19.8" customHeight="1" x14ac:dyDescent="0.3">
      <c r="A222" s="128">
        <v>46027</v>
      </c>
      <c r="B222" s="86" t="s">
        <v>45</v>
      </c>
      <c r="C222" s="87" t="s">
        <v>46</v>
      </c>
      <c r="D222" s="86" t="s">
        <v>1</v>
      </c>
      <c r="E222" s="129">
        <v>1.2013888888888891</v>
      </c>
      <c r="F222" s="86" t="s">
        <v>49</v>
      </c>
      <c r="G222" s="88">
        <v>9</v>
      </c>
      <c r="H222" s="130">
        <v>539</v>
      </c>
    </row>
    <row r="223" spans="1:8" ht="19.8" customHeight="1" x14ac:dyDescent="0.3">
      <c r="A223" s="128">
        <v>46027</v>
      </c>
      <c r="B223" s="86" t="s">
        <v>89</v>
      </c>
      <c r="C223" s="87" t="s">
        <v>90</v>
      </c>
      <c r="D223" s="86" t="s">
        <v>1</v>
      </c>
      <c r="E223" s="129">
        <v>1.1284722222222221</v>
      </c>
      <c r="F223" s="86" t="s">
        <v>110</v>
      </c>
      <c r="G223" s="88">
        <v>8</v>
      </c>
      <c r="H223" s="130">
        <v>568</v>
      </c>
    </row>
    <row r="224" spans="1:8" ht="19.8" customHeight="1" x14ac:dyDescent="0.3">
      <c r="A224" s="128">
        <v>46027</v>
      </c>
      <c r="B224" s="86" t="s">
        <v>57</v>
      </c>
      <c r="C224" s="87" t="s">
        <v>58</v>
      </c>
      <c r="D224" s="86" t="s">
        <v>1</v>
      </c>
      <c r="E224" s="129">
        <v>1.305555555555556</v>
      </c>
      <c r="F224" s="86" t="s">
        <v>62</v>
      </c>
      <c r="G224" s="88">
        <v>18</v>
      </c>
      <c r="H224" s="130">
        <v>577</v>
      </c>
    </row>
    <row r="225" spans="1:8" ht="19.8" customHeight="1" x14ac:dyDescent="0.3">
      <c r="A225" s="128">
        <v>46027</v>
      </c>
      <c r="B225" s="86" t="s">
        <v>45</v>
      </c>
      <c r="C225" s="87" t="s">
        <v>53</v>
      </c>
      <c r="D225" s="86" t="s">
        <v>1</v>
      </c>
      <c r="E225" s="129">
        <v>1.836805555555556</v>
      </c>
      <c r="F225" s="86" t="s">
        <v>51</v>
      </c>
      <c r="G225" s="88">
        <v>5</v>
      </c>
      <c r="H225" s="130">
        <v>599</v>
      </c>
    </row>
    <row r="226" spans="1:8" ht="19.8" customHeight="1" x14ac:dyDescent="0.3">
      <c r="A226" s="128">
        <v>46027</v>
      </c>
      <c r="B226" s="86" t="s">
        <v>28</v>
      </c>
      <c r="C226" s="87" t="s">
        <v>29</v>
      </c>
      <c r="D226" s="86" t="s">
        <v>1</v>
      </c>
      <c r="E226" s="129">
        <v>1.1701388888888891</v>
      </c>
      <c r="F226" s="86" t="s">
        <v>134</v>
      </c>
      <c r="G226" s="88">
        <v>9</v>
      </c>
      <c r="H226" s="130">
        <v>607</v>
      </c>
    </row>
    <row r="227" spans="1:8" ht="19.8" customHeight="1" x14ac:dyDescent="0.3">
      <c r="A227" s="128">
        <v>46027</v>
      </c>
      <c r="B227" s="86" t="s">
        <v>45</v>
      </c>
      <c r="C227" s="87" t="s">
        <v>46</v>
      </c>
      <c r="D227" s="86" t="s">
        <v>1</v>
      </c>
      <c r="E227" s="129">
        <v>1.2013888888888891</v>
      </c>
      <c r="F227" s="86" t="s">
        <v>51</v>
      </c>
      <c r="G227" s="88">
        <v>9</v>
      </c>
      <c r="H227" s="130">
        <v>629</v>
      </c>
    </row>
    <row r="228" spans="1:8" ht="19.8" customHeight="1" x14ac:dyDescent="0.3">
      <c r="A228" s="128">
        <v>46027</v>
      </c>
      <c r="B228" s="86" t="s">
        <v>28</v>
      </c>
      <c r="C228" s="87" t="s">
        <v>35</v>
      </c>
      <c r="D228" s="86" t="s">
        <v>1</v>
      </c>
      <c r="E228" s="129">
        <v>1.864583333333333</v>
      </c>
      <c r="F228" s="86" t="s">
        <v>134</v>
      </c>
      <c r="G228" s="88">
        <v>9</v>
      </c>
      <c r="H228" s="130">
        <v>667</v>
      </c>
    </row>
    <row r="229" spans="1:8" ht="19.8" customHeight="1" x14ac:dyDescent="0.3">
      <c r="A229" s="128">
        <v>46027</v>
      </c>
      <c r="B229" s="86" t="s">
        <v>28</v>
      </c>
      <c r="C229" s="87" t="s">
        <v>33</v>
      </c>
      <c r="D229" s="86" t="s">
        <v>1</v>
      </c>
      <c r="E229" s="129">
        <v>1.5277777777777779</v>
      </c>
      <c r="F229" s="86" t="s">
        <v>134</v>
      </c>
      <c r="G229" s="88">
        <v>9</v>
      </c>
      <c r="H229" s="130">
        <v>667</v>
      </c>
    </row>
    <row r="230" spans="1:8" ht="19.8" customHeight="1" x14ac:dyDescent="0.3">
      <c r="A230" s="128">
        <v>46027</v>
      </c>
      <c r="B230" s="86" t="s">
        <v>83</v>
      </c>
      <c r="C230" s="87" t="s">
        <v>92</v>
      </c>
      <c r="D230" s="86" t="s">
        <v>1</v>
      </c>
      <c r="E230" s="129">
        <v>1.958333333333333</v>
      </c>
      <c r="F230" s="86" t="s">
        <v>110</v>
      </c>
      <c r="G230" s="88">
        <v>9</v>
      </c>
      <c r="H230" s="130">
        <v>679</v>
      </c>
    </row>
    <row r="231" spans="1:8" ht="19.8" customHeight="1" x14ac:dyDescent="0.3">
      <c r="A231" s="128">
        <v>46027</v>
      </c>
      <c r="B231" s="86" t="s">
        <v>57</v>
      </c>
      <c r="C231" s="87" t="s">
        <v>58</v>
      </c>
      <c r="D231" s="86" t="s">
        <v>1</v>
      </c>
      <c r="E231" s="129">
        <v>1.305555555555556</v>
      </c>
      <c r="F231" s="86" t="s">
        <v>51</v>
      </c>
      <c r="G231" s="88">
        <v>18</v>
      </c>
      <c r="H231" s="130">
        <v>899</v>
      </c>
    </row>
    <row r="232" spans="1:8" ht="19.8" customHeight="1" x14ac:dyDescent="0.3">
      <c r="A232" s="134">
        <v>46027</v>
      </c>
      <c r="B232" s="93" t="s">
        <v>73</v>
      </c>
      <c r="C232" s="94" t="s">
        <v>74</v>
      </c>
      <c r="D232" s="93" t="s">
        <v>1</v>
      </c>
      <c r="E232" s="135">
        <v>1.305555555555556</v>
      </c>
      <c r="F232" s="93" t="s">
        <v>75</v>
      </c>
      <c r="G232" s="95">
        <v>4</v>
      </c>
      <c r="H232" s="96" t="s">
        <v>85</v>
      </c>
    </row>
    <row r="233" spans="1:8" ht="19.8" customHeight="1" x14ac:dyDescent="0.3">
      <c r="A233" s="128">
        <v>46028</v>
      </c>
      <c r="B233" s="86" t="s">
        <v>57</v>
      </c>
      <c r="C233" s="87" t="s">
        <v>58</v>
      </c>
      <c r="D233" s="86" t="s">
        <v>1</v>
      </c>
      <c r="E233" s="129">
        <v>1.305555555555556</v>
      </c>
      <c r="F233" s="86" t="s">
        <v>59</v>
      </c>
      <c r="G233" s="88">
        <v>16</v>
      </c>
      <c r="H233" s="130">
        <v>399</v>
      </c>
    </row>
    <row r="234" spans="1:8" ht="19.8" customHeight="1" x14ac:dyDescent="0.3">
      <c r="A234" s="128">
        <v>46028</v>
      </c>
      <c r="B234" s="86" t="s">
        <v>45</v>
      </c>
      <c r="C234" s="87" t="s">
        <v>46</v>
      </c>
      <c r="D234" s="86" t="s">
        <v>1</v>
      </c>
      <c r="E234" s="129">
        <v>1.2013888888888891</v>
      </c>
      <c r="F234" s="86" t="s">
        <v>47</v>
      </c>
      <c r="G234" s="88">
        <v>5</v>
      </c>
      <c r="H234" s="130">
        <v>439</v>
      </c>
    </row>
    <row r="235" spans="1:8" ht="19.8" customHeight="1" x14ac:dyDescent="0.3">
      <c r="A235" s="128">
        <v>46028</v>
      </c>
      <c r="B235" s="86" t="s">
        <v>89</v>
      </c>
      <c r="C235" s="87" t="s">
        <v>150</v>
      </c>
      <c r="D235" s="86" t="s">
        <v>1</v>
      </c>
      <c r="E235" s="129">
        <v>1.2152777777777779</v>
      </c>
      <c r="F235" s="86" t="s">
        <v>110</v>
      </c>
      <c r="G235" s="88">
        <v>1</v>
      </c>
      <c r="H235" s="130">
        <v>500</v>
      </c>
    </row>
    <row r="236" spans="1:8" ht="19.8" customHeight="1" x14ac:dyDescent="0.3">
      <c r="A236" s="128">
        <v>46028</v>
      </c>
      <c r="B236" s="86" t="s">
        <v>45</v>
      </c>
      <c r="C236" s="87" t="s">
        <v>53</v>
      </c>
      <c r="D236" s="86" t="s">
        <v>1</v>
      </c>
      <c r="E236" s="129">
        <v>1.836805555555556</v>
      </c>
      <c r="F236" s="86" t="s">
        <v>47</v>
      </c>
      <c r="G236" s="88">
        <v>4</v>
      </c>
      <c r="H236" s="130">
        <v>519</v>
      </c>
    </row>
    <row r="237" spans="1:8" ht="19.8" customHeight="1" x14ac:dyDescent="0.3">
      <c r="A237" s="128">
        <v>46028</v>
      </c>
      <c r="B237" s="86" t="s">
        <v>45</v>
      </c>
      <c r="C237" s="87" t="s">
        <v>46</v>
      </c>
      <c r="D237" s="86" t="s">
        <v>1</v>
      </c>
      <c r="E237" s="129">
        <v>1.2013888888888891</v>
      </c>
      <c r="F237" s="86" t="s">
        <v>49</v>
      </c>
      <c r="G237" s="88">
        <v>5</v>
      </c>
      <c r="H237" s="130">
        <v>539</v>
      </c>
    </row>
    <row r="238" spans="1:8" ht="19.8" customHeight="1" x14ac:dyDescent="0.3">
      <c r="A238" s="131">
        <v>46028</v>
      </c>
      <c r="B238" s="89" t="s">
        <v>65</v>
      </c>
      <c r="C238" s="90" t="s">
        <v>66</v>
      </c>
      <c r="D238" s="89" t="s">
        <v>1</v>
      </c>
      <c r="E238" s="132">
        <v>1.270833333333333</v>
      </c>
      <c r="F238" s="89" t="s">
        <v>110</v>
      </c>
      <c r="G238" s="91">
        <v>7</v>
      </c>
      <c r="H238" s="133">
        <v>566</v>
      </c>
    </row>
    <row r="239" spans="1:8" ht="19.8" customHeight="1" x14ac:dyDescent="0.3">
      <c r="A239" s="128">
        <v>46028</v>
      </c>
      <c r="B239" s="86" t="s">
        <v>57</v>
      </c>
      <c r="C239" s="87" t="s">
        <v>58</v>
      </c>
      <c r="D239" s="86" t="s">
        <v>1</v>
      </c>
      <c r="E239" s="129">
        <v>1.305555555555556</v>
      </c>
      <c r="F239" s="86" t="s">
        <v>62</v>
      </c>
      <c r="G239" s="88">
        <v>16</v>
      </c>
      <c r="H239" s="130">
        <v>577</v>
      </c>
    </row>
    <row r="240" spans="1:8" ht="19.8" customHeight="1" x14ac:dyDescent="0.3">
      <c r="A240" s="128">
        <v>46028</v>
      </c>
      <c r="B240" s="86" t="s">
        <v>28</v>
      </c>
      <c r="C240" s="87" t="s">
        <v>29</v>
      </c>
      <c r="D240" s="86" t="s">
        <v>1</v>
      </c>
      <c r="E240" s="129">
        <v>1.1701388888888891</v>
      </c>
      <c r="F240" s="86" t="s">
        <v>134</v>
      </c>
      <c r="G240" s="88">
        <v>9</v>
      </c>
      <c r="H240" s="130">
        <v>615</v>
      </c>
    </row>
    <row r="241" spans="1:8" ht="19.8" customHeight="1" x14ac:dyDescent="0.3">
      <c r="A241" s="128">
        <v>46028</v>
      </c>
      <c r="B241" s="86" t="s">
        <v>45</v>
      </c>
      <c r="C241" s="87" t="s">
        <v>53</v>
      </c>
      <c r="D241" s="86" t="s">
        <v>1</v>
      </c>
      <c r="E241" s="129">
        <v>1.836805555555556</v>
      </c>
      <c r="F241" s="86" t="s">
        <v>49</v>
      </c>
      <c r="G241" s="88">
        <v>4</v>
      </c>
      <c r="H241" s="130">
        <v>619</v>
      </c>
    </row>
    <row r="242" spans="1:8" ht="19.8" customHeight="1" x14ac:dyDescent="0.3">
      <c r="A242" s="128">
        <v>46028</v>
      </c>
      <c r="B242" s="86" t="s">
        <v>45</v>
      </c>
      <c r="C242" s="87" t="s">
        <v>46</v>
      </c>
      <c r="D242" s="86" t="s">
        <v>1</v>
      </c>
      <c r="E242" s="129">
        <v>1.2013888888888891</v>
      </c>
      <c r="F242" s="86" t="s">
        <v>51</v>
      </c>
      <c r="G242" s="88">
        <v>5</v>
      </c>
      <c r="H242" s="130">
        <v>629</v>
      </c>
    </row>
    <row r="243" spans="1:8" ht="19.8" customHeight="1" x14ac:dyDescent="0.3">
      <c r="A243" s="128">
        <v>46028</v>
      </c>
      <c r="B243" s="86" t="s">
        <v>83</v>
      </c>
      <c r="C243" s="87" t="s">
        <v>96</v>
      </c>
      <c r="D243" s="86" t="s">
        <v>1</v>
      </c>
      <c r="E243" s="129">
        <v>1.958333333333333</v>
      </c>
      <c r="F243" s="86" t="s">
        <v>110</v>
      </c>
      <c r="G243" s="88">
        <v>4</v>
      </c>
      <c r="H243" s="130">
        <v>629</v>
      </c>
    </row>
    <row r="244" spans="1:8" ht="19.8" customHeight="1" x14ac:dyDescent="0.3">
      <c r="A244" s="128">
        <v>46028</v>
      </c>
      <c r="B244" s="86" t="s">
        <v>45</v>
      </c>
      <c r="C244" s="87" t="s">
        <v>53</v>
      </c>
      <c r="D244" s="86" t="s">
        <v>1</v>
      </c>
      <c r="E244" s="129">
        <v>1.836805555555556</v>
      </c>
      <c r="F244" s="86" t="s">
        <v>51</v>
      </c>
      <c r="G244" s="88">
        <v>4</v>
      </c>
      <c r="H244" s="130">
        <v>709</v>
      </c>
    </row>
    <row r="245" spans="1:8" ht="19.8" customHeight="1" x14ac:dyDescent="0.3">
      <c r="A245" s="128">
        <v>46028</v>
      </c>
      <c r="B245" s="86" t="s">
        <v>28</v>
      </c>
      <c r="C245" s="87" t="s">
        <v>33</v>
      </c>
      <c r="D245" s="86" t="s">
        <v>1</v>
      </c>
      <c r="E245" s="129">
        <v>1.5277777777777779</v>
      </c>
      <c r="F245" s="86" t="s">
        <v>107</v>
      </c>
      <c r="G245" s="88">
        <v>9</v>
      </c>
      <c r="H245" s="130">
        <v>727</v>
      </c>
    </row>
    <row r="246" spans="1:8" ht="19.8" customHeight="1" x14ac:dyDescent="0.3">
      <c r="A246" s="128">
        <v>46028</v>
      </c>
      <c r="B246" s="86" t="s">
        <v>28</v>
      </c>
      <c r="C246" s="87" t="s">
        <v>35</v>
      </c>
      <c r="D246" s="86" t="s">
        <v>1</v>
      </c>
      <c r="E246" s="129">
        <v>1.864583333333333</v>
      </c>
      <c r="F246" s="86" t="s">
        <v>107</v>
      </c>
      <c r="G246" s="88">
        <v>9</v>
      </c>
      <c r="H246" s="130">
        <v>817</v>
      </c>
    </row>
    <row r="247" spans="1:8" ht="19.8" customHeight="1" x14ac:dyDescent="0.3">
      <c r="A247" s="128">
        <v>46028</v>
      </c>
      <c r="B247" s="86" t="s">
        <v>57</v>
      </c>
      <c r="C247" s="87" t="s">
        <v>58</v>
      </c>
      <c r="D247" s="86" t="s">
        <v>1</v>
      </c>
      <c r="E247" s="129">
        <v>1.305555555555556</v>
      </c>
      <c r="F247" s="86" t="s">
        <v>51</v>
      </c>
      <c r="G247" s="88">
        <v>16</v>
      </c>
      <c r="H247" s="92" t="s">
        <v>64</v>
      </c>
    </row>
    <row r="248" spans="1:8" ht="19.8" customHeight="1" x14ac:dyDescent="0.3">
      <c r="A248" s="134">
        <v>46028</v>
      </c>
      <c r="B248" s="93" t="s">
        <v>73</v>
      </c>
      <c r="C248" s="94" t="s">
        <v>74</v>
      </c>
      <c r="D248" s="93" t="s">
        <v>1</v>
      </c>
      <c r="E248" s="135">
        <v>1.305555555555556</v>
      </c>
      <c r="F248" s="93" t="s">
        <v>75</v>
      </c>
      <c r="G248" s="95">
        <v>4</v>
      </c>
      <c r="H248" s="96" t="s">
        <v>85</v>
      </c>
    </row>
    <row r="249" spans="1:8" ht="19.8" customHeight="1" x14ac:dyDescent="0.3">
      <c r="A249" s="128">
        <v>46029</v>
      </c>
      <c r="B249" s="86" t="s">
        <v>57</v>
      </c>
      <c r="C249" s="87" t="s">
        <v>58</v>
      </c>
      <c r="D249" s="86" t="s">
        <v>1</v>
      </c>
      <c r="E249" s="129">
        <v>1.305555555555556</v>
      </c>
      <c r="F249" s="86" t="s">
        <v>59</v>
      </c>
      <c r="G249" s="88">
        <v>16</v>
      </c>
      <c r="H249" s="130">
        <v>469</v>
      </c>
    </row>
    <row r="250" spans="1:8" ht="19.8" customHeight="1" x14ac:dyDescent="0.3">
      <c r="A250" s="128">
        <v>46029</v>
      </c>
      <c r="B250" s="86" t="s">
        <v>89</v>
      </c>
      <c r="C250" s="87" t="s">
        <v>100</v>
      </c>
      <c r="D250" s="86" t="s">
        <v>1</v>
      </c>
      <c r="E250" s="129">
        <v>1.0902777777777779</v>
      </c>
      <c r="F250" s="86" t="s">
        <v>110</v>
      </c>
      <c r="G250" s="88">
        <v>2</v>
      </c>
      <c r="H250" s="130">
        <v>568</v>
      </c>
    </row>
    <row r="251" spans="1:8" ht="19.8" customHeight="1" x14ac:dyDescent="0.3">
      <c r="A251" s="128">
        <v>46029</v>
      </c>
      <c r="B251" s="86" t="s">
        <v>38</v>
      </c>
      <c r="C251" s="87" t="s">
        <v>39</v>
      </c>
      <c r="D251" s="86" t="s">
        <v>1</v>
      </c>
      <c r="E251" s="129">
        <v>1.9722222222222221</v>
      </c>
      <c r="F251" s="86" t="s">
        <v>40</v>
      </c>
      <c r="G251" s="88">
        <v>9</v>
      </c>
      <c r="H251" s="130">
        <v>622</v>
      </c>
    </row>
    <row r="252" spans="1:8" ht="19.8" customHeight="1" x14ac:dyDescent="0.3">
      <c r="A252" s="128">
        <v>46029</v>
      </c>
      <c r="B252" s="86" t="s">
        <v>57</v>
      </c>
      <c r="C252" s="87" t="s">
        <v>58</v>
      </c>
      <c r="D252" s="86" t="s">
        <v>1</v>
      </c>
      <c r="E252" s="129">
        <v>1.305555555555556</v>
      </c>
      <c r="F252" s="86" t="s">
        <v>62</v>
      </c>
      <c r="G252" s="88">
        <v>16</v>
      </c>
      <c r="H252" s="130">
        <v>647</v>
      </c>
    </row>
    <row r="253" spans="1:8" ht="19.8" customHeight="1" x14ac:dyDescent="0.3">
      <c r="A253" s="128">
        <v>46029</v>
      </c>
      <c r="B253" s="86" t="s">
        <v>45</v>
      </c>
      <c r="C253" s="87" t="s">
        <v>53</v>
      </c>
      <c r="D253" s="86" t="s">
        <v>1</v>
      </c>
      <c r="E253" s="129">
        <v>1.836805555555556</v>
      </c>
      <c r="F253" s="86" t="s">
        <v>47</v>
      </c>
      <c r="G253" s="88">
        <v>3</v>
      </c>
      <c r="H253" s="130">
        <v>659</v>
      </c>
    </row>
    <row r="254" spans="1:8" ht="19.8" customHeight="1" x14ac:dyDescent="0.3">
      <c r="A254" s="128">
        <v>46029</v>
      </c>
      <c r="B254" s="86" t="s">
        <v>83</v>
      </c>
      <c r="C254" s="87" t="s">
        <v>92</v>
      </c>
      <c r="D254" s="86" t="s">
        <v>1</v>
      </c>
      <c r="E254" s="129">
        <v>1.895833333333333</v>
      </c>
      <c r="F254" s="86" t="s">
        <v>110</v>
      </c>
      <c r="G254" s="88">
        <v>5</v>
      </c>
      <c r="H254" s="130">
        <v>723</v>
      </c>
    </row>
    <row r="255" spans="1:8" ht="19.8" customHeight="1" x14ac:dyDescent="0.3">
      <c r="A255" s="128">
        <v>46029</v>
      </c>
      <c r="B255" s="86" t="s">
        <v>45</v>
      </c>
      <c r="C255" s="87" t="s">
        <v>53</v>
      </c>
      <c r="D255" s="86" t="s">
        <v>1</v>
      </c>
      <c r="E255" s="129">
        <v>1.836805555555556</v>
      </c>
      <c r="F255" s="86" t="s">
        <v>49</v>
      </c>
      <c r="G255" s="88">
        <v>3</v>
      </c>
      <c r="H255" s="130">
        <v>759</v>
      </c>
    </row>
    <row r="256" spans="1:8" ht="19.8" customHeight="1" x14ac:dyDescent="0.3">
      <c r="A256" s="128">
        <v>46029</v>
      </c>
      <c r="B256" s="86" t="s">
        <v>38</v>
      </c>
      <c r="C256" s="87" t="s">
        <v>39</v>
      </c>
      <c r="D256" s="86" t="s">
        <v>1</v>
      </c>
      <c r="E256" s="129">
        <v>1.9722222222222221</v>
      </c>
      <c r="F256" s="86" t="s">
        <v>43</v>
      </c>
      <c r="G256" s="88">
        <v>9</v>
      </c>
      <c r="H256" s="130">
        <v>827</v>
      </c>
    </row>
    <row r="257" spans="1:8" ht="19.8" customHeight="1" x14ac:dyDescent="0.3">
      <c r="A257" s="128">
        <v>46029</v>
      </c>
      <c r="B257" s="86" t="s">
        <v>45</v>
      </c>
      <c r="C257" s="87" t="s">
        <v>53</v>
      </c>
      <c r="D257" s="86" t="s">
        <v>1</v>
      </c>
      <c r="E257" s="129">
        <v>1.836805555555556</v>
      </c>
      <c r="F257" s="86" t="s">
        <v>51</v>
      </c>
      <c r="G257" s="88">
        <v>3</v>
      </c>
      <c r="H257" s="130">
        <v>849</v>
      </c>
    </row>
    <row r="258" spans="1:8" ht="19.8" customHeight="1" x14ac:dyDescent="0.3">
      <c r="A258" s="128">
        <v>46029</v>
      </c>
      <c r="B258" s="86" t="s">
        <v>57</v>
      </c>
      <c r="C258" s="87" t="s">
        <v>58</v>
      </c>
      <c r="D258" s="86" t="s">
        <v>1</v>
      </c>
      <c r="E258" s="129">
        <v>1.305555555555556</v>
      </c>
      <c r="F258" s="86" t="s">
        <v>51</v>
      </c>
      <c r="G258" s="88">
        <v>16</v>
      </c>
      <c r="H258" s="130">
        <v>899</v>
      </c>
    </row>
    <row r="259" spans="1:8" ht="19.8" customHeight="1" x14ac:dyDescent="0.3">
      <c r="A259" s="128">
        <v>46029</v>
      </c>
      <c r="B259" s="86" t="s">
        <v>28</v>
      </c>
      <c r="C259" s="87" t="s">
        <v>29</v>
      </c>
      <c r="D259" s="86" t="s">
        <v>1</v>
      </c>
      <c r="E259" s="129">
        <v>1.1701388888888891</v>
      </c>
      <c r="F259" s="86" t="s">
        <v>107</v>
      </c>
      <c r="G259" s="88">
        <v>9</v>
      </c>
      <c r="H259" s="92" t="s">
        <v>109</v>
      </c>
    </row>
    <row r="260" spans="1:8" ht="19.8" customHeight="1" x14ac:dyDescent="0.3">
      <c r="A260" s="128">
        <v>46029</v>
      </c>
      <c r="B260" s="86" t="s">
        <v>28</v>
      </c>
      <c r="C260" s="87" t="s">
        <v>33</v>
      </c>
      <c r="D260" s="86" t="s">
        <v>1</v>
      </c>
      <c r="E260" s="129">
        <v>1.5277777777777779</v>
      </c>
      <c r="F260" s="86" t="s">
        <v>107</v>
      </c>
      <c r="G260" s="88">
        <v>9</v>
      </c>
      <c r="H260" s="92" t="s">
        <v>168</v>
      </c>
    </row>
    <row r="261" spans="1:8" ht="19.8" customHeight="1" x14ac:dyDescent="0.3">
      <c r="A261" s="128">
        <v>46029</v>
      </c>
      <c r="B261" s="86" t="s">
        <v>28</v>
      </c>
      <c r="C261" s="87" t="s">
        <v>35</v>
      </c>
      <c r="D261" s="86" t="s">
        <v>1</v>
      </c>
      <c r="E261" s="129">
        <v>1.864583333333333</v>
      </c>
      <c r="F261" s="86" t="s">
        <v>107</v>
      </c>
      <c r="G261" s="88">
        <v>9</v>
      </c>
      <c r="H261" s="92" t="s">
        <v>169</v>
      </c>
    </row>
    <row r="262" spans="1:8" ht="19.8" customHeight="1" x14ac:dyDescent="0.3">
      <c r="A262" s="134">
        <v>46029</v>
      </c>
      <c r="B262" s="93" t="s">
        <v>73</v>
      </c>
      <c r="C262" s="94" t="s">
        <v>74</v>
      </c>
      <c r="D262" s="93" t="s">
        <v>1</v>
      </c>
      <c r="E262" s="135">
        <v>1.305555555555556</v>
      </c>
      <c r="F262" s="93" t="s">
        <v>75</v>
      </c>
      <c r="G262" s="95">
        <v>4</v>
      </c>
      <c r="H262" s="96" t="s">
        <v>170</v>
      </c>
    </row>
    <row r="263" spans="1:8" ht="19.8" customHeight="1" x14ac:dyDescent="0.3">
      <c r="A263" s="128">
        <v>46030</v>
      </c>
      <c r="B263" s="86" t="s">
        <v>57</v>
      </c>
      <c r="C263" s="87" t="s">
        <v>58</v>
      </c>
      <c r="D263" s="86" t="s">
        <v>1</v>
      </c>
      <c r="E263" s="129">
        <v>1.305555555555556</v>
      </c>
      <c r="F263" s="86" t="s">
        <v>59</v>
      </c>
      <c r="G263" s="88">
        <v>3</v>
      </c>
      <c r="H263" s="130">
        <v>549</v>
      </c>
    </row>
    <row r="264" spans="1:8" ht="19.8" customHeight="1" x14ac:dyDescent="0.3">
      <c r="A264" s="128">
        <v>46030</v>
      </c>
      <c r="B264" s="86" t="s">
        <v>45</v>
      </c>
      <c r="C264" s="87" t="s">
        <v>46</v>
      </c>
      <c r="D264" s="86" t="s">
        <v>1</v>
      </c>
      <c r="E264" s="129">
        <v>1.2013888888888891</v>
      </c>
      <c r="F264" s="86" t="s">
        <v>47</v>
      </c>
      <c r="G264" s="88">
        <v>2</v>
      </c>
      <c r="H264" s="130">
        <v>609</v>
      </c>
    </row>
    <row r="265" spans="1:8" ht="19.8" customHeight="1" x14ac:dyDescent="0.3">
      <c r="A265" s="128">
        <v>46030</v>
      </c>
      <c r="B265" s="86" t="s">
        <v>45</v>
      </c>
      <c r="C265" s="87" t="s">
        <v>46</v>
      </c>
      <c r="D265" s="86" t="s">
        <v>1</v>
      </c>
      <c r="E265" s="129">
        <v>1.2013888888888891</v>
      </c>
      <c r="F265" s="86" t="s">
        <v>49</v>
      </c>
      <c r="G265" s="88">
        <v>2</v>
      </c>
      <c r="H265" s="130">
        <v>709</v>
      </c>
    </row>
    <row r="266" spans="1:8" ht="19.8" customHeight="1" x14ac:dyDescent="0.3">
      <c r="A266" s="128">
        <v>46030</v>
      </c>
      <c r="B266" s="86" t="s">
        <v>57</v>
      </c>
      <c r="C266" s="87" t="s">
        <v>58</v>
      </c>
      <c r="D266" s="86" t="s">
        <v>1</v>
      </c>
      <c r="E266" s="129">
        <v>1.305555555555556</v>
      </c>
      <c r="F266" s="86" t="s">
        <v>62</v>
      </c>
      <c r="G266" s="88">
        <v>3</v>
      </c>
      <c r="H266" s="130">
        <v>727</v>
      </c>
    </row>
    <row r="267" spans="1:8" ht="19.8" customHeight="1" x14ac:dyDescent="0.3">
      <c r="A267" s="128">
        <v>46030</v>
      </c>
      <c r="B267" s="86" t="s">
        <v>45</v>
      </c>
      <c r="C267" s="87" t="s">
        <v>46</v>
      </c>
      <c r="D267" s="86" t="s">
        <v>1</v>
      </c>
      <c r="E267" s="129">
        <v>1.2013888888888891</v>
      </c>
      <c r="F267" s="86" t="s">
        <v>51</v>
      </c>
      <c r="G267" s="88">
        <v>2</v>
      </c>
      <c r="H267" s="130">
        <v>799</v>
      </c>
    </row>
    <row r="268" spans="1:8" ht="19.8" customHeight="1" x14ac:dyDescent="0.3">
      <c r="A268" s="128">
        <v>46030</v>
      </c>
      <c r="B268" s="86" t="s">
        <v>57</v>
      </c>
      <c r="C268" s="87" t="s">
        <v>58</v>
      </c>
      <c r="D268" s="86" t="s">
        <v>1</v>
      </c>
      <c r="E268" s="129">
        <v>1.305555555555556</v>
      </c>
      <c r="F268" s="86" t="s">
        <v>51</v>
      </c>
      <c r="G268" s="88">
        <v>3</v>
      </c>
      <c r="H268" s="130">
        <v>899</v>
      </c>
    </row>
    <row r="269" spans="1:8" ht="19.8" customHeight="1" x14ac:dyDescent="0.3">
      <c r="A269" s="131">
        <v>46030</v>
      </c>
      <c r="B269" s="89" t="s">
        <v>65</v>
      </c>
      <c r="C269" s="90" t="s">
        <v>66</v>
      </c>
      <c r="D269" s="89" t="s">
        <v>1</v>
      </c>
      <c r="E269" s="132">
        <v>1.9236111111111109</v>
      </c>
      <c r="F269" s="89" t="s">
        <v>110</v>
      </c>
      <c r="G269" s="91">
        <v>1</v>
      </c>
      <c r="H269" s="97" t="s">
        <v>178</v>
      </c>
    </row>
    <row r="270" spans="1:8" ht="19.8" customHeight="1" x14ac:dyDescent="0.3">
      <c r="A270" s="128">
        <v>46030</v>
      </c>
      <c r="B270" s="86" t="s">
        <v>83</v>
      </c>
      <c r="C270" s="87" t="s">
        <v>84</v>
      </c>
      <c r="D270" s="86" t="s">
        <v>1</v>
      </c>
      <c r="E270" s="129">
        <v>1.5625</v>
      </c>
      <c r="F270" s="86" t="s">
        <v>110</v>
      </c>
      <c r="G270" s="88">
        <v>9</v>
      </c>
      <c r="H270" s="92" t="s">
        <v>181</v>
      </c>
    </row>
    <row r="271" spans="1:8" ht="19.8" customHeight="1" x14ac:dyDescent="0.3">
      <c r="A271" s="128">
        <v>46030</v>
      </c>
      <c r="B271" s="86" t="s">
        <v>83</v>
      </c>
      <c r="C271" s="87" t="s">
        <v>96</v>
      </c>
      <c r="D271" s="86" t="s">
        <v>1</v>
      </c>
      <c r="E271" s="129">
        <v>1.958333333333333</v>
      </c>
      <c r="F271" s="86" t="s">
        <v>110</v>
      </c>
      <c r="G271" s="88">
        <v>9</v>
      </c>
      <c r="H271" s="92" t="s">
        <v>181</v>
      </c>
    </row>
    <row r="272" spans="1:8" ht="19.8" customHeight="1" x14ac:dyDescent="0.3">
      <c r="A272" s="128">
        <v>46030</v>
      </c>
      <c r="B272" s="86" t="s">
        <v>28</v>
      </c>
      <c r="C272" s="87" t="s">
        <v>29</v>
      </c>
      <c r="D272" s="86" t="s">
        <v>1</v>
      </c>
      <c r="E272" s="129">
        <v>1.1701388888888891</v>
      </c>
      <c r="F272" s="86" t="s">
        <v>107</v>
      </c>
      <c r="G272" s="88">
        <v>9</v>
      </c>
      <c r="H272" s="92" t="s">
        <v>182</v>
      </c>
    </row>
    <row r="273" spans="1:8" ht="19.8" customHeight="1" x14ac:dyDescent="0.3">
      <c r="A273" s="128">
        <v>46030</v>
      </c>
      <c r="B273" s="86" t="s">
        <v>45</v>
      </c>
      <c r="C273" s="87" t="s">
        <v>53</v>
      </c>
      <c r="D273" s="86" t="s">
        <v>1</v>
      </c>
      <c r="E273" s="129">
        <v>1.836805555555556</v>
      </c>
      <c r="F273" s="86" t="s">
        <v>47</v>
      </c>
      <c r="G273" s="88">
        <v>1</v>
      </c>
      <c r="H273" s="92" t="s">
        <v>175</v>
      </c>
    </row>
    <row r="274" spans="1:8" ht="19.8" customHeight="1" x14ac:dyDescent="0.3">
      <c r="A274" s="128">
        <v>46030</v>
      </c>
      <c r="B274" s="86" t="s">
        <v>45</v>
      </c>
      <c r="C274" s="87" t="s">
        <v>53</v>
      </c>
      <c r="D274" s="86" t="s">
        <v>1</v>
      </c>
      <c r="E274" s="129">
        <v>1.836805555555556</v>
      </c>
      <c r="F274" s="86" t="s">
        <v>49</v>
      </c>
      <c r="G274" s="88">
        <v>1</v>
      </c>
      <c r="H274" s="92" t="s">
        <v>176</v>
      </c>
    </row>
    <row r="275" spans="1:8" ht="19.8" customHeight="1" x14ac:dyDescent="0.3">
      <c r="A275" s="128">
        <v>46030</v>
      </c>
      <c r="B275" s="86" t="s">
        <v>28</v>
      </c>
      <c r="C275" s="87" t="s">
        <v>33</v>
      </c>
      <c r="D275" s="86" t="s">
        <v>1</v>
      </c>
      <c r="E275" s="129">
        <v>1.5277777777777779</v>
      </c>
      <c r="F275" s="86" t="s">
        <v>107</v>
      </c>
      <c r="G275" s="88">
        <v>9</v>
      </c>
      <c r="H275" s="92" t="s">
        <v>169</v>
      </c>
    </row>
    <row r="276" spans="1:8" ht="19.8" customHeight="1" x14ac:dyDescent="0.3">
      <c r="A276" s="128">
        <v>46030</v>
      </c>
      <c r="B276" s="86" t="s">
        <v>45</v>
      </c>
      <c r="C276" s="87" t="s">
        <v>53</v>
      </c>
      <c r="D276" s="86" t="s">
        <v>1</v>
      </c>
      <c r="E276" s="129">
        <v>1.836805555555556</v>
      </c>
      <c r="F276" s="86" t="s">
        <v>51</v>
      </c>
      <c r="G276" s="88">
        <v>1</v>
      </c>
      <c r="H276" s="92" t="s">
        <v>177</v>
      </c>
    </row>
    <row r="277" spans="1:8" ht="19.8" customHeight="1" x14ac:dyDescent="0.3">
      <c r="A277" s="128">
        <v>46030</v>
      </c>
      <c r="B277" s="86" t="s">
        <v>28</v>
      </c>
      <c r="C277" s="87" t="s">
        <v>35</v>
      </c>
      <c r="D277" s="86" t="s">
        <v>1</v>
      </c>
      <c r="E277" s="129">
        <v>1.8784722222222221</v>
      </c>
      <c r="F277" s="86" t="s">
        <v>107</v>
      </c>
      <c r="G277" s="88">
        <v>9</v>
      </c>
      <c r="H277" s="92" t="s">
        <v>183</v>
      </c>
    </row>
    <row r="278" spans="1:8" ht="19.8" customHeight="1" x14ac:dyDescent="0.3">
      <c r="A278" s="128">
        <v>46030</v>
      </c>
      <c r="B278" s="86" t="s">
        <v>89</v>
      </c>
      <c r="C278" s="87" t="s">
        <v>100</v>
      </c>
      <c r="D278" s="86" t="s">
        <v>1</v>
      </c>
      <c r="E278" s="129">
        <v>1.9652777777777779</v>
      </c>
      <c r="F278" s="86" t="s">
        <v>110</v>
      </c>
      <c r="G278" s="88">
        <v>5</v>
      </c>
      <c r="H278" s="92" t="s">
        <v>184</v>
      </c>
    </row>
    <row r="279" spans="1:8" ht="19.8" customHeight="1" x14ac:dyDescent="0.3">
      <c r="A279" s="134">
        <v>46030</v>
      </c>
      <c r="B279" s="93" t="s">
        <v>73</v>
      </c>
      <c r="C279" s="94" t="s">
        <v>74</v>
      </c>
      <c r="D279" s="93" t="s">
        <v>1</v>
      </c>
      <c r="E279" s="135">
        <v>1.305555555555556</v>
      </c>
      <c r="F279" s="93" t="s">
        <v>75</v>
      </c>
      <c r="G279" s="95">
        <v>4</v>
      </c>
      <c r="H279" s="96" t="s">
        <v>185</v>
      </c>
    </row>
    <row r="280" spans="1:8" ht="19.8" customHeight="1" x14ac:dyDescent="0.3">
      <c r="A280" s="128">
        <v>46031</v>
      </c>
      <c r="B280" s="86" t="s">
        <v>45</v>
      </c>
      <c r="C280" s="87" t="s">
        <v>53</v>
      </c>
      <c r="D280" s="86" t="s">
        <v>1</v>
      </c>
      <c r="E280" s="129">
        <v>1.836805555555556</v>
      </c>
      <c r="F280" s="86" t="s">
        <v>47</v>
      </c>
      <c r="G280" s="88">
        <v>2</v>
      </c>
      <c r="H280" s="130">
        <v>759</v>
      </c>
    </row>
    <row r="281" spans="1:8" ht="19.8" customHeight="1" x14ac:dyDescent="0.3">
      <c r="A281" s="128">
        <v>46031</v>
      </c>
      <c r="B281" s="86" t="s">
        <v>57</v>
      </c>
      <c r="C281" s="87" t="s">
        <v>58</v>
      </c>
      <c r="D281" s="86" t="s">
        <v>1</v>
      </c>
      <c r="E281" s="129">
        <v>1.305555555555556</v>
      </c>
      <c r="F281" s="86" t="s">
        <v>59</v>
      </c>
      <c r="G281" s="88">
        <v>13</v>
      </c>
      <c r="H281" s="130">
        <v>799</v>
      </c>
    </row>
    <row r="282" spans="1:8" ht="19.8" customHeight="1" x14ac:dyDescent="0.3">
      <c r="A282" s="128">
        <v>46031</v>
      </c>
      <c r="B282" s="86" t="s">
        <v>45</v>
      </c>
      <c r="C282" s="87" t="s">
        <v>53</v>
      </c>
      <c r="D282" s="86" t="s">
        <v>1</v>
      </c>
      <c r="E282" s="129">
        <v>1.836805555555556</v>
      </c>
      <c r="F282" s="86" t="s">
        <v>49</v>
      </c>
      <c r="G282" s="88">
        <v>2</v>
      </c>
      <c r="H282" s="130">
        <v>859</v>
      </c>
    </row>
    <row r="283" spans="1:8" ht="19.8" customHeight="1" x14ac:dyDescent="0.3">
      <c r="A283" s="128">
        <v>46031</v>
      </c>
      <c r="B283" s="86" t="s">
        <v>83</v>
      </c>
      <c r="C283" s="87" t="s">
        <v>92</v>
      </c>
      <c r="D283" s="86" t="s">
        <v>1</v>
      </c>
      <c r="E283" s="129">
        <v>1.958333333333333</v>
      </c>
      <c r="F283" s="86" t="s">
        <v>110</v>
      </c>
      <c r="G283" s="88">
        <v>6</v>
      </c>
      <c r="H283" s="130">
        <v>914</v>
      </c>
    </row>
    <row r="284" spans="1:8" ht="19.8" customHeight="1" x14ac:dyDescent="0.3">
      <c r="A284" s="128">
        <v>46031</v>
      </c>
      <c r="B284" s="86" t="s">
        <v>45</v>
      </c>
      <c r="C284" s="87" t="s">
        <v>53</v>
      </c>
      <c r="D284" s="86" t="s">
        <v>1</v>
      </c>
      <c r="E284" s="129">
        <v>1.836805555555556</v>
      </c>
      <c r="F284" s="86" t="s">
        <v>51</v>
      </c>
      <c r="G284" s="88">
        <v>2</v>
      </c>
      <c r="H284" s="130">
        <v>949</v>
      </c>
    </row>
    <row r="285" spans="1:8" ht="19.8" customHeight="1" x14ac:dyDescent="0.3">
      <c r="A285" s="128">
        <v>46031</v>
      </c>
      <c r="B285" s="86" t="s">
        <v>57</v>
      </c>
      <c r="C285" s="87" t="s">
        <v>58</v>
      </c>
      <c r="D285" s="86" t="s">
        <v>1</v>
      </c>
      <c r="E285" s="129">
        <v>1.305555555555556</v>
      </c>
      <c r="F285" s="86" t="s">
        <v>62</v>
      </c>
      <c r="G285" s="88">
        <v>13</v>
      </c>
      <c r="H285" s="130">
        <v>977</v>
      </c>
    </row>
    <row r="286" spans="1:8" ht="19.8" customHeight="1" x14ac:dyDescent="0.3">
      <c r="A286" s="131">
        <v>46031</v>
      </c>
      <c r="B286" s="89" t="s">
        <v>65</v>
      </c>
      <c r="C286" s="90" t="s">
        <v>66</v>
      </c>
      <c r="D286" s="89" t="s">
        <v>1</v>
      </c>
      <c r="E286" s="132">
        <v>1.5798611111111109</v>
      </c>
      <c r="F286" s="89" t="s">
        <v>110</v>
      </c>
      <c r="G286" s="91">
        <v>1</v>
      </c>
      <c r="H286" s="97" t="s">
        <v>178</v>
      </c>
    </row>
    <row r="287" spans="1:8" ht="19.8" customHeight="1" x14ac:dyDescent="0.3">
      <c r="A287" s="128">
        <v>46031</v>
      </c>
      <c r="B287" s="86" t="s">
        <v>57</v>
      </c>
      <c r="C287" s="87" t="s">
        <v>58</v>
      </c>
      <c r="D287" s="86" t="s">
        <v>1</v>
      </c>
      <c r="E287" s="129">
        <v>1.305555555555556</v>
      </c>
      <c r="F287" s="86" t="s">
        <v>51</v>
      </c>
      <c r="G287" s="88">
        <v>13</v>
      </c>
      <c r="H287" s="92" t="s">
        <v>64</v>
      </c>
    </row>
    <row r="288" spans="1:8" ht="19.8" customHeight="1" x14ac:dyDescent="0.3">
      <c r="A288" s="128">
        <v>46031</v>
      </c>
      <c r="B288" s="86" t="s">
        <v>28</v>
      </c>
      <c r="C288" s="87" t="s">
        <v>35</v>
      </c>
      <c r="D288" s="86" t="s">
        <v>1</v>
      </c>
      <c r="E288" s="129">
        <v>1.864583333333333</v>
      </c>
      <c r="F288" s="86" t="s">
        <v>107</v>
      </c>
      <c r="G288" s="88">
        <v>9</v>
      </c>
      <c r="H288" s="92" t="s">
        <v>169</v>
      </c>
    </row>
    <row r="289" spans="1:8" ht="19.8" customHeight="1" x14ac:dyDescent="0.3">
      <c r="A289" s="128">
        <v>46031</v>
      </c>
      <c r="B289" s="86" t="s">
        <v>28</v>
      </c>
      <c r="C289" s="87" t="s">
        <v>29</v>
      </c>
      <c r="D289" s="86" t="s">
        <v>1</v>
      </c>
      <c r="E289" s="129">
        <v>1.1701388888888891</v>
      </c>
      <c r="F289" s="86" t="s">
        <v>107</v>
      </c>
      <c r="G289" s="88">
        <v>9</v>
      </c>
      <c r="H289" s="92" t="s">
        <v>169</v>
      </c>
    </row>
    <row r="290" spans="1:8" ht="19.8" customHeight="1" x14ac:dyDescent="0.3">
      <c r="A290" s="128">
        <v>46031</v>
      </c>
      <c r="B290" s="86" t="s">
        <v>89</v>
      </c>
      <c r="C290" s="87" t="s">
        <v>150</v>
      </c>
      <c r="D290" s="86" t="s">
        <v>1</v>
      </c>
      <c r="E290" s="129">
        <v>1.2152777777777779</v>
      </c>
      <c r="F290" s="86" t="s">
        <v>110</v>
      </c>
      <c r="G290" s="88">
        <v>4</v>
      </c>
      <c r="H290" s="92" t="s">
        <v>184</v>
      </c>
    </row>
    <row r="291" spans="1:8" ht="19.8" customHeight="1" x14ac:dyDescent="0.3">
      <c r="A291" s="128">
        <v>46031</v>
      </c>
      <c r="B291" s="86" t="s">
        <v>28</v>
      </c>
      <c r="C291" s="87" t="s">
        <v>33</v>
      </c>
      <c r="D291" s="86" t="s">
        <v>1</v>
      </c>
      <c r="E291" s="129">
        <v>1.5138888888888891</v>
      </c>
      <c r="F291" s="86" t="s">
        <v>107</v>
      </c>
      <c r="G291" s="88">
        <v>9</v>
      </c>
      <c r="H291" s="92" t="s">
        <v>192</v>
      </c>
    </row>
    <row r="292" spans="1:8" ht="19.8" customHeight="1" x14ac:dyDescent="0.3">
      <c r="A292" s="134">
        <v>46031</v>
      </c>
      <c r="B292" s="93" t="s">
        <v>73</v>
      </c>
      <c r="C292" s="94" t="s">
        <v>74</v>
      </c>
      <c r="D292" s="93" t="s">
        <v>1</v>
      </c>
      <c r="E292" s="135">
        <v>1.305555555555556</v>
      </c>
      <c r="F292" s="93" t="s">
        <v>75</v>
      </c>
      <c r="G292" s="95">
        <v>4</v>
      </c>
      <c r="H292" s="96" t="s">
        <v>193</v>
      </c>
    </row>
    <row r="293" spans="1:8" ht="19.8" customHeight="1" x14ac:dyDescent="0.3">
      <c r="A293" s="128">
        <v>46032</v>
      </c>
      <c r="B293" s="86" t="s">
        <v>57</v>
      </c>
      <c r="C293" s="87" t="s">
        <v>58</v>
      </c>
      <c r="D293" s="86" t="s">
        <v>1</v>
      </c>
      <c r="E293" s="129">
        <v>1.305555555555556</v>
      </c>
      <c r="F293" s="86" t="s">
        <v>59</v>
      </c>
      <c r="G293" s="88">
        <v>6</v>
      </c>
      <c r="H293" s="130">
        <v>509</v>
      </c>
    </row>
    <row r="294" spans="1:8" ht="19.8" customHeight="1" x14ac:dyDescent="0.3">
      <c r="A294" s="128">
        <v>46032</v>
      </c>
      <c r="B294" s="86" t="s">
        <v>45</v>
      </c>
      <c r="C294" s="87" t="s">
        <v>53</v>
      </c>
      <c r="D294" s="86" t="s">
        <v>1</v>
      </c>
      <c r="E294" s="129">
        <v>1.836805555555556</v>
      </c>
      <c r="F294" s="86" t="s">
        <v>47</v>
      </c>
      <c r="G294" s="88">
        <v>2</v>
      </c>
      <c r="H294" s="130">
        <v>519</v>
      </c>
    </row>
    <row r="295" spans="1:8" ht="19.8" customHeight="1" x14ac:dyDescent="0.3">
      <c r="A295" s="128">
        <v>46032</v>
      </c>
      <c r="B295" s="86" t="s">
        <v>45</v>
      </c>
      <c r="C295" s="87" t="s">
        <v>46</v>
      </c>
      <c r="D295" s="86" t="s">
        <v>1</v>
      </c>
      <c r="E295" s="129">
        <v>1.2013888888888891</v>
      </c>
      <c r="F295" s="86" t="s">
        <v>47</v>
      </c>
      <c r="G295" s="88">
        <v>7</v>
      </c>
      <c r="H295" s="130">
        <v>559</v>
      </c>
    </row>
    <row r="296" spans="1:8" ht="19.8" customHeight="1" x14ac:dyDescent="0.3">
      <c r="A296" s="128">
        <v>46032</v>
      </c>
      <c r="B296" s="86" t="s">
        <v>45</v>
      </c>
      <c r="C296" s="87" t="s">
        <v>53</v>
      </c>
      <c r="D296" s="86" t="s">
        <v>1</v>
      </c>
      <c r="E296" s="129">
        <v>1.836805555555556</v>
      </c>
      <c r="F296" s="86" t="s">
        <v>49</v>
      </c>
      <c r="G296" s="88">
        <v>2</v>
      </c>
      <c r="H296" s="130">
        <v>619</v>
      </c>
    </row>
    <row r="297" spans="1:8" ht="19.8" customHeight="1" x14ac:dyDescent="0.3">
      <c r="A297" s="128">
        <v>46032</v>
      </c>
      <c r="B297" s="86" t="s">
        <v>38</v>
      </c>
      <c r="C297" s="87" t="s">
        <v>39</v>
      </c>
      <c r="D297" s="86" t="s">
        <v>1</v>
      </c>
      <c r="E297" s="129">
        <v>1.9722222222222221</v>
      </c>
      <c r="F297" s="86" t="s">
        <v>40</v>
      </c>
      <c r="G297" s="88">
        <v>9</v>
      </c>
      <c r="H297" s="130">
        <v>627</v>
      </c>
    </row>
    <row r="298" spans="1:8" ht="19.8" customHeight="1" x14ac:dyDescent="0.3">
      <c r="A298" s="128">
        <v>46032</v>
      </c>
      <c r="B298" s="86" t="s">
        <v>45</v>
      </c>
      <c r="C298" s="87" t="s">
        <v>46</v>
      </c>
      <c r="D298" s="86" t="s">
        <v>1</v>
      </c>
      <c r="E298" s="129">
        <v>1.2013888888888891</v>
      </c>
      <c r="F298" s="86" t="s">
        <v>49</v>
      </c>
      <c r="G298" s="88">
        <v>7</v>
      </c>
      <c r="H298" s="130">
        <v>659</v>
      </c>
    </row>
    <row r="299" spans="1:8" ht="19.8" customHeight="1" x14ac:dyDescent="0.3">
      <c r="A299" s="128">
        <v>46032</v>
      </c>
      <c r="B299" s="86" t="s">
        <v>57</v>
      </c>
      <c r="C299" s="87" t="s">
        <v>58</v>
      </c>
      <c r="D299" s="86" t="s">
        <v>1</v>
      </c>
      <c r="E299" s="129">
        <v>1.305555555555556</v>
      </c>
      <c r="F299" s="86" t="s">
        <v>62</v>
      </c>
      <c r="G299" s="88">
        <v>6</v>
      </c>
      <c r="H299" s="130">
        <v>687</v>
      </c>
    </row>
    <row r="300" spans="1:8" ht="19.8" customHeight="1" x14ac:dyDescent="0.3">
      <c r="A300" s="128">
        <v>46032</v>
      </c>
      <c r="B300" s="86" t="s">
        <v>45</v>
      </c>
      <c r="C300" s="87" t="s">
        <v>53</v>
      </c>
      <c r="D300" s="86" t="s">
        <v>1</v>
      </c>
      <c r="E300" s="129">
        <v>1.836805555555556</v>
      </c>
      <c r="F300" s="86" t="s">
        <v>51</v>
      </c>
      <c r="G300" s="88">
        <v>2</v>
      </c>
      <c r="H300" s="130">
        <v>709</v>
      </c>
    </row>
    <row r="301" spans="1:8" ht="19.8" customHeight="1" x14ac:dyDescent="0.3">
      <c r="A301" s="128">
        <v>46032</v>
      </c>
      <c r="B301" s="86" t="s">
        <v>83</v>
      </c>
      <c r="C301" s="87" t="s">
        <v>96</v>
      </c>
      <c r="D301" s="86" t="s">
        <v>1</v>
      </c>
      <c r="E301" s="129">
        <v>1.895833333333333</v>
      </c>
      <c r="F301" s="86" t="s">
        <v>110</v>
      </c>
      <c r="G301" s="88">
        <v>9</v>
      </c>
      <c r="H301" s="130">
        <v>723</v>
      </c>
    </row>
    <row r="302" spans="1:8" ht="19.8" customHeight="1" x14ac:dyDescent="0.3">
      <c r="A302" s="128">
        <v>46032</v>
      </c>
      <c r="B302" s="86" t="s">
        <v>45</v>
      </c>
      <c r="C302" s="87" t="s">
        <v>46</v>
      </c>
      <c r="D302" s="86" t="s">
        <v>1</v>
      </c>
      <c r="E302" s="129">
        <v>1.2013888888888891</v>
      </c>
      <c r="F302" s="86" t="s">
        <v>51</v>
      </c>
      <c r="G302" s="88">
        <v>7</v>
      </c>
      <c r="H302" s="130">
        <v>749</v>
      </c>
    </row>
    <row r="303" spans="1:8" ht="19.8" customHeight="1" x14ac:dyDescent="0.3">
      <c r="A303" s="128">
        <v>46032</v>
      </c>
      <c r="B303" s="86" t="s">
        <v>38</v>
      </c>
      <c r="C303" s="87" t="s">
        <v>39</v>
      </c>
      <c r="D303" s="86" t="s">
        <v>1</v>
      </c>
      <c r="E303" s="129">
        <v>1.9722222222222221</v>
      </c>
      <c r="F303" s="86" t="s">
        <v>43</v>
      </c>
      <c r="G303" s="88">
        <v>9</v>
      </c>
      <c r="H303" s="130">
        <v>833</v>
      </c>
    </row>
    <row r="304" spans="1:8" ht="19.8" customHeight="1" x14ac:dyDescent="0.3">
      <c r="A304" s="131">
        <v>46032</v>
      </c>
      <c r="B304" s="89" t="s">
        <v>65</v>
      </c>
      <c r="C304" s="90" t="s">
        <v>66</v>
      </c>
      <c r="D304" s="89" t="s">
        <v>1</v>
      </c>
      <c r="E304" s="132">
        <v>1.9236111111111109</v>
      </c>
      <c r="F304" s="89" t="s">
        <v>110</v>
      </c>
      <c r="G304" s="91">
        <v>3</v>
      </c>
      <c r="H304" s="133">
        <v>896</v>
      </c>
    </row>
    <row r="305" spans="1:8" ht="19.8" customHeight="1" x14ac:dyDescent="0.3">
      <c r="A305" s="128">
        <v>46032</v>
      </c>
      <c r="B305" s="86" t="s">
        <v>57</v>
      </c>
      <c r="C305" s="87" t="s">
        <v>58</v>
      </c>
      <c r="D305" s="86" t="s">
        <v>1</v>
      </c>
      <c r="E305" s="129">
        <v>1.305555555555556</v>
      </c>
      <c r="F305" s="86" t="s">
        <v>51</v>
      </c>
      <c r="G305" s="88">
        <v>6</v>
      </c>
      <c r="H305" s="130">
        <v>899</v>
      </c>
    </row>
    <row r="306" spans="1:8" ht="19.8" customHeight="1" x14ac:dyDescent="0.3">
      <c r="A306" s="128">
        <v>46032</v>
      </c>
      <c r="B306" s="86" t="s">
        <v>28</v>
      </c>
      <c r="C306" s="87" t="s">
        <v>35</v>
      </c>
      <c r="D306" s="86" t="s">
        <v>1</v>
      </c>
      <c r="E306" s="129">
        <v>1.864583333333333</v>
      </c>
      <c r="F306" s="86" t="s">
        <v>107</v>
      </c>
      <c r="G306" s="88">
        <v>9</v>
      </c>
      <c r="H306" s="92" t="s">
        <v>168</v>
      </c>
    </row>
    <row r="307" spans="1:8" ht="19.8" customHeight="1" x14ac:dyDescent="0.3">
      <c r="A307" s="128">
        <v>46032</v>
      </c>
      <c r="B307" s="86" t="s">
        <v>28</v>
      </c>
      <c r="C307" s="87" t="s">
        <v>33</v>
      </c>
      <c r="D307" s="86" t="s">
        <v>1</v>
      </c>
      <c r="E307" s="129">
        <v>1.5277777777777779</v>
      </c>
      <c r="F307" s="86" t="s">
        <v>107</v>
      </c>
      <c r="G307" s="88">
        <v>9</v>
      </c>
      <c r="H307" s="92" t="s">
        <v>168</v>
      </c>
    </row>
    <row r="308" spans="1:8" ht="19.8" customHeight="1" x14ac:dyDescent="0.3">
      <c r="A308" s="128">
        <v>46032</v>
      </c>
      <c r="B308" s="86" t="s">
        <v>28</v>
      </c>
      <c r="C308" s="87" t="s">
        <v>29</v>
      </c>
      <c r="D308" s="86" t="s">
        <v>1</v>
      </c>
      <c r="E308" s="129">
        <v>1.1701388888888891</v>
      </c>
      <c r="F308" s="86" t="s">
        <v>107</v>
      </c>
      <c r="G308" s="88">
        <v>9</v>
      </c>
      <c r="H308" s="92" t="s">
        <v>168</v>
      </c>
    </row>
    <row r="309" spans="1:8" ht="19.8" customHeight="1" x14ac:dyDescent="0.3">
      <c r="A309" s="134">
        <v>46032</v>
      </c>
      <c r="B309" s="93" t="s">
        <v>73</v>
      </c>
      <c r="C309" s="94" t="s">
        <v>74</v>
      </c>
      <c r="D309" s="93" t="s">
        <v>1</v>
      </c>
      <c r="E309" s="135">
        <v>1.305555555555556</v>
      </c>
      <c r="F309" s="93" t="s">
        <v>75</v>
      </c>
      <c r="G309" s="95">
        <v>4</v>
      </c>
      <c r="H309" s="96" t="s">
        <v>170</v>
      </c>
    </row>
    <row r="310" spans="1:8" ht="19.8" customHeight="1" x14ac:dyDescent="0.3">
      <c r="A310" s="128">
        <v>46033</v>
      </c>
      <c r="B310" s="86" t="s">
        <v>57</v>
      </c>
      <c r="C310" s="87" t="s">
        <v>58</v>
      </c>
      <c r="D310" s="86" t="s">
        <v>1</v>
      </c>
      <c r="E310" s="129">
        <v>1.305555555555556</v>
      </c>
      <c r="F310" s="86" t="s">
        <v>59</v>
      </c>
      <c r="G310" s="88">
        <v>16</v>
      </c>
      <c r="H310" s="130">
        <v>469</v>
      </c>
    </row>
    <row r="311" spans="1:8" ht="19.8" customHeight="1" x14ac:dyDescent="0.3">
      <c r="A311" s="128">
        <v>46033</v>
      </c>
      <c r="B311" s="86" t="s">
        <v>45</v>
      </c>
      <c r="C311" s="87" t="s">
        <v>53</v>
      </c>
      <c r="D311" s="86" t="s">
        <v>1</v>
      </c>
      <c r="E311" s="129">
        <v>1.836805555555556</v>
      </c>
      <c r="F311" s="86" t="s">
        <v>47</v>
      </c>
      <c r="G311" s="88">
        <v>7</v>
      </c>
      <c r="H311" s="130">
        <v>479</v>
      </c>
    </row>
    <row r="312" spans="1:8" ht="19.8" customHeight="1" x14ac:dyDescent="0.3">
      <c r="A312" s="128">
        <v>46033</v>
      </c>
      <c r="B312" s="86" t="s">
        <v>89</v>
      </c>
      <c r="C312" s="87" t="s">
        <v>150</v>
      </c>
      <c r="D312" s="86" t="s">
        <v>1</v>
      </c>
      <c r="E312" s="129">
        <v>1.2152777777777779</v>
      </c>
      <c r="F312" s="86" t="s">
        <v>110</v>
      </c>
      <c r="G312" s="88">
        <v>7</v>
      </c>
      <c r="H312" s="130">
        <v>568</v>
      </c>
    </row>
    <row r="313" spans="1:8" ht="19.8" customHeight="1" x14ac:dyDescent="0.3">
      <c r="A313" s="128">
        <v>46033</v>
      </c>
      <c r="B313" s="86" t="s">
        <v>45</v>
      </c>
      <c r="C313" s="87" t="s">
        <v>53</v>
      </c>
      <c r="D313" s="86" t="s">
        <v>1</v>
      </c>
      <c r="E313" s="129">
        <v>1.836805555555556</v>
      </c>
      <c r="F313" s="86" t="s">
        <v>49</v>
      </c>
      <c r="G313" s="88">
        <v>7</v>
      </c>
      <c r="H313" s="130">
        <v>579</v>
      </c>
    </row>
    <row r="314" spans="1:8" ht="19.8" customHeight="1" x14ac:dyDescent="0.3">
      <c r="A314" s="128">
        <v>46033</v>
      </c>
      <c r="B314" s="86" t="s">
        <v>28</v>
      </c>
      <c r="C314" s="87" t="s">
        <v>29</v>
      </c>
      <c r="D314" s="86" t="s">
        <v>1</v>
      </c>
      <c r="E314" s="129">
        <v>1.1701388888888891</v>
      </c>
      <c r="F314" s="86" t="s">
        <v>134</v>
      </c>
      <c r="G314" s="88">
        <v>9</v>
      </c>
      <c r="H314" s="130">
        <v>607</v>
      </c>
    </row>
    <row r="315" spans="1:8" ht="19.8" customHeight="1" x14ac:dyDescent="0.3">
      <c r="A315" s="128">
        <v>46033</v>
      </c>
      <c r="B315" s="86" t="s">
        <v>83</v>
      </c>
      <c r="C315" s="87" t="s">
        <v>84</v>
      </c>
      <c r="D315" s="86" t="s">
        <v>1</v>
      </c>
      <c r="E315" s="129">
        <v>1.958333333333333</v>
      </c>
      <c r="F315" s="86" t="s">
        <v>110</v>
      </c>
      <c r="G315" s="88">
        <v>5</v>
      </c>
      <c r="H315" s="130">
        <v>629</v>
      </c>
    </row>
    <row r="316" spans="1:8" ht="19.8" customHeight="1" x14ac:dyDescent="0.3">
      <c r="A316" s="128">
        <v>46033</v>
      </c>
      <c r="B316" s="86" t="s">
        <v>57</v>
      </c>
      <c r="C316" s="87" t="s">
        <v>58</v>
      </c>
      <c r="D316" s="86" t="s">
        <v>1</v>
      </c>
      <c r="E316" s="129">
        <v>1.305555555555556</v>
      </c>
      <c r="F316" s="86" t="s">
        <v>62</v>
      </c>
      <c r="G316" s="88">
        <v>16</v>
      </c>
      <c r="H316" s="130">
        <v>647</v>
      </c>
    </row>
    <row r="317" spans="1:8" ht="19.8" customHeight="1" x14ac:dyDescent="0.3">
      <c r="A317" s="128">
        <v>46033</v>
      </c>
      <c r="B317" s="86" t="s">
        <v>28</v>
      </c>
      <c r="C317" s="87" t="s">
        <v>35</v>
      </c>
      <c r="D317" s="86" t="s">
        <v>1</v>
      </c>
      <c r="E317" s="129">
        <v>1.864583333333333</v>
      </c>
      <c r="F317" s="86" t="s">
        <v>134</v>
      </c>
      <c r="G317" s="88">
        <v>9</v>
      </c>
      <c r="H317" s="130">
        <v>667</v>
      </c>
    </row>
    <row r="318" spans="1:8" ht="19.8" customHeight="1" x14ac:dyDescent="0.3">
      <c r="A318" s="128">
        <v>46033</v>
      </c>
      <c r="B318" s="86" t="s">
        <v>28</v>
      </c>
      <c r="C318" s="87" t="s">
        <v>33</v>
      </c>
      <c r="D318" s="86" t="s">
        <v>1</v>
      </c>
      <c r="E318" s="129">
        <v>1.5277777777777779</v>
      </c>
      <c r="F318" s="86" t="s">
        <v>134</v>
      </c>
      <c r="G318" s="88">
        <v>9</v>
      </c>
      <c r="H318" s="130">
        <v>667</v>
      </c>
    </row>
    <row r="319" spans="1:8" ht="19.8" customHeight="1" x14ac:dyDescent="0.3">
      <c r="A319" s="128">
        <v>46033</v>
      </c>
      <c r="B319" s="86" t="s">
        <v>45</v>
      </c>
      <c r="C319" s="87" t="s">
        <v>53</v>
      </c>
      <c r="D319" s="86" t="s">
        <v>1</v>
      </c>
      <c r="E319" s="129">
        <v>1.836805555555556</v>
      </c>
      <c r="F319" s="86" t="s">
        <v>51</v>
      </c>
      <c r="G319" s="88">
        <v>7</v>
      </c>
      <c r="H319" s="130">
        <v>669</v>
      </c>
    </row>
    <row r="320" spans="1:8" ht="19.8" customHeight="1" x14ac:dyDescent="0.3">
      <c r="A320" s="128">
        <v>46033</v>
      </c>
      <c r="B320" s="86" t="s">
        <v>57</v>
      </c>
      <c r="C320" s="87" t="s">
        <v>58</v>
      </c>
      <c r="D320" s="86" t="s">
        <v>1</v>
      </c>
      <c r="E320" s="129">
        <v>1.305555555555556</v>
      </c>
      <c r="F320" s="86" t="s">
        <v>51</v>
      </c>
      <c r="G320" s="88">
        <v>16</v>
      </c>
      <c r="H320" s="130">
        <v>899</v>
      </c>
    </row>
    <row r="321" spans="1:8" ht="19.8" customHeight="1" x14ac:dyDescent="0.3">
      <c r="A321" s="134">
        <v>46033</v>
      </c>
      <c r="B321" s="93" t="s">
        <v>73</v>
      </c>
      <c r="C321" s="94" t="s">
        <v>74</v>
      </c>
      <c r="D321" s="93" t="s">
        <v>1</v>
      </c>
      <c r="E321" s="135">
        <v>1.305555555555556</v>
      </c>
      <c r="F321" s="93" t="s">
        <v>75</v>
      </c>
      <c r="G321" s="95">
        <v>4</v>
      </c>
      <c r="H321" s="96" t="s">
        <v>170</v>
      </c>
    </row>
    <row r="322" spans="1:8" ht="19.8" customHeight="1" x14ac:dyDescent="0.3">
      <c r="A322" s="128">
        <v>46034</v>
      </c>
      <c r="B322" s="86" t="s">
        <v>57</v>
      </c>
      <c r="C322" s="87" t="s">
        <v>58</v>
      </c>
      <c r="D322" s="86" t="s">
        <v>1</v>
      </c>
      <c r="E322" s="129">
        <v>1.305555555555556</v>
      </c>
      <c r="F322" s="86" t="s">
        <v>59</v>
      </c>
      <c r="G322" s="88">
        <v>7</v>
      </c>
      <c r="H322" s="130">
        <v>429</v>
      </c>
    </row>
    <row r="323" spans="1:8" ht="19.8" customHeight="1" x14ac:dyDescent="0.3">
      <c r="A323" s="128">
        <v>46034</v>
      </c>
      <c r="B323" s="86" t="s">
        <v>45</v>
      </c>
      <c r="C323" s="87" t="s">
        <v>53</v>
      </c>
      <c r="D323" s="86" t="s">
        <v>1</v>
      </c>
      <c r="E323" s="129">
        <v>1.836805555555556</v>
      </c>
      <c r="F323" s="86" t="s">
        <v>47</v>
      </c>
      <c r="G323" s="88">
        <v>2</v>
      </c>
      <c r="H323" s="130">
        <v>439</v>
      </c>
    </row>
    <row r="324" spans="1:8" ht="19.8" customHeight="1" x14ac:dyDescent="0.3">
      <c r="A324" s="128">
        <v>46034</v>
      </c>
      <c r="B324" s="86" t="s">
        <v>45</v>
      </c>
      <c r="C324" s="87" t="s">
        <v>46</v>
      </c>
      <c r="D324" s="86" t="s">
        <v>1</v>
      </c>
      <c r="E324" s="129">
        <v>1.2013888888888891</v>
      </c>
      <c r="F324" s="86" t="s">
        <v>47</v>
      </c>
      <c r="G324" s="88">
        <v>6</v>
      </c>
      <c r="H324" s="130">
        <v>439</v>
      </c>
    </row>
    <row r="325" spans="1:8" ht="19.8" customHeight="1" x14ac:dyDescent="0.3">
      <c r="A325" s="128">
        <v>46034</v>
      </c>
      <c r="B325" s="86" t="s">
        <v>89</v>
      </c>
      <c r="C325" s="87" t="s">
        <v>90</v>
      </c>
      <c r="D325" s="86" t="s">
        <v>1</v>
      </c>
      <c r="E325" s="129">
        <v>1.1284722222222221</v>
      </c>
      <c r="F325" s="86" t="s">
        <v>110</v>
      </c>
      <c r="G325" s="88">
        <v>6</v>
      </c>
      <c r="H325" s="130">
        <v>500</v>
      </c>
    </row>
    <row r="326" spans="1:8" ht="19.8" customHeight="1" x14ac:dyDescent="0.3">
      <c r="A326" s="128">
        <v>46034</v>
      </c>
      <c r="B326" s="86" t="s">
        <v>45</v>
      </c>
      <c r="C326" s="87" t="s">
        <v>53</v>
      </c>
      <c r="D326" s="86" t="s">
        <v>1</v>
      </c>
      <c r="E326" s="129">
        <v>1.836805555555556</v>
      </c>
      <c r="F326" s="86" t="s">
        <v>49</v>
      </c>
      <c r="G326" s="88">
        <v>2</v>
      </c>
      <c r="H326" s="130">
        <v>539</v>
      </c>
    </row>
    <row r="327" spans="1:8" ht="19.8" customHeight="1" x14ac:dyDescent="0.3">
      <c r="A327" s="128">
        <v>46034</v>
      </c>
      <c r="B327" s="86" t="s">
        <v>45</v>
      </c>
      <c r="C327" s="87" t="s">
        <v>46</v>
      </c>
      <c r="D327" s="86" t="s">
        <v>1</v>
      </c>
      <c r="E327" s="129">
        <v>1.2013888888888891</v>
      </c>
      <c r="F327" s="86" t="s">
        <v>49</v>
      </c>
      <c r="G327" s="88">
        <v>6</v>
      </c>
      <c r="H327" s="130">
        <v>539</v>
      </c>
    </row>
    <row r="328" spans="1:8" ht="19.8" customHeight="1" x14ac:dyDescent="0.3">
      <c r="A328" s="128">
        <v>46034</v>
      </c>
      <c r="B328" s="86" t="s">
        <v>57</v>
      </c>
      <c r="C328" s="87" t="s">
        <v>58</v>
      </c>
      <c r="D328" s="86" t="s">
        <v>1</v>
      </c>
      <c r="E328" s="129">
        <v>1.305555555555556</v>
      </c>
      <c r="F328" s="86" t="s">
        <v>62</v>
      </c>
      <c r="G328" s="88">
        <v>7</v>
      </c>
      <c r="H328" s="130">
        <v>607</v>
      </c>
    </row>
    <row r="329" spans="1:8" ht="19.8" customHeight="1" x14ac:dyDescent="0.3">
      <c r="A329" s="128">
        <v>46034</v>
      </c>
      <c r="B329" s="86" t="s">
        <v>28</v>
      </c>
      <c r="C329" s="87" t="s">
        <v>29</v>
      </c>
      <c r="D329" s="86" t="s">
        <v>1</v>
      </c>
      <c r="E329" s="129">
        <v>1.1701388888888891</v>
      </c>
      <c r="F329" s="86" t="s">
        <v>134</v>
      </c>
      <c r="G329" s="88">
        <v>9</v>
      </c>
      <c r="H329" s="130">
        <v>607</v>
      </c>
    </row>
    <row r="330" spans="1:8" ht="19.8" customHeight="1" x14ac:dyDescent="0.3">
      <c r="A330" s="128">
        <v>46034</v>
      </c>
      <c r="B330" s="86" t="s">
        <v>45</v>
      </c>
      <c r="C330" s="87" t="s">
        <v>53</v>
      </c>
      <c r="D330" s="86" t="s">
        <v>1</v>
      </c>
      <c r="E330" s="129">
        <v>1.836805555555556</v>
      </c>
      <c r="F330" s="86" t="s">
        <v>51</v>
      </c>
      <c r="G330" s="88">
        <v>2</v>
      </c>
      <c r="H330" s="130">
        <v>629</v>
      </c>
    </row>
    <row r="331" spans="1:8" ht="19.8" customHeight="1" x14ac:dyDescent="0.3">
      <c r="A331" s="128">
        <v>46034</v>
      </c>
      <c r="B331" s="86" t="s">
        <v>45</v>
      </c>
      <c r="C331" s="87" t="s">
        <v>46</v>
      </c>
      <c r="D331" s="86" t="s">
        <v>1</v>
      </c>
      <c r="E331" s="129">
        <v>1.2013888888888891</v>
      </c>
      <c r="F331" s="86" t="s">
        <v>51</v>
      </c>
      <c r="G331" s="88">
        <v>6</v>
      </c>
      <c r="H331" s="130">
        <v>629</v>
      </c>
    </row>
    <row r="332" spans="1:8" ht="19.8" customHeight="1" x14ac:dyDescent="0.3">
      <c r="A332" s="128">
        <v>46034</v>
      </c>
      <c r="B332" s="86" t="s">
        <v>83</v>
      </c>
      <c r="C332" s="87" t="s">
        <v>92</v>
      </c>
      <c r="D332" s="86" t="s">
        <v>1</v>
      </c>
      <c r="E332" s="129">
        <v>1.958333333333333</v>
      </c>
      <c r="F332" s="86" t="s">
        <v>110</v>
      </c>
      <c r="G332" s="88">
        <v>9</v>
      </c>
      <c r="H332" s="130">
        <v>629</v>
      </c>
    </row>
    <row r="333" spans="1:8" ht="19.8" customHeight="1" x14ac:dyDescent="0.3">
      <c r="A333" s="128">
        <v>46034</v>
      </c>
      <c r="B333" s="86" t="s">
        <v>28</v>
      </c>
      <c r="C333" s="87" t="s">
        <v>35</v>
      </c>
      <c r="D333" s="86" t="s">
        <v>1</v>
      </c>
      <c r="E333" s="129">
        <v>1.864583333333333</v>
      </c>
      <c r="F333" s="86" t="s">
        <v>134</v>
      </c>
      <c r="G333" s="88">
        <v>9</v>
      </c>
      <c r="H333" s="130">
        <v>667</v>
      </c>
    </row>
    <row r="334" spans="1:8" ht="19.8" customHeight="1" x14ac:dyDescent="0.3">
      <c r="A334" s="128">
        <v>46034</v>
      </c>
      <c r="B334" s="86" t="s">
        <v>28</v>
      </c>
      <c r="C334" s="87" t="s">
        <v>33</v>
      </c>
      <c r="D334" s="86" t="s">
        <v>1</v>
      </c>
      <c r="E334" s="129">
        <v>1.5277777777777779</v>
      </c>
      <c r="F334" s="86" t="s">
        <v>134</v>
      </c>
      <c r="G334" s="88">
        <v>9</v>
      </c>
      <c r="H334" s="130">
        <v>667</v>
      </c>
    </row>
    <row r="335" spans="1:8" ht="19.8" customHeight="1" x14ac:dyDescent="0.3">
      <c r="A335" s="128">
        <v>46034</v>
      </c>
      <c r="B335" s="86" t="s">
        <v>57</v>
      </c>
      <c r="C335" s="87" t="s">
        <v>58</v>
      </c>
      <c r="D335" s="86" t="s">
        <v>1</v>
      </c>
      <c r="E335" s="129">
        <v>1.305555555555556</v>
      </c>
      <c r="F335" s="86" t="s">
        <v>51</v>
      </c>
      <c r="G335" s="88">
        <v>7</v>
      </c>
      <c r="H335" s="130">
        <v>899</v>
      </c>
    </row>
    <row r="336" spans="1:8" ht="19.8" customHeight="1" x14ac:dyDescent="0.3">
      <c r="A336" s="134">
        <v>46034</v>
      </c>
      <c r="B336" s="93" t="s">
        <v>73</v>
      </c>
      <c r="C336" s="94" t="s">
        <v>74</v>
      </c>
      <c r="D336" s="93" t="s">
        <v>1</v>
      </c>
      <c r="E336" s="135">
        <v>1.305555555555556</v>
      </c>
      <c r="F336" s="93" t="s">
        <v>75</v>
      </c>
      <c r="G336" s="95">
        <v>4</v>
      </c>
      <c r="H336" s="96" t="s">
        <v>77</v>
      </c>
    </row>
    <row r="337" spans="1:8" ht="19.8" customHeight="1" x14ac:dyDescent="0.3">
      <c r="A337" s="128">
        <v>46035</v>
      </c>
      <c r="B337" s="86" t="s">
        <v>57</v>
      </c>
      <c r="C337" s="87" t="s">
        <v>58</v>
      </c>
      <c r="D337" s="86" t="s">
        <v>1</v>
      </c>
      <c r="E337" s="129">
        <v>1.305555555555556</v>
      </c>
      <c r="F337" s="86" t="s">
        <v>59</v>
      </c>
      <c r="G337" s="88">
        <v>8</v>
      </c>
      <c r="H337" s="130">
        <v>429</v>
      </c>
    </row>
    <row r="338" spans="1:8" ht="19.8" customHeight="1" x14ac:dyDescent="0.3">
      <c r="A338" s="128">
        <v>46035</v>
      </c>
      <c r="B338" s="86" t="s">
        <v>45</v>
      </c>
      <c r="C338" s="87" t="s">
        <v>46</v>
      </c>
      <c r="D338" s="86" t="s">
        <v>1</v>
      </c>
      <c r="E338" s="129">
        <v>1.2013888888888891</v>
      </c>
      <c r="F338" s="86" t="s">
        <v>47</v>
      </c>
      <c r="G338" s="88">
        <v>6</v>
      </c>
      <c r="H338" s="130">
        <v>439</v>
      </c>
    </row>
    <row r="339" spans="1:8" ht="19.8" customHeight="1" x14ac:dyDescent="0.3">
      <c r="A339" s="128">
        <v>46035</v>
      </c>
      <c r="B339" s="86" t="s">
        <v>45</v>
      </c>
      <c r="C339" s="87" t="s">
        <v>53</v>
      </c>
      <c r="D339" s="86" t="s">
        <v>1</v>
      </c>
      <c r="E339" s="129">
        <v>1.836805555555556</v>
      </c>
      <c r="F339" s="86" t="s">
        <v>47</v>
      </c>
      <c r="G339" s="88">
        <v>9</v>
      </c>
      <c r="H339" s="130">
        <v>479</v>
      </c>
    </row>
    <row r="340" spans="1:8" ht="19.8" customHeight="1" x14ac:dyDescent="0.3">
      <c r="A340" s="128">
        <v>46035</v>
      </c>
      <c r="B340" s="86" t="s">
        <v>89</v>
      </c>
      <c r="C340" s="87" t="s">
        <v>150</v>
      </c>
      <c r="D340" s="86" t="s">
        <v>1</v>
      </c>
      <c r="E340" s="129">
        <v>1.2152777777777779</v>
      </c>
      <c r="F340" s="86" t="s">
        <v>110</v>
      </c>
      <c r="G340" s="88">
        <v>6</v>
      </c>
      <c r="H340" s="130">
        <v>500</v>
      </c>
    </row>
    <row r="341" spans="1:8" ht="19.8" customHeight="1" x14ac:dyDescent="0.3">
      <c r="A341" s="128">
        <v>46035</v>
      </c>
      <c r="B341" s="86" t="s">
        <v>45</v>
      </c>
      <c r="C341" s="87" t="s">
        <v>46</v>
      </c>
      <c r="D341" s="86" t="s">
        <v>1</v>
      </c>
      <c r="E341" s="129">
        <v>1.2013888888888891</v>
      </c>
      <c r="F341" s="86" t="s">
        <v>49</v>
      </c>
      <c r="G341" s="88">
        <v>6</v>
      </c>
      <c r="H341" s="130">
        <v>539</v>
      </c>
    </row>
    <row r="342" spans="1:8" ht="19.8" customHeight="1" x14ac:dyDescent="0.3">
      <c r="A342" s="128">
        <v>46035</v>
      </c>
      <c r="B342" s="86" t="s">
        <v>83</v>
      </c>
      <c r="C342" s="87" t="s">
        <v>96</v>
      </c>
      <c r="D342" s="86" t="s">
        <v>1</v>
      </c>
      <c r="E342" s="129">
        <v>1.958333333333333</v>
      </c>
      <c r="F342" s="86" t="s">
        <v>110</v>
      </c>
      <c r="G342" s="88">
        <v>7</v>
      </c>
      <c r="H342" s="130">
        <v>563</v>
      </c>
    </row>
    <row r="343" spans="1:8" ht="19.8" customHeight="1" x14ac:dyDescent="0.3">
      <c r="A343" s="131">
        <v>46035</v>
      </c>
      <c r="B343" s="89" t="s">
        <v>65</v>
      </c>
      <c r="C343" s="90" t="s">
        <v>66</v>
      </c>
      <c r="D343" s="89" t="s">
        <v>1</v>
      </c>
      <c r="E343" s="132">
        <v>1.270833333333333</v>
      </c>
      <c r="F343" s="89" t="s">
        <v>110</v>
      </c>
      <c r="G343" s="91">
        <v>4</v>
      </c>
      <c r="H343" s="133">
        <v>566</v>
      </c>
    </row>
    <row r="344" spans="1:8" ht="19.8" customHeight="1" x14ac:dyDescent="0.3">
      <c r="A344" s="128">
        <v>46035</v>
      </c>
      <c r="B344" s="86" t="s">
        <v>45</v>
      </c>
      <c r="C344" s="87" t="s">
        <v>53</v>
      </c>
      <c r="D344" s="86" t="s">
        <v>1</v>
      </c>
      <c r="E344" s="129">
        <v>1.836805555555556</v>
      </c>
      <c r="F344" s="86" t="s">
        <v>49</v>
      </c>
      <c r="G344" s="88">
        <v>9</v>
      </c>
      <c r="H344" s="130">
        <v>579</v>
      </c>
    </row>
    <row r="345" spans="1:8" ht="19.8" customHeight="1" x14ac:dyDescent="0.3">
      <c r="A345" s="128">
        <v>46035</v>
      </c>
      <c r="B345" s="86" t="s">
        <v>57</v>
      </c>
      <c r="C345" s="87" t="s">
        <v>58</v>
      </c>
      <c r="D345" s="86" t="s">
        <v>1</v>
      </c>
      <c r="E345" s="129">
        <v>1.305555555555556</v>
      </c>
      <c r="F345" s="86" t="s">
        <v>62</v>
      </c>
      <c r="G345" s="88">
        <v>8</v>
      </c>
      <c r="H345" s="130">
        <v>607</v>
      </c>
    </row>
    <row r="346" spans="1:8" ht="19.8" customHeight="1" x14ac:dyDescent="0.3">
      <c r="A346" s="128">
        <v>46035</v>
      </c>
      <c r="B346" s="86" t="s">
        <v>28</v>
      </c>
      <c r="C346" s="87" t="s">
        <v>29</v>
      </c>
      <c r="D346" s="86" t="s">
        <v>1</v>
      </c>
      <c r="E346" s="129">
        <v>1.1701388888888891</v>
      </c>
      <c r="F346" s="86" t="s">
        <v>134</v>
      </c>
      <c r="G346" s="88">
        <v>9</v>
      </c>
      <c r="H346" s="130">
        <v>607</v>
      </c>
    </row>
    <row r="347" spans="1:8" ht="19.8" customHeight="1" x14ac:dyDescent="0.3">
      <c r="A347" s="128">
        <v>46035</v>
      </c>
      <c r="B347" s="86" t="s">
        <v>45</v>
      </c>
      <c r="C347" s="87" t="s">
        <v>46</v>
      </c>
      <c r="D347" s="86" t="s">
        <v>1</v>
      </c>
      <c r="E347" s="129">
        <v>1.2013888888888891</v>
      </c>
      <c r="F347" s="86" t="s">
        <v>51</v>
      </c>
      <c r="G347" s="88">
        <v>6</v>
      </c>
      <c r="H347" s="130">
        <v>629</v>
      </c>
    </row>
    <row r="348" spans="1:8" ht="19.8" customHeight="1" x14ac:dyDescent="0.3">
      <c r="A348" s="128">
        <v>46035</v>
      </c>
      <c r="B348" s="86" t="s">
        <v>28</v>
      </c>
      <c r="C348" s="87" t="s">
        <v>35</v>
      </c>
      <c r="D348" s="86" t="s">
        <v>1</v>
      </c>
      <c r="E348" s="129">
        <v>1.864583333333333</v>
      </c>
      <c r="F348" s="86" t="s">
        <v>134</v>
      </c>
      <c r="G348" s="88">
        <v>9</v>
      </c>
      <c r="H348" s="130">
        <v>667</v>
      </c>
    </row>
    <row r="349" spans="1:8" ht="19.8" customHeight="1" x14ac:dyDescent="0.3">
      <c r="A349" s="128">
        <v>46035</v>
      </c>
      <c r="B349" s="86" t="s">
        <v>28</v>
      </c>
      <c r="C349" s="87" t="s">
        <v>33</v>
      </c>
      <c r="D349" s="86" t="s">
        <v>1</v>
      </c>
      <c r="E349" s="129">
        <v>1.5277777777777779</v>
      </c>
      <c r="F349" s="86" t="s">
        <v>134</v>
      </c>
      <c r="G349" s="88">
        <v>9</v>
      </c>
      <c r="H349" s="130">
        <v>667</v>
      </c>
    </row>
    <row r="350" spans="1:8" ht="19.8" customHeight="1" x14ac:dyDescent="0.3">
      <c r="A350" s="128">
        <v>46035</v>
      </c>
      <c r="B350" s="86" t="s">
        <v>45</v>
      </c>
      <c r="C350" s="87" t="s">
        <v>53</v>
      </c>
      <c r="D350" s="86" t="s">
        <v>1</v>
      </c>
      <c r="E350" s="129">
        <v>1.836805555555556</v>
      </c>
      <c r="F350" s="86" t="s">
        <v>51</v>
      </c>
      <c r="G350" s="88">
        <v>9</v>
      </c>
      <c r="H350" s="130">
        <v>669</v>
      </c>
    </row>
    <row r="351" spans="1:8" ht="19.8" customHeight="1" x14ac:dyDescent="0.3">
      <c r="A351" s="128">
        <v>46035</v>
      </c>
      <c r="B351" s="86" t="s">
        <v>57</v>
      </c>
      <c r="C351" s="87" t="s">
        <v>58</v>
      </c>
      <c r="D351" s="86" t="s">
        <v>1</v>
      </c>
      <c r="E351" s="129">
        <v>1.305555555555556</v>
      </c>
      <c r="F351" s="86" t="s">
        <v>51</v>
      </c>
      <c r="G351" s="88">
        <v>8</v>
      </c>
      <c r="H351" s="130">
        <v>899</v>
      </c>
    </row>
    <row r="352" spans="1:8" ht="19.8" customHeight="1" x14ac:dyDescent="0.3">
      <c r="A352" s="134">
        <v>46035</v>
      </c>
      <c r="B352" s="93" t="s">
        <v>73</v>
      </c>
      <c r="C352" s="94" t="s">
        <v>74</v>
      </c>
      <c r="D352" s="93" t="s">
        <v>1</v>
      </c>
      <c r="E352" s="135">
        <v>1.305555555555556</v>
      </c>
      <c r="F352" s="93" t="s">
        <v>75</v>
      </c>
      <c r="G352" s="95">
        <v>4</v>
      </c>
      <c r="H352" s="96" t="s">
        <v>77</v>
      </c>
    </row>
    <row r="353" spans="1:8" ht="19.8" customHeight="1" x14ac:dyDescent="0.3">
      <c r="A353" s="128">
        <v>46036</v>
      </c>
      <c r="B353" s="86" t="s">
        <v>57</v>
      </c>
      <c r="C353" s="87" t="s">
        <v>58</v>
      </c>
      <c r="D353" s="86" t="s">
        <v>1</v>
      </c>
      <c r="E353" s="129">
        <v>1.305555555555556</v>
      </c>
      <c r="F353" s="86" t="s">
        <v>59</v>
      </c>
      <c r="G353" s="88">
        <v>6</v>
      </c>
      <c r="H353" s="130">
        <v>429</v>
      </c>
    </row>
    <row r="354" spans="1:8" ht="19.8" customHeight="1" x14ac:dyDescent="0.3">
      <c r="A354" s="128">
        <v>46036</v>
      </c>
      <c r="B354" s="86" t="s">
        <v>45</v>
      </c>
      <c r="C354" s="87" t="s">
        <v>53</v>
      </c>
      <c r="D354" s="86" t="s">
        <v>1</v>
      </c>
      <c r="E354" s="129">
        <v>1.836805555555556</v>
      </c>
      <c r="F354" s="86" t="s">
        <v>47</v>
      </c>
      <c r="G354" s="88">
        <v>6</v>
      </c>
      <c r="H354" s="130">
        <v>479</v>
      </c>
    </row>
    <row r="355" spans="1:8" ht="19.8" customHeight="1" x14ac:dyDescent="0.3">
      <c r="A355" s="128">
        <v>46036</v>
      </c>
      <c r="B355" s="86" t="s">
        <v>89</v>
      </c>
      <c r="C355" s="87" t="s">
        <v>100</v>
      </c>
      <c r="D355" s="86" t="s">
        <v>1</v>
      </c>
      <c r="E355" s="129">
        <v>1.0902777777777779</v>
      </c>
      <c r="F355" s="86" t="s">
        <v>110</v>
      </c>
      <c r="G355" s="88">
        <v>3</v>
      </c>
      <c r="H355" s="130">
        <v>500</v>
      </c>
    </row>
    <row r="356" spans="1:8" ht="19.8" customHeight="1" x14ac:dyDescent="0.3">
      <c r="A356" s="128">
        <v>46036</v>
      </c>
      <c r="B356" s="86" t="s">
        <v>38</v>
      </c>
      <c r="C356" s="87" t="s">
        <v>39</v>
      </c>
      <c r="D356" s="86" t="s">
        <v>1</v>
      </c>
      <c r="E356" s="129">
        <v>1.9722222222222221</v>
      </c>
      <c r="F356" s="86" t="s">
        <v>40</v>
      </c>
      <c r="G356" s="88">
        <v>9</v>
      </c>
      <c r="H356" s="130">
        <v>506</v>
      </c>
    </row>
    <row r="357" spans="1:8" ht="19.8" customHeight="1" x14ac:dyDescent="0.3">
      <c r="A357" s="128">
        <v>46036</v>
      </c>
      <c r="B357" s="86" t="s">
        <v>83</v>
      </c>
      <c r="C357" s="87" t="s">
        <v>92</v>
      </c>
      <c r="D357" s="86" t="s">
        <v>1</v>
      </c>
      <c r="E357" s="129">
        <v>1.895833333333333</v>
      </c>
      <c r="F357" s="86" t="s">
        <v>110</v>
      </c>
      <c r="G357" s="88">
        <v>2</v>
      </c>
      <c r="H357" s="130">
        <v>563</v>
      </c>
    </row>
    <row r="358" spans="1:8" ht="19.8" customHeight="1" x14ac:dyDescent="0.3">
      <c r="A358" s="128">
        <v>46036</v>
      </c>
      <c r="B358" s="86" t="s">
        <v>45</v>
      </c>
      <c r="C358" s="87" t="s">
        <v>53</v>
      </c>
      <c r="D358" s="86" t="s">
        <v>1</v>
      </c>
      <c r="E358" s="129">
        <v>1.836805555555556</v>
      </c>
      <c r="F358" s="86" t="s">
        <v>49</v>
      </c>
      <c r="G358" s="88">
        <v>6</v>
      </c>
      <c r="H358" s="130">
        <v>579</v>
      </c>
    </row>
    <row r="359" spans="1:8" ht="19.8" customHeight="1" x14ac:dyDescent="0.3">
      <c r="A359" s="128">
        <v>46036</v>
      </c>
      <c r="B359" s="86" t="s">
        <v>57</v>
      </c>
      <c r="C359" s="87" t="s">
        <v>58</v>
      </c>
      <c r="D359" s="86" t="s">
        <v>1</v>
      </c>
      <c r="E359" s="129">
        <v>1.305555555555556</v>
      </c>
      <c r="F359" s="86" t="s">
        <v>62</v>
      </c>
      <c r="G359" s="88">
        <v>6</v>
      </c>
      <c r="H359" s="130">
        <v>607</v>
      </c>
    </row>
    <row r="360" spans="1:8" ht="19.8" customHeight="1" x14ac:dyDescent="0.3">
      <c r="A360" s="128">
        <v>46036</v>
      </c>
      <c r="B360" s="86" t="s">
        <v>28</v>
      </c>
      <c r="C360" s="87" t="s">
        <v>29</v>
      </c>
      <c r="D360" s="86" t="s">
        <v>1</v>
      </c>
      <c r="E360" s="129">
        <v>1.1701388888888891</v>
      </c>
      <c r="F360" s="86" t="s">
        <v>134</v>
      </c>
      <c r="G360" s="88">
        <v>9</v>
      </c>
      <c r="H360" s="130">
        <v>607</v>
      </c>
    </row>
    <row r="361" spans="1:8" ht="19.8" customHeight="1" x14ac:dyDescent="0.3">
      <c r="A361" s="128">
        <v>46036</v>
      </c>
      <c r="B361" s="86" t="s">
        <v>28</v>
      </c>
      <c r="C361" s="87" t="s">
        <v>35</v>
      </c>
      <c r="D361" s="86" t="s">
        <v>1</v>
      </c>
      <c r="E361" s="129">
        <v>1.864583333333333</v>
      </c>
      <c r="F361" s="86" t="s">
        <v>134</v>
      </c>
      <c r="G361" s="88">
        <v>9</v>
      </c>
      <c r="H361" s="130">
        <v>667</v>
      </c>
    </row>
    <row r="362" spans="1:8" ht="19.8" customHeight="1" x14ac:dyDescent="0.3">
      <c r="A362" s="128">
        <v>46036</v>
      </c>
      <c r="B362" s="86" t="s">
        <v>28</v>
      </c>
      <c r="C362" s="87" t="s">
        <v>33</v>
      </c>
      <c r="D362" s="86" t="s">
        <v>1</v>
      </c>
      <c r="E362" s="129">
        <v>1.5277777777777779</v>
      </c>
      <c r="F362" s="86" t="s">
        <v>134</v>
      </c>
      <c r="G362" s="88">
        <v>9</v>
      </c>
      <c r="H362" s="130">
        <v>667</v>
      </c>
    </row>
    <row r="363" spans="1:8" ht="19.8" customHeight="1" x14ac:dyDescent="0.3">
      <c r="A363" s="128">
        <v>46036</v>
      </c>
      <c r="B363" s="86" t="s">
        <v>45</v>
      </c>
      <c r="C363" s="87" t="s">
        <v>53</v>
      </c>
      <c r="D363" s="86" t="s">
        <v>1</v>
      </c>
      <c r="E363" s="129">
        <v>1.836805555555556</v>
      </c>
      <c r="F363" s="86" t="s">
        <v>51</v>
      </c>
      <c r="G363" s="88">
        <v>6</v>
      </c>
      <c r="H363" s="130">
        <v>669</v>
      </c>
    </row>
    <row r="364" spans="1:8" ht="19.8" customHeight="1" x14ac:dyDescent="0.3">
      <c r="A364" s="128">
        <v>46036</v>
      </c>
      <c r="B364" s="86" t="s">
        <v>38</v>
      </c>
      <c r="C364" s="87" t="s">
        <v>39</v>
      </c>
      <c r="D364" s="86" t="s">
        <v>1</v>
      </c>
      <c r="E364" s="129">
        <v>1.9722222222222221</v>
      </c>
      <c r="F364" s="86" t="s">
        <v>43</v>
      </c>
      <c r="G364" s="88">
        <v>9</v>
      </c>
      <c r="H364" s="130">
        <v>711</v>
      </c>
    </row>
    <row r="365" spans="1:8" ht="19.8" customHeight="1" x14ac:dyDescent="0.3">
      <c r="A365" s="128">
        <v>46036</v>
      </c>
      <c r="B365" s="86" t="s">
        <v>57</v>
      </c>
      <c r="C365" s="87" t="s">
        <v>58</v>
      </c>
      <c r="D365" s="86" t="s">
        <v>1</v>
      </c>
      <c r="E365" s="129">
        <v>1.305555555555556</v>
      </c>
      <c r="F365" s="86" t="s">
        <v>51</v>
      </c>
      <c r="G365" s="88">
        <v>6</v>
      </c>
      <c r="H365" s="130">
        <v>899</v>
      </c>
    </row>
    <row r="366" spans="1:8" ht="19.8" customHeight="1" x14ac:dyDescent="0.3">
      <c r="A366" s="134">
        <v>46036</v>
      </c>
      <c r="B366" s="93" t="s">
        <v>73</v>
      </c>
      <c r="C366" s="94" t="s">
        <v>74</v>
      </c>
      <c r="D366" s="93" t="s">
        <v>1</v>
      </c>
      <c r="E366" s="135">
        <v>1.305555555555556</v>
      </c>
      <c r="F366" s="93" t="s">
        <v>75</v>
      </c>
      <c r="G366" s="95">
        <v>4</v>
      </c>
      <c r="H366" s="96" t="s">
        <v>77</v>
      </c>
    </row>
    <row r="367" spans="1:8" ht="19.8" customHeight="1" x14ac:dyDescent="0.3">
      <c r="A367" s="128">
        <v>46037</v>
      </c>
      <c r="B367" s="86" t="s">
        <v>57</v>
      </c>
      <c r="C367" s="87" t="s">
        <v>58</v>
      </c>
      <c r="D367" s="86" t="s">
        <v>1</v>
      </c>
      <c r="E367" s="129">
        <v>1.305555555555556</v>
      </c>
      <c r="F367" s="86" t="s">
        <v>59</v>
      </c>
      <c r="G367" s="88">
        <v>4</v>
      </c>
      <c r="H367" s="130">
        <v>429</v>
      </c>
    </row>
    <row r="368" spans="1:8" ht="19.8" customHeight="1" x14ac:dyDescent="0.3">
      <c r="A368" s="128">
        <v>46037</v>
      </c>
      <c r="B368" s="86" t="s">
        <v>45</v>
      </c>
      <c r="C368" s="87" t="s">
        <v>46</v>
      </c>
      <c r="D368" s="86" t="s">
        <v>1</v>
      </c>
      <c r="E368" s="129">
        <v>1.2013888888888891</v>
      </c>
      <c r="F368" s="86" t="s">
        <v>47</v>
      </c>
      <c r="G368" s="88">
        <v>7</v>
      </c>
      <c r="H368" s="130">
        <v>479</v>
      </c>
    </row>
    <row r="369" spans="1:8" ht="19.8" customHeight="1" x14ac:dyDescent="0.3">
      <c r="A369" s="128">
        <v>46037</v>
      </c>
      <c r="B369" s="86" t="s">
        <v>45</v>
      </c>
      <c r="C369" s="87" t="s">
        <v>53</v>
      </c>
      <c r="D369" s="86" t="s">
        <v>1</v>
      </c>
      <c r="E369" s="129">
        <v>1.836805555555556</v>
      </c>
      <c r="F369" s="86" t="s">
        <v>47</v>
      </c>
      <c r="G369" s="88">
        <v>5</v>
      </c>
      <c r="H369" s="130">
        <v>559</v>
      </c>
    </row>
    <row r="370" spans="1:8" ht="19.8" customHeight="1" x14ac:dyDescent="0.3">
      <c r="A370" s="128">
        <v>46037</v>
      </c>
      <c r="B370" s="86" t="s">
        <v>83</v>
      </c>
      <c r="C370" s="87" t="s">
        <v>96</v>
      </c>
      <c r="D370" s="86" t="s">
        <v>1</v>
      </c>
      <c r="E370" s="129">
        <v>1.958333333333333</v>
      </c>
      <c r="F370" s="86" t="s">
        <v>110</v>
      </c>
      <c r="G370" s="88">
        <v>4</v>
      </c>
      <c r="H370" s="130">
        <v>563</v>
      </c>
    </row>
    <row r="371" spans="1:8" ht="19.8" customHeight="1" x14ac:dyDescent="0.3">
      <c r="A371" s="128">
        <v>46037</v>
      </c>
      <c r="B371" s="86" t="s">
        <v>89</v>
      </c>
      <c r="C371" s="87" t="s">
        <v>100</v>
      </c>
      <c r="D371" s="86" t="s">
        <v>1</v>
      </c>
      <c r="E371" s="129">
        <v>1.9652777777777779</v>
      </c>
      <c r="F371" s="86" t="s">
        <v>110</v>
      </c>
      <c r="G371" s="88">
        <v>3</v>
      </c>
      <c r="H371" s="130">
        <v>568</v>
      </c>
    </row>
    <row r="372" spans="1:8" ht="19.8" customHeight="1" x14ac:dyDescent="0.3">
      <c r="A372" s="128">
        <v>46037</v>
      </c>
      <c r="B372" s="86" t="s">
        <v>45</v>
      </c>
      <c r="C372" s="87" t="s">
        <v>46</v>
      </c>
      <c r="D372" s="86" t="s">
        <v>1</v>
      </c>
      <c r="E372" s="129">
        <v>1.2013888888888891</v>
      </c>
      <c r="F372" s="86" t="s">
        <v>49</v>
      </c>
      <c r="G372" s="88">
        <v>7</v>
      </c>
      <c r="H372" s="130">
        <v>579</v>
      </c>
    </row>
    <row r="373" spans="1:8" ht="19.8" customHeight="1" x14ac:dyDescent="0.3">
      <c r="A373" s="128">
        <v>46037</v>
      </c>
      <c r="B373" s="86" t="s">
        <v>57</v>
      </c>
      <c r="C373" s="87" t="s">
        <v>58</v>
      </c>
      <c r="D373" s="86" t="s">
        <v>1</v>
      </c>
      <c r="E373" s="129">
        <v>1.305555555555556</v>
      </c>
      <c r="F373" s="86" t="s">
        <v>62</v>
      </c>
      <c r="G373" s="88">
        <v>4</v>
      </c>
      <c r="H373" s="130">
        <v>607</v>
      </c>
    </row>
    <row r="374" spans="1:8" ht="19.8" customHeight="1" x14ac:dyDescent="0.3">
      <c r="A374" s="128">
        <v>46037</v>
      </c>
      <c r="B374" s="86" t="s">
        <v>28</v>
      </c>
      <c r="C374" s="87" t="s">
        <v>29</v>
      </c>
      <c r="D374" s="86" t="s">
        <v>1</v>
      </c>
      <c r="E374" s="129">
        <v>1.1701388888888891</v>
      </c>
      <c r="F374" s="86" t="s">
        <v>134</v>
      </c>
      <c r="G374" s="88">
        <v>9</v>
      </c>
      <c r="H374" s="130">
        <v>607</v>
      </c>
    </row>
    <row r="375" spans="1:8" ht="19.8" customHeight="1" x14ac:dyDescent="0.3">
      <c r="A375" s="131">
        <v>46037</v>
      </c>
      <c r="B375" s="89" t="s">
        <v>65</v>
      </c>
      <c r="C375" s="90" t="s">
        <v>66</v>
      </c>
      <c r="D375" s="89" t="s">
        <v>1</v>
      </c>
      <c r="E375" s="132">
        <v>1.9236111111111109</v>
      </c>
      <c r="F375" s="89" t="s">
        <v>110</v>
      </c>
      <c r="G375" s="91">
        <v>7</v>
      </c>
      <c r="H375" s="133">
        <v>626</v>
      </c>
    </row>
    <row r="376" spans="1:8" ht="19.8" customHeight="1" x14ac:dyDescent="0.3">
      <c r="A376" s="128">
        <v>46037</v>
      </c>
      <c r="B376" s="86" t="s">
        <v>83</v>
      </c>
      <c r="C376" s="87" t="s">
        <v>84</v>
      </c>
      <c r="D376" s="86" t="s">
        <v>1</v>
      </c>
      <c r="E376" s="129">
        <v>1.5625</v>
      </c>
      <c r="F376" s="86" t="s">
        <v>110</v>
      </c>
      <c r="G376" s="88">
        <v>3</v>
      </c>
      <c r="H376" s="130">
        <v>629</v>
      </c>
    </row>
    <row r="377" spans="1:8" ht="19.8" customHeight="1" x14ac:dyDescent="0.3">
      <c r="A377" s="128">
        <v>46037</v>
      </c>
      <c r="B377" s="86" t="s">
        <v>45</v>
      </c>
      <c r="C377" s="87" t="s">
        <v>53</v>
      </c>
      <c r="D377" s="86" t="s">
        <v>1</v>
      </c>
      <c r="E377" s="129">
        <v>1.836805555555556</v>
      </c>
      <c r="F377" s="86" t="s">
        <v>49</v>
      </c>
      <c r="G377" s="88">
        <v>5</v>
      </c>
      <c r="H377" s="130">
        <v>659</v>
      </c>
    </row>
    <row r="378" spans="1:8" ht="19.8" customHeight="1" x14ac:dyDescent="0.3">
      <c r="A378" s="128">
        <v>46037</v>
      </c>
      <c r="B378" s="86" t="s">
        <v>28</v>
      </c>
      <c r="C378" s="87" t="s">
        <v>33</v>
      </c>
      <c r="D378" s="86" t="s">
        <v>1</v>
      </c>
      <c r="E378" s="129">
        <v>1.5277777777777779</v>
      </c>
      <c r="F378" s="86" t="s">
        <v>134</v>
      </c>
      <c r="G378" s="88">
        <v>9</v>
      </c>
      <c r="H378" s="130">
        <v>667</v>
      </c>
    </row>
    <row r="379" spans="1:8" ht="19.8" customHeight="1" x14ac:dyDescent="0.3">
      <c r="A379" s="128">
        <v>46037</v>
      </c>
      <c r="B379" s="86" t="s">
        <v>45</v>
      </c>
      <c r="C379" s="87" t="s">
        <v>46</v>
      </c>
      <c r="D379" s="86" t="s">
        <v>1</v>
      </c>
      <c r="E379" s="129">
        <v>1.2013888888888891</v>
      </c>
      <c r="F379" s="86" t="s">
        <v>51</v>
      </c>
      <c r="G379" s="88">
        <v>7</v>
      </c>
      <c r="H379" s="130">
        <v>669</v>
      </c>
    </row>
    <row r="380" spans="1:8" ht="19.8" customHeight="1" x14ac:dyDescent="0.3">
      <c r="A380" s="128">
        <v>46037</v>
      </c>
      <c r="B380" s="86" t="s">
        <v>28</v>
      </c>
      <c r="C380" s="87" t="s">
        <v>35</v>
      </c>
      <c r="D380" s="86" t="s">
        <v>1</v>
      </c>
      <c r="E380" s="129">
        <v>1.864583333333333</v>
      </c>
      <c r="F380" s="86" t="s">
        <v>107</v>
      </c>
      <c r="G380" s="88">
        <v>9</v>
      </c>
      <c r="H380" s="130">
        <v>727</v>
      </c>
    </row>
    <row r="381" spans="1:8" ht="19.8" customHeight="1" x14ac:dyDescent="0.3">
      <c r="A381" s="128">
        <v>46037</v>
      </c>
      <c r="B381" s="86" t="s">
        <v>45</v>
      </c>
      <c r="C381" s="87" t="s">
        <v>53</v>
      </c>
      <c r="D381" s="86" t="s">
        <v>1</v>
      </c>
      <c r="E381" s="129">
        <v>1.836805555555556</v>
      </c>
      <c r="F381" s="86" t="s">
        <v>51</v>
      </c>
      <c r="G381" s="88">
        <v>5</v>
      </c>
      <c r="H381" s="130">
        <v>749</v>
      </c>
    </row>
    <row r="382" spans="1:8" ht="19.8" customHeight="1" x14ac:dyDescent="0.3">
      <c r="A382" s="128">
        <v>46037</v>
      </c>
      <c r="B382" s="86" t="s">
        <v>57</v>
      </c>
      <c r="C382" s="87" t="s">
        <v>58</v>
      </c>
      <c r="D382" s="86" t="s">
        <v>1</v>
      </c>
      <c r="E382" s="129">
        <v>1.305555555555556</v>
      </c>
      <c r="F382" s="86" t="s">
        <v>51</v>
      </c>
      <c r="G382" s="88">
        <v>4</v>
      </c>
      <c r="H382" s="130">
        <v>899</v>
      </c>
    </row>
    <row r="383" spans="1:8" ht="19.8" customHeight="1" x14ac:dyDescent="0.3">
      <c r="A383" s="134">
        <v>46037</v>
      </c>
      <c r="B383" s="93" t="s">
        <v>73</v>
      </c>
      <c r="C383" s="94" t="s">
        <v>74</v>
      </c>
      <c r="D383" s="93" t="s">
        <v>1</v>
      </c>
      <c r="E383" s="135">
        <v>1.305555555555556</v>
      </c>
      <c r="F383" s="93" t="s">
        <v>75</v>
      </c>
      <c r="G383" s="95">
        <v>4</v>
      </c>
      <c r="H383" s="96" t="s">
        <v>170</v>
      </c>
    </row>
    <row r="384" spans="1:8" ht="19.8" customHeight="1" x14ac:dyDescent="0.3">
      <c r="A384" s="128">
        <v>46038</v>
      </c>
      <c r="B384" s="86" t="s">
        <v>57</v>
      </c>
      <c r="C384" s="87" t="s">
        <v>58</v>
      </c>
      <c r="D384" s="86" t="s">
        <v>1</v>
      </c>
      <c r="E384" s="129">
        <v>1.305555555555556</v>
      </c>
      <c r="F384" s="86" t="s">
        <v>59</v>
      </c>
      <c r="G384" s="88">
        <v>8</v>
      </c>
      <c r="H384" s="130">
        <v>429</v>
      </c>
    </row>
    <row r="385" spans="1:8" ht="19.8" customHeight="1" x14ac:dyDescent="0.3">
      <c r="A385" s="128">
        <v>46038</v>
      </c>
      <c r="B385" s="86" t="s">
        <v>45</v>
      </c>
      <c r="C385" s="87" t="s">
        <v>53</v>
      </c>
      <c r="D385" s="86" t="s">
        <v>1</v>
      </c>
      <c r="E385" s="129">
        <v>1.836805555555556</v>
      </c>
      <c r="F385" s="86" t="s">
        <v>47</v>
      </c>
      <c r="G385" s="88">
        <v>3</v>
      </c>
      <c r="H385" s="130">
        <v>439</v>
      </c>
    </row>
    <row r="386" spans="1:8" ht="19.8" customHeight="1" x14ac:dyDescent="0.3">
      <c r="A386" s="128">
        <v>46038</v>
      </c>
      <c r="B386" s="86" t="s">
        <v>89</v>
      </c>
      <c r="C386" s="87" t="s">
        <v>150</v>
      </c>
      <c r="D386" s="86" t="s">
        <v>1</v>
      </c>
      <c r="E386" s="129">
        <v>1.2152777777777779</v>
      </c>
      <c r="F386" s="86" t="s">
        <v>110</v>
      </c>
      <c r="G386" s="88">
        <v>2</v>
      </c>
      <c r="H386" s="130">
        <v>500</v>
      </c>
    </row>
    <row r="387" spans="1:8" ht="19.8" customHeight="1" x14ac:dyDescent="0.3">
      <c r="A387" s="128">
        <v>46038</v>
      </c>
      <c r="B387" s="86" t="s">
        <v>45</v>
      </c>
      <c r="C387" s="87" t="s">
        <v>53</v>
      </c>
      <c r="D387" s="86" t="s">
        <v>1</v>
      </c>
      <c r="E387" s="129">
        <v>1.836805555555556</v>
      </c>
      <c r="F387" s="86" t="s">
        <v>49</v>
      </c>
      <c r="G387" s="88">
        <v>3</v>
      </c>
      <c r="H387" s="130">
        <v>539</v>
      </c>
    </row>
    <row r="388" spans="1:8" ht="19.8" customHeight="1" x14ac:dyDescent="0.3">
      <c r="A388" s="128">
        <v>46038</v>
      </c>
      <c r="B388" s="86" t="s">
        <v>83</v>
      </c>
      <c r="C388" s="87" t="s">
        <v>92</v>
      </c>
      <c r="D388" s="86" t="s">
        <v>1</v>
      </c>
      <c r="E388" s="129">
        <v>1.958333333333333</v>
      </c>
      <c r="F388" s="86" t="s">
        <v>110</v>
      </c>
      <c r="G388" s="88">
        <v>1</v>
      </c>
      <c r="H388" s="130">
        <v>563</v>
      </c>
    </row>
    <row r="389" spans="1:8" ht="19.8" customHeight="1" x14ac:dyDescent="0.3">
      <c r="A389" s="128">
        <v>46038</v>
      </c>
      <c r="B389" s="86" t="s">
        <v>57</v>
      </c>
      <c r="C389" s="87" t="s">
        <v>58</v>
      </c>
      <c r="D389" s="86" t="s">
        <v>1</v>
      </c>
      <c r="E389" s="129">
        <v>1.305555555555556</v>
      </c>
      <c r="F389" s="86" t="s">
        <v>62</v>
      </c>
      <c r="G389" s="88">
        <v>8</v>
      </c>
      <c r="H389" s="130">
        <v>607</v>
      </c>
    </row>
    <row r="390" spans="1:8" ht="19.8" customHeight="1" x14ac:dyDescent="0.3">
      <c r="A390" s="128">
        <v>46038</v>
      </c>
      <c r="B390" s="86" t="s">
        <v>28</v>
      </c>
      <c r="C390" s="87" t="s">
        <v>29</v>
      </c>
      <c r="D390" s="86" t="s">
        <v>1</v>
      </c>
      <c r="E390" s="129">
        <v>1.1701388888888891</v>
      </c>
      <c r="F390" s="86" t="s">
        <v>134</v>
      </c>
      <c r="G390" s="88">
        <v>9</v>
      </c>
      <c r="H390" s="130">
        <v>607</v>
      </c>
    </row>
    <row r="391" spans="1:8" ht="19.8" customHeight="1" x14ac:dyDescent="0.3">
      <c r="A391" s="131">
        <v>46038</v>
      </c>
      <c r="B391" s="89" t="s">
        <v>65</v>
      </c>
      <c r="C391" s="90" t="s">
        <v>66</v>
      </c>
      <c r="D391" s="89" t="s">
        <v>1</v>
      </c>
      <c r="E391" s="132">
        <v>1.5798611111111109</v>
      </c>
      <c r="F391" s="89" t="s">
        <v>110</v>
      </c>
      <c r="G391" s="91">
        <v>7</v>
      </c>
      <c r="H391" s="133">
        <v>626</v>
      </c>
    </row>
    <row r="392" spans="1:8" ht="19.8" customHeight="1" x14ac:dyDescent="0.3">
      <c r="A392" s="128">
        <v>46038</v>
      </c>
      <c r="B392" s="86" t="s">
        <v>45</v>
      </c>
      <c r="C392" s="87" t="s">
        <v>53</v>
      </c>
      <c r="D392" s="86" t="s">
        <v>1</v>
      </c>
      <c r="E392" s="129">
        <v>1.836805555555556</v>
      </c>
      <c r="F392" s="86" t="s">
        <v>51</v>
      </c>
      <c r="G392" s="88">
        <v>3</v>
      </c>
      <c r="H392" s="130">
        <v>629</v>
      </c>
    </row>
    <row r="393" spans="1:8" ht="19.8" customHeight="1" x14ac:dyDescent="0.3">
      <c r="A393" s="128">
        <v>46038</v>
      </c>
      <c r="B393" s="86" t="s">
        <v>28</v>
      </c>
      <c r="C393" s="87" t="s">
        <v>35</v>
      </c>
      <c r="D393" s="86" t="s">
        <v>1</v>
      </c>
      <c r="E393" s="129">
        <v>1.864583333333333</v>
      </c>
      <c r="F393" s="86" t="s">
        <v>134</v>
      </c>
      <c r="G393" s="88">
        <v>9</v>
      </c>
      <c r="H393" s="130">
        <v>667</v>
      </c>
    </row>
    <row r="394" spans="1:8" ht="19.8" customHeight="1" x14ac:dyDescent="0.3">
      <c r="A394" s="128">
        <v>46038</v>
      </c>
      <c r="B394" s="86" t="s">
        <v>28</v>
      </c>
      <c r="C394" s="87" t="s">
        <v>33</v>
      </c>
      <c r="D394" s="86" t="s">
        <v>1</v>
      </c>
      <c r="E394" s="129">
        <v>1.5277777777777779</v>
      </c>
      <c r="F394" s="86" t="s">
        <v>107</v>
      </c>
      <c r="G394" s="88">
        <v>9</v>
      </c>
      <c r="H394" s="130">
        <v>735</v>
      </c>
    </row>
    <row r="395" spans="1:8" ht="19.8" customHeight="1" x14ac:dyDescent="0.3">
      <c r="A395" s="128">
        <v>46038</v>
      </c>
      <c r="B395" s="86" t="s">
        <v>57</v>
      </c>
      <c r="C395" s="87" t="s">
        <v>58</v>
      </c>
      <c r="D395" s="86" t="s">
        <v>1</v>
      </c>
      <c r="E395" s="129">
        <v>1.305555555555556</v>
      </c>
      <c r="F395" s="86" t="s">
        <v>51</v>
      </c>
      <c r="G395" s="88">
        <v>8</v>
      </c>
      <c r="H395" s="130">
        <v>899</v>
      </c>
    </row>
    <row r="396" spans="1:8" ht="19.8" customHeight="1" x14ac:dyDescent="0.3">
      <c r="A396" s="134">
        <v>46038</v>
      </c>
      <c r="B396" s="93" t="s">
        <v>73</v>
      </c>
      <c r="C396" s="94" t="s">
        <v>74</v>
      </c>
      <c r="D396" s="93" t="s">
        <v>1</v>
      </c>
      <c r="E396" s="135">
        <v>1.305555555555556</v>
      </c>
      <c r="F396" s="93" t="s">
        <v>75</v>
      </c>
      <c r="G396" s="95">
        <v>4</v>
      </c>
      <c r="H396" s="96" t="s">
        <v>77</v>
      </c>
    </row>
    <row r="397" spans="1:8" ht="19.8" customHeight="1" x14ac:dyDescent="0.3">
      <c r="A397" s="128">
        <v>46039</v>
      </c>
      <c r="B397" s="86" t="s">
        <v>57</v>
      </c>
      <c r="C397" s="87" t="s">
        <v>58</v>
      </c>
      <c r="D397" s="86" t="s">
        <v>1</v>
      </c>
      <c r="E397" s="129">
        <v>1.305555555555556</v>
      </c>
      <c r="F397" s="86" t="s">
        <v>59</v>
      </c>
      <c r="G397" s="88">
        <v>7</v>
      </c>
      <c r="H397" s="130">
        <v>429</v>
      </c>
    </row>
    <row r="398" spans="1:8" ht="19.8" customHeight="1" x14ac:dyDescent="0.3">
      <c r="A398" s="128">
        <v>46039</v>
      </c>
      <c r="B398" s="86" t="s">
        <v>45</v>
      </c>
      <c r="C398" s="87" t="s">
        <v>53</v>
      </c>
      <c r="D398" s="86" t="s">
        <v>1</v>
      </c>
      <c r="E398" s="129">
        <v>1.836805555555556</v>
      </c>
      <c r="F398" s="86" t="s">
        <v>47</v>
      </c>
      <c r="G398" s="88">
        <v>9</v>
      </c>
      <c r="H398" s="130">
        <v>439</v>
      </c>
    </row>
    <row r="399" spans="1:8" ht="19.8" customHeight="1" x14ac:dyDescent="0.3">
      <c r="A399" s="128">
        <v>46039</v>
      </c>
      <c r="B399" s="86" t="s">
        <v>45</v>
      </c>
      <c r="C399" s="87" t="s">
        <v>46</v>
      </c>
      <c r="D399" s="86" t="s">
        <v>1</v>
      </c>
      <c r="E399" s="129">
        <v>1.2013888888888891</v>
      </c>
      <c r="F399" s="86" t="s">
        <v>47</v>
      </c>
      <c r="G399" s="88">
        <v>5</v>
      </c>
      <c r="H399" s="130">
        <v>479</v>
      </c>
    </row>
    <row r="400" spans="1:8" ht="19.8" customHeight="1" x14ac:dyDescent="0.3">
      <c r="A400" s="128">
        <v>46039</v>
      </c>
      <c r="B400" s="86" t="s">
        <v>38</v>
      </c>
      <c r="C400" s="87" t="s">
        <v>39</v>
      </c>
      <c r="D400" s="86" t="s">
        <v>1</v>
      </c>
      <c r="E400" s="129">
        <v>1.9722222222222221</v>
      </c>
      <c r="F400" s="86" t="s">
        <v>40</v>
      </c>
      <c r="G400" s="88">
        <v>9</v>
      </c>
      <c r="H400" s="130">
        <v>511</v>
      </c>
    </row>
    <row r="401" spans="1:8" ht="19.8" customHeight="1" x14ac:dyDescent="0.3">
      <c r="A401" s="128">
        <v>46039</v>
      </c>
      <c r="B401" s="86" t="s">
        <v>45</v>
      </c>
      <c r="C401" s="87" t="s">
        <v>53</v>
      </c>
      <c r="D401" s="86" t="s">
        <v>1</v>
      </c>
      <c r="E401" s="129">
        <v>1.836805555555556</v>
      </c>
      <c r="F401" s="86" t="s">
        <v>49</v>
      </c>
      <c r="G401" s="88">
        <v>9</v>
      </c>
      <c r="H401" s="130">
        <v>539</v>
      </c>
    </row>
    <row r="402" spans="1:8" ht="19.8" customHeight="1" x14ac:dyDescent="0.3">
      <c r="A402" s="128">
        <v>46039</v>
      </c>
      <c r="B402" s="86" t="s">
        <v>83</v>
      </c>
      <c r="C402" s="87" t="s">
        <v>96</v>
      </c>
      <c r="D402" s="86" t="s">
        <v>1</v>
      </c>
      <c r="E402" s="129">
        <v>1.895833333333333</v>
      </c>
      <c r="F402" s="86" t="s">
        <v>110</v>
      </c>
      <c r="G402" s="88">
        <v>4</v>
      </c>
      <c r="H402" s="130">
        <v>563</v>
      </c>
    </row>
    <row r="403" spans="1:8" ht="19.8" customHeight="1" x14ac:dyDescent="0.3">
      <c r="A403" s="131">
        <v>46039</v>
      </c>
      <c r="B403" s="89" t="s">
        <v>65</v>
      </c>
      <c r="C403" s="90" t="s">
        <v>66</v>
      </c>
      <c r="D403" s="89" t="s">
        <v>1</v>
      </c>
      <c r="E403" s="132">
        <v>1.9236111111111109</v>
      </c>
      <c r="F403" s="89" t="s">
        <v>110</v>
      </c>
      <c r="G403" s="91">
        <v>6</v>
      </c>
      <c r="H403" s="133">
        <v>566</v>
      </c>
    </row>
    <row r="404" spans="1:8" ht="19.8" customHeight="1" x14ac:dyDescent="0.3">
      <c r="A404" s="128">
        <v>46039</v>
      </c>
      <c r="B404" s="86" t="s">
        <v>89</v>
      </c>
      <c r="C404" s="87" t="s">
        <v>100</v>
      </c>
      <c r="D404" s="86" t="s">
        <v>1</v>
      </c>
      <c r="E404" s="129">
        <v>1.5486111111111109</v>
      </c>
      <c r="F404" s="86" t="s">
        <v>110</v>
      </c>
      <c r="G404" s="88">
        <v>9</v>
      </c>
      <c r="H404" s="130">
        <v>568</v>
      </c>
    </row>
    <row r="405" spans="1:8" ht="19.8" customHeight="1" x14ac:dyDescent="0.3">
      <c r="A405" s="128">
        <v>46039</v>
      </c>
      <c r="B405" s="86" t="s">
        <v>45</v>
      </c>
      <c r="C405" s="87" t="s">
        <v>46</v>
      </c>
      <c r="D405" s="86" t="s">
        <v>1</v>
      </c>
      <c r="E405" s="129">
        <v>1.2013888888888891</v>
      </c>
      <c r="F405" s="86" t="s">
        <v>49</v>
      </c>
      <c r="G405" s="88">
        <v>5</v>
      </c>
      <c r="H405" s="130">
        <v>579</v>
      </c>
    </row>
    <row r="406" spans="1:8" ht="19.8" customHeight="1" x14ac:dyDescent="0.3">
      <c r="A406" s="128">
        <v>46039</v>
      </c>
      <c r="B406" s="86" t="s">
        <v>57</v>
      </c>
      <c r="C406" s="87" t="s">
        <v>58</v>
      </c>
      <c r="D406" s="86" t="s">
        <v>1</v>
      </c>
      <c r="E406" s="129">
        <v>1.305555555555556</v>
      </c>
      <c r="F406" s="86" t="s">
        <v>62</v>
      </c>
      <c r="G406" s="88">
        <v>7</v>
      </c>
      <c r="H406" s="130">
        <v>607</v>
      </c>
    </row>
    <row r="407" spans="1:8" ht="19.8" customHeight="1" x14ac:dyDescent="0.3">
      <c r="A407" s="128">
        <v>46039</v>
      </c>
      <c r="B407" s="86" t="s">
        <v>28</v>
      </c>
      <c r="C407" s="87" t="s">
        <v>29</v>
      </c>
      <c r="D407" s="86" t="s">
        <v>1</v>
      </c>
      <c r="E407" s="129">
        <v>1.1701388888888891</v>
      </c>
      <c r="F407" s="86" t="s">
        <v>134</v>
      </c>
      <c r="G407" s="88">
        <v>9</v>
      </c>
      <c r="H407" s="130">
        <v>607</v>
      </c>
    </row>
    <row r="408" spans="1:8" ht="19.8" customHeight="1" x14ac:dyDescent="0.3">
      <c r="A408" s="128">
        <v>46039</v>
      </c>
      <c r="B408" s="86" t="s">
        <v>45</v>
      </c>
      <c r="C408" s="87" t="s">
        <v>53</v>
      </c>
      <c r="D408" s="86" t="s">
        <v>1</v>
      </c>
      <c r="E408" s="129">
        <v>1.836805555555556</v>
      </c>
      <c r="F408" s="86" t="s">
        <v>51</v>
      </c>
      <c r="G408" s="88">
        <v>9</v>
      </c>
      <c r="H408" s="130">
        <v>629</v>
      </c>
    </row>
    <row r="409" spans="1:8" ht="19.8" customHeight="1" x14ac:dyDescent="0.3">
      <c r="A409" s="128">
        <v>46039</v>
      </c>
      <c r="B409" s="86" t="s">
        <v>28</v>
      </c>
      <c r="C409" s="87" t="s">
        <v>35</v>
      </c>
      <c r="D409" s="86" t="s">
        <v>1</v>
      </c>
      <c r="E409" s="129">
        <v>1.864583333333333</v>
      </c>
      <c r="F409" s="86" t="s">
        <v>134</v>
      </c>
      <c r="G409" s="88">
        <v>9</v>
      </c>
      <c r="H409" s="130">
        <v>667</v>
      </c>
    </row>
    <row r="410" spans="1:8" ht="19.8" customHeight="1" x14ac:dyDescent="0.3">
      <c r="A410" s="128">
        <v>46039</v>
      </c>
      <c r="B410" s="86" t="s">
        <v>28</v>
      </c>
      <c r="C410" s="87" t="s">
        <v>33</v>
      </c>
      <c r="D410" s="86" t="s">
        <v>1</v>
      </c>
      <c r="E410" s="129">
        <v>1.5277777777777779</v>
      </c>
      <c r="F410" s="86" t="s">
        <v>134</v>
      </c>
      <c r="G410" s="88">
        <v>9</v>
      </c>
      <c r="H410" s="130">
        <v>667</v>
      </c>
    </row>
    <row r="411" spans="1:8" ht="19.8" customHeight="1" x14ac:dyDescent="0.3">
      <c r="A411" s="128">
        <v>46039</v>
      </c>
      <c r="B411" s="86" t="s">
        <v>45</v>
      </c>
      <c r="C411" s="87" t="s">
        <v>46</v>
      </c>
      <c r="D411" s="86" t="s">
        <v>1</v>
      </c>
      <c r="E411" s="129">
        <v>1.2013888888888891</v>
      </c>
      <c r="F411" s="86" t="s">
        <v>51</v>
      </c>
      <c r="G411" s="88">
        <v>5</v>
      </c>
      <c r="H411" s="130">
        <v>669</v>
      </c>
    </row>
    <row r="412" spans="1:8" ht="19.8" customHeight="1" x14ac:dyDescent="0.3">
      <c r="A412" s="128">
        <v>46039</v>
      </c>
      <c r="B412" s="86" t="s">
        <v>38</v>
      </c>
      <c r="C412" s="87" t="s">
        <v>39</v>
      </c>
      <c r="D412" s="86" t="s">
        <v>1</v>
      </c>
      <c r="E412" s="129">
        <v>1.9722222222222221</v>
      </c>
      <c r="F412" s="86" t="s">
        <v>43</v>
      </c>
      <c r="G412" s="88">
        <v>9</v>
      </c>
      <c r="H412" s="130">
        <v>717</v>
      </c>
    </row>
    <row r="413" spans="1:8" ht="19.8" customHeight="1" x14ac:dyDescent="0.3">
      <c r="A413" s="128">
        <v>46039</v>
      </c>
      <c r="B413" s="86" t="s">
        <v>57</v>
      </c>
      <c r="C413" s="87" t="s">
        <v>58</v>
      </c>
      <c r="D413" s="86" t="s">
        <v>1</v>
      </c>
      <c r="E413" s="129">
        <v>1.305555555555556</v>
      </c>
      <c r="F413" s="86" t="s">
        <v>51</v>
      </c>
      <c r="G413" s="88">
        <v>7</v>
      </c>
      <c r="H413" s="130">
        <v>899</v>
      </c>
    </row>
    <row r="414" spans="1:8" ht="19.8" customHeight="1" x14ac:dyDescent="0.3">
      <c r="A414" s="134">
        <v>46039</v>
      </c>
      <c r="B414" s="93" t="s">
        <v>73</v>
      </c>
      <c r="C414" s="94" t="s">
        <v>74</v>
      </c>
      <c r="D414" s="93" t="s">
        <v>1</v>
      </c>
      <c r="E414" s="135">
        <v>1.305555555555556</v>
      </c>
      <c r="F414" s="93" t="s">
        <v>75</v>
      </c>
      <c r="G414" s="95">
        <v>4</v>
      </c>
      <c r="H414" s="96" t="s">
        <v>77</v>
      </c>
    </row>
    <row r="415" spans="1:8" ht="19.8" customHeight="1" x14ac:dyDescent="0.3">
      <c r="A415" s="128">
        <v>46040</v>
      </c>
      <c r="B415" s="86" t="s">
        <v>57</v>
      </c>
      <c r="C415" s="87" t="s">
        <v>58</v>
      </c>
      <c r="D415" s="86" t="s">
        <v>1</v>
      </c>
      <c r="E415" s="129">
        <v>1.305555555555556</v>
      </c>
      <c r="F415" s="86" t="s">
        <v>59</v>
      </c>
      <c r="G415" s="88">
        <v>7</v>
      </c>
      <c r="H415" s="130">
        <v>429</v>
      </c>
    </row>
    <row r="416" spans="1:8" ht="19.8" customHeight="1" x14ac:dyDescent="0.3">
      <c r="A416" s="128">
        <v>46040</v>
      </c>
      <c r="B416" s="86" t="s">
        <v>45</v>
      </c>
      <c r="C416" s="87" t="s">
        <v>53</v>
      </c>
      <c r="D416" s="86" t="s">
        <v>1</v>
      </c>
      <c r="E416" s="129">
        <v>1.836805555555556</v>
      </c>
      <c r="F416" s="86" t="s">
        <v>47</v>
      </c>
      <c r="G416" s="88">
        <v>9</v>
      </c>
      <c r="H416" s="130">
        <v>439</v>
      </c>
    </row>
    <row r="417" spans="1:8" ht="19.8" customHeight="1" x14ac:dyDescent="0.3">
      <c r="A417" s="128">
        <v>46040</v>
      </c>
      <c r="B417" s="86" t="s">
        <v>89</v>
      </c>
      <c r="C417" s="87" t="s">
        <v>150</v>
      </c>
      <c r="D417" s="86" t="s">
        <v>1</v>
      </c>
      <c r="E417" s="129">
        <v>1.2152777777777779</v>
      </c>
      <c r="F417" s="86" t="s">
        <v>110</v>
      </c>
      <c r="G417" s="88">
        <v>7</v>
      </c>
      <c r="H417" s="130">
        <v>500</v>
      </c>
    </row>
    <row r="418" spans="1:8" ht="19.8" customHeight="1" x14ac:dyDescent="0.3">
      <c r="A418" s="128">
        <v>46040</v>
      </c>
      <c r="B418" s="86" t="s">
        <v>45</v>
      </c>
      <c r="C418" s="87" t="s">
        <v>53</v>
      </c>
      <c r="D418" s="86" t="s">
        <v>1</v>
      </c>
      <c r="E418" s="129">
        <v>1.836805555555556</v>
      </c>
      <c r="F418" s="86" t="s">
        <v>49</v>
      </c>
      <c r="G418" s="88">
        <v>9</v>
      </c>
      <c r="H418" s="130">
        <v>539</v>
      </c>
    </row>
    <row r="419" spans="1:8" ht="19.8" customHeight="1" x14ac:dyDescent="0.3">
      <c r="A419" s="128">
        <v>46040</v>
      </c>
      <c r="B419" s="86" t="s">
        <v>83</v>
      </c>
      <c r="C419" s="87" t="s">
        <v>84</v>
      </c>
      <c r="D419" s="86" t="s">
        <v>1</v>
      </c>
      <c r="E419" s="129">
        <v>1.958333333333333</v>
      </c>
      <c r="F419" s="86" t="s">
        <v>110</v>
      </c>
      <c r="G419" s="88">
        <v>4</v>
      </c>
      <c r="H419" s="130">
        <v>563</v>
      </c>
    </row>
    <row r="420" spans="1:8" ht="19.8" customHeight="1" x14ac:dyDescent="0.3">
      <c r="A420" s="128">
        <v>46040</v>
      </c>
      <c r="B420" s="86" t="s">
        <v>57</v>
      </c>
      <c r="C420" s="87" t="s">
        <v>58</v>
      </c>
      <c r="D420" s="86" t="s">
        <v>1</v>
      </c>
      <c r="E420" s="129">
        <v>1.305555555555556</v>
      </c>
      <c r="F420" s="86" t="s">
        <v>62</v>
      </c>
      <c r="G420" s="88">
        <v>7</v>
      </c>
      <c r="H420" s="130">
        <v>607</v>
      </c>
    </row>
    <row r="421" spans="1:8" ht="19.8" customHeight="1" x14ac:dyDescent="0.3">
      <c r="A421" s="128">
        <v>46040</v>
      </c>
      <c r="B421" s="86" t="s">
        <v>28</v>
      </c>
      <c r="C421" s="87" t="s">
        <v>29</v>
      </c>
      <c r="D421" s="86" t="s">
        <v>1</v>
      </c>
      <c r="E421" s="129">
        <v>1.1701388888888891</v>
      </c>
      <c r="F421" s="86" t="s">
        <v>134</v>
      </c>
      <c r="G421" s="88">
        <v>9</v>
      </c>
      <c r="H421" s="130">
        <v>607</v>
      </c>
    </row>
    <row r="422" spans="1:8" ht="19.8" customHeight="1" x14ac:dyDescent="0.3">
      <c r="A422" s="128">
        <v>46040</v>
      </c>
      <c r="B422" s="86" t="s">
        <v>45</v>
      </c>
      <c r="C422" s="87" t="s">
        <v>53</v>
      </c>
      <c r="D422" s="86" t="s">
        <v>1</v>
      </c>
      <c r="E422" s="129">
        <v>1.836805555555556</v>
      </c>
      <c r="F422" s="86" t="s">
        <v>51</v>
      </c>
      <c r="G422" s="88">
        <v>9</v>
      </c>
      <c r="H422" s="130">
        <v>629</v>
      </c>
    </row>
    <row r="423" spans="1:8" ht="19.8" customHeight="1" x14ac:dyDescent="0.3">
      <c r="A423" s="128">
        <v>46040</v>
      </c>
      <c r="B423" s="86" t="s">
        <v>28</v>
      </c>
      <c r="C423" s="87" t="s">
        <v>35</v>
      </c>
      <c r="D423" s="86" t="s">
        <v>1</v>
      </c>
      <c r="E423" s="129">
        <v>1.864583333333333</v>
      </c>
      <c r="F423" s="86" t="s">
        <v>134</v>
      </c>
      <c r="G423" s="88">
        <v>9</v>
      </c>
      <c r="H423" s="130">
        <v>667</v>
      </c>
    </row>
    <row r="424" spans="1:8" ht="19.8" customHeight="1" x14ac:dyDescent="0.3">
      <c r="A424" s="128">
        <v>46040</v>
      </c>
      <c r="B424" s="86" t="s">
        <v>28</v>
      </c>
      <c r="C424" s="87" t="s">
        <v>33</v>
      </c>
      <c r="D424" s="86" t="s">
        <v>1</v>
      </c>
      <c r="E424" s="129">
        <v>1.5277777777777779</v>
      </c>
      <c r="F424" s="86" t="s">
        <v>134</v>
      </c>
      <c r="G424" s="88">
        <v>9</v>
      </c>
      <c r="H424" s="130">
        <v>667</v>
      </c>
    </row>
    <row r="425" spans="1:8" ht="19.8" customHeight="1" x14ac:dyDescent="0.3">
      <c r="A425" s="128">
        <v>46040</v>
      </c>
      <c r="B425" s="86" t="s">
        <v>57</v>
      </c>
      <c r="C425" s="87" t="s">
        <v>58</v>
      </c>
      <c r="D425" s="86" t="s">
        <v>1</v>
      </c>
      <c r="E425" s="129">
        <v>1.305555555555556</v>
      </c>
      <c r="F425" s="86" t="s">
        <v>51</v>
      </c>
      <c r="G425" s="88">
        <v>7</v>
      </c>
      <c r="H425" s="130">
        <v>899</v>
      </c>
    </row>
    <row r="426" spans="1:8" ht="19.8" customHeight="1" x14ac:dyDescent="0.3">
      <c r="A426" s="134">
        <v>46040</v>
      </c>
      <c r="B426" s="93" t="s">
        <v>73</v>
      </c>
      <c r="C426" s="94" t="s">
        <v>74</v>
      </c>
      <c r="D426" s="93" t="s">
        <v>1</v>
      </c>
      <c r="E426" s="135">
        <v>1.305555555555556</v>
      </c>
      <c r="F426" s="93" t="s">
        <v>75</v>
      </c>
      <c r="G426" s="95">
        <v>4</v>
      </c>
      <c r="H426" s="96" t="s">
        <v>77</v>
      </c>
    </row>
    <row r="427" spans="1:8" ht="19.8" customHeight="1" x14ac:dyDescent="0.3">
      <c r="A427" s="128">
        <v>46041</v>
      </c>
      <c r="B427" s="86" t="s">
        <v>57</v>
      </c>
      <c r="C427" s="87" t="s">
        <v>58</v>
      </c>
      <c r="D427" s="86" t="s">
        <v>1</v>
      </c>
      <c r="E427" s="129">
        <v>1.305555555555556</v>
      </c>
      <c r="F427" s="86" t="s">
        <v>59</v>
      </c>
      <c r="G427" s="88">
        <v>8</v>
      </c>
      <c r="H427" s="130">
        <v>429</v>
      </c>
    </row>
    <row r="428" spans="1:8" ht="19.8" customHeight="1" x14ac:dyDescent="0.3">
      <c r="A428" s="128">
        <v>46041</v>
      </c>
      <c r="B428" s="86" t="s">
        <v>45</v>
      </c>
      <c r="C428" s="87" t="s">
        <v>53</v>
      </c>
      <c r="D428" s="86" t="s">
        <v>1</v>
      </c>
      <c r="E428" s="129">
        <v>1.836805555555556</v>
      </c>
      <c r="F428" s="86" t="s">
        <v>47</v>
      </c>
      <c r="G428" s="88">
        <v>9</v>
      </c>
      <c r="H428" s="130">
        <v>439</v>
      </c>
    </row>
    <row r="429" spans="1:8" ht="19.8" customHeight="1" x14ac:dyDescent="0.3">
      <c r="A429" s="128">
        <v>46041</v>
      </c>
      <c r="B429" s="86" t="s">
        <v>45</v>
      </c>
      <c r="C429" s="87" t="s">
        <v>46</v>
      </c>
      <c r="D429" s="86" t="s">
        <v>1</v>
      </c>
      <c r="E429" s="129">
        <v>1.2013888888888891</v>
      </c>
      <c r="F429" s="86" t="s">
        <v>47</v>
      </c>
      <c r="G429" s="88">
        <v>4</v>
      </c>
      <c r="H429" s="130">
        <v>439</v>
      </c>
    </row>
    <row r="430" spans="1:8" ht="19.8" customHeight="1" x14ac:dyDescent="0.3">
      <c r="A430" s="128">
        <v>46041</v>
      </c>
      <c r="B430" s="86" t="s">
        <v>89</v>
      </c>
      <c r="C430" s="87" t="s">
        <v>90</v>
      </c>
      <c r="D430" s="86" t="s">
        <v>1</v>
      </c>
      <c r="E430" s="129">
        <v>1.1284722222222221</v>
      </c>
      <c r="F430" s="86" t="s">
        <v>110</v>
      </c>
      <c r="G430" s="88">
        <v>1</v>
      </c>
      <c r="H430" s="130">
        <v>500</v>
      </c>
    </row>
    <row r="431" spans="1:8" ht="19.8" customHeight="1" x14ac:dyDescent="0.3">
      <c r="A431" s="128">
        <v>46041</v>
      </c>
      <c r="B431" s="86" t="s">
        <v>45</v>
      </c>
      <c r="C431" s="87" t="s">
        <v>53</v>
      </c>
      <c r="D431" s="86" t="s">
        <v>1</v>
      </c>
      <c r="E431" s="129">
        <v>1.836805555555556</v>
      </c>
      <c r="F431" s="86" t="s">
        <v>49</v>
      </c>
      <c r="G431" s="88">
        <v>9</v>
      </c>
      <c r="H431" s="130">
        <v>539</v>
      </c>
    </row>
    <row r="432" spans="1:8" ht="19.8" customHeight="1" x14ac:dyDescent="0.3">
      <c r="A432" s="128">
        <v>46041</v>
      </c>
      <c r="B432" s="86" t="s">
        <v>45</v>
      </c>
      <c r="C432" s="87" t="s">
        <v>46</v>
      </c>
      <c r="D432" s="86" t="s">
        <v>1</v>
      </c>
      <c r="E432" s="129">
        <v>1.2013888888888891</v>
      </c>
      <c r="F432" s="86" t="s">
        <v>49</v>
      </c>
      <c r="G432" s="88">
        <v>4</v>
      </c>
      <c r="H432" s="130">
        <v>539</v>
      </c>
    </row>
    <row r="433" spans="1:8" ht="19.8" customHeight="1" x14ac:dyDescent="0.3">
      <c r="A433" s="128">
        <v>46041</v>
      </c>
      <c r="B433" s="86" t="s">
        <v>83</v>
      </c>
      <c r="C433" s="87" t="s">
        <v>92</v>
      </c>
      <c r="D433" s="86" t="s">
        <v>1</v>
      </c>
      <c r="E433" s="129">
        <v>1.958333333333333</v>
      </c>
      <c r="F433" s="86" t="s">
        <v>110</v>
      </c>
      <c r="G433" s="88">
        <v>4</v>
      </c>
      <c r="H433" s="130">
        <v>563</v>
      </c>
    </row>
    <row r="434" spans="1:8" ht="19.8" customHeight="1" x14ac:dyDescent="0.3">
      <c r="A434" s="128">
        <v>46041</v>
      </c>
      <c r="B434" s="86" t="s">
        <v>57</v>
      </c>
      <c r="C434" s="87" t="s">
        <v>58</v>
      </c>
      <c r="D434" s="86" t="s">
        <v>1</v>
      </c>
      <c r="E434" s="129">
        <v>1.305555555555556</v>
      </c>
      <c r="F434" s="86" t="s">
        <v>62</v>
      </c>
      <c r="G434" s="88">
        <v>8</v>
      </c>
      <c r="H434" s="130">
        <v>607</v>
      </c>
    </row>
    <row r="435" spans="1:8" ht="19.8" customHeight="1" x14ac:dyDescent="0.3">
      <c r="A435" s="128">
        <v>46041</v>
      </c>
      <c r="B435" s="86" t="s">
        <v>28</v>
      </c>
      <c r="C435" s="87" t="s">
        <v>29</v>
      </c>
      <c r="D435" s="86" t="s">
        <v>1</v>
      </c>
      <c r="E435" s="129">
        <v>1.1701388888888891</v>
      </c>
      <c r="F435" s="86" t="s">
        <v>134</v>
      </c>
      <c r="G435" s="88">
        <v>9</v>
      </c>
      <c r="H435" s="130">
        <v>607</v>
      </c>
    </row>
    <row r="436" spans="1:8" ht="19.8" customHeight="1" x14ac:dyDescent="0.3">
      <c r="A436" s="128">
        <v>46041</v>
      </c>
      <c r="B436" s="86" t="s">
        <v>45</v>
      </c>
      <c r="C436" s="87" t="s">
        <v>53</v>
      </c>
      <c r="D436" s="86" t="s">
        <v>1</v>
      </c>
      <c r="E436" s="129">
        <v>1.836805555555556</v>
      </c>
      <c r="F436" s="86" t="s">
        <v>51</v>
      </c>
      <c r="G436" s="88">
        <v>9</v>
      </c>
      <c r="H436" s="130">
        <v>629</v>
      </c>
    </row>
    <row r="437" spans="1:8" ht="19.8" customHeight="1" x14ac:dyDescent="0.3">
      <c r="A437" s="128">
        <v>46041</v>
      </c>
      <c r="B437" s="86" t="s">
        <v>45</v>
      </c>
      <c r="C437" s="87" t="s">
        <v>46</v>
      </c>
      <c r="D437" s="86" t="s">
        <v>1</v>
      </c>
      <c r="E437" s="129">
        <v>1.2013888888888891</v>
      </c>
      <c r="F437" s="86" t="s">
        <v>51</v>
      </c>
      <c r="G437" s="88">
        <v>4</v>
      </c>
      <c r="H437" s="130">
        <v>629</v>
      </c>
    </row>
    <row r="438" spans="1:8" ht="19.8" customHeight="1" x14ac:dyDescent="0.3">
      <c r="A438" s="128">
        <v>46041</v>
      </c>
      <c r="B438" s="86" t="s">
        <v>28</v>
      </c>
      <c r="C438" s="87" t="s">
        <v>35</v>
      </c>
      <c r="D438" s="86" t="s">
        <v>1</v>
      </c>
      <c r="E438" s="129">
        <v>1.864583333333333</v>
      </c>
      <c r="F438" s="86" t="s">
        <v>134</v>
      </c>
      <c r="G438" s="88">
        <v>9</v>
      </c>
      <c r="H438" s="130">
        <v>667</v>
      </c>
    </row>
    <row r="439" spans="1:8" ht="19.8" customHeight="1" x14ac:dyDescent="0.3">
      <c r="A439" s="128">
        <v>46041</v>
      </c>
      <c r="B439" s="86" t="s">
        <v>28</v>
      </c>
      <c r="C439" s="87" t="s">
        <v>33</v>
      </c>
      <c r="D439" s="86" t="s">
        <v>1</v>
      </c>
      <c r="E439" s="129">
        <v>1.5277777777777779</v>
      </c>
      <c r="F439" s="86" t="s">
        <v>134</v>
      </c>
      <c r="G439" s="88">
        <v>9</v>
      </c>
      <c r="H439" s="130">
        <v>667</v>
      </c>
    </row>
    <row r="440" spans="1:8" ht="19.8" customHeight="1" x14ac:dyDescent="0.3">
      <c r="A440" s="128">
        <v>46041</v>
      </c>
      <c r="B440" s="86" t="s">
        <v>57</v>
      </c>
      <c r="C440" s="87" t="s">
        <v>58</v>
      </c>
      <c r="D440" s="86" t="s">
        <v>1</v>
      </c>
      <c r="E440" s="129">
        <v>1.305555555555556</v>
      </c>
      <c r="F440" s="86" t="s">
        <v>51</v>
      </c>
      <c r="G440" s="88">
        <v>8</v>
      </c>
      <c r="H440" s="130">
        <v>899</v>
      </c>
    </row>
    <row r="441" spans="1:8" ht="19.8" customHeight="1" x14ac:dyDescent="0.3">
      <c r="A441" s="134">
        <v>46041</v>
      </c>
      <c r="B441" s="93" t="s">
        <v>73</v>
      </c>
      <c r="C441" s="94" t="s">
        <v>74</v>
      </c>
      <c r="D441" s="93" t="s">
        <v>1</v>
      </c>
      <c r="E441" s="135">
        <v>1.305555555555556</v>
      </c>
      <c r="F441" s="93" t="s">
        <v>75</v>
      </c>
      <c r="G441" s="95">
        <v>4</v>
      </c>
      <c r="H441" s="96" t="s">
        <v>77</v>
      </c>
    </row>
    <row r="442" spans="1:8" ht="19.8" customHeight="1" x14ac:dyDescent="0.3">
      <c r="A442" s="128">
        <v>46042</v>
      </c>
      <c r="B442" s="86" t="s">
        <v>57</v>
      </c>
      <c r="C442" s="87" t="s">
        <v>58</v>
      </c>
      <c r="D442" s="86" t="s">
        <v>1</v>
      </c>
      <c r="E442" s="129">
        <v>1.305555555555556</v>
      </c>
      <c r="F442" s="86" t="s">
        <v>59</v>
      </c>
      <c r="G442" s="88">
        <v>8</v>
      </c>
      <c r="H442" s="130">
        <v>429</v>
      </c>
    </row>
    <row r="443" spans="1:8" ht="19.8" customHeight="1" x14ac:dyDescent="0.3">
      <c r="A443" s="128">
        <v>46042</v>
      </c>
      <c r="B443" s="86" t="s">
        <v>45</v>
      </c>
      <c r="C443" s="87" t="s">
        <v>53</v>
      </c>
      <c r="D443" s="86" t="s">
        <v>1</v>
      </c>
      <c r="E443" s="129">
        <v>1.836805555555556</v>
      </c>
      <c r="F443" s="86" t="s">
        <v>47</v>
      </c>
      <c r="G443" s="88">
        <v>3</v>
      </c>
      <c r="H443" s="130">
        <v>439</v>
      </c>
    </row>
    <row r="444" spans="1:8" ht="19.8" customHeight="1" x14ac:dyDescent="0.3">
      <c r="A444" s="128">
        <v>46042</v>
      </c>
      <c r="B444" s="86" t="s">
        <v>45</v>
      </c>
      <c r="C444" s="87" t="s">
        <v>46</v>
      </c>
      <c r="D444" s="86" t="s">
        <v>1</v>
      </c>
      <c r="E444" s="129">
        <v>1.2013888888888891</v>
      </c>
      <c r="F444" s="86" t="s">
        <v>47</v>
      </c>
      <c r="G444" s="88">
        <v>3</v>
      </c>
      <c r="H444" s="130">
        <v>439</v>
      </c>
    </row>
    <row r="445" spans="1:8" ht="19.8" customHeight="1" x14ac:dyDescent="0.3">
      <c r="A445" s="128">
        <v>46042</v>
      </c>
      <c r="B445" s="86" t="s">
        <v>45</v>
      </c>
      <c r="C445" s="87" t="s">
        <v>53</v>
      </c>
      <c r="D445" s="86" t="s">
        <v>1</v>
      </c>
      <c r="E445" s="129">
        <v>1.836805555555556</v>
      </c>
      <c r="F445" s="86" t="s">
        <v>49</v>
      </c>
      <c r="G445" s="88">
        <v>3</v>
      </c>
      <c r="H445" s="130">
        <v>539</v>
      </c>
    </row>
    <row r="446" spans="1:8" ht="19.8" customHeight="1" x14ac:dyDescent="0.3">
      <c r="A446" s="128">
        <v>46042</v>
      </c>
      <c r="B446" s="86" t="s">
        <v>45</v>
      </c>
      <c r="C446" s="87" t="s">
        <v>46</v>
      </c>
      <c r="D446" s="86" t="s">
        <v>1</v>
      </c>
      <c r="E446" s="129">
        <v>1.2013888888888891</v>
      </c>
      <c r="F446" s="86" t="s">
        <v>49</v>
      </c>
      <c r="G446" s="88">
        <v>3</v>
      </c>
      <c r="H446" s="130">
        <v>539</v>
      </c>
    </row>
    <row r="447" spans="1:8" ht="19.8" customHeight="1" x14ac:dyDescent="0.3">
      <c r="A447" s="128">
        <v>46042</v>
      </c>
      <c r="B447" s="86" t="s">
        <v>83</v>
      </c>
      <c r="C447" s="87" t="s">
        <v>96</v>
      </c>
      <c r="D447" s="86" t="s">
        <v>1</v>
      </c>
      <c r="E447" s="129">
        <v>1.958333333333333</v>
      </c>
      <c r="F447" s="86" t="s">
        <v>110</v>
      </c>
      <c r="G447" s="88">
        <v>2</v>
      </c>
      <c r="H447" s="130">
        <v>563</v>
      </c>
    </row>
    <row r="448" spans="1:8" ht="19.8" customHeight="1" x14ac:dyDescent="0.3">
      <c r="A448" s="131">
        <v>46042</v>
      </c>
      <c r="B448" s="89" t="s">
        <v>65</v>
      </c>
      <c r="C448" s="90" t="s">
        <v>66</v>
      </c>
      <c r="D448" s="89" t="s">
        <v>1</v>
      </c>
      <c r="E448" s="132">
        <v>1.270833333333333</v>
      </c>
      <c r="F448" s="89" t="s">
        <v>110</v>
      </c>
      <c r="G448" s="91">
        <v>3</v>
      </c>
      <c r="H448" s="133">
        <v>566</v>
      </c>
    </row>
    <row r="449" spans="1:8" ht="19.8" customHeight="1" x14ac:dyDescent="0.3">
      <c r="A449" s="128">
        <v>46042</v>
      </c>
      <c r="B449" s="86" t="s">
        <v>89</v>
      </c>
      <c r="C449" s="87" t="s">
        <v>150</v>
      </c>
      <c r="D449" s="86" t="s">
        <v>1</v>
      </c>
      <c r="E449" s="129">
        <v>1.2152777777777779</v>
      </c>
      <c r="F449" s="86" t="s">
        <v>110</v>
      </c>
      <c r="G449" s="88">
        <v>4</v>
      </c>
      <c r="H449" s="130">
        <v>568</v>
      </c>
    </row>
    <row r="450" spans="1:8" ht="19.8" customHeight="1" x14ac:dyDescent="0.3">
      <c r="A450" s="128">
        <v>46042</v>
      </c>
      <c r="B450" s="86" t="s">
        <v>57</v>
      </c>
      <c r="C450" s="87" t="s">
        <v>58</v>
      </c>
      <c r="D450" s="86" t="s">
        <v>1</v>
      </c>
      <c r="E450" s="129">
        <v>1.305555555555556</v>
      </c>
      <c r="F450" s="86" t="s">
        <v>62</v>
      </c>
      <c r="G450" s="88">
        <v>8</v>
      </c>
      <c r="H450" s="130">
        <v>607</v>
      </c>
    </row>
    <row r="451" spans="1:8" ht="19.8" customHeight="1" x14ac:dyDescent="0.3">
      <c r="A451" s="128">
        <v>46042</v>
      </c>
      <c r="B451" s="86" t="s">
        <v>28</v>
      </c>
      <c r="C451" s="87" t="s">
        <v>29</v>
      </c>
      <c r="D451" s="86" t="s">
        <v>1</v>
      </c>
      <c r="E451" s="129">
        <v>1.1701388888888891</v>
      </c>
      <c r="F451" s="86" t="s">
        <v>134</v>
      </c>
      <c r="G451" s="88">
        <v>9</v>
      </c>
      <c r="H451" s="130">
        <v>607</v>
      </c>
    </row>
    <row r="452" spans="1:8" ht="19.8" customHeight="1" x14ac:dyDescent="0.3">
      <c r="A452" s="128">
        <v>46042</v>
      </c>
      <c r="B452" s="86" t="s">
        <v>45</v>
      </c>
      <c r="C452" s="87" t="s">
        <v>53</v>
      </c>
      <c r="D452" s="86" t="s">
        <v>1</v>
      </c>
      <c r="E452" s="129">
        <v>1.836805555555556</v>
      </c>
      <c r="F452" s="86" t="s">
        <v>51</v>
      </c>
      <c r="G452" s="88">
        <v>3</v>
      </c>
      <c r="H452" s="130">
        <v>629</v>
      </c>
    </row>
    <row r="453" spans="1:8" ht="19.8" customHeight="1" x14ac:dyDescent="0.3">
      <c r="A453" s="128">
        <v>46042</v>
      </c>
      <c r="B453" s="86" t="s">
        <v>45</v>
      </c>
      <c r="C453" s="87" t="s">
        <v>46</v>
      </c>
      <c r="D453" s="86" t="s">
        <v>1</v>
      </c>
      <c r="E453" s="129">
        <v>1.2013888888888891</v>
      </c>
      <c r="F453" s="86" t="s">
        <v>51</v>
      </c>
      <c r="G453" s="88">
        <v>3</v>
      </c>
      <c r="H453" s="130">
        <v>629</v>
      </c>
    </row>
    <row r="454" spans="1:8" ht="19.8" customHeight="1" x14ac:dyDescent="0.3">
      <c r="A454" s="128">
        <v>46042</v>
      </c>
      <c r="B454" s="86" t="s">
        <v>28</v>
      </c>
      <c r="C454" s="87" t="s">
        <v>35</v>
      </c>
      <c r="D454" s="86" t="s">
        <v>1</v>
      </c>
      <c r="E454" s="129">
        <v>1.864583333333333</v>
      </c>
      <c r="F454" s="86" t="s">
        <v>134</v>
      </c>
      <c r="G454" s="88">
        <v>9</v>
      </c>
      <c r="H454" s="130">
        <v>667</v>
      </c>
    </row>
    <row r="455" spans="1:8" ht="19.8" customHeight="1" x14ac:dyDescent="0.3">
      <c r="A455" s="128">
        <v>46042</v>
      </c>
      <c r="B455" s="86" t="s">
        <v>28</v>
      </c>
      <c r="C455" s="87" t="s">
        <v>33</v>
      </c>
      <c r="D455" s="86" t="s">
        <v>1</v>
      </c>
      <c r="E455" s="129">
        <v>1.5277777777777779</v>
      </c>
      <c r="F455" s="86" t="s">
        <v>134</v>
      </c>
      <c r="G455" s="88">
        <v>9</v>
      </c>
      <c r="H455" s="130">
        <v>667</v>
      </c>
    </row>
    <row r="456" spans="1:8" ht="19.8" customHeight="1" x14ac:dyDescent="0.3">
      <c r="A456" s="128">
        <v>46042</v>
      </c>
      <c r="B456" s="86" t="s">
        <v>57</v>
      </c>
      <c r="C456" s="87" t="s">
        <v>58</v>
      </c>
      <c r="D456" s="86" t="s">
        <v>1</v>
      </c>
      <c r="E456" s="129">
        <v>1.305555555555556</v>
      </c>
      <c r="F456" s="86" t="s">
        <v>51</v>
      </c>
      <c r="G456" s="88">
        <v>8</v>
      </c>
      <c r="H456" s="130">
        <v>899</v>
      </c>
    </row>
    <row r="457" spans="1:8" ht="19.8" customHeight="1" x14ac:dyDescent="0.3">
      <c r="A457" s="134">
        <v>46042</v>
      </c>
      <c r="B457" s="93" t="s">
        <v>73</v>
      </c>
      <c r="C457" s="94" t="s">
        <v>74</v>
      </c>
      <c r="D457" s="93" t="s">
        <v>1</v>
      </c>
      <c r="E457" s="135">
        <v>1.305555555555556</v>
      </c>
      <c r="F457" s="93" t="s">
        <v>75</v>
      </c>
      <c r="G457" s="95">
        <v>4</v>
      </c>
      <c r="H457" s="96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5546875" bestFit="1" customWidth="1"/>
    <col min="2" max="2" width="26" bestFit="1" customWidth="1"/>
    <col min="3" max="4" width="8" bestFit="1" customWidth="1"/>
    <col min="5" max="5" width="10.44140625" bestFit="1" customWidth="1"/>
    <col min="6" max="6" width="8" bestFit="1" customWidth="1"/>
    <col min="7" max="7" width="9.21875" bestFit="1" customWidth="1"/>
    <col min="8" max="8" width="28.44140625" bestFit="1" customWidth="1"/>
    <col min="9" max="10" width="32" bestFit="1" customWidth="1"/>
    <col min="11" max="11" width="11.5546875" bestFit="1" customWidth="1"/>
    <col min="12" max="12" width="26" bestFit="1" customWidth="1"/>
    <col min="13" max="13" width="32" bestFit="1" customWidth="1"/>
    <col min="14" max="14" width="30.77734375" bestFit="1" customWidth="1"/>
    <col min="15" max="15" width="32" bestFit="1" customWidth="1"/>
    <col min="16" max="16" width="16.44140625" bestFit="1" customWidth="1"/>
    <col min="17" max="36" width="8" bestFit="1" customWidth="1"/>
  </cols>
  <sheetData>
    <row r="1" spans="1:36" x14ac:dyDescent="0.3">
      <c r="A1" s="2" t="s">
        <v>219</v>
      </c>
      <c r="B1" s="2" t="s">
        <v>220</v>
      </c>
      <c r="C1" s="2" t="s">
        <v>221</v>
      </c>
      <c r="D1" s="2" t="s">
        <v>25</v>
      </c>
      <c r="E1" s="2" t="s">
        <v>222</v>
      </c>
      <c r="F1" s="2" t="s">
        <v>223</v>
      </c>
      <c r="G1" s="2" t="s">
        <v>18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20</v>
      </c>
      <c r="M1" s="2" t="s">
        <v>22</v>
      </c>
      <c r="N1" s="2" t="s">
        <v>23</v>
      </c>
      <c r="O1" s="2" t="s">
        <v>21</v>
      </c>
      <c r="P1" s="2" t="s">
        <v>24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2" t="s">
        <v>234</v>
      </c>
      <c r="X1" s="2" t="s">
        <v>235</v>
      </c>
      <c r="Y1" s="2" t="s">
        <v>236</v>
      </c>
      <c r="Z1" s="2" t="s">
        <v>237</v>
      </c>
      <c r="AA1" s="2" t="s">
        <v>238</v>
      </c>
      <c r="AB1" s="2" t="s">
        <v>239</v>
      </c>
      <c r="AC1" s="2" t="s">
        <v>240</v>
      </c>
      <c r="AD1" s="2" t="s">
        <v>241</v>
      </c>
      <c r="AE1" s="2" t="s">
        <v>242</v>
      </c>
      <c r="AF1" s="2" t="s">
        <v>243</v>
      </c>
      <c r="AG1" s="2" t="s">
        <v>244</v>
      </c>
      <c r="AH1" s="2" t="s">
        <v>245</v>
      </c>
      <c r="AI1" s="2" t="s">
        <v>246</v>
      </c>
      <c r="AJ1" s="2" t="s">
        <v>247</v>
      </c>
    </row>
    <row r="2" spans="1:36" x14ac:dyDescent="0.3">
      <c r="A2" s="98" t="s">
        <v>248</v>
      </c>
      <c r="B2" s="136">
        <v>46011</v>
      </c>
      <c r="C2" s="2" t="s">
        <v>70</v>
      </c>
      <c r="D2" s="137" t="s">
        <v>249</v>
      </c>
      <c r="E2" s="2" t="s">
        <v>1</v>
      </c>
      <c r="F2" s="2" t="s">
        <v>250</v>
      </c>
      <c r="G2" s="99">
        <v>0.40610000000000002</v>
      </c>
      <c r="H2" s="81">
        <v>165</v>
      </c>
      <c r="I2" s="81">
        <v>67</v>
      </c>
      <c r="J2" s="81">
        <v>0</v>
      </c>
      <c r="K2" s="81" t="s">
        <v>251</v>
      </c>
      <c r="L2" s="138">
        <v>45996</v>
      </c>
      <c r="M2" s="81">
        <v>0</v>
      </c>
      <c r="N2" s="81">
        <v>0</v>
      </c>
      <c r="O2" s="81">
        <v>18</v>
      </c>
      <c r="P2" s="81" t="s">
        <v>71</v>
      </c>
      <c r="Q2" s="81">
        <v>0</v>
      </c>
      <c r="R2" s="81">
        <v>0</v>
      </c>
      <c r="S2" s="81">
        <v>0</v>
      </c>
      <c r="T2" s="81">
        <v>0</v>
      </c>
      <c r="U2" s="81">
        <v>0</v>
      </c>
      <c r="V2" s="81">
        <v>0</v>
      </c>
      <c r="W2" s="81">
        <v>0</v>
      </c>
      <c r="X2" s="81">
        <v>0</v>
      </c>
      <c r="Y2" s="81">
        <v>1</v>
      </c>
      <c r="Z2" s="81">
        <v>2</v>
      </c>
      <c r="AA2" s="81">
        <v>0</v>
      </c>
      <c r="AB2" s="81">
        <v>0</v>
      </c>
      <c r="AC2" s="81">
        <v>11</v>
      </c>
      <c r="AD2" s="81">
        <v>6</v>
      </c>
      <c r="AE2" s="81">
        <v>7</v>
      </c>
      <c r="AF2" s="81">
        <v>40</v>
      </c>
      <c r="AG2" s="81">
        <v>0</v>
      </c>
      <c r="AH2" s="81">
        <v>0</v>
      </c>
      <c r="AI2" s="81">
        <v>0</v>
      </c>
      <c r="AJ2" s="81">
        <v>0</v>
      </c>
    </row>
    <row r="3" spans="1:36" x14ac:dyDescent="0.3">
      <c r="A3" s="98" t="s">
        <v>257</v>
      </c>
      <c r="B3" s="136">
        <v>46014</v>
      </c>
      <c r="C3" s="2" t="s">
        <v>70</v>
      </c>
      <c r="D3" s="137" t="s">
        <v>258</v>
      </c>
      <c r="E3" s="2" t="s">
        <v>1</v>
      </c>
      <c r="F3" s="2" t="s">
        <v>250</v>
      </c>
      <c r="G3" s="99">
        <v>0.21429999999999999</v>
      </c>
      <c r="H3" s="81">
        <v>168</v>
      </c>
      <c r="I3" s="81">
        <v>36</v>
      </c>
      <c r="J3" s="81">
        <v>0</v>
      </c>
      <c r="K3" s="81" t="s">
        <v>251</v>
      </c>
      <c r="L3" s="138">
        <v>45997</v>
      </c>
      <c r="M3" s="81">
        <v>0</v>
      </c>
      <c r="N3" s="81">
        <v>1</v>
      </c>
      <c r="O3" s="81">
        <v>7</v>
      </c>
      <c r="P3" s="81" t="s">
        <v>94</v>
      </c>
      <c r="Q3" s="81">
        <v>0</v>
      </c>
      <c r="R3" s="81">
        <v>0</v>
      </c>
      <c r="S3" s="81">
        <v>0</v>
      </c>
      <c r="T3" s="81">
        <v>0</v>
      </c>
      <c r="U3" s="81">
        <v>0</v>
      </c>
      <c r="V3" s="81">
        <v>0</v>
      </c>
      <c r="W3" s="81">
        <v>0</v>
      </c>
      <c r="X3" s="81">
        <v>0</v>
      </c>
      <c r="Y3" s="81">
        <v>0</v>
      </c>
      <c r="Z3" s="81">
        <v>0</v>
      </c>
      <c r="AA3" s="81">
        <v>0</v>
      </c>
      <c r="AB3" s="81">
        <v>0</v>
      </c>
      <c r="AC3" s="81">
        <v>1</v>
      </c>
      <c r="AD3" s="81">
        <v>3</v>
      </c>
      <c r="AE3" s="81">
        <v>5</v>
      </c>
      <c r="AF3" s="81">
        <v>27</v>
      </c>
      <c r="AG3" s="81">
        <v>0</v>
      </c>
      <c r="AH3" s="81">
        <v>0</v>
      </c>
      <c r="AI3" s="81">
        <v>0</v>
      </c>
      <c r="AJ3" s="81">
        <v>0</v>
      </c>
    </row>
    <row r="4" spans="1:36" x14ac:dyDescent="0.3">
      <c r="A4" s="98" t="s">
        <v>263</v>
      </c>
      <c r="B4" s="136">
        <v>46016</v>
      </c>
      <c r="C4" s="2" t="s">
        <v>70</v>
      </c>
      <c r="D4" s="137" t="s">
        <v>249</v>
      </c>
      <c r="E4" s="2" t="s">
        <v>1</v>
      </c>
      <c r="F4" s="2" t="s">
        <v>250</v>
      </c>
      <c r="G4" s="99">
        <v>0.36309999999999998</v>
      </c>
      <c r="H4" s="81">
        <v>168</v>
      </c>
      <c r="I4" s="81">
        <v>61</v>
      </c>
      <c r="J4" s="81">
        <v>0</v>
      </c>
      <c r="K4" s="81" t="s">
        <v>251</v>
      </c>
      <c r="L4" s="138">
        <v>45996</v>
      </c>
      <c r="M4" s="81">
        <v>0</v>
      </c>
      <c r="N4" s="81">
        <v>0</v>
      </c>
      <c r="O4" s="81">
        <v>18</v>
      </c>
      <c r="P4" s="81" t="s">
        <v>111</v>
      </c>
      <c r="Q4" s="81">
        <v>0</v>
      </c>
      <c r="R4" s="81">
        <v>0</v>
      </c>
      <c r="S4" s="81">
        <v>0</v>
      </c>
      <c r="T4" s="81">
        <v>0</v>
      </c>
      <c r="U4" s="81">
        <v>0</v>
      </c>
      <c r="V4" s="81">
        <v>0</v>
      </c>
      <c r="W4" s="81">
        <v>0</v>
      </c>
      <c r="X4" s="81">
        <v>0</v>
      </c>
      <c r="Y4" s="81">
        <v>0</v>
      </c>
      <c r="Z4" s="81">
        <v>1</v>
      </c>
      <c r="AA4" s="81">
        <v>0</v>
      </c>
      <c r="AB4" s="81">
        <v>0</v>
      </c>
      <c r="AC4" s="81">
        <v>2</v>
      </c>
      <c r="AD4" s="81">
        <v>7</v>
      </c>
      <c r="AE4" s="81">
        <v>11</v>
      </c>
      <c r="AF4" s="81">
        <v>40</v>
      </c>
      <c r="AG4" s="81">
        <v>0</v>
      </c>
      <c r="AH4" s="81">
        <v>0</v>
      </c>
      <c r="AI4" s="81">
        <v>0</v>
      </c>
      <c r="AJ4" s="81">
        <v>0</v>
      </c>
    </row>
    <row r="5" spans="1:36" x14ac:dyDescent="0.3">
      <c r="A5" s="98" t="s">
        <v>268</v>
      </c>
      <c r="B5" s="136">
        <v>46017</v>
      </c>
      <c r="C5" s="2" t="s">
        <v>70</v>
      </c>
      <c r="D5" s="137" t="s">
        <v>269</v>
      </c>
      <c r="E5" s="2" t="s">
        <v>1</v>
      </c>
      <c r="F5" s="2" t="s">
        <v>250</v>
      </c>
      <c r="G5" s="99">
        <v>0.39879999999999999</v>
      </c>
      <c r="H5" s="81">
        <v>168</v>
      </c>
      <c r="I5" s="81">
        <v>67</v>
      </c>
      <c r="J5" s="81">
        <v>0</v>
      </c>
      <c r="K5" s="81" t="s">
        <v>251</v>
      </c>
      <c r="L5" s="138">
        <v>45996</v>
      </c>
      <c r="M5" s="81">
        <v>0</v>
      </c>
      <c r="N5" s="81">
        <v>0</v>
      </c>
      <c r="O5" s="81">
        <v>16</v>
      </c>
      <c r="P5" s="81" t="s">
        <v>115</v>
      </c>
      <c r="Q5" s="81">
        <v>0</v>
      </c>
      <c r="R5" s="81">
        <v>0</v>
      </c>
      <c r="S5" s="81">
        <v>0</v>
      </c>
      <c r="T5" s="81">
        <v>0</v>
      </c>
      <c r="U5" s="81">
        <v>0</v>
      </c>
      <c r="V5" s="81">
        <v>0</v>
      </c>
      <c r="W5" s="81">
        <v>0</v>
      </c>
      <c r="X5" s="81">
        <v>0</v>
      </c>
      <c r="Y5" s="81">
        <v>0</v>
      </c>
      <c r="Z5" s="81">
        <v>1</v>
      </c>
      <c r="AA5" s="81">
        <v>1</v>
      </c>
      <c r="AB5" s="81">
        <v>0</v>
      </c>
      <c r="AC5" s="81">
        <v>8</v>
      </c>
      <c r="AD5" s="81">
        <v>9</v>
      </c>
      <c r="AE5" s="81">
        <v>8</v>
      </c>
      <c r="AF5" s="81">
        <v>40</v>
      </c>
      <c r="AG5" s="81">
        <v>0</v>
      </c>
      <c r="AH5" s="81">
        <v>0</v>
      </c>
      <c r="AI5" s="81">
        <v>0</v>
      </c>
      <c r="AJ5" s="81">
        <v>0</v>
      </c>
    </row>
    <row r="6" spans="1:36" x14ac:dyDescent="0.3">
      <c r="A6" s="98" t="s">
        <v>248</v>
      </c>
      <c r="B6" s="136">
        <v>46018</v>
      </c>
      <c r="C6" s="2" t="s">
        <v>70</v>
      </c>
      <c r="D6" s="137" t="s">
        <v>249</v>
      </c>
      <c r="E6" s="2" t="s">
        <v>1</v>
      </c>
      <c r="F6" s="2" t="s">
        <v>250</v>
      </c>
      <c r="G6" s="99">
        <v>0.33929999999999999</v>
      </c>
      <c r="H6" s="81">
        <v>168</v>
      </c>
      <c r="I6" s="81">
        <v>57</v>
      </c>
      <c r="J6" s="81">
        <v>0</v>
      </c>
      <c r="K6" s="81" t="s">
        <v>251</v>
      </c>
      <c r="L6" s="138">
        <v>45997</v>
      </c>
      <c r="M6" s="81">
        <v>0</v>
      </c>
      <c r="N6" s="81">
        <v>4</v>
      </c>
      <c r="O6" s="81">
        <v>15</v>
      </c>
      <c r="P6" s="81" t="s">
        <v>119</v>
      </c>
      <c r="Q6" s="81">
        <v>0</v>
      </c>
      <c r="R6" s="81">
        <v>0</v>
      </c>
      <c r="S6" s="81">
        <v>0</v>
      </c>
      <c r="T6" s="81">
        <v>0</v>
      </c>
      <c r="U6" s="81">
        <v>0</v>
      </c>
      <c r="V6" s="81">
        <v>0</v>
      </c>
      <c r="W6" s="81">
        <v>0</v>
      </c>
      <c r="X6" s="81">
        <v>0</v>
      </c>
      <c r="Y6" s="81">
        <v>0</v>
      </c>
      <c r="Z6" s="81">
        <v>1</v>
      </c>
      <c r="AA6" s="81">
        <v>0</v>
      </c>
      <c r="AB6" s="81">
        <v>0</v>
      </c>
      <c r="AC6" s="81">
        <v>2</v>
      </c>
      <c r="AD6" s="81">
        <v>5</v>
      </c>
      <c r="AE6" s="81">
        <v>9</v>
      </c>
      <c r="AF6" s="81">
        <v>40</v>
      </c>
      <c r="AG6" s="81">
        <v>0</v>
      </c>
      <c r="AH6" s="81">
        <v>0</v>
      </c>
      <c r="AI6" s="81">
        <v>0</v>
      </c>
      <c r="AJ6" s="81">
        <v>0</v>
      </c>
    </row>
    <row r="7" spans="1:36" x14ac:dyDescent="0.3">
      <c r="A7" s="98" t="s">
        <v>257</v>
      </c>
      <c r="B7" s="136">
        <v>46021</v>
      </c>
      <c r="C7" s="2" t="s">
        <v>70</v>
      </c>
      <c r="D7" s="137" t="s">
        <v>258</v>
      </c>
      <c r="E7" s="2" t="s">
        <v>1</v>
      </c>
      <c r="F7" s="2" t="s">
        <v>250</v>
      </c>
      <c r="G7" s="99">
        <v>0.35709999999999997</v>
      </c>
      <c r="H7" s="81">
        <v>168</v>
      </c>
      <c r="I7" s="81">
        <v>60</v>
      </c>
      <c r="J7" s="81">
        <v>0</v>
      </c>
      <c r="K7" s="81" t="s">
        <v>251</v>
      </c>
      <c r="L7" s="138">
        <v>45997</v>
      </c>
      <c r="M7" s="81">
        <v>0</v>
      </c>
      <c r="N7" s="81">
        <v>3</v>
      </c>
      <c r="O7" s="81">
        <v>24</v>
      </c>
      <c r="P7" s="81" t="s">
        <v>122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0</v>
      </c>
      <c r="X7" s="81">
        <v>0</v>
      </c>
      <c r="Y7" s="81">
        <v>0</v>
      </c>
      <c r="Z7" s="81">
        <v>4</v>
      </c>
      <c r="AA7" s="81">
        <v>0</v>
      </c>
      <c r="AB7" s="81">
        <v>0</v>
      </c>
      <c r="AC7" s="81">
        <v>0</v>
      </c>
      <c r="AD7" s="81">
        <v>0</v>
      </c>
      <c r="AE7" s="81">
        <v>8</v>
      </c>
      <c r="AF7" s="81">
        <v>48</v>
      </c>
      <c r="AG7" s="81">
        <v>0</v>
      </c>
      <c r="AH7" s="81">
        <v>0</v>
      </c>
      <c r="AI7" s="81">
        <v>0</v>
      </c>
      <c r="AJ7" s="81">
        <v>0</v>
      </c>
    </row>
    <row r="8" spans="1:36" x14ac:dyDescent="0.3">
      <c r="A8" s="98" t="s">
        <v>263</v>
      </c>
      <c r="B8" s="136">
        <v>46023</v>
      </c>
      <c r="C8" s="2" t="s">
        <v>70</v>
      </c>
      <c r="D8" s="137" t="s">
        <v>249</v>
      </c>
      <c r="E8" s="2" t="s">
        <v>1</v>
      </c>
      <c r="F8" s="2" t="s">
        <v>250</v>
      </c>
      <c r="G8" s="99">
        <v>0.125</v>
      </c>
      <c r="H8" s="81">
        <v>168</v>
      </c>
      <c r="I8" s="81">
        <v>21</v>
      </c>
      <c r="J8" s="81">
        <v>0</v>
      </c>
      <c r="K8" s="81" t="s">
        <v>251</v>
      </c>
      <c r="L8" s="138">
        <v>46352</v>
      </c>
      <c r="M8" s="81">
        <v>0</v>
      </c>
      <c r="N8" s="81">
        <v>0</v>
      </c>
      <c r="O8" s="81">
        <v>21</v>
      </c>
      <c r="P8" s="81" t="s">
        <v>131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1">
        <v>0</v>
      </c>
      <c r="Z8" s="81">
        <v>1</v>
      </c>
      <c r="AA8" s="81">
        <v>0</v>
      </c>
      <c r="AB8" s="81">
        <v>2</v>
      </c>
      <c r="AC8" s="81">
        <v>6</v>
      </c>
      <c r="AD8" s="81">
        <v>11</v>
      </c>
      <c r="AE8" s="81">
        <v>1</v>
      </c>
      <c r="AF8" s="81">
        <v>0</v>
      </c>
      <c r="AG8" s="81">
        <v>0</v>
      </c>
      <c r="AH8" s="81">
        <v>0</v>
      </c>
      <c r="AI8" s="81">
        <v>0</v>
      </c>
      <c r="AJ8" s="81">
        <v>0</v>
      </c>
    </row>
    <row r="9" spans="1:36" x14ac:dyDescent="0.3">
      <c r="A9" s="98" t="s">
        <v>268</v>
      </c>
      <c r="B9" s="136">
        <v>46024</v>
      </c>
      <c r="C9" s="2" t="s">
        <v>70</v>
      </c>
      <c r="D9" s="137" t="s">
        <v>269</v>
      </c>
      <c r="E9" s="2" t="s">
        <v>1</v>
      </c>
      <c r="F9" s="2" t="s">
        <v>250</v>
      </c>
      <c r="G9" s="99">
        <v>0.1905</v>
      </c>
      <c r="H9" s="81">
        <v>168</v>
      </c>
      <c r="I9" s="81">
        <v>32</v>
      </c>
      <c r="J9" s="81">
        <v>0</v>
      </c>
      <c r="K9" s="81" t="s">
        <v>251</v>
      </c>
      <c r="L9" s="138">
        <v>46362</v>
      </c>
      <c r="M9" s="81">
        <v>0</v>
      </c>
      <c r="N9" s="81">
        <v>0</v>
      </c>
      <c r="O9" s="81">
        <v>32</v>
      </c>
      <c r="P9" s="81" t="s">
        <v>140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5</v>
      </c>
      <c r="AA9" s="81">
        <v>1</v>
      </c>
      <c r="AB9" s="81">
        <v>6</v>
      </c>
      <c r="AC9" s="81">
        <v>9</v>
      </c>
      <c r="AD9" s="81">
        <v>8</v>
      </c>
      <c r="AE9" s="81">
        <v>3</v>
      </c>
      <c r="AF9" s="81">
        <v>0</v>
      </c>
      <c r="AG9" s="81">
        <v>0</v>
      </c>
      <c r="AH9" s="81">
        <v>0</v>
      </c>
      <c r="AI9" s="81">
        <v>0</v>
      </c>
      <c r="AJ9" s="81">
        <v>0</v>
      </c>
    </row>
    <row r="10" spans="1:36" x14ac:dyDescent="0.3">
      <c r="A10" s="98" t="s">
        <v>248</v>
      </c>
      <c r="B10" s="136">
        <v>46025</v>
      </c>
      <c r="C10" s="2" t="s">
        <v>70</v>
      </c>
      <c r="D10" s="137" t="s">
        <v>249</v>
      </c>
      <c r="E10" s="2" t="s">
        <v>1</v>
      </c>
      <c r="F10" s="2" t="s">
        <v>250</v>
      </c>
      <c r="G10" s="99">
        <v>0.14549999999999999</v>
      </c>
      <c r="H10" s="81">
        <v>165</v>
      </c>
      <c r="I10" s="81">
        <v>24</v>
      </c>
      <c r="J10" s="81">
        <v>0</v>
      </c>
      <c r="K10" s="81" t="s">
        <v>251</v>
      </c>
      <c r="L10" s="138">
        <v>46354</v>
      </c>
      <c r="M10" s="81">
        <v>0</v>
      </c>
      <c r="N10" s="81">
        <v>0</v>
      </c>
      <c r="O10" s="81">
        <v>24</v>
      </c>
      <c r="P10" s="81" t="s">
        <v>148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0</v>
      </c>
      <c r="X10" s="81">
        <v>0</v>
      </c>
      <c r="Y10" s="81">
        <v>4</v>
      </c>
      <c r="Z10" s="81">
        <v>1</v>
      </c>
      <c r="AA10" s="81">
        <v>2</v>
      </c>
      <c r="AB10" s="81">
        <v>3</v>
      </c>
      <c r="AC10" s="81">
        <v>10</v>
      </c>
      <c r="AD10" s="81">
        <v>4</v>
      </c>
      <c r="AE10" s="81">
        <v>0</v>
      </c>
      <c r="AF10" s="81">
        <v>0</v>
      </c>
      <c r="AG10" s="81">
        <v>0</v>
      </c>
      <c r="AH10" s="81">
        <v>0</v>
      </c>
      <c r="AI10" s="81">
        <v>0</v>
      </c>
      <c r="AJ10" s="81">
        <v>0</v>
      </c>
    </row>
    <row r="11" spans="1:36" x14ac:dyDescent="0.3">
      <c r="A11" s="98" t="s">
        <v>257</v>
      </c>
      <c r="B11" s="136">
        <v>46028</v>
      </c>
      <c r="C11" s="2" t="s">
        <v>70</v>
      </c>
      <c r="D11" s="137" t="s">
        <v>258</v>
      </c>
      <c r="E11" s="2" t="s">
        <v>1</v>
      </c>
      <c r="F11" s="2" t="s">
        <v>250</v>
      </c>
      <c r="G11" s="99">
        <v>9.5200000000000007E-2</v>
      </c>
      <c r="H11" s="81">
        <v>168</v>
      </c>
      <c r="I11" s="81">
        <v>16</v>
      </c>
      <c r="J11" s="81">
        <v>0</v>
      </c>
      <c r="K11" s="81" t="s">
        <v>251</v>
      </c>
      <c r="L11" s="138">
        <v>46362</v>
      </c>
      <c r="M11" s="81">
        <v>0</v>
      </c>
      <c r="N11" s="81">
        <v>0</v>
      </c>
      <c r="O11" s="81">
        <v>16</v>
      </c>
      <c r="P11" s="81" t="s">
        <v>158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1</v>
      </c>
      <c r="AA11" s="81">
        <v>0</v>
      </c>
      <c r="AB11" s="81">
        <v>0</v>
      </c>
      <c r="AC11" s="81">
        <v>3</v>
      </c>
      <c r="AD11" s="81">
        <v>10</v>
      </c>
      <c r="AE11" s="81">
        <v>2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</row>
    <row r="12" spans="1:36" x14ac:dyDescent="0.3">
      <c r="A12" s="98" t="s">
        <v>263</v>
      </c>
      <c r="B12" s="136">
        <v>46030</v>
      </c>
      <c r="C12" s="2" t="s">
        <v>70</v>
      </c>
      <c r="D12" s="137" t="s">
        <v>249</v>
      </c>
      <c r="E12" s="2" t="s">
        <v>1</v>
      </c>
      <c r="F12" s="2" t="s">
        <v>250</v>
      </c>
      <c r="G12" s="99">
        <v>0.2024</v>
      </c>
      <c r="H12" s="81">
        <v>168</v>
      </c>
      <c r="I12" s="81">
        <v>34</v>
      </c>
      <c r="J12" s="81">
        <v>0</v>
      </c>
      <c r="K12" s="81" t="s">
        <v>251</v>
      </c>
      <c r="L12" s="138">
        <v>46361</v>
      </c>
      <c r="M12" s="81">
        <v>0</v>
      </c>
      <c r="N12" s="81">
        <v>0</v>
      </c>
      <c r="O12" s="81">
        <v>34</v>
      </c>
      <c r="P12" s="81" t="s">
        <v>179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3</v>
      </c>
      <c r="Y12" s="81">
        <v>16</v>
      </c>
      <c r="Z12" s="81">
        <v>12</v>
      </c>
      <c r="AA12" s="81">
        <v>3</v>
      </c>
      <c r="AB12" s="81">
        <v>0</v>
      </c>
      <c r="AC12" s="81">
        <v>0</v>
      </c>
      <c r="AD12" s="81">
        <v>0</v>
      </c>
      <c r="AE12" s="81">
        <v>0</v>
      </c>
      <c r="AF12" s="81">
        <v>0</v>
      </c>
      <c r="AG12" s="81">
        <v>0</v>
      </c>
      <c r="AH12" s="81">
        <v>0</v>
      </c>
      <c r="AI12" s="81">
        <v>0</v>
      </c>
      <c r="AJ12" s="81">
        <v>0</v>
      </c>
    </row>
    <row r="13" spans="1:36" x14ac:dyDescent="0.3">
      <c r="A13" s="98" t="s">
        <v>268</v>
      </c>
      <c r="B13" s="136">
        <v>46031</v>
      </c>
      <c r="C13" s="2" t="s">
        <v>70</v>
      </c>
      <c r="D13" s="137" t="s">
        <v>269</v>
      </c>
      <c r="E13" s="2" t="s">
        <v>1</v>
      </c>
      <c r="F13" s="2" t="s">
        <v>250</v>
      </c>
      <c r="G13" s="99">
        <v>0.2024</v>
      </c>
      <c r="H13" s="81">
        <v>168</v>
      </c>
      <c r="I13" s="81">
        <v>34</v>
      </c>
      <c r="J13" s="81">
        <v>0</v>
      </c>
      <c r="K13" s="81" t="s">
        <v>251</v>
      </c>
      <c r="L13" s="138">
        <v>46359</v>
      </c>
      <c r="M13" s="81">
        <v>0</v>
      </c>
      <c r="N13" s="81">
        <v>0</v>
      </c>
      <c r="O13" s="81">
        <v>34</v>
      </c>
      <c r="P13" s="81" t="s">
        <v>179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4</v>
      </c>
      <c r="Y13" s="81">
        <v>15</v>
      </c>
      <c r="Z13" s="81">
        <v>9</v>
      </c>
      <c r="AA13" s="81">
        <v>6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</row>
    <row r="14" spans="1:36" x14ac:dyDescent="0.3">
      <c r="A14" s="98" t="s">
        <v>248</v>
      </c>
      <c r="B14" s="136">
        <v>46032</v>
      </c>
      <c r="C14" s="2" t="s">
        <v>70</v>
      </c>
      <c r="D14" s="137" t="s">
        <v>249</v>
      </c>
      <c r="E14" s="2" t="s">
        <v>1</v>
      </c>
      <c r="F14" s="2" t="s">
        <v>250</v>
      </c>
      <c r="G14" s="99">
        <v>0.13100000000000001</v>
      </c>
      <c r="H14" s="81">
        <v>168</v>
      </c>
      <c r="I14" s="81">
        <v>22</v>
      </c>
      <c r="J14" s="81">
        <v>0</v>
      </c>
      <c r="K14" s="81" t="s">
        <v>251</v>
      </c>
      <c r="L14" s="138">
        <v>46358</v>
      </c>
      <c r="M14" s="81">
        <v>0</v>
      </c>
      <c r="N14" s="81">
        <v>0</v>
      </c>
      <c r="O14" s="81">
        <v>22</v>
      </c>
      <c r="P14" s="81" t="s">
        <v>201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1</v>
      </c>
      <c r="Z14" s="81">
        <v>12</v>
      </c>
      <c r="AA14" s="81">
        <v>9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</row>
    <row r="15" spans="1:36" x14ac:dyDescent="0.3">
      <c r="A15" s="98" t="s">
        <v>257</v>
      </c>
      <c r="B15" s="136">
        <v>46035</v>
      </c>
      <c r="C15" s="2" t="s">
        <v>70</v>
      </c>
      <c r="D15" s="137" t="s">
        <v>258</v>
      </c>
      <c r="E15" s="2" t="s">
        <v>1</v>
      </c>
      <c r="F15" s="2" t="s">
        <v>250</v>
      </c>
      <c r="G15" s="99">
        <v>0.11310000000000001</v>
      </c>
      <c r="H15" s="81">
        <v>168</v>
      </c>
      <c r="I15" s="81">
        <v>19</v>
      </c>
      <c r="J15" s="81">
        <v>0</v>
      </c>
      <c r="K15" s="81" t="s">
        <v>251</v>
      </c>
      <c r="L15" s="138">
        <v>46362</v>
      </c>
      <c r="M15" s="81">
        <v>0</v>
      </c>
      <c r="N15" s="81">
        <v>0</v>
      </c>
      <c r="O15" s="81">
        <v>19</v>
      </c>
      <c r="P15" s="81" t="s">
        <v>131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3</v>
      </c>
      <c r="Z15" s="81">
        <v>0</v>
      </c>
      <c r="AA15" s="81">
        <v>0</v>
      </c>
      <c r="AB15" s="81">
        <v>0</v>
      </c>
      <c r="AC15" s="81">
        <v>7</v>
      </c>
      <c r="AD15" s="81">
        <v>8</v>
      </c>
      <c r="AE15" s="81">
        <v>1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</row>
    <row r="16" spans="1:36" x14ac:dyDescent="0.3">
      <c r="A16" s="98" t="s">
        <v>263</v>
      </c>
      <c r="B16" s="136">
        <v>46037</v>
      </c>
      <c r="C16" s="2" t="s">
        <v>70</v>
      </c>
      <c r="D16" s="137" t="s">
        <v>249</v>
      </c>
      <c r="E16" s="2" t="s">
        <v>1</v>
      </c>
      <c r="F16" s="2" t="s">
        <v>250</v>
      </c>
      <c r="G16" s="99">
        <v>0.13689999999999999</v>
      </c>
      <c r="H16" s="81">
        <v>168</v>
      </c>
      <c r="I16" s="81">
        <v>23</v>
      </c>
      <c r="J16" s="81">
        <v>0</v>
      </c>
      <c r="K16" s="81" t="s">
        <v>251</v>
      </c>
      <c r="L16" s="138">
        <v>46355</v>
      </c>
      <c r="M16" s="81">
        <v>0</v>
      </c>
      <c r="N16" s="81">
        <v>0</v>
      </c>
      <c r="O16" s="81">
        <v>23</v>
      </c>
      <c r="P16" s="81" t="s">
        <v>148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5</v>
      </c>
      <c r="Z16" s="81">
        <v>4</v>
      </c>
      <c r="AA16" s="81">
        <v>0</v>
      </c>
      <c r="AB16" s="81">
        <v>3</v>
      </c>
      <c r="AC16" s="81">
        <v>11</v>
      </c>
      <c r="AD16" s="81">
        <v>0</v>
      </c>
      <c r="AE16" s="81">
        <v>0</v>
      </c>
      <c r="AF16" s="81">
        <v>0</v>
      </c>
      <c r="AG16" s="81">
        <v>0</v>
      </c>
      <c r="AH16" s="81">
        <v>0</v>
      </c>
      <c r="AI16" s="81">
        <v>0</v>
      </c>
      <c r="AJ16" s="81">
        <v>0</v>
      </c>
    </row>
    <row r="17" spans="1:36" x14ac:dyDescent="0.3">
      <c r="A17" s="98" t="s">
        <v>268</v>
      </c>
      <c r="B17" s="136">
        <v>46038</v>
      </c>
      <c r="C17" s="2" t="s">
        <v>70</v>
      </c>
      <c r="D17" s="137" t="s">
        <v>269</v>
      </c>
      <c r="E17" s="2" t="s">
        <v>1</v>
      </c>
      <c r="F17" s="2" t="s">
        <v>250</v>
      </c>
      <c r="G17" s="99">
        <v>0.13689999999999999</v>
      </c>
      <c r="H17" s="81">
        <v>168</v>
      </c>
      <c r="I17" s="81">
        <v>23</v>
      </c>
      <c r="J17" s="81">
        <v>0</v>
      </c>
      <c r="K17" s="81" t="s">
        <v>251</v>
      </c>
      <c r="L17" s="138">
        <v>46361</v>
      </c>
      <c r="M17" s="81">
        <v>0</v>
      </c>
      <c r="N17" s="81">
        <v>0</v>
      </c>
      <c r="O17" s="81">
        <v>23</v>
      </c>
      <c r="P17" s="81" t="s">
        <v>148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0</v>
      </c>
      <c r="AA17" s="81">
        <v>1</v>
      </c>
      <c r="AB17" s="81">
        <v>2</v>
      </c>
      <c r="AC17" s="81">
        <v>8</v>
      </c>
      <c r="AD17" s="81">
        <v>10</v>
      </c>
      <c r="AE17" s="81">
        <v>2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</row>
    <row r="18" spans="1:36" x14ac:dyDescent="0.3">
      <c r="A18" s="98" t="s">
        <v>248</v>
      </c>
      <c r="B18" s="136">
        <v>46039</v>
      </c>
      <c r="C18" s="2" t="s">
        <v>70</v>
      </c>
      <c r="D18" s="137" t="s">
        <v>249</v>
      </c>
      <c r="E18" s="2" t="s">
        <v>1</v>
      </c>
      <c r="F18" s="2" t="s">
        <v>250</v>
      </c>
      <c r="G18" s="99">
        <v>8.9300000000000004E-2</v>
      </c>
      <c r="H18" s="81">
        <v>168</v>
      </c>
      <c r="I18" s="81">
        <v>15</v>
      </c>
      <c r="J18" s="81">
        <v>0</v>
      </c>
      <c r="K18" s="81" t="s">
        <v>251</v>
      </c>
      <c r="L18" s="138">
        <v>46355</v>
      </c>
      <c r="M18" s="81">
        <v>0</v>
      </c>
      <c r="N18" s="81">
        <v>0</v>
      </c>
      <c r="O18" s="81">
        <v>15</v>
      </c>
      <c r="P18" s="81" t="s">
        <v>214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  <c r="Z18" s="81">
        <v>0</v>
      </c>
      <c r="AA18" s="81">
        <v>5</v>
      </c>
      <c r="AB18" s="81">
        <v>0</v>
      </c>
      <c r="AC18" s="81">
        <v>0</v>
      </c>
      <c r="AD18" s="81">
        <v>7</v>
      </c>
      <c r="AE18" s="81">
        <v>3</v>
      </c>
      <c r="AF18" s="81">
        <v>0</v>
      </c>
      <c r="AG18" s="81">
        <v>0</v>
      </c>
      <c r="AH18" s="81">
        <v>0</v>
      </c>
      <c r="AI18" s="81">
        <v>0</v>
      </c>
      <c r="AJ18" s="81">
        <v>0</v>
      </c>
    </row>
    <row r="19" spans="1:36" ht="15.6" x14ac:dyDescent="0.3">
      <c r="A19" s="100" t="s">
        <v>257</v>
      </c>
      <c r="B19" s="139">
        <v>46042</v>
      </c>
      <c r="C19" s="101" t="s">
        <v>70</v>
      </c>
      <c r="D19" s="140" t="s">
        <v>258</v>
      </c>
      <c r="E19" s="101" t="s">
        <v>1</v>
      </c>
      <c r="F19" s="101" t="s">
        <v>250</v>
      </c>
      <c r="G19" s="102">
        <v>0.1071</v>
      </c>
      <c r="H19" s="103" t="str">
        <f ca="1">SUBTOTAL(109,LF_ALL_ROUTES[CAP])</f>
        <v/>
      </c>
      <c r="I19" s="103" t="str">
        <f ca="1">SUBTOTAL(109,LF_ALL_ROUTES[BKG(Y)])</f>
        <v/>
      </c>
      <c r="J19" s="103" t="str">
        <f ca="1">SUBTOTAL(109,LF_ALL_ROUTES[GRP(Y)])</f>
        <v/>
      </c>
      <c r="K19" s="103" t="s">
        <v>251</v>
      </c>
      <c r="L19" s="141">
        <v>46350</v>
      </c>
      <c r="M19" s="103" t="str">
        <f ca="1">SUBTOTAL(109,LF_ALL_ROUTES[TO-DAY])</f>
        <v/>
      </c>
      <c r="N19" s="103" t="str">
        <f ca="1">SUBTOTAL(109,LF_ALL_ROUTES[Y-DAY])</f>
        <v/>
      </c>
      <c r="O19" s="103" t="str">
        <f ca="1">SUBTOTAL(109,LF_ALL_ROUTES[WEEKLY])</f>
        <v/>
      </c>
      <c r="P19" s="103" t="s">
        <v>217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03">
        <v>0</v>
      </c>
      <c r="AB19" s="103">
        <v>0</v>
      </c>
      <c r="AC19" s="103">
        <v>5</v>
      </c>
      <c r="AD19" s="103">
        <v>12</v>
      </c>
      <c r="AE19" s="103">
        <v>1</v>
      </c>
      <c r="AF19" s="103">
        <v>0</v>
      </c>
      <c r="AG19" s="103">
        <v>0</v>
      </c>
      <c r="AH19" s="103">
        <v>0</v>
      </c>
      <c r="AI19" s="103">
        <v>0</v>
      </c>
      <c r="AJ19" s="10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2025-12-07T00:08:09Z</dcterms:created>
  <dcterms:modified xsi:type="dcterms:W3CDTF">2025-12-07T00:12:04Z</dcterms:modified>
</cp:coreProperties>
</file>