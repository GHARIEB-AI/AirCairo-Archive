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68D3089-1D93-4A89-9FEF-C05BD16081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M-CAI" sheetId="1" r:id="rId1"/>
    <sheet name="DMM-CAI LF LEGACY" sheetId="2" r:id="rId2"/>
    <sheet name="DMM-CAI - FOCUS MODE" sheetId="3" r:id="rId3"/>
    <sheet name="DMM-CAI - OAL Threats Alert" sheetId="4" r:id="rId4"/>
    <sheet name="DMM-ATZ" sheetId="5" r:id="rId5"/>
    <sheet name="DMM-ATZ LF LEGACY" sheetId="6" r:id="rId6"/>
    <sheet name="DMM-ATZ - FOCUS MO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6" l="1"/>
  <c r="E10" i="6"/>
  <c r="G10" i="6"/>
  <c r="H10" i="6"/>
  <c r="I10" i="6"/>
  <c r="J10" i="6"/>
  <c r="M10" i="6"/>
  <c r="N10" i="6"/>
  <c r="O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C19" i="2"/>
  <c r="E19" i="2"/>
  <c r="G19" i="2"/>
  <c r="H19" i="2"/>
  <c r="I19" i="2"/>
  <c r="J19" i="2"/>
  <c r="M19" i="2"/>
  <c r="N19" i="2"/>
  <c r="O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5" authorId="0" shapeId="0" xr:uid="{7CADF6CD-83D8-4663-9E44-F18107627B2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S13 &amp; W2 &amp; T2 &amp; X10 &amp; U2 &amp; O7 &amp; I69</t>
        </r>
      </text>
    </comment>
    <comment ref="F37" authorId="0" shapeId="0" xr:uid="{0CF7F603-D68F-4125-AD79-778B69B6B25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W4 &amp; T10 &amp; X6 &amp; U4 &amp; O3 &amp; I68</t>
        </r>
      </text>
    </comment>
    <comment ref="F51" authorId="0" shapeId="0" xr:uid="{D00B3503-D973-4B13-89F6-FE868229EB6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T4 &amp; X8 &amp; U10 &amp; O17 &amp; I44</t>
        </r>
      </text>
    </comment>
    <comment ref="F65" authorId="0" shapeId="0" xr:uid="{17A886FC-C759-41DB-918C-1D5EA72F63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X1 &amp; U8 &amp; O4 &amp; I20</t>
        </r>
      </text>
    </comment>
    <comment ref="F107" authorId="0" shapeId="0" xr:uid="{20FE4EAE-D2DD-47A1-B94C-9FCFB7FCEC3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S10 &amp; X10 &amp; U4 &amp; I24</t>
        </r>
      </text>
    </comment>
    <comment ref="F124" authorId="0" shapeId="0" xr:uid="{0FA0DFE8-80AC-4621-8DC3-433D27E12AF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W2 &amp; T2 &amp; O6 &amp; I33</t>
        </r>
      </text>
    </comment>
    <comment ref="F144" authorId="0" shapeId="0" xr:uid="{41DFAB43-1DEF-453E-8675-9D4DFB2625E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W6 &amp; T3 &amp; X6 &amp; U7 &amp; O7 &amp; I50</t>
        </r>
      </text>
    </comment>
    <comment ref="F154" authorId="0" shapeId="0" xr:uid="{14D0816B-6880-4970-8FD3-D112A2C4187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W1 &amp; X5 &amp; I28</t>
        </r>
      </text>
    </comment>
    <comment ref="F195" authorId="0" shapeId="0" xr:uid="{61AF56BB-5D71-4693-A890-02B3B79E622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X6 &amp; U6 &amp; O5 &amp; I24</t>
        </r>
      </text>
    </comment>
    <comment ref="F227" authorId="0" shapeId="0" xr:uid="{95C575AA-ECEF-4D21-B31B-278BE9BB5BF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X7 &amp; U8 &amp; O3 &amp; I41</t>
        </r>
      </text>
    </comment>
    <comment ref="F238" authorId="0" shapeId="0" xr:uid="{965FD1D2-38EB-4B92-BF68-E9485FC25BC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W3 &amp; T1 &amp; U9 &amp; O4 &amp; I29</t>
        </r>
      </text>
    </comment>
    <comment ref="F253" authorId="0" shapeId="0" xr:uid="{D3378848-D401-45D1-839C-CF9B54FE066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 &amp; X11 &amp; U6 &amp; O5 &amp; I33</t>
        </r>
      </text>
    </comment>
    <comment ref="F294" authorId="0" shapeId="0" xr:uid="{8354269C-D7F0-4868-876B-9C88B2FBB7D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U3 &amp; O5 &amp; I20</t>
        </r>
      </text>
    </comment>
    <comment ref="F321" authorId="0" shapeId="0" xr:uid="{A481E806-F36A-4DF1-A209-859765625E3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U7 &amp; O7 &amp; I31</t>
        </r>
      </text>
    </comment>
    <comment ref="F337" authorId="0" shapeId="0" xr:uid="{76EEFCF6-F7B6-4C19-A29D-B1EF948CB00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X8 &amp; U9 &amp; O7 &amp; I27</t>
        </r>
      </text>
    </comment>
    <comment ref="F351" authorId="0" shapeId="0" xr:uid="{7414D0C6-6155-47CB-8396-F2521E79228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U5 &amp; O8 &amp; I26</t>
        </r>
      </text>
    </comment>
    <comment ref="F391" authorId="0" shapeId="0" xr:uid="{C43EC0FC-2670-4BB9-AABB-CB6BB74ED93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O8 &amp; I28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53" authorId="0" shapeId="0" xr:uid="{4846D675-9C0D-4635-AE45-F0CC30186E8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46.4%]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G9 &amp; S3 &amp; T3 &amp; X23 &amp; U37 &amp; O3</t>
        </r>
      </text>
    </comment>
    <comment ref="F98" authorId="0" shapeId="0" xr:uid="{54CFEEFE-3040-4F7A-A5CB-409D94A055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X7 &amp; U26 &amp; O25 &amp; I15</t>
        </r>
      </text>
    </comment>
    <comment ref="F162" authorId="0" shapeId="0" xr:uid="{F2DA5F3C-5B74-4147-AABB-911179CECDE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W8 &amp; X2 &amp; U19</t>
        </r>
      </text>
    </comment>
    <comment ref="F201" authorId="0" shapeId="0" xr:uid="{0B9BD1F7-F86A-406A-AEA2-A997EC50FC7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W4 &amp; X3 &amp; U31</t>
        </r>
      </text>
    </comment>
    <comment ref="F265" authorId="0" shapeId="0" xr:uid="{676AB137-D007-474E-8158-51CFB5493E4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S1 &amp; T2 &amp; X7 &amp; U7 &amp; O6</t>
        </r>
      </text>
    </comment>
    <comment ref="F308" authorId="0" shapeId="0" xr:uid="{67C4564B-602E-4A82-B718-1F13820D0CE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S4 &amp; T2 &amp; X3 &amp; U5 &amp; O4</t>
        </r>
      </text>
    </comment>
    <comment ref="F372" authorId="0" shapeId="0" xr:uid="{71695C3B-007F-4CF2-98E9-2C25BE4827B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W6 &amp; T4 &amp; X7 &amp; U6 &amp; O6</t>
        </r>
      </text>
    </comment>
    <comment ref="F415" authorId="0" shapeId="0" xr:uid="{BE0DA7AB-55FF-4E01-ADF0-202B5C4E683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S5 &amp; W1 &amp; T5 &amp; X4 &amp; U3 &amp; O5</t>
        </r>
      </text>
    </comment>
  </commentList>
</comments>
</file>

<file path=xl/sharedStrings.xml><?xml version="1.0" encoding="utf-8"?>
<sst xmlns="http://schemas.openxmlformats.org/spreadsheetml/2006/main" count="8698" uniqueCount="373">
  <si>
    <t>COMPREHENSIVE REPORT</t>
  </si>
  <si>
    <t>DMM-CAI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</si>
  <si>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</si>
  <si>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</si>
  <si>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</si>
  <si>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</si>
  <si>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</si>
  <si>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</si>
  <si>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</si>
  <si>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</si>
  <si>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</si>
  <si>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</si>
  <si>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</si>
  <si>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</si>
  <si>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</si>
  <si>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</si>
  <si>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</si>
  <si>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</si>
  <si>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</si>
  <si>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</si>
  <si>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</si>
  <si>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</si>
  <si>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</si>
  <si>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</si>
  <si>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</si>
  <si>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</si>
  <si>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Nile Air</t>
  </si>
  <si>
    <t>NP-232</t>
  </si>
  <si>
    <t>Cabin: 7 KG | Check-in: 40 KG</t>
  </si>
  <si>
    <t>+9 FOR SAME CLASS</t>
  </si>
  <si>
    <t>379 SAR</t>
  </si>
  <si>
    <t>flyadeal</t>
  </si>
  <si>
    <t>F3-911</t>
  </si>
  <si>
    <t>Cabin: 7 KG / Check-in: 15 KG</t>
  </si>
  <si>
    <t>6 FOR SAME CLASS</t>
  </si>
  <si>
    <t>339 SAR</t>
  </si>
  <si>
    <t>Cabin: 7 KG / Check-in: 25 KG</t>
  </si>
  <si>
    <t>517 SAR</t>
  </si>
  <si>
    <t>Cabin: 7 KG / Check-in: 2 x 40 KG</t>
  </si>
  <si>
    <t>1,249 SAR</t>
  </si>
  <si>
    <t>flynas</t>
  </si>
  <si>
    <t>XY-854</t>
  </si>
  <si>
    <t>Cabin: 7 KG / Check-in: 20 KG</t>
  </si>
  <si>
    <t>7 FOR SAME CLASS</t>
  </si>
  <si>
    <t>349 SAR</t>
  </si>
  <si>
    <t>Cabin: 7 KG / Check-in: 30 KG</t>
  </si>
  <si>
    <t>449 SAR</t>
  </si>
  <si>
    <t>539 SAR</t>
  </si>
  <si>
    <t>XY-894</t>
  </si>
  <si>
    <t>439 SAR</t>
  </si>
  <si>
    <t>629 SAR</t>
  </si>
  <si>
    <t>Air Cairo</t>
  </si>
  <si>
    <t>SM-434</t>
  </si>
  <si>
    <t>1 FOR SAME CLASS</t>
  </si>
  <si>
    <t>SM434</t>
  </si>
  <si>
    <t>I1</t>
  </si>
  <si>
    <t>G1 &amp; S13 &amp; W2 &amp; T2 &amp; X10 &amp; U2 &amp; O7 &amp; I69</t>
  </si>
  <si>
    <t>NP-132</t>
  </si>
  <si>
    <t>EgyptAir</t>
  </si>
  <si>
    <t>MS-684</t>
  </si>
  <si>
    <t>Cabin: 7 KG</t>
  </si>
  <si>
    <t>5 FOR SAME CLASS</t>
  </si>
  <si>
    <t>411 SAR</t>
  </si>
  <si>
    <t>MS-688</t>
  </si>
  <si>
    <t>Cabin: 7 KG | Check-in: 2 PIECE</t>
  </si>
  <si>
    <t>697 SAR</t>
  </si>
  <si>
    <t>MS-682</t>
  </si>
  <si>
    <t>757 SAR</t>
  </si>
  <si>
    <t>Saudia</t>
  </si>
  <si>
    <t>SV-6446</t>
  </si>
  <si>
    <t>Cabin: 7 KG / Check-in: 2 x 46 KG</t>
  </si>
  <si>
    <t>4 FOR SAME CLASS</t>
  </si>
  <si>
    <t>1,126 SAR</t>
  </si>
  <si>
    <t>Nesma Airlines</t>
  </si>
  <si>
    <t>NE-155</t>
  </si>
  <si>
    <t>371 SAR</t>
  </si>
  <si>
    <t>Air Arabia Egypt</t>
  </si>
  <si>
    <t>E5-316</t>
  </si>
  <si>
    <t>Cabin: 10 KG / Check-in: 30 KG</t>
  </si>
  <si>
    <t>9 FOR SAME CLASS</t>
  </si>
  <si>
    <t>378 SAR</t>
  </si>
  <si>
    <t>Cabin: 10 KG / Check-in: 2 x 40 KG</t>
  </si>
  <si>
    <t>502 SAR</t>
  </si>
  <si>
    <t>10 FOR SAME CLASS</t>
  </si>
  <si>
    <t>399 SAR</t>
  </si>
  <si>
    <t>577 SAR</t>
  </si>
  <si>
    <t>899 SAR</t>
  </si>
  <si>
    <t>817 SAR</t>
  </si>
  <si>
    <t>1,387 SAR</t>
  </si>
  <si>
    <t>2 FOR SAME CLASS</t>
  </si>
  <si>
    <t>479 SAR</t>
  </si>
  <si>
    <t>579 SAR</t>
  </si>
  <si>
    <t>669 SAR</t>
  </si>
  <si>
    <t>1,231 SAR</t>
  </si>
  <si>
    <t>519 SAR</t>
  </si>
  <si>
    <t>619 SAR</t>
  </si>
  <si>
    <t>709 SAR</t>
  </si>
  <si>
    <t>NP-332</t>
  </si>
  <si>
    <t>I2</t>
  </si>
  <si>
    <t>S4 &amp; W4 &amp; T10 &amp; X6 &amp; U4 &amp; O3 &amp; I68</t>
  </si>
  <si>
    <t>637 SAR</t>
  </si>
  <si>
    <t>1,567 SAR</t>
  </si>
  <si>
    <t>11 FOR SAME CLASS</t>
  </si>
  <si>
    <t>369 SAR</t>
  </si>
  <si>
    <t>547 SAR</t>
  </si>
  <si>
    <t>I9</t>
  </si>
  <si>
    <t>S6 &amp; T4 &amp; X8 &amp; U10 &amp; O17 &amp; I44</t>
  </si>
  <si>
    <t>409 SAR</t>
  </si>
  <si>
    <t>509 SAR</t>
  </si>
  <si>
    <t>599 SAR</t>
  </si>
  <si>
    <t>592 SAR</t>
  </si>
  <si>
    <t>641 SAR</t>
  </si>
  <si>
    <t>1,183 SAR</t>
  </si>
  <si>
    <t>17 FOR SAME CLASS</t>
  </si>
  <si>
    <t>309 SAR</t>
  </si>
  <si>
    <t>487 SAR</t>
  </si>
  <si>
    <t>569 SAR</t>
  </si>
  <si>
    <t>373 SAR</t>
  </si>
  <si>
    <t>496 SAR</t>
  </si>
  <si>
    <t>S3 &amp; X1 &amp; U8 &amp; O4 &amp; I20</t>
  </si>
  <si>
    <t>8 FOR SAME CLASS</t>
  </si>
  <si>
    <t>415 SAR</t>
  </si>
  <si>
    <t>1,085 SAR</t>
  </si>
  <si>
    <t>12 FOR SAME CLASS</t>
  </si>
  <si>
    <t>1,749 SAR</t>
  </si>
  <si>
    <t>NE-151</t>
  </si>
  <si>
    <t>16 FOR SAME CLASS</t>
  </si>
  <si>
    <t>Cabin: 7 KG | Check-in: 1 PIECE</t>
  </si>
  <si>
    <t>437 SAR</t>
  </si>
  <si>
    <t>S10 &amp; X10 &amp; U4 &amp; I24</t>
  </si>
  <si>
    <t>729 SAR</t>
  </si>
  <si>
    <t>819 SAR</t>
  </si>
  <si>
    <t>19 FOR SAME CLASS</t>
  </si>
  <si>
    <t>S1 &amp; W2 &amp; T2 &amp; O6 &amp; I33</t>
  </si>
  <si>
    <t>499 SAR</t>
  </si>
  <si>
    <t>589 SAR</t>
  </si>
  <si>
    <t>3 FOR SAME CLASS</t>
  </si>
  <si>
    <t>459 SAR</t>
  </si>
  <si>
    <t>559 SAR</t>
  </si>
  <si>
    <t>649 SAR</t>
  </si>
  <si>
    <t>596 SAR</t>
  </si>
  <si>
    <t>476 SAR</t>
  </si>
  <si>
    <t>O3</t>
  </si>
  <si>
    <t>S4 &amp; W6 &amp; T3 &amp; X6 &amp; U7 &amp; O7 &amp; I50</t>
  </si>
  <si>
    <t>354 SAR</t>
  </si>
  <si>
    <t>477 SAR</t>
  </si>
  <si>
    <t>S6 &amp; W1 &amp; X5 &amp; I28</t>
  </si>
  <si>
    <t>18 FOR SAME CLASS</t>
  </si>
  <si>
    <t>S3 &amp; X6 &amp; U6 &amp; O5 &amp; I24</t>
  </si>
  <si>
    <t>348 SAR</t>
  </si>
  <si>
    <t>472 SAR</t>
  </si>
  <si>
    <t>659 SAR</t>
  </si>
  <si>
    <t>749 SAR</t>
  </si>
  <si>
    <t>425 SAR</t>
  </si>
  <si>
    <t>O9</t>
  </si>
  <si>
    <t>S4 &amp; X7 &amp; U8 &amp; O3 &amp; I41</t>
  </si>
  <si>
    <t>S1 &amp; W3 &amp; T1 &amp; U9 &amp; O4 &amp; I29</t>
  </si>
  <si>
    <t>1,291 SAR</t>
  </si>
  <si>
    <t>20 FOR SAME CLASS</t>
  </si>
  <si>
    <t>I7</t>
  </si>
  <si>
    <t>G1 &amp; S1 &amp; X11 &amp; U6 &amp; O5 &amp; I33</t>
  </si>
  <si>
    <t>NE-153</t>
  </si>
  <si>
    <t>X1 &amp; U3 &amp; O5 &amp; I20</t>
  </si>
  <si>
    <t>554 SAR</t>
  </si>
  <si>
    <t>500 SAR</t>
  </si>
  <si>
    <t>S1 &amp; X2 &amp; U7 &amp; O7 &amp; I31</t>
  </si>
  <si>
    <t>551 SAR</t>
  </si>
  <si>
    <t>Cabin: 7 KG | Check-in: 30 KG</t>
  </si>
  <si>
    <t>563 SAR</t>
  </si>
  <si>
    <t>S1 &amp; W1 &amp; X8 &amp; U9 &amp; O7 &amp; I27</t>
  </si>
  <si>
    <t>22 FOR SAME CLASS</t>
  </si>
  <si>
    <t>578 SAR</t>
  </si>
  <si>
    <t>S1 &amp; X2 &amp; U5 &amp; O8 &amp; I26</t>
  </si>
  <si>
    <t>S4 &amp; O8 &amp; I28</t>
  </si>
  <si>
    <t>367 SAR</t>
  </si>
  <si>
    <t>573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</si>
  <si>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</si>
  <si>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</si>
  <si>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</si>
  <si>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</si>
  <si>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</si>
  <si>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</si>
  <si>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</si>
  <si>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</si>
  <si>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</si>
  <si>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</si>
  <si>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</si>
  <si>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</si>
  <si>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</si>
  <si>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</si>
  <si>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</si>
  <si>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</si>
  <si>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</si>
  <si>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</si>
  <si>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</si>
  <si>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</si>
  <si>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</si>
  <si>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</si>
  <si>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</si>
  <si>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</si>
  <si>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</si>
  <si>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</si>
  <si>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</si>
  <si>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</si>
  <si>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</si>
  <si>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</si>
  <si>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06:30</t>
  </si>
  <si>
    <t>320</t>
  </si>
  <si>
    <t>UPCOMING</t>
  </si>
  <si>
    <t>G1</t>
  </si>
  <si>
    <t>S13</t>
  </si>
  <si>
    <t>W2</t>
  </si>
  <si>
    <t>T2</t>
  </si>
  <si>
    <t>X10</t>
  </si>
  <si>
    <t>U2</t>
  </si>
  <si>
    <t>O7</t>
  </si>
  <si>
    <t>I69</t>
  </si>
  <si>
    <t>THURSDAY</t>
  </si>
  <si>
    <t>22:10</t>
  </si>
  <si>
    <t>S4</t>
  </si>
  <si>
    <t>W4</t>
  </si>
  <si>
    <t>T10</t>
  </si>
  <si>
    <t>X6</t>
  </si>
  <si>
    <t>U4</t>
  </si>
  <si>
    <t>I68</t>
  </si>
  <si>
    <t>FRIDAY</t>
  </si>
  <si>
    <t>13:55</t>
  </si>
  <si>
    <t>S6</t>
  </si>
  <si>
    <t>T4</t>
  </si>
  <si>
    <t>X8</t>
  </si>
  <si>
    <t>U10</t>
  </si>
  <si>
    <t>O17</t>
  </si>
  <si>
    <t>I44</t>
  </si>
  <si>
    <t>SATURDAY</t>
  </si>
  <si>
    <t>S3</t>
  </si>
  <si>
    <t>X1</t>
  </si>
  <si>
    <t>U8</t>
  </si>
  <si>
    <t>O4</t>
  </si>
  <si>
    <t>I20</t>
  </si>
  <si>
    <t>S10</t>
  </si>
  <si>
    <t>I24</t>
  </si>
  <si>
    <t>S1</t>
  </si>
  <si>
    <t>O6</t>
  </si>
  <si>
    <t>I33</t>
  </si>
  <si>
    <t>W6</t>
  </si>
  <si>
    <t>T3</t>
  </si>
  <si>
    <t>U7</t>
  </si>
  <si>
    <t>I50</t>
  </si>
  <si>
    <t>W1</t>
  </si>
  <si>
    <t>X5</t>
  </si>
  <si>
    <t>I28</t>
  </si>
  <si>
    <t>U6</t>
  </si>
  <si>
    <t>O5</t>
  </si>
  <si>
    <t>X7</t>
  </si>
  <si>
    <t>I41</t>
  </si>
  <si>
    <t>W3</t>
  </si>
  <si>
    <t>T1</t>
  </si>
  <si>
    <t>U9</t>
  </si>
  <si>
    <t>I29</t>
  </si>
  <si>
    <t>X11</t>
  </si>
  <si>
    <t>U3</t>
  </si>
  <si>
    <t>X2</t>
  </si>
  <si>
    <t>I31</t>
  </si>
  <si>
    <t>I27</t>
  </si>
  <si>
    <t>U5</t>
  </si>
  <si>
    <t>O8</t>
  </si>
  <si>
    <t>I26</t>
  </si>
  <si>
    <t>DATE</t>
  </si>
  <si>
    <t>ROUTE</t>
  </si>
  <si>
    <t>2025-12-01</t>
  </si>
  <si>
    <t>23:00</t>
  </si>
  <si>
    <t>2025-12-02</t>
  </si>
  <si>
    <t>07:20</t>
  </si>
  <si>
    <t>04:45</t>
  </si>
  <si>
    <t>THREAT STATUS</t>
  </si>
  <si>
    <t>REF</t>
  </si>
  <si>
    <t>EQUAL</t>
  </si>
  <si>
    <t>THREAT (+4.4)</t>
  </si>
  <si>
    <t>20:00</t>
  </si>
  <si>
    <t>THREAT (+3.5)</t>
  </si>
  <si>
    <t>AHEAD (+0.3)</t>
  </si>
  <si>
    <t>2025-12-03</t>
  </si>
  <si>
    <t>02:10</t>
  </si>
  <si>
    <t>AHEAD (+0.1)</t>
  </si>
  <si>
    <t>2025-12-04</t>
  </si>
  <si>
    <t>21:20</t>
  </si>
  <si>
    <t>13:30</t>
  </si>
  <si>
    <t>THREAT (+2.7)</t>
  </si>
  <si>
    <t>AHEAD (+0.8)</t>
  </si>
  <si>
    <t>2025-12-05</t>
  </si>
  <si>
    <t>20:05</t>
  </si>
  <si>
    <t>THREAT (+3.8)</t>
  </si>
  <si>
    <t>CLOSE (-0.2)</t>
  </si>
  <si>
    <t>2025-12-06</t>
  </si>
  <si>
    <t>21:30</t>
  </si>
  <si>
    <t>23:20</t>
  </si>
  <si>
    <t>THREAT (+4.8)</t>
  </si>
  <si>
    <t>04:50</t>
  </si>
  <si>
    <t>12:40</t>
  </si>
  <si>
    <t>CLOSE (-0.8)</t>
  </si>
  <si>
    <t>THREAT (+4.1)</t>
  </si>
  <si>
    <t>AHEAD (+0.7)</t>
  </si>
  <si>
    <t>2025-12-07</t>
  </si>
  <si>
    <t>05:20</t>
  </si>
  <si>
    <t>2025-12-09</t>
  </si>
  <si>
    <t>2025-12-11</t>
  </si>
  <si>
    <t>CLOSE (-0.6)</t>
  </si>
  <si>
    <t>20:45</t>
  </si>
  <si>
    <t>THREAT (+3.9)</t>
  </si>
  <si>
    <t>THREAT (+3.3)</t>
  </si>
  <si>
    <t>2025-12-12</t>
  </si>
  <si>
    <t>AHEAD (+0.4)</t>
  </si>
  <si>
    <t>THREAT (+5.4)</t>
  </si>
  <si>
    <t>CLOSE (-0.3)</t>
  </si>
  <si>
    <t>2025-12-13</t>
  </si>
  <si>
    <t>THREAT (+5.0)</t>
  </si>
  <si>
    <t>2025-12-14</t>
  </si>
  <si>
    <t>20:25</t>
  </si>
  <si>
    <t>2025-12-16</t>
  </si>
  <si>
    <t>2025-12-17</t>
  </si>
  <si>
    <t>2025-12-18</t>
  </si>
  <si>
    <t>21:55</t>
  </si>
  <si>
    <t>AHEAD (+0.5)</t>
  </si>
  <si>
    <t>AHEAD (+0.2)</t>
  </si>
  <si>
    <t>THREAT (+1.8)</t>
  </si>
  <si>
    <t>2025-12-19</t>
  </si>
  <si>
    <t>2025-12-20</t>
  </si>
  <si>
    <t>2025-12-21</t>
  </si>
  <si>
    <t>2025-12-23</t>
  </si>
  <si>
    <t>2025-12-25</t>
  </si>
  <si>
    <t>2025-12-26</t>
  </si>
  <si>
    <t>2025-12-27</t>
  </si>
  <si>
    <t>THREAT (+4.0)</t>
  </si>
  <si>
    <t>2025-12-28</t>
  </si>
  <si>
    <t>2025-12-30</t>
  </si>
  <si>
    <t>DMM-ATZ</t>
  </si>
  <si>
    <t>SM-438</t>
  </si>
  <si>
    <t>SM438</t>
  </si>
  <si>
    <t>X9</t>
  </si>
  <si>
    <t>G9 &amp; S3 &amp; T3 &amp; X23 &amp; U37 &amp; O3</t>
  </si>
  <si>
    <t>Indirect competition route DMM – CAI - diversion ratio &amp; passenger leakage</t>
  </si>
  <si>
    <t>04:05</t>
  </si>
  <si>
    <t>506 SAR</t>
  </si>
  <si>
    <t>S7 &amp; X7 &amp; U26 &amp; O25 &amp; I15</t>
  </si>
  <si>
    <t>S6 &amp; W8 &amp; X2 &amp; U19</t>
  </si>
  <si>
    <t>S2 &amp; W4 &amp; X3 &amp; U31</t>
  </si>
  <si>
    <t>G2 &amp; S1 &amp; T2 &amp; X7 &amp; U7 &amp; O6</t>
  </si>
  <si>
    <t>G2 &amp; S4 &amp; T2 &amp; X3 &amp; U5 &amp; O4</t>
  </si>
  <si>
    <t>02:55</t>
  </si>
  <si>
    <t>S4 &amp; W6 &amp; T4 &amp; X7 &amp; U6 &amp; O6</t>
  </si>
  <si>
    <t>G1 &amp; S5 &amp; W1 &amp; T5 &amp; X4 &amp; U3 &amp; O5</t>
  </si>
  <si>
    <t>03:05</t>
  </si>
  <si>
    <t>07:00</t>
  </si>
  <si>
    <t>G9</t>
  </si>
  <si>
    <t>X23</t>
  </si>
  <si>
    <t>U37</t>
  </si>
  <si>
    <t>MONDAY</t>
  </si>
  <si>
    <t>12:15</t>
  </si>
  <si>
    <t>S7</t>
  </si>
  <si>
    <t>U26</t>
  </si>
  <si>
    <t>O25</t>
  </si>
  <si>
    <t>I15</t>
  </si>
  <si>
    <t>W8</t>
  </si>
  <si>
    <t>U19</t>
  </si>
  <si>
    <t>S2</t>
  </si>
  <si>
    <t>X3</t>
  </si>
  <si>
    <t>U31</t>
  </si>
  <si>
    <t>G2</t>
  </si>
  <si>
    <t>S5</t>
  </si>
  <si>
    <t>T5</t>
  </si>
  <si>
    <t>X4</t>
  </si>
  <si>
    <t>DMM-CAI AS ALTERNATIVE ROUTE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</si>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</sst>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4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2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b/>
      <sz val="11"/>
      <color rgb="FFFF9900"/>
      <name val="Calibri"/>
    </font>
    <font>
      <b/>
      <sz val="12"/>
      <color rgb="FFFF0000"/>
      <name val="Calibri"/>
    </font>
    <font>
      <b/>
      <sz val="11"/>
      <color rgb="FFFF6600"/>
      <name val="Calibri"/>
    </font>
    <font>
      <sz val="11"/>
      <color rgb="FF008800"/>
      <name val="Calibri"/>
    </font>
    <font>
      <b/>
      <i/>
      <sz val="12"/>
      <color rgb="FF0070C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FFEEEE"/>
        <bgColor rgb="FFFFEEEE"/>
      </patternFill>
    </fill>
    <fill>
      <patternFill patternType="solid">
        <fgColor rgb="FFFFF5EE"/>
        <bgColor rgb="FFFFF5EE"/>
      </patternFill>
    </fill>
    <fill>
      <patternFill patternType="solid">
        <fgColor rgb="FFB5E7D3"/>
      </patternFill>
    </fill>
    <fill>
      <patternFill patternType="solid">
        <fgColor rgb="FF36549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49" fontId="17" fillId="0" borderId="12" xfId="0" applyNumberFormat="1" applyFont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8" fillId="9" borderId="13" xfId="0" applyNumberFormat="1" applyFont="1" applyFill="1" applyBorder="1" applyAlignment="1">
      <alignment horizontal="center" vertical="center"/>
    </xf>
    <xf numFmtId="1" fontId="18" fillId="9" borderId="14" xfId="0" applyNumberFormat="1" applyFont="1" applyFill="1" applyBorder="1" applyAlignment="1">
      <alignment horizontal="center" vertical="center"/>
    </xf>
    <xf numFmtId="16" fontId="18" fillId="9" borderId="14" xfId="0" applyNumberFormat="1" applyFont="1" applyFill="1" applyBorder="1" applyAlignment="1">
      <alignment horizontal="center" vertical="center"/>
    </xf>
    <xf numFmtId="49" fontId="19" fillId="9" borderId="14" xfId="0" applyNumberFormat="1" applyFont="1" applyFill="1" applyBorder="1" applyAlignment="1">
      <alignment horizontal="center" vertical="center"/>
    </xf>
    <xf numFmtId="49" fontId="18" fillId="9" borderId="15" xfId="0" applyNumberFormat="1" applyFont="1" applyFill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8" fillId="11" borderId="13" xfId="0" applyNumberFormat="1" applyFont="1" applyFill="1" applyBorder="1" applyAlignment="1">
      <alignment horizontal="center" vertical="center"/>
    </xf>
    <xf numFmtId="1" fontId="18" fillId="11" borderId="14" xfId="0" applyNumberFormat="1" applyFont="1" applyFill="1" applyBorder="1" applyAlignment="1">
      <alignment horizontal="center" vertical="center"/>
    </xf>
    <xf numFmtId="16" fontId="18" fillId="11" borderId="14" xfId="0" applyNumberFormat="1" applyFont="1" applyFill="1" applyBorder="1" applyAlignment="1">
      <alignment horizontal="center" vertical="center"/>
    </xf>
    <xf numFmtId="49" fontId="19" fillId="11" borderId="14" xfId="0" applyNumberFormat="1" applyFont="1" applyFill="1" applyBorder="1" applyAlignment="1">
      <alignment horizontal="center" vertical="center"/>
    </xf>
    <xf numFmtId="49" fontId="18" fillId="11" borderId="15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8" fillId="12" borderId="13" xfId="0" applyNumberFormat="1" applyFont="1" applyFill="1" applyBorder="1" applyAlignment="1">
      <alignment horizontal="center" vertical="center"/>
    </xf>
    <xf numFmtId="1" fontId="18" fillId="12" borderId="14" xfId="0" applyNumberFormat="1" applyFont="1" applyFill="1" applyBorder="1" applyAlignment="1">
      <alignment horizontal="center" vertical="center"/>
    </xf>
    <xf numFmtId="16" fontId="18" fillId="12" borderId="14" xfId="0" applyNumberFormat="1" applyFont="1" applyFill="1" applyBorder="1" applyAlignment="1">
      <alignment horizontal="center" vertical="center"/>
    </xf>
    <xf numFmtId="49" fontId="19" fillId="12" borderId="14" xfId="0" applyNumberFormat="1" applyFont="1" applyFill="1" applyBorder="1" applyAlignment="1">
      <alignment horizontal="center" vertical="center"/>
    </xf>
    <xf numFmtId="49" fontId="18" fillId="12" borderId="15" xfId="0" applyNumberFormat="1" applyFont="1" applyFill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8" fillId="13" borderId="13" xfId="0" applyNumberFormat="1" applyFont="1" applyFill="1" applyBorder="1" applyAlignment="1">
      <alignment horizontal="center" vertical="center"/>
    </xf>
    <xf numFmtId="1" fontId="18" fillId="13" borderId="14" xfId="0" applyNumberFormat="1" applyFont="1" applyFill="1" applyBorder="1" applyAlignment="1">
      <alignment horizontal="center" vertical="center"/>
    </xf>
    <xf numFmtId="16" fontId="18" fillId="13" borderId="14" xfId="0" applyNumberFormat="1" applyFont="1" applyFill="1" applyBorder="1" applyAlignment="1">
      <alignment horizontal="center" vertical="center"/>
    </xf>
    <xf numFmtId="49" fontId="19" fillId="13" borderId="14" xfId="0" applyNumberFormat="1" applyFont="1" applyFill="1" applyBorder="1" applyAlignment="1">
      <alignment horizontal="center" vertical="center"/>
    </xf>
    <xf numFmtId="49" fontId="18" fillId="13" borderId="15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0" fontId="21" fillId="16" borderId="21" xfId="0" applyFont="1" applyFill="1" applyBorder="1" applyAlignment="1">
      <alignment horizontal="center" vertical="center"/>
    </xf>
    <xf numFmtId="0" fontId="21" fillId="16" borderId="22" xfId="0" applyFont="1" applyFill="1" applyBorder="1" applyAlignment="1">
      <alignment horizontal="center" vertical="center"/>
    </xf>
    <xf numFmtId="0" fontId="21" fillId="16" borderId="23" xfId="0" applyFont="1" applyFill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1" fontId="22" fillId="0" borderId="25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49" fontId="22" fillId="0" borderId="28" xfId="0" applyNumberFormat="1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17" borderId="0" xfId="0" applyFont="1" applyFill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18" fillId="14" borderId="13" xfId="0" applyNumberFormat="1" applyFont="1" applyFill="1" applyBorder="1" applyAlignment="1">
      <alignment horizontal="center" vertical="center"/>
    </xf>
    <xf numFmtId="1" fontId="18" fillId="14" borderId="14" xfId="0" applyNumberFormat="1" applyFont="1" applyFill="1" applyBorder="1" applyAlignment="1">
      <alignment horizontal="center" vertical="center"/>
    </xf>
    <xf numFmtId="16" fontId="18" fillId="14" borderId="14" xfId="0" applyNumberFormat="1" applyFont="1" applyFill="1" applyBorder="1" applyAlignment="1">
      <alignment horizontal="center" vertical="center"/>
    </xf>
    <xf numFmtId="49" fontId="19" fillId="14" borderId="14" xfId="0" applyNumberFormat="1" applyFont="1" applyFill="1" applyBorder="1" applyAlignment="1">
      <alignment horizontal="center" vertical="center"/>
    </xf>
    <xf numFmtId="49" fontId="18" fillId="14" borderId="15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7" fillId="0" borderId="16" xfId="0" applyNumberFormat="1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9" fontId="18" fillId="15" borderId="13" xfId="0" applyNumberFormat="1" applyFont="1" applyFill="1" applyBorder="1" applyAlignment="1">
      <alignment horizontal="center" vertical="center"/>
    </xf>
    <xf numFmtId="1" fontId="18" fillId="15" borderId="14" xfId="0" applyNumberFormat="1" applyFont="1" applyFill="1" applyBorder="1" applyAlignment="1">
      <alignment horizontal="center" vertical="center"/>
    </xf>
    <xf numFmtId="16" fontId="18" fillId="15" borderId="14" xfId="0" applyNumberFormat="1" applyFont="1" applyFill="1" applyBorder="1" applyAlignment="1">
      <alignment horizontal="center" vertical="center"/>
    </xf>
    <xf numFmtId="49" fontId="19" fillId="15" borderId="14" xfId="0" applyNumberFormat="1" applyFont="1" applyFill="1" applyBorder="1" applyAlignment="1">
      <alignment horizontal="center" vertical="center"/>
    </xf>
    <xf numFmtId="49" fontId="18" fillId="15" borderId="15" xfId="0" applyNumberFormat="1" applyFont="1" applyFill="1" applyBorder="1" applyAlignment="1">
      <alignment horizontal="center" vertical="center"/>
    </xf>
    <xf numFmtId="49" fontId="18" fillId="10" borderId="13" xfId="0" applyNumberFormat="1" applyFont="1" applyFill="1" applyBorder="1" applyAlignment="1">
      <alignment horizontal="center" vertical="center"/>
    </xf>
    <xf numFmtId="1" fontId="18" fillId="10" borderId="14" xfId="0" applyNumberFormat="1" applyFont="1" applyFill="1" applyBorder="1" applyAlignment="1">
      <alignment horizontal="center" vertical="center"/>
    </xf>
    <xf numFmtId="16" fontId="18" fillId="10" borderId="14" xfId="0" applyNumberFormat="1" applyFont="1" applyFill="1" applyBorder="1" applyAlignment="1">
      <alignment horizontal="center" vertical="center"/>
    </xf>
    <xf numFmtId="49" fontId="19" fillId="10" borderId="14" xfId="0" applyNumberFormat="1" applyFont="1" applyFill="1" applyBorder="1" applyAlignment="1">
      <alignment horizontal="center" vertical="center"/>
    </xf>
    <xf numFmtId="49" fontId="18" fillId="10" borderId="15" xfId="0" applyNumberFormat="1" applyFont="1" applyFill="1" applyBorder="1" applyAlignment="1">
      <alignment horizontal="center" vertical="center"/>
    </xf>
    <xf numFmtId="49" fontId="11" fillId="19" borderId="2" xfId="0" applyNumberFormat="1" applyFont="1" applyFill="1" applyBorder="1" applyAlignment="1">
      <alignment horizontal="center" vertical="center"/>
    </xf>
    <xf numFmtId="49" fontId="18" fillId="19" borderId="13" xfId="0" applyNumberFormat="1" applyFont="1" applyFill="1" applyBorder="1" applyAlignment="1">
      <alignment horizontal="center" vertical="center"/>
    </xf>
    <xf numFmtId="1" fontId="18" fillId="19" borderId="14" xfId="0" applyNumberFormat="1" applyFont="1" applyFill="1" applyBorder="1" applyAlignment="1">
      <alignment horizontal="center" vertical="center"/>
    </xf>
    <xf numFmtId="16" fontId="18" fillId="19" borderId="14" xfId="0" applyNumberFormat="1" applyFont="1" applyFill="1" applyBorder="1" applyAlignment="1">
      <alignment horizontal="center" vertical="center"/>
    </xf>
    <xf numFmtId="49" fontId="19" fillId="19" borderId="14" xfId="0" applyNumberFormat="1" applyFont="1" applyFill="1" applyBorder="1" applyAlignment="1">
      <alignment horizontal="center" vertical="center"/>
    </xf>
    <xf numFmtId="49" fontId="18" fillId="19" borderId="15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166" fontId="17" fillId="0" borderId="12" xfId="0" applyNumberFormat="1" applyFont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8" fillId="9" borderId="14" xfId="0" applyNumberFormat="1" applyFont="1" applyFill="1" applyBorder="1" applyAlignment="1">
      <alignment horizontal="center" vertical="center"/>
    </xf>
    <xf numFmtId="166" fontId="18" fillId="9" borderId="14" xfId="0" applyNumberFormat="1" applyFont="1" applyFill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18" fillId="10" borderId="14" xfId="0" applyNumberFormat="1" applyFont="1" applyFill="1" applyBorder="1" applyAlignment="1">
      <alignment horizontal="center" vertical="center"/>
    </xf>
    <xf numFmtId="166" fontId="18" fillId="10" borderId="14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0" fillId="11" borderId="14" xfId="0" applyNumberFormat="1" applyFont="1" applyFill="1" applyBorder="1" applyAlignment="1">
      <alignment horizontal="center" vertical="center"/>
    </xf>
    <xf numFmtId="166" fontId="18" fillId="11" borderId="14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20" fillId="12" borderId="14" xfId="0" applyNumberFormat="1" applyFont="1" applyFill="1" applyBorder="1" applyAlignment="1">
      <alignment horizontal="center" vertical="center"/>
    </xf>
    <xf numFmtId="166" fontId="18" fillId="12" borderId="14" xfId="0" applyNumberFormat="1" applyFont="1" applyFill="1" applyBorder="1" applyAlignment="1">
      <alignment horizontal="center" vertical="center"/>
    </xf>
    <xf numFmtId="166" fontId="16" fillId="0" borderId="16" xfId="0" applyNumberFormat="1" applyFont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20" fillId="13" borderId="14" xfId="0" applyNumberFormat="1" applyFont="1" applyFill="1" applyBorder="1" applyAlignment="1">
      <alignment horizontal="center" vertical="center"/>
    </xf>
    <xf numFmtId="166" fontId="18" fillId="13" borderId="14" xfId="0" applyNumberFormat="1" applyFont="1" applyFill="1" applyBorder="1" applyAlignment="1">
      <alignment horizontal="center" vertical="center"/>
    </xf>
    <xf numFmtId="167" fontId="20" fillId="9" borderId="14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20" fillId="14" borderId="14" xfId="0" applyNumberFormat="1" applyFont="1" applyFill="1" applyBorder="1" applyAlignment="1">
      <alignment horizontal="center" vertical="center"/>
    </xf>
    <xf numFmtId="166" fontId="18" fillId="14" borderId="14" xfId="0" applyNumberFormat="1" applyFont="1" applyFill="1" applyBorder="1" applyAlignment="1">
      <alignment horizontal="center" vertical="center"/>
    </xf>
    <xf numFmtId="167" fontId="20" fillId="10" borderId="14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20" fillId="15" borderId="14" xfId="0" applyNumberFormat="1" applyFont="1" applyFill="1" applyBorder="1" applyAlignment="1">
      <alignment horizontal="center" vertical="center"/>
    </xf>
    <xf numFmtId="166" fontId="18" fillId="15" borderId="14" xfId="0" applyNumberFormat="1" applyFont="1" applyFill="1" applyBorder="1" applyAlignment="1">
      <alignment horizontal="center" vertical="center"/>
    </xf>
    <xf numFmtId="169" fontId="22" fillId="0" borderId="26" xfId="0" applyNumberFormat="1" applyFont="1" applyBorder="1" applyAlignment="1">
      <alignment horizontal="center" vertical="center"/>
    </xf>
    <xf numFmtId="169" fontId="22" fillId="0" borderId="29" xfId="0" applyNumberFormat="1" applyFont="1" applyBorder="1" applyAlignment="1">
      <alignment horizontal="center" vertical="center"/>
    </xf>
    <xf numFmtId="169" fontId="23" fillId="0" borderId="29" xfId="0" applyNumberFormat="1" applyFont="1" applyBorder="1" applyAlignment="1">
      <alignment horizontal="center" vertical="center"/>
    </xf>
    <xf numFmtId="170" fontId="22" fillId="0" borderId="27" xfId="0" applyNumberFormat="1" applyFont="1" applyBorder="1" applyAlignment="1">
      <alignment horizontal="center" vertical="center"/>
    </xf>
    <xf numFmtId="171" fontId="22" fillId="0" borderId="28" xfId="0" applyNumberFormat="1" applyFont="1" applyBorder="1" applyAlignment="1">
      <alignment horizontal="center" vertical="center"/>
    </xf>
    <xf numFmtId="170" fontId="22" fillId="0" borderId="24" xfId="0" applyNumberFormat="1" applyFont="1" applyBorder="1" applyAlignment="1">
      <alignment horizontal="center" vertical="center"/>
    </xf>
    <xf numFmtId="171" fontId="22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166" fontId="17" fillId="0" borderId="16" xfId="0" applyNumberFormat="1" applyFont="1" applyBorder="1" applyAlignment="1">
      <alignment horizontal="center" vertical="center"/>
    </xf>
    <xf numFmtId="166" fontId="11" fillId="19" borderId="2" xfId="0" applyNumberFormat="1" applyFont="1" applyFill="1" applyBorder="1" applyAlignment="1">
      <alignment horizontal="center" vertical="center"/>
    </xf>
    <xf numFmtId="167" fontId="20" fillId="19" borderId="14" xfId="0" applyNumberFormat="1" applyFont="1" applyFill="1" applyBorder="1" applyAlignment="1">
      <alignment horizontal="center" vertical="center"/>
    </xf>
    <xf numFmtId="166" fontId="18" fillId="19" borderId="14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/>
    <xf numFmtId="168" fontId="33" fillId="0" borderId="0" xfId="0" applyNumberFormat="1" applyFont="1" applyAlignment="1">
      <alignment horizontal="center" vertical="center"/>
    </xf>
    <xf numFmtId="15" fontId="33" fillId="0" borderId="0" xfId="0" applyNumberFormat="1" applyFont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167" fontId="33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4" fillId="20" borderId="0" xfId="0" applyFont="1" applyFill="1" applyAlignment="1">
      <alignment horizontal="center" vertical="center"/>
    </xf>
    <xf numFmtId="15" fontId="34" fillId="20" borderId="0" xfId="0" applyNumberFormat="1" applyFont="1" applyFill="1" applyAlignment="1">
      <alignment horizontal="center" vertical="center"/>
    </xf>
    <xf numFmtId="167" fontId="34" fillId="20" borderId="0" xfId="0" applyNumberFormat="1" applyFont="1" applyFill="1" applyAlignment="1">
      <alignment horizontal="center" vertical="center"/>
    </xf>
    <xf numFmtId="1" fontId="34" fillId="20" borderId="0" xfId="0" applyNumberFormat="1" applyFont="1" applyFill="1" applyAlignment="1">
      <alignment horizontal="center" vertical="center"/>
    </xf>
    <xf numFmtId="0" fontId="34" fillId="20" borderId="0" xfId="0" applyNumberFormat="1" applyFont="1" applyFill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6" fillId="4" borderId="2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5" fillId="8" borderId="34" xfId="0" applyFont="1" applyFill="1" applyBorder="1" applyAlignment="1">
      <alignment horizontal="center" vertical="center"/>
    </xf>
    <xf numFmtId="0" fontId="15" fillId="8" borderId="35" xfId="0" applyFont="1" applyFill="1" applyBorder="1" applyAlignment="1">
      <alignment horizontal="center" vertical="center"/>
    </xf>
    <xf numFmtId="0" fontId="15" fillId="8" borderId="36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49" fontId="32" fillId="0" borderId="30" xfId="0" applyNumberFormat="1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0" borderId="4" xfId="0" applyBorder="1"/>
    <xf numFmtId="0" fontId="12" fillId="0" borderId="4" xfId="0" applyFont="1" applyBorder="1"/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CAI_LF_LEGACY" displayName="DMM_CAI_LF_LEGACY" ref="A1:AJ19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CAI" displayName="FocusMode_DMM_CAI" ref="A1:H417" totalsRowShown="0">
  <autoFilter ref="A1:H41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DMM_CAI" displayName="ThreatsAlert_DMM_CAI" ref="A1:I119">
  <autoFilter ref="A1:I119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MM_ATZ_LF_LEGACY" displayName="DMM_ATZ_LF_LEGACY" ref="A1:AJ10" totalsRowCount="1" headerRowDxfId="74" dataDxfId="37" totalsRowDxfId="0">
  <tableColumns count="36">
    <tableColumn id="1" xr3:uid="{00000000-0010-0000-0300-000001000000}" name="Day" totalsRowLabel="TOTAL" dataDxfId="73" totalsRowDxfId="36"/>
    <tableColumn id="2" xr3:uid="{00000000-0010-0000-0300-000002000000}" name="Flt Dt" dataDxfId="72" totalsRowDxfId="35"/>
    <tableColumn id="3" xr3:uid="{00000000-0010-0000-0300-000003000000}" name="Flt" totalsRowFunction="count" dataDxfId="71" totalsRowDxfId="34"/>
    <tableColumn id="4" xr3:uid="{00000000-0010-0000-0300-000004000000}" name="DEP" dataDxfId="70" totalsRowDxfId="33"/>
    <tableColumn id="5" xr3:uid="{00000000-0010-0000-0300-000005000000}" name="Brd-Off" totalsRowFunction="count" dataDxfId="69" totalsRowDxfId="32"/>
    <tableColumn id="6" xr3:uid="{00000000-0010-0000-0300-000006000000}" name="Eqp" dataDxfId="68" totalsRowDxfId="31"/>
    <tableColumn id="7" xr3:uid="{00000000-0010-0000-0300-000007000000}" name="LF%" totalsRowFunction="average" dataDxfId="67" totalsRowDxfId="30"/>
    <tableColumn id="8" xr3:uid="{00000000-0010-0000-0300-000008000000}" name="CAP" totalsRowFunction="sum" dataDxfId="66" totalsRowDxfId="29"/>
    <tableColumn id="9" xr3:uid="{00000000-0010-0000-0300-000009000000}" name="BKG(Y)" totalsRowFunction="sum" dataDxfId="65" totalsRowDxfId="28"/>
    <tableColumn id="10" xr3:uid="{00000000-0010-0000-0300-00000A000000}" name="GRP(Y)" totalsRowFunction="sum" dataDxfId="64" totalsRowDxfId="27"/>
    <tableColumn id="11" xr3:uid="{00000000-0010-0000-0300-00000B000000}" name="FLT ST" dataDxfId="63" totalsRowDxfId="26"/>
    <tableColumn id="12" xr3:uid="{00000000-0010-0000-0300-00000C000000}" name="LST-SOLD" dataDxfId="62" totalsRowDxfId="25"/>
    <tableColumn id="13" xr3:uid="{00000000-0010-0000-0300-00000D000000}" name="TO-DAY" totalsRowFunction="sum" dataDxfId="61" totalsRowDxfId="24"/>
    <tableColumn id="14" xr3:uid="{00000000-0010-0000-0300-00000E000000}" name="Y-DAY" totalsRowFunction="sum" dataDxfId="60" totalsRowDxfId="23"/>
    <tableColumn id="15" xr3:uid="{00000000-0010-0000-0300-00000F000000}" name="WEEKLY" totalsRowFunction="sum" dataDxfId="59" totalsRowDxfId="22"/>
    <tableColumn id="16" xr3:uid="{00000000-0010-0000-0300-000010000000}" name="LOWEST AVAIL" dataDxfId="58" totalsRowDxfId="21"/>
    <tableColumn id="17" xr3:uid="{00000000-0010-0000-0300-000011000000}" name="Y" totalsRowFunction="sum" dataDxfId="57" totalsRowDxfId="20"/>
    <tableColumn id="18" xr3:uid="{00000000-0010-0000-0300-000012000000}" name="B" totalsRowFunction="sum" dataDxfId="56" totalsRowDxfId="19"/>
    <tableColumn id="19" xr3:uid="{00000000-0010-0000-0300-000013000000}" name="M" totalsRowFunction="sum" dataDxfId="55" totalsRowDxfId="18"/>
    <tableColumn id="20" xr3:uid="{00000000-0010-0000-0300-000014000000}" name="H" totalsRowFunction="sum" dataDxfId="54" totalsRowDxfId="17"/>
    <tableColumn id="21" xr3:uid="{00000000-0010-0000-0300-000015000000}" name="Q" totalsRowFunction="sum" dataDxfId="53" totalsRowDxfId="16"/>
    <tableColumn id="22" xr3:uid="{00000000-0010-0000-0300-000016000000}" name="K" totalsRowFunction="sum" dataDxfId="52" totalsRowDxfId="15"/>
    <tableColumn id="23" xr3:uid="{00000000-0010-0000-0300-000017000000}" name="V" totalsRowFunction="sum" dataDxfId="51" totalsRowDxfId="14"/>
    <tableColumn id="24" xr3:uid="{00000000-0010-0000-0300-000018000000}" name="L" totalsRowFunction="sum" dataDxfId="50" totalsRowDxfId="13"/>
    <tableColumn id="25" xr3:uid="{00000000-0010-0000-0300-000019000000}" name="G" totalsRowFunction="sum" dataDxfId="49" totalsRowDxfId="12"/>
    <tableColumn id="26" xr3:uid="{00000000-0010-0000-0300-00001A000000}" name="S" totalsRowFunction="sum" dataDxfId="48" totalsRowDxfId="11"/>
    <tableColumn id="27" xr3:uid="{00000000-0010-0000-0300-00001B000000}" name="W" totalsRowFunction="sum" dataDxfId="47" totalsRowDxfId="10"/>
    <tableColumn id="28" xr3:uid="{00000000-0010-0000-0300-00001C000000}" name="T" totalsRowFunction="sum" dataDxfId="46" totalsRowDxfId="9"/>
    <tableColumn id="29" xr3:uid="{00000000-0010-0000-0300-00001D000000}" name="X" totalsRowFunction="sum" dataDxfId="45" totalsRowDxfId="8"/>
    <tableColumn id="30" xr3:uid="{00000000-0010-0000-0300-00001E000000}" name="U" totalsRowFunction="sum" dataDxfId="44" totalsRowDxfId="7"/>
    <tableColumn id="31" xr3:uid="{00000000-0010-0000-0300-00001F000000}" name="O" totalsRowFunction="sum" dataDxfId="43" totalsRowDxfId="6"/>
    <tableColumn id="32" xr3:uid="{00000000-0010-0000-0300-000020000000}" name="I" totalsRowFunction="sum" dataDxfId="42" totalsRowDxfId="5"/>
    <tableColumn id="33" xr3:uid="{00000000-0010-0000-0300-000021000000}" name="E" totalsRowFunction="sum" dataDxfId="41" totalsRowDxfId="4"/>
    <tableColumn id="34" xr3:uid="{00000000-0010-0000-0300-000022000000}" name="A" totalsRowFunction="sum" dataDxfId="40" totalsRowDxfId="3"/>
    <tableColumn id="35" xr3:uid="{00000000-0010-0000-0300-000023000000}" name="P" totalsRowFunction="sum" dataDxfId="39" totalsRowDxfId="2"/>
    <tableColumn id="36" xr3:uid="{00000000-0010-0000-0300-000024000000}" name="N" totalsRowFunction="count" dataDxfId="38" totalsRow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DMM_ATZ" displayName="FocusMode_DMM_ATZ" ref="A1:H462" totalsRowShown="0">
  <autoFilter ref="A1:H462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11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7.88671875" bestFit="1" customWidth="1"/>
    <col min="19" max="92" width="8" customWidth="1"/>
  </cols>
  <sheetData>
    <row r="1" spans="1:92" ht="28.8" customHeight="1" x14ac:dyDescent="0.3">
      <c r="A1" s="190" t="s">
        <v>0</v>
      </c>
      <c r="B1" s="186"/>
      <c r="C1" s="186"/>
      <c r="D1" s="186"/>
      <c r="E1" s="186"/>
      <c r="F1" s="1" t="s">
        <v>1</v>
      </c>
      <c r="G1" s="1" t="s">
        <v>2</v>
      </c>
      <c r="H1" s="189">
        <v>45992</v>
      </c>
      <c r="I1" s="186"/>
      <c r="J1" s="186"/>
      <c r="K1" s="186"/>
      <c r="L1" s="186"/>
      <c r="M1" s="1" t="s">
        <v>3</v>
      </c>
      <c r="N1" s="193">
        <v>46022</v>
      </c>
      <c r="O1" s="186"/>
      <c r="P1" s="186"/>
      <c r="Q1" s="186"/>
      <c r="R1" s="186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91" t="s">
        <v>4</v>
      </c>
      <c r="B2" s="186"/>
      <c r="C2" s="186"/>
      <c r="D2" s="186"/>
      <c r="E2" s="186"/>
      <c r="F2" s="186"/>
      <c r="G2" s="192">
        <v>45992.956638819443</v>
      </c>
      <c r="H2" s="186"/>
      <c r="I2" s="186"/>
      <c r="J2" s="186"/>
      <c r="K2" s="185">
        <v>45992.956638819443</v>
      </c>
      <c r="L2" s="186"/>
      <c r="M2" s="186"/>
      <c r="N2" s="186"/>
      <c r="O2" s="186"/>
      <c r="P2" s="186"/>
      <c r="Q2" s="186"/>
      <c r="R2" s="18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88" t="s">
        <v>5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76" t="s">
        <v>6</v>
      </c>
      <c r="B4" s="177"/>
      <c r="C4" s="177"/>
      <c r="D4" s="177"/>
      <c r="E4" s="177"/>
      <c r="F4" s="178"/>
      <c r="G4" s="113">
        <v>45992</v>
      </c>
      <c r="H4" s="187" t="s">
        <v>7</v>
      </c>
      <c r="I4" s="177"/>
      <c r="J4" s="177"/>
      <c r="K4" s="177"/>
      <c r="L4" s="177"/>
      <c r="M4" s="177"/>
      <c r="N4" s="177"/>
      <c r="O4" s="177"/>
      <c r="P4" s="177"/>
      <c r="Q4" s="177"/>
      <c r="R4" s="17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35">
      <c r="A6" s="7" t="s">
        <v>26</v>
      </c>
      <c r="B6" s="7" t="s">
        <v>27</v>
      </c>
      <c r="C6" s="114">
        <v>0.95833333333333337</v>
      </c>
      <c r="D6" s="7" t="s">
        <v>28</v>
      </c>
      <c r="E6" s="7" t="s">
        <v>29</v>
      </c>
      <c r="F6" s="7" t="s">
        <v>30</v>
      </c>
      <c r="G6" s="173"/>
      <c r="H6" s="8"/>
      <c r="I6" s="9"/>
      <c r="J6" s="9"/>
      <c r="K6" s="9"/>
      <c r="L6" s="9"/>
      <c r="M6" s="9"/>
      <c r="N6" s="9"/>
      <c r="O6" s="10"/>
      <c r="P6" s="9"/>
      <c r="Q6" s="11"/>
      <c r="R6" s="12"/>
    </row>
    <row r="7" spans="1:92" ht="17.399999999999999" customHeight="1" thickBot="1" x14ac:dyDescent="0.35">
      <c r="A7" s="179"/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1"/>
    </row>
    <row r="8" spans="1:92" ht="22.05" customHeight="1" thickTop="1" thickBot="1" x14ac:dyDescent="0.35">
      <c r="A8" s="182" t="s">
        <v>6</v>
      </c>
      <c r="B8" s="177"/>
      <c r="C8" s="177"/>
      <c r="D8" s="177"/>
      <c r="E8" s="177"/>
      <c r="F8" s="178"/>
      <c r="G8" s="115">
        <v>45993</v>
      </c>
      <c r="H8" s="184" t="s">
        <v>7</v>
      </c>
      <c r="I8" s="177"/>
      <c r="J8" s="177"/>
      <c r="K8" s="177"/>
      <c r="L8" s="177"/>
      <c r="M8" s="177"/>
      <c r="N8" s="177"/>
      <c r="O8" s="177"/>
      <c r="P8" s="177"/>
      <c r="Q8" s="177"/>
      <c r="R8" s="178"/>
    </row>
    <row r="9" spans="1:92" ht="24" customHeight="1" x14ac:dyDescent="0.3">
      <c r="A9" s="13" t="s">
        <v>8</v>
      </c>
      <c r="B9" s="13" t="s">
        <v>9</v>
      </c>
      <c r="C9" s="116" t="s">
        <v>10</v>
      </c>
      <c r="D9" s="13" t="s">
        <v>11</v>
      </c>
      <c r="E9" s="13" t="s">
        <v>12</v>
      </c>
      <c r="F9" s="14" t="s">
        <v>13</v>
      </c>
      <c r="G9" s="15" t="s">
        <v>14</v>
      </c>
      <c r="H9" s="13" t="s">
        <v>15</v>
      </c>
      <c r="I9" s="117" t="s">
        <v>16</v>
      </c>
      <c r="J9" s="16" t="s">
        <v>17</v>
      </c>
      <c r="K9" s="17" t="s">
        <v>18</v>
      </c>
      <c r="L9" s="16" t="s">
        <v>19</v>
      </c>
      <c r="M9" s="16" t="s">
        <v>20</v>
      </c>
      <c r="N9" s="16" t="s">
        <v>21</v>
      </c>
      <c r="O9" s="13" t="s">
        <v>22</v>
      </c>
      <c r="P9" s="116" t="s">
        <v>23</v>
      </c>
      <c r="Q9" s="16" t="s">
        <v>24</v>
      </c>
      <c r="R9" s="13" t="s">
        <v>25</v>
      </c>
    </row>
    <row r="10" spans="1:92" ht="15" customHeight="1" x14ac:dyDescent="0.3">
      <c r="A10" s="18" t="s">
        <v>31</v>
      </c>
      <c r="B10" s="18" t="s">
        <v>32</v>
      </c>
      <c r="C10" s="118">
        <v>0.30555555555555558</v>
      </c>
      <c r="D10" s="18" t="s">
        <v>33</v>
      </c>
      <c r="E10" s="18" t="s">
        <v>34</v>
      </c>
      <c r="F10" s="18" t="s">
        <v>35</v>
      </c>
      <c r="G10" s="183"/>
      <c r="H10" s="19"/>
      <c r="I10" s="20"/>
      <c r="J10" s="20"/>
      <c r="K10" s="20"/>
      <c r="L10" s="20"/>
      <c r="M10" s="20"/>
      <c r="N10" s="20"/>
      <c r="O10" s="21"/>
      <c r="P10" s="20"/>
      <c r="Q10" s="22"/>
      <c r="R10" s="23"/>
    </row>
    <row r="11" spans="1:92" ht="15" customHeight="1" x14ac:dyDescent="0.3">
      <c r="A11" s="24" t="s">
        <v>31</v>
      </c>
      <c r="B11" s="24" t="s">
        <v>32</v>
      </c>
      <c r="C11" s="119">
        <v>0.30555555555555558</v>
      </c>
      <c r="D11" s="24" t="s">
        <v>36</v>
      </c>
      <c r="E11" s="24" t="s">
        <v>34</v>
      </c>
      <c r="F11" s="24" t="s">
        <v>37</v>
      </c>
      <c r="G11" s="174"/>
      <c r="H11" s="19"/>
      <c r="I11" s="20"/>
      <c r="J11" s="20"/>
      <c r="K11" s="20"/>
      <c r="L11" s="20"/>
      <c r="M11" s="20"/>
      <c r="N11" s="20"/>
      <c r="O11" s="21"/>
      <c r="P11" s="20"/>
      <c r="Q11" s="22"/>
      <c r="R11" s="23"/>
    </row>
    <row r="12" spans="1:92" ht="15" customHeight="1" x14ac:dyDescent="0.3">
      <c r="A12" s="24" t="s">
        <v>31</v>
      </c>
      <c r="B12" s="24" t="s">
        <v>32</v>
      </c>
      <c r="C12" s="119">
        <v>0.30555555555555558</v>
      </c>
      <c r="D12" s="24" t="s">
        <v>38</v>
      </c>
      <c r="E12" s="24" t="s">
        <v>34</v>
      </c>
      <c r="F12" s="24" t="s">
        <v>39</v>
      </c>
      <c r="G12" s="174"/>
      <c r="H12" s="19"/>
      <c r="I12" s="20"/>
      <c r="J12" s="20"/>
      <c r="K12" s="20"/>
      <c r="L12" s="20"/>
      <c r="M12" s="20"/>
      <c r="N12" s="20"/>
      <c r="O12" s="21"/>
      <c r="P12" s="20"/>
      <c r="Q12" s="22"/>
      <c r="R12" s="23"/>
    </row>
    <row r="13" spans="1:92" ht="15" customHeight="1" x14ac:dyDescent="0.3">
      <c r="A13" s="25" t="s">
        <v>40</v>
      </c>
      <c r="B13" s="25" t="s">
        <v>41</v>
      </c>
      <c r="C13" s="120">
        <v>0.19791666666666671</v>
      </c>
      <c r="D13" s="25" t="s">
        <v>42</v>
      </c>
      <c r="E13" s="25" t="s">
        <v>43</v>
      </c>
      <c r="F13" s="25" t="s">
        <v>44</v>
      </c>
      <c r="G13" s="174"/>
      <c r="H13" s="19"/>
      <c r="I13" s="20"/>
      <c r="J13" s="20"/>
      <c r="K13" s="20"/>
      <c r="L13" s="20"/>
      <c r="M13" s="20"/>
      <c r="N13" s="20"/>
      <c r="O13" s="21"/>
      <c r="P13" s="20"/>
      <c r="Q13" s="22"/>
      <c r="R13" s="23"/>
    </row>
    <row r="14" spans="1:92" ht="15" customHeight="1" x14ac:dyDescent="0.3">
      <c r="A14" s="24" t="s">
        <v>40</v>
      </c>
      <c r="B14" s="24" t="s">
        <v>41</v>
      </c>
      <c r="C14" s="119">
        <v>0.19791666666666671</v>
      </c>
      <c r="D14" s="24" t="s">
        <v>45</v>
      </c>
      <c r="E14" s="24" t="s">
        <v>43</v>
      </c>
      <c r="F14" s="24" t="s">
        <v>46</v>
      </c>
      <c r="G14" s="174"/>
      <c r="H14" s="19"/>
      <c r="I14" s="20"/>
      <c r="J14" s="20"/>
      <c r="K14" s="20"/>
      <c r="L14" s="20"/>
      <c r="M14" s="20"/>
      <c r="N14" s="20"/>
      <c r="O14" s="21"/>
      <c r="P14" s="20"/>
      <c r="Q14" s="22"/>
      <c r="R14" s="23"/>
    </row>
    <row r="15" spans="1:92" ht="15" customHeight="1" x14ac:dyDescent="0.3">
      <c r="A15" s="24" t="s">
        <v>40</v>
      </c>
      <c r="B15" s="24" t="s">
        <v>41</v>
      </c>
      <c r="C15" s="119">
        <v>0.19791666666666671</v>
      </c>
      <c r="D15" s="24" t="s">
        <v>38</v>
      </c>
      <c r="E15" s="24" t="s">
        <v>43</v>
      </c>
      <c r="F15" s="24" t="s">
        <v>47</v>
      </c>
      <c r="G15" s="174"/>
      <c r="H15" s="19"/>
      <c r="I15" s="20"/>
      <c r="J15" s="20"/>
      <c r="K15" s="20"/>
      <c r="L15" s="20"/>
      <c r="M15" s="20"/>
      <c r="N15" s="20"/>
      <c r="O15" s="21"/>
      <c r="P15" s="20"/>
      <c r="Q15" s="22"/>
      <c r="R15" s="23"/>
    </row>
    <row r="16" spans="1:92" ht="15" customHeight="1" x14ac:dyDescent="0.3">
      <c r="A16" s="26" t="s">
        <v>40</v>
      </c>
      <c r="B16" s="26" t="s">
        <v>48</v>
      </c>
      <c r="C16" s="121">
        <v>0.83333333333333337</v>
      </c>
      <c r="D16" s="26" t="s">
        <v>42</v>
      </c>
      <c r="E16" s="26" t="s">
        <v>34</v>
      </c>
      <c r="F16" s="26" t="s">
        <v>49</v>
      </c>
      <c r="G16" s="174"/>
      <c r="H16" s="19"/>
      <c r="I16" s="20"/>
      <c r="J16" s="20"/>
      <c r="K16" s="20"/>
      <c r="L16" s="20"/>
      <c r="M16" s="20"/>
      <c r="N16" s="20"/>
      <c r="O16" s="21"/>
      <c r="P16" s="20"/>
      <c r="Q16" s="22"/>
      <c r="R16" s="23"/>
    </row>
    <row r="17" spans="1:18" ht="15" customHeight="1" x14ac:dyDescent="0.3">
      <c r="A17" s="24" t="s">
        <v>40</v>
      </c>
      <c r="B17" s="24" t="s">
        <v>48</v>
      </c>
      <c r="C17" s="119">
        <v>0.83333333333333337</v>
      </c>
      <c r="D17" s="24" t="s">
        <v>45</v>
      </c>
      <c r="E17" s="24" t="s">
        <v>34</v>
      </c>
      <c r="F17" s="24" t="s">
        <v>47</v>
      </c>
      <c r="G17" s="174"/>
      <c r="H17" s="19"/>
      <c r="I17" s="20"/>
      <c r="J17" s="20"/>
      <c r="K17" s="20"/>
      <c r="L17" s="20"/>
      <c r="M17" s="20"/>
      <c r="N17" s="20"/>
      <c r="O17" s="21"/>
      <c r="P17" s="20"/>
      <c r="Q17" s="22"/>
      <c r="R17" s="23"/>
    </row>
    <row r="18" spans="1:18" ht="15" customHeight="1" x14ac:dyDescent="0.3">
      <c r="A18" s="24" t="s">
        <v>40</v>
      </c>
      <c r="B18" s="24" t="s">
        <v>48</v>
      </c>
      <c r="C18" s="119">
        <v>0.83333333333333337</v>
      </c>
      <c r="D18" s="24" t="s">
        <v>38</v>
      </c>
      <c r="E18" s="24" t="s">
        <v>34</v>
      </c>
      <c r="F18" s="24" t="s">
        <v>50</v>
      </c>
      <c r="G18" s="174"/>
      <c r="H18" s="19"/>
      <c r="I18" s="20"/>
      <c r="J18" s="20"/>
      <c r="K18" s="20"/>
      <c r="L18" s="20"/>
      <c r="M18" s="20"/>
      <c r="N18" s="20"/>
      <c r="O18" s="21"/>
      <c r="P18" s="20"/>
      <c r="Q18" s="22"/>
      <c r="R18" s="23"/>
    </row>
    <row r="19" spans="1:18" ht="15" customHeight="1" x14ac:dyDescent="0.3">
      <c r="A19" s="27" t="s">
        <v>51</v>
      </c>
      <c r="B19" s="27" t="s">
        <v>52</v>
      </c>
      <c r="C19" s="122">
        <v>0.27083333333333331</v>
      </c>
      <c r="D19" s="27" t="s">
        <v>28</v>
      </c>
      <c r="E19" s="27" t="s">
        <v>53</v>
      </c>
      <c r="F19" s="27" t="s">
        <v>30</v>
      </c>
      <c r="G19" s="174"/>
      <c r="H19" s="28" t="s">
        <v>54</v>
      </c>
      <c r="I19" s="123">
        <v>0.63100000000000001</v>
      </c>
      <c r="J19" s="29">
        <v>106</v>
      </c>
      <c r="K19" s="30">
        <v>45992</v>
      </c>
      <c r="L19" s="29">
        <v>55</v>
      </c>
      <c r="M19" s="29">
        <v>16</v>
      </c>
      <c r="N19" s="29">
        <v>0</v>
      </c>
      <c r="O19" s="31" t="s">
        <v>55</v>
      </c>
      <c r="P19" s="124">
        <v>0.27083333333333331</v>
      </c>
      <c r="Q19" s="29">
        <v>168</v>
      </c>
      <c r="R19" s="32" t="s">
        <v>56</v>
      </c>
    </row>
    <row r="20" spans="1:18" ht="15" customHeight="1" x14ac:dyDescent="0.3">
      <c r="A20" s="25" t="s">
        <v>26</v>
      </c>
      <c r="B20" s="25" t="s">
        <v>57</v>
      </c>
      <c r="C20" s="120">
        <v>0.95833333333333337</v>
      </c>
      <c r="D20" s="25" t="s">
        <v>28</v>
      </c>
      <c r="E20" s="25" t="s">
        <v>29</v>
      </c>
      <c r="F20" s="25" t="s">
        <v>30</v>
      </c>
      <c r="G20" s="174"/>
      <c r="H20" s="19"/>
      <c r="I20" s="20"/>
      <c r="J20" s="20"/>
      <c r="K20" s="20"/>
      <c r="L20" s="20"/>
      <c r="M20" s="20"/>
      <c r="N20" s="20"/>
      <c r="O20" s="21"/>
      <c r="P20" s="20"/>
      <c r="Q20" s="22"/>
      <c r="R20" s="23"/>
    </row>
    <row r="21" spans="1:18" ht="15" customHeight="1" x14ac:dyDescent="0.3">
      <c r="A21" s="25" t="s">
        <v>58</v>
      </c>
      <c r="B21" s="25" t="s">
        <v>59</v>
      </c>
      <c r="C21" s="120">
        <v>0.1701388888888889</v>
      </c>
      <c r="D21" s="25" t="s">
        <v>60</v>
      </c>
      <c r="E21" s="25" t="s">
        <v>61</v>
      </c>
      <c r="F21" s="25" t="s">
        <v>62</v>
      </c>
      <c r="G21" s="174"/>
      <c r="H21" s="19"/>
      <c r="I21" s="20"/>
      <c r="J21" s="20"/>
      <c r="K21" s="20"/>
      <c r="L21" s="20"/>
      <c r="M21" s="20"/>
      <c r="N21" s="20"/>
      <c r="O21" s="21"/>
      <c r="P21" s="20"/>
      <c r="Q21" s="22"/>
      <c r="R21" s="23"/>
    </row>
    <row r="22" spans="1:18" ht="15" customHeight="1" x14ac:dyDescent="0.3">
      <c r="A22" s="26" t="s">
        <v>58</v>
      </c>
      <c r="B22" s="26" t="s">
        <v>63</v>
      </c>
      <c r="C22" s="121">
        <v>0.86458333333333337</v>
      </c>
      <c r="D22" s="26" t="s">
        <v>64</v>
      </c>
      <c r="E22" s="26" t="s">
        <v>29</v>
      </c>
      <c r="F22" s="26" t="s">
        <v>65</v>
      </c>
      <c r="G22" s="174"/>
      <c r="H22" s="19"/>
      <c r="I22" s="20"/>
      <c r="J22" s="20"/>
      <c r="K22" s="20"/>
      <c r="L22" s="20"/>
      <c r="M22" s="20"/>
      <c r="N22" s="20"/>
      <c r="O22" s="21"/>
      <c r="P22" s="20"/>
      <c r="Q22" s="22"/>
      <c r="R22" s="23"/>
    </row>
    <row r="23" spans="1:18" ht="15" customHeight="1" x14ac:dyDescent="0.3">
      <c r="A23" s="26" t="s">
        <v>58</v>
      </c>
      <c r="B23" s="26" t="s">
        <v>66</v>
      </c>
      <c r="C23" s="121">
        <v>0.52777777777777779</v>
      </c>
      <c r="D23" s="26" t="s">
        <v>64</v>
      </c>
      <c r="E23" s="26" t="s">
        <v>29</v>
      </c>
      <c r="F23" s="26" t="s">
        <v>67</v>
      </c>
      <c r="G23" s="174"/>
      <c r="H23" s="19"/>
      <c r="I23" s="20"/>
      <c r="J23" s="20"/>
      <c r="K23" s="20"/>
      <c r="L23" s="20"/>
      <c r="M23" s="20"/>
      <c r="N23" s="20"/>
      <c r="O23" s="21"/>
      <c r="P23" s="20"/>
      <c r="Q23" s="22"/>
      <c r="R23" s="23"/>
    </row>
    <row r="24" spans="1:18" ht="15" customHeight="1" thickBot="1" x14ac:dyDescent="0.35">
      <c r="A24" s="33" t="s">
        <v>68</v>
      </c>
      <c r="B24" s="33" t="s">
        <v>69</v>
      </c>
      <c r="C24" s="125">
        <v>0.30555555555555558</v>
      </c>
      <c r="D24" s="33" t="s">
        <v>70</v>
      </c>
      <c r="E24" s="33" t="s">
        <v>71</v>
      </c>
      <c r="F24" s="33" t="s">
        <v>72</v>
      </c>
      <c r="G24" s="175"/>
      <c r="H24" s="8"/>
      <c r="I24" s="9"/>
      <c r="J24" s="9"/>
      <c r="K24" s="9"/>
      <c r="L24" s="9"/>
      <c r="M24" s="9"/>
      <c r="N24" s="9"/>
      <c r="O24" s="10"/>
      <c r="P24" s="9"/>
      <c r="Q24" s="11"/>
      <c r="R24" s="12"/>
    </row>
    <row r="25" spans="1:18" ht="17.399999999999999" customHeight="1" thickBot="1" x14ac:dyDescent="0.35">
      <c r="A25" s="179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1"/>
    </row>
    <row r="26" spans="1:18" ht="22.05" customHeight="1" thickTop="1" thickBot="1" x14ac:dyDescent="0.35">
      <c r="A26" s="182" t="s">
        <v>6</v>
      </c>
      <c r="B26" s="177"/>
      <c r="C26" s="177"/>
      <c r="D26" s="177"/>
      <c r="E26" s="177"/>
      <c r="F26" s="178"/>
      <c r="G26" s="115">
        <v>45994</v>
      </c>
      <c r="H26" s="184" t="s">
        <v>7</v>
      </c>
      <c r="I26" s="177"/>
      <c r="J26" s="177"/>
      <c r="K26" s="177"/>
      <c r="L26" s="177"/>
      <c r="M26" s="177"/>
      <c r="N26" s="177"/>
      <c r="O26" s="177"/>
      <c r="P26" s="177"/>
      <c r="Q26" s="177"/>
      <c r="R26" s="178"/>
    </row>
    <row r="27" spans="1:18" ht="24" customHeight="1" x14ac:dyDescent="0.3">
      <c r="A27" s="13" t="s">
        <v>8</v>
      </c>
      <c r="B27" s="13" t="s">
        <v>9</v>
      </c>
      <c r="C27" s="116" t="s">
        <v>10</v>
      </c>
      <c r="D27" s="13" t="s">
        <v>11</v>
      </c>
      <c r="E27" s="13" t="s">
        <v>12</v>
      </c>
      <c r="F27" s="14" t="s">
        <v>13</v>
      </c>
      <c r="G27" s="15" t="s">
        <v>14</v>
      </c>
      <c r="H27" s="13" t="s">
        <v>15</v>
      </c>
      <c r="I27" s="117" t="s">
        <v>16</v>
      </c>
      <c r="J27" s="16" t="s">
        <v>17</v>
      </c>
      <c r="K27" s="17" t="s">
        <v>18</v>
      </c>
      <c r="L27" s="16" t="s">
        <v>19</v>
      </c>
      <c r="M27" s="16" t="s">
        <v>20</v>
      </c>
      <c r="N27" s="16" t="s">
        <v>21</v>
      </c>
      <c r="O27" s="13" t="s">
        <v>22</v>
      </c>
      <c r="P27" s="116" t="s">
        <v>23</v>
      </c>
      <c r="Q27" s="16" t="s">
        <v>24</v>
      </c>
      <c r="R27" s="13" t="s">
        <v>25</v>
      </c>
    </row>
    <row r="28" spans="1:18" ht="15" customHeight="1" x14ac:dyDescent="0.3">
      <c r="A28" s="18" t="s">
        <v>73</v>
      </c>
      <c r="B28" s="18" t="s">
        <v>74</v>
      </c>
      <c r="C28" s="118">
        <v>9.0277777777777776E-2</v>
      </c>
      <c r="D28" s="18" t="s">
        <v>28</v>
      </c>
      <c r="E28" s="18" t="s">
        <v>29</v>
      </c>
      <c r="F28" s="18" t="s">
        <v>75</v>
      </c>
      <c r="G28" s="183"/>
      <c r="H28" s="19"/>
      <c r="I28" s="20"/>
      <c r="J28" s="20"/>
      <c r="K28" s="20"/>
      <c r="L28" s="20"/>
      <c r="M28" s="20"/>
      <c r="N28" s="20"/>
      <c r="O28" s="21"/>
      <c r="P28" s="20"/>
      <c r="Q28" s="22"/>
      <c r="R28" s="23"/>
    </row>
    <row r="29" spans="1:18" ht="15" customHeight="1" x14ac:dyDescent="0.3">
      <c r="A29" s="25" t="s">
        <v>76</v>
      </c>
      <c r="B29" s="25" t="s">
        <v>77</v>
      </c>
      <c r="C29" s="120">
        <v>0.97222222222222221</v>
      </c>
      <c r="D29" s="25" t="s">
        <v>78</v>
      </c>
      <c r="E29" s="25" t="s">
        <v>79</v>
      </c>
      <c r="F29" s="25" t="s">
        <v>80</v>
      </c>
      <c r="G29" s="174"/>
      <c r="H29" s="19"/>
      <c r="I29" s="20"/>
      <c r="J29" s="20"/>
      <c r="K29" s="20"/>
      <c r="L29" s="20"/>
      <c r="M29" s="20"/>
      <c r="N29" s="20"/>
      <c r="O29" s="21"/>
      <c r="P29" s="20"/>
      <c r="Q29" s="22"/>
      <c r="R29" s="23"/>
    </row>
    <row r="30" spans="1:18" ht="15" customHeight="1" x14ac:dyDescent="0.3">
      <c r="A30" s="24" t="s">
        <v>76</v>
      </c>
      <c r="B30" s="24" t="s">
        <v>77</v>
      </c>
      <c r="C30" s="119">
        <v>0.97222222222222221</v>
      </c>
      <c r="D30" s="24" t="s">
        <v>81</v>
      </c>
      <c r="E30" s="24" t="s">
        <v>79</v>
      </c>
      <c r="F30" s="24" t="s">
        <v>82</v>
      </c>
      <c r="G30" s="174"/>
      <c r="H30" s="19"/>
      <c r="I30" s="20"/>
      <c r="J30" s="20"/>
      <c r="K30" s="20"/>
      <c r="L30" s="20"/>
      <c r="M30" s="20"/>
      <c r="N30" s="20"/>
      <c r="O30" s="21"/>
      <c r="P30" s="20"/>
      <c r="Q30" s="22"/>
      <c r="R30" s="23"/>
    </row>
    <row r="31" spans="1:18" ht="15" customHeight="1" x14ac:dyDescent="0.3">
      <c r="A31" s="25" t="s">
        <v>26</v>
      </c>
      <c r="B31" s="25" t="s">
        <v>27</v>
      </c>
      <c r="C31" s="120">
        <v>0.89583333333333337</v>
      </c>
      <c r="D31" s="25" t="s">
        <v>28</v>
      </c>
      <c r="E31" s="25" t="s">
        <v>34</v>
      </c>
      <c r="F31" s="25" t="s">
        <v>30</v>
      </c>
      <c r="G31" s="174"/>
      <c r="H31" s="19"/>
      <c r="I31" s="20"/>
      <c r="J31" s="20"/>
      <c r="K31" s="20"/>
      <c r="L31" s="20"/>
      <c r="M31" s="20"/>
      <c r="N31" s="20"/>
      <c r="O31" s="21"/>
      <c r="P31" s="20"/>
      <c r="Q31" s="22"/>
      <c r="R31" s="23"/>
    </row>
    <row r="32" spans="1:18" ht="15" customHeight="1" x14ac:dyDescent="0.3">
      <c r="A32" s="25" t="s">
        <v>31</v>
      </c>
      <c r="B32" s="25" t="s">
        <v>32</v>
      </c>
      <c r="C32" s="120">
        <v>0.30555555555555558</v>
      </c>
      <c r="D32" s="25" t="s">
        <v>33</v>
      </c>
      <c r="E32" s="25" t="s">
        <v>83</v>
      </c>
      <c r="F32" s="25" t="s">
        <v>84</v>
      </c>
      <c r="G32" s="174"/>
      <c r="H32" s="19"/>
      <c r="I32" s="20"/>
      <c r="J32" s="20"/>
      <c r="K32" s="20"/>
      <c r="L32" s="20"/>
      <c r="M32" s="20"/>
      <c r="N32" s="20"/>
      <c r="O32" s="21"/>
      <c r="P32" s="20"/>
      <c r="Q32" s="22"/>
      <c r="R32" s="23"/>
    </row>
    <row r="33" spans="1:18" ht="15" customHeight="1" x14ac:dyDescent="0.3">
      <c r="A33" s="24" t="s">
        <v>31</v>
      </c>
      <c r="B33" s="24" t="s">
        <v>32</v>
      </c>
      <c r="C33" s="119">
        <v>0.30555555555555558</v>
      </c>
      <c r="D33" s="24" t="s">
        <v>36</v>
      </c>
      <c r="E33" s="24" t="s">
        <v>83</v>
      </c>
      <c r="F33" s="24" t="s">
        <v>85</v>
      </c>
      <c r="G33" s="174"/>
      <c r="H33" s="19"/>
      <c r="I33" s="20"/>
      <c r="J33" s="20"/>
      <c r="K33" s="20"/>
      <c r="L33" s="20"/>
      <c r="M33" s="20"/>
      <c r="N33" s="20"/>
      <c r="O33" s="21"/>
      <c r="P33" s="20"/>
      <c r="Q33" s="22"/>
      <c r="R33" s="23"/>
    </row>
    <row r="34" spans="1:18" ht="15" customHeight="1" x14ac:dyDescent="0.3">
      <c r="A34" s="24" t="s">
        <v>31</v>
      </c>
      <c r="B34" s="24" t="s">
        <v>32</v>
      </c>
      <c r="C34" s="119">
        <v>0.30555555555555558</v>
      </c>
      <c r="D34" s="24" t="s">
        <v>38</v>
      </c>
      <c r="E34" s="24" t="s">
        <v>83</v>
      </c>
      <c r="F34" s="24" t="s">
        <v>86</v>
      </c>
      <c r="G34" s="174"/>
      <c r="H34" s="19"/>
      <c r="I34" s="20"/>
      <c r="J34" s="20"/>
      <c r="K34" s="20"/>
      <c r="L34" s="20"/>
      <c r="M34" s="20"/>
      <c r="N34" s="20"/>
      <c r="O34" s="21"/>
      <c r="P34" s="20"/>
      <c r="Q34" s="22"/>
      <c r="R34" s="23"/>
    </row>
    <row r="35" spans="1:18" ht="15" customHeight="1" x14ac:dyDescent="0.3">
      <c r="A35" s="25" t="s">
        <v>58</v>
      </c>
      <c r="B35" s="25" t="s">
        <v>59</v>
      </c>
      <c r="C35" s="120">
        <v>0.1701388888888889</v>
      </c>
      <c r="D35" s="25" t="s">
        <v>60</v>
      </c>
      <c r="E35" s="25" t="s">
        <v>61</v>
      </c>
      <c r="F35" s="25" t="s">
        <v>62</v>
      </c>
      <c r="G35" s="174"/>
      <c r="H35" s="19"/>
      <c r="I35" s="20"/>
      <c r="J35" s="20"/>
      <c r="K35" s="20"/>
      <c r="L35" s="20"/>
      <c r="M35" s="20"/>
      <c r="N35" s="20"/>
      <c r="O35" s="21"/>
      <c r="P35" s="20"/>
      <c r="Q35" s="22"/>
      <c r="R35" s="23"/>
    </row>
    <row r="36" spans="1:18" ht="15" customHeight="1" x14ac:dyDescent="0.3">
      <c r="A36" s="26" t="s">
        <v>58</v>
      </c>
      <c r="B36" s="26" t="s">
        <v>66</v>
      </c>
      <c r="C36" s="121">
        <v>0.52777777777777779</v>
      </c>
      <c r="D36" s="26" t="s">
        <v>64</v>
      </c>
      <c r="E36" s="26" t="s">
        <v>29</v>
      </c>
      <c r="F36" s="26" t="s">
        <v>87</v>
      </c>
      <c r="G36" s="174"/>
      <c r="H36" s="19"/>
      <c r="I36" s="20"/>
      <c r="J36" s="20"/>
      <c r="K36" s="20"/>
      <c r="L36" s="20"/>
      <c r="M36" s="20"/>
      <c r="N36" s="20"/>
      <c r="O36" s="21"/>
      <c r="P36" s="20"/>
      <c r="Q36" s="22"/>
      <c r="R36" s="23"/>
    </row>
    <row r="37" spans="1:18" ht="15" customHeight="1" x14ac:dyDescent="0.3">
      <c r="A37" s="26" t="s">
        <v>58</v>
      </c>
      <c r="B37" s="26" t="s">
        <v>63</v>
      </c>
      <c r="C37" s="121">
        <v>0.86458333333333337</v>
      </c>
      <c r="D37" s="26" t="s">
        <v>64</v>
      </c>
      <c r="E37" s="26" t="s">
        <v>29</v>
      </c>
      <c r="F37" s="26" t="s">
        <v>88</v>
      </c>
      <c r="G37" s="174"/>
      <c r="H37" s="19"/>
      <c r="I37" s="20"/>
      <c r="J37" s="20"/>
      <c r="K37" s="20"/>
      <c r="L37" s="20"/>
      <c r="M37" s="20"/>
      <c r="N37" s="20"/>
      <c r="O37" s="21"/>
      <c r="P37" s="20"/>
      <c r="Q37" s="22"/>
      <c r="R37" s="23"/>
    </row>
    <row r="38" spans="1:18" ht="15" customHeight="1" x14ac:dyDescent="0.3">
      <c r="A38" s="25" t="s">
        <v>40</v>
      </c>
      <c r="B38" s="25" t="s">
        <v>48</v>
      </c>
      <c r="C38" s="120">
        <v>0.83333333333333337</v>
      </c>
      <c r="D38" s="25" t="s">
        <v>42</v>
      </c>
      <c r="E38" s="25" t="s">
        <v>89</v>
      </c>
      <c r="F38" s="25" t="s">
        <v>90</v>
      </c>
      <c r="G38" s="174"/>
      <c r="H38" s="19"/>
      <c r="I38" s="20"/>
      <c r="J38" s="20"/>
      <c r="K38" s="20"/>
      <c r="L38" s="20"/>
      <c r="M38" s="20"/>
      <c r="N38" s="20"/>
      <c r="O38" s="21"/>
      <c r="P38" s="20"/>
      <c r="Q38" s="22"/>
      <c r="R38" s="23"/>
    </row>
    <row r="39" spans="1:18" ht="15" customHeight="1" x14ac:dyDescent="0.3">
      <c r="A39" s="24" t="s">
        <v>40</v>
      </c>
      <c r="B39" s="24" t="s">
        <v>48</v>
      </c>
      <c r="C39" s="119">
        <v>0.83333333333333337</v>
      </c>
      <c r="D39" s="24" t="s">
        <v>45</v>
      </c>
      <c r="E39" s="24" t="s">
        <v>89</v>
      </c>
      <c r="F39" s="24" t="s">
        <v>91</v>
      </c>
      <c r="G39" s="174"/>
      <c r="H39" s="19"/>
      <c r="I39" s="20"/>
      <c r="J39" s="20"/>
      <c r="K39" s="20"/>
      <c r="L39" s="20"/>
      <c r="M39" s="20"/>
      <c r="N39" s="20"/>
      <c r="O39" s="21"/>
      <c r="P39" s="20"/>
      <c r="Q39" s="22"/>
      <c r="R39" s="23"/>
    </row>
    <row r="40" spans="1:18" ht="15" customHeight="1" x14ac:dyDescent="0.3">
      <c r="A40" s="24" t="s">
        <v>40</v>
      </c>
      <c r="B40" s="24" t="s">
        <v>48</v>
      </c>
      <c r="C40" s="119">
        <v>0.83333333333333337</v>
      </c>
      <c r="D40" s="24" t="s">
        <v>38</v>
      </c>
      <c r="E40" s="24" t="s">
        <v>89</v>
      </c>
      <c r="F40" s="24" t="s">
        <v>92</v>
      </c>
      <c r="G40" s="174"/>
      <c r="H40" s="19"/>
      <c r="I40" s="20"/>
      <c r="J40" s="20"/>
      <c r="K40" s="20"/>
      <c r="L40" s="20"/>
      <c r="M40" s="20"/>
      <c r="N40" s="20"/>
      <c r="O40" s="21"/>
      <c r="P40" s="20"/>
      <c r="Q40" s="22"/>
      <c r="R40" s="23"/>
    </row>
    <row r="41" spans="1:18" ht="15" customHeight="1" thickBot="1" x14ac:dyDescent="0.35">
      <c r="A41" s="33" t="s">
        <v>68</v>
      </c>
      <c r="B41" s="33" t="s">
        <v>69</v>
      </c>
      <c r="C41" s="125">
        <v>0.30555555555555558</v>
      </c>
      <c r="D41" s="33" t="s">
        <v>70</v>
      </c>
      <c r="E41" s="33" t="s">
        <v>71</v>
      </c>
      <c r="F41" s="33" t="s">
        <v>93</v>
      </c>
      <c r="G41" s="175"/>
      <c r="H41" s="8"/>
      <c r="I41" s="9"/>
      <c r="J41" s="9"/>
      <c r="K41" s="9"/>
      <c r="L41" s="9"/>
      <c r="M41" s="9"/>
      <c r="N41" s="9"/>
      <c r="O41" s="10"/>
      <c r="P41" s="9"/>
      <c r="Q41" s="11"/>
      <c r="R41" s="12"/>
    </row>
    <row r="42" spans="1:18" ht="17.399999999999999" customHeight="1" thickBot="1" x14ac:dyDescent="0.35">
      <c r="A42" s="179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1"/>
    </row>
    <row r="43" spans="1:18" ht="22.05" customHeight="1" thickTop="1" thickBot="1" x14ac:dyDescent="0.35">
      <c r="A43" s="182" t="s">
        <v>6</v>
      </c>
      <c r="B43" s="177"/>
      <c r="C43" s="177"/>
      <c r="D43" s="177"/>
      <c r="E43" s="177"/>
      <c r="F43" s="178"/>
      <c r="G43" s="115">
        <v>45995</v>
      </c>
      <c r="H43" s="184" t="s">
        <v>7</v>
      </c>
      <c r="I43" s="177"/>
      <c r="J43" s="177"/>
      <c r="K43" s="177"/>
      <c r="L43" s="177"/>
      <c r="M43" s="177"/>
      <c r="N43" s="177"/>
      <c r="O43" s="177"/>
      <c r="P43" s="177"/>
      <c r="Q43" s="177"/>
      <c r="R43" s="178"/>
    </row>
    <row r="44" spans="1:18" ht="24" customHeight="1" x14ac:dyDescent="0.3">
      <c r="A44" s="13" t="s">
        <v>8</v>
      </c>
      <c r="B44" s="13" t="s">
        <v>9</v>
      </c>
      <c r="C44" s="116" t="s">
        <v>10</v>
      </c>
      <c r="D44" s="13" t="s">
        <v>11</v>
      </c>
      <c r="E44" s="13" t="s">
        <v>12</v>
      </c>
      <c r="F44" s="14" t="s">
        <v>13</v>
      </c>
      <c r="G44" s="15" t="s">
        <v>14</v>
      </c>
      <c r="H44" s="13" t="s">
        <v>15</v>
      </c>
      <c r="I44" s="117" t="s">
        <v>16</v>
      </c>
      <c r="J44" s="16" t="s">
        <v>17</v>
      </c>
      <c r="K44" s="17" t="s">
        <v>18</v>
      </c>
      <c r="L44" s="16" t="s">
        <v>19</v>
      </c>
      <c r="M44" s="16" t="s">
        <v>20</v>
      </c>
      <c r="N44" s="16" t="s">
        <v>21</v>
      </c>
      <c r="O44" s="13" t="s">
        <v>22</v>
      </c>
      <c r="P44" s="116" t="s">
        <v>23</v>
      </c>
      <c r="Q44" s="16" t="s">
        <v>24</v>
      </c>
      <c r="R44" s="13" t="s">
        <v>25</v>
      </c>
    </row>
    <row r="45" spans="1:18" ht="15" customHeight="1" x14ac:dyDescent="0.3">
      <c r="A45" s="18" t="s">
        <v>31</v>
      </c>
      <c r="B45" s="18" t="s">
        <v>32</v>
      </c>
      <c r="C45" s="118">
        <v>0.30555555555555558</v>
      </c>
      <c r="D45" s="18" t="s">
        <v>33</v>
      </c>
      <c r="E45" s="18" t="s">
        <v>34</v>
      </c>
      <c r="F45" s="18" t="s">
        <v>35</v>
      </c>
      <c r="G45" s="183"/>
      <c r="H45" s="19"/>
      <c r="I45" s="20"/>
      <c r="J45" s="20"/>
      <c r="K45" s="20"/>
      <c r="L45" s="20"/>
      <c r="M45" s="20"/>
      <c r="N45" s="20"/>
      <c r="O45" s="21"/>
      <c r="P45" s="20"/>
      <c r="Q45" s="22"/>
      <c r="R45" s="23"/>
    </row>
    <row r="46" spans="1:18" ht="15" customHeight="1" x14ac:dyDescent="0.3">
      <c r="A46" s="24" t="s">
        <v>31</v>
      </c>
      <c r="B46" s="24" t="s">
        <v>32</v>
      </c>
      <c r="C46" s="119">
        <v>0.30555555555555558</v>
      </c>
      <c r="D46" s="24" t="s">
        <v>36</v>
      </c>
      <c r="E46" s="24" t="s">
        <v>34</v>
      </c>
      <c r="F46" s="24" t="s">
        <v>37</v>
      </c>
      <c r="G46" s="174"/>
      <c r="H46" s="19"/>
      <c r="I46" s="20"/>
      <c r="J46" s="20"/>
      <c r="K46" s="20"/>
      <c r="L46" s="20"/>
      <c r="M46" s="20"/>
      <c r="N46" s="20"/>
      <c r="O46" s="21"/>
      <c r="P46" s="20"/>
      <c r="Q46" s="22"/>
      <c r="R46" s="23"/>
    </row>
    <row r="47" spans="1:18" ht="15" customHeight="1" x14ac:dyDescent="0.3">
      <c r="A47" s="24" t="s">
        <v>31</v>
      </c>
      <c r="B47" s="24" t="s">
        <v>32</v>
      </c>
      <c r="C47" s="119">
        <v>0.30555555555555558</v>
      </c>
      <c r="D47" s="24" t="s">
        <v>38</v>
      </c>
      <c r="E47" s="24" t="s">
        <v>34</v>
      </c>
      <c r="F47" s="24" t="s">
        <v>86</v>
      </c>
      <c r="G47" s="174"/>
      <c r="H47" s="19"/>
      <c r="I47" s="20"/>
      <c r="J47" s="20"/>
      <c r="K47" s="20"/>
      <c r="L47" s="20"/>
      <c r="M47" s="20"/>
      <c r="N47" s="20"/>
      <c r="O47" s="21"/>
      <c r="P47" s="20"/>
      <c r="Q47" s="22"/>
      <c r="R47" s="23"/>
    </row>
    <row r="48" spans="1:18" ht="15" customHeight="1" x14ac:dyDescent="0.3">
      <c r="A48" s="25" t="s">
        <v>40</v>
      </c>
      <c r="B48" s="25" t="s">
        <v>41</v>
      </c>
      <c r="C48" s="120">
        <v>0.19791666666666671</v>
      </c>
      <c r="D48" s="25" t="s">
        <v>42</v>
      </c>
      <c r="E48" s="25" t="s">
        <v>34</v>
      </c>
      <c r="F48" s="25" t="s">
        <v>44</v>
      </c>
      <c r="G48" s="174"/>
      <c r="H48" s="19"/>
      <c r="I48" s="20"/>
      <c r="J48" s="20"/>
      <c r="K48" s="20"/>
      <c r="L48" s="20"/>
      <c r="M48" s="20"/>
      <c r="N48" s="20"/>
      <c r="O48" s="21"/>
      <c r="P48" s="20"/>
      <c r="Q48" s="22"/>
      <c r="R48" s="23"/>
    </row>
    <row r="49" spans="1:18" ht="15" customHeight="1" x14ac:dyDescent="0.3">
      <c r="A49" s="24" t="s">
        <v>40</v>
      </c>
      <c r="B49" s="24" t="s">
        <v>41</v>
      </c>
      <c r="C49" s="119">
        <v>0.19791666666666671</v>
      </c>
      <c r="D49" s="24" t="s">
        <v>45</v>
      </c>
      <c r="E49" s="24" t="s">
        <v>34</v>
      </c>
      <c r="F49" s="24" t="s">
        <v>46</v>
      </c>
      <c r="G49" s="174"/>
      <c r="H49" s="19"/>
      <c r="I49" s="20"/>
      <c r="J49" s="20"/>
      <c r="K49" s="20"/>
      <c r="L49" s="20"/>
      <c r="M49" s="20"/>
      <c r="N49" s="20"/>
      <c r="O49" s="21"/>
      <c r="P49" s="20"/>
      <c r="Q49" s="22"/>
      <c r="R49" s="23"/>
    </row>
    <row r="50" spans="1:18" ht="15" customHeight="1" x14ac:dyDescent="0.3">
      <c r="A50" s="24" t="s">
        <v>40</v>
      </c>
      <c r="B50" s="24" t="s">
        <v>41</v>
      </c>
      <c r="C50" s="119">
        <v>0.19791666666666671</v>
      </c>
      <c r="D50" s="24" t="s">
        <v>38</v>
      </c>
      <c r="E50" s="24" t="s">
        <v>34</v>
      </c>
      <c r="F50" s="24" t="s">
        <v>47</v>
      </c>
      <c r="G50" s="174"/>
      <c r="H50" s="19"/>
      <c r="I50" s="20"/>
      <c r="J50" s="20"/>
      <c r="K50" s="20"/>
      <c r="L50" s="20"/>
      <c r="M50" s="20"/>
      <c r="N50" s="20"/>
      <c r="O50" s="21"/>
      <c r="P50" s="20"/>
      <c r="Q50" s="22"/>
      <c r="R50" s="23"/>
    </row>
    <row r="51" spans="1:18" ht="15" customHeight="1" x14ac:dyDescent="0.3">
      <c r="A51" s="26" t="s">
        <v>40</v>
      </c>
      <c r="B51" s="26" t="s">
        <v>48</v>
      </c>
      <c r="C51" s="121">
        <v>0.83333333333333337</v>
      </c>
      <c r="D51" s="26" t="s">
        <v>42</v>
      </c>
      <c r="E51" s="26" t="s">
        <v>79</v>
      </c>
      <c r="F51" s="26" t="s">
        <v>94</v>
      </c>
      <c r="G51" s="174"/>
      <c r="H51" s="19"/>
      <c r="I51" s="20"/>
      <c r="J51" s="20"/>
      <c r="K51" s="20"/>
      <c r="L51" s="20"/>
      <c r="M51" s="20"/>
      <c r="N51" s="20"/>
      <c r="O51" s="21"/>
      <c r="P51" s="20"/>
      <c r="Q51" s="22"/>
      <c r="R51" s="23"/>
    </row>
    <row r="52" spans="1:18" ht="15" customHeight="1" x14ac:dyDescent="0.3">
      <c r="A52" s="24" t="s">
        <v>40</v>
      </c>
      <c r="B52" s="24" t="s">
        <v>48</v>
      </c>
      <c r="C52" s="119">
        <v>0.83333333333333337</v>
      </c>
      <c r="D52" s="24" t="s">
        <v>45</v>
      </c>
      <c r="E52" s="24" t="s">
        <v>79</v>
      </c>
      <c r="F52" s="24" t="s">
        <v>95</v>
      </c>
      <c r="G52" s="174"/>
      <c r="H52" s="19"/>
      <c r="I52" s="20"/>
      <c r="J52" s="20"/>
      <c r="K52" s="20"/>
      <c r="L52" s="20"/>
      <c r="M52" s="20"/>
      <c r="N52" s="20"/>
      <c r="O52" s="21"/>
      <c r="P52" s="20"/>
      <c r="Q52" s="22"/>
      <c r="R52" s="23"/>
    </row>
    <row r="53" spans="1:18" ht="15" customHeight="1" x14ac:dyDescent="0.3">
      <c r="A53" s="24" t="s">
        <v>40</v>
      </c>
      <c r="B53" s="24" t="s">
        <v>48</v>
      </c>
      <c r="C53" s="119">
        <v>0.83333333333333337</v>
      </c>
      <c r="D53" s="24" t="s">
        <v>38</v>
      </c>
      <c r="E53" s="24" t="s">
        <v>79</v>
      </c>
      <c r="F53" s="24" t="s">
        <v>96</v>
      </c>
      <c r="G53" s="174"/>
      <c r="H53" s="19"/>
      <c r="I53" s="20"/>
      <c r="J53" s="20"/>
      <c r="K53" s="20"/>
      <c r="L53" s="20"/>
      <c r="M53" s="20"/>
      <c r="N53" s="20"/>
      <c r="O53" s="21"/>
      <c r="P53" s="20"/>
      <c r="Q53" s="22"/>
      <c r="R53" s="23"/>
    </row>
    <row r="54" spans="1:18" ht="15" customHeight="1" x14ac:dyDescent="0.3">
      <c r="A54" s="25" t="s">
        <v>73</v>
      </c>
      <c r="B54" s="25" t="s">
        <v>74</v>
      </c>
      <c r="C54" s="120">
        <v>0.88888888888888884</v>
      </c>
      <c r="D54" s="25" t="s">
        <v>28</v>
      </c>
      <c r="E54" s="25" t="s">
        <v>29</v>
      </c>
      <c r="F54" s="25" t="s">
        <v>75</v>
      </c>
      <c r="G54" s="174"/>
      <c r="H54" s="19"/>
      <c r="I54" s="20"/>
      <c r="J54" s="20"/>
      <c r="K54" s="20"/>
      <c r="L54" s="20"/>
      <c r="M54" s="20"/>
      <c r="N54" s="20"/>
      <c r="O54" s="21"/>
      <c r="P54" s="20"/>
      <c r="Q54" s="22"/>
      <c r="R54" s="23"/>
    </row>
    <row r="55" spans="1:18" ht="15" customHeight="1" x14ac:dyDescent="0.3">
      <c r="A55" s="25" t="s">
        <v>26</v>
      </c>
      <c r="B55" s="25" t="s">
        <v>97</v>
      </c>
      <c r="C55" s="120">
        <v>0.5625</v>
      </c>
      <c r="D55" s="25" t="s">
        <v>28</v>
      </c>
      <c r="E55" s="25" t="s">
        <v>53</v>
      </c>
      <c r="F55" s="25" t="s">
        <v>30</v>
      </c>
      <c r="G55" s="174"/>
      <c r="H55" s="19"/>
      <c r="I55" s="20"/>
      <c r="J55" s="20"/>
      <c r="K55" s="20"/>
      <c r="L55" s="20"/>
      <c r="M55" s="20"/>
      <c r="N55" s="20"/>
      <c r="O55" s="21"/>
      <c r="P55" s="20"/>
      <c r="Q55" s="22"/>
      <c r="R55" s="23"/>
    </row>
    <row r="56" spans="1:18" ht="15" customHeight="1" x14ac:dyDescent="0.3">
      <c r="A56" s="26" t="s">
        <v>26</v>
      </c>
      <c r="B56" s="26" t="s">
        <v>57</v>
      </c>
      <c r="C56" s="121">
        <v>0.95833333333333337</v>
      </c>
      <c r="D56" s="26" t="s">
        <v>28</v>
      </c>
      <c r="E56" s="26" t="s">
        <v>29</v>
      </c>
      <c r="F56" s="26" t="s">
        <v>30</v>
      </c>
      <c r="G56" s="174"/>
      <c r="H56" s="19"/>
      <c r="I56" s="20"/>
      <c r="J56" s="20"/>
      <c r="K56" s="20"/>
      <c r="L56" s="20"/>
      <c r="M56" s="20"/>
      <c r="N56" s="20"/>
      <c r="O56" s="21"/>
      <c r="P56" s="20"/>
      <c r="Q56" s="22"/>
      <c r="R56" s="23"/>
    </row>
    <row r="57" spans="1:18" ht="15" customHeight="1" x14ac:dyDescent="0.3">
      <c r="A57" s="34" t="s">
        <v>51</v>
      </c>
      <c r="B57" s="34" t="s">
        <v>52</v>
      </c>
      <c r="C57" s="126">
        <v>0.92361111111111116</v>
      </c>
      <c r="D57" s="34" t="s">
        <v>28</v>
      </c>
      <c r="E57" s="34" t="s">
        <v>71</v>
      </c>
      <c r="F57" s="34" t="s">
        <v>30</v>
      </c>
      <c r="G57" s="174"/>
      <c r="H57" s="98" t="s">
        <v>54</v>
      </c>
      <c r="I57" s="127">
        <v>0.58930000000000005</v>
      </c>
      <c r="J57" s="99">
        <v>99</v>
      </c>
      <c r="K57" s="100">
        <v>45992</v>
      </c>
      <c r="L57" s="99">
        <v>48</v>
      </c>
      <c r="M57" s="99">
        <v>7</v>
      </c>
      <c r="N57" s="99">
        <v>1</v>
      </c>
      <c r="O57" s="101" t="s">
        <v>98</v>
      </c>
      <c r="P57" s="128">
        <v>0.92361111111111116</v>
      </c>
      <c r="Q57" s="99">
        <v>168</v>
      </c>
      <c r="R57" s="102" t="s">
        <v>99</v>
      </c>
    </row>
    <row r="58" spans="1:18" ht="15" customHeight="1" x14ac:dyDescent="0.3">
      <c r="A58" s="25" t="s">
        <v>58</v>
      </c>
      <c r="B58" s="25" t="s">
        <v>59</v>
      </c>
      <c r="C58" s="120">
        <v>0.1701388888888889</v>
      </c>
      <c r="D58" s="25" t="s">
        <v>60</v>
      </c>
      <c r="E58" s="25" t="s">
        <v>29</v>
      </c>
      <c r="F58" s="25" t="s">
        <v>62</v>
      </c>
      <c r="G58" s="174"/>
      <c r="H58" s="19"/>
      <c r="I58" s="20"/>
      <c r="J58" s="20"/>
      <c r="K58" s="20"/>
      <c r="L58" s="20"/>
      <c r="M58" s="20"/>
      <c r="N58" s="20"/>
      <c r="O58" s="21"/>
      <c r="P58" s="20"/>
      <c r="Q58" s="22"/>
      <c r="R58" s="23"/>
    </row>
    <row r="59" spans="1:18" ht="15" customHeight="1" x14ac:dyDescent="0.3">
      <c r="A59" s="26" t="s">
        <v>58</v>
      </c>
      <c r="B59" s="26" t="s">
        <v>66</v>
      </c>
      <c r="C59" s="121">
        <v>0.52777777777777779</v>
      </c>
      <c r="D59" s="26" t="s">
        <v>64</v>
      </c>
      <c r="E59" s="26" t="s">
        <v>29</v>
      </c>
      <c r="F59" s="26" t="s">
        <v>100</v>
      </c>
      <c r="G59" s="174"/>
      <c r="H59" s="19"/>
      <c r="I59" s="20"/>
      <c r="J59" s="20"/>
      <c r="K59" s="20"/>
      <c r="L59" s="20"/>
      <c r="M59" s="20"/>
      <c r="N59" s="20"/>
      <c r="O59" s="21"/>
      <c r="P59" s="20"/>
      <c r="Q59" s="22"/>
      <c r="R59" s="23"/>
    </row>
    <row r="60" spans="1:18" ht="15" customHeight="1" x14ac:dyDescent="0.3">
      <c r="A60" s="26" t="s">
        <v>58</v>
      </c>
      <c r="B60" s="26" t="s">
        <v>63</v>
      </c>
      <c r="C60" s="121">
        <v>0.86458333333333337</v>
      </c>
      <c r="D60" s="26" t="s">
        <v>64</v>
      </c>
      <c r="E60" s="26" t="s">
        <v>29</v>
      </c>
      <c r="F60" s="26" t="s">
        <v>101</v>
      </c>
      <c r="G60" s="174"/>
      <c r="H60" s="19"/>
      <c r="I60" s="20"/>
      <c r="J60" s="20"/>
      <c r="K60" s="20"/>
      <c r="L60" s="20"/>
      <c r="M60" s="20"/>
      <c r="N60" s="20"/>
      <c r="O60" s="21"/>
      <c r="P60" s="20"/>
      <c r="Q60" s="22"/>
      <c r="R60" s="23"/>
    </row>
    <row r="61" spans="1:18" ht="15" customHeight="1" thickBot="1" x14ac:dyDescent="0.35">
      <c r="A61" s="33" t="s">
        <v>68</v>
      </c>
      <c r="B61" s="33" t="s">
        <v>69</v>
      </c>
      <c r="C61" s="125">
        <v>0.30555555555555558</v>
      </c>
      <c r="D61" s="33" t="s">
        <v>70</v>
      </c>
      <c r="E61" s="33" t="s">
        <v>71</v>
      </c>
      <c r="F61" s="33" t="s">
        <v>72</v>
      </c>
      <c r="G61" s="175"/>
      <c r="H61" s="8"/>
      <c r="I61" s="9"/>
      <c r="J61" s="9"/>
      <c r="K61" s="9"/>
      <c r="L61" s="9"/>
      <c r="M61" s="9"/>
      <c r="N61" s="9"/>
      <c r="O61" s="10"/>
      <c r="P61" s="9"/>
      <c r="Q61" s="11"/>
      <c r="R61" s="12"/>
    </row>
    <row r="62" spans="1:18" ht="17.399999999999999" customHeight="1" thickBot="1" x14ac:dyDescent="0.35">
      <c r="A62" s="179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1"/>
    </row>
    <row r="63" spans="1:18" ht="22.05" customHeight="1" thickTop="1" thickBot="1" x14ac:dyDescent="0.35">
      <c r="A63" s="182" t="s">
        <v>6</v>
      </c>
      <c r="B63" s="177"/>
      <c r="C63" s="177"/>
      <c r="D63" s="177"/>
      <c r="E63" s="177"/>
      <c r="F63" s="178"/>
      <c r="G63" s="115">
        <v>45996</v>
      </c>
      <c r="H63" s="184" t="s">
        <v>7</v>
      </c>
      <c r="I63" s="177"/>
      <c r="J63" s="177"/>
      <c r="K63" s="177"/>
      <c r="L63" s="177"/>
      <c r="M63" s="177"/>
      <c r="N63" s="177"/>
      <c r="O63" s="177"/>
      <c r="P63" s="177"/>
      <c r="Q63" s="177"/>
      <c r="R63" s="178"/>
    </row>
    <row r="64" spans="1:18" ht="24" customHeight="1" x14ac:dyDescent="0.3">
      <c r="A64" s="13" t="s">
        <v>8</v>
      </c>
      <c r="B64" s="13" t="s">
        <v>9</v>
      </c>
      <c r="C64" s="116" t="s">
        <v>10</v>
      </c>
      <c r="D64" s="13" t="s">
        <v>11</v>
      </c>
      <c r="E64" s="13" t="s">
        <v>12</v>
      </c>
      <c r="F64" s="14" t="s">
        <v>13</v>
      </c>
      <c r="G64" s="15" t="s">
        <v>14</v>
      </c>
      <c r="H64" s="13" t="s">
        <v>15</v>
      </c>
      <c r="I64" s="117" t="s">
        <v>16</v>
      </c>
      <c r="J64" s="16" t="s">
        <v>17</v>
      </c>
      <c r="K64" s="17" t="s">
        <v>18</v>
      </c>
      <c r="L64" s="16" t="s">
        <v>19</v>
      </c>
      <c r="M64" s="16" t="s">
        <v>20</v>
      </c>
      <c r="N64" s="16" t="s">
        <v>21</v>
      </c>
      <c r="O64" s="13" t="s">
        <v>22</v>
      </c>
      <c r="P64" s="116" t="s">
        <v>23</v>
      </c>
      <c r="Q64" s="16" t="s">
        <v>24</v>
      </c>
      <c r="R64" s="13" t="s">
        <v>25</v>
      </c>
    </row>
    <row r="65" spans="1:18" ht="15" customHeight="1" x14ac:dyDescent="0.3">
      <c r="A65" s="18" t="s">
        <v>31</v>
      </c>
      <c r="B65" s="18" t="s">
        <v>32</v>
      </c>
      <c r="C65" s="118">
        <v>0.30555555555555558</v>
      </c>
      <c r="D65" s="18" t="s">
        <v>33</v>
      </c>
      <c r="E65" s="18" t="s">
        <v>102</v>
      </c>
      <c r="F65" s="18" t="s">
        <v>103</v>
      </c>
      <c r="G65" s="183"/>
      <c r="H65" s="19"/>
      <c r="I65" s="20"/>
      <c r="J65" s="20"/>
      <c r="K65" s="20"/>
      <c r="L65" s="20"/>
      <c r="M65" s="20"/>
      <c r="N65" s="20"/>
      <c r="O65" s="21"/>
      <c r="P65" s="20"/>
      <c r="Q65" s="22"/>
      <c r="R65" s="23"/>
    </row>
    <row r="66" spans="1:18" ht="15" customHeight="1" x14ac:dyDescent="0.3">
      <c r="A66" s="24" t="s">
        <v>31</v>
      </c>
      <c r="B66" s="24" t="s">
        <v>32</v>
      </c>
      <c r="C66" s="119">
        <v>0.30555555555555558</v>
      </c>
      <c r="D66" s="24" t="s">
        <v>36</v>
      </c>
      <c r="E66" s="24" t="s">
        <v>102</v>
      </c>
      <c r="F66" s="24" t="s">
        <v>104</v>
      </c>
      <c r="G66" s="174"/>
      <c r="H66" s="19"/>
      <c r="I66" s="20"/>
      <c r="J66" s="20"/>
      <c r="K66" s="20"/>
      <c r="L66" s="20"/>
      <c r="M66" s="20"/>
      <c r="N66" s="20"/>
      <c r="O66" s="21"/>
      <c r="P66" s="20"/>
      <c r="Q66" s="22"/>
      <c r="R66" s="23"/>
    </row>
    <row r="67" spans="1:18" ht="15" customHeight="1" x14ac:dyDescent="0.3">
      <c r="A67" s="24" t="s">
        <v>31</v>
      </c>
      <c r="B67" s="24" t="s">
        <v>32</v>
      </c>
      <c r="C67" s="119">
        <v>0.30555555555555558</v>
      </c>
      <c r="D67" s="24" t="s">
        <v>38</v>
      </c>
      <c r="E67" s="24" t="s">
        <v>102</v>
      </c>
      <c r="F67" s="24" t="s">
        <v>86</v>
      </c>
      <c r="G67" s="174"/>
      <c r="H67" s="19"/>
      <c r="I67" s="20"/>
      <c r="J67" s="20"/>
      <c r="K67" s="20"/>
      <c r="L67" s="20"/>
      <c r="M67" s="20"/>
      <c r="N67" s="20"/>
      <c r="O67" s="21"/>
      <c r="P67" s="20"/>
      <c r="Q67" s="22"/>
      <c r="R67" s="23"/>
    </row>
    <row r="68" spans="1:18" ht="15" customHeight="1" x14ac:dyDescent="0.3">
      <c r="A68" s="25" t="s">
        <v>26</v>
      </c>
      <c r="B68" s="25" t="s">
        <v>27</v>
      </c>
      <c r="C68" s="120">
        <v>0.95833333333333337</v>
      </c>
      <c r="D68" s="25" t="s">
        <v>28</v>
      </c>
      <c r="E68" s="25" t="s">
        <v>61</v>
      </c>
      <c r="F68" s="25" t="s">
        <v>30</v>
      </c>
      <c r="G68" s="174"/>
      <c r="H68" s="19"/>
      <c r="I68" s="20"/>
      <c r="J68" s="20"/>
      <c r="K68" s="20"/>
      <c r="L68" s="20"/>
      <c r="M68" s="20"/>
      <c r="N68" s="20"/>
      <c r="O68" s="21"/>
      <c r="P68" s="20"/>
      <c r="Q68" s="22"/>
      <c r="R68" s="23"/>
    </row>
    <row r="69" spans="1:18" ht="15" customHeight="1" x14ac:dyDescent="0.3">
      <c r="A69" s="35" t="s">
        <v>51</v>
      </c>
      <c r="B69" s="35" t="s">
        <v>52</v>
      </c>
      <c r="C69" s="129">
        <v>0.57986111111111116</v>
      </c>
      <c r="D69" s="35" t="s">
        <v>28</v>
      </c>
      <c r="E69" s="35" t="s">
        <v>29</v>
      </c>
      <c r="F69" s="35" t="s">
        <v>30</v>
      </c>
      <c r="G69" s="174"/>
      <c r="H69" s="36" t="s">
        <v>54</v>
      </c>
      <c r="I69" s="130">
        <v>0.52980000000000005</v>
      </c>
      <c r="J69" s="37">
        <v>89</v>
      </c>
      <c r="K69" s="38">
        <v>45992</v>
      </c>
      <c r="L69" s="37">
        <v>31</v>
      </c>
      <c r="M69" s="37">
        <v>4</v>
      </c>
      <c r="N69" s="37">
        <v>1</v>
      </c>
      <c r="O69" s="39" t="s">
        <v>105</v>
      </c>
      <c r="P69" s="131">
        <v>0.57986111111111116</v>
      </c>
      <c r="Q69" s="37">
        <v>168</v>
      </c>
      <c r="R69" s="40" t="s">
        <v>106</v>
      </c>
    </row>
    <row r="70" spans="1:18" ht="15" customHeight="1" x14ac:dyDescent="0.3">
      <c r="A70" s="25" t="s">
        <v>40</v>
      </c>
      <c r="B70" s="25" t="s">
        <v>48</v>
      </c>
      <c r="C70" s="120">
        <v>0.83680555555555558</v>
      </c>
      <c r="D70" s="25" t="s">
        <v>42</v>
      </c>
      <c r="E70" s="25" t="s">
        <v>89</v>
      </c>
      <c r="F70" s="25" t="s">
        <v>107</v>
      </c>
      <c r="G70" s="174"/>
      <c r="H70" s="19"/>
      <c r="I70" s="20"/>
      <c r="J70" s="20"/>
      <c r="K70" s="20"/>
      <c r="L70" s="20"/>
      <c r="M70" s="20"/>
      <c r="N70" s="20"/>
      <c r="O70" s="21"/>
      <c r="P70" s="20"/>
      <c r="Q70" s="22"/>
      <c r="R70" s="23"/>
    </row>
    <row r="71" spans="1:18" ht="15" customHeight="1" x14ac:dyDescent="0.3">
      <c r="A71" s="24" t="s">
        <v>40</v>
      </c>
      <c r="B71" s="24" t="s">
        <v>48</v>
      </c>
      <c r="C71" s="119">
        <v>0.83680555555555558</v>
      </c>
      <c r="D71" s="24" t="s">
        <v>45</v>
      </c>
      <c r="E71" s="24" t="s">
        <v>89</v>
      </c>
      <c r="F71" s="24" t="s">
        <v>108</v>
      </c>
      <c r="G71" s="174"/>
      <c r="H71" s="19"/>
      <c r="I71" s="20"/>
      <c r="J71" s="20"/>
      <c r="K71" s="20"/>
      <c r="L71" s="20"/>
      <c r="M71" s="20"/>
      <c r="N71" s="20"/>
      <c r="O71" s="21"/>
      <c r="P71" s="20"/>
      <c r="Q71" s="22"/>
      <c r="R71" s="23"/>
    </row>
    <row r="72" spans="1:18" ht="15" customHeight="1" x14ac:dyDescent="0.3">
      <c r="A72" s="24" t="s">
        <v>40</v>
      </c>
      <c r="B72" s="24" t="s">
        <v>48</v>
      </c>
      <c r="C72" s="119">
        <v>0.83680555555555558</v>
      </c>
      <c r="D72" s="24" t="s">
        <v>38</v>
      </c>
      <c r="E72" s="24" t="s">
        <v>89</v>
      </c>
      <c r="F72" s="24" t="s">
        <v>109</v>
      </c>
      <c r="G72" s="174"/>
      <c r="H72" s="19"/>
      <c r="I72" s="20"/>
      <c r="J72" s="20"/>
      <c r="K72" s="20"/>
      <c r="L72" s="20"/>
      <c r="M72" s="20"/>
      <c r="N72" s="20"/>
      <c r="O72" s="21"/>
      <c r="P72" s="20"/>
      <c r="Q72" s="22"/>
      <c r="R72" s="23"/>
    </row>
    <row r="73" spans="1:18" ht="15" customHeight="1" x14ac:dyDescent="0.3">
      <c r="A73" s="25" t="s">
        <v>58</v>
      </c>
      <c r="B73" s="25" t="s">
        <v>63</v>
      </c>
      <c r="C73" s="120">
        <v>0.86458333333333337</v>
      </c>
      <c r="D73" s="25" t="s">
        <v>64</v>
      </c>
      <c r="E73" s="25" t="s">
        <v>29</v>
      </c>
      <c r="F73" s="25" t="s">
        <v>110</v>
      </c>
      <c r="G73" s="174"/>
      <c r="H73" s="19"/>
      <c r="I73" s="20"/>
      <c r="J73" s="20"/>
      <c r="K73" s="20"/>
      <c r="L73" s="20"/>
      <c r="M73" s="20"/>
      <c r="N73" s="20"/>
      <c r="O73" s="21"/>
      <c r="P73" s="20"/>
      <c r="Q73" s="22"/>
      <c r="R73" s="23"/>
    </row>
    <row r="74" spans="1:18" ht="15" customHeight="1" x14ac:dyDescent="0.3">
      <c r="A74" s="26" t="s">
        <v>58</v>
      </c>
      <c r="B74" s="26" t="s">
        <v>59</v>
      </c>
      <c r="C74" s="121">
        <v>0.1701388888888889</v>
      </c>
      <c r="D74" s="26" t="s">
        <v>64</v>
      </c>
      <c r="E74" s="26" t="s">
        <v>29</v>
      </c>
      <c r="F74" s="26" t="s">
        <v>111</v>
      </c>
      <c r="G74" s="174"/>
      <c r="H74" s="19"/>
      <c r="I74" s="20"/>
      <c r="J74" s="20"/>
      <c r="K74" s="20"/>
      <c r="L74" s="20"/>
      <c r="M74" s="20"/>
      <c r="N74" s="20"/>
      <c r="O74" s="21"/>
      <c r="P74" s="20"/>
      <c r="Q74" s="22"/>
      <c r="R74" s="23"/>
    </row>
    <row r="75" spans="1:18" ht="15" customHeight="1" x14ac:dyDescent="0.3">
      <c r="A75" s="26" t="s">
        <v>58</v>
      </c>
      <c r="B75" s="26" t="s">
        <v>66</v>
      </c>
      <c r="C75" s="121">
        <v>0.52777777777777779</v>
      </c>
      <c r="D75" s="26" t="s">
        <v>64</v>
      </c>
      <c r="E75" s="26" t="s">
        <v>29</v>
      </c>
      <c r="F75" s="26" t="s">
        <v>88</v>
      </c>
      <c r="G75" s="174"/>
      <c r="H75" s="19"/>
      <c r="I75" s="20"/>
      <c r="J75" s="20"/>
      <c r="K75" s="20"/>
      <c r="L75" s="20"/>
      <c r="M75" s="20"/>
      <c r="N75" s="20"/>
      <c r="O75" s="21"/>
      <c r="P75" s="20"/>
      <c r="Q75" s="22"/>
      <c r="R75" s="23"/>
    </row>
    <row r="76" spans="1:18" ht="15" customHeight="1" thickBot="1" x14ac:dyDescent="0.35">
      <c r="A76" s="33" t="s">
        <v>68</v>
      </c>
      <c r="B76" s="33" t="s">
        <v>69</v>
      </c>
      <c r="C76" s="125">
        <v>0.30555555555555558</v>
      </c>
      <c r="D76" s="33" t="s">
        <v>70</v>
      </c>
      <c r="E76" s="33" t="s">
        <v>71</v>
      </c>
      <c r="F76" s="33" t="s">
        <v>112</v>
      </c>
      <c r="G76" s="175"/>
      <c r="H76" s="8"/>
      <c r="I76" s="9"/>
      <c r="J76" s="9"/>
      <c r="K76" s="9"/>
      <c r="L76" s="9"/>
      <c r="M76" s="9"/>
      <c r="N76" s="9"/>
      <c r="O76" s="10"/>
      <c r="P76" s="9"/>
      <c r="Q76" s="11"/>
      <c r="R76" s="12"/>
    </row>
    <row r="77" spans="1:18" ht="17.399999999999999" customHeight="1" thickBot="1" x14ac:dyDescent="0.35">
      <c r="A77" s="179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1"/>
    </row>
    <row r="78" spans="1:18" ht="22.05" customHeight="1" thickTop="1" thickBot="1" x14ac:dyDescent="0.35">
      <c r="A78" s="182" t="s">
        <v>6</v>
      </c>
      <c r="B78" s="177"/>
      <c r="C78" s="177"/>
      <c r="D78" s="177"/>
      <c r="E78" s="177"/>
      <c r="F78" s="178"/>
      <c r="G78" s="115">
        <v>45997</v>
      </c>
      <c r="H78" s="184" t="s">
        <v>7</v>
      </c>
      <c r="I78" s="177"/>
      <c r="J78" s="177"/>
      <c r="K78" s="177"/>
      <c r="L78" s="177"/>
      <c r="M78" s="177"/>
      <c r="N78" s="177"/>
      <c r="O78" s="177"/>
      <c r="P78" s="177"/>
      <c r="Q78" s="177"/>
      <c r="R78" s="178"/>
    </row>
    <row r="79" spans="1:18" ht="24" customHeight="1" x14ac:dyDescent="0.3">
      <c r="A79" s="13" t="s">
        <v>8</v>
      </c>
      <c r="B79" s="13" t="s">
        <v>9</v>
      </c>
      <c r="C79" s="116" t="s">
        <v>10</v>
      </c>
      <c r="D79" s="13" t="s">
        <v>11</v>
      </c>
      <c r="E79" s="13" t="s">
        <v>12</v>
      </c>
      <c r="F79" s="14" t="s">
        <v>13</v>
      </c>
      <c r="G79" s="15" t="s">
        <v>14</v>
      </c>
      <c r="H79" s="13" t="s">
        <v>15</v>
      </c>
      <c r="I79" s="117" t="s">
        <v>16</v>
      </c>
      <c r="J79" s="16" t="s">
        <v>17</v>
      </c>
      <c r="K79" s="17" t="s">
        <v>18</v>
      </c>
      <c r="L79" s="16" t="s">
        <v>19</v>
      </c>
      <c r="M79" s="16" t="s">
        <v>20</v>
      </c>
      <c r="N79" s="16" t="s">
        <v>21</v>
      </c>
      <c r="O79" s="13" t="s">
        <v>22</v>
      </c>
      <c r="P79" s="116" t="s">
        <v>23</v>
      </c>
      <c r="Q79" s="16" t="s">
        <v>24</v>
      </c>
      <c r="R79" s="13" t="s">
        <v>25</v>
      </c>
    </row>
    <row r="80" spans="1:18" ht="15" customHeight="1" x14ac:dyDescent="0.3">
      <c r="A80" s="18" t="s">
        <v>31</v>
      </c>
      <c r="B80" s="18" t="s">
        <v>32</v>
      </c>
      <c r="C80" s="118">
        <v>0.30555555555555558</v>
      </c>
      <c r="D80" s="18" t="s">
        <v>33</v>
      </c>
      <c r="E80" s="18" t="s">
        <v>113</v>
      </c>
      <c r="F80" s="18" t="s">
        <v>114</v>
      </c>
      <c r="G80" s="183"/>
      <c r="H80" s="19"/>
      <c r="I80" s="20"/>
      <c r="J80" s="20"/>
      <c r="K80" s="20"/>
      <c r="L80" s="20"/>
      <c r="M80" s="20"/>
      <c r="N80" s="20"/>
      <c r="O80" s="21"/>
      <c r="P80" s="20"/>
      <c r="Q80" s="22"/>
      <c r="R80" s="23"/>
    </row>
    <row r="81" spans="1:18" ht="15" customHeight="1" x14ac:dyDescent="0.3">
      <c r="A81" s="24" t="s">
        <v>31</v>
      </c>
      <c r="B81" s="24" t="s">
        <v>32</v>
      </c>
      <c r="C81" s="119">
        <v>0.30555555555555558</v>
      </c>
      <c r="D81" s="24" t="s">
        <v>36</v>
      </c>
      <c r="E81" s="24" t="s">
        <v>113</v>
      </c>
      <c r="F81" s="24" t="s">
        <v>115</v>
      </c>
      <c r="G81" s="174"/>
      <c r="H81" s="19"/>
      <c r="I81" s="20"/>
      <c r="J81" s="20"/>
      <c r="K81" s="20"/>
      <c r="L81" s="20"/>
      <c r="M81" s="20"/>
      <c r="N81" s="20"/>
      <c r="O81" s="21"/>
      <c r="P81" s="20"/>
      <c r="Q81" s="22"/>
      <c r="R81" s="23"/>
    </row>
    <row r="82" spans="1:18" ht="15" customHeight="1" x14ac:dyDescent="0.3">
      <c r="A82" s="24" t="s">
        <v>31</v>
      </c>
      <c r="B82" s="24" t="s">
        <v>32</v>
      </c>
      <c r="C82" s="119">
        <v>0.30555555555555558</v>
      </c>
      <c r="D82" s="24" t="s">
        <v>38</v>
      </c>
      <c r="E82" s="24" t="s">
        <v>113</v>
      </c>
      <c r="F82" s="24" t="s">
        <v>39</v>
      </c>
      <c r="G82" s="174"/>
      <c r="H82" s="19"/>
      <c r="I82" s="20"/>
      <c r="J82" s="20"/>
      <c r="K82" s="20"/>
      <c r="L82" s="20"/>
      <c r="M82" s="20"/>
      <c r="N82" s="20"/>
      <c r="O82" s="21"/>
      <c r="P82" s="20"/>
      <c r="Q82" s="22"/>
      <c r="R82" s="23"/>
    </row>
    <row r="83" spans="1:18" ht="15" customHeight="1" x14ac:dyDescent="0.3">
      <c r="A83" s="25" t="s">
        <v>40</v>
      </c>
      <c r="B83" s="25" t="s">
        <v>41</v>
      </c>
      <c r="C83" s="120">
        <v>0.2013888888888889</v>
      </c>
      <c r="D83" s="25" t="s">
        <v>42</v>
      </c>
      <c r="E83" s="25" t="s">
        <v>79</v>
      </c>
      <c r="F83" s="25" t="s">
        <v>44</v>
      </c>
      <c r="G83" s="174"/>
      <c r="H83" s="19"/>
      <c r="I83" s="20"/>
      <c r="J83" s="20"/>
      <c r="K83" s="20"/>
      <c r="L83" s="20"/>
      <c r="M83" s="20"/>
      <c r="N83" s="20"/>
      <c r="O83" s="21"/>
      <c r="P83" s="20"/>
      <c r="Q83" s="22"/>
      <c r="R83" s="23"/>
    </row>
    <row r="84" spans="1:18" ht="15" customHeight="1" x14ac:dyDescent="0.3">
      <c r="A84" s="24" t="s">
        <v>40</v>
      </c>
      <c r="B84" s="24" t="s">
        <v>41</v>
      </c>
      <c r="C84" s="119">
        <v>0.2013888888888889</v>
      </c>
      <c r="D84" s="24" t="s">
        <v>45</v>
      </c>
      <c r="E84" s="24" t="s">
        <v>79</v>
      </c>
      <c r="F84" s="24" t="s">
        <v>46</v>
      </c>
      <c r="G84" s="174"/>
      <c r="H84" s="19"/>
      <c r="I84" s="20"/>
      <c r="J84" s="20"/>
      <c r="K84" s="20"/>
      <c r="L84" s="20"/>
      <c r="M84" s="20"/>
      <c r="N84" s="20"/>
      <c r="O84" s="21"/>
      <c r="P84" s="20"/>
      <c r="Q84" s="22"/>
      <c r="R84" s="23"/>
    </row>
    <row r="85" spans="1:18" ht="15" customHeight="1" x14ac:dyDescent="0.3">
      <c r="A85" s="24" t="s">
        <v>40</v>
      </c>
      <c r="B85" s="24" t="s">
        <v>41</v>
      </c>
      <c r="C85" s="119">
        <v>0.2013888888888889</v>
      </c>
      <c r="D85" s="24" t="s">
        <v>38</v>
      </c>
      <c r="E85" s="24" t="s">
        <v>79</v>
      </c>
      <c r="F85" s="24" t="s">
        <v>47</v>
      </c>
      <c r="G85" s="174"/>
      <c r="H85" s="19"/>
      <c r="I85" s="20"/>
      <c r="J85" s="20"/>
      <c r="K85" s="20"/>
      <c r="L85" s="20"/>
      <c r="M85" s="20"/>
      <c r="N85" s="20"/>
      <c r="O85" s="21"/>
      <c r="P85" s="20"/>
      <c r="Q85" s="22"/>
      <c r="R85" s="23"/>
    </row>
    <row r="86" spans="1:18" ht="15" customHeight="1" x14ac:dyDescent="0.3">
      <c r="A86" s="26" t="s">
        <v>40</v>
      </c>
      <c r="B86" s="26" t="s">
        <v>48</v>
      </c>
      <c r="C86" s="121">
        <v>0.83680555555555558</v>
      </c>
      <c r="D86" s="26" t="s">
        <v>42</v>
      </c>
      <c r="E86" s="26" t="s">
        <v>71</v>
      </c>
      <c r="F86" s="26" t="s">
        <v>30</v>
      </c>
      <c r="G86" s="174"/>
      <c r="H86" s="19"/>
      <c r="I86" s="20"/>
      <c r="J86" s="20"/>
      <c r="K86" s="20"/>
      <c r="L86" s="20"/>
      <c r="M86" s="20"/>
      <c r="N86" s="20"/>
      <c r="O86" s="21"/>
      <c r="P86" s="20"/>
      <c r="Q86" s="22"/>
      <c r="R86" s="23"/>
    </row>
    <row r="87" spans="1:18" ht="15" customHeight="1" x14ac:dyDescent="0.3">
      <c r="A87" s="24" t="s">
        <v>40</v>
      </c>
      <c r="B87" s="24" t="s">
        <v>48</v>
      </c>
      <c r="C87" s="119">
        <v>0.83680555555555558</v>
      </c>
      <c r="D87" s="24" t="s">
        <v>45</v>
      </c>
      <c r="E87" s="24" t="s">
        <v>71</v>
      </c>
      <c r="F87" s="24" t="s">
        <v>90</v>
      </c>
      <c r="G87" s="174"/>
      <c r="H87" s="19"/>
      <c r="I87" s="20"/>
      <c r="J87" s="20"/>
      <c r="K87" s="20"/>
      <c r="L87" s="20"/>
      <c r="M87" s="20"/>
      <c r="N87" s="20"/>
      <c r="O87" s="21"/>
      <c r="P87" s="20"/>
      <c r="Q87" s="22"/>
      <c r="R87" s="23"/>
    </row>
    <row r="88" spans="1:18" ht="15" customHeight="1" x14ac:dyDescent="0.3">
      <c r="A88" s="24" t="s">
        <v>40</v>
      </c>
      <c r="B88" s="24" t="s">
        <v>48</v>
      </c>
      <c r="C88" s="119">
        <v>0.83680555555555558</v>
      </c>
      <c r="D88" s="24" t="s">
        <v>38</v>
      </c>
      <c r="E88" s="24" t="s">
        <v>71</v>
      </c>
      <c r="F88" s="24" t="s">
        <v>116</v>
      </c>
      <c r="G88" s="174"/>
      <c r="H88" s="19"/>
      <c r="I88" s="20"/>
      <c r="J88" s="20"/>
      <c r="K88" s="20"/>
      <c r="L88" s="20"/>
      <c r="M88" s="20"/>
      <c r="N88" s="20"/>
      <c r="O88" s="21"/>
      <c r="P88" s="20"/>
      <c r="Q88" s="22"/>
      <c r="R88" s="23"/>
    </row>
    <row r="89" spans="1:18" ht="15" customHeight="1" x14ac:dyDescent="0.3">
      <c r="A89" s="25" t="s">
        <v>76</v>
      </c>
      <c r="B89" s="25" t="s">
        <v>77</v>
      </c>
      <c r="C89" s="120">
        <v>0.97222222222222221</v>
      </c>
      <c r="D89" s="25" t="s">
        <v>78</v>
      </c>
      <c r="E89" s="25" t="s">
        <v>79</v>
      </c>
      <c r="F89" s="25" t="s">
        <v>117</v>
      </c>
      <c r="G89" s="174"/>
      <c r="H89" s="19"/>
      <c r="I89" s="20"/>
      <c r="J89" s="20"/>
      <c r="K89" s="20"/>
      <c r="L89" s="20"/>
      <c r="M89" s="20"/>
      <c r="N89" s="20"/>
      <c r="O89" s="21"/>
      <c r="P89" s="20"/>
      <c r="Q89" s="22"/>
      <c r="R89" s="23"/>
    </row>
    <row r="90" spans="1:18" ht="15" customHeight="1" x14ac:dyDescent="0.3">
      <c r="A90" s="24" t="s">
        <v>76</v>
      </c>
      <c r="B90" s="24" t="s">
        <v>77</v>
      </c>
      <c r="C90" s="119">
        <v>0.97222222222222221</v>
      </c>
      <c r="D90" s="24" t="s">
        <v>81</v>
      </c>
      <c r="E90" s="24" t="s">
        <v>79</v>
      </c>
      <c r="F90" s="24" t="s">
        <v>118</v>
      </c>
      <c r="G90" s="174"/>
      <c r="H90" s="19"/>
      <c r="I90" s="20"/>
      <c r="J90" s="20"/>
      <c r="K90" s="20"/>
      <c r="L90" s="20"/>
      <c r="M90" s="20"/>
      <c r="N90" s="20"/>
      <c r="O90" s="21"/>
      <c r="P90" s="20"/>
      <c r="Q90" s="22"/>
      <c r="R90" s="23"/>
    </row>
    <row r="91" spans="1:18" ht="15" customHeight="1" x14ac:dyDescent="0.3">
      <c r="A91" s="41" t="s">
        <v>51</v>
      </c>
      <c r="B91" s="41" t="s">
        <v>52</v>
      </c>
      <c r="C91" s="132">
        <v>0.92361111111111116</v>
      </c>
      <c r="D91" s="41" t="s">
        <v>28</v>
      </c>
      <c r="E91" s="41" t="s">
        <v>29</v>
      </c>
      <c r="F91" s="41" t="s">
        <v>30</v>
      </c>
      <c r="G91" s="174"/>
      <c r="H91" s="42" t="s">
        <v>54</v>
      </c>
      <c r="I91" s="133">
        <v>0.21429999999999999</v>
      </c>
      <c r="J91" s="43">
        <v>36</v>
      </c>
      <c r="K91" s="44">
        <v>45991</v>
      </c>
      <c r="L91" s="43">
        <v>14</v>
      </c>
      <c r="M91" s="43">
        <v>0</v>
      </c>
      <c r="N91" s="43">
        <v>2</v>
      </c>
      <c r="O91" s="45" t="s">
        <v>105</v>
      </c>
      <c r="P91" s="134">
        <v>0.92361111111111116</v>
      </c>
      <c r="Q91" s="43">
        <v>168</v>
      </c>
      <c r="R91" s="46" t="s">
        <v>119</v>
      </c>
    </row>
    <row r="92" spans="1:18" ht="15" customHeight="1" x14ac:dyDescent="0.3">
      <c r="A92" s="25" t="s">
        <v>26</v>
      </c>
      <c r="B92" s="25" t="s">
        <v>57</v>
      </c>
      <c r="C92" s="120">
        <v>0.89583333333333337</v>
      </c>
      <c r="D92" s="25" t="s">
        <v>28</v>
      </c>
      <c r="E92" s="25" t="s">
        <v>29</v>
      </c>
      <c r="F92" s="25" t="s">
        <v>30</v>
      </c>
      <c r="G92" s="174"/>
      <c r="H92" s="19"/>
      <c r="I92" s="20"/>
      <c r="J92" s="20"/>
      <c r="K92" s="20"/>
      <c r="L92" s="20"/>
      <c r="M92" s="20"/>
      <c r="N92" s="20"/>
      <c r="O92" s="21"/>
      <c r="P92" s="20"/>
      <c r="Q92" s="22"/>
      <c r="R92" s="23"/>
    </row>
    <row r="93" spans="1:18" ht="15" customHeight="1" x14ac:dyDescent="0.3">
      <c r="A93" s="25" t="s">
        <v>58</v>
      </c>
      <c r="B93" s="25" t="s">
        <v>63</v>
      </c>
      <c r="C93" s="120">
        <v>0.86458333333333337</v>
      </c>
      <c r="D93" s="25" t="s">
        <v>60</v>
      </c>
      <c r="E93" s="25" t="s">
        <v>120</v>
      </c>
      <c r="F93" s="25" t="s">
        <v>62</v>
      </c>
      <c r="G93" s="174"/>
      <c r="H93" s="19"/>
      <c r="I93" s="20"/>
      <c r="J93" s="20"/>
      <c r="K93" s="20"/>
      <c r="L93" s="20"/>
      <c r="M93" s="20"/>
      <c r="N93" s="20"/>
      <c r="O93" s="21"/>
      <c r="P93" s="20"/>
      <c r="Q93" s="22"/>
      <c r="R93" s="23"/>
    </row>
    <row r="94" spans="1:18" ht="15" customHeight="1" x14ac:dyDescent="0.3">
      <c r="A94" s="26" t="s">
        <v>58</v>
      </c>
      <c r="B94" s="26" t="s">
        <v>59</v>
      </c>
      <c r="C94" s="121">
        <v>0.1701388888888889</v>
      </c>
      <c r="D94" s="26" t="s">
        <v>60</v>
      </c>
      <c r="E94" s="26" t="s">
        <v>29</v>
      </c>
      <c r="F94" s="26" t="s">
        <v>121</v>
      </c>
      <c r="G94" s="174"/>
      <c r="H94" s="19"/>
      <c r="I94" s="20"/>
      <c r="J94" s="20"/>
      <c r="K94" s="20"/>
      <c r="L94" s="20"/>
      <c r="M94" s="20"/>
      <c r="N94" s="20"/>
      <c r="O94" s="21"/>
      <c r="P94" s="20"/>
      <c r="Q94" s="22"/>
      <c r="R94" s="23"/>
    </row>
    <row r="95" spans="1:18" ht="15" customHeight="1" x14ac:dyDescent="0.3">
      <c r="A95" s="26" t="s">
        <v>58</v>
      </c>
      <c r="B95" s="26" t="s">
        <v>66</v>
      </c>
      <c r="C95" s="121">
        <v>0.52777777777777779</v>
      </c>
      <c r="D95" s="26" t="s">
        <v>64</v>
      </c>
      <c r="E95" s="26" t="s">
        <v>29</v>
      </c>
      <c r="F95" s="26" t="s">
        <v>104</v>
      </c>
      <c r="G95" s="174"/>
      <c r="H95" s="19"/>
      <c r="I95" s="20"/>
      <c r="J95" s="20"/>
      <c r="K95" s="20"/>
      <c r="L95" s="20"/>
      <c r="M95" s="20"/>
      <c r="N95" s="20"/>
      <c r="O95" s="21"/>
      <c r="P95" s="20"/>
      <c r="Q95" s="22"/>
      <c r="R95" s="23"/>
    </row>
    <row r="96" spans="1:18" ht="15" customHeight="1" thickBot="1" x14ac:dyDescent="0.35">
      <c r="A96" s="33" t="s">
        <v>68</v>
      </c>
      <c r="B96" s="33" t="s">
        <v>69</v>
      </c>
      <c r="C96" s="125">
        <v>0.30555555555555558</v>
      </c>
      <c r="D96" s="33" t="s">
        <v>70</v>
      </c>
      <c r="E96" s="33" t="s">
        <v>71</v>
      </c>
      <c r="F96" s="33" t="s">
        <v>122</v>
      </c>
      <c r="G96" s="175"/>
      <c r="H96" s="8"/>
      <c r="I96" s="9"/>
      <c r="J96" s="9"/>
      <c r="K96" s="9"/>
      <c r="L96" s="9"/>
      <c r="M96" s="9"/>
      <c r="N96" s="9"/>
      <c r="O96" s="10"/>
      <c r="P96" s="9"/>
      <c r="Q96" s="11"/>
      <c r="R96" s="12"/>
    </row>
    <row r="97" spans="1:18" ht="17.399999999999999" customHeight="1" thickBot="1" x14ac:dyDescent="0.35">
      <c r="A97" s="179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1"/>
    </row>
    <row r="98" spans="1:18" ht="22.05" customHeight="1" thickTop="1" thickBot="1" x14ac:dyDescent="0.35">
      <c r="A98" s="182" t="s">
        <v>6</v>
      </c>
      <c r="B98" s="177"/>
      <c r="C98" s="177"/>
      <c r="D98" s="177"/>
      <c r="E98" s="177"/>
      <c r="F98" s="178"/>
      <c r="G98" s="115">
        <v>45998</v>
      </c>
      <c r="H98" s="184" t="s">
        <v>7</v>
      </c>
      <c r="I98" s="177"/>
      <c r="J98" s="177"/>
      <c r="K98" s="177"/>
      <c r="L98" s="177"/>
      <c r="M98" s="177"/>
      <c r="N98" s="177"/>
      <c r="O98" s="177"/>
      <c r="P98" s="177"/>
      <c r="Q98" s="177"/>
      <c r="R98" s="178"/>
    </row>
    <row r="99" spans="1:18" ht="24" customHeight="1" x14ac:dyDescent="0.3">
      <c r="A99" s="13" t="s">
        <v>8</v>
      </c>
      <c r="B99" s="13" t="s">
        <v>9</v>
      </c>
      <c r="C99" s="116" t="s">
        <v>10</v>
      </c>
      <c r="D99" s="13" t="s">
        <v>11</v>
      </c>
      <c r="E99" s="13" t="s">
        <v>12</v>
      </c>
      <c r="F99" s="14" t="s">
        <v>13</v>
      </c>
      <c r="G99" s="15" t="s">
        <v>14</v>
      </c>
      <c r="H99" s="13" t="s">
        <v>15</v>
      </c>
      <c r="I99" s="117" t="s">
        <v>16</v>
      </c>
      <c r="J99" s="16" t="s">
        <v>17</v>
      </c>
      <c r="K99" s="17" t="s">
        <v>18</v>
      </c>
      <c r="L99" s="16" t="s">
        <v>19</v>
      </c>
      <c r="M99" s="16" t="s">
        <v>20</v>
      </c>
      <c r="N99" s="16" t="s">
        <v>21</v>
      </c>
      <c r="O99" s="13" t="s">
        <v>22</v>
      </c>
      <c r="P99" s="116" t="s">
        <v>23</v>
      </c>
      <c r="Q99" s="16" t="s">
        <v>24</v>
      </c>
      <c r="R99" s="13" t="s">
        <v>25</v>
      </c>
    </row>
    <row r="100" spans="1:18" ht="15" customHeight="1" x14ac:dyDescent="0.3">
      <c r="A100" s="18" t="s">
        <v>31</v>
      </c>
      <c r="B100" s="18" t="s">
        <v>32</v>
      </c>
      <c r="C100" s="118">
        <v>0.30555555555555558</v>
      </c>
      <c r="D100" s="18" t="s">
        <v>33</v>
      </c>
      <c r="E100" s="18" t="s">
        <v>123</v>
      </c>
      <c r="F100" s="18" t="s">
        <v>114</v>
      </c>
      <c r="G100" s="183"/>
      <c r="H100" s="19"/>
      <c r="I100" s="20"/>
      <c r="J100" s="20"/>
      <c r="K100" s="20"/>
      <c r="L100" s="20"/>
      <c r="M100" s="20"/>
      <c r="N100" s="20"/>
      <c r="O100" s="21"/>
      <c r="P100" s="20"/>
      <c r="Q100" s="22"/>
      <c r="R100" s="23"/>
    </row>
    <row r="101" spans="1:18" ht="15" customHeight="1" x14ac:dyDescent="0.3">
      <c r="A101" s="24" t="s">
        <v>31</v>
      </c>
      <c r="B101" s="24" t="s">
        <v>32</v>
      </c>
      <c r="C101" s="119">
        <v>0.30555555555555558</v>
      </c>
      <c r="D101" s="24" t="s">
        <v>36</v>
      </c>
      <c r="E101" s="24" t="s">
        <v>123</v>
      </c>
      <c r="F101" s="24" t="s">
        <v>115</v>
      </c>
      <c r="G101" s="174"/>
      <c r="H101" s="19"/>
      <c r="I101" s="20"/>
      <c r="J101" s="20"/>
      <c r="K101" s="20"/>
      <c r="L101" s="20"/>
      <c r="M101" s="20"/>
      <c r="N101" s="20"/>
      <c r="O101" s="21"/>
      <c r="P101" s="20"/>
      <c r="Q101" s="22"/>
      <c r="R101" s="23"/>
    </row>
    <row r="102" spans="1:18" ht="15" customHeight="1" x14ac:dyDescent="0.3">
      <c r="A102" s="24" t="s">
        <v>31</v>
      </c>
      <c r="B102" s="24" t="s">
        <v>32</v>
      </c>
      <c r="C102" s="119">
        <v>0.30555555555555558</v>
      </c>
      <c r="D102" s="24" t="s">
        <v>38</v>
      </c>
      <c r="E102" s="24" t="s">
        <v>123</v>
      </c>
      <c r="F102" s="24" t="s">
        <v>124</v>
      </c>
      <c r="G102" s="174"/>
      <c r="H102" s="19"/>
      <c r="I102" s="20"/>
      <c r="J102" s="20"/>
      <c r="K102" s="20"/>
      <c r="L102" s="20"/>
      <c r="M102" s="20"/>
      <c r="N102" s="20"/>
      <c r="O102" s="21"/>
      <c r="P102" s="20"/>
      <c r="Q102" s="22"/>
      <c r="R102" s="23"/>
    </row>
    <row r="103" spans="1:18" ht="15" customHeight="1" x14ac:dyDescent="0.3">
      <c r="A103" s="25" t="s">
        <v>40</v>
      </c>
      <c r="B103" s="25" t="s">
        <v>48</v>
      </c>
      <c r="C103" s="120">
        <v>0.83680555555555558</v>
      </c>
      <c r="D103" s="25" t="s">
        <v>42</v>
      </c>
      <c r="E103" s="25" t="s">
        <v>34</v>
      </c>
      <c r="F103" s="25" t="s">
        <v>44</v>
      </c>
      <c r="G103" s="174"/>
      <c r="H103" s="19"/>
      <c r="I103" s="20"/>
      <c r="J103" s="20"/>
      <c r="K103" s="20"/>
      <c r="L103" s="20"/>
      <c r="M103" s="20"/>
      <c r="N103" s="20"/>
      <c r="O103" s="21"/>
      <c r="P103" s="20"/>
      <c r="Q103" s="22"/>
      <c r="R103" s="23"/>
    </row>
    <row r="104" spans="1:18" ht="15" customHeight="1" x14ac:dyDescent="0.3">
      <c r="A104" s="24" t="s">
        <v>40</v>
      </c>
      <c r="B104" s="24" t="s">
        <v>48</v>
      </c>
      <c r="C104" s="119">
        <v>0.83680555555555558</v>
      </c>
      <c r="D104" s="24" t="s">
        <v>45</v>
      </c>
      <c r="E104" s="24" t="s">
        <v>34</v>
      </c>
      <c r="F104" s="24" t="s">
        <v>46</v>
      </c>
      <c r="G104" s="174"/>
      <c r="H104" s="19"/>
      <c r="I104" s="20"/>
      <c r="J104" s="20"/>
      <c r="K104" s="20"/>
      <c r="L104" s="20"/>
      <c r="M104" s="20"/>
      <c r="N104" s="20"/>
      <c r="O104" s="21"/>
      <c r="P104" s="20"/>
      <c r="Q104" s="22"/>
      <c r="R104" s="23"/>
    </row>
    <row r="105" spans="1:18" ht="15" customHeight="1" x14ac:dyDescent="0.3">
      <c r="A105" s="24" t="s">
        <v>40</v>
      </c>
      <c r="B105" s="24" t="s">
        <v>48</v>
      </c>
      <c r="C105" s="119">
        <v>0.83680555555555558</v>
      </c>
      <c r="D105" s="24" t="s">
        <v>38</v>
      </c>
      <c r="E105" s="24" t="s">
        <v>34</v>
      </c>
      <c r="F105" s="24" t="s">
        <v>47</v>
      </c>
      <c r="G105" s="174"/>
      <c r="H105" s="19"/>
      <c r="I105" s="20"/>
      <c r="J105" s="20"/>
      <c r="K105" s="20"/>
      <c r="L105" s="20"/>
      <c r="M105" s="20"/>
      <c r="N105" s="20"/>
      <c r="O105" s="21"/>
      <c r="P105" s="20"/>
      <c r="Q105" s="22"/>
      <c r="R105" s="23"/>
    </row>
    <row r="106" spans="1:18" ht="15" customHeight="1" x14ac:dyDescent="0.3">
      <c r="A106" s="25" t="s">
        <v>73</v>
      </c>
      <c r="B106" s="25" t="s">
        <v>125</v>
      </c>
      <c r="C106" s="120">
        <v>0.22222222222222221</v>
      </c>
      <c r="D106" s="25" t="s">
        <v>28</v>
      </c>
      <c r="E106" s="25" t="s">
        <v>29</v>
      </c>
      <c r="F106" s="25" t="s">
        <v>75</v>
      </c>
      <c r="G106" s="174"/>
      <c r="H106" s="19"/>
      <c r="I106" s="20"/>
      <c r="J106" s="20"/>
      <c r="K106" s="20"/>
      <c r="L106" s="20"/>
      <c r="M106" s="20"/>
      <c r="N106" s="20"/>
      <c r="O106" s="21"/>
      <c r="P106" s="20"/>
      <c r="Q106" s="22"/>
      <c r="R106" s="23"/>
    </row>
    <row r="107" spans="1:18" ht="15" customHeight="1" x14ac:dyDescent="0.3">
      <c r="A107" s="25" t="s">
        <v>26</v>
      </c>
      <c r="B107" s="25" t="s">
        <v>97</v>
      </c>
      <c r="C107" s="120">
        <v>0.95833333333333337</v>
      </c>
      <c r="D107" s="25" t="s">
        <v>28</v>
      </c>
      <c r="E107" s="25" t="s">
        <v>29</v>
      </c>
      <c r="F107" s="25" t="s">
        <v>30</v>
      </c>
      <c r="G107" s="174"/>
      <c r="H107" s="19"/>
      <c r="I107" s="20"/>
      <c r="J107" s="20"/>
      <c r="K107" s="20"/>
      <c r="L107" s="20"/>
      <c r="M107" s="20"/>
      <c r="N107" s="20"/>
      <c r="O107" s="21"/>
      <c r="P107" s="20"/>
      <c r="Q107" s="22"/>
      <c r="R107" s="23"/>
    </row>
    <row r="108" spans="1:18" ht="15" customHeight="1" x14ac:dyDescent="0.3">
      <c r="A108" s="25" t="s">
        <v>58</v>
      </c>
      <c r="B108" s="25" t="s">
        <v>63</v>
      </c>
      <c r="C108" s="120">
        <v>0.86458333333333337</v>
      </c>
      <c r="D108" s="25" t="s">
        <v>60</v>
      </c>
      <c r="E108" s="25" t="s">
        <v>29</v>
      </c>
      <c r="F108" s="25" t="s">
        <v>62</v>
      </c>
      <c r="G108" s="174"/>
      <c r="H108" s="19"/>
      <c r="I108" s="20"/>
      <c r="J108" s="20"/>
      <c r="K108" s="20"/>
      <c r="L108" s="20"/>
      <c r="M108" s="20"/>
      <c r="N108" s="20"/>
      <c r="O108" s="21"/>
      <c r="P108" s="20"/>
      <c r="Q108" s="22"/>
      <c r="R108" s="23"/>
    </row>
    <row r="109" spans="1:18" ht="15" customHeight="1" x14ac:dyDescent="0.3">
      <c r="A109" s="26" t="s">
        <v>58</v>
      </c>
      <c r="B109" s="26" t="s">
        <v>66</v>
      </c>
      <c r="C109" s="121">
        <v>0.51388888888888884</v>
      </c>
      <c r="D109" s="26" t="s">
        <v>60</v>
      </c>
      <c r="E109" s="26" t="s">
        <v>43</v>
      </c>
      <c r="F109" s="26" t="s">
        <v>62</v>
      </c>
      <c r="G109" s="174"/>
      <c r="H109" s="19"/>
      <c r="I109" s="20"/>
      <c r="J109" s="20"/>
      <c r="K109" s="20"/>
      <c r="L109" s="20"/>
      <c r="M109" s="20"/>
      <c r="N109" s="20"/>
      <c r="O109" s="21"/>
      <c r="P109" s="20"/>
      <c r="Q109" s="22"/>
      <c r="R109" s="23"/>
    </row>
    <row r="110" spans="1:18" ht="15" customHeight="1" x14ac:dyDescent="0.3">
      <c r="A110" s="26" t="s">
        <v>58</v>
      </c>
      <c r="B110" s="26" t="s">
        <v>59</v>
      </c>
      <c r="C110" s="121">
        <v>0.1701388888888889</v>
      </c>
      <c r="D110" s="26" t="s">
        <v>60</v>
      </c>
      <c r="E110" s="26" t="s">
        <v>29</v>
      </c>
      <c r="F110" s="26" t="s">
        <v>62</v>
      </c>
      <c r="G110" s="174"/>
      <c r="H110" s="19"/>
      <c r="I110" s="20"/>
      <c r="J110" s="20"/>
      <c r="K110" s="20"/>
      <c r="L110" s="20"/>
      <c r="M110" s="20"/>
      <c r="N110" s="20"/>
      <c r="O110" s="21"/>
      <c r="P110" s="20"/>
      <c r="Q110" s="22"/>
      <c r="R110" s="23"/>
    </row>
    <row r="111" spans="1:18" ht="15" customHeight="1" thickBot="1" x14ac:dyDescent="0.35">
      <c r="A111" s="33" t="s">
        <v>68</v>
      </c>
      <c r="B111" s="33" t="s">
        <v>69</v>
      </c>
      <c r="C111" s="125">
        <v>0.30555555555555558</v>
      </c>
      <c r="D111" s="33" t="s">
        <v>70</v>
      </c>
      <c r="E111" s="33" t="s">
        <v>71</v>
      </c>
      <c r="F111" s="33" t="s">
        <v>122</v>
      </c>
      <c r="G111" s="175"/>
      <c r="H111" s="8"/>
      <c r="I111" s="9"/>
      <c r="J111" s="9"/>
      <c r="K111" s="9"/>
      <c r="L111" s="9"/>
      <c r="M111" s="9"/>
      <c r="N111" s="9"/>
      <c r="O111" s="10"/>
      <c r="P111" s="9"/>
      <c r="Q111" s="11"/>
      <c r="R111" s="12"/>
    </row>
    <row r="112" spans="1:18" ht="17.399999999999999" customHeight="1" thickBot="1" x14ac:dyDescent="0.35">
      <c r="A112" s="179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1"/>
    </row>
    <row r="113" spans="1:18" ht="22.05" customHeight="1" thickTop="1" thickBot="1" x14ac:dyDescent="0.35">
      <c r="A113" s="182" t="s">
        <v>6</v>
      </c>
      <c r="B113" s="177"/>
      <c r="C113" s="177"/>
      <c r="D113" s="177"/>
      <c r="E113" s="177"/>
      <c r="F113" s="178"/>
      <c r="G113" s="115">
        <v>45999</v>
      </c>
      <c r="H113" s="184" t="s">
        <v>7</v>
      </c>
      <c r="I113" s="177"/>
      <c r="J113" s="177"/>
      <c r="K113" s="177"/>
      <c r="L113" s="177"/>
      <c r="M113" s="177"/>
      <c r="N113" s="177"/>
      <c r="O113" s="177"/>
      <c r="P113" s="177"/>
      <c r="Q113" s="177"/>
      <c r="R113" s="178"/>
    </row>
    <row r="114" spans="1:18" ht="24" customHeight="1" x14ac:dyDescent="0.3">
      <c r="A114" s="13" t="s">
        <v>8</v>
      </c>
      <c r="B114" s="13" t="s">
        <v>9</v>
      </c>
      <c r="C114" s="116" t="s">
        <v>10</v>
      </c>
      <c r="D114" s="13" t="s">
        <v>11</v>
      </c>
      <c r="E114" s="13" t="s">
        <v>12</v>
      </c>
      <c r="F114" s="14" t="s">
        <v>13</v>
      </c>
      <c r="G114" s="15" t="s">
        <v>14</v>
      </c>
      <c r="H114" s="13" t="s">
        <v>15</v>
      </c>
      <c r="I114" s="117" t="s">
        <v>16</v>
      </c>
      <c r="J114" s="16" t="s">
        <v>17</v>
      </c>
      <c r="K114" s="17" t="s">
        <v>18</v>
      </c>
      <c r="L114" s="16" t="s">
        <v>19</v>
      </c>
      <c r="M114" s="16" t="s">
        <v>20</v>
      </c>
      <c r="N114" s="16" t="s">
        <v>21</v>
      </c>
      <c r="O114" s="13" t="s">
        <v>22</v>
      </c>
      <c r="P114" s="116" t="s">
        <v>23</v>
      </c>
      <c r="Q114" s="16" t="s">
        <v>24</v>
      </c>
      <c r="R114" s="13" t="s">
        <v>25</v>
      </c>
    </row>
    <row r="115" spans="1:18" ht="15" customHeight="1" x14ac:dyDescent="0.3">
      <c r="A115" s="18" t="s">
        <v>31</v>
      </c>
      <c r="B115" s="18" t="s">
        <v>32</v>
      </c>
      <c r="C115" s="118">
        <v>0.30555555555555558</v>
      </c>
      <c r="D115" s="18" t="s">
        <v>33</v>
      </c>
      <c r="E115" s="18" t="s">
        <v>126</v>
      </c>
      <c r="F115" s="18" t="s">
        <v>114</v>
      </c>
      <c r="G115" s="183"/>
      <c r="H115" s="19"/>
      <c r="I115" s="20"/>
      <c r="J115" s="20"/>
      <c r="K115" s="20"/>
      <c r="L115" s="20"/>
      <c r="M115" s="20"/>
      <c r="N115" s="20"/>
      <c r="O115" s="21"/>
      <c r="P115" s="20"/>
      <c r="Q115" s="22"/>
      <c r="R115" s="23"/>
    </row>
    <row r="116" spans="1:18" ht="15" customHeight="1" x14ac:dyDescent="0.3">
      <c r="A116" s="24" t="s">
        <v>31</v>
      </c>
      <c r="B116" s="24" t="s">
        <v>32</v>
      </c>
      <c r="C116" s="119">
        <v>0.30555555555555558</v>
      </c>
      <c r="D116" s="24" t="s">
        <v>36</v>
      </c>
      <c r="E116" s="24" t="s">
        <v>126</v>
      </c>
      <c r="F116" s="24" t="s">
        <v>115</v>
      </c>
      <c r="G116" s="174"/>
      <c r="H116" s="19"/>
      <c r="I116" s="20"/>
      <c r="J116" s="20"/>
      <c r="K116" s="20"/>
      <c r="L116" s="20"/>
      <c r="M116" s="20"/>
      <c r="N116" s="20"/>
      <c r="O116" s="21"/>
      <c r="P116" s="20"/>
      <c r="Q116" s="22"/>
      <c r="R116" s="23"/>
    </row>
    <row r="117" spans="1:18" ht="15" customHeight="1" x14ac:dyDescent="0.3">
      <c r="A117" s="24" t="s">
        <v>31</v>
      </c>
      <c r="B117" s="24" t="s">
        <v>32</v>
      </c>
      <c r="C117" s="119">
        <v>0.30555555555555558</v>
      </c>
      <c r="D117" s="24" t="s">
        <v>38</v>
      </c>
      <c r="E117" s="24" t="s">
        <v>126</v>
      </c>
      <c r="F117" s="24" t="s">
        <v>86</v>
      </c>
      <c r="G117" s="174"/>
      <c r="H117" s="19"/>
      <c r="I117" s="20"/>
      <c r="J117" s="20"/>
      <c r="K117" s="20"/>
      <c r="L117" s="20"/>
      <c r="M117" s="20"/>
      <c r="N117" s="20"/>
      <c r="O117" s="21"/>
      <c r="P117" s="20"/>
      <c r="Q117" s="22"/>
      <c r="R117" s="23"/>
    </row>
    <row r="118" spans="1:18" ht="15" customHeight="1" x14ac:dyDescent="0.3">
      <c r="A118" s="25" t="s">
        <v>40</v>
      </c>
      <c r="B118" s="25" t="s">
        <v>41</v>
      </c>
      <c r="C118" s="120">
        <v>0.2013888888888889</v>
      </c>
      <c r="D118" s="25" t="s">
        <v>42</v>
      </c>
      <c r="E118" s="25" t="s">
        <v>79</v>
      </c>
      <c r="F118" s="25" t="s">
        <v>44</v>
      </c>
      <c r="G118" s="174"/>
      <c r="H118" s="19"/>
      <c r="I118" s="20"/>
      <c r="J118" s="20"/>
      <c r="K118" s="20"/>
      <c r="L118" s="20"/>
      <c r="M118" s="20"/>
      <c r="N118" s="20"/>
      <c r="O118" s="21"/>
      <c r="P118" s="20"/>
      <c r="Q118" s="22"/>
      <c r="R118" s="23"/>
    </row>
    <row r="119" spans="1:18" ht="15" customHeight="1" x14ac:dyDescent="0.3">
      <c r="A119" s="24" t="s">
        <v>40</v>
      </c>
      <c r="B119" s="24" t="s">
        <v>41</v>
      </c>
      <c r="C119" s="119">
        <v>0.2013888888888889</v>
      </c>
      <c r="D119" s="24" t="s">
        <v>45</v>
      </c>
      <c r="E119" s="24" t="s">
        <v>79</v>
      </c>
      <c r="F119" s="24" t="s">
        <v>46</v>
      </c>
      <c r="G119" s="174"/>
      <c r="H119" s="19"/>
      <c r="I119" s="20"/>
      <c r="J119" s="20"/>
      <c r="K119" s="20"/>
      <c r="L119" s="20"/>
      <c r="M119" s="20"/>
      <c r="N119" s="20"/>
      <c r="O119" s="21"/>
      <c r="P119" s="20"/>
      <c r="Q119" s="22"/>
      <c r="R119" s="23"/>
    </row>
    <row r="120" spans="1:18" ht="15" customHeight="1" x14ac:dyDescent="0.3">
      <c r="A120" s="24" t="s">
        <v>40</v>
      </c>
      <c r="B120" s="24" t="s">
        <v>41</v>
      </c>
      <c r="C120" s="119">
        <v>0.2013888888888889</v>
      </c>
      <c r="D120" s="24" t="s">
        <v>38</v>
      </c>
      <c r="E120" s="24" t="s">
        <v>79</v>
      </c>
      <c r="F120" s="24" t="s">
        <v>47</v>
      </c>
      <c r="G120" s="174"/>
      <c r="H120" s="19"/>
      <c r="I120" s="20"/>
      <c r="J120" s="20"/>
      <c r="K120" s="20"/>
      <c r="L120" s="20"/>
      <c r="M120" s="20"/>
      <c r="N120" s="20"/>
      <c r="O120" s="21"/>
      <c r="P120" s="20"/>
      <c r="Q120" s="22"/>
      <c r="R120" s="23"/>
    </row>
    <row r="121" spans="1:18" ht="15" customHeight="1" x14ac:dyDescent="0.3">
      <c r="A121" s="26" t="s">
        <v>40</v>
      </c>
      <c r="B121" s="26" t="s">
        <v>48</v>
      </c>
      <c r="C121" s="121">
        <v>0.83680555555555558</v>
      </c>
      <c r="D121" s="26" t="s">
        <v>42</v>
      </c>
      <c r="E121" s="26" t="s">
        <v>61</v>
      </c>
      <c r="F121" s="26" t="s">
        <v>30</v>
      </c>
      <c r="G121" s="174"/>
      <c r="H121" s="19"/>
      <c r="I121" s="20"/>
      <c r="J121" s="20"/>
      <c r="K121" s="20"/>
      <c r="L121" s="20"/>
      <c r="M121" s="20"/>
      <c r="N121" s="20"/>
      <c r="O121" s="21"/>
      <c r="P121" s="20"/>
      <c r="Q121" s="22"/>
      <c r="R121" s="23"/>
    </row>
    <row r="122" spans="1:18" ht="15" customHeight="1" x14ac:dyDescent="0.3">
      <c r="A122" s="24" t="s">
        <v>40</v>
      </c>
      <c r="B122" s="24" t="s">
        <v>48</v>
      </c>
      <c r="C122" s="119">
        <v>0.83680555555555558</v>
      </c>
      <c r="D122" s="24" t="s">
        <v>45</v>
      </c>
      <c r="E122" s="24" t="s">
        <v>61</v>
      </c>
      <c r="F122" s="24" t="s">
        <v>90</v>
      </c>
      <c r="G122" s="174"/>
      <c r="H122" s="19"/>
      <c r="I122" s="20"/>
      <c r="J122" s="20"/>
      <c r="K122" s="20"/>
      <c r="L122" s="20"/>
      <c r="M122" s="20"/>
      <c r="N122" s="20"/>
      <c r="O122" s="21"/>
      <c r="P122" s="20"/>
      <c r="Q122" s="22"/>
      <c r="R122" s="23"/>
    </row>
    <row r="123" spans="1:18" ht="15" customHeight="1" x14ac:dyDescent="0.3">
      <c r="A123" s="24" t="s">
        <v>40</v>
      </c>
      <c r="B123" s="24" t="s">
        <v>48</v>
      </c>
      <c r="C123" s="119">
        <v>0.83680555555555558</v>
      </c>
      <c r="D123" s="24" t="s">
        <v>38</v>
      </c>
      <c r="E123" s="24" t="s">
        <v>61</v>
      </c>
      <c r="F123" s="24" t="s">
        <v>116</v>
      </c>
      <c r="G123" s="174"/>
      <c r="H123" s="19"/>
      <c r="I123" s="20"/>
      <c r="J123" s="20"/>
      <c r="K123" s="20"/>
      <c r="L123" s="20"/>
      <c r="M123" s="20"/>
      <c r="N123" s="20"/>
      <c r="O123" s="21"/>
      <c r="P123" s="20"/>
      <c r="Q123" s="22"/>
      <c r="R123" s="23"/>
    </row>
    <row r="124" spans="1:18" ht="15" customHeight="1" x14ac:dyDescent="0.3">
      <c r="A124" s="25" t="s">
        <v>26</v>
      </c>
      <c r="B124" s="25" t="s">
        <v>27</v>
      </c>
      <c r="C124" s="120">
        <v>0.95833333333333337</v>
      </c>
      <c r="D124" s="25" t="s">
        <v>28</v>
      </c>
      <c r="E124" s="25" t="s">
        <v>29</v>
      </c>
      <c r="F124" s="25" t="s">
        <v>30</v>
      </c>
      <c r="G124" s="174"/>
      <c r="H124" s="19"/>
      <c r="I124" s="20"/>
      <c r="J124" s="20"/>
      <c r="K124" s="20"/>
      <c r="L124" s="20"/>
      <c r="M124" s="20"/>
      <c r="N124" s="20"/>
      <c r="O124" s="21"/>
      <c r="P124" s="20"/>
      <c r="Q124" s="22"/>
      <c r="R124" s="23"/>
    </row>
    <row r="125" spans="1:18" ht="15" customHeight="1" x14ac:dyDescent="0.3">
      <c r="A125" s="25" t="s">
        <v>58</v>
      </c>
      <c r="B125" s="25" t="s">
        <v>63</v>
      </c>
      <c r="C125" s="120">
        <v>0.86458333333333337</v>
      </c>
      <c r="D125" s="25" t="s">
        <v>60</v>
      </c>
      <c r="E125" s="25" t="s">
        <v>34</v>
      </c>
      <c r="F125" s="25" t="s">
        <v>62</v>
      </c>
      <c r="G125" s="174"/>
      <c r="H125" s="19"/>
      <c r="I125" s="20"/>
      <c r="J125" s="20"/>
      <c r="K125" s="20"/>
      <c r="L125" s="20"/>
      <c r="M125" s="20"/>
      <c r="N125" s="20"/>
      <c r="O125" s="21"/>
      <c r="P125" s="20"/>
      <c r="Q125" s="22"/>
      <c r="R125" s="23"/>
    </row>
    <row r="126" spans="1:18" ht="15" customHeight="1" x14ac:dyDescent="0.3">
      <c r="A126" s="26" t="s">
        <v>58</v>
      </c>
      <c r="B126" s="26" t="s">
        <v>59</v>
      </c>
      <c r="C126" s="121">
        <v>0.1701388888888889</v>
      </c>
      <c r="D126" s="26" t="s">
        <v>60</v>
      </c>
      <c r="E126" s="26" t="s">
        <v>29</v>
      </c>
      <c r="F126" s="26" t="s">
        <v>62</v>
      </c>
      <c r="G126" s="174"/>
      <c r="H126" s="19"/>
      <c r="I126" s="20"/>
      <c r="J126" s="20"/>
      <c r="K126" s="20"/>
      <c r="L126" s="20"/>
      <c r="M126" s="20"/>
      <c r="N126" s="20"/>
      <c r="O126" s="21"/>
      <c r="P126" s="20"/>
      <c r="Q126" s="22"/>
      <c r="R126" s="23"/>
    </row>
    <row r="127" spans="1:18" ht="15" customHeight="1" x14ac:dyDescent="0.3">
      <c r="A127" s="26" t="s">
        <v>58</v>
      </c>
      <c r="B127" s="26" t="s">
        <v>66</v>
      </c>
      <c r="C127" s="121">
        <v>0.52777777777777779</v>
      </c>
      <c r="D127" s="26" t="s">
        <v>127</v>
      </c>
      <c r="E127" s="26" t="s">
        <v>29</v>
      </c>
      <c r="F127" s="26" t="s">
        <v>128</v>
      </c>
      <c r="G127" s="174"/>
      <c r="H127" s="19"/>
      <c r="I127" s="20"/>
      <c r="J127" s="20"/>
      <c r="K127" s="20"/>
      <c r="L127" s="20"/>
      <c r="M127" s="20"/>
      <c r="N127" s="20"/>
      <c r="O127" s="21"/>
      <c r="P127" s="20"/>
      <c r="Q127" s="22"/>
      <c r="R127" s="23"/>
    </row>
    <row r="128" spans="1:18" ht="15" customHeight="1" thickBot="1" x14ac:dyDescent="0.35">
      <c r="A128" s="33" t="s">
        <v>68</v>
      </c>
      <c r="B128" s="33" t="s">
        <v>69</v>
      </c>
      <c r="C128" s="125">
        <v>0.30555555555555558</v>
      </c>
      <c r="D128" s="33" t="s">
        <v>70</v>
      </c>
      <c r="E128" s="33" t="s">
        <v>71</v>
      </c>
      <c r="F128" s="33" t="s">
        <v>122</v>
      </c>
      <c r="G128" s="175"/>
      <c r="H128" s="8"/>
      <c r="I128" s="9"/>
      <c r="J128" s="9"/>
      <c r="K128" s="9"/>
      <c r="L128" s="9"/>
      <c r="M128" s="9"/>
      <c r="N128" s="9"/>
      <c r="O128" s="10"/>
      <c r="P128" s="9"/>
      <c r="Q128" s="11"/>
      <c r="R128" s="12"/>
    </row>
    <row r="129" spans="1:18" ht="17.399999999999999" customHeight="1" thickBot="1" x14ac:dyDescent="0.35">
      <c r="A129" s="179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1"/>
    </row>
    <row r="130" spans="1:18" ht="22.05" customHeight="1" thickTop="1" thickBot="1" x14ac:dyDescent="0.35">
      <c r="A130" s="182" t="s">
        <v>6</v>
      </c>
      <c r="B130" s="177"/>
      <c r="C130" s="177"/>
      <c r="D130" s="177"/>
      <c r="E130" s="177"/>
      <c r="F130" s="178"/>
      <c r="G130" s="115">
        <v>46000</v>
      </c>
      <c r="H130" s="184" t="s">
        <v>7</v>
      </c>
      <c r="I130" s="177"/>
      <c r="J130" s="177"/>
      <c r="K130" s="177"/>
      <c r="L130" s="177"/>
      <c r="M130" s="177"/>
      <c r="N130" s="177"/>
      <c r="O130" s="177"/>
      <c r="P130" s="177"/>
      <c r="Q130" s="177"/>
      <c r="R130" s="178"/>
    </row>
    <row r="131" spans="1:18" ht="24" customHeight="1" x14ac:dyDescent="0.3">
      <c r="A131" s="13" t="s">
        <v>8</v>
      </c>
      <c r="B131" s="13" t="s">
        <v>9</v>
      </c>
      <c r="C131" s="116" t="s">
        <v>10</v>
      </c>
      <c r="D131" s="13" t="s">
        <v>11</v>
      </c>
      <c r="E131" s="13" t="s">
        <v>12</v>
      </c>
      <c r="F131" s="14" t="s">
        <v>13</v>
      </c>
      <c r="G131" s="15" t="s">
        <v>14</v>
      </c>
      <c r="H131" s="13" t="s">
        <v>15</v>
      </c>
      <c r="I131" s="117" t="s">
        <v>16</v>
      </c>
      <c r="J131" s="16" t="s">
        <v>17</v>
      </c>
      <c r="K131" s="17" t="s">
        <v>18</v>
      </c>
      <c r="L131" s="16" t="s">
        <v>19</v>
      </c>
      <c r="M131" s="16" t="s">
        <v>20</v>
      </c>
      <c r="N131" s="16" t="s">
        <v>21</v>
      </c>
      <c r="O131" s="13" t="s">
        <v>22</v>
      </c>
      <c r="P131" s="116" t="s">
        <v>23</v>
      </c>
      <c r="Q131" s="16" t="s">
        <v>24</v>
      </c>
      <c r="R131" s="13" t="s">
        <v>25</v>
      </c>
    </row>
    <row r="132" spans="1:18" ht="15" customHeight="1" x14ac:dyDescent="0.3">
      <c r="A132" s="18" t="s">
        <v>31</v>
      </c>
      <c r="B132" s="18" t="s">
        <v>32</v>
      </c>
      <c r="C132" s="118">
        <v>0.30555555555555558</v>
      </c>
      <c r="D132" s="18" t="s">
        <v>33</v>
      </c>
      <c r="E132" s="18" t="s">
        <v>102</v>
      </c>
      <c r="F132" s="18" t="s">
        <v>114</v>
      </c>
      <c r="G132" s="183"/>
      <c r="H132" s="19"/>
      <c r="I132" s="20"/>
      <c r="J132" s="20"/>
      <c r="K132" s="20"/>
      <c r="L132" s="20"/>
      <c r="M132" s="20"/>
      <c r="N132" s="20"/>
      <c r="O132" s="21"/>
      <c r="P132" s="20"/>
      <c r="Q132" s="22"/>
      <c r="R132" s="23"/>
    </row>
    <row r="133" spans="1:18" ht="15" customHeight="1" x14ac:dyDescent="0.3">
      <c r="A133" s="24" t="s">
        <v>31</v>
      </c>
      <c r="B133" s="24" t="s">
        <v>32</v>
      </c>
      <c r="C133" s="119">
        <v>0.30555555555555558</v>
      </c>
      <c r="D133" s="24" t="s">
        <v>36</v>
      </c>
      <c r="E133" s="24" t="s">
        <v>102</v>
      </c>
      <c r="F133" s="24" t="s">
        <v>115</v>
      </c>
      <c r="G133" s="174"/>
      <c r="H133" s="19"/>
      <c r="I133" s="20"/>
      <c r="J133" s="20"/>
      <c r="K133" s="20"/>
      <c r="L133" s="20"/>
      <c r="M133" s="20"/>
      <c r="N133" s="20"/>
      <c r="O133" s="21"/>
      <c r="P133" s="20"/>
      <c r="Q133" s="22"/>
      <c r="R133" s="23"/>
    </row>
    <row r="134" spans="1:18" ht="15" customHeight="1" x14ac:dyDescent="0.3">
      <c r="A134" s="24" t="s">
        <v>31</v>
      </c>
      <c r="B134" s="24" t="s">
        <v>32</v>
      </c>
      <c r="C134" s="119">
        <v>0.30555555555555558</v>
      </c>
      <c r="D134" s="24" t="s">
        <v>38</v>
      </c>
      <c r="E134" s="24" t="s">
        <v>102</v>
      </c>
      <c r="F134" s="24" t="s">
        <v>86</v>
      </c>
      <c r="G134" s="174"/>
      <c r="H134" s="19"/>
      <c r="I134" s="20"/>
      <c r="J134" s="20"/>
      <c r="K134" s="20"/>
      <c r="L134" s="20"/>
      <c r="M134" s="20"/>
      <c r="N134" s="20"/>
      <c r="O134" s="21"/>
      <c r="P134" s="20"/>
      <c r="Q134" s="22"/>
      <c r="R134" s="23"/>
    </row>
    <row r="135" spans="1:18" ht="15" customHeight="1" x14ac:dyDescent="0.3">
      <c r="A135" s="25" t="s">
        <v>40</v>
      </c>
      <c r="B135" s="25" t="s">
        <v>48</v>
      </c>
      <c r="C135" s="120">
        <v>0.83680555555555558</v>
      </c>
      <c r="D135" s="25" t="s">
        <v>42</v>
      </c>
      <c r="E135" s="25" t="s">
        <v>53</v>
      </c>
      <c r="F135" s="25" t="s">
        <v>44</v>
      </c>
      <c r="G135" s="174"/>
      <c r="H135" s="19"/>
      <c r="I135" s="20"/>
      <c r="J135" s="20"/>
      <c r="K135" s="20"/>
      <c r="L135" s="20"/>
      <c r="M135" s="20"/>
      <c r="N135" s="20"/>
      <c r="O135" s="21"/>
      <c r="P135" s="20"/>
      <c r="Q135" s="22"/>
      <c r="R135" s="23"/>
    </row>
    <row r="136" spans="1:18" ht="15" customHeight="1" x14ac:dyDescent="0.3">
      <c r="A136" s="24" t="s">
        <v>40</v>
      </c>
      <c r="B136" s="24" t="s">
        <v>48</v>
      </c>
      <c r="C136" s="119">
        <v>0.83680555555555558</v>
      </c>
      <c r="D136" s="24" t="s">
        <v>45</v>
      </c>
      <c r="E136" s="24" t="s">
        <v>53</v>
      </c>
      <c r="F136" s="24" t="s">
        <v>46</v>
      </c>
      <c r="G136" s="174"/>
      <c r="H136" s="19"/>
      <c r="I136" s="20"/>
      <c r="J136" s="20"/>
      <c r="K136" s="20"/>
      <c r="L136" s="20"/>
      <c r="M136" s="20"/>
      <c r="N136" s="20"/>
      <c r="O136" s="21"/>
      <c r="P136" s="20"/>
      <c r="Q136" s="22"/>
      <c r="R136" s="23"/>
    </row>
    <row r="137" spans="1:18" ht="15" customHeight="1" x14ac:dyDescent="0.3">
      <c r="A137" s="24" t="s">
        <v>40</v>
      </c>
      <c r="B137" s="24" t="s">
        <v>48</v>
      </c>
      <c r="C137" s="119">
        <v>0.83680555555555558</v>
      </c>
      <c r="D137" s="24" t="s">
        <v>38</v>
      </c>
      <c r="E137" s="24" t="s">
        <v>53</v>
      </c>
      <c r="F137" s="24" t="s">
        <v>47</v>
      </c>
      <c r="G137" s="174"/>
      <c r="H137" s="19"/>
      <c r="I137" s="20"/>
      <c r="J137" s="20"/>
      <c r="K137" s="20"/>
      <c r="L137" s="20"/>
      <c r="M137" s="20"/>
      <c r="N137" s="20"/>
      <c r="O137" s="21"/>
      <c r="P137" s="20"/>
      <c r="Q137" s="22"/>
      <c r="R137" s="23"/>
    </row>
    <row r="138" spans="1:18" ht="15" customHeight="1" x14ac:dyDescent="0.3">
      <c r="A138" s="26" t="s">
        <v>40</v>
      </c>
      <c r="B138" s="26" t="s">
        <v>41</v>
      </c>
      <c r="C138" s="121">
        <v>0.2013888888888889</v>
      </c>
      <c r="D138" s="26" t="s">
        <v>42</v>
      </c>
      <c r="E138" s="26" t="s">
        <v>79</v>
      </c>
      <c r="F138" s="26" t="s">
        <v>44</v>
      </c>
      <c r="G138" s="174"/>
      <c r="H138" s="19"/>
      <c r="I138" s="20"/>
      <c r="J138" s="20"/>
      <c r="K138" s="20"/>
      <c r="L138" s="20"/>
      <c r="M138" s="20"/>
      <c r="N138" s="20"/>
      <c r="O138" s="21"/>
      <c r="P138" s="20"/>
      <c r="Q138" s="22"/>
      <c r="R138" s="23"/>
    </row>
    <row r="139" spans="1:18" ht="15" customHeight="1" x14ac:dyDescent="0.3">
      <c r="A139" s="24" t="s">
        <v>40</v>
      </c>
      <c r="B139" s="24" t="s">
        <v>41</v>
      </c>
      <c r="C139" s="119">
        <v>0.2013888888888889</v>
      </c>
      <c r="D139" s="24" t="s">
        <v>45</v>
      </c>
      <c r="E139" s="24" t="s">
        <v>79</v>
      </c>
      <c r="F139" s="24" t="s">
        <v>46</v>
      </c>
      <c r="G139" s="174"/>
      <c r="H139" s="19"/>
      <c r="I139" s="20"/>
      <c r="J139" s="20"/>
      <c r="K139" s="20"/>
      <c r="L139" s="20"/>
      <c r="M139" s="20"/>
      <c r="N139" s="20"/>
      <c r="O139" s="21"/>
      <c r="P139" s="20"/>
      <c r="Q139" s="22"/>
      <c r="R139" s="23"/>
    </row>
    <row r="140" spans="1:18" ht="15" customHeight="1" x14ac:dyDescent="0.3">
      <c r="A140" s="24" t="s">
        <v>40</v>
      </c>
      <c r="B140" s="24" t="s">
        <v>41</v>
      </c>
      <c r="C140" s="119">
        <v>0.2013888888888889</v>
      </c>
      <c r="D140" s="24" t="s">
        <v>38</v>
      </c>
      <c r="E140" s="24" t="s">
        <v>79</v>
      </c>
      <c r="F140" s="24" t="s">
        <v>47</v>
      </c>
      <c r="G140" s="174"/>
      <c r="H140" s="19"/>
      <c r="I140" s="20"/>
      <c r="J140" s="20"/>
      <c r="K140" s="20"/>
      <c r="L140" s="20"/>
      <c r="M140" s="20"/>
      <c r="N140" s="20"/>
      <c r="O140" s="21"/>
      <c r="P140" s="20"/>
      <c r="Q140" s="22"/>
      <c r="R140" s="23"/>
    </row>
    <row r="141" spans="1:18" ht="15" customHeight="1" x14ac:dyDescent="0.3">
      <c r="A141" s="41" t="s">
        <v>51</v>
      </c>
      <c r="B141" s="41" t="s">
        <v>52</v>
      </c>
      <c r="C141" s="132">
        <v>0.27083333333333331</v>
      </c>
      <c r="D141" s="41" t="s">
        <v>28</v>
      </c>
      <c r="E141" s="41" t="s">
        <v>29</v>
      </c>
      <c r="F141" s="41" t="s">
        <v>30</v>
      </c>
      <c r="G141" s="174"/>
      <c r="H141" s="42" t="s">
        <v>54</v>
      </c>
      <c r="I141" s="133">
        <v>0.28570000000000001</v>
      </c>
      <c r="J141" s="43">
        <v>48</v>
      </c>
      <c r="K141" s="44">
        <v>45990</v>
      </c>
      <c r="L141" s="43">
        <v>13</v>
      </c>
      <c r="M141" s="43">
        <v>0</v>
      </c>
      <c r="N141" s="43">
        <v>0</v>
      </c>
      <c r="O141" s="45" t="s">
        <v>105</v>
      </c>
      <c r="P141" s="134">
        <v>0.27083333333333331</v>
      </c>
      <c r="Q141" s="43">
        <v>168</v>
      </c>
      <c r="R141" s="46" t="s">
        <v>129</v>
      </c>
    </row>
    <row r="142" spans="1:18" ht="15" customHeight="1" x14ac:dyDescent="0.3">
      <c r="A142" s="25" t="s">
        <v>26</v>
      </c>
      <c r="B142" s="25" t="s">
        <v>57</v>
      </c>
      <c r="C142" s="120">
        <v>0.95833333333333337</v>
      </c>
      <c r="D142" s="25" t="s">
        <v>28</v>
      </c>
      <c r="E142" s="25" t="s">
        <v>29</v>
      </c>
      <c r="F142" s="25" t="s">
        <v>30</v>
      </c>
      <c r="G142" s="174"/>
      <c r="H142" s="19"/>
      <c r="I142" s="20"/>
      <c r="J142" s="20"/>
      <c r="K142" s="20"/>
      <c r="L142" s="20"/>
      <c r="M142" s="20"/>
      <c r="N142" s="20"/>
      <c r="O142" s="21"/>
      <c r="P142" s="20"/>
      <c r="Q142" s="22"/>
      <c r="R142" s="23"/>
    </row>
    <row r="143" spans="1:18" ht="15" customHeight="1" x14ac:dyDescent="0.3">
      <c r="A143" s="25" t="s">
        <v>58</v>
      </c>
      <c r="B143" s="25" t="s">
        <v>63</v>
      </c>
      <c r="C143" s="120">
        <v>0.86458333333333337</v>
      </c>
      <c r="D143" s="25" t="s">
        <v>60</v>
      </c>
      <c r="E143" s="25" t="s">
        <v>43</v>
      </c>
      <c r="F143" s="25" t="s">
        <v>62</v>
      </c>
      <c r="G143" s="174"/>
      <c r="H143" s="19"/>
      <c r="I143" s="20"/>
      <c r="J143" s="20"/>
      <c r="K143" s="20"/>
      <c r="L143" s="20"/>
      <c r="M143" s="20"/>
      <c r="N143" s="20"/>
      <c r="O143" s="21"/>
      <c r="P143" s="20"/>
      <c r="Q143" s="22"/>
      <c r="R143" s="23"/>
    </row>
    <row r="144" spans="1:18" ht="15" customHeight="1" x14ac:dyDescent="0.3">
      <c r="A144" s="26" t="s">
        <v>58</v>
      </c>
      <c r="B144" s="26" t="s">
        <v>59</v>
      </c>
      <c r="C144" s="121">
        <v>0.1701388888888889</v>
      </c>
      <c r="D144" s="26" t="s">
        <v>60</v>
      </c>
      <c r="E144" s="26" t="s">
        <v>120</v>
      </c>
      <c r="F144" s="26" t="s">
        <v>62</v>
      </c>
      <c r="G144" s="174"/>
      <c r="H144" s="19"/>
      <c r="I144" s="20"/>
      <c r="J144" s="20"/>
      <c r="K144" s="20"/>
      <c r="L144" s="20"/>
      <c r="M144" s="20"/>
      <c r="N144" s="20"/>
      <c r="O144" s="21"/>
      <c r="P144" s="20"/>
      <c r="Q144" s="22"/>
      <c r="R144" s="23"/>
    </row>
    <row r="145" spans="1:18" ht="15" customHeight="1" x14ac:dyDescent="0.3">
      <c r="A145" s="26" t="s">
        <v>58</v>
      </c>
      <c r="B145" s="26" t="s">
        <v>66</v>
      </c>
      <c r="C145" s="121">
        <v>0.52777777777777779</v>
      </c>
      <c r="D145" s="26" t="s">
        <v>64</v>
      </c>
      <c r="E145" s="26" t="s">
        <v>29</v>
      </c>
      <c r="F145" s="26" t="s">
        <v>104</v>
      </c>
      <c r="G145" s="174"/>
      <c r="H145" s="19"/>
      <c r="I145" s="20"/>
      <c r="J145" s="20"/>
      <c r="K145" s="20"/>
      <c r="L145" s="20"/>
      <c r="M145" s="20"/>
      <c r="N145" s="20"/>
      <c r="O145" s="21"/>
      <c r="P145" s="20"/>
      <c r="Q145" s="22"/>
      <c r="R145" s="23"/>
    </row>
    <row r="146" spans="1:18" ht="15" customHeight="1" thickBot="1" x14ac:dyDescent="0.35">
      <c r="A146" s="33" t="s">
        <v>68</v>
      </c>
      <c r="B146" s="33" t="s">
        <v>69</v>
      </c>
      <c r="C146" s="125">
        <v>0.30555555555555558</v>
      </c>
      <c r="D146" s="33" t="s">
        <v>70</v>
      </c>
      <c r="E146" s="33" t="s">
        <v>71</v>
      </c>
      <c r="F146" s="33" t="s">
        <v>122</v>
      </c>
      <c r="G146" s="175"/>
      <c r="H146" s="8"/>
      <c r="I146" s="9"/>
      <c r="J146" s="9"/>
      <c r="K146" s="9"/>
      <c r="L146" s="9"/>
      <c r="M146" s="9"/>
      <c r="N146" s="9"/>
      <c r="O146" s="10"/>
      <c r="P146" s="9"/>
      <c r="Q146" s="11"/>
      <c r="R146" s="12"/>
    </row>
    <row r="147" spans="1:18" ht="17.399999999999999" customHeight="1" thickBot="1" x14ac:dyDescent="0.35">
      <c r="A147" s="179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1"/>
    </row>
    <row r="148" spans="1:18" ht="22.05" customHeight="1" thickTop="1" thickBot="1" x14ac:dyDescent="0.35">
      <c r="A148" s="182" t="s">
        <v>6</v>
      </c>
      <c r="B148" s="177"/>
      <c r="C148" s="177"/>
      <c r="D148" s="177"/>
      <c r="E148" s="177"/>
      <c r="F148" s="178"/>
      <c r="G148" s="115">
        <v>46001</v>
      </c>
      <c r="H148" s="184" t="s">
        <v>7</v>
      </c>
      <c r="I148" s="177"/>
      <c r="J148" s="177"/>
      <c r="K148" s="177"/>
      <c r="L148" s="177"/>
      <c r="M148" s="177"/>
      <c r="N148" s="177"/>
      <c r="O148" s="177"/>
      <c r="P148" s="177"/>
      <c r="Q148" s="177"/>
      <c r="R148" s="178"/>
    </row>
    <row r="149" spans="1:18" ht="24" customHeight="1" x14ac:dyDescent="0.3">
      <c r="A149" s="13" t="s">
        <v>8</v>
      </c>
      <c r="B149" s="13" t="s">
        <v>9</v>
      </c>
      <c r="C149" s="116" t="s">
        <v>10</v>
      </c>
      <c r="D149" s="13" t="s">
        <v>11</v>
      </c>
      <c r="E149" s="13" t="s">
        <v>12</v>
      </c>
      <c r="F149" s="14" t="s">
        <v>13</v>
      </c>
      <c r="G149" s="15" t="s">
        <v>14</v>
      </c>
      <c r="H149" s="13" t="s">
        <v>15</v>
      </c>
      <c r="I149" s="117" t="s">
        <v>16</v>
      </c>
      <c r="J149" s="16" t="s">
        <v>17</v>
      </c>
      <c r="K149" s="17" t="s">
        <v>18</v>
      </c>
      <c r="L149" s="16" t="s">
        <v>19</v>
      </c>
      <c r="M149" s="16" t="s">
        <v>20</v>
      </c>
      <c r="N149" s="16" t="s">
        <v>21</v>
      </c>
      <c r="O149" s="13" t="s">
        <v>22</v>
      </c>
      <c r="P149" s="116" t="s">
        <v>23</v>
      </c>
      <c r="Q149" s="16" t="s">
        <v>24</v>
      </c>
      <c r="R149" s="13" t="s">
        <v>25</v>
      </c>
    </row>
    <row r="150" spans="1:18" ht="49.95" customHeight="1" x14ac:dyDescent="0.3">
      <c r="A150" s="18" t="s">
        <v>40</v>
      </c>
      <c r="B150" s="18" t="s">
        <v>48</v>
      </c>
      <c r="C150" s="118">
        <v>0.83680555555555558</v>
      </c>
      <c r="D150" s="18" t="s">
        <v>42</v>
      </c>
      <c r="E150" s="18" t="s">
        <v>79</v>
      </c>
      <c r="F150" s="18" t="s">
        <v>50</v>
      </c>
      <c r="G150" s="183"/>
      <c r="H150" s="19"/>
      <c r="I150" s="20"/>
      <c r="J150" s="20"/>
      <c r="K150" s="20"/>
      <c r="L150" s="20"/>
      <c r="M150" s="20"/>
      <c r="N150" s="20"/>
      <c r="O150" s="21"/>
      <c r="P150" s="20"/>
      <c r="Q150" s="22"/>
      <c r="R150" s="23"/>
    </row>
    <row r="151" spans="1:18" ht="49.95" customHeight="1" x14ac:dyDescent="0.3">
      <c r="A151" s="24" t="s">
        <v>40</v>
      </c>
      <c r="B151" s="24" t="s">
        <v>48</v>
      </c>
      <c r="C151" s="119">
        <v>0.83680555555555558</v>
      </c>
      <c r="D151" s="24" t="s">
        <v>45</v>
      </c>
      <c r="E151" s="24" t="s">
        <v>79</v>
      </c>
      <c r="F151" s="24" t="s">
        <v>130</v>
      </c>
      <c r="G151" s="174"/>
      <c r="H151" s="19"/>
      <c r="I151" s="20"/>
      <c r="J151" s="20"/>
      <c r="K151" s="20"/>
      <c r="L151" s="20"/>
      <c r="M151" s="20"/>
      <c r="N151" s="20"/>
      <c r="O151" s="21"/>
      <c r="P151" s="20"/>
      <c r="Q151" s="22"/>
      <c r="R151" s="23"/>
    </row>
    <row r="152" spans="1:18" ht="49.95" customHeight="1" thickBot="1" x14ac:dyDescent="0.35">
      <c r="A152" s="47" t="s">
        <v>40</v>
      </c>
      <c r="B152" s="47" t="s">
        <v>48</v>
      </c>
      <c r="C152" s="135">
        <v>0.83680555555555558</v>
      </c>
      <c r="D152" s="47" t="s">
        <v>38</v>
      </c>
      <c r="E152" s="47" t="s">
        <v>79</v>
      </c>
      <c r="F152" s="47" t="s">
        <v>131</v>
      </c>
      <c r="G152" s="175"/>
      <c r="H152" s="8"/>
      <c r="I152" s="9"/>
      <c r="J152" s="9"/>
      <c r="K152" s="9"/>
      <c r="L152" s="9"/>
      <c r="M152" s="9"/>
      <c r="N152" s="9"/>
      <c r="O152" s="10"/>
      <c r="P152" s="9"/>
      <c r="Q152" s="11"/>
      <c r="R152" s="12"/>
    </row>
    <row r="153" spans="1:18" ht="17.399999999999999" customHeight="1" thickBot="1" x14ac:dyDescent="0.35">
      <c r="A153" s="179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1"/>
    </row>
    <row r="154" spans="1:18" ht="22.05" customHeight="1" thickTop="1" thickBot="1" x14ac:dyDescent="0.35">
      <c r="A154" s="182" t="s">
        <v>6</v>
      </c>
      <c r="B154" s="177"/>
      <c r="C154" s="177"/>
      <c r="D154" s="177"/>
      <c r="E154" s="177"/>
      <c r="F154" s="178"/>
      <c r="G154" s="115">
        <v>46002</v>
      </c>
      <c r="H154" s="184" t="s">
        <v>7</v>
      </c>
      <c r="I154" s="177"/>
      <c r="J154" s="177"/>
      <c r="K154" s="177"/>
      <c r="L154" s="177"/>
      <c r="M154" s="177"/>
      <c r="N154" s="177"/>
      <c r="O154" s="177"/>
      <c r="P154" s="177"/>
      <c r="Q154" s="177"/>
      <c r="R154" s="178"/>
    </row>
    <row r="155" spans="1:18" ht="24" customHeight="1" x14ac:dyDescent="0.3">
      <c r="A155" s="13" t="s">
        <v>8</v>
      </c>
      <c r="B155" s="13" t="s">
        <v>9</v>
      </c>
      <c r="C155" s="116" t="s">
        <v>10</v>
      </c>
      <c r="D155" s="13" t="s">
        <v>11</v>
      </c>
      <c r="E155" s="13" t="s">
        <v>12</v>
      </c>
      <c r="F155" s="14" t="s">
        <v>13</v>
      </c>
      <c r="G155" s="15" t="s">
        <v>14</v>
      </c>
      <c r="H155" s="13" t="s">
        <v>15</v>
      </c>
      <c r="I155" s="117" t="s">
        <v>16</v>
      </c>
      <c r="J155" s="16" t="s">
        <v>17</v>
      </c>
      <c r="K155" s="17" t="s">
        <v>18</v>
      </c>
      <c r="L155" s="16" t="s">
        <v>19</v>
      </c>
      <c r="M155" s="16" t="s">
        <v>20</v>
      </c>
      <c r="N155" s="16" t="s">
        <v>21</v>
      </c>
      <c r="O155" s="13" t="s">
        <v>22</v>
      </c>
      <c r="P155" s="116" t="s">
        <v>23</v>
      </c>
      <c r="Q155" s="16" t="s">
        <v>24</v>
      </c>
      <c r="R155" s="13" t="s">
        <v>25</v>
      </c>
    </row>
    <row r="156" spans="1:18" ht="15" customHeight="1" x14ac:dyDescent="0.3">
      <c r="A156" s="18" t="s">
        <v>31</v>
      </c>
      <c r="B156" s="18" t="s">
        <v>32</v>
      </c>
      <c r="C156" s="118">
        <v>0.30555555555555558</v>
      </c>
      <c r="D156" s="18" t="s">
        <v>33</v>
      </c>
      <c r="E156" s="18" t="s">
        <v>132</v>
      </c>
      <c r="F156" s="18" t="s">
        <v>103</v>
      </c>
      <c r="G156" s="173"/>
      <c r="H156" s="19"/>
      <c r="I156" s="20"/>
      <c r="J156" s="20"/>
      <c r="K156" s="20"/>
      <c r="L156" s="20"/>
      <c r="M156" s="20"/>
      <c r="N156" s="20"/>
      <c r="O156" s="21"/>
      <c r="P156" s="20"/>
      <c r="Q156" s="22"/>
      <c r="R156" s="23"/>
    </row>
    <row r="157" spans="1:18" ht="15" customHeight="1" x14ac:dyDescent="0.3">
      <c r="A157" s="24" t="s">
        <v>31</v>
      </c>
      <c r="B157" s="24" t="s">
        <v>32</v>
      </c>
      <c r="C157" s="119">
        <v>0.30555555555555558</v>
      </c>
      <c r="D157" s="24" t="s">
        <v>36</v>
      </c>
      <c r="E157" s="24" t="s">
        <v>132</v>
      </c>
      <c r="F157" s="24" t="s">
        <v>104</v>
      </c>
      <c r="G157" s="174"/>
      <c r="H157" s="19"/>
      <c r="I157" s="20"/>
      <c r="J157" s="20"/>
      <c r="K157" s="20"/>
      <c r="L157" s="20"/>
      <c r="M157" s="20"/>
      <c r="N157" s="20"/>
      <c r="O157" s="21"/>
      <c r="P157" s="20"/>
      <c r="Q157" s="22"/>
      <c r="R157" s="23"/>
    </row>
    <row r="158" spans="1:18" ht="15" customHeight="1" x14ac:dyDescent="0.3">
      <c r="A158" s="24" t="s">
        <v>31</v>
      </c>
      <c r="B158" s="24" t="s">
        <v>32</v>
      </c>
      <c r="C158" s="119">
        <v>0.30555555555555558</v>
      </c>
      <c r="D158" s="24" t="s">
        <v>38</v>
      </c>
      <c r="E158" s="24" t="s">
        <v>132</v>
      </c>
      <c r="F158" s="24" t="s">
        <v>86</v>
      </c>
      <c r="G158" s="174"/>
      <c r="H158" s="19"/>
      <c r="I158" s="20"/>
      <c r="J158" s="20"/>
      <c r="K158" s="20"/>
      <c r="L158" s="20"/>
      <c r="M158" s="20"/>
      <c r="N158" s="20"/>
      <c r="O158" s="21"/>
      <c r="P158" s="20"/>
      <c r="Q158" s="22"/>
      <c r="R158" s="23"/>
    </row>
    <row r="159" spans="1:18" ht="15" customHeight="1" x14ac:dyDescent="0.3">
      <c r="A159" s="25" t="s">
        <v>73</v>
      </c>
      <c r="B159" s="25" t="s">
        <v>74</v>
      </c>
      <c r="C159" s="120">
        <v>0.88888888888888884</v>
      </c>
      <c r="D159" s="25" t="s">
        <v>28</v>
      </c>
      <c r="E159" s="25" t="s">
        <v>71</v>
      </c>
      <c r="F159" s="25" t="s">
        <v>75</v>
      </c>
      <c r="G159" s="174"/>
      <c r="H159" s="19"/>
      <c r="I159" s="20"/>
      <c r="J159" s="20"/>
      <c r="K159" s="20"/>
      <c r="L159" s="20"/>
      <c r="M159" s="20"/>
      <c r="N159" s="20"/>
      <c r="O159" s="21"/>
      <c r="P159" s="20"/>
      <c r="Q159" s="22"/>
      <c r="R159" s="23"/>
    </row>
    <row r="160" spans="1:18" ht="15" customHeight="1" x14ac:dyDescent="0.3">
      <c r="A160" s="35" t="s">
        <v>51</v>
      </c>
      <c r="B160" s="35" t="s">
        <v>52</v>
      </c>
      <c r="C160" s="129">
        <v>0.92361111111111116</v>
      </c>
      <c r="D160" s="35" t="s">
        <v>28</v>
      </c>
      <c r="E160" s="35" t="s">
        <v>29</v>
      </c>
      <c r="F160" s="35" t="s">
        <v>30</v>
      </c>
      <c r="G160" s="174"/>
      <c r="H160" s="36" t="s">
        <v>54</v>
      </c>
      <c r="I160" s="130">
        <v>0.26190000000000002</v>
      </c>
      <c r="J160" s="37">
        <v>44</v>
      </c>
      <c r="K160" s="38">
        <v>45992</v>
      </c>
      <c r="L160" s="37">
        <v>20</v>
      </c>
      <c r="M160" s="37">
        <v>3</v>
      </c>
      <c r="N160" s="37">
        <v>0</v>
      </c>
      <c r="O160" s="39" t="s">
        <v>105</v>
      </c>
      <c r="P160" s="131">
        <v>0.92361111111111116</v>
      </c>
      <c r="Q160" s="37">
        <v>168</v>
      </c>
      <c r="R160" s="40" t="s">
        <v>133</v>
      </c>
    </row>
    <row r="161" spans="1:18" ht="15" customHeight="1" x14ac:dyDescent="0.3">
      <c r="A161" s="25" t="s">
        <v>40</v>
      </c>
      <c r="B161" s="25" t="s">
        <v>41</v>
      </c>
      <c r="C161" s="120">
        <v>0.2013888888888889</v>
      </c>
      <c r="D161" s="25" t="s">
        <v>42</v>
      </c>
      <c r="E161" s="25" t="s">
        <v>61</v>
      </c>
      <c r="F161" s="25" t="s">
        <v>84</v>
      </c>
      <c r="G161" s="174"/>
      <c r="H161" s="19"/>
      <c r="I161" s="20"/>
      <c r="J161" s="20"/>
      <c r="K161" s="20"/>
      <c r="L161" s="20"/>
      <c r="M161" s="20"/>
      <c r="N161" s="20"/>
      <c r="O161" s="21"/>
      <c r="P161" s="20"/>
      <c r="Q161" s="22"/>
      <c r="R161" s="23"/>
    </row>
    <row r="162" spans="1:18" ht="15" customHeight="1" x14ac:dyDescent="0.3">
      <c r="A162" s="24" t="s">
        <v>40</v>
      </c>
      <c r="B162" s="24" t="s">
        <v>41</v>
      </c>
      <c r="C162" s="119">
        <v>0.2013888888888889</v>
      </c>
      <c r="D162" s="24" t="s">
        <v>45</v>
      </c>
      <c r="E162" s="24" t="s">
        <v>61</v>
      </c>
      <c r="F162" s="24" t="s">
        <v>134</v>
      </c>
      <c r="G162" s="174"/>
      <c r="H162" s="19"/>
      <c r="I162" s="20"/>
      <c r="J162" s="20"/>
      <c r="K162" s="20"/>
      <c r="L162" s="20"/>
      <c r="M162" s="20"/>
      <c r="N162" s="20"/>
      <c r="O162" s="21"/>
      <c r="P162" s="20"/>
      <c r="Q162" s="22"/>
      <c r="R162" s="23"/>
    </row>
    <row r="163" spans="1:18" ht="15" customHeight="1" x14ac:dyDescent="0.3">
      <c r="A163" s="24" t="s">
        <v>40</v>
      </c>
      <c r="B163" s="24" t="s">
        <v>41</v>
      </c>
      <c r="C163" s="119">
        <v>0.2013888888888889</v>
      </c>
      <c r="D163" s="24" t="s">
        <v>38</v>
      </c>
      <c r="E163" s="24" t="s">
        <v>61</v>
      </c>
      <c r="F163" s="24" t="s">
        <v>135</v>
      </c>
      <c r="G163" s="174"/>
      <c r="H163" s="19"/>
      <c r="I163" s="20"/>
      <c r="J163" s="20"/>
      <c r="K163" s="20"/>
      <c r="L163" s="20"/>
      <c r="M163" s="20"/>
      <c r="N163" s="20"/>
      <c r="O163" s="21"/>
      <c r="P163" s="20"/>
      <c r="Q163" s="22"/>
      <c r="R163" s="23"/>
    </row>
    <row r="164" spans="1:18" ht="15" customHeight="1" x14ac:dyDescent="0.3">
      <c r="A164" s="26" t="s">
        <v>40</v>
      </c>
      <c r="B164" s="26" t="s">
        <v>48</v>
      </c>
      <c r="C164" s="121">
        <v>0.83680555555555558</v>
      </c>
      <c r="D164" s="26" t="s">
        <v>42</v>
      </c>
      <c r="E164" s="26" t="s">
        <v>136</v>
      </c>
      <c r="F164" s="26" t="s">
        <v>137</v>
      </c>
      <c r="G164" s="174"/>
      <c r="H164" s="19"/>
      <c r="I164" s="20"/>
      <c r="J164" s="20"/>
      <c r="K164" s="20"/>
      <c r="L164" s="20"/>
      <c r="M164" s="20"/>
      <c r="N164" s="20"/>
      <c r="O164" s="21"/>
      <c r="P164" s="20"/>
      <c r="Q164" s="22"/>
      <c r="R164" s="23"/>
    </row>
    <row r="165" spans="1:18" ht="15" customHeight="1" x14ac:dyDescent="0.3">
      <c r="A165" s="24" t="s">
        <v>40</v>
      </c>
      <c r="B165" s="24" t="s">
        <v>48</v>
      </c>
      <c r="C165" s="119">
        <v>0.83680555555555558</v>
      </c>
      <c r="D165" s="24" t="s">
        <v>45</v>
      </c>
      <c r="E165" s="24" t="s">
        <v>136</v>
      </c>
      <c r="F165" s="24" t="s">
        <v>138</v>
      </c>
      <c r="G165" s="174"/>
      <c r="H165" s="19"/>
      <c r="I165" s="20"/>
      <c r="J165" s="20"/>
      <c r="K165" s="20"/>
      <c r="L165" s="20"/>
      <c r="M165" s="20"/>
      <c r="N165" s="20"/>
      <c r="O165" s="21"/>
      <c r="P165" s="20"/>
      <c r="Q165" s="22"/>
      <c r="R165" s="23"/>
    </row>
    <row r="166" spans="1:18" ht="15" customHeight="1" x14ac:dyDescent="0.3">
      <c r="A166" s="24" t="s">
        <v>40</v>
      </c>
      <c r="B166" s="24" t="s">
        <v>48</v>
      </c>
      <c r="C166" s="119">
        <v>0.83680555555555558</v>
      </c>
      <c r="D166" s="24" t="s">
        <v>38</v>
      </c>
      <c r="E166" s="24" t="s">
        <v>136</v>
      </c>
      <c r="F166" s="24" t="s">
        <v>139</v>
      </c>
      <c r="G166" s="174"/>
      <c r="H166" s="19"/>
      <c r="I166" s="20"/>
      <c r="J166" s="20"/>
      <c r="K166" s="20"/>
      <c r="L166" s="20"/>
      <c r="M166" s="20"/>
      <c r="N166" s="20"/>
      <c r="O166" s="21"/>
      <c r="P166" s="20"/>
      <c r="Q166" s="22"/>
      <c r="R166" s="23"/>
    </row>
    <row r="167" spans="1:18" ht="15" customHeight="1" x14ac:dyDescent="0.3">
      <c r="A167" s="25" t="s">
        <v>58</v>
      </c>
      <c r="B167" s="25" t="s">
        <v>59</v>
      </c>
      <c r="C167" s="120">
        <v>0.1701388888888889</v>
      </c>
      <c r="D167" s="25" t="s">
        <v>60</v>
      </c>
      <c r="E167" s="25" t="s">
        <v>43</v>
      </c>
      <c r="F167" s="25" t="s">
        <v>62</v>
      </c>
      <c r="G167" s="174"/>
      <c r="H167" s="19"/>
      <c r="I167" s="20"/>
      <c r="J167" s="20"/>
      <c r="K167" s="20"/>
      <c r="L167" s="20"/>
      <c r="M167" s="20"/>
      <c r="N167" s="20"/>
      <c r="O167" s="21"/>
      <c r="P167" s="20"/>
      <c r="Q167" s="22"/>
      <c r="R167" s="23"/>
    </row>
    <row r="168" spans="1:18" ht="15" customHeight="1" x14ac:dyDescent="0.3">
      <c r="A168" s="26" t="s">
        <v>58</v>
      </c>
      <c r="B168" s="26" t="s">
        <v>63</v>
      </c>
      <c r="C168" s="121">
        <v>0.86458333333333337</v>
      </c>
      <c r="D168" s="26" t="s">
        <v>64</v>
      </c>
      <c r="E168" s="26" t="s">
        <v>29</v>
      </c>
      <c r="F168" s="26" t="s">
        <v>104</v>
      </c>
      <c r="G168" s="174"/>
      <c r="H168" s="19"/>
      <c r="I168" s="20"/>
      <c r="J168" s="20"/>
      <c r="K168" s="20"/>
      <c r="L168" s="20"/>
      <c r="M168" s="20"/>
      <c r="N168" s="20"/>
      <c r="O168" s="21"/>
      <c r="P168" s="20"/>
      <c r="Q168" s="22"/>
      <c r="R168" s="23"/>
    </row>
    <row r="169" spans="1:18" ht="15" customHeight="1" x14ac:dyDescent="0.3">
      <c r="A169" s="26" t="s">
        <v>58</v>
      </c>
      <c r="B169" s="26" t="s">
        <v>66</v>
      </c>
      <c r="C169" s="121">
        <v>0.52777777777777779</v>
      </c>
      <c r="D169" s="26" t="s">
        <v>64</v>
      </c>
      <c r="E169" s="26" t="s">
        <v>29</v>
      </c>
      <c r="F169" s="26" t="s">
        <v>104</v>
      </c>
      <c r="G169" s="174"/>
      <c r="H169" s="19"/>
      <c r="I169" s="20"/>
      <c r="J169" s="20"/>
      <c r="K169" s="20"/>
      <c r="L169" s="20"/>
      <c r="M169" s="20"/>
      <c r="N169" s="20"/>
      <c r="O169" s="21"/>
      <c r="P169" s="20"/>
      <c r="Q169" s="22"/>
      <c r="R169" s="23"/>
    </row>
    <row r="170" spans="1:18" ht="15" customHeight="1" x14ac:dyDescent="0.3">
      <c r="A170" s="25" t="s">
        <v>26</v>
      </c>
      <c r="B170" s="25" t="s">
        <v>57</v>
      </c>
      <c r="C170" s="120">
        <v>0.95833333333333337</v>
      </c>
      <c r="D170" s="25" t="s">
        <v>28</v>
      </c>
      <c r="E170" s="25" t="s">
        <v>29</v>
      </c>
      <c r="F170" s="25" t="s">
        <v>49</v>
      </c>
      <c r="G170" s="174"/>
      <c r="H170" s="19"/>
      <c r="I170" s="20"/>
      <c r="J170" s="20"/>
      <c r="K170" s="20"/>
      <c r="L170" s="20"/>
      <c r="M170" s="20"/>
      <c r="N170" s="20"/>
      <c r="O170" s="21"/>
      <c r="P170" s="20"/>
      <c r="Q170" s="22"/>
      <c r="R170" s="23"/>
    </row>
    <row r="171" spans="1:18" ht="15" customHeight="1" thickBot="1" x14ac:dyDescent="0.35">
      <c r="A171" s="33" t="s">
        <v>68</v>
      </c>
      <c r="B171" s="33" t="s">
        <v>69</v>
      </c>
      <c r="C171" s="125">
        <v>0.30555555555555558</v>
      </c>
      <c r="D171" s="33" t="s">
        <v>70</v>
      </c>
      <c r="E171" s="33" t="s">
        <v>71</v>
      </c>
      <c r="F171" s="33" t="s">
        <v>112</v>
      </c>
      <c r="G171" s="175"/>
      <c r="H171" s="8"/>
      <c r="I171" s="9"/>
      <c r="J171" s="9"/>
      <c r="K171" s="9"/>
      <c r="L171" s="9"/>
      <c r="M171" s="9"/>
      <c r="N171" s="9"/>
      <c r="O171" s="10"/>
      <c r="P171" s="9"/>
      <c r="Q171" s="11"/>
      <c r="R171" s="12"/>
    </row>
    <row r="172" spans="1:18" ht="17.399999999999999" customHeight="1" thickBot="1" x14ac:dyDescent="0.35">
      <c r="A172" s="179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1"/>
    </row>
    <row r="173" spans="1:18" ht="22.05" customHeight="1" thickTop="1" thickBot="1" x14ac:dyDescent="0.35">
      <c r="A173" s="182" t="s">
        <v>6</v>
      </c>
      <c r="B173" s="177"/>
      <c r="C173" s="177"/>
      <c r="D173" s="177"/>
      <c r="E173" s="177"/>
      <c r="F173" s="178"/>
      <c r="G173" s="115">
        <v>46003</v>
      </c>
      <c r="H173" s="184" t="s">
        <v>7</v>
      </c>
      <c r="I173" s="177"/>
      <c r="J173" s="177"/>
      <c r="K173" s="177"/>
      <c r="L173" s="177"/>
      <c r="M173" s="177"/>
      <c r="N173" s="177"/>
      <c r="O173" s="177"/>
      <c r="P173" s="177"/>
      <c r="Q173" s="177"/>
      <c r="R173" s="178"/>
    </row>
    <row r="174" spans="1:18" ht="24" customHeight="1" x14ac:dyDescent="0.3">
      <c r="A174" s="13" t="s">
        <v>8</v>
      </c>
      <c r="B174" s="13" t="s">
        <v>9</v>
      </c>
      <c r="C174" s="116" t="s">
        <v>10</v>
      </c>
      <c r="D174" s="13" t="s">
        <v>11</v>
      </c>
      <c r="E174" s="13" t="s">
        <v>12</v>
      </c>
      <c r="F174" s="14" t="s">
        <v>13</v>
      </c>
      <c r="G174" s="15" t="s">
        <v>14</v>
      </c>
      <c r="H174" s="13" t="s">
        <v>15</v>
      </c>
      <c r="I174" s="117" t="s">
        <v>16</v>
      </c>
      <c r="J174" s="16" t="s">
        <v>17</v>
      </c>
      <c r="K174" s="17" t="s">
        <v>18</v>
      </c>
      <c r="L174" s="16" t="s">
        <v>19</v>
      </c>
      <c r="M174" s="16" t="s">
        <v>20</v>
      </c>
      <c r="N174" s="16" t="s">
        <v>21</v>
      </c>
      <c r="O174" s="13" t="s">
        <v>22</v>
      </c>
      <c r="P174" s="116" t="s">
        <v>23</v>
      </c>
      <c r="Q174" s="16" t="s">
        <v>24</v>
      </c>
      <c r="R174" s="13" t="s">
        <v>25</v>
      </c>
    </row>
    <row r="175" spans="1:18" ht="15" customHeight="1" x14ac:dyDescent="0.3">
      <c r="A175" s="18" t="s">
        <v>40</v>
      </c>
      <c r="B175" s="18" t="s">
        <v>48</v>
      </c>
      <c r="C175" s="118">
        <v>0.83680555555555558</v>
      </c>
      <c r="D175" s="18" t="s">
        <v>42</v>
      </c>
      <c r="E175" s="18" t="s">
        <v>89</v>
      </c>
      <c r="F175" s="18" t="s">
        <v>44</v>
      </c>
      <c r="G175" s="183"/>
      <c r="H175" s="19"/>
      <c r="I175" s="20"/>
      <c r="J175" s="20"/>
      <c r="K175" s="20"/>
      <c r="L175" s="20"/>
      <c r="M175" s="20"/>
      <c r="N175" s="20"/>
      <c r="O175" s="21"/>
      <c r="P175" s="20"/>
      <c r="Q175" s="22"/>
      <c r="R175" s="23"/>
    </row>
    <row r="176" spans="1:18" ht="15" customHeight="1" x14ac:dyDescent="0.3">
      <c r="A176" s="24" t="s">
        <v>40</v>
      </c>
      <c r="B176" s="24" t="s">
        <v>48</v>
      </c>
      <c r="C176" s="119">
        <v>0.83680555555555558</v>
      </c>
      <c r="D176" s="24" t="s">
        <v>45</v>
      </c>
      <c r="E176" s="24" t="s">
        <v>89</v>
      </c>
      <c r="F176" s="24" t="s">
        <v>46</v>
      </c>
      <c r="G176" s="174"/>
      <c r="H176" s="19"/>
      <c r="I176" s="20"/>
      <c r="J176" s="20"/>
      <c r="K176" s="20"/>
      <c r="L176" s="20"/>
      <c r="M176" s="20"/>
      <c r="N176" s="20"/>
      <c r="O176" s="21"/>
      <c r="P176" s="20"/>
      <c r="Q176" s="22"/>
      <c r="R176" s="23"/>
    </row>
    <row r="177" spans="1:18" ht="15" customHeight="1" x14ac:dyDescent="0.3">
      <c r="A177" s="24" t="s">
        <v>40</v>
      </c>
      <c r="B177" s="24" t="s">
        <v>48</v>
      </c>
      <c r="C177" s="119">
        <v>0.83680555555555558</v>
      </c>
      <c r="D177" s="24" t="s">
        <v>38</v>
      </c>
      <c r="E177" s="24" t="s">
        <v>89</v>
      </c>
      <c r="F177" s="24" t="s">
        <v>47</v>
      </c>
      <c r="G177" s="174"/>
      <c r="H177" s="19"/>
      <c r="I177" s="20"/>
      <c r="J177" s="20"/>
      <c r="K177" s="20"/>
      <c r="L177" s="20"/>
      <c r="M177" s="20"/>
      <c r="N177" s="20"/>
      <c r="O177" s="21"/>
      <c r="P177" s="20"/>
      <c r="Q177" s="22"/>
      <c r="R177" s="23"/>
    </row>
    <row r="178" spans="1:18" ht="15" customHeight="1" x14ac:dyDescent="0.3">
      <c r="A178" s="25" t="s">
        <v>31</v>
      </c>
      <c r="B178" s="25" t="s">
        <v>32</v>
      </c>
      <c r="C178" s="120">
        <v>0.30555555555555558</v>
      </c>
      <c r="D178" s="25" t="s">
        <v>33</v>
      </c>
      <c r="E178" s="25" t="s">
        <v>120</v>
      </c>
      <c r="F178" s="25" t="s">
        <v>103</v>
      </c>
      <c r="G178" s="174"/>
      <c r="H178" s="19"/>
      <c r="I178" s="20"/>
      <c r="J178" s="20"/>
      <c r="K178" s="20"/>
      <c r="L178" s="20"/>
      <c r="M178" s="20"/>
      <c r="N178" s="20"/>
      <c r="O178" s="21"/>
      <c r="P178" s="20"/>
      <c r="Q178" s="22"/>
      <c r="R178" s="23"/>
    </row>
    <row r="179" spans="1:18" ht="15" customHeight="1" x14ac:dyDescent="0.3">
      <c r="A179" s="24" t="s">
        <v>31</v>
      </c>
      <c r="B179" s="24" t="s">
        <v>32</v>
      </c>
      <c r="C179" s="119">
        <v>0.30555555555555558</v>
      </c>
      <c r="D179" s="24" t="s">
        <v>36</v>
      </c>
      <c r="E179" s="24" t="s">
        <v>120</v>
      </c>
      <c r="F179" s="24" t="s">
        <v>104</v>
      </c>
      <c r="G179" s="174"/>
      <c r="H179" s="19"/>
      <c r="I179" s="20"/>
      <c r="J179" s="20"/>
      <c r="K179" s="20"/>
      <c r="L179" s="20"/>
      <c r="M179" s="20"/>
      <c r="N179" s="20"/>
      <c r="O179" s="21"/>
      <c r="P179" s="20"/>
      <c r="Q179" s="22"/>
      <c r="R179" s="23"/>
    </row>
    <row r="180" spans="1:18" ht="15" customHeight="1" x14ac:dyDescent="0.3">
      <c r="A180" s="24" t="s">
        <v>31</v>
      </c>
      <c r="B180" s="24" t="s">
        <v>32</v>
      </c>
      <c r="C180" s="119">
        <v>0.30555555555555558</v>
      </c>
      <c r="D180" s="24" t="s">
        <v>38</v>
      </c>
      <c r="E180" s="24" t="s">
        <v>120</v>
      </c>
      <c r="F180" s="24" t="s">
        <v>39</v>
      </c>
      <c r="G180" s="174"/>
      <c r="H180" s="19"/>
      <c r="I180" s="20"/>
      <c r="J180" s="20"/>
      <c r="K180" s="20"/>
      <c r="L180" s="20"/>
      <c r="M180" s="20"/>
      <c r="N180" s="20"/>
      <c r="O180" s="21"/>
      <c r="P180" s="20"/>
      <c r="Q180" s="22"/>
      <c r="R180" s="23"/>
    </row>
    <row r="181" spans="1:18" ht="15" customHeight="1" x14ac:dyDescent="0.3">
      <c r="A181" s="25" t="s">
        <v>58</v>
      </c>
      <c r="B181" s="25" t="s">
        <v>63</v>
      </c>
      <c r="C181" s="120">
        <v>0.86458333333333337</v>
      </c>
      <c r="D181" s="25" t="s">
        <v>60</v>
      </c>
      <c r="E181" s="25" t="s">
        <v>53</v>
      </c>
      <c r="F181" s="25" t="s">
        <v>62</v>
      </c>
      <c r="G181" s="174"/>
      <c r="H181" s="19"/>
      <c r="I181" s="20"/>
      <c r="J181" s="20"/>
      <c r="K181" s="20"/>
      <c r="L181" s="20"/>
      <c r="M181" s="20"/>
      <c r="N181" s="20"/>
      <c r="O181" s="21"/>
      <c r="P181" s="20"/>
      <c r="Q181" s="22"/>
      <c r="R181" s="23"/>
    </row>
    <row r="182" spans="1:18" ht="15" customHeight="1" x14ac:dyDescent="0.3">
      <c r="A182" s="26" t="s">
        <v>58</v>
      </c>
      <c r="B182" s="26" t="s">
        <v>59</v>
      </c>
      <c r="C182" s="121">
        <v>0.1701388888888889</v>
      </c>
      <c r="D182" s="26" t="s">
        <v>60</v>
      </c>
      <c r="E182" s="26" t="s">
        <v>29</v>
      </c>
      <c r="F182" s="26" t="s">
        <v>62</v>
      </c>
      <c r="G182" s="174"/>
      <c r="H182" s="19"/>
      <c r="I182" s="20"/>
      <c r="J182" s="20"/>
      <c r="K182" s="20"/>
      <c r="L182" s="20"/>
      <c r="M182" s="20"/>
      <c r="N182" s="20"/>
      <c r="O182" s="21"/>
      <c r="P182" s="20"/>
      <c r="Q182" s="22"/>
      <c r="R182" s="23"/>
    </row>
    <row r="183" spans="1:18" ht="15" customHeight="1" x14ac:dyDescent="0.3">
      <c r="A183" s="26" t="s">
        <v>58</v>
      </c>
      <c r="B183" s="26" t="s">
        <v>66</v>
      </c>
      <c r="C183" s="121">
        <v>0.52777777777777779</v>
      </c>
      <c r="D183" s="26" t="s">
        <v>64</v>
      </c>
      <c r="E183" s="26" t="s">
        <v>29</v>
      </c>
      <c r="F183" s="26" t="s">
        <v>140</v>
      </c>
      <c r="G183" s="174"/>
      <c r="H183" s="19"/>
      <c r="I183" s="20"/>
      <c r="J183" s="20"/>
      <c r="K183" s="20"/>
      <c r="L183" s="20"/>
      <c r="M183" s="20"/>
      <c r="N183" s="20"/>
      <c r="O183" s="21"/>
      <c r="P183" s="20"/>
      <c r="Q183" s="22"/>
      <c r="R183" s="23"/>
    </row>
    <row r="184" spans="1:18" ht="15" customHeight="1" x14ac:dyDescent="0.3">
      <c r="A184" s="25" t="s">
        <v>26</v>
      </c>
      <c r="B184" s="25" t="s">
        <v>27</v>
      </c>
      <c r="C184" s="120">
        <v>0.95833333333333337</v>
      </c>
      <c r="D184" s="25" t="s">
        <v>28</v>
      </c>
      <c r="E184" s="25" t="s">
        <v>29</v>
      </c>
      <c r="F184" s="25" t="s">
        <v>49</v>
      </c>
      <c r="G184" s="174"/>
      <c r="H184" s="19"/>
      <c r="I184" s="20"/>
      <c r="J184" s="20"/>
      <c r="K184" s="20"/>
      <c r="L184" s="20"/>
      <c r="M184" s="20"/>
      <c r="N184" s="20"/>
      <c r="O184" s="21"/>
      <c r="P184" s="20"/>
      <c r="Q184" s="22"/>
      <c r="R184" s="23"/>
    </row>
    <row r="185" spans="1:18" ht="15" customHeight="1" x14ac:dyDescent="0.3">
      <c r="A185" s="48" t="s">
        <v>51</v>
      </c>
      <c r="B185" s="48" t="s">
        <v>52</v>
      </c>
      <c r="C185" s="136">
        <v>0.57986111111111116</v>
      </c>
      <c r="D185" s="48" t="s">
        <v>28</v>
      </c>
      <c r="E185" s="48" t="s">
        <v>136</v>
      </c>
      <c r="F185" s="48" t="s">
        <v>141</v>
      </c>
      <c r="G185" s="174"/>
      <c r="H185" s="49" t="s">
        <v>54</v>
      </c>
      <c r="I185" s="137">
        <v>0.49399999999999999</v>
      </c>
      <c r="J185" s="50">
        <v>83</v>
      </c>
      <c r="K185" s="51">
        <v>45992</v>
      </c>
      <c r="L185" s="50">
        <v>52</v>
      </c>
      <c r="M185" s="50">
        <v>17</v>
      </c>
      <c r="N185" s="50">
        <v>1</v>
      </c>
      <c r="O185" s="52" t="s">
        <v>142</v>
      </c>
      <c r="P185" s="138">
        <v>0.57986111111111116</v>
      </c>
      <c r="Q185" s="50">
        <v>168</v>
      </c>
      <c r="R185" s="53" t="s">
        <v>143</v>
      </c>
    </row>
    <row r="186" spans="1:18" ht="15" customHeight="1" thickBot="1" x14ac:dyDescent="0.35">
      <c r="A186" s="33" t="s">
        <v>68</v>
      </c>
      <c r="B186" s="33" t="s">
        <v>69</v>
      </c>
      <c r="C186" s="125">
        <v>0.30555555555555558</v>
      </c>
      <c r="D186" s="33" t="s">
        <v>70</v>
      </c>
      <c r="E186" s="33" t="s">
        <v>71</v>
      </c>
      <c r="F186" s="33" t="s">
        <v>112</v>
      </c>
      <c r="G186" s="175"/>
      <c r="H186" s="8"/>
      <c r="I186" s="9"/>
      <c r="J186" s="9"/>
      <c r="K186" s="9"/>
      <c r="L186" s="9"/>
      <c r="M186" s="9"/>
      <c r="N186" s="9"/>
      <c r="O186" s="10"/>
      <c r="P186" s="9"/>
      <c r="Q186" s="11"/>
      <c r="R186" s="12"/>
    </row>
    <row r="187" spans="1:18" ht="17.399999999999999" customHeight="1" thickBot="1" x14ac:dyDescent="0.35">
      <c r="A187" s="179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1"/>
    </row>
    <row r="188" spans="1:18" ht="22.05" customHeight="1" thickTop="1" thickBot="1" x14ac:dyDescent="0.35">
      <c r="A188" s="182" t="s">
        <v>6</v>
      </c>
      <c r="B188" s="177"/>
      <c r="C188" s="177"/>
      <c r="D188" s="177"/>
      <c r="E188" s="177"/>
      <c r="F188" s="178"/>
      <c r="G188" s="115">
        <v>46004</v>
      </c>
      <c r="H188" s="184" t="s">
        <v>7</v>
      </c>
      <c r="I188" s="177"/>
      <c r="J188" s="177"/>
      <c r="K188" s="177"/>
      <c r="L188" s="177"/>
      <c r="M188" s="177"/>
      <c r="N188" s="177"/>
      <c r="O188" s="177"/>
      <c r="P188" s="177"/>
      <c r="Q188" s="177"/>
      <c r="R188" s="178"/>
    </row>
    <row r="189" spans="1:18" ht="24" customHeight="1" x14ac:dyDescent="0.3">
      <c r="A189" s="13" t="s">
        <v>8</v>
      </c>
      <c r="B189" s="13" t="s">
        <v>9</v>
      </c>
      <c r="C189" s="116" t="s">
        <v>10</v>
      </c>
      <c r="D189" s="13" t="s">
        <v>11</v>
      </c>
      <c r="E189" s="13" t="s">
        <v>12</v>
      </c>
      <c r="F189" s="14" t="s">
        <v>13</v>
      </c>
      <c r="G189" s="15" t="s">
        <v>14</v>
      </c>
      <c r="H189" s="13" t="s">
        <v>15</v>
      </c>
      <c r="I189" s="117" t="s">
        <v>16</v>
      </c>
      <c r="J189" s="16" t="s">
        <v>17</v>
      </c>
      <c r="K189" s="17" t="s">
        <v>18</v>
      </c>
      <c r="L189" s="16" t="s">
        <v>19</v>
      </c>
      <c r="M189" s="16" t="s">
        <v>20</v>
      </c>
      <c r="N189" s="16" t="s">
        <v>21</v>
      </c>
      <c r="O189" s="13" t="s">
        <v>22</v>
      </c>
      <c r="P189" s="116" t="s">
        <v>23</v>
      </c>
      <c r="Q189" s="16" t="s">
        <v>24</v>
      </c>
      <c r="R189" s="13" t="s">
        <v>25</v>
      </c>
    </row>
    <row r="190" spans="1:18" ht="15" customHeight="1" x14ac:dyDescent="0.3">
      <c r="A190" s="18" t="s">
        <v>31</v>
      </c>
      <c r="B190" s="18" t="s">
        <v>32</v>
      </c>
      <c r="C190" s="118">
        <v>0.30555555555555558</v>
      </c>
      <c r="D190" s="18" t="s">
        <v>33</v>
      </c>
      <c r="E190" s="18" t="s">
        <v>132</v>
      </c>
      <c r="F190" s="18" t="s">
        <v>114</v>
      </c>
      <c r="G190" s="183"/>
      <c r="H190" s="19"/>
      <c r="I190" s="20"/>
      <c r="J190" s="20"/>
      <c r="K190" s="20"/>
      <c r="L190" s="20"/>
      <c r="M190" s="20"/>
      <c r="N190" s="20"/>
      <c r="O190" s="21"/>
      <c r="P190" s="20"/>
      <c r="Q190" s="22"/>
      <c r="R190" s="23"/>
    </row>
    <row r="191" spans="1:18" ht="15" customHeight="1" x14ac:dyDescent="0.3">
      <c r="A191" s="24" t="s">
        <v>31</v>
      </c>
      <c r="B191" s="24" t="s">
        <v>32</v>
      </c>
      <c r="C191" s="119">
        <v>0.30555555555555558</v>
      </c>
      <c r="D191" s="24" t="s">
        <v>36</v>
      </c>
      <c r="E191" s="24" t="s">
        <v>132</v>
      </c>
      <c r="F191" s="24" t="s">
        <v>115</v>
      </c>
      <c r="G191" s="174"/>
      <c r="H191" s="19"/>
      <c r="I191" s="20"/>
      <c r="J191" s="20"/>
      <c r="K191" s="20"/>
      <c r="L191" s="20"/>
      <c r="M191" s="20"/>
      <c r="N191" s="20"/>
      <c r="O191" s="21"/>
      <c r="P191" s="20"/>
      <c r="Q191" s="22"/>
      <c r="R191" s="23"/>
    </row>
    <row r="192" spans="1:18" ht="15" customHeight="1" x14ac:dyDescent="0.3">
      <c r="A192" s="24" t="s">
        <v>31</v>
      </c>
      <c r="B192" s="24" t="s">
        <v>32</v>
      </c>
      <c r="C192" s="119">
        <v>0.30555555555555558</v>
      </c>
      <c r="D192" s="24" t="s">
        <v>38</v>
      </c>
      <c r="E192" s="24" t="s">
        <v>132</v>
      </c>
      <c r="F192" s="24" t="s">
        <v>86</v>
      </c>
      <c r="G192" s="174"/>
      <c r="H192" s="19"/>
      <c r="I192" s="20"/>
      <c r="J192" s="20"/>
      <c r="K192" s="20"/>
      <c r="L192" s="20"/>
      <c r="M192" s="20"/>
      <c r="N192" s="20"/>
      <c r="O192" s="21"/>
      <c r="P192" s="20"/>
      <c r="Q192" s="22"/>
      <c r="R192" s="23"/>
    </row>
    <row r="193" spans="1:18" ht="15" customHeight="1" x14ac:dyDescent="0.3">
      <c r="A193" s="25" t="s">
        <v>40</v>
      </c>
      <c r="B193" s="25" t="s">
        <v>41</v>
      </c>
      <c r="C193" s="120">
        <v>0.2013888888888889</v>
      </c>
      <c r="D193" s="25" t="s">
        <v>42</v>
      </c>
      <c r="E193" s="25" t="s">
        <v>79</v>
      </c>
      <c r="F193" s="25" t="s">
        <v>44</v>
      </c>
      <c r="G193" s="174"/>
      <c r="H193" s="19"/>
      <c r="I193" s="20"/>
      <c r="J193" s="20"/>
      <c r="K193" s="20"/>
      <c r="L193" s="20"/>
      <c r="M193" s="20"/>
      <c r="N193" s="20"/>
      <c r="O193" s="21"/>
      <c r="P193" s="20"/>
      <c r="Q193" s="22"/>
      <c r="R193" s="23"/>
    </row>
    <row r="194" spans="1:18" ht="15" customHeight="1" x14ac:dyDescent="0.3">
      <c r="A194" s="24" t="s">
        <v>40</v>
      </c>
      <c r="B194" s="24" t="s">
        <v>41</v>
      </c>
      <c r="C194" s="119">
        <v>0.2013888888888889</v>
      </c>
      <c r="D194" s="24" t="s">
        <v>45</v>
      </c>
      <c r="E194" s="24" t="s">
        <v>79</v>
      </c>
      <c r="F194" s="24" t="s">
        <v>46</v>
      </c>
      <c r="G194" s="174"/>
      <c r="H194" s="19"/>
      <c r="I194" s="20"/>
      <c r="J194" s="20"/>
      <c r="K194" s="20"/>
      <c r="L194" s="20"/>
      <c r="M194" s="20"/>
      <c r="N194" s="20"/>
      <c r="O194" s="21"/>
      <c r="P194" s="20"/>
      <c r="Q194" s="22"/>
      <c r="R194" s="23"/>
    </row>
    <row r="195" spans="1:18" ht="15" customHeight="1" x14ac:dyDescent="0.3">
      <c r="A195" s="24" t="s">
        <v>40</v>
      </c>
      <c r="B195" s="24" t="s">
        <v>41</v>
      </c>
      <c r="C195" s="119">
        <v>0.2013888888888889</v>
      </c>
      <c r="D195" s="24" t="s">
        <v>38</v>
      </c>
      <c r="E195" s="24" t="s">
        <v>79</v>
      </c>
      <c r="F195" s="24" t="s">
        <v>47</v>
      </c>
      <c r="G195" s="174"/>
      <c r="H195" s="19"/>
      <c r="I195" s="20"/>
      <c r="J195" s="20"/>
      <c r="K195" s="20"/>
      <c r="L195" s="20"/>
      <c r="M195" s="20"/>
      <c r="N195" s="20"/>
      <c r="O195" s="21"/>
      <c r="P195" s="20"/>
      <c r="Q195" s="22"/>
      <c r="R195" s="23"/>
    </row>
    <row r="196" spans="1:18" ht="15" customHeight="1" x14ac:dyDescent="0.3">
      <c r="A196" s="26" t="s">
        <v>40</v>
      </c>
      <c r="B196" s="26" t="s">
        <v>48</v>
      </c>
      <c r="C196" s="121">
        <v>0.83680555555555558</v>
      </c>
      <c r="D196" s="26" t="s">
        <v>42</v>
      </c>
      <c r="E196" s="26" t="s">
        <v>120</v>
      </c>
      <c r="F196" s="26" t="s">
        <v>30</v>
      </c>
      <c r="G196" s="174"/>
      <c r="H196" s="19"/>
      <c r="I196" s="20"/>
      <c r="J196" s="20"/>
      <c r="K196" s="20"/>
      <c r="L196" s="20"/>
      <c r="M196" s="20"/>
      <c r="N196" s="20"/>
      <c r="O196" s="21"/>
      <c r="P196" s="20"/>
      <c r="Q196" s="22"/>
      <c r="R196" s="23"/>
    </row>
    <row r="197" spans="1:18" ht="15" customHeight="1" x14ac:dyDescent="0.3">
      <c r="A197" s="24" t="s">
        <v>40</v>
      </c>
      <c r="B197" s="24" t="s">
        <v>48</v>
      </c>
      <c r="C197" s="119">
        <v>0.83680555555555558</v>
      </c>
      <c r="D197" s="24" t="s">
        <v>45</v>
      </c>
      <c r="E197" s="24" t="s">
        <v>120</v>
      </c>
      <c r="F197" s="24" t="s">
        <v>90</v>
      </c>
      <c r="G197" s="174"/>
      <c r="H197" s="19"/>
      <c r="I197" s="20"/>
      <c r="J197" s="20"/>
      <c r="K197" s="20"/>
      <c r="L197" s="20"/>
      <c r="M197" s="20"/>
      <c r="N197" s="20"/>
      <c r="O197" s="21"/>
      <c r="P197" s="20"/>
      <c r="Q197" s="22"/>
      <c r="R197" s="23"/>
    </row>
    <row r="198" spans="1:18" ht="15" customHeight="1" x14ac:dyDescent="0.3">
      <c r="A198" s="24" t="s">
        <v>40</v>
      </c>
      <c r="B198" s="24" t="s">
        <v>48</v>
      </c>
      <c r="C198" s="119">
        <v>0.83680555555555558</v>
      </c>
      <c r="D198" s="24" t="s">
        <v>38</v>
      </c>
      <c r="E198" s="24" t="s">
        <v>120</v>
      </c>
      <c r="F198" s="24" t="s">
        <v>116</v>
      </c>
      <c r="G198" s="174"/>
      <c r="H198" s="19"/>
      <c r="I198" s="20"/>
      <c r="J198" s="20"/>
      <c r="K198" s="20"/>
      <c r="L198" s="20"/>
      <c r="M198" s="20"/>
      <c r="N198" s="20"/>
      <c r="O198" s="21"/>
      <c r="P198" s="20"/>
      <c r="Q198" s="22"/>
      <c r="R198" s="23"/>
    </row>
    <row r="199" spans="1:18" ht="15" customHeight="1" x14ac:dyDescent="0.3">
      <c r="A199" s="25" t="s">
        <v>76</v>
      </c>
      <c r="B199" s="25" t="s">
        <v>77</v>
      </c>
      <c r="C199" s="120">
        <v>0.97222222222222221</v>
      </c>
      <c r="D199" s="25" t="s">
        <v>78</v>
      </c>
      <c r="E199" s="25" t="s">
        <v>79</v>
      </c>
      <c r="F199" s="25" t="s">
        <v>144</v>
      </c>
      <c r="G199" s="174"/>
      <c r="H199" s="19"/>
      <c r="I199" s="20"/>
      <c r="J199" s="20"/>
      <c r="K199" s="20"/>
      <c r="L199" s="20"/>
      <c r="M199" s="20"/>
      <c r="N199" s="20"/>
      <c r="O199" s="21"/>
      <c r="P199" s="20"/>
      <c r="Q199" s="22"/>
      <c r="R199" s="23"/>
    </row>
    <row r="200" spans="1:18" ht="15" customHeight="1" x14ac:dyDescent="0.3">
      <c r="A200" s="24" t="s">
        <v>76</v>
      </c>
      <c r="B200" s="24" t="s">
        <v>77</v>
      </c>
      <c r="C200" s="119">
        <v>0.97222222222222221</v>
      </c>
      <c r="D200" s="24" t="s">
        <v>81</v>
      </c>
      <c r="E200" s="24" t="s">
        <v>79</v>
      </c>
      <c r="F200" s="24" t="s">
        <v>145</v>
      </c>
      <c r="G200" s="174"/>
      <c r="H200" s="19"/>
      <c r="I200" s="20"/>
      <c r="J200" s="20"/>
      <c r="K200" s="20"/>
      <c r="L200" s="20"/>
      <c r="M200" s="20"/>
      <c r="N200" s="20"/>
      <c r="O200" s="21"/>
      <c r="P200" s="20"/>
      <c r="Q200" s="22"/>
      <c r="R200" s="23"/>
    </row>
    <row r="201" spans="1:18" ht="15" customHeight="1" x14ac:dyDescent="0.3">
      <c r="A201" s="27" t="s">
        <v>51</v>
      </c>
      <c r="B201" s="27" t="s">
        <v>52</v>
      </c>
      <c r="C201" s="122">
        <v>0.92361111111111116</v>
      </c>
      <c r="D201" s="27" t="s">
        <v>28</v>
      </c>
      <c r="E201" s="27" t="s">
        <v>29</v>
      </c>
      <c r="F201" s="27" t="s">
        <v>30</v>
      </c>
      <c r="G201" s="174"/>
      <c r="H201" s="28" t="s">
        <v>54</v>
      </c>
      <c r="I201" s="139">
        <v>0.23810000000000001</v>
      </c>
      <c r="J201" s="29">
        <v>40</v>
      </c>
      <c r="K201" s="30">
        <v>45992</v>
      </c>
      <c r="L201" s="29">
        <v>19</v>
      </c>
      <c r="M201" s="29">
        <v>2</v>
      </c>
      <c r="N201" s="29">
        <v>0</v>
      </c>
      <c r="O201" s="31" t="s">
        <v>105</v>
      </c>
      <c r="P201" s="124">
        <v>0.92361111111111116</v>
      </c>
      <c r="Q201" s="29">
        <v>168</v>
      </c>
      <c r="R201" s="32" t="s">
        <v>146</v>
      </c>
    </row>
    <row r="202" spans="1:18" ht="15" customHeight="1" x14ac:dyDescent="0.3">
      <c r="A202" s="25" t="s">
        <v>26</v>
      </c>
      <c r="B202" s="25" t="s">
        <v>57</v>
      </c>
      <c r="C202" s="120">
        <v>0.89583333333333337</v>
      </c>
      <c r="D202" s="25" t="s">
        <v>28</v>
      </c>
      <c r="E202" s="25" t="s">
        <v>29</v>
      </c>
      <c r="F202" s="25" t="s">
        <v>30</v>
      </c>
      <c r="G202" s="174"/>
      <c r="H202" s="19"/>
      <c r="I202" s="20"/>
      <c r="J202" s="20"/>
      <c r="K202" s="20"/>
      <c r="L202" s="20"/>
      <c r="M202" s="20"/>
      <c r="N202" s="20"/>
      <c r="O202" s="21"/>
      <c r="P202" s="20"/>
      <c r="Q202" s="22"/>
      <c r="R202" s="23"/>
    </row>
    <row r="203" spans="1:18" ht="15" customHeight="1" x14ac:dyDescent="0.3">
      <c r="A203" s="25" t="s">
        <v>58</v>
      </c>
      <c r="B203" s="25" t="s">
        <v>63</v>
      </c>
      <c r="C203" s="120">
        <v>0.86458333333333337</v>
      </c>
      <c r="D203" s="25" t="s">
        <v>60</v>
      </c>
      <c r="E203" s="25" t="s">
        <v>29</v>
      </c>
      <c r="F203" s="25" t="s">
        <v>62</v>
      </c>
      <c r="G203" s="174"/>
      <c r="H203" s="19"/>
      <c r="I203" s="20"/>
      <c r="J203" s="20"/>
      <c r="K203" s="20"/>
      <c r="L203" s="20"/>
      <c r="M203" s="20"/>
      <c r="N203" s="20"/>
      <c r="O203" s="21"/>
      <c r="P203" s="20"/>
      <c r="Q203" s="22"/>
      <c r="R203" s="23"/>
    </row>
    <row r="204" spans="1:18" ht="15" customHeight="1" x14ac:dyDescent="0.3">
      <c r="A204" s="26" t="s">
        <v>58</v>
      </c>
      <c r="B204" s="26" t="s">
        <v>59</v>
      </c>
      <c r="C204" s="121">
        <v>0.1701388888888889</v>
      </c>
      <c r="D204" s="26" t="s">
        <v>60</v>
      </c>
      <c r="E204" s="26" t="s">
        <v>120</v>
      </c>
      <c r="F204" s="26" t="s">
        <v>62</v>
      </c>
      <c r="G204" s="174"/>
      <c r="H204" s="19"/>
      <c r="I204" s="20"/>
      <c r="J204" s="20"/>
      <c r="K204" s="20"/>
      <c r="L204" s="20"/>
      <c r="M204" s="20"/>
      <c r="N204" s="20"/>
      <c r="O204" s="21"/>
      <c r="P204" s="20"/>
      <c r="Q204" s="22"/>
      <c r="R204" s="23"/>
    </row>
    <row r="205" spans="1:18" ht="15" customHeight="1" x14ac:dyDescent="0.3">
      <c r="A205" s="26" t="s">
        <v>58</v>
      </c>
      <c r="B205" s="26" t="s">
        <v>66</v>
      </c>
      <c r="C205" s="121">
        <v>0.52777777777777779</v>
      </c>
      <c r="D205" s="26" t="s">
        <v>60</v>
      </c>
      <c r="E205" s="26" t="s">
        <v>34</v>
      </c>
      <c r="F205" s="26" t="s">
        <v>121</v>
      </c>
      <c r="G205" s="174"/>
      <c r="H205" s="19"/>
      <c r="I205" s="20"/>
      <c r="J205" s="20"/>
      <c r="K205" s="20"/>
      <c r="L205" s="20"/>
      <c r="M205" s="20"/>
      <c r="N205" s="20"/>
      <c r="O205" s="21"/>
      <c r="P205" s="20"/>
      <c r="Q205" s="22"/>
      <c r="R205" s="23"/>
    </row>
    <row r="206" spans="1:18" ht="15" customHeight="1" thickBot="1" x14ac:dyDescent="0.35">
      <c r="A206" s="33" t="s">
        <v>68</v>
      </c>
      <c r="B206" s="33" t="s">
        <v>69</v>
      </c>
      <c r="C206" s="125">
        <v>0.30555555555555558</v>
      </c>
      <c r="D206" s="33" t="s">
        <v>70</v>
      </c>
      <c r="E206" s="33" t="s">
        <v>71</v>
      </c>
      <c r="F206" s="33" t="s">
        <v>122</v>
      </c>
      <c r="G206" s="175"/>
      <c r="H206" s="8"/>
      <c r="I206" s="9"/>
      <c r="J206" s="9"/>
      <c r="K206" s="9"/>
      <c r="L206" s="9"/>
      <c r="M206" s="9"/>
      <c r="N206" s="9"/>
      <c r="O206" s="10"/>
      <c r="P206" s="9"/>
      <c r="Q206" s="11"/>
      <c r="R206" s="12"/>
    </row>
    <row r="207" spans="1:18" ht="17.399999999999999" customHeight="1" thickBot="1" x14ac:dyDescent="0.35">
      <c r="A207" s="179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1"/>
    </row>
    <row r="208" spans="1:18" ht="22.05" customHeight="1" thickTop="1" thickBot="1" x14ac:dyDescent="0.35">
      <c r="A208" s="182" t="s">
        <v>6</v>
      </c>
      <c r="B208" s="177"/>
      <c r="C208" s="177"/>
      <c r="D208" s="177"/>
      <c r="E208" s="177"/>
      <c r="F208" s="178"/>
      <c r="G208" s="115">
        <v>46005</v>
      </c>
      <c r="H208" s="184" t="s">
        <v>7</v>
      </c>
      <c r="I208" s="177"/>
      <c r="J208" s="177"/>
      <c r="K208" s="177"/>
      <c r="L208" s="177"/>
      <c r="M208" s="177"/>
      <c r="N208" s="177"/>
      <c r="O208" s="177"/>
      <c r="P208" s="177"/>
      <c r="Q208" s="177"/>
      <c r="R208" s="178"/>
    </row>
    <row r="209" spans="1:18" ht="24" customHeight="1" x14ac:dyDescent="0.3">
      <c r="A209" s="13" t="s">
        <v>8</v>
      </c>
      <c r="B209" s="13" t="s">
        <v>9</v>
      </c>
      <c r="C209" s="116" t="s">
        <v>10</v>
      </c>
      <c r="D209" s="13" t="s">
        <v>11</v>
      </c>
      <c r="E209" s="13" t="s">
        <v>12</v>
      </c>
      <c r="F209" s="14" t="s">
        <v>13</v>
      </c>
      <c r="G209" s="15" t="s">
        <v>14</v>
      </c>
      <c r="H209" s="13" t="s">
        <v>15</v>
      </c>
      <c r="I209" s="117" t="s">
        <v>16</v>
      </c>
      <c r="J209" s="16" t="s">
        <v>17</v>
      </c>
      <c r="K209" s="17" t="s">
        <v>18</v>
      </c>
      <c r="L209" s="16" t="s">
        <v>19</v>
      </c>
      <c r="M209" s="16" t="s">
        <v>20</v>
      </c>
      <c r="N209" s="16" t="s">
        <v>21</v>
      </c>
      <c r="O209" s="13" t="s">
        <v>22</v>
      </c>
      <c r="P209" s="116" t="s">
        <v>23</v>
      </c>
      <c r="Q209" s="16" t="s">
        <v>24</v>
      </c>
      <c r="R209" s="13" t="s">
        <v>25</v>
      </c>
    </row>
    <row r="210" spans="1:18" ht="15" customHeight="1" x14ac:dyDescent="0.3">
      <c r="A210" s="18" t="s">
        <v>31</v>
      </c>
      <c r="B210" s="18" t="s">
        <v>32</v>
      </c>
      <c r="C210" s="118">
        <v>0.30555555555555558</v>
      </c>
      <c r="D210" s="18" t="s">
        <v>33</v>
      </c>
      <c r="E210" s="18" t="s">
        <v>147</v>
      </c>
      <c r="F210" s="18" t="s">
        <v>114</v>
      </c>
      <c r="G210" s="173"/>
      <c r="H210" s="19"/>
      <c r="I210" s="20"/>
      <c r="J210" s="20"/>
      <c r="K210" s="20"/>
      <c r="L210" s="20"/>
      <c r="M210" s="20"/>
      <c r="N210" s="20"/>
      <c r="O210" s="21"/>
      <c r="P210" s="20"/>
      <c r="Q210" s="22"/>
      <c r="R210" s="23"/>
    </row>
    <row r="211" spans="1:18" ht="15" customHeight="1" x14ac:dyDescent="0.3">
      <c r="A211" s="24" t="s">
        <v>31</v>
      </c>
      <c r="B211" s="24" t="s">
        <v>32</v>
      </c>
      <c r="C211" s="119">
        <v>0.30555555555555558</v>
      </c>
      <c r="D211" s="24" t="s">
        <v>36</v>
      </c>
      <c r="E211" s="24" t="s">
        <v>147</v>
      </c>
      <c r="F211" s="24" t="s">
        <v>115</v>
      </c>
      <c r="G211" s="174"/>
      <c r="H211" s="19"/>
      <c r="I211" s="20"/>
      <c r="J211" s="20"/>
      <c r="K211" s="20"/>
      <c r="L211" s="20"/>
      <c r="M211" s="20"/>
      <c r="N211" s="20"/>
      <c r="O211" s="21"/>
      <c r="P211" s="20"/>
      <c r="Q211" s="22"/>
      <c r="R211" s="23"/>
    </row>
    <row r="212" spans="1:18" ht="15" customHeight="1" x14ac:dyDescent="0.3">
      <c r="A212" s="24" t="s">
        <v>31</v>
      </c>
      <c r="B212" s="24" t="s">
        <v>32</v>
      </c>
      <c r="C212" s="119">
        <v>0.30555555555555558</v>
      </c>
      <c r="D212" s="24" t="s">
        <v>38</v>
      </c>
      <c r="E212" s="24" t="s">
        <v>147</v>
      </c>
      <c r="F212" s="24" t="s">
        <v>86</v>
      </c>
      <c r="G212" s="174"/>
      <c r="H212" s="19"/>
      <c r="I212" s="20"/>
      <c r="J212" s="20"/>
      <c r="K212" s="20"/>
      <c r="L212" s="20"/>
      <c r="M212" s="20"/>
      <c r="N212" s="20"/>
      <c r="O212" s="21"/>
      <c r="P212" s="20"/>
      <c r="Q212" s="22"/>
      <c r="R212" s="23"/>
    </row>
    <row r="213" spans="1:18" ht="15" customHeight="1" x14ac:dyDescent="0.3">
      <c r="A213" s="25" t="s">
        <v>40</v>
      </c>
      <c r="B213" s="25" t="s">
        <v>48</v>
      </c>
      <c r="C213" s="120">
        <v>0.85069444444444442</v>
      </c>
      <c r="D213" s="25" t="s">
        <v>42</v>
      </c>
      <c r="E213" s="25" t="s">
        <v>89</v>
      </c>
      <c r="F213" s="25" t="s">
        <v>44</v>
      </c>
      <c r="G213" s="174"/>
      <c r="H213" s="19"/>
      <c r="I213" s="20"/>
      <c r="J213" s="20"/>
      <c r="K213" s="20"/>
      <c r="L213" s="20"/>
      <c r="M213" s="20"/>
      <c r="N213" s="20"/>
      <c r="O213" s="21"/>
      <c r="P213" s="20"/>
      <c r="Q213" s="22"/>
      <c r="R213" s="23"/>
    </row>
    <row r="214" spans="1:18" ht="15" customHeight="1" x14ac:dyDescent="0.3">
      <c r="A214" s="24" t="s">
        <v>40</v>
      </c>
      <c r="B214" s="24" t="s">
        <v>48</v>
      </c>
      <c r="C214" s="119">
        <v>0.85069444444444442</v>
      </c>
      <c r="D214" s="24" t="s">
        <v>45</v>
      </c>
      <c r="E214" s="24" t="s">
        <v>89</v>
      </c>
      <c r="F214" s="24" t="s">
        <v>46</v>
      </c>
      <c r="G214" s="174"/>
      <c r="H214" s="19"/>
      <c r="I214" s="20"/>
      <c r="J214" s="20"/>
      <c r="K214" s="20"/>
      <c r="L214" s="20"/>
      <c r="M214" s="20"/>
      <c r="N214" s="20"/>
      <c r="O214" s="21"/>
      <c r="P214" s="20"/>
      <c r="Q214" s="22"/>
      <c r="R214" s="23"/>
    </row>
    <row r="215" spans="1:18" ht="15" customHeight="1" x14ac:dyDescent="0.3">
      <c r="A215" s="24" t="s">
        <v>40</v>
      </c>
      <c r="B215" s="24" t="s">
        <v>48</v>
      </c>
      <c r="C215" s="119">
        <v>0.85069444444444442</v>
      </c>
      <c r="D215" s="24" t="s">
        <v>38</v>
      </c>
      <c r="E215" s="24" t="s">
        <v>89</v>
      </c>
      <c r="F215" s="24" t="s">
        <v>47</v>
      </c>
      <c r="G215" s="174"/>
      <c r="H215" s="19"/>
      <c r="I215" s="20"/>
      <c r="J215" s="20"/>
      <c r="K215" s="20"/>
      <c r="L215" s="20"/>
      <c r="M215" s="20"/>
      <c r="N215" s="20"/>
      <c r="O215" s="21"/>
      <c r="P215" s="20"/>
      <c r="Q215" s="22"/>
      <c r="R215" s="23"/>
    </row>
    <row r="216" spans="1:18" ht="15" customHeight="1" x14ac:dyDescent="0.3">
      <c r="A216" s="25" t="s">
        <v>73</v>
      </c>
      <c r="B216" s="25" t="s">
        <v>125</v>
      </c>
      <c r="C216" s="120">
        <v>0.22222222222222221</v>
      </c>
      <c r="D216" s="25" t="s">
        <v>28</v>
      </c>
      <c r="E216" s="25" t="s">
        <v>136</v>
      </c>
      <c r="F216" s="25" t="s">
        <v>75</v>
      </c>
      <c r="G216" s="174"/>
      <c r="H216" s="19"/>
      <c r="I216" s="20"/>
      <c r="J216" s="20"/>
      <c r="K216" s="20"/>
      <c r="L216" s="20"/>
      <c r="M216" s="20"/>
      <c r="N216" s="20"/>
      <c r="O216" s="21"/>
      <c r="P216" s="20"/>
      <c r="Q216" s="22"/>
      <c r="R216" s="23"/>
    </row>
    <row r="217" spans="1:18" ht="15" customHeight="1" x14ac:dyDescent="0.3">
      <c r="A217" s="25" t="s">
        <v>26</v>
      </c>
      <c r="B217" s="25" t="s">
        <v>97</v>
      </c>
      <c r="C217" s="120">
        <v>0.95833333333333337</v>
      </c>
      <c r="D217" s="25" t="s">
        <v>28</v>
      </c>
      <c r="E217" s="25" t="s">
        <v>29</v>
      </c>
      <c r="F217" s="25" t="s">
        <v>30</v>
      </c>
      <c r="G217" s="174"/>
      <c r="H217" s="19"/>
      <c r="I217" s="20"/>
      <c r="J217" s="20"/>
      <c r="K217" s="20"/>
      <c r="L217" s="20"/>
      <c r="M217" s="20"/>
      <c r="N217" s="20"/>
      <c r="O217" s="21"/>
      <c r="P217" s="20"/>
      <c r="Q217" s="22"/>
      <c r="R217" s="23"/>
    </row>
    <row r="218" spans="1:18" ht="15" customHeight="1" x14ac:dyDescent="0.3">
      <c r="A218" s="25" t="s">
        <v>58</v>
      </c>
      <c r="B218" s="25" t="s">
        <v>59</v>
      </c>
      <c r="C218" s="120">
        <v>0.1701388888888889</v>
      </c>
      <c r="D218" s="25" t="s">
        <v>60</v>
      </c>
      <c r="E218" s="25" t="s">
        <v>34</v>
      </c>
      <c r="F218" s="25" t="s">
        <v>62</v>
      </c>
      <c r="G218" s="174"/>
      <c r="H218" s="19"/>
      <c r="I218" s="20"/>
      <c r="J218" s="20"/>
      <c r="K218" s="20"/>
      <c r="L218" s="20"/>
      <c r="M218" s="20"/>
      <c r="N218" s="20"/>
      <c r="O218" s="21"/>
      <c r="P218" s="20"/>
      <c r="Q218" s="22"/>
      <c r="R218" s="23"/>
    </row>
    <row r="219" spans="1:18" ht="15" customHeight="1" x14ac:dyDescent="0.3">
      <c r="A219" s="26" t="s">
        <v>58</v>
      </c>
      <c r="B219" s="26" t="s">
        <v>63</v>
      </c>
      <c r="C219" s="121">
        <v>0.86458333333333337</v>
      </c>
      <c r="D219" s="26" t="s">
        <v>127</v>
      </c>
      <c r="E219" s="26" t="s">
        <v>29</v>
      </c>
      <c r="F219" s="26" t="s">
        <v>128</v>
      </c>
      <c r="G219" s="174"/>
      <c r="H219" s="19"/>
      <c r="I219" s="20"/>
      <c r="J219" s="20"/>
      <c r="K219" s="20"/>
      <c r="L219" s="20"/>
      <c r="M219" s="20"/>
      <c r="N219" s="20"/>
      <c r="O219" s="21"/>
      <c r="P219" s="20"/>
      <c r="Q219" s="22"/>
      <c r="R219" s="23"/>
    </row>
    <row r="220" spans="1:18" ht="15" customHeight="1" thickBot="1" x14ac:dyDescent="0.35">
      <c r="A220" s="33" t="s">
        <v>68</v>
      </c>
      <c r="B220" s="33" t="s">
        <v>69</v>
      </c>
      <c r="C220" s="125">
        <v>0.30555555555555558</v>
      </c>
      <c r="D220" s="33" t="s">
        <v>70</v>
      </c>
      <c r="E220" s="33" t="s">
        <v>71</v>
      </c>
      <c r="F220" s="33" t="s">
        <v>122</v>
      </c>
      <c r="G220" s="175"/>
      <c r="H220" s="8"/>
      <c r="I220" s="9"/>
      <c r="J220" s="9"/>
      <c r="K220" s="9"/>
      <c r="L220" s="9"/>
      <c r="M220" s="9"/>
      <c r="N220" s="9"/>
      <c r="O220" s="10"/>
      <c r="P220" s="9"/>
      <c r="Q220" s="11"/>
      <c r="R220" s="12"/>
    </row>
    <row r="221" spans="1:18" ht="17.399999999999999" customHeight="1" thickBot="1" x14ac:dyDescent="0.35">
      <c r="A221" s="179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1"/>
    </row>
    <row r="222" spans="1:18" ht="22.05" customHeight="1" thickTop="1" thickBot="1" x14ac:dyDescent="0.35">
      <c r="A222" s="182" t="s">
        <v>6</v>
      </c>
      <c r="B222" s="177"/>
      <c r="C222" s="177"/>
      <c r="D222" s="177"/>
      <c r="E222" s="177"/>
      <c r="F222" s="178"/>
      <c r="G222" s="115">
        <v>46006</v>
      </c>
      <c r="H222" s="184" t="s">
        <v>7</v>
      </c>
      <c r="I222" s="177"/>
      <c r="J222" s="177"/>
      <c r="K222" s="177"/>
      <c r="L222" s="177"/>
      <c r="M222" s="177"/>
      <c r="N222" s="177"/>
      <c r="O222" s="177"/>
      <c r="P222" s="177"/>
      <c r="Q222" s="177"/>
      <c r="R222" s="178"/>
    </row>
    <row r="223" spans="1:18" ht="24" customHeight="1" x14ac:dyDescent="0.3">
      <c r="A223" s="13" t="s">
        <v>8</v>
      </c>
      <c r="B223" s="13" t="s">
        <v>9</v>
      </c>
      <c r="C223" s="116" t="s">
        <v>10</v>
      </c>
      <c r="D223" s="13" t="s">
        <v>11</v>
      </c>
      <c r="E223" s="13" t="s">
        <v>12</v>
      </c>
      <c r="F223" s="14" t="s">
        <v>13</v>
      </c>
      <c r="G223" s="15" t="s">
        <v>14</v>
      </c>
      <c r="H223" s="13" t="s">
        <v>15</v>
      </c>
      <c r="I223" s="117" t="s">
        <v>16</v>
      </c>
      <c r="J223" s="16" t="s">
        <v>17</v>
      </c>
      <c r="K223" s="17" t="s">
        <v>18</v>
      </c>
      <c r="L223" s="16" t="s">
        <v>19</v>
      </c>
      <c r="M223" s="16" t="s">
        <v>20</v>
      </c>
      <c r="N223" s="16" t="s">
        <v>21</v>
      </c>
      <c r="O223" s="13" t="s">
        <v>22</v>
      </c>
      <c r="P223" s="116" t="s">
        <v>23</v>
      </c>
      <c r="Q223" s="16" t="s">
        <v>24</v>
      </c>
      <c r="R223" s="13" t="s">
        <v>25</v>
      </c>
    </row>
    <row r="224" spans="1:18" ht="15" customHeight="1" x14ac:dyDescent="0.3">
      <c r="A224" s="18" t="s">
        <v>31</v>
      </c>
      <c r="B224" s="18" t="s">
        <v>32</v>
      </c>
      <c r="C224" s="118">
        <v>0.30555555555555558</v>
      </c>
      <c r="D224" s="18" t="s">
        <v>33</v>
      </c>
      <c r="E224" s="18" t="s">
        <v>123</v>
      </c>
      <c r="F224" s="18" t="s">
        <v>114</v>
      </c>
      <c r="G224" s="183"/>
      <c r="H224" s="19"/>
      <c r="I224" s="20"/>
      <c r="J224" s="20"/>
      <c r="K224" s="20"/>
      <c r="L224" s="20"/>
      <c r="M224" s="20"/>
      <c r="N224" s="20"/>
      <c r="O224" s="21"/>
      <c r="P224" s="20"/>
      <c r="Q224" s="22"/>
      <c r="R224" s="23"/>
    </row>
    <row r="225" spans="1:18" ht="15" customHeight="1" x14ac:dyDescent="0.3">
      <c r="A225" s="24" t="s">
        <v>31</v>
      </c>
      <c r="B225" s="24" t="s">
        <v>32</v>
      </c>
      <c r="C225" s="119">
        <v>0.30555555555555558</v>
      </c>
      <c r="D225" s="24" t="s">
        <v>36</v>
      </c>
      <c r="E225" s="24" t="s">
        <v>123</v>
      </c>
      <c r="F225" s="24" t="s">
        <v>115</v>
      </c>
      <c r="G225" s="174"/>
      <c r="H225" s="19"/>
      <c r="I225" s="20"/>
      <c r="J225" s="20"/>
      <c r="K225" s="20"/>
      <c r="L225" s="20"/>
      <c r="M225" s="20"/>
      <c r="N225" s="20"/>
      <c r="O225" s="21"/>
      <c r="P225" s="20"/>
      <c r="Q225" s="22"/>
      <c r="R225" s="23"/>
    </row>
    <row r="226" spans="1:18" ht="15" customHeight="1" x14ac:dyDescent="0.3">
      <c r="A226" s="24" t="s">
        <v>31</v>
      </c>
      <c r="B226" s="24" t="s">
        <v>32</v>
      </c>
      <c r="C226" s="119">
        <v>0.30555555555555558</v>
      </c>
      <c r="D226" s="24" t="s">
        <v>38</v>
      </c>
      <c r="E226" s="24" t="s">
        <v>123</v>
      </c>
      <c r="F226" s="24" t="s">
        <v>86</v>
      </c>
      <c r="G226" s="174"/>
      <c r="H226" s="19"/>
      <c r="I226" s="20"/>
      <c r="J226" s="20"/>
      <c r="K226" s="20"/>
      <c r="L226" s="20"/>
      <c r="M226" s="20"/>
      <c r="N226" s="20"/>
      <c r="O226" s="21"/>
      <c r="P226" s="20"/>
      <c r="Q226" s="22"/>
      <c r="R226" s="23"/>
    </row>
    <row r="227" spans="1:18" ht="15" customHeight="1" x14ac:dyDescent="0.3">
      <c r="A227" s="25" t="s">
        <v>40</v>
      </c>
      <c r="B227" s="25" t="s">
        <v>41</v>
      </c>
      <c r="C227" s="120">
        <v>0.2013888888888889</v>
      </c>
      <c r="D227" s="25" t="s">
        <v>42</v>
      </c>
      <c r="E227" s="25" t="s">
        <v>79</v>
      </c>
      <c r="F227" s="25" t="s">
        <v>44</v>
      </c>
      <c r="G227" s="174"/>
      <c r="H227" s="19"/>
      <c r="I227" s="20"/>
      <c r="J227" s="20"/>
      <c r="K227" s="20"/>
      <c r="L227" s="20"/>
      <c r="M227" s="20"/>
      <c r="N227" s="20"/>
      <c r="O227" s="21"/>
      <c r="P227" s="20"/>
      <c r="Q227" s="22"/>
      <c r="R227" s="23"/>
    </row>
    <row r="228" spans="1:18" ht="15" customHeight="1" x14ac:dyDescent="0.3">
      <c r="A228" s="24" t="s">
        <v>40</v>
      </c>
      <c r="B228" s="24" t="s">
        <v>41</v>
      </c>
      <c r="C228" s="119">
        <v>0.2013888888888889</v>
      </c>
      <c r="D228" s="24" t="s">
        <v>45</v>
      </c>
      <c r="E228" s="24" t="s">
        <v>79</v>
      </c>
      <c r="F228" s="24" t="s">
        <v>46</v>
      </c>
      <c r="G228" s="174"/>
      <c r="H228" s="19"/>
      <c r="I228" s="20"/>
      <c r="J228" s="20"/>
      <c r="K228" s="20"/>
      <c r="L228" s="20"/>
      <c r="M228" s="20"/>
      <c r="N228" s="20"/>
      <c r="O228" s="21"/>
      <c r="P228" s="20"/>
      <c r="Q228" s="22"/>
      <c r="R228" s="23"/>
    </row>
    <row r="229" spans="1:18" ht="15" customHeight="1" x14ac:dyDescent="0.3">
      <c r="A229" s="24" t="s">
        <v>40</v>
      </c>
      <c r="B229" s="24" t="s">
        <v>41</v>
      </c>
      <c r="C229" s="119">
        <v>0.2013888888888889</v>
      </c>
      <c r="D229" s="24" t="s">
        <v>38</v>
      </c>
      <c r="E229" s="24" t="s">
        <v>79</v>
      </c>
      <c r="F229" s="24" t="s">
        <v>47</v>
      </c>
      <c r="G229" s="174"/>
      <c r="H229" s="19"/>
      <c r="I229" s="20"/>
      <c r="J229" s="20"/>
      <c r="K229" s="20"/>
      <c r="L229" s="20"/>
      <c r="M229" s="20"/>
      <c r="N229" s="20"/>
      <c r="O229" s="21"/>
      <c r="P229" s="20"/>
      <c r="Q229" s="22"/>
      <c r="R229" s="23"/>
    </row>
    <row r="230" spans="1:18" ht="15" customHeight="1" x14ac:dyDescent="0.3">
      <c r="A230" s="26" t="s">
        <v>40</v>
      </c>
      <c r="B230" s="26" t="s">
        <v>48</v>
      </c>
      <c r="C230" s="121">
        <v>0.83680555555555558</v>
      </c>
      <c r="D230" s="26" t="s">
        <v>42</v>
      </c>
      <c r="E230" s="26" t="s">
        <v>43</v>
      </c>
      <c r="F230" s="26" t="s">
        <v>107</v>
      </c>
      <c r="G230" s="174"/>
      <c r="H230" s="19"/>
      <c r="I230" s="20"/>
      <c r="J230" s="20"/>
      <c r="K230" s="20"/>
      <c r="L230" s="20"/>
      <c r="M230" s="20"/>
      <c r="N230" s="20"/>
      <c r="O230" s="21"/>
      <c r="P230" s="20"/>
      <c r="Q230" s="22"/>
      <c r="R230" s="23"/>
    </row>
    <row r="231" spans="1:18" ht="15" customHeight="1" x14ac:dyDescent="0.3">
      <c r="A231" s="24" t="s">
        <v>40</v>
      </c>
      <c r="B231" s="24" t="s">
        <v>48</v>
      </c>
      <c r="C231" s="119">
        <v>0.83680555555555558</v>
      </c>
      <c r="D231" s="24" t="s">
        <v>45</v>
      </c>
      <c r="E231" s="24" t="s">
        <v>43</v>
      </c>
      <c r="F231" s="24" t="s">
        <v>108</v>
      </c>
      <c r="G231" s="174"/>
      <c r="H231" s="19"/>
      <c r="I231" s="20"/>
      <c r="J231" s="20"/>
      <c r="K231" s="20"/>
      <c r="L231" s="20"/>
      <c r="M231" s="20"/>
      <c r="N231" s="20"/>
      <c r="O231" s="21"/>
      <c r="P231" s="20"/>
      <c r="Q231" s="22"/>
      <c r="R231" s="23"/>
    </row>
    <row r="232" spans="1:18" ht="15" customHeight="1" x14ac:dyDescent="0.3">
      <c r="A232" s="24" t="s">
        <v>40</v>
      </c>
      <c r="B232" s="24" t="s">
        <v>48</v>
      </c>
      <c r="C232" s="119">
        <v>0.83680555555555558</v>
      </c>
      <c r="D232" s="24" t="s">
        <v>38</v>
      </c>
      <c r="E232" s="24" t="s">
        <v>43</v>
      </c>
      <c r="F232" s="24" t="s">
        <v>109</v>
      </c>
      <c r="G232" s="174"/>
      <c r="H232" s="19"/>
      <c r="I232" s="20"/>
      <c r="J232" s="20"/>
      <c r="K232" s="20"/>
      <c r="L232" s="20"/>
      <c r="M232" s="20"/>
      <c r="N232" s="20"/>
      <c r="O232" s="21"/>
      <c r="P232" s="20"/>
      <c r="Q232" s="22"/>
      <c r="R232" s="23"/>
    </row>
    <row r="233" spans="1:18" ht="15" customHeight="1" x14ac:dyDescent="0.3">
      <c r="A233" s="25" t="s">
        <v>58</v>
      </c>
      <c r="B233" s="25" t="s">
        <v>59</v>
      </c>
      <c r="C233" s="120">
        <v>0.1701388888888889</v>
      </c>
      <c r="D233" s="25" t="s">
        <v>60</v>
      </c>
      <c r="E233" s="25" t="s">
        <v>29</v>
      </c>
      <c r="F233" s="25" t="s">
        <v>62</v>
      </c>
      <c r="G233" s="174"/>
      <c r="H233" s="19"/>
      <c r="I233" s="20"/>
      <c r="J233" s="20"/>
      <c r="K233" s="20"/>
      <c r="L233" s="20"/>
      <c r="M233" s="20"/>
      <c r="N233" s="20"/>
      <c r="O233" s="21"/>
      <c r="P233" s="20"/>
      <c r="Q233" s="22"/>
      <c r="R233" s="23"/>
    </row>
    <row r="234" spans="1:18" ht="15" customHeight="1" x14ac:dyDescent="0.3">
      <c r="A234" s="26" t="s">
        <v>58</v>
      </c>
      <c r="B234" s="26" t="s">
        <v>63</v>
      </c>
      <c r="C234" s="121">
        <v>0.86458333333333337</v>
      </c>
      <c r="D234" s="26" t="s">
        <v>127</v>
      </c>
      <c r="E234" s="26" t="s">
        <v>29</v>
      </c>
      <c r="F234" s="26" t="s">
        <v>128</v>
      </c>
      <c r="G234" s="174"/>
      <c r="H234" s="19"/>
      <c r="I234" s="20"/>
      <c r="J234" s="20"/>
      <c r="K234" s="20"/>
      <c r="L234" s="20"/>
      <c r="M234" s="20"/>
      <c r="N234" s="20"/>
      <c r="O234" s="21"/>
      <c r="P234" s="20"/>
      <c r="Q234" s="22"/>
      <c r="R234" s="23"/>
    </row>
    <row r="235" spans="1:18" ht="15" customHeight="1" x14ac:dyDescent="0.3">
      <c r="A235" s="26" t="s">
        <v>58</v>
      </c>
      <c r="B235" s="26" t="s">
        <v>66</v>
      </c>
      <c r="C235" s="121">
        <v>0.52777777777777779</v>
      </c>
      <c r="D235" s="26" t="s">
        <v>64</v>
      </c>
      <c r="E235" s="26" t="s">
        <v>29</v>
      </c>
      <c r="F235" s="26" t="s">
        <v>104</v>
      </c>
      <c r="G235" s="174"/>
      <c r="H235" s="19"/>
      <c r="I235" s="20"/>
      <c r="J235" s="20"/>
      <c r="K235" s="20"/>
      <c r="L235" s="20"/>
      <c r="M235" s="20"/>
      <c r="N235" s="20"/>
      <c r="O235" s="21"/>
      <c r="P235" s="20"/>
      <c r="Q235" s="22"/>
      <c r="R235" s="23"/>
    </row>
    <row r="236" spans="1:18" ht="15" customHeight="1" x14ac:dyDescent="0.3">
      <c r="A236" s="25" t="s">
        <v>26</v>
      </c>
      <c r="B236" s="25" t="s">
        <v>27</v>
      </c>
      <c r="C236" s="120">
        <v>0.95833333333333337</v>
      </c>
      <c r="D236" s="25" t="s">
        <v>28</v>
      </c>
      <c r="E236" s="25" t="s">
        <v>29</v>
      </c>
      <c r="F236" s="25" t="s">
        <v>49</v>
      </c>
      <c r="G236" s="174"/>
      <c r="H236" s="19"/>
      <c r="I236" s="20"/>
      <c r="J236" s="20"/>
      <c r="K236" s="20"/>
      <c r="L236" s="20"/>
      <c r="M236" s="20"/>
      <c r="N236" s="20"/>
      <c r="O236" s="21"/>
      <c r="P236" s="20"/>
      <c r="Q236" s="22"/>
      <c r="R236" s="23"/>
    </row>
    <row r="237" spans="1:18" ht="15" customHeight="1" thickBot="1" x14ac:dyDescent="0.35">
      <c r="A237" s="33" t="s">
        <v>68</v>
      </c>
      <c r="B237" s="33" t="s">
        <v>69</v>
      </c>
      <c r="C237" s="125">
        <v>0.30555555555555558</v>
      </c>
      <c r="D237" s="33" t="s">
        <v>70</v>
      </c>
      <c r="E237" s="33" t="s">
        <v>71</v>
      </c>
      <c r="F237" s="33" t="s">
        <v>122</v>
      </c>
      <c r="G237" s="175"/>
      <c r="H237" s="8"/>
      <c r="I237" s="9"/>
      <c r="J237" s="9"/>
      <c r="K237" s="9"/>
      <c r="L237" s="9"/>
      <c r="M237" s="9"/>
      <c r="N237" s="9"/>
      <c r="O237" s="10"/>
      <c r="P237" s="9"/>
      <c r="Q237" s="11"/>
      <c r="R237" s="12"/>
    </row>
    <row r="238" spans="1:18" ht="17.399999999999999" customHeight="1" thickBot="1" x14ac:dyDescent="0.35">
      <c r="A238" s="179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1"/>
    </row>
    <row r="239" spans="1:18" ht="22.05" customHeight="1" thickTop="1" thickBot="1" x14ac:dyDescent="0.35">
      <c r="A239" s="182" t="s">
        <v>6</v>
      </c>
      <c r="B239" s="177"/>
      <c r="C239" s="177"/>
      <c r="D239" s="177"/>
      <c r="E239" s="177"/>
      <c r="F239" s="178"/>
      <c r="G239" s="115">
        <v>46007</v>
      </c>
      <c r="H239" s="184" t="s">
        <v>7</v>
      </c>
      <c r="I239" s="177"/>
      <c r="J239" s="177"/>
      <c r="K239" s="177"/>
      <c r="L239" s="177"/>
      <c r="M239" s="177"/>
      <c r="N239" s="177"/>
      <c r="O239" s="177"/>
      <c r="P239" s="177"/>
      <c r="Q239" s="177"/>
      <c r="R239" s="178"/>
    </row>
    <row r="240" spans="1:18" ht="24" customHeight="1" x14ac:dyDescent="0.3">
      <c r="A240" s="13" t="s">
        <v>8</v>
      </c>
      <c r="B240" s="13" t="s">
        <v>9</v>
      </c>
      <c r="C240" s="116" t="s">
        <v>10</v>
      </c>
      <c r="D240" s="13" t="s">
        <v>11</v>
      </c>
      <c r="E240" s="13" t="s">
        <v>12</v>
      </c>
      <c r="F240" s="14" t="s">
        <v>13</v>
      </c>
      <c r="G240" s="15" t="s">
        <v>14</v>
      </c>
      <c r="H240" s="13" t="s">
        <v>15</v>
      </c>
      <c r="I240" s="117" t="s">
        <v>16</v>
      </c>
      <c r="J240" s="16" t="s">
        <v>17</v>
      </c>
      <c r="K240" s="17" t="s">
        <v>18</v>
      </c>
      <c r="L240" s="16" t="s">
        <v>19</v>
      </c>
      <c r="M240" s="16" t="s">
        <v>20</v>
      </c>
      <c r="N240" s="16" t="s">
        <v>21</v>
      </c>
      <c r="O240" s="13" t="s">
        <v>22</v>
      </c>
      <c r="P240" s="116" t="s">
        <v>23</v>
      </c>
      <c r="Q240" s="16" t="s">
        <v>24</v>
      </c>
      <c r="R240" s="13" t="s">
        <v>25</v>
      </c>
    </row>
    <row r="241" spans="1:18" ht="15" customHeight="1" x14ac:dyDescent="0.3">
      <c r="A241" s="18" t="s">
        <v>31</v>
      </c>
      <c r="B241" s="18" t="s">
        <v>32</v>
      </c>
      <c r="C241" s="118">
        <v>0.30555555555555558</v>
      </c>
      <c r="D241" s="18" t="s">
        <v>33</v>
      </c>
      <c r="E241" s="18" t="s">
        <v>147</v>
      </c>
      <c r="F241" s="18" t="s">
        <v>114</v>
      </c>
      <c r="G241" s="183"/>
      <c r="H241" s="19"/>
      <c r="I241" s="20"/>
      <c r="J241" s="20"/>
      <c r="K241" s="20"/>
      <c r="L241" s="20"/>
      <c r="M241" s="20"/>
      <c r="N241" s="20"/>
      <c r="O241" s="21"/>
      <c r="P241" s="20"/>
      <c r="Q241" s="22"/>
      <c r="R241" s="23"/>
    </row>
    <row r="242" spans="1:18" ht="15" customHeight="1" x14ac:dyDescent="0.3">
      <c r="A242" s="24" t="s">
        <v>31</v>
      </c>
      <c r="B242" s="24" t="s">
        <v>32</v>
      </c>
      <c r="C242" s="119">
        <v>0.30555555555555558</v>
      </c>
      <c r="D242" s="24" t="s">
        <v>36</v>
      </c>
      <c r="E242" s="24" t="s">
        <v>147</v>
      </c>
      <c r="F242" s="24" t="s">
        <v>115</v>
      </c>
      <c r="G242" s="174"/>
      <c r="H242" s="19"/>
      <c r="I242" s="20"/>
      <c r="J242" s="20"/>
      <c r="K242" s="20"/>
      <c r="L242" s="20"/>
      <c r="M242" s="20"/>
      <c r="N242" s="20"/>
      <c r="O242" s="21"/>
      <c r="P242" s="20"/>
      <c r="Q242" s="22"/>
      <c r="R242" s="23"/>
    </row>
    <row r="243" spans="1:18" ht="15" customHeight="1" x14ac:dyDescent="0.3">
      <c r="A243" s="24" t="s">
        <v>31</v>
      </c>
      <c r="B243" s="24" t="s">
        <v>32</v>
      </c>
      <c r="C243" s="119">
        <v>0.30555555555555558</v>
      </c>
      <c r="D243" s="24" t="s">
        <v>38</v>
      </c>
      <c r="E243" s="24" t="s">
        <v>147</v>
      </c>
      <c r="F243" s="24" t="s">
        <v>86</v>
      </c>
      <c r="G243" s="174"/>
      <c r="H243" s="19"/>
      <c r="I243" s="20"/>
      <c r="J243" s="20"/>
      <c r="K243" s="20"/>
      <c r="L243" s="20"/>
      <c r="M243" s="20"/>
      <c r="N243" s="20"/>
      <c r="O243" s="21"/>
      <c r="P243" s="20"/>
      <c r="Q243" s="22"/>
      <c r="R243" s="23"/>
    </row>
    <row r="244" spans="1:18" ht="15" customHeight="1" x14ac:dyDescent="0.3">
      <c r="A244" s="25" t="s">
        <v>40</v>
      </c>
      <c r="B244" s="25" t="s">
        <v>41</v>
      </c>
      <c r="C244" s="120">
        <v>0.2013888888888889</v>
      </c>
      <c r="D244" s="25" t="s">
        <v>42</v>
      </c>
      <c r="E244" s="25" t="s">
        <v>79</v>
      </c>
      <c r="F244" s="25" t="s">
        <v>44</v>
      </c>
      <c r="G244" s="174"/>
      <c r="H244" s="19"/>
      <c r="I244" s="20"/>
      <c r="J244" s="20"/>
      <c r="K244" s="20"/>
      <c r="L244" s="20"/>
      <c r="M244" s="20"/>
      <c r="N244" s="20"/>
      <c r="O244" s="21"/>
      <c r="P244" s="20"/>
      <c r="Q244" s="22"/>
      <c r="R244" s="23"/>
    </row>
    <row r="245" spans="1:18" ht="15" customHeight="1" x14ac:dyDescent="0.3">
      <c r="A245" s="24" t="s">
        <v>40</v>
      </c>
      <c r="B245" s="24" t="s">
        <v>41</v>
      </c>
      <c r="C245" s="119">
        <v>0.2013888888888889</v>
      </c>
      <c r="D245" s="24" t="s">
        <v>45</v>
      </c>
      <c r="E245" s="24" t="s">
        <v>79</v>
      </c>
      <c r="F245" s="24" t="s">
        <v>46</v>
      </c>
      <c r="G245" s="174"/>
      <c r="H245" s="19"/>
      <c r="I245" s="20"/>
      <c r="J245" s="20"/>
      <c r="K245" s="20"/>
      <c r="L245" s="20"/>
      <c r="M245" s="20"/>
      <c r="N245" s="20"/>
      <c r="O245" s="21"/>
      <c r="P245" s="20"/>
      <c r="Q245" s="22"/>
      <c r="R245" s="23"/>
    </row>
    <row r="246" spans="1:18" ht="15" customHeight="1" x14ac:dyDescent="0.3">
      <c r="A246" s="24" t="s">
        <v>40</v>
      </c>
      <c r="B246" s="24" t="s">
        <v>41</v>
      </c>
      <c r="C246" s="119">
        <v>0.2013888888888889</v>
      </c>
      <c r="D246" s="24" t="s">
        <v>38</v>
      </c>
      <c r="E246" s="24" t="s">
        <v>79</v>
      </c>
      <c r="F246" s="24" t="s">
        <v>47</v>
      </c>
      <c r="G246" s="174"/>
      <c r="H246" s="19"/>
      <c r="I246" s="20"/>
      <c r="J246" s="20"/>
      <c r="K246" s="20"/>
      <c r="L246" s="20"/>
      <c r="M246" s="20"/>
      <c r="N246" s="20"/>
      <c r="O246" s="21"/>
      <c r="P246" s="20"/>
      <c r="Q246" s="22"/>
      <c r="R246" s="23"/>
    </row>
    <row r="247" spans="1:18" ht="15" customHeight="1" x14ac:dyDescent="0.3">
      <c r="A247" s="26" t="s">
        <v>40</v>
      </c>
      <c r="B247" s="26" t="s">
        <v>48</v>
      </c>
      <c r="C247" s="121">
        <v>0.83680555555555558</v>
      </c>
      <c r="D247" s="26" t="s">
        <v>42</v>
      </c>
      <c r="E247" s="26" t="s">
        <v>43</v>
      </c>
      <c r="F247" s="26" t="s">
        <v>30</v>
      </c>
      <c r="G247" s="174"/>
      <c r="H247" s="19"/>
      <c r="I247" s="20"/>
      <c r="J247" s="20"/>
      <c r="K247" s="20"/>
      <c r="L247" s="20"/>
      <c r="M247" s="20"/>
      <c r="N247" s="20"/>
      <c r="O247" s="21"/>
      <c r="P247" s="20"/>
      <c r="Q247" s="22"/>
      <c r="R247" s="23"/>
    </row>
    <row r="248" spans="1:18" ht="15" customHeight="1" x14ac:dyDescent="0.3">
      <c r="A248" s="24" t="s">
        <v>40</v>
      </c>
      <c r="B248" s="24" t="s">
        <v>48</v>
      </c>
      <c r="C248" s="119">
        <v>0.83680555555555558</v>
      </c>
      <c r="D248" s="24" t="s">
        <v>45</v>
      </c>
      <c r="E248" s="24" t="s">
        <v>43</v>
      </c>
      <c r="F248" s="24" t="s">
        <v>90</v>
      </c>
      <c r="G248" s="174"/>
      <c r="H248" s="19"/>
      <c r="I248" s="20"/>
      <c r="J248" s="20"/>
      <c r="K248" s="20"/>
      <c r="L248" s="20"/>
      <c r="M248" s="20"/>
      <c r="N248" s="20"/>
      <c r="O248" s="21"/>
      <c r="P248" s="20"/>
      <c r="Q248" s="22"/>
      <c r="R248" s="23"/>
    </row>
    <row r="249" spans="1:18" ht="15" customHeight="1" x14ac:dyDescent="0.3">
      <c r="A249" s="24" t="s">
        <v>40</v>
      </c>
      <c r="B249" s="24" t="s">
        <v>48</v>
      </c>
      <c r="C249" s="119">
        <v>0.83680555555555558</v>
      </c>
      <c r="D249" s="24" t="s">
        <v>38</v>
      </c>
      <c r="E249" s="24" t="s">
        <v>43</v>
      </c>
      <c r="F249" s="24" t="s">
        <v>116</v>
      </c>
      <c r="G249" s="174"/>
      <c r="H249" s="19"/>
      <c r="I249" s="20"/>
      <c r="J249" s="20"/>
      <c r="K249" s="20"/>
      <c r="L249" s="20"/>
      <c r="M249" s="20"/>
      <c r="N249" s="20"/>
      <c r="O249" s="21"/>
      <c r="P249" s="20"/>
      <c r="Q249" s="22"/>
      <c r="R249" s="23"/>
    </row>
    <row r="250" spans="1:18" ht="15" customHeight="1" x14ac:dyDescent="0.3">
      <c r="A250" s="54" t="s">
        <v>51</v>
      </c>
      <c r="B250" s="54" t="s">
        <v>52</v>
      </c>
      <c r="C250" s="140">
        <v>0.27083333333333331</v>
      </c>
      <c r="D250" s="54" t="s">
        <v>28</v>
      </c>
      <c r="E250" s="54" t="s">
        <v>29</v>
      </c>
      <c r="F250" s="54" t="s">
        <v>30</v>
      </c>
      <c r="G250" s="174"/>
      <c r="H250" s="81" t="s">
        <v>54</v>
      </c>
      <c r="I250" s="141">
        <v>0.26190000000000002</v>
      </c>
      <c r="J250" s="82">
        <v>44</v>
      </c>
      <c r="K250" s="83">
        <v>45989</v>
      </c>
      <c r="L250" s="82">
        <v>16</v>
      </c>
      <c r="M250" s="82">
        <v>0</v>
      </c>
      <c r="N250" s="82">
        <v>0</v>
      </c>
      <c r="O250" s="84" t="s">
        <v>105</v>
      </c>
      <c r="P250" s="142">
        <v>0.27083333333333331</v>
      </c>
      <c r="Q250" s="82">
        <v>168</v>
      </c>
      <c r="R250" s="85" t="s">
        <v>148</v>
      </c>
    </row>
    <row r="251" spans="1:18" ht="15" customHeight="1" x14ac:dyDescent="0.3">
      <c r="A251" s="25" t="s">
        <v>26</v>
      </c>
      <c r="B251" s="25" t="s">
        <v>57</v>
      </c>
      <c r="C251" s="120">
        <v>0.95833333333333337</v>
      </c>
      <c r="D251" s="25" t="s">
        <v>28</v>
      </c>
      <c r="E251" s="25" t="s">
        <v>29</v>
      </c>
      <c r="F251" s="25" t="s">
        <v>30</v>
      </c>
      <c r="G251" s="174"/>
      <c r="H251" s="19"/>
      <c r="I251" s="20"/>
      <c r="J251" s="20"/>
      <c r="K251" s="20"/>
      <c r="L251" s="20"/>
      <c r="M251" s="20"/>
      <c r="N251" s="20"/>
      <c r="O251" s="21"/>
      <c r="P251" s="20"/>
      <c r="Q251" s="22"/>
      <c r="R251" s="23"/>
    </row>
    <row r="252" spans="1:18" ht="15" customHeight="1" x14ac:dyDescent="0.3">
      <c r="A252" s="25" t="s">
        <v>58</v>
      </c>
      <c r="B252" s="25" t="s">
        <v>63</v>
      </c>
      <c r="C252" s="120">
        <v>0.86458333333333337</v>
      </c>
      <c r="D252" s="25" t="s">
        <v>60</v>
      </c>
      <c r="E252" s="25" t="s">
        <v>29</v>
      </c>
      <c r="F252" s="25" t="s">
        <v>62</v>
      </c>
      <c r="G252" s="174"/>
      <c r="H252" s="19"/>
      <c r="I252" s="20"/>
      <c r="J252" s="20"/>
      <c r="K252" s="20"/>
      <c r="L252" s="20"/>
      <c r="M252" s="20"/>
      <c r="N252" s="20"/>
      <c r="O252" s="21"/>
      <c r="P252" s="20"/>
      <c r="Q252" s="22"/>
      <c r="R252" s="23"/>
    </row>
    <row r="253" spans="1:18" ht="15" customHeight="1" x14ac:dyDescent="0.3">
      <c r="A253" s="26" t="s">
        <v>58</v>
      </c>
      <c r="B253" s="26" t="s">
        <v>66</v>
      </c>
      <c r="C253" s="121">
        <v>0.52777777777777779</v>
      </c>
      <c r="D253" s="26" t="s">
        <v>60</v>
      </c>
      <c r="E253" s="26" t="s">
        <v>29</v>
      </c>
      <c r="F253" s="26" t="s">
        <v>62</v>
      </c>
      <c r="G253" s="174"/>
      <c r="H253" s="19"/>
      <c r="I253" s="20"/>
      <c r="J253" s="20"/>
      <c r="K253" s="20"/>
      <c r="L253" s="20"/>
      <c r="M253" s="20"/>
      <c r="N253" s="20"/>
      <c r="O253" s="21"/>
      <c r="P253" s="20"/>
      <c r="Q253" s="22"/>
      <c r="R253" s="23"/>
    </row>
    <row r="254" spans="1:18" ht="15" customHeight="1" x14ac:dyDescent="0.3">
      <c r="A254" s="26" t="s">
        <v>58</v>
      </c>
      <c r="B254" s="26" t="s">
        <v>59</v>
      </c>
      <c r="C254" s="121">
        <v>0.1701388888888889</v>
      </c>
      <c r="D254" s="26" t="s">
        <v>60</v>
      </c>
      <c r="E254" s="26" t="s">
        <v>29</v>
      </c>
      <c r="F254" s="26" t="s">
        <v>62</v>
      </c>
      <c r="G254" s="174"/>
      <c r="H254" s="19"/>
      <c r="I254" s="20"/>
      <c r="J254" s="20"/>
      <c r="K254" s="20"/>
      <c r="L254" s="20"/>
      <c r="M254" s="20"/>
      <c r="N254" s="20"/>
      <c r="O254" s="21"/>
      <c r="P254" s="20"/>
      <c r="Q254" s="22"/>
      <c r="R254" s="23"/>
    </row>
    <row r="255" spans="1:18" ht="15" customHeight="1" thickBot="1" x14ac:dyDescent="0.35">
      <c r="A255" s="33" t="s">
        <v>68</v>
      </c>
      <c r="B255" s="33" t="s">
        <v>69</v>
      </c>
      <c r="C255" s="125">
        <v>0.30555555555555558</v>
      </c>
      <c r="D255" s="33" t="s">
        <v>70</v>
      </c>
      <c r="E255" s="33" t="s">
        <v>71</v>
      </c>
      <c r="F255" s="33" t="s">
        <v>122</v>
      </c>
      <c r="G255" s="175"/>
      <c r="H255" s="8"/>
      <c r="I255" s="9"/>
      <c r="J255" s="9"/>
      <c r="K255" s="9"/>
      <c r="L255" s="9"/>
      <c r="M255" s="9"/>
      <c r="N255" s="9"/>
      <c r="O255" s="10"/>
      <c r="P255" s="9"/>
      <c r="Q255" s="11"/>
      <c r="R255" s="12"/>
    </row>
    <row r="256" spans="1:18" ht="17.399999999999999" customHeight="1" thickBot="1" x14ac:dyDescent="0.35">
      <c r="A256" s="179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1"/>
    </row>
    <row r="257" spans="1:18" ht="22.05" customHeight="1" thickTop="1" thickBot="1" x14ac:dyDescent="0.35">
      <c r="A257" s="182" t="s">
        <v>6</v>
      </c>
      <c r="B257" s="177"/>
      <c r="C257" s="177"/>
      <c r="D257" s="177"/>
      <c r="E257" s="177"/>
      <c r="F257" s="178"/>
      <c r="G257" s="115">
        <v>46008</v>
      </c>
      <c r="H257" s="184" t="s">
        <v>7</v>
      </c>
      <c r="I257" s="177"/>
      <c r="J257" s="177"/>
      <c r="K257" s="177"/>
      <c r="L257" s="177"/>
      <c r="M257" s="177"/>
      <c r="N257" s="177"/>
      <c r="O257" s="177"/>
      <c r="P257" s="177"/>
      <c r="Q257" s="177"/>
      <c r="R257" s="178"/>
    </row>
    <row r="258" spans="1:18" ht="24" customHeight="1" x14ac:dyDescent="0.3">
      <c r="A258" s="13" t="s">
        <v>8</v>
      </c>
      <c r="B258" s="13" t="s">
        <v>9</v>
      </c>
      <c r="C258" s="116" t="s">
        <v>10</v>
      </c>
      <c r="D258" s="13" t="s">
        <v>11</v>
      </c>
      <c r="E258" s="13" t="s">
        <v>12</v>
      </c>
      <c r="F258" s="14" t="s">
        <v>13</v>
      </c>
      <c r="G258" s="15" t="s">
        <v>14</v>
      </c>
      <c r="H258" s="13" t="s">
        <v>15</v>
      </c>
      <c r="I258" s="117" t="s">
        <v>16</v>
      </c>
      <c r="J258" s="16" t="s">
        <v>17</v>
      </c>
      <c r="K258" s="17" t="s">
        <v>18</v>
      </c>
      <c r="L258" s="16" t="s">
        <v>19</v>
      </c>
      <c r="M258" s="16" t="s">
        <v>20</v>
      </c>
      <c r="N258" s="16" t="s">
        <v>21</v>
      </c>
      <c r="O258" s="13" t="s">
        <v>22</v>
      </c>
      <c r="P258" s="116" t="s">
        <v>23</v>
      </c>
      <c r="Q258" s="16" t="s">
        <v>24</v>
      </c>
      <c r="R258" s="13" t="s">
        <v>25</v>
      </c>
    </row>
    <row r="259" spans="1:18" ht="15" customHeight="1" x14ac:dyDescent="0.3">
      <c r="A259" s="18" t="s">
        <v>31</v>
      </c>
      <c r="B259" s="18" t="s">
        <v>32</v>
      </c>
      <c r="C259" s="118">
        <v>0.30555555555555558</v>
      </c>
      <c r="D259" s="18" t="s">
        <v>33</v>
      </c>
      <c r="E259" s="18" t="s">
        <v>113</v>
      </c>
      <c r="F259" s="18" t="s">
        <v>114</v>
      </c>
      <c r="G259" s="183"/>
      <c r="H259" s="19"/>
      <c r="I259" s="20"/>
      <c r="J259" s="20"/>
      <c r="K259" s="20"/>
      <c r="L259" s="20"/>
      <c r="M259" s="20"/>
      <c r="N259" s="20"/>
      <c r="O259" s="21"/>
      <c r="P259" s="20"/>
      <c r="Q259" s="22"/>
      <c r="R259" s="23"/>
    </row>
    <row r="260" spans="1:18" ht="15" customHeight="1" x14ac:dyDescent="0.3">
      <c r="A260" s="24" t="s">
        <v>31</v>
      </c>
      <c r="B260" s="24" t="s">
        <v>32</v>
      </c>
      <c r="C260" s="119">
        <v>0.30555555555555558</v>
      </c>
      <c r="D260" s="24" t="s">
        <v>36</v>
      </c>
      <c r="E260" s="24" t="s">
        <v>113</v>
      </c>
      <c r="F260" s="24" t="s">
        <v>115</v>
      </c>
      <c r="G260" s="174"/>
      <c r="H260" s="19"/>
      <c r="I260" s="20"/>
      <c r="J260" s="20"/>
      <c r="K260" s="20"/>
      <c r="L260" s="20"/>
      <c r="M260" s="20"/>
      <c r="N260" s="20"/>
      <c r="O260" s="21"/>
      <c r="P260" s="20"/>
      <c r="Q260" s="22"/>
      <c r="R260" s="23"/>
    </row>
    <row r="261" spans="1:18" ht="15" customHeight="1" x14ac:dyDescent="0.3">
      <c r="A261" s="24" t="s">
        <v>31</v>
      </c>
      <c r="B261" s="24" t="s">
        <v>32</v>
      </c>
      <c r="C261" s="119">
        <v>0.30555555555555558</v>
      </c>
      <c r="D261" s="24" t="s">
        <v>38</v>
      </c>
      <c r="E261" s="24" t="s">
        <v>113</v>
      </c>
      <c r="F261" s="24" t="s">
        <v>86</v>
      </c>
      <c r="G261" s="174"/>
      <c r="H261" s="19"/>
      <c r="I261" s="20"/>
      <c r="J261" s="20"/>
      <c r="K261" s="20"/>
      <c r="L261" s="20"/>
      <c r="M261" s="20"/>
      <c r="N261" s="20"/>
      <c r="O261" s="21"/>
      <c r="P261" s="20"/>
      <c r="Q261" s="22"/>
      <c r="R261" s="23"/>
    </row>
    <row r="262" spans="1:18" ht="15" customHeight="1" x14ac:dyDescent="0.3">
      <c r="A262" s="25" t="s">
        <v>76</v>
      </c>
      <c r="B262" s="25" t="s">
        <v>77</v>
      </c>
      <c r="C262" s="120">
        <v>0.97222222222222221</v>
      </c>
      <c r="D262" s="25" t="s">
        <v>78</v>
      </c>
      <c r="E262" s="25" t="s">
        <v>79</v>
      </c>
      <c r="F262" s="25" t="s">
        <v>149</v>
      </c>
      <c r="G262" s="174"/>
      <c r="H262" s="19"/>
      <c r="I262" s="20"/>
      <c r="J262" s="20"/>
      <c r="K262" s="20"/>
      <c r="L262" s="20"/>
      <c r="M262" s="20"/>
      <c r="N262" s="20"/>
      <c r="O262" s="21"/>
      <c r="P262" s="20"/>
      <c r="Q262" s="22"/>
      <c r="R262" s="23"/>
    </row>
    <row r="263" spans="1:18" ht="15" customHeight="1" x14ac:dyDescent="0.3">
      <c r="A263" s="24" t="s">
        <v>76</v>
      </c>
      <c r="B263" s="24" t="s">
        <v>77</v>
      </c>
      <c r="C263" s="119">
        <v>0.97222222222222221</v>
      </c>
      <c r="D263" s="24" t="s">
        <v>81</v>
      </c>
      <c r="E263" s="24" t="s">
        <v>79</v>
      </c>
      <c r="F263" s="24" t="s">
        <v>150</v>
      </c>
      <c r="G263" s="174"/>
      <c r="H263" s="19"/>
      <c r="I263" s="20"/>
      <c r="J263" s="20"/>
      <c r="K263" s="20"/>
      <c r="L263" s="20"/>
      <c r="M263" s="20"/>
      <c r="N263" s="20"/>
      <c r="O263" s="21"/>
      <c r="P263" s="20"/>
      <c r="Q263" s="22"/>
      <c r="R263" s="23"/>
    </row>
    <row r="264" spans="1:18" ht="15" customHeight="1" x14ac:dyDescent="0.3">
      <c r="A264" s="25" t="s">
        <v>73</v>
      </c>
      <c r="B264" s="25" t="s">
        <v>74</v>
      </c>
      <c r="C264" s="120">
        <v>9.0277777777777776E-2</v>
      </c>
      <c r="D264" s="25" t="s">
        <v>28</v>
      </c>
      <c r="E264" s="25" t="s">
        <v>61</v>
      </c>
      <c r="F264" s="25" t="s">
        <v>75</v>
      </c>
      <c r="G264" s="174"/>
      <c r="H264" s="19"/>
      <c r="I264" s="20"/>
      <c r="J264" s="20"/>
      <c r="K264" s="20"/>
      <c r="L264" s="20"/>
      <c r="M264" s="20"/>
      <c r="N264" s="20"/>
      <c r="O264" s="21"/>
      <c r="P264" s="20"/>
      <c r="Q264" s="22"/>
      <c r="R264" s="23"/>
    </row>
    <row r="265" spans="1:18" ht="15" customHeight="1" x14ac:dyDescent="0.3">
      <c r="A265" s="25" t="s">
        <v>40</v>
      </c>
      <c r="B265" s="25" t="s">
        <v>48</v>
      </c>
      <c r="C265" s="120">
        <v>0.85069444444444442</v>
      </c>
      <c r="D265" s="25" t="s">
        <v>42</v>
      </c>
      <c r="E265" s="25" t="s">
        <v>89</v>
      </c>
      <c r="F265" s="25" t="s">
        <v>30</v>
      </c>
      <c r="G265" s="174"/>
      <c r="H265" s="19"/>
      <c r="I265" s="20"/>
      <c r="J265" s="20"/>
      <c r="K265" s="20"/>
      <c r="L265" s="20"/>
      <c r="M265" s="20"/>
      <c r="N265" s="20"/>
      <c r="O265" s="21"/>
      <c r="P265" s="20"/>
      <c r="Q265" s="22"/>
      <c r="R265" s="23"/>
    </row>
    <row r="266" spans="1:18" ht="15" customHeight="1" x14ac:dyDescent="0.3">
      <c r="A266" s="24" t="s">
        <v>40</v>
      </c>
      <c r="B266" s="24" t="s">
        <v>48</v>
      </c>
      <c r="C266" s="119">
        <v>0.85069444444444442</v>
      </c>
      <c r="D266" s="24" t="s">
        <v>45</v>
      </c>
      <c r="E266" s="24" t="s">
        <v>89</v>
      </c>
      <c r="F266" s="24" t="s">
        <v>90</v>
      </c>
      <c r="G266" s="174"/>
      <c r="H266" s="19"/>
      <c r="I266" s="20"/>
      <c r="J266" s="20"/>
      <c r="K266" s="20"/>
      <c r="L266" s="20"/>
      <c r="M266" s="20"/>
      <c r="N266" s="20"/>
      <c r="O266" s="21"/>
      <c r="P266" s="20"/>
      <c r="Q266" s="22"/>
      <c r="R266" s="23"/>
    </row>
    <row r="267" spans="1:18" ht="15" customHeight="1" x14ac:dyDescent="0.3">
      <c r="A267" s="24" t="s">
        <v>40</v>
      </c>
      <c r="B267" s="24" t="s">
        <v>48</v>
      </c>
      <c r="C267" s="119">
        <v>0.85069444444444442</v>
      </c>
      <c r="D267" s="24" t="s">
        <v>38</v>
      </c>
      <c r="E267" s="24" t="s">
        <v>89</v>
      </c>
      <c r="F267" s="24" t="s">
        <v>116</v>
      </c>
      <c r="G267" s="174"/>
      <c r="H267" s="19"/>
      <c r="I267" s="20"/>
      <c r="J267" s="20"/>
      <c r="K267" s="20"/>
      <c r="L267" s="20"/>
      <c r="M267" s="20"/>
      <c r="N267" s="20"/>
      <c r="O267" s="21"/>
      <c r="P267" s="20"/>
      <c r="Q267" s="22"/>
      <c r="R267" s="23"/>
    </row>
    <row r="268" spans="1:18" ht="15" customHeight="1" x14ac:dyDescent="0.3">
      <c r="A268" s="25" t="s">
        <v>26</v>
      </c>
      <c r="B268" s="25" t="s">
        <v>27</v>
      </c>
      <c r="C268" s="120">
        <v>0.89583333333333337</v>
      </c>
      <c r="D268" s="25" t="s">
        <v>28</v>
      </c>
      <c r="E268" s="25" t="s">
        <v>29</v>
      </c>
      <c r="F268" s="25" t="s">
        <v>30</v>
      </c>
      <c r="G268" s="174"/>
      <c r="H268" s="19"/>
      <c r="I268" s="20"/>
      <c r="J268" s="20"/>
      <c r="K268" s="20"/>
      <c r="L268" s="20"/>
      <c r="M268" s="20"/>
      <c r="N268" s="20"/>
      <c r="O268" s="21"/>
      <c r="P268" s="20"/>
      <c r="Q268" s="22"/>
      <c r="R268" s="23"/>
    </row>
    <row r="269" spans="1:18" ht="15" customHeight="1" x14ac:dyDescent="0.3">
      <c r="A269" s="25" t="s">
        <v>58</v>
      </c>
      <c r="B269" s="25" t="s">
        <v>66</v>
      </c>
      <c r="C269" s="120">
        <v>0.52777777777777779</v>
      </c>
      <c r="D269" s="25" t="s">
        <v>60</v>
      </c>
      <c r="E269" s="25" t="s">
        <v>29</v>
      </c>
      <c r="F269" s="25" t="s">
        <v>62</v>
      </c>
      <c r="G269" s="174"/>
      <c r="H269" s="19"/>
      <c r="I269" s="20"/>
      <c r="J269" s="20"/>
      <c r="K269" s="20"/>
      <c r="L269" s="20"/>
      <c r="M269" s="20"/>
      <c r="N269" s="20"/>
      <c r="O269" s="21"/>
      <c r="P269" s="20"/>
      <c r="Q269" s="22"/>
      <c r="R269" s="23"/>
    </row>
    <row r="270" spans="1:18" ht="15" customHeight="1" x14ac:dyDescent="0.3">
      <c r="A270" s="26" t="s">
        <v>58</v>
      </c>
      <c r="B270" s="26" t="s">
        <v>59</v>
      </c>
      <c r="C270" s="121">
        <v>0.1701388888888889</v>
      </c>
      <c r="D270" s="26" t="s">
        <v>60</v>
      </c>
      <c r="E270" s="26" t="s">
        <v>29</v>
      </c>
      <c r="F270" s="26" t="s">
        <v>62</v>
      </c>
      <c r="G270" s="174"/>
      <c r="H270" s="19"/>
      <c r="I270" s="20"/>
      <c r="J270" s="20"/>
      <c r="K270" s="20"/>
      <c r="L270" s="20"/>
      <c r="M270" s="20"/>
      <c r="N270" s="20"/>
      <c r="O270" s="21"/>
      <c r="P270" s="20"/>
      <c r="Q270" s="22"/>
      <c r="R270" s="23"/>
    </row>
    <row r="271" spans="1:18" ht="15" customHeight="1" x14ac:dyDescent="0.3">
      <c r="A271" s="26" t="s">
        <v>58</v>
      </c>
      <c r="B271" s="26" t="s">
        <v>63</v>
      </c>
      <c r="C271" s="121">
        <v>0.86458333333333337</v>
      </c>
      <c r="D271" s="26" t="s">
        <v>64</v>
      </c>
      <c r="E271" s="26" t="s">
        <v>29</v>
      </c>
      <c r="F271" s="26" t="s">
        <v>104</v>
      </c>
      <c r="G271" s="174"/>
      <c r="H271" s="19"/>
      <c r="I271" s="20"/>
      <c r="J271" s="20"/>
      <c r="K271" s="20"/>
      <c r="L271" s="20"/>
      <c r="M271" s="20"/>
      <c r="N271" s="20"/>
      <c r="O271" s="21"/>
      <c r="P271" s="20"/>
      <c r="Q271" s="22"/>
      <c r="R271" s="23"/>
    </row>
    <row r="272" spans="1:18" ht="15" customHeight="1" thickBot="1" x14ac:dyDescent="0.35">
      <c r="A272" s="33" t="s">
        <v>68</v>
      </c>
      <c r="B272" s="33" t="s">
        <v>69</v>
      </c>
      <c r="C272" s="125">
        <v>0.30555555555555558</v>
      </c>
      <c r="D272" s="33" t="s">
        <v>70</v>
      </c>
      <c r="E272" s="33" t="s">
        <v>71</v>
      </c>
      <c r="F272" s="33" t="s">
        <v>122</v>
      </c>
      <c r="G272" s="175"/>
      <c r="H272" s="8"/>
      <c r="I272" s="9"/>
      <c r="J272" s="9"/>
      <c r="K272" s="9"/>
      <c r="L272" s="9"/>
      <c r="M272" s="9"/>
      <c r="N272" s="9"/>
      <c r="O272" s="10"/>
      <c r="P272" s="9"/>
      <c r="Q272" s="11"/>
      <c r="R272" s="12"/>
    </row>
    <row r="273" spans="1:18" ht="17.399999999999999" customHeight="1" thickBot="1" x14ac:dyDescent="0.35">
      <c r="A273" s="179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1"/>
    </row>
    <row r="274" spans="1:18" ht="22.05" customHeight="1" thickTop="1" thickBot="1" x14ac:dyDescent="0.35">
      <c r="A274" s="182" t="s">
        <v>6</v>
      </c>
      <c r="B274" s="177"/>
      <c r="C274" s="177"/>
      <c r="D274" s="177"/>
      <c r="E274" s="177"/>
      <c r="F274" s="178"/>
      <c r="G274" s="115">
        <v>46009</v>
      </c>
      <c r="H274" s="184" t="s">
        <v>7</v>
      </c>
      <c r="I274" s="177"/>
      <c r="J274" s="177"/>
      <c r="K274" s="177"/>
      <c r="L274" s="177"/>
      <c r="M274" s="177"/>
      <c r="N274" s="177"/>
      <c r="O274" s="177"/>
      <c r="P274" s="177"/>
      <c r="Q274" s="177"/>
      <c r="R274" s="178"/>
    </row>
    <row r="275" spans="1:18" ht="24" customHeight="1" x14ac:dyDescent="0.3">
      <c r="A275" s="13" t="s">
        <v>8</v>
      </c>
      <c r="B275" s="13" t="s">
        <v>9</v>
      </c>
      <c r="C275" s="116" t="s">
        <v>10</v>
      </c>
      <c r="D275" s="13" t="s">
        <v>11</v>
      </c>
      <c r="E275" s="13" t="s">
        <v>12</v>
      </c>
      <c r="F275" s="14" t="s">
        <v>13</v>
      </c>
      <c r="G275" s="15" t="s">
        <v>14</v>
      </c>
      <c r="H275" s="13" t="s">
        <v>15</v>
      </c>
      <c r="I275" s="117" t="s">
        <v>16</v>
      </c>
      <c r="J275" s="16" t="s">
        <v>17</v>
      </c>
      <c r="K275" s="17" t="s">
        <v>18</v>
      </c>
      <c r="L275" s="16" t="s">
        <v>19</v>
      </c>
      <c r="M275" s="16" t="s">
        <v>20</v>
      </c>
      <c r="N275" s="16" t="s">
        <v>21</v>
      </c>
      <c r="O275" s="13" t="s">
        <v>22</v>
      </c>
      <c r="P275" s="116" t="s">
        <v>23</v>
      </c>
      <c r="Q275" s="16" t="s">
        <v>24</v>
      </c>
      <c r="R275" s="13" t="s">
        <v>25</v>
      </c>
    </row>
    <row r="276" spans="1:18" ht="15" customHeight="1" x14ac:dyDescent="0.3">
      <c r="A276" s="18" t="s">
        <v>40</v>
      </c>
      <c r="B276" s="18" t="s">
        <v>41</v>
      </c>
      <c r="C276" s="118">
        <v>0.2013888888888889</v>
      </c>
      <c r="D276" s="18" t="s">
        <v>42</v>
      </c>
      <c r="E276" s="18" t="s">
        <v>79</v>
      </c>
      <c r="F276" s="18" t="s">
        <v>44</v>
      </c>
      <c r="G276" s="173"/>
      <c r="H276" s="19"/>
      <c r="I276" s="20"/>
      <c r="J276" s="20"/>
      <c r="K276" s="20"/>
      <c r="L276" s="20"/>
      <c r="M276" s="20"/>
      <c r="N276" s="20"/>
      <c r="O276" s="21"/>
      <c r="P276" s="20"/>
      <c r="Q276" s="22"/>
      <c r="R276" s="23"/>
    </row>
    <row r="277" spans="1:18" ht="15" customHeight="1" x14ac:dyDescent="0.3">
      <c r="A277" s="24" t="s">
        <v>40</v>
      </c>
      <c r="B277" s="24" t="s">
        <v>41</v>
      </c>
      <c r="C277" s="119">
        <v>0.2013888888888889</v>
      </c>
      <c r="D277" s="24" t="s">
        <v>45</v>
      </c>
      <c r="E277" s="24" t="s">
        <v>79</v>
      </c>
      <c r="F277" s="24" t="s">
        <v>46</v>
      </c>
      <c r="G277" s="174"/>
      <c r="H277" s="19"/>
      <c r="I277" s="20"/>
      <c r="J277" s="20"/>
      <c r="K277" s="20"/>
      <c r="L277" s="20"/>
      <c r="M277" s="20"/>
      <c r="N277" s="20"/>
      <c r="O277" s="21"/>
      <c r="P277" s="20"/>
      <c r="Q277" s="22"/>
      <c r="R277" s="23"/>
    </row>
    <row r="278" spans="1:18" ht="15" customHeight="1" x14ac:dyDescent="0.3">
      <c r="A278" s="24" t="s">
        <v>40</v>
      </c>
      <c r="B278" s="24" t="s">
        <v>41</v>
      </c>
      <c r="C278" s="119">
        <v>0.2013888888888889</v>
      </c>
      <c r="D278" s="24" t="s">
        <v>38</v>
      </c>
      <c r="E278" s="24" t="s">
        <v>79</v>
      </c>
      <c r="F278" s="24" t="s">
        <v>47</v>
      </c>
      <c r="G278" s="174"/>
      <c r="H278" s="19"/>
      <c r="I278" s="20"/>
      <c r="J278" s="20"/>
      <c r="K278" s="20"/>
      <c r="L278" s="20"/>
      <c r="M278" s="20"/>
      <c r="N278" s="20"/>
      <c r="O278" s="21"/>
      <c r="P278" s="20"/>
      <c r="Q278" s="22"/>
      <c r="R278" s="23"/>
    </row>
    <row r="279" spans="1:18" ht="15" customHeight="1" x14ac:dyDescent="0.3">
      <c r="A279" s="26" t="s">
        <v>40</v>
      </c>
      <c r="B279" s="26" t="s">
        <v>48</v>
      </c>
      <c r="C279" s="121">
        <v>0.83680555555555558</v>
      </c>
      <c r="D279" s="26" t="s">
        <v>42</v>
      </c>
      <c r="E279" s="26" t="s">
        <v>34</v>
      </c>
      <c r="F279" s="26" t="s">
        <v>138</v>
      </c>
      <c r="G279" s="174"/>
      <c r="H279" s="19"/>
      <c r="I279" s="20"/>
      <c r="J279" s="20"/>
      <c r="K279" s="20"/>
      <c r="L279" s="20"/>
      <c r="M279" s="20"/>
      <c r="N279" s="20"/>
      <c r="O279" s="21"/>
      <c r="P279" s="20"/>
      <c r="Q279" s="22"/>
      <c r="R279" s="23"/>
    </row>
    <row r="280" spans="1:18" ht="15" customHeight="1" x14ac:dyDescent="0.3">
      <c r="A280" s="24" t="s">
        <v>40</v>
      </c>
      <c r="B280" s="24" t="s">
        <v>48</v>
      </c>
      <c r="C280" s="119">
        <v>0.83680555555555558</v>
      </c>
      <c r="D280" s="24" t="s">
        <v>45</v>
      </c>
      <c r="E280" s="24" t="s">
        <v>34</v>
      </c>
      <c r="F280" s="24" t="s">
        <v>151</v>
      </c>
      <c r="G280" s="174"/>
      <c r="H280" s="19"/>
      <c r="I280" s="20"/>
      <c r="J280" s="20"/>
      <c r="K280" s="20"/>
      <c r="L280" s="20"/>
      <c r="M280" s="20"/>
      <c r="N280" s="20"/>
      <c r="O280" s="21"/>
      <c r="P280" s="20"/>
      <c r="Q280" s="22"/>
      <c r="R280" s="23"/>
    </row>
    <row r="281" spans="1:18" ht="15" customHeight="1" x14ac:dyDescent="0.3">
      <c r="A281" s="24" t="s">
        <v>40</v>
      </c>
      <c r="B281" s="24" t="s">
        <v>48</v>
      </c>
      <c r="C281" s="119">
        <v>0.83680555555555558</v>
      </c>
      <c r="D281" s="24" t="s">
        <v>38</v>
      </c>
      <c r="E281" s="24" t="s">
        <v>34</v>
      </c>
      <c r="F281" s="24" t="s">
        <v>152</v>
      </c>
      <c r="G281" s="174"/>
      <c r="H281" s="19"/>
      <c r="I281" s="20"/>
      <c r="J281" s="20"/>
      <c r="K281" s="20"/>
      <c r="L281" s="20"/>
      <c r="M281" s="20"/>
      <c r="N281" s="20"/>
      <c r="O281" s="21"/>
      <c r="P281" s="20"/>
      <c r="Q281" s="22"/>
      <c r="R281" s="23"/>
    </row>
    <row r="282" spans="1:18" ht="15" customHeight="1" x14ac:dyDescent="0.3">
      <c r="A282" s="25" t="s">
        <v>31</v>
      </c>
      <c r="B282" s="25" t="s">
        <v>32</v>
      </c>
      <c r="C282" s="120">
        <v>0.30555555555555558</v>
      </c>
      <c r="D282" s="25" t="s">
        <v>33</v>
      </c>
      <c r="E282" s="25" t="s">
        <v>43</v>
      </c>
      <c r="F282" s="25" t="s">
        <v>103</v>
      </c>
      <c r="G282" s="174"/>
      <c r="H282" s="19"/>
      <c r="I282" s="20"/>
      <c r="J282" s="20"/>
      <c r="K282" s="20"/>
      <c r="L282" s="20"/>
      <c r="M282" s="20"/>
      <c r="N282" s="20"/>
      <c r="O282" s="21"/>
      <c r="P282" s="20"/>
      <c r="Q282" s="22"/>
      <c r="R282" s="23"/>
    </row>
    <row r="283" spans="1:18" ht="15" customHeight="1" x14ac:dyDescent="0.3">
      <c r="A283" s="24" t="s">
        <v>31</v>
      </c>
      <c r="B283" s="24" t="s">
        <v>32</v>
      </c>
      <c r="C283" s="119">
        <v>0.30555555555555558</v>
      </c>
      <c r="D283" s="24" t="s">
        <v>36</v>
      </c>
      <c r="E283" s="24" t="s">
        <v>43</v>
      </c>
      <c r="F283" s="24" t="s">
        <v>104</v>
      </c>
      <c r="G283" s="174"/>
      <c r="H283" s="19"/>
      <c r="I283" s="20"/>
      <c r="J283" s="20"/>
      <c r="K283" s="20"/>
      <c r="L283" s="20"/>
      <c r="M283" s="20"/>
      <c r="N283" s="20"/>
      <c r="O283" s="21"/>
      <c r="P283" s="20"/>
      <c r="Q283" s="22"/>
      <c r="R283" s="23"/>
    </row>
    <row r="284" spans="1:18" ht="15" customHeight="1" x14ac:dyDescent="0.3">
      <c r="A284" s="24" t="s">
        <v>31</v>
      </c>
      <c r="B284" s="24" t="s">
        <v>32</v>
      </c>
      <c r="C284" s="119">
        <v>0.30555555555555558</v>
      </c>
      <c r="D284" s="24" t="s">
        <v>38</v>
      </c>
      <c r="E284" s="24" t="s">
        <v>43</v>
      </c>
      <c r="F284" s="24" t="s">
        <v>86</v>
      </c>
      <c r="G284" s="174"/>
      <c r="H284" s="19"/>
      <c r="I284" s="20"/>
      <c r="J284" s="20"/>
      <c r="K284" s="20"/>
      <c r="L284" s="20"/>
      <c r="M284" s="20"/>
      <c r="N284" s="20"/>
      <c r="O284" s="21"/>
      <c r="P284" s="20"/>
      <c r="Q284" s="22"/>
      <c r="R284" s="23"/>
    </row>
    <row r="285" spans="1:18" ht="15" customHeight="1" x14ac:dyDescent="0.3">
      <c r="A285" s="25" t="s">
        <v>58</v>
      </c>
      <c r="B285" s="25" t="s">
        <v>59</v>
      </c>
      <c r="C285" s="120">
        <v>0.1701388888888889</v>
      </c>
      <c r="D285" s="25" t="s">
        <v>60</v>
      </c>
      <c r="E285" s="25" t="s">
        <v>29</v>
      </c>
      <c r="F285" s="25" t="s">
        <v>62</v>
      </c>
      <c r="G285" s="174"/>
      <c r="H285" s="19"/>
      <c r="I285" s="20"/>
      <c r="J285" s="20"/>
      <c r="K285" s="20"/>
      <c r="L285" s="20"/>
      <c r="M285" s="20"/>
      <c r="N285" s="20"/>
      <c r="O285" s="21"/>
      <c r="P285" s="20"/>
      <c r="Q285" s="22"/>
      <c r="R285" s="23"/>
    </row>
    <row r="286" spans="1:18" ht="15" customHeight="1" x14ac:dyDescent="0.3">
      <c r="A286" s="26" t="s">
        <v>58</v>
      </c>
      <c r="B286" s="26" t="s">
        <v>66</v>
      </c>
      <c r="C286" s="121">
        <v>0.52777777777777779</v>
      </c>
      <c r="D286" s="26" t="s">
        <v>64</v>
      </c>
      <c r="E286" s="26" t="s">
        <v>29</v>
      </c>
      <c r="F286" s="26" t="s">
        <v>104</v>
      </c>
      <c r="G286" s="174"/>
      <c r="H286" s="19"/>
      <c r="I286" s="20"/>
      <c r="J286" s="20"/>
      <c r="K286" s="20"/>
      <c r="L286" s="20"/>
      <c r="M286" s="20"/>
      <c r="N286" s="20"/>
      <c r="O286" s="21"/>
      <c r="P286" s="20"/>
      <c r="Q286" s="22"/>
      <c r="R286" s="23"/>
    </row>
    <row r="287" spans="1:18" ht="15" customHeight="1" x14ac:dyDescent="0.3">
      <c r="A287" s="26" t="s">
        <v>58</v>
      </c>
      <c r="B287" s="26" t="s">
        <v>63</v>
      </c>
      <c r="C287" s="121">
        <v>0.86458333333333337</v>
      </c>
      <c r="D287" s="26" t="s">
        <v>64</v>
      </c>
      <c r="E287" s="26" t="s">
        <v>29</v>
      </c>
      <c r="F287" s="26" t="s">
        <v>110</v>
      </c>
      <c r="G287" s="174"/>
      <c r="H287" s="19"/>
      <c r="I287" s="20"/>
      <c r="J287" s="20"/>
      <c r="K287" s="20"/>
      <c r="L287" s="20"/>
      <c r="M287" s="20"/>
      <c r="N287" s="20"/>
      <c r="O287" s="21"/>
      <c r="P287" s="20"/>
      <c r="Q287" s="22"/>
      <c r="R287" s="23"/>
    </row>
    <row r="288" spans="1:18" ht="15" customHeight="1" x14ac:dyDescent="0.3">
      <c r="A288" s="25" t="s">
        <v>73</v>
      </c>
      <c r="B288" s="25" t="s">
        <v>74</v>
      </c>
      <c r="C288" s="120">
        <v>0.91319444444444442</v>
      </c>
      <c r="D288" s="25" t="s">
        <v>28</v>
      </c>
      <c r="E288" s="25" t="s">
        <v>34</v>
      </c>
      <c r="F288" s="25" t="s">
        <v>153</v>
      </c>
      <c r="G288" s="174"/>
      <c r="H288" s="19"/>
      <c r="I288" s="20"/>
      <c r="J288" s="20"/>
      <c r="K288" s="20"/>
      <c r="L288" s="20"/>
      <c r="M288" s="20"/>
      <c r="N288" s="20"/>
      <c r="O288" s="21"/>
      <c r="P288" s="20"/>
      <c r="Q288" s="22"/>
      <c r="R288" s="23"/>
    </row>
    <row r="289" spans="1:18" ht="15" customHeight="1" x14ac:dyDescent="0.3">
      <c r="A289" s="25" t="s">
        <v>26</v>
      </c>
      <c r="B289" s="25" t="s">
        <v>57</v>
      </c>
      <c r="C289" s="120">
        <v>0.95833333333333337</v>
      </c>
      <c r="D289" s="25" t="s">
        <v>28</v>
      </c>
      <c r="E289" s="25" t="s">
        <v>29</v>
      </c>
      <c r="F289" s="25" t="s">
        <v>49</v>
      </c>
      <c r="G289" s="174"/>
      <c r="H289" s="19"/>
      <c r="I289" s="20"/>
      <c r="J289" s="20"/>
      <c r="K289" s="20"/>
      <c r="L289" s="20"/>
      <c r="M289" s="20"/>
      <c r="N289" s="20"/>
      <c r="O289" s="21"/>
      <c r="P289" s="20"/>
      <c r="Q289" s="22"/>
      <c r="R289" s="23"/>
    </row>
    <row r="290" spans="1:18" ht="15" customHeight="1" x14ac:dyDescent="0.3">
      <c r="A290" s="34" t="s">
        <v>51</v>
      </c>
      <c r="B290" s="34" t="s">
        <v>52</v>
      </c>
      <c r="C290" s="126">
        <v>0.92361111111111116</v>
      </c>
      <c r="D290" s="34" t="s">
        <v>28</v>
      </c>
      <c r="E290" s="34" t="s">
        <v>29</v>
      </c>
      <c r="F290" s="34" t="s">
        <v>141</v>
      </c>
      <c r="G290" s="174"/>
      <c r="H290" s="98" t="s">
        <v>54</v>
      </c>
      <c r="I290" s="143">
        <v>0.375</v>
      </c>
      <c r="J290" s="99">
        <v>63</v>
      </c>
      <c r="K290" s="100">
        <v>45991</v>
      </c>
      <c r="L290" s="99">
        <v>23</v>
      </c>
      <c r="M290" s="99">
        <v>0</v>
      </c>
      <c r="N290" s="99">
        <v>2</v>
      </c>
      <c r="O290" s="101" t="s">
        <v>154</v>
      </c>
      <c r="P290" s="128">
        <v>0.92361111111111116</v>
      </c>
      <c r="Q290" s="99">
        <v>168</v>
      </c>
      <c r="R290" s="102" t="s">
        <v>155</v>
      </c>
    </row>
    <row r="291" spans="1:18" ht="15" customHeight="1" thickBot="1" x14ac:dyDescent="0.35">
      <c r="A291" s="33" t="s">
        <v>68</v>
      </c>
      <c r="B291" s="33" t="s">
        <v>69</v>
      </c>
      <c r="C291" s="125">
        <v>0.30555555555555558</v>
      </c>
      <c r="D291" s="33" t="s">
        <v>70</v>
      </c>
      <c r="E291" s="33" t="s">
        <v>71</v>
      </c>
      <c r="F291" s="33" t="s">
        <v>112</v>
      </c>
      <c r="G291" s="175"/>
      <c r="H291" s="8"/>
      <c r="I291" s="9"/>
      <c r="J291" s="9"/>
      <c r="K291" s="9"/>
      <c r="L291" s="9"/>
      <c r="M291" s="9"/>
      <c r="N291" s="9"/>
      <c r="O291" s="10"/>
      <c r="P291" s="9"/>
      <c r="Q291" s="11"/>
      <c r="R291" s="12"/>
    </row>
    <row r="292" spans="1:18" ht="17.399999999999999" customHeight="1" thickBot="1" x14ac:dyDescent="0.35">
      <c r="A292" s="179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1"/>
    </row>
    <row r="293" spans="1:18" ht="22.05" customHeight="1" thickTop="1" thickBot="1" x14ac:dyDescent="0.35">
      <c r="A293" s="182" t="s">
        <v>6</v>
      </c>
      <c r="B293" s="177"/>
      <c r="C293" s="177"/>
      <c r="D293" s="177"/>
      <c r="E293" s="177"/>
      <c r="F293" s="178"/>
      <c r="G293" s="115">
        <v>46010</v>
      </c>
      <c r="H293" s="184" t="s">
        <v>7</v>
      </c>
      <c r="I293" s="177"/>
      <c r="J293" s="177"/>
      <c r="K293" s="177"/>
      <c r="L293" s="177"/>
      <c r="M293" s="177"/>
      <c r="N293" s="177"/>
      <c r="O293" s="177"/>
      <c r="P293" s="177"/>
      <c r="Q293" s="177"/>
      <c r="R293" s="178"/>
    </row>
    <row r="294" spans="1:18" ht="24" customHeight="1" x14ac:dyDescent="0.3">
      <c r="A294" s="13" t="s">
        <v>8</v>
      </c>
      <c r="B294" s="13" t="s">
        <v>9</v>
      </c>
      <c r="C294" s="116" t="s">
        <v>10</v>
      </c>
      <c r="D294" s="13" t="s">
        <v>11</v>
      </c>
      <c r="E294" s="13" t="s">
        <v>12</v>
      </c>
      <c r="F294" s="14" t="s">
        <v>13</v>
      </c>
      <c r="G294" s="15" t="s">
        <v>14</v>
      </c>
      <c r="H294" s="13" t="s">
        <v>15</v>
      </c>
      <c r="I294" s="117" t="s">
        <v>16</v>
      </c>
      <c r="J294" s="16" t="s">
        <v>17</v>
      </c>
      <c r="K294" s="17" t="s">
        <v>18</v>
      </c>
      <c r="L294" s="16" t="s">
        <v>19</v>
      </c>
      <c r="M294" s="16" t="s">
        <v>20</v>
      </c>
      <c r="N294" s="16" t="s">
        <v>21</v>
      </c>
      <c r="O294" s="13" t="s">
        <v>22</v>
      </c>
      <c r="P294" s="116" t="s">
        <v>23</v>
      </c>
      <c r="Q294" s="16" t="s">
        <v>24</v>
      </c>
      <c r="R294" s="13" t="s">
        <v>25</v>
      </c>
    </row>
    <row r="295" spans="1:18" ht="15" customHeight="1" x14ac:dyDescent="0.3">
      <c r="A295" s="18" t="s">
        <v>40</v>
      </c>
      <c r="B295" s="18" t="s">
        <v>48</v>
      </c>
      <c r="C295" s="118">
        <v>0.83680555555555558</v>
      </c>
      <c r="D295" s="18" t="s">
        <v>42</v>
      </c>
      <c r="E295" s="18" t="s">
        <v>71</v>
      </c>
      <c r="F295" s="18" t="s">
        <v>44</v>
      </c>
      <c r="G295" s="183"/>
      <c r="H295" s="19"/>
      <c r="I295" s="20"/>
      <c r="J295" s="20"/>
      <c r="K295" s="20"/>
      <c r="L295" s="20"/>
      <c r="M295" s="20"/>
      <c r="N295" s="20"/>
      <c r="O295" s="21"/>
      <c r="P295" s="20"/>
      <c r="Q295" s="22"/>
      <c r="R295" s="23"/>
    </row>
    <row r="296" spans="1:18" ht="15" customHeight="1" x14ac:dyDescent="0.3">
      <c r="A296" s="24" t="s">
        <v>40</v>
      </c>
      <c r="B296" s="24" t="s">
        <v>48</v>
      </c>
      <c r="C296" s="119">
        <v>0.83680555555555558</v>
      </c>
      <c r="D296" s="24" t="s">
        <v>45</v>
      </c>
      <c r="E296" s="24" t="s">
        <v>71</v>
      </c>
      <c r="F296" s="24" t="s">
        <v>46</v>
      </c>
      <c r="G296" s="174"/>
      <c r="H296" s="19"/>
      <c r="I296" s="20"/>
      <c r="J296" s="20"/>
      <c r="K296" s="20"/>
      <c r="L296" s="20"/>
      <c r="M296" s="20"/>
      <c r="N296" s="20"/>
      <c r="O296" s="21"/>
      <c r="P296" s="20"/>
      <c r="Q296" s="22"/>
      <c r="R296" s="23"/>
    </row>
    <row r="297" spans="1:18" ht="15" customHeight="1" x14ac:dyDescent="0.3">
      <c r="A297" s="24" t="s">
        <v>40</v>
      </c>
      <c r="B297" s="24" t="s">
        <v>48</v>
      </c>
      <c r="C297" s="119">
        <v>0.83680555555555558</v>
      </c>
      <c r="D297" s="24" t="s">
        <v>38</v>
      </c>
      <c r="E297" s="24" t="s">
        <v>71</v>
      </c>
      <c r="F297" s="24" t="s">
        <v>47</v>
      </c>
      <c r="G297" s="174"/>
      <c r="H297" s="19"/>
      <c r="I297" s="20"/>
      <c r="J297" s="20"/>
      <c r="K297" s="20"/>
      <c r="L297" s="20"/>
      <c r="M297" s="20"/>
      <c r="N297" s="20"/>
      <c r="O297" s="21"/>
      <c r="P297" s="20"/>
      <c r="Q297" s="22"/>
      <c r="R297" s="23"/>
    </row>
    <row r="298" spans="1:18" ht="15" customHeight="1" x14ac:dyDescent="0.3">
      <c r="A298" s="55" t="s">
        <v>51</v>
      </c>
      <c r="B298" s="55" t="s">
        <v>52</v>
      </c>
      <c r="C298" s="144">
        <v>0.57986111111111116</v>
      </c>
      <c r="D298" s="55" t="s">
        <v>28</v>
      </c>
      <c r="E298" s="55" t="s">
        <v>29</v>
      </c>
      <c r="F298" s="55" t="s">
        <v>30</v>
      </c>
      <c r="G298" s="174"/>
      <c r="H298" s="93" t="s">
        <v>54</v>
      </c>
      <c r="I298" s="145">
        <v>0.27979999999999999</v>
      </c>
      <c r="J298" s="94">
        <v>47</v>
      </c>
      <c r="K298" s="95">
        <v>45992</v>
      </c>
      <c r="L298" s="94">
        <v>18</v>
      </c>
      <c r="M298" s="94">
        <v>6</v>
      </c>
      <c r="N298" s="94">
        <v>0</v>
      </c>
      <c r="O298" s="96" t="s">
        <v>105</v>
      </c>
      <c r="P298" s="146">
        <v>0.57986111111111116</v>
      </c>
      <c r="Q298" s="94">
        <v>168</v>
      </c>
      <c r="R298" s="97" t="s">
        <v>156</v>
      </c>
    </row>
    <row r="299" spans="1:18" ht="15" customHeight="1" x14ac:dyDescent="0.3">
      <c r="A299" s="25" t="s">
        <v>31</v>
      </c>
      <c r="B299" s="25" t="s">
        <v>32</v>
      </c>
      <c r="C299" s="120">
        <v>0.30555555555555558</v>
      </c>
      <c r="D299" s="25" t="s">
        <v>33</v>
      </c>
      <c r="E299" s="25" t="s">
        <v>89</v>
      </c>
      <c r="F299" s="25" t="s">
        <v>84</v>
      </c>
      <c r="G299" s="174"/>
      <c r="H299" s="19"/>
      <c r="I299" s="20"/>
      <c r="J299" s="20"/>
      <c r="K299" s="20"/>
      <c r="L299" s="20"/>
      <c r="M299" s="20"/>
      <c r="N299" s="20"/>
      <c r="O299" s="21"/>
      <c r="P299" s="20"/>
      <c r="Q299" s="22"/>
      <c r="R299" s="23"/>
    </row>
    <row r="300" spans="1:18" ht="15" customHeight="1" x14ac:dyDescent="0.3">
      <c r="A300" s="24" t="s">
        <v>31</v>
      </c>
      <c r="B300" s="24" t="s">
        <v>32</v>
      </c>
      <c r="C300" s="119">
        <v>0.30555555555555558</v>
      </c>
      <c r="D300" s="24" t="s">
        <v>36</v>
      </c>
      <c r="E300" s="24" t="s">
        <v>89</v>
      </c>
      <c r="F300" s="24" t="s">
        <v>85</v>
      </c>
      <c r="G300" s="174"/>
      <c r="H300" s="19"/>
      <c r="I300" s="20"/>
      <c r="J300" s="20"/>
      <c r="K300" s="20"/>
      <c r="L300" s="20"/>
      <c r="M300" s="20"/>
      <c r="N300" s="20"/>
      <c r="O300" s="21"/>
      <c r="P300" s="20"/>
      <c r="Q300" s="22"/>
      <c r="R300" s="23"/>
    </row>
    <row r="301" spans="1:18" ht="15" customHeight="1" x14ac:dyDescent="0.3">
      <c r="A301" s="24" t="s">
        <v>31</v>
      </c>
      <c r="B301" s="24" t="s">
        <v>32</v>
      </c>
      <c r="C301" s="119">
        <v>0.30555555555555558</v>
      </c>
      <c r="D301" s="24" t="s">
        <v>38</v>
      </c>
      <c r="E301" s="24" t="s">
        <v>89</v>
      </c>
      <c r="F301" s="24" t="s">
        <v>39</v>
      </c>
      <c r="G301" s="174"/>
      <c r="H301" s="19"/>
      <c r="I301" s="20"/>
      <c r="J301" s="20"/>
      <c r="K301" s="20"/>
      <c r="L301" s="20"/>
      <c r="M301" s="20"/>
      <c r="N301" s="20"/>
      <c r="O301" s="21"/>
      <c r="P301" s="20"/>
      <c r="Q301" s="22"/>
      <c r="R301" s="23"/>
    </row>
    <row r="302" spans="1:18" ht="15" customHeight="1" x14ac:dyDescent="0.3">
      <c r="A302" s="25" t="s">
        <v>58</v>
      </c>
      <c r="B302" s="25" t="s">
        <v>63</v>
      </c>
      <c r="C302" s="120">
        <v>0.86458333333333337</v>
      </c>
      <c r="D302" s="25" t="s">
        <v>60</v>
      </c>
      <c r="E302" s="25" t="s">
        <v>29</v>
      </c>
      <c r="F302" s="25" t="s">
        <v>62</v>
      </c>
      <c r="G302" s="174"/>
      <c r="H302" s="19"/>
      <c r="I302" s="20"/>
      <c r="J302" s="20"/>
      <c r="K302" s="20"/>
      <c r="L302" s="20"/>
      <c r="M302" s="20"/>
      <c r="N302" s="20"/>
      <c r="O302" s="21"/>
      <c r="P302" s="20"/>
      <c r="Q302" s="22"/>
      <c r="R302" s="23"/>
    </row>
    <row r="303" spans="1:18" ht="15" customHeight="1" x14ac:dyDescent="0.3">
      <c r="A303" s="26" t="s">
        <v>58</v>
      </c>
      <c r="B303" s="26" t="s">
        <v>59</v>
      </c>
      <c r="C303" s="121">
        <v>0.1701388888888889</v>
      </c>
      <c r="D303" s="26" t="s">
        <v>60</v>
      </c>
      <c r="E303" s="26" t="s">
        <v>29</v>
      </c>
      <c r="F303" s="26" t="s">
        <v>62</v>
      </c>
      <c r="G303" s="174"/>
      <c r="H303" s="19"/>
      <c r="I303" s="20"/>
      <c r="J303" s="20"/>
      <c r="K303" s="20"/>
      <c r="L303" s="20"/>
      <c r="M303" s="20"/>
      <c r="N303" s="20"/>
      <c r="O303" s="21"/>
      <c r="P303" s="20"/>
      <c r="Q303" s="22"/>
      <c r="R303" s="23"/>
    </row>
    <row r="304" spans="1:18" ht="15" customHeight="1" x14ac:dyDescent="0.3">
      <c r="A304" s="26" t="s">
        <v>58</v>
      </c>
      <c r="B304" s="26" t="s">
        <v>66</v>
      </c>
      <c r="C304" s="121">
        <v>0.52777777777777779</v>
      </c>
      <c r="D304" s="26" t="s">
        <v>64</v>
      </c>
      <c r="E304" s="26" t="s">
        <v>29</v>
      </c>
      <c r="F304" s="26" t="s">
        <v>140</v>
      </c>
      <c r="G304" s="174"/>
      <c r="H304" s="19"/>
      <c r="I304" s="20"/>
      <c r="J304" s="20"/>
      <c r="K304" s="20"/>
      <c r="L304" s="20"/>
      <c r="M304" s="20"/>
      <c r="N304" s="20"/>
      <c r="O304" s="21"/>
      <c r="P304" s="20"/>
      <c r="Q304" s="22"/>
      <c r="R304" s="23"/>
    </row>
    <row r="305" spans="1:18" ht="15" customHeight="1" x14ac:dyDescent="0.3">
      <c r="A305" s="25" t="s">
        <v>26</v>
      </c>
      <c r="B305" s="25" t="s">
        <v>27</v>
      </c>
      <c r="C305" s="120">
        <v>0.95833333333333337</v>
      </c>
      <c r="D305" s="25" t="s">
        <v>28</v>
      </c>
      <c r="E305" s="25" t="s">
        <v>29</v>
      </c>
      <c r="F305" s="25" t="s">
        <v>49</v>
      </c>
      <c r="G305" s="174"/>
      <c r="H305" s="19"/>
      <c r="I305" s="20"/>
      <c r="J305" s="20"/>
      <c r="K305" s="20"/>
      <c r="L305" s="20"/>
      <c r="M305" s="20"/>
      <c r="N305" s="20"/>
      <c r="O305" s="21"/>
      <c r="P305" s="20"/>
      <c r="Q305" s="22"/>
      <c r="R305" s="23"/>
    </row>
    <row r="306" spans="1:18" ht="15" customHeight="1" thickBot="1" x14ac:dyDescent="0.35">
      <c r="A306" s="33" t="s">
        <v>68</v>
      </c>
      <c r="B306" s="33" t="s">
        <v>69</v>
      </c>
      <c r="C306" s="125">
        <v>0.30555555555555558</v>
      </c>
      <c r="D306" s="33" t="s">
        <v>70</v>
      </c>
      <c r="E306" s="33" t="s">
        <v>71</v>
      </c>
      <c r="F306" s="33" t="s">
        <v>157</v>
      </c>
      <c r="G306" s="175"/>
      <c r="H306" s="8"/>
      <c r="I306" s="9"/>
      <c r="J306" s="9"/>
      <c r="K306" s="9"/>
      <c r="L306" s="9"/>
      <c r="M306" s="9"/>
      <c r="N306" s="9"/>
      <c r="O306" s="10"/>
      <c r="P306" s="9"/>
      <c r="Q306" s="11"/>
      <c r="R306" s="12"/>
    </row>
    <row r="307" spans="1:18" ht="17.399999999999999" customHeight="1" thickBot="1" x14ac:dyDescent="0.35">
      <c r="A307" s="179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1"/>
    </row>
    <row r="308" spans="1:18" ht="22.05" customHeight="1" thickTop="1" thickBot="1" x14ac:dyDescent="0.35">
      <c r="A308" s="182" t="s">
        <v>6</v>
      </c>
      <c r="B308" s="177"/>
      <c r="C308" s="177"/>
      <c r="D308" s="177"/>
      <c r="E308" s="177"/>
      <c r="F308" s="178"/>
      <c r="G308" s="115">
        <v>46011</v>
      </c>
      <c r="H308" s="184" t="s">
        <v>7</v>
      </c>
      <c r="I308" s="177"/>
      <c r="J308" s="177"/>
      <c r="K308" s="177"/>
      <c r="L308" s="177"/>
      <c r="M308" s="177"/>
      <c r="N308" s="177"/>
      <c r="O308" s="177"/>
      <c r="P308" s="177"/>
      <c r="Q308" s="177"/>
      <c r="R308" s="178"/>
    </row>
    <row r="309" spans="1:18" ht="24" customHeight="1" x14ac:dyDescent="0.3">
      <c r="A309" s="13" t="s">
        <v>8</v>
      </c>
      <c r="B309" s="13" t="s">
        <v>9</v>
      </c>
      <c r="C309" s="116" t="s">
        <v>10</v>
      </c>
      <c r="D309" s="13" t="s">
        <v>11</v>
      </c>
      <c r="E309" s="13" t="s">
        <v>12</v>
      </c>
      <c r="F309" s="14" t="s">
        <v>13</v>
      </c>
      <c r="G309" s="15" t="s">
        <v>14</v>
      </c>
      <c r="H309" s="13" t="s">
        <v>15</v>
      </c>
      <c r="I309" s="117" t="s">
        <v>16</v>
      </c>
      <c r="J309" s="16" t="s">
        <v>17</v>
      </c>
      <c r="K309" s="17" t="s">
        <v>18</v>
      </c>
      <c r="L309" s="16" t="s">
        <v>19</v>
      </c>
      <c r="M309" s="16" t="s">
        <v>20</v>
      </c>
      <c r="N309" s="16" t="s">
        <v>21</v>
      </c>
      <c r="O309" s="13" t="s">
        <v>22</v>
      </c>
      <c r="P309" s="116" t="s">
        <v>23</v>
      </c>
      <c r="Q309" s="16" t="s">
        <v>24</v>
      </c>
      <c r="R309" s="13" t="s">
        <v>25</v>
      </c>
    </row>
    <row r="310" spans="1:18" ht="15" customHeight="1" x14ac:dyDescent="0.3">
      <c r="A310" s="18" t="s">
        <v>31</v>
      </c>
      <c r="B310" s="18" t="s">
        <v>32</v>
      </c>
      <c r="C310" s="118">
        <v>0.30555555555555558</v>
      </c>
      <c r="D310" s="18" t="s">
        <v>33</v>
      </c>
      <c r="E310" s="18" t="s">
        <v>158</v>
      </c>
      <c r="F310" s="18" t="s">
        <v>114</v>
      </c>
      <c r="G310" s="183"/>
      <c r="H310" s="19"/>
      <c r="I310" s="20"/>
      <c r="J310" s="20"/>
      <c r="K310" s="20"/>
      <c r="L310" s="20"/>
      <c r="M310" s="20"/>
      <c r="N310" s="20"/>
      <c r="O310" s="21"/>
      <c r="P310" s="20"/>
      <c r="Q310" s="22"/>
      <c r="R310" s="23"/>
    </row>
    <row r="311" spans="1:18" ht="15" customHeight="1" x14ac:dyDescent="0.3">
      <c r="A311" s="24" t="s">
        <v>31</v>
      </c>
      <c r="B311" s="24" t="s">
        <v>32</v>
      </c>
      <c r="C311" s="119">
        <v>0.30555555555555558</v>
      </c>
      <c r="D311" s="24" t="s">
        <v>36</v>
      </c>
      <c r="E311" s="24" t="s">
        <v>158</v>
      </c>
      <c r="F311" s="24" t="s">
        <v>115</v>
      </c>
      <c r="G311" s="174"/>
      <c r="H311" s="19"/>
      <c r="I311" s="20"/>
      <c r="J311" s="20"/>
      <c r="K311" s="20"/>
      <c r="L311" s="20"/>
      <c r="M311" s="20"/>
      <c r="N311" s="20"/>
      <c r="O311" s="21"/>
      <c r="P311" s="20"/>
      <c r="Q311" s="22"/>
      <c r="R311" s="23"/>
    </row>
    <row r="312" spans="1:18" ht="15" customHeight="1" x14ac:dyDescent="0.3">
      <c r="A312" s="24" t="s">
        <v>31</v>
      </c>
      <c r="B312" s="24" t="s">
        <v>32</v>
      </c>
      <c r="C312" s="119">
        <v>0.30555555555555558</v>
      </c>
      <c r="D312" s="24" t="s">
        <v>38</v>
      </c>
      <c r="E312" s="24" t="s">
        <v>158</v>
      </c>
      <c r="F312" s="24" t="s">
        <v>39</v>
      </c>
      <c r="G312" s="174"/>
      <c r="H312" s="19"/>
      <c r="I312" s="20"/>
      <c r="J312" s="20"/>
      <c r="K312" s="20"/>
      <c r="L312" s="20"/>
      <c r="M312" s="20"/>
      <c r="N312" s="20"/>
      <c r="O312" s="21"/>
      <c r="P312" s="20"/>
      <c r="Q312" s="22"/>
      <c r="R312" s="23"/>
    </row>
    <row r="313" spans="1:18" ht="15" customHeight="1" x14ac:dyDescent="0.3">
      <c r="A313" s="25" t="s">
        <v>40</v>
      </c>
      <c r="B313" s="25" t="s">
        <v>48</v>
      </c>
      <c r="C313" s="120">
        <v>0.83680555555555558</v>
      </c>
      <c r="D313" s="25" t="s">
        <v>42</v>
      </c>
      <c r="E313" s="25" t="s">
        <v>79</v>
      </c>
      <c r="F313" s="25" t="s">
        <v>44</v>
      </c>
      <c r="G313" s="174"/>
      <c r="H313" s="19"/>
      <c r="I313" s="20"/>
      <c r="J313" s="20"/>
      <c r="K313" s="20"/>
      <c r="L313" s="20"/>
      <c r="M313" s="20"/>
      <c r="N313" s="20"/>
      <c r="O313" s="21"/>
      <c r="P313" s="20"/>
      <c r="Q313" s="22"/>
      <c r="R313" s="23"/>
    </row>
    <row r="314" spans="1:18" ht="15" customHeight="1" x14ac:dyDescent="0.3">
      <c r="A314" s="24" t="s">
        <v>40</v>
      </c>
      <c r="B314" s="24" t="s">
        <v>48</v>
      </c>
      <c r="C314" s="119">
        <v>0.83680555555555558</v>
      </c>
      <c r="D314" s="24" t="s">
        <v>45</v>
      </c>
      <c r="E314" s="24" t="s">
        <v>79</v>
      </c>
      <c r="F314" s="24" t="s">
        <v>46</v>
      </c>
      <c r="G314" s="174"/>
      <c r="H314" s="19"/>
      <c r="I314" s="20"/>
      <c r="J314" s="20"/>
      <c r="K314" s="20"/>
      <c r="L314" s="20"/>
      <c r="M314" s="20"/>
      <c r="N314" s="20"/>
      <c r="O314" s="21"/>
      <c r="P314" s="20"/>
      <c r="Q314" s="22"/>
      <c r="R314" s="23"/>
    </row>
    <row r="315" spans="1:18" ht="15" customHeight="1" x14ac:dyDescent="0.3">
      <c r="A315" s="24" t="s">
        <v>40</v>
      </c>
      <c r="B315" s="24" t="s">
        <v>48</v>
      </c>
      <c r="C315" s="119">
        <v>0.83680555555555558</v>
      </c>
      <c r="D315" s="24" t="s">
        <v>38</v>
      </c>
      <c r="E315" s="24" t="s">
        <v>79</v>
      </c>
      <c r="F315" s="24" t="s">
        <v>47</v>
      </c>
      <c r="G315" s="174"/>
      <c r="H315" s="19"/>
      <c r="I315" s="20"/>
      <c r="J315" s="20"/>
      <c r="K315" s="20"/>
      <c r="L315" s="20"/>
      <c r="M315" s="20"/>
      <c r="N315" s="20"/>
      <c r="O315" s="21"/>
      <c r="P315" s="20"/>
      <c r="Q315" s="22"/>
      <c r="R315" s="23"/>
    </row>
    <row r="316" spans="1:18" ht="15" customHeight="1" x14ac:dyDescent="0.3">
      <c r="A316" s="26" t="s">
        <v>40</v>
      </c>
      <c r="B316" s="26" t="s">
        <v>41</v>
      </c>
      <c r="C316" s="121">
        <v>0.2013888888888889</v>
      </c>
      <c r="D316" s="26" t="s">
        <v>42</v>
      </c>
      <c r="E316" s="26" t="s">
        <v>79</v>
      </c>
      <c r="F316" s="26" t="s">
        <v>44</v>
      </c>
      <c r="G316" s="174"/>
      <c r="H316" s="19"/>
      <c r="I316" s="20"/>
      <c r="J316" s="20"/>
      <c r="K316" s="20"/>
      <c r="L316" s="20"/>
      <c r="M316" s="20"/>
      <c r="N316" s="20"/>
      <c r="O316" s="21"/>
      <c r="P316" s="20"/>
      <c r="Q316" s="22"/>
      <c r="R316" s="23"/>
    </row>
    <row r="317" spans="1:18" ht="15" customHeight="1" x14ac:dyDescent="0.3">
      <c r="A317" s="24" t="s">
        <v>40</v>
      </c>
      <c r="B317" s="24" t="s">
        <v>41</v>
      </c>
      <c r="C317" s="119">
        <v>0.2013888888888889</v>
      </c>
      <c r="D317" s="24" t="s">
        <v>45</v>
      </c>
      <c r="E317" s="24" t="s">
        <v>79</v>
      </c>
      <c r="F317" s="24" t="s">
        <v>46</v>
      </c>
      <c r="G317" s="174"/>
      <c r="H317" s="19"/>
      <c r="I317" s="20"/>
      <c r="J317" s="20"/>
      <c r="K317" s="20"/>
      <c r="L317" s="20"/>
      <c r="M317" s="20"/>
      <c r="N317" s="20"/>
      <c r="O317" s="21"/>
      <c r="P317" s="20"/>
      <c r="Q317" s="22"/>
      <c r="R317" s="23"/>
    </row>
    <row r="318" spans="1:18" ht="15" customHeight="1" x14ac:dyDescent="0.3">
      <c r="A318" s="24" t="s">
        <v>40</v>
      </c>
      <c r="B318" s="24" t="s">
        <v>41</v>
      </c>
      <c r="C318" s="119">
        <v>0.2013888888888889</v>
      </c>
      <c r="D318" s="24" t="s">
        <v>38</v>
      </c>
      <c r="E318" s="24" t="s">
        <v>79</v>
      </c>
      <c r="F318" s="24" t="s">
        <v>47</v>
      </c>
      <c r="G318" s="174"/>
      <c r="H318" s="19"/>
      <c r="I318" s="20"/>
      <c r="J318" s="20"/>
      <c r="K318" s="20"/>
      <c r="L318" s="20"/>
      <c r="M318" s="20"/>
      <c r="N318" s="20"/>
      <c r="O318" s="21"/>
      <c r="P318" s="20"/>
      <c r="Q318" s="22"/>
      <c r="R318" s="23"/>
    </row>
    <row r="319" spans="1:18" ht="15" customHeight="1" x14ac:dyDescent="0.3">
      <c r="A319" s="25" t="s">
        <v>76</v>
      </c>
      <c r="B319" s="25" t="s">
        <v>77</v>
      </c>
      <c r="C319" s="120">
        <v>0.97222222222222221</v>
      </c>
      <c r="D319" s="25" t="s">
        <v>78</v>
      </c>
      <c r="E319" s="25" t="s">
        <v>79</v>
      </c>
      <c r="F319" s="25" t="s">
        <v>117</v>
      </c>
      <c r="G319" s="174"/>
      <c r="H319" s="19"/>
      <c r="I319" s="20"/>
      <c r="J319" s="20"/>
      <c r="K319" s="20"/>
      <c r="L319" s="20"/>
      <c r="M319" s="20"/>
      <c r="N319" s="20"/>
      <c r="O319" s="21"/>
      <c r="P319" s="20"/>
      <c r="Q319" s="22"/>
      <c r="R319" s="23"/>
    </row>
    <row r="320" spans="1:18" ht="15" customHeight="1" x14ac:dyDescent="0.3">
      <c r="A320" s="24" t="s">
        <v>76</v>
      </c>
      <c r="B320" s="24" t="s">
        <v>77</v>
      </c>
      <c r="C320" s="119">
        <v>0.97222222222222221</v>
      </c>
      <c r="D320" s="24" t="s">
        <v>81</v>
      </c>
      <c r="E320" s="24" t="s">
        <v>79</v>
      </c>
      <c r="F320" s="24" t="s">
        <v>118</v>
      </c>
      <c r="G320" s="174"/>
      <c r="H320" s="19"/>
      <c r="I320" s="20"/>
      <c r="J320" s="20"/>
      <c r="K320" s="20"/>
      <c r="L320" s="20"/>
      <c r="M320" s="20"/>
      <c r="N320" s="20"/>
      <c r="O320" s="21"/>
      <c r="P320" s="20"/>
      <c r="Q320" s="22"/>
      <c r="R320" s="23"/>
    </row>
    <row r="321" spans="1:18" ht="15" customHeight="1" x14ac:dyDescent="0.3">
      <c r="A321" s="48" t="s">
        <v>51</v>
      </c>
      <c r="B321" s="48" t="s">
        <v>52</v>
      </c>
      <c r="C321" s="136">
        <v>0.92361111111111116</v>
      </c>
      <c r="D321" s="48" t="s">
        <v>28</v>
      </c>
      <c r="E321" s="48" t="s">
        <v>43</v>
      </c>
      <c r="F321" s="48" t="s">
        <v>30</v>
      </c>
      <c r="G321" s="174"/>
      <c r="H321" s="49" t="s">
        <v>54</v>
      </c>
      <c r="I321" s="137">
        <v>0.34549999999999997</v>
      </c>
      <c r="J321" s="50">
        <v>57</v>
      </c>
      <c r="K321" s="51">
        <v>45992</v>
      </c>
      <c r="L321" s="50">
        <v>28</v>
      </c>
      <c r="M321" s="50">
        <v>8</v>
      </c>
      <c r="N321" s="50">
        <v>0</v>
      </c>
      <c r="O321" s="52" t="s">
        <v>159</v>
      </c>
      <c r="P321" s="138">
        <v>0.92361111111111116</v>
      </c>
      <c r="Q321" s="50">
        <v>165</v>
      </c>
      <c r="R321" s="53" t="s">
        <v>160</v>
      </c>
    </row>
    <row r="322" spans="1:18" ht="15" customHeight="1" x14ac:dyDescent="0.3">
      <c r="A322" s="25" t="s">
        <v>58</v>
      </c>
      <c r="B322" s="25" t="s">
        <v>63</v>
      </c>
      <c r="C322" s="120">
        <v>0.86458333333333337</v>
      </c>
      <c r="D322" s="25" t="s">
        <v>60</v>
      </c>
      <c r="E322" s="25" t="s">
        <v>29</v>
      </c>
      <c r="F322" s="25" t="s">
        <v>62</v>
      </c>
      <c r="G322" s="174"/>
      <c r="H322" s="19"/>
      <c r="I322" s="20"/>
      <c r="J322" s="20"/>
      <c r="K322" s="20"/>
      <c r="L322" s="20"/>
      <c r="M322" s="20"/>
      <c r="N322" s="20"/>
      <c r="O322" s="21"/>
      <c r="P322" s="20"/>
      <c r="Q322" s="22"/>
      <c r="R322" s="23"/>
    </row>
    <row r="323" spans="1:18" ht="15" customHeight="1" x14ac:dyDescent="0.3">
      <c r="A323" s="26" t="s">
        <v>58</v>
      </c>
      <c r="B323" s="26" t="s">
        <v>66</v>
      </c>
      <c r="C323" s="121">
        <v>0.52777777777777779</v>
      </c>
      <c r="D323" s="26" t="s">
        <v>60</v>
      </c>
      <c r="E323" s="26" t="s">
        <v>29</v>
      </c>
      <c r="F323" s="26" t="s">
        <v>62</v>
      </c>
      <c r="G323" s="174"/>
      <c r="H323" s="19"/>
      <c r="I323" s="20"/>
      <c r="J323" s="20"/>
      <c r="K323" s="20"/>
      <c r="L323" s="20"/>
      <c r="M323" s="20"/>
      <c r="N323" s="20"/>
      <c r="O323" s="21"/>
      <c r="P323" s="20"/>
      <c r="Q323" s="22"/>
      <c r="R323" s="23"/>
    </row>
    <row r="324" spans="1:18" ht="15" customHeight="1" x14ac:dyDescent="0.3">
      <c r="A324" s="26" t="s">
        <v>58</v>
      </c>
      <c r="B324" s="26" t="s">
        <v>59</v>
      </c>
      <c r="C324" s="121">
        <v>0.1701388888888889</v>
      </c>
      <c r="D324" s="26" t="s">
        <v>60</v>
      </c>
      <c r="E324" s="26" t="s">
        <v>29</v>
      </c>
      <c r="F324" s="26" t="s">
        <v>62</v>
      </c>
      <c r="G324" s="174"/>
      <c r="H324" s="19"/>
      <c r="I324" s="20"/>
      <c r="J324" s="20"/>
      <c r="K324" s="20"/>
      <c r="L324" s="20"/>
      <c r="M324" s="20"/>
      <c r="N324" s="20"/>
      <c r="O324" s="21"/>
      <c r="P324" s="20"/>
      <c r="Q324" s="22"/>
      <c r="R324" s="23"/>
    </row>
    <row r="325" spans="1:18" ht="15" customHeight="1" thickBot="1" x14ac:dyDescent="0.35">
      <c r="A325" s="33" t="s">
        <v>68</v>
      </c>
      <c r="B325" s="33" t="s">
        <v>69</v>
      </c>
      <c r="C325" s="125">
        <v>0.30555555555555558</v>
      </c>
      <c r="D325" s="33" t="s">
        <v>70</v>
      </c>
      <c r="E325" s="33" t="s">
        <v>71</v>
      </c>
      <c r="F325" s="33" t="s">
        <v>122</v>
      </c>
      <c r="G325" s="175"/>
      <c r="H325" s="8"/>
      <c r="I325" s="9"/>
      <c r="J325" s="9"/>
      <c r="K325" s="9"/>
      <c r="L325" s="9"/>
      <c r="M325" s="9"/>
      <c r="N325" s="9"/>
      <c r="O325" s="10"/>
      <c r="P325" s="9"/>
      <c r="Q325" s="11"/>
      <c r="R325" s="12"/>
    </row>
    <row r="326" spans="1:18" ht="17.399999999999999" customHeight="1" thickBot="1" x14ac:dyDescent="0.35">
      <c r="A326" s="179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1"/>
    </row>
    <row r="327" spans="1:18" ht="22.05" customHeight="1" thickTop="1" thickBot="1" x14ac:dyDescent="0.35">
      <c r="A327" s="182" t="s">
        <v>6</v>
      </c>
      <c r="B327" s="177"/>
      <c r="C327" s="177"/>
      <c r="D327" s="177"/>
      <c r="E327" s="177"/>
      <c r="F327" s="178"/>
      <c r="G327" s="115">
        <v>46012</v>
      </c>
      <c r="H327" s="184" t="s">
        <v>7</v>
      </c>
      <c r="I327" s="177"/>
      <c r="J327" s="177"/>
      <c r="K327" s="177"/>
      <c r="L327" s="177"/>
      <c r="M327" s="177"/>
      <c r="N327" s="177"/>
      <c r="O327" s="177"/>
      <c r="P327" s="177"/>
      <c r="Q327" s="177"/>
      <c r="R327" s="178"/>
    </row>
    <row r="328" spans="1:18" ht="24" customHeight="1" x14ac:dyDescent="0.3">
      <c r="A328" s="13" t="s">
        <v>8</v>
      </c>
      <c r="B328" s="13" t="s">
        <v>9</v>
      </c>
      <c r="C328" s="116" t="s">
        <v>10</v>
      </c>
      <c r="D328" s="13" t="s">
        <v>11</v>
      </c>
      <c r="E328" s="13" t="s">
        <v>12</v>
      </c>
      <c r="F328" s="14" t="s">
        <v>13</v>
      </c>
      <c r="G328" s="15" t="s">
        <v>14</v>
      </c>
      <c r="H328" s="13" t="s">
        <v>15</v>
      </c>
      <c r="I328" s="117" t="s">
        <v>16</v>
      </c>
      <c r="J328" s="16" t="s">
        <v>17</v>
      </c>
      <c r="K328" s="17" t="s">
        <v>18</v>
      </c>
      <c r="L328" s="16" t="s">
        <v>19</v>
      </c>
      <c r="M328" s="16" t="s">
        <v>20</v>
      </c>
      <c r="N328" s="16" t="s">
        <v>21</v>
      </c>
      <c r="O328" s="13" t="s">
        <v>22</v>
      </c>
      <c r="P328" s="116" t="s">
        <v>23</v>
      </c>
      <c r="Q328" s="16" t="s">
        <v>24</v>
      </c>
      <c r="R328" s="13" t="s">
        <v>25</v>
      </c>
    </row>
    <row r="329" spans="1:18" ht="15" customHeight="1" x14ac:dyDescent="0.3">
      <c r="A329" s="18" t="s">
        <v>31</v>
      </c>
      <c r="B329" s="18" t="s">
        <v>32</v>
      </c>
      <c r="C329" s="118">
        <v>0.30555555555555558</v>
      </c>
      <c r="D329" s="18" t="s">
        <v>33</v>
      </c>
      <c r="E329" s="18" t="s">
        <v>83</v>
      </c>
      <c r="F329" s="18" t="s">
        <v>114</v>
      </c>
      <c r="G329" s="183"/>
      <c r="H329" s="19"/>
      <c r="I329" s="20"/>
      <c r="J329" s="20"/>
      <c r="K329" s="20"/>
      <c r="L329" s="20"/>
      <c r="M329" s="20"/>
      <c r="N329" s="20"/>
      <c r="O329" s="21"/>
      <c r="P329" s="20"/>
      <c r="Q329" s="22"/>
      <c r="R329" s="23"/>
    </row>
    <row r="330" spans="1:18" ht="15" customHeight="1" x14ac:dyDescent="0.3">
      <c r="A330" s="24" t="s">
        <v>31</v>
      </c>
      <c r="B330" s="24" t="s">
        <v>32</v>
      </c>
      <c r="C330" s="119">
        <v>0.30555555555555558</v>
      </c>
      <c r="D330" s="24" t="s">
        <v>36</v>
      </c>
      <c r="E330" s="24" t="s">
        <v>83</v>
      </c>
      <c r="F330" s="24" t="s">
        <v>115</v>
      </c>
      <c r="G330" s="174"/>
      <c r="H330" s="19"/>
      <c r="I330" s="20"/>
      <c r="J330" s="20"/>
      <c r="K330" s="20"/>
      <c r="L330" s="20"/>
      <c r="M330" s="20"/>
      <c r="N330" s="20"/>
      <c r="O330" s="21"/>
      <c r="P330" s="20"/>
      <c r="Q330" s="22"/>
      <c r="R330" s="23"/>
    </row>
    <row r="331" spans="1:18" ht="15" customHeight="1" x14ac:dyDescent="0.3">
      <c r="A331" s="24" t="s">
        <v>31</v>
      </c>
      <c r="B331" s="24" t="s">
        <v>32</v>
      </c>
      <c r="C331" s="119">
        <v>0.30555555555555558</v>
      </c>
      <c r="D331" s="24" t="s">
        <v>38</v>
      </c>
      <c r="E331" s="24" t="s">
        <v>83</v>
      </c>
      <c r="F331" s="24" t="s">
        <v>86</v>
      </c>
      <c r="G331" s="174"/>
      <c r="H331" s="19"/>
      <c r="I331" s="20"/>
      <c r="J331" s="20"/>
      <c r="K331" s="20"/>
      <c r="L331" s="20"/>
      <c r="M331" s="20"/>
      <c r="N331" s="20"/>
      <c r="O331" s="21"/>
      <c r="P331" s="20"/>
      <c r="Q331" s="22"/>
      <c r="R331" s="23"/>
    </row>
    <row r="332" spans="1:18" ht="15" customHeight="1" x14ac:dyDescent="0.3">
      <c r="A332" s="25" t="s">
        <v>40</v>
      </c>
      <c r="B332" s="25" t="s">
        <v>48</v>
      </c>
      <c r="C332" s="120">
        <v>0.85069444444444442</v>
      </c>
      <c r="D332" s="25" t="s">
        <v>42</v>
      </c>
      <c r="E332" s="25" t="s">
        <v>79</v>
      </c>
      <c r="F332" s="25" t="s">
        <v>44</v>
      </c>
      <c r="G332" s="174"/>
      <c r="H332" s="19"/>
      <c r="I332" s="20"/>
      <c r="J332" s="20"/>
      <c r="K332" s="20"/>
      <c r="L332" s="20"/>
      <c r="M332" s="20"/>
      <c r="N332" s="20"/>
      <c r="O332" s="21"/>
      <c r="P332" s="20"/>
      <c r="Q332" s="22"/>
      <c r="R332" s="23"/>
    </row>
    <row r="333" spans="1:18" ht="15" customHeight="1" x14ac:dyDescent="0.3">
      <c r="A333" s="24" t="s">
        <v>40</v>
      </c>
      <c r="B333" s="24" t="s">
        <v>48</v>
      </c>
      <c r="C333" s="119">
        <v>0.85069444444444442</v>
      </c>
      <c r="D333" s="24" t="s">
        <v>45</v>
      </c>
      <c r="E333" s="24" t="s">
        <v>79</v>
      </c>
      <c r="F333" s="24" t="s">
        <v>46</v>
      </c>
      <c r="G333" s="174"/>
      <c r="H333" s="19"/>
      <c r="I333" s="20"/>
      <c r="J333" s="20"/>
      <c r="K333" s="20"/>
      <c r="L333" s="20"/>
      <c r="M333" s="20"/>
      <c r="N333" s="20"/>
      <c r="O333" s="21"/>
      <c r="P333" s="20"/>
      <c r="Q333" s="22"/>
      <c r="R333" s="23"/>
    </row>
    <row r="334" spans="1:18" ht="15" customHeight="1" x14ac:dyDescent="0.3">
      <c r="A334" s="24" t="s">
        <v>40</v>
      </c>
      <c r="B334" s="24" t="s">
        <v>48</v>
      </c>
      <c r="C334" s="119">
        <v>0.85069444444444442</v>
      </c>
      <c r="D334" s="24" t="s">
        <v>38</v>
      </c>
      <c r="E334" s="24" t="s">
        <v>79</v>
      </c>
      <c r="F334" s="24" t="s">
        <v>47</v>
      </c>
      <c r="G334" s="174"/>
      <c r="H334" s="19"/>
      <c r="I334" s="20"/>
      <c r="J334" s="20"/>
      <c r="K334" s="20"/>
      <c r="L334" s="20"/>
      <c r="M334" s="20"/>
      <c r="N334" s="20"/>
      <c r="O334" s="21"/>
      <c r="P334" s="20"/>
      <c r="Q334" s="22"/>
      <c r="R334" s="23"/>
    </row>
    <row r="335" spans="1:18" ht="15" customHeight="1" x14ac:dyDescent="0.3">
      <c r="A335" s="25" t="s">
        <v>58</v>
      </c>
      <c r="B335" s="25" t="s">
        <v>63</v>
      </c>
      <c r="C335" s="120">
        <v>0.86458333333333337</v>
      </c>
      <c r="D335" s="25" t="s">
        <v>60</v>
      </c>
      <c r="E335" s="25" t="s">
        <v>29</v>
      </c>
      <c r="F335" s="25" t="s">
        <v>62</v>
      </c>
      <c r="G335" s="174"/>
      <c r="H335" s="19"/>
      <c r="I335" s="20"/>
      <c r="J335" s="20"/>
      <c r="K335" s="20"/>
      <c r="L335" s="20"/>
      <c r="M335" s="20"/>
      <c r="N335" s="20"/>
      <c r="O335" s="21"/>
      <c r="P335" s="20"/>
      <c r="Q335" s="22"/>
      <c r="R335" s="23"/>
    </row>
    <row r="336" spans="1:18" ht="15" customHeight="1" x14ac:dyDescent="0.3">
      <c r="A336" s="26" t="s">
        <v>58</v>
      </c>
      <c r="B336" s="26" t="s">
        <v>66</v>
      </c>
      <c r="C336" s="121">
        <v>0.52777777777777779</v>
      </c>
      <c r="D336" s="26" t="s">
        <v>60</v>
      </c>
      <c r="E336" s="26" t="s">
        <v>29</v>
      </c>
      <c r="F336" s="26" t="s">
        <v>62</v>
      </c>
      <c r="G336" s="174"/>
      <c r="H336" s="19"/>
      <c r="I336" s="20"/>
      <c r="J336" s="20"/>
      <c r="K336" s="20"/>
      <c r="L336" s="20"/>
      <c r="M336" s="20"/>
      <c r="N336" s="20"/>
      <c r="O336" s="21"/>
      <c r="P336" s="20"/>
      <c r="Q336" s="22"/>
      <c r="R336" s="23"/>
    </row>
    <row r="337" spans="1:18" ht="15" customHeight="1" x14ac:dyDescent="0.3">
      <c r="A337" s="26" t="s">
        <v>58</v>
      </c>
      <c r="B337" s="26" t="s">
        <v>59</v>
      </c>
      <c r="C337" s="121">
        <v>0.1701388888888889</v>
      </c>
      <c r="D337" s="26" t="s">
        <v>60</v>
      </c>
      <c r="E337" s="26" t="s">
        <v>29</v>
      </c>
      <c r="F337" s="26" t="s">
        <v>62</v>
      </c>
      <c r="G337" s="174"/>
      <c r="H337" s="19"/>
      <c r="I337" s="20"/>
      <c r="J337" s="20"/>
      <c r="K337" s="20"/>
      <c r="L337" s="20"/>
      <c r="M337" s="20"/>
      <c r="N337" s="20"/>
      <c r="O337" s="21"/>
      <c r="P337" s="20"/>
      <c r="Q337" s="22"/>
      <c r="R337" s="23"/>
    </row>
    <row r="338" spans="1:18" ht="15" customHeight="1" x14ac:dyDescent="0.3">
      <c r="A338" s="25" t="s">
        <v>26</v>
      </c>
      <c r="B338" s="25" t="s">
        <v>97</v>
      </c>
      <c r="C338" s="120">
        <v>0.95833333333333337</v>
      </c>
      <c r="D338" s="25" t="s">
        <v>28</v>
      </c>
      <c r="E338" s="25" t="s">
        <v>29</v>
      </c>
      <c r="F338" s="25" t="s">
        <v>49</v>
      </c>
      <c r="G338" s="174"/>
      <c r="H338" s="19"/>
      <c r="I338" s="20"/>
      <c r="J338" s="20"/>
      <c r="K338" s="20"/>
      <c r="L338" s="20"/>
      <c r="M338" s="20"/>
      <c r="N338" s="20"/>
      <c r="O338" s="21"/>
      <c r="P338" s="20"/>
      <c r="Q338" s="22"/>
      <c r="R338" s="23"/>
    </row>
    <row r="339" spans="1:18" ht="15" customHeight="1" thickBot="1" x14ac:dyDescent="0.35">
      <c r="A339" s="33" t="s">
        <v>68</v>
      </c>
      <c r="B339" s="33" t="s">
        <v>69</v>
      </c>
      <c r="C339" s="125">
        <v>0.30555555555555558</v>
      </c>
      <c r="D339" s="33" t="s">
        <v>70</v>
      </c>
      <c r="E339" s="33" t="s">
        <v>71</v>
      </c>
      <c r="F339" s="33" t="s">
        <v>122</v>
      </c>
      <c r="G339" s="175"/>
      <c r="H339" s="8"/>
      <c r="I339" s="9"/>
      <c r="J339" s="9"/>
      <c r="K339" s="9"/>
      <c r="L339" s="9"/>
      <c r="M339" s="9"/>
      <c r="N339" s="9"/>
      <c r="O339" s="10"/>
      <c r="P339" s="9"/>
      <c r="Q339" s="11"/>
      <c r="R339" s="12"/>
    </row>
    <row r="340" spans="1:18" ht="17.399999999999999" customHeight="1" thickBot="1" x14ac:dyDescent="0.35">
      <c r="A340" s="179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1"/>
    </row>
    <row r="341" spans="1:18" ht="22.05" customHeight="1" thickTop="1" thickBot="1" x14ac:dyDescent="0.35">
      <c r="A341" s="182" t="s">
        <v>6</v>
      </c>
      <c r="B341" s="177"/>
      <c r="C341" s="177"/>
      <c r="D341" s="177"/>
      <c r="E341" s="177"/>
      <c r="F341" s="178"/>
      <c r="G341" s="115">
        <v>46013</v>
      </c>
      <c r="H341" s="184" t="s">
        <v>7</v>
      </c>
      <c r="I341" s="177"/>
      <c r="J341" s="177"/>
      <c r="K341" s="177"/>
      <c r="L341" s="177"/>
      <c r="M341" s="177"/>
      <c r="N341" s="177"/>
      <c r="O341" s="177"/>
      <c r="P341" s="177"/>
      <c r="Q341" s="177"/>
      <c r="R341" s="178"/>
    </row>
    <row r="342" spans="1:18" ht="24" customHeight="1" x14ac:dyDescent="0.3">
      <c r="A342" s="13" t="s">
        <v>8</v>
      </c>
      <c r="B342" s="13" t="s">
        <v>9</v>
      </c>
      <c r="C342" s="116" t="s">
        <v>10</v>
      </c>
      <c r="D342" s="13" t="s">
        <v>11</v>
      </c>
      <c r="E342" s="13" t="s">
        <v>12</v>
      </c>
      <c r="F342" s="14" t="s">
        <v>13</v>
      </c>
      <c r="G342" s="15" t="s">
        <v>14</v>
      </c>
      <c r="H342" s="13" t="s">
        <v>15</v>
      </c>
      <c r="I342" s="117" t="s">
        <v>16</v>
      </c>
      <c r="J342" s="16" t="s">
        <v>17</v>
      </c>
      <c r="K342" s="17" t="s">
        <v>18</v>
      </c>
      <c r="L342" s="16" t="s">
        <v>19</v>
      </c>
      <c r="M342" s="16" t="s">
        <v>20</v>
      </c>
      <c r="N342" s="16" t="s">
        <v>21</v>
      </c>
      <c r="O342" s="13" t="s">
        <v>22</v>
      </c>
      <c r="P342" s="116" t="s">
        <v>23</v>
      </c>
      <c r="Q342" s="16" t="s">
        <v>24</v>
      </c>
      <c r="R342" s="13" t="s">
        <v>25</v>
      </c>
    </row>
    <row r="343" spans="1:18" ht="15" customHeight="1" x14ac:dyDescent="0.3">
      <c r="A343" s="18" t="s">
        <v>31</v>
      </c>
      <c r="B343" s="18" t="s">
        <v>32</v>
      </c>
      <c r="C343" s="118">
        <v>0.30555555555555558</v>
      </c>
      <c r="D343" s="18" t="s">
        <v>33</v>
      </c>
      <c r="E343" s="18" t="s">
        <v>147</v>
      </c>
      <c r="F343" s="18" t="s">
        <v>114</v>
      </c>
      <c r="G343" s="183"/>
      <c r="H343" s="19"/>
      <c r="I343" s="20"/>
      <c r="J343" s="20"/>
      <c r="K343" s="20"/>
      <c r="L343" s="20"/>
      <c r="M343" s="20"/>
      <c r="N343" s="20"/>
      <c r="O343" s="21"/>
      <c r="P343" s="20"/>
      <c r="Q343" s="22"/>
      <c r="R343" s="23"/>
    </row>
    <row r="344" spans="1:18" ht="15" customHeight="1" x14ac:dyDescent="0.3">
      <c r="A344" s="24" t="s">
        <v>31</v>
      </c>
      <c r="B344" s="24" t="s">
        <v>32</v>
      </c>
      <c r="C344" s="119">
        <v>0.30555555555555558</v>
      </c>
      <c r="D344" s="24" t="s">
        <v>36</v>
      </c>
      <c r="E344" s="24" t="s">
        <v>147</v>
      </c>
      <c r="F344" s="24" t="s">
        <v>115</v>
      </c>
      <c r="G344" s="174"/>
      <c r="H344" s="19"/>
      <c r="I344" s="20"/>
      <c r="J344" s="20"/>
      <c r="K344" s="20"/>
      <c r="L344" s="20"/>
      <c r="M344" s="20"/>
      <c r="N344" s="20"/>
      <c r="O344" s="21"/>
      <c r="P344" s="20"/>
      <c r="Q344" s="22"/>
      <c r="R344" s="23"/>
    </row>
    <row r="345" spans="1:18" ht="15" customHeight="1" x14ac:dyDescent="0.3">
      <c r="A345" s="24" t="s">
        <v>31</v>
      </c>
      <c r="B345" s="24" t="s">
        <v>32</v>
      </c>
      <c r="C345" s="119">
        <v>0.30555555555555558</v>
      </c>
      <c r="D345" s="24" t="s">
        <v>38</v>
      </c>
      <c r="E345" s="24" t="s">
        <v>147</v>
      </c>
      <c r="F345" s="24" t="s">
        <v>86</v>
      </c>
      <c r="G345" s="174"/>
      <c r="H345" s="19"/>
      <c r="I345" s="20"/>
      <c r="J345" s="20"/>
      <c r="K345" s="20"/>
      <c r="L345" s="20"/>
      <c r="M345" s="20"/>
      <c r="N345" s="20"/>
      <c r="O345" s="21"/>
      <c r="P345" s="20"/>
      <c r="Q345" s="22"/>
      <c r="R345" s="23"/>
    </row>
    <row r="346" spans="1:18" ht="15" customHeight="1" x14ac:dyDescent="0.3">
      <c r="A346" s="25" t="s">
        <v>40</v>
      </c>
      <c r="B346" s="25" t="s">
        <v>48</v>
      </c>
      <c r="C346" s="120">
        <v>0.83680555555555558</v>
      </c>
      <c r="D346" s="25" t="s">
        <v>42</v>
      </c>
      <c r="E346" s="25" t="s">
        <v>120</v>
      </c>
      <c r="F346" s="25" t="s">
        <v>44</v>
      </c>
      <c r="G346" s="174"/>
      <c r="H346" s="19"/>
      <c r="I346" s="20"/>
      <c r="J346" s="20"/>
      <c r="K346" s="20"/>
      <c r="L346" s="20"/>
      <c r="M346" s="20"/>
      <c r="N346" s="20"/>
      <c r="O346" s="21"/>
      <c r="P346" s="20"/>
      <c r="Q346" s="22"/>
      <c r="R346" s="23"/>
    </row>
    <row r="347" spans="1:18" ht="15" customHeight="1" x14ac:dyDescent="0.3">
      <c r="A347" s="24" t="s">
        <v>40</v>
      </c>
      <c r="B347" s="24" t="s">
        <v>48</v>
      </c>
      <c r="C347" s="119">
        <v>0.83680555555555558</v>
      </c>
      <c r="D347" s="24" t="s">
        <v>45</v>
      </c>
      <c r="E347" s="24" t="s">
        <v>120</v>
      </c>
      <c r="F347" s="24" t="s">
        <v>46</v>
      </c>
      <c r="G347" s="174"/>
      <c r="H347" s="19"/>
      <c r="I347" s="20"/>
      <c r="J347" s="20"/>
      <c r="K347" s="20"/>
      <c r="L347" s="20"/>
      <c r="M347" s="20"/>
      <c r="N347" s="20"/>
      <c r="O347" s="21"/>
      <c r="P347" s="20"/>
      <c r="Q347" s="22"/>
      <c r="R347" s="23"/>
    </row>
    <row r="348" spans="1:18" ht="15" customHeight="1" x14ac:dyDescent="0.3">
      <c r="A348" s="24" t="s">
        <v>40</v>
      </c>
      <c r="B348" s="24" t="s">
        <v>48</v>
      </c>
      <c r="C348" s="119">
        <v>0.83680555555555558</v>
      </c>
      <c r="D348" s="24" t="s">
        <v>38</v>
      </c>
      <c r="E348" s="24" t="s">
        <v>120</v>
      </c>
      <c r="F348" s="24" t="s">
        <v>47</v>
      </c>
      <c r="G348" s="174"/>
      <c r="H348" s="19"/>
      <c r="I348" s="20"/>
      <c r="J348" s="20"/>
      <c r="K348" s="20"/>
      <c r="L348" s="20"/>
      <c r="M348" s="20"/>
      <c r="N348" s="20"/>
      <c r="O348" s="21"/>
      <c r="P348" s="20"/>
      <c r="Q348" s="22"/>
      <c r="R348" s="23"/>
    </row>
    <row r="349" spans="1:18" ht="15" customHeight="1" x14ac:dyDescent="0.3">
      <c r="A349" s="26" t="s">
        <v>40</v>
      </c>
      <c r="B349" s="26" t="s">
        <v>41</v>
      </c>
      <c r="C349" s="121">
        <v>0.2013888888888889</v>
      </c>
      <c r="D349" s="26" t="s">
        <v>42</v>
      </c>
      <c r="E349" s="26" t="s">
        <v>79</v>
      </c>
      <c r="F349" s="26" t="s">
        <v>44</v>
      </c>
      <c r="G349" s="174"/>
      <c r="H349" s="19"/>
      <c r="I349" s="20"/>
      <c r="J349" s="20"/>
      <c r="K349" s="20"/>
      <c r="L349" s="20"/>
      <c r="M349" s="20"/>
      <c r="N349" s="20"/>
      <c r="O349" s="21"/>
      <c r="P349" s="20"/>
      <c r="Q349" s="22"/>
      <c r="R349" s="23"/>
    </row>
    <row r="350" spans="1:18" ht="15" customHeight="1" x14ac:dyDescent="0.3">
      <c r="A350" s="24" t="s">
        <v>40</v>
      </c>
      <c r="B350" s="24" t="s">
        <v>41</v>
      </c>
      <c r="C350" s="119">
        <v>0.2013888888888889</v>
      </c>
      <c r="D350" s="24" t="s">
        <v>45</v>
      </c>
      <c r="E350" s="24" t="s">
        <v>79</v>
      </c>
      <c r="F350" s="24" t="s">
        <v>46</v>
      </c>
      <c r="G350" s="174"/>
      <c r="H350" s="19"/>
      <c r="I350" s="20"/>
      <c r="J350" s="20"/>
      <c r="K350" s="20"/>
      <c r="L350" s="20"/>
      <c r="M350" s="20"/>
      <c r="N350" s="20"/>
      <c r="O350" s="21"/>
      <c r="P350" s="20"/>
      <c r="Q350" s="22"/>
      <c r="R350" s="23"/>
    </row>
    <row r="351" spans="1:18" ht="15" customHeight="1" x14ac:dyDescent="0.3">
      <c r="A351" s="24" t="s">
        <v>40</v>
      </c>
      <c r="B351" s="24" t="s">
        <v>41</v>
      </c>
      <c r="C351" s="119">
        <v>0.2013888888888889</v>
      </c>
      <c r="D351" s="24" t="s">
        <v>38</v>
      </c>
      <c r="E351" s="24" t="s">
        <v>79</v>
      </c>
      <c r="F351" s="24" t="s">
        <v>47</v>
      </c>
      <c r="G351" s="174"/>
      <c r="H351" s="19"/>
      <c r="I351" s="20"/>
      <c r="J351" s="20"/>
      <c r="K351" s="20"/>
      <c r="L351" s="20"/>
      <c r="M351" s="20"/>
      <c r="N351" s="20"/>
      <c r="O351" s="21"/>
      <c r="P351" s="20"/>
      <c r="Q351" s="22"/>
      <c r="R351" s="23"/>
    </row>
    <row r="352" spans="1:18" ht="15" customHeight="1" x14ac:dyDescent="0.3">
      <c r="A352" s="25" t="s">
        <v>58</v>
      </c>
      <c r="B352" s="25" t="s">
        <v>63</v>
      </c>
      <c r="C352" s="120">
        <v>0.86458333333333337</v>
      </c>
      <c r="D352" s="25" t="s">
        <v>60</v>
      </c>
      <c r="E352" s="25" t="s">
        <v>29</v>
      </c>
      <c r="F352" s="25" t="s">
        <v>62</v>
      </c>
      <c r="G352" s="174"/>
      <c r="H352" s="19"/>
      <c r="I352" s="20"/>
      <c r="J352" s="20"/>
      <c r="K352" s="20"/>
      <c r="L352" s="20"/>
      <c r="M352" s="20"/>
      <c r="N352" s="20"/>
      <c r="O352" s="21"/>
      <c r="P352" s="20"/>
      <c r="Q352" s="22"/>
      <c r="R352" s="23"/>
    </row>
    <row r="353" spans="1:18" ht="15" customHeight="1" x14ac:dyDescent="0.3">
      <c r="A353" s="26" t="s">
        <v>58</v>
      </c>
      <c r="B353" s="26" t="s">
        <v>66</v>
      </c>
      <c r="C353" s="121">
        <v>0.52777777777777779</v>
      </c>
      <c r="D353" s="26" t="s">
        <v>60</v>
      </c>
      <c r="E353" s="26" t="s">
        <v>29</v>
      </c>
      <c r="F353" s="26" t="s">
        <v>62</v>
      </c>
      <c r="G353" s="174"/>
      <c r="H353" s="19"/>
      <c r="I353" s="20"/>
      <c r="J353" s="20"/>
      <c r="K353" s="20"/>
      <c r="L353" s="20"/>
      <c r="M353" s="20"/>
      <c r="N353" s="20"/>
      <c r="O353" s="21"/>
      <c r="P353" s="20"/>
      <c r="Q353" s="22"/>
      <c r="R353" s="23"/>
    </row>
    <row r="354" spans="1:18" ht="15" customHeight="1" x14ac:dyDescent="0.3">
      <c r="A354" s="26" t="s">
        <v>58</v>
      </c>
      <c r="B354" s="26" t="s">
        <v>59</v>
      </c>
      <c r="C354" s="121">
        <v>0.1701388888888889</v>
      </c>
      <c r="D354" s="26" t="s">
        <v>60</v>
      </c>
      <c r="E354" s="26" t="s">
        <v>29</v>
      </c>
      <c r="F354" s="26" t="s">
        <v>62</v>
      </c>
      <c r="G354" s="174"/>
      <c r="H354" s="19"/>
      <c r="I354" s="20"/>
      <c r="J354" s="20"/>
      <c r="K354" s="20"/>
      <c r="L354" s="20"/>
      <c r="M354" s="20"/>
      <c r="N354" s="20"/>
      <c r="O354" s="21"/>
      <c r="P354" s="20"/>
      <c r="Q354" s="22"/>
      <c r="R354" s="23"/>
    </row>
    <row r="355" spans="1:18" ht="15" customHeight="1" x14ac:dyDescent="0.3">
      <c r="A355" s="25" t="s">
        <v>73</v>
      </c>
      <c r="B355" s="25" t="s">
        <v>161</v>
      </c>
      <c r="C355" s="120">
        <v>0.1215277777777778</v>
      </c>
      <c r="D355" s="25" t="s">
        <v>28</v>
      </c>
      <c r="E355" s="25" t="s">
        <v>53</v>
      </c>
      <c r="F355" s="25" t="s">
        <v>153</v>
      </c>
      <c r="G355" s="174"/>
      <c r="H355" s="19"/>
      <c r="I355" s="20"/>
      <c r="J355" s="20"/>
      <c r="K355" s="20"/>
      <c r="L355" s="20"/>
      <c r="M355" s="20"/>
      <c r="N355" s="20"/>
      <c r="O355" s="21"/>
      <c r="P355" s="20"/>
      <c r="Q355" s="22"/>
      <c r="R355" s="23"/>
    </row>
    <row r="356" spans="1:18" ht="15" customHeight="1" x14ac:dyDescent="0.3">
      <c r="A356" s="25" t="s">
        <v>26</v>
      </c>
      <c r="B356" s="25" t="s">
        <v>27</v>
      </c>
      <c r="C356" s="120">
        <v>0.95833333333333337</v>
      </c>
      <c r="D356" s="25" t="s">
        <v>28</v>
      </c>
      <c r="E356" s="25" t="s">
        <v>29</v>
      </c>
      <c r="F356" s="25" t="s">
        <v>49</v>
      </c>
      <c r="G356" s="174"/>
      <c r="H356" s="19"/>
      <c r="I356" s="20"/>
      <c r="J356" s="20"/>
      <c r="K356" s="20"/>
      <c r="L356" s="20"/>
      <c r="M356" s="20"/>
      <c r="N356" s="20"/>
      <c r="O356" s="21"/>
      <c r="P356" s="20"/>
      <c r="Q356" s="22"/>
      <c r="R356" s="23"/>
    </row>
    <row r="357" spans="1:18" ht="15" customHeight="1" thickBot="1" x14ac:dyDescent="0.35">
      <c r="A357" s="33" t="s">
        <v>68</v>
      </c>
      <c r="B357" s="33" t="s">
        <v>69</v>
      </c>
      <c r="C357" s="125">
        <v>0.30555555555555558</v>
      </c>
      <c r="D357" s="33" t="s">
        <v>70</v>
      </c>
      <c r="E357" s="33" t="s">
        <v>71</v>
      </c>
      <c r="F357" s="33" t="s">
        <v>122</v>
      </c>
      <c r="G357" s="175"/>
      <c r="H357" s="8"/>
      <c r="I357" s="9"/>
      <c r="J357" s="9"/>
      <c r="K357" s="9"/>
      <c r="L357" s="9"/>
      <c r="M357" s="9"/>
      <c r="N357" s="9"/>
      <c r="O357" s="10"/>
      <c r="P357" s="9"/>
      <c r="Q357" s="11"/>
      <c r="R357" s="12"/>
    </row>
    <row r="358" spans="1:18" ht="17.399999999999999" customHeight="1" thickBot="1" x14ac:dyDescent="0.35">
      <c r="A358" s="179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1"/>
    </row>
    <row r="359" spans="1:18" ht="22.05" customHeight="1" thickTop="1" thickBot="1" x14ac:dyDescent="0.35">
      <c r="A359" s="182" t="s">
        <v>6</v>
      </c>
      <c r="B359" s="177"/>
      <c r="C359" s="177"/>
      <c r="D359" s="177"/>
      <c r="E359" s="177"/>
      <c r="F359" s="178"/>
      <c r="G359" s="115">
        <v>46014</v>
      </c>
      <c r="H359" s="184" t="s">
        <v>7</v>
      </c>
      <c r="I359" s="177"/>
      <c r="J359" s="177"/>
      <c r="K359" s="177"/>
      <c r="L359" s="177"/>
      <c r="M359" s="177"/>
      <c r="N359" s="177"/>
      <c r="O359" s="177"/>
      <c r="P359" s="177"/>
      <c r="Q359" s="177"/>
      <c r="R359" s="178"/>
    </row>
    <row r="360" spans="1:18" ht="24" customHeight="1" x14ac:dyDescent="0.3">
      <c r="A360" s="13" t="s">
        <v>8</v>
      </c>
      <c r="B360" s="13" t="s">
        <v>9</v>
      </c>
      <c r="C360" s="116" t="s">
        <v>10</v>
      </c>
      <c r="D360" s="13" t="s">
        <v>11</v>
      </c>
      <c r="E360" s="13" t="s">
        <v>12</v>
      </c>
      <c r="F360" s="14" t="s">
        <v>13</v>
      </c>
      <c r="G360" s="15" t="s">
        <v>14</v>
      </c>
      <c r="H360" s="13" t="s">
        <v>15</v>
      </c>
      <c r="I360" s="117" t="s">
        <v>16</v>
      </c>
      <c r="J360" s="16" t="s">
        <v>17</v>
      </c>
      <c r="K360" s="17" t="s">
        <v>18</v>
      </c>
      <c r="L360" s="16" t="s">
        <v>19</v>
      </c>
      <c r="M360" s="16" t="s">
        <v>20</v>
      </c>
      <c r="N360" s="16" t="s">
        <v>21</v>
      </c>
      <c r="O360" s="13" t="s">
        <v>22</v>
      </c>
      <c r="P360" s="116" t="s">
        <v>23</v>
      </c>
      <c r="Q360" s="16" t="s">
        <v>24</v>
      </c>
      <c r="R360" s="13" t="s">
        <v>25</v>
      </c>
    </row>
    <row r="361" spans="1:18" ht="15" customHeight="1" x14ac:dyDescent="0.3">
      <c r="A361" s="18" t="s">
        <v>31</v>
      </c>
      <c r="B361" s="18" t="s">
        <v>32</v>
      </c>
      <c r="C361" s="118">
        <v>0.30555555555555558</v>
      </c>
      <c r="D361" s="18" t="s">
        <v>33</v>
      </c>
      <c r="E361" s="18" t="s">
        <v>147</v>
      </c>
      <c r="F361" s="18" t="s">
        <v>114</v>
      </c>
      <c r="G361" s="173"/>
      <c r="H361" s="19"/>
      <c r="I361" s="20"/>
      <c r="J361" s="20"/>
      <c r="K361" s="20"/>
      <c r="L361" s="20"/>
      <c r="M361" s="20"/>
      <c r="N361" s="20"/>
      <c r="O361" s="21"/>
      <c r="P361" s="20"/>
      <c r="Q361" s="22"/>
      <c r="R361" s="23"/>
    </row>
    <row r="362" spans="1:18" ht="15" customHeight="1" x14ac:dyDescent="0.3">
      <c r="A362" s="24" t="s">
        <v>31</v>
      </c>
      <c r="B362" s="24" t="s">
        <v>32</v>
      </c>
      <c r="C362" s="119">
        <v>0.30555555555555558</v>
      </c>
      <c r="D362" s="24" t="s">
        <v>36</v>
      </c>
      <c r="E362" s="24" t="s">
        <v>147</v>
      </c>
      <c r="F362" s="24" t="s">
        <v>115</v>
      </c>
      <c r="G362" s="174"/>
      <c r="H362" s="19"/>
      <c r="I362" s="20"/>
      <c r="J362" s="20"/>
      <c r="K362" s="20"/>
      <c r="L362" s="20"/>
      <c r="M362" s="20"/>
      <c r="N362" s="20"/>
      <c r="O362" s="21"/>
      <c r="P362" s="20"/>
      <c r="Q362" s="22"/>
      <c r="R362" s="23"/>
    </row>
    <row r="363" spans="1:18" ht="15" customHeight="1" x14ac:dyDescent="0.3">
      <c r="A363" s="24" t="s">
        <v>31</v>
      </c>
      <c r="B363" s="24" t="s">
        <v>32</v>
      </c>
      <c r="C363" s="119">
        <v>0.30555555555555558</v>
      </c>
      <c r="D363" s="24" t="s">
        <v>38</v>
      </c>
      <c r="E363" s="24" t="s">
        <v>147</v>
      </c>
      <c r="F363" s="24" t="s">
        <v>86</v>
      </c>
      <c r="G363" s="174"/>
      <c r="H363" s="19"/>
      <c r="I363" s="20"/>
      <c r="J363" s="20"/>
      <c r="K363" s="20"/>
      <c r="L363" s="20"/>
      <c r="M363" s="20"/>
      <c r="N363" s="20"/>
      <c r="O363" s="21"/>
      <c r="P363" s="20"/>
      <c r="Q363" s="22"/>
      <c r="R363" s="23"/>
    </row>
    <row r="364" spans="1:18" ht="15" customHeight="1" x14ac:dyDescent="0.3">
      <c r="A364" s="25" t="s">
        <v>40</v>
      </c>
      <c r="B364" s="25" t="s">
        <v>48</v>
      </c>
      <c r="C364" s="120">
        <v>0.83680555555555558</v>
      </c>
      <c r="D364" s="25" t="s">
        <v>42</v>
      </c>
      <c r="E364" s="25" t="s">
        <v>79</v>
      </c>
      <c r="F364" s="25" t="s">
        <v>44</v>
      </c>
      <c r="G364" s="174"/>
      <c r="H364" s="19"/>
      <c r="I364" s="20"/>
      <c r="J364" s="20"/>
      <c r="K364" s="20"/>
      <c r="L364" s="20"/>
      <c r="M364" s="20"/>
      <c r="N364" s="20"/>
      <c r="O364" s="21"/>
      <c r="P364" s="20"/>
      <c r="Q364" s="22"/>
      <c r="R364" s="23"/>
    </row>
    <row r="365" spans="1:18" ht="15" customHeight="1" x14ac:dyDescent="0.3">
      <c r="A365" s="24" t="s">
        <v>40</v>
      </c>
      <c r="B365" s="24" t="s">
        <v>48</v>
      </c>
      <c r="C365" s="119">
        <v>0.83680555555555558</v>
      </c>
      <c r="D365" s="24" t="s">
        <v>45</v>
      </c>
      <c r="E365" s="24" t="s">
        <v>79</v>
      </c>
      <c r="F365" s="24" t="s">
        <v>46</v>
      </c>
      <c r="G365" s="174"/>
      <c r="H365" s="19"/>
      <c r="I365" s="20"/>
      <c r="J365" s="20"/>
      <c r="K365" s="20"/>
      <c r="L365" s="20"/>
      <c r="M365" s="20"/>
      <c r="N365" s="20"/>
      <c r="O365" s="21"/>
      <c r="P365" s="20"/>
      <c r="Q365" s="22"/>
      <c r="R365" s="23"/>
    </row>
    <row r="366" spans="1:18" ht="15" customHeight="1" x14ac:dyDescent="0.3">
      <c r="A366" s="24" t="s">
        <v>40</v>
      </c>
      <c r="B366" s="24" t="s">
        <v>48</v>
      </c>
      <c r="C366" s="119">
        <v>0.83680555555555558</v>
      </c>
      <c r="D366" s="24" t="s">
        <v>38</v>
      </c>
      <c r="E366" s="24" t="s">
        <v>79</v>
      </c>
      <c r="F366" s="24" t="s">
        <v>47</v>
      </c>
      <c r="G366" s="174"/>
      <c r="H366" s="19"/>
      <c r="I366" s="20"/>
      <c r="J366" s="20"/>
      <c r="K366" s="20"/>
      <c r="L366" s="20"/>
      <c r="M366" s="20"/>
      <c r="N366" s="20"/>
      <c r="O366" s="21"/>
      <c r="P366" s="20"/>
      <c r="Q366" s="22"/>
      <c r="R366" s="23"/>
    </row>
    <row r="367" spans="1:18" ht="15" customHeight="1" x14ac:dyDescent="0.3">
      <c r="A367" s="26" t="s">
        <v>40</v>
      </c>
      <c r="B367" s="26" t="s">
        <v>41</v>
      </c>
      <c r="C367" s="121">
        <v>0.2013888888888889</v>
      </c>
      <c r="D367" s="26" t="s">
        <v>42</v>
      </c>
      <c r="E367" s="26" t="s">
        <v>79</v>
      </c>
      <c r="F367" s="26" t="s">
        <v>30</v>
      </c>
      <c r="G367" s="174"/>
      <c r="H367" s="19"/>
      <c r="I367" s="20"/>
      <c r="J367" s="20"/>
      <c r="K367" s="20"/>
      <c r="L367" s="20"/>
      <c r="M367" s="20"/>
      <c r="N367" s="20"/>
      <c r="O367" s="21"/>
      <c r="P367" s="20"/>
      <c r="Q367" s="22"/>
      <c r="R367" s="23"/>
    </row>
    <row r="368" spans="1:18" ht="15" customHeight="1" x14ac:dyDescent="0.3">
      <c r="A368" s="24" t="s">
        <v>40</v>
      </c>
      <c r="B368" s="24" t="s">
        <v>41</v>
      </c>
      <c r="C368" s="119">
        <v>0.2013888888888889</v>
      </c>
      <c r="D368" s="24" t="s">
        <v>45</v>
      </c>
      <c r="E368" s="24" t="s">
        <v>79</v>
      </c>
      <c r="F368" s="24" t="s">
        <v>90</v>
      </c>
      <c r="G368" s="174"/>
      <c r="H368" s="19"/>
      <c r="I368" s="20"/>
      <c r="J368" s="20"/>
      <c r="K368" s="20"/>
      <c r="L368" s="20"/>
      <c r="M368" s="20"/>
      <c r="N368" s="20"/>
      <c r="O368" s="21"/>
      <c r="P368" s="20"/>
      <c r="Q368" s="22"/>
      <c r="R368" s="23"/>
    </row>
    <row r="369" spans="1:18" ht="15" customHeight="1" x14ac:dyDescent="0.3">
      <c r="A369" s="24" t="s">
        <v>40</v>
      </c>
      <c r="B369" s="24" t="s">
        <v>41</v>
      </c>
      <c r="C369" s="119">
        <v>0.2013888888888889</v>
      </c>
      <c r="D369" s="24" t="s">
        <v>38</v>
      </c>
      <c r="E369" s="24" t="s">
        <v>79</v>
      </c>
      <c r="F369" s="24" t="s">
        <v>116</v>
      </c>
      <c r="G369" s="174"/>
      <c r="H369" s="19"/>
      <c r="I369" s="20"/>
      <c r="J369" s="20"/>
      <c r="K369" s="20"/>
      <c r="L369" s="20"/>
      <c r="M369" s="20"/>
      <c r="N369" s="20"/>
      <c r="O369" s="21"/>
      <c r="P369" s="20"/>
      <c r="Q369" s="22"/>
      <c r="R369" s="23"/>
    </row>
    <row r="370" spans="1:18" ht="15" customHeight="1" x14ac:dyDescent="0.3">
      <c r="A370" s="34" t="s">
        <v>51</v>
      </c>
      <c r="B370" s="34" t="s">
        <v>52</v>
      </c>
      <c r="C370" s="126">
        <v>0.27083333333333331</v>
      </c>
      <c r="D370" s="34" t="s">
        <v>28</v>
      </c>
      <c r="E370" s="34" t="s">
        <v>29</v>
      </c>
      <c r="F370" s="34" t="s">
        <v>30</v>
      </c>
      <c r="G370" s="174"/>
      <c r="H370" s="98" t="s">
        <v>54</v>
      </c>
      <c r="I370" s="143">
        <v>0.1726</v>
      </c>
      <c r="J370" s="99">
        <v>29</v>
      </c>
      <c r="K370" s="100">
        <v>45990</v>
      </c>
      <c r="L370" s="99">
        <v>17</v>
      </c>
      <c r="M370" s="99">
        <v>0</v>
      </c>
      <c r="N370" s="99">
        <v>0</v>
      </c>
      <c r="O370" s="101" t="s">
        <v>105</v>
      </c>
      <c r="P370" s="128">
        <v>0.27083333333333331</v>
      </c>
      <c r="Q370" s="99">
        <v>168</v>
      </c>
      <c r="R370" s="102" t="s">
        <v>162</v>
      </c>
    </row>
    <row r="371" spans="1:18" ht="15" customHeight="1" x14ac:dyDescent="0.3">
      <c r="A371" s="25" t="s">
        <v>58</v>
      </c>
      <c r="B371" s="25" t="s">
        <v>63</v>
      </c>
      <c r="C371" s="120">
        <v>0.86458333333333337</v>
      </c>
      <c r="D371" s="25" t="s">
        <v>60</v>
      </c>
      <c r="E371" s="25" t="s">
        <v>29</v>
      </c>
      <c r="F371" s="25" t="s">
        <v>62</v>
      </c>
      <c r="G371" s="174"/>
      <c r="H371" s="19"/>
      <c r="I371" s="20"/>
      <c r="J371" s="20"/>
      <c r="K371" s="20"/>
      <c r="L371" s="20"/>
      <c r="M371" s="20"/>
      <c r="N371" s="20"/>
      <c r="O371" s="21"/>
      <c r="P371" s="20"/>
      <c r="Q371" s="22"/>
      <c r="R371" s="23"/>
    </row>
    <row r="372" spans="1:18" ht="15" customHeight="1" x14ac:dyDescent="0.3">
      <c r="A372" s="26" t="s">
        <v>58</v>
      </c>
      <c r="B372" s="26" t="s">
        <v>59</v>
      </c>
      <c r="C372" s="121">
        <v>0.1701388888888889</v>
      </c>
      <c r="D372" s="26" t="s">
        <v>60</v>
      </c>
      <c r="E372" s="26" t="s">
        <v>29</v>
      </c>
      <c r="F372" s="26" t="s">
        <v>62</v>
      </c>
      <c r="G372" s="174"/>
      <c r="H372" s="19"/>
      <c r="I372" s="20"/>
      <c r="J372" s="20"/>
      <c r="K372" s="20"/>
      <c r="L372" s="20"/>
      <c r="M372" s="20"/>
      <c r="N372" s="20"/>
      <c r="O372" s="21"/>
      <c r="P372" s="20"/>
      <c r="Q372" s="22"/>
      <c r="R372" s="23"/>
    </row>
    <row r="373" spans="1:18" ht="15" customHeight="1" x14ac:dyDescent="0.3">
      <c r="A373" s="25" t="s">
        <v>26</v>
      </c>
      <c r="B373" s="25" t="s">
        <v>57</v>
      </c>
      <c r="C373" s="120">
        <v>0.95833333333333337</v>
      </c>
      <c r="D373" s="25" t="s">
        <v>28</v>
      </c>
      <c r="E373" s="25" t="s">
        <v>120</v>
      </c>
      <c r="F373" s="25" t="s">
        <v>49</v>
      </c>
      <c r="G373" s="174"/>
      <c r="H373" s="19"/>
      <c r="I373" s="20"/>
      <c r="J373" s="20"/>
      <c r="K373" s="20"/>
      <c r="L373" s="20"/>
      <c r="M373" s="20"/>
      <c r="N373" s="20"/>
      <c r="O373" s="21"/>
      <c r="P373" s="20"/>
      <c r="Q373" s="22"/>
      <c r="R373" s="23"/>
    </row>
    <row r="374" spans="1:18" ht="15" customHeight="1" thickBot="1" x14ac:dyDescent="0.35">
      <c r="A374" s="33" t="s">
        <v>68</v>
      </c>
      <c r="B374" s="33" t="s">
        <v>69</v>
      </c>
      <c r="C374" s="125">
        <v>0.30555555555555558</v>
      </c>
      <c r="D374" s="33" t="s">
        <v>70</v>
      </c>
      <c r="E374" s="33" t="s">
        <v>71</v>
      </c>
      <c r="F374" s="33" t="s">
        <v>122</v>
      </c>
      <c r="G374" s="175"/>
      <c r="H374" s="8"/>
      <c r="I374" s="9"/>
      <c r="J374" s="9"/>
      <c r="K374" s="9"/>
      <c r="L374" s="9"/>
      <c r="M374" s="9"/>
      <c r="N374" s="9"/>
      <c r="O374" s="10"/>
      <c r="P374" s="9"/>
      <c r="Q374" s="11"/>
      <c r="R374" s="12"/>
    </row>
    <row r="375" spans="1:18" ht="17.399999999999999" customHeight="1" thickBot="1" x14ac:dyDescent="0.35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1"/>
    </row>
    <row r="376" spans="1:18" ht="22.05" customHeight="1" thickTop="1" thickBot="1" x14ac:dyDescent="0.35">
      <c r="A376" s="182" t="s">
        <v>6</v>
      </c>
      <c r="B376" s="177"/>
      <c r="C376" s="177"/>
      <c r="D376" s="177"/>
      <c r="E376" s="177"/>
      <c r="F376" s="178"/>
      <c r="G376" s="115">
        <v>46015</v>
      </c>
      <c r="H376" s="184" t="s">
        <v>7</v>
      </c>
      <c r="I376" s="177"/>
      <c r="J376" s="177"/>
      <c r="K376" s="177"/>
      <c r="L376" s="177"/>
      <c r="M376" s="177"/>
      <c r="N376" s="177"/>
      <c r="O376" s="177"/>
      <c r="P376" s="177"/>
      <c r="Q376" s="177"/>
      <c r="R376" s="178"/>
    </row>
    <row r="377" spans="1:18" ht="24" customHeight="1" x14ac:dyDescent="0.3">
      <c r="A377" s="13" t="s">
        <v>8</v>
      </c>
      <c r="B377" s="13" t="s">
        <v>9</v>
      </c>
      <c r="C377" s="116" t="s">
        <v>10</v>
      </c>
      <c r="D377" s="13" t="s">
        <v>11</v>
      </c>
      <c r="E377" s="13" t="s">
        <v>12</v>
      </c>
      <c r="F377" s="14" t="s">
        <v>13</v>
      </c>
      <c r="G377" s="15" t="s">
        <v>14</v>
      </c>
      <c r="H377" s="13" t="s">
        <v>15</v>
      </c>
      <c r="I377" s="117" t="s">
        <v>16</v>
      </c>
      <c r="J377" s="16" t="s">
        <v>17</v>
      </c>
      <c r="K377" s="17" t="s">
        <v>18</v>
      </c>
      <c r="L377" s="16" t="s">
        <v>19</v>
      </c>
      <c r="M377" s="16" t="s">
        <v>20</v>
      </c>
      <c r="N377" s="16" t="s">
        <v>21</v>
      </c>
      <c r="O377" s="13" t="s">
        <v>22</v>
      </c>
      <c r="P377" s="116" t="s">
        <v>23</v>
      </c>
      <c r="Q377" s="16" t="s">
        <v>24</v>
      </c>
      <c r="R377" s="13" t="s">
        <v>25</v>
      </c>
    </row>
    <row r="378" spans="1:18" ht="15" customHeight="1" x14ac:dyDescent="0.3">
      <c r="A378" s="18" t="s">
        <v>31</v>
      </c>
      <c r="B378" s="18" t="s">
        <v>32</v>
      </c>
      <c r="C378" s="118">
        <v>0.30555555555555558</v>
      </c>
      <c r="D378" s="18" t="s">
        <v>33</v>
      </c>
      <c r="E378" s="18" t="s">
        <v>136</v>
      </c>
      <c r="F378" s="18" t="s">
        <v>114</v>
      </c>
      <c r="G378" s="183"/>
      <c r="H378" s="19"/>
      <c r="I378" s="20"/>
      <c r="J378" s="20"/>
      <c r="K378" s="20"/>
      <c r="L378" s="20"/>
      <c r="M378" s="20"/>
      <c r="N378" s="20"/>
      <c r="O378" s="21"/>
      <c r="P378" s="20"/>
      <c r="Q378" s="22"/>
      <c r="R378" s="23"/>
    </row>
    <row r="379" spans="1:18" ht="15" customHeight="1" x14ac:dyDescent="0.3">
      <c r="A379" s="24" t="s">
        <v>31</v>
      </c>
      <c r="B379" s="24" t="s">
        <v>32</v>
      </c>
      <c r="C379" s="119">
        <v>0.30555555555555558</v>
      </c>
      <c r="D379" s="24" t="s">
        <v>36</v>
      </c>
      <c r="E379" s="24" t="s">
        <v>136</v>
      </c>
      <c r="F379" s="24" t="s">
        <v>115</v>
      </c>
      <c r="G379" s="174"/>
      <c r="H379" s="19"/>
      <c r="I379" s="20"/>
      <c r="J379" s="20"/>
      <c r="K379" s="20"/>
      <c r="L379" s="20"/>
      <c r="M379" s="20"/>
      <c r="N379" s="20"/>
      <c r="O379" s="21"/>
      <c r="P379" s="20"/>
      <c r="Q379" s="22"/>
      <c r="R379" s="23"/>
    </row>
    <row r="380" spans="1:18" ht="15" customHeight="1" x14ac:dyDescent="0.3">
      <c r="A380" s="24" t="s">
        <v>31</v>
      </c>
      <c r="B380" s="24" t="s">
        <v>32</v>
      </c>
      <c r="C380" s="119">
        <v>0.30555555555555558</v>
      </c>
      <c r="D380" s="24" t="s">
        <v>38</v>
      </c>
      <c r="E380" s="24" t="s">
        <v>136</v>
      </c>
      <c r="F380" s="24" t="s">
        <v>86</v>
      </c>
      <c r="G380" s="174"/>
      <c r="H380" s="19"/>
      <c r="I380" s="20"/>
      <c r="J380" s="20"/>
      <c r="K380" s="20"/>
      <c r="L380" s="20"/>
      <c r="M380" s="20"/>
      <c r="N380" s="20"/>
      <c r="O380" s="21"/>
      <c r="P380" s="20"/>
      <c r="Q380" s="22"/>
      <c r="R380" s="23"/>
    </row>
    <row r="381" spans="1:18" ht="15" customHeight="1" x14ac:dyDescent="0.3">
      <c r="A381" s="25" t="s">
        <v>76</v>
      </c>
      <c r="B381" s="25" t="s">
        <v>77</v>
      </c>
      <c r="C381" s="120">
        <v>0.97222222222222221</v>
      </c>
      <c r="D381" s="25" t="s">
        <v>78</v>
      </c>
      <c r="E381" s="25" t="s">
        <v>79</v>
      </c>
      <c r="F381" s="25" t="s">
        <v>149</v>
      </c>
      <c r="G381" s="174"/>
      <c r="H381" s="19"/>
      <c r="I381" s="20"/>
      <c r="J381" s="20"/>
      <c r="K381" s="20"/>
      <c r="L381" s="20"/>
      <c r="M381" s="20"/>
      <c r="N381" s="20"/>
      <c r="O381" s="21"/>
      <c r="P381" s="20"/>
      <c r="Q381" s="22"/>
      <c r="R381" s="23"/>
    </row>
    <row r="382" spans="1:18" ht="15" customHeight="1" x14ac:dyDescent="0.3">
      <c r="A382" s="24" t="s">
        <v>76</v>
      </c>
      <c r="B382" s="24" t="s">
        <v>77</v>
      </c>
      <c r="C382" s="119">
        <v>0.97222222222222221</v>
      </c>
      <c r="D382" s="24" t="s">
        <v>81</v>
      </c>
      <c r="E382" s="24" t="s">
        <v>79</v>
      </c>
      <c r="F382" s="24" t="s">
        <v>163</v>
      </c>
      <c r="G382" s="174"/>
      <c r="H382" s="19"/>
      <c r="I382" s="20"/>
      <c r="J382" s="20"/>
      <c r="K382" s="20"/>
      <c r="L382" s="20"/>
      <c r="M382" s="20"/>
      <c r="N382" s="20"/>
      <c r="O382" s="21"/>
      <c r="P382" s="20"/>
      <c r="Q382" s="22"/>
      <c r="R382" s="23"/>
    </row>
    <row r="383" spans="1:18" ht="15" customHeight="1" x14ac:dyDescent="0.3">
      <c r="A383" s="25" t="s">
        <v>40</v>
      </c>
      <c r="B383" s="25" t="s">
        <v>48</v>
      </c>
      <c r="C383" s="120">
        <v>0.85069444444444442</v>
      </c>
      <c r="D383" s="25" t="s">
        <v>42</v>
      </c>
      <c r="E383" s="25" t="s">
        <v>43</v>
      </c>
      <c r="F383" s="25" t="s">
        <v>44</v>
      </c>
      <c r="G383" s="174"/>
      <c r="H383" s="19"/>
      <c r="I383" s="20"/>
      <c r="J383" s="20"/>
      <c r="K383" s="20"/>
      <c r="L383" s="20"/>
      <c r="M383" s="20"/>
      <c r="N383" s="20"/>
      <c r="O383" s="21"/>
      <c r="P383" s="20"/>
      <c r="Q383" s="22"/>
      <c r="R383" s="23"/>
    </row>
    <row r="384" spans="1:18" ht="15" customHeight="1" x14ac:dyDescent="0.3">
      <c r="A384" s="24" t="s">
        <v>40</v>
      </c>
      <c r="B384" s="24" t="s">
        <v>48</v>
      </c>
      <c r="C384" s="119">
        <v>0.85069444444444442</v>
      </c>
      <c r="D384" s="24" t="s">
        <v>45</v>
      </c>
      <c r="E384" s="24" t="s">
        <v>43</v>
      </c>
      <c r="F384" s="24" t="s">
        <v>46</v>
      </c>
      <c r="G384" s="174"/>
      <c r="H384" s="19"/>
      <c r="I384" s="20"/>
      <c r="J384" s="20"/>
      <c r="K384" s="20"/>
      <c r="L384" s="20"/>
      <c r="M384" s="20"/>
      <c r="N384" s="20"/>
      <c r="O384" s="21"/>
      <c r="P384" s="20"/>
      <c r="Q384" s="22"/>
      <c r="R384" s="23"/>
    </row>
    <row r="385" spans="1:18" ht="15" customHeight="1" x14ac:dyDescent="0.3">
      <c r="A385" s="24" t="s">
        <v>40</v>
      </c>
      <c r="B385" s="24" t="s">
        <v>48</v>
      </c>
      <c r="C385" s="119">
        <v>0.85069444444444442</v>
      </c>
      <c r="D385" s="24" t="s">
        <v>38</v>
      </c>
      <c r="E385" s="24" t="s">
        <v>43</v>
      </c>
      <c r="F385" s="24" t="s">
        <v>47</v>
      </c>
      <c r="G385" s="174"/>
      <c r="H385" s="19"/>
      <c r="I385" s="20"/>
      <c r="J385" s="20"/>
      <c r="K385" s="20"/>
      <c r="L385" s="20"/>
      <c r="M385" s="20"/>
      <c r="N385" s="20"/>
      <c r="O385" s="21"/>
      <c r="P385" s="20"/>
      <c r="Q385" s="22"/>
      <c r="R385" s="23"/>
    </row>
    <row r="386" spans="1:18" ht="15" customHeight="1" x14ac:dyDescent="0.3">
      <c r="A386" s="25" t="s">
        <v>58</v>
      </c>
      <c r="B386" s="25" t="s">
        <v>63</v>
      </c>
      <c r="C386" s="120">
        <v>0.86458333333333337</v>
      </c>
      <c r="D386" s="25" t="s">
        <v>60</v>
      </c>
      <c r="E386" s="25" t="s">
        <v>29</v>
      </c>
      <c r="F386" s="25" t="s">
        <v>62</v>
      </c>
      <c r="G386" s="174"/>
      <c r="H386" s="19"/>
      <c r="I386" s="20"/>
      <c r="J386" s="20"/>
      <c r="K386" s="20"/>
      <c r="L386" s="20"/>
      <c r="M386" s="20"/>
      <c r="N386" s="20"/>
      <c r="O386" s="21"/>
      <c r="P386" s="20"/>
      <c r="Q386" s="22"/>
      <c r="R386" s="23"/>
    </row>
    <row r="387" spans="1:18" ht="15" customHeight="1" x14ac:dyDescent="0.3">
      <c r="A387" s="26" t="s">
        <v>58</v>
      </c>
      <c r="B387" s="26" t="s">
        <v>66</v>
      </c>
      <c r="C387" s="121">
        <v>0.52777777777777779</v>
      </c>
      <c r="D387" s="26" t="s">
        <v>60</v>
      </c>
      <c r="E387" s="26" t="s">
        <v>29</v>
      </c>
      <c r="F387" s="26" t="s">
        <v>62</v>
      </c>
      <c r="G387" s="174"/>
      <c r="H387" s="19"/>
      <c r="I387" s="20"/>
      <c r="J387" s="20"/>
      <c r="K387" s="20"/>
      <c r="L387" s="20"/>
      <c r="M387" s="20"/>
      <c r="N387" s="20"/>
      <c r="O387" s="21"/>
      <c r="P387" s="20"/>
      <c r="Q387" s="22"/>
      <c r="R387" s="23"/>
    </row>
    <row r="388" spans="1:18" ht="15" customHeight="1" x14ac:dyDescent="0.3">
      <c r="A388" s="26" t="s">
        <v>58</v>
      </c>
      <c r="B388" s="26" t="s">
        <v>59</v>
      </c>
      <c r="C388" s="121">
        <v>0.1701388888888889</v>
      </c>
      <c r="D388" s="26" t="s">
        <v>60</v>
      </c>
      <c r="E388" s="26" t="s">
        <v>29</v>
      </c>
      <c r="F388" s="26" t="s">
        <v>62</v>
      </c>
      <c r="G388" s="174"/>
      <c r="H388" s="19"/>
      <c r="I388" s="20"/>
      <c r="J388" s="20"/>
      <c r="K388" s="20"/>
      <c r="L388" s="20"/>
      <c r="M388" s="20"/>
      <c r="N388" s="20"/>
      <c r="O388" s="21"/>
      <c r="P388" s="20"/>
      <c r="Q388" s="22"/>
      <c r="R388" s="23"/>
    </row>
    <row r="389" spans="1:18" ht="15" customHeight="1" x14ac:dyDescent="0.3">
      <c r="A389" s="25" t="s">
        <v>26</v>
      </c>
      <c r="B389" s="25" t="s">
        <v>27</v>
      </c>
      <c r="C389" s="120">
        <v>0.89583333333333337</v>
      </c>
      <c r="D389" s="25" t="s">
        <v>28</v>
      </c>
      <c r="E389" s="25" t="s">
        <v>29</v>
      </c>
      <c r="F389" s="25" t="s">
        <v>49</v>
      </c>
      <c r="G389" s="174"/>
      <c r="H389" s="19"/>
      <c r="I389" s="20"/>
      <c r="J389" s="20"/>
      <c r="K389" s="20"/>
      <c r="L389" s="20"/>
      <c r="M389" s="20"/>
      <c r="N389" s="20"/>
      <c r="O389" s="21"/>
      <c r="P389" s="20"/>
      <c r="Q389" s="22"/>
      <c r="R389" s="23"/>
    </row>
    <row r="390" spans="1:18" ht="15" customHeight="1" x14ac:dyDescent="0.3">
      <c r="A390" s="25" t="s">
        <v>73</v>
      </c>
      <c r="B390" s="25" t="s">
        <v>74</v>
      </c>
      <c r="C390" s="120">
        <v>9.0277777777777776E-2</v>
      </c>
      <c r="D390" s="25" t="s">
        <v>28</v>
      </c>
      <c r="E390" s="25" t="s">
        <v>120</v>
      </c>
      <c r="F390" s="25" t="s">
        <v>164</v>
      </c>
      <c r="G390" s="174"/>
      <c r="H390" s="19"/>
      <c r="I390" s="20"/>
      <c r="J390" s="20"/>
      <c r="K390" s="20"/>
      <c r="L390" s="20"/>
      <c r="M390" s="20"/>
      <c r="N390" s="20"/>
      <c r="O390" s="21"/>
      <c r="P390" s="20"/>
      <c r="Q390" s="22"/>
      <c r="R390" s="23"/>
    </row>
    <row r="391" spans="1:18" ht="15" customHeight="1" thickBot="1" x14ac:dyDescent="0.35">
      <c r="A391" s="33" t="s">
        <v>68</v>
      </c>
      <c r="B391" s="33" t="s">
        <v>69</v>
      </c>
      <c r="C391" s="125">
        <v>0.30555555555555558</v>
      </c>
      <c r="D391" s="33" t="s">
        <v>70</v>
      </c>
      <c r="E391" s="33" t="s">
        <v>71</v>
      </c>
      <c r="F391" s="33" t="s">
        <v>72</v>
      </c>
      <c r="G391" s="175"/>
      <c r="H391" s="8"/>
      <c r="I391" s="9"/>
      <c r="J391" s="9"/>
      <c r="K391" s="9"/>
      <c r="L391" s="9"/>
      <c r="M391" s="9"/>
      <c r="N391" s="9"/>
      <c r="O391" s="10"/>
      <c r="P391" s="9"/>
      <c r="Q391" s="11"/>
      <c r="R391" s="12"/>
    </row>
    <row r="392" spans="1:18" ht="17.399999999999999" customHeight="1" thickBot="1" x14ac:dyDescent="0.35">
      <c r="A392" s="179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1"/>
    </row>
    <row r="393" spans="1:18" ht="22.05" customHeight="1" thickTop="1" thickBot="1" x14ac:dyDescent="0.35">
      <c r="A393" s="182" t="s">
        <v>6</v>
      </c>
      <c r="B393" s="177"/>
      <c r="C393" s="177"/>
      <c r="D393" s="177"/>
      <c r="E393" s="177"/>
      <c r="F393" s="178"/>
      <c r="G393" s="115">
        <v>46016</v>
      </c>
      <c r="H393" s="184" t="s">
        <v>7</v>
      </c>
      <c r="I393" s="177"/>
      <c r="J393" s="177"/>
      <c r="K393" s="177"/>
      <c r="L393" s="177"/>
      <c r="M393" s="177"/>
      <c r="N393" s="177"/>
      <c r="O393" s="177"/>
      <c r="P393" s="177"/>
      <c r="Q393" s="177"/>
      <c r="R393" s="178"/>
    </row>
    <row r="394" spans="1:18" ht="24" customHeight="1" x14ac:dyDescent="0.3">
      <c r="A394" s="13" t="s">
        <v>8</v>
      </c>
      <c r="B394" s="13" t="s">
        <v>9</v>
      </c>
      <c r="C394" s="116" t="s">
        <v>10</v>
      </c>
      <c r="D394" s="13" t="s">
        <v>11</v>
      </c>
      <c r="E394" s="13" t="s">
        <v>12</v>
      </c>
      <c r="F394" s="14" t="s">
        <v>13</v>
      </c>
      <c r="G394" s="15" t="s">
        <v>14</v>
      </c>
      <c r="H394" s="13" t="s">
        <v>15</v>
      </c>
      <c r="I394" s="117" t="s">
        <v>16</v>
      </c>
      <c r="J394" s="16" t="s">
        <v>17</v>
      </c>
      <c r="K394" s="17" t="s">
        <v>18</v>
      </c>
      <c r="L394" s="16" t="s">
        <v>19</v>
      </c>
      <c r="M394" s="16" t="s">
        <v>20</v>
      </c>
      <c r="N394" s="16" t="s">
        <v>21</v>
      </c>
      <c r="O394" s="13" t="s">
        <v>22</v>
      </c>
      <c r="P394" s="116" t="s">
        <v>23</v>
      </c>
      <c r="Q394" s="16" t="s">
        <v>24</v>
      </c>
      <c r="R394" s="13" t="s">
        <v>25</v>
      </c>
    </row>
    <row r="395" spans="1:18" ht="15" customHeight="1" x14ac:dyDescent="0.3">
      <c r="A395" s="18" t="s">
        <v>31</v>
      </c>
      <c r="B395" s="18" t="s">
        <v>32</v>
      </c>
      <c r="C395" s="118">
        <v>0.30555555555555558</v>
      </c>
      <c r="D395" s="18" t="s">
        <v>33</v>
      </c>
      <c r="E395" s="18" t="s">
        <v>158</v>
      </c>
      <c r="F395" s="18" t="s">
        <v>35</v>
      </c>
      <c r="G395" s="183"/>
      <c r="H395" s="19"/>
      <c r="I395" s="20"/>
      <c r="J395" s="20"/>
      <c r="K395" s="20"/>
      <c r="L395" s="20"/>
      <c r="M395" s="20"/>
      <c r="N395" s="20"/>
      <c r="O395" s="21"/>
      <c r="P395" s="20"/>
      <c r="Q395" s="22"/>
      <c r="R395" s="23"/>
    </row>
    <row r="396" spans="1:18" ht="15" customHeight="1" x14ac:dyDescent="0.3">
      <c r="A396" s="24" t="s">
        <v>31</v>
      </c>
      <c r="B396" s="24" t="s">
        <v>32</v>
      </c>
      <c r="C396" s="119">
        <v>0.30555555555555558</v>
      </c>
      <c r="D396" s="24" t="s">
        <v>36</v>
      </c>
      <c r="E396" s="24" t="s">
        <v>158</v>
      </c>
      <c r="F396" s="24" t="s">
        <v>37</v>
      </c>
      <c r="G396" s="174"/>
      <c r="H396" s="19"/>
      <c r="I396" s="20"/>
      <c r="J396" s="20"/>
      <c r="K396" s="20"/>
      <c r="L396" s="20"/>
      <c r="M396" s="20"/>
      <c r="N396" s="20"/>
      <c r="O396" s="21"/>
      <c r="P396" s="20"/>
      <c r="Q396" s="22"/>
      <c r="R396" s="23"/>
    </row>
    <row r="397" spans="1:18" ht="15" customHeight="1" x14ac:dyDescent="0.3">
      <c r="A397" s="24" t="s">
        <v>31</v>
      </c>
      <c r="B397" s="24" t="s">
        <v>32</v>
      </c>
      <c r="C397" s="119">
        <v>0.30555555555555558</v>
      </c>
      <c r="D397" s="24" t="s">
        <v>38</v>
      </c>
      <c r="E397" s="24" t="s">
        <v>158</v>
      </c>
      <c r="F397" s="24" t="s">
        <v>86</v>
      </c>
      <c r="G397" s="174"/>
      <c r="H397" s="19"/>
      <c r="I397" s="20"/>
      <c r="J397" s="20"/>
      <c r="K397" s="20"/>
      <c r="L397" s="20"/>
      <c r="M397" s="20"/>
      <c r="N397" s="20"/>
      <c r="O397" s="21"/>
      <c r="P397" s="20"/>
      <c r="Q397" s="22"/>
      <c r="R397" s="23"/>
    </row>
    <row r="398" spans="1:18" ht="15" customHeight="1" x14ac:dyDescent="0.3">
      <c r="A398" s="25" t="s">
        <v>40</v>
      </c>
      <c r="B398" s="25" t="s">
        <v>41</v>
      </c>
      <c r="C398" s="120">
        <v>0.2013888888888889</v>
      </c>
      <c r="D398" s="25" t="s">
        <v>42</v>
      </c>
      <c r="E398" s="25" t="s">
        <v>71</v>
      </c>
      <c r="F398" s="25" t="s">
        <v>30</v>
      </c>
      <c r="G398" s="174"/>
      <c r="H398" s="19"/>
      <c r="I398" s="20"/>
      <c r="J398" s="20"/>
      <c r="K398" s="20"/>
      <c r="L398" s="20"/>
      <c r="M398" s="20"/>
      <c r="N398" s="20"/>
      <c r="O398" s="21"/>
      <c r="P398" s="20"/>
      <c r="Q398" s="22"/>
      <c r="R398" s="23"/>
    </row>
    <row r="399" spans="1:18" ht="15" customHeight="1" x14ac:dyDescent="0.3">
      <c r="A399" s="24" t="s">
        <v>40</v>
      </c>
      <c r="B399" s="24" t="s">
        <v>41</v>
      </c>
      <c r="C399" s="119">
        <v>0.2013888888888889</v>
      </c>
      <c r="D399" s="24" t="s">
        <v>45</v>
      </c>
      <c r="E399" s="24" t="s">
        <v>71</v>
      </c>
      <c r="F399" s="24" t="s">
        <v>90</v>
      </c>
      <c r="G399" s="174"/>
      <c r="H399" s="19"/>
      <c r="I399" s="20"/>
      <c r="J399" s="20"/>
      <c r="K399" s="20"/>
      <c r="L399" s="20"/>
      <c r="M399" s="20"/>
      <c r="N399" s="20"/>
      <c r="O399" s="21"/>
      <c r="P399" s="20"/>
      <c r="Q399" s="22"/>
      <c r="R399" s="23"/>
    </row>
    <row r="400" spans="1:18" ht="15" customHeight="1" x14ac:dyDescent="0.3">
      <c r="A400" s="24" t="s">
        <v>40</v>
      </c>
      <c r="B400" s="24" t="s">
        <v>41</v>
      </c>
      <c r="C400" s="119">
        <v>0.2013888888888889</v>
      </c>
      <c r="D400" s="24" t="s">
        <v>38</v>
      </c>
      <c r="E400" s="24" t="s">
        <v>71</v>
      </c>
      <c r="F400" s="24" t="s">
        <v>116</v>
      </c>
      <c r="G400" s="174"/>
      <c r="H400" s="19"/>
      <c r="I400" s="20"/>
      <c r="J400" s="20"/>
      <c r="K400" s="20"/>
      <c r="L400" s="20"/>
      <c r="M400" s="20"/>
      <c r="N400" s="20"/>
      <c r="O400" s="21"/>
      <c r="P400" s="20"/>
      <c r="Q400" s="22"/>
      <c r="R400" s="23"/>
    </row>
    <row r="401" spans="1:18" ht="15" customHeight="1" x14ac:dyDescent="0.3">
      <c r="A401" s="26" t="s">
        <v>40</v>
      </c>
      <c r="B401" s="26" t="s">
        <v>48</v>
      </c>
      <c r="C401" s="121">
        <v>0.83680555555555558</v>
      </c>
      <c r="D401" s="26" t="s">
        <v>42</v>
      </c>
      <c r="E401" s="26" t="s">
        <v>53</v>
      </c>
      <c r="F401" s="26" t="s">
        <v>49</v>
      </c>
      <c r="G401" s="174"/>
      <c r="H401" s="19"/>
      <c r="I401" s="20"/>
      <c r="J401" s="20"/>
      <c r="K401" s="20"/>
      <c r="L401" s="20"/>
      <c r="M401" s="20"/>
      <c r="N401" s="20"/>
      <c r="O401" s="21"/>
      <c r="P401" s="20"/>
      <c r="Q401" s="22"/>
      <c r="R401" s="23"/>
    </row>
    <row r="402" spans="1:18" ht="15" customHeight="1" x14ac:dyDescent="0.3">
      <c r="A402" s="24" t="s">
        <v>40</v>
      </c>
      <c r="B402" s="24" t="s">
        <v>48</v>
      </c>
      <c r="C402" s="119">
        <v>0.83680555555555558</v>
      </c>
      <c r="D402" s="24" t="s">
        <v>45</v>
      </c>
      <c r="E402" s="24" t="s">
        <v>53</v>
      </c>
      <c r="F402" s="24" t="s">
        <v>47</v>
      </c>
      <c r="G402" s="174"/>
      <c r="H402" s="19"/>
      <c r="I402" s="20"/>
      <c r="J402" s="20"/>
      <c r="K402" s="20"/>
      <c r="L402" s="20"/>
      <c r="M402" s="20"/>
      <c r="N402" s="20"/>
      <c r="O402" s="21"/>
      <c r="P402" s="20"/>
      <c r="Q402" s="22"/>
      <c r="R402" s="23"/>
    </row>
    <row r="403" spans="1:18" ht="15" customHeight="1" x14ac:dyDescent="0.3">
      <c r="A403" s="24" t="s">
        <v>40</v>
      </c>
      <c r="B403" s="24" t="s">
        <v>48</v>
      </c>
      <c r="C403" s="119">
        <v>0.83680555555555558</v>
      </c>
      <c r="D403" s="24" t="s">
        <v>38</v>
      </c>
      <c r="E403" s="24" t="s">
        <v>53</v>
      </c>
      <c r="F403" s="24" t="s">
        <v>50</v>
      </c>
      <c r="G403" s="174"/>
      <c r="H403" s="19"/>
      <c r="I403" s="20"/>
      <c r="J403" s="20"/>
      <c r="K403" s="20"/>
      <c r="L403" s="20"/>
      <c r="M403" s="20"/>
      <c r="N403" s="20"/>
      <c r="O403" s="21"/>
      <c r="P403" s="20"/>
      <c r="Q403" s="22"/>
      <c r="R403" s="23"/>
    </row>
    <row r="404" spans="1:18" ht="15" customHeight="1" x14ac:dyDescent="0.3">
      <c r="A404" s="27" t="s">
        <v>51</v>
      </c>
      <c r="B404" s="27" t="s">
        <v>52</v>
      </c>
      <c r="C404" s="122">
        <v>0.92361111111111116</v>
      </c>
      <c r="D404" s="27" t="s">
        <v>28</v>
      </c>
      <c r="E404" s="27" t="s">
        <v>29</v>
      </c>
      <c r="F404" s="27" t="s">
        <v>30</v>
      </c>
      <c r="G404" s="174"/>
      <c r="H404" s="28" t="s">
        <v>54</v>
      </c>
      <c r="I404" s="139">
        <v>0.28570000000000001</v>
      </c>
      <c r="J404" s="29">
        <v>48</v>
      </c>
      <c r="K404" s="30">
        <v>45992</v>
      </c>
      <c r="L404" s="29">
        <v>9</v>
      </c>
      <c r="M404" s="29">
        <v>5</v>
      </c>
      <c r="N404" s="29">
        <v>0</v>
      </c>
      <c r="O404" s="31" t="s">
        <v>105</v>
      </c>
      <c r="P404" s="124">
        <v>0.92361111111111116</v>
      </c>
      <c r="Q404" s="29">
        <v>168</v>
      </c>
      <c r="R404" s="32" t="s">
        <v>165</v>
      </c>
    </row>
    <row r="405" spans="1:18" ht="15" customHeight="1" x14ac:dyDescent="0.3">
      <c r="A405" s="25" t="s">
        <v>58</v>
      </c>
      <c r="B405" s="25" t="s">
        <v>59</v>
      </c>
      <c r="C405" s="120">
        <v>0.1701388888888889</v>
      </c>
      <c r="D405" s="25" t="s">
        <v>60</v>
      </c>
      <c r="E405" s="25" t="s">
        <v>29</v>
      </c>
      <c r="F405" s="25" t="s">
        <v>62</v>
      </c>
      <c r="G405" s="174"/>
      <c r="H405" s="19"/>
      <c r="I405" s="20"/>
      <c r="J405" s="20"/>
      <c r="K405" s="20"/>
      <c r="L405" s="20"/>
      <c r="M405" s="20"/>
      <c r="N405" s="20"/>
      <c r="O405" s="21"/>
      <c r="P405" s="20"/>
      <c r="Q405" s="22"/>
      <c r="R405" s="23"/>
    </row>
    <row r="406" spans="1:18" ht="15" customHeight="1" x14ac:dyDescent="0.3">
      <c r="A406" s="26" t="s">
        <v>58</v>
      </c>
      <c r="B406" s="26" t="s">
        <v>63</v>
      </c>
      <c r="C406" s="121">
        <v>0.86458333333333337</v>
      </c>
      <c r="D406" s="26" t="s">
        <v>127</v>
      </c>
      <c r="E406" s="26" t="s">
        <v>29</v>
      </c>
      <c r="F406" s="26" t="s">
        <v>128</v>
      </c>
      <c r="G406" s="174"/>
      <c r="H406" s="19"/>
      <c r="I406" s="20"/>
      <c r="J406" s="20"/>
      <c r="K406" s="20"/>
      <c r="L406" s="20"/>
      <c r="M406" s="20"/>
      <c r="N406" s="20"/>
      <c r="O406" s="21"/>
      <c r="P406" s="20"/>
      <c r="Q406" s="22"/>
      <c r="R406" s="23"/>
    </row>
    <row r="407" spans="1:18" ht="15" customHeight="1" x14ac:dyDescent="0.3">
      <c r="A407" s="26" t="s">
        <v>58</v>
      </c>
      <c r="B407" s="26" t="s">
        <v>66</v>
      </c>
      <c r="C407" s="121">
        <v>0.52777777777777779</v>
      </c>
      <c r="D407" s="26" t="s">
        <v>64</v>
      </c>
      <c r="E407" s="26" t="s">
        <v>29</v>
      </c>
      <c r="F407" s="26" t="s">
        <v>166</v>
      </c>
      <c r="G407" s="174"/>
      <c r="H407" s="19"/>
      <c r="I407" s="20"/>
      <c r="J407" s="20"/>
      <c r="K407" s="20"/>
      <c r="L407" s="20"/>
      <c r="M407" s="20"/>
      <c r="N407" s="20"/>
      <c r="O407" s="21"/>
      <c r="P407" s="20"/>
      <c r="Q407" s="22"/>
      <c r="R407" s="23"/>
    </row>
    <row r="408" spans="1:18" ht="15" customHeight="1" x14ac:dyDescent="0.3">
      <c r="A408" s="25" t="s">
        <v>73</v>
      </c>
      <c r="B408" s="25" t="s">
        <v>74</v>
      </c>
      <c r="C408" s="120">
        <v>0.88888888888888884</v>
      </c>
      <c r="D408" s="25" t="s">
        <v>167</v>
      </c>
      <c r="E408" s="25" t="s">
        <v>89</v>
      </c>
      <c r="F408" s="25" t="s">
        <v>164</v>
      </c>
      <c r="G408" s="174"/>
      <c r="H408" s="19"/>
      <c r="I408" s="20"/>
      <c r="J408" s="20"/>
      <c r="K408" s="20"/>
      <c r="L408" s="20"/>
      <c r="M408" s="20"/>
      <c r="N408" s="20"/>
      <c r="O408" s="21"/>
      <c r="P408" s="20"/>
      <c r="Q408" s="22"/>
      <c r="R408" s="23"/>
    </row>
    <row r="409" spans="1:18" ht="15" customHeight="1" x14ac:dyDescent="0.3">
      <c r="A409" s="25" t="s">
        <v>26</v>
      </c>
      <c r="B409" s="25" t="s">
        <v>57</v>
      </c>
      <c r="C409" s="120">
        <v>0.95833333333333337</v>
      </c>
      <c r="D409" s="25" t="s">
        <v>28</v>
      </c>
      <c r="E409" s="25" t="s">
        <v>29</v>
      </c>
      <c r="F409" s="25" t="s">
        <v>168</v>
      </c>
      <c r="G409" s="174"/>
      <c r="H409" s="19"/>
      <c r="I409" s="20"/>
      <c r="J409" s="20"/>
      <c r="K409" s="20"/>
      <c r="L409" s="20"/>
      <c r="M409" s="20"/>
      <c r="N409" s="20"/>
      <c r="O409" s="21"/>
      <c r="P409" s="20"/>
      <c r="Q409" s="22"/>
      <c r="R409" s="23"/>
    </row>
    <row r="410" spans="1:18" ht="15" customHeight="1" thickBot="1" x14ac:dyDescent="0.35">
      <c r="A410" s="33" t="s">
        <v>68</v>
      </c>
      <c r="B410" s="33" t="s">
        <v>69</v>
      </c>
      <c r="C410" s="125">
        <v>0.30555555555555558</v>
      </c>
      <c r="D410" s="33" t="s">
        <v>70</v>
      </c>
      <c r="E410" s="33" t="s">
        <v>71</v>
      </c>
      <c r="F410" s="33" t="s">
        <v>72</v>
      </c>
      <c r="G410" s="175"/>
      <c r="H410" s="8"/>
      <c r="I410" s="9"/>
      <c r="J410" s="9"/>
      <c r="K410" s="9"/>
      <c r="L410" s="9"/>
      <c r="M410" s="9"/>
      <c r="N410" s="9"/>
      <c r="O410" s="10"/>
      <c r="P410" s="9"/>
      <c r="Q410" s="11"/>
      <c r="R410" s="12"/>
    </row>
    <row r="411" spans="1:18" ht="17.399999999999999" customHeight="1" thickBot="1" x14ac:dyDescent="0.35">
      <c r="A411" s="179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1"/>
    </row>
    <row r="412" spans="1:18" ht="22.05" customHeight="1" thickTop="1" thickBot="1" x14ac:dyDescent="0.35">
      <c r="A412" s="182" t="s">
        <v>6</v>
      </c>
      <c r="B412" s="177"/>
      <c r="C412" s="177"/>
      <c r="D412" s="177"/>
      <c r="E412" s="177"/>
      <c r="F412" s="178"/>
      <c r="G412" s="115">
        <v>46017</v>
      </c>
      <c r="H412" s="184" t="s">
        <v>7</v>
      </c>
      <c r="I412" s="177"/>
      <c r="J412" s="177"/>
      <c r="K412" s="177"/>
      <c r="L412" s="177"/>
      <c r="M412" s="177"/>
      <c r="N412" s="177"/>
      <c r="O412" s="177"/>
      <c r="P412" s="177"/>
      <c r="Q412" s="177"/>
      <c r="R412" s="178"/>
    </row>
    <row r="413" spans="1:18" ht="24" customHeight="1" x14ac:dyDescent="0.3">
      <c r="A413" s="13" t="s">
        <v>8</v>
      </c>
      <c r="B413" s="13" t="s">
        <v>9</v>
      </c>
      <c r="C413" s="116" t="s">
        <v>10</v>
      </c>
      <c r="D413" s="13" t="s">
        <v>11</v>
      </c>
      <c r="E413" s="13" t="s">
        <v>12</v>
      </c>
      <c r="F413" s="14" t="s">
        <v>13</v>
      </c>
      <c r="G413" s="15" t="s">
        <v>14</v>
      </c>
      <c r="H413" s="13" t="s">
        <v>15</v>
      </c>
      <c r="I413" s="117" t="s">
        <v>16</v>
      </c>
      <c r="J413" s="16" t="s">
        <v>17</v>
      </c>
      <c r="K413" s="17" t="s">
        <v>18</v>
      </c>
      <c r="L413" s="16" t="s">
        <v>19</v>
      </c>
      <c r="M413" s="16" t="s">
        <v>20</v>
      </c>
      <c r="N413" s="16" t="s">
        <v>21</v>
      </c>
      <c r="O413" s="13" t="s">
        <v>22</v>
      </c>
      <c r="P413" s="116" t="s">
        <v>23</v>
      </c>
      <c r="Q413" s="16" t="s">
        <v>24</v>
      </c>
      <c r="R413" s="13" t="s">
        <v>25</v>
      </c>
    </row>
    <row r="414" spans="1:18" ht="15" customHeight="1" x14ac:dyDescent="0.3">
      <c r="A414" s="18" t="s">
        <v>31</v>
      </c>
      <c r="B414" s="18" t="s">
        <v>32</v>
      </c>
      <c r="C414" s="118">
        <v>0.30555555555555558</v>
      </c>
      <c r="D414" s="18" t="s">
        <v>33</v>
      </c>
      <c r="E414" s="18" t="s">
        <v>126</v>
      </c>
      <c r="F414" s="18" t="s">
        <v>114</v>
      </c>
      <c r="G414" s="183"/>
      <c r="H414" s="19"/>
      <c r="I414" s="20"/>
      <c r="J414" s="20"/>
      <c r="K414" s="20"/>
      <c r="L414" s="20"/>
      <c r="M414" s="20"/>
      <c r="N414" s="20"/>
      <c r="O414" s="21"/>
      <c r="P414" s="20"/>
      <c r="Q414" s="22"/>
      <c r="R414" s="23"/>
    </row>
    <row r="415" spans="1:18" ht="15" customHeight="1" x14ac:dyDescent="0.3">
      <c r="A415" s="24" t="s">
        <v>31</v>
      </c>
      <c r="B415" s="24" t="s">
        <v>32</v>
      </c>
      <c r="C415" s="119">
        <v>0.30555555555555558</v>
      </c>
      <c r="D415" s="24" t="s">
        <v>36</v>
      </c>
      <c r="E415" s="24" t="s">
        <v>126</v>
      </c>
      <c r="F415" s="24" t="s">
        <v>115</v>
      </c>
      <c r="G415" s="174"/>
      <c r="H415" s="19"/>
      <c r="I415" s="20"/>
      <c r="J415" s="20"/>
      <c r="K415" s="20"/>
      <c r="L415" s="20"/>
      <c r="M415" s="20"/>
      <c r="N415" s="20"/>
      <c r="O415" s="21"/>
      <c r="P415" s="20"/>
      <c r="Q415" s="22"/>
      <c r="R415" s="23"/>
    </row>
    <row r="416" spans="1:18" ht="15" customHeight="1" x14ac:dyDescent="0.3">
      <c r="A416" s="24" t="s">
        <v>31</v>
      </c>
      <c r="B416" s="24" t="s">
        <v>32</v>
      </c>
      <c r="C416" s="119">
        <v>0.30555555555555558</v>
      </c>
      <c r="D416" s="24" t="s">
        <v>38</v>
      </c>
      <c r="E416" s="24" t="s">
        <v>126</v>
      </c>
      <c r="F416" s="24" t="s">
        <v>86</v>
      </c>
      <c r="G416" s="174"/>
      <c r="H416" s="19"/>
      <c r="I416" s="20"/>
      <c r="J416" s="20"/>
      <c r="K416" s="20"/>
      <c r="L416" s="20"/>
      <c r="M416" s="20"/>
      <c r="N416" s="20"/>
      <c r="O416" s="21"/>
      <c r="P416" s="20"/>
      <c r="Q416" s="22"/>
      <c r="R416" s="23"/>
    </row>
    <row r="417" spans="1:18" ht="15" customHeight="1" x14ac:dyDescent="0.3">
      <c r="A417" s="25" t="s">
        <v>40</v>
      </c>
      <c r="B417" s="25" t="s">
        <v>48</v>
      </c>
      <c r="C417" s="120">
        <v>0.83680555555555558</v>
      </c>
      <c r="D417" s="25" t="s">
        <v>42</v>
      </c>
      <c r="E417" s="25" t="s">
        <v>43</v>
      </c>
      <c r="F417" s="25" t="s">
        <v>44</v>
      </c>
      <c r="G417" s="174"/>
      <c r="H417" s="19"/>
      <c r="I417" s="20"/>
      <c r="J417" s="20"/>
      <c r="K417" s="20"/>
      <c r="L417" s="20"/>
      <c r="M417" s="20"/>
      <c r="N417" s="20"/>
      <c r="O417" s="21"/>
      <c r="P417" s="20"/>
      <c r="Q417" s="22"/>
      <c r="R417" s="23"/>
    </row>
    <row r="418" spans="1:18" ht="15" customHeight="1" x14ac:dyDescent="0.3">
      <c r="A418" s="24" t="s">
        <v>40</v>
      </c>
      <c r="B418" s="24" t="s">
        <v>48</v>
      </c>
      <c r="C418" s="119">
        <v>0.83680555555555558</v>
      </c>
      <c r="D418" s="24" t="s">
        <v>45</v>
      </c>
      <c r="E418" s="24" t="s">
        <v>43</v>
      </c>
      <c r="F418" s="24" t="s">
        <v>46</v>
      </c>
      <c r="G418" s="174"/>
      <c r="H418" s="19"/>
      <c r="I418" s="20"/>
      <c r="J418" s="20"/>
      <c r="K418" s="20"/>
      <c r="L418" s="20"/>
      <c r="M418" s="20"/>
      <c r="N418" s="20"/>
      <c r="O418" s="21"/>
      <c r="P418" s="20"/>
      <c r="Q418" s="22"/>
      <c r="R418" s="23"/>
    </row>
    <row r="419" spans="1:18" ht="15" customHeight="1" x14ac:dyDescent="0.3">
      <c r="A419" s="24" t="s">
        <v>40</v>
      </c>
      <c r="B419" s="24" t="s">
        <v>48</v>
      </c>
      <c r="C419" s="119">
        <v>0.83680555555555558</v>
      </c>
      <c r="D419" s="24" t="s">
        <v>38</v>
      </c>
      <c r="E419" s="24" t="s">
        <v>43</v>
      </c>
      <c r="F419" s="24" t="s">
        <v>47</v>
      </c>
      <c r="G419" s="174"/>
      <c r="H419" s="19"/>
      <c r="I419" s="20"/>
      <c r="J419" s="20"/>
      <c r="K419" s="20"/>
      <c r="L419" s="20"/>
      <c r="M419" s="20"/>
      <c r="N419" s="20"/>
      <c r="O419" s="21"/>
      <c r="P419" s="20"/>
      <c r="Q419" s="22"/>
      <c r="R419" s="23"/>
    </row>
    <row r="420" spans="1:18" ht="15" customHeight="1" x14ac:dyDescent="0.3">
      <c r="A420" s="54" t="s">
        <v>51</v>
      </c>
      <c r="B420" s="54" t="s">
        <v>52</v>
      </c>
      <c r="C420" s="140">
        <v>0.57986111111111116</v>
      </c>
      <c r="D420" s="54" t="s">
        <v>28</v>
      </c>
      <c r="E420" s="54" t="s">
        <v>29</v>
      </c>
      <c r="F420" s="54" t="s">
        <v>30</v>
      </c>
      <c r="G420" s="174"/>
      <c r="H420" s="81" t="s">
        <v>54</v>
      </c>
      <c r="I420" s="141">
        <v>0.3155</v>
      </c>
      <c r="J420" s="82">
        <v>53</v>
      </c>
      <c r="K420" s="83">
        <v>45992</v>
      </c>
      <c r="L420" s="82">
        <v>20</v>
      </c>
      <c r="M420" s="82">
        <v>1</v>
      </c>
      <c r="N420" s="82">
        <v>0</v>
      </c>
      <c r="O420" s="84" t="s">
        <v>105</v>
      </c>
      <c r="P420" s="142">
        <v>0.57986111111111116</v>
      </c>
      <c r="Q420" s="82">
        <v>168</v>
      </c>
      <c r="R420" s="85" t="s">
        <v>169</v>
      </c>
    </row>
    <row r="421" spans="1:18" ht="15" customHeight="1" x14ac:dyDescent="0.3">
      <c r="A421" s="25" t="s">
        <v>58</v>
      </c>
      <c r="B421" s="25" t="s">
        <v>63</v>
      </c>
      <c r="C421" s="120">
        <v>0.86458333333333337</v>
      </c>
      <c r="D421" s="25" t="s">
        <v>60</v>
      </c>
      <c r="E421" s="25" t="s">
        <v>29</v>
      </c>
      <c r="F421" s="25" t="s">
        <v>62</v>
      </c>
      <c r="G421" s="174"/>
      <c r="H421" s="19"/>
      <c r="I421" s="20"/>
      <c r="J421" s="20"/>
      <c r="K421" s="20"/>
      <c r="L421" s="20"/>
      <c r="M421" s="20"/>
      <c r="N421" s="20"/>
      <c r="O421" s="21"/>
      <c r="P421" s="20"/>
      <c r="Q421" s="22"/>
      <c r="R421" s="23"/>
    </row>
    <row r="422" spans="1:18" ht="15" customHeight="1" x14ac:dyDescent="0.3">
      <c r="A422" s="26" t="s">
        <v>58</v>
      </c>
      <c r="B422" s="26" t="s">
        <v>59</v>
      </c>
      <c r="C422" s="121">
        <v>0.1701388888888889</v>
      </c>
      <c r="D422" s="26" t="s">
        <v>60</v>
      </c>
      <c r="E422" s="26" t="s">
        <v>29</v>
      </c>
      <c r="F422" s="26" t="s">
        <v>62</v>
      </c>
      <c r="G422" s="174"/>
      <c r="H422" s="19"/>
      <c r="I422" s="20"/>
      <c r="J422" s="20"/>
      <c r="K422" s="20"/>
      <c r="L422" s="20"/>
      <c r="M422" s="20"/>
      <c r="N422" s="20"/>
      <c r="O422" s="21"/>
      <c r="P422" s="20"/>
      <c r="Q422" s="22"/>
      <c r="R422" s="23"/>
    </row>
    <row r="423" spans="1:18" ht="15" customHeight="1" x14ac:dyDescent="0.3">
      <c r="A423" s="26" t="s">
        <v>58</v>
      </c>
      <c r="B423" s="26" t="s">
        <v>66</v>
      </c>
      <c r="C423" s="121">
        <v>0.52777777777777779</v>
      </c>
      <c r="D423" s="26" t="s">
        <v>60</v>
      </c>
      <c r="E423" s="26" t="s">
        <v>29</v>
      </c>
      <c r="F423" s="26" t="s">
        <v>121</v>
      </c>
      <c r="G423" s="174"/>
      <c r="H423" s="19"/>
      <c r="I423" s="20"/>
      <c r="J423" s="20"/>
      <c r="K423" s="20"/>
      <c r="L423" s="20"/>
      <c r="M423" s="20"/>
      <c r="N423" s="20"/>
      <c r="O423" s="21"/>
      <c r="P423" s="20"/>
      <c r="Q423" s="22"/>
      <c r="R423" s="23"/>
    </row>
    <row r="424" spans="1:18" ht="15" customHeight="1" x14ac:dyDescent="0.3">
      <c r="A424" s="25" t="s">
        <v>26</v>
      </c>
      <c r="B424" s="25" t="s">
        <v>27</v>
      </c>
      <c r="C424" s="120">
        <v>0.95833333333333337</v>
      </c>
      <c r="D424" s="25" t="s">
        <v>167</v>
      </c>
      <c r="E424" s="25" t="s">
        <v>29</v>
      </c>
      <c r="F424" s="25" t="s">
        <v>49</v>
      </c>
      <c r="G424" s="174"/>
      <c r="H424" s="19"/>
      <c r="I424" s="20"/>
      <c r="J424" s="20"/>
      <c r="K424" s="20"/>
      <c r="L424" s="20"/>
      <c r="M424" s="20"/>
      <c r="N424" s="20"/>
      <c r="O424" s="21"/>
      <c r="P424" s="20"/>
      <c r="Q424" s="22"/>
      <c r="R424" s="23"/>
    </row>
    <row r="425" spans="1:18" ht="15" customHeight="1" thickBot="1" x14ac:dyDescent="0.35">
      <c r="A425" s="33" t="s">
        <v>68</v>
      </c>
      <c r="B425" s="33" t="s">
        <v>69</v>
      </c>
      <c r="C425" s="125">
        <v>0.30555555555555558</v>
      </c>
      <c r="D425" s="33" t="s">
        <v>70</v>
      </c>
      <c r="E425" s="33" t="s">
        <v>71</v>
      </c>
      <c r="F425" s="33" t="s">
        <v>122</v>
      </c>
      <c r="G425" s="175"/>
      <c r="H425" s="8"/>
      <c r="I425" s="9"/>
      <c r="J425" s="9"/>
      <c r="K425" s="9"/>
      <c r="L425" s="9"/>
      <c r="M425" s="9"/>
      <c r="N425" s="9"/>
      <c r="O425" s="10"/>
      <c r="P425" s="9"/>
      <c r="Q425" s="11"/>
      <c r="R425" s="12"/>
    </row>
    <row r="426" spans="1:18" ht="17.399999999999999" customHeight="1" thickBot="1" x14ac:dyDescent="0.35">
      <c r="A426" s="179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1"/>
    </row>
    <row r="427" spans="1:18" ht="22.05" customHeight="1" thickTop="1" thickBot="1" x14ac:dyDescent="0.35">
      <c r="A427" s="182" t="s">
        <v>6</v>
      </c>
      <c r="B427" s="177"/>
      <c r="C427" s="177"/>
      <c r="D427" s="177"/>
      <c r="E427" s="177"/>
      <c r="F427" s="178"/>
      <c r="G427" s="115">
        <v>46018</v>
      </c>
      <c r="H427" s="184" t="s">
        <v>7</v>
      </c>
      <c r="I427" s="177"/>
      <c r="J427" s="177"/>
      <c r="K427" s="177"/>
      <c r="L427" s="177"/>
      <c r="M427" s="177"/>
      <c r="N427" s="177"/>
      <c r="O427" s="177"/>
      <c r="P427" s="177"/>
      <c r="Q427" s="177"/>
      <c r="R427" s="178"/>
    </row>
    <row r="428" spans="1:18" ht="24" customHeight="1" x14ac:dyDescent="0.3">
      <c r="A428" s="13" t="s">
        <v>8</v>
      </c>
      <c r="B428" s="13" t="s">
        <v>9</v>
      </c>
      <c r="C428" s="116" t="s">
        <v>10</v>
      </c>
      <c r="D428" s="13" t="s">
        <v>11</v>
      </c>
      <c r="E428" s="13" t="s">
        <v>12</v>
      </c>
      <c r="F428" s="14" t="s">
        <v>13</v>
      </c>
      <c r="G428" s="15" t="s">
        <v>14</v>
      </c>
      <c r="H428" s="13" t="s">
        <v>15</v>
      </c>
      <c r="I428" s="117" t="s">
        <v>16</v>
      </c>
      <c r="J428" s="16" t="s">
        <v>17</v>
      </c>
      <c r="K428" s="17" t="s">
        <v>18</v>
      </c>
      <c r="L428" s="16" t="s">
        <v>19</v>
      </c>
      <c r="M428" s="16" t="s">
        <v>20</v>
      </c>
      <c r="N428" s="16" t="s">
        <v>21</v>
      </c>
      <c r="O428" s="13" t="s">
        <v>22</v>
      </c>
      <c r="P428" s="116" t="s">
        <v>23</v>
      </c>
      <c r="Q428" s="16" t="s">
        <v>24</v>
      </c>
      <c r="R428" s="13" t="s">
        <v>25</v>
      </c>
    </row>
    <row r="429" spans="1:18" ht="15" customHeight="1" x14ac:dyDescent="0.3">
      <c r="A429" s="18" t="s">
        <v>31</v>
      </c>
      <c r="B429" s="18" t="s">
        <v>32</v>
      </c>
      <c r="C429" s="118">
        <v>0.30555555555555558</v>
      </c>
      <c r="D429" s="18" t="s">
        <v>33</v>
      </c>
      <c r="E429" s="18" t="s">
        <v>170</v>
      </c>
      <c r="F429" s="18" t="s">
        <v>114</v>
      </c>
      <c r="G429" s="183"/>
      <c r="H429" s="19"/>
      <c r="I429" s="20"/>
      <c r="J429" s="20"/>
      <c r="K429" s="20"/>
      <c r="L429" s="20"/>
      <c r="M429" s="20"/>
      <c r="N429" s="20"/>
      <c r="O429" s="21"/>
      <c r="P429" s="20"/>
      <c r="Q429" s="22"/>
      <c r="R429" s="23"/>
    </row>
    <row r="430" spans="1:18" ht="15" customHeight="1" x14ac:dyDescent="0.3">
      <c r="A430" s="24" t="s">
        <v>31</v>
      </c>
      <c r="B430" s="24" t="s">
        <v>32</v>
      </c>
      <c r="C430" s="119">
        <v>0.30555555555555558</v>
      </c>
      <c r="D430" s="24" t="s">
        <v>36</v>
      </c>
      <c r="E430" s="24" t="s">
        <v>170</v>
      </c>
      <c r="F430" s="24" t="s">
        <v>115</v>
      </c>
      <c r="G430" s="174"/>
      <c r="H430" s="19"/>
      <c r="I430" s="20"/>
      <c r="J430" s="20"/>
      <c r="K430" s="20"/>
      <c r="L430" s="20"/>
      <c r="M430" s="20"/>
      <c r="N430" s="20"/>
      <c r="O430" s="21"/>
      <c r="P430" s="20"/>
      <c r="Q430" s="22"/>
      <c r="R430" s="23"/>
    </row>
    <row r="431" spans="1:18" ht="15" customHeight="1" x14ac:dyDescent="0.3">
      <c r="A431" s="24" t="s">
        <v>31</v>
      </c>
      <c r="B431" s="24" t="s">
        <v>32</v>
      </c>
      <c r="C431" s="119">
        <v>0.30555555555555558</v>
      </c>
      <c r="D431" s="24" t="s">
        <v>38</v>
      </c>
      <c r="E431" s="24" t="s">
        <v>170</v>
      </c>
      <c r="F431" s="24" t="s">
        <v>86</v>
      </c>
      <c r="G431" s="174"/>
      <c r="H431" s="19"/>
      <c r="I431" s="20"/>
      <c r="J431" s="20"/>
      <c r="K431" s="20"/>
      <c r="L431" s="20"/>
      <c r="M431" s="20"/>
      <c r="N431" s="20"/>
      <c r="O431" s="21"/>
      <c r="P431" s="20"/>
      <c r="Q431" s="22"/>
      <c r="R431" s="23"/>
    </row>
    <row r="432" spans="1:18" ht="15" customHeight="1" x14ac:dyDescent="0.3">
      <c r="A432" s="25" t="s">
        <v>40</v>
      </c>
      <c r="B432" s="25" t="s">
        <v>48</v>
      </c>
      <c r="C432" s="120">
        <v>0.83680555555555558</v>
      </c>
      <c r="D432" s="25" t="s">
        <v>42</v>
      </c>
      <c r="E432" s="25" t="s">
        <v>79</v>
      </c>
      <c r="F432" s="25" t="s">
        <v>44</v>
      </c>
      <c r="G432" s="174"/>
      <c r="H432" s="19"/>
      <c r="I432" s="20"/>
      <c r="J432" s="20"/>
      <c r="K432" s="20"/>
      <c r="L432" s="20"/>
      <c r="M432" s="20"/>
      <c r="N432" s="20"/>
      <c r="O432" s="21"/>
      <c r="P432" s="20"/>
      <c r="Q432" s="22"/>
      <c r="R432" s="23"/>
    </row>
    <row r="433" spans="1:18" ht="15" customHeight="1" x14ac:dyDescent="0.3">
      <c r="A433" s="24" t="s">
        <v>40</v>
      </c>
      <c r="B433" s="24" t="s">
        <v>48</v>
      </c>
      <c r="C433" s="119">
        <v>0.83680555555555558</v>
      </c>
      <c r="D433" s="24" t="s">
        <v>45</v>
      </c>
      <c r="E433" s="24" t="s">
        <v>79</v>
      </c>
      <c r="F433" s="24" t="s">
        <v>46</v>
      </c>
      <c r="G433" s="174"/>
      <c r="H433" s="19"/>
      <c r="I433" s="20"/>
      <c r="J433" s="20"/>
      <c r="K433" s="20"/>
      <c r="L433" s="20"/>
      <c r="M433" s="20"/>
      <c r="N433" s="20"/>
      <c r="O433" s="21"/>
      <c r="P433" s="20"/>
      <c r="Q433" s="22"/>
      <c r="R433" s="23"/>
    </row>
    <row r="434" spans="1:18" ht="15" customHeight="1" x14ac:dyDescent="0.3">
      <c r="A434" s="24" t="s">
        <v>40</v>
      </c>
      <c r="B434" s="24" t="s">
        <v>48</v>
      </c>
      <c r="C434" s="119">
        <v>0.83680555555555558</v>
      </c>
      <c r="D434" s="24" t="s">
        <v>38</v>
      </c>
      <c r="E434" s="24" t="s">
        <v>79</v>
      </c>
      <c r="F434" s="24" t="s">
        <v>47</v>
      </c>
      <c r="G434" s="174"/>
      <c r="H434" s="19"/>
      <c r="I434" s="20"/>
      <c r="J434" s="20"/>
      <c r="K434" s="20"/>
      <c r="L434" s="20"/>
      <c r="M434" s="20"/>
      <c r="N434" s="20"/>
      <c r="O434" s="21"/>
      <c r="P434" s="20"/>
      <c r="Q434" s="22"/>
      <c r="R434" s="23"/>
    </row>
    <row r="435" spans="1:18" ht="15" customHeight="1" x14ac:dyDescent="0.3">
      <c r="A435" s="26" t="s">
        <v>40</v>
      </c>
      <c r="B435" s="26" t="s">
        <v>41</v>
      </c>
      <c r="C435" s="121">
        <v>0.2013888888888889</v>
      </c>
      <c r="D435" s="26" t="s">
        <v>42</v>
      </c>
      <c r="E435" s="26" t="s">
        <v>79</v>
      </c>
      <c r="F435" s="26" t="s">
        <v>44</v>
      </c>
      <c r="G435" s="174"/>
      <c r="H435" s="19"/>
      <c r="I435" s="20"/>
      <c r="J435" s="20"/>
      <c r="K435" s="20"/>
      <c r="L435" s="20"/>
      <c r="M435" s="20"/>
      <c r="N435" s="20"/>
      <c r="O435" s="21"/>
      <c r="P435" s="20"/>
      <c r="Q435" s="22"/>
      <c r="R435" s="23"/>
    </row>
    <row r="436" spans="1:18" ht="15" customHeight="1" x14ac:dyDescent="0.3">
      <c r="A436" s="24" t="s">
        <v>40</v>
      </c>
      <c r="B436" s="24" t="s">
        <v>41</v>
      </c>
      <c r="C436" s="119">
        <v>0.2013888888888889</v>
      </c>
      <c r="D436" s="24" t="s">
        <v>45</v>
      </c>
      <c r="E436" s="24" t="s">
        <v>79</v>
      </c>
      <c r="F436" s="24" t="s">
        <v>46</v>
      </c>
      <c r="G436" s="174"/>
      <c r="H436" s="19"/>
      <c r="I436" s="20"/>
      <c r="J436" s="20"/>
      <c r="K436" s="20"/>
      <c r="L436" s="20"/>
      <c r="M436" s="20"/>
      <c r="N436" s="20"/>
      <c r="O436" s="21"/>
      <c r="P436" s="20"/>
      <c r="Q436" s="22"/>
      <c r="R436" s="23"/>
    </row>
    <row r="437" spans="1:18" ht="15" customHeight="1" x14ac:dyDescent="0.3">
      <c r="A437" s="24" t="s">
        <v>40</v>
      </c>
      <c r="B437" s="24" t="s">
        <v>41</v>
      </c>
      <c r="C437" s="119">
        <v>0.2013888888888889</v>
      </c>
      <c r="D437" s="24" t="s">
        <v>38</v>
      </c>
      <c r="E437" s="24" t="s">
        <v>79</v>
      </c>
      <c r="F437" s="24" t="s">
        <v>47</v>
      </c>
      <c r="G437" s="174"/>
      <c r="H437" s="19"/>
      <c r="I437" s="20"/>
      <c r="J437" s="20"/>
      <c r="K437" s="20"/>
      <c r="L437" s="20"/>
      <c r="M437" s="20"/>
      <c r="N437" s="20"/>
      <c r="O437" s="21"/>
      <c r="P437" s="20"/>
      <c r="Q437" s="22"/>
      <c r="R437" s="23"/>
    </row>
    <row r="438" spans="1:18" ht="15" customHeight="1" x14ac:dyDescent="0.3">
      <c r="A438" s="25" t="s">
        <v>76</v>
      </c>
      <c r="B438" s="25" t="s">
        <v>77</v>
      </c>
      <c r="C438" s="120">
        <v>0.97222222222222221</v>
      </c>
      <c r="D438" s="25" t="s">
        <v>78</v>
      </c>
      <c r="E438" s="25" t="s">
        <v>79</v>
      </c>
      <c r="F438" s="25" t="s">
        <v>117</v>
      </c>
      <c r="G438" s="174"/>
      <c r="H438" s="19"/>
      <c r="I438" s="20"/>
      <c r="J438" s="20"/>
      <c r="K438" s="20"/>
      <c r="L438" s="20"/>
      <c r="M438" s="20"/>
      <c r="N438" s="20"/>
      <c r="O438" s="21"/>
      <c r="P438" s="20"/>
      <c r="Q438" s="22"/>
      <c r="R438" s="23"/>
    </row>
    <row r="439" spans="1:18" ht="15" customHeight="1" x14ac:dyDescent="0.3">
      <c r="A439" s="24" t="s">
        <v>76</v>
      </c>
      <c r="B439" s="24" t="s">
        <v>77</v>
      </c>
      <c r="C439" s="119">
        <v>0.97222222222222221</v>
      </c>
      <c r="D439" s="24" t="s">
        <v>81</v>
      </c>
      <c r="E439" s="24" t="s">
        <v>79</v>
      </c>
      <c r="F439" s="24" t="s">
        <v>171</v>
      </c>
      <c r="G439" s="174"/>
      <c r="H439" s="19"/>
      <c r="I439" s="20"/>
      <c r="J439" s="20"/>
      <c r="K439" s="20"/>
      <c r="L439" s="20"/>
      <c r="M439" s="20"/>
      <c r="N439" s="20"/>
      <c r="O439" s="21"/>
      <c r="P439" s="20"/>
      <c r="Q439" s="22"/>
      <c r="R439" s="23"/>
    </row>
    <row r="440" spans="1:18" ht="15" customHeight="1" x14ac:dyDescent="0.3">
      <c r="A440" s="34" t="s">
        <v>51</v>
      </c>
      <c r="B440" s="34" t="s">
        <v>52</v>
      </c>
      <c r="C440" s="126">
        <v>0.92361111111111116</v>
      </c>
      <c r="D440" s="34" t="s">
        <v>28</v>
      </c>
      <c r="E440" s="34" t="s">
        <v>29</v>
      </c>
      <c r="F440" s="34" t="s">
        <v>30</v>
      </c>
      <c r="G440" s="174"/>
      <c r="H440" s="98" t="s">
        <v>54</v>
      </c>
      <c r="I440" s="143">
        <v>0.25</v>
      </c>
      <c r="J440" s="99">
        <v>42</v>
      </c>
      <c r="K440" s="100">
        <v>45990</v>
      </c>
      <c r="L440" s="99">
        <v>28</v>
      </c>
      <c r="M440" s="99">
        <v>0</v>
      </c>
      <c r="N440" s="99">
        <v>0</v>
      </c>
      <c r="O440" s="101" t="s">
        <v>105</v>
      </c>
      <c r="P440" s="128">
        <v>0.92361111111111116</v>
      </c>
      <c r="Q440" s="99">
        <v>168</v>
      </c>
      <c r="R440" s="102" t="s">
        <v>172</v>
      </c>
    </row>
    <row r="441" spans="1:18" ht="15" customHeight="1" x14ac:dyDescent="0.3">
      <c r="A441" s="25" t="s">
        <v>58</v>
      </c>
      <c r="B441" s="25" t="s">
        <v>63</v>
      </c>
      <c r="C441" s="120">
        <v>0.86805555555555558</v>
      </c>
      <c r="D441" s="25" t="s">
        <v>60</v>
      </c>
      <c r="E441" s="25" t="s">
        <v>29</v>
      </c>
      <c r="F441" s="25" t="s">
        <v>62</v>
      </c>
      <c r="G441" s="174"/>
      <c r="H441" s="19"/>
      <c r="I441" s="20"/>
      <c r="J441" s="20"/>
      <c r="K441" s="20"/>
      <c r="L441" s="20"/>
      <c r="M441" s="20"/>
      <c r="N441" s="20"/>
      <c r="O441" s="21"/>
      <c r="P441" s="20"/>
      <c r="Q441" s="22"/>
      <c r="R441" s="23"/>
    </row>
    <row r="442" spans="1:18" ht="15" customHeight="1" x14ac:dyDescent="0.3">
      <c r="A442" s="26" t="s">
        <v>58</v>
      </c>
      <c r="B442" s="26" t="s">
        <v>66</v>
      </c>
      <c r="C442" s="121">
        <v>0.52777777777777779</v>
      </c>
      <c r="D442" s="26" t="s">
        <v>60</v>
      </c>
      <c r="E442" s="26" t="s">
        <v>29</v>
      </c>
      <c r="F442" s="26" t="s">
        <v>62</v>
      </c>
      <c r="G442" s="174"/>
      <c r="H442" s="19"/>
      <c r="I442" s="20"/>
      <c r="J442" s="20"/>
      <c r="K442" s="20"/>
      <c r="L442" s="20"/>
      <c r="M442" s="20"/>
      <c r="N442" s="20"/>
      <c r="O442" s="21"/>
      <c r="P442" s="20"/>
      <c r="Q442" s="22"/>
      <c r="R442" s="23"/>
    </row>
    <row r="443" spans="1:18" ht="15" customHeight="1" x14ac:dyDescent="0.3">
      <c r="A443" s="26" t="s">
        <v>58</v>
      </c>
      <c r="B443" s="26" t="s">
        <v>59</v>
      </c>
      <c r="C443" s="121">
        <v>0.1701388888888889</v>
      </c>
      <c r="D443" s="26" t="s">
        <v>60</v>
      </c>
      <c r="E443" s="26" t="s">
        <v>29</v>
      </c>
      <c r="F443" s="26" t="s">
        <v>62</v>
      </c>
      <c r="G443" s="174"/>
      <c r="H443" s="19"/>
      <c r="I443" s="20"/>
      <c r="J443" s="20"/>
      <c r="K443" s="20"/>
      <c r="L443" s="20"/>
      <c r="M443" s="20"/>
      <c r="N443" s="20"/>
      <c r="O443" s="21"/>
      <c r="P443" s="20"/>
      <c r="Q443" s="22"/>
      <c r="R443" s="23"/>
    </row>
    <row r="444" spans="1:18" ht="15" customHeight="1" thickBot="1" x14ac:dyDescent="0.35">
      <c r="A444" s="33" t="s">
        <v>68</v>
      </c>
      <c r="B444" s="33" t="s">
        <v>69</v>
      </c>
      <c r="C444" s="125">
        <v>0.30555555555555558</v>
      </c>
      <c r="D444" s="33" t="s">
        <v>70</v>
      </c>
      <c r="E444" s="33" t="s">
        <v>71</v>
      </c>
      <c r="F444" s="33" t="s">
        <v>122</v>
      </c>
      <c r="G444" s="175"/>
      <c r="H444" s="8"/>
      <c r="I444" s="9"/>
      <c r="J444" s="9"/>
      <c r="K444" s="9"/>
      <c r="L444" s="9"/>
      <c r="M444" s="9"/>
      <c r="N444" s="9"/>
      <c r="O444" s="10"/>
      <c r="P444" s="9"/>
      <c r="Q444" s="11"/>
      <c r="R444" s="12"/>
    </row>
    <row r="445" spans="1:18" ht="17.399999999999999" customHeight="1" thickBot="1" x14ac:dyDescent="0.35">
      <c r="A445" s="179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1"/>
    </row>
    <row r="446" spans="1:18" ht="22.05" customHeight="1" thickTop="1" thickBot="1" x14ac:dyDescent="0.35">
      <c r="A446" s="182" t="s">
        <v>6</v>
      </c>
      <c r="B446" s="177"/>
      <c r="C446" s="177"/>
      <c r="D446" s="177"/>
      <c r="E446" s="177"/>
      <c r="F446" s="178"/>
      <c r="G446" s="115">
        <v>46019</v>
      </c>
      <c r="H446" s="184" t="s">
        <v>7</v>
      </c>
      <c r="I446" s="177"/>
      <c r="J446" s="177"/>
      <c r="K446" s="177"/>
      <c r="L446" s="177"/>
      <c r="M446" s="177"/>
      <c r="N446" s="177"/>
      <c r="O446" s="177"/>
      <c r="P446" s="177"/>
      <c r="Q446" s="177"/>
      <c r="R446" s="178"/>
    </row>
    <row r="447" spans="1:18" ht="24" customHeight="1" x14ac:dyDescent="0.3">
      <c r="A447" s="13" t="s">
        <v>8</v>
      </c>
      <c r="B447" s="13" t="s">
        <v>9</v>
      </c>
      <c r="C447" s="116" t="s">
        <v>10</v>
      </c>
      <c r="D447" s="13" t="s">
        <v>11</v>
      </c>
      <c r="E447" s="13" t="s">
        <v>12</v>
      </c>
      <c r="F447" s="14" t="s">
        <v>13</v>
      </c>
      <c r="G447" s="15" t="s">
        <v>14</v>
      </c>
      <c r="H447" s="13" t="s">
        <v>15</v>
      </c>
      <c r="I447" s="117" t="s">
        <v>16</v>
      </c>
      <c r="J447" s="16" t="s">
        <v>17</v>
      </c>
      <c r="K447" s="17" t="s">
        <v>18</v>
      </c>
      <c r="L447" s="16" t="s">
        <v>19</v>
      </c>
      <c r="M447" s="16" t="s">
        <v>20</v>
      </c>
      <c r="N447" s="16" t="s">
        <v>21</v>
      </c>
      <c r="O447" s="13" t="s">
        <v>22</v>
      </c>
      <c r="P447" s="116" t="s">
        <v>23</v>
      </c>
      <c r="Q447" s="16" t="s">
        <v>24</v>
      </c>
      <c r="R447" s="13" t="s">
        <v>25</v>
      </c>
    </row>
    <row r="448" spans="1:18" ht="15" customHeight="1" x14ac:dyDescent="0.3">
      <c r="A448" s="18" t="s">
        <v>31</v>
      </c>
      <c r="B448" s="18" t="s">
        <v>32</v>
      </c>
      <c r="C448" s="118">
        <v>0.30555555555555558</v>
      </c>
      <c r="D448" s="18" t="s">
        <v>33</v>
      </c>
      <c r="E448" s="18" t="s">
        <v>132</v>
      </c>
      <c r="F448" s="18" t="s">
        <v>114</v>
      </c>
      <c r="G448" s="183"/>
      <c r="H448" s="19"/>
      <c r="I448" s="20"/>
      <c r="J448" s="20"/>
      <c r="K448" s="20"/>
      <c r="L448" s="20"/>
      <c r="M448" s="20"/>
      <c r="N448" s="20"/>
      <c r="O448" s="21"/>
      <c r="P448" s="20"/>
      <c r="Q448" s="22"/>
      <c r="R448" s="23"/>
    </row>
    <row r="449" spans="1:18" ht="15" customHeight="1" x14ac:dyDescent="0.3">
      <c r="A449" s="24" t="s">
        <v>31</v>
      </c>
      <c r="B449" s="24" t="s">
        <v>32</v>
      </c>
      <c r="C449" s="119">
        <v>0.30555555555555558</v>
      </c>
      <c r="D449" s="24" t="s">
        <v>36</v>
      </c>
      <c r="E449" s="24" t="s">
        <v>132</v>
      </c>
      <c r="F449" s="24" t="s">
        <v>115</v>
      </c>
      <c r="G449" s="174"/>
      <c r="H449" s="19"/>
      <c r="I449" s="20"/>
      <c r="J449" s="20"/>
      <c r="K449" s="20"/>
      <c r="L449" s="20"/>
      <c r="M449" s="20"/>
      <c r="N449" s="20"/>
      <c r="O449" s="21"/>
      <c r="P449" s="20"/>
      <c r="Q449" s="22"/>
      <c r="R449" s="23"/>
    </row>
    <row r="450" spans="1:18" ht="15" customHeight="1" x14ac:dyDescent="0.3">
      <c r="A450" s="24" t="s">
        <v>31</v>
      </c>
      <c r="B450" s="24" t="s">
        <v>32</v>
      </c>
      <c r="C450" s="119">
        <v>0.30555555555555558</v>
      </c>
      <c r="D450" s="24" t="s">
        <v>38</v>
      </c>
      <c r="E450" s="24" t="s">
        <v>132</v>
      </c>
      <c r="F450" s="24" t="s">
        <v>86</v>
      </c>
      <c r="G450" s="174"/>
      <c r="H450" s="19"/>
      <c r="I450" s="20"/>
      <c r="J450" s="20"/>
      <c r="K450" s="20"/>
      <c r="L450" s="20"/>
      <c r="M450" s="20"/>
      <c r="N450" s="20"/>
      <c r="O450" s="21"/>
      <c r="P450" s="20"/>
      <c r="Q450" s="22"/>
      <c r="R450" s="23"/>
    </row>
    <row r="451" spans="1:18" ht="15" customHeight="1" x14ac:dyDescent="0.3">
      <c r="A451" s="25" t="s">
        <v>40</v>
      </c>
      <c r="B451" s="25" t="s">
        <v>48</v>
      </c>
      <c r="C451" s="120">
        <v>0.85069444444444442</v>
      </c>
      <c r="D451" s="25" t="s">
        <v>42</v>
      </c>
      <c r="E451" s="25" t="s">
        <v>43</v>
      </c>
      <c r="F451" s="25" t="s">
        <v>44</v>
      </c>
      <c r="G451" s="174"/>
      <c r="H451" s="19"/>
      <c r="I451" s="20"/>
      <c r="J451" s="20"/>
      <c r="K451" s="20"/>
      <c r="L451" s="20"/>
      <c r="M451" s="20"/>
      <c r="N451" s="20"/>
      <c r="O451" s="21"/>
      <c r="P451" s="20"/>
      <c r="Q451" s="22"/>
      <c r="R451" s="23"/>
    </row>
    <row r="452" spans="1:18" ht="15" customHeight="1" x14ac:dyDescent="0.3">
      <c r="A452" s="24" t="s">
        <v>40</v>
      </c>
      <c r="B452" s="24" t="s">
        <v>48</v>
      </c>
      <c r="C452" s="119">
        <v>0.85069444444444442</v>
      </c>
      <c r="D452" s="24" t="s">
        <v>45</v>
      </c>
      <c r="E452" s="24" t="s">
        <v>43</v>
      </c>
      <c r="F452" s="24" t="s">
        <v>46</v>
      </c>
      <c r="G452" s="174"/>
      <c r="H452" s="19"/>
      <c r="I452" s="20"/>
      <c r="J452" s="20"/>
      <c r="K452" s="20"/>
      <c r="L452" s="20"/>
      <c r="M452" s="20"/>
      <c r="N452" s="20"/>
      <c r="O452" s="21"/>
      <c r="P452" s="20"/>
      <c r="Q452" s="22"/>
      <c r="R452" s="23"/>
    </row>
    <row r="453" spans="1:18" ht="15" customHeight="1" x14ac:dyDescent="0.3">
      <c r="A453" s="24" t="s">
        <v>40</v>
      </c>
      <c r="B453" s="24" t="s">
        <v>48</v>
      </c>
      <c r="C453" s="119">
        <v>0.85069444444444442</v>
      </c>
      <c r="D453" s="24" t="s">
        <v>38</v>
      </c>
      <c r="E453" s="24" t="s">
        <v>43</v>
      </c>
      <c r="F453" s="24" t="s">
        <v>47</v>
      </c>
      <c r="G453" s="174"/>
      <c r="H453" s="19"/>
      <c r="I453" s="20"/>
      <c r="J453" s="20"/>
      <c r="K453" s="20"/>
      <c r="L453" s="20"/>
      <c r="M453" s="20"/>
      <c r="N453" s="20"/>
      <c r="O453" s="21"/>
      <c r="P453" s="20"/>
      <c r="Q453" s="22"/>
      <c r="R453" s="23"/>
    </row>
    <row r="454" spans="1:18" ht="15" customHeight="1" x14ac:dyDescent="0.3">
      <c r="A454" s="25" t="s">
        <v>58</v>
      </c>
      <c r="B454" s="25" t="s">
        <v>63</v>
      </c>
      <c r="C454" s="120">
        <v>0.86458333333333337</v>
      </c>
      <c r="D454" s="25" t="s">
        <v>60</v>
      </c>
      <c r="E454" s="25" t="s">
        <v>29</v>
      </c>
      <c r="F454" s="25" t="s">
        <v>62</v>
      </c>
      <c r="G454" s="174"/>
      <c r="H454" s="19"/>
      <c r="I454" s="20"/>
      <c r="J454" s="20"/>
      <c r="K454" s="20"/>
      <c r="L454" s="20"/>
      <c r="M454" s="20"/>
      <c r="N454" s="20"/>
      <c r="O454" s="21"/>
      <c r="P454" s="20"/>
      <c r="Q454" s="22"/>
      <c r="R454" s="23"/>
    </row>
    <row r="455" spans="1:18" ht="15" customHeight="1" x14ac:dyDescent="0.3">
      <c r="A455" s="26" t="s">
        <v>58</v>
      </c>
      <c r="B455" s="26" t="s">
        <v>66</v>
      </c>
      <c r="C455" s="121">
        <v>0.52777777777777779</v>
      </c>
      <c r="D455" s="26" t="s">
        <v>60</v>
      </c>
      <c r="E455" s="26" t="s">
        <v>29</v>
      </c>
      <c r="F455" s="26" t="s">
        <v>62</v>
      </c>
      <c r="G455" s="174"/>
      <c r="H455" s="19"/>
      <c r="I455" s="20"/>
      <c r="J455" s="20"/>
      <c r="K455" s="20"/>
      <c r="L455" s="20"/>
      <c r="M455" s="20"/>
      <c r="N455" s="20"/>
      <c r="O455" s="21"/>
      <c r="P455" s="20"/>
      <c r="Q455" s="22"/>
      <c r="R455" s="23"/>
    </row>
    <row r="456" spans="1:18" ht="15" customHeight="1" x14ac:dyDescent="0.3">
      <c r="A456" s="26" t="s">
        <v>58</v>
      </c>
      <c r="B456" s="26" t="s">
        <v>59</v>
      </c>
      <c r="C456" s="121">
        <v>0.1701388888888889</v>
      </c>
      <c r="D456" s="26" t="s">
        <v>60</v>
      </c>
      <c r="E456" s="26" t="s">
        <v>29</v>
      </c>
      <c r="F456" s="26" t="s">
        <v>62</v>
      </c>
      <c r="G456" s="174"/>
      <c r="H456" s="19"/>
      <c r="I456" s="20"/>
      <c r="J456" s="20"/>
      <c r="K456" s="20"/>
      <c r="L456" s="20"/>
      <c r="M456" s="20"/>
      <c r="N456" s="20"/>
      <c r="O456" s="21"/>
      <c r="P456" s="20"/>
      <c r="Q456" s="22"/>
      <c r="R456" s="23"/>
    </row>
    <row r="457" spans="1:18" ht="15" customHeight="1" x14ac:dyDescent="0.3">
      <c r="A457" s="25" t="s">
        <v>26</v>
      </c>
      <c r="B457" s="25" t="s">
        <v>97</v>
      </c>
      <c r="C457" s="120">
        <v>0.95833333333333337</v>
      </c>
      <c r="D457" s="25" t="s">
        <v>167</v>
      </c>
      <c r="E457" s="25" t="s">
        <v>29</v>
      </c>
      <c r="F457" s="25" t="s">
        <v>49</v>
      </c>
      <c r="G457" s="174"/>
      <c r="H457" s="19"/>
      <c r="I457" s="20"/>
      <c r="J457" s="20"/>
      <c r="K457" s="20"/>
      <c r="L457" s="20"/>
      <c r="M457" s="20"/>
      <c r="N457" s="20"/>
      <c r="O457" s="21"/>
      <c r="P457" s="20"/>
      <c r="Q457" s="22"/>
      <c r="R457" s="23"/>
    </row>
    <row r="458" spans="1:18" ht="15" customHeight="1" thickBot="1" x14ac:dyDescent="0.35">
      <c r="A458" s="33" t="s">
        <v>68</v>
      </c>
      <c r="B458" s="33" t="s">
        <v>69</v>
      </c>
      <c r="C458" s="125">
        <v>0.30555555555555558</v>
      </c>
      <c r="D458" s="33" t="s">
        <v>70</v>
      </c>
      <c r="E458" s="33" t="s">
        <v>71</v>
      </c>
      <c r="F458" s="33" t="s">
        <v>122</v>
      </c>
      <c r="G458" s="175"/>
      <c r="H458" s="8"/>
      <c r="I458" s="9"/>
      <c r="J458" s="9"/>
      <c r="K458" s="9"/>
      <c r="L458" s="9"/>
      <c r="M458" s="9"/>
      <c r="N458" s="9"/>
      <c r="O458" s="10"/>
      <c r="P458" s="9"/>
      <c r="Q458" s="11"/>
      <c r="R458" s="12"/>
    </row>
    <row r="459" spans="1:18" ht="17.399999999999999" customHeight="1" thickBot="1" x14ac:dyDescent="0.35">
      <c r="A459" s="179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1"/>
    </row>
    <row r="460" spans="1:18" ht="22.05" customHeight="1" thickTop="1" thickBot="1" x14ac:dyDescent="0.35">
      <c r="A460" s="182" t="s">
        <v>6</v>
      </c>
      <c r="B460" s="177"/>
      <c r="C460" s="177"/>
      <c r="D460" s="177"/>
      <c r="E460" s="177"/>
      <c r="F460" s="178"/>
      <c r="G460" s="115">
        <v>46020</v>
      </c>
      <c r="H460" s="184" t="s">
        <v>7</v>
      </c>
      <c r="I460" s="177"/>
      <c r="J460" s="177"/>
      <c r="K460" s="177"/>
      <c r="L460" s="177"/>
      <c r="M460" s="177"/>
      <c r="N460" s="177"/>
      <c r="O460" s="177"/>
      <c r="P460" s="177"/>
      <c r="Q460" s="177"/>
      <c r="R460" s="178"/>
    </row>
    <row r="461" spans="1:18" ht="24" customHeight="1" x14ac:dyDescent="0.3">
      <c r="A461" s="13" t="s">
        <v>8</v>
      </c>
      <c r="B461" s="13" t="s">
        <v>9</v>
      </c>
      <c r="C461" s="116" t="s">
        <v>10</v>
      </c>
      <c r="D461" s="13" t="s">
        <v>11</v>
      </c>
      <c r="E461" s="13" t="s">
        <v>12</v>
      </c>
      <c r="F461" s="14" t="s">
        <v>13</v>
      </c>
      <c r="G461" s="15" t="s">
        <v>14</v>
      </c>
      <c r="H461" s="13" t="s">
        <v>15</v>
      </c>
      <c r="I461" s="117" t="s">
        <v>16</v>
      </c>
      <c r="J461" s="16" t="s">
        <v>17</v>
      </c>
      <c r="K461" s="17" t="s">
        <v>18</v>
      </c>
      <c r="L461" s="16" t="s">
        <v>19</v>
      </c>
      <c r="M461" s="16" t="s">
        <v>20</v>
      </c>
      <c r="N461" s="16" t="s">
        <v>21</v>
      </c>
      <c r="O461" s="13" t="s">
        <v>22</v>
      </c>
      <c r="P461" s="116" t="s">
        <v>23</v>
      </c>
      <c r="Q461" s="16" t="s">
        <v>24</v>
      </c>
      <c r="R461" s="13" t="s">
        <v>25</v>
      </c>
    </row>
    <row r="462" spans="1:18" ht="15" customHeight="1" x14ac:dyDescent="0.3">
      <c r="A462" s="18" t="s">
        <v>31</v>
      </c>
      <c r="B462" s="18" t="s">
        <v>32</v>
      </c>
      <c r="C462" s="118">
        <v>0.30555555555555558</v>
      </c>
      <c r="D462" s="18" t="s">
        <v>33</v>
      </c>
      <c r="E462" s="18" t="s">
        <v>123</v>
      </c>
      <c r="F462" s="18" t="s">
        <v>114</v>
      </c>
      <c r="G462" s="183"/>
      <c r="H462" s="19"/>
      <c r="I462" s="20"/>
      <c r="J462" s="20"/>
      <c r="K462" s="20"/>
      <c r="L462" s="20"/>
      <c r="M462" s="20"/>
      <c r="N462" s="20"/>
      <c r="O462" s="21"/>
      <c r="P462" s="20"/>
      <c r="Q462" s="22"/>
      <c r="R462" s="23"/>
    </row>
    <row r="463" spans="1:18" ht="15" customHeight="1" x14ac:dyDescent="0.3">
      <c r="A463" s="24" t="s">
        <v>31</v>
      </c>
      <c r="B463" s="24" t="s">
        <v>32</v>
      </c>
      <c r="C463" s="119">
        <v>0.30555555555555558</v>
      </c>
      <c r="D463" s="24" t="s">
        <v>36</v>
      </c>
      <c r="E463" s="24" t="s">
        <v>123</v>
      </c>
      <c r="F463" s="24" t="s">
        <v>115</v>
      </c>
      <c r="G463" s="174"/>
      <c r="H463" s="19"/>
      <c r="I463" s="20"/>
      <c r="J463" s="20"/>
      <c r="K463" s="20"/>
      <c r="L463" s="20"/>
      <c r="M463" s="20"/>
      <c r="N463" s="20"/>
      <c r="O463" s="21"/>
      <c r="P463" s="20"/>
      <c r="Q463" s="22"/>
      <c r="R463" s="23"/>
    </row>
    <row r="464" spans="1:18" ht="15" customHeight="1" x14ac:dyDescent="0.3">
      <c r="A464" s="24" t="s">
        <v>31</v>
      </c>
      <c r="B464" s="24" t="s">
        <v>32</v>
      </c>
      <c r="C464" s="119">
        <v>0.30555555555555558</v>
      </c>
      <c r="D464" s="24" t="s">
        <v>38</v>
      </c>
      <c r="E464" s="24" t="s">
        <v>123</v>
      </c>
      <c r="F464" s="24" t="s">
        <v>86</v>
      </c>
      <c r="G464" s="174"/>
      <c r="H464" s="19"/>
      <c r="I464" s="20"/>
      <c r="J464" s="20"/>
      <c r="K464" s="20"/>
      <c r="L464" s="20"/>
      <c r="M464" s="20"/>
      <c r="N464" s="20"/>
      <c r="O464" s="21"/>
      <c r="P464" s="20"/>
      <c r="Q464" s="22"/>
      <c r="R464" s="23"/>
    </row>
    <row r="465" spans="1:18" ht="15" customHeight="1" x14ac:dyDescent="0.3">
      <c r="A465" s="25" t="s">
        <v>40</v>
      </c>
      <c r="B465" s="25" t="s">
        <v>48</v>
      </c>
      <c r="C465" s="120">
        <v>0.83680555555555558</v>
      </c>
      <c r="D465" s="25" t="s">
        <v>42</v>
      </c>
      <c r="E465" s="25" t="s">
        <v>79</v>
      </c>
      <c r="F465" s="25" t="s">
        <v>44</v>
      </c>
      <c r="G465" s="174"/>
      <c r="H465" s="19"/>
      <c r="I465" s="20"/>
      <c r="J465" s="20"/>
      <c r="K465" s="20"/>
      <c r="L465" s="20"/>
      <c r="M465" s="20"/>
      <c r="N465" s="20"/>
      <c r="O465" s="21"/>
      <c r="P465" s="20"/>
      <c r="Q465" s="22"/>
      <c r="R465" s="23"/>
    </row>
    <row r="466" spans="1:18" ht="15" customHeight="1" x14ac:dyDescent="0.3">
      <c r="A466" s="24" t="s">
        <v>40</v>
      </c>
      <c r="B466" s="24" t="s">
        <v>48</v>
      </c>
      <c r="C466" s="119">
        <v>0.83680555555555558</v>
      </c>
      <c r="D466" s="24" t="s">
        <v>45</v>
      </c>
      <c r="E466" s="24" t="s">
        <v>79</v>
      </c>
      <c r="F466" s="24" t="s">
        <v>46</v>
      </c>
      <c r="G466" s="174"/>
      <c r="H466" s="19"/>
      <c r="I466" s="20"/>
      <c r="J466" s="20"/>
      <c r="K466" s="20"/>
      <c r="L466" s="20"/>
      <c r="M466" s="20"/>
      <c r="N466" s="20"/>
      <c r="O466" s="21"/>
      <c r="P466" s="20"/>
      <c r="Q466" s="22"/>
      <c r="R466" s="23"/>
    </row>
    <row r="467" spans="1:18" ht="15" customHeight="1" x14ac:dyDescent="0.3">
      <c r="A467" s="24" t="s">
        <v>40</v>
      </c>
      <c r="B467" s="24" t="s">
        <v>48</v>
      </c>
      <c r="C467" s="119">
        <v>0.83680555555555558</v>
      </c>
      <c r="D467" s="24" t="s">
        <v>38</v>
      </c>
      <c r="E467" s="24" t="s">
        <v>79</v>
      </c>
      <c r="F467" s="24" t="s">
        <v>47</v>
      </c>
      <c r="G467" s="174"/>
      <c r="H467" s="19"/>
      <c r="I467" s="20"/>
      <c r="J467" s="20"/>
      <c r="K467" s="20"/>
      <c r="L467" s="20"/>
      <c r="M467" s="20"/>
      <c r="N467" s="20"/>
      <c r="O467" s="21"/>
      <c r="P467" s="20"/>
      <c r="Q467" s="22"/>
      <c r="R467" s="23"/>
    </row>
    <row r="468" spans="1:18" ht="15" customHeight="1" x14ac:dyDescent="0.3">
      <c r="A468" s="26" t="s">
        <v>40</v>
      </c>
      <c r="B468" s="26" t="s">
        <v>41</v>
      </c>
      <c r="C468" s="121">
        <v>0.2013888888888889</v>
      </c>
      <c r="D468" s="26" t="s">
        <v>42</v>
      </c>
      <c r="E468" s="26" t="s">
        <v>79</v>
      </c>
      <c r="F468" s="26" t="s">
        <v>44</v>
      </c>
      <c r="G468" s="174"/>
      <c r="H468" s="19"/>
      <c r="I468" s="20"/>
      <c r="J468" s="20"/>
      <c r="K468" s="20"/>
      <c r="L468" s="20"/>
      <c r="M468" s="20"/>
      <c r="N468" s="20"/>
      <c r="O468" s="21"/>
      <c r="P468" s="20"/>
      <c r="Q468" s="22"/>
      <c r="R468" s="23"/>
    </row>
    <row r="469" spans="1:18" ht="15" customHeight="1" x14ac:dyDescent="0.3">
      <c r="A469" s="24" t="s">
        <v>40</v>
      </c>
      <c r="B469" s="24" t="s">
        <v>41</v>
      </c>
      <c r="C469" s="119">
        <v>0.2013888888888889</v>
      </c>
      <c r="D469" s="24" t="s">
        <v>45</v>
      </c>
      <c r="E469" s="24" t="s">
        <v>79</v>
      </c>
      <c r="F469" s="24" t="s">
        <v>46</v>
      </c>
      <c r="G469" s="174"/>
      <c r="H469" s="19"/>
      <c r="I469" s="20"/>
      <c r="J469" s="20"/>
      <c r="K469" s="20"/>
      <c r="L469" s="20"/>
      <c r="M469" s="20"/>
      <c r="N469" s="20"/>
      <c r="O469" s="21"/>
      <c r="P469" s="20"/>
      <c r="Q469" s="22"/>
      <c r="R469" s="23"/>
    </row>
    <row r="470" spans="1:18" ht="15" customHeight="1" x14ac:dyDescent="0.3">
      <c r="A470" s="24" t="s">
        <v>40</v>
      </c>
      <c r="B470" s="24" t="s">
        <v>41</v>
      </c>
      <c r="C470" s="119">
        <v>0.2013888888888889</v>
      </c>
      <c r="D470" s="24" t="s">
        <v>38</v>
      </c>
      <c r="E470" s="24" t="s">
        <v>79</v>
      </c>
      <c r="F470" s="24" t="s">
        <v>47</v>
      </c>
      <c r="G470" s="174"/>
      <c r="H470" s="19"/>
      <c r="I470" s="20"/>
      <c r="J470" s="20"/>
      <c r="K470" s="20"/>
      <c r="L470" s="20"/>
      <c r="M470" s="20"/>
      <c r="N470" s="20"/>
      <c r="O470" s="21"/>
      <c r="P470" s="20"/>
      <c r="Q470" s="22"/>
      <c r="R470" s="23"/>
    </row>
    <row r="471" spans="1:18" ht="15" customHeight="1" x14ac:dyDescent="0.3">
      <c r="A471" s="25" t="s">
        <v>58</v>
      </c>
      <c r="B471" s="25" t="s">
        <v>63</v>
      </c>
      <c r="C471" s="120">
        <v>0.86458333333333337</v>
      </c>
      <c r="D471" s="25" t="s">
        <v>60</v>
      </c>
      <c r="E471" s="25" t="s">
        <v>29</v>
      </c>
      <c r="F471" s="25" t="s">
        <v>62</v>
      </c>
      <c r="G471" s="174"/>
      <c r="H471" s="19"/>
      <c r="I471" s="20"/>
      <c r="J471" s="20"/>
      <c r="K471" s="20"/>
      <c r="L471" s="20"/>
      <c r="M471" s="20"/>
      <c r="N471" s="20"/>
      <c r="O471" s="21"/>
      <c r="P471" s="20"/>
      <c r="Q471" s="22"/>
      <c r="R471" s="23"/>
    </row>
    <row r="472" spans="1:18" ht="15" customHeight="1" x14ac:dyDescent="0.3">
      <c r="A472" s="26" t="s">
        <v>58</v>
      </c>
      <c r="B472" s="26" t="s">
        <v>66</v>
      </c>
      <c r="C472" s="121">
        <v>0.52777777777777779</v>
      </c>
      <c r="D472" s="26" t="s">
        <v>60</v>
      </c>
      <c r="E472" s="26" t="s">
        <v>29</v>
      </c>
      <c r="F472" s="26" t="s">
        <v>62</v>
      </c>
      <c r="G472" s="174"/>
      <c r="H472" s="19"/>
      <c r="I472" s="20"/>
      <c r="J472" s="20"/>
      <c r="K472" s="20"/>
      <c r="L472" s="20"/>
      <c r="M472" s="20"/>
      <c r="N472" s="20"/>
      <c r="O472" s="21"/>
      <c r="P472" s="20"/>
      <c r="Q472" s="22"/>
      <c r="R472" s="23"/>
    </row>
    <row r="473" spans="1:18" ht="15" customHeight="1" x14ac:dyDescent="0.3">
      <c r="A473" s="26" t="s">
        <v>58</v>
      </c>
      <c r="B473" s="26" t="s">
        <v>59</v>
      </c>
      <c r="C473" s="121">
        <v>0.1701388888888889</v>
      </c>
      <c r="D473" s="26" t="s">
        <v>60</v>
      </c>
      <c r="E473" s="26" t="s">
        <v>29</v>
      </c>
      <c r="F473" s="26" t="s">
        <v>62</v>
      </c>
      <c r="G473" s="174"/>
      <c r="H473" s="19"/>
      <c r="I473" s="20"/>
      <c r="J473" s="20"/>
      <c r="K473" s="20"/>
      <c r="L473" s="20"/>
      <c r="M473" s="20"/>
      <c r="N473" s="20"/>
      <c r="O473" s="21"/>
      <c r="P473" s="20"/>
      <c r="Q473" s="22"/>
      <c r="R473" s="23"/>
    </row>
    <row r="474" spans="1:18" ht="15" customHeight="1" x14ac:dyDescent="0.3">
      <c r="A474" s="25" t="s">
        <v>73</v>
      </c>
      <c r="B474" s="25" t="s">
        <v>161</v>
      </c>
      <c r="C474" s="120">
        <v>0.12847222222222221</v>
      </c>
      <c r="D474" s="25" t="s">
        <v>167</v>
      </c>
      <c r="E474" s="25" t="s">
        <v>136</v>
      </c>
      <c r="F474" s="25" t="s">
        <v>153</v>
      </c>
      <c r="G474" s="174"/>
      <c r="H474" s="19"/>
      <c r="I474" s="20"/>
      <c r="J474" s="20"/>
      <c r="K474" s="20"/>
      <c r="L474" s="20"/>
      <c r="M474" s="20"/>
      <c r="N474" s="20"/>
      <c r="O474" s="21"/>
      <c r="P474" s="20"/>
      <c r="Q474" s="22"/>
      <c r="R474" s="23"/>
    </row>
    <row r="475" spans="1:18" ht="15" customHeight="1" x14ac:dyDescent="0.3">
      <c r="A475" s="25" t="s">
        <v>26</v>
      </c>
      <c r="B475" s="25" t="s">
        <v>27</v>
      </c>
      <c r="C475" s="120">
        <v>0.95833333333333337</v>
      </c>
      <c r="D475" s="25" t="s">
        <v>167</v>
      </c>
      <c r="E475" s="25" t="s">
        <v>29</v>
      </c>
      <c r="F475" s="25" t="s">
        <v>49</v>
      </c>
      <c r="G475" s="174"/>
      <c r="H475" s="19"/>
      <c r="I475" s="20"/>
      <c r="J475" s="20"/>
      <c r="K475" s="20"/>
      <c r="L475" s="20"/>
      <c r="M475" s="20"/>
      <c r="N475" s="20"/>
      <c r="O475" s="21"/>
      <c r="P475" s="20"/>
      <c r="Q475" s="22"/>
      <c r="R475" s="23"/>
    </row>
    <row r="476" spans="1:18" ht="15" customHeight="1" thickBot="1" x14ac:dyDescent="0.35">
      <c r="A476" s="33" t="s">
        <v>68</v>
      </c>
      <c r="B476" s="33" t="s">
        <v>69</v>
      </c>
      <c r="C476" s="125">
        <v>0.30555555555555558</v>
      </c>
      <c r="D476" s="33" t="s">
        <v>70</v>
      </c>
      <c r="E476" s="33" t="s">
        <v>71</v>
      </c>
      <c r="F476" s="33" t="s">
        <v>122</v>
      </c>
      <c r="G476" s="175"/>
      <c r="H476" s="8"/>
      <c r="I476" s="9"/>
      <c r="J476" s="9"/>
      <c r="K476" s="9"/>
      <c r="L476" s="9"/>
      <c r="M476" s="9"/>
      <c r="N476" s="9"/>
      <c r="O476" s="10"/>
      <c r="P476" s="9"/>
      <c r="Q476" s="11"/>
      <c r="R476" s="12"/>
    </row>
    <row r="477" spans="1:18" ht="17.399999999999999" customHeight="1" thickBot="1" x14ac:dyDescent="0.35">
      <c r="A477" s="179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1"/>
    </row>
    <row r="478" spans="1:18" ht="22.05" customHeight="1" thickTop="1" thickBot="1" x14ac:dyDescent="0.35">
      <c r="A478" s="182" t="s">
        <v>6</v>
      </c>
      <c r="B478" s="177"/>
      <c r="C478" s="177"/>
      <c r="D478" s="177"/>
      <c r="E478" s="177"/>
      <c r="F478" s="178"/>
      <c r="G478" s="115">
        <v>46021</v>
      </c>
      <c r="H478" s="184" t="s">
        <v>7</v>
      </c>
      <c r="I478" s="177"/>
      <c r="J478" s="177"/>
      <c r="K478" s="177"/>
      <c r="L478" s="177"/>
      <c r="M478" s="177"/>
      <c r="N478" s="177"/>
      <c r="O478" s="177"/>
      <c r="P478" s="177"/>
      <c r="Q478" s="177"/>
      <c r="R478" s="178"/>
    </row>
    <row r="479" spans="1:18" ht="24" customHeight="1" x14ac:dyDescent="0.3">
      <c r="A479" s="13" t="s">
        <v>8</v>
      </c>
      <c r="B479" s="13" t="s">
        <v>9</v>
      </c>
      <c r="C479" s="116" t="s">
        <v>10</v>
      </c>
      <c r="D479" s="13" t="s">
        <v>11</v>
      </c>
      <c r="E479" s="13" t="s">
        <v>12</v>
      </c>
      <c r="F479" s="14" t="s">
        <v>13</v>
      </c>
      <c r="G479" s="15" t="s">
        <v>14</v>
      </c>
      <c r="H479" s="13" t="s">
        <v>15</v>
      </c>
      <c r="I479" s="117" t="s">
        <v>16</v>
      </c>
      <c r="J479" s="16" t="s">
        <v>17</v>
      </c>
      <c r="K479" s="17" t="s">
        <v>18</v>
      </c>
      <c r="L479" s="16" t="s">
        <v>19</v>
      </c>
      <c r="M479" s="16" t="s">
        <v>20</v>
      </c>
      <c r="N479" s="16" t="s">
        <v>21</v>
      </c>
      <c r="O479" s="13" t="s">
        <v>22</v>
      </c>
      <c r="P479" s="116" t="s">
        <v>23</v>
      </c>
      <c r="Q479" s="16" t="s">
        <v>24</v>
      </c>
      <c r="R479" s="13" t="s">
        <v>25</v>
      </c>
    </row>
    <row r="480" spans="1:18" ht="15" customHeight="1" x14ac:dyDescent="0.3">
      <c r="A480" s="18" t="s">
        <v>31</v>
      </c>
      <c r="B480" s="18" t="s">
        <v>32</v>
      </c>
      <c r="C480" s="118">
        <v>0.30555555555555558</v>
      </c>
      <c r="D480" s="18" t="s">
        <v>33</v>
      </c>
      <c r="E480" s="18" t="s">
        <v>123</v>
      </c>
      <c r="F480" s="18" t="s">
        <v>114</v>
      </c>
      <c r="G480" s="173"/>
      <c r="H480" s="19"/>
      <c r="I480" s="20"/>
      <c r="J480" s="20"/>
      <c r="K480" s="20"/>
      <c r="L480" s="20"/>
      <c r="M480" s="20"/>
      <c r="N480" s="20"/>
      <c r="O480" s="21"/>
      <c r="P480" s="20"/>
      <c r="Q480" s="22"/>
      <c r="R480" s="23"/>
    </row>
    <row r="481" spans="1:18" ht="15" customHeight="1" x14ac:dyDescent="0.3">
      <c r="A481" s="24" t="s">
        <v>31</v>
      </c>
      <c r="B481" s="24" t="s">
        <v>32</v>
      </c>
      <c r="C481" s="119">
        <v>0.30555555555555558</v>
      </c>
      <c r="D481" s="24" t="s">
        <v>36</v>
      </c>
      <c r="E481" s="24" t="s">
        <v>123</v>
      </c>
      <c r="F481" s="24" t="s">
        <v>115</v>
      </c>
      <c r="G481" s="174"/>
      <c r="H481" s="19"/>
      <c r="I481" s="20"/>
      <c r="J481" s="20"/>
      <c r="K481" s="20"/>
      <c r="L481" s="20"/>
      <c r="M481" s="20"/>
      <c r="N481" s="20"/>
      <c r="O481" s="21"/>
      <c r="P481" s="20"/>
      <c r="Q481" s="22"/>
      <c r="R481" s="23"/>
    </row>
    <row r="482" spans="1:18" ht="15" customHeight="1" x14ac:dyDescent="0.3">
      <c r="A482" s="24" t="s">
        <v>31</v>
      </c>
      <c r="B482" s="24" t="s">
        <v>32</v>
      </c>
      <c r="C482" s="119">
        <v>0.30555555555555558</v>
      </c>
      <c r="D482" s="24" t="s">
        <v>38</v>
      </c>
      <c r="E482" s="24" t="s">
        <v>123</v>
      </c>
      <c r="F482" s="24" t="s">
        <v>86</v>
      </c>
      <c r="G482" s="174"/>
      <c r="H482" s="19"/>
      <c r="I482" s="20"/>
      <c r="J482" s="20"/>
      <c r="K482" s="20"/>
      <c r="L482" s="20"/>
      <c r="M482" s="20"/>
      <c r="N482" s="20"/>
      <c r="O482" s="21"/>
      <c r="P482" s="20"/>
      <c r="Q482" s="22"/>
      <c r="R482" s="23"/>
    </row>
    <row r="483" spans="1:18" ht="15" customHeight="1" x14ac:dyDescent="0.3">
      <c r="A483" s="25" t="s">
        <v>40</v>
      </c>
      <c r="B483" s="25" t="s">
        <v>41</v>
      </c>
      <c r="C483" s="120">
        <v>0.2013888888888889</v>
      </c>
      <c r="D483" s="25" t="s">
        <v>42</v>
      </c>
      <c r="E483" s="25" t="s">
        <v>71</v>
      </c>
      <c r="F483" s="25" t="s">
        <v>30</v>
      </c>
      <c r="G483" s="174"/>
      <c r="H483" s="19"/>
      <c r="I483" s="20"/>
      <c r="J483" s="20"/>
      <c r="K483" s="20"/>
      <c r="L483" s="20"/>
      <c r="M483" s="20"/>
      <c r="N483" s="20"/>
      <c r="O483" s="21"/>
      <c r="P483" s="20"/>
      <c r="Q483" s="22"/>
      <c r="R483" s="23"/>
    </row>
    <row r="484" spans="1:18" ht="15" customHeight="1" x14ac:dyDescent="0.3">
      <c r="A484" s="24" t="s">
        <v>40</v>
      </c>
      <c r="B484" s="24" t="s">
        <v>41</v>
      </c>
      <c r="C484" s="119">
        <v>0.2013888888888889</v>
      </c>
      <c r="D484" s="24" t="s">
        <v>45</v>
      </c>
      <c r="E484" s="24" t="s">
        <v>71</v>
      </c>
      <c r="F484" s="24" t="s">
        <v>90</v>
      </c>
      <c r="G484" s="174"/>
      <c r="H484" s="19"/>
      <c r="I484" s="20"/>
      <c r="J484" s="20"/>
      <c r="K484" s="20"/>
      <c r="L484" s="20"/>
      <c r="M484" s="20"/>
      <c r="N484" s="20"/>
      <c r="O484" s="21"/>
      <c r="P484" s="20"/>
      <c r="Q484" s="22"/>
      <c r="R484" s="23"/>
    </row>
    <row r="485" spans="1:18" ht="15" customHeight="1" x14ac:dyDescent="0.3">
      <c r="A485" s="24" t="s">
        <v>40</v>
      </c>
      <c r="B485" s="24" t="s">
        <v>41</v>
      </c>
      <c r="C485" s="119">
        <v>0.2013888888888889</v>
      </c>
      <c r="D485" s="24" t="s">
        <v>38</v>
      </c>
      <c r="E485" s="24" t="s">
        <v>71</v>
      </c>
      <c r="F485" s="24" t="s">
        <v>116</v>
      </c>
      <c r="G485" s="174"/>
      <c r="H485" s="19"/>
      <c r="I485" s="20"/>
      <c r="J485" s="20"/>
      <c r="K485" s="20"/>
      <c r="L485" s="20"/>
      <c r="M485" s="20"/>
      <c r="N485" s="20"/>
      <c r="O485" s="21"/>
      <c r="P485" s="20"/>
      <c r="Q485" s="22"/>
      <c r="R485" s="23"/>
    </row>
    <row r="486" spans="1:18" ht="15" customHeight="1" x14ac:dyDescent="0.3">
      <c r="A486" s="26" t="s">
        <v>40</v>
      </c>
      <c r="B486" s="26" t="s">
        <v>48</v>
      </c>
      <c r="C486" s="121">
        <v>0.83680555555555558</v>
      </c>
      <c r="D486" s="26" t="s">
        <v>42</v>
      </c>
      <c r="E486" s="26" t="s">
        <v>34</v>
      </c>
      <c r="F486" s="26" t="s">
        <v>107</v>
      </c>
      <c r="G486" s="174"/>
      <c r="H486" s="19"/>
      <c r="I486" s="20"/>
      <c r="J486" s="20"/>
      <c r="K486" s="20"/>
      <c r="L486" s="20"/>
      <c r="M486" s="20"/>
      <c r="N486" s="20"/>
      <c r="O486" s="21"/>
      <c r="P486" s="20"/>
      <c r="Q486" s="22"/>
      <c r="R486" s="23"/>
    </row>
    <row r="487" spans="1:18" ht="15" customHeight="1" x14ac:dyDescent="0.3">
      <c r="A487" s="24" t="s">
        <v>40</v>
      </c>
      <c r="B487" s="24" t="s">
        <v>48</v>
      </c>
      <c r="C487" s="119">
        <v>0.83680555555555558</v>
      </c>
      <c r="D487" s="24" t="s">
        <v>45</v>
      </c>
      <c r="E487" s="24" t="s">
        <v>34</v>
      </c>
      <c r="F487" s="24" t="s">
        <v>108</v>
      </c>
      <c r="G487" s="174"/>
      <c r="H487" s="19"/>
      <c r="I487" s="20"/>
      <c r="J487" s="20"/>
      <c r="K487" s="20"/>
      <c r="L487" s="20"/>
      <c r="M487" s="20"/>
      <c r="N487" s="20"/>
      <c r="O487" s="21"/>
      <c r="P487" s="20"/>
      <c r="Q487" s="22"/>
      <c r="R487" s="23"/>
    </row>
    <row r="488" spans="1:18" ht="15" customHeight="1" x14ac:dyDescent="0.3">
      <c r="A488" s="24" t="s">
        <v>40</v>
      </c>
      <c r="B488" s="24" t="s">
        <v>48</v>
      </c>
      <c r="C488" s="119">
        <v>0.83680555555555558</v>
      </c>
      <c r="D488" s="24" t="s">
        <v>38</v>
      </c>
      <c r="E488" s="24" t="s">
        <v>34</v>
      </c>
      <c r="F488" s="24" t="s">
        <v>109</v>
      </c>
      <c r="G488" s="174"/>
      <c r="H488" s="19"/>
      <c r="I488" s="20"/>
      <c r="J488" s="20"/>
      <c r="K488" s="20"/>
      <c r="L488" s="20"/>
      <c r="M488" s="20"/>
      <c r="N488" s="20"/>
      <c r="O488" s="21"/>
      <c r="P488" s="20"/>
      <c r="Q488" s="22"/>
      <c r="R488" s="23"/>
    </row>
    <row r="489" spans="1:18" ht="15" customHeight="1" x14ac:dyDescent="0.3">
      <c r="A489" s="35" t="s">
        <v>51</v>
      </c>
      <c r="B489" s="35" t="s">
        <v>52</v>
      </c>
      <c r="C489" s="129">
        <v>0.27083333333333331</v>
      </c>
      <c r="D489" s="35" t="s">
        <v>28</v>
      </c>
      <c r="E489" s="35" t="s">
        <v>29</v>
      </c>
      <c r="F489" s="35" t="s">
        <v>30</v>
      </c>
      <c r="G489" s="174"/>
      <c r="H489" s="36" t="s">
        <v>54</v>
      </c>
      <c r="I489" s="130">
        <v>0.23810000000000001</v>
      </c>
      <c r="J489" s="37">
        <v>40</v>
      </c>
      <c r="K489" s="38">
        <v>45992</v>
      </c>
      <c r="L489" s="37">
        <v>9</v>
      </c>
      <c r="M489" s="37">
        <v>2</v>
      </c>
      <c r="N489" s="37">
        <v>0</v>
      </c>
      <c r="O489" s="39" t="s">
        <v>105</v>
      </c>
      <c r="P489" s="131">
        <v>0.27083333333333331</v>
      </c>
      <c r="Q489" s="37">
        <v>168</v>
      </c>
      <c r="R489" s="40" t="s">
        <v>173</v>
      </c>
    </row>
    <row r="490" spans="1:18" ht="15" customHeight="1" x14ac:dyDescent="0.3">
      <c r="A490" s="25" t="s">
        <v>58</v>
      </c>
      <c r="B490" s="25" t="s">
        <v>63</v>
      </c>
      <c r="C490" s="120">
        <v>0.86458333333333337</v>
      </c>
      <c r="D490" s="25" t="s">
        <v>60</v>
      </c>
      <c r="E490" s="25" t="s">
        <v>29</v>
      </c>
      <c r="F490" s="25" t="s">
        <v>62</v>
      </c>
      <c r="G490" s="174"/>
      <c r="H490" s="19"/>
      <c r="I490" s="20"/>
      <c r="J490" s="20"/>
      <c r="K490" s="20"/>
      <c r="L490" s="20"/>
      <c r="M490" s="20"/>
      <c r="N490" s="20"/>
      <c r="O490" s="21"/>
      <c r="P490" s="20"/>
      <c r="Q490" s="22"/>
      <c r="R490" s="23"/>
    </row>
    <row r="491" spans="1:18" ht="15" customHeight="1" x14ac:dyDescent="0.3">
      <c r="A491" s="26" t="s">
        <v>58</v>
      </c>
      <c r="B491" s="26" t="s">
        <v>66</v>
      </c>
      <c r="C491" s="121">
        <v>0.52777777777777779</v>
      </c>
      <c r="D491" s="26" t="s">
        <v>60</v>
      </c>
      <c r="E491" s="26" t="s">
        <v>29</v>
      </c>
      <c r="F491" s="26" t="s">
        <v>62</v>
      </c>
      <c r="G491" s="174"/>
      <c r="H491" s="19"/>
      <c r="I491" s="20"/>
      <c r="J491" s="20"/>
      <c r="K491" s="20"/>
      <c r="L491" s="20"/>
      <c r="M491" s="20"/>
      <c r="N491" s="20"/>
      <c r="O491" s="21"/>
      <c r="P491" s="20"/>
      <c r="Q491" s="22"/>
      <c r="R491" s="23"/>
    </row>
    <row r="492" spans="1:18" ht="15" customHeight="1" x14ac:dyDescent="0.3">
      <c r="A492" s="26" t="s">
        <v>58</v>
      </c>
      <c r="B492" s="26" t="s">
        <v>59</v>
      </c>
      <c r="C492" s="121">
        <v>0.1701388888888889</v>
      </c>
      <c r="D492" s="26" t="s">
        <v>60</v>
      </c>
      <c r="E492" s="26" t="s">
        <v>29</v>
      </c>
      <c r="F492" s="26" t="s">
        <v>62</v>
      </c>
      <c r="G492" s="174"/>
      <c r="H492" s="19"/>
      <c r="I492" s="20"/>
      <c r="J492" s="20"/>
      <c r="K492" s="20"/>
      <c r="L492" s="20"/>
      <c r="M492" s="20"/>
      <c r="N492" s="20"/>
      <c r="O492" s="21"/>
      <c r="P492" s="20"/>
      <c r="Q492" s="22"/>
      <c r="R492" s="23"/>
    </row>
    <row r="493" spans="1:18" ht="15" customHeight="1" x14ac:dyDescent="0.3">
      <c r="A493" s="25" t="s">
        <v>26</v>
      </c>
      <c r="B493" s="25" t="s">
        <v>57</v>
      </c>
      <c r="C493" s="120">
        <v>0.95833333333333337</v>
      </c>
      <c r="D493" s="25" t="s">
        <v>167</v>
      </c>
      <c r="E493" s="25" t="s">
        <v>29</v>
      </c>
      <c r="F493" s="25" t="s">
        <v>49</v>
      </c>
      <c r="G493" s="174"/>
      <c r="H493" s="19"/>
      <c r="I493" s="20"/>
      <c r="J493" s="20"/>
      <c r="K493" s="20"/>
      <c r="L493" s="20"/>
      <c r="M493" s="20"/>
      <c r="N493" s="20"/>
      <c r="O493" s="21"/>
      <c r="P493" s="20"/>
      <c r="Q493" s="22"/>
      <c r="R493" s="23"/>
    </row>
    <row r="494" spans="1:18" ht="15" customHeight="1" thickBot="1" x14ac:dyDescent="0.35">
      <c r="A494" s="33" t="s">
        <v>68</v>
      </c>
      <c r="B494" s="33" t="s">
        <v>69</v>
      </c>
      <c r="C494" s="125">
        <v>0.30555555555555558</v>
      </c>
      <c r="D494" s="33" t="s">
        <v>70</v>
      </c>
      <c r="E494" s="33" t="s">
        <v>71</v>
      </c>
      <c r="F494" s="33" t="s">
        <v>122</v>
      </c>
      <c r="G494" s="175"/>
      <c r="H494" s="8"/>
      <c r="I494" s="9"/>
      <c r="J494" s="9"/>
      <c r="K494" s="9"/>
      <c r="L494" s="9"/>
      <c r="M494" s="9"/>
      <c r="N494" s="9"/>
      <c r="O494" s="10"/>
      <c r="P494" s="9"/>
      <c r="Q494" s="11"/>
      <c r="R494" s="12"/>
    </row>
    <row r="495" spans="1:18" ht="17.399999999999999" customHeight="1" thickBot="1" x14ac:dyDescent="0.35">
      <c r="A495" s="179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1"/>
    </row>
    <row r="496" spans="1:18" ht="22.05" customHeight="1" thickTop="1" thickBot="1" x14ac:dyDescent="0.35">
      <c r="A496" s="182" t="s">
        <v>6</v>
      </c>
      <c r="B496" s="177"/>
      <c r="C496" s="177"/>
      <c r="D496" s="177"/>
      <c r="E496" s="177"/>
      <c r="F496" s="178"/>
      <c r="G496" s="115">
        <v>46022</v>
      </c>
      <c r="H496" s="184" t="s">
        <v>7</v>
      </c>
      <c r="I496" s="177"/>
      <c r="J496" s="177"/>
      <c r="K496" s="177"/>
      <c r="L496" s="177"/>
      <c r="M496" s="177"/>
      <c r="N496" s="177"/>
      <c r="O496" s="177"/>
      <c r="P496" s="177"/>
      <c r="Q496" s="177"/>
      <c r="R496" s="178"/>
    </row>
    <row r="497" spans="1:18" ht="24" customHeight="1" x14ac:dyDescent="0.3">
      <c r="A497" s="13" t="s">
        <v>8</v>
      </c>
      <c r="B497" s="13" t="s">
        <v>9</v>
      </c>
      <c r="C497" s="116" t="s">
        <v>10</v>
      </c>
      <c r="D497" s="13" t="s">
        <v>11</v>
      </c>
      <c r="E497" s="13" t="s">
        <v>12</v>
      </c>
      <c r="F497" s="14" t="s">
        <v>13</v>
      </c>
      <c r="G497" s="15" t="s">
        <v>14</v>
      </c>
      <c r="H497" s="13" t="s">
        <v>15</v>
      </c>
      <c r="I497" s="117" t="s">
        <v>16</v>
      </c>
      <c r="J497" s="16" t="s">
        <v>17</v>
      </c>
      <c r="K497" s="17" t="s">
        <v>18</v>
      </c>
      <c r="L497" s="16" t="s">
        <v>19</v>
      </c>
      <c r="M497" s="16" t="s">
        <v>20</v>
      </c>
      <c r="N497" s="16" t="s">
        <v>21</v>
      </c>
      <c r="O497" s="13" t="s">
        <v>22</v>
      </c>
      <c r="P497" s="116" t="s">
        <v>23</v>
      </c>
      <c r="Q497" s="16" t="s">
        <v>24</v>
      </c>
      <c r="R497" s="13" t="s">
        <v>25</v>
      </c>
    </row>
    <row r="498" spans="1:18" ht="15" customHeight="1" x14ac:dyDescent="0.3">
      <c r="A498" s="18" t="s">
        <v>76</v>
      </c>
      <c r="B498" s="18" t="s">
        <v>77</v>
      </c>
      <c r="C498" s="118">
        <v>0.97222222222222221</v>
      </c>
      <c r="D498" s="18" t="s">
        <v>78</v>
      </c>
      <c r="E498" s="18" t="s">
        <v>79</v>
      </c>
      <c r="F498" s="18" t="s">
        <v>174</v>
      </c>
      <c r="G498" s="173"/>
      <c r="H498" s="19"/>
      <c r="I498" s="20"/>
      <c r="J498" s="20"/>
      <c r="K498" s="20"/>
      <c r="L498" s="20"/>
      <c r="M498" s="20"/>
      <c r="N498" s="20"/>
      <c r="O498" s="21"/>
      <c r="P498" s="20"/>
      <c r="Q498" s="22"/>
      <c r="R498" s="23"/>
    </row>
    <row r="499" spans="1:18" ht="15" customHeight="1" x14ac:dyDescent="0.3">
      <c r="A499" s="24" t="s">
        <v>76</v>
      </c>
      <c r="B499" s="24" t="s">
        <v>77</v>
      </c>
      <c r="C499" s="119">
        <v>0.97222222222222221</v>
      </c>
      <c r="D499" s="24" t="s">
        <v>81</v>
      </c>
      <c r="E499" s="24" t="s">
        <v>79</v>
      </c>
      <c r="F499" s="24" t="s">
        <v>175</v>
      </c>
      <c r="G499" s="174"/>
      <c r="H499" s="19"/>
      <c r="I499" s="20"/>
      <c r="J499" s="20"/>
      <c r="K499" s="20"/>
      <c r="L499" s="20"/>
      <c r="M499" s="20"/>
      <c r="N499" s="20"/>
      <c r="O499" s="21"/>
      <c r="P499" s="20"/>
      <c r="Q499" s="22"/>
      <c r="R499" s="23"/>
    </row>
    <row r="500" spans="1:18" ht="15" customHeight="1" x14ac:dyDescent="0.3">
      <c r="A500" s="25" t="s">
        <v>31</v>
      </c>
      <c r="B500" s="25" t="s">
        <v>32</v>
      </c>
      <c r="C500" s="120">
        <v>0.30555555555555558</v>
      </c>
      <c r="D500" s="25" t="s">
        <v>33</v>
      </c>
      <c r="E500" s="25" t="s">
        <v>158</v>
      </c>
      <c r="F500" s="25" t="s">
        <v>103</v>
      </c>
      <c r="G500" s="174"/>
      <c r="H500" s="19"/>
      <c r="I500" s="20"/>
      <c r="J500" s="20"/>
      <c r="K500" s="20"/>
      <c r="L500" s="20"/>
      <c r="M500" s="20"/>
      <c r="N500" s="20"/>
      <c r="O500" s="21"/>
      <c r="P500" s="20"/>
      <c r="Q500" s="22"/>
      <c r="R500" s="23"/>
    </row>
    <row r="501" spans="1:18" ht="15" customHeight="1" x14ac:dyDescent="0.3">
      <c r="A501" s="24" t="s">
        <v>31</v>
      </c>
      <c r="B501" s="24" t="s">
        <v>32</v>
      </c>
      <c r="C501" s="119">
        <v>0.30555555555555558</v>
      </c>
      <c r="D501" s="24" t="s">
        <v>36</v>
      </c>
      <c r="E501" s="24" t="s">
        <v>158</v>
      </c>
      <c r="F501" s="24" t="s">
        <v>104</v>
      </c>
      <c r="G501" s="174"/>
      <c r="H501" s="19"/>
      <c r="I501" s="20"/>
      <c r="J501" s="20"/>
      <c r="K501" s="20"/>
      <c r="L501" s="20"/>
      <c r="M501" s="20"/>
      <c r="N501" s="20"/>
      <c r="O501" s="21"/>
      <c r="P501" s="20"/>
      <c r="Q501" s="22"/>
      <c r="R501" s="23"/>
    </row>
    <row r="502" spans="1:18" ht="15" customHeight="1" x14ac:dyDescent="0.3">
      <c r="A502" s="24" t="s">
        <v>31</v>
      </c>
      <c r="B502" s="24" t="s">
        <v>32</v>
      </c>
      <c r="C502" s="119">
        <v>0.30555555555555558</v>
      </c>
      <c r="D502" s="24" t="s">
        <v>38</v>
      </c>
      <c r="E502" s="24" t="s">
        <v>158</v>
      </c>
      <c r="F502" s="24" t="s">
        <v>86</v>
      </c>
      <c r="G502" s="174"/>
      <c r="H502" s="19"/>
      <c r="I502" s="20"/>
      <c r="J502" s="20"/>
      <c r="K502" s="20"/>
      <c r="L502" s="20"/>
      <c r="M502" s="20"/>
      <c r="N502" s="20"/>
      <c r="O502" s="21"/>
      <c r="P502" s="20"/>
      <c r="Q502" s="22"/>
      <c r="R502" s="23"/>
    </row>
    <row r="503" spans="1:18" ht="15" customHeight="1" x14ac:dyDescent="0.3">
      <c r="A503" s="25" t="s">
        <v>58</v>
      </c>
      <c r="B503" s="25" t="s">
        <v>63</v>
      </c>
      <c r="C503" s="120">
        <v>0.86458333333333337</v>
      </c>
      <c r="D503" s="25" t="s">
        <v>60</v>
      </c>
      <c r="E503" s="25" t="s">
        <v>29</v>
      </c>
      <c r="F503" s="25" t="s">
        <v>62</v>
      </c>
      <c r="G503" s="174"/>
      <c r="H503" s="19"/>
      <c r="I503" s="20"/>
      <c r="J503" s="20"/>
      <c r="K503" s="20"/>
      <c r="L503" s="20"/>
      <c r="M503" s="20"/>
      <c r="N503" s="20"/>
      <c r="O503" s="21"/>
      <c r="P503" s="20"/>
      <c r="Q503" s="22"/>
      <c r="R503" s="23"/>
    </row>
    <row r="504" spans="1:18" ht="15" customHeight="1" x14ac:dyDescent="0.3">
      <c r="A504" s="26" t="s">
        <v>58</v>
      </c>
      <c r="B504" s="26" t="s">
        <v>66</v>
      </c>
      <c r="C504" s="121">
        <v>0.52777777777777779</v>
      </c>
      <c r="D504" s="26" t="s">
        <v>60</v>
      </c>
      <c r="E504" s="26" t="s">
        <v>29</v>
      </c>
      <c r="F504" s="26" t="s">
        <v>62</v>
      </c>
      <c r="G504" s="174"/>
      <c r="H504" s="19"/>
      <c r="I504" s="20"/>
      <c r="J504" s="20"/>
      <c r="K504" s="20"/>
      <c r="L504" s="20"/>
      <c r="M504" s="20"/>
      <c r="N504" s="20"/>
      <c r="O504" s="21"/>
      <c r="P504" s="20"/>
      <c r="Q504" s="22"/>
      <c r="R504" s="23"/>
    </row>
    <row r="505" spans="1:18" ht="15" customHeight="1" x14ac:dyDescent="0.3">
      <c r="A505" s="26" t="s">
        <v>58</v>
      </c>
      <c r="B505" s="26" t="s">
        <v>59</v>
      </c>
      <c r="C505" s="121">
        <v>0.1701388888888889</v>
      </c>
      <c r="D505" s="26" t="s">
        <v>60</v>
      </c>
      <c r="E505" s="26" t="s">
        <v>29</v>
      </c>
      <c r="F505" s="26" t="s">
        <v>62</v>
      </c>
      <c r="G505" s="174"/>
      <c r="H505" s="19"/>
      <c r="I505" s="20"/>
      <c r="J505" s="20"/>
      <c r="K505" s="20"/>
      <c r="L505" s="20"/>
      <c r="M505" s="20"/>
      <c r="N505" s="20"/>
      <c r="O505" s="21"/>
      <c r="P505" s="20"/>
      <c r="Q505" s="22"/>
      <c r="R505" s="23"/>
    </row>
    <row r="506" spans="1:18" ht="15" customHeight="1" x14ac:dyDescent="0.3">
      <c r="A506" s="25" t="s">
        <v>40</v>
      </c>
      <c r="B506" s="25" t="s">
        <v>48</v>
      </c>
      <c r="C506" s="120">
        <v>0.85069444444444442</v>
      </c>
      <c r="D506" s="25" t="s">
        <v>42</v>
      </c>
      <c r="E506" s="25" t="s">
        <v>61</v>
      </c>
      <c r="F506" s="25" t="s">
        <v>49</v>
      </c>
      <c r="G506" s="174"/>
      <c r="H506" s="19"/>
      <c r="I506" s="20"/>
      <c r="J506" s="20"/>
      <c r="K506" s="20"/>
      <c r="L506" s="20"/>
      <c r="M506" s="20"/>
      <c r="N506" s="20"/>
      <c r="O506" s="21"/>
      <c r="P506" s="20"/>
      <c r="Q506" s="22"/>
      <c r="R506" s="23"/>
    </row>
    <row r="507" spans="1:18" ht="15" customHeight="1" x14ac:dyDescent="0.3">
      <c r="A507" s="24" t="s">
        <v>40</v>
      </c>
      <c r="B507" s="24" t="s">
        <v>48</v>
      </c>
      <c r="C507" s="119">
        <v>0.85069444444444442</v>
      </c>
      <c r="D507" s="24" t="s">
        <v>45</v>
      </c>
      <c r="E507" s="24" t="s">
        <v>61</v>
      </c>
      <c r="F507" s="24" t="s">
        <v>47</v>
      </c>
      <c r="G507" s="174"/>
      <c r="H507" s="19"/>
      <c r="I507" s="20"/>
      <c r="J507" s="20"/>
      <c r="K507" s="20"/>
      <c r="L507" s="20"/>
      <c r="M507" s="20"/>
      <c r="N507" s="20"/>
      <c r="O507" s="21"/>
      <c r="P507" s="20"/>
      <c r="Q507" s="22"/>
      <c r="R507" s="23"/>
    </row>
    <row r="508" spans="1:18" ht="15" customHeight="1" x14ac:dyDescent="0.3">
      <c r="A508" s="24" t="s">
        <v>40</v>
      </c>
      <c r="B508" s="24" t="s">
        <v>48</v>
      </c>
      <c r="C508" s="119">
        <v>0.85069444444444442</v>
      </c>
      <c r="D508" s="24" t="s">
        <v>38</v>
      </c>
      <c r="E508" s="24" t="s">
        <v>61</v>
      </c>
      <c r="F508" s="24" t="s">
        <v>50</v>
      </c>
      <c r="G508" s="174"/>
      <c r="H508" s="19"/>
      <c r="I508" s="20"/>
      <c r="J508" s="20"/>
      <c r="K508" s="20"/>
      <c r="L508" s="20"/>
      <c r="M508" s="20"/>
      <c r="N508" s="20"/>
      <c r="O508" s="21"/>
      <c r="P508" s="20"/>
      <c r="Q508" s="22"/>
      <c r="R508" s="23"/>
    </row>
    <row r="509" spans="1:18" ht="15" customHeight="1" x14ac:dyDescent="0.3">
      <c r="A509" s="25" t="s">
        <v>26</v>
      </c>
      <c r="B509" s="25" t="s">
        <v>27</v>
      </c>
      <c r="C509" s="120">
        <v>0.89583333333333337</v>
      </c>
      <c r="D509" s="25" t="s">
        <v>167</v>
      </c>
      <c r="E509" s="25" t="s">
        <v>29</v>
      </c>
      <c r="F509" s="25" t="s">
        <v>49</v>
      </c>
      <c r="G509" s="174"/>
      <c r="H509" s="19"/>
      <c r="I509" s="20"/>
      <c r="J509" s="20"/>
      <c r="K509" s="20"/>
      <c r="L509" s="20"/>
      <c r="M509" s="20"/>
      <c r="N509" s="20"/>
      <c r="O509" s="21"/>
      <c r="P509" s="20"/>
      <c r="Q509" s="22"/>
      <c r="R509" s="23"/>
    </row>
    <row r="510" spans="1:18" ht="15" customHeight="1" x14ac:dyDescent="0.3">
      <c r="A510" s="25" t="s">
        <v>73</v>
      </c>
      <c r="B510" s="25" t="s">
        <v>74</v>
      </c>
      <c r="C510" s="120">
        <v>9.0277777777777776E-2</v>
      </c>
      <c r="D510" s="25" t="s">
        <v>167</v>
      </c>
      <c r="E510" s="25" t="s">
        <v>120</v>
      </c>
      <c r="F510" s="25" t="s">
        <v>164</v>
      </c>
      <c r="G510" s="174"/>
      <c r="H510" s="19"/>
      <c r="I510" s="20"/>
      <c r="J510" s="20"/>
      <c r="K510" s="20"/>
      <c r="L510" s="20"/>
      <c r="M510" s="20"/>
      <c r="N510" s="20"/>
      <c r="O510" s="21"/>
      <c r="P510" s="20"/>
      <c r="Q510" s="22"/>
      <c r="R510" s="23"/>
    </row>
    <row r="511" spans="1:18" ht="15" customHeight="1" x14ac:dyDescent="0.3">
      <c r="A511" s="33" t="s">
        <v>68</v>
      </c>
      <c r="B511" s="33" t="s">
        <v>69</v>
      </c>
      <c r="C511" s="125">
        <v>0.30555555555555558</v>
      </c>
      <c r="D511" s="33" t="s">
        <v>70</v>
      </c>
      <c r="E511" s="33" t="s">
        <v>71</v>
      </c>
      <c r="F511" s="33" t="s">
        <v>112</v>
      </c>
      <c r="G511" s="175"/>
      <c r="H511" s="8"/>
      <c r="I511" s="9"/>
      <c r="J511" s="9"/>
      <c r="K511" s="9"/>
      <c r="L511" s="9"/>
      <c r="M511" s="9"/>
      <c r="N511" s="9"/>
      <c r="O511" s="10"/>
      <c r="P511" s="9"/>
      <c r="Q511" s="11"/>
      <c r="R511" s="12"/>
    </row>
  </sheetData>
  <mergeCells count="130">
    <mergeCell ref="A7:R7"/>
    <mergeCell ref="G259:G272"/>
    <mergeCell ref="G241:G255"/>
    <mergeCell ref="A172:R172"/>
    <mergeCell ref="A221:R221"/>
    <mergeCell ref="A292:R292"/>
    <mergeCell ref="H1:L1"/>
    <mergeCell ref="A1:E1"/>
    <mergeCell ref="G6"/>
    <mergeCell ref="H8:R8"/>
    <mergeCell ref="A2:F2"/>
    <mergeCell ref="A8:F8"/>
    <mergeCell ref="G2:J2"/>
    <mergeCell ref="N1:R1"/>
    <mergeCell ref="H98:R98"/>
    <mergeCell ref="A42:R42"/>
    <mergeCell ref="G276:G291"/>
    <mergeCell ref="G10:G24"/>
    <mergeCell ref="H393:R393"/>
    <mergeCell ref="G28:G41"/>
    <mergeCell ref="A188:F188"/>
    <mergeCell ref="H341:R341"/>
    <mergeCell ref="A307:R307"/>
    <mergeCell ref="H222:R222"/>
    <mergeCell ref="H43:R43"/>
    <mergeCell ref="A26:F26"/>
    <mergeCell ref="H173:R173"/>
    <mergeCell ref="H188:R188"/>
    <mergeCell ref="A63:F63"/>
    <mergeCell ref="A147:R147"/>
    <mergeCell ref="A293:F293"/>
    <mergeCell ref="A308:F308"/>
    <mergeCell ref="G210:G220"/>
    <mergeCell ref="H26:R26"/>
    <mergeCell ref="H63:R63"/>
    <mergeCell ref="A341:F341"/>
    <mergeCell ref="A129:R129"/>
    <mergeCell ref="G395:G410"/>
    <mergeCell ref="A375:R375"/>
    <mergeCell ref="A239:F239"/>
    <mergeCell ref="G150:G152"/>
    <mergeCell ref="H113:R113"/>
    <mergeCell ref="A393:F393"/>
    <mergeCell ref="G295:G306"/>
    <mergeCell ref="A392:R392"/>
    <mergeCell ref="A112:R112"/>
    <mergeCell ref="H208:R208"/>
    <mergeCell ref="A257:F257"/>
    <mergeCell ref="G343:G357"/>
    <mergeCell ref="H376:R376"/>
    <mergeCell ref="A477:R477"/>
    <mergeCell ref="G156:G171"/>
    <mergeCell ref="H478:R478"/>
    <mergeCell ref="G378:G391"/>
    <mergeCell ref="A153:R153"/>
    <mergeCell ref="H446:R446"/>
    <mergeCell ref="H327:R327"/>
    <mergeCell ref="H460:R460"/>
    <mergeCell ref="G498:G511"/>
    <mergeCell ref="G462:G476"/>
    <mergeCell ref="G414:G425"/>
    <mergeCell ref="G80:G96"/>
    <mergeCell ref="A412:F412"/>
    <mergeCell ref="A98:F98"/>
    <mergeCell ref="H239:R239"/>
    <mergeCell ref="A207:R207"/>
    <mergeCell ref="A359:F359"/>
    <mergeCell ref="H154:R154"/>
    <mergeCell ref="A256:R256"/>
    <mergeCell ref="A478:F478"/>
    <mergeCell ref="A208:F208"/>
    <mergeCell ref="H274:R274"/>
    <mergeCell ref="A426:R426"/>
    <mergeCell ref="A326:R326"/>
    <mergeCell ref="A273:R273"/>
    <mergeCell ref="A154:F154"/>
    <mergeCell ref="G480:G494"/>
    <mergeCell ref="G132:G146"/>
    <mergeCell ref="H130:R130"/>
    <mergeCell ref="H148:R148"/>
    <mergeCell ref="A495:R495"/>
    <mergeCell ref="A411:R411"/>
    <mergeCell ref="K2:R2"/>
    <mergeCell ref="H293:R293"/>
    <mergeCell ref="A77:R77"/>
    <mergeCell ref="A496:F496"/>
    <mergeCell ref="A340:R340"/>
    <mergeCell ref="A78:F78"/>
    <mergeCell ref="A427:F427"/>
    <mergeCell ref="A187:R187"/>
    <mergeCell ref="A25:R25"/>
    <mergeCell ref="G310:G325"/>
    <mergeCell ref="H78:R78"/>
    <mergeCell ref="H4:R4"/>
    <mergeCell ref="A238:R238"/>
    <mergeCell ref="A376:F376"/>
    <mergeCell ref="A113:F113"/>
    <mergeCell ref="A3:R3"/>
    <mergeCell ref="G100:G111"/>
    <mergeCell ref="G115:G128"/>
    <mergeCell ref="G190:G206"/>
    <mergeCell ref="G329:G339"/>
    <mergeCell ref="H412:R412"/>
    <mergeCell ref="H496:R496"/>
    <mergeCell ref="G429:G444"/>
    <mergeCell ref="A62:R62"/>
    <mergeCell ref="G361:G374"/>
    <mergeCell ref="A4:F4"/>
    <mergeCell ref="A97:R97"/>
    <mergeCell ref="A43:F43"/>
    <mergeCell ref="A327:F327"/>
    <mergeCell ref="A460:F460"/>
    <mergeCell ref="G175:G186"/>
    <mergeCell ref="A459:R459"/>
    <mergeCell ref="A130:F130"/>
    <mergeCell ref="A148:F148"/>
    <mergeCell ref="A446:F446"/>
    <mergeCell ref="G45:G61"/>
    <mergeCell ref="G224:G237"/>
    <mergeCell ref="A222:F222"/>
    <mergeCell ref="G65:G76"/>
    <mergeCell ref="H308:R308"/>
    <mergeCell ref="A358:R358"/>
    <mergeCell ref="H427:R427"/>
    <mergeCell ref="A445:R445"/>
    <mergeCell ref="G448:G458"/>
    <mergeCell ref="A173:F173"/>
    <mergeCell ref="H257:R257"/>
    <mergeCell ref="A274:F274"/>
    <mergeCell ref="H359:R3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"/>
  <sheetViews>
    <sheetView workbookViewId="0"/>
  </sheetViews>
  <sheetFormatPr defaultRowHeight="15.6" outlineLevelCol="2" x14ac:dyDescent="0.3"/>
  <cols>
    <col min="1" max="1" width="11.77734375" style="161" bestFit="1" customWidth="1"/>
    <col min="2" max="2" width="10.88671875" style="161" bestFit="1" customWidth="1"/>
    <col min="3" max="3" width="7.88671875" style="161" bestFit="1" customWidth="1"/>
    <col min="4" max="4" width="6.77734375" style="161" bestFit="1" customWidth="1"/>
    <col min="5" max="5" width="10.5546875" style="161" bestFit="1" customWidth="1"/>
    <col min="6" max="6" width="5.21875" style="161" bestFit="1" customWidth="1"/>
    <col min="7" max="7" width="10" style="161" bestFit="1" customWidth="1"/>
    <col min="8" max="8" width="8.5546875" style="161" bestFit="1" customWidth="1"/>
    <col min="9" max="10" width="8" style="161" bestFit="1" customWidth="1"/>
    <col min="11" max="11" width="12.21875" style="161" bestFit="1" customWidth="1"/>
    <col min="12" max="12" width="10.109375" style="161" bestFit="1" customWidth="1"/>
    <col min="13" max="13" width="8.77734375" style="161" bestFit="1" customWidth="1" outlineLevel="2"/>
    <col min="14" max="14" width="7.33203125" style="161" bestFit="1" customWidth="1" outlineLevel="2"/>
    <col min="15" max="15" width="9.109375" style="161" bestFit="1" customWidth="1" outlineLevel="2"/>
    <col min="16" max="16" width="15.33203125" style="161" bestFit="1" customWidth="1"/>
    <col min="17" max="24" width="3.88671875" style="161" bestFit="1" customWidth="1"/>
    <col min="25" max="25" width="4.21875" style="161" bestFit="1" customWidth="1"/>
    <col min="26" max="26" width="4.88671875" style="161" bestFit="1" customWidth="1"/>
    <col min="27" max="27" width="4.77734375" style="161" bestFit="1" customWidth="1"/>
    <col min="28" max="28" width="5" style="161" bestFit="1" customWidth="1"/>
    <col min="29" max="29" width="5.109375" style="161" bestFit="1" customWidth="1"/>
    <col min="30" max="31" width="5.33203125" style="161" bestFit="1" customWidth="1"/>
    <col min="32" max="32" width="4.44140625" style="161" bestFit="1" customWidth="1"/>
    <col min="33" max="36" width="3.88671875" style="161" bestFit="1" customWidth="1"/>
    <col min="37" max="16384" width="8.88671875" style="161"/>
  </cols>
  <sheetData>
    <row r="1" spans="1:36" x14ac:dyDescent="0.3">
      <c r="A1" s="160" t="s">
        <v>176</v>
      </c>
      <c r="B1" s="160" t="s">
        <v>177</v>
      </c>
      <c r="C1" s="160" t="s">
        <v>178</v>
      </c>
      <c r="D1" s="160" t="s">
        <v>23</v>
      </c>
      <c r="E1" s="160" t="s">
        <v>179</v>
      </c>
      <c r="F1" s="160" t="s">
        <v>180</v>
      </c>
      <c r="G1" s="160" t="s">
        <v>16</v>
      </c>
      <c r="H1" s="160" t="s">
        <v>181</v>
      </c>
      <c r="I1" s="160" t="s">
        <v>182</v>
      </c>
      <c r="J1" s="160" t="s">
        <v>183</v>
      </c>
      <c r="K1" s="160" t="s">
        <v>184</v>
      </c>
      <c r="L1" s="160" t="s">
        <v>18</v>
      </c>
      <c r="M1" s="160" t="s">
        <v>20</v>
      </c>
      <c r="N1" s="160" t="s">
        <v>21</v>
      </c>
      <c r="O1" s="160" t="s">
        <v>19</v>
      </c>
      <c r="P1" s="160" t="s">
        <v>22</v>
      </c>
      <c r="Q1" s="160" t="s">
        <v>185</v>
      </c>
      <c r="R1" s="160" t="s">
        <v>186</v>
      </c>
      <c r="S1" s="160" t="s">
        <v>187</v>
      </c>
      <c r="T1" s="160" t="s">
        <v>188</v>
      </c>
      <c r="U1" s="160" t="s">
        <v>189</v>
      </c>
      <c r="V1" s="160" t="s">
        <v>190</v>
      </c>
      <c r="W1" s="160" t="s">
        <v>191</v>
      </c>
      <c r="X1" s="160" t="s">
        <v>192</v>
      </c>
      <c r="Y1" s="160" t="s">
        <v>193</v>
      </c>
      <c r="Z1" s="160" t="s">
        <v>194</v>
      </c>
      <c r="AA1" s="160" t="s">
        <v>195</v>
      </c>
      <c r="AB1" s="160" t="s">
        <v>196</v>
      </c>
      <c r="AC1" s="160" t="s">
        <v>197</v>
      </c>
      <c r="AD1" s="160" t="s">
        <v>198</v>
      </c>
      <c r="AE1" s="160" t="s">
        <v>199</v>
      </c>
      <c r="AF1" s="160" t="s">
        <v>200</v>
      </c>
      <c r="AG1" s="160" t="s">
        <v>201</v>
      </c>
      <c r="AH1" s="160" t="s">
        <v>202</v>
      </c>
      <c r="AI1" s="160" t="s">
        <v>203</v>
      </c>
      <c r="AJ1" s="160" t="s">
        <v>204</v>
      </c>
    </row>
    <row r="2" spans="1:36" x14ac:dyDescent="0.3">
      <c r="A2" s="162" t="s">
        <v>205</v>
      </c>
      <c r="B2" s="163">
        <v>45993</v>
      </c>
      <c r="C2" s="164" t="s">
        <v>54</v>
      </c>
      <c r="D2" s="165" t="s">
        <v>206</v>
      </c>
      <c r="E2" s="164" t="s">
        <v>1</v>
      </c>
      <c r="F2" s="164" t="s">
        <v>207</v>
      </c>
      <c r="G2" s="166">
        <v>0.63100000000000001</v>
      </c>
      <c r="H2" s="167">
        <v>168</v>
      </c>
      <c r="I2" s="167">
        <v>106</v>
      </c>
      <c r="J2" s="167">
        <v>0</v>
      </c>
      <c r="K2" s="164" t="s">
        <v>208</v>
      </c>
      <c r="L2" s="160"/>
      <c r="M2" s="167">
        <v>16</v>
      </c>
      <c r="N2" s="167">
        <v>0</v>
      </c>
      <c r="O2" s="167">
        <v>55</v>
      </c>
      <c r="P2" s="164" t="s">
        <v>55</v>
      </c>
      <c r="Q2" s="160"/>
      <c r="R2" s="160"/>
      <c r="S2" s="160"/>
      <c r="T2" s="160"/>
      <c r="U2" s="160"/>
      <c r="V2" s="160"/>
      <c r="W2" s="160"/>
      <c r="X2" s="160"/>
      <c r="Y2" s="167" t="s">
        <v>209</v>
      </c>
      <c r="Z2" s="167" t="s">
        <v>210</v>
      </c>
      <c r="AA2" s="167" t="s">
        <v>211</v>
      </c>
      <c r="AB2" s="167" t="s">
        <v>212</v>
      </c>
      <c r="AC2" s="167" t="s">
        <v>213</v>
      </c>
      <c r="AD2" s="167" t="s">
        <v>214</v>
      </c>
      <c r="AE2" s="167" t="s">
        <v>215</v>
      </c>
      <c r="AF2" s="167" t="s">
        <v>216</v>
      </c>
      <c r="AG2" s="160"/>
      <c r="AH2" s="160"/>
      <c r="AI2" s="160"/>
      <c r="AJ2" s="160"/>
    </row>
    <row r="3" spans="1:36" x14ac:dyDescent="0.3">
      <c r="A3" s="162" t="s">
        <v>217</v>
      </c>
      <c r="B3" s="163">
        <v>45995</v>
      </c>
      <c r="C3" s="164" t="s">
        <v>54</v>
      </c>
      <c r="D3" s="165" t="s">
        <v>218</v>
      </c>
      <c r="E3" s="164" t="s">
        <v>1</v>
      </c>
      <c r="F3" s="164" t="s">
        <v>207</v>
      </c>
      <c r="G3" s="166">
        <v>0.58930000000000005</v>
      </c>
      <c r="H3" s="167">
        <v>168</v>
      </c>
      <c r="I3" s="167">
        <v>99</v>
      </c>
      <c r="J3" s="167">
        <v>0</v>
      </c>
      <c r="K3" s="164" t="s">
        <v>208</v>
      </c>
      <c r="L3" s="160"/>
      <c r="M3" s="167">
        <v>7</v>
      </c>
      <c r="N3" s="167">
        <v>1</v>
      </c>
      <c r="O3" s="167">
        <v>48</v>
      </c>
      <c r="P3" s="164" t="s">
        <v>98</v>
      </c>
      <c r="Q3" s="160"/>
      <c r="R3" s="160"/>
      <c r="S3" s="160"/>
      <c r="T3" s="160"/>
      <c r="U3" s="160"/>
      <c r="V3" s="160"/>
      <c r="W3" s="160"/>
      <c r="X3" s="160"/>
      <c r="Y3" s="160"/>
      <c r="Z3" s="167" t="s">
        <v>219</v>
      </c>
      <c r="AA3" s="167" t="s">
        <v>220</v>
      </c>
      <c r="AB3" s="167" t="s">
        <v>221</v>
      </c>
      <c r="AC3" s="167" t="s">
        <v>222</v>
      </c>
      <c r="AD3" s="167" t="s">
        <v>223</v>
      </c>
      <c r="AE3" s="167" t="s">
        <v>142</v>
      </c>
      <c r="AF3" s="167" t="s">
        <v>224</v>
      </c>
      <c r="AG3" s="160"/>
      <c r="AH3" s="160"/>
      <c r="AI3" s="160"/>
      <c r="AJ3" s="160"/>
    </row>
    <row r="4" spans="1:36" x14ac:dyDescent="0.3">
      <c r="A4" s="162" t="s">
        <v>225</v>
      </c>
      <c r="B4" s="163">
        <v>45996</v>
      </c>
      <c r="C4" s="164" t="s">
        <v>54</v>
      </c>
      <c r="D4" s="165" t="s">
        <v>226</v>
      </c>
      <c r="E4" s="164" t="s">
        <v>1</v>
      </c>
      <c r="F4" s="164" t="s">
        <v>207</v>
      </c>
      <c r="G4" s="166">
        <v>0.52980000000000005</v>
      </c>
      <c r="H4" s="167">
        <v>168</v>
      </c>
      <c r="I4" s="167">
        <v>89</v>
      </c>
      <c r="J4" s="167">
        <v>0</v>
      </c>
      <c r="K4" s="164" t="s">
        <v>208</v>
      </c>
      <c r="L4" s="160"/>
      <c r="M4" s="167">
        <v>4</v>
      </c>
      <c r="N4" s="167">
        <v>1</v>
      </c>
      <c r="O4" s="167">
        <v>31</v>
      </c>
      <c r="P4" s="164" t="s">
        <v>105</v>
      </c>
      <c r="Q4" s="160"/>
      <c r="R4" s="160"/>
      <c r="S4" s="160"/>
      <c r="T4" s="160"/>
      <c r="U4" s="160"/>
      <c r="V4" s="160"/>
      <c r="W4" s="160"/>
      <c r="X4" s="160"/>
      <c r="Y4" s="160"/>
      <c r="Z4" s="167" t="s">
        <v>227</v>
      </c>
      <c r="AA4" s="160"/>
      <c r="AB4" s="167" t="s">
        <v>228</v>
      </c>
      <c r="AC4" s="167" t="s">
        <v>229</v>
      </c>
      <c r="AD4" s="167" t="s">
        <v>230</v>
      </c>
      <c r="AE4" s="167" t="s">
        <v>231</v>
      </c>
      <c r="AF4" s="167" t="s">
        <v>232</v>
      </c>
      <c r="AG4" s="160"/>
      <c r="AH4" s="160"/>
      <c r="AI4" s="160"/>
      <c r="AJ4" s="160"/>
    </row>
    <row r="5" spans="1:36" x14ac:dyDescent="0.3">
      <c r="A5" s="162" t="s">
        <v>233</v>
      </c>
      <c r="B5" s="163">
        <v>45997</v>
      </c>
      <c r="C5" s="164" t="s">
        <v>54</v>
      </c>
      <c r="D5" s="165" t="s">
        <v>218</v>
      </c>
      <c r="E5" s="164" t="s">
        <v>1</v>
      </c>
      <c r="F5" s="164" t="s">
        <v>207</v>
      </c>
      <c r="G5" s="166">
        <v>0.21429999999999999</v>
      </c>
      <c r="H5" s="167">
        <v>168</v>
      </c>
      <c r="I5" s="167">
        <v>36</v>
      </c>
      <c r="J5" s="167">
        <v>0</v>
      </c>
      <c r="K5" s="164" t="s">
        <v>208</v>
      </c>
      <c r="L5" s="160"/>
      <c r="M5" s="167">
        <v>0</v>
      </c>
      <c r="N5" s="167">
        <v>2</v>
      </c>
      <c r="O5" s="167">
        <v>14</v>
      </c>
      <c r="P5" s="164" t="s">
        <v>105</v>
      </c>
      <c r="Q5" s="160"/>
      <c r="R5" s="160"/>
      <c r="S5" s="160"/>
      <c r="T5" s="160"/>
      <c r="U5" s="160"/>
      <c r="V5" s="160"/>
      <c r="W5" s="160"/>
      <c r="X5" s="160"/>
      <c r="Y5" s="160"/>
      <c r="Z5" s="167" t="s">
        <v>234</v>
      </c>
      <c r="AA5" s="160"/>
      <c r="AB5" s="160"/>
      <c r="AC5" s="167" t="s">
        <v>235</v>
      </c>
      <c r="AD5" s="167" t="s">
        <v>236</v>
      </c>
      <c r="AE5" s="167" t="s">
        <v>237</v>
      </c>
      <c r="AF5" s="167" t="s">
        <v>238</v>
      </c>
      <c r="AG5" s="160"/>
      <c r="AH5" s="160"/>
      <c r="AI5" s="160"/>
      <c r="AJ5" s="160"/>
    </row>
    <row r="6" spans="1:36" x14ac:dyDescent="0.3">
      <c r="A6" s="162" t="s">
        <v>205</v>
      </c>
      <c r="B6" s="163">
        <v>46000</v>
      </c>
      <c r="C6" s="164" t="s">
        <v>54</v>
      </c>
      <c r="D6" s="165" t="s">
        <v>206</v>
      </c>
      <c r="E6" s="164" t="s">
        <v>1</v>
      </c>
      <c r="F6" s="164" t="s">
        <v>207</v>
      </c>
      <c r="G6" s="166">
        <v>0.28570000000000001</v>
      </c>
      <c r="H6" s="167">
        <v>168</v>
      </c>
      <c r="I6" s="167">
        <v>48</v>
      </c>
      <c r="J6" s="167">
        <v>0</v>
      </c>
      <c r="K6" s="164" t="s">
        <v>208</v>
      </c>
      <c r="L6" s="160"/>
      <c r="M6" s="167">
        <v>0</v>
      </c>
      <c r="N6" s="167">
        <v>0</v>
      </c>
      <c r="O6" s="167">
        <v>13</v>
      </c>
      <c r="P6" s="164" t="s">
        <v>105</v>
      </c>
      <c r="Q6" s="160"/>
      <c r="R6" s="160"/>
      <c r="S6" s="160"/>
      <c r="T6" s="160"/>
      <c r="U6" s="160"/>
      <c r="V6" s="160"/>
      <c r="W6" s="160"/>
      <c r="X6" s="160"/>
      <c r="Y6" s="160"/>
      <c r="Z6" s="167" t="s">
        <v>239</v>
      </c>
      <c r="AA6" s="160"/>
      <c r="AB6" s="160"/>
      <c r="AC6" s="167" t="s">
        <v>213</v>
      </c>
      <c r="AD6" s="167" t="s">
        <v>223</v>
      </c>
      <c r="AE6" s="160"/>
      <c r="AF6" s="167" t="s">
        <v>240</v>
      </c>
      <c r="AG6" s="160"/>
      <c r="AH6" s="160"/>
      <c r="AI6" s="160"/>
      <c r="AJ6" s="160"/>
    </row>
    <row r="7" spans="1:36" x14ac:dyDescent="0.3">
      <c r="A7" s="162" t="s">
        <v>217</v>
      </c>
      <c r="B7" s="163">
        <v>46002</v>
      </c>
      <c r="C7" s="164" t="s">
        <v>54</v>
      </c>
      <c r="D7" s="165" t="s">
        <v>218</v>
      </c>
      <c r="E7" s="164" t="s">
        <v>1</v>
      </c>
      <c r="F7" s="164" t="s">
        <v>207</v>
      </c>
      <c r="G7" s="166">
        <v>0.26190000000000002</v>
      </c>
      <c r="H7" s="167">
        <v>168</v>
      </c>
      <c r="I7" s="167">
        <v>44</v>
      </c>
      <c r="J7" s="167">
        <v>0</v>
      </c>
      <c r="K7" s="164" t="s">
        <v>208</v>
      </c>
      <c r="L7" s="160"/>
      <c r="M7" s="167">
        <v>3</v>
      </c>
      <c r="N7" s="167">
        <v>0</v>
      </c>
      <c r="O7" s="167">
        <v>20</v>
      </c>
      <c r="P7" s="164" t="s">
        <v>105</v>
      </c>
      <c r="Q7" s="160"/>
      <c r="R7" s="160"/>
      <c r="S7" s="160"/>
      <c r="T7" s="160"/>
      <c r="U7" s="160"/>
      <c r="V7" s="160"/>
      <c r="W7" s="160"/>
      <c r="X7" s="160"/>
      <c r="Y7" s="160"/>
      <c r="Z7" s="167" t="s">
        <v>241</v>
      </c>
      <c r="AA7" s="167" t="s">
        <v>211</v>
      </c>
      <c r="AB7" s="167" t="s">
        <v>212</v>
      </c>
      <c r="AC7" s="160"/>
      <c r="AD7" s="160"/>
      <c r="AE7" s="167" t="s">
        <v>242</v>
      </c>
      <c r="AF7" s="167" t="s">
        <v>243</v>
      </c>
      <c r="AG7" s="160"/>
      <c r="AH7" s="160"/>
      <c r="AI7" s="160"/>
      <c r="AJ7" s="160"/>
    </row>
    <row r="8" spans="1:36" x14ac:dyDescent="0.3">
      <c r="A8" s="162" t="s">
        <v>225</v>
      </c>
      <c r="B8" s="163">
        <v>46003</v>
      </c>
      <c r="C8" s="164" t="s">
        <v>54</v>
      </c>
      <c r="D8" s="165" t="s">
        <v>226</v>
      </c>
      <c r="E8" s="164" t="s">
        <v>1</v>
      </c>
      <c r="F8" s="164" t="s">
        <v>207</v>
      </c>
      <c r="G8" s="166">
        <v>0.49399999999999999</v>
      </c>
      <c r="H8" s="167">
        <v>168</v>
      </c>
      <c r="I8" s="167">
        <v>83</v>
      </c>
      <c r="J8" s="167">
        <v>0</v>
      </c>
      <c r="K8" s="164" t="s">
        <v>208</v>
      </c>
      <c r="L8" s="160"/>
      <c r="M8" s="167">
        <v>17</v>
      </c>
      <c r="N8" s="167">
        <v>1</v>
      </c>
      <c r="O8" s="167">
        <v>52</v>
      </c>
      <c r="P8" s="164" t="s">
        <v>142</v>
      </c>
      <c r="Q8" s="160"/>
      <c r="R8" s="160"/>
      <c r="S8" s="160"/>
      <c r="T8" s="160"/>
      <c r="U8" s="160"/>
      <c r="V8" s="160"/>
      <c r="W8" s="160"/>
      <c r="X8" s="160"/>
      <c r="Y8" s="160"/>
      <c r="Z8" s="167" t="s">
        <v>219</v>
      </c>
      <c r="AA8" s="167" t="s">
        <v>244</v>
      </c>
      <c r="AB8" s="167" t="s">
        <v>245</v>
      </c>
      <c r="AC8" s="167" t="s">
        <v>222</v>
      </c>
      <c r="AD8" s="167" t="s">
        <v>246</v>
      </c>
      <c r="AE8" s="167" t="s">
        <v>215</v>
      </c>
      <c r="AF8" s="167" t="s">
        <v>247</v>
      </c>
      <c r="AG8" s="160"/>
      <c r="AH8" s="160"/>
      <c r="AI8" s="160"/>
      <c r="AJ8" s="160"/>
    </row>
    <row r="9" spans="1:36" x14ac:dyDescent="0.3">
      <c r="A9" s="162" t="s">
        <v>233</v>
      </c>
      <c r="B9" s="163">
        <v>46004</v>
      </c>
      <c r="C9" s="164" t="s">
        <v>54</v>
      </c>
      <c r="D9" s="165" t="s">
        <v>218</v>
      </c>
      <c r="E9" s="164" t="s">
        <v>1</v>
      </c>
      <c r="F9" s="164" t="s">
        <v>207</v>
      </c>
      <c r="G9" s="166">
        <v>0.23810000000000001</v>
      </c>
      <c r="H9" s="167">
        <v>168</v>
      </c>
      <c r="I9" s="167">
        <v>40</v>
      </c>
      <c r="J9" s="167">
        <v>0</v>
      </c>
      <c r="K9" s="164" t="s">
        <v>208</v>
      </c>
      <c r="L9" s="160"/>
      <c r="M9" s="167">
        <v>2</v>
      </c>
      <c r="N9" s="167">
        <v>0</v>
      </c>
      <c r="O9" s="167">
        <v>19</v>
      </c>
      <c r="P9" s="164" t="s">
        <v>105</v>
      </c>
      <c r="Q9" s="160"/>
      <c r="R9" s="160"/>
      <c r="S9" s="160"/>
      <c r="T9" s="160"/>
      <c r="U9" s="160"/>
      <c r="V9" s="160"/>
      <c r="W9" s="160"/>
      <c r="X9" s="160"/>
      <c r="Y9" s="160"/>
      <c r="Z9" s="167" t="s">
        <v>227</v>
      </c>
      <c r="AA9" s="167" t="s">
        <v>248</v>
      </c>
      <c r="AB9" s="160"/>
      <c r="AC9" s="167" t="s">
        <v>249</v>
      </c>
      <c r="AD9" s="160"/>
      <c r="AE9" s="160"/>
      <c r="AF9" s="167" t="s">
        <v>250</v>
      </c>
      <c r="AG9" s="160"/>
      <c r="AH9" s="160"/>
      <c r="AI9" s="160"/>
      <c r="AJ9" s="160"/>
    </row>
    <row r="10" spans="1:36" x14ac:dyDescent="0.3">
      <c r="A10" s="162" t="s">
        <v>205</v>
      </c>
      <c r="B10" s="163">
        <v>46007</v>
      </c>
      <c r="C10" s="164" t="s">
        <v>54</v>
      </c>
      <c r="D10" s="165" t="s">
        <v>206</v>
      </c>
      <c r="E10" s="164" t="s">
        <v>1</v>
      </c>
      <c r="F10" s="164" t="s">
        <v>207</v>
      </c>
      <c r="G10" s="166">
        <v>0.26190000000000002</v>
      </c>
      <c r="H10" s="167">
        <v>168</v>
      </c>
      <c r="I10" s="167">
        <v>44</v>
      </c>
      <c r="J10" s="167">
        <v>0</v>
      </c>
      <c r="K10" s="164" t="s">
        <v>208</v>
      </c>
      <c r="L10" s="160"/>
      <c r="M10" s="167">
        <v>0</v>
      </c>
      <c r="N10" s="167">
        <v>0</v>
      </c>
      <c r="O10" s="167">
        <v>16</v>
      </c>
      <c r="P10" s="164" t="s">
        <v>105</v>
      </c>
      <c r="Q10" s="160"/>
      <c r="R10" s="160"/>
      <c r="S10" s="160"/>
      <c r="T10" s="160"/>
      <c r="U10" s="160"/>
      <c r="V10" s="160"/>
      <c r="W10" s="160"/>
      <c r="X10" s="160"/>
      <c r="Y10" s="160"/>
      <c r="Z10" s="167" t="s">
        <v>234</v>
      </c>
      <c r="AA10" s="160"/>
      <c r="AB10" s="160"/>
      <c r="AC10" s="167" t="s">
        <v>222</v>
      </c>
      <c r="AD10" s="167" t="s">
        <v>251</v>
      </c>
      <c r="AE10" s="167" t="s">
        <v>252</v>
      </c>
      <c r="AF10" s="167" t="s">
        <v>240</v>
      </c>
      <c r="AG10" s="160"/>
      <c r="AH10" s="160"/>
      <c r="AI10" s="160"/>
      <c r="AJ10" s="160"/>
    </row>
    <row r="11" spans="1:36" x14ac:dyDescent="0.3">
      <c r="A11" s="162" t="s">
        <v>217</v>
      </c>
      <c r="B11" s="163">
        <v>46009</v>
      </c>
      <c r="C11" s="164" t="s">
        <v>54</v>
      </c>
      <c r="D11" s="165" t="s">
        <v>218</v>
      </c>
      <c r="E11" s="164" t="s">
        <v>1</v>
      </c>
      <c r="F11" s="164" t="s">
        <v>207</v>
      </c>
      <c r="G11" s="166">
        <v>0.375</v>
      </c>
      <c r="H11" s="167">
        <v>168</v>
      </c>
      <c r="I11" s="167">
        <v>63</v>
      </c>
      <c r="J11" s="167">
        <v>0</v>
      </c>
      <c r="K11" s="164" t="s">
        <v>208</v>
      </c>
      <c r="L11" s="160"/>
      <c r="M11" s="167">
        <v>0</v>
      </c>
      <c r="N11" s="167">
        <v>2</v>
      </c>
      <c r="O11" s="167">
        <v>23</v>
      </c>
      <c r="P11" s="164" t="s">
        <v>154</v>
      </c>
      <c r="Q11" s="160"/>
      <c r="R11" s="160"/>
      <c r="S11" s="160"/>
      <c r="T11" s="160"/>
      <c r="U11" s="160"/>
      <c r="V11" s="160"/>
      <c r="W11" s="160"/>
      <c r="X11" s="160"/>
      <c r="Y11" s="160"/>
      <c r="Z11" s="167" t="s">
        <v>219</v>
      </c>
      <c r="AA11" s="160"/>
      <c r="AB11" s="160"/>
      <c r="AC11" s="167" t="s">
        <v>253</v>
      </c>
      <c r="AD11" s="167" t="s">
        <v>236</v>
      </c>
      <c r="AE11" s="167" t="s">
        <v>142</v>
      </c>
      <c r="AF11" s="167" t="s">
        <v>254</v>
      </c>
      <c r="AG11" s="160"/>
      <c r="AH11" s="160"/>
      <c r="AI11" s="160"/>
      <c r="AJ11" s="160"/>
    </row>
    <row r="12" spans="1:36" x14ac:dyDescent="0.3">
      <c r="A12" s="162" t="s">
        <v>225</v>
      </c>
      <c r="B12" s="163">
        <v>46010</v>
      </c>
      <c r="C12" s="164" t="s">
        <v>54</v>
      </c>
      <c r="D12" s="165" t="s">
        <v>226</v>
      </c>
      <c r="E12" s="164" t="s">
        <v>1</v>
      </c>
      <c r="F12" s="164" t="s">
        <v>207</v>
      </c>
      <c r="G12" s="166">
        <v>0.27979999999999999</v>
      </c>
      <c r="H12" s="167">
        <v>168</v>
      </c>
      <c r="I12" s="167">
        <v>47</v>
      </c>
      <c r="J12" s="167">
        <v>0</v>
      </c>
      <c r="K12" s="164" t="s">
        <v>208</v>
      </c>
      <c r="L12" s="160"/>
      <c r="M12" s="167">
        <v>6</v>
      </c>
      <c r="N12" s="167">
        <v>0</v>
      </c>
      <c r="O12" s="167">
        <v>18</v>
      </c>
      <c r="P12" s="164" t="s">
        <v>105</v>
      </c>
      <c r="Q12" s="160"/>
      <c r="R12" s="160"/>
      <c r="S12" s="160"/>
      <c r="T12" s="160"/>
      <c r="U12" s="160"/>
      <c r="V12" s="160"/>
      <c r="W12" s="160"/>
      <c r="X12" s="160"/>
      <c r="Y12" s="160"/>
      <c r="Z12" s="167" t="s">
        <v>241</v>
      </c>
      <c r="AA12" s="167" t="s">
        <v>255</v>
      </c>
      <c r="AB12" s="167" t="s">
        <v>256</v>
      </c>
      <c r="AC12" s="160"/>
      <c r="AD12" s="167" t="s">
        <v>257</v>
      </c>
      <c r="AE12" s="167" t="s">
        <v>237</v>
      </c>
      <c r="AF12" s="167" t="s">
        <v>258</v>
      </c>
      <c r="AG12" s="160"/>
      <c r="AH12" s="160"/>
      <c r="AI12" s="160"/>
      <c r="AJ12" s="160"/>
    </row>
    <row r="13" spans="1:36" x14ac:dyDescent="0.3">
      <c r="A13" s="162" t="s">
        <v>233</v>
      </c>
      <c r="B13" s="163">
        <v>46011</v>
      </c>
      <c r="C13" s="164" t="s">
        <v>54</v>
      </c>
      <c r="D13" s="165" t="s">
        <v>218</v>
      </c>
      <c r="E13" s="164" t="s">
        <v>1</v>
      </c>
      <c r="F13" s="164" t="s">
        <v>207</v>
      </c>
      <c r="G13" s="166">
        <v>0.34549999999999997</v>
      </c>
      <c r="H13" s="167">
        <v>165</v>
      </c>
      <c r="I13" s="167">
        <v>57</v>
      </c>
      <c r="J13" s="167">
        <v>0</v>
      </c>
      <c r="K13" s="164" t="s">
        <v>208</v>
      </c>
      <c r="L13" s="160"/>
      <c r="M13" s="167">
        <v>8</v>
      </c>
      <c r="N13" s="167">
        <v>0</v>
      </c>
      <c r="O13" s="167">
        <v>28</v>
      </c>
      <c r="P13" s="164" t="s">
        <v>159</v>
      </c>
      <c r="Q13" s="160"/>
      <c r="R13" s="160"/>
      <c r="S13" s="160"/>
      <c r="T13" s="160"/>
      <c r="U13" s="160"/>
      <c r="V13" s="160"/>
      <c r="W13" s="160"/>
      <c r="X13" s="160"/>
      <c r="Y13" s="167" t="s">
        <v>209</v>
      </c>
      <c r="Z13" s="167" t="s">
        <v>241</v>
      </c>
      <c r="AA13" s="160"/>
      <c r="AB13" s="160"/>
      <c r="AC13" s="167" t="s">
        <v>259</v>
      </c>
      <c r="AD13" s="167" t="s">
        <v>251</v>
      </c>
      <c r="AE13" s="167" t="s">
        <v>252</v>
      </c>
      <c r="AF13" s="167" t="s">
        <v>243</v>
      </c>
      <c r="AG13" s="160"/>
      <c r="AH13" s="160"/>
      <c r="AI13" s="160"/>
      <c r="AJ13" s="160"/>
    </row>
    <row r="14" spans="1:36" x14ac:dyDescent="0.3">
      <c r="A14" s="162" t="s">
        <v>205</v>
      </c>
      <c r="B14" s="163">
        <v>46014</v>
      </c>
      <c r="C14" s="164" t="s">
        <v>54</v>
      </c>
      <c r="D14" s="165" t="s">
        <v>206</v>
      </c>
      <c r="E14" s="164" t="s">
        <v>1</v>
      </c>
      <c r="F14" s="164" t="s">
        <v>207</v>
      </c>
      <c r="G14" s="166">
        <v>0.1726</v>
      </c>
      <c r="H14" s="167">
        <v>168</v>
      </c>
      <c r="I14" s="167">
        <v>29</v>
      </c>
      <c r="J14" s="167">
        <v>0</v>
      </c>
      <c r="K14" s="164" t="s">
        <v>208</v>
      </c>
      <c r="L14" s="160"/>
      <c r="M14" s="167">
        <v>0</v>
      </c>
      <c r="N14" s="167">
        <v>0</v>
      </c>
      <c r="O14" s="167">
        <v>17</v>
      </c>
      <c r="P14" s="164" t="s">
        <v>105</v>
      </c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7" t="s">
        <v>235</v>
      </c>
      <c r="AD14" s="167" t="s">
        <v>260</v>
      </c>
      <c r="AE14" s="167" t="s">
        <v>252</v>
      </c>
      <c r="AF14" s="167" t="s">
        <v>238</v>
      </c>
      <c r="AG14" s="160"/>
      <c r="AH14" s="160"/>
      <c r="AI14" s="160"/>
      <c r="AJ14" s="160"/>
    </row>
    <row r="15" spans="1:36" x14ac:dyDescent="0.3">
      <c r="A15" s="162" t="s">
        <v>217</v>
      </c>
      <c r="B15" s="163">
        <v>46016</v>
      </c>
      <c r="C15" s="164" t="s">
        <v>54</v>
      </c>
      <c r="D15" s="165" t="s">
        <v>218</v>
      </c>
      <c r="E15" s="164" t="s">
        <v>1</v>
      </c>
      <c r="F15" s="164" t="s">
        <v>207</v>
      </c>
      <c r="G15" s="166">
        <v>0.28570000000000001</v>
      </c>
      <c r="H15" s="167">
        <v>168</v>
      </c>
      <c r="I15" s="167">
        <v>48</v>
      </c>
      <c r="J15" s="167">
        <v>0</v>
      </c>
      <c r="K15" s="164" t="s">
        <v>208</v>
      </c>
      <c r="L15" s="160"/>
      <c r="M15" s="167">
        <v>5</v>
      </c>
      <c r="N15" s="167">
        <v>0</v>
      </c>
      <c r="O15" s="167">
        <v>9</v>
      </c>
      <c r="P15" s="164" t="s">
        <v>105</v>
      </c>
      <c r="Q15" s="160"/>
      <c r="R15" s="160"/>
      <c r="S15" s="160"/>
      <c r="T15" s="160"/>
      <c r="U15" s="160"/>
      <c r="V15" s="160"/>
      <c r="W15" s="160"/>
      <c r="X15" s="160"/>
      <c r="Y15" s="160"/>
      <c r="Z15" s="167" t="s">
        <v>241</v>
      </c>
      <c r="AA15" s="160"/>
      <c r="AB15" s="160"/>
      <c r="AC15" s="167" t="s">
        <v>261</v>
      </c>
      <c r="AD15" s="167" t="s">
        <v>246</v>
      </c>
      <c r="AE15" s="167" t="s">
        <v>215</v>
      </c>
      <c r="AF15" s="167" t="s">
        <v>262</v>
      </c>
      <c r="AG15" s="160"/>
      <c r="AH15" s="160"/>
      <c r="AI15" s="160"/>
      <c r="AJ15" s="160"/>
    </row>
    <row r="16" spans="1:36" x14ac:dyDescent="0.3">
      <c r="A16" s="162" t="s">
        <v>225</v>
      </c>
      <c r="B16" s="163">
        <v>46017</v>
      </c>
      <c r="C16" s="164" t="s">
        <v>54</v>
      </c>
      <c r="D16" s="165" t="s">
        <v>226</v>
      </c>
      <c r="E16" s="164" t="s">
        <v>1</v>
      </c>
      <c r="F16" s="164" t="s">
        <v>207</v>
      </c>
      <c r="G16" s="166">
        <v>0.3155</v>
      </c>
      <c r="H16" s="167">
        <v>168</v>
      </c>
      <c r="I16" s="167">
        <v>53</v>
      </c>
      <c r="J16" s="167">
        <v>0</v>
      </c>
      <c r="K16" s="164" t="s">
        <v>208</v>
      </c>
      <c r="L16" s="160"/>
      <c r="M16" s="167">
        <v>1</v>
      </c>
      <c r="N16" s="167">
        <v>0</v>
      </c>
      <c r="O16" s="167">
        <v>20</v>
      </c>
      <c r="P16" s="164" t="s">
        <v>105</v>
      </c>
      <c r="Q16" s="160"/>
      <c r="R16" s="160"/>
      <c r="S16" s="160"/>
      <c r="T16" s="160"/>
      <c r="U16" s="160"/>
      <c r="V16" s="160"/>
      <c r="W16" s="160"/>
      <c r="X16" s="160"/>
      <c r="Y16" s="160"/>
      <c r="Z16" s="167" t="s">
        <v>241</v>
      </c>
      <c r="AA16" s="167" t="s">
        <v>248</v>
      </c>
      <c r="AB16" s="160"/>
      <c r="AC16" s="167" t="s">
        <v>229</v>
      </c>
      <c r="AD16" s="167" t="s">
        <v>257</v>
      </c>
      <c r="AE16" s="167" t="s">
        <v>215</v>
      </c>
      <c r="AF16" s="167" t="s">
        <v>263</v>
      </c>
      <c r="AG16" s="160"/>
      <c r="AH16" s="160"/>
      <c r="AI16" s="160"/>
      <c r="AJ16" s="160"/>
    </row>
    <row r="17" spans="1:36" x14ac:dyDescent="0.3">
      <c r="A17" s="162" t="s">
        <v>233</v>
      </c>
      <c r="B17" s="163">
        <v>46018</v>
      </c>
      <c r="C17" s="164" t="s">
        <v>54</v>
      </c>
      <c r="D17" s="165" t="s">
        <v>218</v>
      </c>
      <c r="E17" s="164" t="s">
        <v>1</v>
      </c>
      <c r="F17" s="164" t="s">
        <v>207</v>
      </c>
      <c r="G17" s="166">
        <v>0.25</v>
      </c>
      <c r="H17" s="167">
        <v>168</v>
      </c>
      <c r="I17" s="167">
        <v>42</v>
      </c>
      <c r="J17" s="167">
        <v>0</v>
      </c>
      <c r="K17" s="164" t="s">
        <v>208</v>
      </c>
      <c r="L17" s="160"/>
      <c r="M17" s="167">
        <v>0</v>
      </c>
      <c r="N17" s="167">
        <v>0</v>
      </c>
      <c r="O17" s="167">
        <v>28</v>
      </c>
      <c r="P17" s="164" t="s">
        <v>105</v>
      </c>
      <c r="Q17" s="160"/>
      <c r="R17" s="160"/>
      <c r="S17" s="160"/>
      <c r="T17" s="160"/>
      <c r="U17" s="160"/>
      <c r="V17" s="160"/>
      <c r="W17" s="160"/>
      <c r="X17" s="160"/>
      <c r="Y17" s="160"/>
      <c r="Z17" s="167" t="s">
        <v>241</v>
      </c>
      <c r="AA17" s="160"/>
      <c r="AB17" s="160"/>
      <c r="AC17" s="167" t="s">
        <v>261</v>
      </c>
      <c r="AD17" s="167" t="s">
        <v>264</v>
      </c>
      <c r="AE17" s="167" t="s">
        <v>265</v>
      </c>
      <c r="AF17" s="167" t="s">
        <v>266</v>
      </c>
      <c r="AG17" s="160"/>
      <c r="AH17" s="160"/>
      <c r="AI17" s="160"/>
      <c r="AJ17" s="160"/>
    </row>
    <row r="18" spans="1:36" x14ac:dyDescent="0.3">
      <c r="A18" s="162" t="s">
        <v>205</v>
      </c>
      <c r="B18" s="163">
        <v>46021</v>
      </c>
      <c r="C18" s="164" t="s">
        <v>54</v>
      </c>
      <c r="D18" s="165" t="s">
        <v>206</v>
      </c>
      <c r="E18" s="164" t="s">
        <v>1</v>
      </c>
      <c r="F18" s="164" t="s">
        <v>207</v>
      </c>
      <c r="G18" s="166">
        <v>0.23810000000000001</v>
      </c>
      <c r="H18" s="167">
        <v>168</v>
      </c>
      <c r="I18" s="167">
        <v>40</v>
      </c>
      <c r="J18" s="167">
        <v>0</v>
      </c>
      <c r="K18" s="164" t="s">
        <v>208</v>
      </c>
      <c r="L18" s="160"/>
      <c r="M18" s="167">
        <v>2</v>
      </c>
      <c r="N18" s="167">
        <v>0</v>
      </c>
      <c r="O18" s="167">
        <v>9</v>
      </c>
      <c r="P18" s="164" t="s">
        <v>105</v>
      </c>
      <c r="Q18" s="160"/>
      <c r="R18" s="160"/>
      <c r="S18" s="160"/>
      <c r="T18" s="160"/>
      <c r="U18" s="160"/>
      <c r="V18" s="160"/>
      <c r="W18" s="160"/>
      <c r="X18" s="160"/>
      <c r="Y18" s="160"/>
      <c r="Z18" s="167" t="s">
        <v>219</v>
      </c>
      <c r="AA18" s="160"/>
      <c r="AB18" s="160"/>
      <c r="AC18" s="160"/>
      <c r="AD18" s="160"/>
      <c r="AE18" s="167" t="s">
        <v>265</v>
      </c>
      <c r="AF18" s="167" t="s">
        <v>250</v>
      </c>
      <c r="AG18" s="160"/>
      <c r="AH18" s="160"/>
      <c r="AI18" s="160"/>
      <c r="AJ18" s="160"/>
    </row>
    <row r="19" spans="1:36" ht="21" x14ac:dyDescent="0.3">
      <c r="A19" s="168" t="s">
        <v>372</v>
      </c>
      <c r="B19" s="169"/>
      <c r="C19" s="168">
        <f>SUBTOTAL(103,DMM_CAI_LF_LEGACY[Flt])</f>
        <v>17</v>
      </c>
      <c r="D19" s="168"/>
      <c r="E19" s="168">
        <f>SUBTOTAL(103,DMM_CAI_LF_LEGACY[Brd-Off])</f>
        <v>17</v>
      </c>
      <c r="F19" s="168"/>
      <c r="G19" s="170">
        <f>SUBTOTAL(101,DMM_CAI_LF_LEGACY[LF%])</f>
        <v>0.33930588235294118</v>
      </c>
      <c r="H19" s="171">
        <f>SUBTOTAL(109,DMM_CAI_LF_LEGACY[CAP])</f>
        <v>2853</v>
      </c>
      <c r="I19" s="171">
        <f>SUBTOTAL(109,DMM_CAI_LF_LEGACY[BKG(Y)])</f>
        <v>968</v>
      </c>
      <c r="J19" s="171">
        <f>SUBTOTAL(109,DMM_CAI_LF_LEGACY[GRP(Y)])</f>
        <v>0</v>
      </c>
      <c r="K19" s="168"/>
      <c r="L19" s="169"/>
      <c r="M19" s="171">
        <f>SUBTOTAL(109,DMM_CAI_LF_LEGACY[TO-DAY])</f>
        <v>71</v>
      </c>
      <c r="N19" s="171">
        <f>SUBTOTAL(109,DMM_CAI_LF_LEGACY[Y-DAY])</f>
        <v>7</v>
      </c>
      <c r="O19" s="171">
        <f>SUBTOTAL(109,DMM_CAI_LF_LEGACY[WEEKLY])</f>
        <v>420</v>
      </c>
      <c r="P19" s="172"/>
      <c r="Q19" s="171">
        <f>SUBTOTAL(109,DMM_CAI_LF_LEGACY[Y])</f>
        <v>0</v>
      </c>
      <c r="R19" s="171">
        <f>SUBTOTAL(109,DMM_CAI_LF_LEGACY[B])</f>
        <v>0</v>
      </c>
      <c r="S19" s="171">
        <f>SUBTOTAL(109,DMM_CAI_LF_LEGACY[M])</f>
        <v>0</v>
      </c>
      <c r="T19" s="171">
        <f>SUBTOTAL(109,DMM_CAI_LF_LEGACY[H])</f>
        <v>0</v>
      </c>
      <c r="U19" s="171">
        <f>SUBTOTAL(109,DMM_CAI_LF_LEGACY[Q])</f>
        <v>0</v>
      </c>
      <c r="V19" s="171">
        <f>SUBTOTAL(109,DMM_CAI_LF_LEGACY[K])</f>
        <v>0</v>
      </c>
      <c r="W19" s="171">
        <f>SUBTOTAL(109,DMM_CAI_LF_LEGACY[V])</f>
        <v>0</v>
      </c>
      <c r="X19" s="171">
        <f>SUBTOTAL(109,DMM_CAI_LF_LEGACY[L])</f>
        <v>0</v>
      </c>
      <c r="Y19" s="171">
        <f>SUBTOTAL(109,DMM_CAI_LF_LEGACY[G])</f>
        <v>0</v>
      </c>
      <c r="Z19" s="171">
        <f>SUBTOTAL(109,DMM_CAI_LF_LEGACY[S])</f>
        <v>0</v>
      </c>
      <c r="AA19" s="171">
        <f>SUBTOTAL(109,DMM_CAI_LF_LEGACY[W])</f>
        <v>0</v>
      </c>
      <c r="AB19" s="171">
        <f>SUBTOTAL(109,DMM_CAI_LF_LEGACY[T])</f>
        <v>0</v>
      </c>
      <c r="AC19" s="171">
        <f>SUBTOTAL(109,DMM_CAI_LF_LEGACY[X])</f>
        <v>0</v>
      </c>
      <c r="AD19" s="171">
        <f>SUBTOTAL(109,DMM_CAI_LF_LEGACY[U])</f>
        <v>0</v>
      </c>
      <c r="AE19" s="171">
        <f>SUBTOTAL(109,DMM_CAI_LF_LEGACY[O])</f>
        <v>0</v>
      </c>
      <c r="AF19" s="171">
        <f>SUBTOTAL(109,DMM_CAI_LF_LEGACY[I])</f>
        <v>0</v>
      </c>
      <c r="AG19" s="171">
        <f>SUBTOTAL(109,DMM_CAI_LF_LEGACY[E])</f>
        <v>0</v>
      </c>
      <c r="AH19" s="171">
        <f>SUBTOTAL(109,DMM_CAI_LF_LEGACY[A])</f>
        <v>0</v>
      </c>
      <c r="AI19" s="171">
        <f>SUBTOTAL(109,DMM_CAI_LF_LEGACY[P])</f>
        <v>0</v>
      </c>
      <c r="AJ19" s="171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7.6640625" hidden="1" customWidth="1"/>
  </cols>
  <sheetData>
    <row r="1" spans="1:9" ht="18" x14ac:dyDescent="0.3">
      <c r="A1" s="56" t="s">
        <v>267</v>
      </c>
      <c r="B1" s="57" t="s">
        <v>8</v>
      </c>
      <c r="C1" s="57" t="s">
        <v>9</v>
      </c>
      <c r="D1" s="57" t="s">
        <v>268</v>
      </c>
      <c r="E1" s="57" t="s">
        <v>10</v>
      </c>
      <c r="F1" s="57" t="s">
        <v>11</v>
      </c>
      <c r="G1" s="57" t="s">
        <v>12</v>
      </c>
      <c r="H1" s="58" t="s">
        <v>13</v>
      </c>
      <c r="I1" s="88"/>
    </row>
    <row r="2" spans="1:9" ht="19.8" customHeight="1" x14ac:dyDescent="0.3">
      <c r="A2" s="59" t="s">
        <v>269</v>
      </c>
      <c r="B2" s="60" t="s">
        <v>26</v>
      </c>
      <c r="C2" s="61" t="s">
        <v>27</v>
      </c>
      <c r="D2" s="60" t="s">
        <v>1</v>
      </c>
      <c r="E2" s="60" t="s">
        <v>270</v>
      </c>
      <c r="F2" s="60" t="s">
        <v>28</v>
      </c>
      <c r="G2" s="62">
        <v>9</v>
      </c>
      <c r="H2" s="147">
        <v>379</v>
      </c>
      <c r="I2" s="88"/>
    </row>
    <row r="3" spans="1:9" ht="19.8" customHeight="1" x14ac:dyDescent="0.3">
      <c r="A3" s="63" t="s">
        <v>271</v>
      </c>
      <c r="B3" s="64" t="s">
        <v>31</v>
      </c>
      <c r="C3" s="65" t="s">
        <v>32</v>
      </c>
      <c r="D3" s="64" t="s">
        <v>1</v>
      </c>
      <c r="E3" s="64" t="s">
        <v>272</v>
      </c>
      <c r="F3" s="64" t="s">
        <v>33</v>
      </c>
      <c r="G3" s="66">
        <v>6</v>
      </c>
      <c r="H3" s="148">
        <v>339</v>
      </c>
      <c r="I3" s="88"/>
    </row>
    <row r="4" spans="1:9" ht="19.8" customHeight="1" x14ac:dyDescent="0.3">
      <c r="A4" s="63" t="s">
        <v>271</v>
      </c>
      <c r="B4" s="64" t="s">
        <v>40</v>
      </c>
      <c r="C4" s="65" t="s">
        <v>41</v>
      </c>
      <c r="D4" s="64" t="s">
        <v>1</v>
      </c>
      <c r="E4" s="64" t="s">
        <v>273</v>
      </c>
      <c r="F4" s="64" t="s">
        <v>42</v>
      </c>
      <c r="G4" s="66">
        <v>7</v>
      </c>
      <c r="H4" s="148">
        <v>349</v>
      </c>
      <c r="I4" s="88"/>
    </row>
    <row r="5" spans="1:9" ht="19.8" customHeight="1" x14ac:dyDescent="0.3">
      <c r="A5" s="67" t="s">
        <v>271</v>
      </c>
      <c r="B5" s="68" t="s">
        <v>51</v>
      </c>
      <c r="C5" s="69" t="s">
        <v>52</v>
      </c>
      <c r="D5" s="68" t="s">
        <v>1</v>
      </c>
      <c r="E5" s="68" t="s">
        <v>206</v>
      </c>
      <c r="F5" s="68" t="s">
        <v>28</v>
      </c>
      <c r="G5" s="70">
        <v>1</v>
      </c>
      <c r="H5" s="149">
        <v>379</v>
      </c>
      <c r="I5" s="88"/>
    </row>
    <row r="6" spans="1:9" ht="19.8" customHeight="1" x14ac:dyDescent="0.3">
      <c r="A6" s="150">
        <v>45993</v>
      </c>
      <c r="B6" s="64" t="s">
        <v>26</v>
      </c>
      <c r="C6" s="65" t="s">
        <v>57</v>
      </c>
      <c r="D6" s="64" t="s">
        <v>1</v>
      </c>
      <c r="E6" s="151">
        <v>1.958333333333333</v>
      </c>
      <c r="F6" s="64" t="s">
        <v>28</v>
      </c>
      <c r="G6" s="66">
        <v>9</v>
      </c>
      <c r="H6" s="148">
        <v>379</v>
      </c>
      <c r="I6" s="88"/>
    </row>
    <row r="7" spans="1:9" ht="19.8" customHeight="1" x14ac:dyDescent="0.3">
      <c r="A7" s="150">
        <v>45993</v>
      </c>
      <c r="B7" s="64" t="s">
        <v>58</v>
      </c>
      <c r="C7" s="65" t="s">
        <v>59</v>
      </c>
      <c r="D7" s="64" t="s">
        <v>1</v>
      </c>
      <c r="E7" s="151">
        <v>1.1701388888888891</v>
      </c>
      <c r="F7" s="64" t="s">
        <v>60</v>
      </c>
      <c r="G7" s="66">
        <v>5</v>
      </c>
      <c r="H7" s="148">
        <v>411</v>
      </c>
      <c r="I7" s="88"/>
    </row>
    <row r="8" spans="1:9" ht="19.8" customHeight="1" x14ac:dyDescent="0.3">
      <c r="A8" s="150">
        <v>45993</v>
      </c>
      <c r="B8" s="64" t="s">
        <v>40</v>
      </c>
      <c r="C8" s="65" t="s">
        <v>48</v>
      </c>
      <c r="D8" s="64" t="s">
        <v>1</v>
      </c>
      <c r="E8" s="151">
        <v>1.833333333333333</v>
      </c>
      <c r="F8" s="64" t="s">
        <v>42</v>
      </c>
      <c r="G8" s="66">
        <v>6</v>
      </c>
      <c r="H8" s="148">
        <v>439</v>
      </c>
      <c r="I8" s="88"/>
    </row>
    <row r="9" spans="1:9" ht="19.8" customHeight="1" x14ac:dyDescent="0.3">
      <c r="A9" s="150">
        <v>45993</v>
      </c>
      <c r="B9" s="64" t="s">
        <v>40</v>
      </c>
      <c r="C9" s="65" t="s">
        <v>41</v>
      </c>
      <c r="D9" s="64" t="s">
        <v>1</v>
      </c>
      <c r="E9" s="151">
        <v>1.197916666666667</v>
      </c>
      <c r="F9" s="64" t="s">
        <v>45</v>
      </c>
      <c r="G9" s="66">
        <v>7</v>
      </c>
      <c r="H9" s="148">
        <v>449</v>
      </c>
      <c r="I9" s="88"/>
    </row>
    <row r="10" spans="1:9" ht="19.8" customHeight="1" x14ac:dyDescent="0.3">
      <c r="A10" s="150">
        <v>45993</v>
      </c>
      <c r="B10" s="64" t="s">
        <v>31</v>
      </c>
      <c r="C10" s="65" t="s">
        <v>32</v>
      </c>
      <c r="D10" s="64" t="s">
        <v>1</v>
      </c>
      <c r="E10" s="151">
        <v>1.305555555555556</v>
      </c>
      <c r="F10" s="64" t="s">
        <v>36</v>
      </c>
      <c r="G10" s="66">
        <v>6</v>
      </c>
      <c r="H10" s="148">
        <v>517</v>
      </c>
      <c r="I10" s="88"/>
    </row>
    <row r="11" spans="1:9" ht="19.8" customHeight="1" x14ac:dyDescent="0.3">
      <c r="A11" s="150">
        <v>45993</v>
      </c>
      <c r="B11" s="64" t="s">
        <v>40</v>
      </c>
      <c r="C11" s="65" t="s">
        <v>48</v>
      </c>
      <c r="D11" s="64" t="s">
        <v>1</v>
      </c>
      <c r="E11" s="151">
        <v>1.833333333333333</v>
      </c>
      <c r="F11" s="64" t="s">
        <v>45</v>
      </c>
      <c r="G11" s="66">
        <v>6</v>
      </c>
      <c r="H11" s="148">
        <v>539</v>
      </c>
      <c r="I11" s="88"/>
    </row>
    <row r="12" spans="1:9" ht="19.8" customHeight="1" x14ac:dyDescent="0.3">
      <c r="A12" s="150">
        <v>45993</v>
      </c>
      <c r="B12" s="64" t="s">
        <v>40</v>
      </c>
      <c r="C12" s="65" t="s">
        <v>41</v>
      </c>
      <c r="D12" s="64" t="s">
        <v>1</v>
      </c>
      <c r="E12" s="151">
        <v>1.197916666666667</v>
      </c>
      <c r="F12" s="64" t="s">
        <v>38</v>
      </c>
      <c r="G12" s="66">
        <v>7</v>
      </c>
      <c r="H12" s="148">
        <v>539</v>
      </c>
      <c r="I12" s="88"/>
    </row>
    <row r="13" spans="1:9" ht="19.8" customHeight="1" x14ac:dyDescent="0.3">
      <c r="A13" s="150">
        <v>45993</v>
      </c>
      <c r="B13" s="64" t="s">
        <v>40</v>
      </c>
      <c r="C13" s="65" t="s">
        <v>48</v>
      </c>
      <c r="D13" s="64" t="s">
        <v>1</v>
      </c>
      <c r="E13" s="151">
        <v>1.833333333333333</v>
      </c>
      <c r="F13" s="64" t="s">
        <v>38</v>
      </c>
      <c r="G13" s="66">
        <v>6</v>
      </c>
      <c r="H13" s="148">
        <v>629</v>
      </c>
      <c r="I13" s="88"/>
    </row>
    <row r="14" spans="1:9" ht="19.8" customHeight="1" x14ac:dyDescent="0.3">
      <c r="A14" s="150">
        <v>45993</v>
      </c>
      <c r="B14" s="64" t="s">
        <v>58</v>
      </c>
      <c r="C14" s="65" t="s">
        <v>63</v>
      </c>
      <c r="D14" s="64" t="s">
        <v>1</v>
      </c>
      <c r="E14" s="151">
        <v>1.864583333333333</v>
      </c>
      <c r="F14" s="64" t="s">
        <v>64</v>
      </c>
      <c r="G14" s="66">
        <v>9</v>
      </c>
      <c r="H14" s="148">
        <v>697</v>
      </c>
      <c r="I14" s="88"/>
    </row>
    <row r="15" spans="1:9" ht="19.8" customHeight="1" x14ac:dyDescent="0.3">
      <c r="A15" s="150">
        <v>45993</v>
      </c>
      <c r="B15" s="64" t="s">
        <v>58</v>
      </c>
      <c r="C15" s="65" t="s">
        <v>66</v>
      </c>
      <c r="D15" s="64" t="s">
        <v>1</v>
      </c>
      <c r="E15" s="151">
        <v>1.5277777777777779</v>
      </c>
      <c r="F15" s="64" t="s">
        <v>64</v>
      </c>
      <c r="G15" s="66">
        <v>9</v>
      </c>
      <c r="H15" s="148">
        <v>757</v>
      </c>
      <c r="I15" s="88"/>
    </row>
    <row r="16" spans="1:9" ht="19.8" customHeight="1" x14ac:dyDescent="0.3">
      <c r="A16" s="150">
        <v>45993</v>
      </c>
      <c r="B16" s="64" t="s">
        <v>68</v>
      </c>
      <c r="C16" s="65" t="s">
        <v>69</v>
      </c>
      <c r="D16" s="64" t="s">
        <v>1</v>
      </c>
      <c r="E16" s="151">
        <v>1.305555555555556</v>
      </c>
      <c r="F16" s="64" t="s">
        <v>70</v>
      </c>
      <c r="G16" s="66">
        <v>4</v>
      </c>
      <c r="H16" s="71" t="s">
        <v>72</v>
      </c>
      <c r="I16" s="88"/>
    </row>
    <row r="17" spans="1:9" ht="19.8" customHeight="1" x14ac:dyDescent="0.3">
      <c r="A17" s="152">
        <v>45993</v>
      </c>
      <c r="B17" s="60" t="s">
        <v>31</v>
      </c>
      <c r="C17" s="61" t="s">
        <v>32</v>
      </c>
      <c r="D17" s="60" t="s">
        <v>1</v>
      </c>
      <c r="E17" s="153">
        <v>1.305555555555556</v>
      </c>
      <c r="F17" s="60" t="s">
        <v>38</v>
      </c>
      <c r="G17" s="62">
        <v>6</v>
      </c>
      <c r="H17" s="72" t="s">
        <v>39</v>
      </c>
      <c r="I17" s="88"/>
    </row>
    <row r="18" spans="1:9" ht="19.8" customHeight="1" x14ac:dyDescent="0.3">
      <c r="A18" s="150">
        <v>45994</v>
      </c>
      <c r="B18" s="64" t="s">
        <v>73</v>
      </c>
      <c r="C18" s="65" t="s">
        <v>74</v>
      </c>
      <c r="D18" s="64" t="s">
        <v>1</v>
      </c>
      <c r="E18" s="151">
        <v>1.0902777777777779</v>
      </c>
      <c r="F18" s="64" t="s">
        <v>28</v>
      </c>
      <c r="G18" s="66">
        <v>9</v>
      </c>
      <c r="H18" s="148">
        <v>371</v>
      </c>
      <c r="I18" s="88"/>
    </row>
    <row r="19" spans="1:9" ht="19.8" customHeight="1" x14ac:dyDescent="0.3">
      <c r="A19" s="150">
        <v>45994</v>
      </c>
      <c r="B19" s="64" t="s">
        <v>76</v>
      </c>
      <c r="C19" s="65" t="s">
        <v>77</v>
      </c>
      <c r="D19" s="64" t="s">
        <v>1</v>
      </c>
      <c r="E19" s="151">
        <v>1.9722222222222221</v>
      </c>
      <c r="F19" s="64" t="s">
        <v>78</v>
      </c>
      <c r="G19" s="66">
        <v>9</v>
      </c>
      <c r="H19" s="148">
        <v>378</v>
      </c>
      <c r="I19" s="88"/>
    </row>
    <row r="20" spans="1:9" ht="19.8" customHeight="1" x14ac:dyDescent="0.3">
      <c r="A20" s="150">
        <v>45994</v>
      </c>
      <c r="B20" s="64" t="s">
        <v>26</v>
      </c>
      <c r="C20" s="65" t="s">
        <v>27</v>
      </c>
      <c r="D20" s="64" t="s">
        <v>1</v>
      </c>
      <c r="E20" s="151">
        <v>1.895833333333333</v>
      </c>
      <c r="F20" s="64" t="s">
        <v>28</v>
      </c>
      <c r="G20" s="66">
        <v>6</v>
      </c>
      <c r="H20" s="148">
        <v>379</v>
      </c>
      <c r="I20" s="88"/>
    </row>
    <row r="21" spans="1:9" ht="19.8" customHeight="1" x14ac:dyDescent="0.3">
      <c r="A21" s="150">
        <v>45994</v>
      </c>
      <c r="B21" s="64" t="s">
        <v>31</v>
      </c>
      <c r="C21" s="65" t="s">
        <v>32</v>
      </c>
      <c r="D21" s="64" t="s">
        <v>1</v>
      </c>
      <c r="E21" s="151">
        <v>1.305555555555556</v>
      </c>
      <c r="F21" s="64" t="s">
        <v>33</v>
      </c>
      <c r="G21" s="66">
        <v>10</v>
      </c>
      <c r="H21" s="148">
        <v>399</v>
      </c>
      <c r="I21" s="88"/>
    </row>
    <row r="22" spans="1:9" ht="19.8" customHeight="1" x14ac:dyDescent="0.3">
      <c r="A22" s="150">
        <v>45994</v>
      </c>
      <c r="B22" s="64" t="s">
        <v>58</v>
      </c>
      <c r="C22" s="65" t="s">
        <v>59</v>
      </c>
      <c r="D22" s="64" t="s">
        <v>1</v>
      </c>
      <c r="E22" s="151">
        <v>1.1701388888888891</v>
      </c>
      <c r="F22" s="64" t="s">
        <v>60</v>
      </c>
      <c r="G22" s="66">
        <v>5</v>
      </c>
      <c r="H22" s="148">
        <v>411</v>
      </c>
      <c r="I22" s="88"/>
    </row>
    <row r="23" spans="1:9" ht="19.8" customHeight="1" x14ac:dyDescent="0.3">
      <c r="A23" s="150">
        <v>45994</v>
      </c>
      <c r="B23" s="64" t="s">
        <v>40</v>
      </c>
      <c r="C23" s="65" t="s">
        <v>48</v>
      </c>
      <c r="D23" s="64" t="s">
        <v>1</v>
      </c>
      <c r="E23" s="151">
        <v>1.833333333333333</v>
      </c>
      <c r="F23" s="64" t="s">
        <v>42</v>
      </c>
      <c r="G23" s="66">
        <v>2</v>
      </c>
      <c r="H23" s="148">
        <v>479</v>
      </c>
      <c r="I23" s="88"/>
    </row>
    <row r="24" spans="1:9" ht="19.8" customHeight="1" x14ac:dyDescent="0.3">
      <c r="A24" s="150">
        <v>45994</v>
      </c>
      <c r="B24" s="64" t="s">
        <v>76</v>
      </c>
      <c r="C24" s="65" t="s">
        <v>77</v>
      </c>
      <c r="D24" s="64" t="s">
        <v>1</v>
      </c>
      <c r="E24" s="151">
        <v>1.9722222222222221</v>
      </c>
      <c r="F24" s="64" t="s">
        <v>81</v>
      </c>
      <c r="G24" s="66">
        <v>9</v>
      </c>
      <c r="H24" s="148">
        <v>502</v>
      </c>
      <c r="I24" s="88"/>
    </row>
    <row r="25" spans="1:9" ht="19.8" customHeight="1" x14ac:dyDescent="0.3">
      <c r="A25" s="150">
        <v>45994</v>
      </c>
      <c r="B25" s="64" t="s">
        <v>31</v>
      </c>
      <c r="C25" s="65" t="s">
        <v>32</v>
      </c>
      <c r="D25" s="64" t="s">
        <v>1</v>
      </c>
      <c r="E25" s="151">
        <v>1.305555555555556</v>
      </c>
      <c r="F25" s="64" t="s">
        <v>36</v>
      </c>
      <c r="G25" s="66">
        <v>10</v>
      </c>
      <c r="H25" s="148">
        <v>577</v>
      </c>
      <c r="I25" s="88"/>
    </row>
    <row r="26" spans="1:9" ht="19.8" customHeight="1" x14ac:dyDescent="0.3">
      <c r="A26" s="150">
        <v>45994</v>
      </c>
      <c r="B26" s="64" t="s">
        <v>40</v>
      </c>
      <c r="C26" s="65" t="s">
        <v>48</v>
      </c>
      <c r="D26" s="64" t="s">
        <v>1</v>
      </c>
      <c r="E26" s="151">
        <v>1.833333333333333</v>
      </c>
      <c r="F26" s="64" t="s">
        <v>45</v>
      </c>
      <c r="G26" s="66">
        <v>2</v>
      </c>
      <c r="H26" s="148">
        <v>579</v>
      </c>
      <c r="I26" s="88"/>
    </row>
    <row r="27" spans="1:9" ht="19.8" customHeight="1" x14ac:dyDescent="0.3">
      <c r="A27" s="150">
        <v>45994</v>
      </c>
      <c r="B27" s="64" t="s">
        <v>40</v>
      </c>
      <c r="C27" s="65" t="s">
        <v>48</v>
      </c>
      <c r="D27" s="64" t="s">
        <v>1</v>
      </c>
      <c r="E27" s="151">
        <v>1.833333333333333</v>
      </c>
      <c r="F27" s="64" t="s">
        <v>38</v>
      </c>
      <c r="G27" s="66">
        <v>2</v>
      </c>
      <c r="H27" s="148">
        <v>669</v>
      </c>
      <c r="I27" s="88"/>
    </row>
    <row r="28" spans="1:9" ht="19.8" customHeight="1" x14ac:dyDescent="0.3">
      <c r="A28" s="150">
        <v>45994</v>
      </c>
      <c r="B28" s="64" t="s">
        <v>58</v>
      </c>
      <c r="C28" s="65" t="s">
        <v>66</v>
      </c>
      <c r="D28" s="64" t="s">
        <v>1</v>
      </c>
      <c r="E28" s="151">
        <v>1.5277777777777779</v>
      </c>
      <c r="F28" s="64" t="s">
        <v>64</v>
      </c>
      <c r="G28" s="66">
        <v>9</v>
      </c>
      <c r="H28" s="148">
        <v>817</v>
      </c>
      <c r="I28" s="88"/>
    </row>
    <row r="29" spans="1:9" ht="19.8" customHeight="1" x14ac:dyDescent="0.3">
      <c r="A29" s="150">
        <v>45994</v>
      </c>
      <c r="B29" s="64" t="s">
        <v>31</v>
      </c>
      <c r="C29" s="65" t="s">
        <v>32</v>
      </c>
      <c r="D29" s="64" t="s">
        <v>1</v>
      </c>
      <c r="E29" s="151">
        <v>1.305555555555556</v>
      </c>
      <c r="F29" s="64" t="s">
        <v>38</v>
      </c>
      <c r="G29" s="66">
        <v>10</v>
      </c>
      <c r="H29" s="148">
        <v>899</v>
      </c>
      <c r="I29" s="88"/>
    </row>
    <row r="30" spans="1:9" ht="19.8" customHeight="1" x14ac:dyDescent="0.3">
      <c r="A30" s="150">
        <v>45994</v>
      </c>
      <c r="B30" s="64" t="s">
        <v>68</v>
      </c>
      <c r="C30" s="65" t="s">
        <v>69</v>
      </c>
      <c r="D30" s="64" t="s">
        <v>1</v>
      </c>
      <c r="E30" s="151">
        <v>1.305555555555556</v>
      </c>
      <c r="F30" s="64" t="s">
        <v>70</v>
      </c>
      <c r="G30" s="66">
        <v>4</v>
      </c>
      <c r="H30" s="71" t="s">
        <v>93</v>
      </c>
      <c r="I30" s="88"/>
    </row>
    <row r="31" spans="1:9" ht="19.8" customHeight="1" x14ac:dyDescent="0.3">
      <c r="A31" s="152">
        <v>45994</v>
      </c>
      <c r="B31" s="60" t="s">
        <v>58</v>
      </c>
      <c r="C31" s="61" t="s">
        <v>63</v>
      </c>
      <c r="D31" s="60" t="s">
        <v>1</v>
      </c>
      <c r="E31" s="153">
        <v>1.864583333333333</v>
      </c>
      <c r="F31" s="60" t="s">
        <v>64</v>
      </c>
      <c r="G31" s="62">
        <v>9</v>
      </c>
      <c r="H31" s="72" t="s">
        <v>88</v>
      </c>
      <c r="I31" s="88"/>
    </row>
    <row r="32" spans="1:9" ht="19.8" customHeight="1" x14ac:dyDescent="0.3">
      <c r="A32" s="150">
        <v>45995</v>
      </c>
      <c r="B32" s="64" t="s">
        <v>31</v>
      </c>
      <c r="C32" s="65" t="s">
        <v>32</v>
      </c>
      <c r="D32" s="64" t="s">
        <v>1</v>
      </c>
      <c r="E32" s="151">
        <v>1.305555555555556</v>
      </c>
      <c r="F32" s="64" t="s">
        <v>33</v>
      </c>
      <c r="G32" s="66">
        <v>6</v>
      </c>
      <c r="H32" s="148">
        <v>339</v>
      </c>
      <c r="I32" s="88"/>
    </row>
    <row r="33" spans="1:9" ht="19.8" customHeight="1" x14ac:dyDescent="0.3">
      <c r="A33" s="150">
        <v>45995</v>
      </c>
      <c r="B33" s="64" t="s">
        <v>40</v>
      </c>
      <c r="C33" s="65" t="s">
        <v>41</v>
      </c>
      <c r="D33" s="64" t="s">
        <v>1</v>
      </c>
      <c r="E33" s="151">
        <v>1.197916666666667</v>
      </c>
      <c r="F33" s="64" t="s">
        <v>42</v>
      </c>
      <c r="G33" s="66">
        <v>6</v>
      </c>
      <c r="H33" s="148">
        <v>349</v>
      </c>
      <c r="I33" s="88"/>
    </row>
    <row r="34" spans="1:9" ht="19.8" customHeight="1" x14ac:dyDescent="0.3">
      <c r="A34" s="150">
        <v>45995</v>
      </c>
      <c r="B34" s="64" t="s">
        <v>73</v>
      </c>
      <c r="C34" s="65" t="s">
        <v>74</v>
      </c>
      <c r="D34" s="64" t="s">
        <v>1</v>
      </c>
      <c r="E34" s="151">
        <v>1.8888888888888891</v>
      </c>
      <c r="F34" s="64" t="s">
        <v>28</v>
      </c>
      <c r="G34" s="66">
        <v>9</v>
      </c>
      <c r="H34" s="148">
        <v>371</v>
      </c>
      <c r="I34" s="88"/>
    </row>
    <row r="35" spans="1:9" ht="19.8" customHeight="1" x14ac:dyDescent="0.3">
      <c r="A35" s="150">
        <v>45995</v>
      </c>
      <c r="B35" s="64" t="s">
        <v>26</v>
      </c>
      <c r="C35" s="65" t="s">
        <v>97</v>
      </c>
      <c r="D35" s="64" t="s">
        <v>1</v>
      </c>
      <c r="E35" s="151">
        <v>1.5625</v>
      </c>
      <c r="F35" s="64" t="s">
        <v>28</v>
      </c>
      <c r="G35" s="66">
        <v>1</v>
      </c>
      <c r="H35" s="148">
        <v>379</v>
      </c>
      <c r="I35" s="88"/>
    </row>
    <row r="36" spans="1:9" ht="19.8" customHeight="1" x14ac:dyDescent="0.3">
      <c r="A36" s="150">
        <v>45995</v>
      </c>
      <c r="B36" s="64" t="s">
        <v>26</v>
      </c>
      <c r="C36" s="65" t="s">
        <v>57</v>
      </c>
      <c r="D36" s="64" t="s">
        <v>1</v>
      </c>
      <c r="E36" s="151">
        <v>1.958333333333333</v>
      </c>
      <c r="F36" s="64" t="s">
        <v>28</v>
      </c>
      <c r="G36" s="66">
        <v>9</v>
      </c>
      <c r="H36" s="148">
        <v>379</v>
      </c>
      <c r="I36" s="88"/>
    </row>
    <row r="37" spans="1:9" ht="19.8" customHeight="1" x14ac:dyDescent="0.3">
      <c r="A37" s="154">
        <v>45995</v>
      </c>
      <c r="B37" s="68" t="s">
        <v>51</v>
      </c>
      <c r="C37" s="69" t="s">
        <v>52</v>
      </c>
      <c r="D37" s="68" t="s">
        <v>1</v>
      </c>
      <c r="E37" s="155">
        <v>1.9236111111111109</v>
      </c>
      <c r="F37" s="68" t="s">
        <v>28</v>
      </c>
      <c r="G37" s="70">
        <v>4</v>
      </c>
      <c r="H37" s="149">
        <v>379</v>
      </c>
      <c r="I37" s="88"/>
    </row>
    <row r="38" spans="1:9" ht="19.8" customHeight="1" x14ac:dyDescent="0.3">
      <c r="A38" s="150">
        <v>45995</v>
      </c>
      <c r="B38" s="64" t="s">
        <v>58</v>
      </c>
      <c r="C38" s="65" t="s">
        <v>59</v>
      </c>
      <c r="D38" s="64" t="s">
        <v>1</v>
      </c>
      <c r="E38" s="151">
        <v>1.1701388888888891</v>
      </c>
      <c r="F38" s="64" t="s">
        <v>60</v>
      </c>
      <c r="G38" s="66">
        <v>9</v>
      </c>
      <c r="H38" s="148">
        <v>411</v>
      </c>
      <c r="I38" s="88"/>
    </row>
    <row r="39" spans="1:9" ht="19.8" customHeight="1" x14ac:dyDescent="0.3">
      <c r="A39" s="150">
        <v>45995</v>
      </c>
      <c r="B39" s="64" t="s">
        <v>40</v>
      </c>
      <c r="C39" s="65" t="s">
        <v>41</v>
      </c>
      <c r="D39" s="64" t="s">
        <v>1</v>
      </c>
      <c r="E39" s="151">
        <v>1.197916666666667</v>
      </c>
      <c r="F39" s="64" t="s">
        <v>45</v>
      </c>
      <c r="G39" s="66">
        <v>6</v>
      </c>
      <c r="H39" s="148">
        <v>449</v>
      </c>
      <c r="I39" s="88"/>
    </row>
    <row r="40" spans="1:9" ht="19.8" customHeight="1" x14ac:dyDescent="0.3">
      <c r="A40" s="150">
        <v>45995</v>
      </c>
      <c r="B40" s="64" t="s">
        <v>31</v>
      </c>
      <c r="C40" s="65" t="s">
        <v>32</v>
      </c>
      <c r="D40" s="64" t="s">
        <v>1</v>
      </c>
      <c r="E40" s="151">
        <v>1.305555555555556</v>
      </c>
      <c r="F40" s="64" t="s">
        <v>36</v>
      </c>
      <c r="G40" s="66">
        <v>6</v>
      </c>
      <c r="H40" s="148">
        <v>517</v>
      </c>
      <c r="I40" s="88"/>
    </row>
    <row r="41" spans="1:9" ht="19.8" customHeight="1" x14ac:dyDescent="0.3">
      <c r="A41" s="150">
        <v>45995</v>
      </c>
      <c r="B41" s="64" t="s">
        <v>40</v>
      </c>
      <c r="C41" s="65" t="s">
        <v>48</v>
      </c>
      <c r="D41" s="64" t="s">
        <v>1</v>
      </c>
      <c r="E41" s="151">
        <v>1.833333333333333</v>
      </c>
      <c r="F41" s="64" t="s">
        <v>42</v>
      </c>
      <c r="G41" s="66">
        <v>9</v>
      </c>
      <c r="H41" s="148">
        <v>519</v>
      </c>
      <c r="I41" s="88"/>
    </row>
    <row r="42" spans="1:9" ht="19.8" customHeight="1" x14ac:dyDescent="0.3">
      <c r="A42" s="150">
        <v>45995</v>
      </c>
      <c r="B42" s="64" t="s">
        <v>40</v>
      </c>
      <c r="C42" s="65" t="s">
        <v>41</v>
      </c>
      <c r="D42" s="64" t="s">
        <v>1</v>
      </c>
      <c r="E42" s="151">
        <v>1.197916666666667</v>
      </c>
      <c r="F42" s="64" t="s">
        <v>38</v>
      </c>
      <c r="G42" s="66">
        <v>6</v>
      </c>
      <c r="H42" s="148">
        <v>539</v>
      </c>
      <c r="I42" s="88"/>
    </row>
    <row r="43" spans="1:9" ht="19.8" customHeight="1" x14ac:dyDescent="0.3">
      <c r="A43" s="150">
        <v>45995</v>
      </c>
      <c r="B43" s="64" t="s">
        <v>40</v>
      </c>
      <c r="C43" s="65" t="s">
        <v>48</v>
      </c>
      <c r="D43" s="64" t="s">
        <v>1</v>
      </c>
      <c r="E43" s="151">
        <v>1.833333333333333</v>
      </c>
      <c r="F43" s="64" t="s">
        <v>45</v>
      </c>
      <c r="G43" s="66">
        <v>9</v>
      </c>
      <c r="H43" s="148">
        <v>619</v>
      </c>
      <c r="I43" s="88"/>
    </row>
    <row r="44" spans="1:9" ht="19.8" customHeight="1" x14ac:dyDescent="0.3">
      <c r="A44" s="150">
        <v>45995</v>
      </c>
      <c r="B44" s="64" t="s">
        <v>58</v>
      </c>
      <c r="C44" s="65" t="s">
        <v>66</v>
      </c>
      <c r="D44" s="64" t="s">
        <v>1</v>
      </c>
      <c r="E44" s="151">
        <v>1.5277777777777779</v>
      </c>
      <c r="F44" s="64" t="s">
        <v>64</v>
      </c>
      <c r="G44" s="66">
        <v>9</v>
      </c>
      <c r="H44" s="148">
        <v>637</v>
      </c>
      <c r="I44" s="88"/>
    </row>
    <row r="45" spans="1:9" ht="19.8" customHeight="1" x14ac:dyDescent="0.3">
      <c r="A45" s="150">
        <v>45995</v>
      </c>
      <c r="B45" s="64" t="s">
        <v>40</v>
      </c>
      <c r="C45" s="65" t="s">
        <v>48</v>
      </c>
      <c r="D45" s="64" t="s">
        <v>1</v>
      </c>
      <c r="E45" s="151">
        <v>1.833333333333333</v>
      </c>
      <c r="F45" s="64" t="s">
        <v>38</v>
      </c>
      <c r="G45" s="66">
        <v>9</v>
      </c>
      <c r="H45" s="148">
        <v>709</v>
      </c>
      <c r="I45" s="88"/>
    </row>
    <row r="46" spans="1:9" ht="19.8" customHeight="1" x14ac:dyDescent="0.3">
      <c r="A46" s="150">
        <v>45995</v>
      </c>
      <c r="B46" s="64" t="s">
        <v>31</v>
      </c>
      <c r="C46" s="65" t="s">
        <v>32</v>
      </c>
      <c r="D46" s="64" t="s">
        <v>1</v>
      </c>
      <c r="E46" s="151">
        <v>1.305555555555556</v>
      </c>
      <c r="F46" s="64" t="s">
        <v>38</v>
      </c>
      <c r="G46" s="66">
        <v>6</v>
      </c>
      <c r="H46" s="148">
        <v>899</v>
      </c>
      <c r="I46" s="88"/>
    </row>
    <row r="47" spans="1:9" ht="19.8" customHeight="1" x14ac:dyDescent="0.3">
      <c r="A47" s="150">
        <v>45995</v>
      </c>
      <c r="B47" s="64" t="s">
        <v>68</v>
      </c>
      <c r="C47" s="65" t="s">
        <v>69</v>
      </c>
      <c r="D47" s="64" t="s">
        <v>1</v>
      </c>
      <c r="E47" s="151">
        <v>1.305555555555556</v>
      </c>
      <c r="F47" s="64" t="s">
        <v>70</v>
      </c>
      <c r="G47" s="66">
        <v>4</v>
      </c>
      <c r="H47" s="71" t="s">
        <v>72</v>
      </c>
      <c r="I47" s="88"/>
    </row>
    <row r="48" spans="1:9" ht="19.8" customHeight="1" x14ac:dyDescent="0.3">
      <c r="A48" s="152">
        <v>45995</v>
      </c>
      <c r="B48" s="60" t="s">
        <v>58</v>
      </c>
      <c r="C48" s="61" t="s">
        <v>63</v>
      </c>
      <c r="D48" s="60" t="s">
        <v>1</v>
      </c>
      <c r="E48" s="153">
        <v>1.864583333333333</v>
      </c>
      <c r="F48" s="60" t="s">
        <v>64</v>
      </c>
      <c r="G48" s="62">
        <v>9</v>
      </c>
      <c r="H48" s="72" t="s">
        <v>101</v>
      </c>
      <c r="I48" s="88"/>
    </row>
    <row r="49" spans="1:9" ht="19.8" customHeight="1" x14ac:dyDescent="0.3">
      <c r="A49" s="150">
        <v>45996</v>
      </c>
      <c r="B49" s="64" t="s">
        <v>31</v>
      </c>
      <c r="C49" s="65" t="s">
        <v>32</v>
      </c>
      <c r="D49" s="64" t="s">
        <v>1</v>
      </c>
      <c r="E49" s="151">
        <v>1.305555555555556</v>
      </c>
      <c r="F49" s="64" t="s">
        <v>33</v>
      </c>
      <c r="G49" s="66">
        <v>11</v>
      </c>
      <c r="H49" s="148">
        <v>369</v>
      </c>
      <c r="I49" s="88"/>
    </row>
    <row r="50" spans="1:9" ht="19.8" customHeight="1" x14ac:dyDescent="0.3">
      <c r="A50" s="150">
        <v>45996</v>
      </c>
      <c r="B50" s="64" t="s">
        <v>26</v>
      </c>
      <c r="C50" s="65" t="s">
        <v>27</v>
      </c>
      <c r="D50" s="64" t="s">
        <v>1</v>
      </c>
      <c r="E50" s="151">
        <v>1.958333333333333</v>
      </c>
      <c r="F50" s="64" t="s">
        <v>28</v>
      </c>
      <c r="G50" s="66">
        <v>5</v>
      </c>
      <c r="H50" s="148">
        <v>379</v>
      </c>
      <c r="I50" s="88"/>
    </row>
    <row r="51" spans="1:9" ht="19.8" customHeight="1" x14ac:dyDescent="0.3">
      <c r="A51" s="154">
        <v>45996</v>
      </c>
      <c r="B51" s="68" t="s">
        <v>51</v>
      </c>
      <c r="C51" s="69" t="s">
        <v>52</v>
      </c>
      <c r="D51" s="68" t="s">
        <v>1</v>
      </c>
      <c r="E51" s="155">
        <v>1.5798611111111109</v>
      </c>
      <c r="F51" s="68" t="s">
        <v>28</v>
      </c>
      <c r="G51" s="70">
        <v>9</v>
      </c>
      <c r="H51" s="149">
        <v>379</v>
      </c>
      <c r="I51" s="88"/>
    </row>
    <row r="52" spans="1:9" ht="19.8" customHeight="1" x14ac:dyDescent="0.3">
      <c r="A52" s="150">
        <v>45996</v>
      </c>
      <c r="B52" s="64" t="s">
        <v>40</v>
      </c>
      <c r="C52" s="65" t="s">
        <v>48</v>
      </c>
      <c r="D52" s="64" t="s">
        <v>1</v>
      </c>
      <c r="E52" s="151">
        <v>1.836805555555556</v>
      </c>
      <c r="F52" s="64" t="s">
        <v>42</v>
      </c>
      <c r="G52" s="66">
        <v>2</v>
      </c>
      <c r="H52" s="148">
        <v>409</v>
      </c>
      <c r="I52" s="88"/>
    </row>
    <row r="53" spans="1:9" ht="19.8" customHeight="1" x14ac:dyDescent="0.3">
      <c r="A53" s="150">
        <v>45996</v>
      </c>
      <c r="B53" s="64" t="s">
        <v>40</v>
      </c>
      <c r="C53" s="65" t="s">
        <v>48</v>
      </c>
      <c r="D53" s="64" t="s">
        <v>1</v>
      </c>
      <c r="E53" s="151">
        <v>1.836805555555556</v>
      </c>
      <c r="F53" s="64" t="s">
        <v>45</v>
      </c>
      <c r="G53" s="66">
        <v>2</v>
      </c>
      <c r="H53" s="148">
        <v>509</v>
      </c>
      <c r="I53" s="88"/>
    </row>
    <row r="54" spans="1:9" ht="19.8" customHeight="1" x14ac:dyDescent="0.3">
      <c r="A54" s="150">
        <v>45996</v>
      </c>
      <c r="B54" s="64" t="s">
        <v>31</v>
      </c>
      <c r="C54" s="65" t="s">
        <v>32</v>
      </c>
      <c r="D54" s="64" t="s">
        <v>1</v>
      </c>
      <c r="E54" s="151">
        <v>1.305555555555556</v>
      </c>
      <c r="F54" s="64" t="s">
        <v>36</v>
      </c>
      <c r="G54" s="66">
        <v>11</v>
      </c>
      <c r="H54" s="148">
        <v>547</v>
      </c>
      <c r="I54" s="88"/>
    </row>
    <row r="55" spans="1:9" ht="19.8" customHeight="1" x14ac:dyDescent="0.3">
      <c r="A55" s="150">
        <v>45996</v>
      </c>
      <c r="B55" s="64" t="s">
        <v>58</v>
      </c>
      <c r="C55" s="65" t="s">
        <v>63</v>
      </c>
      <c r="D55" s="64" t="s">
        <v>1</v>
      </c>
      <c r="E55" s="151">
        <v>1.864583333333333</v>
      </c>
      <c r="F55" s="64" t="s">
        <v>64</v>
      </c>
      <c r="G55" s="66">
        <v>9</v>
      </c>
      <c r="H55" s="148">
        <v>592</v>
      </c>
      <c r="I55" s="88"/>
    </row>
    <row r="56" spans="1:9" ht="19.8" customHeight="1" x14ac:dyDescent="0.3">
      <c r="A56" s="150">
        <v>45996</v>
      </c>
      <c r="B56" s="64" t="s">
        <v>40</v>
      </c>
      <c r="C56" s="65" t="s">
        <v>48</v>
      </c>
      <c r="D56" s="64" t="s">
        <v>1</v>
      </c>
      <c r="E56" s="151">
        <v>1.836805555555556</v>
      </c>
      <c r="F56" s="64" t="s">
        <v>38</v>
      </c>
      <c r="G56" s="66">
        <v>2</v>
      </c>
      <c r="H56" s="148">
        <v>599</v>
      </c>
      <c r="I56" s="88"/>
    </row>
    <row r="57" spans="1:9" ht="19.8" customHeight="1" x14ac:dyDescent="0.3">
      <c r="A57" s="150">
        <v>45996</v>
      </c>
      <c r="B57" s="64" t="s">
        <v>58</v>
      </c>
      <c r="C57" s="65" t="s">
        <v>59</v>
      </c>
      <c r="D57" s="64" t="s">
        <v>1</v>
      </c>
      <c r="E57" s="151">
        <v>1.1701388888888891</v>
      </c>
      <c r="F57" s="64" t="s">
        <v>64</v>
      </c>
      <c r="G57" s="66">
        <v>9</v>
      </c>
      <c r="H57" s="148">
        <v>641</v>
      </c>
      <c r="I57" s="88"/>
    </row>
    <row r="58" spans="1:9" ht="19.8" customHeight="1" x14ac:dyDescent="0.3">
      <c r="A58" s="150">
        <v>45996</v>
      </c>
      <c r="B58" s="64" t="s">
        <v>31</v>
      </c>
      <c r="C58" s="65" t="s">
        <v>32</v>
      </c>
      <c r="D58" s="64" t="s">
        <v>1</v>
      </c>
      <c r="E58" s="151">
        <v>1.305555555555556</v>
      </c>
      <c r="F58" s="64" t="s">
        <v>38</v>
      </c>
      <c r="G58" s="66">
        <v>11</v>
      </c>
      <c r="H58" s="148">
        <v>899</v>
      </c>
      <c r="I58" s="88"/>
    </row>
    <row r="59" spans="1:9" ht="19.8" customHeight="1" x14ac:dyDescent="0.3">
      <c r="A59" s="150">
        <v>45996</v>
      </c>
      <c r="B59" s="64" t="s">
        <v>68</v>
      </c>
      <c r="C59" s="65" t="s">
        <v>69</v>
      </c>
      <c r="D59" s="64" t="s">
        <v>1</v>
      </c>
      <c r="E59" s="151">
        <v>1.305555555555556</v>
      </c>
      <c r="F59" s="64" t="s">
        <v>70</v>
      </c>
      <c r="G59" s="66">
        <v>4</v>
      </c>
      <c r="H59" s="71" t="s">
        <v>112</v>
      </c>
      <c r="I59" s="88"/>
    </row>
    <row r="60" spans="1:9" ht="19.8" customHeight="1" x14ac:dyDescent="0.3">
      <c r="A60" s="152">
        <v>45996</v>
      </c>
      <c r="B60" s="60" t="s">
        <v>58</v>
      </c>
      <c r="C60" s="61" t="s">
        <v>66</v>
      </c>
      <c r="D60" s="60" t="s">
        <v>1</v>
      </c>
      <c r="E60" s="153">
        <v>1.5277777777777779</v>
      </c>
      <c r="F60" s="60" t="s">
        <v>64</v>
      </c>
      <c r="G60" s="62">
        <v>9</v>
      </c>
      <c r="H60" s="72" t="s">
        <v>88</v>
      </c>
      <c r="I60" s="88"/>
    </row>
    <row r="61" spans="1:9" ht="19.8" customHeight="1" x14ac:dyDescent="0.3">
      <c r="A61" s="150">
        <v>45997</v>
      </c>
      <c r="B61" s="64" t="s">
        <v>31</v>
      </c>
      <c r="C61" s="65" t="s">
        <v>32</v>
      </c>
      <c r="D61" s="64" t="s">
        <v>1</v>
      </c>
      <c r="E61" s="151">
        <v>1.305555555555556</v>
      </c>
      <c r="F61" s="64" t="s">
        <v>33</v>
      </c>
      <c r="G61" s="66">
        <v>17</v>
      </c>
      <c r="H61" s="148">
        <v>309</v>
      </c>
      <c r="I61" s="88"/>
    </row>
    <row r="62" spans="1:9" ht="19.8" customHeight="1" x14ac:dyDescent="0.3">
      <c r="A62" s="150">
        <v>45997</v>
      </c>
      <c r="B62" s="64" t="s">
        <v>40</v>
      </c>
      <c r="C62" s="65" t="s">
        <v>41</v>
      </c>
      <c r="D62" s="64" t="s">
        <v>1</v>
      </c>
      <c r="E62" s="151">
        <v>1.2013888888888891</v>
      </c>
      <c r="F62" s="64" t="s">
        <v>42</v>
      </c>
      <c r="G62" s="66">
        <v>9</v>
      </c>
      <c r="H62" s="148">
        <v>349</v>
      </c>
      <c r="I62" s="88"/>
    </row>
    <row r="63" spans="1:9" ht="19.8" customHeight="1" x14ac:dyDescent="0.3">
      <c r="A63" s="150">
        <v>45997</v>
      </c>
      <c r="B63" s="64" t="s">
        <v>76</v>
      </c>
      <c r="C63" s="65" t="s">
        <v>77</v>
      </c>
      <c r="D63" s="64" t="s">
        <v>1</v>
      </c>
      <c r="E63" s="151">
        <v>1.9722222222222221</v>
      </c>
      <c r="F63" s="64" t="s">
        <v>78</v>
      </c>
      <c r="G63" s="66">
        <v>9</v>
      </c>
      <c r="H63" s="148">
        <v>373</v>
      </c>
      <c r="I63" s="88"/>
    </row>
    <row r="64" spans="1:9" ht="19.8" customHeight="1" x14ac:dyDescent="0.3">
      <c r="A64" s="150">
        <v>45997</v>
      </c>
      <c r="B64" s="64" t="s">
        <v>40</v>
      </c>
      <c r="C64" s="65" t="s">
        <v>48</v>
      </c>
      <c r="D64" s="64" t="s">
        <v>1</v>
      </c>
      <c r="E64" s="151">
        <v>1.836805555555556</v>
      </c>
      <c r="F64" s="64" t="s">
        <v>42</v>
      </c>
      <c r="G64" s="66">
        <v>4</v>
      </c>
      <c r="H64" s="148">
        <v>379</v>
      </c>
      <c r="I64" s="88"/>
    </row>
    <row r="65" spans="1:9" ht="19.8" customHeight="1" x14ac:dyDescent="0.3">
      <c r="A65" s="154">
        <v>45997</v>
      </c>
      <c r="B65" s="68" t="s">
        <v>51</v>
      </c>
      <c r="C65" s="69" t="s">
        <v>52</v>
      </c>
      <c r="D65" s="68" t="s">
        <v>1</v>
      </c>
      <c r="E65" s="155">
        <v>1.9236111111111109</v>
      </c>
      <c r="F65" s="68" t="s">
        <v>28</v>
      </c>
      <c r="G65" s="70">
        <v>9</v>
      </c>
      <c r="H65" s="149">
        <v>379</v>
      </c>
      <c r="I65" s="88"/>
    </row>
    <row r="66" spans="1:9" ht="19.8" customHeight="1" x14ac:dyDescent="0.3">
      <c r="A66" s="150">
        <v>45997</v>
      </c>
      <c r="B66" s="64" t="s">
        <v>26</v>
      </c>
      <c r="C66" s="65" t="s">
        <v>57</v>
      </c>
      <c r="D66" s="64" t="s">
        <v>1</v>
      </c>
      <c r="E66" s="151">
        <v>1.895833333333333</v>
      </c>
      <c r="F66" s="64" t="s">
        <v>28</v>
      </c>
      <c r="G66" s="66">
        <v>9</v>
      </c>
      <c r="H66" s="148">
        <v>379</v>
      </c>
      <c r="I66" s="88"/>
    </row>
    <row r="67" spans="1:9" ht="19.8" customHeight="1" x14ac:dyDescent="0.3">
      <c r="A67" s="150">
        <v>45997</v>
      </c>
      <c r="B67" s="64" t="s">
        <v>58</v>
      </c>
      <c r="C67" s="65" t="s">
        <v>63</v>
      </c>
      <c r="D67" s="64" t="s">
        <v>1</v>
      </c>
      <c r="E67" s="151">
        <v>1.864583333333333</v>
      </c>
      <c r="F67" s="64" t="s">
        <v>60</v>
      </c>
      <c r="G67" s="66">
        <v>8</v>
      </c>
      <c r="H67" s="148">
        <v>411</v>
      </c>
      <c r="I67" s="88"/>
    </row>
    <row r="68" spans="1:9" ht="19.8" customHeight="1" x14ac:dyDescent="0.3">
      <c r="A68" s="150">
        <v>45997</v>
      </c>
      <c r="B68" s="64" t="s">
        <v>58</v>
      </c>
      <c r="C68" s="65" t="s">
        <v>59</v>
      </c>
      <c r="D68" s="64" t="s">
        <v>1</v>
      </c>
      <c r="E68" s="151">
        <v>1.1701388888888891</v>
      </c>
      <c r="F68" s="64" t="s">
        <v>60</v>
      </c>
      <c r="G68" s="66">
        <v>9</v>
      </c>
      <c r="H68" s="148">
        <v>415</v>
      </c>
      <c r="I68" s="88"/>
    </row>
    <row r="69" spans="1:9" ht="19.8" customHeight="1" x14ac:dyDescent="0.3">
      <c r="A69" s="150">
        <v>45997</v>
      </c>
      <c r="B69" s="64" t="s">
        <v>40</v>
      </c>
      <c r="C69" s="65" t="s">
        <v>41</v>
      </c>
      <c r="D69" s="64" t="s">
        <v>1</v>
      </c>
      <c r="E69" s="151">
        <v>1.2013888888888891</v>
      </c>
      <c r="F69" s="64" t="s">
        <v>45</v>
      </c>
      <c r="G69" s="66">
        <v>9</v>
      </c>
      <c r="H69" s="148">
        <v>449</v>
      </c>
      <c r="I69" s="88"/>
    </row>
    <row r="70" spans="1:9" ht="19.8" customHeight="1" x14ac:dyDescent="0.3">
      <c r="A70" s="150">
        <v>45997</v>
      </c>
      <c r="B70" s="64" t="s">
        <v>40</v>
      </c>
      <c r="C70" s="65" t="s">
        <v>48</v>
      </c>
      <c r="D70" s="64" t="s">
        <v>1</v>
      </c>
      <c r="E70" s="151">
        <v>1.836805555555556</v>
      </c>
      <c r="F70" s="64" t="s">
        <v>45</v>
      </c>
      <c r="G70" s="66">
        <v>4</v>
      </c>
      <c r="H70" s="148">
        <v>479</v>
      </c>
      <c r="I70" s="88"/>
    </row>
    <row r="71" spans="1:9" ht="19.8" customHeight="1" x14ac:dyDescent="0.3">
      <c r="A71" s="150">
        <v>45997</v>
      </c>
      <c r="B71" s="64" t="s">
        <v>31</v>
      </c>
      <c r="C71" s="65" t="s">
        <v>32</v>
      </c>
      <c r="D71" s="64" t="s">
        <v>1</v>
      </c>
      <c r="E71" s="151">
        <v>1.305555555555556</v>
      </c>
      <c r="F71" s="64" t="s">
        <v>36</v>
      </c>
      <c r="G71" s="66">
        <v>17</v>
      </c>
      <c r="H71" s="148">
        <v>487</v>
      </c>
      <c r="I71" s="88"/>
    </row>
    <row r="72" spans="1:9" ht="19.8" customHeight="1" x14ac:dyDescent="0.3">
      <c r="A72" s="150">
        <v>45997</v>
      </c>
      <c r="B72" s="64" t="s">
        <v>76</v>
      </c>
      <c r="C72" s="65" t="s">
        <v>77</v>
      </c>
      <c r="D72" s="64" t="s">
        <v>1</v>
      </c>
      <c r="E72" s="151">
        <v>1.9722222222222221</v>
      </c>
      <c r="F72" s="64" t="s">
        <v>81</v>
      </c>
      <c r="G72" s="66">
        <v>9</v>
      </c>
      <c r="H72" s="148">
        <v>496</v>
      </c>
      <c r="I72" s="88"/>
    </row>
    <row r="73" spans="1:9" ht="19.8" customHeight="1" x14ac:dyDescent="0.3">
      <c r="A73" s="150">
        <v>45997</v>
      </c>
      <c r="B73" s="64" t="s">
        <v>40</v>
      </c>
      <c r="C73" s="65" t="s">
        <v>41</v>
      </c>
      <c r="D73" s="64" t="s">
        <v>1</v>
      </c>
      <c r="E73" s="151">
        <v>1.2013888888888891</v>
      </c>
      <c r="F73" s="64" t="s">
        <v>38</v>
      </c>
      <c r="G73" s="66">
        <v>9</v>
      </c>
      <c r="H73" s="148">
        <v>539</v>
      </c>
      <c r="I73" s="88"/>
    </row>
    <row r="74" spans="1:9" ht="19.8" customHeight="1" x14ac:dyDescent="0.3">
      <c r="A74" s="150">
        <v>45997</v>
      </c>
      <c r="B74" s="64" t="s">
        <v>58</v>
      </c>
      <c r="C74" s="65" t="s">
        <v>66</v>
      </c>
      <c r="D74" s="64" t="s">
        <v>1</v>
      </c>
      <c r="E74" s="151">
        <v>1.5277777777777779</v>
      </c>
      <c r="F74" s="64" t="s">
        <v>64</v>
      </c>
      <c r="G74" s="66">
        <v>9</v>
      </c>
      <c r="H74" s="148">
        <v>547</v>
      </c>
      <c r="I74" s="88"/>
    </row>
    <row r="75" spans="1:9" ht="19.8" customHeight="1" x14ac:dyDescent="0.3">
      <c r="A75" s="150">
        <v>45997</v>
      </c>
      <c r="B75" s="64" t="s">
        <v>40</v>
      </c>
      <c r="C75" s="65" t="s">
        <v>48</v>
      </c>
      <c r="D75" s="64" t="s">
        <v>1</v>
      </c>
      <c r="E75" s="151">
        <v>1.836805555555556</v>
      </c>
      <c r="F75" s="64" t="s">
        <v>38</v>
      </c>
      <c r="G75" s="66">
        <v>4</v>
      </c>
      <c r="H75" s="148">
        <v>569</v>
      </c>
      <c r="I75" s="88"/>
    </row>
    <row r="76" spans="1:9" ht="19.8" customHeight="1" x14ac:dyDescent="0.3">
      <c r="A76" s="150">
        <v>45997</v>
      </c>
      <c r="B76" s="64" t="s">
        <v>68</v>
      </c>
      <c r="C76" s="65" t="s">
        <v>69</v>
      </c>
      <c r="D76" s="64" t="s">
        <v>1</v>
      </c>
      <c r="E76" s="151">
        <v>1.305555555555556</v>
      </c>
      <c r="F76" s="64" t="s">
        <v>70</v>
      </c>
      <c r="G76" s="66">
        <v>4</v>
      </c>
      <c r="H76" s="71" t="s">
        <v>122</v>
      </c>
      <c r="I76" s="88"/>
    </row>
    <row r="77" spans="1:9" ht="19.8" customHeight="1" x14ac:dyDescent="0.3">
      <c r="A77" s="152">
        <v>45997</v>
      </c>
      <c r="B77" s="60" t="s">
        <v>31</v>
      </c>
      <c r="C77" s="61" t="s">
        <v>32</v>
      </c>
      <c r="D77" s="60" t="s">
        <v>1</v>
      </c>
      <c r="E77" s="153">
        <v>1.305555555555556</v>
      </c>
      <c r="F77" s="60" t="s">
        <v>38</v>
      </c>
      <c r="G77" s="62">
        <v>17</v>
      </c>
      <c r="H77" s="72" t="s">
        <v>39</v>
      </c>
      <c r="I77" s="88"/>
    </row>
    <row r="78" spans="1:9" ht="19.8" customHeight="1" x14ac:dyDescent="0.3">
      <c r="A78" s="150">
        <v>45998</v>
      </c>
      <c r="B78" s="64" t="s">
        <v>31</v>
      </c>
      <c r="C78" s="65" t="s">
        <v>32</v>
      </c>
      <c r="D78" s="64" t="s">
        <v>1</v>
      </c>
      <c r="E78" s="151">
        <v>1.305555555555556</v>
      </c>
      <c r="F78" s="64" t="s">
        <v>33</v>
      </c>
      <c r="G78" s="66">
        <v>12</v>
      </c>
      <c r="H78" s="148">
        <v>309</v>
      </c>
      <c r="I78" s="88"/>
    </row>
    <row r="79" spans="1:9" ht="19.8" customHeight="1" x14ac:dyDescent="0.3">
      <c r="A79" s="150">
        <v>45998</v>
      </c>
      <c r="B79" s="64" t="s">
        <v>40</v>
      </c>
      <c r="C79" s="65" t="s">
        <v>48</v>
      </c>
      <c r="D79" s="64" t="s">
        <v>1</v>
      </c>
      <c r="E79" s="151">
        <v>1.836805555555556</v>
      </c>
      <c r="F79" s="64" t="s">
        <v>42</v>
      </c>
      <c r="G79" s="66">
        <v>6</v>
      </c>
      <c r="H79" s="148">
        <v>349</v>
      </c>
      <c r="I79" s="88"/>
    </row>
    <row r="80" spans="1:9" ht="19.8" customHeight="1" x14ac:dyDescent="0.3">
      <c r="A80" s="150">
        <v>45998</v>
      </c>
      <c r="B80" s="64" t="s">
        <v>73</v>
      </c>
      <c r="C80" s="65" t="s">
        <v>125</v>
      </c>
      <c r="D80" s="64" t="s">
        <v>1</v>
      </c>
      <c r="E80" s="151">
        <v>1.2222222222222221</v>
      </c>
      <c r="F80" s="64" t="s">
        <v>28</v>
      </c>
      <c r="G80" s="66">
        <v>9</v>
      </c>
      <c r="H80" s="148">
        <v>371</v>
      </c>
      <c r="I80" s="88"/>
    </row>
    <row r="81" spans="1:9" ht="19.8" customHeight="1" x14ac:dyDescent="0.3">
      <c r="A81" s="150">
        <v>45998</v>
      </c>
      <c r="B81" s="64" t="s">
        <v>26</v>
      </c>
      <c r="C81" s="65" t="s">
        <v>97</v>
      </c>
      <c r="D81" s="64" t="s">
        <v>1</v>
      </c>
      <c r="E81" s="151">
        <v>1.958333333333333</v>
      </c>
      <c r="F81" s="64" t="s">
        <v>28</v>
      </c>
      <c r="G81" s="66">
        <v>9</v>
      </c>
      <c r="H81" s="148">
        <v>379</v>
      </c>
      <c r="I81" s="88"/>
    </row>
    <row r="82" spans="1:9" ht="19.8" customHeight="1" x14ac:dyDescent="0.3">
      <c r="A82" s="150">
        <v>45998</v>
      </c>
      <c r="B82" s="64" t="s">
        <v>58</v>
      </c>
      <c r="C82" s="65" t="s">
        <v>63</v>
      </c>
      <c r="D82" s="64" t="s">
        <v>1</v>
      </c>
      <c r="E82" s="151">
        <v>1.864583333333333</v>
      </c>
      <c r="F82" s="64" t="s">
        <v>60</v>
      </c>
      <c r="G82" s="66">
        <v>9</v>
      </c>
      <c r="H82" s="148">
        <v>411</v>
      </c>
      <c r="I82" s="88"/>
    </row>
    <row r="83" spans="1:9" ht="19.8" customHeight="1" x14ac:dyDescent="0.3">
      <c r="A83" s="150">
        <v>45998</v>
      </c>
      <c r="B83" s="64" t="s">
        <v>58</v>
      </c>
      <c r="C83" s="65" t="s">
        <v>66</v>
      </c>
      <c r="D83" s="64" t="s">
        <v>1</v>
      </c>
      <c r="E83" s="151">
        <v>1.5138888888888891</v>
      </c>
      <c r="F83" s="64" t="s">
        <v>60</v>
      </c>
      <c r="G83" s="66">
        <v>7</v>
      </c>
      <c r="H83" s="148">
        <v>411</v>
      </c>
      <c r="I83" s="88"/>
    </row>
    <row r="84" spans="1:9" ht="19.8" customHeight="1" x14ac:dyDescent="0.3">
      <c r="A84" s="150">
        <v>45998</v>
      </c>
      <c r="B84" s="64" t="s">
        <v>58</v>
      </c>
      <c r="C84" s="65" t="s">
        <v>59</v>
      </c>
      <c r="D84" s="64" t="s">
        <v>1</v>
      </c>
      <c r="E84" s="151">
        <v>1.1701388888888891</v>
      </c>
      <c r="F84" s="64" t="s">
        <v>60</v>
      </c>
      <c r="G84" s="66">
        <v>9</v>
      </c>
      <c r="H84" s="148">
        <v>411</v>
      </c>
      <c r="I84" s="88"/>
    </row>
    <row r="85" spans="1:9" ht="19.8" customHeight="1" x14ac:dyDescent="0.3">
      <c r="A85" s="150">
        <v>45998</v>
      </c>
      <c r="B85" s="64" t="s">
        <v>40</v>
      </c>
      <c r="C85" s="65" t="s">
        <v>48</v>
      </c>
      <c r="D85" s="64" t="s">
        <v>1</v>
      </c>
      <c r="E85" s="151">
        <v>1.836805555555556</v>
      </c>
      <c r="F85" s="64" t="s">
        <v>45</v>
      </c>
      <c r="G85" s="66">
        <v>6</v>
      </c>
      <c r="H85" s="148">
        <v>449</v>
      </c>
      <c r="I85" s="88"/>
    </row>
    <row r="86" spans="1:9" ht="19.8" customHeight="1" x14ac:dyDescent="0.3">
      <c r="A86" s="150">
        <v>45998</v>
      </c>
      <c r="B86" s="64" t="s">
        <v>31</v>
      </c>
      <c r="C86" s="65" t="s">
        <v>32</v>
      </c>
      <c r="D86" s="64" t="s">
        <v>1</v>
      </c>
      <c r="E86" s="151">
        <v>1.305555555555556</v>
      </c>
      <c r="F86" s="64" t="s">
        <v>36</v>
      </c>
      <c r="G86" s="66">
        <v>12</v>
      </c>
      <c r="H86" s="148">
        <v>487</v>
      </c>
      <c r="I86" s="88"/>
    </row>
    <row r="87" spans="1:9" ht="19.8" customHeight="1" x14ac:dyDescent="0.3">
      <c r="A87" s="150">
        <v>45998</v>
      </c>
      <c r="B87" s="64" t="s">
        <v>40</v>
      </c>
      <c r="C87" s="65" t="s">
        <v>48</v>
      </c>
      <c r="D87" s="64" t="s">
        <v>1</v>
      </c>
      <c r="E87" s="151">
        <v>1.836805555555556</v>
      </c>
      <c r="F87" s="64" t="s">
        <v>38</v>
      </c>
      <c r="G87" s="66">
        <v>6</v>
      </c>
      <c r="H87" s="148">
        <v>539</v>
      </c>
      <c r="I87" s="88"/>
    </row>
    <row r="88" spans="1:9" ht="19.8" customHeight="1" x14ac:dyDescent="0.3">
      <c r="A88" s="150">
        <v>45998</v>
      </c>
      <c r="B88" s="64" t="s">
        <v>68</v>
      </c>
      <c r="C88" s="65" t="s">
        <v>69</v>
      </c>
      <c r="D88" s="64" t="s">
        <v>1</v>
      </c>
      <c r="E88" s="151">
        <v>1.305555555555556</v>
      </c>
      <c r="F88" s="64" t="s">
        <v>70</v>
      </c>
      <c r="G88" s="66">
        <v>4</v>
      </c>
      <c r="H88" s="71" t="s">
        <v>122</v>
      </c>
      <c r="I88" s="88"/>
    </row>
    <row r="89" spans="1:9" ht="19.8" customHeight="1" x14ac:dyDescent="0.3">
      <c r="A89" s="152">
        <v>45998</v>
      </c>
      <c r="B89" s="60" t="s">
        <v>31</v>
      </c>
      <c r="C89" s="61" t="s">
        <v>32</v>
      </c>
      <c r="D89" s="60" t="s">
        <v>1</v>
      </c>
      <c r="E89" s="153">
        <v>1.305555555555556</v>
      </c>
      <c r="F89" s="60" t="s">
        <v>38</v>
      </c>
      <c r="G89" s="62">
        <v>12</v>
      </c>
      <c r="H89" s="72" t="s">
        <v>124</v>
      </c>
      <c r="I89" s="88"/>
    </row>
    <row r="90" spans="1:9" ht="19.8" customHeight="1" x14ac:dyDescent="0.3">
      <c r="A90" s="150">
        <v>45999</v>
      </c>
      <c r="B90" s="64" t="s">
        <v>31</v>
      </c>
      <c r="C90" s="65" t="s">
        <v>32</v>
      </c>
      <c r="D90" s="64" t="s">
        <v>1</v>
      </c>
      <c r="E90" s="151">
        <v>1.305555555555556</v>
      </c>
      <c r="F90" s="64" t="s">
        <v>33</v>
      </c>
      <c r="G90" s="66">
        <v>16</v>
      </c>
      <c r="H90" s="148">
        <v>309</v>
      </c>
      <c r="I90" s="88"/>
    </row>
    <row r="91" spans="1:9" ht="19.8" customHeight="1" x14ac:dyDescent="0.3">
      <c r="A91" s="150">
        <v>45999</v>
      </c>
      <c r="B91" s="64" t="s">
        <v>40</v>
      </c>
      <c r="C91" s="65" t="s">
        <v>41</v>
      </c>
      <c r="D91" s="64" t="s">
        <v>1</v>
      </c>
      <c r="E91" s="151">
        <v>1.2013888888888891</v>
      </c>
      <c r="F91" s="64" t="s">
        <v>42</v>
      </c>
      <c r="G91" s="66">
        <v>9</v>
      </c>
      <c r="H91" s="148">
        <v>349</v>
      </c>
      <c r="I91" s="88"/>
    </row>
    <row r="92" spans="1:9" ht="19.8" customHeight="1" x14ac:dyDescent="0.3">
      <c r="A92" s="150">
        <v>45999</v>
      </c>
      <c r="B92" s="64" t="s">
        <v>40</v>
      </c>
      <c r="C92" s="65" t="s">
        <v>48</v>
      </c>
      <c r="D92" s="64" t="s">
        <v>1</v>
      </c>
      <c r="E92" s="151">
        <v>1.836805555555556</v>
      </c>
      <c r="F92" s="64" t="s">
        <v>42</v>
      </c>
      <c r="G92" s="66">
        <v>5</v>
      </c>
      <c r="H92" s="148">
        <v>379</v>
      </c>
      <c r="I92" s="88"/>
    </row>
    <row r="93" spans="1:9" ht="19.8" customHeight="1" x14ac:dyDescent="0.3">
      <c r="A93" s="150">
        <v>45999</v>
      </c>
      <c r="B93" s="64" t="s">
        <v>26</v>
      </c>
      <c r="C93" s="65" t="s">
        <v>27</v>
      </c>
      <c r="D93" s="64" t="s">
        <v>1</v>
      </c>
      <c r="E93" s="151">
        <v>1.958333333333333</v>
      </c>
      <c r="F93" s="64" t="s">
        <v>28</v>
      </c>
      <c r="G93" s="66">
        <v>9</v>
      </c>
      <c r="H93" s="148">
        <v>379</v>
      </c>
      <c r="I93" s="88"/>
    </row>
    <row r="94" spans="1:9" ht="19.8" customHeight="1" x14ac:dyDescent="0.3">
      <c r="A94" s="150">
        <v>45999</v>
      </c>
      <c r="B94" s="64" t="s">
        <v>58</v>
      </c>
      <c r="C94" s="65" t="s">
        <v>63</v>
      </c>
      <c r="D94" s="64" t="s">
        <v>1</v>
      </c>
      <c r="E94" s="151">
        <v>1.864583333333333</v>
      </c>
      <c r="F94" s="64" t="s">
        <v>60</v>
      </c>
      <c r="G94" s="66">
        <v>6</v>
      </c>
      <c r="H94" s="148">
        <v>411</v>
      </c>
      <c r="I94" s="88"/>
    </row>
    <row r="95" spans="1:9" ht="19.8" customHeight="1" x14ac:dyDescent="0.3">
      <c r="A95" s="150">
        <v>45999</v>
      </c>
      <c r="B95" s="64" t="s">
        <v>58</v>
      </c>
      <c r="C95" s="65" t="s">
        <v>59</v>
      </c>
      <c r="D95" s="64" t="s">
        <v>1</v>
      </c>
      <c r="E95" s="151">
        <v>1.1701388888888891</v>
      </c>
      <c r="F95" s="64" t="s">
        <v>60</v>
      </c>
      <c r="G95" s="66">
        <v>9</v>
      </c>
      <c r="H95" s="148">
        <v>411</v>
      </c>
      <c r="I95" s="88"/>
    </row>
    <row r="96" spans="1:9" ht="19.8" customHeight="1" x14ac:dyDescent="0.3">
      <c r="A96" s="150">
        <v>45999</v>
      </c>
      <c r="B96" s="64" t="s">
        <v>58</v>
      </c>
      <c r="C96" s="65" t="s">
        <v>66</v>
      </c>
      <c r="D96" s="64" t="s">
        <v>1</v>
      </c>
      <c r="E96" s="151">
        <v>1.5277777777777779</v>
      </c>
      <c r="F96" s="64" t="s">
        <v>127</v>
      </c>
      <c r="G96" s="66">
        <v>9</v>
      </c>
      <c r="H96" s="148">
        <v>437</v>
      </c>
      <c r="I96" s="88"/>
    </row>
    <row r="97" spans="1:9" ht="19.8" customHeight="1" x14ac:dyDescent="0.3">
      <c r="A97" s="150">
        <v>45999</v>
      </c>
      <c r="B97" s="64" t="s">
        <v>40</v>
      </c>
      <c r="C97" s="65" t="s">
        <v>41</v>
      </c>
      <c r="D97" s="64" t="s">
        <v>1</v>
      </c>
      <c r="E97" s="151">
        <v>1.2013888888888891</v>
      </c>
      <c r="F97" s="64" t="s">
        <v>45</v>
      </c>
      <c r="G97" s="66">
        <v>9</v>
      </c>
      <c r="H97" s="148">
        <v>449</v>
      </c>
      <c r="I97" s="88"/>
    </row>
    <row r="98" spans="1:9" ht="19.8" customHeight="1" x14ac:dyDescent="0.3">
      <c r="A98" s="150">
        <v>45999</v>
      </c>
      <c r="B98" s="64" t="s">
        <v>40</v>
      </c>
      <c r="C98" s="65" t="s">
        <v>48</v>
      </c>
      <c r="D98" s="64" t="s">
        <v>1</v>
      </c>
      <c r="E98" s="151">
        <v>1.836805555555556</v>
      </c>
      <c r="F98" s="64" t="s">
        <v>45</v>
      </c>
      <c r="G98" s="66">
        <v>5</v>
      </c>
      <c r="H98" s="148">
        <v>479</v>
      </c>
      <c r="I98" s="88"/>
    </row>
    <row r="99" spans="1:9" ht="19.8" customHeight="1" x14ac:dyDescent="0.3">
      <c r="A99" s="150">
        <v>45999</v>
      </c>
      <c r="B99" s="64" t="s">
        <v>31</v>
      </c>
      <c r="C99" s="65" t="s">
        <v>32</v>
      </c>
      <c r="D99" s="64" t="s">
        <v>1</v>
      </c>
      <c r="E99" s="151">
        <v>1.305555555555556</v>
      </c>
      <c r="F99" s="64" t="s">
        <v>36</v>
      </c>
      <c r="G99" s="66">
        <v>16</v>
      </c>
      <c r="H99" s="148">
        <v>487</v>
      </c>
      <c r="I99" s="88"/>
    </row>
    <row r="100" spans="1:9" ht="19.8" customHeight="1" x14ac:dyDescent="0.3">
      <c r="A100" s="150">
        <v>45999</v>
      </c>
      <c r="B100" s="64" t="s">
        <v>40</v>
      </c>
      <c r="C100" s="65" t="s">
        <v>41</v>
      </c>
      <c r="D100" s="64" t="s">
        <v>1</v>
      </c>
      <c r="E100" s="151">
        <v>1.2013888888888891</v>
      </c>
      <c r="F100" s="64" t="s">
        <v>38</v>
      </c>
      <c r="G100" s="66">
        <v>9</v>
      </c>
      <c r="H100" s="148">
        <v>539</v>
      </c>
      <c r="I100" s="88"/>
    </row>
    <row r="101" spans="1:9" ht="19.8" customHeight="1" x14ac:dyDescent="0.3">
      <c r="A101" s="150">
        <v>45999</v>
      </c>
      <c r="B101" s="64" t="s">
        <v>40</v>
      </c>
      <c r="C101" s="65" t="s">
        <v>48</v>
      </c>
      <c r="D101" s="64" t="s">
        <v>1</v>
      </c>
      <c r="E101" s="151">
        <v>1.836805555555556</v>
      </c>
      <c r="F101" s="64" t="s">
        <v>38</v>
      </c>
      <c r="G101" s="66">
        <v>5</v>
      </c>
      <c r="H101" s="148">
        <v>569</v>
      </c>
      <c r="I101" s="88"/>
    </row>
    <row r="102" spans="1:9" ht="19.8" customHeight="1" x14ac:dyDescent="0.3">
      <c r="A102" s="150">
        <v>45999</v>
      </c>
      <c r="B102" s="64" t="s">
        <v>31</v>
      </c>
      <c r="C102" s="65" t="s">
        <v>32</v>
      </c>
      <c r="D102" s="64" t="s">
        <v>1</v>
      </c>
      <c r="E102" s="151">
        <v>1.305555555555556</v>
      </c>
      <c r="F102" s="64" t="s">
        <v>38</v>
      </c>
      <c r="G102" s="66">
        <v>16</v>
      </c>
      <c r="H102" s="148">
        <v>899</v>
      </c>
      <c r="I102" s="88"/>
    </row>
    <row r="103" spans="1:9" ht="19.8" customHeight="1" x14ac:dyDescent="0.3">
      <c r="A103" s="152">
        <v>45999</v>
      </c>
      <c r="B103" s="60" t="s">
        <v>68</v>
      </c>
      <c r="C103" s="61" t="s">
        <v>69</v>
      </c>
      <c r="D103" s="60" t="s">
        <v>1</v>
      </c>
      <c r="E103" s="153">
        <v>1.305555555555556</v>
      </c>
      <c r="F103" s="60" t="s">
        <v>70</v>
      </c>
      <c r="G103" s="62">
        <v>4</v>
      </c>
      <c r="H103" s="72" t="s">
        <v>122</v>
      </c>
      <c r="I103" s="88"/>
    </row>
    <row r="104" spans="1:9" ht="19.8" customHeight="1" x14ac:dyDescent="0.3">
      <c r="A104" s="150">
        <v>46000</v>
      </c>
      <c r="B104" s="64" t="s">
        <v>31</v>
      </c>
      <c r="C104" s="65" t="s">
        <v>32</v>
      </c>
      <c r="D104" s="64" t="s">
        <v>1</v>
      </c>
      <c r="E104" s="151">
        <v>1.305555555555556</v>
      </c>
      <c r="F104" s="64" t="s">
        <v>33</v>
      </c>
      <c r="G104" s="66">
        <v>11</v>
      </c>
      <c r="H104" s="148">
        <v>309</v>
      </c>
      <c r="I104" s="88"/>
    </row>
    <row r="105" spans="1:9" ht="19.8" customHeight="1" x14ac:dyDescent="0.3">
      <c r="A105" s="150">
        <v>46000</v>
      </c>
      <c r="B105" s="64" t="s">
        <v>40</v>
      </c>
      <c r="C105" s="65" t="s">
        <v>48</v>
      </c>
      <c r="D105" s="64" t="s">
        <v>1</v>
      </c>
      <c r="E105" s="151">
        <v>1.836805555555556</v>
      </c>
      <c r="F105" s="64" t="s">
        <v>42</v>
      </c>
      <c r="G105" s="66">
        <v>1</v>
      </c>
      <c r="H105" s="148">
        <v>349</v>
      </c>
      <c r="I105" s="88"/>
    </row>
    <row r="106" spans="1:9" ht="19.8" customHeight="1" x14ac:dyDescent="0.3">
      <c r="A106" s="150">
        <v>46000</v>
      </c>
      <c r="B106" s="64" t="s">
        <v>40</v>
      </c>
      <c r="C106" s="65" t="s">
        <v>41</v>
      </c>
      <c r="D106" s="64" t="s">
        <v>1</v>
      </c>
      <c r="E106" s="151">
        <v>1.2013888888888891</v>
      </c>
      <c r="F106" s="64" t="s">
        <v>42</v>
      </c>
      <c r="G106" s="66">
        <v>9</v>
      </c>
      <c r="H106" s="148">
        <v>349</v>
      </c>
      <c r="I106" s="88"/>
    </row>
    <row r="107" spans="1:9" ht="19.8" customHeight="1" x14ac:dyDescent="0.3">
      <c r="A107" s="154">
        <v>46000</v>
      </c>
      <c r="B107" s="68" t="s">
        <v>51</v>
      </c>
      <c r="C107" s="69" t="s">
        <v>52</v>
      </c>
      <c r="D107" s="68" t="s">
        <v>1</v>
      </c>
      <c r="E107" s="155">
        <v>1.270833333333333</v>
      </c>
      <c r="F107" s="68" t="s">
        <v>28</v>
      </c>
      <c r="G107" s="70">
        <v>9</v>
      </c>
      <c r="H107" s="149">
        <v>379</v>
      </c>
      <c r="I107" s="88"/>
    </row>
    <row r="108" spans="1:9" ht="19.8" customHeight="1" x14ac:dyDescent="0.3">
      <c r="A108" s="150">
        <v>46000</v>
      </c>
      <c r="B108" s="64" t="s">
        <v>26</v>
      </c>
      <c r="C108" s="65" t="s">
        <v>57</v>
      </c>
      <c r="D108" s="64" t="s">
        <v>1</v>
      </c>
      <c r="E108" s="151">
        <v>1.958333333333333</v>
      </c>
      <c r="F108" s="64" t="s">
        <v>28</v>
      </c>
      <c r="G108" s="66">
        <v>9</v>
      </c>
      <c r="H108" s="148">
        <v>379</v>
      </c>
      <c r="I108" s="88"/>
    </row>
    <row r="109" spans="1:9" ht="19.8" customHeight="1" x14ac:dyDescent="0.3">
      <c r="A109" s="150">
        <v>46000</v>
      </c>
      <c r="B109" s="64" t="s">
        <v>58</v>
      </c>
      <c r="C109" s="65" t="s">
        <v>63</v>
      </c>
      <c r="D109" s="64" t="s">
        <v>1</v>
      </c>
      <c r="E109" s="151">
        <v>1.864583333333333</v>
      </c>
      <c r="F109" s="64" t="s">
        <v>60</v>
      </c>
      <c r="G109" s="66">
        <v>7</v>
      </c>
      <c r="H109" s="148">
        <v>411</v>
      </c>
      <c r="I109" s="88"/>
    </row>
    <row r="110" spans="1:9" ht="19.8" customHeight="1" x14ac:dyDescent="0.3">
      <c r="A110" s="150">
        <v>46000</v>
      </c>
      <c r="B110" s="64" t="s">
        <v>58</v>
      </c>
      <c r="C110" s="65" t="s">
        <v>59</v>
      </c>
      <c r="D110" s="64" t="s">
        <v>1</v>
      </c>
      <c r="E110" s="151">
        <v>1.1701388888888891</v>
      </c>
      <c r="F110" s="64" t="s">
        <v>60</v>
      </c>
      <c r="G110" s="66">
        <v>8</v>
      </c>
      <c r="H110" s="148">
        <v>411</v>
      </c>
      <c r="I110" s="88"/>
    </row>
    <row r="111" spans="1:9" ht="19.8" customHeight="1" x14ac:dyDescent="0.3">
      <c r="A111" s="150">
        <v>46000</v>
      </c>
      <c r="B111" s="64" t="s">
        <v>40</v>
      </c>
      <c r="C111" s="65" t="s">
        <v>48</v>
      </c>
      <c r="D111" s="64" t="s">
        <v>1</v>
      </c>
      <c r="E111" s="151">
        <v>1.836805555555556</v>
      </c>
      <c r="F111" s="64" t="s">
        <v>45</v>
      </c>
      <c r="G111" s="66">
        <v>1</v>
      </c>
      <c r="H111" s="148">
        <v>449</v>
      </c>
      <c r="I111" s="88"/>
    </row>
    <row r="112" spans="1:9" ht="19.8" customHeight="1" x14ac:dyDescent="0.3">
      <c r="A112" s="150">
        <v>46000</v>
      </c>
      <c r="B112" s="64" t="s">
        <v>40</v>
      </c>
      <c r="C112" s="65" t="s">
        <v>41</v>
      </c>
      <c r="D112" s="64" t="s">
        <v>1</v>
      </c>
      <c r="E112" s="151">
        <v>1.2013888888888891</v>
      </c>
      <c r="F112" s="64" t="s">
        <v>45</v>
      </c>
      <c r="G112" s="66">
        <v>9</v>
      </c>
      <c r="H112" s="148">
        <v>449</v>
      </c>
      <c r="I112" s="88"/>
    </row>
    <row r="113" spans="1:9" ht="19.8" customHeight="1" x14ac:dyDescent="0.3">
      <c r="A113" s="150">
        <v>46000</v>
      </c>
      <c r="B113" s="64" t="s">
        <v>31</v>
      </c>
      <c r="C113" s="65" t="s">
        <v>32</v>
      </c>
      <c r="D113" s="64" t="s">
        <v>1</v>
      </c>
      <c r="E113" s="151">
        <v>1.305555555555556</v>
      </c>
      <c r="F113" s="64" t="s">
        <v>36</v>
      </c>
      <c r="G113" s="66">
        <v>11</v>
      </c>
      <c r="H113" s="148">
        <v>487</v>
      </c>
      <c r="I113" s="88"/>
    </row>
    <row r="114" spans="1:9" ht="19.8" customHeight="1" x14ac:dyDescent="0.3">
      <c r="A114" s="150">
        <v>46000</v>
      </c>
      <c r="B114" s="64" t="s">
        <v>40</v>
      </c>
      <c r="C114" s="65" t="s">
        <v>48</v>
      </c>
      <c r="D114" s="64" t="s">
        <v>1</v>
      </c>
      <c r="E114" s="151">
        <v>1.836805555555556</v>
      </c>
      <c r="F114" s="64" t="s">
        <v>38</v>
      </c>
      <c r="G114" s="66">
        <v>1</v>
      </c>
      <c r="H114" s="148">
        <v>539</v>
      </c>
      <c r="I114" s="88"/>
    </row>
    <row r="115" spans="1:9" ht="19.8" customHeight="1" x14ac:dyDescent="0.3">
      <c r="A115" s="150">
        <v>46000</v>
      </c>
      <c r="B115" s="64" t="s">
        <v>40</v>
      </c>
      <c r="C115" s="65" t="s">
        <v>41</v>
      </c>
      <c r="D115" s="64" t="s">
        <v>1</v>
      </c>
      <c r="E115" s="151">
        <v>1.2013888888888891</v>
      </c>
      <c r="F115" s="64" t="s">
        <v>38</v>
      </c>
      <c r="G115" s="66">
        <v>9</v>
      </c>
      <c r="H115" s="148">
        <v>539</v>
      </c>
      <c r="I115" s="88"/>
    </row>
    <row r="116" spans="1:9" ht="19.8" customHeight="1" x14ac:dyDescent="0.3">
      <c r="A116" s="150">
        <v>46000</v>
      </c>
      <c r="B116" s="64" t="s">
        <v>58</v>
      </c>
      <c r="C116" s="65" t="s">
        <v>66</v>
      </c>
      <c r="D116" s="64" t="s">
        <v>1</v>
      </c>
      <c r="E116" s="151">
        <v>1.5277777777777779</v>
      </c>
      <c r="F116" s="64" t="s">
        <v>64</v>
      </c>
      <c r="G116" s="66">
        <v>9</v>
      </c>
      <c r="H116" s="148">
        <v>547</v>
      </c>
      <c r="I116" s="88"/>
    </row>
    <row r="117" spans="1:9" ht="19.8" customHeight="1" x14ac:dyDescent="0.3">
      <c r="A117" s="150">
        <v>46000</v>
      </c>
      <c r="B117" s="64" t="s">
        <v>31</v>
      </c>
      <c r="C117" s="65" t="s">
        <v>32</v>
      </c>
      <c r="D117" s="64" t="s">
        <v>1</v>
      </c>
      <c r="E117" s="151">
        <v>1.305555555555556</v>
      </c>
      <c r="F117" s="64" t="s">
        <v>38</v>
      </c>
      <c r="G117" s="66">
        <v>11</v>
      </c>
      <c r="H117" s="148">
        <v>899</v>
      </c>
      <c r="I117" s="88"/>
    </row>
    <row r="118" spans="1:9" ht="19.8" customHeight="1" x14ac:dyDescent="0.3">
      <c r="A118" s="152">
        <v>46000</v>
      </c>
      <c r="B118" s="60" t="s">
        <v>68</v>
      </c>
      <c r="C118" s="61" t="s">
        <v>69</v>
      </c>
      <c r="D118" s="60" t="s">
        <v>1</v>
      </c>
      <c r="E118" s="153">
        <v>1.305555555555556</v>
      </c>
      <c r="F118" s="60" t="s">
        <v>70</v>
      </c>
      <c r="G118" s="62">
        <v>4</v>
      </c>
      <c r="H118" s="72" t="s">
        <v>122</v>
      </c>
      <c r="I118" s="88"/>
    </row>
    <row r="119" spans="1:9" ht="19.8" customHeight="1" x14ac:dyDescent="0.3">
      <c r="A119" s="150">
        <v>46001</v>
      </c>
      <c r="B119" s="64" t="s">
        <v>40</v>
      </c>
      <c r="C119" s="65" t="s">
        <v>48</v>
      </c>
      <c r="D119" s="64" t="s">
        <v>1</v>
      </c>
      <c r="E119" s="151">
        <v>1.836805555555556</v>
      </c>
      <c r="F119" s="64" t="s">
        <v>42</v>
      </c>
      <c r="G119" s="66">
        <v>9</v>
      </c>
      <c r="H119" s="148">
        <v>629</v>
      </c>
      <c r="I119" s="88"/>
    </row>
    <row r="120" spans="1:9" ht="19.8" customHeight="1" x14ac:dyDescent="0.3">
      <c r="A120" s="150">
        <v>46001</v>
      </c>
      <c r="B120" s="64" t="s">
        <v>40</v>
      </c>
      <c r="C120" s="65" t="s">
        <v>48</v>
      </c>
      <c r="D120" s="64" t="s">
        <v>1</v>
      </c>
      <c r="E120" s="151">
        <v>1.836805555555556</v>
      </c>
      <c r="F120" s="64" t="s">
        <v>45</v>
      </c>
      <c r="G120" s="66">
        <v>9</v>
      </c>
      <c r="H120" s="148">
        <v>729</v>
      </c>
      <c r="I120" s="88"/>
    </row>
    <row r="121" spans="1:9" ht="19.8" customHeight="1" x14ac:dyDescent="0.3">
      <c r="A121" s="152">
        <v>46001</v>
      </c>
      <c r="B121" s="60" t="s">
        <v>40</v>
      </c>
      <c r="C121" s="61" t="s">
        <v>48</v>
      </c>
      <c r="D121" s="60" t="s">
        <v>1</v>
      </c>
      <c r="E121" s="153">
        <v>1.836805555555556</v>
      </c>
      <c r="F121" s="60" t="s">
        <v>38</v>
      </c>
      <c r="G121" s="62">
        <v>9</v>
      </c>
      <c r="H121" s="147">
        <v>819</v>
      </c>
      <c r="I121" s="88"/>
    </row>
    <row r="122" spans="1:9" ht="19.8" customHeight="1" x14ac:dyDescent="0.3">
      <c r="A122" s="150">
        <v>46002</v>
      </c>
      <c r="B122" s="64" t="s">
        <v>31</v>
      </c>
      <c r="C122" s="65" t="s">
        <v>32</v>
      </c>
      <c r="D122" s="64" t="s">
        <v>1</v>
      </c>
      <c r="E122" s="151">
        <v>1.305555555555556</v>
      </c>
      <c r="F122" s="64" t="s">
        <v>33</v>
      </c>
      <c r="G122" s="66">
        <v>19</v>
      </c>
      <c r="H122" s="148">
        <v>369</v>
      </c>
      <c r="I122" s="88"/>
    </row>
    <row r="123" spans="1:9" ht="19.8" customHeight="1" x14ac:dyDescent="0.3">
      <c r="A123" s="150">
        <v>46002</v>
      </c>
      <c r="B123" s="64" t="s">
        <v>73</v>
      </c>
      <c r="C123" s="65" t="s">
        <v>74</v>
      </c>
      <c r="D123" s="64" t="s">
        <v>1</v>
      </c>
      <c r="E123" s="151">
        <v>1.8888888888888891</v>
      </c>
      <c r="F123" s="64" t="s">
        <v>28</v>
      </c>
      <c r="G123" s="66">
        <v>4</v>
      </c>
      <c r="H123" s="148">
        <v>371</v>
      </c>
      <c r="I123" s="88"/>
    </row>
    <row r="124" spans="1:9" ht="19.8" customHeight="1" x14ac:dyDescent="0.3">
      <c r="A124" s="154">
        <v>46002</v>
      </c>
      <c r="B124" s="68" t="s">
        <v>51</v>
      </c>
      <c r="C124" s="69" t="s">
        <v>52</v>
      </c>
      <c r="D124" s="68" t="s">
        <v>1</v>
      </c>
      <c r="E124" s="155">
        <v>1.9236111111111109</v>
      </c>
      <c r="F124" s="68" t="s">
        <v>28</v>
      </c>
      <c r="G124" s="70">
        <v>9</v>
      </c>
      <c r="H124" s="149">
        <v>379</v>
      </c>
      <c r="I124" s="88"/>
    </row>
    <row r="125" spans="1:9" ht="19.8" customHeight="1" x14ac:dyDescent="0.3">
      <c r="A125" s="150">
        <v>46002</v>
      </c>
      <c r="B125" s="64" t="s">
        <v>40</v>
      </c>
      <c r="C125" s="65" t="s">
        <v>41</v>
      </c>
      <c r="D125" s="64" t="s">
        <v>1</v>
      </c>
      <c r="E125" s="151">
        <v>1.2013888888888891</v>
      </c>
      <c r="F125" s="64" t="s">
        <v>42</v>
      </c>
      <c r="G125" s="66">
        <v>5</v>
      </c>
      <c r="H125" s="148">
        <v>399</v>
      </c>
      <c r="I125" s="88"/>
    </row>
    <row r="126" spans="1:9" ht="19.8" customHeight="1" x14ac:dyDescent="0.3">
      <c r="A126" s="150">
        <v>46002</v>
      </c>
      <c r="B126" s="64" t="s">
        <v>58</v>
      </c>
      <c r="C126" s="65" t="s">
        <v>59</v>
      </c>
      <c r="D126" s="64" t="s">
        <v>1</v>
      </c>
      <c r="E126" s="151">
        <v>1.1701388888888891</v>
      </c>
      <c r="F126" s="64" t="s">
        <v>60</v>
      </c>
      <c r="G126" s="66">
        <v>7</v>
      </c>
      <c r="H126" s="148">
        <v>411</v>
      </c>
      <c r="I126" s="88"/>
    </row>
    <row r="127" spans="1:9" ht="19.8" customHeight="1" x14ac:dyDescent="0.3">
      <c r="A127" s="150">
        <v>46002</v>
      </c>
      <c r="B127" s="64" t="s">
        <v>26</v>
      </c>
      <c r="C127" s="65" t="s">
        <v>57</v>
      </c>
      <c r="D127" s="64" t="s">
        <v>1</v>
      </c>
      <c r="E127" s="151">
        <v>1.958333333333333</v>
      </c>
      <c r="F127" s="64" t="s">
        <v>28</v>
      </c>
      <c r="G127" s="66">
        <v>9</v>
      </c>
      <c r="H127" s="148">
        <v>439</v>
      </c>
      <c r="I127" s="88"/>
    </row>
    <row r="128" spans="1:9" ht="19.8" customHeight="1" x14ac:dyDescent="0.3">
      <c r="A128" s="150">
        <v>46002</v>
      </c>
      <c r="B128" s="64" t="s">
        <v>40</v>
      </c>
      <c r="C128" s="65" t="s">
        <v>48</v>
      </c>
      <c r="D128" s="64" t="s">
        <v>1</v>
      </c>
      <c r="E128" s="151">
        <v>1.836805555555556</v>
      </c>
      <c r="F128" s="64" t="s">
        <v>42</v>
      </c>
      <c r="G128" s="66">
        <v>3</v>
      </c>
      <c r="H128" s="148">
        <v>459</v>
      </c>
      <c r="I128" s="88"/>
    </row>
    <row r="129" spans="1:9" ht="19.8" customHeight="1" x14ac:dyDescent="0.3">
      <c r="A129" s="150">
        <v>46002</v>
      </c>
      <c r="B129" s="64" t="s">
        <v>40</v>
      </c>
      <c r="C129" s="65" t="s">
        <v>41</v>
      </c>
      <c r="D129" s="64" t="s">
        <v>1</v>
      </c>
      <c r="E129" s="151">
        <v>1.2013888888888891</v>
      </c>
      <c r="F129" s="64" t="s">
        <v>45</v>
      </c>
      <c r="G129" s="66">
        <v>5</v>
      </c>
      <c r="H129" s="148">
        <v>499</v>
      </c>
      <c r="I129" s="88"/>
    </row>
    <row r="130" spans="1:9" ht="19.8" customHeight="1" x14ac:dyDescent="0.3">
      <c r="A130" s="150">
        <v>46002</v>
      </c>
      <c r="B130" s="64" t="s">
        <v>31</v>
      </c>
      <c r="C130" s="65" t="s">
        <v>32</v>
      </c>
      <c r="D130" s="64" t="s">
        <v>1</v>
      </c>
      <c r="E130" s="151">
        <v>1.305555555555556</v>
      </c>
      <c r="F130" s="64" t="s">
        <v>36</v>
      </c>
      <c r="G130" s="66">
        <v>19</v>
      </c>
      <c r="H130" s="148">
        <v>547</v>
      </c>
      <c r="I130" s="88"/>
    </row>
    <row r="131" spans="1:9" ht="19.8" customHeight="1" x14ac:dyDescent="0.3">
      <c r="A131" s="150">
        <v>46002</v>
      </c>
      <c r="B131" s="64" t="s">
        <v>58</v>
      </c>
      <c r="C131" s="65" t="s">
        <v>63</v>
      </c>
      <c r="D131" s="64" t="s">
        <v>1</v>
      </c>
      <c r="E131" s="151">
        <v>1.864583333333333</v>
      </c>
      <c r="F131" s="64" t="s">
        <v>64</v>
      </c>
      <c r="G131" s="66">
        <v>9</v>
      </c>
      <c r="H131" s="148">
        <v>547</v>
      </c>
      <c r="I131" s="88"/>
    </row>
    <row r="132" spans="1:9" ht="19.8" customHeight="1" x14ac:dyDescent="0.3">
      <c r="A132" s="150">
        <v>46002</v>
      </c>
      <c r="B132" s="64" t="s">
        <v>58</v>
      </c>
      <c r="C132" s="65" t="s">
        <v>66</v>
      </c>
      <c r="D132" s="64" t="s">
        <v>1</v>
      </c>
      <c r="E132" s="151">
        <v>1.5277777777777779</v>
      </c>
      <c r="F132" s="64" t="s">
        <v>64</v>
      </c>
      <c r="G132" s="66">
        <v>9</v>
      </c>
      <c r="H132" s="148">
        <v>547</v>
      </c>
      <c r="I132" s="88"/>
    </row>
    <row r="133" spans="1:9" ht="19.8" customHeight="1" x14ac:dyDescent="0.3">
      <c r="A133" s="150">
        <v>46002</v>
      </c>
      <c r="B133" s="64" t="s">
        <v>40</v>
      </c>
      <c r="C133" s="65" t="s">
        <v>48</v>
      </c>
      <c r="D133" s="64" t="s">
        <v>1</v>
      </c>
      <c r="E133" s="151">
        <v>1.836805555555556</v>
      </c>
      <c r="F133" s="64" t="s">
        <v>45</v>
      </c>
      <c r="G133" s="66">
        <v>3</v>
      </c>
      <c r="H133" s="148">
        <v>559</v>
      </c>
      <c r="I133" s="88"/>
    </row>
    <row r="134" spans="1:9" ht="19.8" customHeight="1" x14ac:dyDescent="0.3">
      <c r="A134" s="150">
        <v>46002</v>
      </c>
      <c r="B134" s="64" t="s">
        <v>40</v>
      </c>
      <c r="C134" s="65" t="s">
        <v>41</v>
      </c>
      <c r="D134" s="64" t="s">
        <v>1</v>
      </c>
      <c r="E134" s="151">
        <v>1.2013888888888891</v>
      </c>
      <c r="F134" s="64" t="s">
        <v>38</v>
      </c>
      <c r="G134" s="66">
        <v>5</v>
      </c>
      <c r="H134" s="148">
        <v>589</v>
      </c>
      <c r="I134" s="88"/>
    </row>
    <row r="135" spans="1:9" ht="19.8" customHeight="1" x14ac:dyDescent="0.3">
      <c r="A135" s="150">
        <v>46002</v>
      </c>
      <c r="B135" s="64" t="s">
        <v>40</v>
      </c>
      <c r="C135" s="65" t="s">
        <v>48</v>
      </c>
      <c r="D135" s="64" t="s">
        <v>1</v>
      </c>
      <c r="E135" s="151">
        <v>1.836805555555556</v>
      </c>
      <c r="F135" s="64" t="s">
        <v>38</v>
      </c>
      <c r="G135" s="66">
        <v>3</v>
      </c>
      <c r="H135" s="148">
        <v>649</v>
      </c>
      <c r="I135" s="88"/>
    </row>
    <row r="136" spans="1:9" ht="19.8" customHeight="1" x14ac:dyDescent="0.3">
      <c r="A136" s="150">
        <v>46002</v>
      </c>
      <c r="B136" s="64" t="s">
        <v>31</v>
      </c>
      <c r="C136" s="65" t="s">
        <v>32</v>
      </c>
      <c r="D136" s="64" t="s">
        <v>1</v>
      </c>
      <c r="E136" s="151">
        <v>1.305555555555556</v>
      </c>
      <c r="F136" s="64" t="s">
        <v>38</v>
      </c>
      <c r="G136" s="66">
        <v>19</v>
      </c>
      <c r="H136" s="148">
        <v>899</v>
      </c>
      <c r="I136" s="88"/>
    </row>
    <row r="137" spans="1:9" ht="19.8" customHeight="1" x14ac:dyDescent="0.3">
      <c r="A137" s="152">
        <v>46002</v>
      </c>
      <c r="B137" s="60" t="s">
        <v>68</v>
      </c>
      <c r="C137" s="61" t="s">
        <v>69</v>
      </c>
      <c r="D137" s="60" t="s">
        <v>1</v>
      </c>
      <c r="E137" s="153">
        <v>1.305555555555556</v>
      </c>
      <c r="F137" s="60" t="s">
        <v>70</v>
      </c>
      <c r="G137" s="62">
        <v>4</v>
      </c>
      <c r="H137" s="72" t="s">
        <v>112</v>
      </c>
      <c r="I137" s="88"/>
    </row>
    <row r="138" spans="1:9" ht="19.8" customHeight="1" x14ac:dyDescent="0.3">
      <c r="A138" s="150">
        <v>46003</v>
      </c>
      <c r="B138" s="64" t="s">
        <v>40</v>
      </c>
      <c r="C138" s="65" t="s">
        <v>48</v>
      </c>
      <c r="D138" s="64" t="s">
        <v>1</v>
      </c>
      <c r="E138" s="151">
        <v>1.836805555555556</v>
      </c>
      <c r="F138" s="64" t="s">
        <v>42</v>
      </c>
      <c r="G138" s="66">
        <v>2</v>
      </c>
      <c r="H138" s="148">
        <v>349</v>
      </c>
      <c r="I138" s="88"/>
    </row>
    <row r="139" spans="1:9" ht="19.8" customHeight="1" x14ac:dyDescent="0.3">
      <c r="A139" s="150">
        <v>46003</v>
      </c>
      <c r="B139" s="64" t="s">
        <v>31</v>
      </c>
      <c r="C139" s="65" t="s">
        <v>32</v>
      </c>
      <c r="D139" s="64" t="s">
        <v>1</v>
      </c>
      <c r="E139" s="151">
        <v>1.305555555555556</v>
      </c>
      <c r="F139" s="64" t="s">
        <v>33</v>
      </c>
      <c r="G139" s="66">
        <v>8</v>
      </c>
      <c r="H139" s="148">
        <v>369</v>
      </c>
      <c r="I139" s="88"/>
    </row>
    <row r="140" spans="1:9" ht="19.8" customHeight="1" x14ac:dyDescent="0.3">
      <c r="A140" s="150">
        <v>46003</v>
      </c>
      <c r="B140" s="64" t="s">
        <v>58</v>
      </c>
      <c r="C140" s="65" t="s">
        <v>63</v>
      </c>
      <c r="D140" s="64" t="s">
        <v>1</v>
      </c>
      <c r="E140" s="151">
        <v>1.864583333333333</v>
      </c>
      <c r="F140" s="64" t="s">
        <v>60</v>
      </c>
      <c r="G140" s="66">
        <v>1</v>
      </c>
      <c r="H140" s="148">
        <v>411</v>
      </c>
      <c r="I140" s="88"/>
    </row>
    <row r="141" spans="1:9" ht="19.8" customHeight="1" x14ac:dyDescent="0.3">
      <c r="A141" s="150">
        <v>46003</v>
      </c>
      <c r="B141" s="64" t="s">
        <v>58</v>
      </c>
      <c r="C141" s="65" t="s">
        <v>59</v>
      </c>
      <c r="D141" s="64" t="s">
        <v>1</v>
      </c>
      <c r="E141" s="151">
        <v>1.1701388888888891</v>
      </c>
      <c r="F141" s="64" t="s">
        <v>60</v>
      </c>
      <c r="G141" s="66">
        <v>9</v>
      </c>
      <c r="H141" s="148">
        <v>411</v>
      </c>
      <c r="I141" s="88"/>
    </row>
    <row r="142" spans="1:9" ht="19.8" customHeight="1" x14ac:dyDescent="0.3">
      <c r="A142" s="150">
        <v>46003</v>
      </c>
      <c r="B142" s="64" t="s">
        <v>26</v>
      </c>
      <c r="C142" s="65" t="s">
        <v>27</v>
      </c>
      <c r="D142" s="64" t="s">
        <v>1</v>
      </c>
      <c r="E142" s="151">
        <v>1.958333333333333</v>
      </c>
      <c r="F142" s="64" t="s">
        <v>28</v>
      </c>
      <c r="G142" s="66">
        <v>9</v>
      </c>
      <c r="H142" s="148">
        <v>439</v>
      </c>
      <c r="I142" s="88"/>
    </row>
    <row r="143" spans="1:9" ht="19.8" customHeight="1" x14ac:dyDescent="0.3">
      <c r="A143" s="150">
        <v>46003</v>
      </c>
      <c r="B143" s="64" t="s">
        <v>40</v>
      </c>
      <c r="C143" s="65" t="s">
        <v>48</v>
      </c>
      <c r="D143" s="64" t="s">
        <v>1</v>
      </c>
      <c r="E143" s="151">
        <v>1.836805555555556</v>
      </c>
      <c r="F143" s="64" t="s">
        <v>45</v>
      </c>
      <c r="G143" s="66">
        <v>2</v>
      </c>
      <c r="H143" s="148">
        <v>449</v>
      </c>
      <c r="I143" s="88"/>
    </row>
    <row r="144" spans="1:9" ht="19.8" customHeight="1" x14ac:dyDescent="0.3">
      <c r="A144" s="154">
        <v>46003</v>
      </c>
      <c r="B144" s="68" t="s">
        <v>51</v>
      </c>
      <c r="C144" s="69" t="s">
        <v>52</v>
      </c>
      <c r="D144" s="68" t="s">
        <v>1</v>
      </c>
      <c r="E144" s="155">
        <v>1.5798611111111109</v>
      </c>
      <c r="F144" s="68" t="s">
        <v>28</v>
      </c>
      <c r="G144" s="70">
        <v>3</v>
      </c>
      <c r="H144" s="149">
        <v>476</v>
      </c>
      <c r="I144" s="88"/>
    </row>
    <row r="145" spans="1:9" ht="19.8" customHeight="1" x14ac:dyDescent="0.3">
      <c r="A145" s="150">
        <v>46003</v>
      </c>
      <c r="B145" s="64" t="s">
        <v>40</v>
      </c>
      <c r="C145" s="65" t="s">
        <v>48</v>
      </c>
      <c r="D145" s="64" t="s">
        <v>1</v>
      </c>
      <c r="E145" s="151">
        <v>1.836805555555556</v>
      </c>
      <c r="F145" s="64" t="s">
        <v>38</v>
      </c>
      <c r="G145" s="66">
        <v>2</v>
      </c>
      <c r="H145" s="148">
        <v>539</v>
      </c>
      <c r="I145" s="88"/>
    </row>
    <row r="146" spans="1:9" ht="19.8" customHeight="1" x14ac:dyDescent="0.3">
      <c r="A146" s="150">
        <v>46003</v>
      </c>
      <c r="B146" s="64" t="s">
        <v>31</v>
      </c>
      <c r="C146" s="65" t="s">
        <v>32</v>
      </c>
      <c r="D146" s="64" t="s">
        <v>1</v>
      </c>
      <c r="E146" s="151">
        <v>1.305555555555556</v>
      </c>
      <c r="F146" s="64" t="s">
        <v>36</v>
      </c>
      <c r="G146" s="66">
        <v>8</v>
      </c>
      <c r="H146" s="148">
        <v>547</v>
      </c>
      <c r="I146" s="88"/>
    </row>
    <row r="147" spans="1:9" ht="19.8" customHeight="1" x14ac:dyDescent="0.3">
      <c r="A147" s="150">
        <v>46003</v>
      </c>
      <c r="B147" s="64" t="s">
        <v>58</v>
      </c>
      <c r="C147" s="65" t="s">
        <v>66</v>
      </c>
      <c r="D147" s="64" t="s">
        <v>1</v>
      </c>
      <c r="E147" s="151">
        <v>1.5277777777777779</v>
      </c>
      <c r="F147" s="64" t="s">
        <v>64</v>
      </c>
      <c r="G147" s="66">
        <v>9</v>
      </c>
      <c r="H147" s="148">
        <v>596</v>
      </c>
      <c r="I147" s="88"/>
    </row>
    <row r="148" spans="1:9" ht="19.8" customHeight="1" x14ac:dyDescent="0.3">
      <c r="A148" s="150">
        <v>46003</v>
      </c>
      <c r="B148" s="64" t="s">
        <v>68</v>
      </c>
      <c r="C148" s="65" t="s">
        <v>69</v>
      </c>
      <c r="D148" s="64" t="s">
        <v>1</v>
      </c>
      <c r="E148" s="151">
        <v>1.305555555555556</v>
      </c>
      <c r="F148" s="64" t="s">
        <v>70</v>
      </c>
      <c r="G148" s="66">
        <v>4</v>
      </c>
      <c r="H148" s="71" t="s">
        <v>112</v>
      </c>
      <c r="I148" s="88"/>
    </row>
    <row r="149" spans="1:9" ht="19.8" customHeight="1" x14ac:dyDescent="0.3">
      <c r="A149" s="152">
        <v>46003</v>
      </c>
      <c r="B149" s="60" t="s">
        <v>31</v>
      </c>
      <c r="C149" s="61" t="s">
        <v>32</v>
      </c>
      <c r="D149" s="60" t="s">
        <v>1</v>
      </c>
      <c r="E149" s="153">
        <v>1.305555555555556</v>
      </c>
      <c r="F149" s="60" t="s">
        <v>38</v>
      </c>
      <c r="G149" s="62">
        <v>8</v>
      </c>
      <c r="H149" s="72" t="s">
        <v>39</v>
      </c>
      <c r="I149" s="88"/>
    </row>
    <row r="150" spans="1:9" ht="19.8" customHeight="1" x14ac:dyDescent="0.3">
      <c r="A150" s="150">
        <v>46004</v>
      </c>
      <c r="B150" s="64" t="s">
        <v>31</v>
      </c>
      <c r="C150" s="65" t="s">
        <v>32</v>
      </c>
      <c r="D150" s="64" t="s">
        <v>1</v>
      </c>
      <c r="E150" s="151">
        <v>1.305555555555556</v>
      </c>
      <c r="F150" s="64" t="s">
        <v>33</v>
      </c>
      <c r="G150" s="66">
        <v>19</v>
      </c>
      <c r="H150" s="148">
        <v>309</v>
      </c>
      <c r="I150" s="88"/>
    </row>
    <row r="151" spans="1:9" ht="19.8" customHeight="1" x14ac:dyDescent="0.3">
      <c r="A151" s="150">
        <v>46004</v>
      </c>
      <c r="B151" s="64" t="s">
        <v>40</v>
      </c>
      <c r="C151" s="65" t="s">
        <v>41</v>
      </c>
      <c r="D151" s="64" t="s">
        <v>1</v>
      </c>
      <c r="E151" s="151">
        <v>1.2013888888888891</v>
      </c>
      <c r="F151" s="64" t="s">
        <v>42</v>
      </c>
      <c r="G151" s="66">
        <v>9</v>
      </c>
      <c r="H151" s="148">
        <v>349</v>
      </c>
      <c r="I151" s="88"/>
    </row>
    <row r="152" spans="1:9" ht="19.8" customHeight="1" x14ac:dyDescent="0.3">
      <c r="A152" s="150">
        <v>46004</v>
      </c>
      <c r="B152" s="64" t="s">
        <v>76</v>
      </c>
      <c r="C152" s="65" t="s">
        <v>77</v>
      </c>
      <c r="D152" s="64" t="s">
        <v>1</v>
      </c>
      <c r="E152" s="151">
        <v>1.9722222222222221</v>
      </c>
      <c r="F152" s="64" t="s">
        <v>78</v>
      </c>
      <c r="G152" s="66">
        <v>9</v>
      </c>
      <c r="H152" s="148">
        <v>354</v>
      </c>
      <c r="I152" s="88"/>
    </row>
    <row r="153" spans="1:9" ht="19.8" customHeight="1" x14ac:dyDescent="0.3">
      <c r="A153" s="150">
        <v>46004</v>
      </c>
      <c r="B153" s="64" t="s">
        <v>40</v>
      </c>
      <c r="C153" s="65" t="s">
        <v>48</v>
      </c>
      <c r="D153" s="64" t="s">
        <v>1</v>
      </c>
      <c r="E153" s="151">
        <v>1.836805555555556</v>
      </c>
      <c r="F153" s="64" t="s">
        <v>42</v>
      </c>
      <c r="G153" s="66">
        <v>8</v>
      </c>
      <c r="H153" s="148">
        <v>379</v>
      </c>
      <c r="I153" s="88"/>
    </row>
    <row r="154" spans="1:9" ht="19.8" customHeight="1" x14ac:dyDescent="0.3">
      <c r="A154" s="154">
        <v>46004</v>
      </c>
      <c r="B154" s="68" t="s">
        <v>51</v>
      </c>
      <c r="C154" s="69" t="s">
        <v>52</v>
      </c>
      <c r="D154" s="68" t="s">
        <v>1</v>
      </c>
      <c r="E154" s="155">
        <v>1.9236111111111109</v>
      </c>
      <c r="F154" s="68" t="s">
        <v>28</v>
      </c>
      <c r="G154" s="70">
        <v>9</v>
      </c>
      <c r="H154" s="149">
        <v>379</v>
      </c>
      <c r="I154" s="88"/>
    </row>
    <row r="155" spans="1:9" ht="19.8" customHeight="1" x14ac:dyDescent="0.3">
      <c r="A155" s="150">
        <v>46004</v>
      </c>
      <c r="B155" s="64" t="s">
        <v>26</v>
      </c>
      <c r="C155" s="65" t="s">
        <v>57</v>
      </c>
      <c r="D155" s="64" t="s">
        <v>1</v>
      </c>
      <c r="E155" s="151">
        <v>1.895833333333333</v>
      </c>
      <c r="F155" s="64" t="s">
        <v>28</v>
      </c>
      <c r="G155" s="66">
        <v>9</v>
      </c>
      <c r="H155" s="148">
        <v>379</v>
      </c>
      <c r="I155" s="88"/>
    </row>
    <row r="156" spans="1:9" ht="19.8" customHeight="1" x14ac:dyDescent="0.3">
      <c r="A156" s="150">
        <v>46004</v>
      </c>
      <c r="B156" s="64" t="s">
        <v>58</v>
      </c>
      <c r="C156" s="65" t="s">
        <v>63</v>
      </c>
      <c r="D156" s="64" t="s">
        <v>1</v>
      </c>
      <c r="E156" s="151">
        <v>1.864583333333333</v>
      </c>
      <c r="F156" s="64" t="s">
        <v>60</v>
      </c>
      <c r="G156" s="66">
        <v>9</v>
      </c>
      <c r="H156" s="148">
        <v>411</v>
      </c>
      <c r="I156" s="88"/>
    </row>
    <row r="157" spans="1:9" ht="19.8" customHeight="1" x14ac:dyDescent="0.3">
      <c r="A157" s="150">
        <v>46004</v>
      </c>
      <c r="B157" s="64" t="s">
        <v>58</v>
      </c>
      <c r="C157" s="65" t="s">
        <v>59</v>
      </c>
      <c r="D157" s="64" t="s">
        <v>1</v>
      </c>
      <c r="E157" s="151">
        <v>1.1701388888888891</v>
      </c>
      <c r="F157" s="64" t="s">
        <v>60</v>
      </c>
      <c r="G157" s="66">
        <v>8</v>
      </c>
      <c r="H157" s="148">
        <v>411</v>
      </c>
      <c r="I157" s="88"/>
    </row>
    <row r="158" spans="1:9" ht="19.8" customHeight="1" x14ac:dyDescent="0.3">
      <c r="A158" s="150">
        <v>46004</v>
      </c>
      <c r="B158" s="64" t="s">
        <v>58</v>
      </c>
      <c r="C158" s="65" t="s">
        <v>66</v>
      </c>
      <c r="D158" s="64" t="s">
        <v>1</v>
      </c>
      <c r="E158" s="151">
        <v>1.5277777777777779</v>
      </c>
      <c r="F158" s="64" t="s">
        <v>60</v>
      </c>
      <c r="G158" s="66">
        <v>6</v>
      </c>
      <c r="H158" s="148">
        <v>415</v>
      </c>
      <c r="I158" s="88"/>
    </row>
    <row r="159" spans="1:9" ht="19.8" customHeight="1" x14ac:dyDescent="0.3">
      <c r="A159" s="150">
        <v>46004</v>
      </c>
      <c r="B159" s="64" t="s">
        <v>40</v>
      </c>
      <c r="C159" s="65" t="s">
        <v>41</v>
      </c>
      <c r="D159" s="64" t="s">
        <v>1</v>
      </c>
      <c r="E159" s="151">
        <v>1.2013888888888891</v>
      </c>
      <c r="F159" s="64" t="s">
        <v>45</v>
      </c>
      <c r="G159" s="66">
        <v>9</v>
      </c>
      <c r="H159" s="148">
        <v>449</v>
      </c>
      <c r="I159" s="88"/>
    </row>
    <row r="160" spans="1:9" ht="19.8" customHeight="1" x14ac:dyDescent="0.3">
      <c r="A160" s="150">
        <v>46004</v>
      </c>
      <c r="B160" s="64" t="s">
        <v>76</v>
      </c>
      <c r="C160" s="65" t="s">
        <v>77</v>
      </c>
      <c r="D160" s="64" t="s">
        <v>1</v>
      </c>
      <c r="E160" s="151">
        <v>1.9722222222222221</v>
      </c>
      <c r="F160" s="64" t="s">
        <v>81</v>
      </c>
      <c r="G160" s="66">
        <v>9</v>
      </c>
      <c r="H160" s="148">
        <v>477</v>
      </c>
      <c r="I160" s="88"/>
    </row>
    <row r="161" spans="1:9" ht="19.8" customHeight="1" x14ac:dyDescent="0.3">
      <c r="A161" s="150">
        <v>46004</v>
      </c>
      <c r="B161" s="64" t="s">
        <v>40</v>
      </c>
      <c r="C161" s="65" t="s">
        <v>48</v>
      </c>
      <c r="D161" s="64" t="s">
        <v>1</v>
      </c>
      <c r="E161" s="151">
        <v>1.836805555555556</v>
      </c>
      <c r="F161" s="64" t="s">
        <v>45</v>
      </c>
      <c r="G161" s="66">
        <v>8</v>
      </c>
      <c r="H161" s="148">
        <v>479</v>
      </c>
      <c r="I161" s="88"/>
    </row>
    <row r="162" spans="1:9" ht="19.8" customHeight="1" x14ac:dyDescent="0.3">
      <c r="A162" s="150">
        <v>46004</v>
      </c>
      <c r="B162" s="64" t="s">
        <v>31</v>
      </c>
      <c r="C162" s="65" t="s">
        <v>32</v>
      </c>
      <c r="D162" s="64" t="s">
        <v>1</v>
      </c>
      <c r="E162" s="151">
        <v>1.305555555555556</v>
      </c>
      <c r="F162" s="64" t="s">
        <v>36</v>
      </c>
      <c r="G162" s="66">
        <v>19</v>
      </c>
      <c r="H162" s="148">
        <v>487</v>
      </c>
      <c r="I162" s="88"/>
    </row>
    <row r="163" spans="1:9" ht="19.8" customHeight="1" x14ac:dyDescent="0.3">
      <c r="A163" s="150">
        <v>46004</v>
      </c>
      <c r="B163" s="64" t="s">
        <v>40</v>
      </c>
      <c r="C163" s="65" t="s">
        <v>41</v>
      </c>
      <c r="D163" s="64" t="s">
        <v>1</v>
      </c>
      <c r="E163" s="151">
        <v>1.2013888888888891</v>
      </c>
      <c r="F163" s="64" t="s">
        <v>38</v>
      </c>
      <c r="G163" s="66">
        <v>9</v>
      </c>
      <c r="H163" s="148">
        <v>539</v>
      </c>
      <c r="I163" s="88"/>
    </row>
    <row r="164" spans="1:9" ht="19.8" customHeight="1" x14ac:dyDescent="0.3">
      <c r="A164" s="150">
        <v>46004</v>
      </c>
      <c r="B164" s="64" t="s">
        <v>40</v>
      </c>
      <c r="C164" s="65" t="s">
        <v>48</v>
      </c>
      <c r="D164" s="64" t="s">
        <v>1</v>
      </c>
      <c r="E164" s="151">
        <v>1.836805555555556</v>
      </c>
      <c r="F164" s="64" t="s">
        <v>38</v>
      </c>
      <c r="G164" s="66">
        <v>8</v>
      </c>
      <c r="H164" s="148">
        <v>569</v>
      </c>
      <c r="I164" s="88"/>
    </row>
    <row r="165" spans="1:9" ht="19.8" customHeight="1" x14ac:dyDescent="0.3">
      <c r="A165" s="150">
        <v>46004</v>
      </c>
      <c r="B165" s="64" t="s">
        <v>31</v>
      </c>
      <c r="C165" s="65" t="s">
        <v>32</v>
      </c>
      <c r="D165" s="64" t="s">
        <v>1</v>
      </c>
      <c r="E165" s="151">
        <v>1.305555555555556</v>
      </c>
      <c r="F165" s="64" t="s">
        <v>38</v>
      </c>
      <c r="G165" s="66">
        <v>19</v>
      </c>
      <c r="H165" s="148">
        <v>899</v>
      </c>
      <c r="I165" s="88"/>
    </row>
    <row r="166" spans="1:9" ht="19.8" customHeight="1" x14ac:dyDescent="0.3">
      <c r="A166" s="152">
        <v>46004</v>
      </c>
      <c r="B166" s="60" t="s">
        <v>68</v>
      </c>
      <c r="C166" s="61" t="s">
        <v>69</v>
      </c>
      <c r="D166" s="60" t="s">
        <v>1</v>
      </c>
      <c r="E166" s="153">
        <v>1.305555555555556</v>
      </c>
      <c r="F166" s="60" t="s">
        <v>70</v>
      </c>
      <c r="G166" s="62">
        <v>4</v>
      </c>
      <c r="H166" s="72" t="s">
        <v>122</v>
      </c>
      <c r="I166" s="88"/>
    </row>
    <row r="167" spans="1:9" ht="19.8" customHeight="1" x14ac:dyDescent="0.3">
      <c r="A167" s="150">
        <v>46005</v>
      </c>
      <c r="B167" s="64" t="s">
        <v>31</v>
      </c>
      <c r="C167" s="65" t="s">
        <v>32</v>
      </c>
      <c r="D167" s="64" t="s">
        <v>1</v>
      </c>
      <c r="E167" s="151">
        <v>1.305555555555556</v>
      </c>
      <c r="F167" s="64" t="s">
        <v>33</v>
      </c>
      <c r="G167" s="66">
        <v>18</v>
      </c>
      <c r="H167" s="148">
        <v>309</v>
      </c>
      <c r="I167" s="88"/>
    </row>
    <row r="168" spans="1:9" ht="19.8" customHeight="1" x14ac:dyDescent="0.3">
      <c r="A168" s="150">
        <v>46005</v>
      </c>
      <c r="B168" s="64" t="s">
        <v>40</v>
      </c>
      <c r="C168" s="65" t="s">
        <v>48</v>
      </c>
      <c r="D168" s="64" t="s">
        <v>1</v>
      </c>
      <c r="E168" s="151">
        <v>1.850694444444444</v>
      </c>
      <c r="F168" s="64" t="s">
        <v>42</v>
      </c>
      <c r="G168" s="66">
        <v>2</v>
      </c>
      <c r="H168" s="148">
        <v>349</v>
      </c>
      <c r="I168" s="88"/>
    </row>
    <row r="169" spans="1:9" ht="19.8" customHeight="1" x14ac:dyDescent="0.3">
      <c r="A169" s="150">
        <v>46005</v>
      </c>
      <c r="B169" s="64" t="s">
        <v>73</v>
      </c>
      <c r="C169" s="65" t="s">
        <v>125</v>
      </c>
      <c r="D169" s="64" t="s">
        <v>1</v>
      </c>
      <c r="E169" s="151">
        <v>1.2222222222222221</v>
      </c>
      <c r="F169" s="64" t="s">
        <v>28</v>
      </c>
      <c r="G169" s="66">
        <v>3</v>
      </c>
      <c r="H169" s="148">
        <v>371</v>
      </c>
      <c r="I169" s="88"/>
    </row>
    <row r="170" spans="1:9" ht="19.8" customHeight="1" x14ac:dyDescent="0.3">
      <c r="A170" s="150">
        <v>46005</v>
      </c>
      <c r="B170" s="64" t="s">
        <v>26</v>
      </c>
      <c r="C170" s="65" t="s">
        <v>97</v>
      </c>
      <c r="D170" s="64" t="s">
        <v>1</v>
      </c>
      <c r="E170" s="151">
        <v>1.958333333333333</v>
      </c>
      <c r="F170" s="64" t="s">
        <v>28</v>
      </c>
      <c r="G170" s="66">
        <v>9</v>
      </c>
      <c r="H170" s="148">
        <v>379</v>
      </c>
      <c r="I170" s="88"/>
    </row>
    <row r="171" spans="1:9" ht="19.8" customHeight="1" x14ac:dyDescent="0.3">
      <c r="A171" s="150">
        <v>46005</v>
      </c>
      <c r="B171" s="64" t="s">
        <v>58</v>
      </c>
      <c r="C171" s="65" t="s">
        <v>59</v>
      </c>
      <c r="D171" s="64" t="s">
        <v>1</v>
      </c>
      <c r="E171" s="151">
        <v>1.1701388888888891</v>
      </c>
      <c r="F171" s="64" t="s">
        <v>60</v>
      </c>
      <c r="G171" s="66">
        <v>6</v>
      </c>
      <c r="H171" s="148">
        <v>411</v>
      </c>
      <c r="I171" s="88"/>
    </row>
    <row r="172" spans="1:9" ht="19.8" customHeight="1" x14ac:dyDescent="0.3">
      <c r="A172" s="150">
        <v>46005</v>
      </c>
      <c r="B172" s="64" t="s">
        <v>58</v>
      </c>
      <c r="C172" s="65" t="s">
        <v>63</v>
      </c>
      <c r="D172" s="64" t="s">
        <v>1</v>
      </c>
      <c r="E172" s="151">
        <v>1.864583333333333</v>
      </c>
      <c r="F172" s="64" t="s">
        <v>127</v>
      </c>
      <c r="G172" s="66">
        <v>9</v>
      </c>
      <c r="H172" s="148">
        <v>437</v>
      </c>
      <c r="I172" s="88"/>
    </row>
    <row r="173" spans="1:9" ht="19.8" customHeight="1" x14ac:dyDescent="0.3">
      <c r="A173" s="150">
        <v>46005</v>
      </c>
      <c r="B173" s="64" t="s">
        <v>40</v>
      </c>
      <c r="C173" s="65" t="s">
        <v>48</v>
      </c>
      <c r="D173" s="64" t="s">
        <v>1</v>
      </c>
      <c r="E173" s="151">
        <v>1.850694444444444</v>
      </c>
      <c r="F173" s="64" t="s">
        <v>45</v>
      </c>
      <c r="G173" s="66">
        <v>2</v>
      </c>
      <c r="H173" s="148">
        <v>449</v>
      </c>
      <c r="I173" s="88"/>
    </row>
    <row r="174" spans="1:9" ht="19.8" customHeight="1" x14ac:dyDescent="0.3">
      <c r="A174" s="150">
        <v>46005</v>
      </c>
      <c r="B174" s="64" t="s">
        <v>31</v>
      </c>
      <c r="C174" s="65" t="s">
        <v>32</v>
      </c>
      <c r="D174" s="64" t="s">
        <v>1</v>
      </c>
      <c r="E174" s="151">
        <v>1.305555555555556</v>
      </c>
      <c r="F174" s="64" t="s">
        <v>36</v>
      </c>
      <c r="G174" s="66">
        <v>18</v>
      </c>
      <c r="H174" s="148">
        <v>487</v>
      </c>
      <c r="I174" s="88"/>
    </row>
    <row r="175" spans="1:9" ht="19.8" customHeight="1" x14ac:dyDescent="0.3">
      <c r="A175" s="150">
        <v>46005</v>
      </c>
      <c r="B175" s="64" t="s">
        <v>40</v>
      </c>
      <c r="C175" s="65" t="s">
        <v>48</v>
      </c>
      <c r="D175" s="64" t="s">
        <v>1</v>
      </c>
      <c r="E175" s="151">
        <v>1.850694444444444</v>
      </c>
      <c r="F175" s="64" t="s">
        <v>38</v>
      </c>
      <c r="G175" s="66">
        <v>2</v>
      </c>
      <c r="H175" s="148">
        <v>539</v>
      </c>
      <c r="I175" s="88"/>
    </row>
    <row r="176" spans="1:9" ht="19.8" customHeight="1" x14ac:dyDescent="0.3">
      <c r="A176" s="150">
        <v>46005</v>
      </c>
      <c r="B176" s="64" t="s">
        <v>31</v>
      </c>
      <c r="C176" s="65" t="s">
        <v>32</v>
      </c>
      <c r="D176" s="64" t="s">
        <v>1</v>
      </c>
      <c r="E176" s="151">
        <v>1.305555555555556</v>
      </c>
      <c r="F176" s="64" t="s">
        <v>38</v>
      </c>
      <c r="G176" s="66">
        <v>18</v>
      </c>
      <c r="H176" s="148">
        <v>899</v>
      </c>
      <c r="I176" s="88"/>
    </row>
    <row r="177" spans="1:9" ht="19.8" customHeight="1" x14ac:dyDescent="0.3">
      <c r="A177" s="152">
        <v>46005</v>
      </c>
      <c r="B177" s="60" t="s">
        <v>68</v>
      </c>
      <c r="C177" s="61" t="s">
        <v>69</v>
      </c>
      <c r="D177" s="60" t="s">
        <v>1</v>
      </c>
      <c r="E177" s="153">
        <v>1.305555555555556</v>
      </c>
      <c r="F177" s="60" t="s">
        <v>70</v>
      </c>
      <c r="G177" s="62">
        <v>4</v>
      </c>
      <c r="H177" s="72" t="s">
        <v>122</v>
      </c>
      <c r="I177" s="88"/>
    </row>
    <row r="178" spans="1:9" ht="19.8" customHeight="1" x14ac:dyDescent="0.3">
      <c r="A178" s="150">
        <v>46006</v>
      </c>
      <c r="B178" s="64" t="s">
        <v>31</v>
      </c>
      <c r="C178" s="65" t="s">
        <v>32</v>
      </c>
      <c r="D178" s="64" t="s">
        <v>1</v>
      </c>
      <c r="E178" s="151">
        <v>1.305555555555556</v>
      </c>
      <c r="F178" s="64" t="s">
        <v>33</v>
      </c>
      <c r="G178" s="66">
        <v>12</v>
      </c>
      <c r="H178" s="148">
        <v>309</v>
      </c>
      <c r="I178" s="88"/>
    </row>
    <row r="179" spans="1:9" ht="19.8" customHeight="1" x14ac:dyDescent="0.3">
      <c r="A179" s="150">
        <v>46006</v>
      </c>
      <c r="B179" s="64" t="s">
        <v>40</v>
      </c>
      <c r="C179" s="65" t="s">
        <v>41</v>
      </c>
      <c r="D179" s="64" t="s">
        <v>1</v>
      </c>
      <c r="E179" s="151">
        <v>1.2013888888888891</v>
      </c>
      <c r="F179" s="64" t="s">
        <v>42</v>
      </c>
      <c r="G179" s="66">
        <v>9</v>
      </c>
      <c r="H179" s="148">
        <v>349</v>
      </c>
      <c r="I179" s="88"/>
    </row>
    <row r="180" spans="1:9" ht="19.8" customHeight="1" x14ac:dyDescent="0.3">
      <c r="A180" s="150">
        <v>46006</v>
      </c>
      <c r="B180" s="64" t="s">
        <v>40</v>
      </c>
      <c r="C180" s="65" t="s">
        <v>48</v>
      </c>
      <c r="D180" s="64" t="s">
        <v>1</v>
      </c>
      <c r="E180" s="151">
        <v>1.836805555555556</v>
      </c>
      <c r="F180" s="64" t="s">
        <v>42</v>
      </c>
      <c r="G180" s="66">
        <v>7</v>
      </c>
      <c r="H180" s="148">
        <v>409</v>
      </c>
      <c r="I180" s="88"/>
    </row>
    <row r="181" spans="1:9" ht="19.8" customHeight="1" x14ac:dyDescent="0.3">
      <c r="A181" s="150">
        <v>46006</v>
      </c>
      <c r="B181" s="64" t="s">
        <v>58</v>
      </c>
      <c r="C181" s="65" t="s">
        <v>59</v>
      </c>
      <c r="D181" s="64" t="s">
        <v>1</v>
      </c>
      <c r="E181" s="151">
        <v>1.1701388888888891</v>
      </c>
      <c r="F181" s="64" t="s">
        <v>60</v>
      </c>
      <c r="G181" s="66">
        <v>9</v>
      </c>
      <c r="H181" s="148">
        <v>411</v>
      </c>
      <c r="I181" s="88"/>
    </row>
    <row r="182" spans="1:9" ht="19.8" customHeight="1" x14ac:dyDescent="0.3">
      <c r="A182" s="150">
        <v>46006</v>
      </c>
      <c r="B182" s="64" t="s">
        <v>58</v>
      </c>
      <c r="C182" s="65" t="s">
        <v>63</v>
      </c>
      <c r="D182" s="64" t="s">
        <v>1</v>
      </c>
      <c r="E182" s="151">
        <v>1.864583333333333</v>
      </c>
      <c r="F182" s="64" t="s">
        <v>127</v>
      </c>
      <c r="G182" s="66">
        <v>9</v>
      </c>
      <c r="H182" s="148">
        <v>437</v>
      </c>
      <c r="I182" s="88"/>
    </row>
    <row r="183" spans="1:9" ht="19.8" customHeight="1" x14ac:dyDescent="0.3">
      <c r="A183" s="150">
        <v>46006</v>
      </c>
      <c r="B183" s="64" t="s">
        <v>26</v>
      </c>
      <c r="C183" s="65" t="s">
        <v>27</v>
      </c>
      <c r="D183" s="64" t="s">
        <v>1</v>
      </c>
      <c r="E183" s="151">
        <v>1.958333333333333</v>
      </c>
      <c r="F183" s="64" t="s">
        <v>28</v>
      </c>
      <c r="G183" s="66">
        <v>9</v>
      </c>
      <c r="H183" s="148">
        <v>439</v>
      </c>
      <c r="I183" s="88"/>
    </row>
    <row r="184" spans="1:9" ht="19.8" customHeight="1" x14ac:dyDescent="0.3">
      <c r="A184" s="150">
        <v>46006</v>
      </c>
      <c r="B184" s="64" t="s">
        <v>40</v>
      </c>
      <c r="C184" s="65" t="s">
        <v>41</v>
      </c>
      <c r="D184" s="64" t="s">
        <v>1</v>
      </c>
      <c r="E184" s="151">
        <v>1.2013888888888891</v>
      </c>
      <c r="F184" s="64" t="s">
        <v>45</v>
      </c>
      <c r="G184" s="66">
        <v>9</v>
      </c>
      <c r="H184" s="148">
        <v>449</v>
      </c>
      <c r="I184" s="88"/>
    </row>
    <row r="185" spans="1:9" ht="19.8" customHeight="1" x14ac:dyDescent="0.3">
      <c r="A185" s="150">
        <v>46006</v>
      </c>
      <c r="B185" s="64" t="s">
        <v>31</v>
      </c>
      <c r="C185" s="65" t="s">
        <v>32</v>
      </c>
      <c r="D185" s="64" t="s">
        <v>1</v>
      </c>
      <c r="E185" s="151">
        <v>1.305555555555556</v>
      </c>
      <c r="F185" s="64" t="s">
        <v>36</v>
      </c>
      <c r="G185" s="66">
        <v>12</v>
      </c>
      <c r="H185" s="148">
        <v>487</v>
      </c>
      <c r="I185" s="88"/>
    </row>
    <row r="186" spans="1:9" ht="19.8" customHeight="1" x14ac:dyDescent="0.3">
      <c r="A186" s="150">
        <v>46006</v>
      </c>
      <c r="B186" s="64" t="s">
        <v>40</v>
      </c>
      <c r="C186" s="65" t="s">
        <v>48</v>
      </c>
      <c r="D186" s="64" t="s">
        <v>1</v>
      </c>
      <c r="E186" s="151">
        <v>1.836805555555556</v>
      </c>
      <c r="F186" s="64" t="s">
        <v>45</v>
      </c>
      <c r="G186" s="66">
        <v>7</v>
      </c>
      <c r="H186" s="148">
        <v>509</v>
      </c>
      <c r="I186" s="88"/>
    </row>
    <row r="187" spans="1:9" ht="19.8" customHeight="1" x14ac:dyDescent="0.3">
      <c r="A187" s="150">
        <v>46006</v>
      </c>
      <c r="B187" s="64" t="s">
        <v>40</v>
      </c>
      <c r="C187" s="65" t="s">
        <v>41</v>
      </c>
      <c r="D187" s="64" t="s">
        <v>1</v>
      </c>
      <c r="E187" s="151">
        <v>1.2013888888888891</v>
      </c>
      <c r="F187" s="64" t="s">
        <v>38</v>
      </c>
      <c r="G187" s="66">
        <v>9</v>
      </c>
      <c r="H187" s="148">
        <v>539</v>
      </c>
      <c r="I187" s="88"/>
    </row>
    <row r="188" spans="1:9" ht="19.8" customHeight="1" x14ac:dyDescent="0.3">
      <c r="A188" s="150">
        <v>46006</v>
      </c>
      <c r="B188" s="64" t="s">
        <v>58</v>
      </c>
      <c r="C188" s="65" t="s">
        <v>66</v>
      </c>
      <c r="D188" s="64" t="s">
        <v>1</v>
      </c>
      <c r="E188" s="151">
        <v>1.5277777777777779</v>
      </c>
      <c r="F188" s="64" t="s">
        <v>64</v>
      </c>
      <c r="G188" s="66">
        <v>9</v>
      </c>
      <c r="H188" s="148">
        <v>547</v>
      </c>
      <c r="I188" s="88"/>
    </row>
    <row r="189" spans="1:9" ht="19.8" customHeight="1" x14ac:dyDescent="0.3">
      <c r="A189" s="150">
        <v>46006</v>
      </c>
      <c r="B189" s="64" t="s">
        <v>40</v>
      </c>
      <c r="C189" s="65" t="s">
        <v>48</v>
      </c>
      <c r="D189" s="64" t="s">
        <v>1</v>
      </c>
      <c r="E189" s="151">
        <v>1.836805555555556</v>
      </c>
      <c r="F189" s="64" t="s">
        <v>38</v>
      </c>
      <c r="G189" s="66">
        <v>7</v>
      </c>
      <c r="H189" s="148">
        <v>599</v>
      </c>
      <c r="I189" s="88"/>
    </row>
    <row r="190" spans="1:9" ht="19.8" customHeight="1" x14ac:dyDescent="0.3">
      <c r="A190" s="150">
        <v>46006</v>
      </c>
      <c r="B190" s="64" t="s">
        <v>31</v>
      </c>
      <c r="C190" s="65" t="s">
        <v>32</v>
      </c>
      <c r="D190" s="64" t="s">
        <v>1</v>
      </c>
      <c r="E190" s="151">
        <v>1.305555555555556</v>
      </c>
      <c r="F190" s="64" t="s">
        <v>38</v>
      </c>
      <c r="G190" s="66">
        <v>12</v>
      </c>
      <c r="H190" s="148">
        <v>899</v>
      </c>
      <c r="I190" s="88"/>
    </row>
    <row r="191" spans="1:9" ht="19.8" customHeight="1" x14ac:dyDescent="0.3">
      <c r="A191" s="152">
        <v>46006</v>
      </c>
      <c r="B191" s="60" t="s">
        <v>68</v>
      </c>
      <c r="C191" s="61" t="s">
        <v>69</v>
      </c>
      <c r="D191" s="60" t="s">
        <v>1</v>
      </c>
      <c r="E191" s="153">
        <v>1.305555555555556</v>
      </c>
      <c r="F191" s="60" t="s">
        <v>70</v>
      </c>
      <c r="G191" s="62">
        <v>4</v>
      </c>
      <c r="H191" s="72" t="s">
        <v>122</v>
      </c>
      <c r="I191" s="88"/>
    </row>
    <row r="192" spans="1:9" ht="19.8" customHeight="1" x14ac:dyDescent="0.3">
      <c r="A192" s="150">
        <v>46007</v>
      </c>
      <c r="B192" s="64" t="s">
        <v>31</v>
      </c>
      <c r="C192" s="65" t="s">
        <v>32</v>
      </c>
      <c r="D192" s="64" t="s">
        <v>1</v>
      </c>
      <c r="E192" s="151">
        <v>1.305555555555556</v>
      </c>
      <c r="F192" s="64" t="s">
        <v>33</v>
      </c>
      <c r="G192" s="66">
        <v>18</v>
      </c>
      <c r="H192" s="148">
        <v>309</v>
      </c>
      <c r="I192" s="88"/>
    </row>
    <row r="193" spans="1:9" ht="19.8" customHeight="1" x14ac:dyDescent="0.3">
      <c r="A193" s="150">
        <v>46007</v>
      </c>
      <c r="B193" s="64" t="s">
        <v>40</v>
      </c>
      <c r="C193" s="65" t="s">
        <v>41</v>
      </c>
      <c r="D193" s="64" t="s">
        <v>1</v>
      </c>
      <c r="E193" s="151">
        <v>1.2013888888888891</v>
      </c>
      <c r="F193" s="64" t="s">
        <v>42</v>
      </c>
      <c r="G193" s="66">
        <v>9</v>
      </c>
      <c r="H193" s="148">
        <v>349</v>
      </c>
      <c r="I193" s="88"/>
    </row>
    <row r="194" spans="1:9" ht="19.8" customHeight="1" x14ac:dyDescent="0.3">
      <c r="A194" s="150">
        <v>46007</v>
      </c>
      <c r="B194" s="64" t="s">
        <v>40</v>
      </c>
      <c r="C194" s="65" t="s">
        <v>48</v>
      </c>
      <c r="D194" s="64" t="s">
        <v>1</v>
      </c>
      <c r="E194" s="151">
        <v>1.836805555555556</v>
      </c>
      <c r="F194" s="64" t="s">
        <v>42</v>
      </c>
      <c r="G194" s="66">
        <v>7</v>
      </c>
      <c r="H194" s="148">
        <v>379</v>
      </c>
      <c r="I194" s="88"/>
    </row>
    <row r="195" spans="1:9" ht="19.8" customHeight="1" x14ac:dyDescent="0.3">
      <c r="A195" s="154">
        <v>46007</v>
      </c>
      <c r="B195" s="68" t="s">
        <v>51</v>
      </c>
      <c r="C195" s="69" t="s">
        <v>52</v>
      </c>
      <c r="D195" s="68" t="s">
        <v>1</v>
      </c>
      <c r="E195" s="155">
        <v>1.270833333333333</v>
      </c>
      <c r="F195" s="68" t="s">
        <v>28</v>
      </c>
      <c r="G195" s="70">
        <v>9</v>
      </c>
      <c r="H195" s="149">
        <v>379</v>
      </c>
      <c r="I195" s="88"/>
    </row>
    <row r="196" spans="1:9" ht="19.8" customHeight="1" x14ac:dyDescent="0.3">
      <c r="A196" s="150">
        <v>46007</v>
      </c>
      <c r="B196" s="64" t="s">
        <v>26</v>
      </c>
      <c r="C196" s="65" t="s">
        <v>57</v>
      </c>
      <c r="D196" s="64" t="s">
        <v>1</v>
      </c>
      <c r="E196" s="151">
        <v>1.958333333333333</v>
      </c>
      <c r="F196" s="64" t="s">
        <v>28</v>
      </c>
      <c r="G196" s="66">
        <v>9</v>
      </c>
      <c r="H196" s="148">
        <v>379</v>
      </c>
      <c r="I196" s="88"/>
    </row>
    <row r="197" spans="1:9" ht="19.8" customHeight="1" x14ac:dyDescent="0.3">
      <c r="A197" s="150">
        <v>46007</v>
      </c>
      <c r="B197" s="64" t="s">
        <v>58</v>
      </c>
      <c r="C197" s="65" t="s">
        <v>63</v>
      </c>
      <c r="D197" s="64" t="s">
        <v>1</v>
      </c>
      <c r="E197" s="151">
        <v>1.864583333333333</v>
      </c>
      <c r="F197" s="64" t="s">
        <v>60</v>
      </c>
      <c r="G197" s="66">
        <v>9</v>
      </c>
      <c r="H197" s="148">
        <v>411</v>
      </c>
      <c r="I197" s="88"/>
    </row>
    <row r="198" spans="1:9" ht="19.8" customHeight="1" x14ac:dyDescent="0.3">
      <c r="A198" s="150">
        <v>46007</v>
      </c>
      <c r="B198" s="64" t="s">
        <v>58</v>
      </c>
      <c r="C198" s="65" t="s">
        <v>66</v>
      </c>
      <c r="D198" s="64" t="s">
        <v>1</v>
      </c>
      <c r="E198" s="151">
        <v>1.5277777777777779</v>
      </c>
      <c r="F198" s="64" t="s">
        <v>60</v>
      </c>
      <c r="G198" s="66">
        <v>9</v>
      </c>
      <c r="H198" s="148">
        <v>411</v>
      </c>
      <c r="I198" s="88"/>
    </row>
    <row r="199" spans="1:9" ht="19.8" customHeight="1" x14ac:dyDescent="0.3">
      <c r="A199" s="150">
        <v>46007</v>
      </c>
      <c r="B199" s="64" t="s">
        <v>58</v>
      </c>
      <c r="C199" s="65" t="s">
        <v>59</v>
      </c>
      <c r="D199" s="64" t="s">
        <v>1</v>
      </c>
      <c r="E199" s="151">
        <v>1.1701388888888891</v>
      </c>
      <c r="F199" s="64" t="s">
        <v>60</v>
      </c>
      <c r="G199" s="66">
        <v>9</v>
      </c>
      <c r="H199" s="148">
        <v>411</v>
      </c>
      <c r="I199" s="88"/>
    </row>
    <row r="200" spans="1:9" ht="19.8" customHeight="1" x14ac:dyDescent="0.3">
      <c r="A200" s="150">
        <v>46007</v>
      </c>
      <c r="B200" s="64" t="s">
        <v>40</v>
      </c>
      <c r="C200" s="65" t="s">
        <v>41</v>
      </c>
      <c r="D200" s="64" t="s">
        <v>1</v>
      </c>
      <c r="E200" s="151">
        <v>1.2013888888888891</v>
      </c>
      <c r="F200" s="64" t="s">
        <v>45</v>
      </c>
      <c r="G200" s="66">
        <v>9</v>
      </c>
      <c r="H200" s="148">
        <v>449</v>
      </c>
      <c r="I200" s="88"/>
    </row>
    <row r="201" spans="1:9" ht="19.8" customHeight="1" x14ac:dyDescent="0.3">
      <c r="A201" s="150">
        <v>46007</v>
      </c>
      <c r="B201" s="64" t="s">
        <v>40</v>
      </c>
      <c r="C201" s="65" t="s">
        <v>48</v>
      </c>
      <c r="D201" s="64" t="s">
        <v>1</v>
      </c>
      <c r="E201" s="151">
        <v>1.836805555555556</v>
      </c>
      <c r="F201" s="64" t="s">
        <v>45</v>
      </c>
      <c r="G201" s="66">
        <v>7</v>
      </c>
      <c r="H201" s="148">
        <v>479</v>
      </c>
      <c r="I201" s="88"/>
    </row>
    <row r="202" spans="1:9" ht="19.8" customHeight="1" x14ac:dyDescent="0.3">
      <c r="A202" s="150">
        <v>46007</v>
      </c>
      <c r="B202" s="64" t="s">
        <v>31</v>
      </c>
      <c r="C202" s="65" t="s">
        <v>32</v>
      </c>
      <c r="D202" s="64" t="s">
        <v>1</v>
      </c>
      <c r="E202" s="151">
        <v>1.305555555555556</v>
      </c>
      <c r="F202" s="64" t="s">
        <v>36</v>
      </c>
      <c r="G202" s="66">
        <v>18</v>
      </c>
      <c r="H202" s="148">
        <v>487</v>
      </c>
      <c r="I202" s="88"/>
    </row>
    <row r="203" spans="1:9" ht="19.8" customHeight="1" x14ac:dyDescent="0.3">
      <c r="A203" s="150">
        <v>46007</v>
      </c>
      <c r="B203" s="64" t="s">
        <v>40</v>
      </c>
      <c r="C203" s="65" t="s">
        <v>41</v>
      </c>
      <c r="D203" s="64" t="s">
        <v>1</v>
      </c>
      <c r="E203" s="151">
        <v>1.2013888888888891</v>
      </c>
      <c r="F203" s="64" t="s">
        <v>38</v>
      </c>
      <c r="G203" s="66">
        <v>9</v>
      </c>
      <c r="H203" s="148">
        <v>539</v>
      </c>
      <c r="I203" s="88"/>
    </row>
    <row r="204" spans="1:9" ht="19.8" customHeight="1" x14ac:dyDescent="0.3">
      <c r="A204" s="150">
        <v>46007</v>
      </c>
      <c r="B204" s="64" t="s">
        <v>40</v>
      </c>
      <c r="C204" s="65" t="s">
        <v>48</v>
      </c>
      <c r="D204" s="64" t="s">
        <v>1</v>
      </c>
      <c r="E204" s="151">
        <v>1.836805555555556</v>
      </c>
      <c r="F204" s="64" t="s">
        <v>38</v>
      </c>
      <c r="G204" s="66">
        <v>7</v>
      </c>
      <c r="H204" s="148">
        <v>569</v>
      </c>
      <c r="I204" s="88"/>
    </row>
    <row r="205" spans="1:9" ht="19.8" customHeight="1" x14ac:dyDescent="0.3">
      <c r="A205" s="150">
        <v>46007</v>
      </c>
      <c r="B205" s="64" t="s">
        <v>31</v>
      </c>
      <c r="C205" s="65" t="s">
        <v>32</v>
      </c>
      <c r="D205" s="64" t="s">
        <v>1</v>
      </c>
      <c r="E205" s="151">
        <v>1.305555555555556</v>
      </c>
      <c r="F205" s="64" t="s">
        <v>38</v>
      </c>
      <c r="G205" s="66">
        <v>18</v>
      </c>
      <c r="H205" s="148">
        <v>899</v>
      </c>
      <c r="I205" s="88"/>
    </row>
    <row r="206" spans="1:9" ht="19.8" customHeight="1" x14ac:dyDescent="0.3">
      <c r="A206" s="152">
        <v>46007</v>
      </c>
      <c r="B206" s="60" t="s">
        <v>68</v>
      </c>
      <c r="C206" s="61" t="s">
        <v>69</v>
      </c>
      <c r="D206" s="60" t="s">
        <v>1</v>
      </c>
      <c r="E206" s="153">
        <v>1.305555555555556</v>
      </c>
      <c r="F206" s="60" t="s">
        <v>70</v>
      </c>
      <c r="G206" s="62">
        <v>4</v>
      </c>
      <c r="H206" s="72" t="s">
        <v>122</v>
      </c>
      <c r="I206" s="88"/>
    </row>
    <row r="207" spans="1:9" ht="19.8" customHeight="1" x14ac:dyDescent="0.3">
      <c r="A207" s="150">
        <v>46008</v>
      </c>
      <c r="B207" s="64" t="s">
        <v>31</v>
      </c>
      <c r="C207" s="65" t="s">
        <v>32</v>
      </c>
      <c r="D207" s="64" t="s">
        <v>1</v>
      </c>
      <c r="E207" s="151">
        <v>1.305555555555556</v>
      </c>
      <c r="F207" s="64" t="s">
        <v>33</v>
      </c>
      <c r="G207" s="66">
        <v>17</v>
      </c>
      <c r="H207" s="148">
        <v>309</v>
      </c>
      <c r="I207" s="88"/>
    </row>
    <row r="208" spans="1:9" ht="19.8" customHeight="1" x14ac:dyDescent="0.3">
      <c r="A208" s="150">
        <v>46008</v>
      </c>
      <c r="B208" s="64" t="s">
        <v>76</v>
      </c>
      <c r="C208" s="65" t="s">
        <v>77</v>
      </c>
      <c r="D208" s="64" t="s">
        <v>1</v>
      </c>
      <c r="E208" s="151">
        <v>1.9722222222222221</v>
      </c>
      <c r="F208" s="64" t="s">
        <v>78</v>
      </c>
      <c r="G208" s="66">
        <v>9</v>
      </c>
      <c r="H208" s="148">
        <v>348</v>
      </c>
      <c r="I208" s="88"/>
    </row>
    <row r="209" spans="1:9" ht="19.8" customHeight="1" x14ac:dyDescent="0.3">
      <c r="A209" s="150">
        <v>46008</v>
      </c>
      <c r="B209" s="64" t="s">
        <v>73</v>
      </c>
      <c r="C209" s="65" t="s">
        <v>74</v>
      </c>
      <c r="D209" s="64" t="s">
        <v>1</v>
      </c>
      <c r="E209" s="151">
        <v>1.0902777777777779</v>
      </c>
      <c r="F209" s="64" t="s">
        <v>28</v>
      </c>
      <c r="G209" s="66">
        <v>5</v>
      </c>
      <c r="H209" s="148">
        <v>371</v>
      </c>
      <c r="I209" s="88"/>
    </row>
    <row r="210" spans="1:9" ht="19.8" customHeight="1" x14ac:dyDescent="0.3">
      <c r="A210" s="150">
        <v>46008</v>
      </c>
      <c r="B210" s="64" t="s">
        <v>40</v>
      </c>
      <c r="C210" s="65" t="s">
        <v>48</v>
      </c>
      <c r="D210" s="64" t="s">
        <v>1</v>
      </c>
      <c r="E210" s="151">
        <v>1.850694444444444</v>
      </c>
      <c r="F210" s="64" t="s">
        <v>42</v>
      </c>
      <c r="G210" s="66">
        <v>2</v>
      </c>
      <c r="H210" s="148">
        <v>379</v>
      </c>
      <c r="I210" s="88"/>
    </row>
    <row r="211" spans="1:9" ht="19.8" customHeight="1" x14ac:dyDescent="0.3">
      <c r="A211" s="150">
        <v>46008</v>
      </c>
      <c r="B211" s="64" t="s">
        <v>26</v>
      </c>
      <c r="C211" s="65" t="s">
        <v>27</v>
      </c>
      <c r="D211" s="64" t="s">
        <v>1</v>
      </c>
      <c r="E211" s="151">
        <v>1.895833333333333</v>
      </c>
      <c r="F211" s="64" t="s">
        <v>28</v>
      </c>
      <c r="G211" s="66">
        <v>9</v>
      </c>
      <c r="H211" s="148">
        <v>379</v>
      </c>
      <c r="I211" s="88"/>
    </row>
    <row r="212" spans="1:9" ht="19.8" customHeight="1" x14ac:dyDescent="0.3">
      <c r="A212" s="150">
        <v>46008</v>
      </c>
      <c r="B212" s="64" t="s">
        <v>58</v>
      </c>
      <c r="C212" s="65" t="s">
        <v>66</v>
      </c>
      <c r="D212" s="64" t="s">
        <v>1</v>
      </c>
      <c r="E212" s="151">
        <v>1.5277777777777779</v>
      </c>
      <c r="F212" s="64" t="s">
        <v>60</v>
      </c>
      <c r="G212" s="66">
        <v>9</v>
      </c>
      <c r="H212" s="148">
        <v>411</v>
      </c>
      <c r="I212" s="88"/>
    </row>
    <row r="213" spans="1:9" ht="19.8" customHeight="1" x14ac:dyDescent="0.3">
      <c r="A213" s="150">
        <v>46008</v>
      </c>
      <c r="B213" s="64" t="s">
        <v>58</v>
      </c>
      <c r="C213" s="65" t="s">
        <v>59</v>
      </c>
      <c r="D213" s="64" t="s">
        <v>1</v>
      </c>
      <c r="E213" s="151">
        <v>1.1701388888888891</v>
      </c>
      <c r="F213" s="64" t="s">
        <v>60</v>
      </c>
      <c r="G213" s="66">
        <v>9</v>
      </c>
      <c r="H213" s="148">
        <v>411</v>
      </c>
      <c r="I213" s="88"/>
    </row>
    <row r="214" spans="1:9" ht="19.8" customHeight="1" x14ac:dyDescent="0.3">
      <c r="A214" s="150">
        <v>46008</v>
      </c>
      <c r="B214" s="64" t="s">
        <v>76</v>
      </c>
      <c r="C214" s="65" t="s">
        <v>77</v>
      </c>
      <c r="D214" s="64" t="s">
        <v>1</v>
      </c>
      <c r="E214" s="151">
        <v>1.9722222222222221</v>
      </c>
      <c r="F214" s="64" t="s">
        <v>81</v>
      </c>
      <c r="G214" s="66">
        <v>9</v>
      </c>
      <c r="H214" s="148">
        <v>472</v>
      </c>
      <c r="I214" s="88"/>
    </row>
    <row r="215" spans="1:9" ht="19.8" customHeight="1" x14ac:dyDescent="0.3">
      <c r="A215" s="150">
        <v>46008</v>
      </c>
      <c r="B215" s="64" t="s">
        <v>40</v>
      </c>
      <c r="C215" s="65" t="s">
        <v>48</v>
      </c>
      <c r="D215" s="64" t="s">
        <v>1</v>
      </c>
      <c r="E215" s="151">
        <v>1.850694444444444</v>
      </c>
      <c r="F215" s="64" t="s">
        <v>45</v>
      </c>
      <c r="G215" s="66">
        <v>2</v>
      </c>
      <c r="H215" s="148">
        <v>479</v>
      </c>
      <c r="I215" s="88"/>
    </row>
    <row r="216" spans="1:9" ht="19.8" customHeight="1" x14ac:dyDescent="0.3">
      <c r="A216" s="150">
        <v>46008</v>
      </c>
      <c r="B216" s="64" t="s">
        <v>31</v>
      </c>
      <c r="C216" s="65" t="s">
        <v>32</v>
      </c>
      <c r="D216" s="64" t="s">
        <v>1</v>
      </c>
      <c r="E216" s="151">
        <v>1.305555555555556</v>
      </c>
      <c r="F216" s="64" t="s">
        <v>36</v>
      </c>
      <c r="G216" s="66">
        <v>17</v>
      </c>
      <c r="H216" s="148">
        <v>487</v>
      </c>
      <c r="I216" s="88"/>
    </row>
    <row r="217" spans="1:9" ht="19.8" customHeight="1" x14ac:dyDescent="0.3">
      <c r="A217" s="150">
        <v>46008</v>
      </c>
      <c r="B217" s="64" t="s">
        <v>58</v>
      </c>
      <c r="C217" s="65" t="s">
        <v>63</v>
      </c>
      <c r="D217" s="64" t="s">
        <v>1</v>
      </c>
      <c r="E217" s="151">
        <v>1.864583333333333</v>
      </c>
      <c r="F217" s="64" t="s">
        <v>64</v>
      </c>
      <c r="G217" s="66">
        <v>9</v>
      </c>
      <c r="H217" s="148">
        <v>547</v>
      </c>
      <c r="I217" s="88"/>
    </row>
    <row r="218" spans="1:9" ht="19.8" customHeight="1" x14ac:dyDescent="0.3">
      <c r="A218" s="150">
        <v>46008</v>
      </c>
      <c r="B218" s="64" t="s">
        <v>40</v>
      </c>
      <c r="C218" s="65" t="s">
        <v>48</v>
      </c>
      <c r="D218" s="64" t="s">
        <v>1</v>
      </c>
      <c r="E218" s="151">
        <v>1.850694444444444</v>
      </c>
      <c r="F218" s="64" t="s">
        <v>38</v>
      </c>
      <c r="G218" s="66">
        <v>2</v>
      </c>
      <c r="H218" s="148">
        <v>569</v>
      </c>
      <c r="I218" s="88"/>
    </row>
    <row r="219" spans="1:9" ht="19.8" customHeight="1" x14ac:dyDescent="0.3">
      <c r="A219" s="150">
        <v>46008</v>
      </c>
      <c r="B219" s="64" t="s">
        <v>31</v>
      </c>
      <c r="C219" s="65" t="s">
        <v>32</v>
      </c>
      <c r="D219" s="64" t="s">
        <v>1</v>
      </c>
      <c r="E219" s="151">
        <v>1.305555555555556</v>
      </c>
      <c r="F219" s="64" t="s">
        <v>38</v>
      </c>
      <c r="G219" s="66">
        <v>17</v>
      </c>
      <c r="H219" s="148">
        <v>899</v>
      </c>
      <c r="I219" s="88"/>
    </row>
    <row r="220" spans="1:9" ht="19.8" customHeight="1" x14ac:dyDescent="0.3">
      <c r="A220" s="152">
        <v>46008</v>
      </c>
      <c r="B220" s="60" t="s">
        <v>68</v>
      </c>
      <c r="C220" s="61" t="s">
        <v>69</v>
      </c>
      <c r="D220" s="60" t="s">
        <v>1</v>
      </c>
      <c r="E220" s="153">
        <v>1.305555555555556</v>
      </c>
      <c r="F220" s="60" t="s">
        <v>70</v>
      </c>
      <c r="G220" s="62">
        <v>4</v>
      </c>
      <c r="H220" s="72" t="s">
        <v>122</v>
      </c>
      <c r="I220" s="88"/>
    </row>
    <row r="221" spans="1:9" ht="19.8" customHeight="1" x14ac:dyDescent="0.3">
      <c r="A221" s="150">
        <v>46009</v>
      </c>
      <c r="B221" s="64" t="s">
        <v>40</v>
      </c>
      <c r="C221" s="65" t="s">
        <v>41</v>
      </c>
      <c r="D221" s="64" t="s">
        <v>1</v>
      </c>
      <c r="E221" s="151">
        <v>1.2013888888888891</v>
      </c>
      <c r="F221" s="64" t="s">
        <v>42</v>
      </c>
      <c r="G221" s="66">
        <v>9</v>
      </c>
      <c r="H221" s="148">
        <v>349</v>
      </c>
      <c r="I221" s="88"/>
    </row>
    <row r="222" spans="1:9" ht="19.8" customHeight="1" x14ac:dyDescent="0.3">
      <c r="A222" s="150">
        <v>46009</v>
      </c>
      <c r="B222" s="64" t="s">
        <v>31</v>
      </c>
      <c r="C222" s="65" t="s">
        <v>32</v>
      </c>
      <c r="D222" s="64" t="s">
        <v>1</v>
      </c>
      <c r="E222" s="151">
        <v>1.305555555555556</v>
      </c>
      <c r="F222" s="64" t="s">
        <v>33</v>
      </c>
      <c r="G222" s="66">
        <v>7</v>
      </c>
      <c r="H222" s="148">
        <v>369</v>
      </c>
      <c r="I222" s="88"/>
    </row>
    <row r="223" spans="1:9" ht="19.8" customHeight="1" x14ac:dyDescent="0.3">
      <c r="A223" s="150">
        <v>46009</v>
      </c>
      <c r="B223" s="64" t="s">
        <v>58</v>
      </c>
      <c r="C223" s="65" t="s">
        <v>59</v>
      </c>
      <c r="D223" s="64" t="s">
        <v>1</v>
      </c>
      <c r="E223" s="151">
        <v>1.1701388888888891</v>
      </c>
      <c r="F223" s="64" t="s">
        <v>60</v>
      </c>
      <c r="G223" s="66">
        <v>9</v>
      </c>
      <c r="H223" s="148">
        <v>411</v>
      </c>
      <c r="I223" s="88"/>
    </row>
    <row r="224" spans="1:9" ht="19.8" customHeight="1" x14ac:dyDescent="0.3">
      <c r="A224" s="150">
        <v>46009</v>
      </c>
      <c r="B224" s="64" t="s">
        <v>73</v>
      </c>
      <c r="C224" s="65" t="s">
        <v>74</v>
      </c>
      <c r="D224" s="64" t="s">
        <v>1</v>
      </c>
      <c r="E224" s="151">
        <v>1.913194444444444</v>
      </c>
      <c r="F224" s="64" t="s">
        <v>28</v>
      </c>
      <c r="G224" s="66">
        <v>6</v>
      </c>
      <c r="H224" s="148">
        <v>425</v>
      </c>
      <c r="I224" s="88"/>
    </row>
    <row r="225" spans="1:9" ht="19.8" customHeight="1" x14ac:dyDescent="0.3">
      <c r="A225" s="150">
        <v>46009</v>
      </c>
      <c r="B225" s="64" t="s">
        <v>26</v>
      </c>
      <c r="C225" s="65" t="s">
        <v>57</v>
      </c>
      <c r="D225" s="64" t="s">
        <v>1</v>
      </c>
      <c r="E225" s="151">
        <v>1.958333333333333</v>
      </c>
      <c r="F225" s="64" t="s">
        <v>28</v>
      </c>
      <c r="G225" s="66">
        <v>9</v>
      </c>
      <c r="H225" s="148">
        <v>439</v>
      </c>
      <c r="I225" s="88"/>
    </row>
    <row r="226" spans="1:9" ht="19.8" customHeight="1" x14ac:dyDescent="0.3">
      <c r="A226" s="150">
        <v>46009</v>
      </c>
      <c r="B226" s="64" t="s">
        <v>40</v>
      </c>
      <c r="C226" s="65" t="s">
        <v>41</v>
      </c>
      <c r="D226" s="64" t="s">
        <v>1</v>
      </c>
      <c r="E226" s="151">
        <v>1.2013888888888891</v>
      </c>
      <c r="F226" s="64" t="s">
        <v>45</v>
      </c>
      <c r="G226" s="66">
        <v>9</v>
      </c>
      <c r="H226" s="148">
        <v>449</v>
      </c>
      <c r="I226" s="88"/>
    </row>
    <row r="227" spans="1:9" ht="19.8" customHeight="1" x14ac:dyDescent="0.3">
      <c r="A227" s="154">
        <v>46009</v>
      </c>
      <c r="B227" s="68" t="s">
        <v>51</v>
      </c>
      <c r="C227" s="69" t="s">
        <v>52</v>
      </c>
      <c r="D227" s="68" t="s">
        <v>1</v>
      </c>
      <c r="E227" s="155">
        <v>1.9236111111111109</v>
      </c>
      <c r="F227" s="68" t="s">
        <v>28</v>
      </c>
      <c r="G227" s="70">
        <v>9</v>
      </c>
      <c r="H227" s="149">
        <v>476</v>
      </c>
      <c r="I227" s="88"/>
    </row>
    <row r="228" spans="1:9" ht="19.8" customHeight="1" x14ac:dyDescent="0.3">
      <c r="A228" s="150">
        <v>46009</v>
      </c>
      <c r="B228" s="64" t="s">
        <v>40</v>
      </c>
      <c r="C228" s="65" t="s">
        <v>41</v>
      </c>
      <c r="D228" s="64" t="s">
        <v>1</v>
      </c>
      <c r="E228" s="151">
        <v>1.2013888888888891</v>
      </c>
      <c r="F228" s="64" t="s">
        <v>38</v>
      </c>
      <c r="G228" s="66">
        <v>9</v>
      </c>
      <c r="H228" s="148">
        <v>539</v>
      </c>
      <c r="I228" s="88"/>
    </row>
    <row r="229" spans="1:9" ht="19.8" customHeight="1" x14ac:dyDescent="0.3">
      <c r="A229" s="150">
        <v>46009</v>
      </c>
      <c r="B229" s="64" t="s">
        <v>31</v>
      </c>
      <c r="C229" s="65" t="s">
        <v>32</v>
      </c>
      <c r="D229" s="64" t="s">
        <v>1</v>
      </c>
      <c r="E229" s="151">
        <v>1.305555555555556</v>
      </c>
      <c r="F229" s="64" t="s">
        <v>36</v>
      </c>
      <c r="G229" s="66">
        <v>7</v>
      </c>
      <c r="H229" s="148">
        <v>547</v>
      </c>
      <c r="I229" s="88"/>
    </row>
    <row r="230" spans="1:9" ht="19.8" customHeight="1" x14ac:dyDescent="0.3">
      <c r="A230" s="150">
        <v>46009</v>
      </c>
      <c r="B230" s="64" t="s">
        <v>58</v>
      </c>
      <c r="C230" s="65" t="s">
        <v>66</v>
      </c>
      <c r="D230" s="64" t="s">
        <v>1</v>
      </c>
      <c r="E230" s="151">
        <v>1.5277777777777779</v>
      </c>
      <c r="F230" s="64" t="s">
        <v>64</v>
      </c>
      <c r="G230" s="66">
        <v>9</v>
      </c>
      <c r="H230" s="148">
        <v>547</v>
      </c>
      <c r="I230" s="88"/>
    </row>
    <row r="231" spans="1:9" ht="19.8" customHeight="1" x14ac:dyDescent="0.3">
      <c r="A231" s="150">
        <v>46009</v>
      </c>
      <c r="B231" s="64" t="s">
        <v>40</v>
      </c>
      <c r="C231" s="65" t="s">
        <v>48</v>
      </c>
      <c r="D231" s="64" t="s">
        <v>1</v>
      </c>
      <c r="E231" s="151">
        <v>1.836805555555556</v>
      </c>
      <c r="F231" s="64" t="s">
        <v>42</v>
      </c>
      <c r="G231" s="66">
        <v>6</v>
      </c>
      <c r="H231" s="148">
        <v>559</v>
      </c>
      <c r="I231" s="88"/>
    </row>
    <row r="232" spans="1:9" ht="19.8" customHeight="1" x14ac:dyDescent="0.3">
      <c r="A232" s="150">
        <v>46009</v>
      </c>
      <c r="B232" s="64" t="s">
        <v>58</v>
      </c>
      <c r="C232" s="65" t="s">
        <v>63</v>
      </c>
      <c r="D232" s="64" t="s">
        <v>1</v>
      </c>
      <c r="E232" s="151">
        <v>1.864583333333333</v>
      </c>
      <c r="F232" s="64" t="s">
        <v>64</v>
      </c>
      <c r="G232" s="66">
        <v>9</v>
      </c>
      <c r="H232" s="148">
        <v>592</v>
      </c>
      <c r="I232" s="88"/>
    </row>
    <row r="233" spans="1:9" ht="19.8" customHeight="1" x14ac:dyDescent="0.3">
      <c r="A233" s="150">
        <v>46009</v>
      </c>
      <c r="B233" s="64" t="s">
        <v>40</v>
      </c>
      <c r="C233" s="65" t="s">
        <v>48</v>
      </c>
      <c r="D233" s="64" t="s">
        <v>1</v>
      </c>
      <c r="E233" s="151">
        <v>1.836805555555556</v>
      </c>
      <c r="F233" s="64" t="s">
        <v>45</v>
      </c>
      <c r="G233" s="66">
        <v>6</v>
      </c>
      <c r="H233" s="148">
        <v>659</v>
      </c>
      <c r="I233" s="88"/>
    </row>
    <row r="234" spans="1:9" ht="19.8" customHeight="1" x14ac:dyDescent="0.3">
      <c r="A234" s="150">
        <v>46009</v>
      </c>
      <c r="B234" s="64" t="s">
        <v>40</v>
      </c>
      <c r="C234" s="65" t="s">
        <v>48</v>
      </c>
      <c r="D234" s="64" t="s">
        <v>1</v>
      </c>
      <c r="E234" s="151">
        <v>1.836805555555556</v>
      </c>
      <c r="F234" s="64" t="s">
        <v>38</v>
      </c>
      <c r="G234" s="66">
        <v>6</v>
      </c>
      <c r="H234" s="148">
        <v>749</v>
      </c>
      <c r="I234" s="88"/>
    </row>
    <row r="235" spans="1:9" ht="19.8" customHeight="1" x14ac:dyDescent="0.3">
      <c r="A235" s="150">
        <v>46009</v>
      </c>
      <c r="B235" s="64" t="s">
        <v>31</v>
      </c>
      <c r="C235" s="65" t="s">
        <v>32</v>
      </c>
      <c r="D235" s="64" t="s">
        <v>1</v>
      </c>
      <c r="E235" s="151">
        <v>1.305555555555556</v>
      </c>
      <c r="F235" s="64" t="s">
        <v>38</v>
      </c>
      <c r="G235" s="66">
        <v>7</v>
      </c>
      <c r="H235" s="148">
        <v>899</v>
      </c>
      <c r="I235" s="88"/>
    </row>
    <row r="236" spans="1:9" ht="19.8" customHeight="1" x14ac:dyDescent="0.3">
      <c r="A236" s="152">
        <v>46009</v>
      </c>
      <c r="B236" s="60" t="s">
        <v>68</v>
      </c>
      <c r="C236" s="61" t="s">
        <v>69</v>
      </c>
      <c r="D236" s="60" t="s">
        <v>1</v>
      </c>
      <c r="E236" s="153">
        <v>1.305555555555556</v>
      </c>
      <c r="F236" s="60" t="s">
        <v>70</v>
      </c>
      <c r="G236" s="62">
        <v>4</v>
      </c>
      <c r="H236" s="72" t="s">
        <v>112</v>
      </c>
      <c r="I236" s="88"/>
    </row>
    <row r="237" spans="1:9" ht="19.8" customHeight="1" x14ac:dyDescent="0.3">
      <c r="A237" s="150">
        <v>46010</v>
      </c>
      <c r="B237" s="64" t="s">
        <v>40</v>
      </c>
      <c r="C237" s="65" t="s">
        <v>48</v>
      </c>
      <c r="D237" s="64" t="s">
        <v>1</v>
      </c>
      <c r="E237" s="151">
        <v>1.836805555555556</v>
      </c>
      <c r="F237" s="64" t="s">
        <v>42</v>
      </c>
      <c r="G237" s="66">
        <v>4</v>
      </c>
      <c r="H237" s="148">
        <v>349</v>
      </c>
      <c r="I237" s="88"/>
    </row>
    <row r="238" spans="1:9" ht="19.8" customHeight="1" x14ac:dyDescent="0.3">
      <c r="A238" s="154">
        <v>46010</v>
      </c>
      <c r="B238" s="68" t="s">
        <v>51</v>
      </c>
      <c r="C238" s="69" t="s">
        <v>52</v>
      </c>
      <c r="D238" s="68" t="s">
        <v>1</v>
      </c>
      <c r="E238" s="155">
        <v>1.5798611111111109</v>
      </c>
      <c r="F238" s="68" t="s">
        <v>28</v>
      </c>
      <c r="G238" s="70">
        <v>9</v>
      </c>
      <c r="H238" s="149">
        <v>379</v>
      </c>
      <c r="I238" s="88"/>
    </row>
    <row r="239" spans="1:9" ht="19.8" customHeight="1" x14ac:dyDescent="0.3">
      <c r="A239" s="150">
        <v>46010</v>
      </c>
      <c r="B239" s="64" t="s">
        <v>31</v>
      </c>
      <c r="C239" s="65" t="s">
        <v>32</v>
      </c>
      <c r="D239" s="64" t="s">
        <v>1</v>
      </c>
      <c r="E239" s="151">
        <v>1.305555555555556</v>
      </c>
      <c r="F239" s="64" t="s">
        <v>33</v>
      </c>
      <c r="G239" s="66">
        <v>2</v>
      </c>
      <c r="H239" s="148">
        <v>399</v>
      </c>
      <c r="I239" s="88"/>
    </row>
    <row r="240" spans="1:9" ht="19.8" customHeight="1" x14ac:dyDescent="0.3">
      <c r="A240" s="150">
        <v>46010</v>
      </c>
      <c r="B240" s="64" t="s">
        <v>58</v>
      </c>
      <c r="C240" s="65" t="s">
        <v>63</v>
      </c>
      <c r="D240" s="64" t="s">
        <v>1</v>
      </c>
      <c r="E240" s="151">
        <v>1.864583333333333</v>
      </c>
      <c r="F240" s="64" t="s">
        <v>60</v>
      </c>
      <c r="G240" s="66">
        <v>9</v>
      </c>
      <c r="H240" s="148">
        <v>411</v>
      </c>
      <c r="I240" s="88"/>
    </row>
    <row r="241" spans="1:9" ht="19.8" customHeight="1" x14ac:dyDescent="0.3">
      <c r="A241" s="150">
        <v>46010</v>
      </c>
      <c r="B241" s="64" t="s">
        <v>58</v>
      </c>
      <c r="C241" s="65" t="s">
        <v>59</v>
      </c>
      <c r="D241" s="64" t="s">
        <v>1</v>
      </c>
      <c r="E241" s="151">
        <v>1.1701388888888891</v>
      </c>
      <c r="F241" s="64" t="s">
        <v>60</v>
      </c>
      <c r="G241" s="66">
        <v>9</v>
      </c>
      <c r="H241" s="148">
        <v>411</v>
      </c>
      <c r="I241" s="88"/>
    </row>
    <row r="242" spans="1:9" ht="19.8" customHeight="1" x14ac:dyDescent="0.3">
      <c r="A242" s="150">
        <v>46010</v>
      </c>
      <c r="B242" s="64" t="s">
        <v>26</v>
      </c>
      <c r="C242" s="65" t="s">
        <v>27</v>
      </c>
      <c r="D242" s="64" t="s">
        <v>1</v>
      </c>
      <c r="E242" s="151">
        <v>1.958333333333333</v>
      </c>
      <c r="F242" s="64" t="s">
        <v>28</v>
      </c>
      <c r="G242" s="66">
        <v>9</v>
      </c>
      <c r="H242" s="148">
        <v>439</v>
      </c>
      <c r="I242" s="88"/>
    </row>
    <row r="243" spans="1:9" ht="19.8" customHeight="1" x14ac:dyDescent="0.3">
      <c r="A243" s="150">
        <v>46010</v>
      </c>
      <c r="B243" s="64" t="s">
        <v>40</v>
      </c>
      <c r="C243" s="65" t="s">
        <v>48</v>
      </c>
      <c r="D243" s="64" t="s">
        <v>1</v>
      </c>
      <c r="E243" s="151">
        <v>1.836805555555556</v>
      </c>
      <c r="F243" s="64" t="s">
        <v>45</v>
      </c>
      <c r="G243" s="66">
        <v>4</v>
      </c>
      <c r="H243" s="148">
        <v>449</v>
      </c>
      <c r="I243" s="88"/>
    </row>
    <row r="244" spans="1:9" ht="19.8" customHeight="1" x14ac:dyDescent="0.3">
      <c r="A244" s="150">
        <v>46010</v>
      </c>
      <c r="B244" s="64" t="s">
        <v>40</v>
      </c>
      <c r="C244" s="65" t="s">
        <v>48</v>
      </c>
      <c r="D244" s="64" t="s">
        <v>1</v>
      </c>
      <c r="E244" s="151">
        <v>1.836805555555556</v>
      </c>
      <c r="F244" s="64" t="s">
        <v>38</v>
      </c>
      <c r="G244" s="66">
        <v>4</v>
      </c>
      <c r="H244" s="148">
        <v>539</v>
      </c>
      <c r="I244" s="88"/>
    </row>
    <row r="245" spans="1:9" ht="19.8" customHeight="1" x14ac:dyDescent="0.3">
      <c r="A245" s="150">
        <v>46010</v>
      </c>
      <c r="B245" s="64" t="s">
        <v>31</v>
      </c>
      <c r="C245" s="65" t="s">
        <v>32</v>
      </c>
      <c r="D245" s="64" t="s">
        <v>1</v>
      </c>
      <c r="E245" s="151">
        <v>1.305555555555556</v>
      </c>
      <c r="F245" s="64" t="s">
        <v>36</v>
      </c>
      <c r="G245" s="66">
        <v>2</v>
      </c>
      <c r="H245" s="148">
        <v>577</v>
      </c>
      <c r="I245" s="88"/>
    </row>
    <row r="246" spans="1:9" ht="19.8" customHeight="1" x14ac:dyDescent="0.3">
      <c r="A246" s="150">
        <v>46010</v>
      </c>
      <c r="B246" s="64" t="s">
        <v>58</v>
      </c>
      <c r="C246" s="65" t="s">
        <v>66</v>
      </c>
      <c r="D246" s="64" t="s">
        <v>1</v>
      </c>
      <c r="E246" s="151">
        <v>1.5277777777777779</v>
      </c>
      <c r="F246" s="64" t="s">
        <v>64</v>
      </c>
      <c r="G246" s="66">
        <v>9</v>
      </c>
      <c r="H246" s="148">
        <v>596</v>
      </c>
      <c r="I246" s="88"/>
    </row>
    <row r="247" spans="1:9" ht="19.8" customHeight="1" x14ac:dyDescent="0.3">
      <c r="A247" s="150">
        <v>46010</v>
      </c>
      <c r="B247" s="64" t="s">
        <v>31</v>
      </c>
      <c r="C247" s="65" t="s">
        <v>32</v>
      </c>
      <c r="D247" s="64" t="s">
        <v>1</v>
      </c>
      <c r="E247" s="151">
        <v>1.305555555555556</v>
      </c>
      <c r="F247" s="64" t="s">
        <v>38</v>
      </c>
      <c r="G247" s="66">
        <v>2</v>
      </c>
      <c r="H247" s="71" t="s">
        <v>39</v>
      </c>
      <c r="I247" s="88"/>
    </row>
    <row r="248" spans="1:9" ht="19.8" customHeight="1" x14ac:dyDescent="0.3">
      <c r="A248" s="152">
        <v>46010</v>
      </c>
      <c r="B248" s="60" t="s">
        <v>68</v>
      </c>
      <c r="C248" s="61" t="s">
        <v>69</v>
      </c>
      <c r="D248" s="60" t="s">
        <v>1</v>
      </c>
      <c r="E248" s="153">
        <v>1.305555555555556</v>
      </c>
      <c r="F248" s="60" t="s">
        <v>70</v>
      </c>
      <c r="G248" s="62">
        <v>4</v>
      </c>
      <c r="H248" s="72" t="s">
        <v>157</v>
      </c>
      <c r="I248" s="88"/>
    </row>
    <row r="249" spans="1:9" ht="19.8" customHeight="1" x14ac:dyDescent="0.3">
      <c r="A249" s="150">
        <v>46011</v>
      </c>
      <c r="B249" s="64" t="s">
        <v>31</v>
      </c>
      <c r="C249" s="65" t="s">
        <v>32</v>
      </c>
      <c r="D249" s="64" t="s">
        <v>1</v>
      </c>
      <c r="E249" s="151">
        <v>1.305555555555556</v>
      </c>
      <c r="F249" s="64" t="s">
        <v>33</v>
      </c>
      <c r="G249" s="66">
        <v>20</v>
      </c>
      <c r="H249" s="148">
        <v>309</v>
      </c>
      <c r="I249" s="88"/>
    </row>
    <row r="250" spans="1:9" ht="19.8" customHeight="1" x14ac:dyDescent="0.3">
      <c r="A250" s="150">
        <v>46011</v>
      </c>
      <c r="B250" s="64" t="s">
        <v>40</v>
      </c>
      <c r="C250" s="65" t="s">
        <v>48</v>
      </c>
      <c r="D250" s="64" t="s">
        <v>1</v>
      </c>
      <c r="E250" s="151">
        <v>1.836805555555556</v>
      </c>
      <c r="F250" s="64" t="s">
        <v>42</v>
      </c>
      <c r="G250" s="66">
        <v>9</v>
      </c>
      <c r="H250" s="148">
        <v>349</v>
      </c>
      <c r="I250" s="88"/>
    </row>
    <row r="251" spans="1:9" ht="19.8" customHeight="1" x14ac:dyDescent="0.3">
      <c r="A251" s="150">
        <v>46011</v>
      </c>
      <c r="B251" s="64" t="s">
        <v>40</v>
      </c>
      <c r="C251" s="65" t="s">
        <v>41</v>
      </c>
      <c r="D251" s="64" t="s">
        <v>1</v>
      </c>
      <c r="E251" s="151">
        <v>1.2013888888888891</v>
      </c>
      <c r="F251" s="64" t="s">
        <v>42</v>
      </c>
      <c r="G251" s="66">
        <v>9</v>
      </c>
      <c r="H251" s="148">
        <v>349</v>
      </c>
      <c r="I251" s="88"/>
    </row>
    <row r="252" spans="1:9" ht="19.8" customHeight="1" x14ac:dyDescent="0.3">
      <c r="A252" s="150">
        <v>46011</v>
      </c>
      <c r="B252" s="64" t="s">
        <v>76</v>
      </c>
      <c r="C252" s="65" t="s">
        <v>77</v>
      </c>
      <c r="D252" s="64" t="s">
        <v>1</v>
      </c>
      <c r="E252" s="151">
        <v>1.9722222222222221</v>
      </c>
      <c r="F252" s="64" t="s">
        <v>78</v>
      </c>
      <c r="G252" s="66">
        <v>9</v>
      </c>
      <c r="H252" s="148">
        <v>373</v>
      </c>
      <c r="I252" s="88"/>
    </row>
    <row r="253" spans="1:9" ht="19.8" customHeight="1" x14ac:dyDescent="0.3">
      <c r="A253" s="154">
        <v>46011</v>
      </c>
      <c r="B253" s="68" t="s">
        <v>51</v>
      </c>
      <c r="C253" s="69" t="s">
        <v>52</v>
      </c>
      <c r="D253" s="68" t="s">
        <v>1</v>
      </c>
      <c r="E253" s="155">
        <v>1.9236111111111109</v>
      </c>
      <c r="F253" s="68" t="s">
        <v>28</v>
      </c>
      <c r="G253" s="70">
        <v>7</v>
      </c>
      <c r="H253" s="149">
        <v>379</v>
      </c>
      <c r="I253" s="88"/>
    </row>
    <row r="254" spans="1:9" ht="19.8" customHeight="1" x14ac:dyDescent="0.3">
      <c r="A254" s="150">
        <v>46011</v>
      </c>
      <c r="B254" s="64" t="s">
        <v>58</v>
      </c>
      <c r="C254" s="65" t="s">
        <v>63</v>
      </c>
      <c r="D254" s="64" t="s">
        <v>1</v>
      </c>
      <c r="E254" s="151">
        <v>1.864583333333333</v>
      </c>
      <c r="F254" s="64" t="s">
        <v>60</v>
      </c>
      <c r="G254" s="66">
        <v>9</v>
      </c>
      <c r="H254" s="148">
        <v>411</v>
      </c>
      <c r="I254" s="88"/>
    </row>
    <row r="255" spans="1:9" ht="19.8" customHeight="1" x14ac:dyDescent="0.3">
      <c r="A255" s="150">
        <v>46011</v>
      </c>
      <c r="B255" s="64" t="s">
        <v>58</v>
      </c>
      <c r="C255" s="65" t="s">
        <v>66</v>
      </c>
      <c r="D255" s="64" t="s">
        <v>1</v>
      </c>
      <c r="E255" s="151">
        <v>1.5277777777777779</v>
      </c>
      <c r="F255" s="64" t="s">
        <v>60</v>
      </c>
      <c r="G255" s="66">
        <v>9</v>
      </c>
      <c r="H255" s="148">
        <v>411</v>
      </c>
      <c r="I255" s="88"/>
    </row>
    <row r="256" spans="1:9" ht="19.8" customHeight="1" x14ac:dyDescent="0.3">
      <c r="A256" s="150">
        <v>46011</v>
      </c>
      <c r="B256" s="64" t="s">
        <v>58</v>
      </c>
      <c r="C256" s="65" t="s">
        <v>59</v>
      </c>
      <c r="D256" s="64" t="s">
        <v>1</v>
      </c>
      <c r="E256" s="151">
        <v>1.1701388888888891</v>
      </c>
      <c r="F256" s="64" t="s">
        <v>60</v>
      </c>
      <c r="G256" s="66">
        <v>9</v>
      </c>
      <c r="H256" s="148">
        <v>411</v>
      </c>
      <c r="I256" s="88"/>
    </row>
    <row r="257" spans="1:9" ht="19.8" customHeight="1" x14ac:dyDescent="0.3">
      <c r="A257" s="150">
        <v>46011</v>
      </c>
      <c r="B257" s="64" t="s">
        <v>40</v>
      </c>
      <c r="C257" s="65" t="s">
        <v>48</v>
      </c>
      <c r="D257" s="64" t="s">
        <v>1</v>
      </c>
      <c r="E257" s="151">
        <v>1.836805555555556</v>
      </c>
      <c r="F257" s="64" t="s">
        <v>45</v>
      </c>
      <c r="G257" s="66">
        <v>9</v>
      </c>
      <c r="H257" s="148">
        <v>449</v>
      </c>
      <c r="I257" s="88"/>
    </row>
    <row r="258" spans="1:9" ht="19.8" customHeight="1" x14ac:dyDescent="0.3">
      <c r="A258" s="150">
        <v>46011</v>
      </c>
      <c r="B258" s="64" t="s">
        <v>40</v>
      </c>
      <c r="C258" s="65" t="s">
        <v>41</v>
      </c>
      <c r="D258" s="64" t="s">
        <v>1</v>
      </c>
      <c r="E258" s="151">
        <v>1.2013888888888891</v>
      </c>
      <c r="F258" s="64" t="s">
        <v>45</v>
      </c>
      <c r="G258" s="66">
        <v>9</v>
      </c>
      <c r="H258" s="148">
        <v>449</v>
      </c>
      <c r="I258" s="88"/>
    </row>
    <row r="259" spans="1:9" ht="19.8" customHeight="1" x14ac:dyDescent="0.3">
      <c r="A259" s="150">
        <v>46011</v>
      </c>
      <c r="B259" s="64" t="s">
        <v>31</v>
      </c>
      <c r="C259" s="65" t="s">
        <v>32</v>
      </c>
      <c r="D259" s="64" t="s">
        <v>1</v>
      </c>
      <c r="E259" s="151">
        <v>1.305555555555556</v>
      </c>
      <c r="F259" s="64" t="s">
        <v>36</v>
      </c>
      <c r="G259" s="66">
        <v>20</v>
      </c>
      <c r="H259" s="148">
        <v>487</v>
      </c>
      <c r="I259" s="88"/>
    </row>
    <row r="260" spans="1:9" ht="19.8" customHeight="1" x14ac:dyDescent="0.3">
      <c r="A260" s="150">
        <v>46011</v>
      </c>
      <c r="B260" s="64" t="s">
        <v>76</v>
      </c>
      <c r="C260" s="65" t="s">
        <v>77</v>
      </c>
      <c r="D260" s="64" t="s">
        <v>1</v>
      </c>
      <c r="E260" s="151">
        <v>1.9722222222222221</v>
      </c>
      <c r="F260" s="64" t="s">
        <v>81</v>
      </c>
      <c r="G260" s="66">
        <v>9</v>
      </c>
      <c r="H260" s="148">
        <v>496</v>
      </c>
      <c r="I260" s="88"/>
    </row>
    <row r="261" spans="1:9" ht="19.8" customHeight="1" x14ac:dyDescent="0.3">
      <c r="A261" s="150">
        <v>46011</v>
      </c>
      <c r="B261" s="64" t="s">
        <v>40</v>
      </c>
      <c r="C261" s="65" t="s">
        <v>48</v>
      </c>
      <c r="D261" s="64" t="s">
        <v>1</v>
      </c>
      <c r="E261" s="151">
        <v>1.836805555555556</v>
      </c>
      <c r="F261" s="64" t="s">
        <v>38</v>
      </c>
      <c r="G261" s="66">
        <v>9</v>
      </c>
      <c r="H261" s="148">
        <v>539</v>
      </c>
      <c r="I261" s="88"/>
    </row>
    <row r="262" spans="1:9" ht="19.8" customHeight="1" x14ac:dyDescent="0.3">
      <c r="A262" s="150">
        <v>46011</v>
      </c>
      <c r="B262" s="64" t="s">
        <v>40</v>
      </c>
      <c r="C262" s="65" t="s">
        <v>41</v>
      </c>
      <c r="D262" s="64" t="s">
        <v>1</v>
      </c>
      <c r="E262" s="151">
        <v>1.2013888888888891</v>
      </c>
      <c r="F262" s="64" t="s">
        <v>38</v>
      </c>
      <c r="G262" s="66">
        <v>9</v>
      </c>
      <c r="H262" s="148">
        <v>539</v>
      </c>
      <c r="I262" s="88"/>
    </row>
    <row r="263" spans="1:9" ht="19.8" customHeight="1" x14ac:dyDescent="0.3">
      <c r="A263" s="150">
        <v>46011</v>
      </c>
      <c r="B263" s="64" t="s">
        <v>68</v>
      </c>
      <c r="C263" s="65" t="s">
        <v>69</v>
      </c>
      <c r="D263" s="64" t="s">
        <v>1</v>
      </c>
      <c r="E263" s="151">
        <v>1.305555555555556</v>
      </c>
      <c r="F263" s="64" t="s">
        <v>70</v>
      </c>
      <c r="G263" s="66">
        <v>4</v>
      </c>
      <c r="H263" s="71" t="s">
        <v>122</v>
      </c>
      <c r="I263" s="88"/>
    </row>
    <row r="264" spans="1:9" ht="19.8" customHeight="1" x14ac:dyDescent="0.3">
      <c r="A264" s="152">
        <v>46011</v>
      </c>
      <c r="B264" s="60" t="s">
        <v>31</v>
      </c>
      <c r="C264" s="61" t="s">
        <v>32</v>
      </c>
      <c r="D264" s="60" t="s">
        <v>1</v>
      </c>
      <c r="E264" s="153">
        <v>1.305555555555556</v>
      </c>
      <c r="F264" s="60" t="s">
        <v>38</v>
      </c>
      <c r="G264" s="62">
        <v>20</v>
      </c>
      <c r="H264" s="72" t="s">
        <v>39</v>
      </c>
      <c r="I264" s="88"/>
    </row>
    <row r="265" spans="1:9" ht="19.8" customHeight="1" x14ac:dyDescent="0.3">
      <c r="A265" s="150">
        <v>46012</v>
      </c>
      <c r="B265" s="64" t="s">
        <v>31</v>
      </c>
      <c r="C265" s="65" t="s">
        <v>32</v>
      </c>
      <c r="D265" s="64" t="s">
        <v>1</v>
      </c>
      <c r="E265" s="151">
        <v>1.305555555555556</v>
      </c>
      <c r="F265" s="64" t="s">
        <v>33</v>
      </c>
      <c r="G265" s="66">
        <v>10</v>
      </c>
      <c r="H265" s="148">
        <v>309</v>
      </c>
      <c r="I265" s="88"/>
    </row>
    <row r="266" spans="1:9" ht="19.8" customHeight="1" x14ac:dyDescent="0.3">
      <c r="A266" s="150">
        <v>46012</v>
      </c>
      <c r="B266" s="64" t="s">
        <v>40</v>
      </c>
      <c r="C266" s="65" t="s">
        <v>48</v>
      </c>
      <c r="D266" s="64" t="s">
        <v>1</v>
      </c>
      <c r="E266" s="151">
        <v>1.850694444444444</v>
      </c>
      <c r="F266" s="64" t="s">
        <v>42</v>
      </c>
      <c r="G266" s="66">
        <v>9</v>
      </c>
      <c r="H266" s="148">
        <v>349</v>
      </c>
      <c r="I266" s="88"/>
    </row>
    <row r="267" spans="1:9" ht="19.8" customHeight="1" x14ac:dyDescent="0.3">
      <c r="A267" s="150">
        <v>46012</v>
      </c>
      <c r="B267" s="64" t="s">
        <v>58</v>
      </c>
      <c r="C267" s="65" t="s">
        <v>63</v>
      </c>
      <c r="D267" s="64" t="s">
        <v>1</v>
      </c>
      <c r="E267" s="151">
        <v>1.864583333333333</v>
      </c>
      <c r="F267" s="64" t="s">
        <v>60</v>
      </c>
      <c r="G267" s="66">
        <v>9</v>
      </c>
      <c r="H267" s="148">
        <v>411</v>
      </c>
      <c r="I267" s="88"/>
    </row>
    <row r="268" spans="1:9" ht="19.8" customHeight="1" x14ac:dyDescent="0.3">
      <c r="A268" s="150">
        <v>46012</v>
      </c>
      <c r="B268" s="64" t="s">
        <v>58</v>
      </c>
      <c r="C268" s="65" t="s">
        <v>66</v>
      </c>
      <c r="D268" s="64" t="s">
        <v>1</v>
      </c>
      <c r="E268" s="151">
        <v>1.5277777777777779</v>
      </c>
      <c r="F268" s="64" t="s">
        <v>60</v>
      </c>
      <c r="G268" s="66">
        <v>9</v>
      </c>
      <c r="H268" s="148">
        <v>411</v>
      </c>
      <c r="I268" s="88"/>
    </row>
    <row r="269" spans="1:9" ht="19.8" customHeight="1" x14ac:dyDescent="0.3">
      <c r="A269" s="150">
        <v>46012</v>
      </c>
      <c r="B269" s="64" t="s">
        <v>58</v>
      </c>
      <c r="C269" s="65" t="s">
        <v>59</v>
      </c>
      <c r="D269" s="64" t="s">
        <v>1</v>
      </c>
      <c r="E269" s="151">
        <v>1.1701388888888891</v>
      </c>
      <c r="F269" s="64" t="s">
        <v>60</v>
      </c>
      <c r="G269" s="66">
        <v>9</v>
      </c>
      <c r="H269" s="148">
        <v>411</v>
      </c>
      <c r="I269" s="88"/>
    </row>
    <row r="270" spans="1:9" ht="19.8" customHeight="1" x14ac:dyDescent="0.3">
      <c r="A270" s="150">
        <v>46012</v>
      </c>
      <c r="B270" s="64" t="s">
        <v>26</v>
      </c>
      <c r="C270" s="65" t="s">
        <v>97</v>
      </c>
      <c r="D270" s="64" t="s">
        <v>1</v>
      </c>
      <c r="E270" s="151">
        <v>1.958333333333333</v>
      </c>
      <c r="F270" s="64" t="s">
        <v>28</v>
      </c>
      <c r="G270" s="66">
        <v>9</v>
      </c>
      <c r="H270" s="148">
        <v>439</v>
      </c>
      <c r="I270" s="88"/>
    </row>
    <row r="271" spans="1:9" ht="19.8" customHeight="1" x14ac:dyDescent="0.3">
      <c r="A271" s="150">
        <v>46012</v>
      </c>
      <c r="B271" s="64" t="s">
        <v>40</v>
      </c>
      <c r="C271" s="65" t="s">
        <v>48</v>
      </c>
      <c r="D271" s="64" t="s">
        <v>1</v>
      </c>
      <c r="E271" s="151">
        <v>1.850694444444444</v>
      </c>
      <c r="F271" s="64" t="s">
        <v>45</v>
      </c>
      <c r="G271" s="66">
        <v>9</v>
      </c>
      <c r="H271" s="148">
        <v>449</v>
      </c>
      <c r="I271" s="88"/>
    </row>
    <row r="272" spans="1:9" ht="19.8" customHeight="1" x14ac:dyDescent="0.3">
      <c r="A272" s="150">
        <v>46012</v>
      </c>
      <c r="B272" s="64" t="s">
        <v>31</v>
      </c>
      <c r="C272" s="65" t="s">
        <v>32</v>
      </c>
      <c r="D272" s="64" t="s">
        <v>1</v>
      </c>
      <c r="E272" s="151">
        <v>1.305555555555556</v>
      </c>
      <c r="F272" s="64" t="s">
        <v>36</v>
      </c>
      <c r="G272" s="66">
        <v>10</v>
      </c>
      <c r="H272" s="148">
        <v>487</v>
      </c>
      <c r="I272" s="88"/>
    </row>
    <row r="273" spans="1:9" ht="19.8" customHeight="1" x14ac:dyDescent="0.3">
      <c r="A273" s="150">
        <v>46012</v>
      </c>
      <c r="B273" s="64" t="s">
        <v>40</v>
      </c>
      <c r="C273" s="65" t="s">
        <v>48</v>
      </c>
      <c r="D273" s="64" t="s">
        <v>1</v>
      </c>
      <c r="E273" s="151">
        <v>1.850694444444444</v>
      </c>
      <c r="F273" s="64" t="s">
        <v>38</v>
      </c>
      <c r="G273" s="66">
        <v>9</v>
      </c>
      <c r="H273" s="148">
        <v>539</v>
      </c>
      <c r="I273" s="88"/>
    </row>
    <row r="274" spans="1:9" ht="19.8" customHeight="1" x14ac:dyDescent="0.3">
      <c r="A274" s="150">
        <v>46012</v>
      </c>
      <c r="B274" s="64" t="s">
        <v>31</v>
      </c>
      <c r="C274" s="65" t="s">
        <v>32</v>
      </c>
      <c r="D274" s="64" t="s">
        <v>1</v>
      </c>
      <c r="E274" s="151">
        <v>1.305555555555556</v>
      </c>
      <c r="F274" s="64" t="s">
        <v>38</v>
      </c>
      <c r="G274" s="66">
        <v>10</v>
      </c>
      <c r="H274" s="148">
        <v>899</v>
      </c>
      <c r="I274" s="88"/>
    </row>
    <row r="275" spans="1:9" ht="19.8" customHeight="1" x14ac:dyDescent="0.3">
      <c r="A275" s="152">
        <v>46012</v>
      </c>
      <c r="B275" s="60" t="s">
        <v>68</v>
      </c>
      <c r="C275" s="61" t="s">
        <v>69</v>
      </c>
      <c r="D275" s="60" t="s">
        <v>1</v>
      </c>
      <c r="E275" s="153">
        <v>1.305555555555556</v>
      </c>
      <c r="F275" s="60" t="s">
        <v>70</v>
      </c>
      <c r="G275" s="62">
        <v>4</v>
      </c>
      <c r="H275" s="72" t="s">
        <v>122</v>
      </c>
      <c r="I275" s="88"/>
    </row>
    <row r="276" spans="1:9" ht="19.8" customHeight="1" x14ac:dyDescent="0.3">
      <c r="A276" s="150">
        <v>46013</v>
      </c>
      <c r="B276" s="64" t="s">
        <v>31</v>
      </c>
      <c r="C276" s="65" t="s">
        <v>32</v>
      </c>
      <c r="D276" s="64" t="s">
        <v>1</v>
      </c>
      <c r="E276" s="151">
        <v>1.305555555555556</v>
      </c>
      <c r="F276" s="64" t="s">
        <v>33</v>
      </c>
      <c r="G276" s="66">
        <v>18</v>
      </c>
      <c r="H276" s="148">
        <v>309</v>
      </c>
      <c r="I276" s="88"/>
    </row>
    <row r="277" spans="1:9" ht="19.8" customHeight="1" x14ac:dyDescent="0.3">
      <c r="A277" s="150">
        <v>46013</v>
      </c>
      <c r="B277" s="64" t="s">
        <v>40</v>
      </c>
      <c r="C277" s="65" t="s">
        <v>48</v>
      </c>
      <c r="D277" s="64" t="s">
        <v>1</v>
      </c>
      <c r="E277" s="151">
        <v>1.836805555555556</v>
      </c>
      <c r="F277" s="64" t="s">
        <v>42</v>
      </c>
      <c r="G277" s="66">
        <v>8</v>
      </c>
      <c r="H277" s="148">
        <v>349</v>
      </c>
      <c r="I277" s="88"/>
    </row>
    <row r="278" spans="1:9" ht="19.8" customHeight="1" x14ac:dyDescent="0.3">
      <c r="A278" s="150">
        <v>46013</v>
      </c>
      <c r="B278" s="64" t="s">
        <v>40</v>
      </c>
      <c r="C278" s="65" t="s">
        <v>41</v>
      </c>
      <c r="D278" s="64" t="s">
        <v>1</v>
      </c>
      <c r="E278" s="151">
        <v>1.2013888888888891</v>
      </c>
      <c r="F278" s="64" t="s">
        <v>42</v>
      </c>
      <c r="G278" s="66">
        <v>9</v>
      </c>
      <c r="H278" s="148">
        <v>349</v>
      </c>
      <c r="I278" s="88"/>
    </row>
    <row r="279" spans="1:9" ht="19.8" customHeight="1" x14ac:dyDescent="0.3">
      <c r="A279" s="150">
        <v>46013</v>
      </c>
      <c r="B279" s="64" t="s">
        <v>58</v>
      </c>
      <c r="C279" s="65" t="s">
        <v>63</v>
      </c>
      <c r="D279" s="64" t="s">
        <v>1</v>
      </c>
      <c r="E279" s="151">
        <v>1.864583333333333</v>
      </c>
      <c r="F279" s="64" t="s">
        <v>60</v>
      </c>
      <c r="G279" s="66">
        <v>9</v>
      </c>
      <c r="H279" s="148">
        <v>411</v>
      </c>
      <c r="I279" s="88"/>
    </row>
    <row r="280" spans="1:9" ht="19.8" customHeight="1" x14ac:dyDescent="0.3">
      <c r="A280" s="150">
        <v>46013</v>
      </c>
      <c r="B280" s="64" t="s">
        <v>58</v>
      </c>
      <c r="C280" s="65" t="s">
        <v>66</v>
      </c>
      <c r="D280" s="64" t="s">
        <v>1</v>
      </c>
      <c r="E280" s="151">
        <v>1.5277777777777779</v>
      </c>
      <c r="F280" s="64" t="s">
        <v>60</v>
      </c>
      <c r="G280" s="66">
        <v>9</v>
      </c>
      <c r="H280" s="148">
        <v>411</v>
      </c>
      <c r="I280" s="88"/>
    </row>
    <row r="281" spans="1:9" ht="19.8" customHeight="1" x14ac:dyDescent="0.3">
      <c r="A281" s="150">
        <v>46013</v>
      </c>
      <c r="B281" s="64" t="s">
        <v>58</v>
      </c>
      <c r="C281" s="65" t="s">
        <v>59</v>
      </c>
      <c r="D281" s="64" t="s">
        <v>1</v>
      </c>
      <c r="E281" s="151">
        <v>1.1701388888888891</v>
      </c>
      <c r="F281" s="64" t="s">
        <v>60</v>
      </c>
      <c r="G281" s="66">
        <v>9</v>
      </c>
      <c r="H281" s="148">
        <v>411</v>
      </c>
      <c r="I281" s="88"/>
    </row>
    <row r="282" spans="1:9" ht="19.8" customHeight="1" x14ac:dyDescent="0.3">
      <c r="A282" s="150">
        <v>46013</v>
      </c>
      <c r="B282" s="64" t="s">
        <v>73</v>
      </c>
      <c r="C282" s="65" t="s">
        <v>161</v>
      </c>
      <c r="D282" s="64" t="s">
        <v>1</v>
      </c>
      <c r="E282" s="151">
        <v>1.1215277777777779</v>
      </c>
      <c r="F282" s="64" t="s">
        <v>28</v>
      </c>
      <c r="G282" s="66">
        <v>1</v>
      </c>
      <c r="H282" s="148">
        <v>425</v>
      </c>
      <c r="I282" s="88"/>
    </row>
    <row r="283" spans="1:9" ht="19.8" customHeight="1" x14ac:dyDescent="0.3">
      <c r="A283" s="150">
        <v>46013</v>
      </c>
      <c r="B283" s="64" t="s">
        <v>26</v>
      </c>
      <c r="C283" s="65" t="s">
        <v>27</v>
      </c>
      <c r="D283" s="64" t="s">
        <v>1</v>
      </c>
      <c r="E283" s="151">
        <v>1.958333333333333</v>
      </c>
      <c r="F283" s="64" t="s">
        <v>28</v>
      </c>
      <c r="G283" s="66">
        <v>9</v>
      </c>
      <c r="H283" s="148">
        <v>439</v>
      </c>
      <c r="I283" s="88"/>
    </row>
    <row r="284" spans="1:9" ht="19.8" customHeight="1" x14ac:dyDescent="0.3">
      <c r="A284" s="150">
        <v>46013</v>
      </c>
      <c r="B284" s="64" t="s">
        <v>40</v>
      </c>
      <c r="C284" s="65" t="s">
        <v>48</v>
      </c>
      <c r="D284" s="64" t="s">
        <v>1</v>
      </c>
      <c r="E284" s="151">
        <v>1.836805555555556</v>
      </c>
      <c r="F284" s="64" t="s">
        <v>45</v>
      </c>
      <c r="G284" s="66">
        <v>8</v>
      </c>
      <c r="H284" s="148">
        <v>449</v>
      </c>
      <c r="I284" s="88"/>
    </row>
    <row r="285" spans="1:9" ht="19.8" customHeight="1" x14ac:dyDescent="0.3">
      <c r="A285" s="150">
        <v>46013</v>
      </c>
      <c r="B285" s="64" t="s">
        <v>40</v>
      </c>
      <c r="C285" s="65" t="s">
        <v>41</v>
      </c>
      <c r="D285" s="64" t="s">
        <v>1</v>
      </c>
      <c r="E285" s="151">
        <v>1.2013888888888891</v>
      </c>
      <c r="F285" s="64" t="s">
        <v>45</v>
      </c>
      <c r="G285" s="66">
        <v>9</v>
      </c>
      <c r="H285" s="148">
        <v>449</v>
      </c>
      <c r="I285" s="88"/>
    </row>
    <row r="286" spans="1:9" ht="19.8" customHeight="1" x14ac:dyDescent="0.3">
      <c r="A286" s="150">
        <v>46013</v>
      </c>
      <c r="B286" s="64" t="s">
        <v>31</v>
      </c>
      <c r="C286" s="65" t="s">
        <v>32</v>
      </c>
      <c r="D286" s="64" t="s">
        <v>1</v>
      </c>
      <c r="E286" s="151">
        <v>1.305555555555556</v>
      </c>
      <c r="F286" s="64" t="s">
        <v>36</v>
      </c>
      <c r="G286" s="66">
        <v>18</v>
      </c>
      <c r="H286" s="148">
        <v>487</v>
      </c>
      <c r="I286" s="88"/>
    </row>
    <row r="287" spans="1:9" ht="19.8" customHeight="1" x14ac:dyDescent="0.3">
      <c r="A287" s="150">
        <v>46013</v>
      </c>
      <c r="B287" s="64" t="s">
        <v>40</v>
      </c>
      <c r="C287" s="65" t="s">
        <v>48</v>
      </c>
      <c r="D287" s="64" t="s">
        <v>1</v>
      </c>
      <c r="E287" s="151">
        <v>1.836805555555556</v>
      </c>
      <c r="F287" s="64" t="s">
        <v>38</v>
      </c>
      <c r="G287" s="66">
        <v>8</v>
      </c>
      <c r="H287" s="148">
        <v>539</v>
      </c>
      <c r="I287" s="88"/>
    </row>
    <row r="288" spans="1:9" ht="19.8" customHeight="1" x14ac:dyDescent="0.3">
      <c r="A288" s="150">
        <v>46013</v>
      </c>
      <c r="B288" s="64" t="s">
        <v>40</v>
      </c>
      <c r="C288" s="65" t="s">
        <v>41</v>
      </c>
      <c r="D288" s="64" t="s">
        <v>1</v>
      </c>
      <c r="E288" s="151">
        <v>1.2013888888888891</v>
      </c>
      <c r="F288" s="64" t="s">
        <v>38</v>
      </c>
      <c r="G288" s="66">
        <v>9</v>
      </c>
      <c r="H288" s="148">
        <v>539</v>
      </c>
      <c r="I288" s="88"/>
    </row>
    <row r="289" spans="1:9" ht="19.8" customHeight="1" x14ac:dyDescent="0.3">
      <c r="A289" s="150">
        <v>46013</v>
      </c>
      <c r="B289" s="64" t="s">
        <v>31</v>
      </c>
      <c r="C289" s="65" t="s">
        <v>32</v>
      </c>
      <c r="D289" s="64" t="s">
        <v>1</v>
      </c>
      <c r="E289" s="151">
        <v>1.305555555555556</v>
      </c>
      <c r="F289" s="64" t="s">
        <v>38</v>
      </c>
      <c r="G289" s="66">
        <v>18</v>
      </c>
      <c r="H289" s="148">
        <v>899</v>
      </c>
      <c r="I289" s="88"/>
    </row>
    <row r="290" spans="1:9" ht="19.8" customHeight="1" x14ac:dyDescent="0.3">
      <c r="A290" s="152">
        <v>46013</v>
      </c>
      <c r="B290" s="60" t="s">
        <v>68</v>
      </c>
      <c r="C290" s="61" t="s">
        <v>69</v>
      </c>
      <c r="D290" s="60" t="s">
        <v>1</v>
      </c>
      <c r="E290" s="153">
        <v>1.305555555555556</v>
      </c>
      <c r="F290" s="60" t="s">
        <v>70</v>
      </c>
      <c r="G290" s="62">
        <v>4</v>
      </c>
      <c r="H290" s="72" t="s">
        <v>122</v>
      </c>
      <c r="I290" s="88"/>
    </row>
    <row r="291" spans="1:9" ht="19.8" customHeight="1" x14ac:dyDescent="0.3">
      <c r="A291" s="150">
        <v>46014</v>
      </c>
      <c r="B291" s="64" t="s">
        <v>31</v>
      </c>
      <c r="C291" s="65" t="s">
        <v>32</v>
      </c>
      <c r="D291" s="64" t="s">
        <v>1</v>
      </c>
      <c r="E291" s="151">
        <v>1.305555555555556</v>
      </c>
      <c r="F291" s="64" t="s">
        <v>33</v>
      </c>
      <c r="G291" s="66">
        <v>18</v>
      </c>
      <c r="H291" s="148">
        <v>309</v>
      </c>
      <c r="I291" s="88"/>
    </row>
    <row r="292" spans="1:9" ht="19.8" customHeight="1" x14ac:dyDescent="0.3">
      <c r="A292" s="150">
        <v>46014</v>
      </c>
      <c r="B292" s="64" t="s">
        <v>40</v>
      </c>
      <c r="C292" s="65" t="s">
        <v>48</v>
      </c>
      <c r="D292" s="64" t="s">
        <v>1</v>
      </c>
      <c r="E292" s="151">
        <v>1.836805555555556</v>
      </c>
      <c r="F292" s="64" t="s">
        <v>42</v>
      </c>
      <c r="G292" s="66">
        <v>9</v>
      </c>
      <c r="H292" s="148">
        <v>349</v>
      </c>
      <c r="I292" s="88"/>
    </row>
    <row r="293" spans="1:9" ht="19.8" customHeight="1" x14ac:dyDescent="0.3">
      <c r="A293" s="150">
        <v>46014</v>
      </c>
      <c r="B293" s="64" t="s">
        <v>40</v>
      </c>
      <c r="C293" s="65" t="s">
        <v>41</v>
      </c>
      <c r="D293" s="64" t="s">
        <v>1</v>
      </c>
      <c r="E293" s="151">
        <v>1.2013888888888891</v>
      </c>
      <c r="F293" s="64" t="s">
        <v>42</v>
      </c>
      <c r="G293" s="66">
        <v>9</v>
      </c>
      <c r="H293" s="148">
        <v>379</v>
      </c>
      <c r="I293" s="88"/>
    </row>
    <row r="294" spans="1:9" ht="19.8" customHeight="1" x14ac:dyDescent="0.3">
      <c r="A294" s="154">
        <v>46014</v>
      </c>
      <c r="B294" s="68" t="s">
        <v>51</v>
      </c>
      <c r="C294" s="69" t="s">
        <v>52</v>
      </c>
      <c r="D294" s="68" t="s">
        <v>1</v>
      </c>
      <c r="E294" s="155">
        <v>1.270833333333333</v>
      </c>
      <c r="F294" s="68" t="s">
        <v>28</v>
      </c>
      <c r="G294" s="70">
        <v>9</v>
      </c>
      <c r="H294" s="149">
        <v>379</v>
      </c>
      <c r="I294" s="88"/>
    </row>
    <row r="295" spans="1:9" ht="19.8" customHeight="1" x14ac:dyDescent="0.3">
      <c r="A295" s="150">
        <v>46014</v>
      </c>
      <c r="B295" s="64" t="s">
        <v>58</v>
      </c>
      <c r="C295" s="65" t="s">
        <v>63</v>
      </c>
      <c r="D295" s="64" t="s">
        <v>1</v>
      </c>
      <c r="E295" s="151">
        <v>1.864583333333333</v>
      </c>
      <c r="F295" s="64" t="s">
        <v>60</v>
      </c>
      <c r="G295" s="66">
        <v>9</v>
      </c>
      <c r="H295" s="148">
        <v>411</v>
      </c>
      <c r="I295" s="88"/>
    </row>
    <row r="296" spans="1:9" ht="19.8" customHeight="1" x14ac:dyDescent="0.3">
      <c r="A296" s="150">
        <v>46014</v>
      </c>
      <c r="B296" s="64" t="s">
        <v>58</v>
      </c>
      <c r="C296" s="65" t="s">
        <v>59</v>
      </c>
      <c r="D296" s="64" t="s">
        <v>1</v>
      </c>
      <c r="E296" s="151">
        <v>1.1701388888888891</v>
      </c>
      <c r="F296" s="64" t="s">
        <v>60</v>
      </c>
      <c r="G296" s="66">
        <v>9</v>
      </c>
      <c r="H296" s="148">
        <v>411</v>
      </c>
      <c r="I296" s="88"/>
    </row>
    <row r="297" spans="1:9" ht="19.8" customHeight="1" x14ac:dyDescent="0.3">
      <c r="A297" s="150">
        <v>46014</v>
      </c>
      <c r="B297" s="64" t="s">
        <v>26</v>
      </c>
      <c r="C297" s="65" t="s">
        <v>57</v>
      </c>
      <c r="D297" s="64" t="s">
        <v>1</v>
      </c>
      <c r="E297" s="151">
        <v>1.958333333333333</v>
      </c>
      <c r="F297" s="64" t="s">
        <v>28</v>
      </c>
      <c r="G297" s="66">
        <v>8</v>
      </c>
      <c r="H297" s="148">
        <v>439</v>
      </c>
      <c r="I297" s="88"/>
    </row>
    <row r="298" spans="1:9" ht="19.8" customHeight="1" x14ac:dyDescent="0.3">
      <c r="A298" s="150">
        <v>46014</v>
      </c>
      <c r="B298" s="64" t="s">
        <v>40</v>
      </c>
      <c r="C298" s="65" t="s">
        <v>48</v>
      </c>
      <c r="D298" s="64" t="s">
        <v>1</v>
      </c>
      <c r="E298" s="151">
        <v>1.836805555555556</v>
      </c>
      <c r="F298" s="64" t="s">
        <v>45</v>
      </c>
      <c r="G298" s="66">
        <v>9</v>
      </c>
      <c r="H298" s="148">
        <v>449</v>
      </c>
      <c r="I298" s="88"/>
    </row>
    <row r="299" spans="1:9" ht="19.8" customHeight="1" x14ac:dyDescent="0.3">
      <c r="A299" s="150">
        <v>46014</v>
      </c>
      <c r="B299" s="64" t="s">
        <v>40</v>
      </c>
      <c r="C299" s="65" t="s">
        <v>41</v>
      </c>
      <c r="D299" s="64" t="s">
        <v>1</v>
      </c>
      <c r="E299" s="151">
        <v>1.2013888888888891</v>
      </c>
      <c r="F299" s="64" t="s">
        <v>45</v>
      </c>
      <c r="G299" s="66">
        <v>9</v>
      </c>
      <c r="H299" s="148">
        <v>479</v>
      </c>
      <c r="I299" s="88"/>
    </row>
    <row r="300" spans="1:9" ht="19.8" customHeight="1" x14ac:dyDescent="0.3">
      <c r="A300" s="150">
        <v>46014</v>
      </c>
      <c r="B300" s="64" t="s">
        <v>31</v>
      </c>
      <c r="C300" s="65" t="s">
        <v>32</v>
      </c>
      <c r="D300" s="64" t="s">
        <v>1</v>
      </c>
      <c r="E300" s="151">
        <v>1.305555555555556</v>
      </c>
      <c r="F300" s="64" t="s">
        <v>36</v>
      </c>
      <c r="G300" s="66">
        <v>18</v>
      </c>
      <c r="H300" s="148">
        <v>487</v>
      </c>
      <c r="I300" s="88"/>
    </row>
    <row r="301" spans="1:9" ht="19.8" customHeight="1" x14ac:dyDescent="0.3">
      <c r="A301" s="150">
        <v>46014</v>
      </c>
      <c r="B301" s="64" t="s">
        <v>40</v>
      </c>
      <c r="C301" s="65" t="s">
        <v>48</v>
      </c>
      <c r="D301" s="64" t="s">
        <v>1</v>
      </c>
      <c r="E301" s="151">
        <v>1.836805555555556</v>
      </c>
      <c r="F301" s="64" t="s">
        <v>38</v>
      </c>
      <c r="G301" s="66">
        <v>9</v>
      </c>
      <c r="H301" s="148">
        <v>539</v>
      </c>
      <c r="I301" s="88"/>
    </row>
    <row r="302" spans="1:9" ht="19.8" customHeight="1" x14ac:dyDescent="0.3">
      <c r="A302" s="150">
        <v>46014</v>
      </c>
      <c r="B302" s="64" t="s">
        <v>40</v>
      </c>
      <c r="C302" s="65" t="s">
        <v>41</v>
      </c>
      <c r="D302" s="64" t="s">
        <v>1</v>
      </c>
      <c r="E302" s="151">
        <v>1.2013888888888891</v>
      </c>
      <c r="F302" s="64" t="s">
        <v>38</v>
      </c>
      <c r="G302" s="66">
        <v>9</v>
      </c>
      <c r="H302" s="148">
        <v>569</v>
      </c>
      <c r="I302" s="88"/>
    </row>
    <row r="303" spans="1:9" ht="19.8" customHeight="1" x14ac:dyDescent="0.3">
      <c r="A303" s="150">
        <v>46014</v>
      </c>
      <c r="B303" s="64" t="s">
        <v>31</v>
      </c>
      <c r="C303" s="65" t="s">
        <v>32</v>
      </c>
      <c r="D303" s="64" t="s">
        <v>1</v>
      </c>
      <c r="E303" s="151">
        <v>1.305555555555556</v>
      </c>
      <c r="F303" s="64" t="s">
        <v>38</v>
      </c>
      <c r="G303" s="66">
        <v>18</v>
      </c>
      <c r="H303" s="148">
        <v>899</v>
      </c>
      <c r="I303" s="88"/>
    </row>
    <row r="304" spans="1:9" ht="19.8" customHeight="1" x14ac:dyDescent="0.3">
      <c r="A304" s="152">
        <v>46014</v>
      </c>
      <c r="B304" s="60" t="s">
        <v>68</v>
      </c>
      <c r="C304" s="61" t="s">
        <v>69</v>
      </c>
      <c r="D304" s="60" t="s">
        <v>1</v>
      </c>
      <c r="E304" s="153">
        <v>1.305555555555556</v>
      </c>
      <c r="F304" s="60" t="s">
        <v>70</v>
      </c>
      <c r="G304" s="62">
        <v>4</v>
      </c>
      <c r="H304" s="72" t="s">
        <v>122</v>
      </c>
      <c r="I304" s="88"/>
    </row>
    <row r="305" spans="1:9" ht="19.8" customHeight="1" x14ac:dyDescent="0.3">
      <c r="A305" s="150">
        <v>46015</v>
      </c>
      <c r="B305" s="64" t="s">
        <v>31</v>
      </c>
      <c r="C305" s="65" t="s">
        <v>32</v>
      </c>
      <c r="D305" s="64" t="s">
        <v>1</v>
      </c>
      <c r="E305" s="151">
        <v>1.305555555555556</v>
      </c>
      <c r="F305" s="64" t="s">
        <v>33</v>
      </c>
      <c r="G305" s="66">
        <v>3</v>
      </c>
      <c r="H305" s="148">
        <v>309</v>
      </c>
      <c r="I305" s="88"/>
    </row>
    <row r="306" spans="1:9" ht="19.8" customHeight="1" x14ac:dyDescent="0.3">
      <c r="A306" s="150">
        <v>46015</v>
      </c>
      <c r="B306" s="64" t="s">
        <v>76</v>
      </c>
      <c r="C306" s="65" t="s">
        <v>77</v>
      </c>
      <c r="D306" s="64" t="s">
        <v>1</v>
      </c>
      <c r="E306" s="151">
        <v>1.9722222222222221</v>
      </c>
      <c r="F306" s="64" t="s">
        <v>78</v>
      </c>
      <c r="G306" s="66">
        <v>9</v>
      </c>
      <c r="H306" s="148">
        <v>348</v>
      </c>
      <c r="I306" s="88"/>
    </row>
    <row r="307" spans="1:9" ht="19.8" customHeight="1" x14ac:dyDescent="0.3">
      <c r="A307" s="150">
        <v>46015</v>
      </c>
      <c r="B307" s="64" t="s">
        <v>40</v>
      </c>
      <c r="C307" s="65" t="s">
        <v>48</v>
      </c>
      <c r="D307" s="64" t="s">
        <v>1</v>
      </c>
      <c r="E307" s="151">
        <v>1.850694444444444</v>
      </c>
      <c r="F307" s="64" t="s">
        <v>42</v>
      </c>
      <c r="G307" s="66">
        <v>7</v>
      </c>
      <c r="H307" s="148">
        <v>349</v>
      </c>
      <c r="I307" s="88"/>
    </row>
    <row r="308" spans="1:9" ht="19.8" customHeight="1" x14ac:dyDescent="0.3">
      <c r="A308" s="150">
        <v>46015</v>
      </c>
      <c r="B308" s="64" t="s">
        <v>58</v>
      </c>
      <c r="C308" s="65" t="s">
        <v>63</v>
      </c>
      <c r="D308" s="64" t="s">
        <v>1</v>
      </c>
      <c r="E308" s="151">
        <v>1.864583333333333</v>
      </c>
      <c r="F308" s="64" t="s">
        <v>60</v>
      </c>
      <c r="G308" s="66">
        <v>9</v>
      </c>
      <c r="H308" s="148">
        <v>411</v>
      </c>
      <c r="I308" s="88"/>
    </row>
    <row r="309" spans="1:9" ht="19.8" customHeight="1" x14ac:dyDescent="0.3">
      <c r="A309" s="150">
        <v>46015</v>
      </c>
      <c r="B309" s="64" t="s">
        <v>58</v>
      </c>
      <c r="C309" s="65" t="s">
        <v>66</v>
      </c>
      <c r="D309" s="64" t="s">
        <v>1</v>
      </c>
      <c r="E309" s="151">
        <v>1.5277777777777779</v>
      </c>
      <c r="F309" s="64" t="s">
        <v>60</v>
      </c>
      <c r="G309" s="66">
        <v>9</v>
      </c>
      <c r="H309" s="148">
        <v>411</v>
      </c>
      <c r="I309" s="88"/>
    </row>
    <row r="310" spans="1:9" ht="19.8" customHeight="1" x14ac:dyDescent="0.3">
      <c r="A310" s="150">
        <v>46015</v>
      </c>
      <c r="B310" s="64" t="s">
        <v>58</v>
      </c>
      <c r="C310" s="65" t="s">
        <v>59</v>
      </c>
      <c r="D310" s="64" t="s">
        <v>1</v>
      </c>
      <c r="E310" s="151">
        <v>1.1701388888888891</v>
      </c>
      <c r="F310" s="64" t="s">
        <v>60</v>
      </c>
      <c r="G310" s="66">
        <v>9</v>
      </c>
      <c r="H310" s="148">
        <v>411</v>
      </c>
      <c r="I310" s="88"/>
    </row>
    <row r="311" spans="1:9" ht="19.8" customHeight="1" x14ac:dyDescent="0.3">
      <c r="A311" s="150">
        <v>46015</v>
      </c>
      <c r="B311" s="64" t="s">
        <v>26</v>
      </c>
      <c r="C311" s="65" t="s">
        <v>27</v>
      </c>
      <c r="D311" s="64" t="s">
        <v>1</v>
      </c>
      <c r="E311" s="151">
        <v>1.895833333333333</v>
      </c>
      <c r="F311" s="64" t="s">
        <v>28</v>
      </c>
      <c r="G311" s="66">
        <v>9</v>
      </c>
      <c r="H311" s="148">
        <v>439</v>
      </c>
      <c r="I311" s="88"/>
    </row>
    <row r="312" spans="1:9" ht="19.8" customHeight="1" x14ac:dyDescent="0.3">
      <c r="A312" s="150">
        <v>46015</v>
      </c>
      <c r="B312" s="64" t="s">
        <v>40</v>
      </c>
      <c r="C312" s="65" t="s">
        <v>48</v>
      </c>
      <c r="D312" s="64" t="s">
        <v>1</v>
      </c>
      <c r="E312" s="151">
        <v>1.850694444444444</v>
      </c>
      <c r="F312" s="64" t="s">
        <v>45</v>
      </c>
      <c r="G312" s="66">
        <v>7</v>
      </c>
      <c r="H312" s="148">
        <v>449</v>
      </c>
      <c r="I312" s="88"/>
    </row>
    <row r="313" spans="1:9" ht="19.8" customHeight="1" x14ac:dyDescent="0.3">
      <c r="A313" s="150">
        <v>46015</v>
      </c>
      <c r="B313" s="64" t="s">
        <v>31</v>
      </c>
      <c r="C313" s="65" t="s">
        <v>32</v>
      </c>
      <c r="D313" s="64" t="s">
        <v>1</v>
      </c>
      <c r="E313" s="151">
        <v>1.305555555555556</v>
      </c>
      <c r="F313" s="64" t="s">
        <v>36</v>
      </c>
      <c r="G313" s="66">
        <v>3</v>
      </c>
      <c r="H313" s="148">
        <v>487</v>
      </c>
      <c r="I313" s="88"/>
    </row>
    <row r="314" spans="1:9" ht="19.8" customHeight="1" x14ac:dyDescent="0.3">
      <c r="A314" s="150">
        <v>46015</v>
      </c>
      <c r="B314" s="64" t="s">
        <v>73</v>
      </c>
      <c r="C314" s="65" t="s">
        <v>74</v>
      </c>
      <c r="D314" s="64" t="s">
        <v>1</v>
      </c>
      <c r="E314" s="151">
        <v>1.0902777777777779</v>
      </c>
      <c r="F314" s="64" t="s">
        <v>28</v>
      </c>
      <c r="G314" s="66">
        <v>8</v>
      </c>
      <c r="H314" s="148">
        <v>500</v>
      </c>
      <c r="I314" s="88"/>
    </row>
    <row r="315" spans="1:9" ht="19.8" customHeight="1" x14ac:dyDescent="0.3">
      <c r="A315" s="150">
        <v>46015</v>
      </c>
      <c r="B315" s="64" t="s">
        <v>40</v>
      </c>
      <c r="C315" s="65" t="s">
        <v>48</v>
      </c>
      <c r="D315" s="64" t="s">
        <v>1</v>
      </c>
      <c r="E315" s="151">
        <v>1.850694444444444</v>
      </c>
      <c r="F315" s="64" t="s">
        <v>38</v>
      </c>
      <c r="G315" s="66">
        <v>7</v>
      </c>
      <c r="H315" s="148">
        <v>539</v>
      </c>
      <c r="I315" s="88"/>
    </row>
    <row r="316" spans="1:9" ht="19.8" customHeight="1" x14ac:dyDescent="0.3">
      <c r="A316" s="150">
        <v>46015</v>
      </c>
      <c r="B316" s="64" t="s">
        <v>76</v>
      </c>
      <c r="C316" s="65" t="s">
        <v>77</v>
      </c>
      <c r="D316" s="64" t="s">
        <v>1</v>
      </c>
      <c r="E316" s="151">
        <v>1.9722222222222221</v>
      </c>
      <c r="F316" s="64" t="s">
        <v>81</v>
      </c>
      <c r="G316" s="66">
        <v>9</v>
      </c>
      <c r="H316" s="148">
        <v>554</v>
      </c>
      <c r="I316" s="88"/>
    </row>
    <row r="317" spans="1:9" ht="19.8" customHeight="1" x14ac:dyDescent="0.3">
      <c r="A317" s="150">
        <v>46015</v>
      </c>
      <c r="B317" s="64" t="s">
        <v>31</v>
      </c>
      <c r="C317" s="65" t="s">
        <v>32</v>
      </c>
      <c r="D317" s="64" t="s">
        <v>1</v>
      </c>
      <c r="E317" s="151">
        <v>1.305555555555556</v>
      </c>
      <c r="F317" s="64" t="s">
        <v>38</v>
      </c>
      <c r="G317" s="66">
        <v>3</v>
      </c>
      <c r="H317" s="148">
        <v>899</v>
      </c>
      <c r="I317" s="88"/>
    </row>
    <row r="318" spans="1:9" ht="19.8" customHeight="1" x14ac:dyDescent="0.3">
      <c r="A318" s="152">
        <v>46015</v>
      </c>
      <c r="B318" s="60" t="s">
        <v>68</v>
      </c>
      <c r="C318" s="61" t="s">
        <v>69</v>
      </c>
      <c r="D318" s="60" t="s">
        <v>1</v>
      </c>
      <c r="E318" s="153">
        <v>1.305555555555556</v>
      </c>
      <c r="F318" s="60" t="s">
        <v>70</v>
      </c>
      <c r="G318" s="62">
        <v>4</v>
      </c>
      <c r="H318" s="72" t="s">
        <v>72</v>
      </c>
      <c r="I318" s="88"/>
    </row>
    <row r="319" spans="1:9" ht="19.8" customHeight="1" x14ac:dyDescent="0.3">
      <c r="A319" s="150">
        <v>46016</v>
      </c>
      <c r="B319" s="64" t="s">
        <v>31</v>
      </c>
      <c r="C319" s="65" t="s">
        <v>32</v>
      </c>
      <c r="D319" s="64" t="s">
        <v>1</v>
      </c>
      <c r="E319" s="151">
        <v>1.305555555555556</v>
      </c>
      <c r="F319" s="64" t="s">
        <v>33</v>
      </c>
      <c r="G319" s="66">
        <v>20</v>
      </c>
      <c r="H319" s="148">
        <v>339</v>
      </c>
      <c r="I319" s="88"/>
    </row>
    <row r="320" spans="1:9" ht="19.8" customHeight="1" x14ac:dyDescent="0.3">
      <c r="A320" s="150">
        <v>46016</v>
      </c>
      <c r="B320" s="64" t="s">
        <v>40</v>
      </c>
      <c r="C320" s="65" t="s">
        <v>41</v>
      </c>
      <c r="D320" s="64" t="s">
        <v>1</v>
      </c>
      <c r="E320" s="151">
        <v>1.2013888888888891</v>
      </c>
      <c r="F320" s="64" t="s">
        <v>42</v>
      </c>
      <c r="G320" s="66">
        <v>4</v>
      </c>
      <c r="H320" s="148">
        <v>379</v>
      </c>
      <c r="I320" s="88"/>
    </row>
    <row r="321" spans="1:9" ht="19.8" customHeight="1" x14ac:dyDescent="0.3">
      <c r="A321" s="154">
        <v>46016</v>
      </c>
      <c r="B321" s="68" t="s">
        <v>51</v>
      </c>
      <c r="C321" s="69" t="s">
        <v>52</v>
      </c>
      <c r="D321" s="68" t="s">
        <v>1</v>
      </c>
      <c r="E321" s="155">
        <v>1.9236111111111109</v>
      </c>
      <c r="F321" s="68" t="s">
        <v>28</v>
      </c>
      <c r="G321" s="70">
        <v>9</v>
      </c>
      <c r="H321" s="149">
        <v>379</v>
      </c>
      <c r="I321" s="88"/>
    </row>
    <row r="322" spans="1:9" ht="19.8" customHeight="1" x14ac:dyDescent="0.3">
      <c r="A322" s="150">
        <v>46016</v>
      </c>
      <c r="B322" s="64" t="s">
        <v>58</v>
      </c>
      <c r="C322" s="65" t="s">
        <v>59</v>
      </c>
      <c r="D322" s="64" t="s">
        <v>1</v>
      </c>
      <c r="E322" s="151">
        <v>1.1701388888888891</v>
      </c>
      <c r="F322" s="64" t="s">
        <v>60</v>
      </c>
      <c r="G322" s="66">
        <v>9</v>
      </c>
      <c r="H322" s="148">
        <v>411</v>
      </c>
      <c r="I322" s="88"/>
    </row>
    <row r="323" spans="1:9" ht="19.8" customHeight="1" x14ac:dyDescent="0.3">
      <c r="A323" s="150">
        <v>46016</v>
      </c>
      <c r="B323" s="64" t="s">
        <v>58</v>
      </c>
      <c r="C323" s="65" t="s">
        <v>63</v>
      </c>
      <c r="D323" s="64" t="s">
        <v>1</v>
      </c>
      <c r="E323" s="151">
        <v>1.864583333333333</v>
      </c>
      <c r="F323" s="64" t="s">
        <v>127</v>
      </c>
      <c r="G323" s="66">
        <v>9</v>
      </c>
      <c r="H323" s="148">
        <v>437</v>
      </c>
      <c r="I323" s="88"/>
    </row>
    <row r="324" spans="1:9" ht="19.8" customHeight="1" x14ac:dyDescent="0.3">
      <c r="A324" s="150">
        <v>46016</v>
      </c>
      <c r="B324" s="64" t="s">
        <v>40</v>
      </c>
      <c r="C324" s="65" t="s">
        <v>48</v>
      </c>
      <c r="D324" s="64" t="s">
        <v>1</v>
      </c>
      <c r="E324" s="151">
        <v>1.836805555555556</v>
      </c>
      <c r="F324" s="64" t="s">
        <v>42</v>
      </c>
      <c r="G324" s="66">
        <v>1</v>
      </c>
      <c r="H324" s="148">
        <v>439</v>
      </c>
      <c r="I324" s="88"/>
    </row>
    <row r="325" spans="1:9" ht="19.8" customHeight="1" x14ac:dyDescent="0.3">
      <c r="A325" s="150">
        <v>46016</v>
      </c>
      <c r="B325" s="64" t="s">
        <v>40</v>
      </c>
      <c r="C325" s="65" t="s">
        <v>41</v>
      </c>
      <c r="D325" s="64" t="s">
        <v>1</v>
      </c>
      <c r="E325" s="151">
        <v>1.2013888888888891</v>
      </c>
      <c r="F325" s="64" t="s">
        <v>45</v>
      </c>
      <c r="G325" s="66">
        <v>4</v>
      </c>
      <c r="H325" s="148">
        <v>479</v>
      </c>
      <c r="I325" s="88"/>
    </row>
    <row r="326" spans="1:9" ht="19.8" customHeight="1" x14ac:dyDescent="0.3">
      <c r="A326" s="150">
        <v>46016</v>
      </c>
      <c r="B326" s="64" t="s">
        <v>73</v>
      </c>
      <c r="C326" s="65" t="s">
        <v>74</v>
      </c>
      <c r="D326" s="64" t="s">
        <v>1</v>
      </c>
      <c r="E326" s="151">
        <v>1.8888888888888891</v>
      </c>
      <c r="F326" s="64" t="s">
        <v>167</v>
      </c>
      <c r="G326" s="66">
        <v>2</v>
      </c>
      <c r="H326" s="148">
        <v>500</v>
      </c>
      <c r="I326" s="88"/>
    </row>
    <row r="327" spans="1:9" ht="19.8" customHeight="1" x14ac:dyDescent="0.3">
      <c r="A327" s="150">
        <v>46016</v>
      </c>
      <c r="B327" s="64" t="s">
        <v>31</v>
      </c>
      <c r="C327" s="65" t="s">
        <v>32</v>
      </c>
      <c r="D327" s="64" t="s">
        <v>1</v>
      </c>
      <c r="E327" s="151">
        <v>1.305555555555556</v>
      </c>
      <c r="F327" s="64" t="s">
        <v>36</v>
      </c>
      <c r="G327" s="66">
        <v>20</v>
      </c>
      <c r="H327" s="148">
        <v>517</v>
      </c>
      <c r="I327" s="88"/>
    </row>
    <row r="328" spans="1:9" ht="19.8" customHeight="1" x14ac:dyDescent="0.3">
      <c r="A328" s="150">
        <v>46016</v>
      </c>
      <c r="B328" s="64" t="s">
        <v>40</v>
      </c>
      <c r="C328" s="65" t="s">
        <v>48</v>
      </c>
      <c r="D328" s="64" t="s">
        <v>1</v>
      </c>
      <c r="E328" s="151">
        <v>1.836805555555556</v>
      </c>
      <c r="F328" s="64" t="s">
        <v>45</v>
      </c>
      <c r="G328" s="66">
        <v>1</v>
      </c>
      <c r="H328" s="148">
        <v>539</v>
      </c>
      <c r="I328" s="88"/>
    </row>
    <row r="329" spans="1:9" ht="19.8" customHeight="1" x14ac:dyDescent="0.3">
      <c r="A329" s="150">
        <v>46016</v>
      </c>
      <c r="B329" s="64" t="s">
        <v>58</v>
      </c>
      <c r="C329" s="65" t="s">
        <v>66</v>
      </c>
      <c r="D329" s="64" t="s">
        <v>1</v>
      </c>
      <c r="E329" s="151">
        <v>1.5277777777777779</v>
      </c>
      <c r="F329" s="64" t="s">
        <v>64</v>
      </c>
      <c r="G329" s="66">
        <v>9</v>
      </c>
      <c r="H329" s="148">
        <v>551</v>
      </c>
      <c r="I329" s="88"/>
    </row>
    <row r="330" spans="1:9" ht="19.8" customHeight="1" x14ac:dyDescent="0.3">
      <c r="A330" s="150">
        <v>46016</v>
      </c>
      <c r="B330" s="64" t="s">
        <v>26</v>
      </c>
      <c r="C330" s="65" t="s">
        <v>57</v>
      </c>
      <c r="D330" s="64" t="s">
        <v>1</v>
      </c>
      <c r="E330" s="151">
        <v>1.958333333333333</v>
      </c>
      <c r="F330" s="64" t="s">
        <v>28</v>
      </c>
      <c r="G330" s="66">
        <v>9</v>
      </c>
      <c r="H330" s="148">
        <v>563</v>
      </c>
      <c r="I330" s="88"/>
    </row>
    <row r="331" spans="1:9" ht="19.8" customHeight="1" x14ac:dyDescent="0.3">
      <c r="A331" s="150">
        <v>46016</v>
      </c>
      <c r="B331" s="64" t="s">
        <v>40</v>
      </c>
      <c r="C331" s="65" t="s">
        <v>41</v>
      </c>
      <c r="D331" s="64" t="s">
        <v>1</v>
      </c>
      <c r="E331" s="151">
        <v>1.2013888888888891</v>
      </c>
      <c r="F331" s="64" t="s">
        <v>38</v>
      </c>
      <c r="G331" s="66">
        <v>4</v>
      </c>
      <c r="H331" s="148">
        <v>569</v>
      </c>
      <c r="I331" s="88"/>
    </row>
    <row r="332" spans="1:9" ht="19.8" customHeight="1" x14ac:dyDescent="0.3">
      <c r="A332" s="150">
        <v>46016</v>
      </c>
      <c r="B332" s="64" t="s">
        <v>40</v>
      </c>
      <c r="C332" s="65" t="s">
        <v>48</v>
      </c>
      <c r="D332" s="64" t="s">
        <v>1</v>
      </c>
      <c r="E332" s="151">
        <v>1.836805555555556</v>
      </c>
      <c r="F332" s="64" t="s">
        <v>38</v>
      </c>
      <c r="G332" s="66">
        <v>1</v>
      </c>
      <c r="H332" s="148">
        <v>629</v>
      </c>
      <c r="I332" s="88"/>
    </row>
    <row r="333" spans="1:9" ht="19.8" customHeight="1" x14ac:dyDescent="0.3">
      <c r="A333" s="150">
        <v>46016</v>
      </c>
      <c r="B333" s="64" t="s">
        <v>31</v>
      </c>
      <c r="C333" s="65" t="s">
        <v>32</v>
      </c>
      <c r="D333" s="64" t="s">
        <v>1</v>
      </c>
      <c r="E333" s="151">
        <v>1.305555555555556</v>
      </c>
      <c r="F333" s="64" t="s">
        <v>38</v>
      </c>
      <c r="G333" s="66">
        <v>20</v>
      </c>
      <c r="H333" s="148">
        <v>899</v>
      </c>
      <c r="I333" s="88"/>
    </row>
    <row r="334" spans="1:9" ht="19.8" customHeight="1" x14ac:dyDescent="0.3">
      <c r="A334" s="152">
        <v>46016</v>
      </c>
      <c r="B334" s="60" t="s">
        <v>68</v>
      </c>
      <c r="C334" s="61" t="s">
        <v>69</v>
      </c>
      <c r="D334" s="60" t="s">
        <v>1</v>
      </c>
      <c r="E334" s="153">
        <v>1.305555555555556</v>
      </c>
      <c r="F334" s="60" t="s">
        <v>70</v>
      </c>
      <c r="G334" s="62">
        <v>4</v>
      </c>
      <c r="H334" s="72" t="s">
        <v>72</v>
      </c>
      <c r="I334" s="88"/>
    </row>
    <row r="335" spans="1:9" ht="19.8" customHeight="1" x14ac:dyDescent="0.3">
      <c r="A335" s="150">
        <v>46017</v>
      </c>
      <c r="B335" s="64" t="s">
        <v>31</v>
      </c>
      <c r="C335" s="65" t="s">
        <v>32</v>
      </c>
      <c r="D335" s="64" t="s">
        <v>1</v>
      </c>
      <c r="E335" s="151">
        <v>1.305555555555556</v>
      </c>
      <c r="F335" s="64" t="s">
        <v>33</v>
      </c>
      <c r="G335" s="66">
        <v>16</v>
      </c>
      <c r="H335" s="148">
        <v>309</v>
      </c>
      <c r="I335" s="88"/>
    </row>
    <row r="336" spans="1:9" ht="19.8" customHeight="1" x14ac:dyDescent="0.3">
      <c r="A336" s="150">
        <v>46017</v>
      </c>
      <c r="B336" s="64" t="s">
        <v>40</v>
      </c>
      <c r="C336" s="65" t="s">
        <v>48</v>
      </c>
      <c r="D336" s="64" t="s">
        <v>1</v>
      </c>
      <c r="E336" s="151">
        <v>1.836805555555556</v>
      </c>
      <c r="F336" s="64" t="s">
        <v>42</v>
      </c>
      <c r="G336" s="66">
        <v>7</v>
      </c>
      <c r="H336" s="148">
        <v>349</v>
      </c>
      <c r="I336" s="88"/>
    </row>
    <row r="337" spans="1:9" ht="19.8" customHeight="1" x14ac:dyDescent="0.3">
      <c r="A337" s="154">
        <v>46017</v>
      </c>
      <c r="B337" s="68" t="s">
        <v>51</v>
      </c>
      <c r="C337" s="69" t="s">
        <v>52</v>
      </c>
      <c r="D337" s="68" t="s">
        <v>1</v>
      </c>
      <c r="E337" s="155">
        <v>1.5798611111111109</v>
      </c>
      <c r="F337" s="68" t="s">
        <v>28</v>
      </c>
      <c r="G337" s="70">
        <v>9</v>
      </c>
      <c r="H337" s="149">
        <v>379</v>
      </c>
      <c r="I337" s="88"/>
    </row>
    <row r="338" spans="1:9" ht="19.8" customHeight="1" x14ac:dyDescent="0.3">
      <c r="A338" s="150">
        <v>46017</v>
      </c>
      <c r="B338" s="64" t="s">
        <v>58</v>
      </c>
      <c r="C338" s="65" t="s">
        <v>63</v>
      </c>
      <c r="D338" s="64" t="s">
        <v>1</v>
      </c>
      <c r="E338" s="151">
        <v>1.864583333333333</v>
      </c>
      <c r="F338" s="64" t="s">
        <v>60</v>
      </c>
      <c r="G338" s="66">
        <v>9</v>
      </c>
      <c r="H338" s="148">
        <v>411</v>
      </c>
      <c r="I338" s="88"/>
    </row>
    <row r="339" spans="1:9" ht="19.8" customHeight="1" x14ac:dyDescent="0.3">
      <c r="A339" s="150">
        <v>46017</v>
      </c>
      <c r="B339" s="64" t="s">
        <v>58</v>
      </c>
      <c r="C339" s="65" t="s">
        <v>59</v>
      </c>
      <c r="D339" s="64" t="s">
        <v>1</v>
      </c>
      <c r="E339" s="151">
        <v>1.1701388888888891</v>
      </c>
      <c r="F339" s="64" t="s">
        <v>60</v>
      </c>
      <c r="G339" s="66">
        <v>9</v>
      </c>
      <c r="H339" s="148">
        <v>411</v>
      </c>
      <c r="I339" s="88"/>
    </row>
    <row r="340" spans="1:9" ht="19.8" customHeight="1" x14ac:dyDescent="0.3">
      <c r="A340" s="150">
        <v>46017</v>
      </c>
      <c r="B340" s="64" t="s">
        <v>58</v>
      </c>
      <c r="C340" s="65" t="s">
        <v>66</v>
      </c>
      <c r="D340" s="64" t="s">
        <v>1</v>
      </c>
      <c r="E340" s="151">
        <v>1.5277777777777779</v>
      </c>
      <c r="F340" s="64" t="s">
        <v>60</v>
      </c>
      <c r="G340" s="66">
        <v>9</v>
      </c>
      <c r="H340" s="148">
        <v>415</v>
      </c>
      <c r="I340" s="88"/>
    </row>
    <row r="341" spans="1:9" ht="19.8" customHeight="1" x14ac:dyDescent="0.3">
      <c r="A341" s="150">
        <v>46017</v>
      </c>
      <c r="B341" s="64" t="s">
        <v>26</v>
      </c>
      <c r="C341" s="65" t="s">
        <v>27</v>
      </c>
      <c r="D341" s="64" t="s">
        <v>1</v>
      </c>
      <c r="E341" s="151">
        <v>1.958333333333333</v>
      </c>
      <c r="F341" s="64" t="s">
        <v>167</v>
      </c>
      <c r="G341" s="66">
        <v>9</v>
      </c>
      <c r="H341" s="148">
        <v>439</v>
      </c>
      <c r="I341" s="88"/>
    </row>
    <row r="342" spans="1:9" ht="19.8" customHeight="1" x14ac:dyDescent="0.3">
      <c r="A342" s="150">
        <v>46017</v>
      </c>
      <c r="B342" s="64" t="s">
        <v>40</v>
      </c>
      <c r="C342" s="65" t="s">
        <v>48</v>
      </c>
      <c r="D342" s="64" t="s">
        <v>1</v>
      </c>
      <c r="E342" s="151">
        <v>1.836805555555556</v>
      </c>
      <c r="F342" s="64" t="s">
        <v>45</v>
      </c>
      <c r="G342" s="66">
        <v>7</v>
      </c>
      <c r="H342" s="148">
        <v>449</v>
      </c>
      <c r="I342" s="88"/>
    </row>
    <row r="343" spans="1:9" ht="19.8" customHeight="1" x14ac:dyDescent="0.3">
      <c r="A343" s="150">
        <v>46017</v>
      </c>
      <c r="B343" s="64" t="s">
        <v>31</v>
      </c>
      <c r="C343" s="65" t="s">
        <v>32</v>
      </c>
      <c r="D343" s="64" t="s">
        <v>1</v>
      </c>
      <c r="E343" s="151">
        <v>1.305555555555556</v>
      </c>
      <c r="F343" s="64" t="s">
        <v>36</v>
      </c>
      <c r="G343" s="66">
        <v>16</v>
      </c>
      <c r="H343" s="148">
        <v>487</v>
      </c>
      <c r="I343" s="88"/>
    </row>
    <row r="344" spans="1:9" ht="19.8" customHeight="1" x14ac:dyDescent="0.3">
      <c r="A344" s="150">
        <v>46017</v>
      </c>
      <c r="B344" s="64" t="s">
        <v>40</v>
      </c>
      <c r="C344" s="65" t="s">
        <v>48</v>
      </c>
      <c r="D344" s="64" t="s">
        <v>1</v>
      </c>
      <c r="E344" s="151">
        <v>1.836805555555556</v>
      </c>
      <c r="F344" s="64" t="s">
        <v>38</v>
      </c>
      <c r="G344" s="66">
        <v>7</v>
      </c>
      <c r="H344" s="148">
        <v>539</v>
      </c>
      <c r="I344" s="88"/>
    </row>
    <row r="345" spans="1:9" ht="19.8" customHeight="1" x14ac:dyDescent="0.3">
      <c r="A345" s="150">
        <v>46017</v>
      </c>
      <c r="B345" s="64" t="s">
        <v>31</v>
      </c>
      <c r="C345" s="65" t="s">
        <v>32</v>
      </c>
      <c r="D345" s="64" t="s">
        <v>1</v>
      </c>
      <c r="E345" s="151">
        <v>1.305555555555556</v>
      </c>
      <c r="F345" s="64" t="s">
        <v>38</v>
      </c>
      <c r="G345" s="66">
        <v>16</v>
      </c>
      <c r="H345" s="148">
        <v>899</v>
      </c>
      <c r="I345" s="88"/>
    </row>
    <row r="346" spans="1:9" ht="19.8" customHeight="1" x14ac:dyDescent="0.3">
      <c r="A346" s="152">
        <v>46017</v>
      </c>
      <c r="B346" s="60" t="s">
        <v>68</v>
      </c>
      <c r="C346" s="61" t="s">
        <v>69</v>
      </c>
      <c r="D346" s="60" t="s">
        <v>1</v>
      </c>
      <c r="E346" s="153">
        <v>1.305555555555556</v>
      </c>
      <c r="F346" s="60" t="s">
        <v>70</v>
      </c>
      <c r="G346" s="62">
        <v>4</v>
      </c>
      <c r="H346" s="72" t="s">
        <v>122</v>
      </c>
      <c r="I346" s="88"/>
    </row>
    <row r="347" spans="1:9" ht="19.8" customHeight="1" x14ac:dyDescent="0.3">
      <c r="A347" s="150">
        <v>46018</v>
      </c>
      <c r="B347" s="64" t="s">
        <v>31</v>
      </c>
      <c r="C347" s="65" t="s">
        <v>32</v>
      </c>
      <c r="D347" s="64" t="s">
        <v>1</v>
      </c>
      <c r="E347" s="151">
        <v>1.305555555555556</v>
      </c>
      <c r="F347" s="64" t="s">
        <v>33</v>
      </c>
      <c r="G347" s="66">
        <v>22</v>
      </c>
      <c r="H347" s="148">
        <v>309</v>
      </c>
      <c r="I347" s="88"/>
    </row>
    <row r="348" spans="1:9" ht="19.8" customHeight="1" x14ac:dyDescent="0.3">
      <c r="A348" s="150">
        <v>46018</v>
      </c>
      <c r="B348" s="64" t="s">
        <v>40</v>
      </c>
      <c r="C348" s="65" t="s">
        <v>48</v>
      </c>
      <c r="D348" s="64" t="s">
        <v>1</v>
      </c>
      <c r="E348" s="151">
        <v>1.836805555555556</v>
      </c>
      <c r="F348" s="64" t="s">
        <v>42</v>
      </c>
      <c r="G348" s="66">
        <v>9</v>
      </c>
      <c r="H348" s="148">
        <v>349</v>
      </c>
      <c r="I348" s="88"/>
    </row>
    <row r="349" spans="1:9" ht="19.8" customHeight="1" x14ac:dyDescent="0.3">
      <c r="A349" s="150">
        <v>46018</v>
      </c>
      <c r="B349" s="64" t="s">
        <v>40</v>
      </c>
      <c r="C349" s="65" t="s">
        <v>41</v>
      </c>
      <c r="D349" s="64" t="s">
        <v>1</v>
      </c>
      <c r="E349" s="151">
        <v>1.2013888888888891</v>
      </c>
      <c r="F349" s="64" t="s">
        <v>42</v>
      </c>
      <c r="G349" s="66">
        <v>9</v>
      </c>
      <c r="H349" s="148">
        <v>349</v>
      </c>
      <c r="I349" s="88"/>
    </row>
    <row r="350" spans="1:9" ht="19.8" customHeight="1" x14ac:dyDescent="0.3">
      <c r="A350" s="150">
        <v>46018</v>
      </c>
      <c r="B350" s="64" t="s">
        <v>76</v>
      </c>
      <c r="C350" s="65" t="s">
        <v>77</v>
      </c>
      <c r="D350" s="64" t="s">
        <v>1</v>
      </c>
      <c r="E350" s="151">
        <v>1.9722222222222221</v>
      </c>
      <c r="F350" s="64" t="s">
        <v>78</v>
      </c>
      <c r="G350" s="66">
        <v>9</v>
      </c>
      <c r="H350" s="148">
        <v>373</v>
      </c>
      <c r="I350" s="88"/>
    </row>
    <row r="351" spans="1:9" ht="19.8" customHeight="1" x14ac:dyDescent="0.3">
      <c r="A351" s="154">
        <v>46018</v>
      </c>
      <c r="B351" s="68" t="s">
        <v>51</v>
      </c>
      <c r="C351" s="69" t="s">
        <v>52</v>
      </c>
      <c r="D351" s="68" t="s">
        <v>1</v>
      </c>
      <c r="E351" s="155">
        <v>1.9236111111111109</v>
      </c>
      <c r="F351" s="68" t="s">
        <v>28</v>
      </c>
      <c r="G351" s="70">
        <v>9</v>
      </c>
      <c r="H351" s="149">
        <v>379</v>
      </c>
      <c r="I351" s="88"/>
    </row>
    <row r="352" spans="1:9" ht="19.8" customHeight="1" x14ac:dyDescent="0.3">
      <c r="A352" s="150">
        <v>46018</v>
      </c>
      <c r="B352" s="64" t="s">
        <v>58</v>
      </c>
      <c r="C352" s="65" t="s">
        <v>63</v>
      </c>
      <c r="D352" s="64" t="s">
        <v>1</v>
      </c>
      <c r="E352" s="151">
        <v>1.868055555555556</v>
      </c>
      <c r="F352" s="64" t="s">
        <v>60</v>
      </c>
      <c r="G352" s="66">
        <v>9</v>
      </c>
      <c r="H352" s="148">
        <v>411</v>
      </c>
      <c r="I352" s="88"/>
    </row>
    <row r="353" spans="1:9" ht="19.8" customHeight="1" x14ac:dyDescent="0.3">
      <c r="A353" s="150">
        <v>46018</v>
      </c>
      <c r="B353" s="64" t="s">
        <v>58</v>
      </c>
      <c r="C353" s="65" t="s">
        <v>66</v>
      </c>
      <c r="D353" s="64" t="s">
        <v>1</v>
      </c>
      <c r="E353" s="151">
        <v>1.5277777777777779</v>
      </c>
      <c r="F353" s="64" t="s">
        <v>60</v>
      </c>
      <c r="G353" s="66">
        <v>9</v>
      </c>
      <c r="H353" s="148">
        <v>411</v>
      </c>
      <c r="I353" s="88"/>
    </row>
    <row r="354" spans="1:9" ht="19.8" customHeight="1" x14ac:dyDescent="0.3">
      <c r="A354" s="150">
        <v>46018</v>
      </c>
      <c r="B354" s="64" t="s">
        <v>58</v>
      </c>
      <c r="C354" s="65" t="s">
        <v>59</v>
      </c>
      <c r="D354" s="64" t="s">
        <v>1</v>
      </c>
      <c r="E354" s="151">
        <v>1.1701388888888891</v>
      </c>
      <c r="F354" s="64" t="s">
        <v>60</v>
      </c>
      <c r="G354" s="66">
        <v>9</v>
      </c>
      <c r="H354" s="148">
        <v>411</v>
      </c>
      <c r="I354" s="88"/>
    </row>
    <row r="355" spans="1:9" ht="19.8" customHeight="1" x14ac:dyDescent="0.3">
      <c r="A355" s="150">
        <v>46018</v>
      </c>
      <c r="B355" s="64" t="s">
        <v>40</v>
      </c>
      <c r="C355" s="65" t="s">
        <v>48</v>
      </c>
      <c r="D355" s="64" t="s">
        <v>1</v>
      </c>
      <c r="E355" s="151">
        <v>1.836805555555556</v>
      </c>
      <c r="F355" s="64" t="s">
        <v>45</v>
      </c>
      <c r="G355" s="66">
        <v>9</v>
      </c>
      <c r="H355" s="148">
        <v>449</v>
      </c>
      <c r="I355" s="88"/>
    </row>
    <row r="356" spans="1:9" ht="19.8" customHeight="1" x14ac:dyDescent="0.3">
      <c r="A356" s="150">
        <v>46018</v>
      </c>
      <c r="B356" s="64" t="s">
        <v>40</v>
      </c>
      <c r="C356" s="65" t="s">
        <v>41</v>
      </c>
      <c r="D356" s="64" t="s">
        <v>1</v>
      </c>
      <c r="E356" s="151">
        <v>1.2013888888888891</v>
      </c>
      <c r="F356" s="64" t="s">
        <v>45</v>
      </c>
      <c r="G356" s="66">
        <v>9</v>
      </c>
      <c r="H356" s="148">
        <v>449</v>
      </c>
      <c r="I356" s="88"/>
    </row>
    <row r="357" spans="1:9" ht="19.8" customHeight="1" x14ac:dyDescent="0.3">
      <c r="A357" s="150">
        <v>46018</v>
      </c>
      <c r="B357" s="64" t="s">
        <v>31</v>
      </c>
      <c r="C357" s="65" t="s">
        <v>32</v>
      </c>
      <c r="D357" s="64" t="s">
        <v>1</v>
      </c>
      <c r="E357" s="151">
        <v>1.305555555555556</v>
      </c>
      <c r="F357" s="64" t="s">
        <v>36</v>
      </c>
      <c r="G357" s="66">
        <v>22</v>
      </c>
      <c r="H357" s="148">
        <v>487</v>
      </c>
      <c r="I357" s="88"/>
    </row>
    <row r="358" spans="1:9" ht="19.8" customHeight="1" x14ac:dyDescent="0.3">
      <c r="A358" s="150">
        <v>46018</v>
      </c>
      <c r="B358" s="64" t="s">
        <v>40</v>
      </c>
      <c r="C358" s="65" t="s">
        <v>48</v>
      </c>
      <c r="D358" s="64" t="s">
        <v>1</v>
      </c>
      <c r="E358" s="151">
        <v>1.836805555555556</v>
      </c>
      <c r="F358" s="64" t="s">
        <v>38</v>
      </c>
      <c r="G358" s="66">
        <v>9</v>
      </c>
      <c r="H358" s="148">
        <v>539</v>
      </c>
      <c r="I358" s="88"/>
    </row>
    <row r="359" spans="1:9" ht="19.8" customHeight="1" x14ac:dyDescent="0.3">
      <c r="A359" s="150">
        <v>46018</v>
      </c>
      <c r="B359" s="64" t="s">
        <v>40</v>
      </c>
      <c r="C359" s="65" t="s">
        <v>41</v>
      </c>
      <c r="D359" s="64" t="s">
        <v>1</v>
      </c>
      <c r="E359" s="151">
        <v>1.2013888888888891</v>
      </c>
      <c r="F359" s="64" t="s">
        <v>38</v>
      </c>
      <c r="G359" s="66">
        <v>9</v>
      </c>
      <c r="H359" s="148">
        <v>539</v>
      </c>
      <c r="I359" s="88"/>
    </row>
    <row r="360" spans="1:9" ht="19.8" customHeight="1" x14ac:dyDescent="0.3">
      <c r="A360" s="150">
        <v>46018</v>
      </c>
      <c r="B360" s="64" t="s">
        <v>76</v>
      </c>
      <c r="C360" s="65" t="s">
        <v>77</v>
      </c>
      <c r="D360" s="64" t="s">
        <v>1</v>
      </c>
      <c r="E360" s="151">
        <v>1.9722222222222221</v>
      </c>
      <c r="F360" s="64" t="s">
        <v>81</v>
      </c>
      <c r="G360" s="66">
        <v>9</v>
      </c>
      <c r="H360" s="148">
        <v>578</v>
      </c>
      <c r="I360" s="88"/>
    </row>
    <row r="361" spans="1:9" ht="19.8" customHeight="1" x14ac:dyDescent="0.3">
      <c r="A361" s="150">
        <v>46018</v>
      </c>
      <c r="B361" s="64" t="s">
        <v>31</v>
      </c>
      <c r="C361" s="65" t="s">
        <v>32</v>
      </c>
      <c r="D361" s="64" t="s">
        <v>1</v>
      </c>
      <c r="E361" s="151">
        <v>1.305555555555556</v>
      </c>
      <c r="F361" s="64" t="s">
        <v>38</v>
      </c>
      <c r="G361" s="66">
        <v>22</v>
      </c>
      <c r="H361" s="148">
        <v>899</v>
      </c>
      <c r="I361" s="88"/>
    </row>
    <row r="362" spans="1:9" ht="19.8" customHeight="1" x14ac:dyDescent="0.3">
      <c r="A362" s="152">
        <v>46018</v>
      </c>
      <c r="B362" s="60" t="s">
        <v>68</v>
      </c>
      <c r="C362" s="61" t="s">
        <v>69</v>
      </c>
      <c r="D362" s="60" t="s">
        <v>1</v>
      </c>
      <c r="E362" s="153">
        <v>1.305555555555556</v>
      </c>
      <c r="F362" s="60" t="s">
        <v>70</v>
      </c>
      <c r="G362" s="62">
        <v>4</v>
      </c>
      <c r="H362" s="72" t="s">
        <v>122</v>
      </c>
      <c r="I362" s="88"/>
    </row>
    <row r="363" spans="1:9" ht="19.8" customHeight="1" x14ac:dyDescent="0.3">
      <c r="A363" s="150">
        <v>46019</v>
      </c>
      <c r="B363" s="64" t="s">
        <v>31</v>
      </c>
      <c r="C363" s="65" t="s">
        <v>32</v>
      </c>
      <c r="D363" s="64" t="s">
        <v>1</v>
      </c>
      <c r="E363" s="151">
        <v>1.305555555555556</v>
      </c>
      <c r="F363" s="64" t="s">
        <v>33</v>
      </c>
      <c r="G363" s="66">
        <v>19</v>
      </c>
      <c r="H363" s="148">
        <v>309</v>
      </c>
      <c r="I363" s="88"/>
    </row>
    <row r="364" spans="1:9" ht="19.8" customHeight="1" x14ac:dyDescent="0.3">
      <c r="A364" s="150">
        <v>46019</v>
      </c>
      <c r="B364" s="64" t="s">
        <v>40</v>
      </c>
      <c r="C364" s="65" t="s">
        <v>48</v>
      </c>
      <c r="D364" s="64" t="s">
        <v>1</v>
      </c>
      <c r="E364" s="151">
        <v>1.850694444444444</v>
      </c>
      <c r="F364" s="64" t="s">
        <v>42</v>
      </c>
      <c r="G364" s="66">
        <v>7</v>
      </c>
      <c r="H364" s="148">
        <v>349</v>
      </c>
      <c r="I364" s="88"/>
    </row>
    <row r="365" spans="1:9" ht="19.8" customHeight="1" x14ac:dyDescent="0.3">
      <c r="A365" s="150">
        <v>46019</v>
      </c>
      <c r="B365" s="64" t="s">
        <v>58</v>
      </c>
      <c r="C365" s="65" t="s">
        <v>63</v>
      </c>
      <c r="D365" s="64" t="s">
        <v>1</v>
      </c>
      <c r="E365" s="151">
        <v>1.864583333333333</v>
      </c>
      <c r="F365" s="64" t="s">
        <v>60</v>
      </c>
      <c r="G365" s="66">
        <v>9</v>
      </c>
      <c r="H365" s="148">
        <v>411</v>
      </c>
      <c r="I365" s="88"/>
    </row>
    <row r="366" spans="1:9" ht="19.8" customHeight="1" x14ac:dyDescent="0.3">
      <c r="A366" s="150">
        <v>46019</v>
      </c>
      <c r="B366" s="64" t="s">
        <v>58</v>
      </c>
      <c r="C366" s="65" t="s">
        <v>66</v>
      </c>
      <c r="D366" s="64" t="s">
        <v>1</v>
      </c>
      <c r="E366" s="151">
        <v>1.5277777777777779</v>
      </c>
      <c r="F366" s="64" t="s">
        <v>60</v>
      </c>
      <c r="G366" s="66">
        <v>9</v>
      </c>
      <c r="H366" s="148">
        <v>411</v>
      </c>
      <c r="I366" s="88"/>
    </row>
    <row r="367" spans="1:9" ht="19.8" customHeight="1" x14ac:dyDescent="0.3">
      <c r="A367" s="150">
        <v>46019</v>
      </c>
      <c r="B367" s="64" t="s">
        <v>58</v>
      </c>
      <c r="C367" s="65" t="s">
        <v>59</v>
      </c>
      <c r="D367" s="64" t="s">
        <v>1</v>
      </c>
      <c r="E367" s="151">
        <v>1.1701388888888891</v>
      </c>
      <c r="F367" s="64" t="s">
        <v>60</v>
      </c>
      <c r="G367" s="66">
        <v>9</v>
      </c>
      <c r="H367" s="148">
        <v>411</v>
      </c>
      <c r="I367" s="88"/>
    </row>
    <row r="368" spans="1:9" ht="19.8" customHeight="1" x14ac:dyDescent="0.3">
      <c r="A368" s="150">
        <v>46019</v>
      </c>
      <c r="B368" s="64" t="s">
        <v>26</v>
      </c>
      <c r="C368" s="65" t="s">
        <v>97</v>
      </c>
      <c r="D368" s="64" t="s">
        <v>1</v>
      </c>
      <c r="E368" s="151">
        <v>1.958333333333333</v>
      </c>
      <c r="F368" s="64" t="s">
        <v>167</v>
      </c>
      <c r="G368" s="66">
        <v>9</v>
      </c>
      <c r="H368" s="148">
        <v>439</v>
      </c>
      <c r="I368" s="88"/>
    </row>
    <row r="369" spans="1:9" ht="19.8" customHeight="1" x14ac:dyDescent="0.3">
      <c r="A369" s="150">
        <v>46019</v>
      </c>
      <c r="B369" s="64" t="s">
        <v>40</v>
      </c>
      <c r="C369" s="65" t="s">
        <v>48</v>
      </c>
      <c r="D369" s="64" t="s">
        <v>1</v>
      </c>
      <c r="E369" s="151">
        <v>1.850694444444444</v>
      </c>
      <c r="F369" s="64" t="s">
        <v>45</v>
      </c>
      <c r="G369" s="66">
        <v>7</v>
      </c>
      <c r="H369" s="148">
        <v>449</v>
      </c>
      <c r="I369" s="88"/>
    </row>
    <row r="370" spans="1:9" ht="19.8" customHeight="1" x14ac:dyDescent="0.3">
      <c r="A370" s="150">
        <v>46019</v>
      </c>
      <c r="B370" s="64" t="s">
        <v>31</v>
      </c>
      <c r="C370" s="65" t="s">
        <v>32</v>
      </c>
      <c r="D370" s="64" t="s">
        <v>1</v>
      </c>
      <c r="E370" s="151">
        <v>1.305555555555556</v>
      </c>
      <c r="F370" s="64" t="s">
        <v>36</v>
      </c>
      <c r="G370" s="66">
        <v>19</v>
      </c>
      <c r="H370" s="148">
        <v>487</v>
      </c>
      <c r="I370" s="88"/>
    </row>
    <row r="371" spans="1:9" ht="19.8" customHeight="1" x14ac:dyDescent="0.3">
      <c r="A371" s="150">
        <v>46019</v>
      </c>
      <c r="B371" s="64" t="s">
        <v>40</v>
      </c>
      <c r="C371" s="65" t="s">
        <v>48</v>
      </c>
      <c r="D371" s="64" t="s">
        <v>1</v>
      </c>
      <c r="E371" s="151">
        <v>1.850694444444444</v>
      </c>
      <c r="F371" s="64" t="s">
        <v>38</v>
      </c>
      <c r="G371" s="66">
        <v>7</v>
      </c>
      <c r="H371" s="148">
        <v>539</v>
      </c>
      <c r="I371" s="88"/>
    </row>
    <row r="372" spans="1:9" ht="19.8" customHeight="1" x14ac:dyDescent="0.3">
      <c r="A372" s="150">
        <v>46019</v>
      </c>
      <c r="B372" s="64" t="s">
        <v>31</v>
      </c>
      <c r="C372" s="65" t="s">
        <v>32</v>
      </c>
      <c r="D372" s="64" t="s">
        <v>1</v>
      </c>
      <c r="E372" s="151">
        <v>1.305555555555556</v>
      </c>
      <c r="F372" s="64" t="s">
        <v>38</v>
      </c>
      <c r="G372" s="66">
        <v>19</v>
      </c>
      <c r="H372" s="148">
        <v>899</v>
      </c>
      <c r="I372" s="88"/>
    </row>
    <row r="373" spans="1:9" ht="19.8" customHeight="1" x14ac:dyDescent="0.3">
      <c r="A373" s="152">
        <v>46019</v>
      </c>
      <c r="B373" s="60" t="s">
        <v>68</v>
      </c>
      <c r="C373" s="61" t="s">
        <v>69</v>
      </c>
      <c r="D373" s="60" t="s">
        <v>1</v>
      </c>
      <c r="E373" s="153">
        <v>1.305555555555556</v>
      </c>
      <c r="F373" s="60" t="s">
        <v>70</v>
      </c>
      <c r="G373" s="62">
        <v>4</v>
      </c>
      <c r="H373" s="72" t="s">
        <v>122</v>
      </c>
      <c r="I373" s="88"/>
    </row>
    <row r="374" spans="1:9" ht="19.8" customHeight="1" x14ac:dyDescent="0.3">
      <c r="A374" s="150">
        <v>46020</v>
      </c>
      <c r="B374" s="64" t="s">
        <v>31</v>
      </c>
      <c r="C374" s="65" t="s">
        <v>32</v>
      </c>
      <c r="D374" s="64" t="s">
        <v>1</v>
      </c>
      <c r="E374" s="151">
        <v>1.305555555555556</v>
      </c>
      <c r="F374" s="64" t="s">
        <v>33</v>
      </c>
      <c r="G374" s="66">
        <v>12</v>
      </c>
      <c r="H374" s="148">
        <v>309</v>
      </c>
      <c r="I374" s="88"/>
    </row>
    <row r="375" spans="1:9" ht="19.8" customHeight="1" x14ac:dyDescent="0.3">
      <c r="A375" s="150">
        <v>46020</v>
      </c>
      <c r="B375" s="64" t="s">
        <v>40</v>
      </c>
      <c r="C375" s="65" t="s">
        <v>48</v>
      </c>
      <c r="D375" s="64" t="s">
        <v>1</v>
      </c>
      <c r="E375" s="151">
        <v>1.836805555555556</v>
      </c>
      <c r="F375" s="64" t="s">
        <v>42</v>
      </c>
      <c r="G375" s="66">
        <v>9</v>
      </c>
      <c r="H375" s="148">
        <v>349</v>
      </c>
      <c r="I375" s="88"/>
    </row>
    <row r="376" spans="1:9" ht="19.8" customHeight="1" x14ac:dyDescent="0.3">
      <c r="A376" s="150">
        <v>46020</v>
      </c>
      <c r="B376" s="64" t="s">
        <v>40</v>
      </c>
      <c r="C376" s="65" t="s">
        <v>41</v>
      </c>
      <c r="D376" s="64" t="s">
        <v>1</v>
      </c>
      <c r="E376" s="151">
        <v>1.2013888888888891</v>
      </c>
      <c r="F376" s="64" t="s">
        <v>42</v>
      </c>
      <c r="G376" s="66">
        <v>9</v>
      </c>
      <c r="H376" s="148">
        <v>349</v>
      </c>
      <c r="I376" s="88"/>
    </row>
    <row r="377" spans="1:9" ht="19.8" customHeight="1" x14ac:dyDescent="0.3">
      <c r="A377" s="150">
        <v>46020</v>
      </c>
      <c r="B377" s="64" t="s">
        <v>58</v>
      </c>
      <c r="C377" s="65" t="s">
        <v>63</v>
      </c>
      <c r="D377" s="64" t="s">
        <v>1</v>
      </c>
      <c r="E377" s="151">
        <v>1.864583333333333</v>
      </c>
      <c r="F377" s="64" t="s">
        <v>60</v>
      </c>
      <c r="G377" s="66">
        <v>9</v>
      </c>
      <c r="H377" s="148">
        <v>411</v>
      </c>
      <c r="I377" s="88"/>
    </row>
    <row r="378" spans="1:9" ht="19.8" customHeight="1" x14ac:dyDescent="0.3">
      <c r="A378" s="150">
        <v>46020</v>
      </c>
      <c r="B378" s="64" t="s">
        <v>58</v>
      </c>
      <c r="C378" s="65" t="s">
        <v>66</v>
      </c>
      <c r="D378" s="64" t="s">
        <v>1</v>
      </c>
      <c r="E378" s="151">
        <v>1.5277777777777779</v>
      </c>
      <c r="F378" s="64" t="s">
        <v>60</v>
      </c>
      <c r="G378" s="66">
        <v>9</v>
      </c>
      <c r="H378" s="148">
        <v>411</v>
      </c>
      <c r="I378" s="88"/>
    </row>
    <row r="379" spans="1:9" ht="19.8" customHeight="1" x14ac:dyDescent="0.3">
      <c r="A379" s="150">
        <v>46020</v>
      </c>
      <c r="B379" s="64" t="s">
        <v>58</v>
      </c>
      <c r="C379" s="65" t="s">
        <v>59</v>
      </c>
      <c r="D379" s="64" t="s">
        <v>1</v>
      </c>
      <c r="E379" s="151">
        <v>1.1701388888888891</v>
      </c>
      <c r="F379" s="64" t="s">
        <v>60</v>
      </c>
      <c r="G379" s="66">
        <v>9</v>
      </c>
      <c r="H379" s="148">
        <v>411</v>
      </c>
      <c r="I379" s="88"/>
    </row>
    <row r="380" spans="1:9" ht="19.8" customHeight="1" x14ac:dyDescent="0.3">
      <c r="A380" s="150">
        <v>46020</v>
      </c>
      <c r="B380" s="64" t="s">
        <v>73</v>
      </c>
      <c r="C380" s="65" t="s">
        <v>161</v>
      </c>
      <c r="D380" s="64" t="s">
        <v>1</v>
      </c>
      <c r="E380" s="151">
        <v>1.1284722222222221</v>
      </c>
      <c r="F380" s="64" t="s">
        <v>167</v>
      </c>
      <c r="G380" s="66">
        <v>3</v>
      </c>
      <c r="H380" s="148">
        <v>425</v>
      </c>
      <c r="I380" s="88"/>
    </row>
    <row r="381" spans="1:9" ht="19.8" customHeight="1" x14ac:dyDescent="0.3">
      <c r="A381" s="150">
        <v>46020</v>
      </c>
      <c r="B381" s="64" t="s">
        <v>26</v>
      </c>
      <c r="C381" s="65" t="s">
        <v>27</v>
      </c>
      <c r="D381" s="64" t="s">
        <v>1</v>
      </c>
      <c r="E381" s="151">
        <v>1.958333333333333</v>
      </c>
      <c r="F381" s="64" t="s">
        <v>167</v>
      </c>
      <c r="G381" s="66">
        <v>9</v>
      </c>
      <c r="H381" s="148">
        <v>439</v>
      </c>
      <c r="I381" s="88"/>
    </row>
    <row r="382" spans="1:9" ht="19.8" customHeight="1" x14ac:dyDescent="0.3">
      <c r="A382" s="150">
        <v>46020</v>
      </c>
      <c r="B382" s="64" t="s">
        <v>40</v>
      </c>
      <c r="C382" s="65" t="s">
        <v>48</v>
      </c>
      <c r="D382" s="64" t="s">
        <v>1</v>
      </c>
      <c r="E382" s="151">
        <v>1.836805555555556</v>
      </c>
      <c r="F382" s="64" t="s">
        <v>45</v>
      </c>
      <c r="G382" s="66">
        <v>9</v>
      </c>
      <c r="H382" s="148">
        <v>449</v>
      </c>
      <c r="I382" s="88"/>
    </row>
    <row r="383" spans="1:9" ht="19.8" customHeight="1" x14ac:dyDescent="0.3">
      <c r="A383" s="150">
        <v>46020</v>
      </c>
      <c r="B383" s="64" t="s">
        <v>40</v>
      </c>
      <c r="C383" s="65" t="s">
        <v>41</v>
      </c>
      <c r="D383" s="64" t="s">
        <v>1</v>
      </c>
      <c r="E383" s="151">
        <v>1.2013888888888891</v>
      </c>
      <c r="F383" s="64" t="s">
        <v>45</v>
      </c>
      <c r="G383" s="66">
        <v>9</v>
      </c>
      <c r="H383" s="148">
        <v>449</v>
      </c>
      <c r="I383" s="88"/>
    </row>
    <row r="384" spans="1:9" ht="19.8" customHeight="1" x14ac:dyDescent="0.3">
      <c r="A384" s="150">
        <v>46020</v>
      </c>
      <c r="B384" s="64" t="s">
        <v>31</v>
      </c>
      <c r="C384" s="65" t="s">
        <v>32</v>
      </c>
      <c r="D384" s="64" t="s">
        <v>1</v>
      </c>
      <c r="E384" s="151">
        <v>1.305555555555556</v>
      </c>
      <c r="F384" s="64" t="s">
        <v>36</v>
      </c>
      <c r="G384" s="66">
        <v>12</v>
      </c>
      <c r="H384" s="148">
        <v>487</v>
      </c>
      <c r="I384" s="88"/>
    </row>
    <row r="385" spans="1:9" ht="19.8" customHeight="1" x14ac:dyDescent="0.3">
      <c r="A385" s="150">
        <v>46020</v>
      </c>
      <c r="B385" s="64" t="s">
        <v>40</v>
      </c>
      <c r="C385" s="65" t="s">
        <v>48</v>
      </c>
      <c r="D385" s="64" t="s">
        <v>1</v>
      </c>
      <c r="E385" s="151">
        <v>1.836805555555556</v>
      </c>
      <c r="F385" s="64" t="s">
        <v>38</v>
      </c>
      <c r="G385" s="66">
        <v>9</v>
      </c>
      <c r="H385" s="148">
        <v>539</v>
      </c>
      <c r="I385" s="88"/>
    </row>
    <row r="386" spans="1:9" ht="19.8" customHeight="1" x14ac:dyDescent="0.3">
      <c r="A386" s="150">
        <v>46020</v>
      </c>
      <c r="B386" s="64" t="s">
        <v>40</v>
      </c>
      <c r="C386" s="65" t="s">
        <v>41</v>
      </c>
      <c r="D386" s="64" t="s">
        <v>1</v>
      </c>
      <c r="E386" s="151">
        <v>1.2013888888888891</v>
      </c>
      <c r="F386" s="64" t="s">
        <v>38</v>
      </c>
      <c r="G386" s="66">
        <v>9</v>
      </c>
      <c r="H386" s="148">
        <v>539</v>
      </c>
      <c r="I386" s="88"/>
    </row>
    <row r="387" spans="1:9" ht="19.8" customHeight="1" x14ac:dyDescent="0.3">
      <c r="A387" s="150">
        <v>46020</v>
      </c>
      <c r="B387" s="64" t="s">
        <v>31</v>
      </c>
      <c r="C387" s="65" t="s">
        <v>32</v>
      </c>
      <c r="D387" s="64" t="s">
        <v>1</v>
      </c>
      <c r="E387" s="151">
        <v>1.305555555555556</v>
      </c>
      <c r="F387" s="64" t="s">
        <v>38</v>
      </c>
      <c r="G387" s="66">
        <v>12</v>
      </c>
      <c r="H387" s="148">
        <v>899</v>
      </c>
      <c r="I387" s="88"/>
    </row>
    <row r="388" spans="1:9" ht="19.8" customHeight="1" x14ac:dyDescent="0.3">
      <c r="A388" s="152">
        <v>46020</v>
      </c>
      <c r="B388" s="60" t="s">
        <v>68</v>
      </c>
      <c r="C388" s="61" t="s">
        <v>69</v>
      </c>
      <c r="D388" s="60" t="s">
        <v>1</v>
      </c>
      <c r="E388" s="153">
        <v>1.305555555555556</v>
      </c>
      <c r="F388" s="60" t="s">
        <v>70</v>
      </c>
      <c r="G388" s="62">
        <v>4</v>
      </c>
      <c r="H388" s="72" t="s">
        <v>122</v>
      </c>
      <c r="I388" s="88"/>
    </row>
    <row r="389" spans="1:9" ht="19.8" customHeight="1" x14ac:dyDescent="0.3">
      <c r="A389" s="150">
        <v>46021</v>
      </c>
      <c r="B389" s="64" t="s">
        <v>31</v>
      </c>
      <c r="C389" s="65" t="s">
        <v>32</v>
      </c>
      <c r="D389" s="64" t="s">
        <v>1</v>
      </c>
      <c r="E389" s="151">
        <v>1.305555555555556</v>
      </c>
      <c r="F389" s="64" t="s">
        <v>33</v>
      </c>
      <c r="G389" s="66">
        <v>12</v>
      </c>
      <c r="H389" s="148">
        <v>309</v>
      </c>
      <c r="I389" s="88"/>
    </row>
    <row r="390" spans="1:9" ht="19.8" customHeight="1" x14ac:dyDescent="0.3">
      <c r="A390" s="150">
        <v>46021</v>
      </c>
      <c r="B390" s="64" t="s">
        <v>40</v>
      </c>
      <c r="C390" s="65" t="s">
        <v>41</v>
      </c>
      <c r="D390" s="64" t="s">
        <v>1</v>
      </c>
      <c r="E390" s="151">
        <v>1.2013888888888891</v>
      </c>
      <c r="F390" s="64" t="s">
        <v>42</v>
      </c>
      <c r="G390" s="66">
        <v>4</v>
      </c>
      <c r="H390" s="148">
        <v>379</v>
      </c>
      <c r="I390" s="88"/>
    </row>
    <row r="391" spans="1:9" ht="19.8" customHeight="1" x14ac:dyDescent="0.3">
      <c r="A391" s="154">
        <v>46021</v>
      </c>
      <c r="B391" s="68" t="s">
        <v>51</v>
      </c>
      <c r="C391" s="69" t="s">
        <v>52</v>
      </c>
      <c r="D391" s="68" t="s">
        <v>1</v>
      </c>
      <c r="E391" s="155">
        <v>1.270833333333333</v>
      </c>
      <c r="F391" s="68" t="s">
        <v>28</v>
      </c>
      <c r="G391" s="70">
        <v>9</v>
      </c>
      <c r="H391" s="149">
        <v>379</v>
      </c>
      <c r="I391" s="88"/>
    </row>
    <row r="392" spans="1:9" ht="19.8" customHeight="1" x14ac:dyDescent="0.3">
      <c r="A392" s="150">
        <v>46021</v>
      </c>
      <c r="B392" s="64" t="s">
        <v>40</v>
      </c>
      <c r="C392" s="65" t="s">
        <v>48</v>
      </c>
      <c r="D392" s="64" t="s">
        <v>1</v>
      </c>
      <c r="E392" s="151">
        <v>1.836805555555556</v>
      </c>
      <c r="F392" s="64" t="s">
        <v>42</v>
      </c>
      <c r="G392" s="66">
        <v>6</v>
      </c>
      <c r="H392" s="148">
        <v>409</v>
      </c>
      <c r="I392" s="88"/>
    </row>
    <row r="393" spans="1:9" ht="19.8" customHeight="1" x14ac:dyDescent="0.3">
      <c r="A393" s="150">
        <v>46021</v>
      </c>
      <c r="B393" s="64" t="s">
        <v>58</v>
      </c>
      <c r="C393" s="65" t="s">
        <v>63</v>
      </c>
      <c r="D393" s="64" t="s">
        <v>1</v>
      </c>
      <c r="E393" s="151">
        <v>1.864583333333333</v>
      </c>
      <c r="F393" s="64" t="s">
        <v>60</v>
      </c>
      <c r="G393" s="66">
        <v>9</v>
      </c>
      <c r="H393" s="148">
        <v>411</v>
      </c>
      <c r="I393" s="88"/>
    </row>
    <row r="394" spans="1:9" ht="19.8" customHeight="1" x14ac:dyDescent="0.3">
      <c r="A394" s="150">
        <v>46021</v>
      </c>
      <c r="B394" s="64" t="s">
        <v>58</v>
      </c>
      <c r="C394" s="65" t="s">
        <v>66</v>
      </c>
      <c r="D394" s="64" t="s">
        <v>1</v>
      </c>
      <c r="E394" s="151">
        <v>1.5277777777777779</v>
      </c>
      <c r="F394" s="64" t="s">
        <v>60</v>
      </c>
      <c r="G394" s="66">
        <v>9</v>
      </c>
      <c r="H394" s="148">
        <v>411</v>
      </c>
      <c r="I394" s="88"/>
    </row>
    <row r="395" spans="1:9" ht="19.8" customHeight="1" x14ac:dyDescent="0.3">
      <c r="A395" s="150">
        <v>46021</v>
      </c>
      <c r="B395" s="64" t="s">
        <v>58</v>
      </c>
      <c r="C395" s="65" t="s">
        <v>59</v>
      </c>
      <c r="D395" s="64" t="s">
        <v>1</v>
      </c>
      <c r="E395" s="151">
        <v>1.1701388888888891</v>
      </c>
      <c r="F395" s="64" t="s">
        <v>60</v>
      </c>
      <c r="G395" s="66">
        <v>9</v>
      </c>
      <c r="H395" s="148">
        <v>411</v>
      </c>
      <c r="I395" s="88"/>
    </row>
    <row r="396" spans="1:9" ht="19.8" customHeight="1" x14ac:dyDescent="0.3">
      <c r="A396" s="150">
        <v>46021</v>
      </c>
      <c r="B396" s="64" t="s">
        <v>26</v>
      </c>
      <c r="C396" s="65" t="s">
        <v>57</v>
      </c>
      <c r="D396" s="64" t="s">
        <v>1</v>
      </c>
      <c r="E396" s="151">
        <v>1.958333333333333</v>
      </c>
      <c r="F396" s="64" t="s">
        <v>167</v>
      </c>
      <c r="G396" s="66">
        <v>9</v>
      </c>
      <c r="H396" s="148">
        <v>439</v>
      </c>
      <c r="I396" s="88"/>
    </row>
    <row r="397" spans="1:9" ht="19.8" customHeight="1" x14ac:dyDescent="0.3">
      <c r="A397" s="150">
        <v>46021</v>
      </c>
      <c r="B397" s="64" t="s">
        <v>40</v>
      </c>
      <c r="C397" s="65" t="s">
        <v>41</v>
      </c>
      <c r="D397" s="64" t="s">
        <v>1</v>
      </c>
      <c r="E397" s="151">
        <v>1.2013888888888891</v>
      </c>
      <c r="F397" s="64" t="s">
        <v>45</v>
      </c>
      <c r="G397" s="66">
        <v>4</v>
      </c>
      <c r="H397" s="148">
        <v>479</v>
      </c>
      <c r="I397" s="88"/>
    </row>
    <row r="398" spans="1:9" ht="19.8" customHeight="1" x14ac:dyDescent="0.3">
      <c r="A398" s="150">
        <v>46021</v>
      </c>
      <c r="B398" s="64" t="s">
        <v>31</v>
      </c>
      <c r="C398" s="65" t="s">
        <v>32</v>
      </c>
      <c r="D398" s="64" t="s">
        <v>1</v>
      </c>
      <c r="E398" s="151">
        <v>1.305555555555556</v>
      </c>
      <c r="F398" s="64" t="s">
        <v>36</v>
      </c>
      <c r="G398" s="66">
        <v>12</v>
      </c>
      <c r="H398" s="148">
        <v>487</v>
      </c>
      <c r="I398" s="88"/>
    </row>
    <row r="399" spans="1:9" ht="19.8" customHeight="1" x14ac:dyDescent="0.3">
      <c r="A399" s="150">
        <v>46021</v>
      </c>
      <c r="B399" s="64" t="s">
        <v>40</v>
      </c>
      <c r="C399" s="65" t="s">
        <v>48</v>
      </c>
      <c r="D399" s="64" t="s">
        <v>1</v>
      </c>
      <c r="E399" s="151">
        <v>1.836805555555556</v>
      </c>
      <c r="F399" s="64" t="s">
        <v>45</v>
      </c>
      <c r="G399" s="66">
        <v>6</v>
      </c>
      <c r="H399" s="148">
        <v>509</v>
      </c>
      <c r="I399" s="88"/>
    </row>
    <row r="400" spans="1:9" ht="19.8" customHeight="1" x14ac:dyDescent="0.3">
      <c r="A400" s="150">
        <v>46021</v>
      </c>
      <c r="B400" s="64" t="s">
        <v>40</v>
      </c>
      <c r="C400" s="65" t="s">
        <v>41</v>
      </c>
      <c r="D400" s="64" t="s">
        <v>1</v>
      </c>
      <c r="E400" s="151">
        <v>1.2013888888888891</v>
      </c>
      <c r="F400" s="64" t="s">
        <v>38</v>
      </c>
      <c r="G400" s="66">
        <v>4</v>
      </c>
      <c r="H400" s="148">
        <v>569</v>
      </c>
      <c r="I400" s="88"/>
    </row>
    <row r="401" spans="1:9" ht="19.8" customHeight="1" x14ac:dyDescent="0.3">
      <c r="A401" s="150">
        <v>46021</v>
      </c>
      <c r="B401" s="64" t="s">
        <v>40</v>
      </c>
      <c r="C401" s="65" t="s">
        <v>48</v>
      </c>
      <c r="D401" s="64" t="s">
        <v>1</v>
      </c>
      <c r="E401" s="151">
        <v>1.836805555555556</v>
      </c>
      <c r="F401" s="64" t="s">
        <v>38</v>
      </c>
      <c r="G401" s="66">
        <v>6</v>
      </c>
      <c r="H401" s="148">
        <v>599</v>
      </c>
      <c r="I401" s="88"/>
    </row>
    <row r="402" spans="1:9" ht="19.8" customHeight="1" x14ac:dyDescent="0.3">
      <c r="A402" s="150">
        <v>46021</v>
      </c>
      <c r="B402" s="64" t="s">
        <v>31</v>
      </c>
      <c r="C402" s="65" t="s">
        <v>32</v>
      </c>
      <c r="D402" s="64" t="s">
        <v>1</v>
      </c>
      <c r="E402" s="151">
        <v>1.305555555555556</v>
      </c>
      <c r="F402" s="64" t="s">
        <v>38</v>
      </c>
      <c r="G402" s="66">
        <v>12</v>
      </c>
      <c r="H402" s="148">
        <v>899</v>
      </c>
      <c r="I402" s="88"/>
    </row>
    <row r="403" spans="1:9" ht="19.8" customHeight="1" x14ac:dyDescent="0.3">
      <c r="A403" s="152">
        <v>46021</v>
      </c>
      <c r="B403" s="60" t="s">
        <v>68</v>
      </c>
      <c r="C403" s="61" t="s">
        <v>69</v>
      </c>
      <c r="D403" s="60" t="s">
        <v>1</v>
      </c>
      <c r="E403" s="153">
        <v>1.305555555555556</v>
      </c>
      <c r="F403" s="60" t="s">
        <v>70</v>
      </c>
      <c r="G403" s="62">
        <v>4</v>
      </c>
      <c r="H403" s="72" t="s">
        <v>122</v>
      </c>
      <c r="I403" s="88"/>
    </row>
    <row r="404" spans="1:9" ht="19.8" customHeight="1" x14ac:dyDescent="0.3">
      <c r="A404" s="150">
        <v>46022</v>
      </c>
      <c r="B404" s="64" t="s">
        <v>76</v>
      </c>
      <c r="C404" s="65" t="s">
        <v>77</v>
      </c>
      <c r="D404" s="64" t="s">
        <v>1</v>
      </c>
      <c r="E404" s="151">
        <v>1.9722222222222221</v>
      </c>
      <c r="F404" s="64" t="s">
        <v>78</v>
      </c>
      <c r="G404" s="66">
        <v>9</v>
      </c>
      <c r="H404" s="148">
        <v>367</v>
      </c>
      <c r="I404" s="88"/>
    </row>
    <row r="405" spans="1:9" ht="19.8" customHeight="1" x14ac:dyDescent="0.3">
      <c r="A405" s="150">
        <v>46022</v>
      </c>
      <c r="B405" s="64" t="s">
        <v>31</v>
      </c>
      <c r="C405" s="65" t="s">
        <v>32</v>
      </c>
      <c r="D405" s="64" t="s">
        <v>1</v>
      </c>
      <c r="E405" s="151">
        <v>1.305555555555556</v>
      </c>
      <c r="F405" s="64" t="s">
        <v>33</v>
      </c>
      <c r="G405" s="66">
        <v>20</v>
      </c>
      <c r="H405" s="148">
        <v>369</v>
      </c>
      <c r="I405" s="88"/>
    </row>
    <row r="406" spans="1:9" ht="19.8" customHeight="1" x14ac:dyDescent="0.3">
      <c r="A406" s="150">
        <v>46022</v>
      </c>
      <c r="B406" s="64" t="s">
        <v>58</v>
      </c>
      <c r="C406" s="65" t="s">
        <v>63</v>
      </c>
      <c r="D406" s="64" t="s">
        <v>1</v>
      </c>
      <c r="E406" s="151">
        <v>1.864583333333333</v>
      </c>
      <c r="F406" s="64" t="s">
        <v>60</v>
      </c>
      <c r="G406" s="66">
        <v>9</v>
      </c>
      <c r="H406" s="148">
        <v>411</v>
      </c>
      <c r="I406" s="88"/>
    </row>
    <row r="407" spans="1:9" ht="19.8" customHeight="1" x14ac:dyDescent="0.3">
      <c r="A407" s="150">
        <v>46022</v>
      </c>
      <c r="B407" s="64" t="s">
        <v>58</v>
      </c>
      <c r="C407" s="65" t="s">
        <v>66</v>
      </c>
      <c r="D407" s="64" t="s">
        <v>1</v>
      </c>
      <c r="E407" s="151">
        <v>1.5277777777777779</v>
      </c>
      <c r="F407" s="64" t="s">
        <v>60</v>
      </c>
      <c r="G407" s="66">
        <v>9</v>
      </c>
      <c r="H407" s="148">
        <v>411</v>
      </c>
      <c r="I407" s="88"/>
    </row>
    <row r="408" spans="1:9" ht="19.8" customHeight="1" x14ac:dyDescent="0.3">
      <c r="A408" s="150">
        <v>46022</v>
      </c>
      <c r="B408" s="64" t="s">
        <v>58</v>
      </c>
      <c r="C408" s="65" t="s">
        <v>59</v>
      </c>
      <c r="D408" s="64" t="s">
        <v>1</v>
      </c>
      <c r="E408" s="151">
        <v>1.1701388888888891</v>
      </c>
      <c r="F408" s="64" t="s">
        <v>60</v>
      </c>
      <c r="G408" s="66">
        <v>9</v>
      </c>
      <c r="H408" s="148">
        <v>411</v>
      </c>
      <c r="I408" s="88"/>
    </row>
    <row r="409" spans="1:9" ht="19.8" customHeight="1" x14ac:dyDescent="0.3">
      <c r="A409" s="150">
        <v>46022</v>
      </c>
      <c r="B409" s="64" t="s">
        <v>40</v>
      </c>
      <c r="C409" s="65" t="s">
        <v>48</v>
      </c>
      <c r="D409" s="64" t="s">
        <v>1</v>
      </c>
      <c r="E409" s="151">
        <v>1.850694444444444</v>
      </c>
      <c r="F409" s="64" t="s">
        <v>42</v>
      </c>
      <c r="G409" s="66">
        <v>5</v>
      </c>
      <c r="H409" s="148">
        <v>439</v>
      </c>
      <c r="I409" s="88"/>
    </row>
    <row r="410" spans="1:9" ht="19.8" customHeight="1" x14ac:dyDescent="0.3">
      <c r="A410" s="150">
        <v>46022</v>
      </c>
      <c r="B410" s="64" t="s">
        <v>26</v>
      </c>
      <c r="C410" s="65" t="s">
        <v>27</v>
      </c>
      <c r="D410" s="64" t="s">
        <v>1</v>
      </c>
      <c r="E410" s="151">
        <v>1.895833333333333</v>
      </c>
      <c r="F410" s="64" t="s">
        <v>167</v>
      </c>
      <c r="G410" s="66">
        <v>9</v>
      </c>
      <c r="H410" s="148">
        <v>439</v>
      </c>
      <c r="I410" s="88"/>
    </row>
    <row r="411" spans="1:9" ht="19.8" customHeight="1" x14ac:dyDescent="0.3">
      <c r="A411" s="150">
        <v>46022</v>
      </c>
      <c r="B411" s="64" t="s">
        <v>73</v>
      </c>
      <c r="C411" s="65" t="s">
        <v>74</v>
      </c>
      <c r="D411" s="64" t="s">
        <v>1</v>
      </c>
      <c r="E411" s="151">
        <v>1.0902777777777779</v>
      </c>
      <c r="F411" s="64" t="s">
        <v>167</v>
      </c>
      <c r="G411" s="66">
        <v>8</v>
      </c>
      <c r="H411" s="148">
        <v>500</v>
      </c>
      <c r="I411" s="88"/>
    </row>
    <row r="412" spans="1:9" ht="19.8" customHeight="1" x14ac:dyDescent="0.3">
      <c r="A412" s="150">
        <v>46022</v>
      </c>
      <c r="B412" s="64" t="s">
        <v>40</v>
      </c>
      <c r="C412" s="65" t="s">
        <v>48</v>
      </c>
      <c r="D412" s="64" t="s">
        <v>1</v>
      </c>
      <c r="E412" s="151">
        <v>1.850694444444444</v>
      </c>
      <c r="F412" s="64" t="s">
        <v>45</v>
      </c>
      <c r="G412" s="66">
        <v>5</v>
      </c>
      <c r="H412" s="148">
        <v>539</v>
      </c>
      <c r="I412" s="88"/>
    </row>
    <row r="413" spans="1:9" ht="19.8" customHeight="1" x14ac:dyDescent="0.3">
      <c r="A413" s="150">
        <v>46022</v>
      </c>
      <c r="B413" s="64" t="s">
        <v>31</v>
      </c>
      <c r="C413" s="65" t="s">
        <v>32</v>
      </c>
      <c r="D413" s="64" t="s">
        <v>1</v>
      </c>
      <c r="E413" s="151">
        <v>1.305555555555556</v>
      </c>
      <c r="F413" s="64" t="s">
        <v>36</v>
      </c>
      <c r="G413" s="66">
        <v>20</v>
      </c>
      <c r="H413" s="148">
        <v>547</v>
      </c>
      <c r="I413" s="88"/>
    </row>
    <row r="414" spans="1:9" ht="19.8" customHeight="1" x14ac:dyDescent="0.3">
      <c r="A414" s="150">
        <v>46022</v>
      </c>
      <c r="B414" s="64" t="s">
        <v>76</v>
      </c>
      <c r="C414" s="65" t="s">
        <v>77</v>
      </c>
      <c r="D414" s="64" t="s">
        <v>1</v>
      </c>
      <c r="E414" s="151">
        <v>1.9722222222222221</v>
      </c>
      <c r="F414" s="64" t="s">
        <v>81</v>
      </c>
      <c r="G414" s="66">
        <v>9</v>
      </c>
      <c r="H414" s="148">
        <v>573</v>
      </c>
      <c r="I414" s="88"/>
    </row>
    <row r="415" spans="1:9" ht="19.8" customHeight="1" x14ac:dyDescent="0.3">
      <c r="A415" s="150">
        <v>46022</v>
      </c>
      <c r="B415" s="64" t="s">
        <v>40</v>
      </c>
      <c r="C415" s="65" t="s">
        <v>48</v>
      </c>
      <c r="D415" s="64" t="s">
        <v>1</v>
      </c>
      <c r="E415" s="151">
        <v>1.850694444444444</v>
      </c>
      <c r="F415" s="64" t="s">
        <v>38</v>
      </c>
      <c r="G415" s="66">
        <v>5</v>
      </c>
      <c r="H415" s="148">
        <v>629</v>
      </c>
      <c r="I415" s="88"/>
    </row>
    <row r="416" spans="1:9" ht="19.8" customHeight="1" x14ac:dyDescent="0.3">
      <c r="A416" s="150">
        <v>46022</v>
      </c>
      <c r="B416" s="64" t="s">
        <v>31</v>
      </c>
      <c r="C416" s="65" t="s">
        <v>32</v>
      </c>
      <c r="D416" s="64" t="s">
        <v>1</v>
      </c>
      <c r="E416" s="151">
        <v>1.305555555555556</v>
      </c>
      <c r="F416" s="64" t="s">
        <v>38</v>
      </c>
      <c r="G416" s="66">
        <v>20</v>
      </c>
      <c r="H416" s="148">
        <v>899</v>
      </c>
      <c r="I416" s="88"/>
    </row>
    <row r="417" spans="1:9" ht="19.8" customHeight="1" x14ac:dyDescent="0.3">
      <c r="A417" s="152">
        <v>46022</v>
      </c>
      <c r="B417" s="60" t="s">
        <v>68</v>
      </c>
      <c r="C417" s="61" t="s">
        <v>69</v>
      </c>
      <c r="D417" s="60" t="s">
        <v>1</v>
      </c>
      <c r="E417" s="153">
        <v>1.305555555555556</v>
      </c>
      <c r="F417" s="60" t="s">
        <v>70</v>
      </c>
      <c r="G417" s="62">
        <v>4</v>
      </c>
      <c r="H417" s="72" t="s">
        <v>112</v>
      </c>
      <c r="I417" s="88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9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73" t="s">
        <v>267</v>
      </c>
      <c r="B1" s="73" t="s">
        <v>8</v>
      </c>
      <c r="C1" s="73" t="s">
        <v>9</v>
      </c>
      <c r="D1" s="73" t="s">
        <v>268</v>
      </c>
      <c r="E1" s="73" t="s">
        <v>10</v>
      </c>
      <c r="F1" s="73" t="s">
        <v>11</v>
      </c>
      <c r="G1" s="73" t="s">
        <v>12</v>
      </c>
      <c r="H1" s="73" t="s">
        <v>13</v>
      </c>
      <c r="I1" s="73" t="s">
        <v>274</v>
      </c>
    </row>
    <row r="2" spans="1:9" ht="15.6" x14ac:dyDescent="0.3">
      <c r="A2" s="74" t="s">
        <v>271</v>
      </c>
      <c r="B2" s="74" t="s">
        <v>51</v>
      </c>
      <c r="C2" s="74" t="s">
        <v>52</v>
      </c>
      <c r="D2" s="74" t="s">
        <v>1</v>
      </c>
      <c r="E2" s="74" t="s">
        <v>206</v>
      </c>
      <c r="F2" s="74" t="s">
        <v>28</v>
      </c>
      <c r="G2" s="74" t="s">
        <v>53</v>
      </c>
      <c r="H2" s="74" t="s">
        <v>30</v>
      </c>
      <c r="I2" s="75" t="s">
        <v>275</v>
      </c>
    </row>
    <row r="3" spans="1:9" ht="15.6" x14ac:dyDescent="0.3">
      <c r="A3" s="76" t="s">
        <v>271</v>
      </c>
      <c r="B3" s="76" t="s">
        <v>26</v>
      </c>
      <c r="C3" s="76" t="s">
        <v>57</v>
      </c>
      <c r="D3" s="76" t="s">
        <v>1</v>
      </c>
      <c r="E3" s="76" t="s">
        <v>270</v>
      </c>
      <c r="F3" s="76" t="s">
        <v>28</v>
      </c>
      <c r="G3" s="76" t="s">
        <v>29</v>
      </c>
      <c r="H3" s="76" t="s">
        <v>30</v>
      </c>
      <c r="I3" s="77" t="s">
        <v>276</v>
      </c>
    </row>
    <row r="4" spans="1:9" ht="15.6" x14ac:dyDescent="0.3">
      <c r="A4" s="76" t="s">
        <v>271</v>
      </c>
      <c r="B4" s="76" t="s">
        <v>40</v>
      </c>
      <c r="C4" s="76" t="s">
        <v>41</v>
      </c>
      <c r="D4" s="76" t="s">
        <v>1</v>
      </c>
      <c r="E4" s="76" t="s">
        <v>273</v>
      </c>
      <c r="F4" s="76" t="s">
        <v>38</v>
      </c>
      <c r="G4" s="76" t="s">
        <v>43</v>
      </c>
      <c r="H4" s="76" t="s">
        <v>47</v>
      </c>
      <c r="I4" s="78" t="s">
        <v>277</v>
      </c>
    </row>
    <row r="5" spans="1:9" ht="15.6" x14ac:dyDescent="0.3">
      <c r="A5" s="76" t="s">
        <v>271</v>
      </c>
      <c r="B5" s="76" t="s">
        <v>40</v>
      </c>
      <c r="C5" s="76" t="s">
        <v>48</v>
      </c>
      <c r="D5" s="76" t="s">
        <v>1</v>
      </c>
      <c r="E5" s="76" t="s">
        <v>278</v>
      </c>
      <c r="F5" s="76" t="s">
        <v>38</v>
      </c>
      <c r="G5" s="76" t="s">
        <v>34</v>
      </c>
      <c r="H5" s="76" t="s">
        <v>50</v>
      </c>
      <c r="I5" s="78" t="s">
        <v>279</v>
      </c>
    </row>
    <row r="6" spans="1:9" ht="15.6" x14ac:dyDescent="0.3">
      <c r="A6" s="76" t="s">
        <v>271</v>
      </c>
      <c r="B6" s="76" t="s">
        <v>68</v>
      </c>
      <c r="C6" s="76" t="s">
        <v>69</v>
      </c>
      <c r="D6" s="76" t="s">
        <v>1</v>
      </c>
      <c r="E6" s="76" t="s">
        <v>272</v>
      </c>
      <c r="F6" s="76" t="s">
        <v>70</v>
      </c>
      <c r="G6" s="76" t="s">
        <v>71</v>
      </c>
      <c r="H6" s="76" t="s">
        <v>72</v>
      </c>
      <c r="I6" s="79" t="s">
        <v>280</v>
      </c>
    </row>
    <row r="7" spans="1:9" ht="15.6" x14ac:dyDescent="0.3">
      <c r="A7" s="76" t="s">
        <v>281</v>
      </c>
      <c r="B7" s="76" t="s">
        <v>73</v>
      </c>
      <c r="C7" s="76" t="s">
        <v>74</v>
      </c>
      <c r="D7" s="76" t="s">
        <v>1</v>
      </c>
      <c r="E7" s="76" t="s">
        <v>282</v>
      </c>
      <c r="F7" s="76" t="s">
        <v>28</v>
      </c>
      <c r="G7" s="76" t="s">
        <v>29</v>
      </c>
      <c r="H7" s="76" t="s">
        <v>75</v>
      </c>
      <c r="I7" s="79" t="s">
        <v>283</v>
      </c>
    </row>
    <row r="8" spans="1:9" ht="15.6" x14ac:dyDescent="0.3">
      <c r="A8" s="74" t="s">
        <v>284</v>
      </c>
      <c r="B8" s="74" t="s">
        <v>51</v>
      </c>
      <c r="C8" s="74" t="s">
        <v>52</v>
      </c>
      <c r="D8" s="74" t="s">
        <v>1</v>
      </c>
      <c r="E8" s="74" t="s">
        <v>218</v>
      </c>
      <c r="F8" s="74" t="s">
        <v>28</v>
      </c>
      <c r="G8" s="74" t="s">
        <v>71</v>
      </c>
      <c r="H8" s="74" t="s">
        <v>30</v>
      </c>
      <c r="I8" s="75" t="s">
        <v>275</v>
      </c>
    </row>
    <row r="9" spans="1:9" ht="15.6" x14ac:dyDescent="0.3">
      <c r="A9" s="76" t="s">
        <v>284</v>
      </c>
      <c r="B9" s="76" t="s">
        <v>73</v>
      </c>
      <c r="C9" s="76" t="s">
        <v>74</v>
      </c>
      <c r="D9" s="76" t="s">
        <v>1</v>
      </c>
      <c r="E9" s="76" t="s">
        <v>285</v>
      </c>
      <c r="F9" s="76" t="s">
        <v>28</v>
      </c>
      <c r="G9" s="76" t="s">
        <v>29</v>
      </c>
      <c r="H9" s="76" t="s">
        <v>75</v>
      </c>
      <c r="I9" s="79" t="s">
        <v>283</v>
      </c>
    </row>
    <row r="10" spans="1:9" ht="15.6" x14ac:dyDescent="0.3">
      <c r="A10" s="76" t="s">
        <v>284</v>
      </c>
      <c r="B10" s="76" t="s">
        <v>26</v>
      </c>
      <c r="C10" s="76" t="s">
        <v>97</v>
      </c>
      <c r="D10" s="76" t="s">
        <v>1</v>
      </c>
      <c r="E10" s="76" t="s">
        <v>286</v>
      </c>
      <c r="F10" s="76" t="s">
        <v>28</v>
      </c>
      <c r="G10" s="76" t="s">
        <v>53</v>
      </c>
      <c r="H10" s="76" t="s">
        <v>30</v>
      </c>
      <c r="I10" s="77" t="s">
        <v>276</v>
      </c>
    </row>
    <row r="11" spans="1:9" ht="15.6" x14ac:dyDescent="0.3">
      <c r="A11" s="76" t="s">
        <v>284</v>
      </c>
      <c r="B11" s="76" t="s">
        <v>26</v>
      </c>
      <c r="C11" s="76" t="s">
        <v>57</v>
      </c>
      <c r="D11" s="76" t="s">
        <v>1</v>
      </c>
      <c r="E11" s="76" t="s">
        <v>270</v>
      </c>
      <c r="F11" s="76" t="s">
        <v>28</v>
      </c>
      <c r="G11" s="76" t="s">
        <v>29</v>
      </c>
      <c r="H11" s="76" t="s">
        <v>30</v>
      </c>
      <c r="I11" s="77" t="s">
        <v>276</v>
      </c>
    </row>
    <row r="12" spans="1:9" ht="15.6" x14ac:dyDescent="0.3">
      <c r="A12" s="76" t="s">
        <v>284</v>
      </c>
      <c r="B12" s="76" t="s">
        <v>40</v>
      </c>
      <c r="C12" s="76" t="s">
        <v>41</v>
      </c>
      <c r="D12" s="76" t="s">
        <v>1</v>
      </c>
      <c r="E12" s="76" t="s">
        <v>273</v>
      </c>
      <c r="F12" s="76" t="s">
        <v>38</v>
      </c>
      <c r="G12" s="76" t="s">
        <v>34</v>
      </c>
      <c r="H12" s="76" t="s">
        <v>47</v>
      </c>
      <c r="I12" s="78" t="s">
        <v>277</v>
      </c>
    </row>
    <row r="13" spans="1:9" ht="15.6" x14ac:dyDescent="0.3">
      <c r="A13" s="76" t="s">
        <v>284</v>
      </c>
      <c r="B13" s="76" t="s">
        <v>40</v>
      </c>
      <c r="C13" s="76" t="s">
        <v>48</v>
      </c>
      <c r="D13" s="76" t="s">
        <v>1</v>
      </c>
      <c r="E13" s="76" t="s">
        <v>278</v>
      </c>
      <c r="F13" s="76" t="s">
        <v>38</v>
      </c>
      <c r="G13" s="76" t="s">
        <v>79</v>
      </c>
      <c r="H13" s="76" t="s">
        <v>96</v>
      </c>
      <c r="I13" s="78" t="s">
        <v>287</v>
      </c>
    </row>
    <row r="14" spans="1:9" ht="15.6" x14ac:dyDescent="0.3">
      <c r="A14" s="76" t="s">
        <v>284</v>
      </c>
      <c r="B14" s="76" t="s">
        <v>31</v>
      </c>
      <c r="C14" s="76" t="s">
        <v>32</v>
      </c>
      <c r="D14" s="76" t="s">
        <v>1</v>
      </c>
      <c r="E14" s="76" t="s">
        <v>272</v>
      </c>
      <c r="F14" s="76" t="s">
        <v>38</v>
      </c>
      <c r="G14" s="76" t="s">
        <v>34</v>
      </c>
      <c r="H14" s="76" t="s">
        <v>86</v>
      </c>
      <c r="I14" s="79" t="s">
        <v>288</v>
      </c>
    </row>
    <row r="15" spans="1:9" ht="15.6" x14ac:dyDescent="0.3">
      <c r="A15" s="76" t="s">
        <v>284</v>
      </c>
      <c r="B15" s="76" t="s">
        <v>68</v>
      </c>
      <c r="C15" s="76" t="s">
        <v>69</v>
      </c>
      <c r="D15" s="76" t="s">
        <v>1</v>
      </c>
      <c r="E15" s="76" t="s">
        <v>272</v>
      </c>
      <c r="F15" s="76" t="s">
        <v>70</v>
      </c>
      <c r="G15" s="76" t="s">
        <v>71</v>
      </c>
      <c r="H15" s="76" t="s">
        <v>72</v>
      </c>
      <c r="I15" s="79" t="s">
        <v>280</v>
      </c>
    </row>
    <row r="16" spans="1:9" ht="15.6" x14ac:dyDescent="0.3">
      <c r="A16" s="74" t="s">
        <v>289</v>
      </c>
      <c r="B16" s="74" t="s">
        <v>51</v>
      </c>
      <c r="C16" s="74" t="s">
        <v>52</v>
      </c>
      <c r="D16" s="74" t="s">
        <v>1</v>
      </c>
      <c r="E16" s="74" t="s">
        <v>226</v>
      </c>
      <c r="F16" s="74" t="s">
        <v>28</v>
      </c>
      <c r="G16" s="74" t="s">
        <v>29</v>
      </c>
      <c r="H16" s="74" t="s">
        <v>30</v>
      </c>
      <c r="I16" s="75" t="s">
        <v>275</v>
      </c>
    </row>
    <row r="17" spans="1:9" ht="15.6" x14ac:dyDescent="0.3">
      <c r="A17" s="76" t="s">
        <v>289</v>
      </c>
      <c r="B17" s="76" t="s">
        <v>26</v>
      </c>
      <c r="C17" s="76" t="s">
        <v>27</v>
      </c>
      <c r="D17" s="76" t="s">
        <v>1</v>
      </c>
      <c r="E17" s="76" t="s">
        <v>270</v>
      </c>
      <c r="F17" s="76" t="s">
        <v>28</v>
      </c>
      <c r="G17" s="76" t="s">
        <v>61</v>
      </c>
      <c r="H17" s="76" t="s">
        <v>30</v>
      </c>
      <c r="I17" s="77" t="s">
        <v>276</v>
      </c>
    </row>
    <row r="18" spans="1:9" ht="15.6" x14ac:dyDescent="0.3">
      <c r="A18" s="76" t="s">
        <v>289</v>
      </c>
      <c r="B18" s="76" t="s">
        <v>40</v>
      </c>
      <c r="C18" s="76" t="s">
        <v>48</v>
      </c>
      <c r="D18" s="76" t="s">
        <v>1</v>
      </c>
      <c r="E18" s="76" t="s">
        <v>290</v>
      </c>
      <c r="F18" s="76" t="s">
        <v>38</v>
      </c>
      <c r="G18" s="76" t="s">
        <v>89</v>
      </c>
      <c r="H18" s="76" t="s">
        <v>109</v>
      </c>
      <c r="I18" s="78" t="s">
        <v>291</v>
      </c>
    </row>
    <row r="19" spans="1:9" ht="15.6" x14ac:dyDescent="0.3">
      <c r="A19" s="76" t="s">
        <v>289</v>
      </c>
      <c r="B19" s="76" t="s">
        <v>31</v>
      </c>
      <c r="C19" s="76" t="s">
        <v>32</v>
      </c>
      <c r="D19" s="76" t="s">
        <v>1</v>
      </c>
      <c r="E19" s="76" t="s">
        <v>272</v>
      </c>
      <c r="F19" s="76" t="s">
        <v>38</v>
      </c>
      <c r="G19" s="76" t="s">
        <v>102</v>
      </c>
      <c r="H19" s="76" t="s">
        <v>86</v>
      </c>
      <c r="I19" s="79" t="s">
        <v>288</v>
      </c>
    </row>
    <row r="20" spans="1:9" ht="15.6" x14ac:dyDescent="0.3">
      <c r="A20" s="76" t="s">
        <v>289</v>
      </c>
      <c r="B20" s="76" t="s">
        <v>68</v>
      </c>
      <c r="C20" s="76" t="s">
        <v>69</v>
      </c>
      <c r="D20" s="76" t="s">
        <v>1</v>
      </c>
      <c r="E20" s="76" t="s">
        <v>272</v>
      </c>
      <c r="F20" s="76" t="s">
        <v>70</v>
      </c>
      <c r="G20" s="76" t="s">
        <v>71</v>
      </c>
      <c r="H20" s="76" t="s">
        <v>112</v>
      </c>
      <c r="I20" s="80" t="s">
        <v>292</v>
      </c>
    </row>
    <row r="21" spans="1:9" ht="15.6" x14ac:dyDescent="0.3">
      <c r="A21" s="74" t="s">
        <v>293</v>
      </c>
      <c r="B21" s="74" t="s">
        <v>51</v>
      </c>
      <c r="C21" s="74" t="s">
        <v>52</v>
      </c>
      <c r="D21" s="74" t="s">
        <v>1</v>
      </c>
      <c r="E21" s="74" t="s">
        <v>218</v>
      </c>
      <c r="F21" s="74" t="s">
        <v>28</v>
      </c>
      <c r="G21" s="74" t="s">
        <v>29</v>
      </c>
      <c r="H21" s="74" t="s">
        <v>30</v>
      </c>
      <c r="I21" s="75" t="s">
        <v>275</v>
      </c>
    </row>
    <row r="22" spans="1:9" ht="15.6" x14ac:dyDescent="0.3">
      <c r="A22" s="76" t="s">
        <v>293</v>
      </c>
      <c r="B22" s="76" t="s">
        <v>26</v>
      </c>
      <c r="C22" s="76" t="s">
        <v>57</v>
      </c>
      <c r="D22" s="76" t="s">
        <v>1</v>
      </c>
      <c r="E22" s="76" t="s">
        <v>294</v>
      </c>
      <c r="F22" s="76" t="s">
        <v>28</v>
      </c>
      <c r="G22" s="76" t="s">
        <v>29</v>
      </c>
      <c r="H22" s="76" t="s">
        <v>30</v>
      </c>
      <c r="I22" s="77" t="s">
        <v>276</v>
      </c>
    </row>
    <row r="23" spans="1:9" ht="15.6" x14ac:dyDescent="0.3">
      <c r="A23" s="76" t="s">
        <v>293</v>
      </c>
      <c r="B23" s="76" t="s">
        <v>76</v>
      </c>
      <c r="C23" s="76" t="s">
        <v>77</v>
      </c>
      <c r="D23" s="76" t="s">
        <v>1</v>
      </c>
      <c r="E23" s="76" t="s">
        <v>295</v>
      </c>
      <c r="F23" s="76" t="s">
        <v>81</v>
      </c>
      <c r="G23" s="76" t="s">
        <v>79</v>
      </c>
      <c r="H23" s="76" t="s">
        <v>118</v>
      </c>
      <c r="I23" s="78" t="s">
        <v>296</v>
      </c>
    </row>
    <row r="24" spans="1:9" ht="15.6" x14ac:dyDescent="0.3">
      <c r="A24" s="76" t="s">
        <v>293</v>
      </c>
      <c r="B24" s="76" t="s">
        <v>40</v>
      </c>
      <c r="C24" s="76" t="s">
        <v>41</v>
      </c>
      <c r="D24" s="76" t="s">
        <v>1</v>
      </c>
      <c r="E24" s="76" t="s">
        <v>297</v>
      </c>
      <c r="F24" s="76" t="s">
        <v>38</v>
      </c>
      <c r="G24" s="76" t="s">
        <v>79</v>
      </c>
      <c r="H24" s="76" t="s">
        <v>47</v>
      </c>
      <c r="I24" s="78" t="s">
        <v>277</v>
      </c>
    </row>
    <row r="25" spans="1:9" ht="15.6" x14ac:dyDescent="0.3">
      <c r="A25" s="76" t="s">
        <v>293</v>
      </c>
      <c r="B25" s="76" t="s">
        <v>58</v>
      </c>
      <c r="C25" s="76" t="s">
        <v>66</v>
      </c>
      <c r="D25" s="76" t="s">
        <v>1</v>
      </c>
      <c r="E25" s="76" t="s">
        <v>298</v>
      </c>
      <c r="F25" s="76" t="s">
        <v>64</v>
      </c>
      <c r="G25" s="76" t="s">
        <v>29</v>
      </c>
      <c r="H25" s="76" t="s">
        <v>104</v>
      </c>
      <c r="I25" s="80" t="s">
        <v>299</v>
      </c>
    </row>
    <row r="26" spans="1:9" ht="15.6" x14ac:dyDescent="0.3">
      <c r="A26" s="76" t="s">
        <v>293</v>
      </c>
      <c r="B26" s="76" t="s">
        <v>40</v>
      </c>
      <c r="C26" s="76" t="s">
        <v>48</v>
      </c>
      <c r="D26" s="76" t="s">
        <v>1</v>
      </c>
      <c r="E26" s="76" t="s">
        <v>290</v>
      </c>
      <c r="F26" s="76" t="s">
        <v>38</v>
      </c>
      <c r="G26" s="76" t="s">
        <v>71</v>
      </c>
      <c r="H26" s="76" t="s">
        <v>116</v>
      </c>
      <c r="I26" s="78" t="s">
        <v>300</v>
      </c>
    </row>
    <row r="27" spans="1:9" ht="15.6" x14ac:dyDescent="0.3">
      <c r="A27" s="76" t="s">
        <v>293</v>
      </c>
      <c r="B27" s="76" t="s">
        <v>68</v>
      </c>
      <c r="C27" s="76" t="s">
        <v>69</v>
      </c>
      <c r="D27" s="76" t="s">
        <v>1</v>
      </c>
      <c r="E27" s="76" t="s">
        <v>272</v>
      </c>
      <c r="F27" s="76" t="s">
        <v>70</v>
      </c>
      <c r="G27" s="76" t="s">
        <v>71</v>
      </c>
      <c r="H27" s="76" t="s">
        <v>122</v>
      </c>
      <c r="I27" s="79" t="s">
        <v>301</v>
      </c>
    </row>
    <row r="28" spans="1:9" ht="15.6" x14ac:dyDescent="0.3">
      <c r="A28" s="76" t="s">
        <v>302</v>
      </c>
      <c r="B28" s="76" t="s">
        <v>73</v>
      </c>
      <c r="C28" s="76" t="s">
        <v>125</v>
      </c>
      <c r="D28" s="76" t="s">
        <v>1</v>
      </c>
      <c r="E28" s="76" t="s">
        <v>303</v>
      </c>
      <c r="F28" s="76" t="s">
        <v>28</v>
      </c>
      <c r="G28" s="76" t="s">
        <v>29</v>
      </c>
      <c r="H28" s="76" t="s">
        <v>75</v>
      </c>
      <c r="I28" s="79" t="s">
        <v>283</v>
      </c>
    </row>
    <row r="29" spans="1:9" ht="15.6" x14ac:dyDescent="0.3">
      <c r="A29" s="76" t="s">
        <v>302</v>
      </c>
      <c r="B29" s="76" t="s">
        <v>40</v>
      </c>
      <c r="C29" s="76" t="s">
        <v>48</v>
      </c>
      <c r="D29" s="76" t="s">
        <v>1</v>
      </c>
      <c r="E29" s="76" t="s">
        <v>290</v>
      </c>
      <c r="F29" s="76" t="s">
        <v>38</v>
      </c>
      <c r="G29" s="76" t="s">
        <v>34</v>
      </c>
      <c r="H29" s="76" t="s">
        <v>47</v>
      </c>
      <c r="I29" s="78" t="s">
        <v>277</v>
      </c>
    </row>
    <row r="30" spans="1:9" ht="15.6" x14ac:dyDescent="0.3">
      <c r="A30" s="76" t="s">
        <v>302</v>
      </c>
      <c r="B30" s="76" t="s">
        <v>68</v>
      </c>
      <c r="C30" s="76" t="s">
        <v>69</v>
      </c>
      <c r="D30" s="76" t="s">
        <v>1</v>
      </c>
      <c r="E30" s="76" t="s">
        <v>272</v>
      </c>
      <c r="F30" s="76" t="s">
        <v>70</v>
      </c>
      <c r="G30" s="76" t="s">
        <v>71</v>
      </c>
      <c r="H30" s="76" t="s">
        <v>122</v>
      </c>
      <c r="I30" s="79" t="s">
        <v>301</v>
      </c>
    </row>
    <row r="31" spans="1:9" ht="15.6" x14ac:dyDescent="0.3">
      <c r="A31" s="74" t="s">
        <v>304</v>
      </c>
      <c r="B31" s="74" t="s">
        <v>51</v>
      </c>
      <c r="C31" s="74" t="s">
        <v>52</v>
      </c>
      <c r="D31" s="74" t="s">
        <v>1</v>
      </c>
      <c r="E31" s="74" t="s">
        <v>206</v>
      </c>
      <c r="F31" s="74" t="s">
        <v>28</v>
      </c>
      <c r="G31" s="74" t="s">
        <v>29</v>
      </c>
      <c r="H31" s="74" t="s">
        <v>30</v>
      </c>
      <c r="I31" s="75" t="s">
        <v>275</v>
      </c>
    </row>
    <row r="32" spans="1:9" ht="15.6" x14ac:dyDescent="0.3">
      <c r="A32" s="76" t="s">
        <v>304</v>
      </c>
      <c r="B32" s="76" t="s">
        <v>26</v>
      </c>
      <c r="C32" s="76" t="s">
        <v>57</v>
      </c>
      <c r="D32" s="76" t="s">
        <v>1</v>
      </c>
      <c r="E32" s="76" t="s">
        <v>270</v>
      </c>
      <c r="F32" s="76" t="s">
        <v>28</v>
      </c>
      <c r="G32" s="76" t="s">
        <v>29</v>
      </c>
      <c r="H32" s="76" t="s">
        <v>30</v>
      </c>
      <c r="I32" s="77" t="s">
        <v>276</v>
      </c>
    </row>
    <row r="33" spans="1:9" ht="15.6" x14ac:dyDescent="0.3">
      <c r="A33" s="76" t="s">
        <v>304</v>
      </c>
      <c r="B33" s="76" t="s">
        <v>40</v>
      </c>
      <c r="C33" s="76" t="s">
        <v>48</v>
      </c>
      <c r="D33" s="76" t="s">
        <v>1</v>
      </c>
      <c r="E33" s="76" t="s">
        <v>290</v>
      </c>
      <c r="F33" s="76" t="s">
        <v>38</v>
      </c>
      <c r="G33" s="76" t="s">
        <v>53</v>
      </c>
      <c r="H33" s="76" t="s">
        <v>47</v>
      </c>
      <c r="I33" s="78" t="s">
        <v>277</v>
      </c>
    </row>
    <row r="34" spans="1:9" ht="15.6" x14ac:dyDescent="0.3">
      <c r="A34" s="76" t="s">
        <v>304</v>
      </c>
      <c r="B34" s="76" t="s">
        <v>40</v>
      </c>
      <c r="C34" s="76" t="s">
        <v>41</v>
      </c>
      <c r="D34" s="76" t="s">
        <v>1</v>
      </c>
      <c r="E34" s="76" t="s">
        <v>297</v>
      </c>
      <c r="F34" s="76" t="s">
        <v>38</v>
      </c>
      <c r="G34" s="76" t="s">
        <v>79</v>
      </c>
      <c r="H34" s="76" t="s">
        <v>47</v>
      </c>
      <c r="I34" s="78" t="s">
        <v>277</v>
      </c>
    </row>
    <row r="35" spans="1:9" ht="15.6" x14ac:dyDescent="0.3">
      <c r="A35" s="76" t="s">
        <v>304</v>
      </c>
      <c r="B35" s="76" t="s">
        <v>58</v>
      </c>
      <c r="C35" s="76" t="s">
        <v>66</v>
      </c>
      <c r="D35" s="76" t="s">
        <v>1</v>
      </c>
      <c r="E35" s="76" t="s">
        <v>298</v>
      </c>
      <c r="F35" s="76" t="s">
        <v>64</v>
      </c>
      <c r="G35" s="76" t="s">
        <v>29</v>
      </c>
      <c r="H35" s="76" t="s">
        <v>104</v>
      </c>
      <c r="I35" s="80" t="s">
        <v>299</v>
      </c>
    </row>
    <row r="36" spans="1:9" ht="15.6" x14ac:dyDescent="0.3">
      <c r="A36" s="76" t="s">
        <v>304</v>
      </c>
      <c r="B36" s="76" t="s">
        <v>31</v>
      </c>
      <c r="C36" s="76" t="s">
        <v>32</v>
      </c>
      <c r="D36" s="76" t="s">
        <v>1</v>
      </c>
      <c r="E36" s="76" t="s">
        <v>272</v>
      </c>
      <c r="F36" s="76" t="s">
        <v>38</v>
      </c>
      <c r="G36" s="76" t="s">
        <v>102</v>
      </c>
      <c r="H36" s="76" t="s">
        <v>86</v>
      </c>
      <c r="I36" s="79" t="s">
        <v>288</v>
      </c>
    </row>
    <row r="37" spans="1:9" ht="15.6" x14ac:dyDescent="0.3">
      <c r="A37" s="76" t="s">
        <v>304</v>
      </c>
      <c r="B37" s="76" t="s">
        <v>68</v>
      </c>
      <c r="C37" s="76" t="s">
        <v>69</v>
      </c>
      <c r="D37" s="76" t="s">
        <v>1</v>
      </c>
      <c r="E37" s="76" t="s">
        <v>272</v>
      </c>
      <c r="F37" s="76" t="s">
        <v>70</v>
      </c>
      <c r="G37" s="76" t="s">
        <v>71</v>
      </c>
      <c r="H37" s="76" t="s">
        <v>122</v>
      </c>
      <c r="I37" s="79" t="s">
        <v>301</v>
      </c>
    </row>
    <row r="38" spans="1:9" ht="15.6" x14ac:dyDescent="0.3">
      <c r="A38" s="74" t="s">
        <v>305</v>
      </c>
      <c r="B38" s="74" t="s">
        <v>51</v>
      </c>
      <c r="C38" s="74" t="s">
        <v>52</v>
      </c>
      <c r="D38" s="74" t="s">
        <v>1</v>
      </c>
      <c r="E38" s="74" t="s">
        <v>218</v>
      </c>
      <c r="F38" s="74" t="s">
        <v>28</v>
      </c>
      <c r="G38" s="74" t="s">
        <v>29</v>
      </c>
      <c r="H38" s="74" t="s">
        <v>30</v>
      </c>
      <c r="I38" s="75" t="s">
        <v>275</v>
      </c>
    </row>
    <row r="39" spans="1:9" ht="15.6" x14ac:dyDescent="0.3">
      <c r="A39" s="76" t="s">
        <v>305</v>
      </c>
      <c r="B39" s="76" t="s">
        <v>73</v>
      </c>
      <c r="C39" s="76" t="s">
        <v>74</v>
      </c>
      <c r="D39" s="76" t="s">
        <v>1</v>
      </c>
      <c r="E39" s="76" t="s">
        <v>285</v>
      </c>
      <c r="F39" s="76" t="s">
        <v>28</v>
      </c>
      <c r="G39" s="76" t="s">
        <v>71</v>
      </c>
      <c r="H39" s="76" t="s">
        <v>75</v>
      </c>
      <c r="I39" s="79" t="s">
        <v>283</v>
      </c>
    </row>
    <row r="40" spans="1:9" ht="15.6" x14ac:dyDescent="0.3">
      <c r="A40" s="76" t="s">
        <v>305</v>
      </c>
      <c r="B40" s="76" t="s">
        <v>26</v>
      </c>
      <c r="C40" s="76" t="s">
        <v>57</v>
      </c>
      <c r="D40" s="76" t="s">
        <v>1</v>
      </c>
      <c r="E40" s="76" t="s">
        <v>270</v>
      </c>
      <c r="F40" s="76" t="s">
        <v>28</v>
      </c>
      <c r="G40" s="76" t="s">
        <v>29</v>
      </c>
      <c r="H40" s="76" t="s">
        <v>49</v>
      </c>
      <c r="I40" s="80" t="s">
        <v>306</v>
      </c>
    </row>
    <row r="41" spans="1:9" ht="15.6" x14ac:dyDescent="0.3">
      <c r="A41" s="76" t="s">
        <v>305</v>
      </c>
      <c r="B41" s="76" t="s">
        <v>58</v>
      </c>
      <c r="C41" s="76" t="s">
        <v>63</v>
      </c>
      <c r="D41" s="76" t="s">
        <v>1</v>
      </c>
      <c r="E41" s="76" t="s">
        <v>307</v>
      </c>
      <c r="F41" s="76" t="s">
        <v>64</v>
      </c>
      <c r="G41" s="76" t="s">
        <v>29</v>
      </c>
      <c r="H41" s="76" t="s">
        <v>104</v>
      </c>
      <c r="I41" s="80" t="s">
        <v>299</v>
      </c>
    </row>
    <row r="42" spans="1:9" ht="15.6" x14ac:dyDescent="0.3">
      <c r="A42" s="76" t="s">
        <v>305</v>
      </c>
      <c r="B42" s="76" t="s">
        <v>58</v>
      </c>
      <c r="C42" s="76" t="s">
        <v>66</v>
      </c>
      <c r="D42" s="76" t="s">
        <v>1</v>
      </c>
      <c r="E42" s="76" t="s">
        <v>298</v>
      </c>
      <c r="F42" s="76" t="s">
        <v>64</v>
      </c>
      <c r="G42" s="76" t="s">
        <v>29</v>
      </c>
      <c r="H42" s="76" t="s">
        <v>104</v>
      </c>
      <c r="I42" s="80" t="s">
        <v>299</v>
      </c>
    </row>
    <row r="43" spans="1:9" ht="15.6" x14ac:dyDescent="0.3">
      <c r="A43" s="76" t="s">
        <v>305</v>
      </c>
      <c r="B43" s="76" t="s">
        <v>40</v>
      </c>
      <c r="C43" s="76" t="s">
        <v>41</v>
      </c>
      <c r="D43" s="76" t="s">
        <v>1</v>
      </c>
      <c r="E43" s="76" t="s">
        <v>297</v>
      </c>
      <c r="F43" s="76" t="s">
        <v>38</v>
      </c>
      <c r="G43" s="76" t="s">
        <v>61</v>
      </c>
      <c r="H43" s="76" t="s">
        <v>135</v>
      </c>
      <c r="I43" s="78" t="s">
        <v>308</v>
      </c>
    </row>
    <row r="44" spans="1:9" ht="15.6" x14ac:dyDescent="0.3">
      <c r="A44" s="76" t="s">
        <v>305</v>
      </c>
      <c r="B44" s="76" t="s">
        <v>40</v>
      </c>
      <c r="C44" s="76" t="s">
        <v>48</v>
      </c>
      <c r="D44" s="76" t="s">
        <v>1</v>
      </c>
      <c r="E44" s="76" t="s">
        <v>290</v>
      </c>
      <c r="F44" s="76" t="s">
        <v>38</v>
      </c>
      <c r="G44" s="76" t="s">
        <v>136</v>
      </c>
      <c r="H44" s="76" t="s">
        <v>139</v>
      </c>
      <c r="I44" s="78" t="s">
        <v>309</v>
      </c>
    </row>
    <row r="45" spans="1:9" ht="15.6" x14ac:dyDescent="0.3">
      <c r="A45" s="76" t="s">
        <v>305</v>
      </c>
      <c r="B45" s="76" t="s">
        <v>31</v>
      </c>
      <c r="C45" s="76" t="s">
        <v>32</v>
      </c>
      <c r="D45" s="76" t="s">
        <v>1</v>
      </c>
      <c r="E45" s="76" t="s">
        <v>272</v>
      </c>
      <c r="F45" s="76" t="s">
        <v>38</v>
      </c>
      <c r="G45" s="76" t="s">
        <v>132</v>
      </c>
      <c r="H45" s="76" t="s">
        <v>86</v>
      </c>
      <c r="I45" s="79" t="s">
        <v>288</v>
      </c>
    </row>
    <row r="46" spans="1:9" ht="15.6" x14ac:dyDescent="0.3">
      <c r="A46" s="76" t="s">
        <v>305</v>
      </c>
      <c r="B46" s="76" t="s">
        <v>68</v>
      </c>
      <c r="C46" s="76" t="s">
        <v>69</v>
      </c>
      <c r="D46" s="76" t="s">
        <v>1</v>
      </c>
      <c r="E46" s="76" t="s">
        <v>272</v>
      </c>
      <c r="F46" s="76" t="s">
        <v>70</v>
      </c>
      <c r="G46" s="76" t="s">
        <v>71</v>
      </c>
      <c r="H46" s="76" t="s">
        <v>112</v>
      </c>
      <c r="I46" s="80" t="s">
        <v>292</v>
      </c>
    </row>
    <row r="47" spans="1:9" ht="15.6" x14ac:dyDescent="0.3">
      <c r="A47" s="74" t="s">
        <v>310</v>
      </c>
      <c r="B47" s="74" t="s">
        <v>51</v>
      </c>
      <c r="C47" s="74" t="s">
        <v>52</v>
      </c>
      <c r="D47" s="74" t="s">
        <v>1</v>
      </c>
      <c r="E47" s="74" t="s">
        <v>226</v>
      </c>
      <c r="F47" s="74" t="s">
        <v>28</v>
      </c>
      <c r="G47" s="74" t="s">
        <v>136</v>
      </c>
      <c r="H47" s="74" t="s">
        <v>141</v>
      </c>
      <c r="I47" s="75" t="s">
        <v>275</v>
      </c>
    </row>
    <row r="48" spans="1:9" ht="15.6" x14ac:dyDescent="0.3">
      <c r="A48" s="76" t="s">
        <v>310</v>
      </c>
      <c r="B48" s="76" t="s">
        <v>26</v>
      </c>
      <c r="C48" s="76" t="s">
        <v>27</v>
      </c>
      <c r="D48" s="76" t="s">
        <v>1</v>
      </c>
      <c r="E48" s="76" t="s">
        <v>270</v>
      </c>
      <c r="F48" s="76" t="s">
        <v>28</v>
      </c>
      <c r="G48" s="76" t="s">
        <v>29</v>
      </c>
      <c r="H48" s="76" t="s">
        <v>49</v>
      </c>
      <c r="I48" s="79" t="s">
        <v>311</v>
      </c>
    </row>
    <row r="49" spans="1:9" ht="15.6" x14ac:dyDescent="0.3">
      <c r="A49" s="76" t="s">
        <v>310</v>
      </c>
      <c r="B49" s="76" t="s">
        <v>40</v>
      </c>
      <c r="C49" s="76" t="s">
        <v>48</v>
      </c>
      <c r="D49" s="76" t="s">
        <v>1</v>
      </c>
      <c r="E49" s="76" t="s">
        <v>290</v>
      </c>
      <c r="F49" s="76" t="s">
        <v>38</v>
      </c>
      <c r="G49" s="76" t="s">
        <v>89</v>
      </c>
      <c r="H49" s="76" t="s">
        <v>47</v>
      </c>
      <c r="I49" s="78" t="s">
        <v>312</v>
      </c>
    </row>
    <row r="50" spans="1:9" ht="15.6" x14ac:dyDescent="0.3">
      <c r="A50" s="76" t="s">
        <v>310</v>
      </c>
      <c r="B50" s="76" t="s">
        <v>58</v>
      </c>
      <c r="C50" s="76" t="s">
        <v>66</v>
      </c>
      <c r="D50" s="76" t="s">
        <v>1</v>
      </c>
      <c r="E50" s="76" t="s">
        <v>298</v>
      </c>
      <c r="F50" s="76" t="s">
        <v>64</v>
      </c>
      <c r="G50" s="76" t="s">
        <v>29</v>
      </c>
      <c r="H50" s="76" t="s">
        <v>140</v>
      </c>
      <c r="I50" s="80" t="s">
        <v>313</v>
      </c>
    </row>
    <row r="51" spans="1:9" ht="15.6" x14ac:dyDescent="0.3">
      <c r="A51" s="76" t="s">
        <v>310</v>
      </c>
      <c r="B51" s="76" t="s">
        <v>68</v>
      </c>
      <c r="C51" s="76" t="s">
        <v>69</v>
      </c>
      <c r="D51" s="76" t="s">
        <v>1</v>
      </c>
      <c r="E51" s="76" t="s">
        <v>272</v>
      </c>
      <c r="F51" s="76" t="s">
        <v>70</v>
      </c>
      <c r="G51" s="76" t="s">
        <v>71</v>
      </c>
      <c r="H51" s="76" t="s">
        <v>112</v>
      </c>
      <c r="I51" s="79" t="s">
        <v>301</v>
      </c>
    </row>
    <row r="52" spans="1:9" ht="15.6" x14ac:dyDescent="0.3">
      <c r="A52" s="74" t="s">
        <v>314</v>
      </c>
      <c r="B52" s="74" t="s">
        <v>51</v>
      </c>
      <c r="C52" s="74" t="s">
        <v>52</v>
      </c>
      <c r="D52" s="74" t="s">
        <v>1</v>
      </c>
      <c r="E52" s="74" t="s">
        <v>218</v>
      </c>
      <c r="F52" s="74" t="s">
        <v>28</v>
      </c>
      <c r="G52" s="74" t="s">
        <v>29</v>
      </c>
      <c r="H52" s="74" t="s">
        <v>30</v>
      </c>
      <c r="I52" s="75" t="s">
        <v>275</v>
      </c>
    </row>
    <row r="53" spans="1:9" ht="15.6" x14ac:dyDescent="0.3">
      <c r="A53" s="76" t="s">
        <v>314</v>
      </c>
      <c r="B53" s="76" t="s">
        <v>26</v>
      </c>
      <c r="C53" s="76" t="s">
        <v>57</v>
      </c>
      <c r="D53" s="76" t="s">
        <v>1</v>
      </c>
      <c r="E53" s="76" t="s">
        <v>294</v>
      </c>
      <c r="F53" s="76" t="s">
        <v>28</v>
      </c>
      <c r="G53" s="76" t="s">
        <v>29</v>
      </c>
      <c r="H53" s="76" t="s">
        <v>30</v>
      </c>
      <c r="I53" s="77" t="s">
        <v>276</v>
      </c>
    </row>
    <row r="54" spans="1:9" ht="15.6" x14ac:dyDescent="0.3">
      <c r="A54" s="76" t="s">
        <v>314</v>
      </c>
      <c r="B54" s="76" t="s">
        <v>76</v>
      </c>
      <c r="C54" s="76" t="s">
        <v>77</v>
      </c>
      <c r="D54" s="76" t="s">
        <v>1</v>
      </c>
      <c r="E54" s="76" t="s">
        <v>295</v>
      </c>
      <c r="F54" s="76" t="s">
        <v>81</v>
      </c>
      <c r="G54" s="76" t="s">
        <v>79</v>
      </c>
      <c r="H54" s="76" t="s">
        <v>145</v>
      </c>
      <c r="I54" s="78" t="s">
        <v>315</v>
      </c>
    </row>
    <row r="55" spans="1:9" ht="15.6" x14ac:dyDescent="0.3">
      <c r="A55" s="76" t="s">
        <v>314</v>
      </c>
      <c r="B55" s="76" t="s">
        <v>40</v>
      </c>
      <c r="C55" s="76" t="s">
        <v>41</v>
      </c>
      <c r="D55" s="76" t="s">
        <v>1</v>
      </c>
      <c r="E55" s="76" t="s">
        <v>297</v>
      </c>
      <c r="F55" s="76" t="s">
        <v>38</v>
      </c>
      <c r="G55" s="76" t="s">
        <v>79</v>
      </c>
      <c r="H55" s="76" t="s">
        <v>47</v>
      </c>
      <c r="I55" s="78" t="s">
        <v>312</v>
      </c>
    </row>
    <row r="56" spans="1:9" ht="15.6" x14ac:dyDescent="0.3">
      <c r="A56" s="76" t="s">
        <v>314</v>
      </c>
      <c r="B56" s="76" t="s">
        <v>40</v>
      </c>
      <c r="C56" s="76" t="s">
        <v>48</v>
      </c>
      <c r="D56" s="76" t="s">
        <v>1</v>
      </c>
      <c r="E56" s="76" t="s">
        <v>290</v>
      </c>
      <c r="F56" s="76" t="s">
        <v>38</v>
      </c>
      <c r="G56" s="76" t="s">
        <v>120</v>
      </c>
      <c r="H56" s="76" t="s">
        <v>116</v>
      </c>
      <c r="I56" s="78" t="s">
        <v>300</v>
      </c>
    </row>
    <row r="57" spans="1:9" ht="15.6" x14ac:dyDescent="0.3">
      <c r="A57" s="76" t="s">
        <v>314</v>
      </c>
      <c r="B57" s="76" t="s">
        <v>31</v>
      </c>
      <c r="C57" s="76" t="s">
        <v>32</v>
      </c>
      <c r="D57" s="76" t="s">
        <v>1</v>
      </c>
      <c r="E57" s="76" t="s">
        <v>272</v>
      </c>
      <c r="F57" s="76" t="s">
        <v>38</v>
      </c>
      <c r="G57" s="76" t="s">
        <v>132</v>
      </c>
      <c r="H57" s="76" t="s">
        <v>86</v>
      </c>
      <c r="I57" s="79" t="s">
        <v>288</v>
      </c>
    </row>
    <row r="58" spans="1:9" ht="15.6" x14ac:dyDescent="0.3">
      <c r="A58" s="76" t="s">
        <v>314</v>
      </c>
      <c r="B58" s="76" t="s">
        <v>68</v>
      </c>
      <c r="C58" s="76" t="s">
        <v>69</v>
      </c>
      <c r="D58" s="76" t="s">
        <v>1</v>
      </c>
      <c r="E58" s="76" t="s">
        <v>272</v>
      </c>
      <c r="F58" s="76" t="s">
        <v>70</v>
      </c>
      <c r="G58" s="76" t="s">
        <v>71</v>
      </c>
      <c r="H58" s="76" t="s">
        <v>122</v>
      </c>
      <c r="I58" s="79" t="s">
        <v>301</v>
      </c>
    </row>
    <row r="59" spans="1:9" ht="15.6" x14ac:dyDescent="0.3">
      <c r="A59" s="76" t="s">
        <v>316</v>
      </c>
      <c r="B59" s="76" t="s">
        <v>73</v>
      </c>
      <c r="C59" s="76" t="s">
        <v>125</v>
      </c>
      <c r="D59" s="76" t="s">
        <v>1</v>
      </c>
      <c r="E59" s="76" t="s">
        <v>303</v>
      </c>
      <c r="F59" s="76" t="s">
        <v>28</v>
      </c>
      <c r="G59" s="76" t="s">
        <v>136</v>
      </c>
      <c r="H59" s="76" t="s">
        <v>75</v>
      </c>
      <c r="I59" s="79" t="s">
        <v>283</v>
      </c>
    </row>
    <row r="60" spans="1:9" ht="15.6" x14ac:dyDescent="0.3">
      <c r="A60" s="76" t="s">
        <v>316</v>
      </c>
      <c r="B60" s="76" t="s">
        <v>40</v>
      </c>
      <c r="C60" s="76" t="s">
        <v>48</v>
      </c>
      <c r="D60" s="76" t="s">
        <v>1</v>
      </c>
      <c r="E60" s="76" t="s">
        <v>317</v>
      </c>
      <c r="F60" s="76" t="s">
        <v>38</v>
      </c>
      <c r="G60" s="76" t="s">
        <v>89</v>
      </c>
      <c r="H60" s="76" t="s">
        <v>47</v>
      </c>
      <c r="I60" s="78" t="s">
        <v>277</v>
      </c>
    </row>
    <row r="61" spans="1:9" ht="15.6" x14ac:dyDescent="0.3">
      <c r="A61" s="76" t="s">
        <v>316</v>
      </c>
      <c r="B61" s="76" t="s">
        <v>31</v>
      </c>
      <c r="C61" s="76" t="s">
        <v>32</v>
      </c>
      <c r="D61" s="76" t="s">
        <v>1</v>
      </c>
      <c r="E61" s="76" t="s">
        <v>272</v>
      </c>
      <c r="F61" s="76" t="s">
        <v>38</v>
      </c>
      <c r="G61" s="76" t="s">
        <v>147</v>
      </c>
      <c r="H61" s="76" t="s">
        <v>86</v>
      </c>
      <c r="I61" s="79" t="s">
        <v>288</v>
      </c>
    </row>
    <row r="62" spans="1:9" ht="15.6" x14ac:dyDescent="0.3">
      <c r="A62" s="76" t="s">
        <v>316</v>
      </c>
      <c r="B62" s="76" t="s">
        <v>68</v>
      </c>
      <c r="C62" s="76" t="s">
        <v>69</v>
      </c>
      <c r="D62" s="76" t="s">
        <v>1</v>
      </c>
      <c r="E62" s="76" t="s">
        <v>272</v>
      </c>
      <c r="F62" s="76" t="s">
        <v>70</v>
      </c>
      <c r="G62" s="76" t="s">
        <v>71</v>
      </c>
      <c r="H62" s="76" t="s">
        <v>122</v>
      </c>
      <c r="I62" s="79" t="s">
        <v>301</v>
      </c>
    </row>
    <row r="63" spans="1:9" ht="15.6" x14ac:dyDescent="0.3">
      <c r="A63" s="74" t="s">
        <v>318</v>
      </c>
      <c r="B63" s="74" t="s">
        <v>51</v>
      </c>
      <c r="C63" s="74" t="s">
        <v>52</v>
      </c>
      <c r="D63" s="74" t="s">
        <v>1</v>
      </c>
      <c r="E63" s="74" t="s">
        <v>206</v>
      </c>
      <c r="F63" s="74" t="s">
        <v>28</v>
      </c>
      <c r="G63" s="74" t="s">
        <v>29</v>
      </c>
      <c r="H63" s="74" t="s">
        <v>30</v>
      </c>
      <c r="I63" s="75" t="s">
        <v>275</v>
      </c>
    </row>
    <row r="64" spans="1:9" ht="15.6" x14ac:dyDescent="0.3">
      <c r="A64" s="76" t="s">
        <v>318</v>
      </c>
      <c r="B64" s="76" t="s">
        <v>26</v>
      </c>
      <c r="C64" s="76" t="s">
        <v>57</v>
      </c>
      <c r="D64" s="76" t="s">
        <v>1</v>
      </c>
      <c r="E64" s="76" t="s">
        <v>270</v>
      </c>
      <c r="F64" s="76" t="s">
        <v>28</v>
      </c>
      <c r="G64" s="76" t="s">
        <v>29</v>
      </c>
      <c r="H64" s="76" t="s">
        <v>30</v>
      </c>
      <c r="I64" s="77" t="s">
        <v>276</v>
      </c>
    </row>
    <row r="65" spans="1:9" ht="15.6" x14ac:dyDescent="0.3">
      <c r="A65" s="76" t="s">
        <v>318</v>
      </c>
      <c r="B65" s="76" t="s">
        <v>40</v>
      </c>
      <c r="C65" s="76" t="s">
        <v>41</v>
      </c>
      <c r="D65" s="76" t="s">
        <v>1</v>
      </c>
      <c r="E65" s="76" t="s">
        <v>297</v>
      </c>
      <c r="F65" s="76" t="s">
        <v>38</v>
      </c>
      <c r="G65" s="76" t="s">
        <v>79</v>
      </c>
      <c r="H65" s="76" t="s">
        <v>47</v>
      </c>
      <c r="I65" s="78" t="s">
        <v>277</v>
      </c>
    </row>
    <row r="66" spans="1:9" ht="15.6" x14ac:dyDescent="0.3">
      <c r="A66" s="76" t="s">
        <v>318</v>
      </c>
      <c r="B66" s="76" t="s">
        <v>40</v>
      </c>
      <c r="C66" s="76" t="s">
        <v>48</v>
      </c>
      <c r="D66" s="76" t="s">
        <v>1</v>
      </c>
      <c r="E66" s="76" t="s">
        <v>290</v>
      </c>
      <c r="F66" s="76" t="s">
        <v>38</v>
      </c>
      <c r="G66" s="76" t="s">
        <v>43</v>
      </c>
      <c r="H66" s="76" t="s">
        <v>116</v>
      </c>
      <c r="I66" s="78" t="s">
        <v>300</v>
      </c>
    </row>
    <row r="67" spans="1:9" ht="15.6" x14ac:dyDescent="0.3">
      <c r="A67" s="76" t="s">
        <v>318</v>
      </c>
      <c r="B67" s="76" t="s">
        <v>31</v>
      </c>
      <c r="C67" s="76" t="s">
        <v>32</v>
      </c>
      <c r="D67" s="76" t="s">
        <v>1</v>
      </c>
      <c r="E67" s="76" t="s">
        <v>272</v>
      </c>
      <c r="F67" s="76" t="s">
        <v>38</v>
      </c>
      <c r="G67" s="76" t="s">
        <v>147</v>
      </c>
      <c r="H67" s="76" t="s">
        <v>86</v>
      </c>
      <c r="I67" s="79" t="s">
        <v>288</v>
      </c>
    </row>
    <row r="68" spans="1:9" ht="15.6" x14ac:dyDescent="0.3">
      <c r="A68" s="76" t="s">
        <v>318</v>
      </c>
      <c r="B68" s="76" t="s">
        <v>68</v>
      </c>
      <c r="C68" s="76" t="s">
        <v>69</v>
      </c>
      <c r="D68" s="76" t="s">
        <v>1</v>
      </c>
      <c r="E68" s="76" t="s">
        <v>272</v>
      </c>
      <c r="F68" s="76" t="s">
        <v>70</v>
      </c>
      <c r="G68" s="76" t="s">
        <v>71</v>
      </c>
      <c r="H68" s="76" t="s">
        <v>122</v>
      </c>
      <c r="I68" s="79" t="s">
        <v>301</v>
      </c>
    </row>
    <row r="69" spans="1:9" ht="15.6" x14ac:dyDescent="0.3">
      <c r="A69" s="76" t="s">
        <v>319</v>
      </c>
      <c r="B69" s="76" t="s">
        <v>73</v>
      </c>
      <c r="C69" s="76" t="s">
        <v>74</v>
      </c>
      <c r="D69" s="76" t="s">
        <v>1</v>
      </c>
      <c r="E69" s="76" t="s">
        <v>282</v>
      </c>
      <c r="F69" s="76" t="s">
        <v>28</v>
      </c>
      <c r="G69" s="76" t="s">
        <v>61</v>
      </c>
      <c r="H69" s="76" t="s">
        <v>75</v>
      </c>
      <c r="I69" s="79" t="s">
        <v>283</v>
      </c>
    </row>
    <row r="70" spans="1:9" ht="15.6" x14ac:dyDescent="0.3">
      <c r="A70" s="74" t="s">
        <v>320</v>
      </c>
      <c r="B70" s="74" t="s">
        <v>51</v>
      </c>
      <c r="C70" s="74" t="s">
        <v>52</v>
      </c>
      <c r="D70" s="74" t="s">
        <v>1</v>
      </c>
      <c r="E70" s="74" t="s">
        <v>218</v>
      </c>
      <c r="F70" s="74" t="s">
        <v>28</v>
      </c>
      <c r="G70" s="74" t="s">
        <v>29</v>
      </c>
      <c r="H70" s="74" t="s">
        <v>141</v>
      </c>
      <c r="I70" s="75" t="s">
        <v>275</v>
      </c>
    </row>
    <row r="71" spans="1:9" ht="15.6" x14ac:dyDescent="0.3">
      <c r="A71" s="76" t="s">
        <v>320</v>
      </c>
      <c r="B71" s="76" t="s">
        <v>73</v>
      </c>
      <c r="C71" s="76" t="s">
        <v>74</v>
      </c>
      <c r="D71" s="76" t="s">
        <v>1</v>
      </c>
      <c r="E71" s="76" t="s">
        <v>321</v>
      </c>
      <c r="F71" s="76" t="s">
        <v>28</v>
      </c>
      <c r="G71" s="76" t="s">
        <v>34</v>
      </c>
      <c r="H71" s="76" t="s">
        <v>153</v>
      </c>
      <c r="I71" s="79" t="s">
        <v>322</v>
      </c>
    </row>
    <row r="72" spans="1:9" ht="15.6" x14ac:dyDescent="0.3">
      <c r="A72" s="76" t="s">
        <v>320</v>
      </c>
      <c r="B72" s="76" t="s">
        <v>26</v>
      </c>
      <c r="C72" s="76" t="s">
        <v>57</v>
      </c>
      <c r="D72" s="76" t="s">
        <v>1</v>
      </c>
      <c r="E72" s="76" t="s">
        <v>270</v>
      </c>
      <c r="F72" s="76" t="s">
        <v>28</v>
      </c>
      <c r="G72" s="76" t="s">
        <v>29</v>
      </c>
      <c r="H72" s="76" t="s">
        <v>49</v>
      </c>
      <c r="I72" s="79" t="s">
        <v>311</v>
      </c>
    </row>
    <row r="73" spans="1:9" ht="15.6" x14ac:dyDescent="0.3">
      <c r="A73" s="76" t="s">
        <v>320</v>
      </c>
      <c r="B73" s="76" t="s">
        <v>40</v>
      </c>
      <c r="C73" s="76" t="s">
        <v>41</v>
      </c>
      <c r="D73" s="76" t="s">
        <v>1</v>
      </c>
      <c r="E73" s="76" t="s">
        <v>297</v>
      </c>
      <c r="F73" s="76" t="s">
        <v>38</v>
      </c>
      <c r="G73" s="76" t="s">
        <v>79</v>
      </c>
      <c r="H73" s="76" t="s">
        <v>47</v>
      </c>
      <c r="I73" s="78" t="s">
        <v>312</v>
      </c>
    </row>
    <row r="74" spans="1:9" ht="15.6" x14ac:dyDescent="0.3">
      <c r="A74" s="76" t="s">
        <v>320</v>
      </c>
      <c r="B74" s="76" t="s">
        <v>58</v>
      </c>
      <c r="C74" s="76" t="s">
        <v>66</v>
      </c>
      <c r="D74" s="76" t="s">
        <v>1</v>
      </c>
      <c r="E74" s="76" t="s">
        <v>298</v>
      </c>
      <c r="F74" s="76" t="s">
        <v>64</v>
      </c>
      <c r="G74" s="76" t="s">
        <v>29</v>
      </c>
      <c r="H74" s="76" t="s">
        <v>104</v>
      </c>
      <c r="I74" s="79" t="s">
        <v>323</v>
      </c>
    </row>
    <row r="75" spans="1:9" ht="15.6" x14ac:dyDescent="0.3">
      <c r="A75" s="76" t="s">
        <v>320</v>
      </c>
      <c r="B75" s="76" t="s">
        <v>58</v>
      </c>
      <c r="C75" s="76" t="s">
        <v>63</v>
      </c>
      <c r="D75" s="76" t="s">
        <v>1</v>
      </c>
      <c r="E75" s="76" t="s">
        <v>307</v>
      </c>
      <c r="F75" s="76" t="s">
        <v>64</v>
      </c>
      <c r="G75" s="76" t="s">
        <v>29</v>
      </c>
      <c r="H75" s="76" t="s">
        <v>110</v>
      </c>
      <c r="I75" s="80" t="s">
        <v>313</v>
      </c>
    </row>
    <row r="76" spans="1:9" ht="15.6" x14ac:dyDescent="0.3">
      <c r="A76" s="76" t="s">
        <v>320</v>
      </c>
      <c r="B76" s="76" t="s">
        <v>40</v>
      </c>
      <c r="C76" s="76" t="s">
        <v>48</v>
      </c>
      <c r="D76" s="76" t="s">
        <v>1</v>
      </c>
      <c r="E76" s="76" t="s">
        <v>290</v>
      </c>
      <c r="F76" s="76" t="s">
        <v>38</v>
      </c>
      <c r="G76" s="76" t="s">
        <v>34</v>
      </c>
      <c r="H76" s="76" t="s">
        <v>152</v>
      </c>
      <c r="I76" s="78" t="s">
        <v>309</v>
      </c>
    </row>
    <row r="77" spans="1:9" ht="15.6" x14ac:dyDescent="0.3">
      <c r="A77" s="76" t="s">
        <v>320</v>
      </c>
      <c r="B77" s="76" t="s">
        <v>31</v>
      </c>
      <c r="C77" s="76" t="s">
        <v>32</v>
      </c>
      <c r="D77" s="76" t="s">
        <v>1</v>
      </c>
      <c r="E77" s="76" t="s">
        <v>272</v>
      </c>
      <c r="F77" s="76" t="s">
        <v>38</v>
      </c>
      <c r="G77" s="76" t="s">
        <v>43</v>
      </c>
      <c r="H77" s="76" t="s">
        <v>86</v>
      </c>
      <c r="I77" s="78" t="s">
        <v>324</v>
      </c>
    </row>
    <row r="78" spans="1:9" ht="15.6" x14ac:dyDescent="0.3">
      <c r="A78" s="76" t="s">
        <v>320</v>
      </c>
      <c r="B78" s="76" t="s">
        <v>68</v>
      </c>
      <c r="C78" s="76" t="s">
        <v>69</v>
      </c>
      <c r="D78" s="76" t="s">
        <v>1</v>
      </c>
      <c r="E78" s="76" t="s">
        <v>272</v>
      </c>
      <c r="F78" s="76" t="s">
        <v>70</v>
      </c>
      <c r="G78" s="76" t="s">
        <v>71</v>
      </c>
      <c r="H78" s="76" t="s">
        <v>112</v>
      </c>
      <c r="I78" s="79" t="s">
        <v>301</v>
      </c>
    </row>
    <row r="79" spans="1:9" ht="15.6" x14ac:dyDescent="0.3">
      <c r="A79" s="74" t="s">
        <v>325</v>
      </c>
      <c r="B79" s="74" t="s">
        <v>51</v>
      </c>
      <c r="C79" s="74" t="s">
        <v>52</v>
      </c>
      <c r="D79" s="74" t="s">
        <v>1</v>
      </c>
      <c r="E79" s="74" t="s">
        <v>226</v>
      </c>
      <c r="F79" s="74" t="s">
        <v>28</v>
      </c>
      <c r="G79" s="74" t="s">
        <v>29</v>
      </c>
      <c r="H79" s="74" t="s">
        <v>30</v>
      </c>
      <c r="I79" s="75" t="s">
        <v>275</v>
      </c>
    </row>
    <row r="80" spans="1:9" ht="15.6" x14ac:dyDescent="0.3">
      <c r="A80" s="76" t="s">
        <v>325</v>
      </c>
      <c r="B80" s="76" t="s">
        <v>26</v>
      </c>
      <c r="C80" s="76" t="s">
        <v>27</v>
      </c>
      <c r="D80" s="76" t="s">
        <v>1</v>
      </c>
      <c r="E80" s="76" t="s">
        <v>270</v>
      </c>
      <c r="F80" s="76" t="s">
        <v>28</v>
      </c>
      <c r="G80" s="76" t="s">
        <v>29</v>
      </c>
      <c r="H80" s="76" t="s">
        <v>49</v>
      </c>
      <c r="I80" s="80" t="s">
        <v>306</v>
      </c>
    </row>
    <row r="81" spans="1:9" ht="15.6" x14ac:dyDescent="0.3">
      <c r="A81" s="76" t="s">
        <v>325</v>
      </c>
      <c r="B81" s="76" t="s">
        <v>40</v>
      </c>
      <c r="C81" s="76" t="s">
        <v>48</v>
      </c>
      <c r="D81" s="76" t="s">
        <v>1</v>
      </c>
      <c r="E81" s="76" t="s">
        <v>290</v>
      </c>
      <c r="F81" s="76" t="s">
        <v>38</v>
      </c>
      <c r="G81" s="76" t="s">
        <v>71</v>
      </c>
      <c r="H81" s="76" t="s">
        <v>47</v>
      </c>
      <c r="I81" s="78" t="s">
        <v>277</v>
      </c>
    </row>
    <row r="82" spans="1:9" ht="15.6" x14ac:dyDescent="0.3">
      <c r="A82" s="74" t="s">
        <v>326</v>
      </c>
      <c r="B82" s="74" t="s">
        <v>51</v>
      </c>
      <c r="C82" s="74" t="s">
        <v>52</v>
      </c>
      <c r="D82" s="74" t="s">
        <v>1</v>
      </c>
      <c r="E82" s="74" t="s">
        <v>218</v>
      </c>
      <c r="F82" s="74" t="s">
        <v>28</v>
      </c>
      <c r="G82" s="74" t="s">
        <v>43</v>
      </c>
      <c r="H82" s="74" t="s">
        <v>30</v>
      </c>
      <c r="I82" s="75" t="s">
        <v>275</v>
      </c>
    </row>
    <row r="83" spans="1:9" ht="15.6" x14ac:dyDescent="0.3">
      <c r="A83" s="76" t="s">
        <v>326</v>
      </c>
      <c r="B83" s="76" t="s">
        <v>76</v>
      </c>
      <c r="C83" s="76" t="s">
        <v>77</v>
      </c>
      <c r="D83" s="76" t="s">
        <v>1</v>
      </c>
      <c r="E83" s="76" t="s">
        <v>295</v>
      </c>
      <c r="F83" s="76" t="s">
        <v>81</v>
      </c>
      <c r="G83" s="76" t="s">
        <v>79</v>
      </c>
      <c r="H83" s="76" t="s">
        <v>118</v>
      </c>
      <c r="I83" s="78" t="s">
        <v>296</v>
      </c>
    </row>
    <row r="84" spans="1:9" ht="15.6" x14ac:dyDescent="0.3">
      <c r="A84" s="76" t="s">
        <v>326</v>
      </c>
      <c r="B84" s="76" t="s">
        <v>40</v>
      </c>
      <c r="C84" s="76" t="s">
        <v>48</v>
      </c>
      <c r="D84" s="76" t="s">
        <v>1</v>
      </c>
      <c r="E84" s="76" t="s">
        <v>290</v>
      </c>
      <c r="F84" s="76" t="s">
        <v>38</v>
      </c>
      <c r="G84" s="76" t="s">
        <v>79</v>
      </c>
      <c r="H84" s="76" t="s">
        <v>47</v>
      </c>
      <c r="I84" s="78" t="s">
        <v>277</v>
      </c>
    </row>
    <row r="85" spans="1:9" ht="15.6" x14ac:dyDescent="0.3">
      <c r="A85" s="76" t="s">
        <v>326</v>
      </c>
      <c r="B85" s="76" t="s">
        <v>40</v>
      </c>
      <c r="C85" s="76" t="s">
        <v>41</v>
      </c>
      <c r="D85" s="76" t="s">
        <v>1</v>
      </c>
      <c r="E85" s="76" t="s">
        <v>297</v>
      </c>
      <c r="F85" s="76" t="s">
        <v>38</v>
      </c>
      <c r="G85" s="76" t="s">
        <v>79</v>
      </c>
      <c r="H85" s="76" t="s">
        <v>47</v>
      </c>
      <c r="I85" s="78" t="s">
        <v>277</v>
      </c>
    </row>
    <row r="86" spans="1:9" ht="15.6" x14ac:dyDescent="0.3">
      <c r="A86" s="76" t="s">
        <v>326</v>
      </c>
      <c r="B86" s="76" t="s">
        <v>68</v>
      </c>
      <c r="C86" s="76" t="s">
        <v>69</v>
      </c>
      <c r="D86" s="76" t="s">
        <v>1</v>
      </c>
      <c r="E86" s="76" t="s">
        <v>272</v>
      </c>
      <c r="F86" s="76" t="s">
        <v>70</v>
      </c>
      <c r="G86" s="76" t="s">
        <v>71</v>
      </c>
      <c r="H86" s="76" t="s">
        <v>122</v>
      </c>
      <c r="I86" s="79" t="s">
        <v>301</v>
      </c>
    </row>
    <row r="87" spans="1:9" ht="15.6" x14ac:dyDescent="0.3">
      <c r="A87" s="76" t="s">
        <v>327</v>
      </c>
      <c r="B87" s="76" t="s">
        <v>40</v>
      </c>
      <c r="C87" s="76" t="s">
        <v>48</v>
      </c>
      <c r="D87" s="76" t="s">
        <v>1</v>
      </c>
      <c r="E87" s="76" t="s">
        <v>317</v>
      </c>
      <c r="F87" s="76" t="s">
        <v>38</v>
      </c>
      <c r="G87" s="76" t="s">
        <v>79</v>
      </c>
      <c r="H87" s="76" t="s">
        <v>47</v>
      </c>
      <c r="I87" s="78" t="s">
        <v>277</v>
      </c>
    </row>
    <row r="88" spans="1:9" ht="15.6" x14ac:dyDescent="0.3">
      <c r="A88" s="76" t="s">
        <v>327</v>
      </c>
      <c r="B88" s="76" t="s">
        <v>31</v>
      </c>
      <c r="C88" s="76" t="s">
        <v>32</v>
      </c>
      <c r="D88" s="76" t="s">
        <v>1</v>
      </c>
      <c r="E88" s="76" t="s">
        <v>272</v>
      </c>
      <c r="F88" s="76" t="s">
        <v>38</v>
      </c>
      <c r="G88" s="76" t="s">
        <v>83</v>
      </c>
      <c r="H88" s="76" t="s">
        <v>86</v>
      </c>
      <c r="I88" s="79" t="s">
        <v>288</v>
      </c>
    </row>
    <row r="89" spans="1:9" ht="15.6" x14ac:dyDescent="0.3">
      <c r="A89" s="76" t="s">
        <v>327</v>
      </c>
      <c r="B89" s="76" t="s">
        <v>68</v>
      </c>
      <c r="C89" s="76" t="s">
        <v>69</v>
      </c>
      <c r="D89" s="76" t="s">
        <v>1</v>
      </c>
      <c r="E89" s="76" t="s">
        <v>272</v>
      </c>
      <c r="F89" s="76" t="s">
        <v>70</v>
      </c>
      <c r="G89" s="76" t="s">
        <v>71</v>
      </c>
      <c r="H89" s="76" t="s">
        <v>122</v>
      </c>
      <c r="I89" s="79" t="s">
        <v>301</v>
      </c>
    </row>
    <row r="90" spans="1:9" ht="15.6" x14ac:dyDescent="0.3">
      <c r="A90" s="74" t="s">
        <v>328</v>
      </c>
      <c r="B90" s="74" t="s">
        <v>51</v>
      </c>
      <c r="C90" s="74" t="s">
        <v>52</v>
      </c>
      <c r="D90" s="74" t="s">
        <v>1</v>
      </c>
      <c r="E90" s="74" t="s">
        <v>206</v>
      </c>
      <c r="F90" s="74" t="s">
        <v>28</v>
      </c>
      <c r="G90" s="74" t="s">
        <v>29</v>
      </c>
      <c r="H90" s="74" t="s">
        <v>30</v>
      </c>
      <c r="I90" s="75" t="s">
        <v>275</v>
      </c>
    </row>
    <row r="91" spans="1:9" ht="15.6" x14ac:dyDescent="0.3">
      <c r="A91" s="76" t="s">
        <v>328</v>
      </c>
      <c r="B91" s="76" t="s">
        <v>26</v>
      </c>
      <c r="C91" s="76" t="s">
        <v>57</v>
      </c>
      <c r="D91" s="76" t="s">
        <v>1</v>
      </c>
      <c r="E91" s="76" t="s">
        <v>270</v>
      </c>
      <c r="F91" s="76" t="s">
        <v>28</v>
      </c>
      <c r="G91" s="76" t="s">
        <v>120</v>
      </c>
      <c r="H91" s="76" t="s">
        <v>49</v>
      </c>
      <c r="I91" s="80" t="s">
        <v>306</v>
      </c>
    </row>
    <row r="92" spans="1:9" ht="15.6" x14ac:dyDescent="0.3">
      <c r="A92" s="76" t="s">
        <v>328</v>
      </c>
      <c r="B92" s="76" t="s">
        <v>40</v>
      </c>
      <c r="C92" s="76" t="s">
        <v>48</v>
      </c>
      <c r="D92" s="76" t="s">
        <v>1</v>
      </c>
      <c r="E92" s="76" t="s">
        <v>290</v>
      </c>
      <c r="F92" s="76" t="s">
        <v>38</v>
      </c>
      <c r="G92" s="76" t="s">
        <v>79</v>
      </c>
      <c r="H92" s="76" t="s">
        <v>47</v>
      </c>
      <c r="I92" s="78" t="s">
        <v>277</v>
      </c>
    </row>
    <row r="93" spans="1:9" ht="15.6" x14ac:dyDescent="0.3">
      <c r="A93" s="76" t="s">
        <v>328</v>
      </c>
      <c r="B93" s="76" t="s">
        <v>40</v>
      </c>
      <c r="C93" s="76" t="s">
        <v>41</v>
      </c>
      <c r="D93" s="76" t="s">
        <v>1</v>
      </c>
      <c r="E93" s="76" t="s">
        <v>297</v>
      </c>
      <c r="F93" s="76" t="s">
        <v>38</v>
      </c>
      <c r="G93" s="76" t="s">
        <v>79</v>
      </c>
      <c r="H93" s="76" t="s">
        <v>116</v>
      </c>
      <c r="I93" s="78" t="s">
        <v>300</v>
      </c>
    </row>
    <row r="94" spans="1:9" ht="15.6" x14ac:dyDescent="0.3">
      <c r="A94" s="76" t="s">
        <v>328</v>
      </c>
      <c r="B94" s="76" t="s">
        <v>31</v>
      </c>
      <c r="C94" s="76" t="s">
        <v>32</v>
      </c>
      <c r="D94" s="76" t="s">
        <v>1</v>
      </c>
      <c r="E94" s="76" t="s">
        <v>272</v>
      </c>
      <c r="F94" s="76" t="s">
        <v>38</v>
      </c>
      <c r="G94" s="76" t="s">
        <v>147</v>
      </c>
      <c r="H94" s="76" t="s">
        <v>86</v>
      </c>
      <c r="I94" s="79" t="s">
        <v>288</v>
      </c>
    </row>
    <row r="95" spans="1:9" ht="15.6" x14ac:dyDescent="0.3">
      <c r="A95" s="76" t="s">
        <v>328</v>
      </c>
      <c r="B95" s="76" t="s">
        <v>68</v>
      </c>
      <c r="C95" s="76" t="s">
        <v>69</v>
      </c>
      <c r="D95" s="76" t="s">
        <v>1</v>
      </c>
      <c r="E95" s="76" t="s">
        <v>272</v>
      </c>
      <c r="F95" s="76" t="s">
        <v>70</v>
      </c>
      <c r="G95" s="76" t="s">
        <v>71</v>
      </c>
      <c r="H95" s="76" t="s">
        <v>122</v>
      </c>
      <c r="I95" s="79" t="s">
        <v>301</v>
      </c>
    </row>
    <row r="96" spans="1:9" ht="15.6" x14ac:dyDescent="0.3">
      <c r="A96" s="74" t="s">
        <v>329</v>
      </c>
      <c r="B96" s="74" t="s">
        <v>51</v>
      </c>
      <c r="C96" s="74" t="s">
        <v>52</v>
      </c>
      <c r="D96" s="74" t="s">
        <v>1</v>
      </c>
      <c r="E96" s="74" t="s">
        <v>218</v>
      </c>
      <c r="F96" s="74" t="s">
        <v>28</v>
      </c>
      <c r="G96" s="74" t="s">
        <v>29</v>
      </c>
      <c r="H96" s="74" t="s">
        <v>30</v>
      </c>
      <c r="I96" s="75" t="s">
        <v>275</v>
      </c>
    </row>
    <row r="97" spans="1:9" ht="15.6" x14ac:dyDescent="0.3">
      <c r="A97" s="76" t="s">
        <v>329</v>
      </c>
      <c r="B97" s="76" t="s">
        <v>58</v>
      </c>
      <c r="C97" s="76" t="s">
        <v>66</v>
      </c>
      <c r="D97" s="76" t="s">
        <v>1</v>
      </c>
      <c r="E97" s="76" t="s">
        <v>298</v>
      </c>
      <c r="F97" s="76" t="s">
        <v>64</v>
      </c>
      <c r="G97" s="76" t="s">
        <v>29</v>
      </c>
      <c r="H97" s="76" t="s">
        <v>166</v>
      </c>
      <c r="I97" s="80" t="s">
        <v>299</v>
      </c>
    </row>
    <row r="98" spans="1:9" ht="15.6" x14ac:dyDescent="0.3">
      <c r="A98" s="76" t="s">
        <v>329</v>
      </c>
      <c r="B98" s="76" t="s">
        <v>40</v>
      </c>
      <c r="C98" s="76" t="s">
        <v>41</v>
      </c>
      <c r="D98" s="76" t="s">
        <v>1</v>
      </c>
      <c r="E98" s="76" t="s">
        <v>297</v>
      </c>
      <c r="F98" s="76" t="s">
        <v>38</v>
      </c>
      <c r="G98" s="76" t="s">
        <v>71</v>
      </c>
      <c r="H98" s="76" t="s">
        <v>116</v>
      </c>
      <c r="I98" s="78" t="s">
        <v>300</v>
      </c>
    </row>
    <row r="99" spans="1:9" ht="15.6" x14ac:dyDescent="0.3">
      <c r="A99" s="76" t="s">
        <v>329</v>
      </c>
      <c r="B99" s="76" t="s">
        <v>40</v>
      </c>
      <c r="C99" s="76" t="s">
        <v>48</v>
      </c>
      <c r="D99" s="76" t="s">
        <v>1</v>
      </c>
      <c r="E99" s="76" t="s">
        <v>290</v>
      </c>
      <c r="F99" s="76" t="s">
        <v>38</v>
      </c>
      <c r="G99" s="76" t="s">
        <v>53</v>
      </c>
      <c r="H99" s="76" t="s">
        <v>50</v>
      </c>
      <c r="I99" s="78" t="s">
        <v>279</v>
      </c>
    </row>
    <row r="100" spans="1:9" ht="15.6" x14ac:dyDescent="0.3">
      <c r="A100" s="76" t="s">
        <v>329</v>
      </c>
      <c r="B100" s="76" t="s">
        <v>31</v>
      </c>
      <c r="C100" s="76" t="s">
        <v>32</v>
      </c>
      <c r="D100" s="76" t="s">
        <v>1</v>
      </c>
      <c r="E100" s="76" t="s">
        <v>272</v>
      </c>
      <c r="F100" s="76" t="s">
        <v>38</v>
      </c>
      <c r="G100" s="76" t="s">
        <v>158</v>
      </c>
      <c r="H100" s="76" t="s">
        <v>86</v>
      </c>
      <c r="I100" s="79" t="s">
        <v>288</v>
      </c>
    </row>
    <row r="101" spans="1:9" ht="15.6" x14ac:dyDescent="0.3">
      <c r="A101" s="76" t="s">
        <v>329</v>
      </c>
      <c r="B101" s="76" t="s">
        <v>68</v>
      </c>
      <c r="C101" s="76" t="s">
        <v>69</v>
      </c>
      <c r="D101" s="76" t="s">
        <v>1</v>
      </c>
      <c r="E101" s="76" t="s">
        <v>272</v>
      </c>
      <c r="F101" s="76" t="s">
        <v>70</v>
      </c>
      <c r="G101" s="76" t="s">
        <v>71</v>
      </c>
      <c r="H101" s="76" t="s">
        <v>72</v>
      </c>
      <c r="I101" s="79" t="s">
        <v>280</v>
      </c>
    </row>
    <row r="102" spans="1:9" ht="15.6" x14ac:dyDescent="0.3">
      <c r="A102" s="74" t="s">
        <v>330</v>
      </c>
      <c r="B102" s="74" t="s">
        <v>51</v>
      </c>
      <c r="C102" s="74" t="s">
        <v>52</v>
      </c>
      <c r="D102" s="74" t="s">
        <v>1</v>
      </c>
      <c r="E102" s="74" t="s">
        <v>226</v>
      </c>
      <c r="F102" s="74" t="s">
        <v>28</v>
      </c>
      <c r="G102" s="74" t="s">
        <v>29</v>
      </c>
      <c r="H102" s="74" t="s">
        <v>30</v>
      </c>
      <c r="I102" s="75" t="s">
        <v>275</v>
      </c>
    </row>
    <row r="103" spans="1:9" ht="15.6" x14ac:dyDescent="0.3">
      <c r="A103" s="76" t="s">
        <v>330</v>
      </c>
      <c r="B103" s="76" t="s">
        <v>40</v>
      </c>
      <c r="C103" s="76" t="s">
        <v>48</v>
      </c>
      <c r="D103" s="76" t="s">
        <v>1</v>
      </c>
      <c r="E103" s="76" t="s">
        <v>290</v>
      </c>
      <c r="F103" s="76" t="s">
        <v>38</v>
      </c>
      <c r="G103" s="76" t="s">
        <v>43</v>
      </c>
      <c r="H103" s="76" t="s">
        <v>47</v>
      </c>
      <c r="I103" s="78" t="s">
        <v>277</v>
      </c>
    </row>
    <row r="104" spans="1:9" ht="15.6" x14ac:dyDescent="0.3">
      <c r="A104" s="76" t="s">
        <v>330</v>
      </c>
      <c r="B104" s="76" t="s">
        <v>31</v>
      </c>
      <c r="C104" s="76" t="s">
        <v>32</v>
      </c>
      <c r="D104" s="76" t="s">
        <v>1</v>
      </c>
      <c r="E104" s="76" t="s">
        <v>272</v>
      </c>
      <c r="F104" s="76" t="s">
        <v>38</v>
      </c>
      <c r="G104" s="76" t="s">
        <v>126</v>
      </c>
      <c r="H104" s="76" t="s">
        <v>86</v>
      </c>
      <c r="I104" s="79" t="s">
        <v>288</v>
      </c>
    </row>
    <row r="105" spans="1:9" ht="15.6" x14ac:dyDescent="0.3">
      <c r="A105" s="76" t="s">
        <v>330</v>
      </c>
      <c r="B105" s="76" t="s">
        <v>68</v>
      </c>
      <c r="C105" s="76" t="s">
        <v>69</v>
      </c>
      <c r="D105" s="76" t="s">
        <v>1</v>
      </c>
      <c r="E105" s="76" t="s">
        <v>272</v>
      </c>
      <c r="F105" s="76" t="s">
        <v>70</v>
      </c>
      <c r="G105" s="76" t="s">
        <v>71</v>
      </c>
      <c r="H105" s="76" t="s">
        <v>122</v>
      </c>
      <c r="I105" s="79" t="s">
        <v>301</v>
      </c>
    </row>
    <row r="106" spans="1:9" ht="15.6" x14ac:dyDescent="0.3">
      <c r="A106" s="74" t="s">
        <v>331</v>
      </c>
      <c r="B106" s="74" t="s">
        <v>51</v>
      </c>
      <c r="C106" s="74" t="s">
        <v>52</v>
      </c>
      <c r="D106" s="74" t="s">
        <v>1</v>
      </c>
      <c r="E106" s="74" t="s">
        <v>218</v>
      </c>
      <c r="F106" s="74" t="s">
        <v>28</v>
      </c>
      <c r="G106" s="74" t="s">
        <v>29</v>
      </c>
      <c r="H106" s="74" t="s">
        <v>30</v>
      </c>
      <c r="I106" s="75" t="s">
        <v>275</v>
      </c>
    </row>
    <row r="107" spans="1:9" ht="15.6" x14ac:dyDescent="0.3">
      <c r="A107" s="76" t="s">
        <v>331</v>
      </c>
      <c r="B107" s="76" t="s">
        <v>40</v>
      </c>
      <c r="C107" s="76" t="s">
        <v>48</v>
      </c>
      <c r="D107" s="76" t="s">
        <v>1</v>
      </c>
      <c r="E107" s="76" t="s">
        <v>290</v>
      </c>
      <c r="F107" s="76" t="s">
        <v>38</v>
      </c>
      <c r="G107" s="76" t="s">
        <v>79</v>
      </c>
      <c r="H107" s="76" t="s">
        <v>47</v>
      </c>
      <c r="I107" s="78" t="s">
        <v>277</v>
      </c>
    </row>
    <row r="108" spans="1:9" ht="15.6" x14ac:dyDescent="0.3">
      <c r="A108" s="76" t="s">
        <v>331</v>
      </c>
      <c r="B108" s="76" t="s">
        <v>40</v>
      </c>
      <c r="C108" s="76" t="s">
        <v>41</v>
      </c>
      <c r="D108" s="76" t="s">
        <v>1</v>
      </c>
      <c r="E108" s="76" t="s">
        <v>297</v>
      </c>
      <c r="F108" s="76" t="s">
        <v>38</v>
      </c>
      <c r="G108" s="76" t="s">
        <v>79</v>
      </c>
      <c r="H108" s="76" t="s">
        <v>47</v>
      </c>
      <c r="I108" s="78" t="s">
        <v>277</v>
      </c>
    </row>
    <row r="109" spans="1:9" ht="15.6" x14ac:dyDescent="0.3">
      <c r="A109" s="76" t="s">
        <v>331</v>
      </c>
      <c r="B109" s="76" t="s">
        <v>76</v>
      </c>
      <c r="C109" s="76" t="s">
        <v>77</v>
      </c>
      <c r="D109" s="76" t="s">
        <v>1</v>
      </c>
      <c r="E109" s="76" t="s">
        <v>295</v>
      </c>
      <c r="F109" s="76" t="s">
        <v>81</v>
      </c>
      <c r="G109" s="76" t="s">
        <v>79</v>
      </c>
      <c r="H109" s="76" t="s">
        <v>171</v>
      </c>
      <c r="I109" s="78" t="s">
        <v>332</v>
      </c>
    </row>
    <row r="110" spans="1:9" ht="15.6" x14ac:dyDescent="0.3">
      <c r="A110" s="76" t="s">
        <v>331</v>
      </c>
      <c r="B110" s="76" t="s">
        <v>31</v>
      </c>
      <c r="C110" s="76" t="s">
        <v>32</v>
      </c>
      <c r="D110" s="76" t="s">
        <v>1</v>
      </c>
      <c r="E110" s="76" t="s">
        <v>272</v>
      </c>
      <c r="F110" s="76" t="s">
        <v>38</v>
      </c>
      <c r="G110" s="76" t="s">
        <v>170</v>
      </c>
      <c r="H110" s="76" t="s">
        <v>86</v>
      </c>
      <c r="I110" s="79" t="s">
        <v>288</v>
      </c>
    </row>
    <row r="111" spans="1:9" ht="15.6" x14ac:dyDescent="0.3">
      <c r="A111" s="76" t="s">
        <v>331</v>
      </c>
      <c r="B111" s="76" t="s">
        <v>68</v>
      </c>
      <c r="C111" s="76" t="s">
        <v>69</v>
      </c>
      <c r="D111" s="76" t="s">
        <v>1</v>
      </c>
      <c r="E111" s="76" t="s">
        <v>272</v>
      </c>
      <c r="F111" s="76" t="s">
        <v>70</v>
      </c>
      <c r="G111" s="76" t="s">
        <v>71</v>
      </c>
      <c r="H111" s="76" t="s">
        <v>122</v>
      </c>
      <c r="I111" s="79" t="s">
        <v>301</v>
      </c>
    </row>
    <row r="112" spans="1:9" ht="15.6" x14ac:dyDescent="0.3">
      <c r="A112" s="76" t="s">
        <v>333</v>
      </c>
      <c r="B112" s="76" t="s">
        <v>40</v>
      </c>
      <c r="C112" s="76" t="s">
        <v>48</v>
      </c>
      <c r="D112" s="76" t="s">
        <v>1</v>
      </c>
      <c r="E112" s="76" t="s">
        <v>317</v>
      </c>
      <c r="F112" s="76" t="s">
        <v>38</v>
      </c>
      <c r="G112" s="76" t="s">
        <v>43</v>
      </c>
      <c r="H112" s="76" t="s">
        <v>47</v>
      </c>
      <c r="I112" s="78" t="s">
        <v>277</v>
      </c>
    </row>
    <row r="113" spans="1:9" ht="15.6" x14ac:dyDescent="0.3">
      <c r="A113" s="76" t="s">
        <v>333</v>
      </c>
      <c r="B113" s="76" t="s">
        <v>31</v>
      </c>
      <c r="C113" s="76" t="s">
        <v>32</v>
      </c>
      <c r="D113" s="76" t="s">
        <v>1</v>
      </c>
      <c r="E113" s="76" t="s">
        <v>272</v>
      </c>
      <c r="F113" s="76" t="s">
        <v>38</v>
      </c>
      <c r="G113" s="76" t="s">
        <v>132</v>
      </c>
      <c r="H113" s="76" t="s">
        <v>86</v>
      </c>
      <c r="I113" s="79" t="s">
        <v>288</v>
      </c>
    </row>
    <row r="114" spans="1:9" ht="15.6" x14ac:dyDescent="0.3">
      <c r="A114" s="76" t="s">
        <v>333</v>
      </c>
      <c r="B114" s="76" t="s">
        <v>68</v>
      </c>
      <c r="C114" s="76" t="s">
        <v>69</v>
      </c>
      <c r="D114" s="76" t="s">
        <v>1</v>
      </c>
      <c r="E114" s="76" t="s">
        <v>272</v>
      </c>
      <c r="F114" s="76" t="s">
        <v>70</v>
      </c>
      <c r="G114" s="76" t="s">
        <v>71</v>
      </c>
      <c r="H114" s="76" t="s">
        <v>122</v>
      </c>
      <c r="I114" s="79" t="s">
        <v>301</v>
      </c>
    </row>
    <row r="115" spans="1:9" ht="15.6" x14ac:dyDescent="0.3">
      <c r="A115" s="74" t="s">
        <v>334</v>
      </c>
      <c r="B115" s="74" t="s">
        <v>51</v>
      </c>
      <c r="C115" s="74" t="s">
        <v>52</v>
      </c>
      <c r="D115" s="74" t="s">
        <v>1</v>
      </c>
      <c r="E115" s="74" t="s">
        <v>206</v>
      </c>
      <c r="F115" s="74" t="s">
        <v>28</v>
      </c>
      <c r="G115" s="74" t="s">
        <v>29</v>
      </c>
      <c r="H115" s="74" t="s">
        <v>30</v>
      </c>
      <c r="I115" s="75" t="s">
        <v>275</v>
      </c>
    </row>
    <row r="116" spans="1:9" ht="15.6" x14ac:dyDescent="0.3">
      <c r="A116" s="76" t="s">
        <v>334</v>
      </c>
      <c r="B116" s="76" t="s">
        <v>40</v>
      </c>
      <c r="C116" s="76" t="s">
        <v>41</v>
      </c>
      <c r="D116" s="76" t="s">
        <v>1</v>
      </c>
      <c r="E116" s="76" t="s">
        <v>297</v>
      </c>
      <c r="F116" s="76" t="s">
        <v>38</v>
      </c>
      <c r="G116" s="76" t="s">
        <v>71</v>
      </c>
      <c r="H116" s="76" t="s">
        <v>116</v>
      </c>
      <c r="I116" s="78" t="s">
        <v>300</v>
      </c>
    </row>
    <row r="117" spans="1:9" ht="15.6" x14ac:dyDescent="0.3">
      <c r="A117" s="76" t="s">
        <v>334</v>
      </c>
      <c r="B117" s="76" t="s">
        <v>40</v>
      </c>
      <c r="C117" s="76" t="s">
        <v>48</v>
      </c>
      <c r="D117" s="76" t="s">
        <v>1</v>
      </c>
      <c r="E117" s="76" t="s">
        <v>290</v>
      </c>
      <c r="F117" s="76" t="s">
        <v>38</v>
      </c>
      <c r="G117" s="76" t="s">
        <v>34</v>
      </c>
      <c r="H117" s="76" t="s">
        <v>109</v>
      </c>
      <c r="I117" s="78" t="s">
        <v>291</v>
      </c>
    </row>
    <row r="118" spans="1:9" ht="15.6" x14ac:dyDescent="0.3">
      <c r="A118" s="76" t="s">
        <v>334</v>
      </c>
      <c r="B118" s="76" t="s">
        <v>31</v>
      </c>
      <c r="C118" s="76" t="s">
        <v>32</v>
      </c>
      <c r="D118" s="76" t="s">
        <v>1</v>
      </c>
      <c r="E118" s="76" t="s">
        <v>272</v>
      </c>
      <c r="F118" s="76" t="s">
        <v>38</v>
      </c>
      <c r="G118" s="76" t="s">
        <v>123</v>
      </c>
      <c r="H118" s="76" t="s">
        <v>86</v>
      </c>
      <c r="I118" s="79" t="s">
        <v>288</v>
      </c>
    </row>
    <row r="119" spans="1:9" ht="15.6" x14ac:dyDescent="0.3">
      <c r="A119" s="76" t="s">
        <v>334</v>
      </c>
      <c r="B119" s="76" t="s">
        <v>68</v>
      </c>
      <c r="C119" s="76" t="s">
        <v>69</v>
      </c>
      <c r="D119" s="76" t="s">
        <v>1</v>
      </c>
      <c r="E119" s="76" t="s">
        <v>272</v>
      </c>
      <c r="F119" s="76" t="s">
        <v>70</v>
      </c>
      <c r="G119" s="76" t="s">
        <v>71</v>
      </c>
      <c r="H119" s="76" t="s">
        <v>122</v>
      </c>
      <c r="I119" s="79" t="s">
        <v>301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150"/>
  <sheetViews>
    <sheetView workbookViewId="0"/>
  </sheetViews>
  <sheetFormatPr defaultRowHeight="14.4" x14ac:dyDescent="0.3"/>
  <cols>
    <col min="1" max="1" width="15.777343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4.2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39.21875" bestFit="1" customWidth="1"/>
    <col min="19" max="92" width="8" customWidth="1"/>
  </cols>
  <sheetData>
    <row r="1" spans="1:92" ht="28.8" customHeight="1" x14ac:dyDescent="0.3">
      <c r="A1" s="190" t="s">
        <v>0</v>
      </c>
      <c r="B1" s="186"/>
      <c r="C1" s="186"/>
      <c r="D1" s="186"/>
      <c r="E1" s="186"/>
      <c r="F1" s="1" t="s">
        <v>335</v>
      </c>
      <c r="G1" s="1" t="s">
        <v>2</v>
      </c>
      <c r="H1" s="189">
        <v>45992</v>
      </c>
      <c r="I1" s="186"/>
      <c r="J1" s="186"/>
      <c r="K1" s="186"/>
      <c r="L1" s="186"/>
      <c r="M1" s="1" t="s">
        <v>3</v>
      </c>
      <c r="N1" s="193">
        <v>46022</v>
      </c>
      <c r="O1" s="186"/>
      <c r="P1" s="186"/>
      <c r="Q1" s="186"/>
      <c r="R1" s="186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91" t="s">
        <v>4</v>
      </c>
      <c r="B2" s="186"/>
      <c r="C2" s="186"/>
      <c r="D2" s="186"/>
      <c r="E2" s="186"/>
      <c r="F2" s="186"/>
      <c r="G2" s="192">
        <v>45992.956710115737</v>
      </c>
      <c r="H2" s="186"/>
      <c r="I2" s="186"/>
      <c r="J2" s="186"/>
      <c r="K2" s="185">
        <v>45992.956710115737</v>
      </c>
      <c r="L2" s="186"/>
      <c r="M2" s="186"/>
      <c r="N2" s="186"/>
      <c r="O2" s="186"/>
      <c r="P2" s="186"/>
      <c r="Q2" s="186"/>
      <c r="R2" s="18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88" t="s">
        <v>5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76" t="s">
        <v>6</v>
      </c>
      <c r="B4" s="177"/>
      <c r="C4" s="177"/>
      <c r="D4" s="177"/>
      <c r="E4" s="177"/>
      <c r="F4" s="178"/>
      <c r="G4" s="113">
        <v>45996</v>
      </c>
      <c r="H4" s="187" t="s">
        <v>7</v>
      </c>
      <c r="I4" s="177"/>
      <c r="J4" s="177"/>
      <c r="K4" s="177"/>
      <c r="L4" s="177"/>
      <c r="M4" s="177"/>
      <c r="N4" s="177"/>
      <c r="O4" s="177"/>
      <c r="P4" s="177"/>
      <c r="Q4" s="177"/>
      <c r="R4" s="17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4" t="s">
        <v>51</v>
      </c>
      <c r="B6" s="54" t="s">
        <v>336</v>
      </c>
      <c r="C6" s="140">
        <v>0.29166666666666669</v>
      </c>
      <c r="D6" s="54" t="s">
        <v>28</v>
      </c>
      <c r="E6" s="54" t="s">
        <v>29</v>
      </c>
      <c r="F6" s="54" t="s">
        <v>140</v>
      </c>
      <c r="G6" s="197"/>
      <c r="H6" s="81" t="s">
        <v>337</v>
      </c>
      <c r="I6" s="141">
        <v>0.46429999999999999</v>
      </c>
      <c r="J6" s="82">
        <v>78</v>
      </c>
      <c r="K6" s="83">
        <v>45992</v>
      </c>
      <c r="L6" s="82">
        <v>35</v>
      </c>
      <c r="M6" s="82">
        <v>9</v>
      </c>
      <c r="N6" s="82">
        <v>5</v>
      </c>
      <c r="O6" s="84" t="s">
        <v>338</v>
      </c>
      <c r="P6" s="142">
        <v>0.29166666666666669</v>
      </c>
      <c r="Q6" s="82">
        <v>168</v>
      </c>
      <c r="R6" s="85" t="s">
        <v>339</v>
      </c>
    </row>
    <row r="7" spans="1:92" ht="18" x14ac:dyDescent="0.3">
      <c r="A7" s="194" t="s">
        <v>340</v>
      </c>
      <c r="B7" s="195"/>
      <c r="C7" s="195"/>
      <c r="D7" s="195"/>
      <c r="E7" s="195"/>
      <c r="F7" s="196"/>
      <c r="G7" s="174"/>
      <c r="H7" s="86"/>
      <c r="I7" s="86"/>
      <c r="J7" s="86"/>
      <c r="K7" s="86"/>
      <c r="L7" s="86"/>
      <c r="M7" s="86"/>
      <c r="N7" s="86"/>
      <c r="O7" s="87"/>
      <c r="P7" s="86"/>
      <c r="Q7" s="88"/>
      <c r="R7" s="88"/>
    </row>
    <row r="8" spans="1:92" ht="15" customHeight="1" x14ac:dyDescent="0.3">
      <c r="A8" s="26" t="s">
        <v>31</v>
      </c>
      <c r="B8" s="26" t="s">
        <v>32</v>
      </c>
      <c r="C8" s="121" t="s">
        <v>272</v>
      </c>
      <c r="D8" s="26" t="s">
        <v>33</v>
      </c>
      <c r="E8" s="26" t="s">
        <v>102</v>
      </c>
      <c r="F8" s="26" t="s">
        <v>103</v>
      </c>
      <c r="G8" s="174"/>
      <c r="H8" s="86"/>
      <c r="I8" s="86"/>
      <c r="J8" s="86"/>
      <c r="K8" s="86"/>
      <c r="L8" s="86"/>
      <c r="M8" s="86"/>
      <c r="N8" s="86"/>
      <c r="O8" s="87"/>
      <c r="P8" s="86"/>
      <c r="Q8" s="88"/>
      <c r="R8" s="88"/>
    </row>
    <row r="9" spans="1:92" ht="15" customHeight="1" x14ac:dyDescent="0.3">
      <c r="A9" s="26" t="s">
        <v>31</v>
      </c>
      <c r="B9" s="26" t="s">
        <v>32</v>
      </c>
      <c r="C9" s="121" t="s">
        <v>272</v>
      </c>
      <c r="D9" s="26" t="s">
        <v>36</v>
      </c>
      <c r="E9" s="26" t="s">
        <v>102</v>
      </c>
      <c r="F9" s="26" t="s">
        <v>104</v>
      </c>
      <c r="G9" s="174"/>
      <c r="H9" s="86"/>
      <c r="I9" s="86"/>
      <c r="J9" s="86"/>
      <c r="K9" s="86"/>
      <c r="L9" s="86"/>
      <c r="M9" s="86"/>
      <c r="N9" s="86"/>
      <c r="O9" s="87"/>
      <c r="P9" s="86"/>
      <c r="Q9" s="88"/>
      <c r="R9" s="88"/>
    </row>
    <row r="10" spans="1:92" ht="15" customHeight="1" x14ac:dyDescent="0.3">
      <c r="A10" s="26" t="s">
        <v>31</v>
      </c>
      <c r="B10" s="26" t="s">
        <v>32</v>
      </c>
      <c r="C10" s="121" t="s">
        <v>272</v>
      </c>
      <c r="D10" s="26" t="s">
        <v>38</v>
      </c>
      <c r="E10" s="26" t="s">
        <v>102</v>
      </c>
      <c r="F10" s="26" t="s">
        <v>86</v>
      </c>
      <c r="G10" s="174"/>
      <c r="H10" s="86"/>
      <c r="I10" s="86"/>
      <c r="J10" s="86"/>
      <c r="K10" s="86"/>
      <c r="L10" s="86"/>
      <c r="M10" s="86"/>
      <c r="N10" s="86"/>
      <c r="O10" s="87"/>
      <c r="P10" s="86"/>
      <c r="Q10" s="88"/>
      <c r="R10" s="88"/>
    </row>
    <row r="11" spans="1:92" ht="15" customHeight="1" x14ac:dyDescent="0.3">
      <c r="A11" s="26" t="s">
        <v>40</v>
      </c>
      <c r="B11" s="26" t="s">
        <v>48</v>
      </c>
      <c r="C11" s="121" t="s">
        <v>290</v>
      </c>
      <c r="D11" s="26" t="s">
        <v>42</v>
      </c>
      <c r="E11" s="26" t="s">
        <v>89</v>
      </c>
      <c r="F11" s="26" t="s">
        <v>107</v>
      </c>
      <c r="G11" s="174"/>
      <c r="H11" s="86"/>
      <c r="I11" s="86"/>
      <c r="J11" s="86"/>
      <c r="K11" s="86"/>
      <c r="L11" s="86"/>
      <c r="M11" s="86"/>
      <c r="N11" s="86"/>
      <c r="O11" s="87"/>
      <c r="P11" s="86"/>
      <c r="Q11" s="88"/>
      <c r="R11" s="88"/>
    </row>
    <row r="12" spans="1:92" ht="15" customHeight="1" x14ac:dyDescent="0.3">
      <c r="A12" s="26" t="s">
        <v>40</v>
      </c>
      <c r="B12" s="26" t="s">
        <v>48</v>
      </c>
      <c r="C12" s="121" t="s">
        <v>290</v>
      </c>
      <c r="D12" s="26" t="s">
        <v>45</v>
      </c>
      <c r="E12" s="26" t="s">
        <v>89</v>
      </c>
      <c r="F12" s="26" t="s">
        <v>108</v>
      </c>
      <c r="G12" s="174"/>
      <c r="H12" s="86"/>
      <c r="I12" s="86"/>
      <c r="J12" s="86"/>
      <c r="K12" s="86"/>
      <c r="L12" s="86"/>
      <c r="M12" s="86"/>
      <c r="N12" s="86"/>
      <c r="O12" s="87"/>
      <c r="P12" s="86"/>
      <c r="Q12" s="88"/>
      <c r="R12" s="88"/>
    </row>
    <row r="13" spans="1:92" ht="15" customHeight="1" x14ac:dyDescent="0.3">
      <c r="A13" s="26" t="s">
        <v>40</v>
      </c>
      <c r="B13" s="26" t="s">
        <v>48</v>
      </c>
      <c r="C13" s="121" t="s">
        <v>290</v>
      </c>
      <c r="D13" s="26" t="s">
        <v>38</v>
      </c>
      <c r="E13" s="26" t="s">
        <v>89</v>
      </c>
      <c r="F13" s="26" t="s">
        <v>109</v>
      </c>
      <c r="G13" s="174"/>
      <c r="H13" s="86"/>
      <c r="I13" s="86"/>
      <c r="J13" s="86"/>
      <c r="K13" s="86"/>
      <c r="L13" s="86"/>
      <c r="M13" s="86"/>
      <c r="N13" s="86"/>
      <c r="O13" s="87"/>
      <c r="P13" s="86"/>
      <c r="Q13" s="88"/>
      <c r="R13" s="88"/>
    </row>
    <row r="14" spans="1:92" ht="15" customHeight="1" x14ac:dyDescent="0.3">
      <c r="A14" s="26" t="s">
        <v>58</v>
      </c>
      <c r="B14" s="26" t="s">
        <v>63</v>
      </c>
      <c r="C14" s="121" t="s">
        <v>307</v>
      </c>
      <c r="D14" s="26" t="s">
        <v>64</v>
      </c>
      <c r="E14" s="26" t="s">
        <v>29</v>
      </c>
      <c r="F14" s="26" t="s">
        <v>110</v>
      </c>
      <c r="G14" s="174"/>
      <c r="H14" s="86"/>
      <c r="I14" s="86"/>
      <c r="J14" s="86"/>
      <c r="K14" s="86"/>
      <c r="L14" s="86"/>
      <c r="M14" s="86"/>
      <c r="N14" s="86"/>
      <c r="O14" s="87"/>
      <c r="P14" s="86"/>
      <c r="Q14" s="88"/>
      <c r="R14" s="88"/>
    </row>
    <row r="15" spans="1:92" ht="15" customHeight="1" x14ac:dyDescent="0.3">
      <c r="A15" s="26" t="s">
        <v>58</v>
      </c>
      <c r="B15" s="26" t="s">
        <v>66</v>
      </c>
      <c r="C15" s="121" t="s">
        <v>298</v>
      </c>
      <c r="D15" s="26" t="s">
        <v>64</v>
      </c>
      <c r="E15" s="26" t="s">
        <v>29</v>
      </c>
      <c r="F15" s="26" t="s">
        <v>88</v>
      </c>
      <c r="G15" s="174"/>
      <c r="H15" s="86"/>
      <c r="I15" s="86"/>
      <c r="J15" s="86"/>
      <c r="K15" s="86"/>
      <c r="L15" s="86"/>
      <c r="M15" s="86"/>
      <c r="N15" s="86"/>
      <c r="O15" s="87"/>
      <c r="P15" s="86"/>
      <c r="Q15" s="88"/>
      <c r="R15" s="88"/>
    </row>
    <row r="16" spans="1:92" ht="15" customHeight="1" x14ac:dyDescent="0.3">
      <c r="A16" s="26" t="s">
        <v>58</v>
      </c>
      <c r="B16" s="26" t="s">
        <v>59</v>
      </c>
      <c r="C16" s="121" t="s">
        <v>341</v>
      </c>
      <c r="D16" s="26" t="s">
        <v>64</v>
      </c>
      <c r="E16" s="26" t="s">
        <v>29</v>
      </c>
      <c r="F16" s="26" t="s">
        <v>111</v>
      </c>
      <c r="G16" s="174"/>
      <c r="H16" s="86"/>
      <c r="I16" s="86"/>
      <c r="J16" s="86"/>
      <c r="K16" s="86"/>
      <c r="L16" s="86"/>
      <c r="M16" s="86"/>
      <c r="N16" s="86"/>
      <c r="O16" s="87"/>
      <c r="P16" s="86"/>
      <c r="Q16" s="88"/>
      <c r="R16" s="88"/>
    </row>
    <row r="17" spans="1:18" ht="15" customHeight="1" x14ac:dyDescent="0.3">
      <c r="A17" s="26" t="s">
        <v>26</v>
      </c>
      <c r="B17" s="26" t="s">
        <v>27</v>
      </c>
      <c r="C17" s="121" t="s">
        <v>270</v>
      </c>
      <c r="D17" s="26" t="s">
        <v>28</v>
      </c>
      <c r="E17" s="26" t="s">
        <v>61</v>
      </c>
      <c r="F17" s="26" t="s">
        <v>30</v>
      </c>
      <c r="G17" s="174"/>
      <c r="H17" s="86"/>
      <c r="I17" s="86"/>
      <c r="J17" s="86"/>
      <c r="K17" s="86"/>
      <c r="L17" s="86"/>
      <c r="M17" s="86"/>
      <c r="N17" s="86"/>
      <c r="O17" s="87"/>
      <c r="P17" s="86"/>
      <c r="Q17" s="88"/>
      <c r="R17" s="88"/>
    </row>
    <row r="18" spans="1:18" ht="15" customHeight="1" x14ac:dyDescent="0.3">
      <c r="A18" s="26" t="s">
        <v>51</v>
      </c>
      <c r="B18" s="26" t="s">
        <v>52</v>
      </c>
      <c r="C18" s="121" t="s">
        <v>226</v>
      </c>
      <c r="D18" s="26" t="s">
        <v>28</v>
      </c>
      <c r="E18" s="26" t="s">
        <v>29</v>
      </c>
      <c r="F18" s="26" t="s">
        <v>30</v>
      </c>
      <c r="G18" s="174"/>
      <c r="H18" s="86"/>
      <c r="I18" s="86"/>
      <c r="J18" s="86"/>
      <c r="K18" s="86"/>
      <c r="L18" s="86"/>
      <c r="M18" s="86"/>
      <c r="N18" s="86"/>
      <c r="O18" s="87"/>
      <c r="P18" s="86"/>
      <c r="Q18" s="88"/>
      <c r="R18" s="88"/>
    </row>
    <row r="19" spans="1:18" ht="15" customHeight="1" thickBot="1" x14ac:dyDescent="0.35">
      <c r="A19" s="89" t="s">
        <v>68</v>
      </c>
      <c r="B19" s="89" t="s">
        <v>69</v>
      </c>
      <c r="C19" s="156" t="s">
        <v>272</v>
      </c>
      <c r="D19" s="89" t="s">
        <v>70</v>
      </c>
      <c r="E19" s="89" t="s">
        <v>71</v>
      </c>
      <c r="F19" s="89" t="s">
        <v>112</v>
      </c>
      <c r="G19" s="175"/>
      <c r="H19" s="90"/>
      <c r="I19" s="90"/>
      <c r="J19" s="90"/>
      <c r="K19" s="90"/>
      <c r="L19" s="90"/>
      <c r="M19" s="90"/>
      <c r="N19" s="90"/>
      <c r="O19" s="91"/>
      <c r="P19" s="90"/>
      <c r="Q19" s="92"/>
      <c r="R19" s="92"/>
    </row>
    <row r="20" spans="1:18" ht="17.399999999999999" customHeight="1" thickBot="1" x14ac:dyDescent="0.35">
      <c r="A20" s="179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1"/>
    </row>
    <row r="21" spans="1:18" ht="22.05" customHeight="1" thickTop="1" thickBot="1" x14ac:dyDescent="0.35">
      <c r="A21" s="182" t="s">
        <v>6</v>
      </c>
      <c r="B21" s="177"/>
      <c r="C21" s="177"/>
      <c r="D21" s="177"/>
      <c r="E21" s="177"/>
      <c r="F21" s="178"/>
      <c r="G21" s="115">
        <v>45999</v>
      </c>
      <c r="H21" s="184" t="s">
        <v>7</v>
      </c>
      <c r="I21" s="177"/>
      <c r="J21" s="177"/>
      <c r="K21" s="177"/>
      <c r="L21" s="177"/>
      <c r="M21" s="177"/>
      <c r="N21" s="177"/>
      <c r="O21" s="177"/>
      <c r="P21" s="177"/>
      <c r="Q21" s="177"/>
      <c r="R21" s="178"/>
    </row>
    <row r="22" spans="1:18" ht="24" customHeight="1" x14ac:dyDescent="0.3">
      <c r="A22" s="13" t="s">
        <v>8</v>
      </c>
      <c r="B22" s="13" t="s">
        <v>9</v>
      </c>
      <c r="C22" s="116" t="s">
        <v>10</v>
      </c>
      <c r="D22" s="13" t="s">
        <v>11</v>
      </c>
      <c r="E22" s="13" t="s">
        <v>12</v>
      </c>
      <c r="F22" s="14" t="s">
        <v>13</v>
      </c>
      <c r="G22" s="15" t="s">
        <v>14</v>
      </c>
      <c r="H22" s="13" t="s">
        <v>15</v>
      </c>
      <c r="I22" s="117" t="s">
        <v>16</v>
      </c>
      <c r="J22" s="16" t="s">
        <v>17</v>
      </c>
      <c r="K22" s="17" t="s">
        <v>18</v>
      </c>
      <c r="L22" s="16" t="s">
        <v>19</v>
      </c>
      <c r="M22" s="16" t="s">
        <v>20</v>
      </c>
      <c r="N22" s="16" t="s">
        <v>21</v>
      </c>
      <c r="O22" s="13" t="s">
        <v>22</v>
      </c>
      <c r="P22" s="116" t="s">
        <v>23</v>
      </c>
      <c r="Q22" s="16" t="s">
        <v>24</v>
      </c>
      <c r="R22" s="13" t="s">
        <v>25</v>
      </c>
    </row>
    <row r="23" spans="1:18" ht="15" customHeight="1" x14ac:dyDescent="0.3">
      <c r="A23" s="55" t="s">
        <v>51</v>
      </c>
      <c r="B23" s="55" t="s">
        <v>336</v>
      </c>
      <c r="C23" s="144">
        <v>0.51041666666666663</v>
      </c>
      <c r="D23" s="55" t="s">
        <v>28</v>
      </c>
      <c r="E23" s="55" t="s">
        <v>29</v>
      </c>
      <c r="F23" s="55" t="s">
        <v>342</v>
      </c>
      <c r="G23" s="197"/>
      <c r="H23" s="93" t="s">
        <v>337</v>
      </c>
      <c r="I23" s="145">
        <v>0.47620000000000001</v>
      </c>
      <c r="J23" s="94">
        <v>80</v>
      </c>
      <c r="K23" s="95">
        <v>45992</v>
      </c>
      <c r="L23" s="94">
        <v>32</v>
      </c>
      <c r="M23" s="94">
        <v>6</v>
      </c>
      <c r="N23" s="94">
        <v>3</v>
      </c>
      <c r="O23" s="96" t="s">
        <v>257</v>
      </c>
      <c r="P23" s="146">
        <v>0.51041666666666663</v>
      </c>
      <c r="Q23" s="94">
        <v>168</v>
      </c>
      <c r="R23" s="97" t="s">
        <v>343</v>
      </c>
    </row>
    <row r="24" spans="1:18" ht="18" x14ac:dyDescent="0.3">
      <c r="A24" s="194" t="s">
        <v>340</v>
      </c>
      <c r="B24" s="195"/>
      <c r="C24" s="195"/>
      <c r="D24" s="195"/>
      <c r="E24" s="195"/>
      <c r="F24" s="196"/>
      <c r="G24" s="174"/>
      <c r="H24" s="86"/>
      <c r="I24" s="86"/>
      <c r="J24" s="86"/>
      <c r="K24" s="86"/>
      <c r="L24" s="86"/>
      <c r="M24" s="86"/>
      <c r="N24" s="86"/>
      <c r="O24" s="87"/>
      <c r="P24" s="86"/>
      <c r="Q24" s="88"/>
      <c r="R24" s="88"/>
    </row>
    <row r="25" spans="1:18" ht="15" customHeight="1" x14ac:dyDescent="0.3">
      <c r="A25" s="26" t="s">
        <v>40</v>
      </c>
      <c r="B25" s="26" t="s">
        <v>48</v>
      </c>
      <c r="C25" s="121" t="s">
        <v>290</v>
      </c>
      <c r="D25" s="26" t="s">
        <v>42</v>
      </c>
      <c r="E25" s="26" t="s">
        <v>61</v>
      </c>
      <c r="F25" s="26" t="s">
        <v>30</v>
      </c>
      <c r="G25" s="174"/>
      <c r="H25" s="86"/>
      <c r="I25" s="86"/>
      <c r="J25" s="86"/>
      <c r="K25" s="86"/>
      <c r="L25" s="86"/>
      <c r="M25" s="86"/>
      <c r="N25" s="86"/>
      <c r="O25" s="87"/>
      <c r="P25" s="86"/>
      <c r="Q25" s="88"/>
      <c r="R25" s="88"/>
    </row>
    <row r="26" spans="1:18" ht="15" customHeight="1" x14ac:dyDescent="0.3">
      <c r="A26" s="26" t="s">
        <v>40</v>
      </c>
      <c r="B26" s="26" t="s">
        <v>48</v>
      </c>
      <c r="C26" s="121" t="s">
        <v>290</v>
      </c>
      <c r="D26" s="26" t="s">
        <v>45</v>
      </c>
      <c r="E26" s="26" t="s">
        <v>61</v>
      </c>
      <c r="F26" s="26" t="s">
        <v>90</v>
      </c>
      <c r="G26" s="174"/>
      <c r="H26" s="86"/>
      <c r="I26" s="86"/>
      <c r="J26" s="86"/>
      <c r="K26" s="86"/>
      <c r="L26" s="86"/>
      <c r="M26" s="86"/>
      <c r="N26" s="86"/>
      <c r="O26" s="87"/>
      <c r="P26" s="86"/>
      <c r="Q26" s="88"/>
      <c r="R26" s="88"/>
    </row>
    <row r="27" spans="1:18" ht="15" customHeight="1" x14ac:dyDescent="0.3">
      <c r="A27" s="26" t="s">
        <v>40</v>
      </c>
      <c r="B27" s="26" t="s">
        <v>48</v>
      </c>
      <c r="C27" s="121" t="s">
        <v>290</v>
      </c>
      <c r="D27" s="26" t="s">
        <v>38</v>
      </c>
      <c r="E27" s="26" t="s">
        <v>61</v>
      </c>
      <c r="F27" s="26" t="s">
        <v>116</v>
      </c>
      <c r="G27" s="174"/>
      <c r="H27" s="86"/>
      <c r="I27" s="86"/>
      <c r="J27" s="86"/>
      <c r="K27" s="86"/>
      <c r="L27" s="86"/>
      <c r="M27" s="86"/>
      <c r="N27" s="86"/>
      <c r="O27" s="87"/>
      <c r="P27" s="86"/>
      <c r="Q27" s="88"/>
      <c r="R27" s="88"/>
    </row>
    <row r="28" spans="1:18" ht="15" customHeight="1" x14ac:dyDescent="0.3">
      <c r="A28" s="26" t="s">
        <v>40</v>
      </c>
      <c r="B28" s="26" t="s">
        <v>41</v>
      </c>
      <c r="C28" s="121" t="s">
        <v>297</v>
      </c>
      <c r="D28" s="26" t="s">
        <v>42</v>
      </c>
      <c r="E28" s="26" t="s">
        <v>79</v>
      </c>
      <c r="F28" s="26" t="s">
        <v>44</v>
      </c>
      <c r="G28" s="174"/>
      <c r="H28" s="86"/>
      <c r="I28" s="86"/>
      <c r="J28" s="86"/>
      <c r="K28" s="86"/>
      <c r="L28" s="86"/>
      <c r="M28" s="86"/>
      <c r="N28" s="86"/>
      <c r="O28" s="87"/>
      <c r="P28" s="86"/>
      <c r="Q28" s="88"/>
      <c r="R28" s="88"/>
    </row>
    <row r="29" spans="1:18" ht="15" customHeight="1" x14ac:dyDescent="0.3">
      <c r="A29" s="26" t="s">
        <v>40</v>
      </c>
      <c r="B29" s="26" t="s">
        <v>41</v>
      </c>
      <c r="C29" s="121" t="s">
        <v>297</v>
      </c>
      <c r="D29" s="26" t="s">
        <v>45</v>
      </c>
      <c r="E29" s="26" t="s">
        <v>79</v>
      </c>
      <c r="F29" s="26" t="s">
        <v>46</v>
      </c>
      <c r="G29" s="174"/>
      <c r="H29" s="86"/>
      <c r="I29" s="86"/>
      <c r="J29" s="86"/>
      <c r="K29" s="86"/>
      <c r="L29" s="86"/>
      <c r="M29" s="86"/>
      <c r="N29" s="86"/>
      <c r="O29" s="87"/>
      <c r="P29" s="86"/>
      <c r="Q29" s="88"/>
      <c r="R29" s="88"/>
    </row>
    <row r="30" spans="1:18" ht="15" customHeight="1" x14ac:dyDescent="0.3">
      <c r="A30" s="26" t="s">
        <v>40</v>
      </c>
      <c r="B30" s="26" t="s">
        <v>41</v>
      </c>
      <c r="C30" s="121" t="s">
        <v>297</v>
      </c>
      <c r="D30" s="26" t="s">
        <v>38</v>
      </c>
      <c r="E30" s="26" t="s">
        <v>79</v>
      </c>
      <c r="F30" s="26" t="s">
        <v>47</v>
      </c>
      <c r="G30" s="174"/>
      <c r="H30" s="86"/>
      <c r="I30" s="86"/>
      <c r="J30" s="86"/>
      <c r="K30" s="86"/>
      <c r="L30" s="86"/>
      <c r="M30" s="86"/>
      <c r="N30" s="86"/>
      <c r="O30" s="87"/>
      <c r="P30" s="86"/>
      <c r="Q30" s="88"/>
      <c r="R30" s="88"/>
    </row>
    <row r="31" spans="1:18" ht="15" customHeight="1" x14ac:dyDescent="0.3">
      <c r="A31" s="26" t="s">
        <v>31</v>
      </c>
      <c r="B31" s="26" t="s">
        <v>32</v>
      </c>
      <c r="C31" s="121" t="s">
        <v>272</v>
      </c>
      <c r="D31" s="26" t="s">
        <v>33</v>
      </c>
      <c r="E31" s="26" t="s">
        <v>126</v>
      </c>
      <c r="F31" s="26" t="s">
        <v>114</v>
      </c>
      <c r="G31" s="174"/>
      <c r="H31" s="86"/>
      <c r="I31" s="86"/>
      <c r="J31" s="86"/>
      <c r="K31" s="86"/>
      <c r="L31" s="86"/>
      <c r="M31" s="86"/>
      <c r="N31" s="86"/>
      <c r="O31" s="87"/>
      <c r="P31" s="86"/>
      <c r="Q31" s="88"/>
      <c r="R31" s="88"/>
    </row>
    <row r="32" spans="1:18" ht="15" customHeight="1" x14ac:dyDescent="0.3">
      <c r="A32" s="26" t="s">
        <v>31</v>
      </c>
      <c r="B32" s="26" t="s">
        <v>32</v>
      </c>
      <c r="C32" s="121" t="s">
        <v>272</v>
      </c>
      <c r="D32" s="26" t="s">
        <v>36</v>
      </c>
      <c r="E32" s="26" t="s">
        <v>126</v>
      </c>
      <c r="F32" s="26" t="s">
        <v>115</v>
      </c>
      <c r="G32" s="174"/>
      <c r="H32" s="86"/>
      <c r="I32" s="86"/>
      <c r="J32" s="86"/>
      <c r="K32" s="86"/>
      <c r="L32" s="86"/>
      <c r="M32" s="86"/>
      <c r="N32" s="86"/>
      <c r="O32" s="87"/>
      <c r="P32" s="86"/>
      <c r="Q32" s="88"/>
      <c r="R32" s="88"/>
    </row>
    <row r="33" spans="1:18" ht="15" customHeight="1" x14ac:dyDescent="0.3">
      <c r="A33" s="26" t="s">
        <v>31</v>
      </c>
      <c r="B33" s="26" t="s">
        <v>32</v>
      </c>
      <c r="C33" s="121" t="s">
        <v>272</v>
      </c>
      <c r="D33" s="26" t="s">
        <v>38</v>
      </c>
      <c r="E33" s="26" t="s">
        <v>126</v>
      </c>
      <c r="F33" s="26" t="s">
        <v>86</v>
      </c>
      <c r="G33" s="174"/>
      <c r="H33" s="86"/>
      <c r="I33" s="86"/>
      <c r="J33" s="86"/>
      <c r="K33" s="86"/>
      <c r="L33" s="86"/>
      <c r="M33" s="86"/>
      <c r="N33" s="86"/>
      <c r="O33" s="87"/>
      <c r="P33" s="86"/>
      <c r="Q33" s="88"/>
      <c r="R33" s="88"/>
    </row>
    <row r="34" spans="1:18" ht="15" customHeight="1" x14ac:dyDescent="0.3">
      <c r="A34" s="26" t="s">
        <v>58</v>
      </c>
      <c r="B34" s="26" t="s">
        <v>63</v>
      </c>
      <c r="C34" s="121" t="s">
        <v>307</v>
      </c>
      <c r="D34" s="26" t="s">
        <v>60</v>
      </c>
      <c r="E34" s="26" t="s">
        <v>34</v>
      </c>
      <c r="F34" s="26" t="s">
        <v>62</v>
      </c>
      <c r="G34" s="174"/>
      <c r="H34" s="86"/>
      <c r="I34" s="86"/>
      <c r="J34" s="86"/>
      <c r="K34" s="86"/>
      <c r="L34" s="86"/>
      <c r="M34" s="86"/>
      <c r="N34" s="86"/>
      <c r="O34" s="87"/>
      <c r="P34" s="86"/>
      <c r="Q34" s="88"/>
      <c r="R34" s="88"/>
    </row>
    <row r="35" spans="1:18" ht="15" customHeight="1" x14ac:dyDescent="0.3">
      <c r="A35" s="26" t="s">
        <v>58</v>
      </c>
      <c r="B35" s="26" t="s">
        <v>66</v>
      </c>
      <c r="C35" s="121" t="s">
        <v>298</v>
      </c>
      <c r="D35" s="26" t="s">
        <v>127</v>
      </c>
      <c r="E35" s="26" t="s">
        <v>29</v>
      </c>
      <c r="F35" s="26" t="s">
        <v>128</v>
      </c>
      <c r="G35" s="174"/>
      <c r="H35" s="86"/>
      <c r="I35" s="86"/>
      <c r="J35" s="86"/>
      <c r="K35" s="86"/>
      <c r="L35" s="86"/>
      <c r="M35" s="86"/>
      <c r="N35" s="86"/>
      <c r="O35" s="87"/>
      <c r="P35" s="86"/>
      <c r="Q35" s="88"/>
      <c r="R35" s="88"/>
    </row>
    <row r="36" spans="1:18" ht="15" customHeight="1" x14ac:dyDescent="0.3">
      <c r="A36" s="26" t="s">
        <v>58</v>
      </c>
      <c r="B36" s="26" t="s">
        <v>59</v>
      </c>
      <c r="C36" s="121" t="s">
        <v>341</v>
      </c>
      <c r="D36" s="26" t="s">
        <v>60</v>
      </c>
      <c r="E36" s="26" t="s">
        <v>29</v>
      </c>
      <c r="F36" s="26" t="s">
        <v>62</v>
      </c>
      <c r="G36" s="174"/>
      <c r="H36" s="86"/>
      <c r="I36" s="86"/>
      <c r="J36" s="86"/>
      <c r="K36" s="86"/>
      <c r="L36" s="86"/>
      <c r="M36" s="86"/>
      <c r="N36" s="86"/>
      <c r="O36" s="87"/>
      <c r="P36" s="86"/>
      <c r="Q36" s="88"/>
      <c r="R36" s="88"/>
    </row>
    <row r="37" spans="1:18" ht="15" customHeight="1" x14ac:dyDescent="0.3">
      <c r="A37" s="26" t="s">
        <v>26</v>
      </c>
      <c r="B37" s="26" t="s">
        <v>27</v>
      </c>
      <c r="C37" s="121" t="s">
        <v>270</v>
      </c>
      <c r="D37" s="26" t="s">
        <v>28</v>
      </c>
      <c r="E37" s="26" t="s">
        <v>29</v>
      </c>
      <c r="F37" s="26" t="s">
        <v>30</v>
      </c>
      <c r="G37" s="174"/>
      <c r="H37" s="86"/>
      <c r="I37" s="86"/>
      <c r="J37" s="86"/>
      <c r="K37" s="86"/>
      <c r="L37" s="86"/>
      <c r="M37" s="86"/>
      <c r="N37" s="86"/>
      <c r="O37" s="87"/>
      <c r="P37" s="86"/>
      <c r="Q37" s="88"/>
      <c r="R37" s="88"/>
    </row>
    <row r="38" spans="1:18" ht="15" customHeight="1" thickBot="1" x14ac:dyDescent="0.35">
      <c r="A38" s="89" t="s">
        <v>68</v>
      </c>
      <c r="B38" s="89" t="s">
        <v>69</v>
      </c>
      <c r="C38" s="156" t="s">
        <v>272</v>
      </c>
      <c r="D38" s="89" t="s">
        <v>70</v>
      </c>
      <c r="E38" s="89" t="s">
        <v>71</v>
      </c>
      <c r="F38" s="89" t="s">
        <v>122</v>
      </c>
      <c r="G38" s="175"/>
      <c r="H38" s="90"/>
      <c r="I38" s="90"/>
      <c r="J38" s="90"/>
      <c r="K38" s="90"/>
      <c r="L38" s="90"/>
      <c r="M38" s="90"/>
      <c r="N38" s="90"/>
      <c r="O38" s="91"/>
      <c r="P38" s="90"/>
      <c r="Q38" s="92"/>
      <c r="R38" s="92"/>
    </row>
    <row r="39" spans="1:18" ht="17.399999999999999" customHeight="1" thickBot="1" x14ac:dyDescent="0.35">
      <c r="A39" s="179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1"/>
    </row>
    <row r="40" spans="1:18" ht="22.05" customHeight="1" thickTop="1" thickBot="1" x14ac:dyDescent="0.35">
      <c r="A40" s="182" t="s">
        <v>6</v>
      </c>
      <c r="B40" s="177"/>
      <c r="C40" s="177"/>
      <c r="D40" s="177"/>
      <c r="E40" s="177"/>
      <c r="F40" s="178"/>
      <c r="G40" s="115">
        <v>46003</v>
      </c>
      <c r="H40" s="184" t="s">
        <v>7</v>
      </c>
      <c r="I40" s="177"/>
      <c r="J40" s="177"/>
      <c r="K40" s="177"/>
      <c r="L40" s="177"/>
      <c r="M40" s="177"/>
      <c r="N40" s="177"/>
      <c r="O40" s="177"/>
      <c r="P40" s="177"/>
      <c r="Q40" s="177"/>
      <c r="R40" s="178"/>
    </row>
    <row r="41" spans="1:18" ht="24" customHeight="1" x14ac:dyDescent="0.3">
      <c r="A41" s="13" t="s">
        <v>8</v>
      </c>
      <c r="B41" s="13" t="s">
        <v>9</v>
      </c>
      <c r="C41" s="116" t="s">
        <v>10</v>
      </c>
      <c r="D41" s="13" t="s">
        <v>11</v>
      </c>
      <c r="E41" s="13" t="s">
        <v>12</v>
      </c>
      <c r="F41" s="14" t="s">
        <v>13</v>
      </c>
      <c r="G41" s="15" t="s">
        <v>14</v>
      </c>
      <c r="H41" s="13" t="s">
        <v>15</v>
      </c>
      <c r="I41" s="117" t="s">
        <v>16</v>
      </c>
      <c r="J41" s="16" t="s">
        <v>17</v>
      </c>
      <c r="K41" s="17" t="s">
        <v>18</v>
      </c>
      <c r="L41" s="16" t="s">
        <v>19</v>
      </c>
      <c r="M41" s="16" t="s">
        <v>20</v>
      </c>
      <c r="N41" s="16" t="s">
        <v>21</v>
      </c>
      <c r="O41" s="13" t="s">
        <v>22</v>
      </c>
      <c r="P41" s="116" t="s">
        <v>23</v>
      </c>
      <c r="Q41" s="16" t="s">
        <v>24</v>
      </c>
      <c r="R41" s="13" t="s">
        <v>25</v>
      </c>
    </row>
    <row r="42" spans="1:18" ht="15" customHeight="1" x14ac:dyDescent="0.3">
      <c r="A42" s="34" t="s">
        <v>51</v>
      </c>
      <c r="B42" s="34" t="s">
        <v>336</v>
      </c>
      <c r="C42" s="126">
        <v>0.29166666666666669</v>
      </c>
      <c r="D42" s="34" t="s">
        <v>28</v>
      </c>
      <c r="E42" s="34" t="s">
        <v>29</v>
      </c>
      <c r="F42" s="34" t="s">
        <v>342</v>
      </c>
      <c r="G42" s="197"/>
      <c r="H42" s="98" t="s">
        <v>337</v>
      </c>
      <c r="I42" s="143">
        <v>0.20830000000000001</v>
      </c>
      <c r="J42" s="99">
        <v>35</v>
      </c>
      <c r="K42" s="100">
        <v>45992</v>
      </c>
      <c r="L42" s="99">
        <v>12</v>
      </c>
      <c r="M42" s="99">
        <v>1</v>
      </c>
      <c r="N42" s="99">
        <v>4</v>
      </c>
      <c r="O42" s="101" t="s">
        <v>257</v>
      </c>
      <c r="P42" s="128">
        <v>0.29166666666666669</v>
      </c>
      <c r="Q42" s="99">
        <v>168</v>
      </c>
      <c r="R42" s="102" t="s">
        <v>344</v>
      </c>
    </row>
    <row r="43" spans="1:18" ht="18" x14ac:dyDescent="0.3">
      <c r="A43" s="194" t="s">
        <v>340</v>
      </c>
      <c r="B43" s="195"/>
      <c r="C43" s="195"/>
      <c r="D43" s="195"/>
      <c r="E43" s="195"/>
      <c r="F43" s="196"/>
      <c r="G43" s="174"/>
      <c r="H43" s="86"/>
      <c r="I43" s="86"/>
      <c r="J43" s="86"/>
      <c r="K43" s="86"/>
      <c r="L43" s="86"/>
      <c r="M43" s="86"/>
      <c r="N43" s="86"/>
      <c r="O43" s="87"/>
      <c r="P43" s="86"/>
      <c r="Q43" s="88"/>
      <c r="R43" s="88"/>
    </row>
    <row r="44" spans="1:18" ht="15" customHeight="1" x14ac:dyDescent="0.3">
      <c r="A44" s="26" t="s">
        <v>31</v>
      </c>
      <c r="B44" s="26" t="s">
        <v>32</v>
      </c>
      <c r="C44" s="121" t="s">
        <v>272</v>
      </c>
      <c r="D44" s="26" t="s">
        <v>33</v>
      </c>
      <c r="E44" s="26" t="s">
        <v>120</v>
      </c>
      <c r="F44" s="26" t="s">
        <v>103</v>
      </c>
      <c r="G44" s="174"/>
      <c r="H44" s="86"/>
      <c r="I44" s="86"/>
      <c r="J44" s="86"/>
      <c r="K44" s="86"/>
      <c r="L44" s="86"/>
      <c r="M44" s="86"/>
      <c r="N44" s="86"/>
      <c r="O44" s="87"/>
      <c r="P44" s="86"/>
      <c r="Q44" s="88"/>
      <c r="R44" s="88"/>
    </row>
    <row r="45" spans="1:18" ht="15" customHeight="1" x14ac:dyDescent="0.3">
      <c r="A45" s="26" t="s">
        <v>31</v>
      </c>
      <c r="B45" s="26" t="s">
        <v>32</v>
      </c>
      <c r="C45" s="121" t="s">
        <v>272</v>
      </c>
      <c r="D45" s="26" t="s">
        <v>36</v>
      </c>
      <c r="E45" s="26" t="s">
        <v>120</v>
      </c>
      <c r="F45" s="26" t="s">
        <v>104</v>
      </c>
      <c r="G45" s="174"/>
      <c r="H45" s="86"/>
      <c r="I45" s="86"/>
      <c r="J45" s="86"/>
      <c r="K45" s="86"/>
      <c r="L45" s="86"/>
      <c r="M45" s="86"/>
      <c r="N45" s="86"/>
      <c r="O45" s="87"/>
      <c r="P45" s="86"/>
      <c r="Q45" s="88"/>
      <c r="R45" s="88"/>
    </row>
    <row r="46" spans="1:18" ht="15" customHeight="1" x14ac:dyDescent="0.3">
      <c r="A46" s="26" t="s">
        <v>31</v>
      </c>
      <c r="B46" s="26" t="s">
        <v>32</v>
      </c>
      <c r="C46" s="121" t="s">
        <v>272</v>
      </c>
      <c r="D46" s="26" t="s">
        <v>38</v>
      </c>
      <c r="E46" s="26" t="s">
        <v>120</v>
      </c>
      <c r="F46" s="26" t="s">
        <v>39</v>
      </c>
      <c r="G46" s="174"/>
      <c r="H46" s="86"/>
      <c r="I46" s="86"/>
      <c r="J46" s="86"/>
      <c r="K46" s="86"/>
      <c r="L46" s="86"/>
      <c r="M46" s="86"/>
      <c r="N46" s="86"/>
      <c r="O46" s="87"/>
      <c r="P46" s="86"/>
      <c r="Q46" s="88"/>
      <c r="R46" s="88"/>
    </row>
    <row r="47" spans="1:18" ht="15" customHeight="1" x14ac:dyDescent="0.3">
      <c r="A47" s="26" t="s">
        <v>40</v>
      </c>
      <c r="B47" s="26" t="s">
        <v>48</v>
      </c>
      <c r="C47" s="121" t="s">
        <v>290</v>
      </c>
      <c r="D47" s="26" t="s">
        <v>42</v>
      </c>
      <c r="E47" s="26" t="s">
        <v>89</v>
      </c>
      <c r="F47" s="26" t="s">
        <v>44</v>
      </c>
      <c r="G47" s="174"/>
      <c r="H47" s="86"/>
      <c r="I47" s="86"/>
      <c r="J47" s="86"/>
      <c r="K47" s="86"/>
      <c r="L47" s="86"/>
      <c r="M47" s="86"/>
      <c r="N47" s="86"/>
      <c r="O47" s="87"/>
      <c r="P47" s="86"/>
      <c r="Q47" s="88"/>
      <c r="R47" s="88"/>
    </row>
    <row r="48" spans="1:18" ht="15" customHeight="1" x14ac:dyDescent="0.3">
      <c r="A48" s="26" t="s">
        <v>40</v>
      </c>
      <c r="B48" s="26" t="s">
        <v>48</v>
      </c>
      <c r="C48" s="121" t="s">
        <v>290</v>
      </c>
      <c r="D48" s="26" t="s">
        <v>45</v>
      </c>
      <c r="E48" s="26" t="s">
        <v>89</v>
      </c>
      <c r="F48" s="26" t="s">
        <v>46</v>
      </c>
      <c r="G48" s="174"/>
      <c r="H48" s="86"/>
      <c r="I48" s="86"/>
      <c r="J48" s="86"/>
      <c r="K48" s="86"/>
      <c r="L48" s="86"/>
      <c r="M48" s="86"/>
      <c r="N48" s="86"/>
      <c r="O48" s="87"/>
      <c r="P48" s="86"/>
      <c r="Q48" s="88"/>
      <c r="R48" s="88"/>
    </row>
    <row r="49" spans="1:18" ht="15" customHeight="1" x14ac:dyDescent="0.3">
      <c r="A49" s="26" t="s">
        <v>40</v>
      </c>
      <c r="B49" s="26" t="s">
        <v>48</v>
      </c>
      <c r="C49" s="121" t="s">
        <v>290</v>
      </c>
      <c r="D49" s="26" t="s">
        <v>38</v>
      </c>
      <c r="E49" s="26" t="s">
        <v>89</v>
      </c>
      <c r="F49" s="26" t="s">
        <v>47</v>
      </c>
      <c r="G49" s="174"/>
      <c r="H49" s="86"/>
      <c r="I49" s="86"/>
      <c r="J49" s="86"/>
      <c r="K49" s="86"/>
      <c r="L49" s="86"/>
      <c r="M49" s="86"/>
      <c r="N49" s="86"/>
      <c r="O49" s="87"/>
      <c r="P49" s="86"/>
      <c r="Q49" s="88"/>
      <c r="R49" s="88"/>
    </row>
    <row r="50" spans="1:18" ht="15" customHeight="1" x14ac:dyDescent="0.3">
      <c r="A50" s="26" t="s">
        <v>58</v>
      </c>
      <c r="B50" s="26" t="s">
        <v>63</v>
      </c>
      <c r="C50" s="121" t="s">
        <v>307</v>
      </c>
      <c r="D50" s="26" t="s">
        <v>60</v>
      </c>
      <c r="E50" s="26" t="s">
        <v>53</v>
      </c>
      <c r="F50" s="26" t="s">
        <v>62</v>
      </c>
      <c r="G50" s="174"/>
      <c r="H50" s="86"/>
      <c r="I50" s="86"/>
      <c r="J50" s="86"/>
      <c r="K50" s="86"/>
      <c r="L50" s="86"/>
      <c r="M50" s="86"/>
      <c r="N50" s="86"/>
      <c r="O50" s="87"/>
      <c r="P50" s="86"/>
      <c r="Q50" s="88"/>
      <c r="R50" s="88"/>
    </row>
    <row r="51" spans="1:18" ht="15" customHeight="1" x14ac:dyDescent="0.3">
      <c r="A51" s="26" t="s">
        <v>58</v>
      </c>
      <c r="B51" s="26" t="s">
        <v>66</v>
      </c>
      <c r="C51" s="121" t="s">
        <v>298</v>
      </c>
      <c r="D51" s="26" t="s">
        <v>64</v>
      </c>
      <c r="E51" s="26" t="s">
        <v>29</v>
      </c>
      <c r="F51" s="26" t="s">
        <v>140</v>
      </c>
      <c r="G51" s="174"/>
      <c r="H51" s="86"/>
      <c r="I51" s="86"/>
      <c r="J51" s="86"/>
      <c r="K51" s="86"/>
      <c r="L51" s="86"/>
      <c r="M51" s="86"/>
      <c r="N51" s="86"/>
      <c r="O51" s="87"/>
      <c r="P51" s="86"/>
      <c r="Q51" s="88"/>
      <c r="R51" s="88"/>
    </row>
    <row r="52" spans="1:18" ht="15" customHeight="1" x14ac:dyDescent="0.3">
      <c r="A52" s="26" t="s">
        <v>58</v>
      </c>
      <c r="B52" s="26" t="s">
        <v>59</v>
      </c>
      <c r="C52" s="121" t="s">
        <v>341</v>
      </c>
      <c r="D52" s="26" t="s">
        <v>60</v>
      </c>
      <c r="E52" s="26" t="s">
        <v>29</v>
      </c>
      <c r="F52" s="26" t="s">
        <v>62</v>
      </c>
      <c r="G52" s="174"/>
      <c r="H52" s="86"/>
      <c r="I52" s="86"/>
      <c r="J52" s="86"/>
      <c r="K52" s="86"/>
      <c r="L52" s="86"/>
      <c r="M52" s="86"/>
      <c r="N52" s="86"/>
      <c r="O52" s="87"/>
      <c r="P52" s="86"/>
      <c r="Q52" s="88"/>
      <c r="R52" s="88"/>
    </row>
    <row r="53" spans="1:18" ht="15" customHeight="1" x14ac:dyDescent="0.3">
      <c r="A53" s="26" t="s">
        <v>26</v>
      </c>
      <c r="B53" s="26" t="s">
        <v>27</v>
      </c>
      <c r="C53" s="121" t="s">
        <v>270</v>
      </c>
      <c r="D53" s="26" t="s">
        <v>28</v>
      </c>
      <c r="E53" s="26" t="s">
        <v>29</v>
      </c>
      <c r="F53" s="26" t="s">
        <v>49</v>
      </c>
      <c r="G53" s="174"/>
      <c r="H53" s="86"/>
      <c r="I53" s="86"/>
      <c r="J53" s="86"/>
      <c r="K53" s="86"/>
      <c r="L53" s="86"/>
      <c r="M53" s="86"/>
      <c r="N53" s="86"/>
      <c r="O53" s="87"/>
      <c r="P53" s="86"/>
      <c r="Q53" s="88"/>
      <c r="R53" s="88"/>
    </row>
    <row r="54" spans="1:18" ht="15" customHeight="1" x14ac:dyDescent="0.3">
      <c r="A54" s="26" t="s">
        <v>51</v>
      </c>
      <c r="B54" s="26" t="s">
        <v>52</v>
      </c>
      <c r="C54" s="121" t="s">
        <v>226</v>
      </c>
      <c r="D54" s="26" t="s">
        <v>28</v>
      </c>
      <c r="E54" s="26" t="s">
        <v>136</v>
      </c>
      <c r="F54" s="26" t="s">
        <v>141</v>
      </c>
      <c r="G54" s="174"/>
      <c r="H54" s="86"/>
      <c r="I54" s="86"/>
      <c r="J54" s="86"/>
      <c r="K54" s="86"/>
      <c r="L54" s="86"/>
      <c r="M54" s="86"/>
      <c r="N54" s="86"/>
      <c r="O54" s="87"/>
      <c r="P54" s="86"/>
      <c r="Q54" s="88"/>
      <c r="R54" s="88"/>
    </row>
    <row r="55" spans="1:18" ht="15" customHeight="1" thickBot="1" x14ac:dyDescent="0.35">
      <c r="A55" s="89" t="s">
        <v>68</v>
      </c>
      <c r="B55" s="89" t="s">
        <v>69</v>
      </c>
      <c r="C55" s="156" t="s">
        <v>272</v>
      </c>
      <c r="D55" s="89" t="s">
        <v>70</v>
      </c>
      <c r="E55" s="89" t="s">
        <v>71</v>
      </c>
      <c r="F55" s="89" t="s">
        <v>112</v>
      </c>
      <c r="G55" s="175"/>
      <c r="H55" s="90"/>
      <c r="I55" s="90"/>
      <c r="J55" s="90"/>
      <c r="K55" s="90"/>
      <c r="L55" s="90"/>
      <c r="M55" s="90"/>
      <c r="N55" s="90"/>
      <c r="O55" s="91"/>
      <c r="P55" s="90"/>
      <c r="Q55" s="92"/>
      <c r="R55" s="92"/>
    </row>
    <row r="56" spans="1:18" ht="17.399999999999999" customHeight="1" thickBot="1" x14ac:dyDescent="0.35">
      <c r="A56" s="179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1"/>
    </row>
    <row r="57" spans="1:18" ht="22.05" customHeight="1" thickTop="1" thickBot="1" x14ac:dyDescent="0.35">
      <c r="A57" s="182" t="s">
        <v>6</v>
      </c>
      <c r="B57" s="177"/>
      <c r="C57" s="177"/>
      <c r="D57" s="177"/>
      <c r="E57" s="177"/>
      <c r="F57" s="178"/>
      <c r="G57" s="115">
        <v>46006</v>
      </c>
      <c r="H57" s="184" t="s">
        <v>7</v>
      </c>
      <c r="I57" s="177"/>
      <c r="J57" s="177"/>
      <c r="K57" s="177"/>
      <c r="L57" s="177"/>
      <c r="M57" s="177"/>
      <c r="N57" s="177"/>
      <c r="O57" s="177"/>
      <c r="P57" s="177"/>
      <c r="Q57" s="177"/>
      <c r="R57" s="178"/>
    </row>
    <row r="58" spans="1:18" ht="24" customHeight="1" x14ac:dyDescent="0.3">
      <c r="A58" s="13" t="s">
        <v>8</v>
      </c>
      <c r="B58" s="13" t="s">
        <v>9</v>
      </c>
      <c r="C58" s="116" t="s">
        <v>10</v>
      </c>
      <c r="D58" s="13" t="s">
        <v>11</v>
      </c>
      <c r="E58" s="13" t="s">
        <v>12</v>
      </c>
      <c r="F58" s="14" t="s">
        <v>13</v>
      </c>
      <c r="G58" s="15" t="s">
        <v>14</v>
      </c>
      <c r="H58" s="13" t="s">
        <v>15</v>
      </c>
      <c r="I58" s="117" t="s">
        <v>16</v>
      </c>
      <c r="J58" s="16" t="s">
        <v>17</v>
      </c>
      <c r="K58" s="17" t="s">
        <v>18</v>
      </c>
      <c r="L58" s="16" t="s">
        <v>19</v>
      </c>
      <c r="M58" s="16" t="s">
        <v>20</v>
      </c>
      <c r="N58" s="16" t="s">
        <v>21</v>
      </c>
      <c r="O58" s="13" t="s">
        <v>22</v>
      </c>
      <c r="P58" s="116" t="s">
        <v>23</v>
      </c>
      <c r="Q58" s="16" t="s">
        <v>24</v>
      </c>
      <c r="R58" s="13" t="s">
        <v>25</v>
      </c>
    </row>
    <row r="59" spans="1:18" ht="15" customHeight="1" x14ac:dyDescent="0.3">
      <c r="A59" s="54" t="s">
        <v>51</v>
      </c>
      <c r="B59" s="54" t="s">
        <v>336</v>
      </c>
      <c r="C59" s="140">
        <v>0.51041666666666663</v>
      </c>
      <c r="D59" s="54" t="s">
        <v>28</v>
      </c>
      <c r="E59" s="54" t="s">
        <v>29</v>
      </c>
      <c r="F59" s="54" t="s">
        <v>342</v>
      </c>
      <c r="G59" s="198"/>
      <c r="H59" s="81" t="s">
        <v>337</v>
      </c>
      <c r="I59" s="141">
        <v>0.23810000000000001</v>
      </c>
      <c r="J59" s="82">
        <v>40</v>
      </c>
      <c r="K59" s="83">
        <v>45992</v>
      </c>
      <c r="L59" s="82">
        <v>17</v>
      </c>
      <c r="M59" s="82">
        <v>3</v>
      </c>
      <c r="N59" s="82">
        <v>1</v>
      </c>
      <c r="O59" s="84" t="s">
        <v>257</v>
      </c>
      <c r="P59" s="142">
        <v>0.51041666666666663</v>
      </c>
      <c r="Q59" s="82">
        <v>168</v>
      </c>
      <c r="R59" s="85" t="s">
        <v>345</v>
      </c>
    </row>
    <row r="60" spans="1:18" ht="18" x14ac:dyDescent="0.3">
      <c r="A60" s="194" t="s">
        <v>340</v>
      </c>
      <c r="B60" s="195"/>
      <c r="C60" s="195"/>
      <c r="D60" s="195"/>
      <c r="E60" s="195"/>
      <c r="F60" s="196"/>
      <c r="G60" s="174"/>
      <c r="H60" s="86"/>
      <c r="I60" s="86"/>
      <c r="J60" s="86"/>
      <c r="K60" s="86"/>
      <c r="L60" s="86"/>
      <c r="M60" s="86"/>
      <c r="N60" s="86"/>
      <c r="O60" s="87"/>
      <c r="P60" s="86"/>
      <c r="Q60" s="88"/>
      <c r="R60" s="88"/>
    </row>
    <row r="61" spans="1:18" ht="15" customHeight="1" x14ac:dyDescent="0.3">
      <c r="A61" s="26" t="s">
        <v>40</v>
      </c>
      <c r="B61" s="26" t="s">
        <v>48</v>
      </c>
      <c r="C61" s="121" t="s">
        <v>290</v>
      </c>
      <c r="D61" s="26" t="s">
        <v>42</v>
      </c>
      <c r="E61" s="26" t="s">
        <v>43</v>
      </c>
      <c r="F61" s="26" t="s">
        <v>107</v>
      </c>
      <c r="G61" s="174"/>
      <c r="H61" s="86"/>
      <c r="I61" s="86"/>
      <c r="J61" s="86"/>
      <c r="K61" s="86"/>
      <c r="L61" s="86"/>
      <c r="M61" s="86"/>
      <c r="N61" s="86"/>
      <c r="O61" s="87"/>
      <c r="P61" s="86"/>
      <c r="Q61" s="88"/>
      <c r="R61" s="88"/>
    </row>
    <row r="62" spans="1:18" ht="15" customHeight="1" x14ac:dyDescent="0.3">
      <c r="A62" s="26" t="s">
        <v>40</v>
      </c>
      <c r="B62" s="26" t="s">
        <v>48</v>
      </c>
      <c r="C62" s="121" t="s">
        <v>290</v>
      </c>
      <c r="D62" s="26" t="s">
        <v>45</v>
      </c>
      <c r="E62" s="26" t="s">
        <v>43</v>
      </c>
      <c r="F62" s="26" t="s">
        <v>108</v>
      </c>
      <c r="G62" s="174"/>
      <c r="H62" s="86"/>
      <c r="I62" s="86"/>
      <c r="J62" s="86"/>
      <c r="K62" s="86"/>
      <c r="L62" s="86"/>
      <c r="M62" s="86"/>
      <c r="N62" s="86"/>
      <c r="O62" s="87"/>
      <c r="P62" s="86"/>
      <c r="Q62" s="88"/>
      <c r="R62" s="88"/>
    </row>
    <row r="63" spans="1:18" ht="15" customHeight="1" x14ac:dyDescent="0.3">
      <c r="A63" s="26" t="s">
        <v>40</v>
      </c>
      <c r="B63" s="26" t="s">
        <v>48</v>
      </c>
      <c r="C63" s="121" t="s">
        <v>290</v>
      </c>
      <c r="D63" s="26" t="s">
        <v>38</v>
      </c>
      <c r="E63" s="26" t="s">
        <v>43</v>
      </c>
      <c r="F63" s="26" t="s">
        <v>109</v>
      </c>
      <c r="G63" s="174"/>
      <c r="H63" s="86"/>
      <c r="I63" s="86"/>
      <c r="J63" s="86"/>
      <c r="K63" s="86"/>
      <c r="L63" s="86"/>
      <c r="M63" s="86"/>
      <c r="N63" s="86"/>
      <c r="O63" s="87"/>
      <c r="P63" s="86"/>
      <c r="Q63" s="88"/>
      <c r="R63" s="88"/>
    </row>
    <row r="64" spans="1:18" ht="15" customHeight="1" x14ac:dyDescent="0.3">
      <c r="A64" s="26" t="s">
        <v>40</v>
      </c>
      <c r="B64" s="26" t="s">
        <v>41</v>
      </c>
      <c r="C64" s="121" t="s">
        <v>297</v>
      </c>
      <c r="D64" s="26" t="s">
        <v>42</v>
      </c>
      <c r="E64" s="26" t="s">
        <v>79</v>
      </c>
      <c r="F64" s="26" t="s">
        <v>44</v>
      </c>
      <c r="G64" s="174"/>
      <c r="H64" s="86"/>
      <c r="I64" s="86"/>
      <c r="J64" s="86"/>
      <c r="K64" s="86"/>
      <c r="L64" s="86"/>
      <c r="M64" s="86"/>
      <c r="N64" s="86"/>
      <c r="O64" s="87"/>
      <c r="P64" s="86"/>
      <c r="Q64" s="88"/>
      <c r="R64" s="88"/>
    </row>
    <row r="65" spans="1:18" ht="15" customHeight="1" x14ac:dyDescent="0.3">
      <c r="A65" s="26" t="s">
        <v>40</v>
      </c>
      <c r="B65" s="26" t="s">
        <v>41</v>
      </c>
      <c r="C65" s="121" t="s">
        <v>297</v>
      </c>
      <c r="D65" s="26" t="s">
        <v>45</v>
      </c>
      <c r="E65" s="26" t="s">
        <v>79</v>
      </c>
      <c r="F65" s="26" t="s">
        <v>46</v>
      </c>
      <c r="G65" s="174"/>
      <c r="H65" s="86"/>
      <c r="I65" s="86"/>
      <c r="J65" s="86"/>
      <c r="K65" s="86"/>
      <c r="L65" s="86"/>
      <c r="M65" s="86"/>
      <c r="N65" s="86"/>
      <c r="O65" s="87"/>
      <c r="P65" s="86"/>
      <c r="Q65" s="88"/>
      <c r="R65" s="88"/>
    </row>
    <row r="66" spans="1:18" ht="15" customHeight="1" x14ac:dyDescent="0.3">
      <c r="A66" s="26" t="s">
        <v>40</v>
      </c>
      <c r="B66" s="26" t="s">
        <v>41</v>
      </c>
      <c r="C66" s="121" t="s">
        <v>297</v>
      </c>
      <c r="D66" s="26" t="s">
        <v>38</v>
      </c>
      <c r="E66" s="26" t="s">
        <v>79</v>
      </c>
      <c r="F66" s="26" t="s">
        <v>47</v>
      </c>
      <c r="G66" s="174"/>
      <c r="H66" s="86"/>
      <c r="I66" s="86"/>
      <c r="J66" s="86"/>
      <c r="K66" s="86"/>
      <c r="L66" s="86"/>
      <c r="M66" s="86"/>
      <c r="N66" s="86"/>
      <c r="O66" s="87"/>
      <c r="P66" s="86"/>
      <c r="Q66" s="88"/>
      <c r="R66" s="88"/>
    </row>
    <row r="67" spans="1:18" ht="15" customHeight="1" x14ac:dyDescent="0.3">
      <c r="A67" s="26" t="s">
        <v>31</v>
      </c>
      <c r="B67" s="26" t="s">
        <v>32</v>
      </c>
      <c r="C67" s="121" t="s">
        <v>272</v>
      </c>
      <c r="D67" s="26" t="s">
        <v>33</v>
      </c>
      <c r="E67" s="26" t="s">
        <v>123</v>
      </c>
      <c r="F67" s="26" t="s">
        <v>114</v>
      </c>
      <c r="G67" s="174"/>
      <c r="H67" s="86"/>
      <c r="I67" s="86"/>
      <c r="J67" s="86"/>
      <c r="K67" s="86"/>
      <c r="L67" s="86"/>
      <c r="M67" s="86"/>
      <c r="N67" s="86"/>
      <c r="O67" s="87"/>
      <c r="P67" s="86"/>
      <c r="Q67" s="88"/>
      <c r="R67" s="88"/>
    </row>
    <row r="68" spans="1:18" ht="15" customHeight="1" x14ac:dyDescent="0.3">
      <c r="A68" s="26" t="s">
        <v>31</v>
      </c>
      <c r="B68" s="26" t="s">
        <v>32</v>
      </c>
      <c r="C68" s="121" t="s">
        <v>272</v>
      </c>
      <c r="D68" s="26" t="s">
        <v>36</v>
      </c>
      <c r="E68" s="26" t="s">
        <v>123</v>
      </c>
      <c r="F68" s="26" t="s">
        <v>115</v>
      </c>
      <c r="G68" s="174"/>
      <c r="H68" s="86"/>
      <c r="I68" s="86"/>
      <c r="J68" s="86"/>
      <c r="K68" s="86"/>
      <c r="L68" s="86"/>
      <c r="M68" s="86"/>
      <c r="N68" s="86"/>
      <c r="O68" s="87"/>
      <c r="P68" s="86"/>
      <c r="Q68" s="88"/>
      <c r="R68" s="88"/>
    </row>
    <row r="69" spans="1:18" ht="15" customHeight="1" x14ac:dyDescent="0.3">
      <c r="A69" s="26" t="s">
        <v>31</v>
      </c>
      <c r="B69" s="26" t="s">
        <v>32</v>
      </c>
      <c r="C69" s="121" t="s">
        <v>272</v>
      </c>
      <c r="D69" s="26" t="s">
        <v>38</v>
      </c>
      <c r="E69" s="26" t="s">
        <v>123</v>
      </c>
      <c r="F69" s="26" t="s">
        <v>86</v>
      </c>
      <c r="G69" s="174"/>
      <c r="H69" s="86"/>
      <c r="I69" s="86"/>
      <c r="J69" s="86"/>
      <c r="K69" s="86"/>
      <c r="L69" s="86"/>
      <c r="M69" s="86"/>
      <c r="N69" s="86"/>
      <c r="O69" s="87"/>
      <c r="P69" s="86"/>
      <c r="Q69" s="88"/>
      <c r="R69" s="88"/>
    </row>
    <row r="70" spans="1:18" ht="15" customHeight="1" x14ac:dyDescent="0.3">
      <c r="A70" s="26" t="s">
        <v>58</v>
      </c>
      <c r="B70" s="26" t="s">
        <v>63</v>
      </c>
      <c r="C70" s="121" t="s">
        <v>307</v>
      </c>
      <c r="D70" s="26" t="s">
        <v>127</v>
      </c>
      <c r="E70" s="26" t="s">
        <v>29</v>
      </c>
      <c r="F70" s="26" t="s">
        <v>128</v>
      </c>
      <c r="G70" s="174"/>
      <c r="H70" s="86"/>
      <c r="I70" s="86"/>
      <c r="J70" s="86"/>
      <c r="K70" s="86"/>
      <c r="L70" s="86"/>
      <c r="M70" s="86"/>
      <c r="N70" s="86"/>
      <c r="O70" s="87"/>
      <c r="P70" s="86"/>
      <c r="Q70" s="88"/>
      <c r="R70" s="88"/>
    </row>
    <row r="71" spans="1:18" ht="15" customHeight="1" x14ac:dyDescent="0.3">
      <c r="A71" s="26" t="s">
        <v>58</v>
      </c>
      <c r="B71" s="26" t="s">
        <v>66</v>
      </c>
      <c r="C71" s="121" t="s">
        <v>298</v>
      </c>
      <c r="D71" s="26" t="s">
        <v>64</v>
      </c>
      <c r="E71" s="26" t="s">
        <v>29</v>
      </c>
      <c r="F71" s="26" t="s">
        <v>104</v>
      </c>
      <c r="G71" s="174"/>
      <c r="H71" s="86"/>
      <c r="I71" s="86"/>
      <c r="J71" s="86"/>
      <c r="K71" s="86"/>
      <c r="L71" s="86"/>
      <c r="M71" s="86"/>
      <c r="N71" s="86"/>
      <c r="O71" s="87"/>
      <c r="P71" s="86"/>
      <c r="Q71" s="88"/>
      <c r="R71" s="88"/>
    </row>
    <row r="72" spans="1:18" ht="15" customHeight="1" x14ac:dyDescent="0.3">
      <c r="A72" s="26" t="s">
        <v>58</v>
      </c>
      <c r="B72" s="26" t="s">
        <v>59</v>
      </c>
      <c r="C72" s="121" t="s">
        <v>341</v>
      </c>
      <c r="D72" s="26" t="s">
        <v>60</v>
      </c>
      <c r="E72" s="26" t="s">
        <v>29</v>
      </c>
      <c r="F72" s="26" t="s">
        <v>62</v>
      </c>
      <c r="G72" s="174"/>
      <c r="H72" s="86"/>
      <c r="I72" s="86"/>
      <c r="J72" s="86"/>
      <c r="K72" s="86"/>
      <c r="L72" s="86"/>
      <c r="M72" s="86"/>
      <c r="N72" s="86"/>
      <c r="O72" s="87"/>
      <c r="P72" s="86"/>
      <c r="Q72" s="88"/>
      <c r="R72" s="88"/>
    </row>
    <row r="73" spans="1:18" ht="15" customHeight="1" x14ac:dyDescent="0.3">
      <c r="A73" s="26" t="s">
        <v>26</v>
      </c>
      <c r="B73" s="26" t="s">
        <v>27</v>
      </c>
      <c r="C73" s="121" t="s">
        <v>270</v>
      </c>
      <c r="D73" s="26" t="s">
        <v>28</v>
      </c>
      <c r="E73" s="26" t="s">
        <v>29</v>
      </c>
      <c r="F73" s="26" t="s">
        <v>49</v>
      </c>
      <c r="G73" s="174"/>
      <c r="H73" s="86"/>
      <c r="I73" s="86"/>
      <c r="J73" s="86"/>
      <c r="K73" s="86"/>
      <c r="L73" s="86"/>
      <c r="M73" s="86"/>
      <c r="N73" s="86"/>
      <c r="O73" s="87"/>
      <c r="P73" s="86"/>
      <c r="Q73" s="88"/>
      <c r="R73" s="88"/>
    </row>
    <row r="74" spans="1:18" ht="15" customHeight="1" thickBot="1" x14ac:dyDescent="0.35">
      <c r="A74" s="89" t="s">
        <v>68</v>
      </c>
      <c r="B74" s="89" t="s">
        <v>69</v>
      </c>
      <c r="C74" s="156" t="s">
        <v>272</v>
      </c>
      <c r="D74" s="89" t="s">
        <v>70</v>
      </c>
      <c r="E74" s="89" t="s">
        <v>71</v>
      </c>
      <c r="F74" s="89" t="s">
        <v>122</v>
      </c>
      <c r="G74" s="175"/>
      <c r="H74" s="90"/>
      <c r="I74" s="90"/>
      <c r="J74" s="90"/>
      <c r="K74" s="90"/>
      <c r="L74" s="90"/>
      <c r="M74" s="90"/>
      <c r="N74" s="90"/>
      <c r="O74" s="91"/>
      <c r="P74" s="90"/>
      <c r="Q74" s="92"/>
      <c r="R74" s="92"/>
    </row>
    <row r="75" spans="1:18" ht="17.399999999999999" customHeight="1" thickBot="1" x14ac:dyDescent="0.35">
      <c r="A75" s="179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1"/>
    </row>
    <row r="76" spans="1:18" ht="22.05" customHeight="1" thickTop="1" thickBot="1" x14ac:dyDescent="0.35">
      <c r="A76" s="182" t="s">
        <v>6</v>
      </c>
      <c r="B76" s="177"/>
      <c r="C76" s="177"/>
      <c r="D76" s="177"/>
      <c r="E76" s="177"/>
      <c r="F76" s="178"/>
      <c r="G76" s="115">
        <v>46010</v>
      </c>
      <c r="H76" s="184" t="s">
        <v>7</v>
      </c>
      <c r="I76" s="177"/>
      <c r="J76" s="177"/>
      <c r="K76" s="177"/>
      <c r="L76" s="177"/>
      <c r="M76" s="177"/>
      <c r="N76" s="177"/>
      <c r="O76" s="177"/>
      <c r="P76" s="177"/>
      <c r="Q76" s="177"/>
      <c r="R76" s="178"/>
    </row>
    <row r="77" spans="1:18" ht="24" customHeight="1" x14ac:dyDescent="0.3">
      <c r="A77" s="13" t="s">
        <v>8</v>
      </c>
      <c r="B77" s="13" t="s">
        <v>9</v>
      </c>
      <c r="C77" s="116" t="s">
        <v>10</v>
      </c>
      <c r="D77" s="13" t="s">
        <v>11</v>
      </c>
      <c r="E77" s="13" t="s">
        <v>12</v>
      </c>
      <c r="F77" s="14" t="s">
        <v>13</v>
      </c>
      <c r="G77" s="15" t="s">
        <v>14</v>
      </c>
      <c r="H77" s="13" t="s">
        <v>15</v>
      </c>
      <c r="I77" s="117" t="s">
        <v>16</v>
      </c>
      <c r="J77" s="16" t="s">
        <v>17</v>
      </c>
      <c r="K77" s="17" t="s">
        <v>18</v>
      </c>
      <c r="L77" s="16" t="s">
        <v>19</v>
      </c>
      <c r="M77" s="16" t="s">
        <v>20</v>
      </c>
      <c r="N77" s="16" t="s">
        <v>21</v>
      </c>
      <c r="O77" s="13" t="s">
        <v>22</v>
      </c>
      <c r="P77" s="116" t="s">
        <v>23</v>
      </c>
      <c r="Q77" s="16" t="s">
        <v>24</v>
      </c>
      <c r="R77" s="13" t="s">
        <v>25</v>
      </c>
    </row>
    <row r="78" spans="1:18" ht="15" customHeight="1" x14ac:dyDescent="0.3">
      <c r="A78" s="103" t="s">
        <v>51</v>
      </c>
      <c r="B78" s="103" t="s">
        <v>336</v>
      </c>
      <c r="C78" s="157">
        <v>0.29166666666666669</v>
      </c>
      <c r="D78" s="103" t="s">
        <v>28</v>
      </c>
      <c r="E78" s="103" t="s">
        <v>29</v>
      </c>
      <c r="F78" s="103" t="s">
        <v>141</v>
      </c>
      <c r="G78" s="197"/>
      <c r="H78" s="104" t="s">
        <v>337</v>
      </c>
      <c r="I78" s="158">
        <v>0.14879999999999999</v>
      </c>
      <c r="J78" s="105">
        <v>25</v>
      </c>
      <c r="K78" s="106">
        <v>45992</v>
      </c>
      <c r="L78" s="105">
        <v>8</v>
      </c>
      <c r="M78" s="105">
        <v>1</v>
      </c>
      <c r="N78" s="105">
        <v>0</v>
      </c>
      <c r="O78" s="107" t="s">
        <v>154</v>
      </c>
      <c r="P78" s="159">
        <v>0.29166666666666669</v>
      </c>
      <c r="Q78" s="105">
        <v>168</v>
      </c>
      <c r="R78" s="108" t="s">
        <v>346</v>
      </c>
    </row>
    <row r="79" spans="1:18" ht="18" x14ac:dyDescent="0.3">
      <c r="A79" s="194" t="s">
        <v>340</v>
      </c>
      <c r="B79" s="195"/>
      <c r="C79" s="195"/>
      <c r="D79" s="195"/>
      <c r="E79" s="195"/>
      <c r="F79" s="196"/>
      <c r="G79" s="174"/>
      <c r="H79" s="86"/>
      <c r="I79" s="86"/>
      <c r="J79" s="86"/>
      <c r="K79" s="86"/>
      <c r="L79" s="86"/>
      <c r="M79" s="86"/>
      <c r="N79" s="86"/>
      <c r="O79" s="87"/>
      <c r="P79" s="86"/>
      <c r="Q79" s="88"/>
      <c r="R79" s="88"/>
    </row>
    <row r="80" spans="1:18" ht="15" customHeight="1" x14ac:dyDescent="0.3">
      <c r="A80" s="26" t="s">
        <v>31</v>
      </c>
      <c r="B80" s="26" t="s">
        <v>32</v>
      </c>
      <c r="C80" s="121" t="s">
        <v>272</v>
      </c>
      <c r="D80" s="26" t="s">
        <v>33</v>
      </c>
      <c r="E80" s="26" t="s">
        <v>89</v>
      </c>
      <c r="F80" s="26" t="s">
        <v>84</v>
      </c>
      <c r="G80" s="174"/>
      <c r="H80" s="86"/>
      <c r="I80" s="86"/>
      <c r="J80" s="86"/>
      <c r="K80" s="86"/>
      <c r="L80" s="86"/>
      <c r="M80" s="86"/>
      <c r="N80" s="86"/>
      <c r="O80" s="87"/>
      <c r="P80" s="86"/>
      <c r="Q80" s="88"/>
      <c r="R80" s="88"/>
    </row>
    <row r="81" spans="1:18" ht="15" customHeight="1" x14ac:dyDescent="0.3">
      <c r="A81" s="26" t="s">
        <v>31</v>
      </c>
      <c r="B81" s="26" t="s">
        <v>32</v>
      </c>
      <c r="C81" s="121" t="s">
        <v>272</v>
      </c>
      <c r="D81" s="26" t="s">
        <v>36</v>
      </c>
      <c r="E81" s="26" t="s">
        <v>89</v>
      </c>
      <c r="F81" s="26" t="s">
        <v>85</v>
      </c>
      <c r="G81" s="174"/>
      <c r="H81" s="86"/>
      <c r="I81" s="86"/>
      <c r="J81" s="86"/>
      <c r="K81" s="86"/>
      <c r="L81" s="86"/>
      <c r="M81" s="86"/>
      <c r="N81" s="86"/>
      <c r="O81" s="87"/>
      <c r="P81" s="86"/>
      <c r="Q81" s="88"/>
      <c r="R81" s="88"/>
    </row>
    <row r="82" spans="1:18" ht="15" customHeight="1" x14ac:dyDescent="0.3">
      <c r="A82" s="26" t="s">
        <v>31</v>
      </c>
      <c r="B82" s="26" t="s">
        <v>32</v>
      </c>
      <c r="C82" s="121" t="s">
        <v>272</v>
      </c>
      <c r="D82" s="26" t="s">
        <v>38</v>
      </c>
      <c r="E82" s="26" t="s">
        <v>89</v>
      </c>
      <c r="F82" s="26" t="s">
        <v>39</v>
      </c>
      <c r="G82" s="174"/>
      <c r="H82" s="86"/>
      <c r="I82" s="86"/>
      <c r="J82" s="86"/>
      <c r="K82" s="86"/>
      <c r="L82" s="86"/>
      <c r="M82" s="86"/>
      <c r="N82" s="86"/>
      <c r="O82" s="87"/>
      <c r="P82" s="86"/>
      <c r="Q82" s="88"/>
      <c r="R82" s="88"/>
    </row>
    <row r="83" spans="1:18" ht="15" customHeight="1" x14ac:dyDescent="0.3">
      <c r="A83" s="26" t="s">
        <v>40</v>
      </c>
      <c r="B83" s="26" t="s">
        <v>48</v>
      </c>
      <c r="C83" s="121" t="s">
        <v>290</v>
      </c>
      <c r="D83" s="26" t="s">
        <v>42</v>
      </c>
      <c r="E83" s="26" t="s">
        <v>71</v>
      </c>
      <c r="F83" s="26" t="s">
        <v>44</v>
      </c>
      <c r="G83" s="174"/>
      <c r="H83" s="86"/>
      <c r="I83" s="86"/>
      <c r="J83" s="86"/>
      <c r="K83" s="86"/>
      <c r="L83" s="86"/>
      <c r="M83" s="86"/>
      <c r="N83" s="86"/>
      <c r="O83" s="87"/>
      <c r="P83" s="86"/>
      <c r="Q83" s="88"/>
      <c r="R83" s="88"/>
    </row>
    <row r="84" spans="1:18" ht="15" customHeight="1" x14ac:dyDescent="0.3">
      <c r="A84" s="26" t="s">
        <v>40</v>
      </c>
      <c r="B84" s="26" t="s">
        <v>48</v>
      </c>
      <c r="C84" s="121" t="s">
        <v>290</v>
      </c>
      <c r="D84" s="26" t="s">
        <v>45</v>
      </c>
      <c r="E84" s="26" t="s">
        <v>71</v>
      </c>
      <c r="F84" s="26" t="s">
        <v>46</v>
      </c>
      <c r="G84" s="174"/>
      <c r="H84" s="86"/>
      <c r="I84" s="86"/>
      <c r="J84" s="86"/>
      <c r="K84" s="86"/>
      <c r="L84" s="86"/>
      <c r="M84" s="86"/>
      <c r="N84" s="86"/>
      <c r="O84" s="87"/>
      <c r="P84" s="86"/>
      <c r="Q84" s="88"/>
      <c r="R84" s="88"/>
    </row>
    <row r="85" spans="1:18" ht="15" customHeight="1" x14ac:dyDescent="0.3">
      <c r="A85" s="26" t="s">
        <v>40</v>
      </c>
      <c r="B85" s="26" t="s">
        <v>48</v>
      </c>
      <c r="C85" s="121" t="s">
        <v>290</v>
      </c>
      <c r="D85" s="26" t="s">
        <v>38</v>
      </c>
      <c r="E85" s="26" t="s">
        <v>71</v>
      </c>
      <c r="F85" s="26" t="s">
        <v>47</v>
      </c>
      <c r="G85" s="174"/>
      <c r="H85" s="86"/>
      <c r="I85" s="86"/>
      <c r="J85" s="86"/>
      <c r="K85" s="86"/>
      <c r="L85" s="86"/>
      <c r="M85" s="86"/>
      <c r="N85" s="86"/>
      <c r="O85" s="87"/>
      <c r="P85" s="86"/>
      <c r="Q85" s="88"/>
      <c r="R85" s="88"/>
    </row>
    <row r="86" spans="1:18" ht="15" customHeight="1" x14ac:dyDescent="0.3">
      <c r="A86" s="26" t="s">
        <v>58</v>
      </c>
      <c r="B86" s="26" t="s">
        <v>63</v>
      </c>
      <c r="C86" s="121" t="s">
        <v>307</v>
      </c>
      <c r="D86" s="26" t="s">
        <v>60</v>
      </c>
      <c r="E86" s="26" t="s">
        <v>29</v>
      </c>
      <c r="F86" s="26" t="s">
        <v>62</v>
      </c>
      <c r="G86" s="174"/>
      <c r="H86" s="86"/>
      <c r="I86" s="86"/>
      <c r="J86" s="86"/>
      <c r="K86" s="86"/>
      <c r="L86" s="86"/>
      <c r="M86" s="86"/>
      <c r="N86" s="86"/>
      <c r="O86" s="87"/>
      <c r="P86" s="86"/>
      <c r="Q86" s="88"/>
      <c r="R86" s="88"/>
    </row>
    <row r="87" spans="1:18" ht="15" customHeight="1" x14ac:dyDescent="0.3">
      <c r="A87" s="26" t="s">
        <v>58</v>
      </c>
      <c r="B87" s="26" t="s">
        <v>66</v>
      </c>
      <c r="C87" s="121" t="s">
        <v>298</v>
      </c>
      <c r="D87" s="26" t="s">
        <v>64</v>
      </c>
      <c r="E87" s="26" t="s">
        <v>29</v>
      </c>
      <c r="F87" s="26" t="s">
        <v>140</v>
      </c>
      <c r="G87" s="174"/>
      <c r="H87" s="86"/>
      <c r="I87" s="86"/>
      <c r="J87" s="86"/>
      <c r="K87" s="86"/>
      <c r="L87" s="86"/>
      <c r="M87" s="86"/>
      <c r="N87" s="86"/>
      <c r="O87" s="87"/>
      <c r="P87" s="86"/>
      <c r="Q87" s="88"/>
      <c r="R87" s="88"/>
    </row>
    <row r="88" spans="1:18" ht="15" customHeight="1" x14ac:dyDescent="0.3">
      <c r="A88" s="26" t="s">
        <v>58</v>
      </c>
      <c r="B88" s="26" t="s">
        <v>59</v>
      </c>
      <c r="C88" s="121" t="s">
        <v>341</v>
      </c>
      <c r="D88" s="26" t="s">
        <v>60</v>
      </c>
      <c r="E88" s="26" t="s">
        <v>29</v>
      </c>
      <c r="F88" s="26" t="s">
        <v>62</v>
      </c>
      <c r="G88" s="174"/>
      <c r="H88" s="86"/>
      <c r="I88" s="86"/>
      <c r="J88" s="86"/>
      <c r="K88" s="86"/>
      <c r="L88" s="86"/>
      <c r="M88" s="86"/>
      <c r="N88" s="86"/>
      <c r="O88" s="87"/>
      <c r="P88" s="86"/>
      <c r="Q88" s="88"/>
      <c r="R88" s="88"/>
    </row>
    <row r="89" spans="1:18" ht="15" customHeight="1" x14ac:dyDescent="0.3">
      <c r="A89" s="26" t="s">
        <v>26</v>
      </c>
      <c r="B89" s="26" t="s">
        <v>27</v>
      </c>
      <c r="C89" s="121" t="s">
        <v>270</v>
      </c>
      <c r="D89" s="26" t="s">
        <v>28</v>
      </c>
      <c r="E89" s="26" t="s">
        <v>29</v>
      </c>
      <c r="F89" s="26" t="s">
        <v>49</v>
      </c>
      <c r="G89" s="174"/>
      <c r="H89" s="86"/>
      <c r="I89" s="86"/>
      <c r="J89" s="86"/>
      <c r="K89" s="86"/>
      <c r="L89" s="86"/>
      <c r="M89" s="86"/>
      <c r="N89" s="86"/>
      <c r="O89" s="87"/>
      <c r="P89" s="86"/>
      <c r="Q89" s="88"/>
      <c r="R89" s="88"/>
    </row>
    <row r="90" spans="1:18" ht="15" customHeight="1" x14ac:dyDescent="0.3">
      <c r="A90" s="26" t="s">
        <v>51</v>
      </c>
      <c r="B90" s="26" t="s">
        <v>52</v>
      </c>
      <c r="C90" s="121" t="s">
        <v>226</v>
      </c>
      <c r="D90" s="26" t="s">
        <v>28</v>
      </c>
      <c r="E90" s="26" t="s">
        <v>29</v>
      </c>
      <c r="F90" s="26" t="s">
        <v>30</v>
      </c>
      <c r="G90" s="174"/>
      <c r="H90" s="86"/>
      <c r="I90" s="86"/>
      <c r="J90" s="86"/>
      <c r="K90" s="86"/>
      <c r="L90" s="86"/>
      <c r="M90" s="86"/>
      <c r="N90" s="86"/>
      <c r="O90" s="87"/>
      <c r="P90" s="86"/>
      <c r="Q90" s="88"/>
      <c r="R90" s="88"/>
    </row>
    <row r="91" spans="1:18" ht="15" customHeight="1" thickBot="1" x14ac:dyDescent="0.35">
      <c r="A91" s="89" t="s">
        <v>68</v>
      </c>
      <c r="B91" s="89" t="s">
        <v>69</v>
      </c>
      <c r="C91" s="156" t="s">
        <v>272</v>
      </c>
      <c r="D91" s="89" t="s">
        <v>70</v>
      </c>
      <c r="E91" s="89" t="s">
        <v>71</v>
      </c>
      <c r="F91" s="89" t="s">
        <v>157</v>
      </c>
      <c r="G91" s="175"/>
      <c r="H91" s="90"/>
      <c r="I91" s="90"/>
      <c r="J91" s="90"/>
      <c r="K91" s="90"/>
      <c r="L91" s="90"/>
      <c r="M91" s="90"/>
      <c r="N91" s="90"/>
      <c r="O91" s="91"/>
      <c r="P91" s="90"/>
      <c r="Q91" s="92"/>
      <c r="R91" s="92"/>
    </row>
    <row r="92" spans="1:18" ht="17.399999999999999" customHeight="1" thickBot="1" x14ac:dyDescent="0.35">
      <c r="A92" s="179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1"/>
    </row>
    <row r="93" spans="1:18" ht="22.05" customHeight="1" thickTop="1" thickBot="1" x14ac:dyDescent="0.35">
      <c r="A93" s="182" t="s">
        <v>6</v>
      </c>
      <c r="B93" s="177"/>
      <c r="C93" s="177"/>
      <c r="D93" s="177"/>
      <c r="E93" s="177"/>
      <c r="F93" s="178"/>
      <c r="G93" s="115">
        <v>46013</v>
      </c>
      <c r="H93" s="184" t="s">
        <v>7</v>
      </c>
      <c r="I93" s="177"/>
      <c r="J93" s="177"/>
      <c r="K93" s="177"/>
      <c r="L93" s="177"/>
      <c r="M93" s="177"/>
      <c r="N93" s="177"/>
      <c r="O93" s="177"/>
      <c r="P93" s="177"/>
      <c r="Q93" s="177"/>
      <c r="R93" s="178"/>
    </row>
    <row r="94" spans="1:18" ht="24" customHeight="1" x14ac:dyDescent="0.3">
      <c r="A94" s="13" t="s">
        <v>8</v>
      </c>
      <c r="B94" s="13" t="s">
        <v>9</v>
      </c>
      <c r="C94" s="116" t="s">
        <v>10</v>
      </c>
      <c r="D94" s="13" t="s">
        <v>11</v>
      </c>
      <c r="E94" s="13" t="s">
        <v>12</v>
      </c>
      <c r="F94" s="14" t="s">
        <v>13</v>
      </c>
      <c r="G94" s="15" t="s">
        <v>14</v>
      </c>
      <c r="H94" s="13" t="s">
        <v>15</v>
      </c>
      <c r="I94" s="117" t="s">
        <v>16</v>
      </c>
      <c r="J94" s="16" t="s">
        <v>17</v>
      </c>
      <c r="K94" s="17" t="s">
        <v>18</v>
      </c>
      <c r="L94" s="16" t="s">
        <v>19</v>
      </c>
      <c r="M94" s="16" t="s">
        <v>20</v>
      </c>
      <c r="N94" s="16" t="s">
        <v>21</v>
      </c>
      <c r="O94" s="13" t="s">
        <v>22</v>
      </c>
      <c r="P94" s="116" t="s">
        <v>23</v>
      </c>
      <c r="Q94" s="16" t="s">
        <v>24</v>
      </c>
      <c r="R94" s="13" t="s">
        <v>25</v>
      </c>
    </row>
    <row r="95" spans="1:18" ht="15" customHeight="1" x14ac:dyDescent="0.3">
      <c r="A95" s="54" t="s">
        <v>51</v>
      </c>
      <c r="B95" s="54" t="s">
        <v>336</v>
      </c>
      <c r="C95" s="140">
        <v>0.51041666666666663</v>
      </c>
      <c r="D95" s="54" t="s">
        <v>28</v>
      </c>
      <c r="E95" s="54" t="s">
        <v>29</v>
      </c>
      <c r="F95" s="54" t="s">
        <v>141</v>
      </c>
      <c r="G95" s="197"/>
      <c r="H95" s="81" t="s">
        <v>337</v>
      </c>
      <c r="I95" s="141">
        <v>0.11899999999999999</v>
      </c>
      <c r="J95" s="82">
        <v>20</v>
      </c>
      <c r="K95" s="83">
        <v>45992</v>
      </c>
      <c r="L95" s="82">
        <v>5</v>
      </c>
      <c r="M95" s="82">
        <v>1</v>
      </c>
      <c r="N95" s="82">
        <v>1</v>
      </c>
      <c r="O95" s="84" t="s">
        <v>154</v>
      </c>
      <c r="P95" s="142">
        <v>0.51041666666666663</v>
      </c>
      <c r="Q95" s="82">
        <v>168</v>
      </c>
      <c r="R95" s="85" t="s">
        <v>347</v>
      </c>
    </row>
    <row r="96" spans="1:18" ht="18" x14ac:dyDescent="0.3">
      <c r="A96" s="194" t="s">
        <v>340</v>
      </c>
      <c r="B96" s="195"/>
      <c r="C96" s="195"/>
      <c r="D96" s="195"/>
      <c r="E96" s="195"/>
      <c r="F96" s="196"/>
      <c r="G96" s="174"/>
      <c r="H96" s="86"/>
      <c r="I96" s="86"/>
      <c r="J96" s="86"/>
      <c r="K96" s="86"/>
      <c r="L96" s="86"/>
      <c r="M96" s="86"/>
      <c r="N96" s="86"/>
      <c r="O96" s="87"/>
      <c r="P96" s="86"/>
      <c r="Q96" s="88"/>
      <c r="R96" s="88"/>
    </row>
    <row r="97" spans="1:18" ht="15" customHeight="1" x14ac:dyDescent="0.3">
      <c r="A97" s="26" t="s">
        <v>31</v>
      </c>
      <c r="B97" s="26" t="s">
        <v>32</v>
      </c>
      <c r="C97" s="121" t="s">
        <v>272</v>
      </c>
      <c r="D97" s="26" t="s">
        <v>33</v>
      </c>
      <c r="E97" s="26" t="s">
        <v>147</v>
      </c>
      <c r="F97" s="26" t="s">
        <v>114</v>
      </c>
      <c r="G97" s="174"/>
      <c r="H97" s="86"/>
      <c r="I97" s="86"/>
      <c r="J97" s="86"/>
      <c r="K97" s="86"/>
      <c r="L97" s="86"/>
      <c r="M97" s="86"/>
      <c r="N97" s="86"/>
      <c r="O97" s="87"/>
      <c r="P97" s="86"/>
      <c r="Q97" s="88"/>
      <c r="R97" s="88"/>
    </row>
    <row r="98" spans="1:18" ht="15" customHeight="1" x14ac:dyDescent="0.3">
      <c r="A98" s="26" t="s">
        <v>31</v>
      </c>
      <c r="B98" s="26" t="s">
        <v>32</v>
      </c>
      <c r="C98" s="121" t="s">
        <v>272</v>
      </c>
      <c r="D98" s="26" t="s">
        <v>36</v>
      </c>
      <c r="E98" s="26" t="s">
        <v>147</v>
      </c>
      <c r="F98" s="26" t="s">
        <v>115</v>
      </c>
      <c r="G98" s="174"/>
      <c r="H98" s="86"/>
      <c r="I98" s="86"/>
      <c r="J98" s="86"/>
      <c r="K98" s="86"/>
      <c r="L98" s="86"/>
      <c r="M98" s="86"/>
      <c r="N98" s="86"/>
      <c r="O98" s="87"/>
      <c r="P98" s="86"/>
      <c r="Q98" s="88"/>
      <c r="R98" s="88"/>
    </row>
    <row r="99" spans="1:18" ht="15" customHeight="1" x14ac:dyDescent="0.3">
      <c r="A99" s="26" t="s">
        <v>31</v>
      </c>
      <c r="B99" s="26" t="s">
        <v>32</v>
      </c>
      <c r="C99" s="121" t="s">
        <v>272</v>
      </c>
      <c r="D99" s="26" t="s">
        <v>38</v>
      </c>
      <c r="E99" s="26" t="s">
        <v>147</v>
      </c>
      <c r="F99" s="26" t="s">
        <v>86</v>
      </c>
      <c r="G99" s="174"/>
      <c r="H99" s="86"/>
      <c r="I99" s="86"/>
      <c r="J99" s="86"/>
      <c r="K99" s="86"/>
      <c r="L99" s="86"/>
      <c r="M99" s="86"/>
      <c r="N99" s="86"/>
      <c r="O99" s="87"/>
      <c r="P99" s="86"/>
      <c r="Q99" s="88"/>
      <c r="R99" s="88"/>
    </row>
    <row r="100" spans="1:18" ht="15" customHeight="1" x14ac:dyDescent="0.3">
      <c r="A100" s="26" t="s">
        <v>40</v>
      </c>
      <c r="B100" s="26" t="s">
        <v>48</v>
      </c>
      <c r="C100" s="121" t="s">
        <v>290</v>
      </c>
      <c r="D100" s="26" t="s">
        <v>42</v>
      </c>
      <c r="E100" s="26" t="s">
        <v>120</v>
      </c>
      <c r="F100" s="26" t="s">
        <v>44</v>
      </c>
      <c r="G100" s="174"/>
      <c r="H100" s="86"/>
      <c r="I100" s="86"/>
      <c r="J100" s="86"/>
      <c r="K100" s="86"/>
      <c r="L100" s="86"/>
      <c r="M100" s="86"/>
      <c r="N100" s="86"/>
      <c r="O100" s="87"/>
      <c r="P100" s="86"/>
      <c r="Q100" s="88"/>
      <c r="R100" s="88"/>
    </row>
    <row r="101" spans="1:18" ht="15" customHeight="1" x14ac:dyDescent="0.3">
      <c r="A101" s="26" t="s">
        <v>40</v>
      </c>
      <c r="B101" s="26" t="s">
        <v>48</v>
      </c>
      <c r="C101" s="121" t="s">
        <v>290</v>
      </c>
      <c r="D101" s="26" t="s">
        <v>45</v>
      </c>
      <c r="E101" s="26" t="s">
        <v>120</v>
      </c>
      <c r="F101" s="26" t="s">
        <v>46</v>
      </c>
      <c r="G101" s="174"/>
      <c r="H101" s="86"/>
      <c r="I101" s="86"/>
      <c r="J101" s="86"/>
      <c r="K101" s="86"/>
      <c r="L101" s="86"/>
      <c r="M101" s="86"/>
      <c r="N101" s="86"/>
      <c r="O101" s="87"/>
      <c r="P101" s="86"/>
      <c r="Q101" s="88"/>
      <c r="R101" s="88"/>
    </row>
    <row r="102" spans="1:18" ht="15" customHeight="1" x14ac:dyDescent="0.3">
      <c r="A102" s="26" t="s">
        <v>40</v>
      </c>
      <c r="B102" s="26" t="s">
        <v>48</v>
      </c>
      <c r="C102" s="121" t="s">
        <v>290</v>
      </c>
      <c r="D102" s="26" t="s">
        <v>38</v>
      </c>
      <c r="E102" s="26" t="s">
        <v>120</v>
      </c>
      <c r="F102" s="26" t="s">
        <v>47</v>
      </c>
      <c r="G102" s="174"/>
      <c r="H102" s="86"/>
      <c r="I102" s="86"/>
      <c r="J102" s="86"/>
      <c r="K102" s="86"/>
      <c r="L102" s="86"/>
      <c r="M102" s="86"/>
      <c r="N102" s="86"/>
      <c r="O102" s="87"/>
      <c r="P102" s="86"/>
      <c r="Q102" s="88"/>
      <c r="R102" s="88"/>
    </row>
    <row r="103" spans="1:18" ht="15" customHeight="1" x14ac:dyDescent="0.3">
      <c r="A103" s="26" t="s">
        <v>40</v>
      </c>
      <c r="B103" s="26" t="s">
        <v>41</v>
      </c>
      <c r="C103" s="121" t="s">
        <v>297</v>
      </c>
      <c r="D103" s="26" t="s">
        <v>42</v>
      </c>
      <c r="E103" s="26" t="s">
        <v>79</v>
      </c>
      <c r="F103" s="26" t="s">
        <v>44</v>
      </c>
      <c r="G103" s="174"/>
      <c r="H103" s="86"/>
      <c r="I103" s="86"/>
      <c r="J103" s="86"/>
      <c r="K103" s="86"/>
      <c r="L103" s="86"/>
      <c r="M103" s="86"/>
      <c r="N103" s="86"/>
      <c r="O103" s="87"/>
      <c r="P103" s="86"/>
      <c r="Q103" s="88"/>
      <c r="R103" s="88"/>
    </row>
    <row r="104" spans="1:18" ht="15" customHeight="1" x14ac:dyDescent="0.3">
      <c r="A104" s="26" t="s">
        <v>40</v>
      </c>
      <c r="B104" s="26" t="s">
        <v>41</v>
      </c>
      <c r="C104" s="121" t="s">
        <v>297</v>
      </c>
      <c r="D104" s="26" t="s">
        <v>45</v>
      </c>
      <c r="E104" s="26" t="s">
        <v>79</v>
      </c>
      <c r="F104" s="26" t="s">
        <v>46</v>
      </c>
      <c r="G104" s="174"/>
      <c r="H104" s="86"/>
      <c r="I104" s="86"/>
      <c r="J104" s="86"/>
      <c r="K104" s="86"/>
      <c r="L104" s="86"/>
      <c r="M104" s="86"/>
      <c r="N104" s="86"/>
      <c r="O104" s="87"/>
      <c r="P104" s="86"/>
      <c r="Q104" s="88"/>
      <c r="R104" s="88"/>
    </row>
    <row r="105" spans="1:18" ht="15" customHeight="1" x14ac:dyDescent="0.3">
      <c r="A105" s="26" t="s">
        <v>40</v>
      </c>
      <c r="B105" s="26" t="s">
        <v>41</v>
      </c>
      <c r="C105" s="121" t="s">
        <v>297</v>
      </c>
      <c r="D105" s="26" t="s">
        <v>38</v>
      </c>
      <c r="E105" s="26" t="s">
        <v>79</v>
      </c>
      <c r="F105" s="26" t="s">
        <v>47</v>
      </c>
      <c r="G105" s="174"/>
      <c r="H105" s="86"/>
      <c r="I105" s="86"/>
      <c r="J105" s="86"/>
      <c r="K105" s="86"/>
      <c r="L105" s="86"/>
      <c r="M105" s="86"/>
      <c r="N105" s="86"/>
      <c r="O105" s="87"/>
      <c r="P105" s="86"/>
      <c r="Q105" s="88"/>
      <c r="R105" s="88"/>
    </row>
    <row r="106" spans="1:18" ht="15" customHeight="1" x14ac:dyDescent="0.3">
      <c r="A106" s="26" t="s">
        <v>58</v>
      </c>
      <c r="B106" s="26" t="s">
        <v>63</v>
      </c>
      <c r="C106" s="121" t="s">
        <v>307</v>
      </c>
      <c r="D106" s="26" t="s">
        <v>60</v>
      </c>
      <c r="E106" s="26" t="s">
        <v>29</v>
      </c>
      <c r="F106" s="26" t="s">
        <v>62</v>
      </c>
      <c r="G106" s="174"/>
      <c r="H106" s="86"/>
      <c r="I106" s="86"/>
      <c r="J106" s="86"/>
      <c r="K106" s="86"/>
      <c r="L106" s="86"/>
      <c r="M106" s="86"/>
      <c r="N106" s="86"/>
      <c r="O106" s="87"/>
      <c r="P106" s="86"/>
      <c r="Q106" s="88"/>
      <c r="R106" s="88"/>
    </row>
    <row r="107" spans="1:18" ht="15" customHeight="1" x14ac:dyDescent="0.3">
      <c r="A107" s="26" t="s">
        <v>58</v>
      </c>
      <c r="B107" s="26" t="s">
        <v>66</v>
      </c>
      <c r="C107" s="121" t="s">
        <v>298</v>
      </c>
      <c r="D107" s="26" t="s">
        <v>60</v>
      </c>
      <c r="E107" s="26" t="s">
        <v>29</v>
      </c>
      <c r="F107" s="26" t="s">
        <v>62</v>
      </c>
      <c r="G107" s="174"/>
      <c r="H107" s="86"/>
      <c r="I107" s="86"/>
      <c r="J107" s="86"/>
      <c r="K107" s="86"/>
      <c r="L107" s="86"/>
      <c r="M107" s="86"/>
      <c r="N107" s="86"/>
      <c r="O107" s="87"/>
      <c r="P107" s="86"/>
      <c r="Q107" s="88"/>
      <c r="R107" s="88"/>
    </row>
    <row r="108" spans="1:18" ht="15" customHeight="1" x14ac:dyDescent="0.3">
      <c r="A108" s="26" t="s">
        <v>58</v>
      </c>
      <c r="B108" s="26" t="s">
        <v>59</v>
      </c>
      <c r="C108" s="121" t="s">
        <v>341</v>
      </c>
      <c r="D108" s="26" t="s">
        <v>60</v>
      </c>
      <c r="E108" s="26" t="s">
        <v>29</v>
      </c>
      <c r="F108" s="26" t="s">
        <v>62</v>
      </c>
      <c r="G108" s="174"/>
      <c r="H108" s="86"/>
      <c r="I108" s="86"/>
      <c r="J108" s="86"/>
      <c r="K108" s="86"/>
      <c r="L108" s="86"/>
      <c r="M108" s="86"/>
      <c r="N108" s="86"/>
      <c r="O108" s="87"/>
      <c r="P108" s="86"/>
      <c r="Q108" s="88"/>
      <c r="R108" s="88"/>
    </row>
    <row r="109" spans="1:18" ht="15" customHeight="1" x14ac:dyDescent="0.3">
      <c r="A109" s="26" t="s">
        <v>26</v>
      </c>
      <c r="B109" s="26" t="s">
        <v>27</v>
      </c>
      <c r="C109" s="121" t="s">
        <v>270</v>
      </c>
      <c r="D109" s="26" t="s">
        <v>28</v>
      </c>
      <c r="E109" s="26" t="s">
        <v>29</v>
      </c>
      <c r="F109" s="26" t="s">
        <v>49</v>
      </c>
      <c r="G109" s="174"/>
      <c r="H109" s="86"/>
      <c r="I109" s="86"/>
      <c r="J109" s="86"/>
      <c r="K109" s="86"/>
      <c r="L109" s="86"/>
      <c r="M109" s="86"/>
      <c r="N109" s="86"/>
      <c r="O109" s="87"/>
      <c r="P109" s="86"/>
      <c r="Q109" s="88"/>
      <c r="R109" s="88"/>
    </row>
    <row r="110" spans="1:18" ht="15" customHeight="1" x14ac:dyDescent="0.3">
      <c r="A110" s="26" t="s">
        <v>73</v>
      </c>
      <c r="B110" s="26" t="s">
        <v>161</v>
      </c>
      <c r="C110" s="121" t="s">
        <v>348</v>
      </c>
      <c r="D110" s="26" t="s">
        <v>28</v>
      </c>
      <c r="E110" s="26" t="s">
        <v>53</v>
      </c>
      <c r="F110" s="26" t="s">
        <v>153</v>
      </c>
      <c r="G110" s="174"/>
      <c r="H110" s="86"/>
      <c r="I110" s="86"/>
      <c r="J110" s="86"/>
      <c r="K110" s="86"/>
      <c r="L110" s="86"/>
      <c r="M110" s="86"/>
      <c r="N110" s="86"/>
      <c r="O110" s="87"/>
      <c r="P110" s="86"/>
      <c r="Q110" s="88"/>
      <c r="R110" s="88"/>
    </row>
    <row r="111" spans="1:18" ht="15" customHeight="1" thickBot="1" x14ac:dyDescent="0.35">
      <c r="A111" s="89" t="s">
        <v>68</v>
      </c>
      <c r="B111" s="89" t="s">
        <v>69</v>
      </c>
      <c r="C111" s="156" t="s">
        <v>272</v>
      </c>
      <c r="D111" s="89" t="s">
        <v>70</v>
      </c>
      <c r="E111" s="89" t="s">
        <v>71</v>
      </c>
      <c r="F111" s="89" t="s">
        <v>122</v>
      </c>
      <c r="G111" s="175"/>
      <c r="H111" s="90"/>
      <c r="I111" s="90"/>
      <c r="J111" s="90"/>
      <c r="K111" s="90"/>
      <c r="L111" s="90"/>
      <c r="M111" s="90"/>
      <c r="N111" s="90"/>
      <c r="O111" s="91"/>
      <c r="P111" s="90"/>
      <c r="Q111" s="92"/>
      <c r="R111" s="92"/>
    </row>
    <row r="112" spans="1:18" ht="17.399999999999999" customHeight="1" thickBot="1" x14ac:dyDescent="0.35">
      <c r="A112" s="179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1"/>
    </row>
    <row r="113" spans="1:18" ht="22.05" customHeight="1" thickTop="1" thickBot="1" x14ac:dyDescent="0.35">
      <c r="A113" s="182" t="s">
        <v>6</v>
      </c>
      <c r="B113" s="177"/>
      <c r="C113" s="177"/>
      <c r="D113" s="177"/>
      <c r="E113" s="177"/>
      <c r="F113" s="178"/>
      <c r="G113" s="115">
        <v>46017</v>
      </c>
      <c r="H113" s="184" t="s">
        <v>7</v>
      </c>
      <c r="I113" s="177"/>
      <c r="J113" s="177"/>
      <c r="K113" s="177"/>
      <c r="L113" s="177"/>
      <c r="M113" s="177"/>
      <c r="N113" s="177"/>
      <c r="O113" s="177"/>
      <c r="P113" s="177"/>
      <c r="Q113" s="177"/>
      <c r="R113" s="178"/>
    </row>
    <row r="114" spans="1:18" ht="24" customHeight="1" x14ac:dyDescent="0.3">
      <c r="A114" s="13" t="s">
        <v>8</v>
      </c>
      <c r="B114" s="13" t="s">
        <v>9</v>
      </c>
      <c r="C114" s="116" t="s">
        <v>10</v>
      </c>
      <c r="D114" s="13" t="s">
        <v>11</v>
      </c>
      <c r="E114" s="13" t="s">
        <v>12</v>
      </c>
      <c r="F114" s="14" t="s">
        <v>13</v>
      </c>
      <c r="G114" s="15" t="s">
        <v>14</v>
      </c>
      <c r="H114" s="13" t="s">
        <v>15</v>
      </c>
      <c r="I114" s="117" t="s">
        <v>16</v>
      </c>
      <c r="J114" s="16" t="s">
        <v>17</v>
      </c>
      <c r="K114" s="17" t="s">
        <v>18</v>
      </c>
      <c r="L114" s="16" t="s">
        <v>19</v>
      </c>
      <c r="M114" s="16" t="s">
        <v>20</v>
      </c>
      <c r="N114" s="16" t="s">
        <v>21</v>
      </c>
      <c r="O114" s="13" t="s">
        <v>22</v>
      </c>
      <c r="P114" s="116" t="s">
        <v>23</v>
      </c>
      <c r="Q114" s="16" t="s">
        <v>24</v>
      </c>
      <c r="R114" s="13" t="s">
        <v>25</v>
      </c>
    </row>
    <row r="115" spans="1:18" ht="15" customHeight="1" x14ac:dyDescent="0.3">
      <c r="A115" s="55" t="s">
        <v>51</v>
      </c>
      <c r="B115" s="55" t="s">
        <v>336</v>
      </c>
      <c r="C115" s="144">
        <v>0.29166666666666669</v>
      </c>
      <c r="D115" s="55" t="s">
        <v>28</v>
      </c>
      <c r="E115" s="55" t="s">
        <v>29</v>
      </c>
      <c r="F115" s="55" t="s">
        <v>141</v>
      </c>
      <c r="G115" s="197"/>
      <c r="H115" s="93" t="s">
        <v>337</v>
      </c>
      <c r="I115" s="145">
        <v>0.19639999999999999</v>
      </c>
      <c r="J115" s="94">
        <v>33</v>
      </c>
      <c r="K115" s="95">
        <v>45992</v>
      </c>
      <c r="L115" s="94">
        <v>14</v>
      </c>
      <c r="M115" s="94">
        <v>6</v>
      </c>
      <c r="N115" s="94">
        <v>0</v>
      </c>
      <c r="O115" s="96" t="s">
        <v>154</v>
      </c>
      <c r="P115" s="146">
        <v>0.29166666666666669</v>
      </c>
      <c r="Q115" s="94">
        <v>168</v>
      </c>
      <c r="R115" s="97" t="s">
        <v>349</v>
      </c>
    </row>
    <row r="116" spans="1:18" ht="18" x14ac:dyDescent="0.3">
      <c r="A116" s="194" t="s">
        <v>340</v>
      </c>
      <c r="B116" s="195"/>
      <c r="C116" s="195"/>
      <c r="D116" s="195"/>
      <c r="E116" s="195"/>
      <c r="F116" s="196"/>
      <c r="G116" s="174"/>
      <c r="H116" s="86"/>
      <c r="I116" s="86"/>
      <c r="J116" s="86"/>
      <c r="K116" s="86"/>
      <c r="L116" s="86"/>
      <c r="M116" s="86"/>
      <c r="N116" s="86"/>
      <c r="O116" s="87"/>
      <c r="P116" s="86"/>
      <c r="Q116" s="88"/>
      <c r="R116" s="88"/>
    </row>
    <row r="117" spans="1:18" ht="15" customHeight="1" x14ac:dyDescent="0.3">
      <c r="A117" s="26" t="s">
        <v>31</v>
      </c>
      <c r="B117" s="26" t="s">
        <v>32</v>
      </c>
      <c r="C117" s="121" t="s">
        <v>272</v>
      </c>
      <c r="D117" s="26" t="s">
        <v>33</v>
      </c>
      <c r="E117" s="26" t="s">
        <v>126</v>
      </c>
      <c r="F117" s="26" t="s">
        <v>114</v>
      </c>
      <c r="G117" s="174"/>
      <c r="H117" s="86"/>
      <c r="I117" s="86"/>
      <c r="J117" s="86"/>
      <c r="K117" s="86"/>
      <c r="L117" s="86"/>
      <c r="M117" s="86"/>
      <c r="N117" s="86"/>
      <c r="O117" s="87"/>
      <c r="P117" s="86"/>
      <c r="Q117" s="88"/>
      <c r="R117" s="88"/>
    </row>
    <row r="118" spans="1:18" ht="15" customHeight="1" x14ac:dyDescent="0.3">
      <c r="A118" s="26" t="s">
        <v>31</v>
      </c>
      <c r="B118" s="26" t="s">
        <v>32</v>
      </c>
      <c r="C118" s="121" t="s">
        <v>272</v>
      </c>
      <c r="D118" s="26" t="s">
        <v>36</v>
      </c>
      <c r="E118" s="26" t="s">
        <v>126</v>
      </c>
      <c r="F118" s="26" t="s">
        <v>115</v>
      </c>
      <c r="G118" s="174"/>
      <c r="H118" s="86"/>
      <c r="I118" s="86"/>
      <c r="J118" s="86"/>
      <c r="K118" s="86"/>
      <c r="L118" s="86"/>
      <c r="M118" s="86"/>
      <c r="N118" s="86"/>
      <c r="O118" s="87"/>
      <c r="P118" s="86"/>
      <c r="Q118" s="88"/>
      <c r="R118" s="88"/>
    </row>
    <row r="119" spans="1:18" ht="15" customHeight="1" x14ac:dyDescent="0.3">
      <c r="A119" s="26" t="s">
        <v>31</v>
      </c>
      <c r="B119" s="26" t="s">
        <v>32</v>
      </c>
      <c r="C119" s="121" t="s">
        <v>272</v>
      </c>
      <c r="D119" s="26" t="s">
        <v>38</v>
      </c>
      <c r="E119" s="26" t="s">
        <v>126</v>
      </c>
      <c r="F119" s="26" t="s">
        <v>86</v>
      </c>
      <c r="G119" s="174"/>
      <c r="H119" s="86"/>
      <c r="I119" s="86"/>
      <c r="J119" s="86"/>
      <c r="K119" s="86"/>
      <c r="L119" s="86"/>
      <c r="M119" s="86"/>
      <c r="N119" s="86"/>
      <c r="O119" s="87"/>
      <c r="P119" s="86"/>
      <c r="Q119" s="88"/>
      <c r="R119" s="88"/>
    </row>
    <row r="120" spans="1:18" ht="15" customHeight="1" x14ac:dyDescent="0.3">
      <c r="A120" s="26" t="s">
        <v>40</v>
      </c>
      <c r="B120" s="26" t="s">
        <v>48</v>
      </c>
      <c r="C120" s="121" t="s">
        <v>290</v>
      </c>
      <c r="D120" s="26" t="s">
        <v>42</v>
      </c>
      <c r="E120" s="26" t="s">
        <v>43</v>
      </c>
      <c r="F120" s="26" t="s">
        <v>44</v>
      </c>
      <c r="G120" s="174"/>
      <c r="H120" s="86"/>
      <c r="I120" s="86"/>
      <c r="J120" s="86"/>
      <c r="K120" s="86"/>
      <c r="L120" s="86"/>
      <c r="M120" s="86"/>
      <c r="N120" s="86"/>
      <c r="O120" s="87"/>
      <c r="P120" s="86"/>
      <c r="Q120" s="88"/>
      <c r="R120" s="88"/>
    </row>
    <row r="121" spans="1:18" ht="15" customHeight="1" x14ac:dyDescent="0.3">
      <c r="A121" s="26" t="s">
        <v>40</v>
      </c>
      <c r="B121" s="26" t="s">
        <v>48</v>
      </c>
      <c r="C121" s="121" t="s">
        <v>290</v>
      </c>
      <c r="D121" s="26" t="s">
        <v>45</v>
      </c>
      <c r="E121" s="26" t="s">
        <v>43</v>
      </c>
      <c r="F121" s="26" t="s">
        <v>46</v>
      </c>
      <c r="G121" s="174"/>
      <c r="H121" s="86"/>
      <c r="I121" s="86"/>
      <c r="J121" s="86"/>
      <c r="K121" s="86"/>
      <c r="L121" s="86"/>
      <c r="M121" s="86"/>
      <c r="N121" s="86"/>
      <c r="O121" s="87"/>
      <c r="P121" s="86"/>
      <c r="Q121" s="88"/>
      <c r="R121" s="88"/>
    </row>
    <row r="122" spans="1:18" ht="15" customHeight="1" x14ac:dyDescent="0.3">
      <c r="A122" s="26" t="s">
        <v>40</v>
      </c>
      <c r="B122" s="26" t="s">
        <v>48</v>
      </c>
      <c r="C122" s="121" t="s">
        <v>290</v>
      </c>
      <c r="D122" s="26" t="s">
        <v>38</v>
      </c>
      <c r="E122" s="26" t="s">
        <v>43</v>
      </c>
      <c r="F122" s="26" t="s">
        <v>47</v>
      </c>
      <c r="G122" s="174"/>
      <c r="H122" s="86"/>
      <c r="I122" s="86"/>
      <c r="J122" s="86"/>
      <c r="K122" s="86"/>
      <c r="L122" s="86"/>
      <c r="M122" s="86"/>
      <c r="N122" s="86"/>
      <c r="O122" s="87"/>
      <c r="P122" s="86"/>
      <c r="Q122" s="88"/>
      <c r="R122" s="88"/>
    </row>
    <row r="123" spans="1:18" ht="15" customHeight="1" x14ac:dyDescent="0.3">
      <c r="A123" s="26" t="s">
        <v>58</v>
      </c>
      <c r="B123" s="26" t="s">
        <v>63</v>
      </c>
      <c r="C123" s="121" t="s">
        <v>307</v>
      </c>
      <c r="D123" s="26" t="s">
        <v>60</v>
      </c>
      <c r="E123" s="26" t="s">
        <v>29</v>
      </c>
      <c r="F123" s="26" t="s">
        <v>62</v>
      </c>
      <c r="G123" s="174"/>
      <c r="H123" s="86"/>
      <c r="I123" s="86"/>
      <c r="J123" s="86"/>
      <c r="K123" s="86"/>
      <c r="L123" s="86"/>
      <c r="M123" s="86"/>
      <c r="N123" s="86"/>
      <c r="O123" s="87"/>
      <c r="P123" s="86"/>
      <c r="Q123" s="88"/>
      <c r="R123" s="88"/>
    </row>
    <row r="124" spans="1:18" ht="15" customHeight="1" x14ac:dyDescent="0.3">
      <c r="A124" s="26" t="s">
        <v>58</v>
      </c>
      <c r="B124" s="26" t="s">
        <v>66</v>
      </c>
      <c r="C124" s="121" t="s">
        <v>298</v>
      </c>
      <c r="D124" s="26" t="s">
        <v>60</v>
      </c>
      <c r="E124" s="26" t="s">
        <v>29</v>
      </c>
      <c r="F124" s="26" t="s">
        <v>121</v>
      </c>
      <c r="G124" s="174"/>
      <c r="H124" s="86"/>
      <c r="I124" s="86"/>
      <c r="J124" s="86"/>
      <c r="K124" s="86"/>
      <c r="L124" s="86"/>
      <c r="M124" s="86"/>
      <c r="N124" s="86"/>
      <c r="O124" s="87"/>
      <c r="P124" s="86"/>
      <c r="Q124" s="88"/>
      <c r="R124" s="88"/>
    </row>
    <row r="125" spans="1:18" ht="15" customHeight="1" x14ac:dyDescent="0.3">
      <c r="A125" s="26" t="s">
        <v>58</v>
      </c>
      <c r="B125" s="26" t="s">
        <v>59</v>
      </c>
      <c r="C125" s="121" t="s">
        <v>341</v>
      </c>
      <c r="D125" s="26" t="s">
        <v>60</v>
      </c>
      <c r="E125" s="26" t="s">
        <v>29</v>
      </c>
      <c r="F125" s="26" t="s">
        <v>62</v>
      </c>
      <c r="G125" s="174"/>
      <c r="H125" s="86"/>
      <c r="I125" s="86"/>
      <c r="J125" s="86"/>
      <c r="K125" s="86"/>
      <c r="L125" s="86"/>
      <c r="M125" s="86"/>
      <c r="N125" s="86"/>
      <c r="O125" s="87"/>
      <c r="P125" s="86"/>
      <c r="Q125" s="88"/>
      <c r="R125" s="88"/>
    </row>
    <row r="126" spans="1:18" ht="15" customHeight="1" x14ac:dyDescent="0.3">
      <c r="A126" s="26" t="s">
        <v>26</v>
      </c>
      <c r="B126" s="26" t="s">
        <v>27</v>
      </c>
      <c r="C126" s="121" t="s">
        <v>270</v>
      </c>
      <c r="D126" s="26" t="s">
        <v>167</v>
      </c>
      <c r="E126" s="26" t="s">
        <v>29</v>
      </c>
      <c r="F126" s="26" t="s">
        <v>49</v>
      </c>
      <c r="G126" s="174"/>
      <c r="H126" s="86"/>
      <c r="I126" s="86"/>
      <c r="J126" s="86"/>
      <c r="K126" s="86"/>
      <c r="L126" s="86"/>
      <c r="M126" s="86"/>
      <c r="N126" s="86"/>
      <c r="O126" s="87"/>
      <c r="P126" s="86"/>
      <c r="Q126" s="88"/>
      <c r="R126" s="88"/>
    </row>
    <row r="127" spans="1:18" ht="15" customHeight="1" x14ac:dyDescent="0.3">
      <c r="A127" s="26" t="s">
        <v>51</v>
      </c>
      <c r="B127" s="26" t="s">
        <v>52</v>
      </c>
      <c r="C127" s="121" t="s">
        <v>226</v>
      </c>
      <c r="D127" s="26" t="s">
        <v>28</v>
      </c>
      <c r="E127" s="26" t="s">
        <v>29</v>
      </c>
      <c r="F127" s="26" t="s">
        <v>30</v>
      </c>
      <c r="G127" s="174"/>
      <c r="H127" s="86"/>
      <c r="I127" s="86"/>
      <c r="J127" s="86"/>
      <c r="K127" s="86"/>
      <c r="L127" s="86"/>
      <c r="M127" s="86"/>
      <c r="N127" s="86"/>
      <c r="O127" s="87"/>
      <c r="P127" s="86"/>
      <c r="Q127" s="88"/>
      <c r="R127" s="88"/>
    </row>
    <row r="128" spans="1:18" ht="15" customHeight="1" thickBot="1" x14ac:dyDescent="0.35">
      <c r="A128" s="89" t="s">
        <v>68</v>
      </c>
      <c r="B128" s="89" t="s">
        <v>69</v>
      </c>
      <c r="C128" s="156" t="s">
        <v>272</v>
      </c>
      <c r="D128" s="89" t="s">
        <v>70</v>
      </c>
      <c r="E128" s="89" t="s">
        <v>71</v>
      </c>
      <c r="F128" s="89" t="s">
        <v>122</v>
      </c>
      <c r="G128" s="175"/>
      <c r="H128" s="90"/>
      <c r="I128" s="90"/>
      <c r="J128" s="90"/>
      <c r="K128" s="90"/>
      <c r="L128" s="90"/>
      <c r="M128" s="90"/>
      <c r="N128" s="90"/>
      <c r="O128" s="91"/>
      <c r="P128" s="90"/>
      <c r="Q128" s="92"/>
      <c r="R128" s="92"/>
    </row>
    <row r="129" spans="1:18" ht="17.399999999999999" customHeight="1" thickBot="1" x14ac:dyDescent="0.35">
      <c r="A129" s="179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1"/>
    </row>
    <row r="130" spans="1:18" ht="22.05" customHeight="1" thickTop="1" thickBot="1" x14ac:dyDescent="0.35">
      <c r="A130" s="182" t="s">
        <v>6</v>
      </c>
      <c r="B130" s="177"/>
      <c r="C130" s="177"/>
      <c r="D130" s="177"/>
      <c r="E130" s="177"/>
      <c r="F130" s="178"/>
      <c r="G130" s="115">
        <v>46020</v>
      </c>
      <c r="H130" s="184" t="s">
        <v>7</v>
      </c>
      <c r="I130" s="177"/>
      <c r="J130" s="177"/>
      <c r="K130" s="177"/>
      <c r="L130" s="177"/>
      <c r="M130" s="177"/>
      <c r="N130" s="177"/>
      <c r="O130" s="177"/>
      <c r="P130" s="177"/>
      <c r="Q130" s="177"/>
      <c r="R130" s="178"/>
    </row>
    <row r="131" spans="1:18" ht="24" customHeight="1" x14ac:dyDescent="0.3">
      <c r="A131" s="13" t="s">
        <v>8</v>
      </c>
      <c r="B131" s="13" t="s">
        <v>9</v>
      </c>
      <c r="C131" s="116" t="s">
        <v>10</v>
      </c>
      <c r="D131" s="13" t="s">
        <v>11</v>
      </c>
      <c r="E131" s="13" t="s">
        <v>12</v>
      </c>
      <c r="F131" s="14" t="s">
        <v>13</v>
      </c>
      <c r="G131" s="15" t="s">
        <v>14</v>
      </c>
      <c r="H131" s="13" t="s">
        <v>15</v>
      </c>
      <c r="I131" s="117" t="s">
        <v>16</v>
      </c>
      <c r="J131" s="16" t="s">
        <v>17</v>
      </c>
      <c r="K131" s="17" t="s">
        <v>18</v>
      </c>
      <c r="L131" s="16" t="s">
        <v>19</v>
      </c>
      <c r="M131" s="16" t="s">
        <v>20</v>
      </c>
      <c r="N131" s="16" t="s">
        <v>21</v>
      </c>
      <c r="O131" s="13" t="s">
        <v>22</v>
      </c>
      <c r="P131" s="116" t="s">
        <v>23</v>
      </c>
      <c r="Q131" s="16" t="s">
        <v>24</v>
      </c>
      <c r="R131" s="13" t="s">
        <v>25</v>
      </c>
    </row>
    <row r="132" spans="1:18" ht="15" customHeight="1" x14ac:dyDescent="0.3">
      <c r="A132" s="54" t="s">
        <v>51</v>
      </c>
      <c r="B132" s="54" t="s">
        <v>336</v>
      </c>
      <c r="C132" s="140">
        <v>0.51041666666666663</v>
      </c>
      <c r="D132" s="54" t="s">
        <v>28</v>
      </c>
      <c r="E132" s="54" t="s">
        <v>29</v>
      </c>
      <c r="F132" s="54" t="s">
        <v>141</v>
      </c>
      <c r="G132" s="198"/>
      <c r="H132" s="81" t="s">
        <v>337</v>
      </c>
      <c r="I132" s="141">
        <v>0.1429</v>
      </c>
      <c r="J132" s="82">
        <v>24</v>
      </c>
      <c r="K132" s="83">
        <v>45992</v>
      </c>
      <c r="L132" s="82">
        <v>5</v>
      </c>
      <c r="M132" s="82">
        <v>2</v>
      </c>
      <c r="N132" s="82">
        <v>0</v>
      </c>
      <c r="O132" s="84" t="s">
        <v>154</v>
      </c>
      <c r="P132" s="142">
        <v>0.51041666666666663</v>
      </c>
      <c r="Q132" s="82">
        <v>168</v>
      </c>
      <c r="R132" s="85" t="s">
        <v>350</v>
      </c>
    </row>
    <row r="133" spans="1:18" ht="18" x14ac:dyDescent="0.3">
      <c r="A133" s="194" t="s">
        <v>340</v>
      </c>
      <c r="B133" s="195"/>
      <c r="C133" s="195"/>
      <c r="D133" s="195"/>
      <c r="E133" s="195"/>
      <c r="F133" s="196"/>
      <c r="G133" s="174"/>
      <c r="H133" s="86"/>
      <c r="I133" s="86"/>
      <c r="J133" s="86"/>
      <c r="K133" s="86"/>
      <c r="L133" s="86"/>
      <c r="M133" s="86"/>
      <c r="N133" s="86"/>
      <c r="O133" s="87"/>
      <c r="P133" s="86"/>
      <c r="Q133" s="88"/>
      <c r="R133" s="88"/>
    </row>
    <row r="134" spans="1:18" ht="15" customHeight="1" x14ac:dyDescent="0.3">
      <c r="A134" s="26" t="s">
        <v>31</v>
      </c>
      <c r="B134" s="26" t="s">
        <v>32</v>
      </c>
      <c r="C134" s="121" t="s">
        <v>272</v>
      </c>
      <c r="D134" s="26" t="s">
        <v>33</v>
      </c>
      <c r="E134" s="26" t="s">
        <v>123</v>
      </c>
      <c r="F134" s="26" t="s">
        <v>114</v>
      </c>
      <c r="G134" s="174"/>
      <c r="H134" s="86"/>
      <c r="I134" s="86"/>
      <c r="J134" s="86"/>
      <c r="K134" s="86"/>
      <c r="L134" s="86"/>
      <c r="M134" s="86"/>
      <c r="N134" s="86"/>
      <c r="O134" s="87"/>
      <c r="P134" s="86"/>
      <c r="Q134" s="88"/>
      <c r="R134" s="88"/>
    </row>
    <row r="135" spans="1:18" ht="15" customHeight="1" x14ac:dyDescent="0.3">
      <c r="A135" s="26" t="s">
        <v>31</v>
      </c>
      <c r="B135" s="26" t="s">
        <v>32</v>
      </c>
      <c r="C135" s="121" t="s">
        <v>272</v>
      </c>
      <c r="D135" s="26" t="s">
        <v>36</v>
      </c>
      <c r="E135" s="26" t="s">
        <v>123</v>
      </c>
      <c r="F135" s="26" t="s">
        <v>115</v>
      </c>
      <c r="G135" s="174"/>
      <c r="H135" s="86"/>
      <c r="I135" s="86"/>
      <c r="J135" s="86"/>
      <c r="K135" s="86"/>
      <c r="L135" s="86"/>
      <c r="M135" s="86"/>
      <c r="N135" s="86"/>
      <c r="O135" s="87"/>
      <c r="P135" s="86"/>
      <c r="Q135" s="88"/>
      <c r="R135" s="88"/>
    </row>
    <row r="136" spans="1:18" ht="15" customHeight="1" x14ac:dyDescent="0.3">
      <c r="A136" s="26" t="s">
        <v>31</v>
      </c>
      <c r="B136" s="26" t="s">
        <v>32</v>
      </c>
      <c r="C136" s="121" t="s">
        <v>272</v>
      </c>
      <c r="D136" s="26" t="s">
        <v>38</v>
      </c>
      <c r="E136" s="26" t="s">
        <v>123</v>
      </c>
      <c r="F136" s="26" t="s">
        <v>86</v>
      </c>
      <c r="G136" s="174"/>
      <c r="H136" s="86"/>
      <c r="I136" s="86"/>
      <c r="J136" s="86"/>
      <c r="K136" s="86"/>
      <c r="L136" s="86"/>
      <c r="M136" s="86"/>
      <c r="N136" s="86"/>
      <c r="O136" s="87"/>
      <c r="P136" s="86"/>
      <c r="Q136" s="88"/>
      <c r="R136" s="88"/>
    </row>
    <row r="137" spans="1:18" ht="15" customHeight="1" x14ac:dyDescent="0.3">
      <c r="A137" s="26" t="s">
        <v>40</v>
      </c>
      <c r="B137" s="26" t="s">
        <v>48</v>
      </c>
      <c r="C137" s="121" t="s">
        <v>290</v>
      </c>
      <c r="D137" s="26" t="s">
        <v>42</v>
      </c>
      <c r="E137" s="26" t="s">
        <v>79</v>
      </c>
      <c r="F137" s="26" t="s">
        <v>44</v>
      </c>
      <c r="G137" s="174"/>
      <c r="H137" s="86"/>
      <c r="I137" s="86"/>
      <c r="J137" s="86"/>
      <c r="K137" s="86"/>
      <c r="L137" s="86"/>
      <c r="M137" s="86"/>
      <c r="N137" s="86"/>
      <c r="O137" s="87"/>
      <c r="P137" s="86"/>
      <c r="Q137" s="88"/>
      <c r="R137" s="88"/>
    </row>
    <row r="138" spans="1:18" ht="15" customHeight="1" x14ac:dyDescent="0.3">
      <c r="A138" s="26" t="s">
        <v>40</v>
      </c>
      <c r="B138" s="26" t="s">
        <v>48</v>
      </c>
      <c r="C138" s="121" t="s">
        <v>290</v>
      </c>
      <c r="D138" s="26" t="s">
        <v>45</v>
      </c>
      <c r="E138" s="26" t="s">
        <v>79</v>
      </c>
      <c r="F138" s="26" t="s">
        <v>46</v>
      </c>
      <c r="G138" s="174"/>
      <c r="H138" s="86"/>
      <c r="I138" s="86"/>
      <c r="J138" s="86"/>
      <c r="K138" s="86"/>
      <c r="L138" s="86"/>
      <c r="M138" s="86"/>
      <c r="N138" s="86"/>
      <c r="O138" s="87"/>
      <c r="P138" s="86"/>
      <c r="Q138" s="88"/>
      <c r="R138" s="88"/>
    </row>
    <row r="139" spans="1:18" ht="15" customHeight="1" x14ac:dyDescent="0.3">
      <c r="A139" s="26" t="s">
        <v>40</v>
      </c>
      <c r="B139" s="26" t="s">
        <v>48</v>
      </c>
      <c r="C139" s="121" t="s">
        <v>290</v>
      </c>
      <c r="D139" s="26" t="s">
        <v>38</v>
      </c>
      <c r="E139" s="26" t="s">
        <v>79</v>
      </c>
      <c r="F139" s="26" t="s">
        <v>47</v>
      </c>
      <c r="G139" s="174"/>
      <c r="H139" s="86"/>
      <c r="I139" s="86"/>
      <c r="J139" s="86"/>
      <c r="K139" s="86"/>
      <c r="L139" s="86"/>
      <c r="M139" s="86"/>
      <c r="N139" s="86"/>
      <c r="O139" s="87"/>
      <c r="P139" s="86"/>
      <c r="Q139" s="88"/>
      <c r="R139" s="88"/>
    </row>
    <row r="140" spans="1:18" ht="15" customHeight="1" x14ac:dyDescent="0.3">
      <c r="A140" s="26" t="s">
        <v>40</v>
      </c>
      <c r="B140" s="26" t="s">
        <v>41</v>
      </c>
      <c r="C140" s="121" t="s">
        <v>297</v>
      </c>
      <c r="D140" s="26" t="s">
        <v>42</v>
      </c>
      <c r="E140" s="26" t="s">
        <v>79</v>
      </c>
      <c r="F140" s="26" t="s">
        <v>44</v>
      </c>
      <c r="G140" s="174"/>
      <c r="H140" s="86"/>
      <c r="I140" s="86"/>
      <c r="J140" s="86"/>
      <c r="K140" s="86"/>
      <c r="L140" s="86"/>
      <c r="M140" s="86"/>
      <c r="N140" s="86"/>
      <c r="O140" s="87"/>
      <c r="P140" s="86"/>
      <c r="Q140" s="88"/>
      <c r="R140" s="88"/>
    </row>
    <row r="141" spans="1:18" ht="15" customHeight="1" x14ac:dyDescent="0.3">
      <c r="A141" s="26" t="s">
        <v>40</v>
      </c>
      <c r="B141" s="26" t="s">
        <v>41</v>
      </c>
      <c r="C141" s="121" t="s">
        <v>297</v>
      </c>
      <c r="D141" s="26" t="s">
        <v>45</v>
      </c>
      <c r="E141" s="26" t="s">
        <v>79</v>
      </c>
      <c r="F141" s="26" t="s">
        <v>46</v>
      </c>
      <c r="G141" s="174"/>
      <c r="H141" s="86"/>
      <c r="I141" s="86"/>
      <c r="J141" s="86"/>
      <c r="K141" s="86"/>
      <c r="L141" s="86"/>
      <c r="M141" s="86"/>
      <c r="N141" s="86"/>
      <c r="O141" s="87"/>
      <c r="P141" s="86"/>
      <c r="Q141" s="88"/>
      <c r="R141" s="88"/>
    </row>
    <row r="142" spans="1:18" ht="15" customHeight="1" x14ac:dyDescent="0.3">
      <c r="A142" s="26" t="s">
        <v>40</v>
      </c>
      <c r="B142" s="26" t="s">
        <v>41</v>
      </c>
      <c r="C142" s="121" t="s">
        <v>297</v>
      </c>
      <c r="D142" s="26" t="s">
        <v>38</v>
      </c>
      <c r="E142" s="26" t="s">
        <v>79</v>
      </c>
      <c r="F142" s="26" t="s">
        <v>47</v>
      </c>
      <c r="G142" s="174"/>
      <c r="H142" s="86"/>
      <c r="I142" s="86"/>
      <c r="J142" s="86"/>
      <c r="K142" s="86"/>
      <c r="L142" s="86"/>
      <c r="M142" s="86"/>
      <c r="N142" s="86"/>
      <c r="O142" s="87"/>
      <c r="P142" s="86"/>
      <c r="Q142" s="88"/>
      <c r="R142" s="88"/>
    </row>
    <row r="143" spans="1:18" ht="15" customHeight="1" x14ac:dyDescent="0.3">
      <c r="A143" s="26" t="s">
        <v>58</v>
      </c>
      <c r="B143" s="26" t="s">
        <v>63</v>
      </c>
      <c r="C143" s="121" t="s">
        <v>307</v>
      </c>
      <c r="D143" s="26" t="s">
        <v>60</v>
      </c>
      <c r="E143" s="26" t="s">
        <v>29</v>
      </c>
      <c r="F143" s="26" t="s">
        <v>62</v>
      </c>
      <c r="G143" s="174"/>
      <c r="H143" s="86"/>
      <c r="I143" s="86"/>
      <c r="J143" s="86"/>
      <c r="K143" s="86"/>
      <c r="L143" s="86"/>
      <c r="M143" s="86"/>
      <c r="N143" s="86"/>
      <c r="O143" s="87"/>
      <c r="P143" s="86"/>
      <c r="Q143" s="88"/>
      <c r="R143" s="88"/>
    </row>
    <row r="144" spans="1:18" ht="15" customHeight="1" x14ac:dyDescent="0.3">
      <c r="A144" s="26" t="s">
        <v>58</v>
      </c>
      <c r="B144" s="26" t="s">
        <v>66</v>
      </c>
      <c r="C144" s="121" t="s">
        <v>298</v>
      </c>
      <c r="D144" s="26" t="s">
        <v>60</v>
      </c>
      <c r="E144" s="26" t="s">
        <v>29</v>
      </c>
      <c r="F144" s="26" t="s">
        <v>62</v>
      </c>
      <c r="G144" s="174"/>
      <c r="H144" s="86"/>
      <c r="I144" s="86"/>
      <c r="J144" s="86"/>
      <c r="K144" s="86"/>
      <c r="L144" s="86"/>
      <c r="M144" s="86"/>
      <c r="N144" s="86"/>
      <c r="O144" s="87"/>
      <c r="P144" s="86"/>
      <c r="Q144" s="88"/>
      <c r="R144" s="88"/>
    </row>
    <row r="145" spans="1:18" ht="15" customHeight="1" x14ac:dyDescent="0.3">
      <c r="A145" s="26" t="s">
        <v>58</v>
      </c>
      <c r="B145" s="26" t="s">
        <v>59</v>
      </c>
      <c r="C145" s="121" t="s">
        <v>341</v>
      </c>
      <c r="D145" s="26" t="s">
        <v>60</v>
      </c>
      <c r="E145" s="26" t="s">
        <v>29</v>
      </c>
      <c r="F145" s="26" t="s">
        <v>62</v>
      </c>
      <c r="G145" s="174"/>
      <c r="H145" s="86"/>
      <c r="I145" s="86"/>
      <c r="J145" s="86"/>
      <c r="K145" s="86"/>
      <c r="L145" s="86"/>
      <c r="M145" s="86"/>
      <c r="N145" s="86"/>
      <c r="O145" s="87"/>
      <c r="P145" s="86"/>
      <c r="Q145" s="88"/>
      <c r="R145" s="88"/>
    </row>
    <row r="146" spans="1:18" ht="15" customHeight="1" x14ac:dyDescent="0.3">
      <c r="A146" s="26" t="s">
        <v>26</v>
      </c>
      <c r="B146" s="26" t="s">
        <v>27</v>
      </c>
      <c r="C146" s="121" t="s">
        <v>270</v>
      </c>
      <c r="D146" s="26" t="s">
        <v>167</v>
      </c>
      <c r="E146" s="26" t="s">
        <v>29</v>
      </c>
      <c r="F146" s="26" t="s">
        <v>49</v>
      </c>
      <c r="G146" s="174"/>
      <c r="H146" s="86"/>
      <c r="I146" s="86"/>
      <c r="J146" s="86"/>
      <c r="K146" s="86"/>
      <c r="L146" s="86"/>
      <c r="M146" s="86"/>
      <c r="N146" s="86"/>
      <c r="O146" s="87"/>
      <c r="P146" s="86"/>
      <c r="Q146" s="88"/>
      <c r="R146" s="88"/>
    </row>
    <row r="147" spans="1:18" ht="15" customHeight="1" x14ac:dyDescent="0.3">
      <c r="A147" s="26" t="s">
        <v>73</v>
      </c>
      <c r="B147" s="26" t="s">
        <v>161</v>
      </c>
      <c r="C147" s="121" t="s">
        <v>351</v>
      </c>
      <c r="D147" s="26" t="s">
        <v>167</v>
      </c>
      <c r="E147" s="26" t="s">
        <v>136</v>
      </c>
      <c r="F147" s="26" t="s">
        <v>153</v>
      </c>
      <c r="G147" s="174"/>
      <c r="H147" s="86"/>
      <c r="I147" s="86"/>
      <c r="J147" s="86"/>
      <c r="K147" s="86"/>
      <c r="L147" s="86"/>
      <c r="M147" s="86"/>
      <c r="N147" s="86"/>
      <c r="O147" s="87"/>
      <c r="P147" s="86"/>
      <c r="Q147" s="88"/>
      <c r="R147" s="88"/>
    </row>
    <row r="148" spans="1:18" ht="15" customHeight="1" thickBot="1" x14ac:dyDescent="0.35">
      <c r="A148" s="89" t="s">
        <v>68</v>
      </c>
      <c r="B148" s="89" t="s">
        <v>69</v>
      </c>
      <c r="C148" s="156" t="s">
        <v>272</v>
      </c>
      <c r="D148" s="89" t="s">
        <v>70</v>
      </c>
      <c r="E148" s="89" t="s">
        <v>71</v>
      </c>
      <c r="F148" s="89" t="s">
        <v>122</v>
      </c>
      <c r="G148" s="175"/>
      <c r="H148" s="90"/>
      <c r="I148" s="90"/>
      <c r="J148" s="90"/>
      <c r="K148" s="90"/>
      <c r="L148" s="90"/>
      <c r="M148" s="90"/>
      <c r="N148" s="90"/>
      <c r="O148" s="91"/>
      <c r="P148" s="90"/>
      <c r="Q148" s="92"/>
      <c r="R148" s="92"/>
    </row>
    <row r="149" spans="1:18" ht="17.399999999999999" customHeight="1" thickBot="1" x14ac:dyDescent="0.35">
      <c r="A149" s="179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1"/>
    </row>
    <row r="150" spans="1:18" ht="15" thickTop="1" x14ac:dyDescent="0.3"/>
  </sheetData>
  <mergeCells count="47">
    <mergeCell ref="A133:F133"/>
    <mergeCell ref="H1:L1"/>
    <mergeCell ref="A1:E1"/>
    <mergeCell ref="A75:R75"/>
    <mergeCell ref="A21:F21"/>
    <mergeCell ref="H93:R93"/>
    <mergeCell ref="H4:R4"/>
    <mergeCell ref="A2:F2"/>
    <mergeCell ref="A3:R3"/>
    <mergeCell ref="H21:R21"/>
    <mergeCell ref="G2:J2"/>
    <mergeCell ref="A4:F4"/>
    <mergeCell ref="N1:R1"/>
    <mergeCell ref="A20:R20"/>
    <mergeCell ref="A112:R112"/>
    <mergeCell ref="G42:G55"/>
    <mergeCell ref="A149:R149"/>
    <mergeCell ref="H113:R113"/>
    <mergeCell ref="A56:R56"/>
    <mergeCell ref="A57:F57"/>
    <mergeCell ref="H40:R40"/>
    <mergeCell ref="A113:F113"/>
    <mergeCell ref="G115:G128"/>
    <mergeCell ref="A76:F76"/>
    <mergeCell ref="A129:R129"/>
    <mergeCell ref="A116:F116"/>
    <mergeCell ref="H130:R130"/>
    <mergeCell ref="G132:G148"/>
    <mergeCell ref="A96:F96"/>
    <mergeCell ref="G59:G74"/>
    <mergeCell ref="A43:F43"/>
    <mergeCell ref="A93:F93"/>
    <mergeCell ref="K2:R2"/>
    <mergeCell ref="A40:F40"/>
    <mergeCell ref="H57:R57"/>
    <mergeCell ref="A130:F130"/>
    <mergeCell ref="A24:F24"/>
    <mergeCell ref="G23:G38"/>
    <mergeCell ref="A92:R92"/>
    <mergeCell ref="A39:R39"/>
    <mergeCell ref="A60:F60"/>
    <mergeCell ref="G78:G91"/>
    <mergeCell ref="G95:G111"/>
    <mergeCell ref="A79:F79"/>
    <mergeCell ref="H76:R76"/>
    <mergeCell ref="G6:G19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0"/>
  <sheetViews>
    <sheetView workbookViewId="0"/>
  </sheetViews>
  <sheetFormatPr defaultRowHeight="15.6" outlineLevelCol="2" x14ac:dyDescent="0.3"/>
  <cols>
    <col min="1" max="1" width="10.33203125" style="161" bestFit="1" customWidth="1"/>
    <col min="2" max="2" width="10.88671875" style="161" bestFit="1" customWidth="1"/>
    <col min="3" max="3" width="7.88671875" style="161" bestFit="1" customWidth="1"/>
    <col min="4" max="4" width="6.77734375" style="161" bestFit="1" customWidth="1"/>
    <col min="5" max="5" width="11.109375" style="161" bestFit="1" customWidth="1"/>
    <col min="6" max="6" width="5.21875" style="161" bestFit="1" customWidth="1"/>
    <col min="7" max="7" width="10" style="161" bestFit="1" customWidth="1"/>
    <col min="8" max="8" width="8.5546875" style="161" bestFit="1" customWidth="1"/>
    <col min="9" max="10" width="8" style="161" bestFit="1" customWidth="1"/>
    <col min="11" max="11" width="12.21875" style="161" bestFit="1" customWidth="1"/>
    <col min="12" max="12" width="10.109375" style="161" bestFit="1" customWidth="1"/>
    <col min="13" max="13" width="8.77734375" style="161" bestFit="1" customWidth="1" outlineLevel="2"/>
    <col min="14" max="14" width="7.33203125" style="161" bestFit="1" customWidth="1" outlineLevel="2"/>
    <col min="15" max="15" width="9.109375" style="161" bestFit="1" customWidth="1" outlineLevel="2"/>
    <col min="16" max="16" width="15.33203125" style="161" bestFit="1" customWidth="1"/>
    <col min="17" max="24" width="3.88671875" style="161" bestFit="1" customWidth="1"/>
    <col min="25" max="25" width="4.21875" style="161" bestFit="1" customWidth="1"/>
    <col min="26" max="26" width="3.88671875" style="161" bestFit="1" customWidth="1"/>
    <col min="27" max="27" width="4.77734375" style="161" bestFit="1" customWidth="1"/>
    <col min="28" max="28" width="3.88671875" style="161" bestFit="1" customWidth="1"/>
    <col min="29" max="29" width="5.109375" style="161" bestFit="1" customWidth="1"/>
    <col min="30" max="31" width="5.33203125" style="161" bestFit="1" customWidth="1"/>
    <col min="32" max="32" width="4.44140625" style="161" bestFit="1" customWidth="1"/>
    <col min="33" max="36" width="3.88671875" style="161" bestFit="1" customWidth="1"/>
    <col min="37" max="16384" width="8.88671875" style="161"/>
  </cols>
  <sheetData>
    <row r="1" spans="1:36" x14ac:dyDescent="0.3">
      <c r="A1" s="160" t="s">
        <v>176</v>
      </c>
      <c r="B1" s="160" t="s">
        <v>177</v>
      </c>
      <c r="C1" s="160" t="s">
        <v>178</v>
      </c>
      <c r="D1" s="160" t="s">
        <v>23</v>
      </c>
      <c r="E1" s="160" t="s">
        <v>179</v>
      </c>
      <c r="F1" s="160" t="s">
        <v>180</v>
      </c>
      <c r="G1" s="160" t="s">
        <v>16</v>
      </c>
      <c r="H1" s="160" t="s">
        <v>181</v>
      </c>
      <c r="I1" s="160" t="s">
        <v>182</v>
      </c>
      <c r="J1" s="160" t="s">
        <v>183</v>
      </c>
      <c r="K1" s="160" t="s">
        <v>184</v>
      </c>
      <c r="L1" s="160" t="s">
        <v>18</v>
      </c>
      <c r="M1" s="160" t="s">
        <v>20</v>
      </c>
      <c r="N1" s="160" t="s">
        <v>21</v>
      </c>
      <c r="O1" s="160" t="s">
        <v>19</v>
      </c>
      <c r="P1" s="160" t="s">
        <v>22</v>
      </c>
      <c r="Q1" s="160" t="s">
        <v>185</v>
      </c>
      <c r="R1" s="160" t="s">
        <v>186</v>
      </c>
      <c r="S1" s="160" t="s">
        <v>187</v>
      </c>
      <c r="T1" s="160" t="s">
        <v>188</v>
      </c>
      <c r="U1" s="160" t="s">
        <v>189</v>
      </c>
      <c r="V1" s="160" t="s">
        <v>190</v>
      </c>
      <c r="W1" s="160" t="s">
        <v>191</v>
      </c>
      <c r="X1" s="160" t="s">
        <v>192</v>
      </c>
      <c r="Y1" s="160" t="s">
        <v>193</v>
      </c>
      <c r="Z1" s="160" t="s">
        <v>194</v>
      </c>
      <c r="AA1" s="160" t="s">
        <v>195</v>
      </c>
      <c r="AB1" s="160" t="s">
        <v>196</v>
      </c>
      <c r="AC1" s="160" t="s">
        <v>197</v>
      </c>
      <c r="AD1" s="160" t="s">
        <v>198</v>
      </c>
      <c r="AE1" s="160" t="s">
        <v>199</v>
      </c>
      <c r="AF1" s="160" t="s">
        <v>200</v>
      </c>
      <c r="AG1" s="160" t="s">
        <v>201</v>
      </c>
      <c r="AH1" s="160" t="s">
        <v>202</v>
      </c>
      <c r="AI1" s="160" t="s">
        <v>203</v>
      </c>
      <c r="AJ1" s="160" t="s">
        <v>204</v>
      </c>
    </row>
    <row r="2" spans="1:36" x14ac:dyDescent="0.3">
      <c r="A2" s="162" t="s">
        <v>225</v>
      </c>
      <c r="B2" s="163">
        <v>45996</v>
      </c>
      <c r="C2" s="164" t="s">
        <v>337</v>
      </c>
      <c r="D2" s="165" t="s">
        <v>352</v>
      </c>
      <c r="E2" s="164" t="s">
        <v>335</v>
      </c>
      <c r="F2" s="164" t="s">
        <v>207</v>
      </c>
      <c r="G2" s="166">
        <v>0.46429999999999999</v>
      </c>
      <c r="H2" s="167">
        <v>168</v>
      </c>
      <c r="I2" s="167">
        <v>78</v>
      </c>
      <c r="J2" s="167">
        <v>0</v>
      </c>
      <c r="K2" s="164" t="s">
        <v>208</v>
      </c>
      <c r="L2" s="160"/>
      <c r="M2" s="167">
        <v>9</v>
      </c>
      <c r="N2" s="167">
        <v>5</v>
      </c>
      <c r="O2" s="167">
        <v>35</v>
      </c>
      <c r="P2" s="164" t="s">
        <v>338</v>
      </c>
      <c r="Q2" s="160"/>
      <c r="R2" s="160"/>
      <c r="S2" s="160"/>
      <c r="T2" s="160"/>
      <c r="U2" s="160"/>
      <c r="V2" s="160"/>
      <c r="W2" s="160"/>
      <c r="X2" s="160"/>
      <c r="Y2" s="167" t="s">
        <v>353</v>
      </c>
      <c r="Z2" s="167" t="s">
        <v>234</v>
      </c>
      <c r="AA2" s="160"/>
      <c r="AB2" s="167" t="s">
        <v>245</v>
      </c>
      <c r="AC2" s="167" t="s">
        <v>354</v>
      </c>
      <c r="AD2" s="167" t="s">
        <v>355</v>
      </c>
      <c r="AE2" s="167" t="s">
        <v>142</v>
      </c>
      <c r="AF2" s="160"/>
      <c r="AG2" s="160"/>
      <c r="AH2" s="160"/>
      <c r="AI2" s="160"/>
      <c r="AJ2" s="160"/>
    </row>
    <row r="3" spans="1:36" x14ac:dyDescent="0.3">
      <c r="A3" s="162" t="s">
        <v>356</v>
      </c>
      <c r="B3" s="163">
        <v>45999</v>
      </c>
      <c r="C3" s="164" t="s">
        <v>337</v>
      </c>
      <c r="D3" s="165" t="s">
        <v>357</v>
      </c>
      <c r="E3" s="164" t="s">
        <v>335</v>
      </c>
      <c r="F3" s="164" t="s">
        <v>207</v>
      </c>
      <c r="G3" s="166">
        <v>0.47620000000000001</v>
      </c>
      <c r="H3" s="167">
        <v>168</v>
      </c>
      <c r="I3" s="167">
        <v>80</v>
      </c>
      <c r="J3" s="167">
        <v>0</v>
      </c>
      <c r="K3" s="164" t="s">
        <v>208</v>
      </c>
      <c r="L3" s="160"/>
      <c r="M3" s="167">
        <v>6</v>
      </c>
      <c r="N3" s="167">
        <v>3</v>
      </c>
      <c r="O3" s="167">
        <v>32</v>
      </c>
      <c r="P3" s="164" t="s">
        <v>257</v>
      </c>
      <c r="Q3" s="160"/>
      <c r="R3" s="160"/>
      <c r="S3" s="160"/>
      <c r="T3" s="160"/>
      <c r="U3" s="160"/>
      <c r="V3" s="160"/>
      <c r="W3" s="160"/>
      <c r="X3" s="160"/>
      <c r="Y3" s="160"/>
      <c r="Z3" s="167" t="s">
        <v>358</v>
      </c>
      <c r="AA3" s="160"/>
      <c r="AB3" s="160"/>
      <c r="AC3" s="167" t="s">
        <v>253</v>
      </c>
      <c r="AD3" s="167" t="s">
        <v>359</v>
      </c>
      <c r="AE3" s="167" t="s">
        <v>360</v>
      </c>
      <c r="AF3" s="167" t="s">
        <v>361</v>
      </c>
      <c r="AG3" s="160"/>
      <c r="AH3" s="160"/>
      <c r="AI3" s="160"/>
      <c r="AJ3" s="160"/>
    </row>
    <row r="4" spans="1:36" x14ac:dyDescent="0.3">
      <c r="A4" s="162" t="s">
        <v>225</v>
      </c>
      <c r="B4" s="163">
        <v>46003</v>
      </c>
      <c r="C4" s="164" t="s">
        <v>337</v>
      </c>
      <c r="D4" s="165" t="s">
        <v>352</v>
      </c>
      <c r="E4" s="164" t="s">
        <v>335</v>
      </c>
      <c r="F4" s="164" t="s">
        <v>207</v>
      </c>
      <c r="G4" s="166">
        <v>0.20830000000000001</v>
      </c>
      <c r="H4" s="167">
        <v>168</v>
      </c>
      <c r="I4" s="167">
        <v>35</v>
      </c>
      <c r="J4" s="167">
        <v>0</v>
      </c>
      <c r="K4" s="164" t="s">
        <v>208</v>
      </c>
      <c r="L4" s="160"/>
      <c r="M4" s="167">
        <v>1</v>
      </c>
      <c r="N4" s="167">
        <v>4</v>
      </c>
      <c r="O4" s="167">
        <v>12</v>
      </c>
      <c r="P4" s="164" t="s">
        <v>257</v>
      </c>
      <c r="Q4" s="160"/>
      <c r="R4" s="160"/>
      <c r="S4" s="160"/>
      <c r="T4" s="160"/>
      <c r="U4" s="160"/>
      <c r="V4" s="160"/>
      <c r="W4" s="160"/>
      <c r="X4" s="160"/>
      <c r="Y4" s="160"/>
      <c r="Z4" s="167" t="s">
        <v>227</v>
      </c>
      <c r="AA4" s="167" t="s">
        <v>362</v>
      </c>
      <c r="AB4" s="160"/>
      <c r="AC4" s="167" t="s">
        <v>261</v>
      </c>
      <c r="AD4" s="167" t="s">
        <v>363</v>
      </c>
      <c r="AE4" s="160"/>
      <c r="AF4" s="160"/>
      <c r="AG4" s="160"/>
      <c r="AH4" s="160"/>
      <c r="AI4" s="160"/>
      <c r="AJ4" s="160"/>
    </row>
    <row r="5" spans="1:36" x14ac:dyDescent="0.3">
      <c r="A5" s="162" t="s">
        <v>356</v>
      </c>
      <c r="B5" s="163">
        <v>46006</v>
      </c>
      <c r="C5" s="164" t="s">
        <v>337</v>
      </c>
      <c r="D5" s="165" t="s">
        <v>357</v>
      </c>
      <c r="E5" s="164" t="s">
        <v>335</v>
      </c>
      <c r="F5" s="164" t="s">
        <v>207</v>
      </c>
      <c r="G5" s="166">
        <v>0.23810000000000001</v>
      </c>
      <c r="H5" s="167">
        <v>168</v>
      </c>
      <c r="I5" s="167">
        <v>40</v>
      </c>
      <c r="J5" s="167">
        <v>0</v>
      </c>
      <c r="K5" s="164" t="s">
        <v>208</v>
      </c>
      <c r="L5" s="160"/>
      <c r="M5" s="167">
        <v>3</v>
      </c>
      <c r="N5" s="167">
        <v>1</v>
      </c>
      <c r="O5" s="167">
        <v>17</v>
      </c>
      <c r="P5" s="164" t="s">
        <v>257</v>
      </c>
      <c r="Q5" s="160"/>
      <c r="R5" s="160"/>
      <c r="S5" s="160"/>
      <c r="T5" s="160"/>
      <c r="U5" s="160"/>
      <c r="V5" s="160"/>
      <c r="W5" s="160"/>
      <c r="X5" s="160"/>
      <c r="Y5" s="160"/>
      <c r="Z5" s="167" t="s">
        <v>364</v>
      </c>
      <c r="AA5" s="167" t="s">
        <v>220</v>
      </c>
      <c r="AB5" s="160"/>
      <c r="AC5" s="167" t="s">
        <v>365</v>
      </c>
      <c r="AD5" s="167" t="s">
        <v>366</v>
      </c>
      <c r="AE5" s="160"/>
      <c r="AF5" s="160"/>
      <c r="AG5" s="160"/>
      <c r="AH5" s="160"/>
      <c r="AI5" s="160"/>
      <c r="AJ5" s="160"/>
    </row>
    <row r="6" spans="1:36" x14ac:dyDescent="0.3">
      <c r="A6" s="162" t="s">
        <v>225</v>
      </c>
      <c r="B6" s="163">
        <v>46010</v>
      </c>
      <c r="C6" s="164" t="s">
        <v>337</v>
      </c>
      <c r="D6" s="165" t="s">
        <v>352</v>
      </c>
      <c r="E6" s="164" t="s">
        <v>335</v>
      </c>
      <c r="F6" s="164" t="s">
        <v>207</v>
      </c>
      <c r="G6" s="166">
        <v>0.14879999999999999</v>
      </c>
      <c r="H6" s="167">
        <v>168</v>
      </c>
      <c r="I6" s="167">
        <v>25</v>
      </c>
      <c r="J6" s="167">
        <v>0</v>
      </c>
      <c r="K6" s="164" t="s">
        <v>208</v>
      </c>
      <c r="L6" s="160"/>
      <c r="M6" s="167">
        <v>1</v>
      </c>
      <c r="N6" s="167">
        <v>0</v>
      </c>
      <c r="O6" s="167">
        <v>8</v>
      </c>
      <c r="P6" s="164" t="s">
        <v>154</v>
      </c>
      <c r="Q6" s="160"/>
      <c r="R6" s="160"/>
      <c r="S6" s="160"/>
      <c r="T6" s="160"/>
      <c r="U6" s="160"/>
      <c r="V6" s="160"/>
      <c r="W6" s="160"/>
      <c r="X6" s="160"/>
      <c r="Y6" s="167" t="s">
        <v>367</v>
      </c>
      <c r="Z6" s="167" t="s">
        <v>241</v>
      </c>
      <c r="AA6" s="160"/>
      <c r="AB6" s="167" t="s">
        <v>212</v>
      </c>
      <c r="AC6" s="167" t="s">
        <v>253</v>
      </c>
      <c r="AD6" s="167" t="s">
        <v>246</v>
      </c>
      <c r="AE6" s="167" t="s">
        <v>242</v>
      </c>
      <c r="AF6" s="160"/>
      <c r="AG6" s="160"/>
      <c r="AH6" s="160"/>
      <c r="AI6" s="160"/>
      <c r="AJ6" s="160"/>
    </row>
    <row r="7" spans="1:36" x14ac:dyDescent="0.3">
      <c r="A7" s="162" t="s">
        <v>356</v>
      </c>
      <c r="B7" s="163">
        <v>46013</v>
      </c>
      <c r="C7" s="164" t="s">
        <v>337</v>
      </c>
      <c r="D7" s="165" t="s">
        <v>357</v>
      </c>
      <c r="E7" s="164" t="s">
        <v>335</v>
      </c>
      <c r="F7" s="164" t="s">
        <v>207</v>
      </c>
      <c r="G7" s="166">
        <v>0.11899999999999999</v>
      </c>
      <c r="H7" s="167">
        <v>168</v>
      </c>
      <c r="I7" s="167">
        <v>20</v>
      </c>
      <c r="J7" s="167">
        <v>0</v>
      </c>
      <c r="K7" s="164" t="s">
        <v>208</v>
      </c>
      <c r="L7" s="160"/>
      <c r="M7" s="167">
        <v>1</v>
      </c>
      <c r="N7" s="167">
        <v>1</v>
      </c>
      <c r="O7" s="167">
        <v>5</v>
      </c>
      <c r="P7" s="164" t="s">
        <v>154</v>
      </c>
      <c r="Q7" s="160"/>
      <c r="R7" s="160"/>
      <c r="S7" s="160"/>
      <c r="T7" s="160"/>
      <c r="U7" s="160"/>
      <c r="V7" s="160"/>
      <c r="W7" s="160"/>
      <c r="X7" s="160"/>
      <c r="Y7" s="167" t="s">
        <v>367</v>
      </c>
      <c r="Z7" s="167" t="s">
        <v>219</v>
      </c>
      <c r="AA7" s="160"/>
      <c r="AB7" s="167" t="s">
        <v>212</v>
      </c>
      <c r="AC7" s="167" t="s">
        <v>365</v>
      </c>
      <c r="AD7" s="167" t="s">
        <v>264</v>
      </c>
      <c r="AE7" s="167" t="s">
        <v>237</v>
      </c>
      <c r="AF7" s="160"/>
      <c r="AG7" s="160"/>
      <c r="AH7" s="160"/>
      <c r="AI7" s="160"/>
      <c r="AJ7" s="160"/>
    </row>
    <row r="8" spans="1:36" x14ac:dyDescent="0.3">
      <c r="A8" s="162" t="s">
        <v>225</v>
      </c>
      <c r="B8" s="163">
        <v>46017</v>
      </c>
      <c r="C8" s="164" t="s">
        <v>337</v>
      </c>
      <c r="D8" s="165" t="s">
        <v>352</v>
      </c>
      <c r="E8" s="164" t="s">
        <v>335</v>
      </c>
      <c r="F8" s="164" t="s">
        <v>207</v>
      </c>
      <c r="G8" s="166">
        <v>0.19639999999999999</v>
      </c>
      <c r="H8" s="167">
        <v>168</v>
      </c>
      <c r="I8" s="167">
        <v>33</v>
      </c>
      <c r="J8" s="167">
        <v>0</v>
      </c>
      <c r="K8" s="164" t="s">
        <v>208</v>
      </c>
      <c r="L8" s="160"/>
      <c r="M8" s="167">
        <v>6</v>
      </c>
      <c r="N8" s="167">
        <v>0</v>
      </c>
      <c r="O8" s="167">
        <v>14</v>
      </c>
      <c r="P8" s="164" t="s">
        <v>154</v>
      </c>
      <c r="Q8" s="160"/>
      <c r="R8" s="160"/>
      <c r="S8" s="160"/>
      <c r="T8" s="160"/>
      <c r="U8" s="160"/>
      <c r="V8" s="160"/>
      <c r="W8" s="160"/>
      <c r="X8" s="160"/>
      <c r="Y8" s="160"/>
      <c r="Z8" s="167" t="s">
        <v>219</v>
      </c>
      <c r="AA8" s="167" t="s">
        <v>244</v>
      </c>
      <c r="AB8" s="167" t="s">
        <v>228</v>
      </c>
      <c r="AC8" s="167" t="s">
        <v>253</v>
      </c>
      <c r="AD8" s="167" t="s">
        <v>251</v>
      </c>
      <c r="AE8" s="167" t="s">
        <v>242</v>
      </c>
      <c r="AF8" s="160"/>
      <c r="AG8" s="160"/>
      <c r="AH8" s="160"/>
      <c r="AI8" s="160"/>
      <c r="AJ8" s="160"/>
    </row>
    <row r="9" spans="1:36" x14ac:dyDescent="0.3">
      <c r="A9" s="162" t="s">
        <v>356</v>
      </c>
      <c r="B9" s="163">
        <v>46020</v>
      </c>
      <c r="C9" s="164" t="s">
        <v>337</v>
      </c>
      <c r="D9" s="165" t="s">
        <v>357</v>
      </c>
      <c r="E9" s="164" t="s">
        <v>335</v>
      </c>
      <c r="F9" s="164" t="s">
        <v>207</v>
      </c>
      <c r="G9" s="166">
        <v>0.1429</v>
      </c>
      <c r="H9" s="167">
        <v>168</v>
      </c>
      <c r="I9" s="167">
        <v>24</v>
      </c>
      <c r="J9" s="167">
        <v>0</v>
      </c>
      <c r="K9" s="164" t="s">
        <v>208</v>
      </c>
      <c r="L9" s="160"/>
      <c r="M9" s="167">
        <v>2</v>
      </c>
      <c r="N9" s="167">
        <v>0</v>
      </c>
      <c r="O9" s="167">
        <v>5</v>
      </c>
      <c r="P9" s="164" t="s">
        <v>154</v>
      </c>
      <c r="Q9" s="160"/>
      <c r="R9" s="160"/>
      <c r="S9" s="160"/>
      <c r="T9" s="160"/>
      <c r="U9" s="160"/>
      <c r="V9" s="160"/>
      <c r="W9" s="160"/>
      <c r="X9" s="160"/>
      <c r="Y9" s="167" t="s">
        <v>209</v>
      </c>
      <c r="Z9" s="167" t="s">
        <v>368</v>
      </c>
      <c r="AA9" s="167" t="s">
        <v>248</v>
      </c>
      <c r="AB9" s="167" t="s">
        <v>369</v>
      </c>
      <c r="AC9" s="167" t="s">
        <v>370</v>
      </c>
      <c r="AD9" s="167" t="s">
        <v>260</v>
      </c>
      <c r="AE9" s="167" t="s">
        <v>252</v>
      </c>
      <c r="AF9" s="160"/>
      <c r="AG9" s="160"/>
      <c r="AH9" s="160"/>
      <c r="AI9" s="160"/>
      <c r="AJ9" s="160"/>
    </row>
    <row r="10" spans="1:36" ht="21" x14ac:dyDescent="0.3">
      <c r="A10" s="168" t="s">
        <v>372</v>
      </c>
      <c r="B10" s="169"/>
      <c r="C10" s="168">
        <f>SUBTOTAL(103,DMM_ATZ_LF_LEGACY[Flt])</f>
        <v>8</v>
      </c>
      <c r="D10" s="168"/>
      <c r="E10" s="168">
        <f>SUBTOTAL(103,DMM_ATZ_LF_LEGACY[Brd-Off])</f>
        <v>8</v>
      </c>
      <c r="F10" s="168"/>
      <c r="G10" s="170">
        <f>SUBTOTAL(101,DMM_ATZ_LF_LEGACY[LF%])</f>
        <v>0.24925</v>
      </c>
      <c r="H10" s="171">
        <f>SUBTOTAL(109,DMM_ATZ_LF_LEGACY[CAP])</f>
        <v>1344</v>
      </c>
      <c r="I10" s="171">
        <f>SUBTOTAL(109,DMM_ATZ_LF_LEGACY[BKG(Y)])</f>
        <v>335</v>
      </c>
      <c r="J10" s="171">
        <f>SUBTOTAL(109,DMM_ATZ_LF_LEGACY[GRP(Y)])</f>
        <v>0</v>
      </c>
      <c r="K10" s="168"/>
      <c r="L10" s="169"/>
      <c r="M10" s="171">
        <f>SUBTOTAL(109,DMM_ATZ_LF_LEGACY[TO-DAY])</f>
        <v>29</v>
      </c>
      <c r="N10" s="171">
        <f>SUBTOTAL(109,DMM_ATZ_LF_LEGACY[Y-DAY])</f>
        <v>14</v>
      </c>
      <c r="O10" s="171">
        <f>SUBTOTAL(109,DMM_ATZ_LF_LEGACY[WEEKLY])</f>
        <v>128</v>
      </c>
      <c r="P10" s="172"/>
      <c r="Q10" s="171">
        <f>SUBTOTAL(109,DMM_ATZ_LF_LEGACY[Y])</f>
        <v>0</v>
      </c>
      <c r="R10" s="171">
        <f>SUBTOTAL(109,DMM_ATZ_LF_LEGACY[B])</f>
        <v>0</v>
      </c>
      <c r="S10" s="171">
        <f>SUBTOTAL(109,DMM_ATZ_LF_LEGACY[M])</f>
        <v>0</v>
      </c>
      <c r="T10" s="171">
        <f>SUBTOTAL(109,DMM_ATZ_LF_LEGACY[H])</f>
        <v>0</v>
      </c>
      <c r="U10" s="171">
        <f>SUBTOTAL(109,DMM_ATZ_LF_LEGACY[Q])</f>
        <v>0</v>
      </c>
      <c r="V10" s="171">
        <f>SUBTOTAL(109,DMM_ATZ_LF_LEGACY[K])</f>
        <v>0</v>
      </c>
      <c r="W10" s="171">
        <f>SUBTOTAL(109,DMM_ATZ_LF_LEGACY[V])</f>
        <v>0</v>
      </c>
      <c r="X10" s="171">
        <f>SUBTOTAL(109,DMM_ATZ_LF_LEGACY[L])</f>
        <v>0</v>
      </c>
      <c r="Y10" s="171">
        <f>SUBTOTAL(109,DMM_ATZ_LF_LEGACY[G])</f>
        <v>0</v>
      </c>
      <c r="Z10" s="171">
        <f>SUBTOTAL(109,DMM_ATZ_LF_LEGACY[S])</f>
        <v>0</v>
      </c>
      <c r="AA10" s="171">
        <f>SUBTOTAL(109,DMM_ATZ_LF_LEGACY[W])</f>
        <v>0</v>
      </c>
      <c r="AB10" s="171">
        <f>SUBTOTAL(109,DMM_ATZ_LF_LEGACY[T])</f>
        <v>0</v>
      </c>
      <c r="AC10" s="171">
        <f>SUBTOTAL(109,DMM_ATZ_LF_LEGACY[X])</f>
        <v>0</v>
      </c>
      <c r="AD10" s="171">
        <f>SUBTOTAL(109,DMM_ATZ_LF_LEGACY[U])</f>
        <v>0</v>
      </c>
      <c r="AE10" s="171">
        <f>SUBTOTAL(109,DMM_ATZ_LF_LEGACY[O])</f>
        <v>0</v>
      </c>
      <c r="AF10" s="171">
        <f>SUBTOTAL(109,DMM_ATZ_LF_LEGACY[I])</f>
        <v>0</v>
      </c>
      <c r="AG10" s="171">
        <f>SUBTOTAL(109,DMM_ATZ_LF_LEGACY[E])</f>
        <v>0</v>
      </c>
      <c r="AH10" s="171">
        <f>SUBTOTAL(109,DMM_ATZ_LF_LEGACY[A])</f>
        <v>0</v>
      </c>
      <c r="AI10" s="171">
        <f>SUBTOTAL(109,DMM_ATZ_LF_LEGACY[P])</f>
        <v>0</v>
      </c>
      <c r="AJ10" s="171">
        <f>SUBTOTAL(103,DMM_ATZ_LF_LEGACY[N])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6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  <col min="9" max="9" width="178.44140625" hidden="1" customWidth="1"/>
  </cols>
  <sheetData>
    <row r="1" spans="1:9" ht="18" x14ac:dyDescent="0.3">
      <c r="A1" s="56" t="s">
        <v>267</v>
      </c>
      <c r="B1" s="57" t="s">
        <v>8</v>
      </c>
      <c r="C1" s="57" t="s">
        <v>9</v>
      </c>
      <c r="D1" s="57" t="s">
        <v>268</v>
      </c>
      <c r="E1" s="57" t="s">
        <v>10</v>
      </c>
      <c r="F1" s="57" t="s">
        <v>11</v>
      </c>
      <c r="G1" s="57" t="s">
        <v>12</v>
      </c>
      <c r="H1" s="58" t="s">
        <v>13</v>
      </c>
      <c r="I1" s="88"/>
    </row>
    <row r="2" spans="1:9" ht="19.8" customHeight="1" x14ac:dyDescent="0.3">
      <c r="A2" s="109"/>
      <c r="B2" s="110"/>
      <c r="C2" s="110"/>
      <c r="D2" s="110"/>
      <c r="E2" s="110"/>
      <c r="F2" s="111" t="s">
        <v>371</v>
      </c>
      <c r="G2" s="110"/>
      <c r="H2" s="112"/>
      <c r="I2" s="88"/>
    </row>
    <row r="3" spans="1:9" ht="19.8" customHeight="1" x14ac:dyDescent="0.3">
      <c r="A3" s="59" t="s">
        <v>269</v>
      </c>
      <c r="B3" s="60" t="s">
        <v>26</v>
      </c>
      <c r="C3" s="61" t="s">
        <v>27</v>
      </c>
      <c r="D3" s="60" t="s">
        <v>1</v>
      </c>
      <c r="E3" s="60" t="s">
        <v>270</v>
      </c>
      <c r="F3" s="60" t="s">
        <v>28</v>
      </c>
      <c r="G3" s="62">
        <v>9</v>
      </c>
      <c r="H3" s="147">
        <v>379</v>
      </c>
      <c r="I3" s="88"/>
    </row>
    <row r="4" spans="1:9" ht="19.8" customHeight="1" x14ac:dyDescent="0.3">
      <c r="A4" s="109"/>
      <c r="B4" s="110"/>
      <c r="C4" s="110"/>
      <c r="D4" s="110"/>
      <c r="E4" s="110"/>
      <c r="F4" s="111" t="s">
        <v>371</v>
      </c>
      <c r="G4" s="110"/>
      <c r="H4" s="112"/>
      <c r="I4" s="88"/>
    </row>
    <row r="5" spans="1:9" ht="19.8" customHeight="1" x14ac:dyDescent="0.3">
      <c r="A5" s="63" t="s">
        <v>271</v>
      </c>
      <c r="B5" s="64" t="s">
        <v>31</v>
      </c>
      <c r="C5" s="65" t="s">
        <v>32</v>
      </c>
      <c r="D5" s="64" t="s">
        <v>1</v>
      </c>
      <c r="E5" s="64" t="s">
        <v>272</v>
      </c>
      <c r="F5" s="64" t="s">
        <v>33</v>
      </c>
      <c r="G5" s="66">
        <v>6</v>
      </c>
      <c r="H5" s="148">
        <v>339</v>
      </c>
      <c r="I5" s="88"/>
    </row>
    <row r="6" spans="1:9" ht="19.8" customHeight="1" x14ac:dyDescent="0.3">
      <c r="A6" s="63" t="s">
        <v>271</v>
      </c>
      <c r="B6" s="64" t="s">
        <v>40</v>
      </c>
      <c r="C6" s="65" t="s">
        <v>41</v>
      </c>
      <c r="D6" s="64" t="s">
        <v>1</v>
      </c>
      <c r="E6" s="64" t="s">
        <v>273</v>
      </c>
      <c r="F6" s="64" t="s">
        <v>42</v>
      </c>
      <c r="G6" s="66">
        <v>7</v>
      </c>
      <c r="H6" s="148">
        <v>349</v>
      </c>
      <c r="I6" s="88"/>
    </row>
    <row r="7" spans="1:9" ht="19.8" customHeight="1" x14ac:dyDescent="0.3">
      <c r="A7" s="63" t="s">
        <v>271</v>
      </c>
      <c r="B7" s="64" t="s">
        <v>51</v>
      </c>
      <c r="C7" s="65" t="s">
        <v>52</v>
      </c>
      <c r="D7" s="64" t="s">
        <v>1</v>
      </c>
      <c r="E7" s="64" t="s">
        <v>206</v>
      </c>
      <c r="F7" s="64" t="s">
        <v>28</v>
      </c>
      <c r="G7" s="66">
        <v>1</v>
      </c>
      <c r="H7" s="148">
        <v>379</v>
      </c>
      <c r="I7" s="88"/>
    </row>
    <row r="8" spans="1:9" ht="19.8" customHeight="1" x14ac:dyDescent="0.3">
      <c r="A8" s="63" t="s">
        <v>271</v>
      </c>
      <c r="B8" s="64" t="s">
        <v>26</v>
      </c>
      <c r="C8" s="65" t="s">
        <v>57</v>
      </c>
      <c r="D8" s="64" t="s">
        <v>1</v>
      </c>
      <c r="E8" s="64" t="s">
        <v>270</v>
      </c>
      <c r="F8" s="64" t="s">
        <v>28</v>
      </c>
      <c r="G8" s="66">
        <v>9</v>
      </c>
      <c r="H8" s="148">
        <v>379</v>
      </c>
      <c r="I8" s="88"/>
    </row>
    <row r="9" spans="1:9" ht="19.8" customHeight="1" x14ac:dyDescent="0.3">
      <c r="A9" s="63" t="s">
        <v>271</v>
      </c>
      <c r="B9" s="64" t="s">
        <v>58</v>
      </c>
      <c r="C9" s="65" t="s">
        <v>59</v>
      </c>
      <c r="D9" s="64" t="s">
        <v>1</v>
      </c>
      <c r="E9" s="64" t="s">
        <v>341</v>
      </c>
      <c r="F9" s="64" t="s">
        <v>60</v>
      </c>
      <c r="G9" s="66">
        <v>5</v>
      </c>
      <c r="H9" s="148">
        <v>411</v>
      </c>
      <c r="I9" s="88"/>
    </row>
    <row r="10" spans="1:9" ht="19.8" customHeight="1" x14ac:dyDescent="0.3">
      <c r="A10" s="63" t="s">
        <v>271</v>
      </c>
      <c r="B10" s="64" t="s">
        <v>40</v>
      </c>
      <c r="C10" s="65" t="s">
        <v>48</v>
      </c>
      <c r="D10" s="64" t="s">
        <v>1</v>
      </c>
      <c r="E10" s="64" t="s">
        <v>278</v>
      </c>
      <c r="F10" s="64" t="s">
        <v>42</v>
      </c>
      <c r="G10" s="66">
        <v>6</v>
      </c>
      <c r="H10" s="148">
        <v>439</v>
      </c>
      <c r="I10" s="88"/>
    </row>
    <row r="11" spans="1:9" ht="19.8" customHeight="1" x14ac:dyDescent="0.3">
      <c r="A11" s="63" t="s">
        <v>271</v>
      </c>
      <c r="B11" s="64" t="s">
        <v>40</v>
      </c>
      <c r="C11" s="65" t="s">
        <v>41</v>
      </c>
      <c r="D11" s="64" t="s">
        <v>1</v>
      </c>
      <c r="E11" s="64" t="s">
        <v>273</v>
      </c>
      <c r="F11" s="64" t="s">
        <v>45</v>
      </c>
      <c r="G11" s="66">
        <v>7</v>
      </c>
      <c r="H11" s="148">
        <v>449</v>
      </c>
      <c r="I11" s="88"/>
    </row>
    <row r="12" spans="1:9" ht="19.8" customHeight="1" x14ac:dyDescent="0.3">
      <c r="A12" s="63" t="s">
        <v>271</v>
      </c>
      <c r="B12" s="64" t="s">
        <v>31</v>
      </c>
      <c r="C12" s="65" t="s">
        <v>32</v>
      </c>
      <c r="D12" s="64" t="s">
        <v>1</v>
      </c>
      <c r="E12" s="64" t="s">
        <v>272</v>
      </c>
      <c r="F12" s="64" t="s">
        <v>36</v>
      </c>
      <c r="G12" s="66">
        <v>6</v>
      </c>
      <c r="H12" s="148">
        <v>517</v>
      </c>
      <c r="I12" s="88"/>
    </row>
    <row r="13" spans="1:9" ht="19.8" customHeight="1" x14ac:dyDescent="0.3">
      <c r="A13" s="63" t="s">
        <v>271</v>
      </c>
      <c r="B13" s="64" t="s">
        <v>40</v>
      </c>
      <c r="C13" s="65" t="s">
        <v>48</v>
      </c>
      <c r="D13" s="64" t="s">
        <v>1</v>
      </c>
      <c r="E13" s="64" t="s">
        <v>278</v>
      </c>
      <c r="F13" s="64" t="s">
        <v>45</v>
      </c>
      <c r="G13" s="66">
        <v>6</v>
      </c>
      <c r="H13" s="148">
        <v>539</v>
      </c>
      <c r="I13" s="88"/>
    </row>
    <row r="14" spans="1:9" ht="19.8" customHeight="1" x14ac:dyDescent="0.3">
      <c r="A14" s="63" t="s">
        <v>271</v>
      </c>
      <c r="B14" s="64" t="s">
        <v>40</v>
      </c>
      <c r="C14" s="65" t="s">
        <v>41</v>
      </c>
      <c r="D14" s="64" t="s">
        <v>1</v>
      </c>
      <c r="E14" s="64" t="s">
        <v>273</v>
      </c>
      <c r="F14" s="64" t="s">
        <v>38</v>
      </c>
      <c r="G14" s="66">
        <v>7</v>
      </c>
      <c r="H14" s="148">
        <v>539</v>
      </c>
      <c r="I14" s="88"/>
    </row>
    <row r="15" spans="1:9" ht="19.8" customHeight="1" x14ac:dyDescent="0.3">
      <c r="A15" s="63" t="s">
        <v>271</v>
      </c>
      <c r="B15" s="64" t="s">
        <v>40</v>
      </c>
      <c r="C15" s="65" t="s">
        <v>48</v>
      </c>
      <c r="D15" s="64" t="s">
        <v>1</v>
      </c>
      <c r="E15" s="64" t="s">
        <v>278</v>
      </c>
      <c r="F15" s="64" t="s">
        <v>38</v>
      </c>
      <c r="G15" s="66">
        <v>6</v>
      </c>
      <c r="H15" s="148">
        <v>629</v>
      </c>
      <c r="I15" s="88"/>
    </row>
    <row r="16" spans="1:9" ht="19.8" customHeight="1" x14ac:dyDescent="0.3">
      <c r="A16" s="63" t="s">
        <v>271</v>
      </c>
      <c r="B16" s="64" t="s">
        <v>58</v>
      </c>
      <c r="C16" s="65" t="s">
        <v>63</v>
      </c>
      <c r="D16" s="64" t="s">
        <v>1</v>
      </c>
      <c r="E16" s="64" t="s">
        <v>307</v>
      </c>
      <c r="F16" s="64" t="s">
        <v>64</v>
      </c>
      <c r="G16" s="66">
        <v>9</v>
      </c>
      <c r="H16" s="148">
        <v>697</v>
      </c>
      <c r="I16" s="88"/>
    </row>
    <row r="17" spans="1:9" ht="19.8" customHeight="1" x14ac:dyDescent="0.3">
      <c r="A17" s="63" t="s">
        <v>271</v>
      </c>
      <c r="B17" s="64" t="s">
        <v>58</v>
      </c>
      <c r="C17" s="65" t="s">
        <v>66</v>
      </c>
      <c r="D17" s="64" t="s">
        <v>1</v>
      </c>
      <c r="E17" s="64" t="s">
        <v>298</v>
      </c>
      <c r="F17" s="64" t="s">
        <v>64</v>
      </c>
      <c r="G17" s="66">
        <v>9</v>
      </c>
      <c r="H17" s="148">
        <v>757</v>
      </c>
      <c r="I17" s="88"/>
    </row>
    <row r="18" spans="1:9" ht="19.8" customHeight="1" x14ac:dyDescent="0.3">
      <c r="A18" s="63" t="s">
        <v>271</v>
      </c>
      <c r="B18" s="64" t="s">
        <v>68</v>
      </c>
      <c r="C18" s="65" t="s">
        <v>69</v>
      </c>
      <c r="D18" s="64" t="s">
        <v>1</v>
      </c>
      <c r="E18" s="64" t="s">
        <v>272</v>
      </c>
      <c r="F18" s="64" t="s">
        <v>70</v>
      </c>
      <c r="G18" s="66">
        <v>4</v>
      </c>
      <c r="H18" s="71" t="s">
        <v>72</v>
      </c>
      <c r="I18" s="88"/>
    </row>
    <row r="19" spans="1:9" ht="19.8" customHeight="1" x14ac:dyDescent="0.3">
      <c r="A19" s="59" t="s">
        <v>271</v>
      </c>
      <c r="B19" s="60" t="s">
        <v>31</v>
      </c>
      <c r="C19" s="61" t="s">
        <v>32</v>
      </c>
      <c r="D19" s="60" t="s">
        <v>1</v>
      </c>
      <c r="E19" s="60" t="s">
        <v>272</v>
      </c>
      <c r="F19" s="60" t="s">
        <v>38</v>
      </c>
      <c r="G19" s="62">
        <v>6</v>
      </c>
      <c r="H19" s="72" t="s">
        <v>39</v>
      </c>
      <c r="I19" s="88"/>
    </row>
    <row r="20" spans="1:9" ht="19.8" customHeight="1" x14ac:dyDescent="0.3">
      <c r="A20" s="109"/>
      <c r="B20" s="110"/>
      <c r="C20" s="110"/>
      <c r="D20" s="110"/>
      <c r="E20" s="110"/>
      <c r="F20" s="111" t="s">
        <v>371</v>
      </c>
      <c r="G20" s="110"/>
      <c r="H20" s="112"/>
      <c r="I20" s="88"/>
    </row>
    <row r="21" spans="1:9" ht="19.8" customHeight="1" x14ac:dyDescent="0.3">
      <c r="A21" s="63" t="s">
        <v>281</v>
      </c>
      <c r="B21" s="64" t="s">
        <v>73</v>
      </c>
      <c r="C21" s="65" t="s">
        <v>74</v>
      </c>
      <c r="D21" s="64" t="s">
        <v>1</v>
      </c>
      <c r="E21" s="64" t="s">
        <v>282</v>
      </c>
      <c r="F21" s="64" t="s">
        <v>28</v>
      </c>
      <c r="G21" s="66">
        <v>9</v>
      </c>
      <c r="H21" s="148">
        <v>371</v>
      </c>
      <c r="I21" s="88"/>
    </row>
    <row r="22" spans="1:9" ht="19.8" customHeight="1" x14ac:dyDescent="0.3">
      <c r="A22" s="63" t="s">
        <v>281</v>
      </c>
      <c r="B22" s="64" t="s">
        <v>76</v>
      </c>
      <c r="C22" s="65" t="s">
        <v>77</v>
      </c>
      <c r="D22" s="64" t="s">
        <v>1</v>
      </c>
      <c r="E22" s="64" t="s">
        <v>295</v>
      </c>
      <c r="F22" s="64" t="s">
        <v>78</v>
      </c>
      <c r="G22" s="66">
        <v>9</v>
      </c>
      <c r="H22" s="148">
        <v>378</v>
      </c>
      <c r="I22" s="88"/>
    </row>
    <row r="23" spans="1:9" ht="19.8" customHeight="1" x14ac:dyDescent="0.3">
      <c r="A23" s="63" t="s">
        <v>281</v>
      </c>
      <c r="B23" s="64" t="s">
        <v>26</v>
      </c>
      <c r="C23" s="65" t="s">
        <v>27</v>
      </c>
      <c r="D23" s="64" t="s">
        <v>1</v>
      </c>
      <c r="E23" s="64" t="s">
        <v>294</v>
      </c>
      <c r="F23" s="64" t="s">
        <v>28</v>
      </c>
      <c r="G23" s="66">
        <v>6</v>
      </c>
      <c r="H23" s="148">
        <v>379</v>
      </c>
      <c r="I23" s="88"/>
    </row>
    <row r="24" spans="1:9" ht="19.8" customHeight="1" x14ac:dyDescent="0.3">
      <c r="A24" s="63" t="s">
        <v>281</v>
      </c>
      <c r="B24" s="64" t="s">
        <v>31</v>
      </c>
      <c r="C24" s="65" t="s">
        <v>32</v>
      </c>
      <c r="D24" s="64" t="s">
        <v>1</v>
      </c>
      <c r="E24" s="64" t="s">
        <v>272</v>
      </c>
      <c r="F24" s="64" t="s">
        <v>33</v>
      </c>
      <c r="G24" s="66">
        <v>10</v>
      </c>
      <c r="H24" s="148">
        <v>399</v>
      </c>
      <c r="I24" s="88"/>
    </row>
    <row r="25" spans="1:9" ht="19.8" customHeight="1" x14ac:dyDescent="0.3">
      <c r="A25" s="63" t="s">
        <v>281</v>
      </c>
      <c r="B25" s="64" t="s">
        <v>58</v>
      </c>
      <c r="C25" s="65" t="s">
        <v>59</v>
      </c>
      <c r="D25" s="64" t="s">
        <v>1</v>
      </c>
      <c r="E25" s="64" t="s">
        <v>341</v>
      </c>
      <c r="F25" s="64" t="s">
        <v>60</v>
      </c>
      <c r="G25" s="66">
        <v>5</v>
      </c>
      <c r="H25" s="148">
        <v>411</v>
      </c>
      <c r="I25" s="88"/>
    </row>
    <row r="26" spans="1:9" ht="19.8" customHeight="1" x14ac:dyDescent="0.3">
      <c r="A26" s="63" t="s">
        <v>281</v>
      </c>
      <c r="B26" s="64" t="s">
        <v>40</v>
      </c>
      <c r="C26" s="65" t="s">
        <v>48</v>
      </c>
      <c r="D26" s="64" t="s">
        <v>1</v>
      </c>
      <c r="E26" s="64" t="s">
        <v>278</v>
      </c>
      <c r="F26" s="64" t="s">
        <v>42</v>
      </c>
      <c r="G26" s="66">
        <v>2</v>
      </c>
      <c r="H26" s="148">
        <v>479</v>
      </c>
      <c r="I26" s="88"/>
    </row>
    <row r="27" spans="1:9" ht="19.8" customHeight="1" x14ac:dyDescent="0.3">
      <c r="A27" s="63" t="s">
        <v>281</v>
      </c>
      <c r="B27" s="64" t="s">
        <v>76</v>
      </c>
      <c r="C27" s="65" t="s">
        <v>77</v>
      </c>
      <c r="D27" s="64" t="s">
        <v>1</v>
      </c>
      <c r="E27" s="64" t="s">
        <v>295</v>
      </c>
      <c r="F27" s="64" t="s">
        <v>81</v>
      </c>
      <c r="G27" s="66">
        <v>9</v>
      </c>
      <c r="H27" s="148">
        <v>502</v>
      </c>
      <c r="I27" s="88"/>
    </row>
    <row r="28" spans="1:9" ht="19.8" customHeight="1" x14ac:dyDescent="0.3">
      <c r="A28" s="63" t="s">
        <v>281</v>
      </c>
      <c r="B28" s="64" t="s">
        <v>31</v>
      </c>
      <c r="C28" s="65" t="s">
        <v>32</v>
      </c>
      <c r="D28" s="64" t="s">
        <v>1</v>
      </c>
      <c r="E28" s="64" t="s">
        <v>272</v>
      </c>
      <c r="F28" s="64" t="s">
        <v>36</v>
      </c>
      <c r="G28" s="66">
        <v>10</v>
      </c>
      <c r="H28" s="148">
        <v>577</v>
      </c>
      <c r="I28" s="88"/>
    </row>
    <row r="29" spans="1:9" ht="19.8" customHeight="1" x14ac:dyDescent="0.3">
      <c r="A29" s="63" t="s">
        <v>281</v>
      </c>
      <c r="B29" s="64" t="s">
        <v>40</v>
      </c>
      <c r="C29" s="65" t="s">
        <v>48</v>
      </c>
      <c r="D29" s="64" t="s">
        <v>1</v>
      </c>
      <c r="E29" s="64" t="s">
        <v>278</v>
      </c>
      <c r="F29" s="64" t="s">
        <v>45</v>
      </c>
      <c r="G29" s="66">
        <v>2</v>
      </c>
      <c r="H29" s="148">
        <v>579</v>
      </c>
      <c r="I29" s="88"/>
    </row>
    <row r="30" spans="1:9" ht="19.8" customHeight="1" x14ac:dyDescent="0.3">
      <c r="A30" s="63" t="s">
        <v>281</v>
      </c>
      <c r="B30" s="64" t="s">
        <v>40</v>
      </c>
      <c r="C30" s="65" t="s">
        <v>48</v>
      </c>
      <c r="D30" s="64" t="s">
        <v>1</v>
      </c>
      <c r="E30" s="64" t="s">
        <v>278</v>
      </c>
      <c r="F30" s="64" t="s">
        <v>38</v>
      </c>
      <c r="G30" s="66">
        <v>2</v>
      </c>
      <c r="H30" s="148">
        <v>669</v>
      </c>
      <c r="I30" s="88"/>
    </row>
    <row r="31" spans="1:9" ht="19.8" customHeight="1" x14ac:dyDescent="0.3">
      <c r="A31" s="63" t="s">
        <v>281</v>
      </c>
      <c r="B31" s="64" t="s">
        <v>58</v>
      </c>
      <c r="C31" s="65" t="s">
        <v>66</v>
      </c>
      <c r="D31" s="64" t="s">
        <v>1</v>
      </c>
      <c r="E31" s="64" t="s">
        <v>298</v>
      </c>
      <c r="F31" s="64" t="s">
        <v>64</v>
      </c>
      <c r="G31" s="66">
        <v>9</v>
      </c>
      <c r="H31" s="148">
        <v>817</v>
      </c>
      <c r="I31" s="88"/>
    </row>
    <row r="32" spans="1:9" ht="19.8" customHeight="1" x14ac:dyDescent="0.3">
      <c r="A32" s="63" t="s">
        <v>281</v>
      </c>
      <c r="B32" s="64" t="s">
        <v>31</v>
      </c>
      <c r="C32" s="65" t="s">
        <v>32</v>
      </c>
      <c r="D32" s="64" t="s">
        <v>1</v>
      </c>
      <c r="E32" s="64" t="s">
        <v>272</v>
      </c>
      <c r="F32" s="64" t="s">
        <v>38</v>
      </c>
      <c r="G32" s="66">
        <v>10</v>
      </c>
      <c r="H32" s="148">
        <v>899</v>
      </c>
      <c r="I32" s="88"/>
    </row>
    <row r="33" spans="1:9" ht="19.8" customHeight="1" x14ac:dyDescent="0.3">
      <c r="A33" s="63" t="s">
        <v>281</v>
      </c>
      <c r="B33" s="64" t="s">
        <v>68</v>
      </c>
      <c r="C33" s="65" t="s">
        <v>69</v>
      </c>
      <c r="D33" s="64" t="s">
        <v>1</v>
      </c>
      <c r="E33" s="64" t="s">
        <v>272</v>
      </c>
      <c r="F33" s="64" t="s">
        <v>70</v>
      </c>
      <c r="G33" s="66">
        <v>4</v>
      </c>
      <c r="H33" s="71" t="s">
        <v>93</v>
      </c>
      <c r="I33" s="88"/>
    </row>
    <row r="34" spans="1:9" ht="19.8" customHeight="1" x14ac:dyDescent="0.3">
      <c r="A34" s="59" t="s">
        <v>281</v>
      </c>
      <c r="B34" s="60" t="s">
        <v>58</v>
      </c>
      <c r="C34" s="61" t="s">
        <v>63</v>
      </c>
      <c r="D34" s="60" t="s">
        <v>1</v>
      </c>
      <c r="E34" s="60" t="s">
        <v>307</v>
      </c>
      <c r="F34" s="60" t="s">
        <v>64</v>
      </c>
      <c r="G34" s="62">
        <v>9</v>
      </c>
      <c r="H34" s="72" t="s">
        <v>88</v>
      </c>
      <c r="I34" s="88"/>
    </row>
    <row r="35" spans="1:9" ht="19.8" customHeight="1" x14ac:dyDescent="0.3">
      <c r="A35" s="109"/>
      <c r="B35" s="110"/>
      <c r="C35" s="110"/>
      <c r="D35" s="110"/>
      <c r="E35" s="110"/>
      <c r="F35" s="111" t="s">
        <v>371</v>
      </c>
      <c r="G35" s="110"/>
      <c r="H35" s="112"/>
      <c r="I35" s="88"/>
    </row>
    <row r="36" spans="1:9" ht="19.8" customHeight="1" x14ac:dyDescent="0.3">
      <c r="A36" s="63" t="s">
        <v>284</v>
      </c>
      <c r="B36" s="64" t="s">
        <v>31</v>
      </c>
      <c r="C36" s="65" t="s">
        <v>32</v>
      </c>
      <c r="D36" s="64" t="s">
        <v>1</v>
      </c>
      <c r="E36" s="64" t="s">
        <v>272</v>
      </c>
      <c r="F36" s="64" t="s">
        <v>33</v>
      </c>
      <c r="G36" s="66">
        <v>6</v>
      </c>
      <c r="H36" s="148">
        <v>339</v>
      </c>
      <c r="I36" s="88"/>
    </row>
    <row r="37" spans="1:9" ht="19.8" customHeight="1" x14ac:dyDescent="0.3">
      <c r="A37" s="63" t="s">
        <v>284</v>
      </c>
      <c r="B37" s="64" t="s">
        <v>40</v>
      </c>
      <c r="C37" s="65" t="s">
        <v>41</v>
      </c>
      <c r="D37" s="64" t="s">
        <v>1</v>
      </c>
      <c r="E37" s="64" t="s">
        <v>273</v>
      </c>
      <c r="F37" s="64" t="s">
        <v>42</v>
      </c>
      <c r="G37" s="66">
        <v>6</v>
      </c>
      <c r="H37" s="148">
        <v>349</v>
      </c>
      <c r="I37" s="88"/>
    </row>
    <row r="38" spans="1:9" ht="19.8" customHeight="1" x14ac:dyDescent="0.3">
      <c r="A38" s="63" t="s">
        <v>284</v>
      </c>
      <c r="B38" s="64" t="s">
        <v>73</v>
      </c>
      <c r="C38" s="65" t="s">
        <v>74</v>
      </c>
      <c r="D38" s="64" t="s">
        <v>1</v>
      </c>
      <c r="E38" s="64" t="s">
        <v>285</v>
      </c>
      <c r="F38" s="64" t="s">
        <v>28</v>
      </c>
      <c r="G38" s="66">
        <v>9</v>
      </c>
      <c r="H38" s="148">
        <v>371</v>
      </c>
      <c r="I38" s="88"/>
    </row>
    <row r="39" spans="1:9" ht="19.8" customHeight="1" x14ac:dyDescent="0.3">
      <c r="A39" s="63" t="s">
        <v>284</v>
      </c>
      <c r="B39" s="64" t="s">
        <v>26</v>
      </c>
      <c r="C39" s="65" t="s">
        <v>97</v>
      </c>
      <c r="D39" s="64" t="s">
        <v>1</v>
      </c>
      <c r="E39" s="64" t="s">
        <v>286</v>
      </c>
      <c r="F39" s="64" t="s">
        <v>28</v>
      </c>
      <c r="G39" s="66">
        <v>1</v>
      </c>
      <c r="H39" s="148">
        <v>379</v>
      </c>
      <c r="I39" s="88"/>
    </row>
    <row r="40" spans="1:9" ht="19.8" customHeight="1" x14ac:dyDescent="0.3">
      <c r="A40" s="63" t="s">
        <v>284</v>
      </c>
      <c r="B40" s="64" t="s">
        <v>26</v>
      </c>
      <c r="C40" s="65" t="s">
        <v>57</v>
      </c>
      <c r="D40" s="64" t="s">
        <v>1</v>
      </c>
      <c r="E40" s="64" t="s">
        <v>270</v>
      </c>
      <c r="F40" s="64" t="s">
        <v>28</v>
      </c>
      <c r="G40" s="66">
        <v>9</v>
      </c>
      <c r="H40" s="148">
        <v>379</v>
      </c>
      <c r="I40" s="88"/>
    </row>
    <row r="41" spans="1:9" ht="19.8" customHeight="1" x14ac:dyDescent="0.3">
      <c r="A41" s="63" t="s">
        <v>284</v>
      </c>
      <c r="B41" s="64" t="s">
        <v>51</v>
      </c>
      <c r="C41" s="65" t="s">
        <v>52</v>
      </c>
      <c r="D41" s="64" t="s">
        <v>1</v>
      </c>
      <c r="E41" s="64" t="s">
        <v>218</v>
      </c>
      <c r="F41" s="64" t="s">
        <v>28</v>
      </c>
      <c r="G41" s="66">
        <v>4</v>
      </c>
      <c r="H41" s="148">
        <v>379</v>
      </c>
      <c r="I41" s="88"/>
    </row>
    <row r="42" spans="1:9" ht="19.8" customHeight="1" x14ac:dyDescent="0.3">
      <c r="A42" s="63" t="s">
        <v>284</v>
      </c>
      <c r="B42" s="64" t="s">
        <v>58</v>
      </c>
      <c r="C42" s="65" t="s">
        <v>59</v>
      </c>
      <c r="D42" s="64" t="s">
        <v>1</v>
      </c>
      <c r="E42" s="64" t="s">
        <v>341</v>
      </c>
      <c r="F42" s="64" t="s">
        <v>60</v>
      </c>
      <c r="G42" s="66">
        <v>9</v>
      </c>
      <c r="H42" s="148">
        <v>411</v>
      </c>
      <c r="I42" s="88"/>
    </row>
    <row r="43" spans="1:9" ht="19.8" customHeight="1" x14ac:dyDescent="0.3">
      <c r="A43" s="63" t="s">
        <v>284</v>
      </c>
      <c r="B43" s="64" t="s">
        <v>40</v>
      </c>
      <c r="C43" s="65" t="s">
        <v>41</v>
      </c>
      <c r="D43" s="64" t="s">
        <v>1</v>
      </c>
      <c r="E43" s="64" t="s">
        <v>273</v>
      </c>
      <c r="F43" s="64" t="s">
        <v>45</v>
      </c>
      <c r="G43" s="66">
        <v>6</v>
      </c>
      <c r="H43" s="148">
        <v>449</v>
      </c>
      <c r="I43" s="88"/>
    </row>
    <row r="44" spans="1:9" ht="19.8" customHeight="1" x14ac:dyDescent="0.3">
      <c r="A44" s="63" t="s">
        <v>284</v>
      </c>
      <c r="B44" s="64" t="s">
        <v>31</v>
      </c>
      <c r="C44" s="65" t="s">
        <v>32</v>
      </c>
      <c r="D44" s="64" t="s">
        <v>1</v>
      </c>
      <c r="E44" s="64" t="s">
        <v>272</v>
      </c>
      <c r="F44" s="64" t="s">
        <v>36</v>
      </c>
      <c r="G44" s="66">
        <v>6</v>
      </c>
      <c r="H44" s="148">
        <v>517</v>
      </c>
      <c r="I44" s="88"/>
    </row>
    <row r="45" spans="1:9" ht="19.8" customHeight="1" x14ac:dyDescent="0.3">
      <c r="A45" s="63" t="s">
        <v>284</v>
      </c>
      <c r="B45" s="64" t="s">
        <v>40</v>
      </c>
      <c r="C45" s="65" t="s">
        <v>48</v>
      </c>
      <c r="D45" s="64" t="s">
        <v>1</v>
      </c>
      <c r="E45" s="64" t="s">
        <v>278</v>
      </c>
      <c r="F45" s="64" t="s">
        <v>42</v>
      </c>
      <c r="G45" s="66">
        <v>9</v>
      </c>
      <c r="H45" s="148">
        <v>519</v>
      </c>
      <c r="I45" s="88"/>
    </row>
    <row r="46" spans="1:9" ht="19.8" customHeight="1" x14ac:dyDescent="0.3">
      <c r="A46" s="63" t="s">
        <v>284</v>
      </c>
      <c r="B46" s="64" t="s">
        <v>40</v>
      </c>
      <c r="C46" s="65" t="s">
        <v>41</v>
      </c>
      <c r="D46" s="64" t="s">
        <v>1</v>
      </c>
      <c r="E46" s="64" t="s">
        <v>273</v>
      </c>
      <c r="F46" s="64" t="s">
        <v>38</v>
      </c>
      <c r="G46" s="66">
        <v>6</v>
      </c>
      <c r="H46" s="148">
        <v>539</v>
      </c>
      <c r="I46" s="88"/>
    </row>
    <row r="47" spans="1:9" ht="19.8" customHeight="1" x14ac:dyDescent="0.3">
      <c r="A47" s="63" t="s">
        <v>284</v>
      </c>
      <c r="B47" s="64" t="s">
        <v>40</v>
      </c>
      <c r="C47" s="65" t="s">
        <v>48</v>
      </c>
      <c r="D47" s="64" t="s">
        <v>1</v>
      </c>
      <c r="E47" s="64" t="s">
        <v>278</v>
      </c>
      <c r="F47" s="64" t="s">
        <v>45</v>
      </c>
      <c r="G47" s="66">
        <v>9</v>
      </c>
      <c r="H47" s="148">
        <v>619</v>
      </c>
      <c r="I47" s="88"/>
    </row>
    <row r="48" spans="1:9" ht="19.8" customHeight="1" x14ac:dyDescent="0.3">
      <c r="A48" s="63" t="s">
        <v>284</v>
      </c>
      <c r="B48" s="64" t="s">
        <v>58</v>
      </c>
      <c r="C48" s="65" t="s">
        <v>66</v>
      </c>
      <c r="D48" s="64" t="s">
        <v>1</v>
      </c>
      <c r="E48" s="64" t="s">
        <v>298</v>
      </c>
      <c r="F48" s="64" t="s">
        <v>64</v>
      </c>
      <c r="G48" s="66">
        <v>9</v>
      </c>
      <c r="H48" s="148">
        <v>637</v>
      </c>
      <c r="I48" s="88"/>
    </row>
    <row r="49" spans="1:9" ht="19.8" customHeight="1" x14ac:dyDescent="0.3">
      <c r="A49" s="63" t="s">
        <v>284</v>
      </c>
      <c r="B49" s="64" t="s">
        <v>40</v>
      </c>
      <c r="C49" s="65" t="s">
        <v>48</v>
      </c>
      <c r="D49" s="64" t="s">
        <v>1</v>
      </c>
      <c r="E49" s="64" t="s">
        <v>278</v>
      </c>
      <c r="F49" s="64" t="s">
        <v>38</v>
      </c>
      <c r="G49" s="66">
        <v>9</v>
      </c>
      <c r="H49" s="148">
        <v>709</v>
      </c>
      <c r="I49" s="88"/>
    </row>
    <row r="50" spans="1:9" ht="19.8" customHeight="1" x14ac:dyDescent="0.3">
      <c r="A50" s="63" t="s">
        <v>284</v>
      </c>
      <c r="B50" s="64" t="s">
        <v>31</v>
      </c>
      <c r="C50" s="65" t="s">
        <v>32</v>
      </c>
      <c r="D50" s="64" t="s">
        <v>1</v>
      </c>
      <c r="E50" s="64" t="s">
        <v>272</v>
      </c>
      <c r="F50" s="64" t="s">
        <v>38</v>
      </c>
      <c r="G50" s="66">
        <v>6</v>
      </c>
      <c r="H50" s="148">
        <v>899</v>
      </c>
      <c r="I50" s="88"/>
    </row>
    <row r="51" spans="1:9" ht="19.8" customHeight="1" x14ac:dyDescent="0.3">
      <c r="A51" s="63" t="s">
        <v>284</v>
      </c>
      <c r="B51" s="64" t="s">
        <v>68</v>
      </c>
      <c r="C51" s="65" t="s">
        <v>69</v>
      </c>
      <c r="D51" s="64" t="s">
        <v>1</v>
      </c>
      <c r="E51" s="64" t="s">
        <v>272</v>
      </c>
      <c r="F51" s="64" t="s">
        <v>70</v>
      </c>
      <c r="G51" s="66">
        <v>4</v>
      </c>
      <c r="H51" s="71" t="s">
        <v>72</v>
      </c>
      <c r="I51" s="88"/>
    </row>
    <row r="52" spans="1:9" ht="19.8" customHeight="1" x14ac:dyDescent="0.3">
      <c r="A52" s="59" t="s">
        <v>284</v>
      </c>
      <c r="B52" s="60" t="s">
        <v>58</v>
      </c>
      <c r="C52" s="61" t="s">
        <v>63</v>
      </c>
      <c r="D52" s="60" t="s">
        <v>1</v>
      </c>
      <c r="E52" s="60" t="s">
        <v>307</v>
      </c>
      <c r="F52" s="60" t="s">
        <v>64</v>
      </c>
      <c r="G52" s="62">
        <v>9</v>
      </c>
      <c r="H52" s="72" t="s">
        <v>101</v>
      </c>
      <c r="I52" s="88"/>
    </row>
    <row r="53" spans="1:9" ht="19.8" customHeight="1" x14ac:dyDescent="0.3">
      <c r="A53" s="67" t="s">
        <v>289</v>
      </c>
      <c r="B53" s="68" t="s">
        <v>51</v>
      </c>
      <c r="C53" s="69" t="s">
        <v>336</v>
      </c>
      <c r="D53" s="68" t="s">
        <v>335</v>
      </c>
      <c r="E53" s="68" t="s">
        <v>352</v>
      </c>
      <c r="F53" s="68" t="s">
        <v>28</v>
      </c>
      <c r="G53" s="70">
        <v>9</v>
      </c>
      <c r="H53" s="149">
        <v>596</v>
      </c>
      <c r="I53" s="88"/>
    </row>
    <row r="54" spans="1:9" ht="19.8" customHeight="1" x14ac:dyDescent="0.3">
      <c r="A54" s="109"/>
      <c r="B54" s="110"/>
      <c r="C54" s="110"/>
      <c r="D54" s="110"/>
      <c r="E54" s="110"/>
      <c r="F54" s="111" t="s">
        <v>371</v>
      </c>
      <c r="G54" s="110"/>
      <c r="H54" s="112"/>
      <c r="I54" s="88"/>
    </row>
    <row r="55" spans="1:9" ht="19.8" customHeight="1" x14ac:dyDescent="0.3">
      <c r="A55" s="150">
        <v>45996</v>
      </c>
      <c r="B55" s="64" t="s">
        <v>31</v>
      </c>
      <c r="C55" s="65" t="s">
        <v>32</v>
      </c>
      <c r="D55" s="64" t="s">
        <v>1</v>
      </c>
      <c r="E55" s="151">
        <v>1.305555555555556</v>
      </c>
      <c r="F55" s="64" t="s">
        <v>33</v>
      </c>
      <c r="G55" s="66">
        <v>11</v>
      </c>
      <c r="H55" s="148">
        <v>369</v>
      </c>
      <c r="I55" s="88"/>
    </row>
    <row r="56" spans="1:9" ht="19.8" customHeight="1" x14ac:dyDescent="0.3">
      <c r="A56" s="150">
        <v>45996</v>
      </c>
      <c r="B56" s="64" t="s">
        <v>26</v>
      </c>
      <c r="C56" s="65" t="s">
        <v>27</v>
      </c>
      <c r="D56" s="64" t="s">
        <v>1</v>
      </c>
      <c r="E56" s="151">
        <v>1.958333333333333</v>
      </c>
      <c r="F56" s="64" t="s">
        <v>28</v>
      </c>
      <c r="G56" s="66">
        <v>5</v>
      </c>
      <c r="H56" s="148">
        <v>379</v>
      </c>
      <c r="I56" s="88"/>
    </row>
    <row r="57" spans="1:9" ht="19.8" customHeight="1" x14ac:dyDescent="0.3">
      <c r="A57" s="150">
        <v>45996</v>
      </c>
      <c r="B57" s="64" t="s">
        <v>51</v>
      </c>
      <c r="C57" s="65" t="s">
        <v>52</v>
      </c>
      <c r="D57" s="64" t="s">
        <v>1</v>
      </c>
      <c r="E57" s="151">
        <v>1.5798611111111109</v>
      </c>
      <c r="F57" s="64" t="s">
        <v>28</v>
      </c>
      <c r="G57" s="66">
        <v>9</v>
      </c>
      <c r="H57" s="148">
        <v>379</v>
      </c>
      <c r="I57" s="88"/>
    </row>
    <row r="58" spans="1:9" ht="19.8" customHeight="1" x14ac:dyDescent="0.3">
      <c r="A58" s="150">
        <v>45996</v>
      </c>
      <c r="B58" s="64" t="s">
        <v>40</v>
      </c>
      <c r="C58" s="65" t="s">
        <v>48</v>
      </c>
      <c r="D58" s="64" t="s">
        <v>1</v>
      </c>
      <c r="E58" s="151">
        <v>1.836805555555556</v>
      </c>
      <c r="F58" s="64" t="s">
        <v>42</v>
      </c>
      <c r="G58" s="66">
        <v>2</v>
      </c>
      <c r="H58" s="148">
        <v>409</v>
      </c>
      <c r="I58" s="88"/>
    </row>
    <row r="59" spans="1:9" ht="19.8" customHeight="1" x14ac:dyDescent="0.3">
      <c r="A59" s="150">
        <v>45996</v>
      </c>
      <c r="B59" s="64" t="s">
        <v>40</v>
      </c>
      <c r="C59" s="65" t="s">
        <v>48</v>
      </c>
      <c r="D59" s="64" t="s">
        <v>1</v>
      </c>
      <c r="E59" s="151">
        <v>1.836805555555556</v>
      </c>
      <c r="F59" s="64" t="s">
        <v>45</v>
      </c>
      <c r="G59" s="66">
        <v>2</v>
      </c>
      <c r="H59" s="148">
        <v>509</v>
      </c>
      <c r="I59" s="88"/>
    </row>
    <row r="60" spans="1:9" ht="19.8" customHeight="1" x14ac:dyDescent="0.3">
      <c r="A60" s="150">
        <v>45996</v>
      </c>
      <c r="B60" s="64" t="s">
        <v>31</v>
      </c>
      <c r="C60" s="65" t="s">
        <v>32</v>
      </c>
      <c r="D60" s="64" t="s">
        <v>1</v>
      </c>
      <c r="E60" s="151">
        <v>1.305555555555556</v>
      </c>
      <c r="F60" s="64" t="s">
        <v>36</v>
      </c>
      <c r="G60" s="66">
        <v>11</v>
      </c>
      <c r="H60" s="148">
        <v>547</v>
      </c>
      <c r="I60" s="88"/>
    </row>
    <row r="61" spans="1:9" ht="19.8" customHeight="1" x14ac:dyDescent="0.3">
      <c r="A61" s="150">
        <v>45996</v>
      </c>
      <c r="B61" s="64" t="s">
        <v>58</v>
      </c>
      <c r="C61" s="65" t="s">
        <v>63</v>
      </c>
      <c r="D61" s="64" t="s">
        <v>1</v>
      </c>
      <c r="E61" s="151">
        <v>1.864583333333333</v>
      </c>
      <c r="F61" s="64" t="s">
        <v>64</v>
      </c>
      <c r="G61" s="66">
        <v>9</v>
      </c>
      <c r="H61" s="148">
        <v>592</v>
      </c>
      <c r="I61" s="88"/>
    </row>
    <row r="62" spans="1:9" ht="19.8" customHeight="1" x14ac:dyDescent="0.3">
      <c r="A62" s="150">
        <v>45996</v>
      </c>
      <c r="B62" s="64" t="s">
        <v>40</v>
      </c>
      <c r="C62" s="65" t="s">
        <v>48</v>
      </c>
      <c r="D62" s="64" t="s">
        <v>1</v>
      </c>
      <c r="E62" s="151">
        <v>1.836805555555556</v>
      </c>
      <c r="F62" s="64" t="s">
        <v>38</v>
      </c>
      <c r="G62" s="66">
        <v>2</v>
      </c>
      <c r="H62" s="148">
        <v>599</v>
      </c>
      <c r="I62" s="88"/>
    </row>
    <row r="63" spans="1:9" ht="19.8" customHeight="1" x14ac:dyDescent="0.3">
      <c r="A63" s="150">
        <v>45996</v>
      </c>
      <c r="B63" s="64" t="s">
        <v>58</v>
      </c>
      <c r="C63" s="65" t="s">
        <v>59</v>
      </c>
      <c r="D63" s="64" t="s">
        <v>1</v>
      </c>
      <c r="E63" s="151">
        <v>1.1701388888888891</v>
      </c>
      <c r="F63" s="64" t="s">
        <v>64</v>
      </c>
      <c r="G63" s="66">
        <v>9</v>
      </c>
      <c r="H63" s="148">
        <v>641</v>
      </c>
      <c r="I63" s="88"/>
    </row>
    <row r="64" spans="1:9" ht="19.8" customHeight="1" x14ac:dyDescent="0.3">
      <c r="A64" s="150">
        <v>45996</v>
      </c>
      <c r="B64" s="64" t="s">
        <v>31</v>
      </c>
      <c r="C64" s="65" t="s">
        <v>32</v>
      </c>
      <c r="D64" s="64" t="s">
        <v>1</v>
      </c>
      <c r="E64" s="151">
        <v>1.305555555555556</v>
      </c>
      <c r="F64" s="64" t="s">
        <v>38</v>
      </c>
      <c r="G64" s="66">
        <v>11</v>
      </c>
      <c r="H64" s="148">
        <v>899</v>
      </c>
      <c r="I64" s="88"/>
    </row>
    <row r="65" spans="1:9" ht="19.8" customHeight="1" x14ac:dyDescent="0.3">
      <c r="A65" s="150">
        <v>45996</v>
      </c>
      <c r="B65" s="64" t="s">
        <v>68</v>
      </c>
      <c r="C65" s="65" t="s">
        <v>69</v>
      </c>
      <c r="D65" s="64" t="s">
        <v>1</v>
      </c>
      <c r="E65" s="151">
        <v>1.305555555555556</v>
      </c>
      <c r="F65" s="64" t="s">
        <v>70</v>
      </c>
      <c r="G65" s="66">
        <v>4</v>
      </c>
      <c r="H65" s="71" t="s">
        <v>112</v>
      </c>
      <c r="I65" s="88"/>
    </row>
    <row r="66" spans="1:9" ht="19.8" customHeight="1" x14ac:dyDescent="0.3">
      <c r="A66" s="152">
        <v>45996</v>
      </c>
      <c r="B66" s="60" t="s">
        <v>58</v>
      </c>
      <c r="C66" s="61" t="s">
        <v>66</v>
      </c>
      <c r="D66" s="60" t="s">
        <v>1</v>
      </c>
      <c r="E66" s="153">
        <v>1.5277777777777779</v>
      </c>
      <c r="F66" s="60" t="s">
        <v>64</v>
      </c>
      <c r="G66" s="62">
        <v>9</v>
      </c>
      <c r="H66" s="72" t="s">
        <v>88</v>
      </c>
      <c r="I66" s="88"/>
    </row>
    <row r="67" spans="1:9" ht="19.8" customHeight="1" x14ac:dyDescent="0.3">
      <c r="A67" s="109"/>
      <c r="B67" s="110"/>
      <c r="C67" s="110"/>
      <c r="D67" s="110"/>
      <c r="E67" s="110"/>
      <c r="F67" s="111" t="s">
        <v>371</v>
      </c>
      <c r="G67" s="110"/>
      <c r="H67" s="112"/>
      <c r="I67" s="88"/>
    </row>
    <row r="68" spans="1:9" ht="19.8" customHeight="1" x14ac:dyDescent="0.3">
      <c r="A68" s="150">
        <v>45997</v>
      </c>
      <c r="B68" s="64" t="s">
        <v>31</v>
      </c>
      <c r="C68" s="65" t="s">
        <v>32</v>
      </c>
      <c r="D68" s="64" t="s">
        <v>1</v>
      </c>
      <c r="E68" s="151">
        <v>1.305555555555556</v>
      </c>
      <c r="F68" s="64" t="s">
        <v>33</v>
      </c>
      <c r="G68" s="66">
        <v>17</v>
      </c>
      <c r="H68" s="148">
        <v>309</v>
      </c>
      <c r="I68" s="88"/>
    </row>
    <row r="69" spans="1:9" ht="19.8" customHeight="1" x14ac:dyDescent="0.3">
      <c r="A69" s="150">
        <v>45997</v>
      </c>
      <c r="B69" s="64" t="s">
        <v>40</v>
      </c>
      <c r="C69" s="65" t="s">
        <v>41</v>
      </c>
      <c r="D69" s="64" t="s">
        <v>1</v>
      </c>
      <c r="E69" s="151">
        <v>1.2013888888888891</v>
      </c>
      <c r="F69" s="64" t="s">
        <v>42</v>
      </c>
      <c r="G69" s="66">
        <v>9</v>
      </c>
      <c r="H69" s="148">
        <v>349</v>
      </c>
      <c r="I69" s="88"/>
    </row>
    <row r="70" spans="1:9" ht="19.8" customHeight="1" x14ac:dyDescent="0.3">
      <c r="A70" s="150">
        <v>45997</v>
      </c>
      <c r="B70" s="64" t="s">
        <v>76</v>
      </c>
      <c r="C70" s="65" t="s">
        <v>77</v>
      </c>
      <c r="D70" s="64" t="s">
        <v>1</v>
      </c>
      <c r="E70" s="151">
        <v>1.9722222222222221</v>
      </c>
      <c r="F70" s="64" t="s">
        <v>78</v>
      </c>
      <c r="G70" s="66">
        <v>9</v>
      </c>
      <c r="H70" s="148">
        <v>373</v>
      </c>
      <c r="I70" s="88"/>
    </row>
    <row r="71" spans="1:9" ht="19.8" customHeight="1" x14ac:dyDescent="0.3">
      <c r="A71" s="150">
        <v>45997</v>
      </c>
      <c r="B71" s="64" t="s">
        <v>40</v>
      </c>
      <c r="C71" s="65" t="s">
        <v>48</v>
      </c>
      <c r="D71" s="64" t="s">
        <v>1</v>
      </c>
      <c r="E71" s="151">
        <v>1.836805555555556</v>
      </c>
      <c r="F71" s="64" t="s">
        <v>42</v>
      </c>
      <c r="G71" s="66">
        <v>4</v>
      </c>
      <c r="H71" s="148">
        <v>379</v>
      </c>
      <c r="I71" s="88"/>
    </row>
    <row r="72" spans="1:9" ht="19.8" customHeight="1" x14ac:dyDescent="0.3">
      <c r="A72" s="150">
        <v>45997</v>
      </c>
      <c r="B72" s="64" t="s">
        <v>51</v>
      </c>
      <c r="C72" s="65" t="s">
        <v>52</v>
      </c>
      <c r="D72" s="64" t="s">
        <v>1</v>
      </c>
      <c r="E72" s="151">
        <v>1.9236111111111109</v>
      </c>
      <c r="F72" s="64" t="s">
        <v>28</v>
      </c>
      <c r="G72" s="66">
        <v>9</v>
      </c>
      <c r="H72" s="148">
        <v>379</v>
      </c>
      <c r="I72" s="88"/>
    </row>
    <row r="73" spans="1:9" ht="19.8" customHeight="1" x14ac:dyDescent="0.3">
      <c r="A73" s="150">
        <v>45997</v>
      </c>
      <c r="B73" s="64" t="s">
        <v>26</v>
      </c>
      <c r="C73" s="65" t="s">
        <v>57</v>
      </c>
      <c r="D73" s="64" t="s">
        <v>1</v>
      </c>
      <c r="E73" s="151">
        <v>1.895833333333333</v>
      </c>
      <c r="F73" s="64" t="s">
        <v>28</v>
      </c>
      <c r="G73" s="66">
        <v>9</v>
      </c>
      <c r="H73" s="148">
        <v>379</v>
      </c>
      <c r="I73" s="88"/>
    </row>
    <row r="74" spans="1:9" ht="19.8" customHeight="1" x14ac:dyDescent="0.3">
      <c r="A74" s="150">
        <v>45997</v>
      </c>
      <c r="B74" s="64" t="s">
        <v>58</v>
      </c>
      <c r="C74" s="65" t="s">
        <v>63</v>
      </c>
      <c r="D74" s="64" t="s">
        <v>1</v>
      </c>
      <c r="E74" s="151">
        <v>1.864583333333333</v>
      </c>
      <c r="F74" s="64" t="s">
        <v>60</v>
      </c>
      <c r="G74" s="66">
        <v>8</v>
      </c>
      <c r="H74" s="148">
        <v>411</v>
      </c>
      <c r="I74" s="88"/>
    </row>
    <row r="75" spans="1:9" ht="19.8" customHeight="1" x14ac:dyDescent="0.3">
      <c r="A75" s="150">
        <v>45997</v>
      </c>
      <c r="B75" s="64" t="s">
        <v>58</v>
      </c>
      <c r="C75" s="65" t="s">
        <v>59</v>
      </c>
      <c r="D75" s="64" t="s">
        <v>1</v>
      </c>
      <c r="E75" s="151">
        <v>1.1701388888888891</v>
      </c>
      <c r="F75" s="64" t="s">
        <v>60</v>
      </c>
      <c r="G75" s="66">
        <v>9</v>
      </c>
      <c r="H75" s="148">
        <v>415</v>
      </c>
      <c r="I75" s="88"/>
    </row>
    <row r="76" spans="1:9" ht="19.8" customHeight="1" x14ac:dyDescent="0.3">
      <c r="A76" s="150">
        <v>45997</v>
      </c>
      <c r="B76" s="64" t="s">
        <v>40</v>
      </c>
      <c r="C76" s="65" t="s">
        <v>41</v>
      </c>
      <c r="D76" s="64" t="s">
        <v>1</v>
      </c>
      <c r="E76" s="151">
        <v>1.2013888888888891</v>
      </c>
      <c r="F76" s="64" t="s">
        <v>45</v>
      </c>
      <c r="G76" s="66">
        <v>9</v>
      </c>
      <c r="H76" s="148">
        <v>449</v>
      </c>
      <c r="I76" s="88"/>
    </row>
    <row r="77" spans="1:9" ht="19.8" customHeight="1" x14ac:dyDescent="0.3">
      <c r="A77" s="150">
        <v>45997</v>
      </c>
      <c r="B77" s="64" t="s">
        <v>40</v>
      </c>
      <c r="C77" s="65" t="s">
        <v>48</v>
      </c>
      <c r="D77" s="64" t="s">
        <v>1</v>
      </c>
      <c r="E77" s="151">
        <v>1.836805555555556</v>
      </c>
      <c r="F77" s="64" t="s">
        <v>45</v>
      </c>
      <c r="G77" s="66">
        <v>4</v>
      </c>
      <c r="H77" s="148">
        <v>479</v>
      </c>
      <c r="I77" s="88"/>
    </row>
    <row r="78" spans="1:9" ht="19.8" customHeight="1" x14ac:dyDescent="0.3">
      <c r="A78" s="150">
        <v>45997</v>
      </c>
      <c r="B78" s="64" t="s">
        <v>31</v>
      </c>
      <c r="C78" s="65" t="s">
        <v>32</v>
      </c>
      <c r="D78" s="64" t="s">
        <v>1</v>
      </c>
      <c r="E78" s="151">
        <v>1.305555555555556</v>
      </c>
      <c r="F78" s="64" t="s">
        <v>36</v>
      </c>
      <c r="G78" s="66">
        <v>17</v>
      </c>
      <c r="H78" s="148">
        <v>487</v>
      </c>
      <c r="I78" s="88"/>
    </row>
    <row r="79" spans="1:9" ht="19.8" customHeight="1" x14ac:dyDescent="0.3">
      <c r="A79" s="150">
        <v>45997</v>
      </c>
      <c r="B79" s="64" t="s">
        <v>76</v>
      </c>
      <c r="C79" s="65" t="s">
        <v>77</v>
      </c>
      <c r="D79" s="64" t="s">
        <v>1</v>
      </c>
      <c r="E79" s="151">
        <v>1.9722222222222221</v>
      </c>
      <c r="F79" s="64" t="s">
        <v>81</v>
      </c>
      <c r="G79" s="66">
        <v>9</v>
      </c>
      <c r="H79" s="148">
        <v>496</v>
      </c>
      <c r="I79" s="88"/>
    </row>
    <row r="80" spans="1:9" ht="19.8" customHeight="1" x14ac:dyDescent="0.3">
      <c r="A80" s="150">
        <v>45997</v>
      </c>
      <c r="B80" s="64" t="s">
        <v>40</v>
      </c>
      <c r="C80" s="65" t="s">
        <v>41</v>
      </c>
      <c r="D80" s="64" t="s">
        <v>1</v>
      </c>
      <c r="E80" s="151">
        <v>1.2013888888888891</v>
      </c>
      <c r="F80" s="64" t="s">
        <v>38</v>
      </c>
      <c r="G80" s="66">
        <v>9</v>
      </c>
      <c r="H80" s="148">
        <v>539</v>
      </c>
      <c r="I80" s="88"/>
    </row>
    <row r="81" spans="1:9" ht="19.8" customHeight="1" x14ac:dyDescent="0.3">
      <c r="A81" s="150">
        <v>45997</v>
      </c>
      <c r="B81" s="64" t="s">
        <v>58</v>
      </c>
      <c r="C81" s="65" t="s">
        <v>66</v>
      </c>
      <c r="D81" s="64" t="s">
        <v>1</v>
      </c>
      <c r="E81" s="151">
        <v>1.5277777777777779</v>
      </c>
      <c r="F81" s="64" t="s">
        <v>64</v>
      </c>
      <c r="G81" s="66">
        <v>9</v>
      </c>
      <c r="H81" s="148">
        <v>547</v>
      </c>
      <c r="I81" s="88"/>
    </row>
    <row r="82" spans="1:9" ht="19.8" customHeight="1" x14ac:dyDescent="0.3">
      <c r="A82" s="150">
        <v>45997</v>
      </c>
      <c r="B82" s="64" t="s">
        <v>40</v>
      </c>
      <c r="C82" s="65" t="s">
        <v>48</v>
      </c>
      <c r="D82" s="64" t="s">
        <v>1</v>
      </c>
      <c r="E82" s="151">
        <v>1.836805555555556</v>
      </c>
      <c r="F82" s="64" t="s">
        <v>38</v>
      </c>
      <c r="G82" s="66">
        <v>4</v>
      </c>
      <c r="H82" s="148">
        <v>569</v>
      </c>
      <c r="I82" s="88"/>
    </row>
    <row r="83" spans="1:9" ht="19.8" customHeight="1" x14ac:dyDescent="0.3">
      <c r="A83" s="150">
        <v>45997</v>
      </c>
      <c r="B83" s="64" t="s">
        <v>68</v>
      </c>
      <c r="C83" s="65" t="s">
        <v>69</v>
      </c>
      <c r="D83" s="64" t="s">
        <v>1</v>
      </c>
      <c r="E83" s="151">
        <v>1.305555555555556</v>
      </c>
      <c r="F83" s="64" t="s">
        <v>70</v>
      </c>
      <c r="G83" s="66">
        <v>4</v>
      </c>
      <c r="H83" s="71" t="s">
        <v>122</v>
      </c>
      <c r="I83" s="88"/>
    </row>
    <row r="84" spans="1:9" ht="19.8" customHeight="1" x14ac:dyDescent="0.3">
      <c r="A84" s="152">
        <v>45997</v>
      </c>
      <c r="B84" s="60" t="s">
        <v>31</v>
      </c>
      <c r="C84" s="61" t="s">
        <v>32</v>
      </c>
      <c r="D84" s="60" t="s">
        <v>1</v>
      </c>
      <c r="E84" s="153">
        <v>1.305555555555556</v>
      </c>
      <c r="F84" s="60" t="s">
        <v>38</v>
      </c>
      <c r="G84" s="62">
        <v>17</v>
      </c>
      <c r="H84" s="72" t="s">
        <v>39</v>
      </c>
      <c r="I84" s="88"/>
    </row>
    <row r="85" spans="1:9" ht="19.8" customHeight="1" x14ac:dyDescent="0.3">
      <c r="A85" s="109"/>
      <c r="B85" s="110"/>
      <c r="C85" s="110"/>
      <c r="D85" s="110"/>
      <c r="E85" s="110"/>
      <c r="F85" s="111" t="s">
        <v>371</v>
      </c>
      <c r="G85" s="110"/>
      <c r="H85" s="112"/>
      <c r="I85" s="88"/>
    </row>
    <row r="86" spans="1:9" ht="19.8" customHeight="1" x14ac:dyDescent="0.3">
      <c r="A86" s="150">
        <v>45998</v>
      </c>
      <c r="B86" s="64" t="s">
        <v>31</v>
      </c>
      <c r="C86" s="65" t="s">
        <v>32</v>
      </c>
      <c r="D86" s="64" t="s">
        <v>1</v>
      </c>
      <c r="E86" s="151">
        <v>1.305555555555556</v>
      </c>
      <c r="F86" s="64" t="s">
        <v>33</v>
      </c>
      <c r="G86" s="66">
        <v>12</v>
      </c>
      <c r="H86" s="148">
        <v>309</v>
      </c>
      <c r="I86" s="88"/>
    </row>
    <row r="87" spans="1:9" ht="19.8" customHeight="1" x14ac:dyDescent="0.3">
      <c r="A87" s="150">
        <v>45998</v>
      </c>
      <c r="B87" s="64" t="s">
        <v>40</v>
      </c>
      <c r="C87" s="65" t="s">
        <v>48</v>
      </c>
      <c r="D87" s="64" t="s">
        <v>1</v>
      </c>
      <c r="E87" s="151">
        <v>1.836805555555556</v>
      </c>
      <c r="F87" s="64" t="s">
        <v>42</v>
      </c>
      <c r="G87" s="66">
        <v>6</v>
      </c>
      <c r="H87" s="148">
        <v>349</v>
      </c>
      <c r="I87" s="88"/>
    </row>
    <row r="88" spans="1:9" ht="19.8" customHeight="1" x14ac:dyDescent="0.3">
      <c r="A88" s="150">
        <v>45998</v>
      </c>
      <c r="B88" s="64" t="s">
        <v>73</v>
      </c>
      <c r="C88" s="65" t="s">
        <v>125</v>
      </c>
      <c r="D88" s="64" t="s">
        <v>1</v>
      </c>
      <c r="E88" s="151">
        <v>1.2222222222222221</v>
      </c>
      <c r="F88" s="64" t="s">
        <v>28</v>
      </c>
      <c r="G88" s="66">
        <v>9</v>
      </c>
      <c r="H88" s="148">
        <v>371</v>
      </c>
      <c r="I88" s="88"/>
    </row>
    <row r="89" spans="1:9" ht="19.8" customHeight="1" x14ac:dyDescent="0.3">
      <c r="A89" s="150">
        <v>45998</v>
      </c>
      <c r="B89" s="64" t="s">
        <v>26</v>
      </c>
      <c r="C89" s="65" t="s">
        <v>97</v>
      </c>
      <c r="D89" s="64" t="s">
        <v>1</v>
      </c>
      <c r="E89" s="151">
        <v>1.958333333333333</v>
      </c>
      <c r="F89" s="64" t="s">
        <v>28</v>
      </c>
      <c r="G89" s="66">
        <v>9</v>
      </c>
      <c r="H89" s="148">
        <v>379</v>
      </c>
      <c r="I89" s="88"/>
    </row>
    <row r="90" spans="1:9" ht="19.8" customHeight="1" x14ac:dyDescent="0.3">
      <c r="A90" s="150">
        <v>45998</v>
      </c>
      <c r="B90" s="64" t="s">
        <v>58</v>
      </c>
      <c r="C90" s="65" t="s">
        <v>63</v>
      </c>
      <c r="D90" s="64" t="s">
        <v>1</v>
      </c>
      <c r="E90" s="151">
        <v>1.864583333333333</v>
      </c>
      <c r="F90" s="64" t="s">
        <v>60</v>
      </c>
      <c r="G90" s="66">
        <v>9</v>
      </c>
      <c r="H90" s="148">
        <v>411</v>
      </c>
      <c r="I90" s="88"/>
    </row>
    <row r="91" spans="1:9" ht="19.8" customHeight="1" x14ac:dyDescent="0.3">
      <c r="A91" s="150">
        <v>45998</v>
      </c>
      <c r="B91" s="64" t="s">
        <v>58</v>
      </c>
      <c r="C91" s="65" t="s">
        <v>66</v>
      </c>
      <c r="D91" s="64" t="s">
        <v>1</v>
      </c>
      <c r="E91" s="151">
        <v>1.5138888888888891</v>
      </c>
      <c r="F91" s="64" t="s">
        <v>60</v>
      </c>
      <c r="G91" s="66">
        <v>7</v>
      </c>
      <c r="H91" s="148">
        <v>411</v>
      </c>
      <c r="I91" s="88"/>
    </row>
    <row r="92" spans="1:9" ht="19.8" customHeight="1" x14ac:dyDescent="0.3">
      <c r="A92" s="150">
        <v>45998</v>
      </c>
      <c r="B92" s="64" t="s">
        <v>58</v>
      </c>
      <c r="C92" s="65" t="s">
        <v>59</v>
      </c>
      <c r="D92" s="64" t="s">
        <v>1</v>
      </c>
      <c r="E92" s="151">
        <v>1.1701388888888891</v>
      </c>
      <c r="F92" s="64" t="s">
        <v>60</v>
      </c>
      <c r="G92" s="66">
        <v>9</v>
      </c>
      <c r="H92" s="148">
        <v>411</v>
      </c>
      <c r="I92" s="88"/>
    </row>
    <row r="93" spans="1:9" ht="19.8" customHeight="1" x14ac:dyDescent="0.3">
      <c r="A93" s="150">
        <v>45998</v>
      </c>
      <c r="B93" s="64" t="s">
        <v>40</v>
      </c>
      <c r="C93" s="65" t="s">
        <v>48</v>
      </c>
      <c r="D93" s="64" t="s">
        <v>1</v>
      </c>
      <c r="E93" s="151">
        <v>1.836805555555556</v>
      </c>
      <c r="F93" s="64" t="s">
        <v>45</v>
      </c>
      <c r="G93" s="66">
        <v>6</v>
      </c>
      <c r="H93" s="148">
        <v>449</v>
      </c>
      <c r="I93" s="88"/>
    </row>
    <row r="94" spans="1:9" ht="19.8" customHeight="1" x14ac:dyDescent="0.3">
      <c r="A94" s="150">
        <v>45998</v>
      </c>
      <c r="B94" s="64" t="s">
        <v>31</v>
      </c>
      <c r="C94" s="65" t="s">
        <v>32</v>
      </c>
      <c r="D94" s="64" t="s">
        <v>1</v>
      </c>
      <c r="E94" s="151">
        <v>1.305555555555556</v>
      </c>
      <c r="F94" s="64" t="s">
        <v>36</v>
      </c>
      <c r="G94" s="66">
        <v>12</v>
      </c>
      <c r="H94" s="148">
        <v>487</v>
      </c>
      <c r="I94" s="88"/>
    </row>
    <row r="95" spans="1:9" ht="19.8" customHeight="1" x14ac:dyDescent="0.3">
      <c r="A95" s="150">
        <v>45998</v>
      </c>
      <c r="B95" s="64" t="s">
        <v>40</v>
      </c>
      <c r="C95" s="65" t="s">
        <v>48</v>
      </c>
      <c r="D95" s="64" t="s">
        <v>1</v>
      </c>
      <c r="E95" s="151">
        <v>1.836805555555556</v>
      </c>
      <c r="F95" s="64" t="s">
        <v>38</v>
      </c>
      <c r="G95" s="66">
        <v>6</v>
      </c>
      <c r="H95" s="148">
        <v>539</v>
      </c>
      <c r="I95" s="88"/>
    </row>
    <row r="96" spans="1:9" ht="19.8" customHeight="1" x14ac:dyDescent="0.3">
      <c r="A96" s="150">
        <v>45998</v>
      </c>
      <c r="B96" s="64" t="s">
        <v>68</v>
      </c>
      <c r="C96" s="65" t="s">
        <v>69</v>
      </c>
      <c r="D96" s="64" t="s">
        <v>1</v>
      </c>
      <c r="E96" s="151">
        <v>1.305555555555556</v>
      </c>
      <c r="F96" s="64" t="s">
        <v>70</v>
      </c>
      <c r="G96" s="66">
        <v>4</v>
      </c>
      <c r="H96" s="71" t="s">
        <v>122</v>
      </c>
      <c r="I96" s="88"/>
    </row>
    <row r="97" spans="1:9" ht="19.8" customHeight="1" x14ac:dyDescent="0.3">
      <c r="A97" s="152">
        <v>45998</v>
      </c>
      <c r="B97" s="60" t="s">
        <v>31</v>
      </c>
      <c r="C97" s="61" t="s">
        <v>32</v>
      </c>
      <c r="D97" s="60" t="s">
        <v>1</v>
      </c>
      <c r="E97" s="153">
        <v>1.305555555555556</v>
      </c>
      <c r="F97" s="60" t="s">
        <v>38</v>
      </c>
      <c r="G97" s="62">
        <v>12</v>
      </c>
      <c r="H97" s="72" t="s">
        <v>124</v>
      </c>
      <c r="I97" s="88"/>
    </row>
    <row r="98" spans="1:9" ht="19.8" customHeight="1" x14ac:dyDescent="0.3">
      <c r="A98" s="154">
        <v>45999</v>
      </c>
      <c r="B98" s="68" t="s">
        <v>51</v>
      </c>
      <c r="C98" s="69" t="s">
        <v>336</v>
      </c>
      <c r="D98" s="68" t="s">
        <v>335</v>
      </c>
      <c r="E98" s="155">
        <v>1.510416666666667</v>
      </c>
      <c r="F98" s="68" t="s">
        <v>28</v>
      </c>
      <c r="G98" s="70">
        <v>9</v>
      </c>
      <c r="H98" s="149">
        <v>506</v>
      </c>
      <c r="I98" s="88"/>
    </row>
    <row r="99" spans="1:9" ht="19.8" customHeight="1" x14ac:dyDescent="0.3">
      <c r="A99" s="109"/>
      <c r="B99" s="110"/>
      <c r="C99" s="110"/>
      <c r="D99" s="110"/>
      <c r="E99" s="110"/>
      <c r="F99" s="111" t="s">
        <v>371</v>
      </c>
      <c r="G99" s="110"/>
      <c r="H99" s="112"/>
      <c r="I99" s="88"/>
    </row>
    <row r="100" spans="1:9" ht="19.8" customHeight="1" x14ac:dyDescent="0.3">
      <c r="A100" s="150">
        <v>45999</v>
      </c>
      <c r="B100" s="64" t="s">
        <v>31</v>
      </c>
      <c r="C100" s="65" t="s">
        <v>32</v>
      </c>
      <c r="D100" s="64" t="s">
        <v>1</v>
      </c>
      <c r="E100" s="151">
        <v>1.305555555555556</v>
      </c>
      <c r="F100" s="64" t="s">
        <v>33</v>
      </c>
      <c r="G100" s="66">
        <v>16</v>
      </c>
      <c r="H100" s="148">
        <v>309</v>
      </c>
      <c r="I100" s="88"/>
    </row>
    <row r="101" spans="1:9" ht="19.8" customHeight="1" x14ac:dyDescent="0.3">
      <c r="A101" s="150">
        <v>45999</v>
      </c>
      <c r="B101" s="64" t="s">
        <v>40</v>
      </c>
      <c r="C101" s="65" t="s">
        <v>41</v>
      </c>
      <c r="D101" s="64" t="s">
        <v>1</v>
      </c>
      <c r="E101" s="151">
        <v>1.2013888888888891</v>
      </c>
      <c r="F101" s="64" t="s">
        <v>42</v>
      </c>
      <c r="G101" s="66">
        <v>9</v>
      </c>
      <c r="H101" s="148">
        <v>349</v>
      </c>
      <c r="I101" s="88"/>
    </row>
    <row r="102" spans="1:9" ht="19.8" customHeight="1" x14ac:dyDescent="0.3">
      <c r="A102" s="150">
        <v>45999</v>
      </c>
      <c r="B102" s="64" t="s">
        <v>40</v>
      </c>
      <c r="C102" s="65" t="s">
        <v>48</v>
      </c>
      <c r="D102" s="64" t="s">
        <v>1</v>
      </c>
      <c r="E102" s="151">
        <v>1.836805555555556</v>
      </c>
      <c r="F102" s="64" t="s">
        <v>42</v>
      </c>
      <c r="G102" s="66">
        <v>5</v>
      </c>
      <c r="H102" s="148">
        <v>379</v>
      </c>
      <c r="I102" s="88"/>
    </row>
    <row r="103" spans="1:9" ht="19.8" customHeight="1" x14ac:dyDescent="0.3">
      <c r="A103" s="150">
        <v>45999</v>
      </c>
      <c r="B103" s="64" t="s">
        <v>26</v>
      </c>
      <c r="C103" s="65" t="s">
        <v>27</v>
      </c>
      <c r="D103" s="64" t="s">
        <v>1</v>
      </c>
      <c r="E103" s="151">
        <v>1.958333333333333</v>
      </c>
      <c r="F103" s="64" t="s">
        <v>28</v>
      </c>
      <c r="G103" s="66">
        <v>9</v>
      </c>
      <c r="H103" s="148">
        <v>379</v>
      </c>
      <c r="I103" s="88"/>
    </row>
    <row r="104" spans="1:9" ht="19.8" customHeight="1" x14ac:dyDescent="0.3">
      <c r="A104" s="150">
        <v>45999</v>
      </c>
      <c r="B104" s="64" t="s">
        <v>58</v>
      </c>
      <c r="C104" s="65" t="s">
        <v>63</v>
      </c>
      <c r="D104" s="64" t="s">
        <v>1</v>
      </c>
      <c r="E104" s="151">
        <v>1.864583333333333</v>
      </c>
      <c r="F104" s="64" t="s">
        <v>60</v>
      </c>
      <c r="G104" s="66">
        <v>6</v>
      </c>
      <c r="H104" s="148">
        <v>411</v>
      </c>
      <c r="I104" s="88"/>
    </row>
    <row r="105" spans="1:9" ht="19.8" customHeight="1" x14ac:dyDescent="0.3">
      <c r="A105" s="150">
        <v>45999</v>
      </c>
      <c r="B105" s="64" t="s">
        <v>58</v>
      </c>
      <c r="C105" s="65" t="s">
        <v>59</v>
      </c>
      <c r="D105" s="64" t="s">
        <v>1</v>
      </c>
      <c r="E105" s="151">
        <v>1.1701388888888891</v>
      </c>
      <c r="F105" s="64" t="s">
        <v>60</v>
      </c>
      <c r="G105" s="66">
        <v>9</v>
      </c>
      <c r="H105" s="148">
        <v>411</v>
      </c>
      <c r="I105" s="88"/>
    </row>
    <row r="106" spans="1:9" ht="19.8" customHeight="1" x14ac:dyDescent="0.3">
      <c r="A106" s="150">
        <v>45999</v>
      </c>
      <c r="B106" s="64" t="s">
        <v>58</v>
      </c>
      <c r="C106" s="65" t="s">
        <v>66</v>
      </c>
      <c r="D106" s="64" t="s">
        <v>1</v>
      </c>
      <c r="E106" s="151">
        <v>1.5277777777777779</v>
      </c>
      <c r="F106" s="64" t="s">
        <v>127</v>
      </c>
      <c r="G106" s="66">
        <v>9</v>
      </c>
      <c r="H106" s="148">
        <v>437</v>
      </c>
      <c r="I106" s="88"/>
    </row>
    <row r="107" spans="1:9" ht="19.8" customHeight="1" x14ac:dyDescent="0.3">
      <c r="A107" s="150">
        <v>45999</v>
      </c>
      <c r="B107" s="64" t="s">
        <v>40</v>
      </c>
      <c r="C107" s="65" t="s">
        <v>41</v>
      </c>
      <c r="D107" s="64" t="s">
        <v>1</v>
      </c>
      <c r="E107" s="151">
        <v>1.2013888888888891</v>
      </c>
      <c r="F107" s="64" t="s">
        <v>45</v>
      </c>
      <c r="G107" s="66">
        <v>9</v>
      </c>
      <c r="H107" s="148">
        <v>449</v>
      </c>
      <c r="I107" s="88"/>
    </row>
    <row r="108" spans="1:9" ht="19.8" customHeight="1" x14ac:dyDescent="0.3">
      <c r="A108" s="150">
        <v>45999</v>
      </c>
      <c r="B108" s="64" t="s">
        <v>40</v>
      </c>
      <c r="C108" s="65" t="s">
        <v>48</v>
      </c>
      <c r="D108" s="64" t="s">
        <v>1</v>
      </c>
      <c r="E108" s="151">
        <v>1.836805555555556</v>
      </c>
      <c r="F108" s="64" t="s">
        <v>45</v>
      </c>
      <c r="G108" s="66">
        <v>5</v>
      </c>
      <c r="H108" s="148">
        <v>479</v>
      </c>
      <c r="I108" s="88"/>
    </row>
    <row r="109" spans="1:9" ht="19.8" customHeight="1" x14ac:dyDescent="0.3">
      <c r="A109" s="150">
        <v>45999</v>
      </c>
      <c r="B109" s="64" t="s">
        <v>31</v>
      </c>
      <c r="C109" s="65" t="s">
        <v>32</v>
      </c>
      <c r="D109" s="64" t="s">
        <v>1</v>
      </c>
      <c r="E109" s="151">
        <v>1.305555555555556</v>
      </c>
      <c r="F109" s="64" t="s">
        <v>36</v>
      </c>
      <c r="G109" s="66">
        <v>16</v>
      </c>
      <c r="H109" s="148">
        <v>487</v>
      </c>
      <c r="I109" s="88"/>
    </row>
    <row r="110" spans="1:9" ht="19.8" customHeight="1" x14ac:dyDescent="0.3">
      <c r="A110" s="150">
        <v>45999</v>
      </c>
      <c r="B110" s="64" t="s">
        <v>40</v>
      </c>
      <c r="C110" s="65" t="s">
        <v>41</v>
      </c>
      <c r="D110" s="64" t="s">
        <v>1</v>
      </c>
      <c r="E110" s="151">
        <v>1.2013888888888891</v>
      </c>
      <c r="F110" s="64" t="s">
        <v>38</v>
      </c>
      <c r="G110" s="66">
        <v>9</v>
      </c>
      <c r="H110" s="148">
        <v>539</v>
      </c>
      <c r="I110" s="88"/>
    </row>
    <row r="111" spans="1:9" ht="19.8" customHeight="1" x14ac:dyDescent="0.3">
      <c r="A111" s="150">
        <v>45999</v>
      </c>
      <c r="B111" s="64" t="s">
        <v>40</v>
      </c>
      <c r="C111" s="65" t="s">
        <v>48</v>
      </c>
      <c r="D111" s="64" t="s">
        <v>1</v>
      </c>
      <c r="E111" s="151">
        <v>1.836805555555556</v>
      </c>
      <c r="F111" s="64" t="s">
        <v>38</v>
      </c>
      <c r="G111" s="66">
        <v>5</v>
      </c>
      <c r="H111" s="148">
        <v>569</v>
      </c>
      <c r="I111" s="88"/>
    </row>
    <row r="112" spans="1:9" ht="19.8" customHeight="1" x14ac:dyDescent="0.3">
      <c r="A112" s="150">
        <v>45999</v>
      </c>
      <c r="B112" s="64" t="s">
        <v>31</v>
      </c>
      <c r="C112" s="65" t="s">
        <v>32</v>
      </c>
      <c r="D112" s="64" t="s">
        <v>1</v>
      </c>
      <c r="E112" s="151">
        <v>1.305555555555556</v>
      </c>
      <c r="F112" s="64" t="s">
        <v>38</v>
      </c>
      <c r="G112" s="66">
        <v>16</v>
      </c>
      <c r="H112" s="148">
        <v>899</v>
      </c>
      <c r="I112" s="88"/>
    </row>
    <row r="113" spans="1:9" ht="19.8" customHeight="1" x14ac:dyDescent="0.3">
      <c r="A113" s="152">
        <v>45999</v>
      </c>
      <c r="B113" s="60" t="s">
        <v>68</v>
      </c>
      <c r="C113" s="61" t="s">
        <v>69</v>
      </c>
      <c r="D113" s="60" t="s">
        <v>1</v>
      </c>
      <c r="E113" s="153">
        <v>1.305555555555556</v>
      </c>
      <c r="F113" s="60" t="s">
        <v>70</v>
      </c>
      <c r="G113" s="62">
        <v>4</v>
      </c>
      <c r="H113" s="72" t="s">
        <v>122</v>
      </c>
      <c r="I113" s="88"/>
    </row>
    <row r="114" spans="1:9" ht="19.8" customHeight="1" x14ac:dyDescent="0.3">
      <c r="A114" s="109"/>
      <c r="B114" s="110"/>
      <c r="C114" s="110"/>
      <c r="D114" s="110"/>
      <c r="E114" s="110"/>
      <c r="F114" s="111" t="s">
        <v>371</v>
      </c>
      <c r="G114" s="110"/>
      <c r="H114" s="112"/>
      <c r="I114" s="88"/>
    </row>
    <row r="115" spans="1:9" ht="19.8" customHeight="1" x14ac:dyDescent="0.3">
      <c r="A115" s="150">
        <v>46000</v>
      </c>
      <c r="B115" s="64" t="s">
        <v>31</v>
      </c>
      <c r="C115" s="65" t="s">
        <v>32</v>
      </c>
      <c r="D115" s="64" t="s">
        <v>1</v>
      </c>
      <c r="E115" s="151">
        <v>1.305555555555556</v>
      </c>
      <c r="F115" s="64" t="s">
        <v>33</v>
      </c>
      <c r="G115" s="66">
        <v>11</v>
      </c>
      <c r="H115" s="148">
        <v>309</v>
      </c>
      <c r="I115" s="88"/>
    </row>
    <row r="116" spans="1:9" ht="19.8" customHeight="1" x14ac:dyDescent="0.3">
      <c r="A116" s="150">
        <v>46000</v>
      </c>
      <c r="B116" s="64" t="s">
        <v>40</v>
      </c>
      <c r="C116" s="65" t="s">
        <v>48</v>
      </c>
      <c r="D116" s="64" t="s">
        <v>1</v>
      </c>
      <c r="E116" s="151">
        <v>1.836805555555556</v>
      </c>
      <c r="F116" s="64" t="s">
        <v>42</v>
      </c>
      <c r="G116" s="66">
        <v>1</v>
      </c>
      <c r="H116" s="148">
        <v>349</v>
      </c>
      <c r="I116" s="88"/>
    </row>
    <row r="117" spans="1:9" ht="19.8" customHeight="1" x14ac:dyDescent="0.3">
      <c r="A117" s="150">
        <v>46000</v>
      </c>
      <c r="B117" s="64" t="s">
        <v>40</v>
      </c>
      <c r="C117" s="65" t="s">
        <v>41</v>
      </c>
      <c r="D117" s="64" t="s">
        <v>1</v>
      </c>
      <c r="E117" s="151">
        <v>1.2013888888888891</v>
      </c>
      <c r="F117" s="64" t="s">
        <v>42</v>
      </c>
      <c r="G117" s="66">
        <v>9</v>
      </c>
      <c r="H117" s="148">
        <v>349</v>
      </c>
      <c r="I117" s="88"/>
    </row>
    <row r="118" spans="1:9" ht="19.8" customHeight="1" x14ac:dyDescent="0.3">
      <c r="A118" s="150">
        <v>46000</v>
      </c>
      <c r="B118" s="64" t="s">
        <v>51</v>
      </c>
      <c r="C118" s="65" t="s">
        <v>52</v>
      </c>
      <c r="D118" s="64" t="s">
        <v>1</v>
      </c>
      <c r="E118" s="151">
        <v>1.270833333333333</v>
      </c>
      <c r="F118" s="64" t="s">
        <v>28</v>
      </c>
      <c r="G118" s="66">
        <v>9</v>
      </c>
      <c r="H118" s="148">
        <v>379</v>
      </c>
      <c r="I118" s="88"/>
    </row>
    <row r="119" spans="1:9" ht="19.8" customHeight="1" x14ac:dyDescent="0.3">
      <c r="A119" s="150">
        <v>46000</v>
      </c>
      <c r="B119" s="64" t="s">
        <v>26</v>
      </c>
      <c r="C119" s="65" t="s">
        <v>57</v>
      </c>
      <c r="D119" s="64" t="s">
        <v>1</v>
      </c>
      <c r="E119" s="151">
        <v>1.958333333333333</v>
      </c>
      <c r="F119" s="64" t="s">
        <v>28</v>
      </c>
      <c r="G119" s="66">
        <v>9</v>
      </c>
      <c r="H119" s="148">
        <v>379</v>
      </c>
      <c r="I119" s="88"/>
    </row>
    <row r="120" spans="1:9" ht="19.8" customHeight="1" x14ac:dyDescent="0.3">
      <c r="A120" s="150">
        <v>46000</v>
      </c>
      <c r="B120" s="64" t="s">
        <v>58</v>
      </c>
      <c r="C120" s="65" t="s">
        <v>63</v>
      </c>
      <c r="D120" s="64" t="s">
        <v>1</v>
      </c>
      <c r="E120" s="151">
        <v>1.864583333333333</v>
      </c>
      <c r="F120" s="64" t="s">
        <v>60</v>
      </c>
      <c r="G120" s="66">
        <v>7</v>
      </c>
      <c r="H120" s="148">
        <v>411</v>
      </c>
      <c r="I120" s="88"/>
    </row>
    <row r="121" spans="1:9" ht="19.8" customHeight="1" x14ac:dyDescent="0.3">
      <c r="A121" s="150">
        <v>46000</v>
      </c>
      <c r="B121" s="64" t="s">
        <v>58</v>
      </c>
      <c r="C121" s="65" t="s">
        <v>59</v>
      </c>
      <c r="D121" s="64" t="s">
        <v>1</v>
      </c>
      <c r="E121" s="151">
        <v>1.1701388888888891</v>
      </c>
      <c r="F121" s="64" t="s">
        <v>60</v>
      </c>
      <c r="G121" s="66">
        <v>8</v>
      </c>
      <c r="H121" s="148">
        <v>411</v>
      </c>
      <c r="I121" s="88"/>
    </row>
    <row r="122" spans="1:9" ht="19.8" customHeight="1" x14ac:dyDescent="0.3">
      <c r="A122" s="150">
        <v>46000</v>
      </c>
      <c r="B122" s="64" t="s">
        <v>40</v>
      </c>
      <c r="C122" s="65" t="s">
        <v>48</v>
      </c>
      <c r="D122" s="64" t="s">
        <v>1</v>
      </c>
      <c r="E122" s="151">
        <v>1.836805555555556</v>
      </c>
      <c r="F122" s="64" t="s">
        <v>45</v>
      </c>
      <c r="G122" s="66">
        <v>1</v>
      </c>
      <c r="H122" s="148">
        <v>449</v>
      </c>
      <c r="I122" s="88"/>
    </row>
    <row r="123" spans="1:9" ht="19.8" customHeight="1" x14ac:dyDescent="0.3">
      <c r="A123" s="150">
        <v>46000</v>
      </c>
      <c r="B123" s="64" t="s">
        <v>40</v>
      </c>
      <c r="C123" s="65" t="s">
        <v>41</v>
      </c>
      <c r="D123" s="64" t="s">
        <v>1</v>
      </c>
      <c r="E123" s="151">
        <v>1.2013888888888891</v>
      </c>
      <c r="F123" s="64" t="s">
        <v>45</v>
      </c>
      <c r="G123" s="66">
        <v>9</v>
      </c>
      <c r="H123" s="148">
        <v>449</v>
      </c>
      <c r="I123" s="88"/>
    </row>
    <row r="124" spans="1:9" ht="19.8" customHeight="1" x14ac:dyDescent="0.3">
      <c r="A124" s="150">
        <v>46000</v>
      </c>
      <c r="B124" s="64" t="s">
        <v>31</v>
      </c>
      <c r="C124" s="65" t="s">
        <v>32</v>
      </c>
      <c r="D124" s="64" t="s">
        <v>1</v>
      </c>
      <c r="E124" s="151">
        <v>1.305555555555556</v>
      </c>
      <c r="F124" s="64" t="s">
        <v>36</v>
      </c>
      <c r="G124" s="66">
        <v>11</v>
      </c>
      <c r="H124" s="148">
        <v>487</v>
      </c>
      <c r="I124" s="88"/>
    </row>
    <row r="125" spans="1:9" ht="19.8" customHeight="1" x14ac:dyDescent="0.3">
      <c r="A125" s="150">
        <v>46000</v>
      </c>
      <c r="B125" s="64" t="s">
        <v>40</v>
      </c>
      <c r="C125" s="65" t="s">
        <v>48</v>
      </c>
      <c r="D125" s="64" t="s">
        <v>1</v>
      </c>
      <c r="E125" s="151">
        <v>1.836805555555556</v>
      </c>
      <c r="F125" s="64" t="s">
        <v>38</v>
      </c>
      <c r="G125" s="66">
        <v>1</v>
      </c>
      <c r="H125" s="148">
        <v>539</v>
      </c>
      <c r="I125" s="88"/>
    </row>
    <row r="126" spans="1:9" ht="19.8" customHeight="1" x14ac:dyDescent="0.3">
      <c r="A126" s="150">
        <v>46000</v>
      </c>
      <c r="B126" s="64" t="s">
        <v>40</v>
      </c>
      <c r="C126" s="65" t="s">
        <v>41</v>
      </c>
      <c r="D126" s="64" t="s">
        <v>1</v>
      </c>
      <c r="E126" s="151">
        <v>1.2013888888888891</v>
      </c>
      <c r="F126" s="64" t="s">
        <v>38</v>
      </c>
      <c r="G126" s="66">
        <v>9</v>
      </c>
      <c r="H126" s="148">
        <v>539</v>
      </c>
      <c r="I126" s="88"/>
    </row>
    <row r="127" spans="1:9" ht="19.8" customHeight="1" x14ac:dyDescent="0.3">
      <c r="A127" s="150">
        <v>46000</v>
      </c>
      <c r="B127" s="64" t="s">
        <v>58</v>
      </c>
      <c r="C127" s="65" t="s">
        <v>66</v>
      </c>
      <c r="D127" s="64" t="s">
        <v>1</v>
      </c>
      <c r="E127" s="151">
        <v>1.5277777777777779</v>
      </c>
      <c r="F127" s="64" t="s">
        <v>64</v>
      </c>
      <c r="G127" s="66">
        <v>9</v>
      </c>
      <c r="H127" s="148">
        <v>547</v>
      </c>
      <c r="I127" s="88"/>
    </row>
    <row r="128" spans="1:9" ht="19.8" customHeight="1" x14ac:dyDescent="0.3">
      <c r="A128" s="150">
        <v>46000</v>
      </c>
      <c r="B128" s="64" t="s">
        <v>31</v>
      </c>
      <c r="C128" s="65" t="s">
        <v>32</v>
      </c>
      <c r="D128" s="64" t="s">
        <v>1</v>
      </c>
      <c r="E128" s="151">
        <v>1.305555555555556</v>
      </c>
      <c r="F128" s="64" t="s">
        <v>38</v>
      </c>
      <c r="G128" s="66">
        <v>11</v>
      </c>
      <c r="H128" s="148">
        <v>899</v>
      </c>
      <c r="I128" s="88"/>
    </row>
    <row r="129" spans="1:9" ht="19.8" customHeight="1" x14ac:dyDescent="0.3">
      <c r="A129" s="152">
        <v>46000</v>
      </c>
      <c r="B129" s="60" t="s">
        <v>68</v>
      </c>
      <c r="C129" s="61" t="s">
        <v>69</v>
      </c>
      <c r="D129" s="60" t="s">
        <v>1</v>
      </c>
      <c r="E129" s="153">
        <v>1.305555555555556</v>
      </c>
      <c r="F129" s="60" t="s">
        <v>70</v>
      </c>
      <c r="G129" s="62">
        <v>4</v>
      </c>
      <c r="H129" s="72" t="s">
        <v>122</v>
      </c>
      <c r="I129" s="88"/>
    </row>
    <row r="130" spans="1:9" ht="19.8" customHeight="1" x14ac:dyDescent="0.3">
      <c r="A130" s="109"/>
      <c r="B130" s="110"/>
      <c r="C130" s="110"/>
      <c r="D130" s="110"/>
      <c r="E130" s="110"/>
      <c r="F130" s="111" t="s">
        <v>371</v>
      </c>
      <c r="G130" s="110"/>
      <c r="H130" s="112"/>
      <c r="I130" s="88"/>
    </row>
    <row r="131" spans="1:9" ht="19.8" customHeight="1" x14ac:dyDescent="0.3">
      <c r="A131" s="150">
        <v>46001</v>
      </c>
      <c r="B131" s="64" t="s">
        <v>76</v>
      </c>
      <c r="C131" s="65" t="s">
        <v>77</v>
      </c>
      <c r="D131" s="64" t="s">
        <v>1</v>
      </c>
      <c r="E131" s="151">
        <v>1.9722222222222221</v>
      </c>
      <c r="F131" s="64" t="s">
        <v>78</v>
      </c>
      <c r="G131" s="66">
        <v>9</v>
      </c>
      <c r="H131" s="148">
        <v>367</v>
      </c>
      <c r="I131" s="88"/>
    </row>
    <row r="132" spans="1:9" ht="19.8" customHeight="1" x14ac:dyDescent="0.3">
      <c r="A132" s="150">
        <v>46001</v>
      </c>
      <c r="B132" s="64" t="s">
        <v>73</v>
      </c>
      <c r="C132" s="65" t="s">
        <v>74</v>
      </c>
      <c r="D132" s="64" t="s">
        <v>1</v>
      </c>
      <c r="E132" s="151">
        <v>1.0902777777777779</v>
      </c>
      <c r="F132" s="64" t="s">
        <v>28</v>
      </c>
      <c r="G132" s="66">
        <v>9</v>
      </c>
      <c r="H132" s="148">
        <v>371</v>
      </c>
      <c r="I132" s="88"/>
    </row>
    <row r="133" spans="1:9" ht="19.8" customHeight="1" x14ac:dyDescent="0.3">
      <c r="A133" s="150">
        <v>46001</v>
      </c>
      <c r="B133" s="64" t="s">
        <v>58</v>
      </c>
      <c r="C133" s="65" t="s">
        <v>59</v>
      </c>
      <c r="D133" s="64" t="s">
        <v>1</v>
      </c>
      <c r="E133" s="151">
        <v>1.1701388888888891</v>
      </c>
      <c r="F133" s="64" t="s">
        <v>60</v>
      </c>
      <c r="G133" s="66">
        <v>5</v>
      </c>
      <c r="H133" s="148">
        <v>411</v>
      </c>
      <c r="I133" s="88"/>
    </row>
    <row r="134" spans="1:9" ht="19.8" customHeight="1" x14ac:dyDescent="0.3">
      <c r="A134" s="150">
        <v>46001</v>
      </c>
      <c r="B134" s="64" t="s">
        <v>31</v>
      </c>
      <c r="C134" s="65" t="s">
        <v>32</v>
      </c>
      <c r="D134" s="64" t="s">
        <v>1</v>
      </c>
      <c r="E134" s="151">
        <v>1.305555555555556</v>
      </c>
      <c r="F134" s="64" t="s">
        <v>33</v>
      </c>
      <c r="G134" s="66">
        <v>10</v>
      </c>
      <c r="H134" s="148">
        <v>429</v>
      </c>
      <c r="I134" s="88"/>
    </row>
    <row r="135" spans="1:9" ht="19.8" customHeight="1" x14ac:dyDescent="0.3">
      <c r="A135" s="150">
        <v>46001</v>
      </c>
      <c r="B135" s="64" t="s">
        <v>76</v>
      </c>
      <c r="C135" s="65" t="s">
        <v>77</v>
      </c>
      <c r="D135" s="64" t="s">
        <v>1</v>
      </c>
      <c r="E135" s="151">
        <v>1.9722222222222221</v>
      </c>
      <c r="F135" s="64" t="s">
        <v>81</v>
      </c>
      <c r="G135" s="66">
        <v>9</v>
      </c>
      <c r="H135" s="148">
        <v>491</v>
      </c>
      <c r="I135" s="88"/>
    </row>
    <row r="136" spans="1:9" ht="19.8" customHeight="1" x14ac:dyDescent="0.3">
      <c r="A136" s="150">
        <v>46001</v>
      </c>
      <c r="B136" s="64" t="s">
        <v>26</v>
      </c>
      <c r="C136" s="65" t="s">
        <v>27</v>
      </c>
      <c r="D136" s="64" t="s">
        <v>1</v>
      </c>
      <c r="E136" s="151">
        <v>1.895833333333333</v>
      </c>
      <c r="F136" s="64" t="s">
        <v>28</v>
      </c>
      <c r="G136" s="66">
        <v>9</v>
      </c>
      <c r="H136" s="148">
        <v>563</v>
      </c>
      <c r="I136" s="88"/>
    </row>
    <row r="137" spans="1:9" ht="19.8" customHeight="1" x14ac:dyDescent="0.3">
      <c r="A137" s="150">
        <v>46001</v>
      </c>
      <c r="B137" s="64" t="s">
        <v>58</v>
      </c>
      <c r="C137" s="65" t="s">
        <v>63</v>
      </c>
      <c r="D137" s="64" t="s">
        <v>1</v>
      </c>
      <c r="E137" s="151">
        <v>1.864583333333333</v>
      </c>
      <c r="F137" s="64" t="s">
        <v>64</v>
      </c>
      <c r="G137" s="66">
        <v>9</v>
      </c>
      <c r="H137" s="148">
        <v>592</v>
      </c>
      <c r="I137" s="88"/>
    </row>
    <row r="138" spans="1:9" ht="19.8" customHeight="1" x14ac:dyDescent="0.3">
      <c r="A138" s="150">
        <v>46001</v>
      </c>
      <c r="B138" s="64" t="s">
        <v>58</v>
      </c>
      <c r="C138" s="65" t="s">
        <v>66</v>
      </c>
      <c r="D138" s="64" t="s">
        <v>1</v>
      </c>
      <c r="E138" s="151">
        <v>1.5277777777777779</v>
      </c>
      <c r="F138" s="64" t="s">
        <v>64</v>
      </c>
      <c r="G138" s="66">
        <v>9</v>
      </c>
      <c r="H138" s="148">
        <v>592</v>
      </c>
      <c r="I138" s="88"/>
    </row>
    <row r="139" spans="1:9" ht="19.8" customHeight="1" x14ac:dyDescent="0.3">
      <c r="A139" s="150">
        <v>46001</v>
      </c>
      <c r="B139" s="64" t="s">
        <v>31</v>
      </c>
      <c r="C139" s="65" t="s">
        <v>32</v>
      </c>
      <c r="D139" s="64" t="s">
        <v>1</v>
      </c>
      <c r="E139" s="151">
        <v>1.305555555555556</v>
      </c>
      <c r="F139" s="64" t="s">
        <v>36</v>
      </c>
      <c r="G139" s="66">
        <v>10</v>
      </c>
      <c r="H139" s="148">
        <v>607</v>
      </c>
      <c r="I139" s="88"/>
    </row>
    <row r="140" spans="1:9" ht="19.8" customHeight="1" x14ac:dyDescent="0.3">
      <c r="A140" s="150">
        <v>46001</v>
      </c>
      <c r="B140" s="64" t="s">
        <v>40</v>
      </c>
      <c r="C140" s="65" t="s">
        <v>48</v>
      </c>
      <c r="D140" s="64" t="s">
        <v>1</v>
      </c>
      <c r="E140" s="151">
        <v>1.836805555555556</v>
      </c>
      <c r="F140" s="64" t="s">
        <v>42</v>
      </c>
      <c r="G140" s="66">
        <v>9</v>
      </c>
      <c r="H140" s="148">
        <v>629</v>
      </c>
      <c r="I140" s="88"/>
    </row>
    <row r="141" spans="1:9" ht="19.8" customHeight="1" x14ac:dyDescent="0.3">
      <c r="A141" s="150">
        <v>46001</v>
      </c>
      <c r="B141" s="64" t="s">
        <v>40</v>
      </c>
      <c r="C141" s="65" t="s">
        <v>48</v>
      </c>
      <c r="D141" s="64" t="s">
        <v>1</v>
      </c>
      <c r="E141" s="151">
        <v>1.836805555555556</v>
      </c>
      <c r="F141" s="64" t="s">
        <v>45</v>
      </c>
      <c r="G141" s="66">
        <v>9</v>
      </c>
      <c r="H141" s="148">
        <v>729</v>
      </c>
      <c r="I141" s="88"/>
    </row>
    <row r="142" spans="1:9" ht="19.8" customHeight="1" x14ac:dyDescent="0.3">
      <c r="A142" s="150">
        <v>46001</v>
      </c>
      <c r="B142" s="64" t="s">
        <v>40</v>
      </c>
      <c r="C142" s="65" t="s">
        <v>48</v>
      </c>
      <c r="D142" s="64" t="s">
        <v>1</v>
      </c>
      <c r="E142" s="151">
        <v>1.836805555555556</v>
      </c>
      <c r="F142" s="64" t="s">
        <v>38</v>
      </c>
      <c r="G142" s="66">
        <v>9</v>
      </c>
      <c r="H142" s="148">
        <v>819</v>
      </c>
      <c r="I142" s="88"/>
    </row>
    <row r="143" spans="1:9" ht="19.8" customHeight="1" x14ac:dyDescent="0.3">
      <c r="A143" s="150">
        <v>46001</v>
      </c>
      <c r="B143" s="64" t="s">
        <v>31</v>
      </c>
      <c r="C143" s="65" t="s">
        <v>32</v>
      </c>
      <c r="D143" s="64" t="s">
        <v>1</v>
      </c>
      <c r="E143" s="151">
        <v>1.305555555555556</v>
      </c>
      <c r="F143" s="64" t="s">
        <v>38</v>
      </c>
      <c r="G143" s="66">
        <v>10</v>
      </c>
      <c r="H143" s="148">
        <v>899</v>
      </c>
      <c r="I143" s="88"/>
    </row>
    <row r="144" spans="1:9" ht="19.8" customHeight="1" x14ac:dyDescent="0.3">
      <c r="A144" s="152">
        <v>46001</v>
      </c>
      <c r="B144" s="60" t="s">
        <v>68</v>
      </c>
      <c r="C144" s="61" t="s">
        <v>69</v>
      </c>
      <c r="D144" s="60" t="s">
        <v>1</v>
      </c>
      <c r="E144" s="153">
        <v>1.305555555555556</v>
      </c>
      <c r="F144" s="60" t="s">
        <v>70</v>
      </c>
      <c r="G144" s="62">
        <v>4</v>
      </c>
      <c r="H144" s="72" t="s">
        <v>157</v>
      </c>
      <c r="I144" s="88"/>
    </row>
    <row r="145" spans="1:9" ht="19.8" customHeight="1" x14ac:dyDescent="0.3">
      <c r="A145" s="109"/>
      <c r="B145" s="110"/>
      <c r="C145" s="110"/>
      <c r="D145" s="110"/>
      <c r="E145" s="110"/>
      <c r="F145" s="111" t="s">
        <v>371</v>
      </c>
      <c r="G145" s="110"/>
      <c r="H145" s="112"/>
      <c r="I145" s="88"/>
    </row>
    <row r="146" spans="1:9" ht="19.8" customHeight="1" x14ac:dyDescent="0.3">
      <c r="A146" s="150">
        <v>46002</v>
      </c>
      <c r="B146" s="64" t="s">
        <v>31</v>
      </c>
      <c r="C146" s="65" t="s">
        <v>32</v>
      </c>
      <c r="D146" s="64" t="s">
        <v>1</v>
      </c>
      <c r="E146" s="151">
        <v>1.305555555555556</v>
      </c>
      <c r="F146" s="64" t="s">
        <v>33</v>
      </c>
      <c r="G146" s="66">
        <v>19</v>
      </c>
      <c r="H146" s="148">
        <v>369</v>
      </c>
      <c r="I146" s="88"/>
    </row>
    <row r="147" spans="1:9" ht="19.8" customHeight="1" x14ac:dyDescent="0.3">
      <c r="A147" s="150">
        <v>46002</v>
      </c>
      <c r="B147" s="64" t="s">
        <v>73</v>
      </c>
      <c r="C147" s="65" t="s">
        <v>74</v>
      </c>
      <c r="D147" s="64" t="s">
        <v>1</v>
      </c>
      <c r="E147" s="151">
        <v>1.8888888888888891</v>
      </c>
      <c r="F147" s="64" t="s">
        <v>28</v>
      </c>
      <c r="G147" s="66">
        <v>4</v>
      </c>
      <c r="H147" s="148">
        <v>371</v>
      </c>
      <c r="I147" s="88"/>
    </row>
    <row r="148" spans="1:9" ht="19.8" customHeight="1" x14ac:dyDescent="0.3">
      <c r="A148" s="150">
        <v>46002</v>
      </c>
      <c r="B148" s="64" t="s">
        <v>51</v>
      </c>
      <c r="C148" s="65" t="s">
        <v>52</v>
      </c>
      <c r="D148" s="64" t="s">
        <v>1</v>
      </c>
      <c r="E148" s="151">
        <v>1.9236111111111109</v>
      </c>
      <c r="F148" s="64" t="s">
        <v>28</v>
      </c>
      <c r="G148" s="66">
        <v>9</v>
      </c>
      <c r="H148" s="148">
        <v>379</v>
      </c>
      <c r="I148" s="88"/>
    </row>
    <row r="149" spans="1:9" ht="19.8" customHeight="1" x14ac:dyDescent="0.3">
      <c r="A149" s="150">
        <v>46002</v>
      </c>
      <c r="B149" s="64" t="s">
        <v>40</v>
      </c>
      <c r="C149" s="65" t="s">
        <v>41</v>
      </c>
      <c r="D149" s="64" t="s">
        <v>1</v>
      </c>
      <c r="E149" s="151">
        <v>1.2013888888888891</v>
      </c>
      <c r="F149" s="64" t="s">
        <v>42</v>
      </c>
      <c r="G149" s="66">
        <v>5</v>
      </c>
      <c r="H149" s="148">
        <v>399</v>
      </c>
      <c r="I149" s="88"/>
    </row>
    <row r="150" spans="1:9" ht="19.8" customHeight="1" x14ac:dyDescent="0.3">
      <c r="A150" s="150">
        <v>46002</v>
      </c>
      <c r="B150" s="64" t="s">
        <v>58</v>
      </c>
      <c r="C150" s="65" t="s">
        <v>59</v>
      </c>
      <c r="D150" s="64" t="s">
        <v>1</v>
      </c>
      <c r="E150" s="151">
        <v>1.1701388888888891</v>
      </c>
      <c r="F150" s="64" t="s">
        <v>60</v>
      </c>
      <c r="G150" s="66">
        <v>7</v>
      </c>
      <c r="H150" s="148">
        <v>411</v>
      </c>
      <c r="I150" s="88"/>
    </row>
    <row r="151" spans="1:9" ht="19.8" customHeight="1" x14ac:dyDescent="0.3">
      <c r="A151" s="150">
        <v>46002</v>
      </c>
      <c r="B151" s="64" t="s">
        <v>26</v>
      </c>
      <c r="C151" s="65" t="s">
        <v>57</v>
      </c>
      <c r="D151" s="64" t="s">
        <v>1</v>
      </c>
      <c r="E151" s="151">
        <v>1.958333333333333</v>
      </c>
      <c r="F151" s="64" t="s">
        <v>28</v>
      </c>
      <c r="G151" s="66">
        <v>9</v>
      </c>
      <c r="H151" s="148">
        <v>439</v>
      </c>
      <c r="I151" s="88"/>
    </row>
    <row r="152" spans="1:9" ht="19.8" customHeight="1" x14ac:dyDescent="0.3">
      <c r="A152" s="150">
        <v>46002</v>
      </c>
      <c r="B152" s="64" t="s">
        <v>40</v>
      </c>
      <c r="C152" s="65" t="s">
        <v>48</v>
      </c>
      <c r="D152" s="64" t="s">
        <v>1</v>
      </c>
      <c r="E152" s="151">
        <v>1.836805555555556</v>
      </c>
      <c r="F152" s="64" t="s">
        <v>42</v>
      </c>
      <c r="G152" s="66">
        <v>3</v>
      </c>
      <c r="H152" s="148">
        <v>459</v>
      </c>
      <c r="I152" s="88"/>
    </row>
    <row r="153" spans="1:9" ht="19.8" customHeight="1" x14ac:dyDescent="0.3">
      <c r="A153" s="150">
        <v>46002</v>
      </c>
      <c r="B153" s="64" t="s">
        <v>40</v>
      </c>
      <c r="C153" s="65" t="s">
        <v>41</v>
      </c>
      <c r="D153" s="64" t="s">
        <v>1</v>
      </c>
      <c r="E153" s="151">
        <v>1.2013888888888891</v>
      </c>
      <c r="F153" s="64" t="s">
        <v>45</v>
      </c>
      <c r="G153" s="66">
        <v>5</v>
      </c>
      <c r="H153" s="148">
        <v>499</v>
      </c>
      <c r="I153" s="88"/>
    </row>
    <row r="154" spans="1:9" ht="19.8" customHeight="1" x14ac:dyDescent="0.3">
      <c r="A154" s="150">
        <v>46002</v>
      </c>
      <c r="B154" s="64" t="s">
        <v>31</v>
      </c>
      <c r="C154" s="65" t="s">
        <v>32</v>
      </c>
      <c r="D154" s="64" t="s">
        <v>1</v>
      </c>
      <c r="E154" s="151">
        <v>1.305555555555556</v>
      </c>
      <c r="F154" s="64" t="s">
        <v>36</v>
      </c>
      <c r="G154" s="66">
        <v>19</v>
      </c>
      <c r="H154" s="148">
        <v>547</v>
      </c>
      <c r="I154" s="88"/>
    </row>
    <row r="155" spans="1:9" ht="19.8" customHeight="1" x14ac:dyDescent="0.3">
      <c r="A155" s="150">
        <v>46002</v>
      </c>
      <c r="B155" s="64" t="s">
        <v>58</v>
      </c>
      <c r="C155" s="65" t="s">
        <v>63</v>
      </c>
      <c r="D155" s="64" t="s">
        <v>1</v>
      </c>
      <c r="E155" s="151">
        <v>1.864583333333333</v>
      </c>
      <c r="F155" s="64" t="s">
        <v>64</v>
      </c>
      <c r="G155" s="66">
        <v>9</v>
      </c>
      <c r="H155" s="148">
        <v>547</v>
      </c>
      <c r="I155" s="88"/>
    </row>
    <row r="156" spans="1:9" ht="19.8" customHeight="1" x14ac:dyDescent="0.3">
      <c r="A156" s="150">
        <v>46002</v>
      </c>
      <c r="B156" s="64" t="s">
        <v>58</v>
      </c>
      <c r="C156" s="65" t="s">
        <v>66</v>
      </c>
      <c r="D156" s="64" t="s">
        <v>1</v>
      </c>
      <c r="E156" s="151">
        <v>1.5277777777777779</v>
      </c>
      <c r="F156" s="64" t="s">
        <v>64</v>
      </c>
      <c r="G156" s="66">
        <v>9</v>
      </c>
      <c r="H156" s="148">
        <v>547</v>
      </c>
      <c r="I156" s="88"/>
    </row>
    <row r="157" spans="1:9" ht="19.8" customHeight="1" x14ac:dyDescent="0.3">
      <c r="A157" s="150">
        <v>46002</v>
      </c>
      <c r="B157" s="64" t="s">
        <v>40</v>
      </c>
      <c r="C157" s="65" t="s">
        <v>48</v>
      </c>
      <c r="D157" s="64" t="s">
        <v>1</v>
      </c>
      <c r="E157" s="151">
        <v>1.836805555555556</v>
      </c>
      <c r="F157" s="64" t="s">
        <v>45</v>
      </c>
      <c r="G157" s="66">
        <v>3</v>
      </c>
      <c r="H157" s="148">
        <v>559</v>
      </c>
      <c r="I157" s="88"/>
    </row>
    <row r="158" spans="1:9" ht="19.8" customHeight="1" x14ac:dyDescent="0.3">
      <c r="A158" s="150">
        <v>46002</v>
      </c>
      <c r="B158" s="64" t="s">
        <v>40</v>
      </c>
      <c r="C158" s="65" t="s">
        <v>41</v>
      </c>
      <c r="D158" s="64" t="s">
        <v>1</v>
      </c>
      <c r="E158" s="151">
        <v>1.2013888888888891</v>
      </c>
      <c r="F158" s="64" t="s">
        <v>38</v>
      </c>
      <c r="G158" s="66">
        <v>5</v>
      </c>
      <c r="H158" s="148">
        <v>589</v>
      </c>
      <c r="I158" s="88"/>
    </row>
    <row r="159" spans="1:9" ht="19.8" customHeight="1" x14ac:dyDescent="0.3">
      <c r="A159" s="150">
        <v>46002</v>
      </c>
      <c r="B159" s="64" t="s">
        <v>40</v>
      </c>
      <c r="C159" s="65" t="s">
        <v>48</v>
      </c>
      <c r="D159" s="64" t="s">
        <v>1</v>
      </c>
      <c r="E159" s="151">
        <v>1.836805555555556</v>
      </c>
      <c r="F159" s="64" t="s">
        <v>38</v>
      </c>
      <c r="G159" s="66">
        <v>3</v>
      </c>
      <c r="H159" s="148">
        <v>649</v>
      </c>
      <c r="I159" s="88"/>
    </row>
    <row r="160" spans="1:9" ht="19.8" customHeight="1" x14ac:dyDescent="0.3">
      <c r="A160" s="150">
        <v>46002</v>
      </c>
      <c r="B160" s="64" t="s">
        <v>31</v>
      </c>
      <c r="C160" s="65" t="s">
        <v>32</v>
      </c>
      <c r="D160" s="64" t="s">
        <v>1</v>
      </c>
      <c r="E160" s="151">
        <v>1.305555555555556</v>
      </c>
      <c r="F160" s="64" t="s">
        <v>38</v>
      </c>
      <c r="G160" s="66">
        <v>19</v>
      </c>
      <c r="H160" s="148">
        <v>899</v>
      </c>
      <c r="I160" s="88"/>
    </row>
    <row r="161" spans="1:9" ht="19.8" customHeight="1" x14ac:dyDescent="0.3">
      <c r="A161" s="152">
        <v>46002</v>
      </c>
      <c r="B161" s="60" t="s">
        <v>68</v>
      </c>
      <c r="C161" s="61" t="s">
        <v>69</v>
      </c>
      <c r="D161" s="60" t="s">
        <v>1</v>
      </c>
      <c r="E161" s="153">
        <v>1.305555555555556</v>
      </c>
      <c r="F161" s="60" t="s">
        <v>70</v>
      </c>
      <c r="G161" s="62">
        <v>4</v>
      </c>
      <c r="H161" s="72" t="s">
        <v>112</v>
      </c>
      <c r="I161" s="88"/>
    </row>
    <row r="162" spans="1:9" ht="19.8" customHeight="1" x14ac:dyDescent="0.3">
      <c r="A162" s="154">
        <v>46003</v>
      </c>
      <c r="B162" s="68" t="s">
        <v>51</v>
      </c>
      <c r="C162" s="69" t="s">
        <v>336</v>
      </c>
      <c r="D162" s="68" t="s">
        <v>335</v>
      </c>
      <c r="E162" s="155">
        <v>1.291666666666667</v>
      </c>
      <c r="F162" s="68" t="s">
        <v>28</v>
      </c>
      <c r="G162" s="70">
        <v>9</v>
      </c>
      <c r="H162" s="149">
        <v>506</v>
      </c>
      <c r="I162" s="88"/>
    </row>
    <row r="163" spans="1:9" ht="19.8" customHeight="1" x14ac:dyDescent="0.3">
      <c r="A163" s="109"/>
      <c r="B163" s="110"/>
      <c r="C163" s="110"/>
      <c r="D163" s="110"/>
      <c r="E163" s="110"/>
      <c r="F163" s="111" t="s">
        <v>371</v>
      </c>
      <c r="G163" s="110"/>
      <c r="H163" s="112"/>
      <c r="I163" s="88"/>
    </row>
    <row r="164" spans="1:9" ht="19.8" customHeight="1" x14ac:dyDescent="0.3">
      <c r="A164" s="150">
        <v>46003</v>
      </c>
      <c r="B164" s="64" t="s">
        <v>40</v>
      </c>
      <c r="C164" s="65" t="s">
        <v>48</v>
      </c>
      <c r="D164" s="64" t="s">
        <v>1</v>
      </c>
      <c r="E164" s="151">
        <v>1.836805555555556</v>
      </c>
      <c r="F164" s="64" t="s">
        <v>42</v>
      </c>
      <c r="G164" s="66">
        <v>2</v>
      </c>
      <c r="H164" s="148">
        <v>349</v>
      </c>
      <c r="I164" s="88"/>
    </row>
    <row r="165" spans="1:9" ht="19.8" customHeight="1" x14ac:dyDescent="0.3">
      <c r="A165" s="150">
        <v>46003</v>
      </c>
      <c r="B165" s="64" t="s">
        <v>31</v>
      </c>
      <c r="C165" s="65" t="s">
        <v>32</v>
      </c>
      <c r="D165" s="64" t="s">
        <v>1</v>
      </c>
      <c r="E165" s="151">
        <v>1.305555555555556</v>
      </c>
      <c r="F165" s="64" t="s">
        <v>33</v>
      </c>
      <c r="G165" s="66">
        <v>8</v>
      </c>
      <c r="H165" s="148">
        <v>369</v>
      </c>
      <c r="I165" s="88"/>
    </row>
    <row r="166" spans="1:9" ht="19.8" customHeight="1" x14ac:dyDescent="0.3">
      <c r="A166" s="150">
        <v>46003</v>
      </c>
      <c r="B166" s="64" t="s">
        <v>58</v>
      </c>
      <c r="C166" s="65" t="s">
        <v>63</v>
      </c>
      <c r="D166" s="64" t="s">
        <v>1</v>
      </c>
      <c r="E166" s="151">
        <v>1.864583333333333</v>
      </c>
      <c r="F166" s="64" t="s">
        <v>60</v>
      </c>
      <c r="G166" s="66">
        <v>1</v>
      </c>
      <c r="H166" s="148">
        <v>411</v>
      </c>
      <c r="I166" s="88"/>
    </row>
    <row r="167" spans="1:9" ht="19.8" customHeight="1" x14ac:dyDescent="0.3">
      <c r="A167" s="150">
        <v>46003</v>
      </c>
      <c r="B167" s="64" t="s">
        <v>58</v>
      </c>
      <c r="C167" s="65" t="s">
        <v>59</v>
      </c>
      <c r="D167" s="64" t="s">
        <v>1</v>
      </c>
      <c r="E167" s="151">
        <v>1.1701388888888891</v>
      </c>
      <c r="F167" s="64" t="s">
        <v>60</v>
      </c>
      <c r="G167" s="66">
        <v>9</v>
      </c>
      <c r="H167" s="148">
        <v>411</v>
      </c>
      <c r="I167" s="88"/>
    </row>
    <row r="168" spans="1:9" ht="19.8" customHeight="1" x14ac:dyDescent="0.3">
      <c r="A168" s="150">
        <v>46003</v>
      </c>
      <c r="B168" s="64" t="s">
        <v>26</v>
      </c>
      <c r="C168" s="65" t="s">
        <v>27</v>
      </c>
      <c r="D168" s="64" t="s">
        <v>1</v>
      </c>
      <c r="E168" s="151">
        <v>1.958333333333333</v>
      </c>
      <c r="F168" s="64" t="s">
        <v>28</v>
      </c>
      <c r="G168" s="66">
        <v>9</v>
      </c>
      <c r="H168" s="148">
        <v>439</v>
      </c>
      <c r="I168" s="88"/>
    </row>
    <row r="169" spans="1:9" ht="19.8" customHeight="1" x14ac:dyDescent="0.3">
      <c r="A169" s="150">
        <v>46003</v>
      </c>
      <c r="B169" s="64" t="s">
        <v>40</v>
      </c>
      <c r="C169" s="65" t="s">
        <v>48</v>
      </c>
      <c r="D169" s="64" t="s">
        <v>1</v>
      </c>
      <c r="E169" s="151">
        <v>1.836805555555556</v>
      </c>
      <c r="F169" s="64" t="s">
        <v>45</v>
      </c>
      <c r="G169" s="66">
        <v>2</v>
      </c>
      <c r="H169" s="148">
        <v>449</v>
      </c>
      <c r="I169" s="88"/>
    </row>
    <row r="170" spans="1:9" ht="19.8" customHeight="1" x14ac:dyDescent="0.3">
      <c r="A170" s="150">
        <v>46003</v>
      </c>
      <c r="B170" s="64" t="s">
        <v>51</v>
      </c>
      <c r="C170" s="65" t="s">
        <v>52</v>
      </c>
      <c r="D170" s="64" t="s">
        <v>1</v>
      </c>
      <c r="E170" s="151">
        <v>1.5798611111111109</v>
      </c>
      <c r="F170" s="64" t="s">
        <v>28</v>
      </c>
      <c r="G170" s="66">
        <v>3</v>
      </c>
      <c r="H170" s="148">
        <v>476</v>
      </c>
      <c r="I170" s="88"/>
    </row>
    <row r="171" spans="1:9" ht="19.8" customHeight="1" x14ac:dyDescent="0.3">
      <c r="A171" s="150">
        <v>46003</v>
      </c>
      <c r="B171" s="64" t="s">
        <v>40</v>
      </c>
      <c r="C171" s="65" t="s">
        <v>48</v>
      </c>
      <c r="D171" s="64" t="s">
        <v>1</v>
      </c>
      <c r="E171" s="151">
        <v>1.836805555555556</v>
      </c>
      <c r="F171" s="64" t="s">
        <v>38</v>
      </c>
      <c r="G171" s="66">
        <v>2</v>
      </c>
      <c r="H171" s="148">
        <v>539</v>
      </c>
      <c r="I171" s="88"/>
    </row>
    <row r="172" spans="1:9" ht="19.8" customHeight="1" x14ac:dyDescent="0.3">
      <c r="A172" s="150">
        <v>46003</v>
      </c>
      <c r="B172" s="64" t="s">
        <v>31</v>
      </c>
      <c r="C172" s="65" t="s">
        <v>32</v>
      </c>
      <c r="D172" s="64" t="s">
        <v>1</v>
      </c>
      <c r="E172" s="151">
        <v>1.305555555555556</v>
      </c>
      <c r="F172" s="64" t="s">
        <v>36</v>
      </c>
      <c r="G172" s="66">
        <v>8</v>
      </c>
      <c r="H172" s="148">
        <v>547</v>
      </c>
      <c r="I172" s="88"/>
    </row>
    <row r="173" spans="1:9" ht="19.8" customHeight="1" x14ac:dyDescent="0.3">
      <c r="A173" s="150">
        <v>46003</v>
      </c>
      <c r="B173" s="64" t="s">
        <v>58</v>
      </c>
      <c r="C173" s="65" t="s">
        <v>66</v>
      </c>
      <c r="D173" s="64" t="s">
        <v>1</v>
      </c>
      <c r="E173" s="151">
        <v>1.5277777777777779</v>
      </c>
      <c r="F173" s="64" t="s">
        <v>64</v>
      </c>
      <c r="G173" s="66">
        <v>9</v>
      </c>
      <c r="H173" s="148">
        <v>596</v>
      </c>
      <c r="I173" s="88"/>
    </row>
    <row r="174" spans="1:9" ht="19.8" customHeight="1" x14ac:dyDescent="0.3">
      <c r="A174" s="150">
        <v>46003</v>
      </c>
      <c r="B174" s="64" t="s">
        <v>68</v>
      </c>
      <c r="C174" s="65" t="s">
        <v>69</v>
      </c>
      <c r="D174" s="64" t="s">
        <v>1</v>
      </c>
      <c r="E174" s="151">
        <v>1.305555555555556</v>
      </c>
      <c r="F174" s="64" t="s">
        <v>70</v>
      </c>
      <c r="G174" s="66">
        <v>4</v>
      </c>
      <c r="H174" s="71" t="s">
        <v>112</v>
      </c>
      <c r="I174" s="88"/>
    </row>
    <row r="175" spans="1:9" ht="19.8" customHeight="1" x14ac:dyDescent="0.3">
      <c r="A175" s="152">
        <v>46003</v>
      </c>
      <c r="B175" s="60" t="s">
        <v>31</v>
      </c>
      <c r="C175" s="61" t="s">
        <v>32</v>
      </c>
      <c r="D175" s="60" t="s">
        <v>1</v>
      </c>
      <c r="E175" s="153">
        <v>1.305555555555556</v>
      </c>
      <c r="F175" s="60" t="s">
        <v>38</v>
      </c>
      <c r="G175" s="62">
        <v>8</v>
      </c>
      <c r="H175" s="72" t="s">
        <v>39</v>
      </c>
      <c r="I175" s="88"/>
    </row>
    <row r="176" spans="1:9" ht="19.8" customHeight="1" x14ac:dyDescent="0.3">
      <c r="A176" s="109"/>
      <c r="B176" s="110"/>
      <c r="C176" s="110"/>
      <c r="D176" s="110"/>
      <c r="E176" s="110"/>
      <c r="F176" s="111" t="s">
        <v>371</v>
      </c>
      <c r="G176" s="110"/>
      <c r="H176" s="112"/>
      <c r="I176" s="88"/>
    </row>
    <row r="177" spans="1:9" ht="19.8" customHeight="1" x14ac:dyDescent="0.3">
      <c r="A177" s="150">
        <v>46004</v>
      </c>
      <c r="B177" s="64" t="s">
        <v>40</v>
      </c>
      <c r="C177" s="65" t="s">
        <v>41</v>
      </c>
      <c r="D177" s="64" t="s">
        <v>1</v>
      </c>
      <c r="E177" s="151">
        <v>1.2013888888888891</v>
      </c>
      <c r="F177" s="64" t="s">
        <v>42</v>
      </c>
      <c r="G177" s="66">
        <v>9</v>
      </c>
      <c r="H177" s="148">
        <v>349</v>
      </c>
      <c r="I177" s="88"/>
    </row>
    <row r="178" spans="1:9" ht="19.8" customHeight="1" x14ac:dyDescent="0.3">
      <c r="A178" s="150">
        <v>46004</v>
      </c>
      <c r="B178" s="64" t="s">
        <v>40</v>
      </c>
      <c r="C178" s="65" t="s">
        <v>48</v>
      </c>
      <c r="D178" s="64" t="s">
        <v>1</v>
      </c>
      <c r="E178" s="151">
        <v>1.836805555555556</v>
      </c>
      <c r="F178" s="64" t="s">
        <v>42</v>
      </c>
      <c r="G178" s="66">
        <v>8</v>
      </c>
      <c r="H178" s="148">
        <v>379</v>
      </c>
      <c r="I178" s="88"/>
    </row>
    <row r="179" spans="1:9" ht="19.8" customHeight="1" x14ac:dyDescent="0.3">
      <c r="A179" s="150">
        <v>46004</v>
      </c>
      <c r="B179" s="64" t="s">
        <v>51</v>
      </c>
      <c r="C179" s="65" t="s">
        <v>52</v>
      </c>
      <c r="D179" s="64" t="s">
        <v>1</v>
      </c>
      <c r="E179" s="151">
        <v>1.9236111111111109</v>
      </c>
      <c r="F179" s="64" t="s">
        <v>28</v>
      </c>
      <c r="G179" s="66">
        <v>9</v>
      </c>
      <c r="H179" s="148">
        <v>379</v>
      </c>
      <c r="I179" s="88"/>
    </row>
    <row r="180" spans="1:9" ht="19.8" customHeight="1" x14ac:dyDescent="0.3">
      <c r="A180" s="150">
        <v>46004</v>
      </c>
      <c r="B180" s="64" t="s">
        <v>26</v>
      </c>
      <c r="C180" s="65" t="s">
        <v>57</v>
      </c>
      <c r="D180" s="64" t="s">
        <v>1</v>
      </c>
      <c r="E180" s="151">
        <v>1.895833333333333</v>
      </c>
      <c r="F180" s="64" t="s">
        <v>28</v>
      </c>
      <c r="G180" s="66">
        <v>9</v>
      </c>
      <c r="H180" s="148">
        <v>379</v>
      </c>
      <c r="I180" s="88"/>
    </row>
    <row r="181" spans="1:9" ht="19.8" customHeight="1" x14ac:dyDescent="0.3">
      <c r="A181" s="150">
        <v>46004</v>
      </c>
      <c r="B181" s="64" t="s">
        <v>58</v>
      </c>
      <c r="C181" s="65" t="s">
        <v>63</v>
      </c>
      <c r="D181" s="64" t="s">
        <v>1</v>
      </c>
      <c r="E181" s="151">
        <v>1.864583333333333</v>
      </c>
      <c r="F181" s="64" t="s">
        <v>60</v>
      </c>
      <c r="G181" s="66">
        <v>9</v>
      </c>
      <c r="H181" s="148">
        <v>411</v>
      </c>
      <c r="I181" s="88"/>
    </row>
    <row r="182" spans="1:9" ht="19.8" customHeight="1" x14ac:dyDescent="0.3">
      <c r="A182" s="150">
        <v>46004</v>
      </c>
      <c r="B182" s="64" t="s">
        <v>58</v>
      </c>
      <c r="C182" s="65" t="s">
        <v>59</v>
      </c>
      <c r="D182" s="64" t="s">
        <v>1</v>
      </c>
      <c r="E182" s="151">
        <v>1.1701388888888891</v>
      </c>
      <c r="F182" s="64" t="s">
        <v>60</v>
      </c>
      <c r="G182" s="66">
        <v>8</v>
      </c>
      <c r="H182" s="148">
        <v>411</v>
      </c>
      <c r="I182" s="88"/>
    </row>
    <row r="183" spans="1:9" ht="19.8" customHeight="1" x14ac:dyDescent="0.3">
      <c r="A183" s="150">
        <v>46004</v>
      </c>
      <c r="B183" s="64" t="s">
        <v>58</v>
      </c>
      <c r="C183" s="65" t="s">
        <v>66</v>
      </c>
      <c r="D183" s="64" t="s">
        <v>1</v>
      </c>
      <c r="E183" s="151">
        <v>1.5277777777777779</v>
      </c>
      <c r="F183" s="64" t="s">
        <v>60</v>
      </c>
      <c r="G183" s="66">
        <v>6</v>
      </c>
      <c r="H183" s="148">
        <v>415</v>
      </c>
      <c r="I183" s="88"/>
    </row>
    <row r="184" spans="1:9" ht="19.8" customHeight="1" x14ac:dyDescent="0.3">
      <c r="A184" s="150">
        <v>46004</v>
      </c>
      <c r="B184" s="64" t="s">
        <v>40</v>
      </c>
      <c r="C184" s="65" t="s">
        <v>41</v>
      </c>
      <c r="D184" s="64" t="s">
        <v>1</v>
      </c>
      <c r="E184" s="151">
        <v>1.2013888888888891</v>
      </c>
      <c r="F184" s="64" t="s">
        <v>45</v>
      </c>
      <c r="G184" s="66">
        <v>9</v>
      </c>
      <c r="H184" s="148">
        <v>449</v>
      </c>
      <c r="I184" s="88"/>
    </row>
    <row r="185" spans="1:9" ht="19.8" customHeight="1" x14ac:dyDescent="0.3">
      <c r="A185" s="150">
        <v>46004</v>
      </c>
      <c r="B185" s="64" t="s">
        <v>40</v>
      </c>
      <c r="C185" s="65" t="s">
        <v>48</v>
      </c>
      <c r="D185" s="64" t="s">
        <v>1</v>
      </c>
      <c r="E185" s="151">
        <v>1.836805555555556</v>
      </c>
      <c r="F185" s="64" t="s">
        <v>45</v>
      </c>
      <c r="G185" s="66">
        <v>8</v>
      </c>
      <c r="H185" s="148">
        <v>479</v>
      </c>
      <c r="I185" s="88"/>
    </row>
    <row r="186" spans="1:9" ht="19.8" customHeight="1" x14ac:dyDescent="0.3">
      <c r="A186" s="150">
        <v>46004</v>
      </c>
      <c r="B186" s="64" t="s">
        <v>40</v>
      </c>
      <c r="C186" s="65" t="s">
        <v>41</v>
      </c>
      <c r="D186" s="64" t="s">
        <v>1</v>
      </c>
      <c r="E186" s="151">
        <v>1.2013888888888891</v>
      </c>
      <c r="F186" s="64" t="s">
        <v>38</v>
      </c>
      <c r="G186" s="66">
        <v>9</v>
      </c>
      <c r="H186" s="148">
        <v>539</v>
      </c>
      <c r="I186" s="88"/>
    </row>
    <row r="187" spans="1:9" ht="19.8" customHeight="1" x14ac:dyDescent="0.3">
      <c r="A187" s="150">
        <v>46004</v>
      </c>
      <c r="B187" s="64" t="s">
        <v>40</v>
      </c>
      <c r="C187" s="65" t="s">
        <v>48</v>
      </c>
      <c r="D187" s="64" t="s">
        <v>1</v>
      </c>
      <c r="E187" s="151">
        <v>1.836805555555556</v>
      </c>
      <c r="F187" s="64" t="s">
        <v>38</v>
      </c>
      <c r="G187" s="66">
        <v>8</v>
      </c>
      <c r="H187" s="148">
        <v>569</v>
      </c>
      <c r="I187" s="88"/>
    </row>
    <row r="188" spans="1:9" ht="19.8" customHeight="1" x14ac:dyDescent="0.3">
      <c r="A188" s="152">
        <v>46004</v>
      </c>
      <c r="B188" s="60" t="s">
        <v>68</v>
      </c>
      <c r="C188" s="61" t="s">
        <v>69</v>
      </c>
      <c r="D188" s="60" t="s">
        <v>1</v>
      </c>
      <c r="E188" s="153">
        <v>1.305555555555556</v>
      </c>
      <c r="F188" s="60" t="s">
        <v>70</v>
      </c>
      <c r="G188" s="62">
        <v>4</v>
      </c>
      <c r="H188" s="72" t="s">
        <v>122</v>
      </c>
      <c r="I188" s="88"/>
    </row>
    <row r="189" spans="1:9" ht="19.8" customHeight="1" x14ac:dyDescent="0.3">
      <c r="A189" s="109"/>
      <c r="B189" s="110"/>
      <c r="C189" s="110"/>
      <c r="D189" s="110"/>
      <c r="E189" s="110"/>
      <c r="F189" s="111" t="s">
        <v>371</v>
      </c>
      <c r="G189" s="110"/>
      <c r="H189" s="112"/>
      <c r="I189" s="88"/>
    </row>
    <row r="190" spans="1:9" ht="19.8" customHeight="1" x14ac:dyDescent="0.3">
      <c r="A190" s="150">
        <v>46005</v>
      </c>
      <c r="B190" s="64" t="s">
        <v>31</v>
      </c>
      <c r="C190" s="65" t="s">
        <v>32</v>
      </c>
      <c r="D190" s="64" t="s">
        <v>1</v>
      </c>
      <c r="E190" s="151">
        <v>1.305555555555556</v>
      </c>
      <c r="F190" s="64" t="s">
        <v>33</v>
      </c>
      <c r="G190" s="66">
        <v>18</v>
      </c>
      <c r="H190" s="148">
        <v>309</v>
      </c>
      <c r="I190" s="88"/>
    </row>
    <row r="191" spans="1:9" ht="19.8" customHeight="1" x14ac:dyDescent="0.3">
      <c r="A191" s="150">
        <v>46005</v>
      </c>
      <c r="B191" s="64" t="s">
        <v>40</v>
      </c>
      <c r="C191" s="65" t="s">
        <v>48</v>
      </c>
      <c r="D191" s="64" t="s">
        <v>1</v>
      </c>
      <c r="E191" s="151">
        <v>1.850694444444444</v>
      </c>
      <c r="F191" s="64" t="s">
        <v>42</v>
      </c>
      <c r="G191" s="66">
        <v>2</v>
      </c>
      <c r="H191" s="148">
        <v>349</v>
      </c>
      <c r="I191" s="88"/>
    </row>
    <row r="192" spans="1:9" ht="19.8" customHeight="1" x14ac:dyDescent="0.3">
      <c r="A192" s="150">
        <v>46005</v>
      </c>
      <c r="B192" s="64" t="s">
        <v>73</v>
      </c>
      <c r="C192" s="65" t="s">
        <v>125</v>
      </c>
      <c r="D192" s="64" t="s">
        <v>1</v>
      </c>
      <c r="E192" s="151">
        <v>1.2222222222222221</v>
      </c>
      <c r="F192" s="64" t="s">
        <v>28</v>
      </c>
      <c r="G192" s="66">
        <v>3</v>
      </c>
      <c r="H192" s="148">
        <v>371</v>
      </c>
      <c r="I192" s="88"/>
    </row>
    <row r="193" spans="1:9" ht="19.8" customHeight="1" x14ac:dyDescent="0.3">
      <c r="A193" s="150">
        <v>46005</v>
      </c>
      <c r="B193" s="64" t="s">
        <v>26</v>
      </c>
      <c r="C193" s="65" t="s">
        <v>97</v>
      </c>
      <c r="D193" s="64" t="s">
        <v>1</v>
      </c>
      <c r="E193" s="151">
        <v>1.958333333333333</v>
      </c>
      <c r="F193" s="64" t="s">
        <v>28</v>
      </c>
      <c r="G193" s="66">
        <v>9</v>
      </c>
      <c r="H193" s="148">
        <v>379</v>
      </c>
      <c r="I193" s="88"/>
    </row>
    <row r="194" spans="1:9" ht="19.8" customHeight="1" x14ac:dyDescent="0.3">
      <c r="A194" s="150">
        <v>46005</v>
      </c>
      <c r="B194" s="64" t="s">
        <v>58</v>
      </c>
      <c r="C194" s="65" t="s">
        <v>59</v>
      </c>
      <c r="D194" s="64" t="s">
        <v>1</v>
      </c>
      <c r="E194" s="151">
        <v>1.1701388888888891</v>
      </c>
      <c r="F194" s="64" t="s">
        <v>60</v>
      </c>
      <c r="G194" s="66">
        <v>6</v>
      </c>
      <c r="H194" s="148">
        <v>411</v>
      </c>
      <c r="I194" s="88"/>
    </row>
    <row r="195" spans="1:9" ht="19.8" customHeight="1" x14ac:dyDescent="0.3">
      <c r="A195" s="150">
        <v>46005</v>
      </c>
      <c r="B195" s="64" t="s">
        <v>58</v>
      </c>
      <c r="C195" s="65" t="s">
        <v>63</v>
      </c>
      <c r="D195" s="64" t="s">
        <v>1</v>
      </c>
      <c r="E195" s="151">
        <v>1.864583333333333</v>
      </c>
      <c r="F195" s="64" t="s">
        <v>127</v>
      </c>
      <c r="G195" s="66">
        <v>9</v>
      </c>
      <c r="H195" s="148">
        <v>437</v>
      </c>
      <c r="I195" s="88"/>
    </row>
    <row r="196" spans="1:9" ht="19.8" customHeight="1" x14ac:dyDescent="0.3">
      <c r="A196" s="150">
        <v>46005</v>
      </c>
      <c r="B196" s="64" t="s">
        <v>40</v>
      </c>
      <c r="C196" s="65" t="s">
        <v>48</v>
      </c>
      <c r="D196" s="64" t="s">
        <v>1</v>
      </c>
      <c r="E196" s="151">
        <v>1.850694444444444</v>
      </c>
      <c r="F196" s="64" t="s">
        <v>45</v>
      </c>
      <c r="G196" s="66">
        <v>2</v>
      </c>
      <c r="H196" s="148">
        <v>449</v>
      </c>
      <c r="I196" s="88"/>
    </row>
    <row r="197" spans="1:9" ht="19.8" customHeight="1" x14ac:dyDescent="0.3">
      <c r="A197" s="150">
        <v>46005</v>
      </c>
      <c r="B197" s="64" t="s">
        <v>31</v>
      </c>
      <c r="C197" s="65" t="s">
        <v>32</v>
      </c>
      <c r="D197" s="64" t="s">
        <v>1</v>
      </c>
      <c r="E197" s="151">
        <v>1.305555555555556</v>
      </c>
      <c r="F197" s="64" t="s">
        <v>36</v>
      </c>
      <c r="G197" s="66">
        <v>18</v>
      </c>
      <c r="H197" s="148">
        <v>487</v>
      </c>
      <c r="I197" s="88"/>
    </row>
    <row r="198" spans="1:9" ht="19.8" customHeight="1" x14ac:dyDescent="0.3">
      <c r="A198" s="150">
        <v>46005</v>
      </c>
      <c r="B198" s="64" t="s">
        <v>40</v>
      </c>
      <c r="C198" s="65" t="s">
        <v>48</v>
      </c>
      <c r="D198" s="64" t="s">
        <v>1</v>
      </c>
      <c r="E198" s="151">
        <v>1.850694444444444</v>
      </c>
      <c r="F198" s="64" t="s">
        <v>38</v>
      </c>
      <c r="G198" s="66">
        <v>2</v>
      </c>
      <c r="H198" s="148">
        <v>539</v>
      </c>
      <c r="I198" s="88"/>
    </row>
    <row r="199" spans="1:9" ht="19.8" customHeight="1" x14ac:dyDescent="0.3">
      <c r="A199" s="150">
        <v>46005</v>
      </c>
      <c r="B199" s="64" t="s">
        <v>31</v>
      </c>
      <c r="C199" s="65" t="s">
        <v>32</v>
      </c>
      <c r="D199" s="64" t="s">
        <v>1</v>
      </c>
      <c r="E199" s="151">
        <v>1.305555555555556</v>
      </c>
      <c r="F199" s="64" t="s">
        <v>38</v>
      </c>
      <c r="G199" s="66">
        <v>18</v>
      </c>
      <c r="H199" s="148">
        <v>899</v>
      </c>
      <c r="I199" s="88"/>
    </row>
    <row r="200" spans="1:9" ht="19.8" customHeight="1" x14ac:dyDescent="0.3">
      <c r="A200" s="152">
        <v>46005</v>
      </c>
      <c r="B200" s="60" t="s">
        <v>68</v>
      </c>
      <c r="C200" s="61" t="s">
        <v>69</v>
      </c>
      <c r="D200" s="60" t="s">
        <v>1</v>
      </c>
      <c r="E200" s="153">
        <v>1.305555555555556</v>
      </c>
      <c r="F200" s="60" t="s">
        <v>70</v>
      </c>
      <c r="G200" s="62">
        <v>4</v>
      </c>
      <c r="H200" s="72" t="s">
        <v>122</v>
      </c>
      <c r="I200" s="88"/>
    </row>
    <row r="201" spans="1:9" ht="19.8" customHeight="1" x14ac:dyDescent="0.3">
      <c r="A201" s="154">
        <v>46006</v>
      </c>
      <c r="B201" s="68" t="s">
        <v>51</v>
      </c>
      <c r="C201" s="69" t="s">
        <v>336</v>
      </c>
      <c r="D201" s="68" t="s">
        <v>335</v>
      </c>
      <c r="E201" s="155">
        <v>1.510416666666667</v>
      </c>
      <c r="F201" s="68" t="s">
        <v>28</v>
      </c>
      <c r="G201" s="70">
        <v>9</v>
      </c>
      <c r="H201" s="149">
        <v>506</v>
      </c>
      <c r="I201" s="88"/>
    </row>
    <row r="202" spans="1:9" ht="19.8" customHeight="1" x14ac:dyDescent="0.3">
      <c r="A202" s="109"/>
      <c r="B202" s="110"/>
      <c r="C202" s="110"/>
      <c r="D202" s="110"/>
      <c r="E202" s="110"/>
      <c r="F202" s="111" t="s">
        <v>371</v>
      </c>
      <c r="G202" s="110"/>
      <c r="H202" s="112"/>
      <c r="I202" s="88"/>
    </row>
    <row r="203" spans="1:9" ht="19.8" customHeight="1" x14ac:dyDescent="0.3">
      <c r="A203" s="150">
        <v>46006</v>
      </c>
      <c r="B203" s="64" t="s">
        <v>31</v>
      </c>
      <c r="C203" s="65" t="s">
        <v>32</v>
      </c>
      <c r="D203" s="64" t="s">
        <v>1</v>
      </c>
      <c r="E203" s="151">
        <v>1.305555555555556</v>
      </c>
      <c r="F203" s="64" t="s">
        <v>33</v>
      </c>
      <c r="G203" s="66">
        <v>12</v>
      </c>
      <c r="H203" s="148">
        <v>309</v>
      </c>
      <c r="I203" s="88"/>
    </row>
    <row r="204" spans="1:9" ht="19.8" customHeight="1" x14ac:dyDescent="0.3">
      <c r="A204" s="150">
        <v>46006</v>
      </c>
      <c r="B204" s="64" t="s">
        <v>40</v>
      </c>
      <c r="C204" s="65" t="s">
        <v>41</v>
      </c>
      <c r="D204" s="64" t="s">
        <v>1</v>
      </c>
      <c r="E204" s="151">
        <v>1.2013888888888891</v>
      </c>
      <c r="F204" s="64" t="s">
        <v>42</v>
      </c>
      <c r="G204" s="66">
        <v>9</v>
      </c>
      <c r="H204" s="148">
        <v>349</v>
      </c>
      <c r="I204" s="88"/>
    </row>
    <row r="205" spans="1:9" ht="19.8" customHeight="1" x14ac:dyDescent="0.3">
      <c r="A205" s="150">
        <v>46006</v>
      </c>
      <c r="B205" s="64" t="s">
        <v>40</v>
      </c>
      <c r="C205" s="65" t="s">
        <v>48</v>
      </c>
      <c r="D205" s="64" t="s">
        <v>1</v>
      </c>
      <c r="E205" s="151">
        <v>1.836805555555556</v>
      </c>
      <c r="F205" s="64" t="s">
        <v>42</v>
      </c>
      <c r="G205" s="66">
        <v>7</v>
      </c>
      <c r="H205" s="148">
        <v>409</v>
      </c>
      <c r="I205" s="88"/>
    </row>
    <row r="206" spans="1:9" ht="19.8" customHeight="1" x14ac:dyDescent="0.3">
      <c r="A206" s="150">
        <v>46006</v>
      </c>
      <c r="B206" s="64" t="s">
        <v>58</v>
      </c>
      <c r="C206" s="65" t="s">
        <v>59</v>
      </c>
      <c r="D206" s="64" t="s">
        <v>1</v>
      </c>
      <c r="E206" s="151">
        <v>1.1701388888888891</v>
      </c>
      <c r="F206" s="64" t="s">
        <v>60</v>
      </c>
      <c r="G206" s="66">
        <v>9</v>
      </c>
      <c r="H206" s="148">
        <v>411</v>
      </c>
      <c r="I206" s="88"/>
    </row>
    <row r="207" spans="1:9" ht="19.8" customHeight="1" x14ac:dyDescent="0.3">
      <c r="A207" s="150">
        <v>46006</v>
      </c>
      <c r="B207" s="64" t="s">
        <v>58</v>
      </c>
      <c r="C207" s="65" t="s">
        <v>63</v>
      </c>
      <c r="D207" s="64" t="s">
        <v>1</v>
      </c>
      <c r="E207" s="151">
        <v>1.864583333333333</v>
      </c>
      <c r="F207" s="64" t="s">
        <v>127</v>
      </c>
      <c r="G207" s="66">
        <v>9</v>
      </c>
      <c r="H207" s="148">
        <v>437</v>
      </c>
      <c r="I207" s="88"/>
    </row>
    <row r="208" spans="1:9" ht="19.8" customHeight="1" x14ac:dyDescent="0.3">
      <c r="A208" s="150">
        <v>46006</v>
      </c>
      <c r="B208" s="64" t="s">
        <v>26</v>
      </c>
      <c r="C208" s="65" t="s">
        <v>27</v>
      </c>
      <c r="D208" s="64" t="s">
        <v>1</v>
      </c>
      <c r="E208" s="151">
        <v>1.958333333333333</v>
      </c>
      <c r="F208" s="64" t="s">
        <v>28</v>
      </c>
      <c r="G208" s="66">
        <v>9</v>
      </c>
      <c r="H208" s="148">
        <v>439</v>
      </c>
      <c r="I208" s="88"/>
    </row>
    <row r="209" spans="1:9" ht="19.8" customHeight="1" x14ac:dyDescent="0.3">
      <c r="A209" s="150">
        <v>46006</v>
      </c>
      <c r="B209" s="64" t="s">
        <v>40</v>
      </c>
      <c r="C209" s="65" t="s">
        <v>41</v>
      </c>
      <c r="D209" s="64" t="s">
        <v>1</v>
      </c>
      <c r="E209" s="151">
        <v>1.2013888888888891</v>
      </c>
      <c r="F209" s="64" t="s">
        <v>45</v>
      </c>
      <c r="G209" s="66">
        <v>9</v>
      </c>
      <c r="H209" s="148">
        <v>449</v>
      </c>
      <c r="I209" s="88"/>
    </row>
    <row r="210" spans="1:9" ht="19.8" customHeight="1" x14ac:dyDescent="0.3">
      <c r="A210" s="150">
        <v>46006</v>
      </c>
      <c r="B210" s="64" t="s">
        <v>31</v>
      </c>
      <c r="C210" s="65" t="s">
        <v>32</v>
      </c>
      <c r="D210" s="64" t="s">
        <v>1</v>
      </c>
      <c r="E210" s="151">
        <v>1.305555555555556</v>
      </c>
      <c r="F210" s="64" t="s">
        <v>36</v>
      </c>
      <c r="G210" s="66">
        <v>12</v>
      </c>
      <c r="H210" s="148">
        <v>487</v>
      </c>
      <c r="I210" s="88"/>
    </row>
    <row r="211" spans="1:9" ht="19.8" customHeight="1" x14ac:dyDescent="0.3">
      <c r="A211" s="150">
        <v>46006</v>
      </c>
      <c r="B211" s="64" t="s">
        <v>40</v>
      </c>
      <c r="C211" s="65" t="s">
        <v>48</v>
      </c>
      <c r="D211" s="64" t="s">
        <v>1</v>
      </c>
      <c r="E211" s="151">
        <v>1.836805555555556</v>
      </c>
      <c r="F211" s="64" t="s">
        <v>45</v>
      </c>
      <c r="G211" s="66">
        <v>7</v>
      </c>
      <c r="H211" s="148">
        <v>509</v>
      </c>
      <c r="I211" s="88"/>
    </row>
    <row r="212" spans="1:9" ht="19.8" customHeight="1" x14ac:dyDescent="0.3">
      <c r="A212" s="150">
        <v>46006</v>
      </c>
      <c r="B212" s="64" t="s">
        <v>40</v>
      </c>
      <c r="C212" s="65" t="s">
        <v>41</v>
      </c>
      <c r="D212" s="64" t="s">
        <v>1</v>
      </c>
      <c r="E212" s="151">
        <v>1.2013888888888891</v>
      </c>
      <c r="F212" s="64" t="s">
        <v>38</v>
      </c>
      <c r="G212" s="66">
        <v>9</v>
      </c>
      <c r="H212" s="148">
        <v>539</v>
      </c>
      <c r="I212" s="88"/>
    </row>
    <row r="213" spans="1:9" ht="19.8" customHeight="1" x14ac:dyDescent="0.3">
      <c r="A213" s="150">
        <v>46006</v>
      </c>
      <c r="B213" s="64" t="s">
        <v>58</v>
      </c>
      <c r="C213" s="65" t="s">
        <v>66</v>
      </c>
      <c r="D213" s="64" t="s">
        <v>1</v>
      </c>
      <c r="E213" s="151">
        <v>1.5277777777777779</v>
      </c>
      <c r="F213" s="64" t="s">
        <v>64</v>
      </c>
      <c r="G213" s="66">
        <v>9</v>
      </c>
      <c r="H213" s="148">
        <v>547</v>
      </c>
      <c r="I213" s="88"/>
    </row>
    <row r="214" spans="1:9" ht="19.8" customHeight="1" x14ac:dyDescent="0.3">
      <c r="A214" s="150">
        <v>46006</v>
      </c>
      <c r="B214" s="64" t="s">
        <v>40</v>
      </c>
      <c r="C214" s="65" t="s">
        <v>48</v>
      </c>
      <c r="D214" s="64" t="s">
        <v>1</v>
      </c>
      <c r="E214" s="151">
        <v>1.836805555555556</v>
      </c>
      <c r="F214" s="64" t="s">
        <v>38</v>
      </c>
      <c r="G214" s="66">
        <v>7</v>
      </c>
      <c r="H214" s="148">
        <v>599</v>
      </c>
      <c r="I214" s="88"/>
    </row>
    <row r="215" spans="1:9" ht="19.8" customHeight="1" x14ac:dyDescent="0.3">
      <c r="A215" s="150">
        <v>46006</v>
      </c>
      <c r="B215" s="64" t="s">
        <v>31</v>
      </c>
      <c r="C215" s="65" t="s">
        <v>32</v>
      </c>
      <c r="D215" s="64" t="s">
        <v>1</v>
      </c>
      <c r="E215" s="151">
        <v>1.305555555555556</v>
      </c>
      <c r="F215" s="64" t="s">
        <v>38</v>
      </c>
      <c r="G215" s="66">
        <v>12</v>
      </c>
      <c r="H215" s="148">
        <v>899</v>
      </c>
      <c r="I215" s="88"/>
    </row>
    <row r="216" spans="1:9" ht="19.8" customHeight="1" x14ac:dyDescent="0.3">
      <c r="A216" s="152">
        <v>46006</v>
      </c>
      <c r="B216" s="60" t="s">
        <v>68</v>
      </c>
      <c r="C216" s="61" t="s">
        <v>69</v>
      </c>
      <c r="D216" s="60" t="s">
        <v>1</v>
      </c>
      <c r="E216" s="153">
        <v>1.305555555555556</v>
      </c>
      <c r="F216" s="60" t="s">
        <v>70</v>
      </c>
      <c r="G216" s="62">
        <v>4</v>
      </c>
      <c r="H216" s="72" t="s">
        <v>122</v>
      </c>
      <c r="I216" s="88"/>
    </row>
    <row r="217" spans="1:9" ht="19.8" customHeight="1" x14ac:dyDescent="0.3">
      <c r="A217" s="109"/>
      <c r="B217" s="110"/>
      <c r="C217" s="110"/>
      <c r="D217" s="110"/>
      <c r="E217" s="110"/>
      <c r="F217" s="111" t="s">
        <v>371</v>
      </c>
      <c r="G217" s="110"/>
      <c r="H217" s="112"/>
      <c r="I217" s="88"/>
    </row>
    <row r="218" spans="1:9" ht="19.8" customHeight="1" x14ac:dyDescent="0.3">
      <c r="A218" s="150">
        <v>46007</v>
      </c>
      <c r="B218" s="64" t="s">
        <v>31</v>
      </c>
      <c r="C218" s="65" t="s">
        <v>32</v>
      </c>
      <c r="D218" s="64" t="s">
        <v>1</v>
      </c>
      <c r="E218" s="151">
        <v>1.305555555555556</v>
      </c>
      <c r="F218" s="64" t="s">
        <v>33</v>
      </c>
      <c r="G218" s="66">
        <v>18</v>
      </c>
      <c r="H218" s="148">
        <v>309</v>
      </c>
      <c r="I218" s="88"/>
    </row>
    <row r="219" spans="1:9" ht="19.8" customHeight="1" x14ac:dyDescent="0.3">
      <c r="A219" s="150">
        <v>46007</v>
      </c>
      <c r="B219" s="64" t="s">
        <v>40</v>
      </c>
      <c r="C219" s="65" t="s">
        <v>41</v>
      </c>
      <c r="D219" s="64" t="s">
        <v>1</v>
      </c>
      <c r="E219" s="151">
        <v>1.2013888888888891</v>
      </c>
      <c r="F219" s="64" t="s">
        <v>42</v>
      </c>
      <c r="G219" s="66">
        <v>9</v>
      </c>
      <c r="H219" s="148">
        <v>349</v>
      </c>
      <c r="I219" s="88"/>
    </row>
    <row r="220" spans="1:9" ht="19.8" customHeight="1" x14ac:dyDescent="0.3">
      <c r="A220" s="150">
        <v>46007</v>
      </c>
      <c r="B220" s="64" t="s">
        <v>40</v>
      </c>
      <c r="C220" s="65" t="s">
        <v>48</v>
      </c>
      <c r="D220" s="64" t="s">
        <v>1</v>
      </c>
      <c r="E220" s="151">
        <v>1.836805555555556</v>
      </c>
      <c r="F220" s="64" t="s">
        <v>42</v>
      </c>
      <c r="G220" s="66">
        <v>7</v>
      </c>
      <c r="H220" s="148">
        <v>379</v>
      </c>
      <c r="I220" s="88"/>
    </row>
    <row r="221" spans="1:9" ht="19.8" customHeight="1" x14ac:dyDescent="0.3">
      <c r="A221" s="150">
        <v>46007</v>
      </c>
      <c r="B221" s="64" t="s">
        <v>51</v>
      </c>
      <c r="C221" s="65" t="s">
        <v>52</v>
      </c>
      <c r="D221" s="64" t="s">
        <v>1</v>
      </c>
      <c r="E221" s="151">
        <v>1.270833333333333</v>
      </c>
      <c r="F221" s="64" t="s">
        <v>28</v>
      </c>
      <c r="G221" s="66">
        <v>9</v>
      </c>
      <c r="H221" s="148">
        <v>379</v>
      </c>
      <c r="I221" s="88"/>
    </row>
    <row r="222" spans="1:9" ht="19.8" customHeight="1" x14ac:dyDescent="0.3">
      <c r="A222" s="150">
        <v>46007</v>
      </c>
      <c r="B222" s="64" t="s">
        <v>26</v>
      </c>
      <c r="C222" s="65" t="s">
        <v>57</v>
      </c>
      <c r="D222" s="64" t="s">
        <v>1</v>
      </c>
      <c r="E222" s="151">
        <v>1.958333333333333</v>
      </c>
      <c r="F222" s="64" t="s">
        <v>28</v>
      </c>
      <c r="G222" s="66">
        <v>9</v>
      </c>
      <c r="H222" s="148">
        <v>379</v>
      </c>
      <c r="I222" s="88"/>
    </row>
    <row r="223" spans="1:9" ht="19.8" customHeight="1" x14ac:dyDescent="0.3">
      <c r="A223" s="150">
        <v>46007</v>
      </c>
      <c r="B223" s="64" t="s">
        <v>58</v>
      </c>
      <c r="C223" s="65" t="s">
        <v>63</v>
      </c>
      <c r="D223" s="64" t="s">
        <v>1</v>
      </c>
      <c r="E223" s="151">
        <v>1.864583333333333</v>
      </c>
      <c r="F223" s="64" t="s">
        <v>60</v>
      </c>
      <c r="G223" s="66">
        <v>9</v>
      </c>
      <c r="H223" s="148">
        <v>411</v>
      </c>
      <c r="I223" s="88"/>
    </row>
    <row r="224" spans="1:9" ht="19.8" customHeight="1" x14ac:dyDescent="0.3">
      <c r="A224" s="150">
        <v>46007</v>
      </c>
      <c r="B224" s="64" t="s">
        <v>58</v>
      </c>
      <c r="C224" s="65" t="s">
        <v>66</v>
      </c>
      <c r="D224" s="64" t="s">
        <v>1</v>
      </c>
      <c r="E224" s="151">
        <v>1.5277777777777779</v>
      </c>
      <c r="F224" s="64" t="s">
        <v>60</v>
      </c>
      <c r="G224" s="66">
        <v>9</v>
      </c>
      <c r="H224" s="148">
        <v>411</v>
      </c>
      <c r="I224" s="88"/>
    </row>
    <row r="225" spans="1:9" ht="19.8" customHeight="1" x14ac:dyDescent="0.3">
      <c r="A225" s="150">
        <v>46007</v>
      </c>
      <c r="B225" s="64" t="s">
        <v>58</v>
      </c>
      <c r="C225" s="65" t="s">
        <v>59</v>
      </c>
      <c r="D225" s="64" t="s">
        <v>1</v>
      </c>
      <c r="E225" s="151">
        <v>1.1701388888888891</v>
      </c>
      <c r="F225" s="64" t="s">
        <v>60</v>
      </c>
      <c r="G225" s="66">
        <v>9</v>
      </c>
      <c r="H225" s="148">
        <v>411</v>
      </c>
      <c r="I225" s="88"/>
    </row>
    <row r="226" spans="1:9" ht="19.8" customHeight="1" x14ac:dyDescent="0.3">
      <c r="A226" s="150">
        <v>46007</v>
      </c>
      <c r="B226" s="64" t="s">
        <v>40</v>
      </c>
      <c r="C226" s="65" t="s">
        <v>41</v>
      </c>
      <c r="D226" s="64" t="s">
        <v>1</v>
      </c>
      <c r="E226" s="151">
        <v>1.2013888888888891</v>
      </c>
      <c r="F226" s="64" t="s">
        <v>45</v>
      </c>
      <c r="G226" s="66">
        <v>9</v>
      </c>
      <c r="H226" s="148">
        <v>449</v>
      </c>
      <c r="I226" s="88"/>
    </row>
    <row r="227" spans="1:9" ht="19.8" customHeight="1" x14ac:dyDescent="0.3">
      <c r="A227" s="150">
        <v>46007</v>
      </c>
      <c r="B227" s="64" t="s">
        <v>40</v>
      </c>
      <c r="C227" s="65" t="s">
        <v>48</v>
      </c>
      <c r="D227" s="64" t="s">
        <v>1</v>
      </c>
      <c r="E227" s="151">
        <v>1.836805555555556</v>
      </c>
      <c r="F227" s="64" t="s">
        <v>45</v>
      </c>
      <c r="G227" s="66">
        <v>7</v>
      </c>
      <c r="H227" s="148">
        <v>479</v>
      </c>
      <c r="I227" s="88"/>
    </row>
    <row r="228" spans="1:9" ht="19.8" customHeight="1" x14ac:dyDescent="0.3">
      <c r="A228" s="150">
        <v>46007</v>
      </c>
      <c r="B228" s="64" t="s">
        <v>31</v>
      </c>
      <c r="C228" s="65" t="s">
        <v>32</v>
      </c>
      <c r="D228" s="64" t="s">
        <v>1</v>
      </c>
      <c r="E228" s="151">
        <v>1.305555555555556</v>
      </c>
      <c r="F228" s="64" t="s">
        <v>36</v>
      </c>
      <c r="G228" s="66">
        <v>18</v>
      </c>
      <c r="H228" s="148">
        <v>487</v>
      </c>
      <c r="I228" s="88"/>
    </row>
    <row r="229" spans="1:9" ht="19.8" customHeight="1" x14ac:dyDescent="0.3">
      <c r="A229" s="150">
        <v>46007</v>
      </c>
      <c r="B229" s="64" t="s">
        <v>40</v>
      </c>
      <c r="C229" s="65" t="s">
        <v>41</v>
      </c>
      <c r="D229" s="64" t="s">
        <v>1</v>
      </c>
      <c r="E229" s="151">
        <v>1.2013888888888891</v>
      </c>
      <c r="F229" s="64" t="s">
        <v>38</v>
      </c>
      <c r="G229" s="66">
        <v>9</v>
      </c>
      <c r="H229" s="148">
        <v>539</v>
      </c>
      <c r="I229" s="88"/>
    </row>
    <row r="230" spans="1:9" ht="19.8" customHeight="1" x14ac:dyDescent="0.3">
      <c r="A230" s="150">
        <v>46007</v>
      </c>
      <c r="B230" s="64" t="s">
        <v>40</v>
      </c>
      <c r="C230" s="65" t="s">
        <v>48</v>
      </c>
      <c r="D230" s="64" t="s">
        <v>1</v>
      </c>
      <c r="E230" s="151">
        <v>1.836805555555556</v>
      </c>
      <c r="F230" s="64" t="s">
        <v>38</v>
      </c>
      <c r="G230" s="66">
        <v>7</v>
      </c>
      <c r="H230" s="148">
        <v>569</v>
      </c>
      <c r="I230" s="88"/>
    </row>
    <row r="231" spans="1:9" ht="19.8" customHeight="1" x14ac:dyDescent="0.3">
      <c r="A231" s="150">
        <v>46007</v>
      </c>
      <c r="B231" s="64" t="s">
        <v>31</v>
      </c>
      <c r="C231" s="65" t="s">
        <v>32</v>
      </c>
      <c r="D231" s="64" t="s">
        <v>1</v>
      </c>
      <c r="E231" s="151">
        <v>1.305555555555556</v>
      </c>
      <c r="F231" s="64" t="s">
        <v>38</v>
      </c>
      <c r="G231" s="66">
        <v>18</v>
      </c>
      <c r="H231" s="148">
        <v>899</v>
      </c>
      <c r="I231" s="88"/>
    </row>
    <row r="232" spans="1:9" ht="19.8" customHeight="1" x14ac:dyDescent="0.3">
      <c r="A232" s="152">
        <v>46007</v>
      </c>
      <c r="B232" s="60" t="s">
        <v>68</v>
      </c>
      <c r="C232" s="61" t="s">
        <v>69</v>
      </c>
      <c r="D232" s="60" t="s">
        <v>1</v>
      </c>
      <c r="E232" s="153">
        <v>1.305555555555556</v>
      </c>
      <c r="F232" s="60" t="s">
        <v>70</v>
      </c>
      <c r="G232" s="62">
        <v>4</v>
      </c>
      <c r="H232" s="72" t="s">
        <v>122</v>
      </c>
      <c r="I232" s="88"/>
    </row>
    <row r="233" spans="1:9" ht="19.8" customHeight="1" x14ac:dyDescent="0.3">
      <c r="A233" s="109"/>
      <c r="B233" s="110"/>
      <c r="C233" s="110"/>
      <c r="D233" s="110"/>
      <c r="E233" s="110"/>
      <c r="F233" s="111" t="s">
        <v>371</v>
      </c>
      <c r="G233" s="110"/>
      <c r="H233" s="112"/>
      <c r="I233" s="88"/>
    </row>
    <row r="234" spans="1:9" ht="19.8" customHeight="1" x14ac:dyDescent="0.3">
      <c r="A234" s="150">
        <v>46008</v>
      </c>
      <c r="B234" s="64" t="s">
        <v>31</v>
      </c>
      <c r="C234" s="65" t="s">
        <v>32</v>
      </c>
      <c r="D234" s="64" t="s">
        <v>1</v>
      </c>
      <c r="E234" s="151">
        <v>1.305555555555556</v>
      </c>
      <c r="F234" s="64" t="s">
        <v>33</v>
      </c>
      <c r="G234" s="66">
        <v>17</v>
      </c>
      <c r="H234" s="148">
        <v>309</v>
      </c>
      <c r="I234" s="88"/>
    </row>
    <row r="235" spans="1:9" ht="19.8" customHeight="1" x14ac:dyDescent="0.3">
      <c r="A235" s="150">
        <v>46008</v>
      </c>
      <c r="B235" s="64" t="s">
        <v>76</v>
      </c>
      <c r="C235" s="65" t="s">
        <v>77</v>
      </c>
      <c r="D235" s="64" t="s">
        <v>1</v>
      </c>
      <c r="E235" s="151">
        <v>1.9722222222222221</v>
      </c>
      <c r="F235" s="64" t="s">
        <v>78</v>
      </c>
      <c r="G235" s="66">
        <v>9</v>
      </c>
      <c r="H235" s="148">
        <v>348</v>
      </c>
      <c r="I235" s="88"/>
    </row>
    <row r="236" spans="1:9" ht="19.8" customHeight="1" x14ac:dyDescent="0.3">
      <c r="A236" s="150">
        <v>46008</v>
      </c>
      <c r="B236" s="64" t="s">
        <v>73</v>
      </c>
      <c r="C236" s="65" t="s">
        <v>74</v>
      </c>
      <c r="D236" s="64" t="s">
        <v>1</v>
      </c>
      <c r="E236" s="151">
        <v>1.0902777777777779</v>
      </c>
      <c r="F236" s="64" t="s">
        <v>28</v>
      </c>
      <c r="G236" s="66">
        <v>5</v>
      </c>
      <c r="H236" s="148">
        <v>371</v>
      </c>
      <c r="I236" s="88"/>
    </row>
    <row r="237" spans="1:9" ht="19.8" customHeight="1" x14ac:dyDescent="0.3">
      <c r="A237" s="150">
        <v>46008</v>
      </c>
      <c r="B237" s="64" t="s">
        <v>40</v>
      </c>
      <c r="C237" s="65" t="s">
        <v>48</v>
      </c>
      <c r="D237" s="64" t="s">
        <v>1</v>
      </c>
      <c r="E237" s="151">
        <v>1.850694444444444</v>
      </c>
      <c r="F237" s="64" t="s">
        <v>42</v>
      </c>
      <c r="G237" s="66">
        <v>2</v>
      </c>
      <c r="H237" s="148">
        <v>379</v>
      </c>
      <c r="I237" s="88"/>
    </row>
    <row r="238" spans="1:9" ht="19.8" customHeight="1" x14ac:dyDescent="0.3">
      <c r="A238" s="150">
        <v>46008</v>
      </c>
      <c r="B238" s="64" t="s">
        <v>26</v>
      </c>
      <c r="C238" s="65" t="s">
        <v>27</v>
      </c>
      <c r="D238" s="64" t="s">
        <v>1</v>
      </c>
      <c r="E238" s="151">
        <v>1.895833333333333</v>
      </c>
      <c r="F238" s="64" t="s">
        <v>28</v>
      </c>
      <c r="G238" s="66">
        <v>9</v>
      </c>
      <c r="H238" s="148">
        <v>379</v>
      </c>
      <c r="I238" s="88"/>
    </row>
    <row r="239" spans="1:9" ht="19.8" customHeight="1" x14ac:dyDescent="0.3">
      <c r="A239" s="150">
        <v>46008</v>
      </c>
      <c r="B239" s="64" t="s">
        <v>58</v>
      </c>
      <c r="C239" s="65" t="s">
        <v>66</v>
      </c>
      <c r="D239" s="64" t="s">
        <v>1</v>
      </c>
      <c r="E239" s="151">
        <v>1.5277777777777779</v>
      </c>
      <c r="F239" s="64" t="s">
        <v>60</v>
      </c>
      <c r="G239" s="66">
        <v>9</v>
      </c>
      <c r="H239" s="148">
        <v>411</v>
      </c>
      <c r="I239" s="88"/>
    </row>
    <row r="240" spans="1:9" ht="19.8" customHeight="1" x14ac:dyDescent="0.3">
      <c r="A240" s="150">
        <v>46008</v>
      </c>
      <c r="B240" s="64" t="s">
        <v>58</v>
      </c>
      <c r="C240" s="65" t="s">
        <v>59</v>
      </c>
      <c r="D240" s="64" t="s">
        <v>1</v>
      </c>
      <c r="E240" s="151">
        <v>1.1701388888888891</v>
      </c>
      <c r="F240" s="64" t="s">
        <v>60</v>
      </c>
      <c r="G240" s="66">
        <v>9</v>
      </c>
      <c r="H240" s="148">
        <v>411</v>
      </c>
      <c r="I240" s="88"/>
    </row>
    <row r="241" spans="1:9" ht="19.8" customHeight="1" x14ac:dyDescent="0.3">
      <c r="A241" s="150">
        <v>46008</v>
      </c>
      <c r="B241" s="64" t="s">
        <v>76</v>
      </c>
      <c r="C241" s="65" t="s">
        <v>77</v>
      </c>
      <c r="D241" s="64" t="s">
        <v>1</v>
      </c>
      <c r="E241" s="151">
        <v>1.9722222222222221</v>
      </c>
      <c r="F241" s="64" t="s">
        <v>81</v>
      </c>
      <c r="G241" s="66">
        <v>9</v>
      </c>
      <c r="H241" s="148">
        <v>472</v>
      </c>
      <c r="I241" s="88"/>
    </row>
    <row r="242" spans="1:9" ht="19.8" customHeight="1" x14ac:dyDescent="0.3">
      <c r="A242" s="150">
        <v>46008</v>
      </c>
      <c r="B242" s="64" t="s">
        <v>40</v>
      </c>
      <c r="C242" s="65" t="s">
        <v>48</v>
      </c>
      <c r="D242" s="64" t="s">
        <v>1</v>
      </c>
      <c r="E242" s="151">
        <v>1.850694444444444</v>
      </c>
      <c r="F242" s="64" t="s">
        <v>45</v>
      </c>
      <c r="G242" s="66">
        <v>2</v>
      </c>
      <c r="H242" s="148">
        <v>479</v>
      </c>
      <c r="I242" s="88"/>
    </row>
    <row r="243" spans="1:9" ht="19.8" customHeight="1" x14ac:dyDescent="0.3">
      <c r="A243" s="150">
        <v>46008</v>
      </c>
      <c r="B243" s="64" t="s">
        <v>31</v>
      </c>
      <c r="C243" s="65" t="s">
        <v>32</v>
      </c>
      <c r="D243" s="64" t="s">
        <v>1</v>
      </c>
      <c r="E243" s="151">
        <v>1.305555555555556</v>
      </c>
      <c r="F243" s="64" t="s">
        <v>36</v>
      </c>
      <c r="G243" s="66">
        <v>17</v>
      </c>
      <c r="H243" s="148">
        <v>487</v>
      </c>
      <c r="I243" s="88"/>
    </row>
    <row r="244" spans="1:9" ht="19.8" customHeight="1" x14ac:dyDescent="0.3">
      <c r="A244" s="150">
        <v>46008</v>
      </c>
      <c r="B244" s="64" t="s">
        <v>58</v>
      </c>
      <c r="C244" s="65" t="s">
        <v>63</v>
      </c>
      <c r="D244" s="64" t="s">
        <v>1</v>
      </c>
      <c r="E244" s="151">
        <v>1.864583333333333</v>
      </c>
      <c r="F244" s="64" t="s">
        <v>64</v>
      </c>
      <c r="G244" s="66">
        <v>9</v>
      </c>
      <c r="H244" s="148">
        <v>547</v>
      </c>
      <c r="I244" s="88"/>
    </row>
    <row r="245" spans="1:9" ht="19.8" customHeight="1" x14ac:dyDescent="0.3">
      <c r="A245" s="150">
        <v>46008</v>
      </c>
      <c r="B245" s="64" t="s">
        <v>40</v>
      </c>
      <c r="C245" s="65" t="s">
        <v>48</v>
      </c>
      <c r="D245" s="64" t="s">
        <v>1</v>
      </c>
      <c r="E245" s="151">
        <v>1.850694444444444</v>
      </c>
      <c r="F245" s="64" t="s">
        <v>38</v>
      </c>
      <c r="G245" s="66">
        <v>2</v>
      </c>
      <c r="H245" s="148">
        <v>569</v>
      </c>
      <c r="I245" s="88"/>
    </row>
    <row r="246" spans="1:9" ht="19.8" customHeight="1" x14ac:dyDescent="0.3">
      <c r="A246" s="150">
        <v>46008</v>
      </c>
      <c r="B246" s="64" t="s">
        <v>31</v>
      </c>
      <c r="C246" s="65" t="s">
        <v>32</v>
      </c>
      <c r="D246" s="64" t="s">
        <v>1</v>
      </c>
      <c r="E246" s="151">
        <v>1.305555555555556</v>
      </c>
      <c r="F246" s="64" t="s">
        <v>38</v>
      </c>
      <c r="G246" s="66">
        <v>17</v>
      </c>
      <c r="H246" s="148">
        <v>899</v>
      </c>
      <c r="I246" s="88"/>
    </row>
    <row r="247" spans="1:9" ht="19.8" customHeight="1" x14ac:dyDescent="0.3">
      <c r="A247" s="152">
        <v>46008</v>
      </c>
      <c r="B247" s="60" t="s">
        <v>68</v>
      </c>
      <c r="C247" s="61" t="s">
        <v>69</v>
      </c>
      <c r="D247" s="60" t="s">
        <v>1</v>
      </c>
      <c r="E247" s="153">
        <v>1.305555555555556</v>
      </c>
      <c r="F247" s="60" t="s">
        <v>70</v>
      </c>
      <c r="G247" s="62">
        <v>4</v>
      </c>
      <c r="H247" s="72" t="s">
        <v>122</v>
      </c>
      <c r="I247" s="88"/>
    </row>
    <row r="248" spans="1:9" ht="19.8" customHeight="1" x14ac:dyDescent="0.3">
      <c r="A248" s="109"/>
      <c r="B248" s="110"/>
      <c r="C248" s="110"/>
      <c r="D248" s="110"/>
      <c r="E248" s="110"/>
      <c r="F248" s="111" t="s">
        <v>371</v>
      </c>
      <c r="G248" s="110"/>
      <c r="H248" s="112"/>
      <c r="I248" s="88"/>
    </row>
    <row r="249" spans="1:9" ht="19.8" customHeight="1" x14ac:dyDescent="0.3">
      <c r="A249" s="150">
        <v>46009</v>
      </c>
      <c r="B249" s="64" t="s">
        <v>40</v>
      </c>
      <c r="C249" s="65" t="s">
        <v>41</v>
      </c>
      <c r="D249" s="64" t="s">
        <v>1</v>
      </c>
      <c r="E249" s="151">
        <v>1.2013888888888891</v>
      </c>
      <c r="F249" s="64" t="s">
        <v>42</v>
      </c>
      <c r="G249" s="66">
        <v>9</v>
      </c>
      <c r="H249" s="148">
        <v>349</v>
      </c>
      <c r="I249" s="88"/>
    </row>
    <row r="250" spans="1:9" ht="19.8" customHeight="1" x14ac:dyDescent="0.3">
      <c r="A250" s="150">
        <v>46009</v>
      </c>
      <c r="B250" s="64" t="s">
        <v>31</v>
      </c>
      <c r="C250" s="65" t="s">
        <v>32</v>
      </c>
      <c r="D250" s="64" t="s">
        <v>1</v>
      </c>
      <c r="E250" s="151">
        <v>1.305555555555556</v>
      </c>
      <c r="F250" s="64" t="s">
        <v>33</v>
      </c>
      <c r="G250" s="66">
        <v>7</v>
      </c>
      <c r="H250" s="148">
        <v>369</v>
      </c>
      <c r="I250" s="88"/>
    </row>
    <row r="251" spans="1:9" ht="19.8" customHeight="1" x14ac:dyDescent="0.3">
      <c r="A251" s="150">
        <v>46009</v>
      </c>
      <c r="B251" s="64" t="s">
        <v>58</v>
      </c>
      <c r="C251" s="65" t="s">
        <v>59</v>
      </c>
      <c r="D251" s="64" t="s">
        <v>1</v>
      </c>
      <c r="E251" s="151">
        <v>1.1701388888888891</v>
      </c>
      <c r="F251" s="64" t="s">
        <v>60</v>
      </c>
      <c r="G251" s="66">
        <v>9</v>
      </c>
      <c r="H251" s="148">
        <v>411</v>
      </c>
      <c r="I251" s="88"/>
    </row>
    <row r="252" spans="1:9" ht="19.8" customHeight="1" x14ac:dyDescent="0.3">
      <c r="A252" s="150">
        <v>46009</v>
      </c>
      <c r="B252" s="64" t="s">
        <v>73</v>
      </c>
      <c r="C252" s="65" t="s">
        <v>74</v>
      </c>
      <c r="D252" s="64" t="s">
        <v>1</v>
      </c>
      <c r="E252" s="151">
        <v>1.913194444444444</v>
      </c>
      <c r="F252" s="64" t="s">
        <v>28</v>
      </c>
      <c r="G252" s="66">
        <v>6</v>
      </c>
      <c r="H252" s="148">
        <v>425</v>
      </c>
      <c r="I252" s="88"/>
    </row>
    <row r="253" spans="1:9" ht="19.8" customHeight="1" x14ac:dyDescent="0.3">
      <c r="A253" s="150">
        <v>46009</v>
      </c>
      <c r="B253" s="64" t="s">
        <v>26</v>
      </c>
      <c r="C253" s="65" t="s">
        <v>57</v>
      </c>
      <c r="D253" s="64" t="s">
        <v>1</v>
      </c>
      <c r="E253" s="151">
        <v>1.958333333333333</v>
      </c>
      <c r="F253" s="64" t="s">
        <v>28</v>
      </c>
      <c r="G253" s="66">
        <v>9</v>
      </c>
      <c r="H253" s="148">
        <v>439</v>
      </c>
      <c r="I253" s="88"/>
    </row>
    <row r="254" spans="1:9" ht="19.8" customHeight="1" x14ac:dyDescent="0.3">
      <c r="A254" s="150">
        <v>46009</v>
      </c>
      <c r="B254" s="64" t="s">
        <v>40</v>
      </c>
      <c r="C254" s="65" t="s">
        <v>41</v>
      </c>
      <c r="D254" s="64" t="s">
        <v>1</v>
      </c>
      <c r="E254" s="151">
        <v>1.2013888888888891</v>
      </c>
      <c r="F254" s="64" t="s">
        <v>45</v>
      </c>
      <c r="G254" s="66">
        <v>9</v>
      </c>
      <c r="H254" s="148">
        <v>449</v>
      </c>
      <c r="I254" s="88"/>
    </row>
    <row r="255" spans="1:9" ht="19.8" customHeight="1" x14ac:dyDescent="0.3">
      <c r="A255" s="150">
        <v>46009</v>
      </c>
      <c r="B255" s="64" t="s">
        <v>51</v>
      </c>
      <c r="C255" s="65" t="s">
        <v>52</v>
      </c>
      <c r="D255" s="64" t="s">
        <v>1</v>
      </c>
      <c r="E255" s="151">
        <v>1.9236111111111109</v>
      </c>
      <c r="F255" s="64" t="s">
        <v>28</v>
      </c>
      <c r="G255" s="66">
        <v>9</v>
      </c>
      <c r="H255" s="148">
        <v>476</v>
      </c>
      <c r="I255" s="88"/>
    </row>
    <row r="256" spans="1:9" ht="19.8" customHeight="1" x14ac:dyDescent="0.3">
      <c r="A256" s="150">
        <v>46009</v>
      </c>
      <c r="B256" s="64" t="s">
        <v>40</v>
      </c>
      <c r="C256" s="65" t="s">
        <v>41</v>
      </c>
      <c r="D256" s="64" t="s">
        <v>1</v>
      </c>
      <c r="E256" s="151">
        <v>1.2013888888888891</v>
      </c>
      <c r="F256" s="64" t="s">
        <v>38</v>
      </c>
      <c r="G256" s="66">
        <v>9</v>
      </c>
      <c r="H256" s="148">
        <v>539</v>
      </c>
      <c r="I256" s="88"/>
    </row>
    <row r="257" spans="1:9" ht="19.8" customHeight="1" x14ac:dyDescent="0.3">
      <c r="A257" s="150">
        <v>46009</v>
      </c>
      <c r="B257" s="64" t="s">
        <v>31</v>
      </c>
      <c r="C257" s="65" t="s">
        <v>32</v>
      </c>
      <c r="D257" s="64" t="s">
        <v>1</v>
      </c>
      <c r="E257" s="151">
        <v>1.305555555555556</v>
      </c>
      <c r="F257" s="64" t="s">
        <v>36</v>
      </c>
      <c r="G257" s="66">
        <v>7</v>
      </c>
      <c r="H257" s="148">
        <v>547</v>
      </c>
      <c r="I257" s="88"/>
    </row>
    <row r="258" spans="1:9" ht="19.8" customHeight="1" x14ac:dyDescent="0.3">
      <c r="A258" s="150">
        <v>46009</v>
      </c>
      <c r="B258" s="64" t="s">
        <v>58</v>
      </c>
      <c r="C258" s="65" t="s">
        <v>66</v>
      </c>
      <c r="D258" s="64" t="s">
        <v>1</v>
      </c>
      <c r="E258" s="151">
        <v>1.5277777777777779</v>
      </c>
      <c r="F258" s="64" t="s">
        <v>64</v>
      </c>
      <c r="G258" s="66">
        <v>9</v>
      </c>
      <c r="H258" s="148">
        <v>547</v>
      </c>
      <c r="I258" s="88"/>
    </row>
    <row r="259" spans="1:9" ht="19.8" customHeight="1" x14ac:dyDescent="0.3">
      <c r="A259" s="150">
        <v>46009</v>
      </c>
      <c r="B259" s="64" t="s">
        <v>40</v>
      </c>
      <c r="C259" s="65" t="s">
        <v>48</v>
      </c>
      <c r="D259" s="64" t="s">
        <v>1</v>
      </c>
      <c r="E259" s="151">
        <v>1.836805555555556</v>
      </c>
      <c r="F259" s="64" t="s">
        <v>42</v>
      </c>
      <c r="G259" s="66">
        <v>6</v>
      </c>
      <c r="H259" s="148">
        <v>559</v>
      </c>
      <c r="I259" s="88"/>
    </row>
    <row r="260" spans="1:9" ht="19.8" customHeight="1" x14ac:dyDescent="0.3">
      <c r="A260" s="150">
        <v>46009</v>
      </c>
      <c r="B260" s="64" t="s">
        <v>58</v>
      </c>
      <c r="C260" s="65" t="s">
        <v>63</v>
      </c>
      <c r="D260" s="64" t="s">
        <v>1</v>
      </c>
      <c r="E260" s="151">
        <v>1.864583333333333</v>
      </c>
      <c r="F260" s="64" t="s">
        <v>64</v>
      </c>
      <c r="G260" s="66">
        <v>9</v>
      </c>
      <c r="H260" s="148">
        <v>592</v>
      </c>
      <c r="I260" s="88"/>
    </row>
    <row r="261" spans="1:9" ht="19.8" customHeight="1" x14ac:dyDescent="0.3">
      <c r="A261" s="150">
        <v>46009</v>
      </c>
      <c r="B261" s="64" t="s">
        <v>40</v>
      </c>
      <c r="C261" s="65" t="s">
        <v>48</v>
      </c>
      <c r="D261" s="64" t="s">
        <v>1</v>
      </c>
      <c r="E261" s="151">
        <v>1.836805555555556</v>
      </c>
      <c r="F261" s="64" t="s">
        <v>45</v>
      </c>
      <c r="G261" s="66">
        <v>6</v>
      </c>
      <c r="H261" s="148">
        <v>659</v>
      </c>
      <c r="I261" s="88"/>
    </row>
    <row r="262" spans="1:9" ht="19.8" customHeight="1" x14ac:dyDescent="0.3">
      <c r="A262" s="150">
        <v>46009</v>
      </c>
      <c r="B262" s="64" t="s">
        <v>40</v>
      </c>
      <c r="C262" s="65" t="s">
        <v>48</v>
      </c>
      <c r="D262" s="64" t="s">
        <v>1</v>
      </c>
      <c r="E262" s="151">
        <v>1.836805555555556</v>
      </c>
      <c r="F262" s="64" t="s">
        <v>38</v>
      </c>
      <c r="G262" s="66">
        <v>6</v>
      </c>
      <c r="H262" s="148">
        <v>749</v>
      </c>
      <c r="I262" s="88"/>
    </row>
    <row r="263" spans="1:9" ht="19.8" customHeight="1" x14ac:dyDescent="0.3">
      <c r="A263" s="150">
        <v>46009</v>
      </c>
      <c r="B263" s="64" t="s">
        <v>31</v>
      </c>
      <c r="C263" s="65" t="s">
        <v>32</v>
      </c>
      <c r="D263" s="64" t="s">
        <v>1</v>
      </c>
      <c r="E263" s="151">
        <v>1.305555555555556</v>
      </c>
      <c r="F263" s="64" t="s">
        <v>38</v>
      </c>
      <c r="G263" s="66">
        <v>7</v>
      </c>
      <c r="H263" s="148">
        <v>899</v>
      </c>
      <c r="I263" s="88"/>
    </row>
    <row r="264" spans="1:9" ht="19.8" customHeight="1" x14ac:dyDescent="0.3">
      <c r="A264" s="152">
        <v>46009</v>
      </c>
      <c r="B264" s="60" t="s">
        <v>68</v>
      </c>
      <c r="C264" s="61" t="s">
        <v>69</v>
      </c>
      <c r="D264" s="60" t="s">
        <v>1</v>
      </c>
      <c r="E264" s="153">
        <v>1.305555555555556</v>
      </c>
      <c r="F264" s="60" t="s">
        <v>70</v>
      </c>
      <c r="G264" s="62">
        <v>4</v>
      </c>
      <c r="H264" s="72" t="s">
        <v>112</v>
      </c>
      <c r="I264" s="88"/>
    </row>
    <row r="265" spans="1:9" ht="19.8" customHeight="1" x14ac:dyDescent="0.3">
      <c r="A265" s="154">
        <v>46010</v>
      </c>
      <c r="B265" s="68" t="s">
        <v>51</v>
      </c>
      <c r="C265" s="69" t="s">
        <v>336</v>
      </c>
      <c r="D265" s="68" t="s">
        <v>335</v>
      </c>
      <c r="E265" s="155">
        <v>1.291666666666667</v>
      </c>
      <c r="F265" s="68" t="s">
        <v>28</v>
      </c>
      <c r="G265" s="70">
        <v>9</v>
      </c>
      <c r="H265" s="149">
        <v>476</v>
      </c>
      <c r="I265" s="88"/>
    </row>
    <row r="266" spans="1:9" ht="19.8" customHeight="1" x14ac:dyDescent="0.3">
      <c r="A266" s="109"/>
      <c r="B266" s="110"/>
      <c r="C266" s="110"/>
      <c r="D266" s="110"/>
      <c r="E266" s="110"/>
      <c r="F266" s="111" t="s">
        <v>371</v>
      </c>
      <c r="G266" s="110"/>
      <c r="H266" s="112"/>
      <c r="I266" s="88"/>
    </row>
    <row r="267" spans="1:9" ht="19.8" customHeight="1" x14ac:dyDescent="0.3">
      <c r="A267" s="150">
        <v>46010</v>
      </c>
      <c r="B267" s="64" t="s">
        <v>40</v>
      </c>
      <c r="C267" s="65" t="s">
        <v>48</v>
      </c>
      <c r="D267" s="64" t="s">
        <v>1</v>
      </c>
      <c r="E267" s="151">
        <v>1.836805555555556</v>
      </c>
      <c r="F267" s="64" t="s">
        <v>42</v>
      </c>
      <c r="G267" s="66">
        <v>4</v>
      </c>
      <c r="H267" s="148">
        <v>349</v>
      </c>
      <c r="I267" s="88"/>
    </row>
    <row r="268" spans="1:9" ht="19.8" customHeight="1" x14ac:dyDescent="0.3">
      <c r="A268" s="150">
        <v>46010</v>
      </c>
      <c r="B268" s="64" t="s">
        <v>51</v>
      </c>
      <c r="C268" s="65" t="s">
        <v>52</v>
      </c>
      <c r="D268" s="64" t="s">
        <v>1</v>
      </c>
      <c r="E268" s="151">
        <v>1.5798611111111109</v>
      </c>
      <c r="F268" s="64" t="s">
        <v>28</v>
      </c>
      <c r="G268" s="66">
        <v>9</v>
      </c>
      <c r="H268" s="148">
        <v>379</v>
      </c>
      <c r="I268" s="88"/>
    </row>
    <row r="269" spans="1:9" ht="19.8" customHeight="1" x14ac:dyDescent="0.3">
      <c r="A269" s="150">
        <v>46010</v>
      </c>
      <c r="B269" s="64" t="s">
        <v>31</v>
      </c>
      <c r="C269" s="65" t="s">
        <v>32</v>
      </c>
      <c r="D269" s="64" t="s">
        <v>1</v>
      </c>
      <c r="E269" s="151">
        <v>1.305555555555556</v>
      </c>
      <c r="F269" s="64" t="s">
        <v>33</v>
      </c>
      <c r="G269" s="66">
        <v>2</v>
      </c>
      <c r="H269" s="148">
        <v>399</v>
      </c>
      <c r="I269" s="88"/>
    </row>
    <row r="270" spans="1:9" ht="19.8" customHeight="1" x14ac:dyDescent="0.3">
      <c r="A270" s="150">
        <v>46010</v>
      </c>
      <c r="B270" s="64" t="s">
        <v>58</v>
      </c>
      <c r="C270" s="65" t="s">
        <v>63</v>
      </c>
      <c r="D270" s="64" t="s">
        <v>1</v>
      </c>
      <c r="E270" s="151">
        <v>1.864583333333333</v>
      </c>
      <c r="F270" s="64" t="s">
        <v>60</v>
      </c>
      <c r="G270" s="66">
        <v>9</v>
      </c>
      <c r="H270" s="148">
        <v>411</v>
      </c>
      <c r="I270" s="88"/>
    </row>
    <row r="271" spans="1:9" ht="19.8" customHeight="1" x14ac:dyDescent="0.3">
      <c r="A271" s="150">
        <v>46010</v>
      </c>
      <c r="B271" s="64" t="s">
        <v>58</v>
      </c>
      <c r="C271" s="65" t="s">
        <v>59</v>
      </c>
      <c r="D271" s="64" t="s">
        <v>1</v>
      </c>
      <c r="E271" s="151">
        <v>1.1701388888888891</v>
      </c>
      <c r="F271" s="64" t="s">
        <v>60</v>
      </c>
      <c r="G271" s="66">
        <v>9</v>
      </c>
      <c r="H271" s="148">
        <v>411</v>
      </c>
      <c r="I271" s="88"/>
    </row>
    <row r="272" spans="1:9" ht="19.8" customHeight="1" x14ac:dyDescent="0.3">
      <c r="A272" s="150">
        <v>46010</v>
      </c>
      <c r="B272" s="64" t="s">
        <v>26</v>
      </c>
      <c r="C272" s="65" t="s">
        <v>27</v>
      </c>
      <c r="D272" s="64" t="s">
        <v>1</v>
      </c>
      <c r="E272" s="151">
        <v>1.958333333333333</v>
      </c>
      <c r="F272" s="64" t="s">
        <v>28</v>
      </c>
      <c r="G272" s="66">
        <v>9</v>
      </c>
      <c r="H272" s="148">
        <v>439</v>
      </c>
      <c r="I272" s="88"/>
    </row>
    <row r="273" spans="1:9" ht="19.8" customHeight="1" x14ac:dyDescent="0.3">
      <c r="A273" s="150">
        <v>46010</v>
      </c>
      <c r="B273" s="64" t="s">
        <v>40</v>
      </c>
      <c r="C273" s="65" t="s">
        <v>48</v>
      </c>
      <c r="D273" s="64" t="s">
        <v>1</v>
      </c>
      <c r="E273" s="151">
        <v>1.836805555555556</v>
      </c>
      <c r="F273" s="64" t="s">
        <v>45</v>
      </c>
      <c r="G273" s="66">
        <v>4</v>
      </c>
      <c r="H273" s="148">
        <v>449</v>
      </c>
      <c r="I273" s="88"/>
    </row>
    <row r="274" spans="1:9" ht="19.8" customHeight="1" x14ac:dyDescent="0.3">
      <c r="A274" s="150">
        <v>46010</v>
      </c>
      <c r="B274" s="64" t="s">
        <v>40</v>
      </c>
      <c r="C274" s="65" t="s">
        <v>48</v>
      </c>
      <c r="D274" s="64" t="s">
        <v>1</v>
      </c>
      <c r="E274" s="151">
        <v>1.836805555555556</v>
      </c>
      <c r="F274" s="64" t="s">
        <v>38</v>
      </c>
      <c r="G274" s="66">
        <v>4</v>
      </c>
      <c r="H274" s="148">
        <v>539</v>
      </c>
      <c r="I274" s="88"/>
    </row>
    <row r="275" spans="1:9" ht="19.8" customHeight="1" x14ac:dyDescent="0.3">
      <c r="A275" s="150">
        <v>46010</v>
      </c>
      <c r="B275" s="64" t="s">
        <v>31</v>
      </c>
      <c r="C275" s="65" t="s">
        <v>32</v>
      </c>
      <c r="D275" s="64" t="s">
        <v>1</v>
      </c>
      <c r="E275" s="151">
        <v>1.305555555555556</v>
      </c>
      <c r="F275" s="64" t="s">
        <v>36</v>
      </c>
      <c r="G275" s="66">
        <v>2</v>
      </c>
      <c r="H275" s="148">
        <v>577</v>
      </c>
      <c r="I275" s="88"/>
    </row>
    <row r="276" spans="1:9" ht="19.8" customHeight="1" x14ac:dyDescent="0.3">
      <c r="A276" s="150">
        <v>46010</v>
      </c>
      <c r="B276" s="64" t="s">
        <v>58</v>
      </c>
      <c r="C276" s="65" t="s">
        <v>66</v>
      </c>
      <c r="D276" s="64" t="s">
        <v>1</v>
      </c>
      <c r="E276" s="151">
        <v>1.5277777777777779</v>
      </c>
      <c r="F276" s="64" t="s">
        <v>64</v>
      </c>
      <c r="G276" s="66">
        <v>9</v>
      </c>
      <c r="H276" s="148">
        <v>596</v>
      </c>
      <c r="I276" s="88"/>
    </row>
    <row r="277" spans="1:9" ht="19.8" customHeight="1" x14ac:dyDescent="0.3">
      <c r="A277" s="150">
        <v>46010</v>
      </c>
      <c r="B277" s="64" t="s">
        <v>31</v>
      </c>
      <c r="C277" s="65" t="s">
        <v>32</v>
      </c>
      <c r="D277" s="64" t="s">
        <v>1</v>
      </c>
      <c r="E277" s="151">
        <v>1.305555555555556</v>
      </c>
      <c r="F277" s="64" t="s">
        <v>38</v>
      </c>
      <c r="G277" s="66">
        <v>2</v>
      </c>
      <c r="H277" s="71" t="s">
        <v>39</v>
      </c>
      <c r="I277" s="88"/>
    </row>
    <row r="278" spans="1:9" ht="19.8" customHeight="1" x14ac:dyDescent="0.3">
      <c r="A278" s="152">
        <v>46010</v>
      </c>
      <c r="B278" s="60" t="s">
        <v>68</v>
      </c>
      <c r="C278" s="61" t="s">
        <v>69</v>
      </c>
      <c r="D278" s="60" t="s">
        <v>1</v>
      </c>
      <c r="E278" s="153">
        <v>1.305555555555556</v>
      </c>
      <c r="F278" s="60" t="s">
        <v>70</v>
      </c>
      <c r="G278" s="62">
        <v>4</v>
      </c>
      <c r="H278" s="72" t="s">
        <v>157</v>
      </c>
      <c r="I278" s="88"/>
    </row>
    <row r="279" spans="1:9" ht="19.8" customHeight="1" x14ac:dyDescent="0.3">
      <c r="A279" s="109"/>
      <c r="B279" s="110"/>
      <c r="C279" s="110"/>
      <c r="D279" s="110"/>
      <c r="E279" s="110"/>
      <c r="F279" s="111" t="s">
        <v>371</v>
      </c>
      <c r="G279" s="110"/>
      <c r="H279" s="112"/>
      <c r="I279" s="88"/>
    </row>
    <row r="280" spans="1:9" ht="19.8" customHeight="1" x14ac:dyDescent="0.3">
      <c r="A280" s="150">
        <v>46011</v>
      </c>
      <c r="B280" s="64" t="s">
        <v>31</v>
      </c>
      <c r="C280" s="65" t="s">
        <v>32</v>
      </c>
      <c r="D280" s="64" t="s">
        <v>1</v>
      </c>
      <c r="E280" s="151">
        <v>1.305555555555556</v>
      </c>
      <c r="F280" s="64" t="s">
        <v>33</v>
      </c>
      <c r="G280" s="66">
        <v>20</v>
      </c>
      <c r="H280" s="148">
        <v>309</v>
      </c>
      <c r="I280" s="88"/>
    </row>
    <row r="281" spans="1:9" ht="19.8" customHeight="1" x14ac:dyDescent="0.3">
      <c r="A281" s="150">
        <v>46011</v>
      </c>
      <c r="B281" s="64" t="s">
        <v>40</v>
      </c>
      <c r="C281" s="65" t="s">
        <v>48</v>
      </c>
      <c r="D281" s="64" t="s">
        <v>1</v>
      </c>
      <c r="E281" s="151">
        <v>1.836805555555556</v>
      </c>
      <c r="F281" s="64" t="s">
        <v>42</v>
      </c>
      <c r="G281" s="66">
        <v>9</v>
      </c>
      <c r="H281" s="148">
        <v>349</v>
      </c>
      <c r="I281" s="88"/>
    </row>
    <row r="282" spans="1:9" ht="19.8" customHeight="1" x14ac:dyDescent="0.3">
      <c r="A282" s="150">
        <v>46011</v>
      </c>
      <c r="B282" s="64" t="s">
        <v>40</v>
      </c>
      <c r="C282" s="65" t="s">
        <v>41</v>
      </c>
      <c r="D282" s="64" t="s">
        <v>1</v>
      </c>
      <c r="E282" s="151">
        <v>1.2013888888888891</v>
      </c>
      <c r="F282" s="64" t="s">
        <v>42</v>
      </c>
      <c r="G282" s="66">
        <v>9</v>
      </c>
      <c r="H282" s="148">
        <v>349</v>
      </c>
      <c r="I282" s="88"/>
    </row>
    <row r="283" spans="1:9" ht="19.8" customHeight="1" x14ac:dyDescent="0.3">
      <c r="A283" s="150">
        <v>46011</v>
      </c>
      <c r="B283" s="64" t="s">
        <v>76</v>
      </c>
      <c r="C283" s="65" t="s">
        <v>77</v>
      </c>
      <c r="D283" s="64" t="s">
        <v>1</v>
      </c>
      <c r="E283" s="151">
        <v>1.9722222222222221</v>
      </c>
      <c r="F283" s="64" t="s">
        <v>78</v>
      </c>
      <c r="G283" s="66">
        <v>9</v>
      </c>
      <c r="H283" s="148">
        <v>373</v>
      </c>
      <c r="I283" s="88"/>
    </row>
    <row r="284" spans="1:9" ht="19.8" customHeight="1" x14ac:dyDescent="0.3">
      <c r="A284" s="150">
        <v>46011</v>
      </c>
      <c r="B284" s="64" t="s">
        <v>51</v>
      </c>
      <c r="C284" s="65" t="s">
        <v>52</v>
      </c>
      <c r="D284" s="64" t="s">
        <v>1</v>
      </c>
      <c r="E284" s="151">
        <v>1.9236111111111109</v>
      </c>
      <c r="F284" s="64" t="s">
        <v>28</v>
      </c>
      <c r="G284" s="66">
        <v>7</v>
      </c>
      <c r="H284" s="148">
        <v>379</v>
      </c>
      <c r="I284" s="88"/>
    </row>
    <row r="285" spans="1:9" ht="19.8" customHeight="1" x14ac:dyDescent="0.3">
      <c r="A285" s="150">
        <v>46011</v>
      </c>
      <c r="B285" s="64" t="s">
        <v>58</v>
      </c>
      <c r="C285" s="65" t="s">
        <v>63</v>
      </c>
      <c r="D285" s="64" t="s">
        <v>1</v>
      </c>
      <c r="E285" s="151">
        <v>1.864583333333333</v>
      </c>
      <c r="F285" s="64" t="s">
        <v>60</v>
      </c>
      <c r="G285" s="66">
        <v>9</v>
      </c>
      <c r="H285" s="148">
        <v>411</v>
      </c>
      <c r="I285" s="88"/>
    </row>
    <row r="286" spans="1:9" ht="19.8" customHeight="1" x14ac:dyDescent="0.3">
      <c r="A286" s="150">
        <v>46011</v>
      </c>
      <c r="B286" s="64" t="s">
        <v>58</v>
      </c>
      <c r="C286" s="65" t="s">
        <v>66</v>
      </c>
      <c r="D286" s="64" t="s">
        <v>1</v>
      </c>
      <c r="E286" s="151">
        <v>1.5277777777777779</v>
      </c>
      <c r="F286" s="64" t="s">
        <v>60</v>
      </c>
      <c r="G286" s="66">
        <v>9</v>
      </c>
      <c r="H286" s="148">
        <v>411</v>
      </c>
      <c r="I286" s="88"/>
    </row>
    <row r="287" spans="1:9" ht="19.8" customHeight="1" x14ac:dyDescent="0.3">
      <c r="A287" s="150">
        <v>46011</v>
      </c>
      <c r="B287" s="64" t="s">
        <v>58</v>
      </c>
      <c r="C287" s="65" t="s">
        <v>59</v>
      </c>
      <c r="D287" s="64" t="s">
        <v>1</v>
      </c>
      <c r="E287" s="151">
        <v>1.1701388888888891</v>
      </c>
      <c r="F287" s="64" t="s">
        <v>60</v>
      </c>
      <c r="G287" s="66">
        <v>9</v>
      </c>
      <c r="H287" s="148">
        <v>411</v>
      </c>
      <c r="I287" s="88"/>
    </row>
    <row r="288" spans="1:9" ht="19.8" customHeight="1" x14ac:dyDescent="0.3">
      <c r="A288" s="150">
        <v>46011</v>
      </c>
      <c r="B288" s="64" t="s">
        <v>40</v>
      </c>
      <c r="C288" s="65" t="s">
        <v>48</v>
      </c>
      <c r="D288" s="64" t="s">
        <v>1</v>
      </c>
      <c r="E288" s="151">
        <v>1.836805555555556</v>
      </c>
      <c r="F288" s="64" t="s">
        <v>45</v>
      </c>
      <c r="G288" s="66">
        <v>9</v>
      </c>
      <c r="H288" s="148">
        <v>449</v>
      </c>
      <c r="I288" s="88"/>
    </row>
    <row r="289" spans="1:9" ht="19.8" customHeight="1" x14ac:dyDescent="0.3">
      <c r="A289" s="150">
        <v>46011</v>
      </c>
      <c r="B289" s="64" t="s">
        <v>40</v>
      </c>
      <c r="C289" s="65" t="s">
        <v>41</v>
      </c>
      <c r="D289" s="64" t="s">
        <v>1</v>
      </c>
      <c r="E289" s="151">
        <v>1.2013888888888891</v>
      </c>
      <c r="F289" s="64" t="s">
        <v>45</v>
      </c>
      <c r="G289" s="66">
        <v>9</v>
      </c>
      <c r="H289" s="148">
        <v>449</v>
      </c>
      <c r="I289" s="88"/>
    </row>
    <row r="290" spans="1:9" ht="19.8" customHeight="1" x14ac:dyDescent="0.3">
      <c r="A290" s="150">
        <v>46011</v>
      </c>
      <c r="B290" s="64" t="s">
        <v>31</v>
      </c>
      <c r="C290" s="65" t="s">
        <v>32</v>
      </c>
      <c r="D290" s="64" t="s">
        <v>1</v>
      </c>
      <c r="E290" s="151">
        <v>1.305555555555556</v>
      </c>
      <c r="F290" s="64" t="s">
        <v>36</v>
      </c>
      <c r="G290" s="66">
        <v>20</v>
      </c>
      <c r="H290" s="148">
        <v>487</v>
      </c>
      <c r="I290" s="88"/>
    </row>
    <row r="291" spans="1:9" ht="19.8" customHeight="1" x14ac:dyDescent="0.3">
      <c r="A291" s="150">
        <v>46011</v>
      </c>
      <c r="B291" s="64" t="s">
        <v>76</v>
      </c>
      <c r="C291" s="65" t="s">
        <v>77</v>
      </c>
      <c r="D291" s="64" t="s">
        <v>1</v>
      </c>
      <c r="E291" s="151">
        <v>1.9722222222222221</v>
      </c>
      <c r="F291" s="64" t="s">
        <v>81</v>
      </c>
      <c r="G291" s="66">
        <v>9</v>
      </c>
      <c r="H291" s="148">
        <v>496</v>
      </c>
      <c r="I291" s="88"/>
    </row>
    <row r="292" spans="1:9" ht="19.8" customHeight="1" x14ac:dyDescent="0.3">
      <c r="A292" s="150">
        <v>46011</v>
      </c>
      <c r="B292" s="64" t="s">
        <v>40</v>
      </c>
      <c r="C292" s="65" t="s">
        <v>48</v>
      </c>
      <c r="D292" s="64" t="s">
        <v>1</v>
      </c>
      <c r="E292" s="151">
        <v>1.836805555555556</v>
      </c>
      <c r="F292" s="64" t="s">
        <v>38</v>
      </c>
      <c r="G292" s="66">
        <v>9</v>
      </c>
      <c r="H292" s="148">
        <v>539</v>
      </c>
      <c r="I292" s="88"/>
    </row>
    <row r="293" spans="1:9" ht="19.8" customHeight="1" x14ac:dyDescent="0.3">
      <c r="A293" s="150">
        <v>46011</v>
      </c>
      <c r="B293" s="64" t="s">
        <v>40</v>
      </c>
      <c r="C293" s="65" t="s">
        <v>41</v>
      </c>
      <c r="D293" s="64" t="s">
        <v>1</v>
      </c>
      <c r="E293" s="151">
        <v>1.2013888888888891</v>
      </c>
      <c r="F293" s="64" t="s">
        <v>38</v>
      </c>
      <c r="G293" s="66">
        <v>9</v>
      </c>
      <c r="H293" s="148">
        <v>539</v>
      </c>
      <c r="I293" s="88"/>
    </row>
    <row r="294" spans="1:9" ht="19.8" customHeight="1" x14ac:dyDescent="0.3">
      <c r="A294" s="150">
        <v>46011</v>
      </c>
      <c r="B294" s="64" t="s">
        <v>68</v>
      </c>
      <c r="C294" s="65" t="s">
        <v>69</v>
      </c>
      <c r="D294" s="64" t="s">
        <v>1</v>
      </c>
      <c r="E294" s="151">
        <v>1.305555555555556</v>
      </c>
      <c r="F294" s="64" t="s">
        <v>70</v>
      </c>
      <c r="G294" s="66">
        <v>4</v>
      </c>
      <c r="H294" s="71" t="s">
        <v>122</v>
      </c>
      <c r="I294" s="88"/>
    </row>
    <row r="295" spans="1:9" ht="19.8" customHeight="1" x14ac:dyDescent="0.3">
      <c r="A295" s="152">
        <v>46011</v>
      </c>
      <c r="B295" s="60" t="s">
        <v>31</v>
      </c>
      <c r="C295" s="61" t="s">
        <v>32</v>
      </c>
      <c r="D295" s="60" t="s">
        <v>1</v>
      </c>
      <c r="E295" s="153">
        <v>1.305555555555556</v>
      </c>
      <c r="F295" s="60" t="s">
        <v>38</v>
      </c>
      <c r="G295" s="62">
        <v>20</v>
      </c>
      <c r="H295" s="72" t="s">
        <v>39</v>
      </c>
      <c r="I295" s="88"/>
    </row>
    <row r="296" spans="1:9" ht="19.8" customHeight="1" x14ac:dyDescent="0.3">
      <c r="A296" s="109"/>
      <c r="B296" s="110"/>
      <c r="C296" s="110"/>
      <c r="D296" s="110"/>
      <c r="E296" s="110"/>
      <c r="F296" s="111" t="s">
        <v>371</v>
      </c>
      <c r="G296" s="110"/>
      <c r="H296" s="112"/>
      <c r="I296" s="88"/>
    </row>
    <row r="297" spans="1:9" ht="19.8" customHeight="1" x14ac:dyDescent="0.3">
      <c r="A297" s="150">
        <v>46012</v>
      </c>
      <c r="B297" s="64" t="s">
        <v>31</v>
      </c>
      <c r="C297" s="65" t="s">
        <v>32</v>
      </c>
      <c r="D297" s="64" t="s">
        <v>1</v>
      </c>
      <c r="E297" s="151">
        <v>1.305555555555556</v>
      </c>
      <c r="F297" s="64" t="s">
        <v>33</v>
      </c>
      <c r="G297" s="66">
        <v>10</v>
      </c>
      <c r="H297" s="148">
        <v>309</v>
      </c>
      <c r="I297" s="88"/>
    </row>
    <row r="298" spans="1:9" ht="19.8" customHeight="1" x14ac:dyDescent="0.3">
      <c r="A298" s="150">
        <v>46012</v>
      </c>
      <c r="B298" s="64" t="s">
        <v>40</v>
      </c>
      <c r="C298" s="65" t="s">
        <v>48</v>
      </c>
      <c r="D298" s="64" t="s">
        <v>1</v>
      </c>
      <c r="E298" s="151">
        <v>1.850694444444444</v>
      </c>
      <c r="F298" s="64" t="s">
        <v>42</v>
      </c>
      <c r="G298" s="66">
        <v>9</v>
      </c>
      <c r="H298" s="148">
        <v>349</v>
      </c>
      <c r="I298" s="88"/>
    </row>
    <row r="299" spans="1:9" ht="19.8" customHeight="1" x14ac:dyDescent="0.3">
      <c r="A299" s="150">
        <v>46012</v>
      </c>
      <c r="B299" s="64" t="s">
        <v>58</v>
      </c>
      <c r="C299" s="65" t="s">
        <v>63</v>
      </c>
      <c r="D299" s="64" t="s">
        <v>1</v>
      </c>
      <c r="E299" s="151">
        <v>1.864583333333333</v>
      </c>
      <c r="F299" s="64" t="s">
        <v>60</v>
      </c>
      <c r="G299" s="66">
        <v>9</v>
      </c>
      <c r="H299" s="148">
        <v>411</v>
      </c>
      <c r="I299" s="88"/>
    </row>
    <row r="300" spans="1:9" ht="19.8" customHeight="1" x14ac:dyDescent="0.3">
      <c r="A300" s="150">
        <v>46012</v>
      </c>
      <c r="B300" s="64" t="s">
        <v>58</v>
      </c>
      <c r="C300" s="65" t="s">
        <v>66</v>
      </c>
      <c r="D300" s="64" t="s">
        <v>1</v>
      </c>
      <c r="E300" s="151">
        <v>1.5277777777777779</v>
      </c>
      <c r="F300" s="64" t="s">
        <v>60</v>
      </c>
      <c r="G300" s="66">
        <v>9</v>
      </c>
      <c r="H300" s="148">
        <v>411</v>
      </c>
      <c r="I300" s="88"/>
    </row>
    <row r="301" spans="1:9" ht="19.8" customHeight="1" x14ac:dyDescent="0.3">
      <c r="A301" s="150">
        <v>46012</v>
      </c>
      <c r="B301" s="64" t="s">
        <v>58</v>
      </c>
      <c r="C301" s="65" t="s">
        <v>59</v>
      </c>
      <c r="D301" s="64" t="s">
        <v>1</v>
      </c>
      <c r="E301" s="151">
        <v>1.1701388888888891</v>
      </c>
      <c r="F301" s="64" t="s">
        <v>60</v>
      </c>
      <c r="G301" s="66">
        <v>9</v>
      </c>
      <c r="H301" s="148">
        <v>411</v>
      </c>
      <c r="I301" s="88"/>
    </row>
    <row r="302" spans="1:9" ht="19.8" customHeight="1" x14ac:dyDescent="0.3">
      <c r="A302" s="150">
        <v>46012</v>
      </c>
      <c r="B302" s="64" t="s">
        <v>26</v>
      </c>
      <c r="C302" s="65" t="s">
        <v>97</v>
      </c>
      <c r="D302" s="64" t="s">
        <v>1</v>
      </c>
      <c r="E302" s="151">
        <v>1.958333333333333</v>
      </c>
      <c r="F302" s="64" t="s">
        <v>28</v>
      </c>
      <c r="G302" s="66">
        <v>9</v>
      </c>
      <c r="H302" s="148">
        <v>439</v>
      </c>
      <c r="I302" s="88"/>
    </row>
    <row r="303" spans="1:9" ht="19.8" customHeight="1" x14ac:dyDescent="0.3">
      <c r="A303" s="150">
        <v>46012</v>
      </c>
      <c r="B303" s="64" t="s">
        <v>40</v>
      </c>
      <c r="C303" s="65" t="s">
        <v>48</v>
      </c>
      <c r="D303" s="64" t="s">
        <v>1</v>
      </c>
      <c r="E303" s="151">
        <v>1.850694444444444</v>
      </c>
      <c r="F303" s="64" t="s">
        <v>45</v>
      </c>
      <c r="G303" s="66">
        <v>9</v>
      </c>
      <c r="H303" s="148">
        <v>449</v>
      </c>
      <c r="I303" s="88"/>
    </row>
    <row r="304" spans="1:9" ht="19.8" customHeight="1" x14ac:dyDescent="0.3">
      <c r="A304" s="150">
        <v>46012</v>
      </c>
      <c r="B304" s="64" t="s">
        <v>31</v>
      </c>
      <c r="C304" s="65" t="s">
        <v>32</v>
      </c>
      <c r="D304" s="64" t="s">
        <v>1</v>
      </c>
      <c r="E304" s="151">
        <v>1.305555555555556</v>
      </c>
      <c r="F304" s="64" t="s">
        <v>36</v>
      </c>
      <c r="G304" s="66">
        <v>10</v>
      </c>
      <c r="H304" s="148">
        <v>487</v>
      </c>
      <c r="I304" s="88"/>
    </row>
    <row r="305" spans="1:9" ht="19.8" customHeight="1" x14ac:dyDescent="0.3">
      <c r="A305" s="150">
        <v>46012</v>
      </c>
      <c r="B305" s="64" t="s">
        <v>40</v>
      </c>
      <c r="C305" s="65" t="s">
        <v>48</v>
      </c>
      <c r="D305" s="64" t="s">
        <v>1</v>
      </c>
      <c r="E305" s="151">
        <v>1.850694444444444</v>
      </c>
      <c r="F305" s="64" t="s">
        <v>38</v>
      </c>
      <c r="G305" s="66">
        <v>9</v>
      </c>
      <c r="H305" s="148">
        <v>539</v>
      </c>
      <c r="I305" s="88"/>
    </row>
    <row r="306" spans="1:9" ht="19.8" customHeight="1" x14ac:dyDescent="0.3">
      <c r="A306" s="150">
        <v>46012</v>
      </c>
      <c r="B306" s="64" t="s">
        <v>31</v>
      </c>
      <c r="C306" s="65" t="s">
        <v>32</v>
      </c>
      <c r="D306" s="64" t="s">
        <v>1</v>
      </c>
      <c r="E306" s="151">
        <v>1.305555555555556</v>
      </c>
      <c r="F306" s="64" t="s">
        <v>38</v>
      </c>
      <c r="G306" s="66">
        <v>10</v>
      </c>
      <c r="H306" s="148">
        <v>899</v>
      </c>
      <c r="I306" s="88"/>
    </row>
    <row r="307" spans="1:9" ht="19.8" customHeight="1" x14ac:dyDescent="0.3">
      <c r="A307" s="152">
        <v>46012</v>
      </c>
      <c r="B307" s="60" t="s">
        <v>68</v>
      </c>
      <c r="C307" s="61" t="s">
        <v>69</v>
      </c>
      <c r="D307" s="60" t="s">
        <v>1</v>
      </c>
      <c r="E307" s="153">
        <v>1.305555555555556</v>
      </c>
      <c r="F307" s="60" t="s">
        <v>70</v>
      </c>
      <c r="G307" s="62">
        <v>4</v>
      </c>
      <c r="H307" s="72" t="s">
        <v>122</v>
      </c>
      <c r="I307" s="88"/>
    </row>
    <row r="308" spans="1:9" ht="19.8" customHeight="1" x14ac:dyDescent="0.3">
      <c r="A308" s="154">
        <v>46013</v>
      </c>
      <c r="B308" s="68" t="s">
        <v>51</v>
      </c>
      <c r="C308" s="69" t="s">
        <v>336</v>
      </c>
      <c r="D308" s="68" t="s">
        <v>335</v>
      </c>
      <c r="E308" s="155">
        <v>1.510416666666667</v>
      </c>
      <c r="F308" s="68" t="s">
        <v>28</v>
      </c>
      <c r="G308" s="70">
        <v>9</v>
      </c>
      <c r="H308" s="149">
        <v>476</v>
      </c>
      <c r="I308" s="88"/>
    </row>
    <row r="309" spans="1:9" ht="19.8" customHeight="1" x14ac:dyDescent="0.3">
      <c r="A309" s="109"/>
      <c r="B309" s="110"/>
      <c r="C309" s="110"/>
      <c r="D309" s="110"/>
      <c r="E309" s="110"/>
      <c r="F309" s="111" t="s">
        <v>371</v>
      </c>
      <c r="G309" s="110"/>
      <c r="H309" s="112"/>
      <c r="I309" s="88"/>
    </row>
    <row r="310" spans="1:9" ht="19.8" customHeight="1" x14ac:dyDescent="0.3">
      <c r="A310" s="150">
        <v>46013</v>
      </c>
      <c r="B310" s="64" t="s">
        <v>31</v>
      </c>
      <c r="C310" s="65" t="s">
        <v>32</v>
      </c>
      <c r="D310" s="64" t="s">
        <v>1</v>
      </c>
      <c r="E310" s="151">
        <v>1.305555555555556</v>
      </c>
      <c r="F310" s="64" t="s">
        <v>33</v>
      </c>
      <c r="G310" s="66">
        <v>18</v>
      </c>
      <c r="H310" s="148">
        <v>309</v>
      </c>
      <c r="I310" s="88"/>
    </row>
    <row r="311" spans="1:9" ht="19.8" customHeight="1" x14ac:dyDescent="0.3">
      <c r="A311" s="150">
        <v>46013</v>
      </c>
      <c r="B311" s="64" t="s">
        <v>40</v>
      </c>
      <c r="C311" s="65" t="s">
        <v>48</v>
      </c>
      <c r="D311" s="64" t="s">
        <v>1</v>
      </c>
      <c r="E311" s="151">
        <v>1.836805555555556</v>
      </c>
      <c r="F311" s="64" t="s">
        <v>42</v>
      </c>
      <c r="G311" s="66">
        <v>8</v>
      </c>
      <c r="H311" s="148">
        <v>349</v>
      </c>
      <c r="I311" s="88"/>
    </row>
    <row r="312" spans="1:9" ht="19.8" customHeight="1" x14ac:dyDescent="0.3">
      <c r="A312" s="150">
        <v>46013</v>
      </c>
      <c r="B312" s="64" t="s">
        <v>40</v>
      </c>
      <c r="C312" s="65" t="s">
        <v>41</v>
      </c>
      <c r="D312" s="64" t="s">
        <v>1</v>
      </c>
      <c r="E312" s="151">
        <v>1.2013888888888891</v>
      </c>
      <c r="F312" s="64" t="s">
        <v>42</v>
      </c>
      <c r="G312" s="66">
        <v>9</v>
      </c>
      <c r="H312" s="148">
        <v>349</v>
      </c>
      <c r="I312" s="88"/>
    </row>
    <row r="313" spans="1:9" ht="19.8" customHeight="1" x14ac:dyDescent="0.3">
      <c r="A313" s="150">
        <v>46013</v>
      </c>
      <c r="B313" s="64" t="s">
        <v>58</v>
      </c>
      <c r="C313" s="65" t="s">
        <v>63</v>
      </c>
      <c r="D313" s="64" t="s">
        <v>1</v>
      </c>
      <c r="E313" s="151">
        <v>1.864583333333333</v>
      </c>
      <c r="F313" s="64" t="s">
        <v>60</v>
      </c>
      <c r="G313" s="66">
        <v>9</v>
      </c>
      <c r="H313" s="148">
        <v>411</v>
      </c>
      <c r="I313" s="88"/>
    </row>
    <row r="314" spans="1:9" ht="19.8" customHeight="1" x14ac:dyDescent="0.3">
      <c r="A314" s="150">
        <v>46013</v>
      </c>
      <c r="B314" s="64" t="s">
        <v>58</v>
      </c>
      <c r="C314" s="65" t="s">
        <v>66</v>
      </c>
      <c r="D314" s="64" t="s">
        <v>1</v>
      </c>
      <c r="E314" s="151">
        <v>1.5277777777777779</v>
      </c>
      <c r="F314" s="64" t="s">
        <v>60</v>
      </c>
      <c r="G314" s="66">
        <v>9</v>
      </c>
      <c r="H314" s="148">
        <v>411</v>
      </c>
      <c r="I314" s="88"/>
    </row>
    <row r="315" spans="1:9" ht="19.8" customHeight="1" x14ac:dyDescent="0.3">
      <c r="A315" s="150">
        <v>46013</v>
      </c>
      <c r="B315" s="64" t="s">
        <v>58</v>
      </c>
      <c r="C315" s="65" t="s">
        <v>59</v>
      </c>
      <c r="D315" s="64" t="s">
        <v>1</v>
      </c>
      <c r="E315" s="151">
        <v>1.1701388888888891</v>
      </c>
      <c r="F315" s="64" t="s">
        <v>60</v>
      </c>
      <c r="G315" s="66">
        <v>9</v>
      </c>
      <c r="H315" s="148">
        <v>411</v>
      </c>
      <c r="I315" s="88"/>
    </row>
    <row r="316" spans="1:9" ht="19.8" customHeight="1" x14ac:dyDescent="0.3">
      <c r="A316" s="150">
        <v>46013</v>
      </c>
      <c r="B316" s="64" t="s">
        <v>73</v>
      </c>
      <c r="C316" s="65" t="s">
        <v>161</v>
      </c>
      <c r="D316" s="64" t="s">
        <v>1</v>
      </c>
      <c r="E316" s="151">
        <v>1.1215277777777779</v>
      </c>
      <c r="F316" s="64" t="s">
        <v>28</v>
      </c>
      <c r="G316" s="66">
        <v>1</v>
      </c>
      <c r="H316" s="148">
        <v>425</v>
      </c>
      <c r="I316" s="88"/>
    </row>
    <row r="317" spans="1:9" ht="19.8" customHeight="1" x14ac:dyDescent="0.3">
      <c r="A317" s="150">
        <v>46013</v>
      </c>
      <c r="B317" s="64" t="s">
        <v>26</v>
      </c>
      <c r="C317" s="65" t="s">
        <v>27</v>
      </c>
      <c r="D317" s="64" t="s">
        <v>1</v>
      </c>
      <c r="E317" s="151">
        <v>1.958333333333333</v>
      </c>
      <c r="F317" s="64" t="s">
        <v>28</v>
      </c>
      <c r="G317" s="66">
        <v>9</v>
      </c>
      <c r="H317" s="148">
        <v>439</v>
      </c>
      <c r="I317" s="88"/>
    </row>
    <row r="318" spans="1:9" ht="19.8" customHeight="1" x14ac:dyDescent="0.3">
      <c r="A318" s="150">
        <v>46013</v>
      </c>
      <c r="B318" s="64" t="s">
        <v>40</v>
      </c>
      <c r="C318" s="65" t="s">
        <v>48</v>
      </c>
      <c r="D318" s="64" t="s">
        <v>1</v>
      </c>
      <c r="E318" s="151">
        <v>1.836805555555556</v>
      </c>
      <c r="F318" s="64" t="s">
        <v>45</v>
      </c>
      <c r="G318" s="66">
        <v>8</v>
      </c>
      <c r="H318" s="148">
        <v>449</v>
      </c>
      <c r="I318" s="88"/>
    </row>
    <row r="319" spans="1:9" ht="19.8" customHeight="1" x14ac:dyDescent="0.3">
      <c r="A319" s="150">
        <v>46013</v>
      </c>
      <c r="B319" s="64" t="s">
        <v>40</v>
      </c>
      <c r="C319" s="65" t="s">
        <v>41</v>
      </c>
      <c r="D319" s="64" t="s">
        <v>1</v>
      </c>
      <c r="E319" s="151">
        <v>1.2013888888888891</v>
      </c>
      <c r="F319" s="64" t="s">
        <v>45</v>
      </c>
      <c r="G319" s="66">
        <v>9</v>
      </c>
      <c r="H319" s="148">
        <v>449</v>
      </c>
      <c r="I319" s="88"/>
    </row>
    <row r="320" spans="1:9" ht="19.8" customHeight="1" x14ac:dyDescent="0.3">
      <c r="A320" s="150">
        <v>46013</v>
      </c>
      <c r="B320" s="64" t="s">
        <v>31</v>
      </c>
      <c r="C320" s="65" t="s">
        <v>32</v>
      </c>
      <c r="D320" s="64" t="s">
        <v>1</v>
      </c>
      <c r="E320" s="151">
        <v>1.305555555555556</v>
      </c>
      <c r="F320" s="64" t="s">
        <v>36</v>
      </c>
      <c r="G320" s="66">
        <v>18</v>
      </c>
      <c r="H320" s="148">
        <v>487</v>
      </c>
      <c r="I320" s="88"/>
    </row>
    <row r="321" spans="1:9" ht="19.8" customHeight="1" x14ac:dyDescent="0.3">
      <c r="A321" s="150">
        <v>46013</v>
      </c>
      <c r="B321" s="64" t="s">
        <v>40</v>
      </c>
      <c r="C321" s="65" t="s">
        <v>48</v>
      </c>
      <c r="D321" s="64" t="s">
        <v>1</v>
      </c>
      <c r="E321" s="151">
        <v>1.836805555555556</v>
      </c>
      <c r="F321" s="64" t="s">
        <v>38</v>
      </c>
      <c r="G321" s="66">
        <v>8</v>
      </c>
      <c r="H321" s="148">
        <v>539</v>
      </c>
      <c r="I321" s="88"/>
    </row>
    <row r="322" spans="1:9" ht="19.8" customHeight="1" x14ac:dyDescent="0.3">
      <c r="A322" s="150">
        <v>46013</v>
      </c>
      <c r="B322" s="64" t="s">
        <v>40</v>
      </c>
      <c r="C322" s="65" t="s">
        <v>41</v>
      </c>
      <c r="D322" s="64" t="s">
        <v>1</v>
      </c>
      <c r="E322" s="151">
        <v>1.2013888888888891</v>
      </c>
      <c r="F322" s="64" t="s">
        <v>38</v>
      </c>
      <c r="G322" s="66">
        <v>9</v>
      </c>
      <c r="H322" s="148">
        <v>539</v>
      </c>
      <c r="I322" s="88"/>
    </row>
    <row r="323" spans="1:9" ht="19.8" customHeight="1" x14ac:dyDescent="0.3">
      <c r="A323" s="150">
        <v>46013</v>
      </c>
      <c r="B323" s="64" t="s">
        <v>31</v>
      </c>
      <c r="C323" s="65" t="s">
        <v>32</v>
      </c>
      <c r="D323" s="64" t="s">
        <v>1</v>
      </c>
      <c r="E323" s="151">
        <v>1.305555555555556</v>
      </c>
      <c r="F323" s="64" t="s">
        <v>38</v>
      </c>
      <c r="G323" s="66">
        <v>18</v>
      </c>
      <c r="H323" s="148">
        <v>899</v>
      </c>
      <c r="I323" s="88"/>
    </row>
    <row r="324" spans="1:9" ht="19.8" customHeight="1" x14ac:dyDescent="0.3">
      <c r="A324" s="152">
        <v>46013</v>
      </c>
      <c r="B324" s="60" t="s">
        <v>68</v>
      </c>
      <c r="C324" s="61" t="s">
        <v>69</v>
      </c>
      <c r="D324" s="60" t="s">
        <v>1</v>
      </c>
      <c r="E324" s="153">
        <v>1.305555555555556</v>
      </c>
      <c r="F324" s="60" t="s">
        <v>70</v>
      </c>
      <c r="G324" s="62">
        <v>4</v>
      </c>
      <c r="H324" s="72" t="s">
        <v>122</v>
      </c>
      <c r="I324" s="88"/>
    </row>
    <row r="325" spans="1:9" ht="19.8" customHeight="1" x14ac:dyDescent="0.3">
      <c r="A325" s="109"/>
      <c r="B325" s="110"/>
      <c r="C325" s="110"/>
      <c r="D325" s="110"/>
      <c r="E325" s="110"/>
      <c r="F325" s="111" t="s">
        <v>371</v>
      </c>
      <c r="G325" s="110"/>
      <c r="H325" s="112"/>
      <c r="I325" s="88"/>
    </row>
    <row r="326" spans="1:9" ht="19.8" customHeight="1" x14ac:dyDescent="0.3">
      <c r="A326" s="150">
        <v>46014</v>
      </c>
      <c r="B326" s="64" t="s">
        <v>31</v>
      </c>
      <c r="C326" s="65" t="s">
        <v>32</v>
      </c>
      <c r="D326" s="64" t="s">
        <v>1</v>
      </c>
      <c r="E326" s="151">
        <v>1.305555555555556</v>
      </c>
      <c r="F326" s="64" t="s">
        <v>33</v>
      </c>
      <c r="G326" s="66">
        <v>18</v>
      </c>
      <c r="H326" s="148">
        <v>309</v>
      </c>
      <c r="I326" s="88"/>
    </row>
    <row r="327" spans="1:9" ht="19.8" customHeight="1" x14ac:dyDescent="0.3">
      <c r="A327" s="150">
        <v>46014</v>
      </c>
      <c r="B327" s="64" t="s">
        <v>40</v>
      </c>
      <c r="C327" s="65" t="s">
        <v>48</v>
      </c>
      <c r="D327" s="64" t="s">
        <v>1</v>
      </c>
      <c r="E327" s="151">
        <v>1.836805555555556</v>
      </c>
      <c r="F327" s="64" t="s">
        <v>42</v>
      </c>
      <c r="G327" s="66">
        <v>9</v>
      </c>
      <c r="H327" s="148">
        <v>349</v>
      </c>
      <c r="I327" s="88"/>
    </row>
    <row r="328" spans="1:9" ht="19.8" customHeight="1" x14ac:dyDescent="0.3">
      <c r="A328" s="150">
        <v>46014</v>
      </c>
      <c r="B328" s="64" t="s">
        <v>40</v>
      </c>
      <c r="C328" s="65" t="s">
        <v>41</v>
      </c>
      <c r="D328" s="64" t="s">
        <v>1</v>
      </c>
      <c r="E328" s="151">
        <v>1.2013888888888891</v>
      </c>
      <c r="F328" s="64" t="s">
        <v>42</v>
      </c>
      <c r="G328" s="66">
        <v>9</v>
      </c>
      <c r="H328" s="148">
        <v>379</v>
      </c>
      <c r="I328" s="88"/>
    </row>
    <row r="329" spans="1:9" ht="19.8" customHeight="1" x14ac:dyDescent="0.3">
      <c r="A329" s="150">
        <v>46014</v>
      </c>
      <c r="B329" s="64" t="s">
        <v>51</v>
      </c>
      <c r="C329" s="65" t="s">
        <v>52</v>
      </c>
      <c r="D329" s="64" t="s">
        <v>1</v>
      </c>
      <c r="E329" s="151">
        <v>1.270833333333333</v>
      </c>
      <c r="F329" s="64" t="s">
        <v>28</v>
      </c>
      <c r="G329" s="66">
        <v>9</v>
      </c>
      <c r="H329" s="148">
        <v>379</v>
      </c>
      <c r="I329" s="88"/>
    </row>
    <row r="330" spans="1:9" ht="19.8" customHeight="1" x14ac:dyDescent="0.3">
      <c r="A330" s="150">
        <v>46014</v>
      </c>
      <c r="B330" s="64" t="s">
        <v>58</v>
      </c>
      <c r="C330" s="65" t="s">
        <v>63</v>
      </c>
      <c r="D330" s="64" t="s">
        <v>1</v>
      </c>
      <c r="E330" s="151">
        <v>1.864583333333333</v>
      </c>
      <c r="F330" s="64" t="s">
        <v>60</v>
      </c>
      <c r="G330" s="66">
        <v>9</v>
      </c>
      <c r="H330" s="148">
        <v>411</v>
      </c>
      <c r="I330" s="88"/>
    </row>
    <row r="331" spans="1:9" ht="19.8" customHeight="1" x14ac:dyDescent="0.3">
      <c r="A331" s="150">
        <v>46014</v>
      </c>
      <c r="B331" s="64" t="s">
        <v>58</v>
      </c>
      <c r="C331" s="65" t="s">
        <v>59</v>
      </c>
      <c r="D331" s="64" t="s">
        <v>1</v>
      </c>
      <c r="E331" s="151">
        <v>1.1701388888888891</v>
      </c>
      <c r="F331" s="64" t="s">
        <v>60</v>
      </c>
      <c r="G331" s="66">
        <v>9</v>
      </c>
      <c r="H331" s="148">
        <v>411</v>
      </c>
      <c r="I331" s="88"/>
    </row>
    <row r="332" spans="1:9" ht="19.8" customHeight="1" x14ac:dyDescent="0.3">
      <c r="A332" s="150">
        <v>46014</v>
      </c>
      <c r="B332" s="64" t="s">
        <v>26</v>
      </c>
      <c r="C332" s="65" t="s">
        <v>57</v>
      </c>
      <c r="D332" s="64" t="s">
        <v>1</v>
      </c>
      <c r="E332" s="151">
        <v>1.958333333333333</v>
      </c>
      <c r="F332" s="64" t="s">
        <v>28</v>
      </c>
      <c r="G332" s="66">
        <v>8</v>
      </c>
      <c r="H332" s="148">
        <v>439</v>
      </c>
      <c r="I332" s="88"/>
    </row>
    <row r="333" spans="1:9" ht="19.8" customHeight="1" x14ac:dyDescent="0.3">
      <c r="A333" s="150">
        <v>46014</v>
      </c>
      <c r="B333" s="64" t="s">
        <v>40</v>
      </c>
      <c r="C333" s="65" t="s">
        <v>48</v>
      </c>
      <c r="D333" s="64" t="s">
        <v>1</v>
      </c>
      <c r="E333" s="151">
        <v>1.836805555555556</v>
      </c>
      <c r="F333" s="64" t="s">
        <v>45</v>
      </c>
      <c r="G333" s="66">
        <v>9</v>
      </c>
      <c r="H333" s="148">
        <v>449</v>
      </c>
      <c r="I333" s="88"/>
    </row>
    <row r="334" spans="1:9" ht="19.8" customHeight="1" x14ac:dyDescent="0.3">
      <c r="A334" s="150">
        <v>46014</v>
      </c>
      <c r="B334" s="64" t="s">
        <v>40</v>
      </c>
      <c r="C334" s="65" t="s">
        <v>41</v>
      </c>
      <c r="D334" s="64" t="s">
        <v>1</v>
      </c>
      <c r="E334" s="151">
        <v>1.2013888888888891</v>
      </c>
      <c r="F334" s="64" t="s">
        <v>45</v>
      </c>
      <c r="G334" s="66">
        <v>9</v>
      </c>
      <c r="H334" s="148">
        <v>479</v>
      </c>
      <c r="I334" s="88"/>
    </row>
    <row r="335" spans="1:9" ht="19.8" customHeight="1" x14ac:dyDescent="0.3">
      <c r="A335" s="150">
        <v>46014</v>
      </c>
      <c r="B335" s="64" t="s">
        <v>31</v>
      </c>
      <c r="C335" s="65" t="s">
        <v>32</v>
      </c>
      <c r="D335" s="64" t="s">
        <v>1</v>
      </c>
      <c r="E335" s="151">
        <v>1.305555555555556</v>
      </c>
      <c r="F335" s="64" t="s">
        <v>36</v>
      </c>
      <c r="G335" s="66">
        <v>18</v>
      </c>
      <c r="H335" s="148">
        <v>487</v>
      </c>
      <c r="I335" s="88"/>
    </row>
    <row r="336" spans="1:9" ht="19.8" customHeight="1" x14ac:dyDescent="0.3">
      <c r="A336" s="150">
        <v>46014</v>
      </c>
      <c r="B336" s="64" t="s">
        <v>40</v>
      </c>
      <c r="C336" s="65" t="s">
        <v>48</v>
      </c>
      <c r="D336" s="64" t="s">
        <v>1</v>
      </c>
      <c r="E336" s="151">
        <v>1.836805555555556</v>
      </c>
      <c r="F336" s="64" t="s">
        <v>38</v>
      </c>
      <c r="G336" s="66">
        <v>9</v>
      </c>
      <c r="H336" s="148">
        <v>539</v>
      </c>
      <c r="I336" s="88"/>
    </row>
    <row r="337" spans="1:9" ht="19.8" customHeight="1" x14ac:dyDescent="0.3">
      <c r="A337" s="150">
        <v>46014</v>
      </c>
      <c r="B337" s="64" t="s">
        <v>40</v>
      </c>
      <c r="C337" s="65" t="s">
        <v>41</v>
      </c>
      <c r="D337" s="64" t="s">
        <v>1</v>
      </c>
      <c r="E337" s="151">
        <v>1.2013888888888891</v>
      </c>
      <c r="F337" s="64" t="s">
        <v>38</v>
      </c>
      <c r="G337" s="66">
        <v>9</v>
      </c>
      <c r="H337" s="148">
        <v>569</v>
      </c>
      <c r="I337" s="88"/>
    </row>
    <row r="338" spans="1:9" ht="19.8" customHeight="1" x14ac:dyDescent="0.3">
      <c r="A338" s="150">
        <v>46014</v>
      </c>
      <c r="B338" s="64" t="s">
        <v>31</v>
      </c>
      <c r="C338" s="65" t="s">
        <v>32</v>
      </c>
      <c r="D338" s="64" t="s">
        <v>1</v>
      </c>
      <c r="E338" s="151">
        <v>1.305555555555556</v>
      </c>
      <c r="F338" s="64" t="s">
        <v>38</v>
      </c>
      <c r="G338" s="66">
        <v>18</v>
      </c>
      <c r="H338" s="148">
        <v>899</v>
      </c>
      <c r="I338" s="88"/>
    </row>
    <row r="339" spans="1:9" ht="19.8" customHeight="1" x14ac:dyDescent="0.3">
      <c r="A339" s="152">
        <v>46014</v>
      </c>
      <c r="B339" s="60" t="s">
        <v>68</v>
      </c>
      <c r="C339" s="61" t="s">
        <v>69</v>
      </c>
      <c r="D339" s="60" t="s">
        <v>1</v>
      </c>
      <c r="E339" s="153">
        <v>1.305555555555556</v>
      </c>
      <c r="F339" s="60" t="s">
        <v>70</v>
      </c>
      <c r="G339" s="62">
        <v>4</v>
      </c>
      <c r="H339" s="72" t="s">
        <v>122</v>
      </c>
      <c r="I339" s="88"/>
    </row>
    <row r="340" spans="1:9" ht="19.8" customHeight="1" x14ac:dyDescent="0.3">
      <c r="A340" s="109"/>
      <c r="B340" s="110"/>
      <c r="C340" s="110"/>
      <c r="D340" s="110"/>
      <c r="E340" s="110"/>
      <c r="F340" s="111" t="s">
        <v>371</v>
      </c>
      <c r="G340" s="110"/>
      <c r="H340" s="112"/>
      <c r="I340" s="88"/>
    </row>
    <row r="341" spans="1:9" ht="19.8" customHeight="1" x14ac:dyDescent="0.3">
      <c r="A341" s="150">
        <v>46015</v>
      </c>
      <c r="B341" s="64" t="s">
        <v>31</v>
      </c>
      <c r="C341" s="65" t="s">
        <v>32</v>
      </c>
      <c r="D341" s="64" t="s">
        <v>1</v>
      </c>
      <c r="E341" s="151">
        <v>1.305555555555556</v>
      </c>
      <c r="F341" s="64" t="s">
        <v>33</v>
      </c>
      <c r="G341" s="66">
        <v>3</v>
      </c>
      <c r="H341" s="148">
        <v>309</v>
      </c>
      <c r="I341" s="88"/>
    </row>
    <row r="342" spans="1:9" ht="19.8" customHeight="1" x14ac:dyDescent="0.3">
      <c r="A342" s="150">
        <v>46015</v>
      </c>
      <c r="B342" s="64" t="s">
        <v>76</v>
      </c>
      <c r="C342" s="65" t="s">
        <v>77</v>
      </c>
      <c r="D342" s="64" t="s">
        <v>1</v>
      </c>
      <c r="E342" s="151">
        <v>1.9722222222222221</v>
      </c>
      <c r="F342" s="64" t="s">
        <v>78</v>
      </c>
      <c r="G342" s="66">
        <v>9</v>
      </c>
      <c r="H342" s="148">
        <v>348</v>
      </c>
      <c r="I342" s="88"/>
    </row>
    <row r="343" spans="1:9" ht="19.8" customHeight="1" x14ac:dyDescent="0.3">
      <c r="A343" s="150">
        <v>46015</v>
      </c>
      <c r="B343" s="64" t="s">
        <v>40</v>
      </c>
      <c r="C343" s="65" t="s">
        <v>48</v>
      </c>
      <c r="D343" s="64" t="s">
        <v>1</v>
      </c>
      <c r="E343" s="151">
        <v>1.850694444444444</v>
      </c>
      <c r="F343" s="64" t="s">
        <v>42</v>
      </c>
      <c r="G343" s="66">
        <v>7</v>
      </c>
      <c r="H343" s="148">
        <v>349</v>
      </c>
      <c r="I343" s="88"/>
    </row>
    <row r="344" spans="1:9" ht="19.8" customHeight="1" x14ac:dyDescent="0.3">
      <c r="A344" s="150">
        <v>46015</v>
      </c>
      <c r="B344" s="64" t="s">
        <v>58</v>
      </c>
      <c r="C344" s="65" t="s">
        <v>63</v>
      </c>
      <c r="D344" s="64" t="s">
        <v>1</v>
      </c>
      <c r="E344" s="151">
        <v>1.864583333333333</v>
      </c>
      <c r="F344" s="64" t="s">
        <v>60</v>
      </c>
      <c r="G344" s="66">
        <v>9</v>
      </c>
      <c r="H344" s="148">
        <v>411</v>
      </c>
      <c r="I344" s="88"/>
    </row>
    <row r="345" spans="1:9" ht="19.8" customHeight="1" x14ac:dyDescent="0.3">
      <c r="A345" s="150">
        <v>46015</v>
      </c>
      <c r="B345" s="64" t="s">
        <v>58</v>
      </c>
      <c r="C345" s="65" t="s">
        <v>66</v>
      </c>
      <c r="D345" s="64" t="s">
        <v>1</v>
      </c>
      <c r="E345" s="151">
        <v>1.5277777777777779</v>
      </c>
      <c r="F345" s="64" t="s">
        <v>60</v>
      </c>
      <c r="G345" s="66">
        <v>9</v>
      </c>
      <c r="H345" s="148">
        <v>411</v>
      </c>
      <c r="I345" s="88"/>
    </row>
    <row r="346" spans="1:9" ht="19.8" customHeight="1" x14ac:dyDescent="0.3">
      <c r="A346" s="150">
        <v>46015</v>
      </c>
      <c r="B346" s="64" t="s">
        <v>58</v>
      </c>
      <c r="C346" s="65" t="s">
        <v>59</v>
      </c>
      <c r="D346" s="64" t="s">
        <v>1</v>
      </c>
      <c r="E346" s="151">
        <v>1.1701388888888891</v>
      </c>
      <c r="F346" s="64" t="s">
        <v>60</v>
      </c>
      <c r="G346" s="66">
        <v>9</v>
      </c>
      <c r="H346" s="148">
        <v>411</v>
      </c>
      <c r="I346" s="88"/>
    </row>
    <row r="347" spans="1:9" ht="19.8" customHeight="1" x14ac:dyDescent="0.3">
      <c r="A347" s="150">
        <v>46015</v>
      </c>
      <c r="B347" s="64" t="s">
        <v>26</v>
      </c>
      <c r="C347" s="65" t="s">
        <v>27</v>
      </c>
      <c r="D347" s="64" t="s">
        <v>1</v>
      </c>
      <c r="E347" s="151">
        <v>1.895833333333333</v>
      </c>
      <c r="F347" s="64" t="s">
        <v>28</v>
      </c>
      <c r="G347" s="66">
        <v>9</v>
      </c>
      <c r="H347" s="148">
        <v>439</v>
      </c>
      <c r="I347" s="88"/>
    </row>
    <row r="348" spans="1:9" ht="19.8" customHeight="1" x14ac:dyDescent="0.3">
      <c r="A348" s="150">
        <v>46015</v>
      </c>
      <c r="B348" s="64" t="s">
        <v>40</v>
      </c>
      <c r="C348" s="65" t="s">
        <v>48</v>
      </c>
      <c r="D348" s="64" t="s">
        <v>1</v>
      </c>
      <c r="E348" s="151">
        <v>1.850694444444444</v>
      </c>
      <c r="F348" s="64" t="s">
        <v>45</v>
      </c>
      <c r="G348" s="66">
        <v>7</v>
      </c>
      <c r="H348" s="148">
        <v>449</v>
      </c>
      <c r="I348" s="88"/>
    </row>
    <row r="349" spans="1:9" ht="19.8" customHeight="1" x14ac:dyDescent="0.3">
      <c r="A349" s="150">
        <v>46015</v>
      </c>
      <c r="B349" s="64" t="s">
        <v>31</v>
      </c>
      <c r="C349" s="65" t="s">
        <v>32</v>
      </c>
      <c r="D349" s="64" t="s">
        <v>1</v>
      </c>
      <c r="E349" s="151">
        <v>1.305555555555556</v>
      </c>
      <c r="F349" s="64" t="s">
        <v>36</v>
      </c>
      <c r="G349" s="66">
        <v>3</v>
      </c>
      <c r="H349" s="148">
        <v>487</v>
      </c>
      <c r="I349" s="88"/>
    </row>
    <row r="350" spans="1:9" ht="19.8" customHeight="1" x14ac:dyDescent="0.3">
      <c r="A350" s="150">
        <v>46015</v>
      </c>
      <c r="B350" s="64" t="s">
        <v>73</v>
      </c>
      <c r="C350" s="65" t="s">
        <v>74</v>
      </c>
      <c r="D350" s="64" t="s">
        <v>1</v>
      </c>
      <c r="E350" s="151">
        <v>1.0902777777777779</v>
      </c>
      <c r="F350" s="64" t="s">
        <v>28</v>
      </c>
      <c r="G350" s="66">
        <v>8</v>
      </c>
      <c r="H350" s="148">
        <v>500</v>
      </c>
      <c r="I350" s="88"/>
    </row>
    <row r="351" spans="1:9" ht="19.8" customHeight="1" x14ac:dyDescent="0.3">
      <c r="A351" s="150">
        <v>46015</v>
      </c>
      <c r="B351" s="64" t="s">
        <v>40</v>
      </c>
      <c r="C351" s="65" t="s">
        <v>48</v>
      </c>
      <c r="D351" s="64" t="s">
        <v>1</v>
      </c>
      <c r="E351" s="151">
        <v>1.850694444444444</v>
      </c>
      <c r="F351" s="64" t="s">
        <v>38</v>
      </c>
      <c r="G351" s="66">
        <v>7</v>
      </c>
      <c r="H351" s="148">
        <v>539</v>
      </c>
      <c r="I351" s="88"/>
    </row>
    <row r="352" spans="1:9" ht="19.8" customHeight="1" x14ac:dyDescent="0.3">
      <c r="A352" s="150">
        <v>46015</v>
      </c>
      <c r="B352" s="64" t="s">
        <v>76</v>
      </c>
      <c r="C352" s="65" t="s">
        <v>77</v>
      </c>
      <c r="D352" s="64" t="s">
        <v>1</v>
      </c>
      <c r="E352" s="151">
        <v>1.9722222222222221</v>
      </c>
      <c r="F352" s="64" t="s">
        <v>81</v>
      </c>
      <c r="G352" s="66">
        <v>9</v>
      </c>
      <c r="H352" s="148">
        <v>554</v>
      </c>
      <c r="I352" s="88"/>
    </row>
    <row r="353" spans="1:9" ht="19.8" customHeight="1" x14ac:dyDescent="0.3">
      <c r="A353" s="150">
        <v>46015</v>
      </c>
      <c r="B353" s="64" t="s">
        <v>31</v>
      </c>
      <c r="C353" s="65" t="s">
        <v>32</v>
      </c>
      <c r="D353" s="64" t="s">
        <v>1</v>
      </c>
      <c r="E353" s="151">
        <v>1.305555555555556</v>
      </c>
      <c r="F353" s="64" t="s">
        <v>38</v>
      </c>
      <c r="G353" s="66">
        <v>3</v>
      </c>
      <c r="H353" s="148">
        <v>899</v>
      </c>
      <c r="I353" s="88"/>
    </row>
    <row r="354" spans="1:9" ht="19.8" customHeight="1" x14ac:dyDescent="0.3">
      <c r="A354" s="152">
        <v>46015</v>
      </c>
      <c r="B354" s="60" t="s">
        <v>68</v>
      </c>
      <c r="C354" s="61" t="s">
        <v>69</v>
      </c>
      <c r="D354" s="60" t="s">
        <v>1</v>
      </c>
      <c r="E354" s="153">
        <v>1.305555555555556</v>
      </c>
      <c r="F354" s="60" t="s">
        <v>70</v>
      </c>
      <c r="G354" s="62">
        <v>4</v>
      </c>
      <c r="H354" s="72" t="s">
        <v>72</v>
      </c>
      <c r="I354" s="88"/>
    </row>
    <row r="355" spans="1:9" ht="19.8" customHeight="1" x14ac:dyDescent="0.3">
      <c r="A355" s="109"/>
      <c r="B355" s="110"/>
      <c r="C355" s="110"/>
      <c r="D355" s="110"/>
      <c r="E355" s="110"/>
      <c r="F355" s="111" t="s">
        <v>371</v>
      </c>
      <c r="G355" s="110"/>
      <c r="H355" s="112"/>
      <c r="I355" s="88"/>
    </row>
    <row r="356" spans="1:9" ht="19.8" customHeight="1" x14ac:dyDescent="0.3">
      <c r="A356" s="150">
        <v>46016</v>
      </c>
      <c r="B356" s="64" t="s">
        <v>31</v>
      </c>
      <c r="C356" s="65" t="s">
        <v>32</v>
      </c>
      <c r="D356" s="64" t="s">
        <v>1</v>
      </c>
      <c r="E356" s="151">
        <v>1.305555555555556</v>
      </c>
      <c r="F356" s="64" t="s">
        <v>33</v>
      </c>
      <c r="G356" s="66">
        <v>20</v>
      </c>
      <c r="H356" s="148">
        <v>339</v>
      </c>
      <c r="I356" s="88"/>
    </row>
    <row r="357" spans="1:9" ht="19.8" customHeight="1" x14ac:dyDescent="0.3">
      <c r="A357" s="150">
        <v>46016</v>
      </c>
      <c r="B357" s="64" t="s">
        <v>40</v>
      </c>
      <c r="C357" s="65" t="s">
        <v>41</v>
      </c>
      <c r="D357" s="64" t="s">
        <v>1</v>
      </c>
      <c r="E357" s="151">
        <v>1.2013888888888891</v>
      </c>
      <c r="F357" s="64" t="s">
        <v>42</v>
      </c>
      <c r="G357" s="66">
        <v>4</v>
      </c>
      <c r="H357" s="148">
        <v>379</v>
      </c>
      <c r="I357" s="88"/>
    </row>
    <row r="358" spans="1:9" ht="19.8" customHeight="1" x14ac:dyDescent="0.3">
      <c r="A358" s="150">
        <v>46016</v>
      </c>
      <c r="B358" s="64" t="s">
        <v>51</v>
      </c>
      <c r="C358" s="65" t="s">
        <v>52</v>
      </c>
      <c r="D358" s="64" t="s">
        <v>1</v>
      </c>
      <c r="E358" s="151">
        <v>1.9236111111111109</v>
      </c>
      <c r="F358" s="64" t="s">
        <v>28</v>
      </c>
      <c r="G358" s="66">
        <v>9</v>
      </c>
      <c r="H358" s="148">
        <v>379</v>
      </c>
      <c r="I358" s="88"/>
    </row>
    <row r="359" spans="1:9" ht="19.8" customHeight="1" x14ac:dyDescent="0.3">
      <c r="A359" s="150">
        <v>46016</v>
      </c>
      <c r="B359" s="64" t="s">
        <v>58</v>
      </c>
      <c r="C359" s="65" t="s">
        <v>59</v>
      </c>
      <c r="D359" s="64" t="s">
        <v>1</v>
      </c>
      <c r="E359" s="151">
        <v>1.1701388888888891</v>
      </c>
      <c r="F359" s="64" t="s">
        <v>60</v>
      </c>
      <c r="G359" s="66">
        <v>9</v>
      </c>
      <c r="H359" s="148">
        <v>411</v>
      </c>
      <c r="I359" s="88"/>
    </row>
    <row r="360" spans="1:9" ht="19.8" customHeight="1" x14ac:dyDescent="0.3">
      <c r="A360" s="150">
        <v>46016</v>
      </c>
      <c r="B360" s="64" t="s">
        <v>58</v>
      </c>
      <c r="C360" s="65" t="s">
        <v>63</v>
      </c>
      <c r="D360" s="64" t="s">
        <v>1</v>
      </c>
      <c r="E360" s="151">
        <v>1.864583333333333</v>
      </c>
      <c r="F360" s="64" t="s">
        <v>127</v>
      </c>
      <c r="G360" s="66">
        <v>9</v>
      </c>
      <c r="H360" s="148">
        <v>437</v>
      </c>
      <c r="I360" s="88"/>
    </row>
    <row r="361" spans="1:9" ht="19.8" customHeight="1" x14ac:dyDescent="0.3">
      <c r="A361" s="150">
        <v>46016</v>
      </c>
      <c r="B361" s="64" t="s">
        <v>40</v>
      </c>
      <c r="C361" s="65" t="s">
        <v>48</v>
      </c>
      <c r="D361" s="64" t="s">
        <v>1</v>
      </c>
      <c r="E361" s="151">
        <v>1.836805555555556</v>
      </c>
      <c r="F361" s="64" t="s">
        <v>42</v>
      </c>
      <c r="G361" s="66">
        <v>1</v>
      </c>
      <c r="H361" s="148">
        <v>439</v>
      </c>
      <c r="I361" s="88"/>
    </row>
    <row r="362" spans="1:9" ht="19.8" customHeight="1" x14ac:dyDescent="0.3">
      <c r="A362" s="150">
        <v>46016</v>
      </c>
      <c r="B362" s="64" t="s">
        <v>40</v>
      </c>
      <c r="C362" s="65" t="s">
        <v>41</v>
      </c>
      <c r="D362" s="64" t="s">
        <v>1</v>
      </c>
      <c r="E362" s="151">
        <v>1.2013888888888891</v>
      </c>
      <c r="F362" s="64" t="s">
        <v>45</v>
      </c>
      <c r="G362" s="66">
        <v>4</v>
      </c>
      <c r="H362" s="148">
        <v>479</v>
      </c>
      <c r="I362" s="88"/>
    </row>
    <row r="363" spans="1:9" ht="19.8" customHeight="1" x14ac:dyDescent="0.3">
      <c r="A363" s="150">
        <v>46016</v>
      </c>
      <c r="B363" s="64" t="s">
        <v>73</v>
      </c>
      <c r="C363" s="65" t="s">
        <v>74</v>
      </c>
      <c r="D363" s="64" t="s">
        <v>1</v>
      </c>
      <c r="E363" s="151">
        <v>1.8888888888888891</v>
      </c>
      <c r="F363" s="64" t="s">
        <v>167</v>
      </c>
      <c r="G363" s="66">
        <v>2</v>
      </c>
      <c r="H363" s="148">
        <v>500</v>
      </c>
      <c r="I363" s="88"/>
    </row>
    <row r="364" spans="1:9" ht="19.8" customHeight="1" x14ac:dyDescent="0.3">
      <c r="A364" s="150">
        <v>46016</v>
      </c>
      <c r="B364" s="64" t="s">
        <v>31</v>
      </c>
      <c r="C364" s="65" t="s">
        <v>32</v>
      </c>
      <c r="D364" s="64" t="s">
        <v>1</v>
      </c>
      <c r="E364" s="151">
        <v>1.305555555555556</v>
      </c>
      <c r="F364" s="64" t="s">
        <v>36</v>
      </c>
      <c r="G364" s="66">
        <v>20</v>
      </c>
      <c r="H364" s="148">
        <v>517</v>
      </c>
      <c r="I364" s="88"/>
    </row>
    <row r="365" spans="1:9" ht="19.8" customHeight="1" x14ac:dyDescent="0.3">
      <c r="A365" s="150">
        <v>46016</v>
      </c>
      <c r="B365" s="64" t="s">
        <v>40</v>
      </c>
      <c r="C365" s="65" t="s">
        <v>48</v>
      </c>
      <c r="D365" s="64" t="s">
        <v>1</v>
      </c>
      <c r="E365" s="151">
        <v>1.836805555555556</v>
      </c>
      <c r="F365" s="64" t="s">
        <v>45</v>
      </c>
      <c r="G365" s="66">
        <v>1</v>
      </c>
      <c r="H365" s="148">
        <v>539</v>
      </c>
      <c r="I365" s="88"/>
    </row>
    <row r="366" spans="1:9" ht="19.8" customHeight="1" x14ac:dyDescent="0.3">
      <c r="A366" s="150">
        <v>46016</v>
      </c>
      <c r="B366" s="64" t="s">
        <v>58</v>
      </c>
      <c r="C366" s="65" t="s">
        <v>66</v>
      </c>
      <c r="D366" s="64" t="s">
        <v>1</v>
      </c>
      <c r="E366" s="151">
        <v>1.5277777777777779</v>
      </c>
      <c r="F366" s="64" t="s">
        <v>64</v>
      </c>
      <c r="G366" s="66">
        <v>9</v>
      </c>
      <c r="H366" s="148">
        <v>551</v>
      </c>
      <c r="I366" s="88"/>
    </row>
    <row r="367" spans="1:9" ht="19.8" customHeight="1" x14ac:dyDescent="0.3">
      <c r="A367" s="150">
        <v>46016</v>
      </c>
      <c r="B367" s="64" t="s">
        <v>26</v>
      </c>
      <c r="C367" s="65" t="s">
        <v>57</v>
      </c>
      <c r="D367" s="64" t="s">
        <v>1</v>
      </c>
      <c r="E367" s="151">
        <v>1.958333333333333</v>
      </c>
      <c r="F367" s="64" t="s">
        <v>28</v>
      </c>
      <c r="G367" s="66">
        <v>9</v>
      </c>
      <c r="H367" s="148">
        <v>563</v>
      </c>
      <c r="I367" s="88"/>
    </row>
    <row r="368" spans="1:9" ht="19.8" customHeight="1" x14ac:dyDescent="0.3">
      <c r="A368" s="150">
        <v>46016</v>
      </c>
      <c r="B368" s="64" t="s">
        <v>40</v>
      </c>
      <c r="C368" s="65" t="s">
        <v>41</v>
      </c>
      <c r="D368" s="64" t="s">
        <v>1</v>
      </c>
      <c r="E368" s="151">
        <v>1.2013888888888891</v>
      </c>
      <c r="F368" s="64" t="s">
        <v>38</v>
      </c>
      <c r="G368" s="66">
        <v>4</v>
      </c>
      <c r="H368" s="148">
        <v>569</v>
      </c>
      <c r="I368" s="88"/>
    </row>
    <row r="369" spans="1:9" ht="19.8" customHeight="1" x14ac:dyDescent="0.3">
      <c r="A369" s="150">
        <v>46016</v>
      </c>
      <c r="B369" s="64" t="s">
        <v>40</v>
      </c>
      <c r="C369" s="65" t="s">
        <v>48</v>
      </c>
      <c r="D369" s="64" t="s">
        <v>1</v>
      </c>
      <c r="E369" s="151">
        <v>1.836805555555556</v>
      </c>
      <c r="F369" s="64" t="s">
        <v>38</v>
      </c>
      <c r="G369" s="66">
        <v>1</v>
      </c>
      <c r="H369" s="148">
        <v>629</v>
      </c>
      <c r="I369" s="88"/>
    </row>
    <row r="370" spans="1:9" ht="19.8" customHeight="1" x14ac:dyDescent="0.3">
      <c r="A370" s="150">
        <v>46016</v>
      </c>
      <c r="B370" s="64" t="s">
        <v>31</v>
      </c>
      <c r="C370" s="65" t="s">
        <v>32</v>
      </c>
      <c r="D370" s="64" t="s">
        <v>1</v>
      </c>
      <c r="E370" s="151">
        <v>1.305555555555556</v>
      </c>
      <c r="F370" s="64" t="s">
        <v>38</v>
      </c>
      <c r="G370" s="66">
        <v>20</v>
      </c>
      <c r="H370" s="148">
        <v>899</v>
      </c>
      <c r="I370" s="88"/>
    </row>
    <row r="371" spans="1:9" ht="19.8" customHeight="1" x14ac:dyDescent="0.3">
      <c r="A371" s="152">
        <v>46016</v>
      </c>
      <c r="B371" s="60" t="s">
        <v>68</v>
      </c>
      <c r="C371" s="61" t="s">
        <v>69</v>
      </c>
      <c r="D371" s="60" t="s">
        <v>1</v>
      </c>
      <c r="E371" s="153">
        <v>1.305555555555556</v>
      </c>
      <c r="F371" s="60" t="s">
        <v>70</v>
      </c>
      <c r="G371" s="62">
        <v>4</v>
      </c>
      <c r="H371" s="72" t="s">
        <v>72</v>
      </c>
      <c r="I371" s="88"/>
    </row>
    <row r="372" spans="1:9" ht="19.8" customHeight="1" x14ac:dyDescent="0.3">
      <c r="A372" s="154">
        <v>46017</v>
      </c>
      <c r="B372" s="68" t="s">
        <v>51</v>
      </c>
      <c r="C372" s="69" t="s">
        <v>336</v>
      </c>
      <c r="D372" s="68" t="s">
        <v>335</v>
      </c>
      <c r="E372" s="155">
        <v>1.291666666666667</v>
      </c>
      <c r="F372" s="68" t="s">
        <v>28</v>
      </c>
      <c r="G372" s="70">
        <v>9</v>
      </c>
      <c r="H372" s="149">
        <v>476</v>
      </c>
      <c r="I372" s="88"/>
    </row>
    <row r="373" spans="1:9" ht="19.8" customHeight="1" x14ac:dyDescent="0.3">
      <c r="A373" s="109"/>
      <c r="B373" s="110"/>
      <c r="C373" s="110"/>
      <c r="D373" s="110"/>
      <c r="E373" s="110"/>
      <c r="F373" s="111" t="s">
        <v>371</v>
      </c>
      <c r="G373" s="110"/>
      <c r="H373" s="112"/>
      <c r="I373" s="88"/>
    </row>
    <row r="374" spans="1:9" ht="19.8" customHeight="1" x14ac:dyDescent="0.3">
      <c r="A374" s="150">
        <v>46017</v>
      </c>
      <c r="B374" s="64" t="s">
        <v>31</v>
      </c>
      <c r="C374" s="65" t="s">
        <v>32</v>
      </c>
      <c r="D374" s="64" t="s">
        <v>1</v>
      </c>
      <c r="E374" s="151">
        <v>1.305555555555556</v>
      </c>
      <c r="F374" s="64" t="s">
        <v>33</v>
      </c>
      <c r="G374" s="66">
        <v>16</v>
      </c>
      <c r="H374" s="148">
        <v>309</v>
      </c>
      <c r="I374" s="88"/>
    </row>
    <row r="375" spans="1:9" ht="19.8" customHeight="1" x14ac:dyDescent="0.3">
      <c r="A375" s="150">
        <v>46017</v>
      </c>
      <c r="B375" s="64" t="s">
        <v>40</v>
      </c>
      <c r="C375" s="65" t="s">
        <v>48</v>
      </c>
      <c r="D375" s="64" t="s">
        <v>1</v>
      </c>
      <c r="E375" s="151">
        <v>1.836805555555556</v>
      </c>
      <c r="F375" s="64" t="s">
        <v>42</v>
      </c>
      <c r="G375" s="66">
        <v>7</v>
      </c>
      <c r="H375" s="148">
        <v>349</v>
      </c>
      <c r="I375" s="88"/>
    </row>
    <row r="376" spans="1:9" ht="19.8" customHeight="1" x14ac:dyDescent="0.3">
      <c r="A376" s="150">
        <v>46017</v>
      </c>
      <c r="B376" s="64" t="s">
        <v>51</v>
      </c>
      <c r="C376" s="65" t="s">
        <v>52</v>
      </c>
      <c r="D376" s="64" t="s">
        <v>1</v>
      </c>
      <c r="E376" s="151">
        <v>1.5798611111111109</v>
      </c>
      <c r="F376" s="64" t="s">
        <v>28</v>
      </c>
      <c r="G376" s="66">
        <v>9</v>
      </c>
      <c r="H376" s="148">
        <v>379</v>
      </c>
      <c r="I376" s="88"/>
    </row>
    <row r="377" spans="1:9" ht="19.8" customHeight="1" x14ac:dyDescent="0.3">
      <c r="A377" s="150">
        <v>46017</v>
      </c>
      <c r="B377" s="64" t="s">
        <v>58</v>
      </c>
      <c r="C377" s="65" t="s">
        <v>63</v>
      </c>
      <c r="D377" s="64" t="s">
        <v>1</v>
      </c>
      <c r="E377" s="151">
        <v>1.864583333333333</v>
      </c>
      <c r="F377" s="64" t="s">
        <v>60</v>
      </c>
      <c r="G377" s="66">
        <v>9</v>
      </c>
      <c r="H377" s="148">
        <v>411</v>
      </c>
      <c r="I377" s="88"/>
    </row>
    <row r="378" spans="1:9" ht="19.8" customHeight="1" x14ac:dyDescent="0.3">
      <c r="A378" s="150">
        <v>46017</v>
      </c>
      <c r="B378" s="64" t="s">
        <v>58</v>
      </c>
      <c r="C378" s="65" t="s">
        <v>59</v>
      </c>
      <c r="D378" s="64" t="s">
        <v>1</v>
      </c>
      <c r="E378" s="151">
        <v>1.1701388888888891</v>
      </c>
      <c r="F378" s="64" t="s">
        <v>60</v>
      </c>
      <c r="G378" s="66">
        <v>9</v>
      </c>
      <c r="H378" s="148">
        <v>411</v>
      </c>
      <c r="I378" s="88"/>
    </row>
    <row r="379" spans="1:9" ht="19.8" customHeight="1" x14ac:dyDescent="0.3">
      <c r="A379" s="150">
        <v>46017</v>
      </c>
      <c r="B379" s="64" t="s">
        <v>58</v>
      </c>
      <c r="C379" s="65" t="s">
        <v>66</v>
      </c>
      <c r="D379" s="64" t="s">
        <v>1</v>
      </c>
      <c r="E379" s="151">
        <v>1.5277777777777779</v>
      </c>
      <c r="F379" s="64" t="s">
        <v>60</v>
      </c>
      <c r="G379" s="66">
        <v>9</v>
      </c>
      <c r="H379" s="148">
        <v>415</v>
      </c>
      <c r="I379" s="88"/>
    </row>
    <row r="380" spans="1:9" ht="19.8" customHeight="1" x14ac:dyDescent="0.3">
      <c r="A380" s="150">
        <v>46017</v>
      </c>
      <c r="B380" s="64" t="s">
        <v>26</v>
      </c>
      <c r="C380" s="65" t="s">
        <v>27</v>
      </c>
      <c r="D380" s="64" t="s">
        <v>1</v>
      </c>
      <c r="E380" s="151">
        <v>1.958333333333333</v>
      </c>
      <c r="F380" s="64" t="s">
        <v>167</v>
      </c>
      <c r="G380" s="66">
        <v>9</v>
      </c>
      <c r="H380" s="148">
        <v>439</v>
      </c>
      <c r="I380" s="88"/>
    </row>
    <row r="381" spans="1:9" ht="19.8" customHeight="1" x14ac:dyDescent="0.3">
      <c r="A381" s="150">
        <v>46017</v>
      </c>
      <c r="B381" s="64" t="s">
        <v>40</v>
      </c>
      <c r="C381" s="65" t="s">
        <v>48</v>
      </c>
      <c r="D381" s="64" t="s">
        <v>1</v>
      </c>
      <c r="E381" s="151">
        <v>1.836805555555556</v>
      </c>
      <c r="F381" s="64" t="s">
        <v>45</v>
      </c>
      <c r="G381" s="66">
        <v>7</v>
      </c>
      <c r="H381" s="148">
        <v>449</v>
      </c>
      <c r="I381" s="88"/>
    </row>
    <row r="382" spans="1:9" ht="19.8" customHeight="1" x14ac:dyDescent="0.3">
      <c r="A382" s="150">
        <v>46017</v>
      </c>
      <c r="B382" s="64" t="s">
        <v>31</v>
      </c>
      <c r="C382" s="65" t="s">
        <v>32</v>
      </c>
      <c r="D382" s="64" t="s">
        <v>1</v>
      </c>
      <c r="E382" s="151">
        <v>1.305555555555556</v>
      </c>
      <c r="F382" s="64" t="s">
        <v>36</v>
      </c>
      <c r="G382" s="66">
        <v>16</v>
      </c>
      <c r="H382" s="148">
        <v>487</v>
      </c>
      <c r="I382" s="88"/>
    </row>
    <row r="383" spans="1:9" ht="19.8" customHeight="1" x14ac:dyDescent="0.3">
      <c r="A383" s="150">
        <v>46017</v>
      </c>
      <c r="B383" s="64" t="s">
        <v>40</v>
      </c>
      <c r="C383" s="65" t="s">
        <v>48</v>
      </c>
      <c r="D383" s="64" t="s">
        <v>1</v>
      </c>
      <c r="E383" s="151">
        <v>1.836805555555556</v>
      </c>
      <c r="F383" s="64" t="s">
        <v>38</v>
      </c>
      <c r="G383" s="66">
        <v>7</v>
      </c>
      <c r="H383" s="148">
        <v>539</v>
      </c>
      <c r="I383" s="88"/>
    </row>
    <row r="384" spans="1:9" ht="19.8" customHeight="1" x14ac:dyDescent="0.3">
      <c r="A384" s="150">
        <v>46017</v>
      </c>
      <c r="B384" s="64" t="s">
        <v>31</v>
      </c>
      <c r="C384" s="65" t="s">
        <v>32</v>
      </c>
      <c r="D384" s="64" t="s">
        <v>1</v>
      </c>
      <c r="E384" s="151">
        <v>1.305555555555556</v>
      </c>
      <c r="F384" s="64" t="s">
        <v>38</v>
      </c>
      <c r="G384" s="66">
        <v>16</v>
      </c>
      <c r="H384" s="148">
        <v>899</v>
      </c>
      <c r="I384" s="88"/>
    </row>
    <row r="385" spans="1:9" ht="19.8" customHeight="1" x14ac:dyDescent="0.3">
      <c r="A385" s="152">
        <v>46017</v>
      </c>
      <c r="B385" s="60" t="s">
        <v>68</v>
      </c>
      <c r="C385" s="61" t="s">
        <v>69</v>
      </c>
      <c r="D385" s="60" t="s">
        <v>1</v>
      </c>
      <c r="E385" s="153">
        <v>1.305555555555556</v>
      </c>
      <c r="F385" s="60" t="s">
        <v>70</v>
      </c>
      <c r="G385" s="62">
        <v>4</v>
      </c>
      <c r="H385" s="72" t="s">
        <v>122</v>
      </c>
      <c r="I385" s="88"/>
    </row>
    <row r="386" spans="1:9" ht="19.8" customHeight="1" x14ac:dyDescent="0.3">
      <c r="A386" s="109"/>
      <c r="B386" s="110"/>
      <c r="C386" s="110"/>
      <c r="D386" s="110"/>
      <c r="E386" s="110"/>
      <c r="F386" s="111" t="s">
        <v>371</v>
      </c>
      <c r="G386" s="110"/>
      <c r="H386" s="112"/>
      <c r="I386" s="88"/>
    </row>
    <row r="387" spans="1:9" ht="19.8" customHeight="1" x14ac:dyDescent="0.3">
      <c r="A387" s="150">
        <v>46018</v>
      </c>
      <c r="B387" s="64" t="s">
        <v>31</v>
      </c>
      <c r="C387" s="65" t="s">
        <v>32</v>
      </c>
      <c r="D387" s="64" t="s">
        <v>1</v>
      </c>
      <c r="E387" s="151">
        <v>1.305555555555556</v>
      </c>
      <c r="F387" s="64" t="s">
        <v>33</v>
      </c>
      <c r="G387" s="66">
        <v>22</v>
      </c>
      <c r="H387" s="148">
        <v>309</v>
      </c>
      <c r="I387" s="88"/>
    </row>
    <row r="388" spans="1:9" ht="19.8" customHeight="1" x14ac:dyDescent="0.3">
      <c r="A388" s="150">
        <v>46018</v>
      </c>
      <c r="B388" s="64" t="s">
        <v>40</v>
      </c>
      <c r="C388" s="65" t="s">
        <v>48</v>
      </c>
      <c r="D388" s="64" t="s">
        <v>1</v>
      </c>
      <c r="E388" s="151">
        <v>1.836805555555556</v>
      </c>
      <c r="F388" s="64" t="s">
        <v>42</v>
      </c>
      <c r="G388" s="66">
        <v>9</v>
      </c>
      <c r="H388" s="148">
        <v>349</v>
      </c>
      <c r="I388" s="88"/>
    </row>
    <row r="389" spans="1:9" ht="19.8" customHeight="1" x14ac:dyDescent="0.3">
      <c r="A389" s="150">
        <v>46018</v>
      </c>
      <c r="B389" s="64" t="s">
        <v>40</v>
      </c>
      <c r="C389" s="65" t="s">
        <v>41</v>
      </c>
      <c r="D389" s="64" t="s">
        <v>1</v>
      </c>
      <c r="E389" s="151">
        <v>1.2013888888888891</v>
      </c>
      <c r="F389" s="64" t="s">
        <v>42</v>
      </c>
      <c r="G389" s="66">
        <v>9</v>
      </c>
      <c r="H389" s="148">
        <v>349</v>
      </c>
      <c r="I389" s="88"/>
    </row>
    <row r="390" spans="1:9" ht="19.8" customHeight="1" x14ac:dyDescent="0.3">
      <c r="A390" s="150">
        <v>46018</v>
      </c>
      <c r="B390" s="64" t="s">
        <v>76</v>
      </c>
      <c r="C390" s="65" t="s">
        <v>77</v>
      </c>
      <c r="D390" s="64" t="s">
        <v>1</v>
      </c>
      <c r="E390" s="151">
        <v>1.9722222222222221</v>
      </c>
      <c r="F390" s="64" t="s">
        <v>78</v>
      </c>
      <c r="G390" s="66">
        <v>9</v>
      </c>
      <c r="H390" s="148">
        <v>373</v>
      </c>
      <c r="I390" s="88"/>
    </row>
    <row r="391" spans="1:9" ht="19.8" customHeight="1" x14ac:dyDescent="0.3">
      <c r="A391" s="150">
        <v>46018</v>
      </c>
      <c r="B391" s="64" t="s">
        <v>51</v>
      </c>
      <c r="C391" s="65" t="s">
        <v>52</v>
      </c>
      <c r="D391" s="64" t="s">
        <v>1</v>
      </c>
      <c r="E391" s="151">
        <v>1.9236111111111109</v>
      </c>
      <c r="F391" s="64" t="s">
        <v>28</v>
      </c>
      <c r="G391" s="66">
        <v>9</v>
      </c>
      <c r="H391" s="148">
        <v>379</v>
      </c>
      <c r="I391" s="88"/>
    </row>
    <row r="392" spans="1:9" ht="19.8" customHeight="1" x14ac:dyDescent="0.3">
      <c r="A392" s="150">
        <v>46018</v>
      </c>
      <c r="B392" s="64" t="s">
        <v>58</v>
      </c>
      <c r="C392" s="65" t="s">
        <v>63</v>
      </c>
      <c r="D392" s="64" t="s">
        <v>1</v>
      </c>
      <c r="E392" s="151">
        <v>1.868055555555556</v>
      </c>
      <c r="F392" s="64" t="s">
        <v>60</v>
      </c>
      <c r="G392" s="66">
        <v>9</v>
      </c>
      <c r="H392" s="148">
        <v>411</v>
      </c>
      <c r="I392" s="88"/>
    </row>
    <row r="393" spans="1:9" ht="19.8" customHeight="1" x14ac:dyDescent="0.3">
      <c r="A393" s="150">
        <v>46018</v>
      </c>
      <c r="B393" s="64" t="s">
        <v>58</v>
      </c>
      <c r="C393" s="65" t="s">
        <v>66</v>
      </c>
      <c r="D393" s="64" t="s">
        <v>1</v>
      </c>
      <c r="E393" s="151">
        <v>1.5277777777777779</v>
      </c>
      <c r="F393" s="64" t="s">
        <v>60</v>
      </c>
      <c r="G393" s="66">
        <v>9</v>
      </c>
      <c r="H393" s="148">
        <v>411</v>
      </c>
      <c r="I393" s="88"/>
    </row>
    <row r="394" spans="1:9" ht="19.8" customHeight="1" x14ac:dyDescent="0.3">
      <c r="A394" s="150">
        <v>46018</v>
      </c>
      <c r="B394" s="64" t="s">
        <v>58</v>
      </c>
      <c r="C394" s="65" t="s">
        <v>59</v>
      </c>
      <c r="D394" s="64" t="s">
        <v>1</v>
      </c>
      <c r="E394" s="151">
        <v>1.1701388888888891</v>
      </c>
      <c r="F394" s="64" t="s">
        <v>60</v>
      </c>
      <c r="G394" s="66">
        <v>9</v>
      </c>
      <c r="H394" s="148">
        <v>411</v>
      </c>
      <c r="I394" s="88"/>
    </row>
    <row r="395" spans="1:9" ht="19.8" customHeight="1" x14ac:dyDescent="0.3">
      <c r="A395" s="150">
        <v>46018</v>
      </c>
      <c r="B395" s="64" t="s">
        <v>40</v>
      </c>
      <c r="C395" s="65" t="s">
        <v>48</v>
      </c>
      <c r="D395" s="64" t="s">
        <v>1</v>
      </c>
      <c r="E395" s="151">
        <v>1.836805555555556</v>
      </c>
      <c r="F395" s="64" t="s">
        <v>45</v>
      </c>
      <c r="G395" s="66">
        <v>9</v>
      </c>
      <c r="H395" s="148">
        <v>449</v>
      </c>
      <c r="I395" s="88"/>
    </row>
    <row r="396" spans="1:9" ht="19.8" customHeight="1" x14ac:dyDescent="0.3">
      <c r="A396" s="150">
        <v>46018</v>
      </c>
      <c r="B396" s="64" t="s">
        <v>40</v>
      </c>
      <c r="C396" s="65" t="s">
        <v>41</v>
      </c>
      <c r="D396" s="64" t="s">
        <v>1</v>
      </c>
      <c r="E396" s="151">
        <v>1.2013888888888891</v>
      </c>
      <c r="F396" s="64" t="s">
        <v>45</v>
      </c>
      <c r="G396" s="66">
        <v>9</v>
      </c>
      <c r="H396" s="148">
        <v>449</v>
      </c>
      <c r="I396" s="88"/>
    </row>
    <row r="397" spans="1:9" ht="19.8" customHeight="1" x14ac:dyDescent="0.3">
      <c r="A397" s="150">
        <v>46018</v>
      </c>
      <c r="B397" s="64" t="s">
        <v>31</v>
      </c>
      <c r="C397" s="65" t="s">
        <v>32</v>
      </c>
      <c r="D397" s="64" t="s">
        <v>1</v>
      </c>
      <c r="E397" s="151">
        <v>1.305555555555556</v>
      </c>
      <c r="F397" s="64" t="s">
        <v>36</v>
      </c>
      <c r="G397" s="66">
        <v>22</v>
      </c>
      <c r="H397" s="148">
        <v>487</v>
      </c>
      <c r="I397" s="88"/>
    </row>
    <row r="398" spans="1:9" ht="19.8" customHeight="1" x14ac:dyDescent="0.3">
      <c r="A398" s="150">
        <v>46018</v>
      </c>
      <c r="B398" s="64" t="s">
        <v>40</v>
      </c>
      <c r="C398" s="65" t="s">
        <v>48</v>
      </c>
      <c r="D398" s="64" t="s">
        <v>1</v>
      </c>
      <c r="E398" s="151">
        <v>1.836805555555556</v>
      </c>
      <c r="F398" s="64" t="s">
        <v>38</v>
      </c>
      <c r="G398" s="66">
        <v>9</v>
      </c>
      <c r="H398" s="148">
        <v>539</v>
      </c>
      <c r="I398" s="88"/>
    </row>
    <row r="399" spans="1:9" ht="19.8" customHeight="1" x14ac:dyDescent="0.3">
      <c r="A399" s="150">
        <v>46018</v>
      </c>
      <c r="B399" s="64" t="s">
        <v>40</v>
      </c>
      <c r="C399" s="65" t="s">
        <v>41</v>
      </c>
      <c r="D399" s="64" t="s">
        <v>1</v>
      </c>
      <c r="E399" s="151">
        <v>1.2013888888888891</v>
      </c>
      <c r="F399" s="64" t="s">
        <v>38</v>
      </c>
      <c r="G399" s="66">
        <v>9</v>
      </c>
      <c r="H399" s="148">
        <v>539</v>
      </c>
      <c r="I399" s="88"/>
    </row>
    <row r="400" spans="1:9" ht="19.8" customHeight="1" x14ac:dyDescent="0.3">
      <c r="A400" s="150">
        <v>46018</v>
      </c>
      <c r="B400" s="64" t="s">
        <v>76</v>
      </c>
      <c r="C400" s="65" t="s">
        <v>77</v>
      </c>
      <c r="D400" s="64" t="s">
        <v>1</v>
      </c>
      <c r="E400" s="151">
        <v>1.9722222222222221</v>
      </c>
      <c r="F400" s="64" t="s">
        <v>81</v>
      </c>
      <c r="G400" s="66">
        <v>9</v>
      </c>
      <c r="H400" s="148">
        <v>578</v>
      </c>
      <c r="I400" s="88"/>
    </row>
    <row r="401" spans="1:9" ht="19.8" customHeight="1" x14ac:dyDescent="0.3">
      <c r="A401" s="150">
        <v>46018</v>
      </c>
      <c r="B401" s="64" t="s">
        <v>31</v>
      </c>
      <c r="C401" s="65" t="s">
        <v>32</v>
      </c>
      <c r="D401" s="64" t="s">
        <v>1</v>
      </c>
      <c r="E401" s="151">
        <v>1.305555555555556</v>
      </c>
      <c r="F401" s="64" t="s">
        <v>38</v>
      </c>
      <c r="G401" s="66">
        <v>22</v>
      </c>
      <c r="H401" s="148">
        <v>899</v>
      </c>
      <c r="I401" s="88"/>
    </row>
    <row r="402" spans="1:9" ht="19.8" customHeight="1" x14ac:dyDescent="0.3">
      <c r="A402" s="152">
        <v>46018</v>
      </c>
      <c r="B402" s="60" t="s">
        <v>68</v>
      </c>
      <c r="C402" s="61" t="s">
        <v>69</v>
      </c>
      <c r="D402" s="60" t="s">
        <v>1</v>
      </c>
      <c r="E402" s="153">
        <v>1.305555555555556</v>
      </c>
      <c r="F402" s="60" t="s">
        <v>70</v>
      </c>
      <c r="G402" s="62">
        <v>4</v>
      </c>
      <c r="H402" s="72" t="s">
        <v>122</v>
      </c>
      <c r="I402" s="88"/>
    </row>
    <row r="403" spans="1:9" ht="19.8" customHeight="1" x14ac:dyDescent="0.3">
      <c r="A403" s="109"/>
      <c r="B403" s="110"/>
      <c r="C403" s="110"/>
      <c r="D403" s="110"/>
      <c r="E403" s="110"/>
      <c r="F403" s="111" t="s">
        <v>371</v>
      </c>
      <c r="G403" s="110"/>
      <c r="H403" s="112"/>
      <c r="I403" s="88"/>
    </row>
    <row r="404" spans="1:9" ht="19.8" customHeight="1" x14ac:dyDescent="0.3">
      <c r="A404" s="150">
        <v>46019</v>
      </c>
      <c r="B404" s="64" t="s">
        <v>31</v>
      </c>
      <c r="C404" s="65" t="s">
        <v>32</v>
      </c>
      <c r="D404" s="64" t="s">
        <v>1</v>
      </c>
      <c r="E404" s="151">
        <v>1.305555555555556</v>
      </c>
      <c r="F404" s="64" t="s">
        <v>33</v>
      </c>
      <c r="G404" s="66">
        <v>19</v>
      </c>
      <c r="H404" s="148">
        <v>309</v>
      </c>
      <c r="I404" s="88"/>
    </row>
    <row r="405" spans="1:9" ht="19.8" customHeight="1" x14ac:dyDescent="0.3">
      <c r="A405" s="150">
        <v>46019</v>
      </c>
      <c r="B405" s="64" t="s">
        <v>40</v>
      </c>
      <c r="C405" s="65" t="s">
        <v>48</v>
      </c>
      <c r="D405" s="64" t="s">
        <v>1</v>
      </c>
      <c r="E405" s="151">
        <v>1.850694444444444</v>
      </c>
      <c r="F405" s="64" t="s">
        <v>42</v>
      </c>
      <c r="G405" s="66">
        <v>7</v>
      </c>
      <c r="H405" s="148">
        <v>349</v>
      </c>
      <c r="I405" s="88"/>
    </row>
    <row r="406" spans="1:9" ht="19.8" customHeight="1" x14ac:dyDescent="0.3">
      <c r="A406" s="150">
        <v>46019</v>
      </c>
      <c r="B406" s="64" t="s">
        <v>58</v>
      </c>
      <c r="C406" s="65" t="s">
        <v>63</v>
      </c>
      <c r="D406" s="64" t="s">
        <v>1</v>
      </c>
      <c r="E406" s="151">
        <v>1.864583333333333</v>
      </c>
      <c r="F406" s="64" t="s">
        <v>60</v>
      </c>
      <c r="G406" s="66">
        <v>9</v>
      </c>
      <c r="H406" s="148">
        <v>411</v>
      </c>
      <c r="I406" s="88"/>
    </row>
    <row r="407" spans="1:9" ht="19.8" customHeight="1" x14ac:dyDescent="0.3">
      <c r="A407" s="150">
        <v>46019</v>
      </c>
      <c r="B407" s="64" t="s">
        <v>58</v>
      </c>
      <c r="C407" s="65" t="s">
        <v>66</v>
      </c>
      <c r="D407" s="64" t="s">
        <v>1</v>
      </c>
      <c r="E407" s="151">
        <v>1.5277777777777779</v>
      </c>
      <c r="F407" s="64" t="s">
        <v>60</v>
      </c>
      <c r="G407" s="66">
        <v>9</v>
      </c>
      <c r="H407" s="148">
        <v>411</v>
      </c>
      <c r="I407" s="88"/>
    </row>
    <row r="408" spans="1:9" ht="19.8" customHeight="1" x14ac:dyDescent="0.3">
      <c r="A408" s="150">
        <v>46019</v>
      </c>
      <c r="B408" s="64" t="s">
        <v>58</v>
      </c>
      <c r="C408" s="65" t="s">
        <v>59</v>
      </c>
      <c r="D408" s="64" t="s">
        <v>1</v>
      </c>
      <c r="E408" s="151">
        <v>1.1701388888888891</v>
      </c>
      <c r="F408" s="64" t="s">
        <v>60</v>
      </c>
      <c r="G408" s="66">
        <v>9</v>
      </c>
      <c r="H408" s="148">
        <v>411</v>
      </c>
      <c r="I408" s="88"/>
    </row>
    <row r="409" spans="1:9" ht="19.8" customHeight="1" x14ac:dyDescent="0.3">
      <c r="A409" s="150">
        <v>46019</v>
      </c>
      <c r="B409" s="64" t="s">
        <v>26</v>
      </c>
      <c r="C409" s="65" t="s">
        <v>97</v>
      </c>
      <c r="D409" s="64" t="s">
        <v>1</v>
      </c>
      <c r="E409" s="151">
        <v>1.958333333333333</v>
      </c>
      <c r="F409" s="64" t="s">
        <v>167</v>
      </c>
      <c r="G409" s="66">
        <v>9</v>
      </c>
      <c r="H409" s="148">
        <v>439</v>
      </c>
      <c r="I409" s="88"/>
    </row>
    <row r="410" spans="1:9" ht="19.8" customHeight="1" x14ac:dyDescent="0.3">
      <c r="A410" s="150">
        <v>46019</v>
      </c>
      <c r="B410" s="64" t="s">
        <v>40</v>
      </c>
      <c r="C410" s="65" t="s">
        <v>48</v>
      </c>
      <c r="D410" s="64" t="s">
        <v>1</v>
      </c>
      <c r="E410" s="151">
        <v>1.850694444444444</v>
      </c>
      <c r="F410" s="64" t="s">
        <v>45</v>
      </c>
      <c r="G410" s="66">
        <v>7</v>
      </c>
      <c r="H410" s="148">
        <v>449</v>
      </c>
      <c r="I410" s="88"/>
    </row>
    <row r="411" spans="1:9" ht="19.8" customHeight="1" x14ac:dyDescent="0.3">
      <c r="A411" s="150">
        <v>46019</v>
      </c>
      <c r="B411" s="64" t="s">
        <v>31</v>
      </c>
      <c r="C411" s="65" t="s">
        <v>32</v>
      </c>
      <c r="D411" s="64" t="s">
        <v>1</v>
      </c>
      <c r="E411" s="151">
        <v>1.305555555555556</v>
      </c>
      <c r="F411" s="64" t="s">
        <v>36</v>
      </c>
      <c r="G411" s="66">
        <v>19</v>
      </c>
      <c r="H411" s="148">
        <v>487</v>
      </c>
      <c r="I411" s="88"/>
    </row>
    <row r="412" spans="1:9" ht="19.8" customHeight="1" x14ac:dyDescent="0.3">
      <c r="A412" s="150">
        <v>46019</v>
      </c>
      <c r="B412" s="64" t="s">
        <v>40</v>
      </c>
      <c r="C412" s="65" t="s">
        <v>48</v>
      </c>
      <c r="D412" s="64" t="s">
        <v>1</v>
      </c>
      <c r="E412" s="151">
        <v>1.850694444444444</v>
      </c>
      <c r="F412" s="64" t="s">
        <v>38</v>
      </c>
      <c r="G412" s="66">
        <v>7</v>
      </c>
      <c r="H412" s="148">
        <v>539</v>
      </c>
      <c r="I412" s="88"/>
    </row>
    <row r="413" spans="1:9" ht="19.8" customHeight="1" x14ac:dyDescent="0.3">
      <c r="A413" s="150">
        <v>46019</v>
      </c>
      <c r="B413" s="64" t="s">
        <v>31</v>
      </c>
      <c r="C413" s="65" t="s">
        <v>32</v>
      </c>
      <c r="D413" s="64" t="s">
        <v>1</v>
      </c>
      <c r="E413" s="151">
        <v>1.305555555555556</v>
      </c>
      <c r="F413" s="64" t="s">
        <v>38</v>
      </c>
      <c r="G413" s="66">
        <v>19</v>
      </c>
      <c r="H413" s="148">
        <v>899</v>
      </c>
      <c r="I413" s="88"/>
    </row>
    <row r="414" spans="1:9" ht="19.8" customHeight="1" x14ac:dyDescent="0.3">
      <c r="A414" s="152">
        <v>46019</v>
      </c>
      <c r="B414" s="60" t="s">
        <v>68</v>
      </c>
      <c r="C414" s="61" t="s">
        <v>69</v>
      </c>
      <c r="D414" s="60" t="s">
        <v>1</v>
      </c>
      <c r="E414" s="153">
        <v>1.305555555555556</v>
      </c>
      <c r="F414" s="60" t="s">
        <v>70</v>
      </c>
      <c r="G414" s="62">
        <v>4</v>
      </c>
      <c r="H414" s="72" t="s">
        <v>122</v>
      </c>
      <c r="I414" s="88"/>
    </row>
    <row r="415" spans="1:9" ht="19.8" customHeight="1" x14ac:dyDescent="0.3">
      <c r="A415" s="154">
        <v>46020</v>
      </c>
      <c r="B415" s="68" t="s">
        <v>51</v>
      </c>
      <c r="C415" s="69" t="s">
        <v>336</v>
      </c>
      <c r="D415" s="68" t="s">
        <v>335</v>
      </c>
      <c r="E415" s="155">
        <v>1.510416666666667</v>
      </c>
      <c r="F415" s="68" t="s">
        <v>28</v>
      </c>
      <c r="G415" s="70">
        <v>9</v>
      </c>
      <c r="H415" s="149">
        <v>476</v>
      </c>
      <c r="I415" s="88"/>
    </row>
    <row r="416" spans="1:9" ht="19.8" customHeight="1" x14ac:dyDescent="0.3">
      <c r="A416" s="109"/>
      <c r="B416" s="110"/>
      <c r="C416" s="110"/>
      <c r="D416" s="110"/>
      <c r="E416" s="110"/>
      <c r="F416" s="111" t="s">
        <v>371</v>
      </c>
      <c r="G416" s="110"/>
      <c r="H416" s="112"/>
      <c r="I416" s="88"/>
    </row>
    <row r="417" spans="1:9" ht="19.8" customHeight="1" x14ac:dyDescent="0.3">
      <c r="A417" s="150">
        <v>46020</v>
      </c>
      <c r="B417" s="64" t="s">
        <v>31</v>
      </c>
      <c r="C417" s="65" t="s">
        <v>32</v>
      </c>
      <c r="D417" s="64" t="s">
        <v>1</v>
      </c>
      <c r="E417" s="151">
        <v>1.305555555555556</v>
      </c>
      <c r="F417" s="64" t="s">
        <v>33</v>
      </c>
      <c r="G417" s="66">
        <v>12</v>
      </c>
      <c r="H417" s="148">
        <v>309</v>
      </c>
      <c r="I417" s="88"/>
    </row>
    <row r="418" spans="1:9" ht="19.8" customHeight="1" x14ac:dyDescent="0.3">
      <c r="A418" s="150">
        <v>46020</v>
      </c>
      <c r="B418" s="64" t="s">
        <v>40</v>
      </c>
      <c r="C418" s="65" t="s">
        <v>48</v>
      </c>
      <c r="D418" s="64" t="s">
        <v>1</v>
      </c>
      <c r="E418" s="151">
        <v>1.836805555555556</v>
      </c>
      <c r="F418" s="64" t="s">
        <v>42</v>
      </c>
      <c r="G418" s="66">
        <v>9</v>
      </c>
      <c r="H418" s="148">
        <v>349</v>
      </c>
      <c r="I418" s="88"/>
    </row>
    <row r="419" spans="1:9" ht="19.8" customHeight="1" x14ac:dyDescent="0.3">
      <c r="A419" s="150">
        <v>46020</v>
      </c>
      <c r="B419" s="64" t="s">
        <v>40</v>
      </c>
      <c r="C419" s="65" t="s">
        <v>41</v>
      </c>
      <c r="D419" s="64" t="s">
        <v>1</v>
      </c>
      <c r="E419" s="151">
        <v>1.2013888888888891</v>
      </c>
      <c r="F419" s="64" t="s">
        <v>42</v>
      </c>
      <c r="G419" s="66">
        <v>9</v>
      </c>
      <c r="H419" s="148">
        <v>349</v>
      </c>
      <c r="I419" s="88"/>
    </row>
    <row r="420" spans="1:9" ht="19.8" customHeight="1" x14ac:dyDescent="0.3">
      <c r="A420" s="150">
        <v>46020</v>
      </c>
      <c r="B420" s="64" t="s">
        <v>58</v>
      </c>
      <c r="C420" s="65" t="s">
        <v>63</v>
      </c>
      <c r="D420" s="64" t="s">
        <v>1</v>
      </c>
      <c r="E420" s="151">
        <v>1.864583333333333</v>
      </c>
      <c r="F420" s="64" t="s">
        <v>60</v>
      </c>
      <c r="G420" s="66">
        <v>9</v>
      </c>
      <c r="H420" s="148">
        <v>411</v>
      </c>
      <c r="I420" s="88"/>
    </row>
    <row r="421" spans="1:9" ht="19.8" customHeight="1" x14ac:dyDescent="0.3">
      <c r="A421" s="150">
        <v>46020</v>
      </c>
      <c r="B421" s="64" t="s">
        <v>58</v>
      </c>
      <c r="C421" s="65" t="s">
        <v>66</v>
      </c>
      <c r="D421" s="64" t="s">
        <v>1</v>
      </c>
      <c r="E421" s="151">
        <v>1.5277777777777779</v>
      </c>
      <c r="F421" s="64" t="s">
        <v>60</v>
      </c>
      <c r="G421" s="66">
        <v>9</v>
      </c>
      <c r="H421" s="148">
        <v>411</v>
      </c>
      <c r="I421" s="88"/>
    </row>
    <row r="422" spans="1:9" ht="19.8" customHeight="1" x14ac:dyDescent="0.3">
      <c r="A422" s="150">
        <v>46020</v>
      </c>
      <c r="B422" s="64" t="s">
        <v>58</v>
      </c>
      <c r="C422" s="65" t="s">
        <v>59</v>
      </c>
      <c r="D422" s="64" t="s">
        <v>1</v>
      </c>
      <c r="E422" s="151">
        <v>1.1701388888888891</v>
      </c>
      <c r="F422" s="64" t="s">
        <v>60</v>
      </c>
      <c r="G422" s="66">
        <v>9</v>
      </c>
      <c r="H422" s="148">
        <v>411</v>
      </c>
      <c r="I422" s="88"/>
    </row>
    <row r="423" spans="1:9" ht="19.8" customHeight="1" x14ac:dyDescent="0.3">
      <c r="A423" s="150">
        <v>46020</v>
      </c>
      <c r="B423" s="64" t="s">
        <v>73</v>
      </c>
      <c r="C423" s="65" t="s">
        <v>161</v>
      </c>
      <c r="D423" s="64" t="s">
        <v>1</v>
      </c>
      <c r="E423" s="151">
        <v>1.1284722222222221</v>
      </c>
      <c r="F423" s="64" t="s">
        <v>167</v>
      </c>
      <c r="G423" s="66">
        <v>3</v>
      </c>
      <c r="H423" s="148">
        <v>425</v>
      </c>
      <c r="I423" s="88"/>
    </row>
    <row r="424" spans="1:9" ht="19.8" customHeight="1" x14ac:dyDescent="0.3">
      <c r="A424" s="150">
        <v>46020</v>
      </c>
      <c r="B424" s="64" t="s">
        <v>26</v>
      </c>
      <c r="C424" s="65" t="s">
        <v>27</v>
      </c>
      <c r="D424" s="64" t="s">
        <v>1</v>
      </c>
      <c r="E424" s="151">
        <v>1.958333333333333</v>
      </c>
      <c r="F424" s="64" t="s">
        <v>167</v>
      </c>
      <c r="G424" s="66">
        <v>9</v>
      </c>
      <c r="H424" s="148">
        <v>439</v>
      </c>
      <c r="I424" s="88"/>
    </row>
    <row r="425" spans="1:9" ht="19.8" customHeight="1" x14ac:dyDescent="0.3">
      <c r="A425" s="150">
        <v>46020</v>
      </c>
      <c r="B425" s="64" t="s">
        <v>40</v>
      </c>
      <c r="C425" s="65" t="s">
        <v>48</v>
      </c>
      <c r="D425" s="64" t="s">
        <v>1</v>
      </c>
      <c r="E425" s="151">
        <v>1.836805555555556</v>
      </c>
      <c r="F425" s="64" t="s">
        <v>45</v>
      </c>
      <c r="G425" s="66">
        <v>9</v>
      </c>
      <c r="H425" s="148">
        <v>449</v>
      </c>
      <c r="I425" s="88"/>
    </row>
    <row r="426" spans="1:9" ht="19.8" customHeight="1" x14ac:dyDescent="0.3">
      <c r="A426" s="150">
        <v>46020</v>
      </c>
      <c r="B426" s="64" t="s">
        <v>40</v>
      </c>
      <c r="C426" s="65" t="s">
        <v>41</v>
      </c>
      <c r="D426" s="64" t="s">
        <v>1</v>
      </c>
      <c r="E426" s="151">
        <v>1.2013888888888891</v>
      </c>
      <c r="F426" s="64" t="s">
        <v>45</v>
      </c>
      <c r="G426" s="66">
        <v>9</v>
      </c>
      <c r="H426" s="148">
        <v>449</v>
      </c>
      <c r="I426" s="88"/>
    </row>
    <row r="427" spans="1:9" ht="19.8" customHeight="1" x14ac:dyDescent="0.3">
      <c r="A427" s="150">
        <v>46020</v>
      </c>
      <c r="B427" s="64" t="s">
        <v>31</v>
      </c>
      <c r="C427" s="65" t="s">
        <v>32</v>
      </c>
      <c r="D427" s="64" t="s">
        <v>1</v>
      </c>
      <c r="E427" s="151">
        <v>1.305555555555556</v>
      </c>
      <c r="F427" s="64" t="s">
        <v>36</v>
      </c>
      <c r="G427" s="66">
        <v>12</v>
      </c>
      <c r="H427" s="148">
        <v>487</v>
      </c>
      <c r="I427" s="88"/>
    </row>
    <row r="428" spans="1:9" ht="19.8" customHeight="1" x14ac:dyDescent="0.3">
      <c r="A428" s="150">
        <v>46020</v>
      </c>
      <c r="B428" s="64" t="s">
        <v>40</v>
      </c>
      <c r="C428" s="65" t="s">
        <v>48</v>
      </c>
      <c r="D428" s="64" t="s">
        <v>1</v>
      </c>
      <c r="E428" s="151">
        <v>1.836805555555556</v>
      </c>
      <c r="F428" s="64" t="s">
        <v>38</v>
      </c>
      <c r="G428" s="66">
        <v>9</v>
      </c>
      <c r="H428" s="148">
        <v>539</v>
      </c>
      <c r="I428" s="88"/>
    </row>
    <row r="429" spans="1:9" ht="19.8" customHeight="1" x14ac:dyDescent="0.3">
      <c r="A429" s="150">
        <v>46020</v>
      </c>
      <c r="B429" s="64" t="s">
        <v>40</v>
      </c>
      <c r="C429" s="65" t="s">
        <v>41</v>
      </c>
      <c r="D429" s="64" t="s">
        <v>1</v>
      </c>
      <c r="E429" s="151">
        <v>1.2013888888888891</v>
      </c>
      <c r="F429" s="64" t="s">
        <v>38</v>
      </c>
      <c r="G429" s="66">
        <v>9</v>
      </c>
      <c r="H429" s="148">
        <v>539</v>
      </c>
      <c r="I429" s="88"/>
    </row>
    <row r="430" spans="1:9" ht="19.8" customHeight="1" x14ac:dyDescent="0.3">
      <c r="A430" s="150">
        <v>46020</v>
      </c>
      <c r="B430" s="64" t="s">
        <v>31</v>
      </c>
      <c r="C430" s="65" t="s">
        <v>32</v>
      </c>
      <c r="D430" s="64" t="s">
        <v>1</v>
      </c>
      <c r="E430" s="151">
        <v>1.305555555555556</v>
      </c>
      <c r="F430" s="64" t="s">
        <v>38</v>
      </c>
      <c r="G430" s="66">
        <v>12</v>
      </c>
      <c r="H430" s="148">
        <v>899</v>
      </c>
      <c r="I430" s="88"/>
    </row>
    <row r="431" spans="1:9" ht="19.8" customHeight="1" x14ac:dyDescent="0.3">
      <c r="A431" s="152">
        <v>46020</v>
      </c>
      <c r="B431" s="60" t="s">
        <v>68</v>
      </c>
      <c r="C431" s="61" t="s">
        <v>69</v>
      </c>
      <c r="D431" s="60" t="s">
        <v>1</v>
      </c>
      <c r="E431" s="153">
        <v>1.305555555555556</v>
      </c>
      <c r="F431" s="60" t="s">
        <v>70</v>
      </c>
      <c r="G431" s="62">
        <v>4</v>
      </c>
      <c r="H431" s="72" t="s">
        <v>122</v>
      </c>
      <c r="I431" s="88"/>
    </row>
    <row r="432" spans="1:9" ht="19.8" customHeight="1" x14ac:dyDescent="0.3">
      <c r="A432" s="109"/>
      <c r="B432" s="110"/>
      <c r="C432" s="110"/>
      <c r="D432" s="110"/>
      <c r="E432" s="110"/>
      <c r="F432" s="111" t="s">
        <v>371</v>
      </c>
      <c r="G432" s="110"/>
      <c r="H432" s="112"/>
      <c r="I432" s="88"/>
    </row>
    <row r="433" spans="1:9" ht="19.8" customHeight="1" x14ac:dyDescent="0.3">
      <c r="A433" s="150">
        <v>46021</v>
      </c>
      <c r="B433" s="64" t="s">
        <v>31</v>
      </c>
      <c r="C433" s="65" t="s">
        <v>32</v>
      </c>
      <c r="D433" s="64" t="s">
        <v>1</v>
      </c>
      <c r="E433" s="151">
        <v>1.305555555555556</v>
      </c>
      <c r="F433" s="64" t="s">
        <v>33</v>
      </c>
      <c r="G433" s="66">
        <v>12</v>
      </c>
      <c r="H433" s="148">
        <v>309</v>
      </c>
      <c r="I433" s="88"/>
    </row>
    <row r="434" spans="1:9" ht="19.8" customHeight="1" x14ac:dyDescent="0.3">
      <c r="A434" s="150">
        <v>46021</v>
      </c>
      <c r="B434" s="64" t="s">
        <v>40</v>
      </c>
      <c r="C434" s="65" t="s">
        <v>41</v>
      </c>
      <c r="D434" s="64" t="s">
        <v>1</v>
      </c>
      <c r="E434" s="151">
        <v>1.2013888888888891</v>
      </c>
      <c r="F434" s="64" t="s">
        <v>42</v>
      </c>
      <c r="G434" s="66">
        <v>4</v>
      </c>
      <c r="H434" s="148">
        <v>379</v>
      </c>
      <c r="I434" s="88"/>
    </row>
    <row r="435" spans="1:9" ht="19.8" customHeight="1" x14ac:dyDescent="0.3">
      <c r="A435" s="150">
        <v>46021</v>
      </c>
      <c r="B435" s="64" t="s">
        <v>51</v>
      </c>
      <c r="C435" s="65" t="s">
        <v>52</v>
      </c>
      <c r="D435" s="64" t="s">
        <v>1</v>
      </c>
      <c r="E435" s="151">
        <v>1.270833333333333</v>
      </c>
      <c r="F435" s="64" t="s">
        <v>28</v>
      </c>
      <c r="G435" s="66">
        <v>9</v>
      </c>
      <c r="H435" s="148">
        <v>379</v>
      </c>
      <c r="I435" s="88"/>
    </row>
    <row r="436" spans="1:9" ht="19.8" customHeight="1" x14ac:dyDescent="0.3">
      <c r="A436" s="150">
        <v>46021</v>
      </c>
      <c r="B436" s="64" t="s">
        <v>40</v>
      </c>
      <c r="C436" s="65" t="s">
        <v>48</v>
      </c>
      <c r="D436" s="64" t="s">
        <v>1</v>
      </c>
      <c r="E436" s="151">
        <v>1.836805555555556</v>
      </c>
      <c r="F436" s="64" t="s">
        <v>42</v>
      </c>
      <c r="G436" s="66">
        <v>6</v>
      </c>
      <c r="H436" s="148">
        <v>409</v>
      </c>
      <c r="I436" s="88"/>
    </row>
    <row r="437" spans="1:9" ht="19.8" customHeight="1" x14ac:dyDescent="0.3">
      <c r="A437" s="150">
        <v>46021</v>
      </c>
      <c r="B437" s="64" t="s">
        <v>58</v>
      </c>
      <c r="C437" s="65" t="s">
        <v>63</v>
      </c>
      <c r="D437" s="64" t="s">
        <v>1</v>
      </c>
      <c r="E437" s="151">
        <v>1.864583333333333</v>
      </c>
      <c r="F437" s="64" t="s">
        <v>60</v>
      </c>
      <c r="G437" s="66">
        <v>9</v>
      </c>
      <c r="H437" s="148">
        <v>411</v>
      </c>
      <c r="I437" s="88"/>
    </row>
    <row r="438" spans="1:9" ht="19.8" customHeight="1" x14ac:dyDescent="0.3">
      <c r="A438" s="150">
        <v>46021</v>
      </c>
      <c r="B438" s="64" t="s">
        <v>58</v>
      </c>
      <c r="C438" s="65" t="s">
        <v>66</v>
      </c>
      <c r="D438" s="64" t="s">
        <v>1</v>
      </c>
      <c r="E438" s="151">
        <v>1.5277777777777779</v>
      </c>
      <c r="F438" s="64" t="s">
        <v>60</v>
      </c>
      <c r="G438" s="66">
        <v>9</v>
      </c>
      <c r="H438" s="148">
        <v>411</v>
      </c>
      <c r="I438" s="88"/>
    </row>
    <row r="439" spans="1:9" ht="19.8" customHeight="1" x14ac:dyDescent="0.3">
      <c r="A439" s="150">
        <v>46021</v>
      </c>
      <c r="B439" s="64" t="s">
        <v>58</v>
      </c>
      <c r="C439" s="65" t="s">
        <v>59</v>
      </c>
      <c r="D439" s="64" t="s">
        <v>1</v>
      </c>
      <c r="E439" s="151">
        <v>1.1701388888888891</v>
      </c>
      <c r="F439" s="64" t="s">
        <v>60</v>
      </c>
      <c r="G439" s="66">
        <v>9</v>
      </c>
      <c r="H439" s="148">
        <v>411</v>
      </c>
      <c r="I439" s="88"/>
    </row>
    <row r="440" spans="1:9" ht="19.8" customHeight="1" x14ac:dyDescent="0.3">
      <c r="A440" s="150">
        <v>46021</v>
      </c>
      <c r="B440" s="64" t="s">
        <v>26</v>
      </c>
      <c r="C440" s="65" t="s">
        <v>57</v>
      </c>
      <c r="D440" s="64" t="s">
        <v>1</v>
      </c>
      <c r="E440" s="151">
        <v>1.958333333333333</v>
      </c>
      <c r="F440" s="64" t="s">
        <v>167</v>
      </c>
      <c r="G440" s="66">
        <v>9</v>
      </c>
      <c r="H440" s="148">
        <v>439</v>
      </c>
      <c r="I440" s="88"/>
    </row>
    <row r="441" spans="1:9" ht="19.8" customHeight="1" x14ac:dyDescent="0.3">
      <c r="A441" s="150">
        <v>46021</v>
      </c>
      <c r="B441" s="64" t="s">
        <v>40</v>
      </c>
      <c r="C441" s="65" t="s">
        <v>41</v>
      </c>
      <c r="D441" s="64" t="s">
        <v>1</v>
      </c>
      <c r="E441" s="151">
        <v>1.2013888888888891</v>
      </c>
      <c r="F441" s="64" t="s">
        <v>45</v>
      </c>
      <c r="G441" s="66">
        <v>4</v>
      </c>
      <c r="H441" s="148">
        <v>479</v>
      </c>
      <c r="I441" s="88"/>
    </row>
    <row r="442" spans="1:9" ht="19.8" customHeight="1" x14ac:dyDescent="0.3">
      <c r="A442" s="150">
        <v>46021</v>
      </c>
      <c r="B442" s="64" t="s">
        <v>31</v>
      </c>
      <c r="C442" s="65" t="s">
        <v>32</v>
      </c>
      <c r="D442" s="64" t="s">
        <v>1</v>
      </c>
      <c r="E442" s="151">
        <v>1.305555555555556</v>
      </c>
      <c r="F442" s="64" t="s">
        <v>36</v>
      </c>
      <c r="G442" s="66">
        <v>12</v>
      </c>
      <c r="H442" s="148">
        <v>487</v>
      </c>
      <c r="I442" s="88"/>
    </row>
    <row r="443" spans="1:9" ht="19.8" customHeight="1" x14ac:dyDescent="0.3">
      <c r="A443" s="150">
        <v>46021</v>
      </c>
      <c r="B443" s="64" t="s">
        <v>40</v>
      </c>
      <c r="C443" s="65" t="s">
        <v>48</v>
      </c>
      <c r="D443" s="64" t="s">
        <v>1</v>
      </c>
      <c r="E443" s="151">
        <v>1.836805555555556</v>
      </c>
      <c r="F443" s="64" t="s">
        <v>45</v>
      </c>
      <c r="G443" s="66">
        <v>6</v>
      </c>
      <c r="H443" s="148">
        <v>509</v>
      </c>
      <c r="I443" s="88"/>
    </row>
    <row r="444" spans="1:9" ht="19.8" customHeight="1" x14ac:dyDescent="0.3">
      <c r="A444" s="150">
        <v>46021</v>
      </c>
      <c r="B444" s="64" t="s">
        <v>40</v>
      </c>
      <c r="C444" s="65" t="s">
        <v>41</v>
      </c>
      <c r="D444" s="64" t="s">
        <v>1</v>
      </c>
      <c r="E444" s="151">
        <v>1.2013888888888891</v>
      </c>
      <c r="F444" s="64" t="s">
        <v>38</v>
      </c>
      <c r="G444" s="66">
        <v>4</v>
      </c>
      <c r="H444" s="148">
        <v>569</v>
      </c>
      <c r="I444" s="88"/>
    </row>
    <row r="445" spans="1:9" ht="19.8" customHeight="1" x14ac:dyDescent="0.3">
      <c r="A445" s="150">
        <v>46021</v>
      </c>
      <c r="B445" s="64" t="s">
        <v>40</v>
      </c>
      <c r="C445" s="65" t="s">
        <v>48</v>
      </c>
      <c r="D445" s="64" t="s">
        <v>1</v>
      </c>
      <c r="E445" s="151">
        <v>1.836805555555556</v>
      </c>
      <c r="F445" s="64" t="s">
        <v>38</v>
      </c>
      <c r="G445" s="66">
        <v>6</v>
      </c>
      <c r="H445" s="148">
        <v>599</v>
      </c>
      <c r="I445" s="88"/>
    </row>
    <row r="446" spans="1:9" ht="19.8" customHeight="1" x14ac:dyDescent="0.3">
      <c r="A446" s="150">
        <v>46021</v>
      </c>
      <c r="B446" s="64" t="s">
        <v>31</v>
      </c>
      <c r="C446" s="65" t="s">
        <v>32</v>
      </c>
      <c r="D446" s="64" t="s">
        <v>1</v>
      </c>
      <c r="E446" s="151">
        <v>1.305555555555556</v>
      </c>
      <c r="F446" s="64" t="s">
        <v>38</v>
      </c>
      <c r="G446" s="66">
        <v>12</v>
      </c>
      <c r="H446" s="148">
        <v>899</v>
      </c>
      <c r="I446" s="88"/>
    </row>
    <row r="447" spans="1:9" ht="19.8" customHeight="1" x14ac:dyDescent="0.3">
      <c r="A447" s="152">
        <v>46021</v>
      </c>
      <c r="B447" s="60" t="s">
        <v>68</v>
      </c>
      <c r="C447" s="61" t="s">
        <v>69</v>
      </c>
      <c r="D447" s="60" t="s">
        <v>1</v>
      </c>
      <c r="E447" s="153">
        <v>1.305555555555556</v>
      </c>
      <c r="F447" s="60" t="s">
        <v>70</v>
      </c>
      <c r="G447" s="62">
        <v>4</v>
      </c>
      <c r="H447" s="72" t="s">
        <v>122</v>
      </c>
      <c r="I447" s="88"/>
    </row>
    <row r="448" spans="1:9" ht="19.8" customHeight="1" x14ac:dyDescent="0.3">
      <c r="A448" s="109"/>
      <c r="B448" s="110"/>
      <c r="C448" s="110"/>
      <c r="D448" s="110"/>
      <c r="E448" s="110"/>
      <c r="F448" s="111" t="s">
        <v>371</v>
      </c>
      <c r="G448" s="110"/>
      <c r="H448" s="112"/>
      <c r="I448" s="88"/>
    </row>
    <row r="449" spans="1:9" ht="19.8" customHeight="1" x14ac:dyDescent="0.3">
      <c r="A449" s="150">
        <v>46022</v>
      </c>
      <c r="B449" s="64" t="s">
        <v>76</v>
      </c>
      <c r="C449" s="65" t="s">
        <v>77</v>
      </c>
      <c r="D449" s="64" t="s">
        <v>1</v>
      </c>
      <c r="E449" s="151">
        <v>1.9722222222222221</v>
      </c>
      <c r="F449" s="64" t="s">
        <v>78</v>
      </c>
      <c r="G449" s="66">
        <v>9</v>
      </c>
      <c r="H449" s="148">
        <v>367</v>
      </c>
      <c r="I449" s="88"/>
    </row>
    <row r="450" spans="1:9" ht="19.8" customHeight="1" x14ac:dyDescent="0.3">
      <c r="A450" s="150">
        <v>46022</v>
      </c>
      <c r="B450" s="64" t="s">
        <v>31</v>
      </c>
      <c r="C450" s="65" t="s">
        <v>32</v>
      </c>
      <c r="D450" s="64" t="s">
        <v>1</v>
      </c>
      <c r="E450" s="151">
        <v>1.305555555555556</v>
      </c>
      <c r="F450" s="64" t="s">
        <v>33</v>
      </c>
      <c r="G450" s="66">
        <v>20</v>
      </c>
      <c r="H450" s="148">
        <v>369</v>
      </c>
      <c r="I450" s="88"/>
    </row>
    <row r="451" spans="1:9" ht="19.8" customHeight="1" x14ac:dyDescent="0.3">
      <c r="A451" s="150">
        <v>46022</v>
      </c>
      <c r="B451" s="64" t="s">
        <v>58</v>
      </c>
      <c r="C451" s="65" t="s">
        <v>63</v>
      </c>
      <c r="D451" s="64" t="s">
        <v>1</v>
      </c>
      <c r="E451" s="151">
        <v>1.864583333333333</v>
      </c>
      <c r="F451" s="64" t="s">
        <v>60</v>
      </c>
      <c r="G451" s="66">
        <v>9</v>
      </c>
      <c r="H451" s="148">
        <v>411</v>
      </c>
      <c r="I451" s="88"/>
    </row>
    <row r="452" spans="1:9" ht="19.8" customHeight="1" x14ac:dyDescent="0.3">
      <c r="A452" s="150">
        <v>46022</v>
      </c>
      <c r="B452" s="64" t="s">
        <v>58</v>
      </c>
      <c r="C452" s="65" t="s">
        <v>66</v>
      </c>
      <c r="D452" s="64" t="s">
        <v>1</v>
      </c>
      <c r="E452" s="151">
        <v>1.5277777777777779</v>
      </c>
      <c r="F452" s="64" t="s">
        <v>60</v>
      </c>
      <c r="G452" s="66">
        <v>9</v>
      </c>
      <c r="H452" s="148">
        <v>411</v>
      </c>
      <c r="I452" s="88"/>
    </row>
    <row r="453" spans="1:9" ht="19.8" customHeight="1" x14ac:dyDescent="0.3">
      <c r="A453" s="150">
        <v>46022</v>
      </c>
      <c r="B453" s="64" t="s">
        <v>58</v>
      </c>
      <c r="C453" s="65" t="s">
        <v>59</v>
      </c>
      <c r="D453" s="64" t="s">
        <v>1</v>
      </c>
      <c r="E453" s="151">
        <v>1.1701388888888891</v>
      </c>
      <c r="F453" s="64" t="s">
        <v>60</v>
      </c>
      <c r="G453" s="66">
        <v>9</v>
      </c>
      <c r="H453" s="148">
        <v>411</v>
      </c>
      <c r="I453" s="88"/>
    </row>
    <row r="454" spans="1:9" ht="19.8" customHeight="1" x14ac:dyDescent="0.3">
      <c r="A454" s="150">
        <v>46022</v>
      </c>
      <c r="B454" s="64" t="s">
        <v>40</v>
      </c>
      <c r="C454" s="65" t="s">
        <v>48</v>
      </c>
      <c r="D454" s="64" t="s">
        <v>1</v>
      </c>
      <c r="E454" s="151">
        <v>1.850694444444444</v>
      </c>
      <c r="F454" s="64" t="s">
        <v>42</v>
      </c>
      <c r="G454" s="66">
        <v>5</v>
      </c>
      <c r="H454" s="148">
        <v>439</v>
      </c>
      <c r="I454" s="88"/>
    </row>
    <row r="455" spans="1:9" ht="19.8" customHeight="1" x14ac:dyDescent="0.3">
      <c r="A455" s="150">
        <v>46022</v>
      </c>
      <c r="B455" s="64" t="s">
        <v>26</v>
      </c>
      <c r="C455" s="65" t="s">
        <v>27</v>
      </c>
      <c r="D455" s="64" t="s">
        <v>1</v>
      </c>
      <c r="E455" s="151">
        <v>1.895833333333333</v>
      </c>
      <c r="F455" s="64" t="s">
        <v>167</v>
      </c>
      <c r="G455" s="66">
        <v>9</v>
      </c>
      <c r="H455" s="148">
        <v>439</v>
      </c>
      <c r="I455" s="88"/>
    </row>
    <row r="456" spans="1:9" ht="19.8" customHeight="1" x14ac:dyDescent="0.3">
      <c r="A456" s="150">
        <v>46022</v>
      </c>
      <c r="B456" s="64" t="s">
        <v>73</v>
      </c>
      <c r="C456" s="65" t="s">
        <v>74</v>
      </c>
      <c r="D456" s="64" t="s">
        <v>1</v>
      </c>
      <c r="E456" s="151">
        <v>1.0902777777777779</v>
      </c>
      <c r="F456" s="64" t="s">
        <v>167</v>
      </c>
      <c r="G456" s="66">
        <v>8</v>
      </c>
      <c r="H456" s="148">
        <v>500</v>
      </c>
      <c r="I456" s="88"/>
    </row>
    <row r="457" spans="1:9" ht="19.8" customHeight="1" x14ac:dyDescent="0.3">
      <c r="A457" s="150">
        <v>46022</v>
      </c>
      <c r="B457" s="64" t="s">
        <v>40</v>
      </c>
      <c r="C457" s="65" t="s">
        <v>48</v>
      </c>
      <c r="D457" s="64" t="s">
        <v>1</v>
      </c>
      <c r="E457" s="151">
        <v>1.850694444444444</v>
      </c>
      <c r="F457" s="64" t="s">
        <v>45</v>
      </c>
      <c r="G457" s="66">
        <v>5</v>
      </c>
      <c r="H457" s="148">
        <v>539</v>
      </c>
      <c r="I457" s="88"/>
    </row>
    <row r="458" spans="1:9" ht="19.8" customHeight="1" x14ac:dyDescent="0.3">
      <c r="A458" s="150">
        <v>46022</v>
      </c>
      <c r="B458" s="64" t="s">
        <v>31</v>
      </c>
      <c r="C458" s="65" t="s">
        <v>32</v>
      </c>
      <c r="D458" s="64" t="s">
        <v>1</v>
      </c>
      <c r="E458" s="151">
        <v>1.305555555555556</v>
      </c>
      <c r="F458" s="64" t="s">
        <v>36</v>
      </c>
      <c r="G458" s="66">
        <v>20</v>
      </c>
      <c r="H458" s="148">
        <v>547</v>
      </c>
      <c r="I458" s="88"/>
    </row>
    <row r="459" spans="1:9" ht="19.8" customHeight="1" x14ac:dyDescent="0.3">
      <c r="A459" s="150">
        <v>46022</v>
      </c>
      <c r="B459" s="64" t="s">
        <v>76</v>
      </c>
      <c r="C459" s="65" t="s">
        <v>77</v>
      </c>
      <c r="D459" s="64" t="s">
        <v>1</v>
      </c>
      <c r="E459" s="151">
        <v>1.9722222222222221</v>
      </c>
      <c r="F459" s="64" t="s">
        <v>81</v>
      </c>
      <c r="G459" s="66">
        <v>9</v>
      </c>
      <c r="H459" s="148">
        <v>573</v>
      </c>
      <c r="I459" s="88"/>
    </row>
    <row r="460" spans="1:9" ht="19.8" customHeight="1" x14ac:dyDescent="0.3">
      <c r="A460" s="150">
        <v>46022</v>
      </c>
      <c r="B460" s="64" t="s">
        <v>40</v>
      </c>
      <c r="C460" s="65" t="s">
        <v>48</v>
      </c>
      <c r="D460" s="64" t="s">
        <v>1</v>
      </c>
      <c r="E460" s="151">
        <v>1.850694444444444</v>
      </c>
      <c r="F460" s="64" t="s">
        <v>38</v>
      </c>
      <c r="G460" s="66">
        <v>5</v>
      </c>
      <c r="H460" s="148">
        <v>629</v>
      </c>
      <c r="I460" s="88"/>
    </row>
    <row r="461" spans="1:9" ht="19.8" customHeight="1" x14ac:dyDescent="0.3">
      <c r="A461" s="150">
        <v>46022</v>
      </c>
      <c r="B461" s="64" t="s">
        <v>31</v>
      </c>
      <c r="C461" s="65" t="s">
        <v>32</v>
      </c>
      <c r="D461" s="64" t="s">
        <v>1</v>
      </c>
      <c r="E461" s="151">
        <v>1.305555555555556</v>
      </c>
      <c r="F461" s="64" t="s">
        <v>38</v>
      </c>
      <c r="G461" s="66">
        <v>20</v>
      </c>
      <c r="H461" s="148">
        <v>899</v>
      </c>
      <c r="I461" s="88"/>
    </row>
    <row r="462" spans="1:9" ht="19.8" customHeight="1" x14ac:dyDescent="0.3">
      <c r="A462" s="152">
        <v>46022</v>
      </c>
      <c r="B462" s="60" t="s">
        <v>68</v>
      </c>
      <c r="C462" s="61" t="s">
        <v>69</v>
      </c>
      <c r="D462" s="60" t="s">
        <v>1</v>
      </c>
      <c r="E462" s="153">
        <v>1.305555555555556</v>
      </c>
      <c r="F462" s="60" t="s">
        <v>70</v>
      </c>
      <c r="G462" s="62">
        <v>4</v>
      </c>
      <c r="H462" s="72" t="s">
        <v>112</v>
      </c>
      <c r="I462" s="88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DMM-CAI</vt:lpstr>
      <vt:lpstr>DMM-CAI LF LEGACY</vt:lpstr>
      <vt:lpstr>DMM-CAI - FOCUS MODE</vt:lpstr>
      <vt:lpstr>DMM-CAI - OAL Threats Alert</vt:lpstr>
      <vt:lpstr>DMM-ATZ</vt:lpstr>
      <vt:lpstr>DMM-ATZ LF LEGACY</vt:lpstr>
      <vt:lpstr>DMM-ATZ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2025-12-01T19:57:33Z</dcterms:created>
  <dcterms:modified xsi:type="dcterms:W3CDTF">2025-12-01T19:58:19Z</dcterms:modified>
</cp:coreProperties>
</file>