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36329E0-5BE8-4C69-AADA-ED25B0CE9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CAI - FOCUS MODE" sheetId="3" r:id="rId3"/>
    <sheet name="DMM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2" l="1"/>
  <c r="E19" i="2"/>
  <c r="G19" i="2"/>
  <c r="H19" i="2"/>
  <c r="I19" i="2"/>
  <c r="J19" i="2"/>
  <c r="M19" i="2"/>
  <c r="N19" i="2"/>
  <c r="O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7" authorId="0" shapeId="0" xr:uid="{6D416015-A4EE-4DD8-AC1F-585F0FEB30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S13 &amp; W2 &amp; T2 &amp; X10 &amp; U2 &amp; O5 &amp; I70</t>
        </r>
      </text>
    </comment>
    <comment ref="F36" authorId="0" shapeId="0" xr:uid="{DBCB8649-AA98-4188-B951-935A28298CA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W4 &amp; T10 &amp; X6 &amp; U4 &amp; O3 &amp; I68</t>
        </r>
      </text>
    </comment>
    <comment ref="F50" authorId="0" shapeId="0" xr:uid="{D61A7B3C-DC5D-45F3-8648-F686FAEA66B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T4 &amp; X8 &amp; U10 &amp; O17 &amp; I44</t>
        </r>
      </text>
    </comment>
    <comment ref="F62" authorId="0" shapeId="0" xr:uid="{F231A792-B39B-490E-AAE7-60B02C61BE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U8 &amp; O4 &amp; I20</t>
        </r>
      </text>
    </comment>
    <comment ref="F104" authorId="0" shapeId="0" xr:uid="{47DA7F33-4D07-4B10-8F34-F424AC7F14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S10 &amp; X10 &amp; U4 &amp; I24</t>
        </r>
      </text>
    </comment>
    <comment ref="F132" authorId="0" shapeId="0" xr:uid="{4E06D92A-3C87-480E-A4CB-BF7ACBDC63C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T2 &amp; O6 &amp; I33</t>
        </r>
      </text>
    </comment>
    <comment ref="F149" authorId="0" shapeId="0" xr:uid="{735EB5BE-47B2-4ED4-A6C9-0E86C895613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T3 &amp; X6 &amp; U7 &amp; O7 &amp; I48</t>
        </r>
      </text>
    </comment>
    <comment ref="F163" authorId="0" shapeId="0" xr:uid="{E27F42C4-4A4A-4AD7-82FB-E358317B54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W1 &amp; X5 &amp; I28</t>
        </r>
      </text>
    </comment>
    <comment ref="F204" authorId="0" shapeId="0" xr:uid="{782EAC44-3CDD-4D18-9894-55103FDBD0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O5 &amp; I24</t>
        </r>
      </text>
    </comment>
    <comment ref="F236" authorId="0" shapeId="0" xr:uid="{FF1BC0B8-84DF-4762-BE40-74B58C23F4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X7 &amp; U8 &amp; O3 &amp; I41</t>
        </r>
      </text>
    </comment>
    <comment ref="F247" authorId="0" shapeId="0" xr:uid="{CC057259-C4B6-4EC2-842E-629A33D7F8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W3 &amp; T1 &amp; U9 &amp; O4 &amp; I30</t>
        </r>
      </text>
    </comment>
    <comment ref="F262" authorId="0" shapeId="0" xr:uid="{1FF111EF-AEFE-41A6-8F7A-1A5B19360A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X11 &amp; U6 &amp; O5 &amp; I33</t>
        </r>
      </text>
    </comment>
    <comment ref="F303" authorId="0" shapeId="0" xr:uid="{3F7E9681-347C-489D-AA9E-F6B29C5ACA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O5 &amp; I24</t>
        </r>
      </text>
    </comment>
    <comment ref="F328" authorId="0" shapeId="0" xr:uid="{BA547A8E-575E-4A21-BC9C-CAC31DFE26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U7 &amp; O7 &amp; I31</t>
        </r>
      </text>
    </comment>
    <comment ref="F337" authorId="0" shapeId="0" xr:uid="{E88C03FF-BE21-4402-AF70-767B987DB9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X8 &amp; U9 &amp; O7 &amp; I27</t>
        </r>
      </text>
    </comment>
    <comment ref="F351" authorId="0" shapeId="0" xr:uid="{47373A01-FC8B-4137-AA1F-D301AF261A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U5 &amp; O8 &amp; I26</t>
        </r>
      </text>
    </comment>
    <comment ref="F391" authorId="0" shapeId="0" xr:uid="{0C495641-5F4B-4B59-9106-BF7F4BEB90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O8 &amp; I28</t>
        </r>
      </text>
    </comment>
  </commentList>
</comments>
</file>

<file path=xl/sharedStrings.xml><?xml version="1.0" encoding="utf-8"?>
<sst xmlns="http://schemas.openxmlformats.org/spreadsheetml/2006/main" count="5751" uniqueCount="349">
  <si>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</si>
  <si>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</si>
  <si>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</si>
  <si>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</si>
  <si>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</si>
  <si>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</si>
  <si>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</si>
  <si>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</si>
  <si>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</si>
  <si>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</si>
  <si>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</si>
  <si>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</si>
  <si>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</si>
  <si>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</si>
  <si>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</si>
  <si>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</si>
  <si>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</si>
  <si>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</si>
  <si>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</si>
  <si>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</si>
  <si>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</si>
  <si>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</si>
  <si>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</si>
  <si>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</si>
  <si>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</si>
  <si>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</si>
  <si>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</si>
  <si>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F3-911</t>
  </si>
  <si>
    <t>Cabin: 7 KG / Check-in: 15 KG</t>
  </si>
  <si>
    <t>7 FOR SAME CLASS</t>
  </si>
  <si>
    <t>339 SAR</t>
  </si>
  <si>
    <t>Cabin: 7 KG / Check-in: 25 KG</t>
  </si>
  <si>
    <t>517 SAR</t>
  </si>
  <si>
    <t>Cabin: 7 KG / Check-in: 2 x 40 KG</t>
  </si>
  <si>
    <t>1,249 SAR</t>
  </si>
  <si>
    <t>flynas</t>
  </si>
  <si>
    <t>XY-854</t>
  </si>
  <si>
    <t>Cabin: 7 KG / Check-in: 20 KG</t>
  </si>
  <si>
    <t>9 FOR SAME CLASS</t>
  </si>
  <si>
    <t>349 SAR</t>
  </si>
  <si>
    <t>Cabin: 7 KG / Check-in: 30 KG</t>
  </si>
  <si>
    <t>449 SAR</t>
  </si>
  <si>
    <t>539 SAR</t>
  </si>
  <si>
    <t>XY-894</t>
  </si>
  <si>
    <t>5 FOR SAME CLASS</t>
  </si>
  <si>
    <t>439 SAR</t>
  </si>
  <si>
    <t>629 SAR</t>
  </si>
  <si>
    <t>Nile Air</t>
  </si>
  <si>
    <t>NP-132</t>
  </si>
  <si>
    <t>Cabin: 7 KG | Check-in: 40 KG</t>
  </si>
  <si>
    <t>+9 FOR SAME CLASS</t>
  </si>
  <si>
    <t>379 SAR</t>
  </si>
  <si>
    <t>Air Cairo</t>
  </si>
  <si>
    <t>SM-434</t>
  </si>
  <si>
    <t>476 SAR</t>
  </si>
  <si>
    <t>SM434</t>
  </si>
  <si>
    <t>O5</t>
  </si>
  <si>
    <t>G1 &amp; S13 &amp; W2 &amp; T2 &amp; X10 &amp; U2 &amp; O5 &amp; I70</t>
  </si>
  <si>
    <t>EgyptAir</t>
  </si>
  <si>
    <t>MS-684</t>
  </si>
  <si>
    <t>Cabin: 7 KG | Check-in: 2 PIECE</t>
  </si>
  <si>
    <t>MS-688</t>
  </si>
  <si>
    <t>697 SAR</t>
  </si>
  <si>
    <t>MS-682</t>
  </si>
  <si>
    <t>757 SAR</t>
  </si>
  <si>
    <t>Saudia</t>
  </si>
  <si>
    <t>SV-6446</t>
  </si>
  <si>
    <t>Cabin: 7 KG / Check-in: 2 x 46 KG</t>
  </si>
  <si>
    <t>4 FOR SAME CLASS</t>
  </si>
  <si>
    <t>1,126 SAR</t>
  </si>
  <si>
    <t>Air Arabia Egypt</t>
  </si>
  <si>
    <t>E5-316</t>
  </si>
  <si>
    <t>Cabin: 10 KG / Check-in: 30 KG</t>
  </si>
  <si>
    <t>360 SAR</t>
  </si>
  <si>
    <t>Cabin: 10 KG / Check-in: 2 x 40 KG</t>
  </si>
  <si>
    <t>483 SAR</t>
  </si>
  <si>
    <t>Nesma Airlines</t>
  </si>
  <si>
    <t>NE-155</t>
  </si>
  <si>
    <t>371 SAR</t>
  </si>
  <si>
    <t>NP-232</t>
  </si>
  <si>
    <t>6 FOR SAME CLASS</t>
  </si>
  <si>
    <t>8 FOR SAME CLASS</t>
  </si>
  <si>
    <t>399 SAR</t>
  </si>
  <si>
    <t>577 SAR</t>
  </si>
  <si>
    <t>899 SAR</t>
  </si>
  <si>
    <t>Cabin: 7 KG</t>
  </si>
  <si>
    <t>411 SAR</t>
  </si>
  <si>
    <t>817 SAR</t>
  </si>
  <si>
    <t>1,387 SAR</t>
  </si>
  <si>
    <t>2 FOR SAME CLASS</t>
  </si>
  <si>
    <t>479 SAR</t>
  </si>
  <si>
    <t>579 SAR</t>
  </si>
  <si>
    <t>669 SAR</t>
  </si>
  <si>
    <t>1,231 SAR</t>
  </si>
  <si>
    <t>519 SAR</t>
  </si>
  <si>
    <t>619 SAR</t>
  </si>
  <si>
    <t>709 SAR</t>
  </si>
  <si>
    <t>NP-332</t>
  </si>
  <si>
    <t>3 FOR SAME CLASS</t>
  </si>
  <si>
    <t>I2</t>
  </si>
  <si>
    <t>S4 &amp; W4 &amp; T10 &amp; X6 &amp; U4 &amp; O3 &amp; I68</t>
  </si>
  <si>
    <t>1,567 SAR</t>
  </si>
  <si>
    <t>1,183 SAR</t>
  </si>
  <si>
    <t>Cabin: 7 KG | Check-in: 15 KG</t>
  </si>
  <si>
    <t>369 SAR</t>
  </si>
  <si>
    <t>I9</t>
  </si>
  <si>
    <t>S6 &amp; T4 &amp; X8 &amp; U10 &amp; O17 &amp; I44</t>
  </si>
  <si>
    <t>409 SAR</t>
  </si>
  <si>
    <t>509 SAR</t>
  </si>
  <si>
    <t>599 SAR</t>
  </si>
  <si>
    <t>592 SAR</t>
  </si>
  <si>
    <t>641 SAR</t>
  </si>
  <si>
    <t>17 FOR SAME CLASS</t>
  </si>
  <si>
    <t>309 SAR</t>
  </si>
  <si>
    <t>487 SAR</t>
  </si>
  <si>
    <t>569 SAR</t>
  </si>
  <si>
    <t>373 SAR</t>
  </si>
  <si>
    <t>496 SAR</t>
  </si>
  <si>
    <t>S3 &amp; X1 &amp; U8 &amp; O4 &amp; I20</t>
  </si>
  <si>
    <t>415 SAR</t>
  </si>
  <si>
    <t>1,085 SAR</t>
  </si>
  <si>
    <t>1,749 SAR</t>
  </si>
  <si>
    <t>NE-151</t>
  </si>
  <si>
    <t>16 FOR SAME CLASS</t>
  </si>
  <si>
    <t>Cabin: 7 KG | Check-in: 1 PIECE</t>
  </si>
  <si>
    <t>437 SAR</t>
  </si>
  <si>
    <t>13 FOR SAME CLASS</t>
  </si>
  <si>
    <t>S10 &amp; X10 &amp; U4 &amp; I24</t>
  </si>
  <si>
    <t>547 SAR</t>
  </si>
  <si>
    <t>367 SAR</t>
  </si>
  <si>
    <t>491 SAR</t>
  </si>
  <si>
    <t>1 FOR SAME CLASS</t>
  </si>
  <si>
    <t>637 SAR</t>
  </si>
  <si>
    <t>563 SAR</t>
  </si>
  <si>
    <t>679 SAR</t>
  </si>
  <si>
    <t>769 SAR</t>
  </si>
  <si>
    <t>1,291 SAR</t>
  </si>
  <si>
    <t>S1 &amp; W2 &amp; T2 &amp; O6 &amp; I33</t>
  </si>
  <si>
    <t>Cabin: 7 KG | Check-in: 20 KG</t>
  </si>
  <si>
    <t>499 SAR</t>
  </si>
  <si>
    <t>589 SAR</t>
  </si>
  <si>
    <t>459 SAR</t>
  </si>
  <si>
    <t>559 SAR</t>
  </si>
  <si>
    <t>649 SAR</t>
  </si>
  <si>
    <t>S4 &amp; W6 &amp; T3 &amp; X6 &amp; U7 &amp; O7 &amp; I48</t>
  </si>
  <si>
    <t>596 SAR</t>
  </si>
  <si>
    <t>19 FOR SAME CLASS</t>
  </si>
  <si>
    <t>354 SAR</t>
  </si>
  <si>
    <t>477 SAR</t>
  </si>
  <si>
    <t>S6 &amp; W1 &amp; X5 &amp; I28</t>
  </si>
  <si>
    <t>18 FOR SAME CLASS</t>
  </si>
  <si>
    <t>12 FOR SAME CLASS</t>
  </si>
  <si>
    <t>S3 &amp; X6 &amp; U6 &amp; O5 &amp; I24</t>
  </si>
  <si>
    <t>15 FOR SAME CLASS</t>
  </si>
  <si>
    <t>348 SAR</t>
  </si>
  <si>
    <t>472 SAR</t>
  </si>
  <si>
    <t>425 SAR</t>
  </si>
  <si>
    <t>659 SAR</t>
  </si>
  <si>
    <t>749 SAR</t>
  </si>
  <si>
    <t>O9</t>
  </si>
  <si>
    <t>S4 &amp; X7 &amp; U8 &amp; O3 &amp; I41</t>
  </si>
  <si>
    <t>S1 &amp; W3 &amp; T1 &amp; U9 &amp; O4 &amp; I30</t>
  </si>
  <si>
    <t>429 SAR</t>
  </si>
  <si>
    <t>607 SAR</t>
  </si>
  <si>
    <t>20 FOR SAME CLASS</t>
  </si>
  <si>
    <t>I7</t>
  </si>
  <si>
    <t>G1 &amp; S1 &amp; X11 &amp; U6 &amp; O5 &amp; I33</t>
  </si>
  <si>
    <t>10 FOR SAME CLASS</t>
  </si>
  <si>
    <t>NE-153</t>
  </si>
  <si>
    <t>I6</t>
  </si>
  <si>
    <t>X1 &amp; U3 &amp; O5 &amp; I24</t>
  </si>
  <si>
    <t>554 SAR</t>
  </si>
  <si>
    <t>500 SAR</t>
  </si>
  <si>
    <t>S1 &amp; X2 &amp; U7 &amp; O7 &amp; I31</t>
  </si>
  <si>
    <t>551 SAR</t>
  </si>
  <si>
    <t>Cabin: 7 KG | Check-in: 30 KG</t>
  </si>
  <si>
    <t>S1 &amp; W1 &amp; X8 &amp; U9 &amp; O7 &amp; I27</t>
  </si>
  <si>
    <t>22 FOR SAME CLASS</t>
  </si>
  <si>
    <t>578 SAR</t>
  </si>
  <si>
    <t>S1 &amp; X2 &amp; U5 &amp; O8 &amp; I26</t>
  </si>
  <si>
    <t>14 FOR SAME CLASS</t>
  </si>
  <si>
    <t>11 FOR SAME CLASS</t>
  </si>
  <si>
    <t>S4 &amp; O8 &amp; I28</t>
  </si>
  <si>
    <t>573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</si>
  <si>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</si>
  <si>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</si>
  <si>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</si>
  <si>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</si>
  <si>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</si>
  <si>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</si>
  <si>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</si>
  <si>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</si>
  <si>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</si>
  <si>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</si>
  <si>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</si>
  <si>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</si>
  <si>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</si>
  <si>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</si>
  <si>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</si>
  <si>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</si>
  <si>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</si>
  <si>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</si>
  <si>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</si>
  <si>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</si>
  <si>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</si>
  <si>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</si>
  <si>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</si>
  <si>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</si>
  <si>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</si>
  <si>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</si>
  <si>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</si>
  <si>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</si>
  <si>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</si>
  <si>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</si>
  <si>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</si>
  <si>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</si>
  <si>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</si>
  <si>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G1</t>
  </si>
  <si>
    <t>S13</t>
  </si>
  <si>
    <t>W2</t>
  </si>
  <si>
    <t>T2</t>
  </si>
  <si>
    <t>X10</t>
  </si>
  <si>
    <t>U2</t>
  </si>
  <si>
    <t>I70</t>
  </si>
  <si>
    <t>THURSDAY</t>
  </si>
  <si>
    <t>22:10</t>
  </si>
  <si>
    <t>S4</t>
  </si>
  <si>
    <t>W4</t>
  </si>
  <si>
    <t>T10</t>
  </si>
  <si>
    <t>X6</t>
  </si>
  <si>
    <t>U4</t>
  </si>
  <si>
    <t>O3</t>
  </si>
  <si>
    <t>I68</t>
  </si>
  <si>
    <t>FRIDAY</t>
  </si>
  <si>
    <t>13:55</t>
  </si>
  <si>
    <t>S6</t>
  </si>
  <si>
    <t>T4</t>
  </si>
  <si>
    <t>X8</t>
  </si>
  <si>
    <t>U10</t>
  </si>
  <si>
    <t>O17</t>
  </si>
  <si>
    <t>I44</t>
  </si>
  <si>
    <t>SATURDAY</t>
  </si>
  <si>
    <t>S3</t>
  </si>
  <si>
    <t>X1</t>
  </si>
  <si>
    <t>U8</t>
  </si>
  <si>
    <t>O4</t>
  </si>
  <si>
    <t>I20</t>
  </si>
  <si>
    <t>S10</t>
  </si>
  <si>
    <t>I24</t>
  </si>
  <si>
    <t>S1</t>
  </si>
  <si>
    <t>O6</t>
  </si>
  <si>
    <t>I33</t>
  </si>
  <si>
    <t>W6</t>
  </si>
  <si>
    <t>T3</t>
  </si>
  <si>
    <t>U7</t>
  </si>
  <si>
    <t>O7</t>
  </si>
  <si>
    <t>I48</t>
  </si>
  <si>
    <t>W1</t>
  </si>
  <si>
    <t>X5</t>
  </si>
  <si>
    <t>I28</t>
  </si>
  <si>
    <t>U6</t>
  </si>
  <si>
    <t>X7</t>
  </si>
  <si>
    <t>I41</t>
  </si>
  <si>
    <t>W3</t>
  </si>
  <si>
    <t>T1</t>
  </si>
  <si>
    <t>U9</t>
  </si>
  <si>
    <t>I30</t>
  </si>
  <si>
    <t>X11</t>
  </si>
  <si>
    <t>U3</t>
  </si>
  <si>
    <t>X2</t>
  </si>
  <si>
    <t>I31</t>
  </si>
  <si>
    <t>I27</t>
  </si>
  <si>
    <t>U5</t>
  </si>
  <si>
    <t>O8</t>
  </si>
  <si>
    <t>I26</t>
  </si>
  <si>
    <t>DATE</t>
  </si>
  <si>
    <t>ROUTE</t>
  </si>
  <si>
    <t>2025-12-02</t>
  </si>
  <si>
    <t>07:20</t>
  </si>
  <si>
    <t>04:45</t>
  </si>
  <si>
    <t>23:00</t>
  </si>
  <si>
    <t>20:00</t>
  </si>
  <si>
    <t>THREAT STATUS</t>
  </si>
  <si>
    <t>REF</t>
  </si>
  <si>
    <t>AHEAD (+1.0)</t>
  </si>
  <si>
    <t>04:05</t>
  </si>
  <si>
    <t>AHEAD (+0.5)</t>
  </si>
  <si>
    <t>THREAT (+5.4)</t>
  </si>
  <si>
    <t>THREAT (+4.5)</t>
  </si>
  <si>
    <t>THREAT (+1.3)</t>
  </si>
  <si>
    <t>2025-12-03</t>
  </si>
  <si>
    <t>02:10</t>
  </si>
  <si>
    <t>THREAT (+1.0)</t>
  </si>
  <si>
    <t>2025-12-04</t>
  </si>
  <si>
    <t>21:20</t>
  </si>
  <si>
    <t>AHEAD (+0.1)</t>
  </si>
  <si>
    <t>13:30</t>
  </si>
  <si>
    <t>EQUAL</t>
  </si>
  <si>
    <t>THREAT (+4.4)</t>
  </si>
  <si>
    <t>THREAT (+2.7)</t>
  </si>
  <si>
    <t>AHEAD (+0.8)</t>
  </si>
  <si>
    <t>CLOSE (-0.2)</t>
  </si>
  <si>
    <t>2025-12-05</t>
  </si>
  <si>
    <t>20:05</t>
  </si>
  <si>
    <t>THREAT (+3.8)</t>
  </si>
  <si>
    <t>2025-12-06</t>
  </si>
  <si>
    <t>21:30</t>
  </si>
  <si>
    <t>23:20</t>
  </si>
  <si>
    <t>THREAT (+4.8)</t>
  </si>
  <si>
    <t>04:50</t>
  </si>
  <si>
    <t>THREAT (+4.1)</t>
  </si>
  <si>
    <t>AHEAD (+0.7)</t>
  </si>
  <si>
    <t>2025-12-07</t>
  </si>
  <si>
    <t>05:20</t>
  </si>
  <si>
    <t>2025-12-09</t>
  </si>
  <si>
    <t>12:40</t>
  </si>
  <si>
    <t>CLOSE (-0.8)</t>
  </si>
  <si>
    <t>2025-12-10</t>
  </si>
  <si>
    <t>2025-12-11</t>
  </si>
  <si>
    <t>CLOSE (-0.6)</t>
  </si>
  <si>
    <t>20:45</t>
  </si>
  <si>
    <t>THREAT (+3.9)</t>
  </si>
  <si>
    <t>THREAT (+3.3)</t>
  </si>
  <si>
    <t>2025-12-12</t>
  </si>
  <si>
    <t>2025-12-13</t>
  </si>
  <si>
    <t>THREAT (+5.0)</t>
  </si>
  <si>
    <t>2025-12-14</t>
  </si>
  <si>
    <t>20:25</t>
  </si>
  <si>
    <t>2025-12-16</t>
  </si>
  <si>
    <t>2025-12-17</t>
  </si>
  <si>
    <t>CLOSE (-0.5)</t>
  </si>
  <si>
    <t>2025-12-18</t>
  </si>
  <si>
    <t>21:55</t>
  </si>
  <si>
    <t>AHEAD (+0.4)</t>
  </si>
  <si>
    <t>AHEAD (+0.2)</t>
  </si>
  <si>
    <t>CLOSE (-0.3)</t>
  </si>
  <si>
    <t>THREAT (+1.8)</t>
  </si>
  <si>
    <t>2025-12-19</t>
  </si>
  <si>
    <t>2025-12-20</t>
  </si>
  <si>
    <t>2025-12-21</t>
  </si>
  <si>
    <t>2025-12-23</t>
  </si>
  <si>
    <t>2025-12-25</t>
  </si>
  <si>
    <t>AHEAD (+0.3)</t>
  </si>
  <si>
    <t>2025-12-26</t>
  </si>
  <si>
    <t>2025-12-27</t>
  </si>
  <si>
    <t>THREAT (+4.0)</t>
  </si>
  <si>
    <t>2025-12-28</t>
  </si>
  <si>
    <t>2025-12-30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</si>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</sst>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4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sz val="11"/>
      <color rgb="FFFF9900"/>
      <name val="Calibri"/>
    </font>
    <font>
      <sz val="11"/>
      <color rgb="FF0088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7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7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7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7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7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7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7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7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0" fontId="21" fillId="17" borderId="21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29" fillId="19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9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9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9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9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9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9" fillId="10" borderId="10" xfId="0" applyNumberFormat="1" applyFont="1" applyFill="1" applyBorder="1" applyAlignment="1">
      <alignment horizontal="center" vertical="center"/>
    </xf>
    <xf numFmtId="167" fontId="19" fillId="8" borderId="10" xfId="0" applyNumberFormat="1" applyFont="1" applyFill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70" fontId="22" fillId="0" borderId="24" xfId="0" applyNumberFormat="1" applyFont="1" applyBorder="1" applyAlignment="1">
      <alignment horizontal="center" vertical="center"/>
    </xf>
    <xf numFmtId="171" fontId="22" fillId="0" borderId="25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8" fillId="9" borderId="30" xfId="0" applyFont="1" applyFill="1" applyBorder="1" applyAlignment="1">
      <alignment horizontal="center" vertical="center"/>
    </xf>
    <xf numFmtId="0" fontId="18" fillId="9" borderId="31" xfId="0" applyFon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49" fontId="6" fillId="4" borderId="2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19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417" totalsRowShown="0">
  <autoFilter ref="A1:H41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DMM_CAI" displayName="ThreatsAlert_DMM_CAI" ref="A1:I116">
  <autoFilter ref="A1:I116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0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7.88671875" bestFit="1" customWidth="1"/>
    <col min="19" max="92" width="8" customWidth="1"/>
  </cols>
  <sheetData>
    <row r="1" spans="1:92" ht="28.8" customHeight="1" x14ac:dyDescent="0.3">
      <c r="A1" s="178" t="s">
        <v>0</v>
      </c>
      <c r="B1" s="165"/>
      <c r="C1" s="165"/>
      <c r="D1" s="165"/>
      <c r="E1" s="165"/>
      <c r="F1" s="1" t="s">
        <v>1</v>
      </c>
      <c r="G1" s="1" t="s">
        <v>2</v>
      </c>
      <c r="H1" s="177">
        <v>45992</v>
      </c>
      <c r="I1" s="165"/>
      <c r="J1" s="165"/>
      <c r="K1" s="165"/>
      <c r="L1" s="165"/>
      <c r="M1" s="1" t="s">
        <v>3</v>
      </c>
      <c r="N1" s="164">
        <v>46022</v>
      </c>
      <c r="O1" s="165"/>
      <c r="P1" s="165"/>
      <c r="Q1" s="165"/>
      <c r="R1" s="16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75" t="s">
        <v>4</v>
      </c>
      <c r="B2" s="165"/>
      <c r="C2" s="165"/>
      <c r="D2" s="165"/>
      <c r="E2" s="165"/>
      <c r="F2" s="165"/>
      <c r="G2" s="176">
        <v>45992.996460682873</v>
      </c>
      <c r="H2" s="165"/>
      <c r="I2" s="165"/>
      <c r="J2" s="165"/>
      <c r="K2" s="170">
        <v>45992.996460682873</v>
      </c>
      <c r="L2" s="165"/>
      <c r="M2" s="165"/>
      <c r="N2" s="165"/>
      <c r="O2" s="165"/>
      <c r="P2" s="165"/>
      <c r="Q2" s="165"/>
      <c r="R2" s="165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72" t="s">
        <v>5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73" t="s">
        <v>6</v>
      </c>
      <c r="B4" s="159"/>
      <c r="C4" s="159"/>
      <c r="D4" s="159"/>
      <c r="E4" s="159"/>
      <c r="F4" s="160"/>
      <c r="G4" s="101">
        <v>45993</v>
      </c>
      <c r="H4" s="171" t="s">
        <v>7</v>
      </c>
      <c r="I4" s="159"/>
      <c r="J4" s="159"/>
      <c r="K4" s="159"/>
      <c r="L4" s="159"/>
      <c r="M4" s="159"/>
      <c r="N4" s="159"/>
      <c r="O4" s="159"/>
      <c r="P4" s="159"/>
      <c r="Q4" s="159"/>
      <c r="R4" s="160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2">
        <v>0.30555555555555558</v>
      </c>
      <c r="D6" s="8" t="s">
        <v>28</v>
      </c>
      <c r="E6" s="8" t="s">
        <v>29</v>
      </c>
      <c r="F6" s="8" t="s">
        <v>30</v>
      </c>
      <c r="G6" s="16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3">
        <v>0.30555555555555558</v>
      </c>
      <c r="D7" s="14" t="s">
        <v>31</v>
      </c>
      <c r="E7" s="14" t="s">
        <v>29</v>
      </c>
      <c r="F7" s="14" t="s">
        <v>32</v>
      </c>
      <c r="G7" s="16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3">
        <v>0.30555555555555558</v>
      </c>
      <c r="D8" s="14" t="s">
        <v>33</v>
      </c>
      <c r="E8" s="14" t="s">
        <v>29</v>
      </c>
      <c r="F8" s="14" t="s">
        <v>34</v>
      </c>
      <c r="G8" s="16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35</v>
      </c>
      <c r="B9" s="15" t="s">
        <v>36</v>
      </c>
      <c r="C9" s="104">
        <v>0.19791666666666671</v>
      </c>
      <c r="D9" s="15" t="s">
        <v>37</v>
      </c>
      <c r="E9" s="15" t="s">
        <v>38</v>
      </c>
      <c r="F9" s="15" t="s">
        <v>39</v>
      </c>
      <c r="G9" s="16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35</v>
      </c>
      <c r="B10" s="14" t="s">
        <v>36</v>
      </c>
      <c r="C10" s="103">
        <v>0.19791666666666671</v>
      </c>
      <c r="D10" s="14" t="s">
        <v>40</v>
      </c>
      <c r="E10" s="14" t="s">
        <v>38</v>
      </c>
      <c r="F10" s="14" t="s">
        <v>41</v>
      </c>
      <c r="G10" s="16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35</v>
      </c>
      <c r="B11" s="14" t="s">
        <v>36</v>
      </c>
      <c r="C11" s="103">
        <v>0.19791666666666671</v>
      </c>
      <c r="D11" s="14" t="s">
        <v>33</v>
      </c>
      <c r="E11" s="14" t="s">
        <v>38</v>
      </c>
      <c r="F11" s="14" t="s">
        <v>42</v>
      </c>
      <c r="G11" s="16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35</v>
      </c>
      <c r="B12" s="16" t="s">
        <v>43</v>
      </c>
      <c r="C12" s="105">
        <v>0.83333333333333337</v>
      </c>
      <c r="D12" s="16" t="s">
        <v>37</v>
      </c>
      <c r="E12" s="16" t="s">
        <v>44</v>
      </c>
      <c r="F12" s="16" t="s">
        <v>45</v>
      </c>
      <c r="G12" s="16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35</v>
      </c>
      <c r="B13" s="14" t="s">
        <v>43</v>
      </c>
      <c r="C13" s="103">
        <v>0.83333333333333337</v>
      </c>
      <c r="D13" s="14" t="s">
        <v>40</v>
      </c>
      <c r="E13" s="14" t="s">
        <v>44</v>
      </c>
      <c r="F13" s="14" t="s">
        <v>42</v>
      </c>
      <c r="G13" s="16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35</v>
      </c>
      <c r="B14" s="14" t="s">
        <v>43</v>
      </c>
      <c r="C14" s="103">
        <v>0.83333333333333337</v>
      </c>
      <c r="D14" s="14" t="s">
        <v>33</v>
      </c>
      <c r="E14" s="14" t="s">
        <v>44</v>
      </c>
      <c r="F14" s="14" t="s">
        <v>46</v>
      </c>
      <c r="G14" s="16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47</v>
      </c>
      <c r="B15" s="15" t="s">
        <v>48</v>
      </c>
      <c r="C15" s="104">
        <v>0.95833333333333337</v>
      </c>
      <c r="D15" s="15" t="s">
        <v>49</v>
      </c>
      <c r="E15" s="15" t="s">
        <v>50</v>
      </c>
      <c r="F15" s="15" t="s">
        <v>51</v>
      </c>
      <c r="G15" s="16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7" t="s">
        <v>52</v>
      </c>
      <c r="B16" s="17" t="s">
        <v>53</v>
      </c>
      <c r="C16" s="106">
        <v>0.27083333333333331</v>
      </c>
      <c r="D16" s="17" t="s">
        <v>49</v>
      </c>
      <c r="E16" s="17" t="s">
        <v>44</v>
      </c>
      <c r="F16" s="17" t="s">
        <v>54</v>
      </c>
      <c r="G16" s="168"/>
      <c r="H16" s="18" t="s">
        <v>55</v>
      </c>
      <c r="I16" s="107">
        <v>0.625</v>
      </c>
      <c r="J16" s="19">
        <v>105</v>
      </c>
      <c r="K16" s="20">
        <v>45992</v>
      </c>
      <c r="L16" s="19">
        <v>54</v>
      </c>
      <c r="M16" s="19">
        <v>15</v>
      </c>
      <c r="N16" s="19">
        <v>0</v>
      </c>
      <c r="O16" s="21" t="s">
        <v>56</v>
      </c>
      <c r="P16" s="108">
        <v>0.27083333333333331</v>
      </c>
      <c r="Q16" s="19">
        <v>168</v>
      </c>
      <c r="R16" s="22" t="s">
        <v>57</v>
      </c>
    </row>
    <row r="17" spans="1:18" ht="15" customHeight="1" x14ac:dyDescent="0.3">
      <c r="A17" s="15" t="s">
        <v>58</v>
      </c>
      <c r="B17" s="15" t="s">
        <v>59</v>
      </c>
      <c r="C17" s="104">
        <v>0.1701388888888889</v>
      </c>
      <c r="D17" s="15" t="s">
        <v>60</v>
      </c>
      <c r="E17" s="15" t="s">
        <v>50</v>
      </c>
      <c r="F17" s="15" t="s">
        <v>32</v>
      </c>
      <c r="G17" s="16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58</v>
      </c>
      <c r="B18" s="16" t="s">
        <v>61</v>
      </c>
      <c r="C18" s="105">
        <v>0.86458333333333337</v>
      </c>
      <c r="D18" s="16" t="s">
        <v>60</v>
      </c>
      <c r="E18" s="16" t="s">
        <v>50</v>
      </c>
      <c r="F18" s="16" t="s">
        <v>62</v>
      </c>
      <c r="G18" s="16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58</v>
      </c>
      <c r="B19" s="16" t="s">
        <v>63</v>
      </c>
      <c r="C19" s="105">
        <v>0.52777777777777779</v>
      </c>
      <c r="D19" s="16" t="s">
        <v>60</v>
      </c>
      <c r="E19" s="16" t="s">
        <v>50</v>
      </c>
      <c r="F19" s="16" t="s">
        <v>64</v>
      </c>
      <c r="G19" s="16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thickBot="1" x14ac:dyDescent="0.35">
      <c r="A20" s="23" t="s">
        <v>65</v>
      </c>
      <c r="B20" s="23" t="s">
        <v>66</v>
      </c>
      <c r="C20" s="109">
        <v>0.30555555555555558</v>
      </c>
      <c r="D20" s="23" t="s">
        <v>67</v>
      </c>
      <c r="E20" s="23" t="s">
        <v>68</v>
      </c>
      <c r="F20" s="23" t="s">
        <v>69</v>
      </c>
      <c r="G20" s="169"/>
      <c r="H20" s="24"/>
      <c r="I20" s="25"/>
      <c r="J20" s="25"/>
      <c r="K20" s="25"/>
      <c r="L20" s="25"/>
      <c r="M20" s="25"/>
      <c r="N20" s="25"/>
      <c r="O20" s="26"/>
      <c r="P20" s="25"/>
      <c r="Q20" s="27"/>
      <c r="R20" s="28"/>
    </row>
    <row r="21" spans="1:18" ht="17.399999999999999" customHeight="1" thickBot="1" x14ac:dyDescent="0.35">
      <c r="A21" s="161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3"/>
    </row>
    <row r="22" spans="1:18" ht="22.05" customHeight="1" thickTop="1" thickBot="1" x14ac:dyDescent="0.35">
      <c r="A22" s="166" t="s">
        <v>6</v>
      </c>
      <c r="B22" s="159"/>
      <c r="C22" s="159"/>
      <c r="D22" s="159"/>
      <c r="E22" s="159"/>
      <c r="F22" s="160"/>
      <c r="G22" s="110">
        <v>45994</v>
      </c>
      <c r="H22" s="158" t="s">
        <v>7</v>
      </c>
      <c r="I22" s="159"/>
      <c r="J22" s="159"/>
      <c r="K22" s="159"/>
      <c r="L22" s="159"/>
      <c r="M22" s="159"/>
      <c r="N22" s="159"/>
      <c r="O22" s="159"/>
      <c r="P22" s="159"/>
      <c r="Q22" s="159"/>
      <c r="R22" s="160"/>
    </row>
    <row r="23" spans="1:18" ht="24" customHeight="1" x14ac:dyDescent="0.3">
      <c r="A23" s="29" t="s">
        <v>8</v>
      </c>
      <c r="B23" s="29" t="s">
        <v>9</v>
      </c>
      <c r="C23" s="111" t="s">
        <v>10</v>
      </c>
      <c r="D23" s="29" t="s">
        <v>11</v>
      </c>
      <c r="E23" s="29" t="s">
        <v>12</v>
      </c>
      <c r="F23" s="30" t="s">
        <v>13</v>
      </c>
      <c r="G23" s="31" t="s">
        <v>14</v>
      </c>
      <c r="H23" s="29" t="s">
        <v>15</v>
      </c>
      <c r="I23" s="112" t="s">
        <v>16</v>
      </c>
      <c r="J23" s="32" t="s">
        <v>17</v>
      </c>
      <c r="K23" s="33" t="s">
        <v>18</v>
      </c>
      <c r="L23" s="32" t="s">
        <v>19</v>
      </c>
      <c r="M23" s="32" t="s">
        <v>20</v>
      </c>
      <c r="N23" s="32" t="s">
        <v>21</v>
      </c>
      <c r="O23" s="29" t="s">
        <v>22</v>
      </c>
      <c r="P23" s="111" t="s">
        <v>23</v>
      </c>
      <c r="Q23" s="32" t="s">
        <v>24</v>
      </c>
      <c r="R23" s="29" t="s">
        <v>25</v>
      </c>
    </row>
    <row r="24" spans="1:18" ht="15" customHeight="1" x14ac:dyDescent="0.3">
      <c r="A24" s="8" t="s">
        <v>70</v>
      </c>
      <c r="B24" s="8" t="s">
        <v>71</v>
      </c>
      <c r="C24" s="102">
        <v>0.97222222222222221</v>
      </c>
      <c r="D24" s="8" t="s">
        <v>72</v>
      </c>
      <c r="E24" s="8" t="s">
        <v>38</v>
      </c>
      <c r="F24" s="8" t="s">
        <v>73</v>
      </c>
      <c r="G24" s="16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70</v>
      </c>
      <c r="B25" s="14" t="s">
        <v>71</v>
      </c>
      <c r="C25" s="103">
        <v>0.97222222222222221</v>
      </c>
      <c r="D25" s="14" t="s">
        <v>74</v>
      </c>
      <c r="E25" s="14" t="s">
        <v>38</v>
      </c>
      <c r="F25" s="14" t="s">
        <v>75</v>
      </c>
      <c r="G25" s="16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76</v>
      </c>
      <c r="B26" s="15" t="s">
        <v>77</v>
      </c>
      <c r="C26" s="104">
        <v>9.0277777777777776E-2</v>
      </c>
      <c r="D26" s="15" t="s">
        <v>49</v>
      </c>
      <c r="E26" s="15" t="s">
        <v>50</v>
      </c>
      <c r="F26" s="15" t="s">
        <v>78</v>
      </c>
      <c r="G26" s="16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47</v>
      </c>
      <c r="B27" s="15" t="s">
        <v>79</v>
      </c>
      <c r="C27" s="104">
        <v>0.89583333333333337</v>
      </c>
      <c r="D27" s="15" t="s">
        <v>49</v>
      </c>
      <c r="E27" s="15" t="s">
        <v>80</v>
      </c>
      <c r="F27" s="15" t="s">
        <v>51</v>
      </c>
      <c r="G27" s="16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5" t="s">
        <v>26</v>
      </c>
      <c r="B28" s="15" t="s">
        <v>27</v>
      </c>
      <c r="C28" s="104">
        <v>0.30555555555555558</v>
      </c>
      <c r="D28" s="15" t="s">
        <v>28</v>
      </c>
      <c r="E28" s="15" t="s">
        <v>81</v>
      </c>
      <c r="F28" s="15" t="s">
        <v>82</v>
      </c>
      <c r="G28" s="16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27</v>
      </c>
      <c r="C29" s="103">
        <v>0.30555555555555558</v>
      </c>
      <c r="D29" s="14" t="s">
        <v>31</v>
      </c>
      <c r="E29" s="14" t="s">
        <v>81</v>
      </c>
      <c r="F29" s="14" t="s">
        <v>83</v>
      </c>
      <c r="G29" s="16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27</v>
      </c>
      <c r="C30" s="103">
        <v>0.30555555555555558</v>
      </c>
      <c r="D30" s="14" t="s">
        <v>33</v>
      </c>
      <c r="E30" s="14" t="s">
        <v>81</v>
      </c>
      <c r="F30" s="14" t="s">
        <v>84</v>
      </c>
      <c r="G30" s="16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5" t="s">
        <v>58</v>
      </c>
      <c r="B31" s="15" t="s">
        <v>59</v>
      </c>
      <c r="C31" s="104">
        <v>0.1701388888888889</v>
      </c>
      <c r="D31" s="15" t="s">
        <v>85</v>
      </c>
      <c r="E31" s="15" t="s">
        <v>44</v>
      </c>
      <c r="F31" s="15" t="s">
        <v>86</v>
      </c>
      <c r="G31" s="16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58</v>
      </c>
      <c r="B32" s="16" t="s">
        <v>63</v>
      </c>
      <c r="C32" s="105">
        <v>0.52777777777777779</v>
      </c>
      <c r="D32" s="16" t="s">
        <v>60</v>
      </c>
      <c r="E32" s="16" t="s">
        <v>50</v>
      </c>
      <c r="F32" s="16" t="s">
        <v>87</v>
      </c>
      <c r="G32" s="16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58</v>
      </c>
      <c r="B33" s="16" t="s">
        <v>61</v>
      </c>
      <c r="C33" s="105">
        <v>0.86458333333333337</v>
      </c>
      <c r="D33" s="16" t="s">
        <v>60</v>
      </c>
      <c r="E33" s="16" t="s">
        <v>50</v>
      </c>
      <c r="F33" s="16" t="s">
        <v>88</v>
      </c>
      <c r="G33" s="16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5" t="s">
        <v>35</v>
      </c>
      <c r="B34" s="15" t="s">
        <v>43</v>
      </c>
      <c r="C34" s="104">
        <v>0.83333333333333337</v>
      </c>
      <c r="D34" s="15" t="s">
        <v>37</v>
      </c>
      <c r="E34" s="15" t="s">
        <v>89</v>
      </c>
      <c r="F34" s="15" t="s">
        <v>90</v>
      </c>
      <c r="G34" s="16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35</v>
      </c>
      <c r="B35" s="14" t="s">
        <v>43</v>
      </c>
      <c r="C35" s="103">
        <v>0.83333333333333337</v>
      </c>
      <c r="D35" s="14" t="s">
        <v>40</v>
      </c>
      <c r="E35" s="14" t="s">
        <v>89</v>
      </c>
      <c r="F35" s="14" t="s">
        <v>91</v>
      </c>
      <c r="G35" s="16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35</v>
      </c>
      <c r="B36" s="14" t="s">
        <v>43</v>
      </c>
      <c r="C36" s="103">
        <v>0.83333333333333337</v>
      </c>
      <c r="D36" s="14" t="s">
        <v>33</v>
      </c>
      <c r="E36" s="14" t="s">
        <v>89</v>
      </c>
      <c r="F36" s="14" t="s">
        <v>92</v>
      </c>
      <c r="G36" s="16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thickBot="1" x14ac:dyDescent="0.35">
      <c r="A37" s="23" t="s">
        <v>65</v>
      </c>
      <c r="B37" s="23" t="s">
        <v>66</v>
      </c>
      <c r="C37" s="109">
        <v>0.30555555555555558</v>
      </c>
      <c r="D37" s="23" t="s">
        <v>67</v>
      </c>
      <c r="E37" s="23" t="s">
        <v>68</v>
      </c>
      <c r="F37" s="23" t="s">
        <v>93</v>
      </c>
      <c r="G37" s="169"/>
      <c r="H37" s="24"/>
      <c r="I37" s="25"/>
      <c r="J37" s="25"/>
      <c r="K37" s="25"/>
      <c r="L37" s="25"/>
      <c r="M37" s="25"/>
      <c r="N37" s="25"/>
      <c r="O37" s="26"/>
      <c r="P37" s="25"/>
      <c r="Q37" s="27"/>
      <c r="R37" s="28"/>
    </row>
    <row r="38" spans="1:18" ht="17.399999999999999" customHeight="1" thickBot="1" x14ac:dyDescent="0.35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3"/>
    </row>
    <row r="39" spans="1:18" ht="22.05" customHeight="1" thickTop="1" thickBot="1" x14ac:dyDescent="0.35">
      <c r="A39" s="166" t="s">
        <v>6</v>
      </c>
      <c r="B39" s="159"/>
      <c r="C39" s="159"/>
      <c r="D39" s="159"/>
      <c r="E39" s="159"/>
      <c r="F39" s="160"/>
      <c r="G39" s="110">
        <v>45995</v>
      </c>
      <c r="H39" s="158" t="s">
        <v>7</v>
      </c>
      <c r="I39" s="159"/>
      <c r="J39" s="159"/>
      <c r="K39" s="159"/>
      <c r="L39" s="159"/>
      <c r="M39" s="159"/>
      <c r="N39" s="159"/>
      <c r="O39" s="159"/>
      <c r="P39" s="159"/>
      <c r="Q39" s="159"/>
      <c r="R39" s="160"/>
    </row>
    <row r="40" spans="1:18" ht="24" customHeight="1" x14ac:dyDescent="0.3">
      <c r="A40" s="29" t="s">
        <v>8</v>
      </c>
      <c r="B40" s="29" t="s">
        <v>9</v>
      </c>
      <c r="C40" s="111" t="s">
        <v>10</v>
      </c>
      <c r="D40" s="29" t="s">
        <v>11</v>
      </c>
      <c r="E40" s="29" t="s">
        <v>12</v>
      </c>
      <c r="F40" s="30" t="s">
        <v>13</v>
      </c>
      <c r="G40" s="31" t="s">
        <v>14</v>
      </c>
      <c r="H40" s="29" t="s">
        <v>15</v>
      </c>
      <c r="I40" s="112" t="s">
        <v>16</v>
      </c>
      <c r="J40" s="32" t="s">
        <v>17</v>
      </c>
      <c r="K40" s="33" t="s">
        <v>18</v>
      </c>
      <c r="L40" s="32" t="s">
        <v>19</v>
      </c>
      <c r="M40" s="32" t="s">
        <v>20</v>
      </c>
      <c r="N40" s="32" t="s">
        <v>21</v>
      </c>
      <c r="O40" s="29" t="s">
        <v>22</v>
      </c>
      <c r="P40" s="111" t="s">
        <v>23</v>
      </c>
      <c r="Q40" s="32" t="s">
        <v>24</v>
      </c>
      <c r="R40" s="29" t="s">
        <v>25</v>
      </c>
    </row>
    <row r="41" spans="1:18" ht="15" customHeight="1" x14ac:dyDescent="0.3">
      <c r="A41" s="8" t="s">
        <v>26</v>
      </c>
      <c r="B41" s="8" t="s">
        <v>27</v>
      </c>
      <c r="C41" s="102">
        <v>0.30555555555555558</v>
      </c>
      <c r="D41" s="8" t="s">
        <v>28</v>
      </c>
      <c r="E41" s="8" t="s">
        <v>89</v>
      </c>
      <c r="F41" s="8" t="s">
        <v>30</v>
      </c>
      <c r="G41" s="16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27</v>
      </c>
      <c r="C42" s="103">
        <v>0.30555555555555558</v>
      </c>
      <c r="D42" s="14" t="s">
        <v>31</v>
      </c>
      <c r="E42" s="14" t="s">
        <v>89</v>
      </c>
      <c r="F42" s="14" t="s">
        <v>32</v>
      </c>
      <c r="G42" s="16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27</v>
      </c>
      <c r="C43" s="103">
        <v>0.30555555555555558</v>
      </c>
      <c r="D43" s="14" t="s">
        <v>33</v>
      </c>
      <c r="E43" s="14" t="s">
        <v>89</v>
      </c>
      <c r="F43" s="14" t="s">
        <v>84</v>
      </c>
      <c r="G43" s="16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35</v>
      </c>
      <c r="B44" s="15" t="s">
        <v>36</v>
      </c>
      <c r="C44" s="104">
        <v>0.19791666666666671</v>
      </c>
      <c r="D44" s="15" t="s">
        <v>37</v>
      </c>
      <c r="E44" s="15" t="s">
        <v>80</v>
      </c>
      <c r="F44" s="15" t="s">
        <v>39</v>
      </c>
      <c r="G44" s="16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35</v>
      </c>
      <c r="B45" s="14" t="s">
        <v>36</v>
      </c>
      <c r="C45" s="103">
        <v>0.19791666666666671</v>
      </c>
      <c r="D45" s="14" t="s">
        <v>40</v>
      </c>
      <c r="E45" s="14" t="s">
        <v>80</v>
      </c>
      <c r="F45" s="14" t="s">
        <v>41</v>
      </c>
      <c r="G45" s="16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35</v>
      </c>
      <c r="B46" s="14" t="s">
        <v>36</v>
      </c>
      <c r="C46" s="103">
        <v>0.19791666666666671</v>
      </c>
      <c r="D46" s="14" t="s">
        <v>33</v>
      </c>
      <c r="E46" s="14" t="s">
        <v>80</v>
      </c>
      <c r="F46" s="14" t="s">
        <v>42</v>
      </c>
      <c r="G46" s="16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35</v>
      </c>
      <c r="B47" s="16" t="s">
        <v>43</v>
      </c>
      <c r="C47" s="105">
        <v>0.83333333333333337</v>
      </c>
      <c r="D47" s="16" t="s">
        <v>37</v>
      </c>
      <c r="E47" s="16" t="s">
        <v>38</v>
      </c>
      <c r="F47" s="16" t="s">
        <v>94</v>
      </c>
      <c r="G47" s="16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35</v>
      </c>
      <c r="B48" s="14" t="s">
        <v>43</v>
      </c>
      <c r="C48" s="103">
        <v>0.83333333333333337</v>
      </c>
      <c r="D48" s="14" t="s">
        <v>40</v>
      </c>
      <c r="E48" s="14" t="s">
        <v>38</v>
      </c>
      <c r="F48" s="14" t="s">
        <v>95</v>
      </c>
      <c r="G48" s="16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35</v>
      </c>
      <c r="B49" s="14" t="s">
        <v>43</v>
      </c>
      <c r="C49" s="103">
        <v>0.83333333333333337</v>
      </c>
      <c r="D49" s="14" t="s">
        <v>33</v>
      </c>
      <c r="E49" s="14" t="s">
        <v>38</v>
      </c>
      <c r="F49" s="14" t="s">
        <v>96</v>
      </c>
      <c r="G49" s="16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5" t="s">
        <v>76</v>
      </c>
      <c r="B50" s="15" t="s">
        <v>77</v>
      </c>
      <c r="C50" s="104">
        <v>0.88888888888888884</v>
      </c>
      <c r="D50" s="15" t="s">
        <v>49</v>
      </c>
      <c r="E50" s="15" t="s">
        <v>50</v>
      </c>
      <c r="F50" s="15" t="s">
        <v>78</v>
      </c>
      <c r="G50" s="16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47</v>
      </c>
      <c r="B51" s="15" t="s">
        <v>97</v>
      </c>
      <c r="C51" s="104">
        <v>0.5625</v>
      </c>
      <c r="D51" s="15" t="s">
        <v>49</v>
      </c>
      <c r="E51" s="15" t="s">
        <v>98</v>
      </c>
      <c r="F51" s="15" t="s">
        <v>51</v>
      </c>
      <c r="G51" s="16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47</v>
      </c>
      <c r="B52" s="16" t="s">
        <v>48</v>
      </c>
      <c r="C52" s="105">
        <v>0.95833333333333337</v>
      </c>
      <c r="D52" s="16" t="s">
        <v>49</v>
      </c>
      <c r="E52" s="16" t="s">
        <v>50</v>
      </c>
      <c r="F52" s="16" t="s">
        <v>51</v>
      </c>
      <c r="G52" s="16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34" t="s">
        <v>52</v>
      </c>
      <c r="B53" s="34" t="s">
        <v>53</v>
      </c>
      <c r="C53" s="113">
        <v>0.92361111111111116</v>
      </c>
      <c r="D53" s="34" t="s">
        <v>49</v>
      </c>
      <c r="E53" s="34" t="s">
        <v>89</v>
      </c>
      <c r="F53" s="34" t="s">
        <v>51</v>
      </c>
      <c r="G53" s="168"/>
      <c r="H53" s="35" t="s">
        <v>55</v>
      </c>
      <c r="I53" s="114">
        <v>0.58930000000000005</v>
      </c>
      <c r="J53" s="36">
        <v>99</v>
      </c>
      <c r="K53" s="37">
        <v>45992</v>
      </c>
      <c r="L53" s="36">
        <v>49</v>
      </c>
      <c r="M53" s="36">
        <v>8</v>
      </c>
      <c r="N53" s="36">
        <v>1</v>
      </c>
      <c r="O53" s="38" t="s">
        <v>99</v>
      </c>
      <c r="P53" s="115">
        <v>0.92361111111111116</v>
      </c>
      <c r="Q53" s="36">
        <v>168</v>
      </c>
      <c r="R53" s="39" t="s">
        <v>100</v>
      </c>
    </row>
    <row r="54" spans="1:18" ht="15" customHeight="1" x14ac:dyDescent="0.3">
      <c r="A54" s="15" t="s">
        <v>58</v>
      </c>
      <c r="B54" s="15" t="s">
        <v>59</v>
      </c>
      <c r="C54" s="104">
        <v>0.1701388888888889</v>
      </c>
      <c r="D54" s="15" t="s">
        <v>85</v>
      </c>
      <c r="E54" s="15" t="s">
        <v>50</v>
      </c>
      <c r="F54" s="15" t="s">
        <v>86</v>
      </c>
      <c r="G54" s="16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58</v>
      </c>
      <c r="B55" s="16" t="s">
        <v>63</v>
      </c>
      <c r="C55" s="105">
        <v>0.52777777777777779</v>
      </c>
      <c r="D55" s="16" t="s">
        <v>60</v>
      </c>
      <c r="E55" s="16" t="s">
        <v>50</v>
      </c>
      <c r="F55" s="16" t="s">
        <v>62</v>
      </c>
      <c r="G55" s="16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58</v>
      </c>
      <c r="B56" s="16" t="s">
        <v>61</v>
      </c>
      <c r="C56" s="105">
        <v>0.86458333333333337</v>
      </c>
      <c r="D56" s="16" t="s">
        <v>60</v>
      </c>
      <c r="E56" s="16" t="s">
        <v>50</v>
      </c>
      <c r="F56" s="16" t="s">
        <v>101</v>
      </c>
      <c r="G56" s="16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thickBot="1" x14ac:dyDescent="0.35">
      <c r="A57" s="23" t="s">
        <v>65</v>
      </c>
      <c r="B57" s="23" t="s">
        <v>66</v>
      </c>
      <c r="C57" s="109">
        <v>0.30555555555555558</v>
      </c>
      <c r="D57" s="23" t="s">
        <v>67</v>
      </c>
      <c r="E57" s="23" t="s">
        <v>68</v>
      </c>
      <c r="F57" s="23" t="s">
        <v>102</v>
      </c>
      <c r="G57" s="169"/>
      <c r="H57" s="24"/>
      <c r="I57" s="25"/>
      <c r="J57" s="25"/>
      <c r="K57" s="25"/>
      <c r="L57" s="25"/>
      <c r="M57" s="25"/>
      <c r="N57" s="25"/>
      <c r="O57" s="26"/>
      <c r="P57" s="25"/>
      <c r="Q57" s="27"/>
      <c r="R57" s="28"/>
    </row>
    <row r="58" spans="1:18" ht="17.399999999999999" customHeight="1" thickBot="1" x14ac:dyDescent="0.35">
      <c r="A58" s="161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3"/>
    </row>
    <row r="59" spans="1:18" ht="22.05" customHeight="1" thickTop="1" thickBot="1" x14ac:dyDescent="0.35">
      <c r="A59" s="166" t="s">
        <v>6</v>
      </c>
      <c r="B59" s="159"/>
      <c r="C59" s="159"/>
      <c r="D59" s="159"/>
      <c r="E59" s="159"/>
      <c r="F59" s="160"/>
      <c r="G59" s="110">
        <v>45996</v>
      </c>
      <c r="H59" s="158" t="s">
        <v>7</v>
      </c>
      <c r="I59" s="159"/>
      <c r="J59" s="159"/>
      <c r="K59" s="159"/>
      <c r="L59" s="159"/>
      <c r="M59" s="159"/>
      <c r="N59" s="159"/>
      <c r="O59" s="159"/>
      <c r="P59" s="159"/>
      <c r="Q59" s="159"/>
      <c r="R59" s="160"/>
    </row>
    <row r="60" spans="1:18" ht="24" customHeight="1" x14ac:dyDescent="0.3">
      <c r="A60" s="29" t="s">
        <v>8</v>
      </c>
      <c r="B60" s="29" t="s">
        <v>9</v>
      </c>
      <c r="C60" s="111" t="s">
        <v>10</v>
      </c>
      <c r="D60" s="29" t="s">
        <v>11</v>
      </c>
      <c r="E60" s="29" t="s">
        <v>12</v>
      </c>
      <c r="F60" s="30" t="s">
        <v>13</v>
      </c>
      <c r="G60" s="31" t="s">
        <v>14</v>
      </c>
      <c r="H60" s="29" t="s">
        <v>15</v>
      </c>
      <c r="I60" s="112" t="s">
        <v>16</v>
      </c>
      <c r="J60" s="32" t="s">
        <v>17</v>
      </c>
      <c r="K60" s="33" t="s">
        <v>18</v>
      </c>
      <c r="L60" s="32" t="s">
        <v>19</v>
      </c>
      <c r="M60" s="32" t="s">
        <v>20</v>
      </c>
      <c r="N60" s="32" t="s">
        <v>21</v>
      </c>
      <c r="O60" s="29" t="s">
        <v>22</v>
      </c>
      <c r="P60" s="111" t="s">
        <v>23</v>
      </c>
      <c r="Q60" s="32" t="s">
        <v>24</v>
      </c>
      <c r="R60" s="29" t="s">
        <v>25</v>
      </c>
    </row>
    <row r="61" spans="1:18" ht="15" customHeight="1" x14ac:dyDescent="0.3">
      <c r="A61" s="8" t="s">
        <v>26</v>
      </c>
      <c r="B61" s="8" t="s">
        <v>27</v>
      </c>
      <c r="C61" s="102">
        <v>0.30555555555555558</v>
      </c>
      <c r="D61" s="8" t="s">
        <v>103</v>
      </c>
      <c r="E61" s="8" t="s">
        <v>98</v>
      </c>
      <c r="F61" s="8" t="s">
        <v>104</v>
      </c>
      <c r="G61" s="16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5" t="s">
        <v>47</v>
      </c>
      <c r="B62" s="15" t="s">
        <v>79</v>
      </c>
      <c r="C62" s="104">
        <v>0.95833333333333337</v>
      </c>
      <c r="D62" s="15" t="s">
        <v>49</v>
      </c>
      <c r="E62" s="15" t="s">
        <v>44</v>
      </c>
      <c r="F62" s="15" t="s">
        <v>51</v>
      </c>
      <c r="G62" s="16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40" t="s">
        <v>52</v>
      </c>
      <c r="B63" s="40" t="s">
        <v>53</v>
      </c>
      <c r="C63" s="116">
        <v>0.57986111111111116</v>
      </c>
      <c r="D63" s="40" t="s">
        <v>49</v>
      </c>
      <c r="E63" s="40" t="s">
        <v>50</v>
      </c>
      <c r="F63" s="40" t="s">
        <v>51</v>
      </c>
      <c r="G63" s="168"/>
      <c r="H63" s="41" t="s">
        <v>55</v>
      </c>
      <c r="I63" s="117">
        <v>0.52980000000000005</v>
      </c>
      <c r="J63" s="42">
        <v>89</v>
      </c>
      <c r="K63" s="43">
        <v>45992</v>
      </c>
      <c r="L63" s="42">
        <v>31</v>
      </c>
      <c r="M63" s="42">
        <v>4</v>
      </c>
      <c r="N63" s="42">
        <v>1</v>
      </c>
      <c r="O63" s="44" t="s">
        <v>105</v>
      </c>
      <c r="P63" s="118">
        <v>0.57986111111111116</v>
      </c>
      <c r="Q63" s="42">
        <v>168</v>
      </c>
      <c r="R63" s="45" t="s">
        <v>106</v>
      </c>
    </row>
    <row r="64" spans="1:18" ht="15" customHeight="1" x14ac:dyDescent="0.3">
      <c r="A64" s="15" t="s">
        <v>35</v>
      </c>
      <c r="B64" s="15" t="s">
        <v>43</v>
      </c>
      <c r="C64" s="104">
        <v>0.83680555555555558</v>
      </c>
      <c r="D64" s="15" t="s">
        <v>37</v>
      </c>
      <c r="E64" s="15" t="s">
        <v>89</v>
      </c>
      <c r="F64" s="15" t="s">
        <v>107</v>
      </c>
      <c r="G64" s="16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35</v>
      </c>
      <c r="B65" s="14" t="s">
        <v>43</v>
      </c>
      <c r="C65" s="103">
        <v>0.83680555555555558</v>
      </c>
      <c r="D65" s="14" t="s">
        <v>40</v>
      </c>
      <c r="E65" s="14" t="s">
        <v>89</v>
      </c>
      <c r="F65" s="14" t="s">
        <v>108</v>
      </c>
      <c r="G65" s="16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35</v>
      </c>
      <c r="B66" s="14" t="s">
        <v>43</v>
      </c>
      <c r="C66" s="103">
        <v>0.83680555555555558</v>
      </c>
      <c r="D66" s="14" t="s">
        <v>33</v>
      </c>
      <c r="E66" s="14" t="s">
        <v>89</v>
      </c>
      <c r="F66" s="14" t="s">
        <v>109</v>
      </c>
      <c r="G66" s="16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58</v>
      </c>
      <c r="B67" s="15" t="s">
        <v>61</v>
      </c>
      <c r="C67" s="104">
        <v>0.86458333333333337</v>
      </c>
      <c r="D67" s="15" t="s">
        <v>60</v>
      </c>
      <c r="E67" s="15" t="s">
        <v>50</v>
      </c>
      <c r="F67" s="15" t="s">
        <v>110</v>
      </c>
      <c r="G67" s="16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58</v>
      </c>
      <c r="B68" s="16" t="s">
        <v>59</v>
      </c>
      <c r="C68" s="105">
        <v>0.1701388888888889</v>
      </c>
      <c r="D68" s="16" t="s">
        <v>60</v>
      </c>
      <c r="E68" s="16" t="s">
        <v>50</v>
      </c>
      <c r="F68" s="16" t="s">
        <v>111</v>
      </c>
      <c r="G68" s="16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58</v>
      </c>
      <c r="B69" s="16" t="s">
        <v>63</v>
      </c>
      <c r="C69" s="105">
        <v>0.52777777777777779</v>
      </c>
      <c r="D69" s="16" t="s">
        <v>60</v>
      </c>
      <c r="E69" s="16" t="s">
        <v>50</v>
      </c>
      <c r="F69" s="16" t="s">
        <v>88</v>
      </c>
      <c r="G69" s="16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thickBot="1" x14ac:dyDescent="0.35">
      <c r="A70" s="23" t="s">
        <v>65</v>
      </c>
      <c r="B70" s="23" t="s">
        <v>66</v>
      </c>
      <c r="C70" s="109">
        <v>0.30555555555555558</v>
      </c>
      <c r="D70" s="23" t="s">
        <v>67</v>
      </c>
      <c r="E70" s="23" t="s">
        <v>68</v>
      </c>
      <c r="F70" s="23" t="s">
        <v>102</v>
      </c>
      <c r="G70" s="169"/>
      <c r="H70" s="24"/>
      <c r="I70" s="25"/>
      <c r="J70" s="25"/>
      <c r="K70" s="25"/>
      <c r="L70" s="25"/>
      <c r="M70" s="25"/>
      <c r="N70" s="25"/>
      <c r="O70" s="26"/>
      <c r="P70" s="25"/>
      <c r="Q70" s="27"/>
      <c r="R70" s="28"/>
    </row>
    <row r="71" spans="1:18" ht="17.399999999999999" customHeight="1" thickBot="1" x14ac:dyDescent="0.35">
      <c r="A71" s="161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3"/>
    </row>
    <row r="72" spans="1:18" ht="22.05" customHeight="1" thickTop="1" thickBot="1" x14ac:dyDescent="0.35">
      <c r="A72" s="166" t="s">
        <v>6</v>
      </c>
      <c r="B72" s="159"/>
      <c r="C72" s="159"/>
      <c r="D72" s="159"/>
      <c r="E72" s="159"/>
      <c r="F72" s="160"/>
      <c r="G72" s="110">
        <v>45997</v>
      </c>
      <c r="H72" s="158" t="s">
        <v>7</v>
      </c>
      <c r="I72" s="159"/>
      <c r="J72" s="159"/>
      <c r="K72" s="159"/>
      <c r="L72" s="159"/>
      <c r="M72" s="159"/>
      <c r="N72" s="159"/>
      <c r="O72" s="159"/>
      <c r="P72" s="159"/>
      <c r="Q72" s="159"/>
      <c r="R72" s="160"/>
    </row>
    <row r="73" spans="1:18" ht="24" customHeight="1" x14ac:dyDescent="0.3">
      <c r="A73" s="29" t="s">
        <v>8</v>
      </c>
      <c r="B73" s="29" t="s">
        <v>9</v>
      </c>
      <c r="C73" s="111" t="s">
        <v>10</v>
      </c>
      <c r="D73" s="29" t="s">
        <v>11</v>
      </c>
      <c r="E73" s="29" t="s">
        <v>12</v>
      </c>
      <c r="F73" s="30" t="s">
        <v>13</v>
      </c>
      <c r="G73" s="31" t="s">
        <v>14</v>
      </c>
      <c r="H73" s="29" t="s">
        <v>15</v>
      </c>
      <c r="I73" s="112" t="s">
        <v>16</v>
      </c>
      <c r="J73" s="32" t="s">
        <v>17</v>
      </c>
      <c r="K73" s="33" t="s">
        <v>18</v>
      </c>
      <c r="L73" s="32" t="s">
        <v>19</v>
      </c>
      <c r="M73" s="32" t="s">
        <v>20</v>
      </c>
      <c r="N73" s="32" t="s">
        <v>21</v>
      </c>
      <c r="O73" s="29" t="s">
        <v>22</v>
      </c>
      <c r="P73" s="111" t="s">
        <v>23</v>
      </c>
      <c r="Q73" s="32" t="s">
        <v>24</v>
      </c>
      <c r="R73" s="29" t="s">
        <v>25</v>
      </c>
    </row>
    <row r="74" spans="1:18" ht="15" customHeight="1" x14ac:dyDescent="0.3">
      <c r="A74" s="8" t="s">
        <v>26</v>
      </c>
      <c r="B74" s="8" t="s">
        <v>27</v>
      </c>
      <c r="C74" s="102">
        <v>0.30555555555555558</v>
      </c>
      <c r="D74" s="8" t="s">
        <v>28</v>
      </c>
      <c r="E74" s="8" t="s">
        <v>112</v>
      </c>
      <c r="F74" s="8" t="s">
        <v>113</v>
      </c>
      <c r="G74" s="16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03">
        <v>0.30555555555555558</v>
      </c>
      <c r="D75" s="14" t="s">
        <v>31</v>
      </c>
      <c r="E75" s="14" t="s">
        <v>112</v>
      </c>
      <c r="F75" s="14" t="s">
        <v>114</v>
      </c>
      <c r="G75" s="16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27</v>
      </c>
      <c r="C76" s="103">
        <v>0.30555555555555558</v>
      </c>
      <c r="D76" s="14" t="s">
        <v>33</v>
      </c>
      <c r="E76" s="14" t="s">
        <v>112</v>
      </c>
      <c r="F76" s="14" t="s">
        <v>84</v>
      </c>
      <c r="G76" s="16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35</v>
      </c>
      <c r="B77" s="15" t="s">
        <v>36</v>
      </c>
      <c r="C77" s="104">
        <v>0.2013888888888889</v>
      </c>
      <c r="D77" s="15" t="s">
        <v>37</v>
      </c>
      <c r="E77" s="15" t="s">
        <v>38</v>
      </c>
      <c r="F77" s="15" t="s">
        <v>39</v>
      </c>
      <c r="G77" s="16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35</v>
      </c>
      <c r="B78" s="14" t="s">
        <v>36</v>
      </c>
      <c r="C78" s="103">
        <v>0.2013888888888889</v>
      </c>
      <c r="D78" s="14" t="s">
        <v>40</v>
      </c>
      <c r="E78" s="14" t="s">
        <v>38</v>
      </c>
      <c r="F78" s="14" t="s">
        <v>41</v>
      </c>
      <c r="G78" s="16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35</v>
      </c>
      <c r="B79" s="14" t="s">
        <v>36</v>
      </c>
      <c r="C79" s="103">
        <v>0.2013888888888889</v>
      </c>
      <c r="D79" s="14" t="s">
        <v>33</v>
      </c>
      <c r="E79" s="14" t="s">
        <v>38</v>
      </c>
      <c r="F79" s="14" t="s">
        <v>42</v>
      </c>
      <c r="G79" s="16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35</v>
      </c>
      <c r="B80" s="16" t="s">
        <v>43</v>
      </c>
      <c r="C80" s="105">
        <v>0.83680555555555558</v>
      </c>
      <c r="D80" s="16" t="s">
        <v>37</v>
      </c>
      <c r="E80" s="16" t="s">
        <v>98</v>
      </c>
      <c r="F80" s="16" t="s">
        <v>51</v>
      </c>
      <c r="G80" s="16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35</v>
      </c>
      <c r="B81" s="14" t="s">
        <v>43</v>
      </c>
      <c r="C81" s="103">
        <v>0.83680555555555558</v>
      </c>
      <c r="D81" s="14" t="s">
        <v>40</v>
      </c>
      <c r="E81" s="14" t="s">
        <v>98</v>
      </c>
      <c r="F81" s="14" t="s">
        <v>90</v>
      </c>
      <c r="G81" s="16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35</v>
      </c>
      <c r="B82" s="14" t="s">
        <v>43</v>
      </c>
      <c r="C82" s="103">
        <v>0.83680555555555558</v>
      </c>
      <c r="D82" s="14" t="s">
        <v>33</v>
      </c>
      <c r="E82" s="14" t="s">
        <v>98</v>
      </c>
      <c r="F82" s="14" t="s">
        <v>115</v>
      </c>
      <c r="G82" s="16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5" t="s">
        <v>70</v>
      </c>
      <c r="B83" s="15" t="s">
        <v>71</v>
      </c>
      <c r="C83" s="104">
        <v>0.97222222222222221</v>
      </c>
      <c r="D83" s="15" t="s">
        <v>72</v>
      </c>
      <c r="E83" s="15" t="s">
        <v>38</v>
      </c>
      <c r="F83" s="15" t="s">
        <v>116</v>
      </c>
      <c r="G83" s="16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70</v>
      </c>
      <c r="B84" s="14" t="s">
        <v>71</v>
      </c>
      <c r="C84" s="103">
        <v>0.97222222222222221</v>
      </c>
      <c r="D84" s="14" t="s">
        <v>74</v>
      </c>
      <c r="E84" s="14" t="s">
        <v>38</v>
      </c>
      <c r="F84" s="14" t="s">
        <v>117</v>
      </c>
      <c r="G84" s="16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40" t="s">
        <v>52</v>
      </c>
      <c r="B85" s="40" t="s">
        <v>53</v>
      </c>
      <c r="C85" s="116">
        <v>0.92361111111111116</v>
      </c>
      <c r="D85" s="40" t="s">
        <v>49</v>
      </c>
      <c r="E85" s="40" t="s">
        <v>50</v>
      </c>
      <c r="F85" s="40" t="s">
        <v>51</v>
      </c>
      <c r="G85" s="168"/>
      <c r="H85" s="41" t="s">
        <v>55</v>
      </c>
      <c r="I85" s="117">
        <v>0.21429999999999999</v>
      </c>
      <c r="J85" s="42">
        <v>36</v>
      </c>
      <c r="K85" s="43">
        <v>45991</v>
      </c>
      <c r="L85" s="42">
        <v>14</v>
      </c>
      <c r="M85" s="42">
        <v>0</v>
      </c>
      <c r="N85" s="42">
        <v>2</v>
      </c>
      <c r="O85" s="44" t="s">
        <v>105</v>
      </c>
      <c r="P85" s="118">
        <v>0.92361111111111116</v>
      </c>
      <c r="Q85" s="42">
        <v>168</v>
      </c>
      <c r="R85" s="45" t="s">
        <v>118</v>
      </c>
    </row>
    <row r="86" spans="1:18" ht="15" customHeight="1" x14ac:dyDescent="0.3">
      <c r="A86" s="15" t="s">
        <v>47</v>
      </c>
      <c r="B86" s="15" t="s">
        <v>48</v>
      </c>
      <c r="C86" s="104">
        <v>0.89583333333333337</v>
      </c>
      <c r="D86" s="15" t="s">
        <v>49</v>
      </c>
      <c r="E86" s="15" t="s">
        <v>50</v>
      </c>
      <c r="F86" s="15" t="s">
        <v>51</v>
      </c>
      <c r="G86" s="16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58</v>
      </c>
      <c r="B87" s="15" t="s">
        <v>61</v>
      </c>
      <c r="C87" s="104">
        <v>0.86458333333333337</v>
      </c>
      <c r="D87" s="15" t="s">
        <v>85</v>
      </c>
      <c r="E87" s="15" t="s">
        <v>81</v>
      </c>
      <c r="F87" s="15" t="s">
        <v>86</v>
      </c>
      <c r="G87" s="16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58</v>
      </c>
      <c r="B88" s="16" t="s">
        <v>59</v>
      </c>
      <c r="C88" s="105">
        <v>0.1701388888888889</v>
      </c>
      <c r="D88" s="16" t="s">
        <v>85</v>
      </c>
      <c r="E88" s="16" t="s">
        <v>50</v>
      </c>
      <c r="F88" s="16" t="s">
        <v>119</v>
      </c>
      <c r="G88" s="16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58</v>
      </c>
      <c r="B89" s="16" t="s">
        <v>63</v>
      </c>
      <c r="C89" s="105">
        <v>0.52777777777777779</v>
      </c>
      <c r="D89" s="16" t="s">
        <v>60</v>
      </c>
      <c r="E89" s="16" t="s">
        <v>50</v>
      </c>
      <c r="F89" s="16" t="s">
        <v>110</v>
      </c>
      <c r="G89" s="16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thickBot="1" x14ac:dyDescent="0.35">
      <c r="A90" s="23" t="s">
        <v>65</v>
      </c>
      <c r="B90" s="23" t="s">
        <v>66</v>
      </c>
      <c r="C90" s="109">
        <v>0.30555555555555558</v>
      </c>
      <c r="D90" s="23" t="s">
        <v>67</v>
      </c>
      <c r="E90" s="23" t="s">
        <v>68</v>
      </c>
      <c r="F90" s="23" t="s">
        <v>120</v>
      </c>
      <c r="G90" s="169"/>
      <c r="H90" s="24"/>
      <c r="I90" s="25"/>
      <c r="J90" s="25"/>
      <c r="K90" s="25"/>
      <c r="L90" s="25"/>
      <c r="M90" s="25"/>
      <c r="N90" s="25"/>
      <c r="O90" s="26"/>
      <c r="P90" s="25"/>
      <c r="Q90" s="27"/>
      <c r="R90" s="28"/>
    </row>
    <row r="91" spans="1:18" ht="17.399999999999999" customHeight="1" thickBot="1" x14ac:dyDescent="0.35">
      <c r="A91" s="161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3"/>
    </row>
    <row r="92" spans="1:18" ht="22.05" customHeight="1" thickTop="1" thickBot="1" x14ac:dyDescent="0.35">
      <c r="A92" s="166" t="s">
        <v>6</v>
      </c>
      <c r="B92" s="159"/>
      <c r="C92" s="159"/>
      <c r="D92" s="159"/>
      <c r="E92" s="159"/>
      <c r="F92" s="160"/>
      <c r="G92" s="110">
        <v>45998</v>
      </c>
      <c r="H92" s="158" t="s">
        <v>7</v>
      </c>
      <c r="I92" s="159"/>
      <c r="J92" s="159"/>
      <c r="K92" s="159"/>
      <c r="L92" s="159"/>
      <c r="M92" s="159"/>
      <c r="N92" s="159"/>
      <c r="O92" s="159"/>
      <c r="P92" s="159"/>
      <c r="Q92" s="159"/>
      <c r="R92" s="160"/>
    </row>
    <row r="93" spans="1:18" ht="24" customHeight="1" x14ac:dyDescent="0.3">
      <c r="A93" s="29" t="s">
        <v>8</v>
      </c>
      <c r="B93" s="29" t="s">
        <v>9</v>
      </c>
      <c r="C93" s="111" t="s">
        <v>10</v>
      </c>
      <c r="D93" s="29" t="s">
        <v>11</v>
      </c>
      <c r="E93" s="29" t="s">
        <v>12</v>
      </c>
      <c r="F93" s="30" t="s">
        <v>13</v>
      </c>
      <c r="G93" s="31" t="s">
        <v>14</v>
      </c>
      <c r="H93" s="29" t="s">
        <v>15</v>
      </c>
      <c r="I93" s="112" t="s">
        <v>16</v>
      </c>
      <c r="J93" s="32" t="s">
        <v>17</v>
      </c>
      <c r="K93" s="33" t="s">
        <v>18</v>
      </c>
      <c r="L93" s="32" t="s">
        <v>19</v>
      </c>
      <c r="M93" s="32" t="s">
        <v>20</v>
      </c>
      <c r="N93" s="32" t="s">
        <v>21</v>
      </c>
      <c r="O93" s="29" t="s">
        <v>22</v>
      </c>
      <c r="P93" s="111" t="s">
        <v>23</v>
      </c>
      <c r="Q93" s="32" t="s">
        <v>24</v>
      </c>
      <c r="R93" s="29" t="s">
        <v>25</v>
      </c>
    </row>
    <row r="94" spans="1:18" ht="15" customHeight="1" x14ac:dyDescent="0.3">
      <c r="A94" s="8" t="s">
        <v>26</v>
      </c>
      <c r="B94" s="8" t="s">
        <v>27</v>
      </c>
      <c r="C94" s="102">
        <v>0.30555555555555558</v>
      </c>
      <c r="D94" s="8" t="s">
        <v>28</v>
      </c>
      <c r="E94" s="8" t="s">
        <v>38</v>
      </c>
      <c r="F94" s="8" t="s">
        <v>113</v>
      </c>
      <c r="G94" s="16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27</v>
      </c>
      <c r="C95" s="103">
        <v>0.30555555555555558</v>
      </c>
      <c r="D95" s="14" t="s">
        <v>31</v>
      </c>
      <c r="E95" s="14" t="s">
        <v>38</v>
      </c>
      <c r="F95" s="14" t="s">
        <v>114</v>
      </c>
      <c r="G95" s="16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27</v>
      </c>
      <c r="C96" s="103">
        <v>0.30555555555555558</v>
      </c>
      <c r="D96" s="14" t="s">
        <v>33</v>
      </c>
      <c r="E96" s="14" t="s">
        <v>38</v>
      </c>
      <c r="F96" s="14" t="s">
        <v>121</v>
      </c>
      <c r="G96" s="16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5" t="s">
        <v>35</v>
      </c>
      <c r="B97" s="15" t="s">
        <v>43</v>
      </c>
      <c r="C97" s="104">
        <v>0.83680555555555558</v>
      </c>
      <c r="D97" s="15" t="s">
        <v>37</v>
      </c>
      <c r="E97" s="15" t="s">
        <v>80</v>
      </c>
      <c r="F97" s="15" t="s">
        <v>39</v>
      </c>
      <c r="G97" s="16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35</v>
      </c>
      <c r="B98" s="14" t="s">
        <v>43</v>
      </c>
      <c r="C98" s="103">
        <v>0.83680555555555558</v>
      </c>
      <c r="D98" s="14" t="s">
        <v>40</v>
      </c>
      <c r="E98" s="14" t="s">
        <v>80</v>
      </c>
      <c r="F98" s="14" t="s">
        <v>41</v>
      </c>
      <c r="G98" s="16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35</v>
      </c>
      <c r="B99" s="14" t="s">
        <v>43</v>
      </c>
      <c r="C99" s="103">
        <v>0.83680555555555558</v>
      </c>
      <c r="D99" s="14" t="s">
        <v>33</v>
      </c>
      <c r="E99" s="14" t="s">
        <v>80</v>
      </c>
      <c r="F99" s="14" t="s">
        <v>42</v>
      </c>
      <c r="G99" s="16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5" t="s">
        <v>76</v>
      </c>
      <c r="B100" s="15" t="s">
        <v>122</v>
      </c>
      <c r="C100" s="104">
        <v>0.22222222222222221</v>
      </c>
      <c r="D100" s="15" t="s">
        <v>49</v>
      </c>
      <c r="E100" s="15" t="s">
        <v>50</v>
      </c>
      <c r="F100" s="15" t="s">
        <v>78</v>
      </c>
      <c r="G100" s="16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5" t="s">
        <v>47</v>
      </c>
      <c r="B101" s="15" t="s">
        <v>97</v>
      </c>
      <c r="C101" s="104">
        <v>0.95833333333333337</v>
      </c>
      <c r="D101" s="15" t="s">
        <v>49</v>
      </c>
      <c r="E101" s="15" t="s">
        <v>50</v>
      </c>
      <c r="F101" s="15" t="s">
        <v>51</v>
      </c>
      <c r="G101" s="16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58</v>
      </c>
      <c r="B102" s="15" t="s">
        <v>61</v>
      </c>
      <c r="C102" s="104">
        <v>0.86458333333333337</v>
      </c>
      <c r="D102" s="15" t="s">
        <v>85</v>
      </c>
      <c r="E102" s="15" t="s">
        <v>50</v>
      </c>
      <c r="F102" s="15" t="s">
        <v>86</v>
      </c>
      <c r="G102" s="16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58</v>
      </c>
      <c r="B103" s="16" t="s">
        <v>63</v>
      </c>
      <c r="C103" s="105">
        <v>0.51388888888888884</v>
      </c>
      <c r="D103" s="16" t="s">
        <v>85</v>
      </c>
      <c r="E103" s="16" t="s">
        <v>29</v>
      </c>
      <c r="F103" s="16" t="s">
        <v>86</v>
      </c>
      <c r="G103" s="16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58</v>
      </c>
      <c r="B104" s="16" t="s">
        <v>59</v>
      </c>
      <c r="C104" s="105">
        <v>0.1701388888888889</v>
      </c>
      <c r="D104" s="16" t="s">
        <v>85</v>
      </c>
      <c r="E104" s="16" t="s">
        <v>50</v>
      </c>
      <c r="F104" s="16" t="s">
        <v>86</v>
      </c>
      <c r="G104" s="16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thickBot="1" x14ac:dyDescent="0.35">
      <c r="A105" s="23" t="s">
        <v>65</v>
      </c>
      <c r="B105" s="23" t="s">
        <v>66</v>
      </c>
      <c r="C105" s="109">
        <v>0.30555555555555558</v>
      </c>
      <c r="D105" s="23" t="s">
        <v>67</v>
      </c>
      <c r="E105" s="23" t="s">
        <v>68</v>
      </c>
      <c r="F105" s="23" t="s">
        <v>120</v>
      </c>
      <c r="G105" s="169"/>
      <c r="H105" s="24"/>
      <c r="I105" s="25"/>
      <c r="J105" s="25"/>
      <c r="K105" s="25"/>
      <c r="L105" s="25"/>
      <c r="M105" s="25"/>
      <c r="N105" s="25"/>
      <c r="O105" s="26"/>
      <c r="P105" s="25"/>
      <c r="Q105" s="27"/>
      <c r="R105" s="28"/>
    </row>
    <row r="106" spans="1:18" ht="17.399999999999999" customHeight="1" thickBot="1" x14ac:dyDescent="0.35">
      <c r="A106" s="161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3"/>
    </row>
    <row r="107" spans="1:18" ht="22.05" customHeight="1" thickTop="1" thickBot="1" x14ac:dyDescent="0.35">
      <c r="A107" s="166" t="s">
        <v>6</v>
      </c>
      <c r="B107" s="159"/>
      <c r="C107" s="159"/>
      <c r="D107" s="159"/>
      <c r="E107" s="159"/>
      <c r="F107" s="160"/>
      <c r="G107" s="110">
        <v>45999</v>
      </c>
      <c r="H107" s="158" t="s">
        <v>7</v>
      </c>
      <c r="I107" s="159"/>
      <c r="J107" s="159"/>
      <c r="K107" s="159"/>
      <c r="L107" s="159"/>
      <c r="M107" s="159"/>
      <c r="N107" s="159"/>
      <c r="O107" s="159"/>
      <c r="P107" s="159"/>
      <c r="Q107" s="159"/>
      <c r="R107" s="160"/>
    </row>
    <row r="108" spans="1:18" ht="24" customHeight="1" x14ac:dyDescent="0.3">
      <c r="A108" s="29" t="s">
        <v>8</v>
      </c>
      <c r="B108" s="29" t="s">
        <v>9</v>
      </c>
      <c r="C108" s="111" t="s">
        <v>10</v>
      </c>
      <c r="D108" s="29" t="s">
        <v>11</v>
      </c>
      <c r="E108" s="29" t="s">
        <v>12</v>
      </c>
      <c r="F108" s="30" t="s">
        <v>13</v>
      </c>
      <c r="G108" s="31" t="s">
        <v>14</v>
      </c>
      <c r="H108" s="29" t="s">
        <v>15</v>
      </c>
      <c r="I108" s="112" t="s">
        <v>16</v>
      </c>
      <c r="J108" s="32" t="s">
        <v>17</v>
      </c>
      <c r="K108" s="33" t="s">
        <v>18</v>
      </c>
      <c r="L108" s="32" t="s">
        <v>19</v>
      </c>
      <c r="M108" s="32" t="s">
        <v>20</v>
      </c>
      <c r="N108" s="32" t="s">
        <v>21</v>
      </c>
      <c r="O108" s="29" t="s">
        <v>22</v>
      </c>
      <c r="P108" s="111" t="s">
        <v>23</v>
      </c>
      <c r="Q108" s="32" t="s">
        <v>24</v>
      </c>
      <c r="R108" s="29" t="s">
        <v>25</v>
      </c>
    </row>
    <row r="109" spans="1:18" ht="15" customHeight="1" x14ac:dyDescent="0.3">
      <c r="A109" s="8" t="s">
        <v>26</v>
      </c>
      <c r="B109" s="8" t="s">
        <v>27</v>
      </c>
      <c r="C109" s="102">
        <v>0.30555555555555558</v>
      </c>
      <c r="D109" s="8" t="s">
        <v>28</v>
      </c>
      <c r="E109" s="8" t="s">
        <v>123</v>
      </c>
      <c r="F109" s="8" t="s">
        <v>113</v>
      </c>
      <c r="G109" s="16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27</v>
      </c>
      <c r="C110" s="103">
        <v>0.30555555555555558</v>
      </c>
      <c r="D110" s="14" t="s">
        <v>31</v>
      </c>
      <c r="E110" s="14" t="s">
        <v>123</v>
      </c>
      <c r="F110" s="14" t="s">
        <v>114</v>
      </c>
      <c r="G110" s="16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27</v>
      </c>
      <c r="C111" s="103">
        <v>0.30555555555555558</v>
      </c>
      <c r="D111" s="14" t="s">
        <v>33</v>
      </c>
      <c r="E111" s="14" t="s">
        <v>123</v>
      </c>
      <c r="F111" s="14" t="s">
        <v>84</v>
      </c>
      <c r="G111" s="16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" t="s">
        <v>35</v>
      </c>
      <c r="B112" s="15" t="s">
        <v>36</v>
      </c>
      <c r="C112" s="104">
        <v>0.2013888888888889</v>
      </c>
      <c r="D112" s="15" t="s">
        <v>37</v>
      </c>
      <c r="E112" s="15" t="s">
        <v>38</v>
      </c>
      <c r="F112" s="15" t="s">
        <v>39</v>
      </c>
      <c r="G112" s="16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35</v>
      </c>
      <c r="B113" s="14" t="s">
        <v>36</v>
      </c>
      <c r="C113" s="103">
        <v>0.2013888888888889</v>
      </c>
      <c r="D113" s="14" t="s">
        <v>40</v>
      </c>
      <c r="E113" s="14" t="s">
        <v>38</v>
      </c>
      <c r="F113" s="14" t="s">
        <v>41</v>
      </c>
      <c r="G113" s="16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35</v>
      </c>
      <c r="B114" s="14" t="s">
        <v>36</v>
      </c>
      <c r="C114" s="103">
        <v>0.2013888888888889</v>
      </c>
      <c r="D114" s="14" t="s">
        <v>33</v>
      </c>
      <c r="E114" s="14" t="s">
        <v>38</v>
      </c>
      <c r="F114" s="14" t="s">
        <v>42</v>
      </c>
      <c r="G114" s="16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35</v>
      </c>
      <c r="B115" s="16" t="s">
        <v>43</v>
      </c>
      <c r="C115" s="105">
        <v>0.83680555555555558</v>
      </c>
      <c r="D115" s="16" t="s">
        <v>37</v>
      </c>
      <c r="E115" s="16" t="s">
        <v>44</v>
      </c>
      <c r="F115" s="16" t="s">
        <v>51</v>
      </c>
      <c r="G115" s="16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35</v>
      </c>
      <c r="B116" s="14" t="s">
        <v>43</v>
      </c>
      <c r="C116" s="103">
        <v>0.83680555555555558</v>
      </c>
      <c r="D116" s="14" t="s">
        <v>40</v>
      </c>
      <c r="E116" s="14" t="s">
        <v>44</v>
      </c>
      <c r="F116" s="14" t="s">
        <v>90</v>
      </c>
      <c r="G116" s="16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35</v>
      </c>
      <c r="B117" s="14" t="s">
        <v>43</v>
      </c>
      <c r="C117" s="103">
        <v>0.83680555555555558</v>
      </c>
      <c r="D117" s="14" t="s">
        <v>33</v>
      </c>
      <c r="E117" s="14" t="s">
        <v>44</v>
      </c>
      <c r="F117" s="14" t="s">
        <v>115</v>
      </c>
      <c r="G117" s="16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47</v>
      </c>
      <c r="B118" s="15" t="s">
        <v>79</v>
      </c>
      <c r="C118" s="104">
        <v>0.95833333333333337</v>
      </c>
      <c r="D118" s="15" t="s">
        <v>49</v>
      </c>
      <c r="E118" s="15" t="s">
        <v>50</v>
      </c>
      <c r="F118" s="15" t="s">
        <v>51</v>
      </c>
      <c r="G118" s="16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58</v>
      </c>
      <c r="B119" s="15" t="s">
        <v>61</v>
      </c>
      <c r="C119" s="104">
        <v>0.86458333333333337</v>
      </c>
      <c r="D119" s="15" t="s">
        <v>85</v>
      </c>
      <c r="E119" s="15" t="s">
        <v>80</v>
      </c>
      <c r="F119" s="15" t="s">
        <v>86</v>
      </c>
      <c r="G119" s="16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58</v>
      </c>
      <c r="B120" s="16" t="s">
        <v>59</v>
      </c>
      <c r="C120" s="105">
        <v>0.1701388888888889</v>
      </c>
      <c r="D120" s="16" t="s">
        <v>85</v>
      </c>
      <c r="E120" s="16" t="s">
        <v>50</v>
      </c>
      <c r="F120" s="16" t="s">
        <v>86</v>
      </c>
      <c r="G120" s="16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58</v>
      </c>
      <c r="B121" s="16" t="s">
        <v>63</v>
      </c>
      <c r="C121" s="105">
        <v>0.52777777777777779</v>
      </c>
      <c r="D121" s="16" t="s">
        <v>124</v>
      </c>
      <c r="E121" s="16" t="s">
        <v>50</v>
      </c>
      <c r="F121" s="16" t="s">
        <v>125</v>
      </c>
      <c r="G121" s="16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thickBot="1" x14ac:dyDescent="0.35">
      <c r="A122" s="23" t="s">
        <v>65</v>
      </c>
      <c r="B122" s="23" t="s">
        <v>66</v>
      </c>
      <c r="C122" s="109">
        <v>0.30555555555555558</v>
      </c>
      <c r="D122" s="23" t="s">
        <v>67</v>
      </c>
      <c r="E122" s="23" t="s">
        <v>68</v>
      </c>
      <c r="F122" s="23" t="s">
        <v>120</v>
      </c>
      <c r="G122" s="169"/>
      <c r="H122" s="24"/>
      <c r="I122" s="25"/>
      <c r="J122" s="25"/>
      <c r="K122" s="25"/>
      <c r="L122" s="25"/>
      <c r="M122" s="25"/>
      <c r="N122" s="25"/>
      <c r="O122" s="26"/>
      <c r="P122" s="25"/>
      <c r="Q122" s="27"/>
      <c r="R122" s="28"/>
    </row>
    <row r="123" spans="1:18" ht="17.399999999999999" customHeight="1" thickBot="1" x14ac:dyDescent="0.35">
      <c r="A123" s="161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3"/>
    </row>
    <row r="124" spans="1:18" ht="22.05" customHeight="1" thickTop="1" thickBot="1" x14ac:dyDescent="0.35">
      <c r="A124" s="166" t="s">
        <v>6</v>
      </c>
      <c r="B124" s="159"/>
      <c r="C124" s="159"/>
      <c r="D124" s="159"/>
      <c r="E124" s="159"/>
      <c r="F124" s="160"/>
      <c r="G124" s="110">
        <v>46000</v>
      </c>
      <c r="H124" s="158" t="s">
        <v>7</v>
      </c>
      <c r="I124" s="159"/>
      <c r="J124" s="159"/>
      <c r="K124" s="159"/>
      <c r="L124" s="159"/>
      <c r="M124" s="159"/>
      <c r="N124" s="159"/>
      <c r="O124" s="159"/>
      <c r="P124" s="159"/>
      <c r="Q124" s="159"/>
      <c r="R124" s="160"/>
    </row>
    <row r="125" spans="1:18" ht="24" customHeight="1" x14ac:dyDescent="0.3">
      <c r="A125" s="29" t="s">
        <v>8</v>
      </c>
      <c r="B125" s="29" t="s">
        <v>9</v>
      </c>
      <c r="C125" s="111" t="s">
        <v>10</v>
      </c>
      <c r="D125" s="29" t="s">
        <v>11</v>
      </c>
      <c r="E125" s="29" t="s">
        <v>12</v>
      </c>
      <c r="F125" s="30" t="s">
        <v>13</v>
      </c>
      <c r="G125" s="31" t="s">
        <v>14</v>
      </c>
      <c r="H125" s="29" t="s">
        <v>15</v>
      </c>
      <c r="I125" s="112" t="s">
        <v>16</v>
      </c>
      <c r="J125" s="32" t="s">
        <v>17</v>
      </c>
      <c r="K125" s="33" t="s">
        <v>18</v>
      </c>
      <c r="L125" s="32" t="s">
        <v>19</v>
      </c>
      <c r="M125" s="32" t="s">
        <v>20</v>
      </c>
      <c r="N125" s="32" t="s">
        <v>21</v>
      </c>
      <c r="O125" s="29" t="s">
        <v>22</v>
      </c>
      <c r="P125" s="111" t="s">
        <v>23</v>
      </c>
      <c r="Q125" s="32" t="s">
        <v>24</v>
      </c>
      <c r="R125" s="29" t="s">
        <v>25</v>
      </c>
    </row>
    <row r="126" spans="1:18" ht="15" customHeight="1" x14ac:dyDescent="0.3">
      <c r="A126" s="8" t="s">
        <v>26</v>
      </c>
      <c r="B126" s="8" t="s">
        <v>27</v>
      </c>
      <c r="C126" s="102">
        <v>0.30555555555555558</v>
      </c>
      <c r="D126" s="8" t="s">
        <v>28</v>
      </c>
      <c r="E126" s="8" t="s">
        <v>126</v>
      </c>
      <c r="F126" s="8" t="s">
        <v>113</v>
      </c>
      <c r="G126" s="16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27</v>
      </c>
      <c r="C127" s="103">
        <v>0.30555555555555558</v>
      </c>
      <c r="D127" s="14" t="s">
        <v>31</v>
      </c>
      <c r="E127" s="14" t="s">
        <v>126</v>
      </c>
      <c r="F127" s="14" t="s">
        <v>114</v>
      </c>
      <c r="G127" s="16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27</v>
      </c>
      <c r="C128" s="103">
        <v>0.30555555555555558</v>
      </c>
      <c r="D128" s="14" t="s">
        <v>33</v>
      </c>
      <c r="E128" s="14" t="s">
        <v>126</v>
      </c>
      <c r="F128" s="14" t="s">
        <v>84</v>
      </c>
      <c r="G128" s="16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5" t="s">
        <v>35</v>
      </c>
      <c r="B129" s="15" t="s">
        <v>36</v>
      </c>
      <c r="C129" s="104">
        <v>0.2013888888888889</v>
      </c>
      <c r="D129" s="15" t="s">
        <v>37</v>
      </c>
      <c r="E129" s="15" t="s">
        <v>38</v>
      </c>
      <c r="F129" s="15" t="s">
        <v>39</v>
      </c>
      <c r="G129" s="16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35</v>
      </c>
      <c r="B130" s="14" t="s">
        <v>36</v>
      </c>
      <c r="C130" s="103">
        <v>0.2013888888888889</v>
      </c>
      <c r="D130" s="14" t="s">
        <v>40</v>
      </c>
      <c r="E130" s="14" t="s">
        <v>38</v>
      </c>
      <c r="F130" s="14" t="s">
        <v>41</v>
      </c>
      <c r="G130" s="16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35</v>
      </c>
      <c r="B131" s="14" t="s">
        <v>36</v>
      </c>
      <c r="C131" s="103">
        <v>0.2013888888888889</v>
      </c>
      <c r="D131" s="14" t="s">
        <v>33</v>
      </c>
      <c r="E131" s="14" t="s">
        <v>38</v>
      </c>
      <c r="F131" s="14" t="s">
        <v>42</v>
      </c>
      <c r="G131" s="16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35</v>
      </c>
      <c r="B132" s="16" t="s">
        <v>43</v>
      </c>
      <c r="C132" s="105">
        <v>0.83680555555555558</v>
      </c>
      <c r="D132" s="16" t="s">
        <v>37</v>
      </c>
      <c r="E132" s="16" t="s">
        <v>29</v>
      </c>
      <c r="F132" s="16" t="s">
        <v>51</v>
      </c>
      <c r="G132" s="16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35</v>
      </c>
      <c r="B133" s="14" t="s">
        <v>43</v>
      </c>
      <c r="C133" s="103">
        <v>0.83680555555555558</v>
      </c>
      <c r="D133" s="14" t="s">
        <v>40</v>
      </c>
      <c r="E133" s="14" t="s">
        <v>29</v>
      </c>
      <c r="F133" s="14" t="s">
        <v>90</v>
      </c>
      <c r="G133" s="16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35</v>
      </c>
      <c r="B134" s="14" t="s">
        <v>43</v>
      </c>
      <c r="C134" s="103">
        <v>0.83680555555555558</v>
      </c>
      <c r="D134" s="14" t="s">
        <v>33</v>
      </c>
      <c r="E134" s="14" t="s">
        <v>29</v>
      </c>
      <c r="F134" s="14" t="s">
        <v>115</v>
      </c>
      <c r="G134" s="16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46" t="s">
        <v>52</v>
      </c>
      <c r="B135" s="46" t="s">
        <v>53</v>
      </c>
      <c r="C135" s="119">
        <v>0.27083333333333331</v>
      </c>
      <c r="D135" s="46" t="s">
        <v>49</v>
      </c>
      <c r="E135" s="46" t="s">
        <v>50</v>
      </c>
      <c r="F135" s="46" t="s">
        <v>51</v>
      </c>
      <c r="G135" s="168"/>
      <c r="H135" s="47" t="s">
        <v>55</v>
      </c>
      <c r="I135" s="120">
        <v>0.28570000000000001</v>
      </c>
      <c r="J135" s="48">
        <v>48</v>
      </c>
      <c r="K135" s="49">
        <v>45990</v>
      </c>
      <c r="L135" s="48">
        <v>13</v>
      </c>
      <c r="M135" s="48">
        <v>0</v>
      </c>
      <c r="N135" s="48">
        <v>0</v>
      </c>
      <c r="O135" s="50" t="s">
        <v>105</v>
      </c>
      <c r="P135" s="121">
        <v>0.27083333333333331</v>
      </c>
      <c r="Q135" s="48">
        <v>168</v>
      </c>
      <c r="R135" s="51" t="s">
        <v>127</v>
      </c>
    </row>
    <row r="136" spans="1:18" ht="15" customHeight="1" x14ac:dyDescent="0.3">
      <c r="A136" s="15" t="s">
        <v>47</v>
      </c>
      <c r="B136" s="15" t="s">
        <v>48</v>
      </c>
      <c r="C136" s="104">
        <v>0.95833333333333337</v>
      </c>
      <c r="D136" s="15" t="s">
        <v>49</v>
      </c>
      <c r="E136" s="15" t="s">
        <v>50</v>
      </c>
      <c r="F136" s="15" t="s">
        <v>51</v>
      </c>
      <c r="G136" s="16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58</v>
      </c>
      <c r="B137" s="15" t="s">
        <v>61</v>
      </c>
      <c r="C137" s="104">
        <v>0.86458333333333337</v>
      </c>
      <c r="D137" s="15" t="s">
        <v>85</v>
      </c>
      <c r="E137" s="15" t="s">
        <v>29</v>
      </c>
      <c r="F137" s="15" t="s">
        <v>86</v>
      </c>
      <c r="G137" s="16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58</v>
      </c>
      <c r="B138" s="16" t="s">
        <v>59</v>
      </c>
      <c r="C138" s="105">
        <v>0.1701388888888889</v>
      </c>
      <c r="D138" s="16" t="s">
        <v>85</v>
      </c>
      <c r="E138" s="16" t="s">
        <v>81</v>
      </c>
      <c r="F138" s="16" t="s">
        <v>86</v>
      </c>
      <c r="G138" s="16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58</v>
      </c>
      <c r="B139" s="16" t="s">
        <v>63</v>
      </c>
      <c r="C139" s="105">
        <v>0.52777777777777779</v>
      </c>
      <c r="D139" s="16" t="s">
        <v>60</v>
      </c>
      <c r="E139" s="16" t="s">
        <v>50</v>
      </c>
      <c r="F139" s="16" t="s">
        <v>128</v>
      </c>
      <c r="G139" s="16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thickBot="1" x14ac:dyDescent="0.35">
      <c r="A140" s="23" t="s">
        <v>65</v>
      </c>
      <c r="B140" s="23" t="s">
        <v>66</v>
      </c>
      <c r="C140" s="109">
        <v>0.30555555555555558</v>
      </c>
      <c r="D140" s="23" t="s">
        <v>67</v>
      </c>
      <c r="E140" s="23" t="s">
        <v>68</v>
      </c>
      <c r="F140" s="23" t="s">
        <v>120</v>
      </c>
      <c r="G140" s="169"/>
      <c r="H140" s="24"/>
      <c r="I140" s="25"/>
      <c r="J140" s="25"/>
      <c r="K140" s="25"/>
      <c r="L140" s="25"/>
      <c r="M140" s="25"/>
      <c r="N140" s="25"/>
      <c r="O140" s="26"/>
      <c r="P140" s="25"/>
      <c r="Q140" s="27"/>
      <c r="R140" s="28"/>
    </row>
    <row r="141" spans="1:18" ht="17.399999999999999" customHeight="1" thickBot="1" x14ac:dyDescent="0.35">
      <c r="A141" s="161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3"/>
    </row>
    <row r="142" spans="1:18" ht="22.05" customHeight="1" thickTop="1" thickBot="1" x14ac:dyDescent="0.35">
      <c r="A142" s="166" t="s">
        <v>6</v>
      </c>
      <c r="B142" s="159"/>
      <c r="C142" s="159"/>
      <c r="D142" s="159"/>
      <c r="E142" s="159"/>
      <c r="F142" s="160"/>
      <c r="G142" s="110">
        <v>46001</v>
      </c>
      <c r="H142" s="158" t="s">
        <v>7</v>
      </c>
      <c r="I142" s="159"/>
      <c r="J142" s="159"/>
      <c r="K142" s="159"/>
      <c r="L142" s="159"/>
      <c r="M142" s="159"/>
      <c r="N142" s="159"/>
      <c r="O142" s="159"/>
      <c r="P142" s="159"/>
      <c r="Q142" s="159"/>
      <c r="R142" s="160"/>
    </row>
    <row r="143" spans="1:18" ht="24" customHeight="1" x14ac:dyDescent="0.3">
      <c r="A143" s="29" t="s">
        <v>8</v>
      </c>
      <c r="B143" s="29" t="s">
        <v>9</v>
      </c>
      <c r="C143" s="111" t="s">
        <v>10</v>
      </c>
      <c r="D143" s="29" t="s">
        <v>11</v>
      </c>
      <c r="E143" s="29" t="s">
        <v>12</v>
      </c>
      <c r="F143" s="30" t="s">
        <v>13</v>
      </c>
      <c r="G143" s="31" t="s">
        <v>14</v>
      </c>
      <c r="H143" s="29" t="s">
        <v>15</v>
      </c>
      <c r="I143" s="112" t="s">
        <v>16</v>
      </c>
      <c r="J143" s="32" t="s">
        <v>17</v>
      </c>
      <c r="K143" s="33" t="s">
        <v>18</v>
      </c>
      <c r="L143" s="32" t="s">
        <v>19</v>
      </c>
      <c r="M143" s="32" t="s">
        <v>20</v>
      </c>
      <c r="N143" s="32" t="s">
        <v>21</v>
      </c>
      <c r="O143" s="29" t="s">
        <v>22</v>
      </c>
      <c r="P143" s="111" t="s">
        <v>23</v>
      </c>
      <c r="Q143" s="32" t="s">
        <v>24</v>
      </c>
      <c r="R143" s="29" t="s">
        <v>25</v>
      </c>
    </row>
    <row r="144" spans="1:18" ht="15" customHeight="1" x14ac:dyDescent="0.3">
      <c r="A144" s="8" t="s">
        <v>70</v>
      </c>
      <c r="B144" s="8" t="s">
        <v>71</v>
      </c>
      <c r="C144" s="102">
        <v>0.97222222222222221</v>
      </c>
      <c r="D144" s="8" t="s">
        <v>72</v>
      </c>
      <c r="E144" s="8" t="s">
        <v>38</v>
      </c>
      <c r="F144" s="8" t="s">
        <v>129</v>
      </c>
      <c r="G144" s="16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70</v>
      </c>
      <c r="B145" s="14" t="s">
        <v>71</v>
      </c>
      <c r="C145" s="103">
        <v>0.97222222222222221</v>
      </c>
      <c r="D145" s="14" t="s">
        <v>74</v>
      </c>
      <c r="E145" s="14" t="s">
        <v>38</v>
      </c>
      <c r="F145" s="14" t="s">
        <v>130</v>
      </c>
      <c r="G145" s="16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5" t="s">
        <v>76</v>
      </c>
      <c r="B146" s="15" t="s">
        <v>77</v>
      </c>
      <c r="C146" s="104">
        <v>9.0277777777777776E-2</v>
      </c>
      <c r="D146" s="15" t="s">
        <v>49</v>
      </c>
      <c r="E146" s="15" t="s">
        <v>50</v>
      </c>
      <c r="F146" s="15" t="s">
        <v>78</v>
      </c>
      <c r="G146" s="16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26</v>
      </c>
      <c r="B147" s="15" t="s">
        <v>27</v>
      </c>
      <c r="C147" s="104">
        <v>0.30555555555555558</v>
      </c>
      <c r="D147" s="15" t="s">
        <v>28</v>
      </c>
      <c r="E147" s="15" t="s">
        <v>131</v>
      </c>
      <c r="F147" s="15" t="s">
        <v>82</v>
      </c>
      <c r="G147" s="16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27</v>
      </c>
      <c r="C148" s="103">
        <v>0.30555555555555558</v>
      </c>
      <c r="D148" s="14" t="s">
        <v>31</v>
      </c>
      <c r="E148" s="14" t="s">
        <v>131</v>
      </c>
      <c r="F148" s="14" t="s">
        <v>83</v>
      </c>
      <c r="G148" s="16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27</v>
      </c>
      <c r="C149" s="103">
        <v>0.30555555555555558</v>
      </c>
      <c r="D149" s="14" t="s">
        <v>33</v>
      </c>
      <c r="E149" s="14" t="s">
        <v>131</v>
      </c>
      <c r="F149" s="14" t="s">
        <v>84</v>
      </c>
      <c r="G149" s="16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5" t="s">
        <v>58</v>
      </c>
      <c r="B150" s="15" t="s">
        <v>59</v>
      </c>
      <c r="C150" s="104">
        <v>0.1701388888888889</v>
      </c>
      <c r="D150" s="15" t="s">
        <v>85</v>
      </c>
      <c r="E150" s="15" t="s">
        <v>44</v>
      </c>
      <c r="F150" s="15" t="s">
        <v>86</v>
      </c>
      <c r="G150" s="16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58</v>
      </c>
      <c r="B151" s="16" t="s">
        <v>61</v>
      </c>
      <c r="C151" s="105">
        <v>0.86458333333333337</v>
      </c>
      <c r="D151" s="16" t="s">
        <v>60</v>
      </c>
      <c r="E151" s="16" t="s">
        <v>50</v>
      </c>
      <c r="F151" s="16" t="s">
        <v>132</v>
      </c>
      <c r="G151" s="16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58</v>
      </c>
      <c r="B152" s="16" t="s">
        <v>63</v>
      </c>
      <c r="C152" s="105">
        <v>0.52777777777777779</v>
      </c>
      <c r="D152" s="16" t="s">
        <v>60</v>
      </c>
      <c r="E152" s="16" t="s">
        <v>50</v>
      </c>
      <c r="F152" s="16" t="s">
        <v>132</v>
      </c>
      <c r="G152" s="16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47</v>
      </c>
      <c r="B153" s="15" t="s">
        <v>79</v>
      </c>
      <c r="C153" s="104">
        <v>0.89583333333333337</v>
      </c>
      <c r="D153" s="15" t="s">
        <v>49</v>
      </c>
      <c r="E153" s="15" t="s">
        <v>50</v>
      </c>
      <c r="F153" s="15" t="s">
        <v>133</v>
      </c>
      <c r="G153" s="16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5" t="s">
        <v>35</v>
      </c>
      <c r="B154" s="15" t="s">
        <v>43</v>
      </c>
      <c r="C154" s="104">
        <v>0.83680555555555558</v>
      </c>
      <c r="D154" s="15" t="s">
        <v>37</v>
      </c>
      <c r="E154" s="15" t="s">
        <v>131</v>
      </c>
      <c r="F154" s="15" t="s">
        <v>91</v>
      </c>
      <c r="G154" s="16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35</v>
      </c>
      <c r="B155" s="14" t="s">
        <v>43</v>
      </c>
      <c r="C155" s="103">
        <v>0.83680555555555558</v>
      </c>
      <c r="D155" s="14" t="s">
        <v>40</v>
      </c>
      <c r="E155" s="14" t="s">
        <v>131</v>
      </c>
      <c r="F155" s="14" t="s">
        <v>134</v>
      </c>
      <c r="G155" s="16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35</v>
      </c>
      <c r="B156" s="14" t="s">
        <v>43</v>
      </c>
      <c r="C156" s="103">
        <v>0.83680555555555558</v>
      </c>
      <c r="D156" s="14" t="s">
        <v>33</v>
      </c>
      <c r="E156" s="14" t="s">
        <v>131</v>
      </c>
      <c r="F156" s="14" t="s">
        <v>135</v>
      </c>
      <c r="G156" s="16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thickBot="1" x14ac:dyDescent="0.35">
      <c r="A157" s="23" t="s">
        <v>65</v>
      </c>
      <c r="B157" s="23" t="s">
        <v>66</v>
      </c>
      <c r="C157" s="109">
        <v>0.30555555555555558</v>
      </c>
      <c r="D157" s="23" t="s">
        <v>67</v>
      </c>
      <c r="E157" s="23" t="s">
        <v>68</v>
      </c>
      <c r="F157" s="23" t="s">
        <v>136</v>
      </c>
      <c r="G157" s="169"/>
      <c r="H157" s="24"/>
      <c r="I157" s="25"/>
      <c r="J157" s="25"/>
      <c r="K157" s="25"/>
      <c r="L157" s="25"/>
      <c r="M157" s="25"/>
      <c r="N157" s="25"/>
      <c r="O157" s="26"/>
      <c r="P157" s="25"/>
      <c r="Q157" s="27"/>
      <c r="R157" s="28"/>
    </row>
    <row r="158" spans="1:18" ht="17.399999999999999" customHeight="1" thickBot="1" x14ac:dyDescent="0.35">
      <c r="A158" s="161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3"/>
    </row>
    <row r="159" spans="1:18" ht="22.05" customHeight="1" thickTop="1" thickBot="1" x14ac:dyDescent="0.35">
      <c r="A159" s="166" t="s">
        <v>6</v>
      </c>
      <c r="B159" s="159"/>
      <c r="C159" s="159"/>
      <c r="D159" s="159"/>
      <c r="E159" s="159"/>
      <c r="F159" s="160"/>
      <c r="G159" s="110">
        <v>46002</v>
      </c>
      <c r="H159" s="158" t="s">
        <v>7</v>
      </c>
      <c r="I159" s="159"/>
      <c r="J159" s="159"/>
      <c r="K159" s="159"/>
      <c r="L159" s="159"/>
      <c r="M159" s="159"/>
      <c r="N159" s="159"/>
      <c r="O159" s="159"/>
      <c r="P159" s="159"/>
      <c r="Q159" s="159"/>
      <c r="R159" s="160"/>
    </row>
    <row r="160" spans="1:18" ht="24" customHeight="1" x14ac:dyDescent="0.3">
      <c r="A160" s="29" t="s">
        <v>8</v>
      </c>
      <c r="B160" s="29" t="s">
        <v>9</v>
      </c>
      <c r="C160" s="111" t="s">
        <v>10</v>
      </c>
      <c r="D160" s="29" t="s">
        <v>11</v>
      </c>
      <c r="E160" s="29" t="s">
        <v>12</v>
      </c>
      <c r="F160" s="30" t="s">
        <v>13</v>
      </c>
      <c r="G160" s="31" t="s">
        <v>14</v>
      </c>
      <c r="H160" s="29" t="s">
        <v>15</v>
      </c>
      <c r="I160" s="112" t="s">
        <v>16</v>
      </c>
      <c r="J160" s="32" t="s">
        <v>17</v>
      </c>
      <c r="K160" s="33" t="s">
        <v>18</v>
      </c>
      <c r="L160" s="32" t="s">
        <v>19</v>
      </c>
      <c r="M160" s="32" t="s">
        <v>20</v>
      </c>
      <c r="N160" s="32" t="s">
        <v>21</v>
      </c>
      <c r="O160" s="29" t="s">
        <v>22</v>
      </c>
      <c r="P160" s="111" t="s">
        <v>23</v>
      </c>
      <c r="Q160" s="32" t="s">
        <v>24</v>
      </c>
      <c r="R160" s="29" t="s">
        <v>25</v>
      </c>
    </row>
    <row r="161" spans="1:18" ht="15" customHeight="1" x14ac:dyDescent="0.3">
      <c r="A161" s="8" t="s">
        <v>26</v>
      </c>
      <c r="B161" s="8" t="s">
        <v>27</v>
      </c>
      <c r="C161" s="102">
        <v>0.30555555555555558</v>
      </c>
      <c r="D161" s="8" t="s">
        <v>103</v>
      </c>
      <c r="E161" s="8" t="s">
        <v>123</v>
      </c>
      <c r="F161" s="8" t="s">
        <v>104</v>
      </c>
      <c r="G161" s="16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27</v>
      </c>
      <c r="C162" s="103">
        <v>0.30555555555555558</v>
      </c>
      <c r="D162" s="14" t="s">
        <v>31</v>
      </c>
      <c r="E162" s="14" t="s">
        <v>123</v>
      </c>
      <c r="F162" s="14" t="s">
        <v>128</v>
      </c>
      <c r="G162" s="16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27</v>
      </c>
      <c r="C163" s="103">
        <v>0.30555555555555558</v>
      </c>
      <c r="D163" s="14" t="s">
        <v>33</v>
      </c>
      <c r="E163" s="14" t="s">
        <v>123</v>
      </c>
      <c r="F163" s="14" t="s">
        <v>84</v>
      </c>
      <c r="G163" s="16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76</v>
      </c>
      <c r="B164" s="15" t="s">
        <v>77</v>
      </c>
      <c r="C164" s="104">
        <v>0.88888888888888884</v>
      </c>
      <c r="D164" s="15" t="s">
        <v>49</v>
      </c>
      <c r="E164" s="15" t="s">
        <v>89</v>
      </c>
      <c r="F164" s="15" t="s">
        <v>78</v>
      </c>
      <c r="G164" s="16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52" t="s">
        <v>52</v>
      </c>
      <c r="B165" s="52" t="s">
        <v>53</v>
      </c>
      <c r="C165" s="122">
        <v>0.92361111111111116</v>
      </c>
      <c r="D165" s="52" t="s">
        <v>49</v>
      </c>
      <c r="E165" s="52" t="s">
        <v>50</v>
      </c>
      <c r="F165" s="52" t="s">
        <v>51</v>
      </c>
      <c r="G165" s="168"/>
      <c r="H165" s="53" t="s">
        <v>55</v>
      </c>
      <c r="I165" s="123">
        <v>0.26190000000000002</v>
      </c>
      <c r="J165" s="54">
        <v>44</v>
      </c>
      <c r="K165" s="55">
        <v>45992</v>
      </c>
      <c r="L165" s="54">
        <v>20</v>
      </c>
      <c r="M165" s="54">
        <v>3</v>
      </c>
      <c r="N165" s="54">
        <v>0</v>
      </c>
      <c r="O165" s="56" t="s">
        <v>105</v>
      </c>
      <c r="P165" s="124">
        <v>0.92361111111111116</v>
      </c>
      <c r="Q165" s="54">
        <v>168</v>
      </c>
      <c r="R165" s="57" t="s">
        <v>137</v>
      </c>
    </row>
    <row r="166" spans="1:18" ht="15" customHeight="1" x14ac:dyDescent="0.3">
      <c r="A166" s="15" t="s">
        <v>35</v>
      </c>
      <c r="B166" s="15" t="s">
        <v>36</v>
      </c>
      <c r="C166" s="104">
        <v>0.2013888888888889</v>
      </c>
      <c r="D166" s="15" t="s">
        <v>138</v>
      </c>
      <c r="E166" s="15" t="s">
        <v>44</v>
      </c>
      <c r="F166" s="15" t="s">
        <v>82</v>
      </c>
      <c r="G166" s="16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35</v>
      </c>
      <c r="B167" s="14" t="s">
        <v>36</v>
      </c>
      <c r="C167" s="103">
        <v>0.2013888888888889</v>
      </c>
      <c r="D167" s="14" t="s">
        <v>40</v>
      </c>
      <c r="E167" s="14" t="s">
        <v>44</v>
      </c>
      <c r="F167" s="14" t="s">
        <v>139</v>
      </c>
      <c r="G167" s="16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35</v>
      </c>
      <c r="B168" s="14" t="s">
        <v>36</v>
      </c>
      <c r="C168" s="103">
        <v>0.2013888888888889</v>
      </c>
      <c r="D168" s="14" t="s">
        <v>33</v>
      </c>
      <c r="E168" s="14" t="s">
        <v>44</v>
      </c>
      <c r="F168" s="14" t="s">
        <v>140</v>
      </c>
      <c r="G168" s="16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35</v>
      </c>
      <c r="B169" s="16" t="s">
        <v>43</v>
      </c>
      <c r="C169" s="105">
        <v>0.83680555555555558</v>
      </c>
      <c r="D169" s="16" t="s">
        <v>138</v>
      </c>
      <c r="E169" s="16" t="s">
        <v>98</v>
      </c>
      <c r="F169" s="16" t="s">
        <v>141</v>
      </c>
      <c r="G169" s="16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35</v>
      </c>
      <c r="B170" s="14" t="s">
        <v>43</v>
      </c>
      <c r="C170" s="103">
        <v>0.83680555555555558</v>
      </c>
      <c r="D170" s="14" t="s">
        <v>40</v>
      </c>
      <c r="E170" s="14" t="s">
        <v>98</v>
      </c>
      <c r="F170" s="14" t="s">
        <v>142</v>
      </c>
      <c r="G170" s="16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35</v>
      </c>
      <c r="B171" s="14" t="s">
        <v>43</v>
      </c>
      <c r="C171" s="103">
        <v>0.83680555555555558</v>
      </c>
      <c r="D171" s="14" t="s">
        <v>33</v>
      </c>
      <c r="E171" s="14" t="s">
        <v>98</v>
      </c>
      <c r="F171" s="14" t="s">
        <v>143</v>
      </c>
      <c r="G171" s="16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5" t="s">
        <v>58</v>
      </c>
      <c r="B172" s="15" t="s">
        <v>59</v>
      </c>
      <c r="C172" s="104">
        <v>0.1701388888888889</v>
      </c>
      <c r="D172" s="15" t="s">
        <v>85</v>
      </c>
      <c r="E172" s="15" t="s">
        <v>29</v>
      </c>
      <c r="F172" s="15" t="s">
        <v>86</v>
      </c>
      <c r="G172" s="16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58</v>
      </c>
      <c r="B173" s="16" t="s">
        <v>61</v>
      </c>
      <c r="C173" s="105">
        <v>0.86458333333333337</v>
      </c>
      <c r="D173" s="16" t="s">
        <v>60</v>
      </c>
      <c r="E173" s="16" t="s">
        <v>50</v>
      </c>
      <c r="F173" s="16" t="s">
        <v>128</v>
      </c>
      <c r="G173" s="16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58</v>
      </c>
      <c r="B174" s="16" t="s">
        <v>63</v>
      </c>
      <c r="C174" s="105">
        <v>0.52777777777777779</v>
      </c>
      <c r="D174" s="16" t="s">
        <v>60</v>
      </c>
      <c r="E174" s="16" t="s">
        <v>50</v>
      </c>
      <c r="F174" s="16" t="s">
        <v>128</v>
      </c>
      <c r="G174" s="16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5" t="s">
        <v>47</v>
      </c>
      <c r="B175" s="15" t="s">
        <v>48</v>
      </c>
      <c r="C175" s="104">
        <v>0.95833333333333337</v>
      </c>
      <c r="D175" s="15" t="s">
        <v>49</v>
      </c>
      <c r="E175" s="15" t="s">
        <v>50</v>
      </c>
      <c r="F175" s="15" t="s">
        <v>45</v>
      </c>
      <c r="G175" s="16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65</v>
      </c>
      <c r="B176" s="15" t="s">
        <v>66</v>
      </c>
      <c r="C176" s="104">
        <v>0.30555555555555558</v>
      </c>
      <c r="D176" s="15" t="s">
        <v>60</v>
      </c>
      <c r="E176" s="15" t="s">
        <v>68</v>
      </c>
      <c r="F176" s="15" t="s">
        <v>102</v>
      </c>
      <c r="G176" s="16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thickBot="1" x14ac:dyDescent="0.35">
      <c r="A177" s="58" t="s">
        <v>65</v>
      </c>
      <c r="B177" s="58" t="s">
        <v>66</v>
      </c>
      <c r="C177" s="125">
        <v>0.30555555555555558</v>
      </c>
      <c r="D177" s="58" t="s">
        <v>67</v>
      </c>
      <c r="E177" s="58" t="s">
        <v>68</v>
      </c>
      <c r="F177" s="58" t="s">
        <v>102</v>
      </c>
      <c r="G177" s="169"/>
      <c r="H177" s="24"/>
      <c r="I177" s="25"/>
      <c r="J177" s="25"/>
      <c r="K177" s="25"/>
      <c r="L177" s="25"/>
      <c r="M177" s="25"/>
      <c r="N177" s="25"/>
      <c r="O177" s="26"/>
      <c r="P177" s="25"/>
      <c r="Q177" s="27"/>
      <c r="R177" s="28"/>
    </row>
    <row r="178" spans="1:18" ht="17.399999999999999" customHeight="1" thickBot="1" x14ac:dyDescent="0.35">
      <c r="A178" s="161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3"/>
    </row>
    <row r="179" spans="1:18" ht="22.05" customHeight="1" thickTop="1" thickBot="1" x14ac:dyDescent="0.35">
      <c r="A179" s="166" t="s">
        <v>6</v>
      </c>
      <c r="B179" s="159"/>
      <c r="C179" s="159"/>
      <c r="D179" s="159"/>
      <c r="E179" s="159"/>
      <c r="F179" s="160"/>
      <c r="G179" s="110">
        <v>46003</v>
      </c>
      <c r="H179" s="158" t="s">
        <v>7</v>
      </c>
      <c r="I179" s="159"/>
      <c r="J179" s="159"/>
      <c r="K179" s="159"/>
      <c r="L179" s="159"/>
      <c r="M179" s="159"/>
      <c r="N179" s="159"/>
      <c r="O179" s="159"/>
      <c r="P179" s="159"/>
      <c r="Q179" s="159"/>
      <c r="R179" s="160"/>
    </row>
    <row r="180" spans="1:18" ht="24" customHeight="1" x14ac:dyDescent="0.3">
      <c r="A180" s="29" t="s">
        <v>8</v>
      </c>
      <c r="B180" s="29" t="s">
        <v>9</v>
      </c>
      <c r="C180" s="111" t="s">
        <v>10</v>
      </c>
      <c r="D180" s="29" t="s">
        <v>11</v>
      </c>
      <c r="E180" s="29" t="s">
        <v>12</v>
      </c>
      <c r="F180" s="30" t="s">
        <v>13</v>
      </c>
      <c r="G180" s="31" t="s">
        <v>14</v>
      </c>
      <c r="H180" s="29" t="s">
        <v>15</v>
      </c>
      <c r="I180" s="112" t="s">
        <v>16</v>
      </c>
      <c r="J180" s="32" t="s">
        <v>17</v>
      </c>
      <c r="K180" s="33" t="s">
        <v>18</v>
      </c>
      <c r="L180" s="32" t="s">
        <v>19</v>
      </c>
      <c r="M180" s="32" t="s">
        <v>20</v>
      </c>
      <c r="N180" s="32" t="s">
        <v>21</v>
      </c>
      <c r="O180" s="29" t="s">
        <v>22</v>
      </c>
      <c r="P180" s="111" t="s">
        <v>23</v>
      </c>
      <c r="Q180" s="32" t="s">
        <v>24</v>
      </c>
      <c r="R180" s="29" t="s">
        <v>25</v>
      </c>
    </row>
    <row r="181" spans="1:18" ht="15" customHeight="1" x14ac:dyDescent="0.3">
      <c r="A181" s="8" t="s">
        <v>35</v>
      </c>
      <c r="B181" s="8" t="s">
        <v>43</v>
      </c>
      <c r="C181" s="102">
        <v>0.83680555555555558</v>
      </c>
      <c r="D181" s="8" t="s">
        <v>37</v>
      </c>
      <c r="E181" s="8" t="s">
        <v>89</v>
      </c>
      <c r="F181" s="8" t="s">
        <v>39</v>
      </c>
      <c r="G181" s="16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35</v>
      </c>
      <c r="B182" s="14" t="s">
        <v>43</v>
      </c>
      <c r="C182" s="103">
        <v>0.83680555555555558</v>
      </c>
      <c r="D182" s="14" t="s">
        <v>40</v>
      </c>
      <c r="E182" s="14" t="s">
        <v>89</v>
      </c>
      <c r="F182" s="14" t="s">
        <v>41</v>
      </c>
      <c r="G182" s="16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35</v>
      </c>
      <c r="B183" s="14" t="s">
        <v>43</v>
      </c>
      <c r="C183" s="103">
        <v>0.83680555555555558</v>
      </c>
      <c r="D183" s="14" t="s">
        <v>33</v>
      </c>
      <c r="E183" s="14" t="s">
        <v>89</v>
      </c>
      <c r="F183" s="14" t="s">
        <v>42</v>
      </c>
      <c r="G183" s="16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26</v>
      </c>
      <c r="B184" s="15" t="s">
        <v>27</v>
      </c>
      <c r="C184" s="104">
        <v>0.30555555555555558</v>
      </c>
      <c r="D184" s="15" t="s">
        <v>28</v>
      </c>
      <c r="E184" s="15" t="s">
        <v>29</v>
      </c>
      <c r="F184" s="15" t="s">
        <v>104</v>
      </c>
      <c r="G184" s="16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27</v>
      </c>
      <c r="C185" s="103">
        <v>0.30555555555555558</v>
      </c>
      <c r="D185" s="14" t="s">
        <v>31</v>
      </c>
      <c r="E185" s="14" t="s">
        <v>29</v>
      </c>
      <c r="F185" s="14" t="s">
        <v>128</v>
      </c>
      <c r="G185" s="16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27</v>
      </c>
      <c r="C186" s="103">
        <v>0.30555555555555558</v>
      </c>
      <c r="D186" s="14" t="s">
        <v>33</v>
      </c>
      <c r="E186" s="14" t="s">
        <v>29</v>
      </c>
      <c r="F186" s="14" t="s">
        <v>34</v>
      </c>
      <c r="G186" s="16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59" t="s">
        <v>52</v>
      </c>
      <c r="B187" s="59" t="s">
        <v>53</v>
      </c>
      <c r="C187" s="126">
        <v>0.57986111111111116</v>
      </c>
      <c r="D187" s="59" t="s">
        <v>49</v>
      </c>
      <c r="E187" s="59" t="s">
        <v>89</v>
      </c>
      <c r="F187" s="59" t="s">
        <v>51</v>
      </c>
      <c r="G187" s="168"/>
      <c r="H187" s="60" t="s">
        <v>55</v>
      </c>
      <c r="I187" s="127">
        <v>0.48209999999999997</v>
      </c>
      <c r="J187" s="61">
        <v>81</v>
      </c>
      <c r="K187" s="62">
        <v>45992</v>
      </c>
      <c r="L187" s="61">
        <v>50</v>
      </c>
      <c r="M187" s="61">
        <v>15</v>
      </c>
      <c r="N187" s="61">
        <v>1</v>
      </c>
      <c r="O187" s="63" t="s">
        <v>99</v>
      </c>
      <c r="P187" s="128">
        <v>0.57986111111111116</v>
      </c>
      <c r="Q187" s="61">
        <v>168</v>
      </c>
      <c r="R187" s="64" t="s">
        <v>144</v>
      </c>
    </row>
    <row r="188" spans="1:18" ht="15" customHeight="1" x14ac:dyDescent="0.3">
      <c r="A188" s="15" t="s">
        <v>58</v>
      </c>
      <c r="B188" s="15" t="s">
        <v>59</v>
      </c>
      <c r="C188" s="104">
        <v>0.1701388888888889</v>
      </c>
      <c r="D188" s="15" t="s">
        <v>85</v>
      </c>
      <c r="E188" s="15" t="s">
        <v>50</v>
      </c>
      <c r="F188" s="15" t="s">
        <v>86</v>
      </c>
      <c r="G188" s="16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58</v>
      </c>
      <c r="B189" s="16" t="s">
        <v>61</v>
      </c>
      <c r="C189" s="105">
        <v>0.86458333333333337</v>
      </c>
      <c r="D189" s="16" t="s">
        <v>124</v>
      </c>
      <c r="E189" s="16" t="s">
        <v>50</v>
      </c>
      <c r="F189" s="16" t="s">
        <v>125</v>
      </c>
      <c r="G189" s="16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58</v>
      </c>
      <c r="B190" s="16" t="s">
        <v>63</v>
      </c>
      <c r="C190" s="105">
        <v>0.52777777777777779</v>
      </c>
      <c r="D190" s="16" t="s">
        <v>60</v>
      </c>
      <c r="E190" s="16" t="s">
        <v>50</v>
      </c>
      <c r="F190" s="16" t="s">
        <v>145</v>
      </c>
      <c r="G190" s="16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5" t="s">
        <v>47</v>
      </c>
      <c r="B191" s="15" t="s">
        <v>79</v>
      </c>
      <c r="C191" s="104">
        <v>0.95833333333333337</v>
      </c>
      <c r="D191" s="15" t="s">
        <v>49</v>
      </c>
      <c r="E191" s="15" t="s">
        <v>50</v>
      </c>
      <c r="F191" s="15" t="s">
        <v>45</v>
      </c>
      <c r="G191" s="16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thickBot="1" x14ac:dyDescent="0.35">
      <c r="A192" s="23" t="s">
        <v>65</v>
      </c>
      <c r="B192" s="23" t="s">
        <v>66</v>
      </c>
      <c r="C192" s="109">
        <v>0.30555555555555558</v>
      </c>
      <c r="D192" s="23" t="s">
        <v>67</v>
      </c>
      <c r="E192" s="23" t="s">
        <v>68</v>
      </c>
      <c r="F192" s="23" t="s">
        <v>102</v>
      </c>
      <c r="G192" s="169"/>
      <c r="H192" s="24"/>
      <c r="I192" s="25"/>
      <c r="J192" s="25"/>
      <c r="K192" s="25"/>
      <c r="L192" s="25"/>
      <c r="M192" s="25"/>
      <c r="N192" s="25"/>
      <c r="O192" s="26"/>
      <c r="P192" s="25"/>
      <c r="Q192" s="27"/>
      <c r="R192" s="28"/>
    </row>
    <row r="193" spans="1:18" ht="17.399999999999999" customHeight="1" thickBot="1" x14ac:dyDescent="0.35">
      <c r="A193" s="161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3"/>
    </row>
    <row r="194" spans="1:18" ht="22.05" customHeight="1" thickTop="1" thickBot="1" x14ac:dyDescent="0.35">
      <c r="A194" s="166" t="s">
        <v>6</v>
      </c>
      <c r="B194" s="159"/>
      <c r="C194" s="159"/>
      <c r="D194" s="159"/>
      <c r="E194" s="159"/>
      <c r="F194" s="160"/>
      <c r="G194" s="110">
        <v>46004</v>
      </c>
      <c r="H194" s="158" t="s">
        <v>7</v>
      </c>
      <c r="I194" s="159"/>
      <c r="J194" s="159"/>
      <c r="K194" s="159"/>
      <c r="L194" s="159"/>
      <c r="M194" s="159"/>
      <c r="N194" s="159"/>
      <c r="O194" s="159"/>
      <c r="P194" s="159"/>
      <c r="Q194" s="159"/>
      <c r="R194" s="160"/>
    </row>
    <row r="195" spans="1:18" ht="24" customHeight="1" x14ac:dyDescent="0.3">
      <c r="A195" s="29" t="s">
        <v>8</v>
      </c>
      <c r="B195" s="29" t="s">
        <v>9</v>
      </c>
      <c r="C195" s="111" t="s">
        <v>10</v>
      </c>
      <c r="D195" s="29" t="s">
        <v>11</v>
      </c>
      <c r="E195" s="29" t="s">
        <v>12</v>
      </c>
      <c r="F195" s="30" t="s">
        <v>13</v>
      </c>
      <c r="G195" s="31" t="s">
        <v>14</v>
      </c>
      <c r="H195" s="29" t="s">
        <v>15</v>
      </c>
      <c r="I195" s="112" t="s">
        <v>16</v>
      </c>
      <c r="J195" s="32" t="s">
        <v>17</v>
      </c>
      <c r="K195" s="33" t="s">
        <v>18</v>
      </c>
      <c r="L195" s="32" t="s">
        <v>19</v>
      </c>
      <c r="M195" s="32" t="s">
        <v>20</v>
      </c>
      <c r="N195" s="32" t="s">
        <v>21</v>
      </c>
      <c r="O195" s="29" t="s">
        <v>22</v>
      </c>
      <c r="P195" s="111" t="s">
        <v>23</v>
      </c>
      <c r="Q195" s="32" t="s">
        <v>24</v>
      </c>
      <c r="R195" s="29" t="s">
        <v>25</v>
      </c>
    </row>
    <row r="196" spans="1:18" ht="15" customHeight="1" x14ac:dyDescent="0.3">
      <c r="A196" s="8" t="s">
        <v>26</v>
      </c>
      <c r="B196" s="8" t="s">
        <v>27</v>
      </c>
      <c r="C196" s="102">
        <v>0.30555555555555558</v>
      </c>
      <c r="D196" s="8" t="s">
        <v>28</v>
      </c>
      <c r="E196" s="8" t="s">
        <v>146</v>
      </c>
      <c r="F196" s="8" t="s">
        <v>113</v>
      </c>
      <c r="G196" s="16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27</v>
      </c>
      <c r="C197" s="103">
        <v>0.30555555555555558</v>
      </c>
      <c r="D197" s="14" t="s">
        <v>31</v>
      </c>
      <c r="E197" s="14" t="s">
        <v>146</v>
      </c>
      <c r="F197" s="14" t="s">
        <v>114</v>
      </c>
      <c r="G197" s="16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27</v>
      </c>
      <c r="C198" s="103">
        <v>0.30555555555555558</v>
      </c>
      <c r="D198" s="14" t="s">
        <v>33</v>
      </c>
      <c r="E198" s="14" t="s">
        <v>146</v>
      </c>
      <c r="F198" s="14" t="s">
        <v>84</v>
      </c>
      <c r="G198" s="16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35</v>
      </c>
      <c r="B199" s="15" t="s">
        <v>36</v>
      </c>
      <c r="C199" s="104">
        <v>0.2013888888888889</v>
      </c>
      <c r="D199" s="15" t="s">
        <v>37</v>
      </c>
      <c r="E199" s="15" t="s">
        <v>38</v>
      </c>
      <c r="F199" s="15" t="s">
        <v>39</v>
      </c>
      <c r="G199" s="16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35</v>
      </c>
      <c r="B200" s="14" t="s">
        <v>36</v>
      </c>
      <c r="C200" s="103">
        <v>0.2013888888888889</v>
      </c>
      <c r="D200" s="14" t="s">
        <v>40</v>
      </c>
      <c r="E200" s="14" t="s">
        <v>38</v>
      </c>
      <c r="F200" s="14" t="s">
        <v>41</v>
      </c>
      <c r="G200" s="16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35</v>
      </c>
      <c r="B201" s="14" t="s">
        <v>36</v>
      </c>
      <c r="C201" s="103">
        <v>0.2013888888888889</v>
      </c>
      <c r="D201" s="14" t="s">
        <v>33</v>
      </c>
      <c r="E201" s="14" t="s">
        <v>38</v>
      </c>
      <c r="F201" s="14" t="s">
        <v>42</v>
      </c>
      <c r="G201" s="16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35</v>
      </c>
      <c r="B202" s="16" t="s">
        <v>43</v>
      </c>
      <c r="C202" s="105">
        <v>0.83680555555555558</v>
      </c>
      <c r="D202" s="16" t="s">
        <v>37</v>
      </c>
      <c r="E202" s="16" t="s">
        <v>81</v>
      </c>
      <c r="F202" s="16" t="s">
        <v>51</v>
      </c>
      <c r="G202" s="16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35</v>
      </c>
      <c r="B203" s="14" t="s">
        <v>43</v>
      </c>
      <c r="C203" s="103">
        <v>0.83680555555555558</v>
      </c>
      <c r="D203" s="14" t="s">
        <v>40</v>
      </c>
      <c r="E203" s="14" t="s">
        <v>81</v>
      </c>
      <c r="F203" s="14" t="s">
        <v>90</v>
      </c>
      <c r="G203" s="16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35</v>
      </c>
      <c r="B204" s="14" t="s">
        <v>43</v>
      </c>
      <c r="C204" s="103">
        <v>0.83680555555555558</v>
      </c>
      <c r="D204" s="14" t="s">
        <v>33</v>
      </c>
      <c r="E204" s="14" t="s">
        <v>81</v>
      </c>
      <c r="F204" s="14" t="s">
        <v>115</v>
      </c>
      <c r="G204" s="16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70</v>
      </c>
      <c r="B205" s="15" t="s">
        <v>71</v>
      </c>
      <c r="C205" s="104">
        <v>0.97222222222222221</v>
      </c>
      <c r="D205" s="15" t="s">
        <v>72</v>
      </c>
      <c r="E205" s="15" t="s">
        <v>38</v>
      </c>
      <c r="F205" s="15" t="s">
        <v>147</v>
      </c>
      <c r="G205" s="16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70</v>
      </c>
      <c r="B206" s="14" t="s">
        <v>71</v>
      </c>
      <c r="C206" s="103">
        <v>0.97222222222222221</v>
      </c>
      <c r="D206" s="14" t="s">
        <v>74</v>
      </c>
      <c r="E206" s="14" t="s">
        <v>38</v>
      </c>
      <c r="F206" s="14" t="s">
        <v>148</v>
      </c>
      <c r="G206" s="16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52" t="s">
        <v>52</v>
      </c>
      <c r="B207" s="52" t="s">
        <v>53</v>
      </c>
      <c r="C207" s="122">
        <v>0.92361111111111116</v>
      </c>
      <c r="D207" s="52" t="s">
        <v>49</v>
      </c>
      <c r="E207" s="52" t="s">
        <v>50</v>
      </c>
      <c r="F207" s="52" t="s">
        <v>51</v>
      </c>
      <c r="G207" s="168"/>
      <c r="H207" s="53" t="s">
        <v>55</v>
      </c>
      <c r="I207" s="123">
        <v>0.23810000000000001</v>
      </c>
      <c r="J207" s="54">
        <v>40</v>
      </c>
      <c r="K207" s="55">
        <v>45992</v>
      </c>
      <c r="L207" s="54">
        <v>19</v>
      </c>
      <c r="M207" s="54">
        <v>2</v>
      </c>
      <c r="N207" s="54">
        <v>0</v>
      </c>
      <c r="O207" s="56" t="s">
        <v>105</v>
      </c>
      <c r="P207" s="124">
        <v>0.92361111111111116</v>
      </c>
      <c r="Q207" s="54">
        <v>168</v>
      </c>
      <c r="R207" s="57" t="s">
        <v>149</v>
      </c>
    </row>
    <row r="208" spans="1:18" ht="15" customHeight="1" x14ac:dyDescent="0.3">
      <c r="A208" s="15" t="s">
        <v>47</v>
      </c>
      <c r="B208" s="15" t="s">
        <v>48</v>
      </c>
      <c r="C208" s="104">
        <v>0.89583333333333337</v>
      </c>
      <c r="D208" s="15" t="s">
        <v>49</v>
      </c>
      <c r="E208" s="15" t="s">
        <v>50</v>
      </c>
      <c r="F208" s="15" t="s">
        <v>51</v>
      </c>
      <c r="G208" s="16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58</v>
      </c>
      <c r="B209" s="15" t="s">
        <v>61</v>
      </c>
      <c r="C209" s="104">
        <v>0.86458333333333337</v>
      </c>
      <c r="D209" s="15" t="s">
        <v>85</v>
      </c>
      <c r="E209" s="15" t="s">
        <v>50</v>
      </c>
      <c r="F209" s="15" t="s">
        <v>86</v>
      </c>
      <c r="G209" s="16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58</v>
      </c>
      <c r="B210" s="16" t="s">
        <v>59</v>
      </c>
      <c r="C210" s="105">
        <v>0.1701388888888889</v>
      </c>
      <c r="D210" s="16" t="s">
        <v>85</v>
      </c>
      <c r="E210" s="16" t="s">
        <v>81</v>
      </c>
      <c r="F210" s="16" t="s">
        <v>86</v>
      </c>
      <c r="G210" s="16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58</v>
      </c>
      <c r="B211" s="16" t="s">
        <v>63</v>
      </c>
      <c r="C211" s="105">
        <v>0.52777777777777779</v>
      </c>
      <c r="D211" s="16" t="s">
        <v>85</v>
      </c>
      <c r="E211" s="16" t="s">
        <v>80</v>
      </c>
      <c r="F211" s="16" t="s">
        <v>119</v>
      </c>
      <c r="G211" s="16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thickBot="1" x14ac:dyDescent="0.35">
      <c r="A212" s="23" t="s">
        <v>65</v>
      </c>
      <c r="B212" s="23" t="s">
        <v>66</v>
      </c>
      <c r="C212" s="109">
        <v>0.30555555555555558</v>
      </c>
      <c r="D212" s="23" t="s">
        <v>67</v>
      </c>
      <c r="E212" s="23" t="s">
        <v>68</v>
      </c>
      <c r="F212" s="23" t="s">
        <v>120</v>
      </c>
      <c r="G212" s="169"/>
      <c r="H212" s="24"/>
      <c r="I212" s="25"/>
      <c r="J212" s="25"/>
      <c r="K212" s="25"/>
      <c r="L212" s="25"/>
      <c r="M212" s="25"/>
      <c r="N212" s="25"/>
      <c r="O212" s="26"/>
      <c r="P212" s="25"/>
      <c r="Q212" s="27"/>
      <c r="R212" s="28"/>
    </row>
    <row r="213" spans="1:18" ht="17.399999999999999" customHeight="1" thickBot="1" x14ac:dyDescent="0.35">
      <c r="A213" s="161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3"/>
    </row>
    <row r="214" spans="1:18" ht="22.05" customHeight="1" thickTop="1" thickBot="1" x14ac:dyDescent="0.35">
      <c r="A214" s="166" t="s">
        <v>6</v>
      </c>
      <c r="B214" s="159"/>
      <c r="C214" s="159"/>
      <c r="D214" s="159"/>
      <c r="E214" s="159"/>
      <c r="F214" s="160"/>
      <c r="G214" s="110">
        <v>46005</v>
      </c>
      <c r="H214" s="158" t="s">
        <v>7</v>
      </c>
      <c r="I214" s="159"/>
      <c r="J214" s="159"/>
      <c r="K214" s="159"/>
      <c r="L214" s="159"/>
      <c r="M214" s="159"/>
      <c r="N214" s="159"/>
      <c r="O214" s="159"/>
      <c r="P214" s="159"/>
      <c r="Q214" s="159"/>
      <c r="R214" s="160"/>
    </row>
    <row r="215" spans="1:18" ht="24" customHeight="1" x14ac:dyDescent="0.3">
      <c r="A215" s="29" t="s">
        <v>8</v>
      </c>
      <c r="B215" s="29" t="s">
        <v>9</v>
      </c>
      <c r="C215" s="111" t="s">
        <v>10</v>
      </c>
      <c r="D215" s="29" t="s">
        <v>11</v>
      </c>
      <c r="E215" s="29" t="s">
        <v>12</v>
      </c>
      <c r="F215" s="30" t="s">
        <v>13</v>
      </c>
      <c r="G215" s="31" t="s">
        <v>14</v>
      </c>
      <c r="H215" s="29" t="s">
        <v>15</v>
      </c>
      <c r="I215" s="112" t="s">
        <v>16</v>
      </c>
      <c r="J215" s="32" t="s">
        <v>17</v>
      </c>
      <c r="K215" s="33" t="s">
        <v>18</v>
      </c>
      <c r="L215" s="32" t="s">
        <v>19</v>
      </c>
      <c r="M215" s="32" t="s">
        <v>20</v>
      </c>
      <c r="N215" s="32" t="s">
        <v>21</v>
      </c>
      <c r="O215" s="29" t="s">
        <v>22</v>
      </c>
      <c r="P215" s="111" t="s">
        <v>23</v>
      </c>
      <c r="Q215" s="32" t="s">
        <v>24</v>
      </c>
      <c r="R215" s="29" t="s">
        <v>25</v>
      </c>
    </row>
    <row r="216" spans="1:18" ht="15" customHeight="1" x14ac:dyDescent="0.3">
      <c r="A216" s="8" t="s">
        <v>26</v>
      </c>
      <c r="B216" s="8" t="s">
        <v>27</v>
      </c>
      <c r="C216" s="102">
        <v>0.30555555555555558</v>
      </c>
      <c r="D216" s="8" t="s">
        <v>28</v>
      </c>
      <c r="E216" s="8" t="s">
        <v>150</v>
      </c>
      <c r="F216" s="8" t="s">
        <v>113</v>
      </c>
      <c r="G216" s="16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27</v>
      </c>
      <c r="C217" s="103">
        <v>0.30555555555555558</v>
      </c>
      <c r="D217" s="14" t="s">
        <v>31</v>
      </c>
      <c r="E217" s="14" t="s">
        <v>150</v>
      </c>
      <c r="F217" s="14" t="s">
        <v>114</v>
      </c>
      <c r="G217" s="16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27</v>
      </c>
      <c r="C218" s="103">
        <v>0.30555555555555558</v>
      </c>
      <c r="D218" s="14" t="s">
        <v>33</v>
      </c>
      <c r="E218" s="14" t="s">
        <v>150</v>
      </c>
      <c r="F218" s="14" t="s">
        <v>84</v>
      </c>
      <c r="G218" s="16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35</v>
      </c>
      <c r="B219" s="15" t="s">
        <v>43</v>
      </c>
      <c r="C219" s="104">
        <v>0.85069444444444442</v>
      </c>
      <c r="D219" s="15" t="s">
        <v>37</v>
      </c>
      <c r="E219" s="15" t="s">
        <v>98</v>
      </c>
      <c r="F219" s="15" t="s">
        <v>39</v>
      </c>
      <c r="G219" s="16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35</v>
      </c>
      <c r="B220" s="14" t="s">
        <v>43</v>
      </c>
      <c r="C220" s="103">
        <v>0.85069444444444442</v>
      </c>
      <c r="D220" s="14" t="s">
        <v>40</v>
      </c>
      <c r="E220" s="14" t="s">
        <v>98</v>
      </c>
      <c r="F220" s="14" t="s">
        <v>41</v>
      </c>
      <c r="G220" s="16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35</v>
      </c>
      <c r="B221" s="14" t="s">
        <v>43</v>
      </c>
      <c r="C221" s="103">
        <v>0.85069444444444442</v>
      </c>
      <c r="D221" s="14" t="s">
        <v>33</v>
      </c>
      <c r="E221" s="14" t="s">
        <v>98</v>
      </c>
      <c r="F221" s="14" t="s">
        <v>42</v>
      </c>
      <c r="G221" s="16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" t="s">
        <v>76</v>
      </c>
      <c r="B222" s="15" t="s">
        <v>122</v>
      </c>
      <c r="C222" s="104">
        <v>0.22222222222222221</v>
      </c>
      <c r="D222" s="15" t="s">
        <v>49</v>
      </c>
      <c r="E222" s="15" t="s">
        <v>98</v>
      </c>
      <c r="F222" s="15" t="s">
        <v>78</v>
      </c>
      <c r="G222" s="16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47</v>
      </c>
      <c r="B223" s="15" t="s">
        <v>97</v>
      </c>
      <c r="C223" s="104">
        <v>0.95833333333333337</v>
      </c>
      <c r="D223" s="15" t="s">
        <v>49</v>
      </c>
      <c r="E223" s="15" t="s">
        <v>50</v>
      </c>
      <c r="F223" s="15" t="s">
        <v>51</v>
      </c>
      <c r="G223" s="16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58</v>
      </c>
      <c r="B224" s="15" t="s">
        <v>59</v>
      </c>
      <c r="C224" s="104">
        <v>0.1701388888888889</v>
      </c>
      <c r="D224" s="15" t="s">
        <v>85</v>
      </c>
      <c r="E224" s="15" t="s">
        <v>80</v>
      </c>
      <c r="F224" s="15" t="s">
        <v>86</v>
      </c>
      <c r="G224" s="16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58</v>
      </c>
      <c r="B225" s="16" t="s">
        <v>61</v>
      </c>
      <c r="C225" s="105">
        <v>0.86458333333333337</v>
      </c>
      <c r="D225" s="16" t="s">
        <v>124</v>
      </c>
      <c r="E225" s="16" t="s">
        <v>50</v>
      </c>
      <c r="F225" s="16" t="s">
        <v>125</v>
      </c>
      <c r="G225" s="16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thickBot="1" x14ac:dyDescent="0.35">
      <c r="A226" s="23" t="s">
        <v>65</v>
      </c>
      <c r="B226" s="23" t="s">
        <v>66</v>
      </c>
      <c r="C226" s="109">
        <v>0.30555555555555558</v>
      </c>
      <c r="D226" s="23" t="s">
        <v>67</v>
      </c>
      <c r="E226" s="23" t="s">
        <v>68</v>
      </c>
      <c r="F226" s="23" t="s">
        <v>120</v>
      </c>
      <c r="G226" s="169"/>
      <c r="H226" s="24"/>
      <c r="I226" s="25"/>
      <c r="J226" s="25"/>
      <c r="K226" s="25"/>
      <c r="L226" s="25"/>
      <c r="M226" s="25"/>
      <c r="N226" s="25"/>
      <c r="O226" s="26"/>
      <c r="P226" s="25"/>
      <c r="Q226" s="27"/>
      <c r="R226" s="28"/>
    </row>
    <row r="227" spans="1:18" ht="17.399999999999999" customHeight="1" thickBot="1" x14ac:dyDescent="0.35">
      <c r="A227" s="161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3"/>
    </row>
    <row r="228" spans="1:18" ht="22.05" customHeight="1" thickTop="1" thickBot="1" x14ac:dyDescent="0.35">
      <c r="A228" s="166" t="s">
        <v>6</v>
      </c>
      <c r="B228" s="159"/>
      <c r="C228" s="159"/>
      <c r="D228" s="159"/>
      <c r="E228" s="159"/>
      <c r="F228" s="160"/>
      <c r="G228" s="110">
        <v>46006</v>
      </c>
      <c r="H228" s="158" t="s">
        <v>7</v>
      </c>
      <c r="I228" s="159"/>
      <c r="J228" s="159"/>
      <c r="K228" s="159"/>
      <c r="L228" s="159"/>
      <c r="M228" s="159"/>
      <c r="N228" s="159"/>
      <c r="O228" s="159"/>
      <c r="P228" s="159"/>
      <c r="Q228" s="159"/>
      <c r="R228" s="160"/>
    </row>
    <row r="229" spans="1:18" ht="24" customHeight="1" x14ac:dyDescent="0.3">
      <c r="A229" s="29" t="s">
        <v>8</v>
      </c>
      <c r="B229" s="29" t="s">
        <v>9</v>
      </c>
      <c r="C229" s="111" t="s">
        <v>10</v>
      </c>
      <c r="D229" s="29" t="s">
        <v>11</v>
      </c>
      <c r="E229" s="29" t="s">
        <v>12</v>
      </c>
      <c r="F229" s="30" t="s">
        <v>13</v>
      </c>
      <c r="G229" s="31" t="s">
        <v>14</v>
      </c>
      <c r="H229" s="29" t="s">
        <v>15</v>
      </c>
      <c r="I229" s="112" t="s">
        <v>16</v>
      </c>
      <c r="J229" s="32" t="s">
        <v>17</v>
      </c>
      <c r="K229" s="33" t="s">
        <v>18</v>
      </c>
      <c r="L229" s="32" t="s">
        <v>19</v>
      </c>
      <c r="M229" s="32" t="s">
        <v>20</v>
      </c>
      <c r="N229" s="32" t="s">
        <v>21</v>
      </c>
      <c r="O229" s="29" t="s">
        <v>22</v>
      </c>
      <c r="P229" s="111" t="s">
        <v>23</v>
      </c>
      <c r="Q229" s="32" t="s">
        <v>24</v>
      </c>
      <c r="R229" s="29" t="s">
        <v>25</v>
      </c>
    </row>
    <row r="230" spans="1:18" ht="15" customHeight="1" x14ac:dyDescent="0.3">
      <c r="A230" s="8" t="s">
        <v>26</v>
      </c>
      <c r="B230" s="8" t="s">
        <v>27</v>
      </c>
      <c r="C230" s="102">
        <v>0.30555555555555558</v>
      </c>
      <c r="D230" s="8" t="s">
        <v>28</v>
      </c>
      <c r="E230" s="8" t="s">
        <v>151</v>
      </c>
      <c r="F230" s="8" t="s">
        <v>113</v>
      </c>
      <c r="G230" s="16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27</v>
      </c>
      <c r="C231" s="103">
        <v>0.30555555555555558</v>
      </c>
      <c r="D231" s="14" t="s">
        <v>31</v>
      </c>
      <c r="E231" s="14" t="s">
        <v>151</v>
      </c>
      <c r="F231" s="14" t="s">
        <v>114</v>
      </c>
      <c r="G231" s="16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27</v>
      </c>
      <c r="C232" s="103">
        <v>0.30555555555555558</v>
      </c>
      <c r="D232" s="14" t="s">
        <v>33</v>
      </c>
      <c r="E232" s="14" t="s">
        <v>151</v>
      </c>
      <c r="F232" s="14" t="s">
        <v>84</v>
      </c>
      <c r="G232" s="16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5" t="s">
        <v>35</v>
      </c>
      <c r="B233" s="15" t="s">
        <v>36</v>
      </c>
      <c r="C233" s="104">
        <v>0.2013888888888889</v>
      </c>
      <c r="D233" s="15" t="s">
        <v>37</v>
      </c>
      <c r="E233" s="15" t="s">
        <v>38</v>
      </c>
      <c r="F233" s="15" t="s">
        <v>39</v>
      </c>
      <c r="G233" s="16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35</v>
      </c>
      <c r="B234" s="14" t="s">
        <v>36</v>
      </c>
      <c r="C234" s="103">
        <v>0.2013888888888889</v>
      </c>
      <c r="D234" s="14" t="s">
        <v>40</v>
      </c>
      <c r="E234" s="14" t="s">
        <v>38</v>
      </c>
      <c r="F234" s="14" t="s">
        <v>41</v>
      </c>
      <c r="G234" s="16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35</v>
      </c>
      <c r="B235" s="14" t="s">
        <v>36</v>
      </c>
      <c r="C235" s="103">
        <v>0.2013888888888889</v>
      </c>
      <c r="D235" s="14" t="s">
        <v>33</v>
      </c>
      <c r="E235" s="14" t="s">
        <v>38</v>
      </c>
      <c r="F235" s="14" t="s">
        <v>42</v>
      </c>
      <c r="G235" s="16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35</v>
      </c>
      <c r="B236" s="16" t="s">
        <v>43</v>
      </c>
      <c r="C236" s="105">
        <v>0.83680555555555558</v>
      </c>
      <c r="D236" s="16" t="s">
        <v>37</v>
      </c>
      <c r="E236" s="16" t="s">
        <v>38</v>
      </c>
      <c r="F236" s="16" t="s">
        <v>107</v>
      </c>
      <c r="G236" s="16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35</v>
      </c>
      <c r="B237" s="14" t="s">
        <v>43</v>
      </c>
      <c r="C237" s="103">
        <v>0.83680555555555558</v>
      </c>
      <c r="D237" s="14" t="s">
        <v>40</v>
      </c>
      <c r="E237" s="14" t="s">
        <v>38</v>
      </c>
      <c r="F237" s="14" t="s">
        <v>108</v>
      </c>
      <c r="G237" s="16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35</v>
      </c>
      <c r="B238" s="14" t="s">
        <v>43</v>
      </c>
      <c r="C238" s="103">
        <v>0.83680555555555558</v>
      </c>
      <c r="D238" s="14" t="s">
        <v>33</v>
      </c>
      <c r="E238" s="14" t="s">
        <v>38</v>
      </c>
      <c r="F238" s="14" t="s">
        <v>109</v>
      </c>
      <c r="G238" s="16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58</v>
      </c>
      <c r="B239" s="15" t="s">
        <v>59</v>
      </c>
      <c r="C239" s="104">
        <v>0.1701388888888889</v>
      </c>
      <c r="D239" s="15" t="s">
        <v>85</v>
      </c>
      <c r="E239" s="15" t="s">
        <v>50</v>
      </c>
      <c r="F239" s="15" t="s">
        <v>86</v>
      </c>
      <c r="G239" s="16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58</v>
      </c>
      <c r="B240" s="16" t="s">
        <v>61</v>
      </c>
      <c r="C240" s="105">
        <v>0.86458333333333337</v>
      </c>
      <c r="D240" s="16" t="s">
        <v>124</v>
      </c>
      <c r="E240" s="16" t="s">
        <v>50</v>
      </c>
      <c r="F240" s="16" t="s">
        <v>125</v>
      </c>
      <c r="G240" s="16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58</v>
      </c>
      <c r="B241" s="16" t="s">
        <v>63</v>
      </c>
      <c r="C241" s="105">
        <v>0.52777777777777779</v>
      </c>
      <c r="D241" s="16" t="s">
        <v>60</v>
      </c>
      <c r="E241" s="16" t="s">
        <v>50</v>
      </c>
      <c r="F241" s="16" t="s">
        <v>128</v>
      </c>
      <c r="G241" s="16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47</v>
      </c>
      <c r="B242" s="15" t="s">
        <v>79</v>
      </c>
      <c r="C242" s="104">
        <v>0.95833333333333337</v>
      </c>
      <c r="D242" s="15" t="s">
        <v>49</v>
      </c>
      <c r="E242" s="15" t="s">
        <v>50</v>
      </c>
      <c r="F242" s="15" t="s">
        <v>45</v>
      </c>
      <c r="G242" s="16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thickBot="1" x14ac:dyDescent="0.35">
      <c r="A243" s="23" t="s">
        <v>65</v>
      </c>
      <c r="B243" s="23" t="s">
        <v>66</v>
      </c>
      <c r="C243" s="109">
        <v>0.30555555555555558</v>
      </c>
      <c r="D243" s="23" t="s">
        <v>67</v>
      </c>
      <c r="E243" s="23" t="s">
        <v>68</v>
      </c>
      <c r="F243" s="23" t="s">
        <v>120</v>
      </c>
      <c r="G243" s="169"/>
      <c r="H243" s="24"/>
      <c r="I243" s="25"/>
      <c r="J243" s="25"/>
      <c r="K243" s="25"/>
      <c r="L243" s="25"/>
      <c r="M243" s="25"/>
      <c r="N243" s="25"/>
      <c r="O243" s="26"/>
      <c r="P243" s="25"/>
      <c r="Q243" s="27"/>
      <c r="R243" s="28"/>
    </row>
    <row r="244" spans="1:18" ht="17.399999999999999" customHeight="1" thickBot="1" x14ac:dyDescent="0.35">
      <c r="A244" s="161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3"/>
    </row>
    <row r="245" spans="1:18" ht="22.05" customHeight="1" thickTop="1" thickBot="1" x14ac:dyDescent="0.35">
      <c r="A245" s="166" t="s">
        <v>6</v>
      </c>
      <c r="B245" s="159"/>
      <c r="C245" s="159"/>
      <c r="D245" s="159"/>
      <c r="E245" s="159"/>
      <c r="F245" s="160"/>
      <c r="G245" s="110">
        <v>46007</v>
      </c>
      <c r="H245" s="158" t="s">
        <v>7</v>
      </c>
      <c r="I245" s="159"/>
      <c r="J245" s="159"/>
      <c r="K245" s="159"/>
      <c r="L245" s="159"/>
      <c r="M245" s="159"/>
      <c r="N245" s="159"/>
      <c r="O245" s="159"/>
      <c r="P245" s="159"/>
      <c r="Q245" s="159"/>
      <c r="R245" s="160"/>
    </row>
    <row r="246" spans="1:18" ht="24" customHeight="1" x14ac:dyDescent="0.3">
      <c r="A246" s="29" t="s">
        <v>8</v>
      </c>
      <c r="B246" s="29" t="s">
        <v>9</v>
      </c>
      <c r="C246" s="111" t="s">
        <v>10</v>
      </c>
      <c r="D246" s="29" t="s">
        <v>11</v>
      </c>
      <c r="E246" s="29" t="s">
        <v>12</v>
      </c>
      <c r="F246" s="30" t="s">
        <v>13</v>
      </c>
      <c r="G246" s="31" t="s">
        <v>14</v>
      </c>
      <c r="H246" s="29" t="s">
        <v>15</v>
      </c>
      <c r="I246" s="112" t="s">
        <v>16</v>
      </c>
      <c r="J246" s="32" t="s">
        <v>17</v>
      </c>
      <c r="K246" s="33" t="s">
        <v>18</v>
      </c>
      <c r="L246" s="32" t="s">
        <v>19</v>
      </c>
      <c r="M246" s="32" t="s">
        <v>20</v>
      </c>
      <c r="N246" s="32" t="s">
        <v>21</v>
      </c>
      <c r="O246" s="29" t="s">
        <v>22</v>
      </c>
      <c r="P246" s="111" t="s">
        <v>23</v>
      </c>
      <c r="Q246" s="32" t="s">
        <v>24</v>
      </c>
      <c r="R246" s="29" t="s">
        <v>25</v>
      </c>
    </row>
    <row r="247" spans="1:18" ht="15" customHeight="1" x14ac:dyDescent="0.3">
      <c r="A247" s="8" t="s">
        <v>26</v>
      </c>
      <c r="B247" s="8" t="s">
        <v>27</v>
      </c>
      <c r="C247" s="102">
        <v>0.30555555555555558</v>
      </c>
      <c r="D247" s="8" t="s">
        <v>28</v>
      </c>
      <c r="E247" s="8" t="s">
        <v>112</v>
      </c>
      <c r="F247" s="8" t="s">
        <v>113</v>
      </c>
      <c r="G247" s="16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27</v>
      </c>
      <c r="C248" s="103">
        <v>0.30555555555555558</v>
      </c>
      <c r="D248" s="14" t="s">
        <v>31</v>
      </c>
      <c r="E248" s="14" t="s">
        <v>112</v>
      </c>
      <c r="F248" s="14" t="s">
        <v>114</v>
      </c>
      <c r="G248" s="16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03">
        <v>0.30555555555555558</v>
      </c>
      <c r="D249" s="14" t="s">
        <v>33</v>
      </c>
      <c r="E249" s="14" t="s">
        <v>112</v>
      </c>
      <c r="F249" s="14" t="s">
        <v>84</v>
      </c>
      <c r="G249" s="16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5" t="s">
        <v>35</v>
      </c>
      <c r="B250" s="15" t="s">
        <v>36</v>
      </c>
      <c r="C250" s="104">
        <v>0.2013888888888889</v>
      </c>
      <c r="D250" s="15" t="s">
        <v>37</v>
      </c>
      <c r="E250" s="15" t="s">
        <v>38</v>
      </c>
      <c r="F250" s="15" t="s">
        <v>39</v>
      </c>
      <c r="G250" s="16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35</v>
      </c>
      <c r="B251" s="14" t="s">
        <v>36</v>
      </c>
      <c r="C251" s="103">
        <v>0.2013888888888889</v>
      </c>
      <c r="D251" s="14" t="s">
        <v>40</v>
      </c>
      <c r="E251" s="14" t="s">
        <v>38</v>
      </c>
      <c r="F251" s="14" t="s">
        <v>41</v>
      </c>
      <c r="G251" s="16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35</v>
      </c>
      <c r="B252" s="14" t="s">
        <v>36</v>
      </c>
      <c r="C252" s="103">
        <v>0.2013888888888889</v>
      </c>
      <c r="D252" s="14" t="s">
        <v>33</v>
      </c>
      <c r="E252" s="14" t="s">
        <v>38</v>
      </c>
      <c r="F252" s="14" t="s">
        <v>42</v>
      </c>
      <c r="G252" s="16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35</v>
      </c>
      <c r="B253" s="16" t="s">
        <v>43</v>
      </c>
      <c r="C253" s="105">
        <v>0.83680555555555558</v>
      </c>
      <c r="D253" s="16" t="s">
        <v>37</v>
      </c>
      <c r="E253" s="16" t="s">
        <v>68</v>
      </c>
      <c r="F253" s="16" t="s">
        <v>51</v>
      </c>
      <c r="G253" s="16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35</v>
      </c>
      <c r="B254" s="14" t="s">
        <v>43</v>
      </c>
      <c r="C254" s="103">
        <v>0.83680555555555558</v>
      </c>
      <c r="D254" s="14" t="s">
        <v>40</v>
      </c>
      <c r="E254" s="14" t="s">
        <v>68</v>
      </c>
      <c r="F254" s="14" t="s">
        <v>90</v>
      </c>
      <c r="G254" s="16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35</v>
      </c>
      <c r="B255" s="14" t="s">
        <v>43</v>
      </c>
      <c r="C255" s="103">
        <v>0.83680555555555558</v>
      </c>
      <c r="D255" s="14" t="s">
        <v>33</v>
      </c>
      <c r="E255" s="14" t="s">
        <v>68</v>
      </c>
      <c r="F255" s="14" t="s">
        <v>115</v>
      </c>
      <c r="G255" s="16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52" t="s">
        <v>52</v>
      </c>
      <c r="B256" s="52" t="s">
        <v>53</v>
      </c>
      <c r="C256" s="122">
        <v>0.27083333333333331</v>
      </c>
      <c r="D256" s="52" t="s">
        <v>49</v>
      </c>
      <c r="E256" s="52" t="s">
        <v>50</v>
      </c>
      <c r="F256" s="52" t="s">
        <v>51</v>
      </c>
      <c r="G256" s="168"/>
      <c r="H256" s="53" t="s">
        <v>55</v>
      </c>
      <c r="I256" s="123">
        <v>0.26190000000000002</v>
      </c>
      <c r="J256" s="54">
        <v>44</v>
      </c>
      <c r="K256" s="55">
        <v>45989</v>
      </c>
      <c r="L256" s="54">
        <v>16</v>
      </c>
      <c r="M256" s="54">
        <v>0</v>
      </c>
      <c r="N256" s="54">
        <v>0</v>
      </c>
      <c r="O256" s="56" t="s">
        <v>105</v>
      </c>
      <c r="P256" s="124">
        <v>0.27083333333333331</v>
      </c>
      <c r="Q256" s="54">
        <v>168</v>
      </c>
      <c r="R256" s="57" t="s">
        <v>152</v>
      </c>
    </row>
    <row r="257" spans="1:18" ht="15" customHeight="1" x14ac:dyDescent="0.3">
      <c r="A257" s="15" t="s">
        <v>47</v>
      </c>
      <c r="B257" s="15" t="s">
        <v>48</v>
      </c>
      <c r="C257" s="104">
        <v>0.95833333333333337</v>
      </c>
      <c r="D257" s="15" t="s">
        <v>49</v>
      </c>
      <c r="E257" s="15" t="s">
        <v>50</v>
      </c>
      <c r="F257" s="15" t="s">
        <v>51</v>
      </c>
      <c r="G257" s="16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58</v>
      </c>
      <c r="B258" s="15" t="s">
        <v>61</v>
      </c>
      <c r="C258" s="104">
        <v>0.86458333333333337</v>
      </c>
      <c r="D258" s="15" t="s">
        <v>85</v>
      </c>
      <c r="E258" s="15" t="s">
        <v>50</v>
      </c>
      <c r="F258" s="15" t="s">
        <v>86</v>
      </c>
      <c r="G258" s="16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58</v>
      </c>
      <c r="B259" s="16" t="s">
        <v>63</v>
      </c>
      <c r="C259" s="105">
        <v>0.52777777777777779</v>
      </c>
      <c r="D259" s="16" t="s">
        <v>85</v>
      </c>
      <c r="E259" s="16" t="s">
        <v>50</v>
      </c>
      <c r="F259" s="16" t="s">
        <v>86</v>
      </c>
      <c r="G259" s="16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58</v>
      </c>
      <c r="B260" s="16" t="s">
        <v>59</v>
      </c>
      <c r="C260" s="105">
        <v>0.1701388888888889</v>
      </c>
      <c r="D260" s="16" t="s">
        <v>85</v>
      </c>
      <c r="E260" s="16" t="s">
        <v>50</v>
      </c>
      <c r="F260" s="16" t="s">
        <v>86</v>
      </c>
      <c r="G260" s="16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thickBot="1" x14ac:dyDescent="0.35">
      <c r="A261" s="23" t="s">
        <v>65</v>
      </c>
      <c r="B261" s="23" t="s">
        <v>66</v>
      </c>
      <c r="C261" s="109">
        <v>0.30555555555555558</v>
      </c>
      <c r="D261" s="23" t="s">
        <v>67</v>
      </c>
      <c r="E261" s="23" t="s">
        <v>68</v>
      </c>
      <c r="F261" s="23" t="s">
        <v>120</v>
      </c>
      <c r="G261" s="169"/>
      <c r="H261" s="24"/>
      <c r="I261" s="25"/>
      <c r="J261" s="25"/>
      <c r="K261" s="25"/>
      <c r="L261" s="25"/>
      <c r="M261" s="25"/>
      <c r="N261" s="25"/>
      <c r="O261" s="26"/>
      <c r="P261" s="25"/>
      <c r="Q261" s="27"/>
      <c r="R261" s="28"/>
    </row>
    <row r="262" spans="1:18" ht="17.399999999999999" customHeight="1" thickBot="1" x14ac:dyDescent="0.35">
      <c r="A262" s="161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3"/>
    </row>
    <row r="263" spans="1:18" ht="22.05" customHeight="1" thickTop="1" thickBot="1" x14ac:dyDescent="0.35">
      <c r="A263" s="166" t="s">
        <v>6</v>
      </c>
      <c r="B263" s="159"/>
      <c r="C263" s="159"/>
      <c r="D263" s="159"/>
      <c r="E263" s="159"/>
      <c r="F263" s="160"/>
      <c r="G263" s="110">
        <v>46008</v>
      </c>
      <c r="H263" s="158" t="s">
        <v>7</v>
      </c>
      <c r="I263" s="159"/>
      <c r="J263" s="159"/>
      <c r="K263" s="159"/>
      <c r="L263" s="159"/>
      <c r="M263" s="159"/>
      <c r="N263" s="159"/>
      <c r="O263" s="159"/>
      <c r="P263" s="159"/>
      <c r="Q263" s="159"/>
      <c r="R263" s="160"/>
    </row>
    <row r="264" spans="1:18" ht="24" customHeight="1" x14ac:dyDescent="0.3">
      <c r="A264" s="29" t="s">
        <v>8</v>
      </c>
      <c r="B264" s="29" t="s">
        <v>9</v>
      </c>
      <c r="C264" s="111" t="s">
        <v>10</v>
      </c>
      <c r="D264" s="29" t="s">
        <v>11</v>
      </c>
      <c r="E264" s="29" t="s">
        <v>12</v>
      </c>
      <c r="F264" s="30" t="s">
        <v>13</v>
      </c>
      <c r="G264" s="31" t="s">
        <v>14</v>
      </c>
      <c r="H264" s="29" t="s">
        <v>15</v>
      </c>
      <c r="I264" s="112" t="s">
        <v>16</v>
      </c>
      <c r="J264" s="32" t="s">
        <v>17</v>
      </c>
      <c r="K264" s="33" t="s">
        <v>18</v>
      </c>
      <c r="L264" s="32" t="s">
        <v>19</v>
      </c>
      <c r="M264" s="32" t="s">
        <v>20</v>
      </c>
      <c r="N264" s="32" t="s">
        <v>21</v>
      </c>
      <c r="O264" s="29" t="s">
        <v>22</v>
      </c>
      <c r="P264" s="111" t="s">
        <v>23</v>
      </c>
      <c r="Q264" s="32" t="s">
        <v>24</v>
      </c>
      <c r="R264" s="29" t="s">
        <v>25</v>
      </c>
    </row>
    <row r="265" spans="1:18" ht="15" customHeight="1" x14ac:dyDescent="0.3">
      <c r="A265" s="8" t="s">
        <v>26</v>
      </c>
      <c r="B265" s="8" t="s">
        <v>27</v>
      </c>
      <c r="C265" s="102">
        <v>0.30555555555555558</v>
      </c>
      <c r="D265" s="8" t="s">
        <v>28</v>
      </c>
      <c r="E265" s="8" t="s">
        <v>153</v>
      </c>
      <c r="F265" s="8" t="s">
        <v>113</v>
      </c>
      <c r="G265" s="16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27</v>
      </c>
      <c r="C266" s="103">
        <v>0.30555555555555558</v>
      </c>
      <c r="D266" s="14" t="s">
        <v>31</v>
      </c>
      <c r="E266" s="14" t="s">
        <v>153</v>
      </c>
      <c r="F266" s="14" t="s">
        <v>114</v>
      </c>
      <c r="G266" s="16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27</v>
      </c>
      <c r="C267" s="103">
        <v>0.30555555555555558</v>
      </c>
      <c r="D267" s="14" t="s">
        <v>33</v>
      </c>
      <c r="E267" s="14" t="s">
        <v>153</v>
      </c>
      <c r="F267" s="14" t="s">
        <v>84</v>
      </c>
      <c r="G267" s="16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70</v>
      </c>
      <c r="B268" s="15" t="s">
        <v>71</v>
      </c>
      <c r="C268" s="104">
        <v>0.97222222222222221</v>
      </c>
      <c r="D268" s="15" t="s">
        <v>72</v>
      </c>
      <c r="E268" s="15" t="s">
        <v>38</v>
      </c>
      <c r="F268" s="15" t="s">
        <v>154</v>
      </c>
      <c r="G268" s="16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70</v>
      </c>
      <c r="B269" s="14" t="s">
        <v>71</v>
      </c>
      <c r="C269" s="103">
        <v>0.97222222222222221</v>
      </c>
      <c r="D269" s="14" t="s">
        <v>74</v>
      </c>
      <c r="E269" s="14" t="s">
        <v>38</v>
      </c>
      <c r="F269" s="14" t="s">
        <v>155</v>
      </c>
      <c r="G269" s="16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47</v>
      </c>
      <c r="B270" s="15" t="s">
        <v>79</v>
      </c>
      <c r="C270" s="104">
        <v>0.89583333333333337</v>
      </c>
      <c r="D270" s="15" t="s">
        <v>49</v>
      </c>
      <c r="E270" s="15" t="s">
        <v>50</v>
      </c>
      <c r="F270" s="15" t="s">
        <v>51</v>
      </c>
      <c r="G270" s="16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35</v>
      </c>
      <c r="B271" s="15" t="s">
        <v>43</v>
      </c>
      <c r="C271" s="104">
        <v>0.85069444444444442</v>
      </c>
      <c r="D271" s="15" t="s">
        <v>37</v>
      </c>
      <c r="E271" s="15" t="s">
        <v>89</v>
      </c>
      <c r="F271" s="15" t="s">
        <v>51</v>
      </c>
      <c r="G271" s="16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35</v>
      </c>
      <c r="B272" s="14" t="s">
        <v>43</v>
      </c>
      <c r="C272" s="103">
        <v>0.85069444444444442</v>
      </c>
      <c r="D272" s="14" t="s">
        <v>40</v>
      </c>
      <c r="E272" s="14" t="s">
        <v>89</v>
      </c>
      <c r="F272" s="14" t="s">
        <v>90</v>
      </c>
      <c r="G272" s="16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35</v>
      </c>
      <c r="B273" s="14" t="s">
        <v>43</v>
      </c>
      <c r="C273" s="103">
        <v>0.85069444444444442</v>
      </c>
      <c r="D273" s="14" t="s">
        <v>33</v>
      </c>
      <c r="E273" s="14" t="s">
        <v>89</v>
      </c>
      <c r="F273" s="14" t="s">
        <v>115</v>
      </c>
      <c r="G273" s="16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5" t="s">
        <v>58</v>
      </c>
      <c r="B274" s="15" t="s">
        <v>63</v>
      </c>
      <c r="C274" s="104">
        <v>0.52777777777777779</v>
      </c>
      <c r="D274" s="15" t="s">
        <v>85</v>
      </c>
      <c r="E274" s="15" t="s">
        <v>50</v>
      </c>
      <c r="F274" s="15" t="s">
        <v>86</v>
      </c>
      <c r="G274" s="16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58</v>
      </c>
      <c r="B275" s="16" t="s">
        <v>59</v>
      </c>
      <c r="C275" s="105">
        <v>0.1701388888888889</v>
      </c>
      <c r="D275" s="16" t="s">
        <v>85</v>
      </c>
      <c r="E275" s="16" t="s">
        <v>50</v>
      </c>
      <c r="F275" s="16" t="s">
        <v>86</v>
      </c>
      <c r="G275" s="16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58</v>
      </c>
      <c r="B276" s="16" t="s">
        <v>61</v>
      </c>
      <c r="C276" s="105">
        <v>0.86458333333333337</v>
      </c>
      <c r="D276" s="16" t="s">
        <v>60</v>
      </c>
      <c r="E276" s="16" t="s">
        <v>50</v>
      </c>
      <c r="F276" s="16" t="s">
        <v>128</v>
      </c>
      <c r="G276" s="16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76</v>
      </c>
      <c r="B277" s="15" t="s">
        <v>77</v>
      </c>
      <c r="C277" s="104">
        <v>9.0277777777777776E-2</v>
      </c>
      <c r="D277" s="15" t="s">
        <v>49</v>
      </c>
      <c r="E277" s="15" t="s">
        <v>50</v>
      </c>
      <c r="F277" s="15" t="s">
        <v>156</v>
      </c>
      <c r="G277" s="16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thickBot="1" x14ac:dyDescent="0.35">
      <c r="A278" s="23" t="s">
        <v>65</v>
      </c>
      <c r="B278" s="23" t="s">
        <v>66</v>
      </c>
      <c r="C278" s="109">
        <v>0.30555555555555558</v>
      </c>
      <c r="D278" s="23" t="s">
        <v>67</v>
      </c>
      <c r="E278" s="23" t="s">
        <v>68</v>
      </c>
      <c r="F278" s="23" t="s">
        <v>120</v>
      </c>
      <c r="G278" s="169"/>
      <c r="H278" s="24"/>
      <c r="I278" s="25"/>
      <c r="J278" s="25"/>
      <c r="K278" s="25"/>
      <c r="L278" s="25"/>
      <c r="M278" s="25"/>
      <c r="N278" s="25"/>
      <c r="O278" s="26"/>
      <c r="P278" s="25"/>
      <c r="Q278" s="27"/>
      <c r="R278" s="28"/>
    </row>
    <row r="279" spans="1:18" ht="17.399999999999999" customHeight="1" thickBot="1" x14ac:dyDescent="0.35">
      <c r="A279" s="161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3"/>
    </row>
    <row r="280" spans="1:18" ht="22.05" customHeight="1" thickTop="1" thickBot="1" x14ac:dyDescent="0.35">
      <c r="A280" s="166" t="s">
        <v>6</v>
      </c>
      <c r="B280" s="159"/>
      <c r="C280" s="159"/>
      <c r="D280" s="159"/>
      <c r="E280" s="159"/>
      <c r="F280" s="160"/>
      <c r="G280" s="110">
        <v>46009</v>
      </c>
      <c r="H280" s="158" t="s">
        <v>7</v>
      </c>
      <c r="I280" s="159"/>
      <c r="J280" s="159"/>
      <c r="K280" s="159"/>
      <c r="L280" s="159"/>
      <c r="M280" s="159"/>
      <c r="N280" s="159"/>
      <c r="O280" s="159"/>
      <c r="P280" s="159"/>
      <c r="Q280" s="159"/>
      <c r="R280" s="160"/>
    </row>
    <row r="281" spans="1:18" ht="24" customHeight="1" x14ac:dyDescent="0.3">
      <c r="A281" s="29" t="s">
        <v>8</v>
      </c>
      <c r="B281" s="29" t="s">
        <v>9</v>
      </c>
      <c r="C281" s="111" t="s">
        <v>10</v>
      </c>
      <c r="D281" s="29" t="s">
        <v>11</v>
      </c>
      <c r="E281" s="29" t="s">
        <v>12</v>
      </c>
      <c r="F281" s="30" t="s">
        <v>13</v>
      </c>
      <c r="G281" s="31" t="s">
        <v>14</v>
      </c>
      <c r="H281" s="29" t="s">
        <v>15</v>
      </c>
      <c r="I281" s="112" t="s">
        <v>16</v>
      </c>
      <c r="J281" s="32" t="s">
        <v>17</v>
      </c>
      <c r="K281" s="33" t="s">
        <v>18</v>
      </c>
      <c r="L281" s="32" t="s">
        <v>19</v>
      </c>
      <c r="M281" s="32" t="s">
        <v>20</v>
      </c>
      <c r="N281" s="32" t="s">
        <v>21</v>
      </c>
      <c r="O281" s="29" t="s">
        <v>22</v>
      </c>
      <c r="P281" s="111" t="s">
        <v>23</v>
      </c>
      <c r="Q281" s="32" t="s">
        <v>24</v>
      </c>
      <c r="R281" s="29" t="s">
        <v>25</v>
      </c>
    </row>
    <row r="282" spans="1:18" ht="15" customHeight="1" x14ac:dyDescent="0.3">
      <c r="A282" s="8" t="s">
        <v>35</v>
      </c>
      <c r="B282" s="8" t="s">
        <v>36</v>
      </c>
      <c r="C282" s="102">
        <v>0.2013888888888889</v>
      </c>
      <c r="D282" s="8" t="s">
        <v>37</v>
      </c>
      <c r="E282" s="8" t="s">
        <v>38</v>
      </c>
      <c r="F282" s="8" t="s">
        <v>39</v>
      </c>
      <c r="G282" s="16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35</v>
      </c>
      <c r="B283" s="14" t="s">
        <v>36</v>
      </c>
      <c r="C283" s="103">
        <v>0.2013888888888889</v>
      </c>
      <c r="D283" s="14" t="s">
        <v>40</v>
      </c>
      <c r="E283" s="14" t="s">
        <v>38</v>
      </c>
      <c r="F283" s="14" t="s">
        <v>41</v>
      </c>
      <c r="G283" s="16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35</v>
      </c>
      <c r="B284" s="14" t="s">
        <v>36</v>
      </c>
      <c r="C284" s="103">
        <v>0.2013888888888889</v>
      </c>
      <c r="D284" s="14" t="s">
        <v>33</v>
      </c>
      <c r="E284" s="14" t="s">
        <v>38</v>
      </c>
      <c r="F284" s="14" t="s">
        <v>42</v>
      </c>
      <c r="G284" s="16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35</v>
      </c>
      <c r="B285" s="16" t="s">
        <v>43</v>
      </c>
      <c r="C285" s="105">
        <v>0.83680555555555558</v>
      </c>
      <c r="D285" s="16" t="s">
        <v>37</v>
      </c>
      <c r="E285" s="16" t="s">
        <v>80</v>
      </c>
      <c r="F285" s="16" t="s">
        <v>142</v>
      </c>
      <c r="G285" s="16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35</v>
      </c>
      <c r="B286" s="14" t="s">
        <v>43</v>
      </c>
      <c r="C286" s="103">
        <v>0.83680555555555558</v>
      </c>
      <c r="D286" s="14" t="s">
        <v>40</v>
      </c>
      <c r="E286" s="14" t="s">
        <v>80</v>
      </c>
      <c r="F286" s="14" t="s">
        <v>157</v>
      </c>
      <c r="G286" s="16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35</v>
      </c>
      <c r="B287" s="14" t="s">
        <v>43</v>
      </c>
      <c r="C287" s="103">
        <v>0.83680555555555558</v>
      </c>
      <c r="D287" s="14" t="s">
        <v>33</v>
      </c>
      <c r="E287" s="14" t="s">
        <v>80</v>
      </c>
      <c r="F287" s="14" t="s">
        <v>158</v>
      </c>
      <c r="G287" s="16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26</v>
      </c>
      <c r="B288" s="15" t="s">
        <v>27</v>
      </c>
      <c r="C288" s="104">
        <v>0.30555555555555558</v>
      </c>
      <c r="D288" s="15" t="s">
        <v>28</v>
      </c>
      <c r="E288" s="15" t="s">
        <v>80</v>
      </c>
      <c r="F288" s="15" t="s">
        <v>104</v>
      </c>
      <c r="G288" s="16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27</v>
      </c>
      <c r="C289" s="103">
        <v>0.30555555555555558</v>
      </c>
      <c r="D289" s="14" t="s">
        <v>31</v>
      </c>
      <c r="E289" s="14" t="s">
        <v>80</v>
      </c>
      <c r="F289" s="14" t="s">
        <v>128</v>
      </c>
      <c r="G289" s="16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27</v>
      </c>
      <c r="C290" s="103">
        <v>0.30555555555555558</v>
      </c>
      <c r="D290" s="14" t="s">
        <v>33</v>
      </c>
      <c r="E290" s="14" t="s">
        <v>80</v>
      </c>
      <c r="F290" s="14" t="s">
        <v>84</v>
      </c>
      <c r="G290" s="16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58</v>
      </c>
      <c r="B291" s="15" t="s">
        <v>59</v>
      </c>
      <c r="C291" s="104">
        <v>0.1701388888888889</v>
      </c>
      <c r="D291" s="15" t="s">
        <v>85</v>
      </c>
      <c r="E291" s="15" t="s">
        <v>50</v>
      </c>
      <c r="F291" s="15" t="s">
        <v>86</v>
      </c>
      <c r="G291" s="16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58</v>
      </c>
      <c r="B292" s="16" t="s">
        <v>63</v>
      </c>
      <c r="C292" s="105">
        <v>0.52777777777777779</v>
      </c>
      <c r="D292" s="16" t="s">
        <v>60</v>
      </c>
      <c r="E292" s="16" t="s">
        <v>50</v>
      </c>
      <c r="F292" s="16" t="s">
        <v>128</v>
      </c>
      <c r="G292" s="16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58</v>
      </c>
      <c r="B293" s="16" t="s">
        <v>61</v>
      </c>
      <c r="C293" s="105">
        <v>0.86458333333333337</v>
      </c>
      <c r="D293" s="16" t="s">
        <v>60</v>
      </c>
      <c r="E293" s="16" t="s">
        <v>50</v>
      </c>
      <c r="F293" s="16" t="s">
        <v>110</v>
      </c>
      <c r="G293" s="16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76</v>
      </c>
      <c r="B294" s="15" t="s">
        <v>77</v>
      </c>
      <c r="C294" s="104">
        <v>0.91319444444444442</v>
      </c>
      <c r="D294" s="15" t="s">
        <v>49</v>
      </c>
      <c r="E294" s="15" t="s">
        <v>80</v>
      </c>
      <c r="F294" s="15" t="s">
        <v>156</v>
      </c>
      <c r="G294" s="16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5" t="s">
        <v>47</v>
      </c>
      <c r="B295" s="15" t="s">
        <v>48</v>
      </c>
      <c r="C295" s="104">
        <v>0.95833333333333337</v>
      </c>
      <c r="D295" s="15" t="s">
        <v>49</v>
      </c>
      <c r="E295" s="15" t="s">
        <v>50</v>
      </c>
      <c r="F295" s="15" t="s">
        <v>45</v>
      </c>
      <c r="G295" s="16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46" t="s">
        <v>52</v>
      </c>
      <c r="B296" s="46" t="s">
        <v>53</v>
      </c>
      <c r="C296" s="119">
        <v>0.92361111111111116</v>
      </c>
      <c r="D296" s="46" t="s">
        <v>49</v>
      </c>
      <c r="E296" s="46" t="s">
        <v>50</v>
      </c>
      <c r="F296" s="46" t="s">
        <v>54</v>
      </c>
      <c r="G296" s="168"/>
      <c r="H296" s="47" t="s">
        <v>55</v>
      </c>
      <c r="I296" s="120">
        <v>0.375</v>
      </c>
      <c r="J296" s="48">
        <v>63</v>
      </c>
      <c r="K296" s="49">
        <v>45991</v>
      </c>
      <c r="L296" s="48">
        <v>23</v>
      </c>
      <c r="M296" s="48">
        <v>0</v>
      </c>
      <c r="N296" s="48">
        <v>2</v>
      </c>
      <c r="O296" s="50" t="s">
        <v>159</v>
      </c>
      <c r="P296" s="121">
        <v>0.92361111111111116</v>
      </c>
      <c r="Q296" s="48">
        <v>168</v>
      </c>
      <c r="R296" s="51" t="s">
        <v>160</v>
      </c>
    </row>
    <row r="297" spans="1:18" ht="15" customHeight="1" thickBot="1" x14ac:dyDescent="0.35">
      <c r="A297" s="23" t="s">
        <v>65</v>
      </c>
      <c r="B297" s="23" t="s">
        <v>66</v>
      </c>
      <c r="C297" s="109">
        <v>0.30555555555555558</v>
      </c>
      <c r="D297" s="23" t="s">
        <v>67</v>
      </c>
      <c r="E297" s="23" t="s">
        <v>68</v>
      </c>
      <c r="F297" s="23" t="s">
        <v>102</v>
      </c>
      <c r="G297" s="169"/>
      <c r="H297" s="24"/>
      <c r="I297" s="25"/>
      <c r="J297" s="25"/>
      <c r="K297" s="25"/>
      <c r="L297" s="25"/>
      <c r="M297" s="25"/>
      <c r="N297" s="25"/>
      <c r="O297" s="26"/>
      <c r="P297" s="25"/>
      <c r="Q297" s="27"/>
      <c r="R297" s="28"/>
    </row>
    <row r="298" spans="1:18" ht="17.399999999999999" customHeight="1" thickBot="1" x14ac:dyDescent="0.35">
      <c r="A298" s="161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3"/>
    </row>
    <row r="299" spans="1:18" ht="22.05" customHeight="1" thickTop="1" thickBot="1" x14ac:dyDescent="0.35">
      <c r="A299" s="166" t="s">
        <v>6</v>
      </c>
      <c r="B299" s="159"/>
      <c r="C299" s="159"/>
      <c r="D299" s="159"/>
      <c r="E299" s="159"/>
      <c r="F299" s="160"/>
      <c r="G299" s="110">
        <v>46010</v>
      </c>
      <c r="H299" s="158" t="s">
        <v>7</v>
      </c>
      <c r="I299" s="159"/>
      <c r="J299" s="159"/>
      <c r="K299" s="159"/>
      <c r="L299" s="159"/>
      <c r="M299" s="159"/>
      <c r="N299" s="159"/>
      <c r="O299" s="159"/>
      <c r="P299" s="159"/>
      <c r="Q299" s="159"/>
      <c r="R299" s="160"/>
    </row>
    <row r="300" spans="1:18" ht="24" customHeight="1" x14ac:dyDescent="0.3">
      <c r="A300" s="29" t="s">
        <v>8</v>
      </c>
      <c r="B300" s="29" t="s">
        <v>9</v>
      </c>
      <c r="C300" s="111" t="s">
        <v>10</v>
      </c>
      <c r="D300" s="29" t="s">
        <v>11</v>
      </c>
      <c r="E300" s="29" t="s">
        <v>12</v>
      </c>
      <c r="F300" s="30" t="s">
        <v>13</v>
      </c>
      <c r="G300" s="31" t="s">
        <v>14</v>
      </c>
      <c r="H300" s="29" t="s">
        <v>15</v>
      </c>
      <c r="I300" s="112" t="s">
        <v>16</v>
      </c>
      <c r="J300" s="32" t="s">
        <v>17</v>
      </c>
      <c r="K300" s="33" t="s">
        <v>18</v>
      </c>
      <c r="L300" s="32" t="s">
        <v>19</v>
      </c>
      <c r="M300" s="32" t="s">
        <v>20</v>
      </c>
      <c r="N300" s="32" t="s">
        <v>21</v>
      </c>
      <c r="O300" s="29" t="s">
        <v>22</v>
      </c>
      <c r="P300" s="111" t="s">
        <v>23</v>
      </c>
      <c r="Q300" s="32" t="s">
        <v>24</v>
      </c>
      <c r="R300" s="29" t="s">
        <v>25</v>
      </c>
    </row>
    <row r="301" spans="1:18" ht="15" customHeight="1" x14ac:dyDescent="0.3">
      <c r="A301" s="8" t="s">
        <v>35</v>
      </c>
      <c r="B301" s="8" t="s">
        <v>43</v>
      </c>
      <c r="C301" s="102">
        <v>0.83680555555555558</v>
      </c>
      <c r="D301" s="8" t="s">
        <v>37</v>
      </c>
      <c r="E301" s="8" t="s">
        <v>68</v>
      </c>
      <c r="F301" s="8" t="s">
        <v>39</v>
      </c>
      <c r="G301" s="16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35</v>
      </c>
      <c r="B302" s="14" t="s">
        <v>43</v>
      </c>
      <c r="C302" s="103">
        <v>0.83680555555555558</v>
      </c>
      <c r="D302" s="14" t="s">
        <v>40</v>
      </c>
      <c r="E302" s="14" t="s">
        <v>68</v>
      </c>
      <c r="F302" s="14" t="s">
        <v>41</v>
      </c>
      <c r="G302" s="16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35</v>
      </c>
      <c r="B303" s="14" t="s">
        <v>43</v>
      </c>
      <c r="C303" s="103">
        <v>0.83680555555555558</v>
      </c>
      <c r="D303" s="14" t="s">
        <v>33</v>
      </c>
      <c r="E303" s="14" t="s">
        <v>68</v>
      </c>
      <c r="F303" s="14" t="s">
        <v>42</v>
      </c>
      <c r="G303" s="16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65" t="s">
        <v>52</v>
      </c>
      <c r="B304" s="65" t="s">
        <v>53</v>
      </c>
      <c r="C304" s="129">
        <v>0.57986111111111116</v>
      </c>
      <c r="D304" s="65" t="s">
        <v>49</v>
      </c>
      <c r="E304" s="65" t="s">
        <v>50</v>
      </c>
      <c r="F304" s="65" t="s">
        <v>51</v>
      </c>
      <c r="G304" s="168"/>
      <c r="H304" s="66" t="s">
        <v>55</v>
      </c>
      <c r="I304" s="130">
        <v>0.28570000000000001</v>
      </c>
      <c r="J304" s="67">
        <v>48</v>
      </c>
      <c r="K304" s="68">
        <v>45992</v>
      </c>
      <c r="L304" s="67">
        <v>19</v>
      </c>
      <c r="M304" s="67">
        <v>7</v>
      </c>
      <c r="N304" s="67">
        <v>0</v>
      </c>
      <c r="O304" s="69" t="s">
        <v>105</v>
      </c>
      <c r="P304" s="131">
        <v>0.57986111111111116</v>
      </c>
      <c r="Q304" s="67">
        <v>168</v>
      </c>
      <c r="R304" s="70" t="s">
        <v>161</v>
      </c>
    </row>
    <row r="305" spans="1:18" ht="15" customHeight="1" x14ac:dyDescent="0.3">
      <c r="A305" s="15" t="s">
        <v>58</v>
      </c>
      <c r="B305" s="15" t="s">
        <v>61</v>
      </c>
      <c r="C305" s="104">
        <v>0.86458333333333337</v>
      </c>
      <c r="D305" s="15" t="s">
        <v>85</v>
      </c>
      <c r="E305" s="15" t="s">
        <v>50</v>
      </c>
      <c r="F305" s="15" t="s">
        <v>86</v>
      </c>
      <c r="G305" s="16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58</v>
      </c>
      <c r="B306" s="16" t="s">
        <v>59</v>
      </c>
      <c r="C306" s="105">
        <v>0.1701388888888889</v>
      </c>
      <c r="D306" s="16" t="s">
        <v>85</v>
      </c>
      <c r="E306" s="16" t="s">
        <v>50</v>
      </c>
      <c r="F306" s="16" t="s">
        <v>86</v>
      </c>
      <c r="G306" s="16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58</v>
      </c>
      <c r="B307" s="16" t="s">
        <v>63</v>
      </c>
      <c r="C307" s="105">
        <v>0.52777777777777779</v>
      </c>
      <c r="D307" s="16" t="s">
        <v>60</v>
      </c>
      <c r="E307" s="16" t="s">
        <v>50</v>
      </c>
      <c r="F307" s="16" t="s">
        <v>145</v>
      </c>
      <c r="G307" s="16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26</v>
      </c>
      <c r="B308" s="15" t="s">
        <v>27</v>
      </c>
      <c r="C308" s="104">
        <v>0.30555555555555558</v>
      </c>
      <c r="D308" s="15" t="s">
        <v>28</v>
      </c>
      <c r="E308" s="15" t="s">
        <v>81</v>
      </c>
      <c r="F308" s="15" t="s">
        <v>162</v>
      </c>
      <c r="G308" s="16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27</v>
      </c>
      <c r="C309" s="103">
        <v>0.30555555555555558</v>
      </c>
      <c r="D309" s="14" t="s">
        <v>31</v>
      </c>
      <c r="E309" s="14" t="s">
        <v>81</v>
      </c>
      <c r="F309" s="14" t="s">
        <v>163</v>
      </c>
      <c r="G309" s="16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27</v>
      </c>
      <c r="C310" s="103">
        <v>0.30555555555555558</v>
      </c>
      <c r="D310" s="14" t="s">
        <v>33</v>
      </c>
      <c r="E310" s="14" t="s">
        <v>81</v>
      </c>
      <c r="F310" s="14" t="s">
        <v>34</v>
      </c>
      <c r="G310" s="16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47</v>
      </c>
      <c r="B311" s="15" t="s">
        <v>79</v>
      </c>
      <c r="C311" s="104">
        <v>0.95833333333333337</v>
      </c>
      <c r="D311" s="15" t="s">
        <v>49</v>
      </c>
      <c r="E311" s="15" t="s">
        <v>50</v>
      </c>
      <c r="F311" s="15" t="s">
        <v>45</v>
      </c>
      <c r="G311" s="16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thickBot="1" x14ac:dyDescent="0.35">
      <c r="A312" s="23" t="s">
        <v>65</v>
      </c>
      <c r="B312" s="23" t="s">
        <v>66</v>
      </c>
      <c r="C312" s="109">
        <v>0.30555555555555558</v>
      </c>
      <c r="D312" s="23" t="s">
        <v>67</v>
      </c>
      <c r="E312" s="23" t="s">
        <v>68</v>
      </c>
      <c r="F312" s="23" t="s">
        <v>136</v>
      </c>
      <c r="G312" s="169"/>
      <c r="H312" s="24"/>
      <c r="I312" s="25"/>
      <c r="J312" s="25"/>
      <c r="K312" s="25"/>
      <c r="L312" s="25"/>
      <c r="M312" s="25"/>
      <c r="N312" s="25"/>
      <c r="O312" s="26"/>
      <c r="P312" s="25"/>
      <c r="Q312" s="27"/>
      <c r="R312" s="28"/>
    </row>
    <row r="313" spans="1:18" ht="17.399999999999999" customHeight="1" thickBot="1" x14ac:dyDescent="0.35">
      <c r="A313" s="161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3"/>
    </row>
    <row r="314" spans="1:18" ht="22.05" customHeight="1" thickTop="1" thickBot="1" x14ac:dyDescent="0.35">
      <c r="A314" s="166" t="s">
        <v>6</v>
      </c>
      <c r="B314" s="159"/>
      <c r="C314" s="159"/>
      <c r="D314" s="159"/>
      <c r="E314" s="159"/>
      <c r="F314" s="160"/>
      <c r="G314" s="110">
        <v>46011</v>
      </c>
      <c r="H314" s="158" t="s">
        <v>7</v>
      </c>
      <c r="I314" s="159"/>
      <c r="J314" s="159"/>
      <c r="K314" s="159"/>
      <c r="L314" s="159"/>
      <c r="M314" s="159"/>
      <c r="N314" s="159"/>
      <c r="O314" s="159"/>
      <c r="P314" s="159"/>
      <c r="Q314" s="159"/>
      <c r="R314" s="160"/>
    </row>
    <row r="315" spans="1:18" ht="24" customHeight="1" x14ac:dyDescent="0.3">
      <c r="A315" s="29" t="s">
        <v>8</v>
      </c>
      <c r="B315" s="29" t="s">
        <v>9</v>
      </c>
      <c r="C315" s="111" t="s">
        <v>10</v>
      </c>
      <c r="D315" s="29" t="s">
        <v>11</v>
      </c>
      <c r="E315" s="29" t="s">
        <v>12</v>
      </c>
      <c r="F315" s="30" t="s">
        <v>13</v>
      </c>
      <c r="G315" s="31" t="s">
        <v>14</v>
      </c>
      <c r="H315" s="29" t="s">
        <v>15</v>
      </c>
      <c r="I315" s="112" t="s">
        <v>16</v>
      </c>
      <c r="J315" s="32" t="s">
        <v>17</v>
      </c>
      <c r="K315" s="33" t="s">
        <v>18</v>
      </c>
      <c r="L315" s="32" t="s">
        <v>19</v>
      </c>
      <c r="M315" s="32" t="s">
        <v>20</v>
      </c>
      <c r="N315" s="32" t="s">
        <v>21</v>
      </c>
      <c r="O315" s="29" t="s">
        <v>22</v>
      </c>
      <c r="P315" s="111" t="s">
        <v>23</v>
      </c>
      <c r="Q315" s="32" t="s">
        <v>24</v>
      </c>
      <c r="R315" s="29" t="s">
        <v>25</v>
      </c>
    </row>
    <row r="316" spans="1:18" ht="15" customHeight="1" x14ac:dyDescent="0.3">
      <c r="A316" s="8" t="s">
        <v>26</v>
      </c>
      <c r="B316" s="8" t="s">
        <v>27</v>
      </c>
      <c r="C316" s="102">
        <v>0.30555555555555558</v>
      </c>
      <c r="D316" s="8" t="s">
        <v>28</v>
      </c>
      <c r="E316" s="8" t="s">
        <v>164</v>
      </c>
      <c r="F316" s="8" t="s">
        <v>113</v>
      </c>
      <c r="G316" s="16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27</v>
      </c>
      <c r="C317" s="103">
        <v>0.30555555555555558</v>
      </c>
      <c r="D317" s="14" t="s">
        <v>31</v>
      </c>
      <c r="E317" s="14" t="s">
        <v>164</v>
      </c>
      <c r="F317" s="14" t="s">
        <v>114</v>
      </c>
      <c r="G317" s="16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27</v>
      </c>
      <c r="C318" s="103">
        <v>0.30555555555555558</v>
      </c>
      <c r="D318" s="14" t="s">
        <v>33</v>
      </c>
      <c r="E318" s="14" t="s">
        <v>164</v>
      </c>
      <c r="F318" s="14" t="s">
        <v>34</v>
      </c>
      <c r="G318" s="16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5" t="s">
        <v>35</v>
      </c>
      <c r="B319" s="15" t="s">
        <v>43</v>
      </c>
      <c r="C319" s="104">
        <v>0.83680555555555558</v>
      </c>
      <c r="D319" s="15" t="s">
        <v>37</v>
      </c>
      <c r="E319" s="15" t="s">
        <v>131</v>
      </c>
      <c r="F319" s="15" t="s">
        <v>39</v>
      </c>
      <c r="G319" s="16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35</v>
      </c>
      <c r="B320" s="14" t="s">
        <v>43</v>
      </c>
      <c r="C320" s="103">
        <v>0.83680555555555558</v>
      </c>
      <c r="D320" s="14" t="s">
        <v>40</v>
      </c>
      <c r="E320" s="14" t="s">
        <v>131</v>
      </c>
      <c r="F320" s="14" t="s">
        <v>41</v>
      </c>
      <c r="G320" s="16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35</v>
      </c>
      <c r="B321" s="14" t="s">
        <v>43</v>
      </c>
      <c r="C321" s="103">
        <v>0.83680555555555558</v>
      </c>
      <c r="D321" s="14" t="s">
        <v>33</v>
      </c>
      <c r="E321" s="14" t="s">
        <v>131</v>
      </c>
      <c r="F321" s="14" t="s">
        <v>42</v>
      </c>
      <c r="G321" s="16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35</v>
      </c>
      <c r="B322" s="16" t="s">
        <v>36</v>
      </c>
      <c r="C322" s="105">
        <v>0.2013888888888889</v>
      </c>
      <c r="D322" s="16" t="s">
        <v>37</v>
      </c>
      <c r="E322" s="16" t="s">
        <v>38</v>
      </c>
      <c r="F322" s="16" t="s">
        <v>39</v>
      </c>
      <c r="G322" s="16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35</v>
      </c>
      <c r="B323" s="14" t="s">
        <v>36</v>
      </c>
      <c r="C323" s="103">
        <v>0.2013888888888889</v>
      </c>
      <c r="D323" s="14" t="s">
        <v>40</v>
      </c>
      <c r="E323" s="14" t="s">
        <v>38</v>
      </c>
      <c r="F323" s="14" t="s">
        <v>41</v>
      </c>
      <c r="G323" s="16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35</v>
      </c>
      <c r="B324" s="14" t="s">
        <v>36</v>
      </c>
      <c r="C324" s="103">
        <v>0.2013888888888889</v>
      </c>
      <c r="D324" s="14" t="s">
        <v>33</v>
      </c>
      <c r="E324" s="14" t="s">
        <v>38</v>
      </c>
      <c r="F324" s="14" t="s">
        <v>42</v>
      </c>
      <c r="G324" s="16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5" t="s">
        <v>70</v>
      </c>
      <c r="B325" s="15" t="s">
        <v>71</v>
      </c>
      <c r="C325" s="104">
        <v>0.97222222222222221</v>
      </c>
      <c r="D325" s="15" t="s">
        <v>72</v>
      </c>
      <c r="E325" s="15" t="s">
        <v>38</v>
      </c>
      <c r="F325" s="15" t="s">
        <v>116</v>
      </c>
      <c r="G325" s="16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70</v>
      </c>
      <c r="B326" s="14" t="s">
        <v>71</v>
      </c>
      <c r="C326" s="103">
        <v>0.97222222222222221</v>
      </c>
      <c r="D326" s="14" t="s">
        <v>74</v>
      </c>
      <c r="E326" s="14" t="s">
        <v>38</v>
      </c>
      <c r="F326" s="14" t="s">
        <v>117</v>
      </c>
      <c r="G326" s="16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71" t="s">
        <v>52</v>
      </c>
      <c r="B327" s="71" t="s">
        <v>53</v>
      </c>
      <c r="C327" s="132">
        <v>0.92361111111111116</v>
      </c>
      <c r="D327" s="71" t="s">
        <v>49</v>
      </c>
      <c r="E327" s="71" t="s">
        <v>29</v>
      </c>
      <c r="F327" s="71" t="s">
        <v>51</v>
      </c>
      <c r="G327" s="168"/>
      <c r="H327" s="72" t="s">
        <v>55</v>
      </c>
      <c r="I327" s="133">
        <v>0.34549999999999997</v>
      </c>
      <c r="J327" s="73">
        <v>57</v>
      </c>
      <c r="K327" s="74">
        <v>45992</v>
      </c>
      <c r="L327" s="73">
        <v>28</v>
      </c>
      <c r="M327" s="73">
        <v>8</v>
      </c>
      <c r="N327" s="73">
        <v>0</v>
      </c>
      <c r="O327" s="75" t="s">
        <v>165</v>
      </c>
      <c r="P327" s="134">
        <v>0.92361111111111116</v>
      </c>
      <c r="Q327" s="73">
        <v>165</v>
      </c>
      <c r="R327" s="76" t="s">
        <v>166</v>
      </c>
    </row>
    <row r="328" spans="1:18" ht="15" customHeight="1" x14ac:dyDescent="0.3">
      <c r="A328" s="15" t="s">
        <v>58</v>
      </c>
      <c r="B328" s="15" t="s">
        <v>61</v>
      </c>
      <c r="C328" s="104">
        <v>0.86458333333333337</v>
      </c>
      <c r="D328" s="15" t="s">
        <v>85</v>
      </c>
      <c r="E328" s="15" t="s">
        <v>50</v>
      </c>
      <c r="F328" s="15" t="s">
        <v>86</v>
      </c>
      <c r="G328" s="16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58</v>
      </c>
      <c r="B329" s="16" t="s">
        <v>63</v>
      </c>
      <c r="C329" s="105">
        <v>0.52777777777777779</v>
      </c>
      <c r="D329" s="16" t="s">
        <v>85</v>
      </c>
      <c r="E329" s="16" t="s">
        <v>50</v>
      </c>
      <c r="F329" s="16" t="s">
        <v>86</v>
      </c>
      <c r="G329" s="16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58</v>
      </c>
      <c r="B330" s="16" t="s">
        <v>59</v>
      </c>
      <c r="C330" s="105">
        <v>0.1701388888888889</v>
      </c>
      <c r="D330" s="16" t="s">
        <v>85</v>
      </c>
      <c r="E330" s="16" t="s">
        <v>50</v>
      </c>
      <c r="F330" s="16" t="s">
        <v>86</v>
      </c>
      <c r="G330" s="16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thickBot="1" x14ac:dyDescent="0.35">
      <c r="A331" s="23" t="s">
        <v>65</v>
      </c>
      <c r="B331" s="23" t="s">
        <v>66</v>
      </c>
      <c r="C331" s="109">
        <v>0.30555555555555558</v>
      </c>
      <c r="D331" s="23" t="s">
        <v>67</v>
      </c>
      <c r="E331" s="23" t="s">
        <v>68</v>
      </c>
      <c r="F331" s="23" t="s">
        <v>120</v>
      </c>
      <c r="G331" s="169"/>
      <c r="H331" s="24"/>
      <c r="I331" s="25"/>
      <c r="J331" s="25"/>
      <c r="K331" s="25"/>
      <c r="L331" s="25"/>
      <c r="M331" s="25"/>
      <c r="N331" s="25"/>
      <c r="O331" s="26"/>
      <c r="P331" s="25"/>
      <c r="Q331" s="27"/>
      <c r="R331" s="28"/>
    </row>
    <row r="332" spans="1:18" ht="17.399999999999999" customHeight="1" thickBot="1" x14ac:dyDescent="0.35">
      <c r="A332" s="161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3"/>
    </row>
    <row r="333" spans="1:18" ht="22.05" customHeight="1" thickTop="1" thickBot="1" x14ac:dyDescent="0.35">
      <c r="A333" s="166" t="s">
        <v>6</v>
      </c>
      <c r="B333" s="159"/>
      <c r="C333" s="159"/>
      <c r="D333" s="159"/>
      <c r="E333" s="159"/>
      <c r="F333" s="160"/>
      <c r="G333" s="110">
        <v>46012</v>
      </c>
      <c r="H333" s="158" t="s">
        <v>7</v>
      </c>
      <c r="I333" s="159"/>
      <c r="J333" s="159"/>
      <c r="K333" s="159"/>
      <c r="L333" s="159"/>
      <c r="M333" s="159"/>
      <c r="N333" s="159"/>
      <c r="O333" s="159"/>
      <c r="P333" s="159"/>
      <c r="Q333" s="159"/>
      <c r="R333" s="160"/>
    </row>
    <row r="334" spans="1:18" ht="24" customHeight="1" x14ac:dyDescent="0.3">
      <c r="A334" s="29" t="s">
        <v>8</v>
      </c>
      <c r="B334" s="29" t="s">
        <v>9</v>
      </c>
      <c r="C334" s="111" t="s">
        <v>10</v>
      </c>
      <c r="D334" s="29" t="s">
        <v>11</v>
      </c>
      <c r="E334" s="29" t="s">
        <v>12</v>
      </c>
      <c r="F334" s="30" t="s">
        <v>13</v>
      </c>
      <c r="G334" s="31" t="s">
        <v>14</v>
      </c>
      <c r="H334" s="29" t="s">
        <v>15</v>
      </c>
      <c r="I334" s="112" t="s">
        <v>16</v>
      </c>
      <c r="J334" s="32" t="s">
        <v>17</v>
      </c>
      <c r="K334" s="33" t="s">
        <v>18</v>
      </c>
      <c r="L334" s="32" t="s">
        <v>19</v>
      </c>
      <c r="M334" s="32" t="s">
        <v>20</v>
      </c>
      <c r="N334" s="32" t="s">
        <v>21</v>
      </c>
      <c r="O334" s="29" t="s">
        <v>22</v>
      </c>
      <c r="P334" s="111" t="s">
        <v>23</v>
      </c>
      <c r="Q334" s="32" t="s">
        <v>24</v>
      </c>
      <c r="R334" s="29" t="s">
        <v>25</v>
      </c>
    </row>
    <row r="335" spans="1:18" ht="15" customHeight="1" x14ac:dyDescent="0.3">
      <c r="A335" s="8" t="s">
        <v>26</v>
      </c>
      <c r="B335" s="8" t="s">
        <v>27</v>
      </c>
      <c r="C335" s="102">
        <v>0.30555555555555558</v>
      </c>
      <c r="D335" s="8" t="s">
        <v>28</v>
      </c>
      <c r="E335" s="8" t="s">
        <v>167</v>
      </c>
      <c r="F335" s="8" t="s">
        <v>113</v>
      </c>
      <c r="G335" s="16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27</v>
      </c>
      <c r="C336" s="103">
        <v>0.30555555555555558</v>
      </c>
      <c r="D336" s="14" t="s">
        <v>31</v>
      </c>
      <c r="E336" s="14" t="s">
        <v>167</v>
      </c>
      <c r="F336" s="14" t="s">
        <v>114</v>
      </c>
      <c r="G336" s="16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27</v>
      </c>
      <c r="C337" s="103">
        <v>0.30555555555555558</v>
      </c>
      <c r="D337" s="14" t="s">
        <v>33</v>
      </c>
      <c r="E337" s="14" t="s">
        <v>167</v>
      </c>
      <c r="F337" s="14" t="s">
        <v>84</v>
      </c>
      <c r="G337" s="16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5" t="s">
        <v>35</v>
      </c>
      <c r="B338" s="15" t="s">
        <v>43</v>
      </c>
      <c r="C338" s="104">
        <v>0.85069444444444442</v>
      </c>
      <c r="D338" s="15" t="s">
        <v>37</v>
      </c>
      <c r="E338" s="15" t="s">
        <v>38</v>
      </c>
      <c r="F338" s="15" t="s">
        <v>39</v>
      </c>
      <c r="G338" s="16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35</v>
      </c>
      <c r="B339" s="14" t="s">
        <v>43</v>
      </c>
      <c r="C339" s="103">
        <v>0.85069444444444442</v>
      </c>
      <c r="D339" s="14" t="s">
        <v>40</v>
      </c>
      <c r="E339" s="14" t="s">
        <v>38</v>
      </c>
      <c r="F339" s="14" t="s">
        <v>41</v>
      </c>
      <c r="G339" s="16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35</v>
      </c>
      <c r="B340" s="14" t="s">
        <v>43</v>
      </c>
      <c r="C340" s="103">
        <v>0.85069444444444442</v>
      </c>
      <c r="D340" s="14" t="s">
        <v>33</v>
      </c>
      <c r="E340" s="14" t="s">
        <v>38</v>
      </c>
      <c r="F340" s="14" t="s">
        <v>42</v>
      </c>
      <c r="G340" s="16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58</v>
      </c>
      <c r="B341" s="15" t="s">
        <v>61</v>
      </c>
      <c r="C341" s="104">
        <v>0.86458333333333337</v>
      </c>
      <c r="D341" s="15" t="s">
        <v>85</v>
      </c>
      <c r="E341" s="15" t="s">
        <v>50</v>
      </c>
      <c r="F341" s="15" t="s">
        <v>86</v>
      </c>
      <c r="G341" s="16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58</v>
      </c>
      <c r="B342" s="16" t="s">
        <v>63</v>
      </c>
      <c r="C342" s="105">
        <v>0.52777777777777779</v>
      </c>
      <c r="D342" s="16" t="s">
        <v>85</v>
      </c>
      <c r="E342" s="16" t="s">
        <v>50</v>
      </c>
      <c r="F342" s="16" t="s">
        <v>86</v>
      </c>
      <c r="G342" s="16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58</v>
      </c>
      <c r="B343" s="16" t="s">
        <v>59</v>
      </c>
      <c r="C343" s="105">
        <v>0.1701388888888889</v>
      </c>
      <c r="D343" s="16" t="s">
        <v>85</v>
      </c>
      <c r="E343" s="16" t="s">
        <v>50</v>
      </c>
      <c r="F343" s="16" t="s">
        <v>86</v>
      </c>
      <c r="G343" s="16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5" t="s">
        <v>47</v>
      </c>
      <c r="B344" s="15" t="s">
        <v>97</v>
      </c>
      <c r="C344" s="104">
        <v>0.95833333333333337</v>
      </c>
      <c r="D344" s="15" t="s">
        <v>49</v>
      </c>
      <c r="E344" s="15" t="s">
        <v>50</v>
      </c>
      <c r="F344" s="15" t="s">
        <v>45</v>
      </c>
      <c r="G344" s="16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thickBot="1" x14ac:dyDescent="0.35">
      <c r="A345" s="23" t="s">
        <v>65</v>
      </c>
      <c r="B345" s="23" t="s">
        <v>66</v>
      </c>
      <c r="C345" s="109">
        <v>0.30555555555555558</v>
      </c>
      <c r="D345" s="23" t="s">
        <v>67</v>
      </c>
      <c r="E345" s="23" t="s">
        <v>68</v>
      </c>
      <c r="F345" s="23" t="s">
        <v>120</v>
      </c>
      <c r="G345" s="169"/>
      <c r="H345" s="24"/>
      <c r="I345" s="25"/>
      <c r="J345" s="25"/>
      <c r="K345" s="25"/>
      <c r="L345" s="25"/>
      <c r="M345" s="25"/>
      <c r="N345" s="25"/>
      <c r="O345" s="26"/>
      <c r="P345" s="25"/>
      <c r="Q345" s="27"/>
      <c r="R345" s="28"/>
    </row>
    <row r="346" spans="1:18" ht="17.399999999999999" customHeight="1" thickBot="1" x14ac:dyDescent="0.35">
      <c r="A346" s="161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3"/>
    </row>
    <row r="347" spans="1:18" ht="22.05" customHeight="1" thickTop="1" thickBot="1" x14ac:dyDescent="0.35">
      <c r="A347" s="166" t="s">
        <v>6</v>
      </c>
      <c r="B347" s="159"/>
      <c r="C347" s="159"/>
      <c r="D347" s="159"/>
      <c r="E347" s="159"/>
      <c r="F347" s="160"/>
      <c r="G347" s="110">
        <v>46013</v>
      </c>
      <c r="H347" s="158" t="s">
        <v>7</v>
      </c>
      <c r="I347" s="159"/>
      <c r="J347" s="159"/>
      <c r="K347" s="159"/>
      <c r="L347" s="159"/>
      <c r="M347" s="159"/>
      <c r="N347" s="159"/>
      <c r="O347" s="159"/>
      <c r="P347" s="159"/>
      <c r="Q347" s="159"/>
      <c r="R347" s="160"/>
    </row>
    <row r="348" spans="1:18" ht="24" customHeight="1" x14ac:dyDescent="0.3">
      <c r="A348" s="29" t="s">
        <v>8</v>
      </c>
      <c r="B348" s="29" t="s">
        <v>9</v>
      </c>
      <c r="C348" s="111" t="s">
        <v>10</v>
      </c>
      <c r="D348" s="29" t="s">
        <v>11</v>
      </c>
      <c r="E348" s="29" t="s">
        <v>12</v>
      </c>
      <c r="F348" s="30" t="s">
        <v>13</v>
      </c>
      <c r="G348" s="31" t="s">
        <v>14</v>
      </c>
      <c r="H348" s="29" t="s">
        <v>15</v>
      </c>
      <c r="I348" s="112" t="s">
        <v>16</v>
      </c>
      <c r="J348" s="32" t="s">
        <v>17</v>
      </c>
      <c r="K348" s="33" t="s">
        <v>18</v>
      </c>
      <c r="L348" s="32" t="s">
        <v>19</v>
      </c>
      <c r="M348" s="32" t="s">
        <v>20</v>
      </c>
      <c r="N348" s="32" t="s">
        <v>21</v>
      </c>
      <c r="O348" s="29" t="s">
        <v>22</v>
      </c>
      <c r="P348" s="111" t="s">
        <v>23</v>
      </c>
      <c r="Q348" s="32" t="s">
        <v>24</v>
      </c>
      <c r="R348" s="29" t="s">
        <v>25</v>
      </c>
    </row>
    <row r="349" spans="1:18" ht="15" customHeight="1" x14ac:dyDescent="0.3">
      <c r="A349" s="8" t="s">
        <v>26</v>
      </c>
      <c r="B349" s="8" t="s">
        <v>27</v>
      </c>
      <c r="C349" s="102">
        <v>0.30555555555555558</v>
      </c>
      <c r="D349" s="8" t="s">
        <v>28</v>
      </c>
      <c r="E349" s="8" t="s">
        <v>150</v>
      </c>
      <c r="F349" s="8" t="s">
        <v>113</v>
      </c>
      <c r="G349" s="16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27</v>
      </c>
      <c r="C350" s="103">
        <v>0.30555555555555558</v>
      </c>
      <c r="D350" s="14" t="s">
        <v>31</v>
      </c>
      <c r="E350" s="14" t="s">
        <v>150</v>
      </c>
      <c r="F350" s="14" t="s">
        <v>114</v>
      </c>
      <c r="G350" s="16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27</v>
      </c>
      <c r="C351" s="103">
        <v>0.30555555555555558</v>
      </c>
      <c r="D351" s="14" t="s">
        <v>33</v>
      </c>
      <c r="E351" s="14" t="s">
        <v>150</v>
      </c>
      <c r="F351" s="14" t="s">
        <v>84</v>
      </c>
      <c r="G351" s="16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35</v>
      </c>
      <c r="B352" s="15" t="s">
        <v>43</v>
      </c>
      <c r="C352" s="104">
        <v>0.83680555555555558</v>
      </c>
      <c r="D352" s="15" t="s">
        <v>37</v>
      </c>
      <c r="E352" s="15" t="s">
        <v>81</v>
      </c>
      <c r="F352" s="15" t="s">
        <v>39</v>
      </c>
      <c r="G352" s="16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35</v>
      </c>
      <c r="B353" s="14" t="s">
        <v>43</v>
      </c>
      <c r="C353" s="103">
        <v>0.83680555555555558</v>
      </c>
      <c r="D353" s="14" t="s">
        <v>40</v>
      </c>
      <c r="E353" s="14" t="s">
        <v>81</v>
      </c>
      <c r="F353" s="14" t="s">
        <v>41</v>
      </c>
      <c r="G353" s="16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35</v>
      </c>
      <c r="B354" s="14" t="s">
        <v>43</v>
      </c>
      <c r="C354" s="103">
        <v>0.83680555555555558</v>
      </c>
      <c r="D354" s="14" t="s">
        <v>33</v>
      </c>
      <c r="E354" s="14" t="s">
        <v>81</v>
      </c>
      <c r="F354" s="14" t="s">
        <v>42</v>
      </c>
      <c r="G354" s="16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35</v>
      </c>
      <c r="B355" s="16" t="s">
        <v>36</v>
      </c>
      <c r="C355" s="105">
        <v>0.2013888888888889</v>
      </c>
      <c r="D355" s="16" t="s">
        <v>37</v>
      </c>
      <c r="E355" s="16" t="s">
        <v>38</v>
      </c>
      <c r="F355" s="16" t="s">
        <v>39</v>
      </c>
      <c r="G355" s="16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35</v>
      </c>
      <c r="B356" s="14" t="s">
        <v>36</v>
      </c>
      <c r="C356" s="103">
        <v>0.2013888888888889</v>
      </c>
      <c r="D356" s="14" t="s">
        <v>40</v>
      </c>
      <c r="E356" s="14" t="s">
        <v>38</v>
      </c>
      <c r="F356" s="14" t="s">
        <v>41</v>
      </c>
      <c r="G356" s="16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35</v>
      </c>
      <c r="B357" s="14" t="s">
        <v>36</v>
      </c>
      <c r="C357" s="103">
        <v>0.2013888888888889</v>
      </c>
      <c r="D357" s="14" t="s">
        <v>33</v>
      </c>
      <c r="E357" s="14" t="s">
        <v>38</v>
      </c>
      <c r="F357" s="14" t="s">
        <v>42</v>
      </c>
      <c r="G357" s="16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58</v>
      </c>
      <c r="B358" s="15" t="s">
        <v>61</v>
      </c>
      <c r="C358" s="104">
        <v>0.86458333333333337</v>
      </c>
      <c r="D358" s="15" t="s">
        <v>85</v>
      </c>
      <c r="E358" s="15" t="s">
        <v>50</v>
      </c>
      <c r="F358" s="15" t="s">
        <v>86</v>
      </c>
      <c r="G358" s="16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58</v>
      </c>
      <c r="B359" s="16" t="s">
        <v>63</v>
      </c>
      <c r="C359" s="105">
        <v>0.52777777777777779</v>
      </c>
      <c r="D359" s="16" t="s">
        <v>85</v>
      </c>
      <c r="E359" s="16" t="s">
        <v>50</v>
      </c>
      <c r="F359" s="16" t="s">
        <v>86</v>
      </c>
      <c r="G359" s="16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58</v>
      </c>
      <c r="B360" s="16" t="s">
        <v>59</v>
      </c>
      <c r="C360" s="105">
        <v>0.1701388888888889</v>
      </c>
      <c r="D360" s="16" t="s">
        <v>85</v>
      </c>
      <c r="E360" s="16" t="s">
        <v>50</v>
      </c>
      <c r="F360" s="16" t="s">
        <v>86</v>
      </c>
      <c r="G360" s="16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76</v>
      </c>
      <c r="B361" s="15" t="s">
        <v>168</v>
      </c>
      <c r="C361" s="104">
        <v>0.1215277777777778</v>
      </c>
      <c r="D361" s="15" t="s">
        <v>49</v>
      </c>
      <c r="E361" s="15" t="s">
        <v>131</v>
      </c>
      <c r="F361" s="15" t="s">
        <v>156</v>
      </c>
      <c r="G361" s="16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47</v>
      </c>
      <c r="B362" s="15" t="s">
        <v>79</v>
      </c>
      <c r="C362" s="104">
        <v>0.95833333333333337</v>
      </c>
      <c r="D362" s="15" t="s">
        <v>49</v>
      </c>
      <c r="E362" s="15" t="s">
        <v>50</v>
      </c>
      <c r="F362" s="15" t="s">
        <v>45</v>
      </c>
      <c r="G362" s="16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thickBot="1" x14ac:dyDescent="0.35">
      <c r="A363" s="23" t="s">
        <v>65</v>
      </c>
      <c r="B363" s="23" t="s">
        <v>66</v>
      </c>
      <c r="C363" s="109">
        <v>0.30555555555555558</v>
      </c>
      <c r="D363" s="23" t="s">
        <v>67</v>
      </c>
      <c r="E363" s="23" t="s">
        <v>68</v>
      </c>
      <c r="F363" s="23" t="s">
        <v>120</v>
      </c>
      <c r="G363" s="169"/>
      <c r="H363" s="24"/>
      <c r="I363" s="25"/>
      <c r="J363" s="25"/>
      <c r="K363" s="25"/>
      <c r="L363" s="25"/>
      <c r="M363" s="25"/>
      <c r="N363" s="25"/>
      <c r="O363" s="26"/>
      <c r="P363" s="25"/>
      <c r="Q363" s="27"/>
      <c r="R363" s="28"/>
    </row>
    <row r="364" spans="1:18" ht="17.399999999999999" customHeight="1" thickBot="1" x14ac:dyDescent="0.35">
      <c r="A364" s="161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3"/>
    </row>
    <row r="365" spans="1:18" ht="22.05" customHeight="1" thickTop="1" thickBot="1" x14ac:dyDescent="0.35">
      <c r="A365" s="166" t="s">
        <v>6</v>
      </c>
      <c r="B365" s="159"/>
      <c r="C365" s="159"/>
      <c r="D365" s="159"/>
      <c r="E365" s="159"/>
      <c r="F365" s="160"/>
      <c r="G365" s="110">
        <v>46014</v>
      </c>
      <c r="H365" s="158" t="s">
        <v>7</v>
      </c>
      <c r="I365" s="159"/>
      <c r="J365" s="159"/>
      <c r="K365" s="159"/>
      <c r="L365" s="159"/>
      <c r="M365" s="159"/>
      <c r="N365" s="159"/>
      <c r="O365" s="159"/>
      <c r="P365" s="159"/>
      <c r="Q365" s="159"/>
      <c r="R365" s="160"/>
    </row>
    <row r="366" spans="1:18" ht="24" customHeight="1" x14ac:dyDescent="0.3">
      <c r="A366" s="29" t="s">
        <v>8</v>
      </c>
      <c r="B366" s="29" t="s">
        <v>9</v>
      </c>
      <c r="C366" s="111" t="s">
        <v>10</v>
      </c>
      <c r="D366" s="29" t="s">
        <v>11</v>
      </c>
      <c r="E366" s="29" t="s">
        <v>12</v>
      </c>
      <c r="F366" s="30" t="s">
        <v>13</v>
      </c>
      <c r="G366" s="31" t="s">
        <v>14</v>
      </c>
      <c r="H366" s="29" t="s">
        <v>15</v>
      </c>
      <c r="I366" s="112" t="s">
        <v>16</v>
      </c>
      <c r="J366" s="32" t="s">
        <v>17</v>
      </c>
      <c r="K366" s="33" t="s">
        <v>18</v>
      </c>
      <c r="L366" s="32" t="s">
        <v>19</v>
      </c>
      <c r="M366" s="32" t="s">
        <v>20</v>
      </c>
      <c r="N366" s="32" t="s">
        <v>21</v>
      </c>
      <c r="O366" s="29" t="s">
        <v>22</v>
      </c>
      <c r="P366" s="111" t="s">
        <v>23</v>
      </c>
      <c r="Q366" s="32" t="s">
        <v>24</v>
      </c>
      <c r="R366" s="29" t="s">
        <v>25</v>
      </c>
    </row>
    <row r="367" spans="1:18" ht="15" customHeight="1" x14ac:dyDescent="0.3">
      <c r="A367" s="8" t="s">
        <v>26</v>
      </c>
      <c r="B367" s="8" t="s">
        <v>27</v>
      </c>
      <c r="C367" s="102">
        <v>0.30555555555555558</v>
      </c>
      <c r="D367" s="8" t="s">
        <v>28</v>
      </c>
      <c r="E367" s="8" t="s">
        <v>153</v>
      </c>
      <c r="F367" s="8" t="s">
        <v>113</v>
      </c>
      <c r="G367" s="16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27</v>
      </c>
      <c r="C368" s="103">
        <v>0.30555555555555558</v>
      </c>
      <c r="D368" s="14" t="s">
        <v>31</v>
      </c>
      <c r="E368" s="14" t="s">
        <v>153</v>
      </c>
      <c r="F368" s="14" t="s">
        <v>114</v>
      </c>
      <c r="G368" s="16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27</v>
      </c>
      <c r="C369" s="103">
        <v>0.30555555555555558</v>
      </c>
      <c r="D369" s="14" t="s">
        <v>33</v>
      </c>
      <c r="E369" s="14" t="s">
        <v>153</v>
      </c>
      <c r="F369" s="14" t="s">
        <v>84</v>
      </c>
      <c r="G369" s="16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35</v>
      </c>
      <c r="B370" s="15" t="s">
        <v>43</v>
      </c>
      <c r="C370" s="104">
        <v>0.83680555555555558</v>
      </c>
      <c r="D370" s="15" t="s">
        <v>37</v>
      </c>
      <c r="E370" s="15" t="s">
        <v>38</v>
      </c>
      <c r="F370" s="15" t="s">
        <v>39</v>
      </c>
      <c r="G370" s="16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35</v>
      </c>
      <c r="B371" s="14" t="s">
        <v>43</v>
      </c>
      <c r="C371" s="103">
        <v>0.83680555555555558</v>
      </c>
      <c r="D371" s="14" t="s">
        <v>40</v>
      </c>
      <c r="E371" s="14" t="s">
        <v>38</v>
      </c>
      <c r="F371" s="14" t="s">
        <v>41</v>
      </c>
      <c r="G371" s="16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35</v>
      </c>
      <c r="B372" s="14" t="s">
        <v>43</v>
      </c>
      <c r="C372" s="103">
        <v>0.83680555555555558</v>
      </c>
      <c r="D372" s="14" t="s">
        <v>33</v>
      </c>
      <c r="E372" s="14" t="s">
        <v>38</v>
      </c>
      <c r="F372" s="14" t="s">
        <v>42</v>
      </c>
      <c r="G372" s="16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35</v>
      </c>
      <c r="B373" s="16" t="s">
        <v>36</v>
      </c>
      <c r="C373" s="105">
        <v>0.2013888888888889</v>
      </c>
      <c r="D373" s="16" t="s">
        <v>37</v>
      </c>
      <c r="E373" s="16" t="s">
        <v>38</v>
      </c>
      <c r="F373" s="16" t="s">
        <v>51</v>
      </c>
      <c r="G373" s="16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35</v>
      </c>
      <c r="B374" s="14" t="s">
        <v>36</v>
      </c>
      <c r="C374" s="103">
        <v>0.2013888888888889</v>
      </c>
      <c r="D374" s="14" t="s">
        <v>40</v>
      </c>
      <c r="E374" s="14" t="s">
        <v>38</v>
      </c>
      <c r="F374" s="14" t="s">
        <v>90</v>
      </c>
      <c r="G374" s="16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35</v>
      </c>
      <c r="B375" s="14" t="s">
        <v>36</v>
      </c>
      <c r="C375" s="103">
        <v>0.2013888888888889</v>
      </c>
      <c r="D375" s="14" t="s">
        <v>33</v>
      </c>
      <c r="E375" s="14" t="s">
        <v>38</v>
      </c>
      <c r="F375" s="14" t="s">
        <v>115</v>
      </c>
      <c r="G375" s="16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59" t="s">
        <v>52</v>
      </c>
      <c r="B376" s="59" t="s">
        <v>53</v>
      </c>
      <c r="C376" s="126">
        <v>0.27083333333333331</v>
      </c>
      <c r="D376" s="59" t="s">
        <v>49</v>
      </c>
      <c r="E376" s="59" t="s">
        <v>80</v>
      </c>
      <c r="F376" s="59" t="s">
        <v>51</v>
      </c>
      <c r="G376" s="168"/>
      <c r="H376" s="60" t="s">
        <v>55</v>
      </c>
      <c r="I376" s="127">
        <v>0.19639999999999999</v>
      </c>
      <c r="J376" s="61">
        <v>33</v>
      </c>
      <c r="K376" s="62">
        <v>45992</v>
      </c>
      <c r="L376" s="61">
        <v>21</v>
      </c>
      <c r="M376" s="61">
        <v>4</v>
      </c>
      <c r="N376" s="61">
        <v>0</v>
      </c>
      <c r="O376" s="63" t="s">
        <v>169</v>
      </c>
      <c r="P376" s="128">
        <v>0.27083333333333331</v>
      </c>
      <c r="Q376" s="61">
        <v>168</v>
      </c>
      <c r="R376" s="64" t="s">
        <v>170</v>
      </c>
    </row>
    <row r="377" spans="1:18" ht="15" customHeight="1" x14ac:dyDescent="0.3">
      <c r="A377" s="15" t="s">
        <v>58</v>
      </c>
      <c r="B377" s="15" t="s">
        <v>61</v>
      </c>
      <c r="C377" s="104">
        <v>0.86458333333333337</v>
      </c>
      <c r="D377" s="15" t="s">
        <v>85</v>
      </c>
      <c r="E377" s="15" t="s">
        <v>50</v>
      </c>
      <c r="F377" s="15" t="s">
        <v>86</v>
      </c>
      <c r="G377" s="16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58</v>
      </c>
      <c r="B378" s="16" t="s">
        <v>59</v>
      </c>
      <c r="C378" s="105">
        <v>0.1701388888888889</v>
      </c>
      <c r="D378" s="16" t="s">
        <v>85</v>
      </c>
      <c r="E378" s="16" t="s">
        <v>50</v>
      </c>
      <c r="F378" s="16" t="s">
        <v>86</v>
      </c>
      <c r="G378" s="16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47</v>
      </c>
      <c r="B379" s="15" t="s">
        <v>48</v>
      </c>
      <c r="C379" s="104">
        <v>0.95833333333333337</v>
      </c>
      <c r="D379" s="15" t="s">
        <v>49</v>
      </c>
      <c r="E379" s="15" t="s">
        <v>81</v>
      </c>
      <c r="F379" s="15" t="s">
        <v>45</v>
      </c>
      <c r="G379" s="16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thickBot="1" x14ac:dyDescent="0.35">
      <c r="A380" s="23" t="s">
        <v>65</v>
      </c>
      <c r="B380" s="23" t="s">
        <v>66</v>
      </c>
      <c r="C380" s="109">
        <v>0.30555555555555558</v>
      </c>
      <c r="D380" s="23" t="s">
        <v>67</v>
      </c>
      <c r="E380" s="23" t="s">
        <v>68</v>
      </c>
      <c r="F380" s="23" t="s">
        <v>120</v>
      </c>
      <c r="G380" s="169"/>
      <c r="H380" s="24"/>
      <c r="I380" s="25"/>
      <c r="J380" s="25"/>
      <c r="K380" s="25"/>
      <c r="L380" s="25"/>
      <c r="M380" s="25"/>
      <c r="N380" s="25"/>
      <c r="O380" s="26"/>
      <c r="P380" s="25"/>
      <c r="Q380" s="27"/>
      <c r="R380" s="28"/>
    </row>
    <row r="381" spans="1:18" ht="17.399999999999999" customHeight="1" thickBot="1" x14ac:dyDescent="0.35">
      <c r="A381" s="161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3"/>
    </row>
    <row r="382" spans="1:18" ht="22.05" customHeight="1" thickTop="1" thickBot="1" x14ac:dyDescent="0.35">
      <c r="A382" s="166" t="s">
        <v>6</v>
      </c>
      <c r="B382" s="159"/>
      <c r="C382" s="159"/>
      <c r="D382" s="159"/>
      <c r="E382" s="159"/>
      <c r="F382" s="160"/>
      <c r="G382" s="110">
        <v>46015</v>
      </c>
      <c r="H382" s="158" t="s">
        <v>7</v>
      </c>
      <c r="I382" s="159"/>
      <c r="J382" s="159"/>
      <c r="K382" s="159"/>
      <c r="L382" s="159"/>
      <c r="M382" s="159"/>
      <c r="N382" s="159"/>
      <c r="O382" s="159"/>
      <c r="P382" s="159"/>
      <c r="Q382" s="159"/>
      <c r="R382" s="160"/>
    </row>
    <row r="383" spans="1:18" ht="24" customHeight="1" x14ac:dyDescent="0.3">
      <c r="A383" s="29" t="s">
        <v>8</v>
      </c>
      <c r="B383" s="29" t="s">
        <v>9</v>
      </c>
      <c r="C383" s="111" t="s">
        <v>10</v>
      </c>
      <c r="D383" s="29" t="s">
        <v>11</v>
      </c>
      <c r="E383" s="29" t="s">
        <v>12</v>
      </c>
      <c r="F383" s="30" t="s">
        <v>13</v>
      </c>
      <c r="G383" s="31" t="s">
        <v>14</v>
      </c>
      <c r="H383" s="29" t="s">
        <v>15</v>
      </c>
      <c r="I383" s="112" t="s">
        <v>16</v>
      </c>
      <c r="J383" s="32" t="s">
        <v>17</v>
      </c>
      <c r="K383" s="33" t="s">
        <v>18</v>
      </c>
      <c r="L383" s="32" t="s">
        <v>19</v>
      </c>
      <c r="M383" s="32" t="s">
        <v>20</v>
      </c>
      <c r="N383" s="32" t="s">
        <v>21</v>
      </c>
      <c r="O383" s="29" t="s">
        <v>22</v>
      </c>
      <c r="P383" s="111" t="s">
        <v>23</v>
      </c>
      <c r="Q383" s="32" t="s">
        <v>24</v>
      </c>
      <c r="R383" s="29" t="s">
        <v>25</v>
      </c>
    </row>
    <row r="384" spans="1:18" ht="15" customHeight="1" x14ac:dyDescent="0.3">
      <c r="A384" s="8" t="s">
        <v>26</v>
      </c>
      <c r="B384" s="8" t="s">
        <v>27</v>
      </c>
      <c r="C384" s="102">
        <v>0.30555555555555558</v>
      </c>
      <c r="D384" s="8" t="s">
        <v>28</v>
      </c>
      <c r="E384" s="8" t="s">
        <v>98</v>
      </c>
      <c r="F384" s="8" t="s">
        <v>113</v>
      </c>
      <c r="G384" s="16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27</v>
      </c>
      <c r="C385" s="103">
        <v>0.30555555555555558</v>
      </c>
      <c r="D385" s="14" t="s">
        <v>31</v>
      </c>
      <c r="E385" s="14" t="s">
        <v>98</v>
      </c>
      <c r="F385" s="14" t="s">
        <v>114</v>
      </c>
      <c r="G385" s="16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27</v>
      </c>
      <c r="C386" s="103">
        <v>0.30555555555555558</v>
      </c>
      <c r="D386" s="14" t="s">
        <v>33</v>
      </c>
      <c r="E386" s="14" t="s">
        <v>98</v>
      </c>
      <c r="F386" s="14" t="s">
        <v>84</v>
      </c>
      <c r="G386" s="16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70</v>
      </c>
      <c r="B387" s="15" t="s">
        <v>71</v>
      </c>
      <c r="C387" s="104">
        <v>0.97222222222222221</v>
      </c>
      <c r="D387" s="15" t="s">
        <v>72</v>
      </c>
      <c r="E387" s="15" t="s">
        <v>38</v>
      </c>
      <c r="F387" s="15" t="s">
        <v>154</v>
      </c>
      <c r="G387" s="16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70</v>
      </c>
      <c r="B388" s="14" t="s">
        <v>71</v>
      </c>
      <c r="C388" s="103">
        <v>0.97222222222222221</v>
      </c>
      <c r="D388" s="14" t="s">
        <v>74</v>
      </c>
      <c r="E388" s="14" t="s">
        <v>38</v>
      </c>
      <c r="F388" s="14" t="s">
        <v>171</v>
      </c>
      <c r="G388" s="16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5" t="s">
        <v>35</v>
      </c>
      <c r="B389" s="15" t="s">
        <v>43</v>
      </c>
      <c r="C389" s="104">
        <v>0.85069444444444442</v>
      </c>
      <c r="D389" s="15" t="s">
        <v>37</v>
      </c>
      <c r="E389" s="15" t="s">
        <v>80</v>
      </c>
      <c r="F389" s="15" t="s">
        <v>39</v>
      </c>
      <c r="G389" s="16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35</v>
      </c>
      <c r="B390" s="14" t="s">
        <v>43</v>
      </c>
      <c r="C390" s="103">
        <v>0.85069444444444442</v>
      </c>
      <c r="D390" s="14" t="s">
        <v>40</v>
      </c>
      <c r="E390" s="14" t="s">
        <v>80</v>
      </c>
      <c r="F390" s="14" t="s">
        <v>41</v>
      </c>
      <c r="G390" s="16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35</v>
      </c>
      <c r="B391" s="14" t="s">
        <v>43</v>
      </c>
      <c r="C391" s="103">
        <v>0.85069444444444442</v>
      </c>
      <c r="D391" s="14" t="s">
        <v>33</v>
      </c>
      <c r="E391" s="14" t="s">
        <v>80</v>
      </c>
      <c r="F391" s="14" t="s">
        <v>42</v>
      </c>
      <c r="G391" s="16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5" t="s">
        <v>58</v>
      </c>
      <c r="B392" s="15" t="s">
        <v>61</v>
      </c>
      <c r="C392" s="104">
        <v>0.86458333333333337</v>
      </c>
      <c r="D392" s="15" t="s">
        <v>85</v>
      </c>
      <c r="E392" s="15" t="s">
        <v>50</v>
      </c>
      <c r="F392" s="15" t="s">
        <v>86</v>
      </c>
      <c r="G392" s="16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58</v>
      </c>
      <c r="B393" s="16" t="s">
        <v>63</v>
      </c>
      <c r="C393" s="105">
        <v>0.52777777777777779</v>
      </c>
      <c r="D393" s="16" t="s">
        <v>85</v>
      </c>
      <c r="E393" s="16" t="s">
        <v>50</v>
      </c>
      <c r="F393" s="16" t="s">
        <v>86</v>
      </c>
      <c r="G393" s="16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58</v>
      </c>
      <c r="B394" s="16" t="s">
        <v>59</v>
      </c>
      <c r="C394" s="105">
        <v>0.1701388888888889</v>
      </c>
      <c r="D394" s="16" t="s">
        <v>85</v>
      </c>
      <c r="E394" s="16" t="s">
        <v>50</v>
      </c>
      <c r="F394" s="16" t="s">
        <v>86</v>
      </c>
      <c r="G394" s="16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5" t="s">
        <v>47</v>
      </c>
      <c r="B395" s="15" t="s">
        <v>79</v>
      </c>
      <c r="C395" s="104">
        <v>0.89583333333333337</v>
      </c>
      <c r="D395" s="15" t="s">
        <v>49</v>
      </c>
      <c r="E395" s="15" t="s">
        <v>50</v>
      </c>
      <c r="F395" s="15" t="s">
        <v>45</v>
      </c>
      <c r="G395" s="16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5" t="s">
        <v>76</v>
      </c>
      <c r="B396" s="15" t="s">
        <v>77</v>
      </c>
      <c r="C396" s="104">
        <v>9.0277777777777776E-2</v>
      </c>
      <c r="D396" s="15" t="s">
        <v>49</v>
      </c>
      <c r="E396" s="15" t="s">
        <v>81</v>
      </c>
      <c r="F396" s="15" t="s">
        <v>172</v>
      </c>
      <c r="G396" s="16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thickBot="1" x14ac:dyDescent="0.35">
      <c r="A397" s="23" t="s">
        <v>65</v>
      </c>
      <c r="B397" s="23" t="s">
        <v>66</v>
      </c>
      <c r="C397" s="109">
        <v>0.30555555555555558</v>
      </c>
      <c r="D397" s="23" t="s">
        <v>67</v>
      </c>
      <c r="E397" s="23" t="s">
        <v>68</v>
      </c>
      <c r="F397" s="23" t="s">
        <v>69</v>
      </c>
      <c r="G397" s="169"/>
      <c r="H397" s="24"/>
      <c r="I397" s="25"/>
      <c r="J397" s="25"/>
      <c r="K397" s="25"/>
      <c r="L397" s="25"/>
      <c r="M397" s="25"/>
      <c r="N397" s="25"/>
      <c r="O397" s="26"/>
      <c r="P397" s="25"/>
      <c r="Q397" s="27"/>
      <c r="R397" s="28"/>
    </row>
    <row r="398" spans="1:18" ht="17.399999999999999" customHeight="1" thickBot="1" x14ac:dyDescent="0.35">
      <c r="A398" s="161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3"/>
    </row>
    <row r="399" spans="1:18" ht="22.05" customHeight="1" thickTop="1" thickBot="1" x14ac:dyDescent="0.35">
      <c r="A399" s="166" t="s">
        <v>6</v>
      </c>
      <c r="B399" s="159"/>
      <c r="C399" s="159"/>
      <c r="D399" s="159"/>
      <c r="E399" s="159"/>
      <c r="F399" s="160"/>
      <c r="G399" s="110">
        <v>46016</v>
      </c>
      <c r="H399" s="158" t="s">
        <v>7</v>
      </c>
      <c r="I399" s="159"/>
      <c r="J399" s="159"/>
      <c r="K399" s="159"/>
      <c r="L399" s="159"/>
      <c r="M399" s="159"/>
      <c r="N399" s="159"/>
      <c r="O399" s="159"/>
      <c r="P399" s="159"/>
      <c r="Q399" s="159"/>
      <c r="R399" s="160"/>
    </row>
    <row r="400" spans="1:18" ht="24" customHeight="1" x14ac:dyDescent="0.3">
      <c r="A400" s="29" t="s">
        <v>8</v>
      </c>
      <c r="B400" s="29" t="s">
        <v>9</v>
      </c>
      <c r="C400" s="111" t="s">
        <v>10</v>
      </c>
      <c r="D400" s="29" t="s">
        <v>11</v>
      </c>
      <c r="E400" s="29" t="s">
        <v>12</v>
      </c>
      <c r="F400" s="30" t="s">
        <v>13</v>
      </c>
      <c r="G400" s="31" t="s">
        <v>14</v>
      </c>
      <c r="H400" s="29" t="s">
        <v>15</v>
      </c>
      <c r="I400" s="112" t="s">
        <v>16</v>
      </c>
      <c r="J400" s="32" t="s">
        <v>17</v>
      </c>
      <c r="K400" s="33" t="s">
        <v>18</v>
      </c>
      <c r="L400" s="32" t="s">
        <v>19</v>
      </c>
      <c r="M400" s="32" t="s">
        <v>20</v>
      </c>
      <c r="N400" s="32" t="s">
        <v>21</v>
      </c>
      <c r="O400" s="29" t="s">
        <v>22</v>
      </c>
      <c r="P400" s="111" t="s">
        <v>23</v>
      </c>
      <c r="Q400" s="32" t="s">
        <v>24</v>
      </c>
      <c r="R400" s="29" t="s">
        <v>25</v>
      </c>
    </row>
    <row r="401" spans="1:18" ht="15" customHeight="1" x14ac:dyDescent="0.3">
      <c r="A401" s="34" t="s">
        <v>52</v>
      </c>
      <c r="B401" s="34" t="s">
        <v>53</v>
      </c>
      <c r="C401" s="113">
        <v>0.92361111111111116</v>
      </c>
      <c r="D401" s="34" t="s">
        <v>49</v>
      </c>
      <c r="E401" s="34" t="s">
        <v>50</v>
      </c>
      <c r="F401" s="34" t="s">
        <v>51</v>
      </c>
      <c r="G401" s="167"/>
      <c r="H401" s="35" t="s">
        <v>55</v>
      </c>
      <c r="I401" s="135">
        <v>0.28570000000000001</v>
      </c>
      <c r="J401" s="36">
        <v>48</v>
      </c>
      <c r="K401" s="37">
        <v>45992</v>
      </c>
      <c r="L401" s="36">
        <v>9</v>
      </c>
      <c r="M401" s="36">
        <v>5</v>
      </c>
      <c r="N401" s="36">
        <v>0</v>
      </c>
      <c r="O401" s="38" t="s">
        <v>105</v>
      </c>
      <c r="P401" s="115">
        <v>0.92361111111111116</v>
      </c>
      <c r="Q401" s="36">
        <v>168</v>
      </c>
      <c r="R401" s="39" t="s">
        <v>173</v>
      </c>
    </row>
    <row r="402" spans="1:18" ht="15" customHeight="1" x14ac:dyDescent="0.3">
      <c r="A402" s="15" t="s">
        <v>58</v>
      </c>
      <c r="B402" s="15" t="s">
        <v>59</v>
      </c>
      <c r="C402" s="104">
        <v>0.1701388888888889</v>
      </c>
      <c r="D402" s="15" t="s">
        <v>85</v>
      </c>
      <c r="E402" s="15" t="s">
        <v>50</v>
      </c>
      <c r="F402" s="15" t="s">
        <v>86</v>
      </c>
      <c r="G402" s="16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58</v>
      </c>
      <c r="B403" s="16" t="s">
        <v>61</v>
      </c>
      <c r="C403" s="105">
        <v>0.86458333333333337</v>
      </c>
      <c r="D403" s="16" t="s">
        <v>124</v>
      </c>
      <c r="E403" s="16" t="s">
        <v>50</v>
      </c>
      <c r="F403" s="16" t="s">
        <v>125</v>
      </c>
      <c r="G403" s="16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58</v>
      </c>
      <c r="B404" s="16" t="s">
        <v>63</v>
      </c>
      <c r="C404" s="105">
        <v>0.52777777777777779</v>
      </c>
      <c r="D404" s="16" t="s">
        <v>60</v>
      </c>
      <c r="E404" s="16" t="s">
        <v>50</v>
      </c>
      <c r="F404" s="16" t="s">
        <v>174</v>
      </c>
      <c r="G404" s="16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5" t="s">
        <v>76</v>
      </c>
      <c r="B405" s="15" t="s">
        <v>77</v>
      </c>
      <c r="C405" s="104">
        <v>0.88888888888888884</v>
      </c>
      <c r="D405" s="15" t="s">
        <v>175</v>
      </c>
      <c r="E405" s="15" t="s">
        <v>89</v>
      </c>
      <c r="F405" s="15" t="s">
        <v>172</v>
      </c>
      <c r="G405" s="16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5" t="s">
        <v>47</v>
      </c>
      <c r="B406" s="15" t="s">
        <v>48</v>
      </c>
      <c r="C406" s="104">
        <v>0.95833333333333337</v>
      </c>
      <c r="D406" s="15" t="s">
        <v>49</v>
      </c>
      <c r="E406" s="15" t="s">
        <v>50</v>
      </c>
      <c r="F406" s="15" t="s">
        <v>133</v>
      </c>
      <c r="G406" s="16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thickBot="1" x14ac:dyDescent="0.35">
      <c r="A407" s="23" t="s">
        <v>65</v>
      </c>
      <c r="B407" s="23" t="s">
        <v>66</v>
      </c>
      <c r="C407" s="109">
        <v>0.30555555555555558</v>
      </c>
      <c r="D407" s="23" t="s">
        <v>67</v>
      </c>
      <c r="E407" s="23" t="s">
        <v>68</v>
      </c>
      <c r="F407" s="23" t="s">
        <v>69</v>
      </c>
      <c r="G407" s="169"/>
      <c r="H407" s="24"/>
      <c r="I407" s="25"/>
      <c r="J407" s="25"/>
      <c r="K407" s="25"/>
      <c r="L407" s="25"/>
      <c r="M407" s="25"/>
      <c r="N407" s="25"/>
      <c r="O407" s="26"/>
      <c r="P407" s="25"/>
      <c r="Q407" s="27"/>
      <c r="R407" s="28"/>
    </row>
    <row r="408" spans="1:18" ht="17.399999999999999" customHeight="1" thickBot="1" x14ac:dyDescent="0.35">
      <c r="A408" s="161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3"/>
    </row>
    <row r="409" spans="1:18" ht="22.05" customHeight="1" thickTop="1" thickBot="1" x14ac:dyDescent="0.35">
      <c r="A409" s="166" t="s">
        <v>6</v>
      </c>
      <c r="B409" s="159"/>
      <c r="C409" s="159"/>
      <c r="D409" s="159"/>
      <c r="E409" s="159"/>
      <c r="F409" s="160"/>
      <c r="G409" s="110">
        <v>46017</v>
      </c>
      <c r="H409" s="158" t="s">
        <v>7</v>
      </c>
      <c r="I409" s="159"/>
      <c r="J409" s="159"/>
      <c r="K409" s="159"/>
      <c r="L409" s="159"/>
      <c r="M409" s="159"/>
      <c r="N409" s="159"/>
      <c r="O409" s="159"/>
      <c r="P409" s="159"/>
      <c r="Q409" s="159"/>
      <c r="R409" s="160"/>
    </row>
    <row r="410" spans="1:18" ht="24" customHeight="1" x14ac:dyDescent="0.3">
      <c r="A410" s="29" t="s">
        <v>8</v>
      </c>
      <c r="B410" s="29" t="s">
        <v>9</v>
      </c>
      <c r="C410" s="111" t="s">
        <v>10</v>
      </c>
      <c r="D410" s="29" t="s">
        <v>11</v>
      </c>
      <c r="E410" s="29" t="s">
        <v>12</v>
      </c>
      <c r="F410" s="30" t="s">
        <v>13</v>
      </c>
      <c r="G410" s="31" t="s">
        <v>14</v>
      </c>
      <c r="H410" s="29" t="s">
        <v>15</v>
      </c>
      <c r="I410" s="112" t="s">
        <v>16</v>
      </c>
      <c r="J410" s="32" t="s">
        <v>17</v>
      </c>
      <c r="K410" s="33" t="s">
        <v>18</v>
      </c>
      <c r="L410" s="32" t="s">
        <v>19</v>
      </c>
      <c r="M410" s="32" t="s">
        <v>20</v>
      </c>
      <c r="N410" s="32" t="s">
        <v>21</v>
      </c>
      <c r="O410" s="29" t="s">
        <v>22</v>
      </c>
      <c r="P410" s="111" t="s">
        <v>23</v>
      </c>
      <c r="Q410" s="32" t="s">
        <v>24</v>
      </c>
      <c r="R410" s="29" t="s">
        <v>25</v>
      </c>
    </row>
    <row r="411" spans="1:18" ht="15" customHeight="1" x14ac:dyDescent="0.3">
      <c r="A411" s="8" t="s">
        <v>26</v>
      </c>
      <c r="B411" s="8" t="s">
        <v>27</v>
      </c>
      <c r="C411" s="102">
        <v>0.30555555555555558</v>
      </c>
      <c r="D411" s="8" t="s">
        <v>28</v>
      </c>
      <c r="E411" s="8" t="s">
        <v>123</v>
      </c>
      <c r="F411" s="8" t="s">
        <v>113</v>
      </c>
      <c r="G411" s="16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27</v>
      </c>
      <c r="C412" s="103">
        <v>0.30555555555555558</v>
      </c>
      <c r="D412" s="14" t="s">
        <v>31</v>
      </c>
      <c r="E412" s="14" t="s">
        <v>123</v>
      </c>
      <c r="F412" s="14" t="s">
        <v>114</v>
      </c>
      <c r="G412" s="16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27</v>
      </c>
      <c r="C413" s="103">
        <v>0.30555555555555558</v>
      </c>
      <c r="D413" s="14" t="s">
        <v>33</v>
      </c>
      <c r="E413" s="14" t="s">
        <v>123</v>
      </c>
      <c r="F413" s="14" t="s">
        <v>84</v>
      </c>
      <c r="G413" s="16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5" t="s">
        <v>35</v>
      </c>
      <c r="B414" s="15" t="s">
        <v>43</v>
      </c>
      <c r="C414" s="104">
        <v>0.83680555555555558</v>
      </c>
      <c r="D414" s="15" t="s">
        <v>37</v>
      </c>
      <c r="E414" s="15" t="s">
        <v>29</v>
      </c>
      <c r="F414" s="15" t="s">
        <v>39</v>
      </c>
      <c r="G414" s="16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35</v>
      </c>
      <c r="B415" s="14" t="s">
        <v>43</v>
      </c>
      <c r="C415" s="103">
        <v>0.83680555555555558</v>
      </c>
      <c r="D415" s="14" t="s">
        <v>40</v>
      </c>
      <c r="E415" s="14" t="s">
        <v>29</v>
      </c>
      <c r="F415" s="14" t="s">
        <v>41</v>
      </c>
      <c r="G415" s="16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35</v>
      </c>
      <c r="B416" s="14" t="s">
        <v>43</v>
      </c>
      <c r="C416" s="103">
        <v>0.83680555555555558</v>
      </c>
      <c r="D416" s="14" t="s">
        <v>33</v>
      </c>
      <c r="E416" s="14" t="s">
        <v>29</v>
      </c>
      <c r="F416" s="14" t="s">
        <v>42</v>
      </c>
      <c r="G416" s="16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65" t="s">
        <v>52</v>
      </c>
      <c r="B417" s="65" t="s">
        <v>53</v>
      </c>
      <c r="C417" s="129">
        <v>0.57986111111111116</v>
      </c>
      <c r="D417" s="65" t="s">
        <v>49</v>
      </c>
      <c r="E417" s="65" t="s">
        <v>50</v>
      </c>
      <c r="F417" s="65" t="s">
        <v>51</v>
      </c>
      <c r="G417" s="168"/>
      <c r="H417" s="66" t="s">
        <v>55</v>
      </c>
      <c r="I417" s="130">
        <v>0.3155</v>
      </c>
      <c r="J417" s="67">
        <v>53</v>
      </c>
      <c r="K417" s="68">
        <v>45992</v>
      </c>
      <c r="L417" s="67">
        <v>20</v>
      </c>
      <c r="M417" s="67">
        <v>1</v>
      </c>
      <c r="N417" s="67">
        <v>0</v>
      </c>
      <c r="O417" s="69" t="s">
        <v>105</v>
      </c>
      <c r="P417" s="131">
        <v>0.57986111111111116</v>
      </c>
      <c r="Q417" s="67">
        <v>168</v>
      </c>
      <c r="R417" s="70" t="s">
        <v>176</v>
      </c>
    </row>
    <row r="418" spans="1:18" ht="15" customHeight="1" x14ac:dyDescent="0.3">
      <c r="A418" s="15" t="s">
        <v>58</v>
      </c>
      <c r="B418" s="15" t="s">
        <v>61</v>
      </c>
      <c r="C418" s="104">
        <v>0.86458333333333337</v>
      </c>
      <c r="D418" s="15" t="s">
        <v>85</v>
      </c>
      <c r="E418" s="15" t="s">
        <v>50</v>
      </c>
      <c r="F418" s="15" t="s">
        <v>86</v>
      </c>
      <c r="G418" s="16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58</v>
      </c>
      <c r="B419" s="16" t="s">
        <v>59</v>
      </c>
      <c r="C419" s="105">
        <v>0.1701388888888889</v>
      </c>
      <c r="D419" s="16" t="s">
        <v>85</v>
      </c>
      <c r="E419" s="16" t="s">
        <v>50</v>
      </c>
      <c r="F419" s="16" t="s">
        <v>86</v>
      </c>
      <c r="G419" s="16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58</v>
      </c>
      <c r="B420" s="16" t="s">
        <v>63</v>
      </c>
      <c r="C420" s="105">
        <v>0.52777777777777779</v>
      </c>
      <c r="D420" s="16" t="s">
        <v>85</v>
      </c>
      <c r="E420" s="16" t="s">
        <v>50</v>
      </c>
      <c r="F420" s="16" t="s">
        <v>119</v>
      </c>
      <c r="G420" s="16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5" t="s">
        <v>47</v>
      </c>
      <c r="B421" s="15" t="s">
        <v>79</v>
      </c>
      <c r="C421" s="104">
        <v>0.95833333333333337</v>
      </c>
      <c r="D421" s="15" t="s">
        <v>175</v>
      </c>
      <c r="E421" s="15" t="s">
        <v>50</v>
      </c>
      <c r="F421" s="15" t="s">
        <v>45</v>
      </c>
      <c r="G421" s="16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thickBot="1" x14ac:dyDescent="0.35">
      <c r="A422" s="23" t="s">
        <v>65</v>
      </c>
      <c r="B422" s="23" t="s">
        <v>66</v>
      </c>
      <c r="C422" s="109">
        <v>0.30555555555555558</v>
      </c>
      <c r="D422" s="23" t="s">
        <v>67</v>
      </c>
      <c r="E422" s="23" t="s">
        <v>68</v>
      </c>
      <c r="F422" s="23" t="s">
        <v>120</v>
      </c>
      <c r="G422" s="169"/>
      <c r="H422" s="24"/>
      <c r="I422" s="25"/>
      <c r="J422" s="25"/>
      <c r="K422" s="25"/>
      <c r="L422" s="25"/>
      <c r="M422" s="25"/>
      <c r="N422" s="25"/>
      <c r="O422" s="26"/>
      <c r="P422" s="25"/>
      <c r="Q422" s="27"/>
      <c r="R422" s="28"/>
    </row>
    <row r="423" spans="1:18" ht="17.399999999999999" customHeight="1" thickBot="1" x14ac:dyDescent="0.35">
      <c r="A423" s="161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3"/>
    </row>
    <row r="424" spans="1:18" ht="22.05" customHeight="1" thickTop="1" thickBot="1" x14ac:dyDescent="0.35">
      <c r="A424" s="166" t="s">
        <v>6</v>
      </c>
      <c r="B424" s="159"/>
      <c r="C424" s="159"/>
      <c r="D424" s="159"/>
      <c r="E424" s="159"/>
      <c r="F424" s="160"/>
      <c r="G424" s="110">
        <v>46018</v>
      </c>
      <c r="H424" s="158" t="s">
        <v>7</v>
      </c>
      <c r="I424" s="159"/>
      <c r="J424" s="159"/>
      <c r="K424" s="159"/>
      <c r="L424" s="159"/>
      <c r="M424" s="159"/>
      <c r="N424" s="159"/>
      <c r="O424" s="159"/>
      <c r="P424" s="159"/>
      <c r="Q424" s="159"/>
      <c r="R424" s="160"/>
    </row>
    <row r="425" spans="1:18" ht="24" customHeight="1" x14ac:dyDescent="0.3">
      <c r="A425" s="29" t="s">
        <v>8</v>
      </c>
      <c r="B425" s="29" t="s">
        <v>9</v>
      </c>
      <c r="C425" s="111" t="s">
        <v>10</v>
      </c>
      <c r="D425" s="29" t="s">
        <v>11</v>
      </c>
      <c r="E425" s="29" t="s">
        <v>12</v>
      </c>
      <c r="F425" s="30" t="s">
        <v>13</v>
      </c>
      <c r="G425" s="31" t="s">
        <v>14</v>
      </c>
      <c r="H425" s="29" t="s">
        <v>15</v>
      </c>
      <c r="I425" s="112" t="s">
        <v>16</v>
      </c>
      <c r="J425" s="32" t="s">
        <v>17</v>
      </c>
      <c r="K425" s="33" t="s">
        <v>18</v>
      </c>
      <c r="L425" s="32" t="s">
        <v>19</v>
      </c>
      <c r="M425" s="32" t="s">
        <v>20</v>
      </c>
      <c r="N425" s="32" t="s">
        <v>21</v>
      </c>
      <c r="O425" s="29" t="s">
        <v>22</v>
      </c>
      <c r="P425" s="111" t="s">
        <v>23</v>
      </c>
      <c r="Q425" s="32" t="s">
        <v>24</v>
      </c>
      <c r="R425" s="29" t="s">
        <v>25</v>
      </c>
    </row>
    <row r="426" spans="1:18" ht="15" customHeight="1" x14ac:dyDescent="0.3">
      <c r="A426" s="8" t="s">
        <v>26</v>
      </c>
      <c r="B426" s="8" t="s">
        <v>27</v>
      </c>
      <c r="C426" s="102">
        <v>0.30555555555555558</v>
      </c>
      <c r="D426" s="8" t="s">
        <v>28</v>
      </c>
      <c r="E426" s="8" t="s">
        <v>177</v>
      </c>
      <c r="F426" s="8" t="s">
        <v>113</v>
      </c>
      <c r="G426" s="16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27</v>
      </c>
      <c r="C427" s="103">
        <v>0.30555555555555558</v>
      </c>
      <c r="D427" s="14" t="s">
        <v>31</v>
      </c>
      <c r="E427" s="14" t="s">
        <v>177</v>
      </c>
      <c r="F427" s="14" t="s">
        <v>114</v>
      </c>
      <c r="G427" s="16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27</v>
      </c>
      <c r="C428" s="103">
        <v>0.30555555555555558</v>
      </c>
      <c r="D428" s="14" t="s">
        <v>33</v>
      </c>
      <c r="E428" s="14" t="s">
        <v>177</v>
      </c>
      <c r="F428" s="14" t="s">
        <v>84</v>
      </c>
      <c r="G428" s="16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5" t="s">
        <v>35</v>
      </c>
      <c r="B429" s="15" t="s">
        <v>43</v>
      </c>
      <c r="C429" s="104">
        <v>0.83680555555555558</v>
      </c>
      <c r="D429" s="15" t="s">
        <v>37</v>
      </c>
      <c r="E429" s="15" t="s">
        <v>38</v>
      </c>
      <c r="F429" s="15" t="s">
        <v>39</v>
      </c>
      <c r="G429" s="16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35</v>
      </c>
      <c r="B430" s="14" t="s">
        <v>43</v>
      </c>
      <c r="C430" s="103">
        <v>0.83680555555555558</v>
      </c>
      <c r="D430" s="14" t="s">
        <v>40</v>
      </c>
      <c r="E430" s="14" t="s">
        <v>38</v>
      </c>
      <c r="F430" s="14" t="s">
        <v>41</v>
      </c>
      <c r="G430" s="16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35</v>
      </c>
      <c r="B431" s="14" t="s">
        <v>43</v>
      </c>
      <c r="C431" s="103">
        <v>0.83680555555555558</v>
      </c>
      <c r="D431" s="14" t="s">
        <v>33</v>
      </c>
      <c r="E431" s="14" t="s">
        <v>38</v>
      </c>
      <c r="F431" s="14" t="s">
        <v>42</v>
      </c>
      <c r="G431" s="16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35</v>
      </c>
      <c r="B432" s="16" t="s">
        <v>36</v>
      </c>
      <c r="C432" s="105">
        <v>0.2013888888888889</v>
      </c>
      <c r="D432" s="16" t="s">
        <v>37</v>
      </c>
      <c r="E432" s="16" t="s">
        <v>38</v>
      </c>
      <c r="F432" s="16" t="s">
        <v>39</v>
      </c>
      <c r="G432" s="16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35</v>
      </c>
      <c r="B433" s="14" t="s">
        <v>36</v>
      </c>
      <c r="C433" s="103">
        <v>0.2013888888888889</v>
      </c>
      <c r="D433" s="14" t="s">
        <v>40</v>
      </c>
      <c r="E433" s="14" t="s">
        <v>38</v>
      </c>
      <c r="F433" s="14" t="s">
        <v>41</v>
      </c>
      <c r="G433" s="16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35</v>
      </c>
      <c r="B434" s="14" t="s">
        <v>36</v>
      </c>
      <c r="C434" s="103">
        <v>0.2013888888888889</v>
      </c>
      <c r="D434" s="14" t="s">
        <v>33</v>
      </c>
      <c r="E434" s="14" t="s">
        <v>38</v>
      </c>
      <c r="F434" s="14" t="s">
        <v>42</v>
      </c>
      <c r="G434" s="16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" t="s">
        <v>70</v>
      </c>
      <c r="B435" s="15" t="s">
        <v>71</v>
      </c>
      <c r="C435" s="104">
        <v>0.97222222222222221</v>
      </c>
      <c r="D435" s="15" t="s">
        <v>72</v>
      </c>
      <c r="E435" s="15" t="s">
        <v>38</v>
      </c>
      <c r="F435" s="15" t="s">
        <v>116</v>
      </c>
      <c r="G435" s="16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70</v>
      </c>
      <c r="B436" s="14" t="s">
        <v>71</v>
      </c>
      <c r="C436" s="103">
        <v>0.97222222222222221</v>
      </c>
      <c r="D436" s="14" t="s">
        <v>74</v>
      </c>
      <c r="E436" s="14" t="s">
        <v>38</v>
      </c>
      <c r="F436" s="14" t="s">
        <v>178</v>
      </c>
      <c r="G436" s="16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7" t="s">
        <v>52</v>
      </c>
      <c r="B437" s="17" t="s">
        <v>53</v>
      </c>
      <c r="C437" s="106">
        <v>0.92361111111111116</v>
      </c>
      <c r="D437" s="17" t="s">
        <v>49</v>
      </c>
      <c r="E437" s="17" t="s">
        <v>50</v>
      </c>
      <c r="F437" s="17" t="s">
        <v>51</v>
      </c>
      <c r="G437" s="168"/>
      <c r="H437" s="18" t="s">
        <v>55</v>
      </c>
      <c r="I437" s="136">
        <v>0.25</v>
      </c>
      <c r="J437" s="19">
        <v>42</v>
      </c>
      <c r="K437" s="20">
        <v>45990</v>
      </c>
      <c r="L437" s="19">
        <v>28</v>
      </c>
      <c r="M437" s="19">
        <v>0</v>
      </c>
      <c r="N437" s="19">
        <v>0</v>
      </c>
      <c r="O437" s="21" t="s">
        <v>105</v>
      </c>
      <c r="P437" s="108">
        <v>0.92361111111111116</v>
      </c>
      <c r="Q437" s="19">
        <v>168</v>
      </c>
      <c r="R437" s="22" t="s">
        <v>179</v>
      </c>
    </row>
    <row r="438" spans="1:18" ht="15" customHeight="1" x14ac:dyDescent="0.3">
      <c r="A438" s="15" t="s">
        <v>58</v>
      </c>
      <c r="B438" s="15" t="s">
        <v>61</v>
      </c>
      <c r="C438" s="104">
        <v>0.86805555555555558</v>
      </c>
      <c r="D438" s="15" t="s">
        <v>85</v>
      </c>
      <c r="E438" s="15" t="s">
        <v>50</v>
      </c>
      <c r="F438" s="15" t="s">
        <v>86</v>
      </c>
      <c r="G438" s="16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58</v>
      </c>
      <c r="B439" s="16" t="s">
        <v>63</v>
      </c>
      <c r="C439" s="105">
        <v>0.52777777777777779</v>
      </c>
      <c r="D439" s="16" t="s">
        <v>85</v>
      </c>
      <c r="E439" s="16" t="s">
        <v>50</v>
      </c>
      <c r="F439" s="16" t="s">
        <v>86</v>
      </c>
      <c r="G439" s="16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58</v>
      </c>
      <c r="B440" s="16" t="s">
        <v>59</v>
      </c>
      <c r="C440" s="105">
        <v>0.1701388888888889</v>
      </c>
      <c r="D440" s="16" t="s">
        <v>85</v>
      </c>
      <c r="E440" s="16" t="s">
        <v>50</v>
      </c>
      <c r="F440" s="16" t="s">
        <v>86</v>
      </c>
      <c r="G440" s="16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thickBot="1" x14ac:dyDescent="0.35">
      <c r="A441" s="23" t="s">
        <v>65</v>
      </c>
      <c r="B441" s="23" t="s">
        <v>66</v>
      </c>
      <c r="C441" s="109">
        <v>0.30555555555555558</v>
      </c>
      <c r="D441" s="23" t="s">
        <v>67</v>
      </c>
      <c r="E441" s="23" t="s">
        <v>68</v>
      </c>
      <c r="F441" s="23" t="s">
        <v>120</v>
      </c>
      <c r="G441" s="169"/>
      <c r="H441" s="24"/>
      <c r="I441" s="25"/>
      <c r="J441" s="25"/>
      <c r="K441" s="25"/>
      <c r="L441" s="25"/>
      <c r="M441" s="25"/>
      <c r="N441" s="25"/>
      <c r="O441" s="26"/>
      <c r="P441" s="25"/>
      <c r="Q441" s="27"/>
      <c r="R441" s="28"/>
    </row>
    <row r="442" spans="1:18" ht="17.399999999999999" customHeight="1" thickBot="1" x14ac:dyDescent="0.35">
      <c r="A442" s="161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3"/>
    </row>
    <row r="443" spans="1:18" ht="22.05" customHeight="1" thickTop="1" thickBot="1" x14ac:dyDescent="0.35">
      <c r="A443" s="166" t="s">
        <v>6</v>
      </c>
      <c r="B443" s="159"/>
      <c r="C443" s="159"/>
      <c r="D443" s="159"/>
      <c r="E443" s="159"/>
      <c r="F443" s="160"/>
      <c r="G443" s="110">
        <v>46019</v>
      </c>
      <c r="H443" s="158" t="s">
        <v>7</v>
      </c>
      <c r="I443" s="159"/>
      <c r="J443" s="159"/>
      <c r="K443" s="159"/>
      <c r="L443" s="159"/>
      <c r="M443" s="159"/>
      <c r="N443" s="159"/>
      <c r="O443" s="159"/>
      <c r="P443" s="159"/>
      <c r="Q443" s="159"/>
      <c r="R443" s="160"/>
    </row>
    <row r="444" spans="1:18" ht="24" customHeight="1" x14ac:dyDescent="0.3">
      <c r="A444" s="29" t="s">
        <v>8</v>
      </c>
      <c r="B444" s="29" t="s">
        <v>9</v>
      </c>
      <c r="C444" s="111" t="s">
        <v>10</v>
      </c>
      <c r="D444" s="29" t="s">
        <v>11</v>
      </c>
      <c r="E444" s="29" t="s">
        <v>12</v>
      </c>
      <c r="F444" s="30" t="s">
        <v>13</v>
      </c>
      <c r="G444" s="31" t="s">
        <v>14</v>
      </c>
      <c r="H444" s="29" t="s">
        <v>15</v>
      </c>
      <c r="I444" s="112" t="s">
        <v>16</v>
      </c>
      <c r="J444" s="32" t="s">
        <v>17</v>
      </c>
      <c r="K444" s="33" t="s">
        <v>18</v>
      </c>
      <c r="L444" s="32" t="s">
        <v>19</v>
      </c>
      <c r="M444" s="32" t="s">
        <v>20</v>
      </c>
      <c r="N444" s="32" t="s">
        <v>21</v>
      </c>
      <c r="O444" s="29" t="s">
        <v>22</v>
      </c>
      <c r="P444" s="111" t="s">
        <v>23</v>
      </c>
      <c r="Q444" s="32" t="s">
        <v>24</v>
      </c>
      <c r="R444" s="29" t="s">
        <v>25</v>
      </c>
    </row>
    <row r="445" spans="1:18" ht="15" customHeight="1" x14ac:dyDescent="0.3">
      <c r="A445" s="8" t="s">
        <v>26</v>
      </c>
      <c r="B445" s="8" t="s">
        <v>27</v>
      </c>
      <c r="C445" s="102">
        <v>0.30555555555555558</v>
      </c>
      <c r="D445" s="8" t="s">
        <v>28</v>
      </c>
      <c r="E445" s="8" t="s">
        <v>180</v>
      </c>
      <c r="F445" s="8" t="s">
        <v>113</v>
      </c>
      <c r="G445" s="17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27</v>
      </c>
      <c r="C446" s="103">
        <v>0.30555555555555558</v>
      </c>
      <c r="D446" s="14" t="s">
        <v>31</v>
      </c>
      <c r="E446" s="14" t="s">
        <v>180</v>
      </c>
      <c r="F446" s="14" t="s">
        <v>114</v>
      </c>
      <c r="G446" s="16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27</v>
      </c>
      <c r="C447" s="103">
        <v>0.30555555555555558</v>
      </c>
      <c r="D447" s="14" t="s">
        <v>33</v>
      </c>
      <c r="E447" s="14" t="s">
        <v>180</v>
      </c>
      <c r="F447" s="14" t="s">
        <v>84</v>
      </c>
      <c r="G447" s="16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5" t="s">
        <v>35</v>
      </c>
      <c r="B448" s="15" t="s">
        <v>43</v>
      </c>
      <c r="C448" s="104">
        <v>0.85069444444444442</v>
      </c>
      <c r="D448" s="15" t="s">
        <v>37</v>
      </c>
      <c r="E448" s="15" t="s">
        <v>29</v>
      </c>
      <c r="F448" s="15" t="s">
        <v>39</v>
      </c>
      <c r="G448" s="16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35</v>
      </c>
      <c r="B449" s="14" t="s">
        <v>43</v>
      </c>
      <c r="C449" s="103">
        <v>0.85069444444444442</v>
      </c>
      <c r="D449" s="14" t="s">
        <v>40</v>
      </c>
      <c r="E449" s="14" t="s">
        <v>29</v>
      </c>
      <c r="F449" s="14" t="s">
        <v>41</v>
      </c>
      <c r="G449" s="16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35</v>
      </c>
      <c r="B450" s="14" t="s">
        <v>43</v>
      </c>
      <c r="C450" s="103">
        <v>0.85069444444444442</v>
      </c>
      <c r="D450" s="14" t="s">
        <v>33</v>
      </c>
      <c r="E450" s="14" t="s">
        <v>29</v>
      </c>
      <c r="F450" s="14" t="s">
        <v>42</v>
      </c>
      <c r="G450" s="16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5" t="s">
        <v>58</v>
      </c>
      <c r="B451" s="15" t="s">
        <v>61</v>
      </c>
      <c r="C451" s="104">
        <v>0.86458333333333337</v>
      </c>
      <c r="D451" s="15" t="s">
        <v>85</v>
      </c>
      <c r="E451" s="15" t="s">
        <v>50</v>
      </c>
      <c r="F451" s="15" t="s">
        <v>86</v>
      </c>
      <c r="G451" s="16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58</v>
      </c>
      <c r="B452" s="16" t="s">
        <v>63</v>
      </c>
      <c r="C452" s="105">
        <v>0.52777777777777779</v>
      </c>
      <c r="D452" s="16" t="s">
        <v>85</v>
      </c>
      <c r="E452" s="16" t="s">
        <v>50</v>
      </c>
      <c r="F452" s="16" t="s">
        <v>86</v>
      </c>
      <c r="G452" s="16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58</v>
      </c>
      <c r="B453" s="16" t="s">
        <v>59</v>
      </c>
      <c r="C453" s="105">
        <v>0.1701388888888889</v>
      </c>
      <c r="D453" s="16" t="s">
        <v>85</v>
      </c>
      <c r="E453" s="16" t="s">
        <v>50</v>
      </c>
      <c r="F453" s="16" t="s">
        <v>86</v>
      </c>
      <c r="G453" s="16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5" t="s">
        <v>47</v>
      </c>
      <c r="B454" s="15" t="s">
        <v>97</v>
      </c>
      <c r="C454" s="104">
        <v>0.95833333333333337</v>
      </c>
      <c r="D454" s="15" t="s">
        <v>175</v>
      </c>
      <c r="E454" s="15" t="s">
        <v>50</v>
      </c>
      <c r="F454" s="15" t="s">
        <v>45</v>
      </c>
      <c r="G454" s="16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thickBot="1" x14ac:dyDescent="0.35">
      <c r="A455" s="23" t="s">
        <v>65</v>
      </c>
      <c r="B455" s="23" t="s">
        <v>66</v>
      </c>
      <c r="C455" s="109">
        <v>0.30555555555555558</v>
      </c>
      <c r="D455" s="23" t="s">
        <v>67</v>
      </c>
      <c r="E455" s="23" t="s">
        <v>68</v>
      </c>
      <c r="F455" s="23" t="s">
        <v>120</v>
      </c>
      <c r="G455" s="169"/>
      <c r="H455" s="24"/>
      <c r="I455" s="25"/>
      <c r="J455" s="25"/>
      <c r="K455" s="25"/>
      <c r="L455" s="25"/>
      <c r="M455" s="25"/>
      <c r="N455" s="25"/>
      <c r="O455" s="26"/>
      <c r="P455" s="25"/>
      <c r="Q455" s="27"/>
      <c r="R455" s="28"/>
    </row>
    <row r="456" spans="1:18" ht="17.399999999999999" customHeight="1" thickBot="1" x14ac:dyDescent="0.35">
      <c r="A456" s="161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3"/>
    </row>
    <row r="457" spans="1:18" ht="22.05" customHeight="1" thickTop="1" thickBot="1" x14ac:dyDescent="0.35">
      <c r="A457" s="166" t="s">
        <v>6</v>
      </c>
      <c r="B457" s="159"/>
      <c r="C457" s="159"/>
      <c r="D457" s="159"/>
      <c r="E457" s="159"/>
      <c r="F457" s="160"/>
      <c r="G457" s="110">
        <v>46020</v>
      </c>
      <c r="H457" s="158" t="s">
        <v>7</v>
      </c>
      <c r="I457" s="159"/>
      <c r="J457" s="159"/>
      <c r="K457" s="159"/>
      <c r="L457" s="159"/>
      <c r="M457" s="159"/>
      <c r="N457" s="159"/>
      <c r="O457" s="159"/>
      <c r="P457" s="159"/>
      <c r="Q457" s="159"/>
      <c r="R457" s="160"/>
    </row>
    <row r="458" spans="1:18" ht="24" customHeight="1" x14ac:dyDescent="0.3">
      <c r="A458" s="29" t="s">
        <v>8</v>
      </c>
      <c r="B458" s="29" t="s">
        <v>9</v>
      </c>
      <c r="C458" s="111" t="s">
        <v>10</v>
      </c>
      <c r="D458" s="29" t="s">
        <v>11</v>
      </c>
      <c r="E458" s="29" t="s">
        <v>12</v>
      </c>
      <c r="F458" s="30" t="s">
        <v>13</v>
      </c>
      <c r="G458" s="31" t="s">
        <v>14</v>
      </c>
      <c r="H458" s="29" t="s">
        <v>15</v>
      </c>
      <c r="I458" s="112" t="s">
        <v>16</v>
      </c>
      <c r="J458" s="32" t="s">
        <v>17</v>
      </c>
      <c r="K458" s="33" t="s">
        <v>18</v>
      </c>
      <c r="L458" s="32" t="s">
        <v>19</v>
      </c>
      <c r="M458" s="32" t="s">
        <v>20</v>
      </c>
      <c r="N458" s="32" t="s">
        <v>21</v>
      </c>
      <c r="O458" s="29" t="s">
        <v>22</v>
      </c>
      <c r="P458" s="111" t="s">
        <v>23</v>
      </c>
      <c r="Q458" s="32" t="s">
        <v>24</v>
      </c>
      <c r="R458" s="29" t="s">
        <v>25</v>
      </c>
    </row>
    <row r="459" spans="1:18" ht="15" customHeight="1" x14ac:dyDescent="0.3">
      <c r="A459" s="8" t="s">
        <v>26</v>
      </c>
      <c r="B459" s="8" t="s">
        <v>27</v>
      </c>
      <c r="C459" s="102">
        <v>0.30555555555555558</v>
      </c>
      <c r="D459" s="8" t="s">
        <v>28</v>
      </c>
      <c r="E459" s="8" t="s">
        <v>151</v>
      </c>
      <c r="F459" s="8" t="s">
        <v>113</v>
      </c>
      <c r="G459" s="17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27</v>
      </c>
      <c r="C460" s="103">
        <v>0.30555555555555558</v>
      </c>
      <c r="D460" s="14" t="s">
        <v>31</v>
      </c>
      <c r="E460" s="14" t="s">
        <v>151</v>
      </c>
      <c r="F460" s="14" t="s">
        <v>114</v>
      </c>
      <c r="G460" s="16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27</v>
      </c>
      <c r="C461" s="103">
        <v>0.30555555555555558</v>
      </c>
      <c r="D461" s="14" t="s">
        <v>33</v>
      </c>
      <c r="E461" s="14" t="s">
        <v>151</v>
      </c>
      <c r="F461" s="14" t="s">
        <v>84</v>
      </c>
      <c r="G461" s="16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5" t="s">
        <v>35</v>
      </c>
      <c r="B462" s="15" t="s">
        <v>43</v>
      </c>
      <c r="C462" s="104">
        <v>0.83680555555555558</v>
      </c>
      <c r="D462" s="15" t="s">
        <v>37</v>
      </c>
      <c r="E462" s="15" t="s">
        <v>38</v>
      </c>
      <c r="F462" s="15" t="s">
        <v>39</v>
      </c>
      <c r="G462" s="16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35</v>
      </c>
      <c r="B463" s="14" t="s">
        <v>43</v>
      </c>
      <c r="C463" s="103">
        <v>0.83680555555555558</v>
      </c>
      <c r="D463" s="14" t="s">
        <v>40</v>
      </c>
      <c r="E463" s="14" t="s">
        <v>38</v>
      </c>
      <c r="F463" s="14" t="s">
        <v>41</v>
      </c>
      <c r="G463" s="16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35</v>
      </c>
      <c r="B464" s="14" t="s">
        <v>43</v>
      </c>
      <c r="C464" s="103">
        <v>0.83680555555555558</v>
      </c>
      <c r="D464" s="14" t="s">
        <v>33</v>
      </c>
      <c r="E464" s="14" t="s">
        <v>38</v>
      </c>
      <c r="F464" s="14" t="s">
        <v>42</v>
      </c>
      <c r="G464" s="16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35</v>
      </c>
      <c r="B465" s="16" t="s">
        <v>36</v>
      </c>
      <c r="C465" s="105">
        <v>0.2013888888888889</v>
      </c>
      <c r="D465" s="16" t="s">
        <v>37</v>
      </c>
      <c r="E465" s="16" t="s">
        <v>38</v>
      </c>
      <c r="F465" s="16" t="s">
        <v>39</v>
      </c>
      <c r="G465" s="16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35</v>
      </c>
      <c r="B466" s="14" t="s">
        <v>36</v>
      </c>
      <c r="C466" s="103">
        <v>0.2013888888888889</v>
      </c>
      <c r="D466" s="14" t="s">
        <v>40</v>
      </c>
      <c r="E466" s="14" t="s">
        <v>38</v>
      </c>
      <c r="F466" s="14" t="s">
        <v>41</v>
      </c>
      <c r="G466" s="16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35</v>
      </c>
      <c r="B467" s="14" t="s">
        <v>36</v>
      </c>
      <c r="C467" s="103">
        <v>0.2013888888888889</v>
      </c>
      <c r="D467" s="14" t="s">
        <v>33</v>
      </c>
      <c r="E467" s="14" t="s">
        <v>38</v>
      </c>
      <c r="F467" s="14" t="s">
        <v>42</v>
      </c>
      <c r="G467" s="16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58</v>
      </c>
      <c r="B468" s="15" t="s">
        <v>61</v>
      </c>
      <c r="C468" s="104">
        <v>0.86458333333333337</v>
      </c>
      <c r="D468" s="15" t="s">
        <v>85</v>
      </c>
      <c r="E468" s="15" t="s">
        <v>50</v>
      </c>
      <c r="F468" s="15" t="s">
        <v>86</v>
      </c>
      <c r="G468" s="16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58</v>
      </c>
      <c r="B469" s="16" t="s">
        <v>63</v>
      </c>
      <c r="C469" s="105">
        <v>0.52777777777777779</v>
      </c>
      <c r="D469" s="16" t="s">
        <v>85</v>
      </c>
      <c r="E469" s="16" t="s">
        <v>50</v>
      </c>
      <c r="F469" s="16" t="s">
        <v>86</v>
      </c>
      <c r="G469" s="16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58</v>
      </c>
      <c r="B470" s="16" t="s">
        <v>59</v>
      </c>
      <c r="C470" s="105">
        <v>0.1701388888888889</v>
      </c>
      <c r="D470" s="16" t="s">
        <v>85</v>
      </c>
      <c r="E470" s="16" t="s">
        <v>50</v>
      </c>
      <c r="F470" s="16" t="s">
        <v>86</v>
      </c>
      <c r="G470" s="16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5" t="s">
        <v>76</v>
      </c>
      <c r="B471" s="15" t="s">
        <v>168</v>
      </c>
      <c r="C471" s="104">
        <v>0.12847222222222221</v>
      </c>
      <c r="D471" s="15" t="s">
        <v>175</v>
      </c>
      <c r="E471" s="15" t="s">
        <v>98</v>
      </c>
      <c r="F471" s="15" t="s">
        <v>156</v>
      </c>
      <c r="G471" s="16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5" t="s">
        <v>47</v>
      </c>
      <c r="B472" s="15" t="s">
        <v>79</v>
      </c>
      <c r="C472" s="104">
        <v>0.95833333333333337</v>
      </c>
      <c r="D472" s="15" t="s">
        <v>175</v>
      </c>
      <c r="E472" s="15" t="s">
        <v>50</v>
      </c>
      <c r="F472" s="15" t="s">
        <v>45</v>
      </c>
      <c r="G472" s="16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thickBot="1" x14ac:dyDescent="0.35">
      <c r="A473" s="23" t="s">
        <v>65</v>
      </c>
      <c r="B473" s="23" t="s">
        <v>66</v>
      </c>
      <c r="C473" s="109">
        <v>0.30555555555555558</v>
      </c>
      <c r="D473" s="23" t="s">
        <v>67</v>
      </c>
      <c r="E473" s="23" t="s">
        <v>68</v>
      </c>
      <c r="F473" s="23" t="s">
        <v>120</v>
      </c>
      <c r="G473" s="169"/>
      <c r="H473" s="24"/>
      <c r="I473" s="25"/>
      <c r="J473" s="25"/>
      <c r="K473" s="25"/>
      <c r="L473" s="25"/>
      <c r="M473" s="25"/>
      <c r="N473" s="25"/>
      <c r="O473" s="26"/>
      <c r="P473" s="25"/>
      <c r="Q473" s="27"/>
      <c r="R473" s="28"/>
    </row>
    <row r="474" spans="1:18" ht="17.399999999999999" customHeight="1" thickBot="1" x14ac:dyDescent="0.35">
      <c r="A474" s="161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3"/>
    </row>
    <row r="475" spans="1:18" ht="22.05" customHeight="1" thickTop="1" thickBot="1" x14ac:dyDescent="0.35">
      <c r="A475" s="166" t="s">
        <v>6</v>
      </c>
      <c r="B475" s="159"/>
      <c r="C475" s="159"/>
      <c r="D475" s="159"/>
      <c r="E475" s="159"/>
      <c r="F475" s="160"/>
      <c r="G475" s="110">
        <v>46021</v>
      </c>
      <c r="H475" s="158" t="s">
        <v>7</v>
      </c>
      <c r="I475" s="159"/>
      <c r="J475" s="159"/>
      <c r="K475" s="159"/>
      <c r="L475" s="159"/>
      <c r="M475" s="159"/>
      <c r="N475" s="159"/>
      <c r="O475" s="159"/>
      <c r="P475" s="159"/>
      <c r="Q475" s="159"/>
      <c r="R475" s="160"/>
    </row>
    <row r="476" spans="1:18" ht="24" customHeight="1" x14ac:dyDescent="0.3">
      <c r="A476" s="29" t="s">
        <v>8</v>
      </c>
      <c r="B476" s="29" t="s">
        <v>9</v>
      </c>
      <c r="C476" s="111" t="s">
        <v>10</v>
      </c>
      <c r="D476" s="29" t="s">
        <v>11</v>
      </c>
      <c r="E476" s="29" t="s">
        <v>12</v>
      </c>
      <c r="F476" s="30" t="s">
        <v>13</v>
      </c>
      <c r="G476" s="31" t="s">
        <v>14</v>
      </c>
      <c r="H476" s="29" t="s">
        <v>15</v>
      </c>
      <c r="I476" s="112" t="s">
        <v>16</v>
      </c>
      <c r="J476" s="32" t="s">
        <v>17</v>
      </c>
      <c r="K476" s="33" t="s">
        <v>18</v>
      </c>
      <c r="L476" s="32" t="s">
        <v>19</v>
      </c>
      <c r="M476" s="32" t="s">
        <v>20</v>
      </c>
      <c r="N476" s="32" t="s">
        <v>21</v>
      </c>
      <c r="O476" s="29" t="s">
        <v>22</v>
      </c>
      <c r="P476" s="111" t="s">
        <v>23</v>
      </c>
      <c r="Q476" s="32" t="s">
        <v>24</v>
      </c>
      <c r="R476" s="29" t="s">
        <v>25</v>
      </c>
    </row>
    <row r="477" spans="1:18" ht="15" customHeight="1" x14ac:dyDescent="0.3">
      <c r="A477" s="8" t="s">
        <v>26</v>
      </c>
      <c r="B477" s="8" t="s">
        <v>27</v>
      </c>
      <c r="C477" s="102">
        <v>0.30555555555555558</v>
      </c>
      <c r="D477" s="8" t="s">
        <v>28</v>
      </c>
      <c r="E477" s="8" t="s">
        <v>181</v>
      </c>
      <c r="F477" s="8" t="s">
        <v>113</v>
      </c>
      <c r="G477" s="17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27</v>
      </c>
      <c r="C478" s="103">
        <v>0.30555555555555558</v>
      </c>
      <c r="D478" s="14" t="s">
        <v>31</v>
      </c>
      <c r="E478" s="14" t="s">
        <v>181</v>
      </c>
      <c r="F478" s="14" t="s">
        <v>114</v>
      </c>
      <c r="G478" s="16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27</v>
      </c>
      <c r="C479" s="103">
        <v>0.30555555555555558</v>
      </c>
      <c r="D479" s="14" t="s">
        <v>33</v>
      </c>
      <c r="E479" s="14" t="s">
        <v>181</v>
      </c>
      <c r="F479" s="14" t="s">
        <v>84</v>
      </c>
      <c r="G479" s="16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5" t="s">
        <v>35</v>
      </c>
      <c r="B480" s="15" t="s">
        <v>36</v>
      </c>
      <c r="C480" s="104">
        <v>0.2013888888888889</v>
      </c>
      <c r="D480" s="15" t="s">
        <v>37</v>
      </c>
      <c r="E480" s="15" t="s">
        <v>89</v>
      </c>
      <c r="F480" s="15" t="s">
        <v>51</v>
      </c>
      <c r="G480" s="16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35</v>
      </c>
      <c r="B481" s="14" t="s">
        <v>36</v>
      </c>
      <c r="C481" s="103">
        <v>0.2013888888888889</v>
      </c>
      <c r="D481" s="14" t="s">
        <v>40</v>
      </c>
      <c r="E481" s="14" t="s">
        <v>89</v>
      </c>
      <c r="F481" s="14" t="s">
        <v>90</v>
      </c>
      <c r="G481" s="16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35</v>
      </c>
      <c r="B482" s="14" t="s">
        <v>36</v>
      </c>
      <c r="C482" s="103">
        <v>0.2013888888888889</v>
      </c>
      <c r="D482" s="14" t="s">
        <v>33</v>
      </c>
      <c r="E482" s="14" t="s">
        <v>89</v>
      </c>
      <c r="F482" s="14" t="s">
        <v>115</v>
      </c>
      <c r="G482" s="16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35</v>
      </c>
      <c r="B483" s="16" t="s">
        <v>43</v>
      </c>
      <c r="C483" s="105">
        <v>0.83680555555555558</v>
      </c>
      <c r="D483" s="16" t="s">
        <v>37</v>
      </c>
      <c r="E483" s="16" t="s">
        <v>80</v>
      </c>
      <c r="F483" s="16" t="s">
        <v>107</v>
      </c>
      <c r="G483" s="16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35</v>
      </c>
      <c r="B484" s="14" t="s">
        <v>43</v>
      </c>
      <c r="C484" s="103">
        <v>0.83680555555555558</v>
      </c>
      <c r="D484" s="14" t="s">
        <v>40</v>
      </c>
      <c r="E484" s="14" t="s">
        <v>80</v>
      </c>
      <c r="F484" s="14" t="s">
        <v>108</v>
      </c>
      <c r="G484" s="16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35</v>
      </c>
      <c r="B485" s="14" t="s">
        <v>43</v>
      </c>
      <c r="C485" s="103">
        <v>0.83680555555555558</v>
      </c>
      <c r="D485" s="14" t="s">
        <v>33</v>
      </c>
      <c r="E485" s="14" t="s">
        <v>80</v>
      </c>
      <c r="F485" s="14" t="s">
        <v>109</v>
      </c>
      <c r="G485" s="16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34" t="s">
        <v>52</v>
      </c>
      <c r="B486" s="34" t="s">
        <v>53</v>
      </c>
      <c r="C486" s="113">
        <v>0.27083333333333331</v>
      </c>
      <c r="D486" s="34" t="s">
        <v>49</v>
      </c>
      <c r="E486" s="34" t="s">
        <v>50</v>
      </c>
      <c r="F486" s="34" t="s">
        <v>51</v>
      </c>
      <c r="G486" s="168"/>
      <c r="H486" s="35" t="s">
        <v>55</v>
      </c>
      <c r="I486" s="135">
        <v>0.23810000000000001</v>
      </c>
      <c r="J486" s="36">
        <v>40</v>
      </c>
      <c r="K486" s="37">
        <v>45992</v>
      </c>
      <c r="L486" s="36">
        <v>9</v>
      </c>
      <c r="M486" s="36">
        <v>2</v>
      </c>
      <c r="N486" s="36">
        <v>0</v>
      </c>
      <c r="O486" s="38" t="s">
        <v>105</v>
      </c>
      <c r="P486" s="115">
        <v>0.27083333333333331</v>
      </c>
      <c r="Q486" s="36">
        <v>168</v>
      </c>
      <c r="R486" s="39" t="s">
        <v>182</v>
      </c>
    </row>
    <row r="487" spans="1:18" ht="15" customHeight="1" x14ac:dyDescent="0.3">
      <c r="A487" s="15" t="s">
        <v>58</v>
      </c>
      <c r="B487" s="15" t="s">
        <v>61</v>
      </c>
      <c r="C487" s="104">
        <v>0.86458333333333337</v>
      </c>
      <c r="D487" s="15" t="s">
        <v>85</v>
      </c>
      <c r="E487" s="15" t="s">
        <v>50</v>
      </c>
      <c r="F487" s="15" t="s">
        <v>86</v>
      </c>
      <c r="G487" s="16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58</v>
      </c>
      <c r="B488" s="16" t="s">
        <v>63</v>
      </c>
      <c r="C488" s="105">
        <v>0.52777777777777779</v>
      </c>
      <c r="D488" s="16" t="s">
        <v>85</v>
      </c>
      <c r="E488" s="16" t="s">
        <v>50</v>
      </c>
      <c r="F488" s="16" t="s">
        <v>86</v>
      </c>
      <c r="G488" s="16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58</v>
      </c>
      <c r="B489" s="16" t="s">
        <v>59</v>
      </c>
      <c r="C489" s="105">
        <v>0.1701388888888889</v>
      </c>
      <c r="D489" s="16" t="s">
        <v>85</v>
      </c>
      <c r="E489" s="16" t="s">
        <v>50</v>
      </c>
      <c r="F489" s="16" t="s">
        <v>86</v>
      </c>
      <c r="G489" s="16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5" t="s">
        <v>47</v>
      </c>
      <c r="B490" s="15" t="s">
        <v>48</v>
      </c>
      <c r="C490" s="104">
        <v>0.95833333333333337</v>
      </c>
      <c r="D490" s="15" t="s">
        <v>175</v>
      </c>
      <c r="E490" s="15" t="s">
        <v>50</v>
      </c>
      <c r="F490" s="15" t="s">
        <v>45</v>
      </c>
      <c r="G490" s="16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thickBot="1" x14ac:dyDescent="0.35">
      <c r="A491" s="23" t="s">
        <v>65</v>
      </c>
      <c r="B491" s="23" t="s">
        <v>66</v>
      </c>
      <c r="C491" s="109">
        <v>0.30555555555555558</v>
      </c>
      <c r="D491" s="23" t="s">
        <v>67</v>
      </c>
      <c r="E491" s="23" t="s">
        <v>68</v>
      </c>
      <c r="F491" s="23" t="s">
        <v>120</v>
      </c>
      <c r="G491" s="169"/>
      <c r="H491" s="24"/>
      <c r="I491" s="25"/>
      <c r="J491" s="25"/>
      <c r="K491" s="25"/>
      <c r="L491" s="25"/>
      <c r="M491" s="25"/>
      <c r="N491" s="25"/>
      <c r="O491" s="26"/>
      <c r="P491" s="25"/>
      <c r="Q491" s="27"/>
      <c r="R491" s="28"/>
    </row>
    <row r="492" spans="1:18" ht="17.399999999999999" customHeight="1" thickBot="1" x14ac:dyDescent="0.35">
      <c r="A492" s="161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3"/>
    </row>
    <row r="493" spans="1:18" ht="22.05" customHeight="1" thickTop="1" thickBot="1" x14ac:dyDescent="0.35">
      <c r="A493" s="166" t="s">
        <v>6</v>
      </c>
      <c r="B493" s="159"/>
      <c r="C493" s="159"/>
      <c r="D493" s="159"/>
      <c r="E493" s="159"/>
      <c r="F493" s="160"/>
      <c r="G493" s="110">
        <v>46022</v>
      </c>
      <c r="H493" s="158" t="s">
        <v>7</v>
      </c>
      <c r="I493" s="159"/>
      <c r="J493" s="159"/>
      <c r="K493" s="159"/>
      <c r="L493" s="159"/>
      <c r="M493" s="159"/>
      <c r="N493" s="159"/>
      <c r="O493" s="159"/>
      <c r="P493" s="159"/>
      <c r="Q493" s="159"/>
      <c r="R493" s="160"/>
    </row>
    <row r="494" spans="1:18" ht="24" customHeight="1" x14ac:dyDescent="0.3">
      <c r="A494" s="29" t="s">
        <v>8</v>
      </c>
      <c r="B494" s="29" t="s">
        <v>9</v>
      </c>
      <c r="C494" s="111" t="s">
        <v>10</v>
      </c>
      <c r="D494" s="29" t="s">
        <v>11</v>
      </c>
      <c r="E494" s="29" t="s">
        <v>12</v>
      </c>
      <c r="F494" s="30" t="s">
        <v>13</v>
      </c>
      <c r="G494" s="31" t="s">
        <v>14</v>
      </c>
      <c r="H494" s="29" t="s">
        <v>15</v>
      </c>
      <c r="I494" s="112" t="s">
        <v>16</v>
      </c>
      <c r="J494" s="32" t="s">
        <v>17</v>
      </c>
      <c r="K494" s="33" t="s">
        <v>18</v>
      </c>
      <c r="L494" s="32" t="s">
        <v>19</v>
      </c>
      <c r="M494" s="32" t="s">
        <v>20</v>
      </c>
      <c r="N494" s="32" t="s">
        <v>21</v>
      </c>
      <c r="O494" s="29" t="s">
        <v>22</v>
      </c>
      <c r="P494" s="111" t="s">
        <v>23</v>
      </c>
      <c r="Q494" s="32" t="s">
        <v>24</v>
      </c>
      <c r="R494" s="29" t="s">
        <v>25</v>
      </c>
    </row>
    <row r="495" spans="1:18" ht="15" customHeight="1" x14ac:dyDescent="0.3">
      <c r="A495" s="8" t="s">
        <v>70</v>
      </c>
      <c r="B495" s="8" t="s">
        <v>71</v>
      </c>
      <c r="C495" s="102">
        <v>0.97222222222222221</v>
      </c>
      <c r="D495" s="8" t="s">
        <v>72</v>
      </c>
      <c r="E495" s="8" t="s">
        <v>38</v>
      </c>
      <c r="F495" s="8" t="s">
        <v>129</v>
      </c>
      <c r="G495" s="17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70</v>
      </c>
      <c r="B496" s="14" t="s">
        <v>71</v>
      </c>
      <c r="C496" s="103">
        <v>0.97222222222222221</v>
      </c>
      <c r="D496" s="14" t="s">
        <v>74</v>
      </c>
      <c r="E496" s="14" t="s">
        <v>38</v>
      </c>
      <c r="F496" s="14" t="s">
        <v>183</v>
      </c>
      <c r="G496" s="16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5" t="s">
        <v>26</v>
      </c>
      <c r="B497" s="15" t="s">
        <v>27</v>
      </c>
      <c r="C497" s="104">
        <v>0.30555555555555558</v>
      </c>
      <c r="D497" s="15" t="s">
        <v>28</v>
      </c>
      <c r="E497" s="15" t="s">
        <v>164</v>
      </c>
      <c r="F497" s="15" t="s">
        <v>104</v>
      </c>
      <c r="G497" s="16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27</v>
      </c>
      <c r="C498" s="103">
        <v>0.30555555555555558</v>
      </c>
      <c r="D498" s="14" t="s">
        <v>31</v>
      </c>
      <c r="E498" s="14" t="s">
        <v>164</v>
      </c>
      <c r="F498" s="14" t="s">
        <v>128</v>
      </c>
      <c r="G498" s="16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27</v>
      </c>
      <c r="C499" s="103">
        <v>0.30555555555555558</v>
      </c>
      <c r="D499" s="14" t="s">
        <v>33</v>
      </c>
      <c r="E499" s="14" t="s">
        <v>164</v>
      </c>
      <c r="F499" s="14" t="s">
        <v>84</v>
      </c>
      <c r="G499" s="16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5" t="s">
        <v>58</v>
      </c>
      <c r="B500" s="15" t="s">
        <v>61</v>
      </c>
      <c r="C500" s="104">
        <v>0.86458333333333337</v>
      </c>
      <c r="D500" s="15" t="s">
        <v>85</v>
      </c>
      <c r="E500" s="15" t="s">
        <v>50</v>
      </c>
      <c r="F500" s="15" t="s">
        <v>86</v>
      </c>
      <c r="G500" s="16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58</v>
      </c>
      <c r="B501" s="16" t="s">
        <v>63</v>
      </c>
      <c r="C501" s="105">
        <v>0.52777777777777779</v>
      </c>
      <c r="D501" s="16" t="s">
        <v>85</v>
      </c>
      <c r="E501" s="16" t="s">
        <v>50</v>
      </c>
      <c r="F501" s="16" t="s">
        <v>86</v>
      </c>
      <c r="G501" s="16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58</v>
      </c>
      <c r="B502" s="16" t="s">
        <v>59</v>
      </c>
      <c r="C502" s="105">
        <v>0.1701388888888889</v>
      </c>
      <c r="D502" s="16" t="s">
        <v>85</v>
      </c>
      <c r="E502" s="16" t="s">
        <v>50</v>
      </c>
      <c r="F502" s="16" t="s">
        <v>86</v>
      </c>
      <c r="G502" s="16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5" t="s">
        <v>35</v>
      </c>
      <c r="B503" s="15" t="s">
        <v>43</v>
      </c>
      <c r="C503" s="104">
        <v>0.85069444444444442</v>
      </c>
      <c r="D503" s="15" t="s">
        <v>37</v>
      </c>
      <c r="E503" s="15" t="s">
        <v>44</v>
      </c>
      <c r="F503" s="15" t="s">
        <v>45</v>
      </c>
      <c r="G503" s="16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35</v>
      </c>
      <c r="B504" s="14" t="s">
        <v>43</v>
      </c>
      <c r="C504" s="103">
        <v>0.85069444444444442</v>
      </c>
      <c r="D504" s="14" t="s">
        <v>40</v>
      </c>
      <c r="E504" s="14" t="s">
        <v>44</v>
      </c>
      <c r="F504" s="14" t="s">
        <v>42</v>
      </c>
      <c r="G504" s="16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35</v>
      </c>
      <c r="B505" s="14" t="s">
        <v>43</v>
      </c>
      <c r="C505" s="103">
        <v>0.85069444444444442</v>
      </c>
      <c r="D505" s="14" t="s">
        <v>33</v>
      </c>
      <c r="E505" s="14" t="s">
        <v>44</v>
      </c>
      <c r="F505" s="14" t="s">
        <v>46</v>
      </c>
      <c r="G505" s="16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5" t="s">
        <v>47</v>
      </c>
      <c r="B506" s="15" t="s">
        <v>79</v>
      </c>
      <c r="C506" s="104">
        <v>0.89583333333333337</v>
      </c>
      <c r="D506" s="15" t="s">
        <v>175</v>
      </c>
      <c r="E506" s="15" t="s">
        <v>50</v>
      </c>
      <c r="F506" s="15" t="s">
        <v>45</v>
      </c>
      <c r="G506" s="16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5" t="s">
        <v>76</v>
      </c>
      <c r="B507" s="15" t="s">
        <v>77</v>
      </c>
      <c r="C507" s="104">
        <v>9.0277777777777776E-2</v>
      </c>
      <c r="D507" s="15" t="s">
        <v>175</v>
      </c>
      <c r="E507" s="15" t="s">
        <v>81</v>
      </c>
      <c r="F507" s="15" t="s">
        <v>172</v>
      </c>
      <c r="G507" s="16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23" t="s">
        <v>65</v>
      </c>
      <c r="B508" s="23" t="s">
        <v>66</v>
      </c>
      <c r="C508" s="109">
        <v>0.30555555555555558</v>
      </c>
      <c r="D508" s="23" t="s">
        <v>67</v>
      </c>
      <c r="E508" s="23" t="s">
        <v>68</v>
      </c>
      <c r="F508" s="23" t="s">
        <v>102</v>
      </c>
      <c r="G508" s="169"/>
      <c r="H508" s="24"/>
      <c r="I508" s="25"/>
      <c r="J508" s="25"/>
      <c r="K508" s="25"/>
      <c r="L508" s="25"/>
      <c r="M508" s="25"/>
      <c r="N508" s="25"/>
      <c r="O508" s="26"/>
      <c r="P508" s="25"/>
      <c r="Q508" s="27"/>
      <c r="R508" s="28"/>
    </row>
  </sheetData>
  <mergeCells count="126">
    <mergeCell ref="G495:G508"/>
    <mergeCell ref="G459:G473"/>
    <mergeCell ref="H1:L1"/>
    <mergeCell ref="A1:E1"/>
    <mergeCell ref="A409:F409"/>
    <mergeCell ref="H457:R457"/>
    <mergeCell ref="G335:G345"/>
    <mergeCell ref="A456:R456"/>
    <mergeCell ref="H475:R475"/>
    <mergeCell ref="H39:R39"/>
    <mergeCell ref="A263:F263"/>
    <mergeCell ref="A213:R213"/>
    <mergeCell ref="H59:R59"/>
    <mergeCell ref="A159:F159"/>
    <mergeCell ref="H142:R142"/>
    <mergeCell ref="A141:R141"/>
    <mergeCell ref="A72:F72"/>
    <mergeCell ref="G61:G70"/>
    <mergeCell ref="A262:R262"/>
    <mergeCell ref="H365:R365"/>
    <mergeCell ref="A280:F280"/>
    <mergeCell ref="A107:F107"/>
    <mergeCell ref="A228:F228"/>
    <mergeCell ref="A399:F399"/>
    <mergeCell ref="A124:F124"/>
    <mergeCell ref="H347:R347"/>
    <mergeCell ref="H107:R107"/>
    <mergeCell ref="H179:R179"/>
    <mergeCell ref="G426:G441"/>
    <mergeCell ref="H333:R333"/>
    <mergeCell ref="A2:F2"/>
    <mergeCell ref="A381:R381"/>
    <mergeCell ref="G144:G157"/>
    <mergeCell ref="A71:R71"/>
    <mergeCell ref="A313:R313"/>
    <mergeCell ref="G301:G312"/>
    <mergeCell ref="A22:F22"/>
    <mergeCell ref="A424:F424"/>
    <mergeCell ref="A333:F333"/>
    <mergeCell ref="A91:R91"/>
    <mergeCell ref="A244:R244"/>
    <mergeCell ref="G181:G192"/>
    <mergeCell ref="G316:G331"/>
    <mergeCell ref="G41:G57"/>
    <mergeCell ref="A21:R21"/>
    <mergeCell ref="G2:J2"/>
    <mergeCell ref="A38:R38"/>
    <mergeCell ref="A58:R58"/>
    <mergeCell ref="G24:G37"/>
    <mergeCell ref="G384:G397"/>
    <mergeCell ref="A346:R346"/>
    <mergeCell ref="A227:R227"/>
    <mergeCell ref="A398:R398"/>
    <mergeCell ref="A214:F214"/>
    <mergeCell ref="G477:G491"/>
    <mergeCell ref="H214:R214"/>
    <mergeCell ref="A475:F475"/>
    <mergeCell ref="G349:G363"/>
    <mergeCell ref="A314:F314"/>
    <mergeCell ref="H159:R159"/>
    <mergeCell ref="A59:F59"/>
    <mergeCell ref="A142:F142"/>
    <mergeCell ref="H409:R409"/>
    <mergeCell ref="A279:R279"/>
    <mergeCell ref="G367:G380"/>
    <mergeCell ref="H443:R443"/>
    <mergeCell ref="G247:G261"/>
    <mergeCell ref="G265:G278"/>
    <mergeCell ref="H245:R245"/>
    <mergeCell ref="H124:R124"/>
    <mergeCell ref="A178:R178"/>
    <mergeCell ref="A442:R442"/>
    <mergeCell ref="G445:G455"/>
    <mergeCell ref="H299:R299"/>
    <mergeCell ref="A347:F347"/>
    <mergeCell ref="H72:R72"/>
    <mergeCell ref="H194:R194"/>
    <mergeCell ref="G74:G90"/>
    <mergeCell ref="A4:F4"/>
    <mergeCell ref="G6:G20"/>
    <mergeCell ref="A493:F493"/>
    <mergeCell ref="A193:R193"/>
    <mergeCell ref="G94:G105"/>
    <mergeCell ref="A364:R364"/>
    <mergeCell ref="A443:F443"/>
    <mergeCell ref="A179:F179"/>
    <mergeCell ref="G230:G243"/>
    <mergeCell ref="G126:G140"/>
    <mergeCell ref="H382:R382"/>
    <mergeCell ref="G411:G422"/>
    <mergeCell ref="G109:G122"/>
    <mergeCell ref="A298:R298"/>
    <mergeCell ref="H424:R424"/>
    <mergeCell ref="A106:R106"/>
    <mergeCell ref="G282:G297"/>
    <mergeCell ref="A457:F457"/>
    <mergeCell ref="A408:R408"/>
    <mergeCell ref="A423:R423"/>
    <mergeCell ref="G401:G407"/>
    <mergeCell ref="A474:R474"/>
    <mergeCell ref="H228:R228"/>
    <mergeCell ref="A382:F382"/>
    <mergeCell ref="H493:R493"/>
    <mergeCell ref="A492:R492"/>
    <mergeCell ref="N1:R1"/>
    <mergeCell ref="H399:R399"/>
    <mergeCell ref="A299:F299"/>
    <mergeCell ref="A332:R332"/>
    <mergeCell ref="G196:G212"/>
    <mergeCell ref="K2:R2"/>
    <mergeCell ref="A245:F245"/>
    <mergeCell ref="A92:F92"/>
    <mergeCell ref="A39:F39"/>
    <mergeCell ref="H22:R22"/>
    <mergeCell ref="A123:R123"/>
    <mergeCell ref="H92:R92"/>
    <mergeCell ref="H263:R263"/>
    <mergeCell ref="G161:G177"/>
    <mergeCell ref="A365:F365"/>
    <mergeCell ref="A158:R158"/>
    <mergeCell ref="H4:R4"/>
    <mergeCell ref="H280:R280"/>
    <mergeCell ref="A3:R3"/>
    <mergeCell ref="H314:R314"/>
    <mergeCell ref="G216:G226"/>
    <mergeCell ref="A194:F1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"/>
  <sheetViews>
    <sheetView workbookViewId="0"/>
  </sheetViews>
  <sheetFormatPr defaultRowHeight="15.6" outlineLevelCol="2" x14ac:dyDescent="0.3"/>
  <cols>
    <col min="1" max="1" width="11.77734375" style="146" bestFit="1" customWidth="1"/>
    <col min="2" max="2" width="10.88671875" style="146" bestFit="1" customWidth="1"/>
    <col min="3" max="3" width="7.88671875" style="146" bestFit="1" customWidth="1"/>
    <col min="4" max="4" width="6.77734375" style="146" bestFit="1" customWidth="1"/>
    <col min="5" max="5" width="10.5546875" style="146" bestFit="1" customWidth="1"/>
    <col min="6" max="6" width="5.21875" style="146" bestFit="1" customWidth="1"/>
    <col min="7" max="7" width="10" style="146" bestFit="1" customWidth="1"/>
    <col min="8" max="8" width="8.5546875" style="146" bestFit="1" customWidth="1"/>
    <col min="9" max="10" width="8" style="146" bestFit="1" customWidth="1"/>
    <col min="11" max="11" width="12.21875" style="146" bestFit="1" customWidth="1"/>
    <col min="12" max="12" width="10.109375" style="146" bestFit="1" customWidth="1"/>
    <col min="13" max="13" width="8.77734375" style="146" bestFit="1" customWidth="1" outlineLevel="2"/>
    <col min="14" max="14" width="7.33203125" style="146" bestFit="1" customWidth="1" outlineLevel="2"/>
    <col min="15" max="15" width="9.109375" style="146" bestFit="1" customWidth="1" outlineLevel="2"/>
    <col min="16" max="16" width="15.33203125" style="146" bestFit="1" customWidth="1"/>
    <col min="17" max="24" width="3.88671875" style="146" bestFit="1" customWidth="1"/>
    <col min="25" max="25" width="4.21875" style="146" bestFit="1" customWidth="1"/>
    <col min="26" max="26" width="4.88671875" style="146" bestFit="1" customWidth="1"/>
    <col min="27" max="27" width="4.77734375" style="146" bestFit="1" customWidth="1"/>
    <col min="28" max="28" width="5" style="146" bestFit="1" customWidth="1"/>
    <col min="29" max="29" width="5.109375" style="146" bestFit="1" customWidth="1"/>
    <col min="30" max="31" width="5.33203125" style="146" bestFit="1" customWidth="1"/>
    <col min="32" max="32" width="4.44140625" style="146" bestFit="1" customWidth="1"/>
    <col min="33" max="36" width="3.88671875" style="146" bestFit="1" customWidth="1"/>
    <col min="37" max="16384" width="8.88671875" style="146"/>
  </cols>
  <sheetData>
    <row r="1" spans="1:36" x14ac:dyDescent="0.3">
      <c r="A1" s="145" t="s">
        <v>184</v>
      </c>
      <c r="B1" s="145" t="s">
        <v>185</v>
      </c>
      <c r="C1" s="145" t="s">
        <v>186</v>
      </c>
      <c r="D1" s="145" t="s">
        <v>23</v>
      </c>
      <c r="E1" s="145" t="s">
        <v>187</v>
      </c>
      <c r="F1" s="145" t="s">
        <v>188</v>
      </c>
      <c r="G1" s="145" t="s">
        <v>16</v>
      </c>
      <c r="H1" s="145" t="s">
        <v>189</v>
      </c>
      <c r="I1" s="145" t="s">
        <v>190</v>
      </c>
      <c r="J1" s="145" t="s">
        <v>191</v>
      </c>
      <c r="K1" s="145" t="s">
        <v>192</v>
      </c>
      <c r="L1" s="145" t="s">
        <v>18</v>
      </c>
      <c r="M1" s="145" t="s">
        <v>20</v>
      </c>
      <c r="N1" s="145" t="s">
        <v>21</v>
      </c>
      <c r="O1" s="145" t="s">
        <v>19</v>
      </c>
      <c r="P1" s="145" t="s">
        <v>22</v>
      </c>
      <c r="Q1" s="145" t="s">
        <v>193</v>
      </c>
      <c r="R1" s="145" t="s">
        <v>194</v>
      </c>
      <c r="S1" s="145" t="s">
        <v>195</v>
      </c>
      <c r="T1" s="145" t="s">
        <v>196</v>
      </c>
      <c r="U1" s="145" t="s">
        <v>197</v>
      </c>
      <c r="V1" s="145" t="s">
        <v>198</v>
      </c>
      <c r="W1" s="145" t="s">
        <v>199</v>
      </c>
      <c r="X1" s="145" t="s">
        <v>200</v>
      </c>
      <c r="Y1" s="145" t="s">
        <v>201</v>
      </c>
      <c r="Z1" s="145" t="s">
        <v>202</v>
      </c>
      <c r="AA1" s="145" t="s">
        <v>203</v>
      </c>
      <c r="AB1" s="145" t="s">
        <v>204</v>
      </c>
      <c r="AC1" s="145" t="s">
        <v>205</v>
      </c>
      <c r="AD1" s="145" t="s">
        <v>206</v>
      </c>
      <c r="AE1" s="145" t="s">
        <v>207</v>
      </c>
      <c r="AF1" s="145" t="s">
        <v>208</v>
      </c>
      <c r="AG1" s="145" t="s">
        <v>209</v>
      </c>
      <c r="AH1" s="145" t="s">
        <v>210</v>
      </c>
      <c r="AI1" s="145" t="s">
        <v>211</v>
      </c>
      <c r="AJ1" s="145" t="s">
        <v>212</v>
      </c>
    </row>
    <row r="2" spans="1:36" x14ac:dyDescent="0.3">
      <c r="A2" s="147" t="s">
        <v>213</v>
      </c>
      <c r="B2" s="148">
        <v>45993</v>
      </c>
      <c r="C2" s="149" t="s">
        <v>55</v>
      </c>
      <c r="D2" s="150" t="s">
        <v>214</v>
      </c>
      <c r="E2" s="149" t="s">
        <v>1</v>
      </c>
      <c r="F2" s="149" t="s">
        <v>215</v>
      </c>
      <c r="G2" s="151">
        <v>0.625</v>
      </c>
      <c r="H2" s="152">
        <v>168</v>
      </c>
      <c r="I2" s="152">
        <v>105</v>
      </c>
      <c r="J2" s="152">
        <v>0</v>
      </c>
      <c r="K2" s="149" t="s">
        <v>216</v>
      </c>
      <c r="L2" s="145"/>
      <c r="M2" s="152">
        <v>15</v>
      </c>
      <c r="N2" s="152">
        <v>0</v>
      </c>
      <c r="O2" s="152">
        <v>54</v>
      </c>
      <c r="P2" s="149" t="s">
        <v>56</v>
      </c>
      <c r="Q2" s="145"/>
      <c r="R2" s="145"/>
      <c r="S2" s="145"/>
      <c r="T2" s="145"/>
      <c r="U2" s="145"/>
      <c r="V2" s="145"/>
      <c r="W2" s="145"/>
      <c r="X2" s="145"/>
      <c r="Y2" s="152" t="s">
        <v>217</v>
      </c>
      <c r="Z2" s="152" t="s">
        <v>218</v>
      </c>
      <c r="AA2" s="152" t="s">
        <v>219</v>
      </c>
      <c r="AB2" s="152" t="s">
        <v>220</v>
      </c>
      <c r="AC2" s="152" t="s">
        <v>221</v>
      </c>
      <c r="AD2" s="152" t="s">
        <v>222</v>
      </c>
      <c r="AE2" s="152" t="s">
        <v>56</v>
      </c>
      <c r="AF2" s="152" t="s">
        <v>223</v>
      </c>
      <c r="AG2" s="145"/>
      <c r="AH2" s="145"/>
      <c r="AI2" s="145"/>
      <c r="AJ2" s="145"/>
    </row>
    <row r="3" spans="1:36" x14ac:dyDescent="0.3">
      <c r="A3" s="147" t="s">
        <v>224</v>
      </c>
      <c r="B3" s="148">
        <v>45995</v>
      </c>
      <c r="C3" s="149" t="s">
        <v>55</v>
      </c>
      <c r="D3" s="150" t="s">
        <v>225</v>
      </c>
      <c r="E3" s="149" t="s">
        <v>1</v>
      </c>
      <c r="F3" s="149" t="s">
        <v>215</v>
      </c>
      <c r="G3" s="151">
        <v>0.58930000000000005</v>
      </c>
      <c r="H3" s="152">
        <v>168</v>
      </c>
      <c r="I3" s="152">
        <v>99</v>
      </c>
      <c r="J3" s="152">
        <v>0</v>
      </c>
      <c r="K3" s="149" t="s">
        <v>216</v>
      </c>
      <c r="L3" s="145"/>
      <c r="M3" s="152">
        <v>8</v>
      </c>
      <c r="N3" s="152">
        <v>1</v>
      </c>
      <c r="O3" s="152">
        <v>49</v>
      </c>
      <c r="P3" s="149" t="s">
        <v>99</v>
      </c>
      <c r="Q3" s="145"/>
      <c r="R3" s="145"/>
      <c r="S3" s="145"/>
      <c r="T3" s="145"/>
      <c r="U3" s="145"/>
      <c r="V3" s="145"/>
      <c r="W3" s="145"/>
      <c r="X3" s="145"/>
      <c r="Y3" s="145"/>
      <c r="Z3" s="152" t="s">
        <v>226</v>
      </c>
      <c r="AA3" s="152" t="s">
        <v>227</v>
      </c>
      <c r="AB3" s="152" t="s">
        <v>228</v>
      </c>
      <c r="AC3" s="152" t="s">
        <v>229</v>
      </c>
      <c r="AD3" s="152" t="s">
        <v>230</v>
      </c>
      <c r="AE3" s="152" t="s">
        <v>231</v>
      </c>
      <c r="AF3" s="152" t="s">
        <v>232</v>
      </c>
      <c r="AG3" s="145"/>
      <c r="AH3" s="145"/>
      <c r="AI3" s="145"/>
      <c r="AJ3" s="145"/>
    </row>
    <row r="4" spans="1:36" x14ac:dyDescent="0.3">
      <c r="A4" s="147" t="s">
        <v>233</v>
      </c>
      <c r="B4" s="148">
        <v>45996</v>
      </c>
      <c r="C4" s="149" t="s">
        <v>55</v>
      </c>
      <c r="D4" s="150" t="s">
        <v>234</v>
      </c>
      <c r="E4" s="149" t="s">
        <v>1</v>
      </c>
      <c r="F4" s="149" t="s">
        <v>215</v>
      </c>
      <c r="G4" s="151">
        <v>0.52980000000000005</v>
      </c>
      <c r="H4" s="152">
        <v>168</v>
      </c>
      <c r="I4" s="152">
        <v>89</v>
      </c>
      <c r="J4" s="152">
        <v>0</v>
      </c>
      <c r="K4" s="149" t="s">
        <v>216</v>
      </c>
      <c r="L4" s="145"/>
      <c r="M4" s="152">
        <v>4</v>
      </c>
      <c r="N4" s="152">
        <v>1</v>
      </c>
      <c r="O4" s="152">
        <v>31</v>
      </c>
      <c r="P4" s="149" t="s">
        <v>105</v>
      </c>
      <c r="Q4" s="145"/>
      <c r="R4" s="145"/>
      <c r="S4" s="145"/>
      <c r="T4" s="145"/>
      <c r="U4" s="145"/>
      <c r="V4" s="145"/>
      <c r="W4" s="145"/>
      <c r="X4" s="145"/>
      <c r="Y4" s="145"/>
      <c r="Z4" s="152" t="s">
        <v>235</v>
      </c>
      <c r="AA4" s="145"/>
      <c r="AB4" s="152" t="s">
        <v>236</v>
      </c>
      <c r="AC4" s="152" t="s">
        <v>237</v>
      </c>
      <c r="AD4" s="152" t="s">
        <v>238</v>
      </c>
      <c r="AE4" s="152" t="s">
        <v>239</v>
      </c>
      <c r="AF4" s="152" t="s">
        <v>240</v>
      </c>
      <c r="AG4" s="145"/>
      <c r="AH4" s="145"/>
      <c r="AI4" s="145"/>
      <c r="AJ4" s="145"/>
    </row>
    <row r="5" spans="1:36" x14ac:dyDescent="0.3">
      <c r="A5" s="147" t="s">
        <v>241</v>
      </c>
      <c r="B5" s="148">
        <v>45997</v>
      </c>
      <c r="C5" s="149" t="s">
        <v>55</v>
      </c>
      <c r="D5" s="150" t="s">
        <v>225</v>
      </c>
      <c r="E5" s="149" t="s">
        <v>1</v>
      </c>
      <c r="F5" s="149" t="s">
        <v>215</v>
      </c>
      <c r="G5" s="151">
        <v>0.21429999999999999</v>
      </c>
      <c r="H5" s="152">
        <v>168</v>
      </c>
      <c r="I5" s="152">
        <v>36</v>
      </c>
      <c r="J5" s="152">
        <v>0</v>
      </c>
      <c r="K5" s="149" t="s">
        <v>216</v>
      </c>
      <c r="L5" s="145"/>
      <c r="M5" s="152">
        <v>0</v>
      </c>
      <c r="N5" s="152">
        <v>2</v>
      </c>
      <c r="O5" s="152">
        <v>14</v>
      </c>
      <c r="P5" s="149" t="s">
        <v>105</v>
      </c>
      <c r="Q5" s="145"/>
      <c r="R5" s="145"/>
      <c r="S5" s="145"/>
      <c r="T5" s="145"/>
      <c r="U5" s="145"/>
      <c r="V5" s="145"/>
      <c r="W5" s="145"/>
      <c r="X5" s="145"/>
      <c r="Y5" s="145"/>
      <c r="Z5" s="152" t="s">
        <v>242</v>
      </c>
      <c r="AA5" s="145"/>
      <c r="AB5" s="145"/>
      <c r="AC5" s="152" t="s">
        <v>243</v>
      </c>
      <c r="AD5" s="152" t="s">
        <v>244</v>
      </c>
      <c r="AE5" s="152" t="s">
        <v>245</v>
      </c>
      <c r="AF5" s="152" t="s">
        <v>246</v>
      </c>
      <c r="AG5" s="145"/>
      <c r="AH5" s="145"/>
      <c r="AI5" s="145"/>
      <c r="AJ5" s="145"/>
    </row>
    <row r="6" spans="1:36" x14ac:dyDescent="0.3">
      <c r="A6" s="147" t="s">
        <v>213</v>
      </c>
      <c r="B6" s="148">
        <v>46000</v>
      </c>
      <c r="C6" s="149" t="s">
        <v>55</v>
      </c>
      <c r="D6" s="150" t="s">
        <v>214</v>
      </c>
      <c r="E6" s="149" t="s">
        <v>1</v>
      </c>
      <c r="F6" s="149" t="s">
        <v>215</v>
      </c>
      <c r="G6" s="151">
        <v>0.28570000000000001</v>
      </c>
      <c r="H6" s="152">
        <v>168</v>
      </c>
      <c r="I6" s="152">
        <v>48</v>
      </c>
      <c r="J6" s="152">
        <v>0</v>
      </c>
      <c r="K6" s="149" t="s">
        <v>216</v>
      </c>
      <c r="L6" s="145"/>
      <c r="M6" s="152">
        <v>0</v>
      </c>
      <c r="N6" s="152">
        <v>0</v>
      </c>
      <c r="O6" s="152">
        <v>13</v>
      </c>
      <c r="P6" s="149" t="s">
        <v>105</v>
      </c>
      <c r="Q6" s="145"/>
      <c r="R6" s="145"/>
      <c r="S6" s="145"/>
      <c r="T6" s="145"/>
      <c r="U6" s="145"/>
      <c r="V6" s="145"/>
      <c r="W6" s="145"/>
      <c r="X6" s="145"/>
      <c r="Y6" s="145"/>
      <c r="Z6" s="152" t="s">
        <v>247</v>
      </c>
      <c r="AA6" s="145"/>
      <c r="AB6" s="145"/>
      <c r="AC6" s="152" t="s">
        <v>221</v>
      </c>
      <c r="AD6" s="152" t="s">
        <v>230</v>
      </c>
      <c r="AE6" s="145"/>
      <c r="AF6" s="152" t="s">
        <v>248</v>
      </c>
      <c r="AG6" s="145"/>
      <c r="AH6" s="145"/>
      <c r="AI6" s="145"/>
      <c r="AJ6" s="145"/>
    </row>
    <row r="7" spans="1:36" x14ac:dyDescent="0.3">
      <c r="A7" s="147" t="s">
        <v>224</v>
      </c>
      <c r="B7" s="148">
        <v>46002</v>
      </c>
      <c r="C7" s="149" t="s">
        <v>55</v>
      </c>
      <c r="D7" s="150" t="s">
        <v>225</v>
      </c>
      <c r="E7" s="149" t="s">
        <v>1</v>
      </c>
      <c r="F7" s="149" t="s">
        <v>215</v>
      </c>
      <c r="G7" s="151">
        <v>0.26190000000000002</v>
      </c>
      <c r="H7" s="152">
        <v>168</v>
      </c>
      <c r="I7" s="152">
        <v>44</v>
      </c>
      <c r="J7" s="152">
        <v>0</v>
      </c>
      <c r="K7" s="149" t="s">
        <v>216</v>
      </c>
      <c r="L7" s="145"/>
      <c r="M7" s="152">
        <v>3</v>
      </c>
      <c r="N7" s="152">
        <v>0</v>
      </c>
      <c r="O7" s="152">
        <v>20</v>
      </c>
      <c r="P7" s="149" t="s">
        <v>105</v>
      </c>
      <c r="Q7" s="145"/>
      <c r="R7" s="145"/>
      <c r="S7" s="145"/>
      <c r="T7" s="145"/>
      <c r="U7" s="145"/>
      <c r="V7" s="145"/>
      <c r="W7" s="145"/>
      <c r="X7" s="145"/>
      <c r="Y7" s="145"/>
      <c r="Z7" s="152" t="s">
        <v>249</v>
      </c>
      <c r="AA7" s="152" t="s">
        <v>219</v>
      </c>
      <c r="AB7" s="152" t="s">
        <v>220</v>
      </c>
      <c r="AC7" s="145"/>
      <c r="AD7" s="145"/>
      <c r="AE7" s="152" t="s">
        <v>250</v>
      </c>
      <c r="AF7" s="152" t="s">
        <v>251</v>
      </c>
      <c r="AG7" s="145"/>
      <c r="AH7" s="145"/>
      <c r="AI7" s="145"/>
      <c r="AJ7" s="145"/>
    </row>
    <row r="8" spans="1:36" x14ac:dyDescent="0.3">
      <c r="A8" s="147" t="s">
        <v>233</v>
      </c>
      <c r="B8" s="148">
        <v>46003</v>
      </c>
      <c r="C8" s="149" t="s">
        <v>55</v>
      </c>
      <c r="D8" s="150" t="s">
        <v>234</v>
      </c>
      <c r="E8" s="149" t="s">
        <v>1</v>
      </c>
      <c r="F8" s="149" t="s">
        <v>215</v>
      </c>
      <c r="G8" s="151">
        <v>0.48209999999999997</v>
      </c>
      <c r="H8" s="152">
        <v>168</v>
      </c>
      <c r="I8" s="152">
        <v>81</v>
      </c>
      <c r="J8" s="152">
        <v>0</v>
      </c>
      <c r="K8" s="149" t="s">
        <v>216</v>
      </c>
      <c r="L8" s="145"/>
      <c r="M8" s="152">
        <v>15</v>
      </c>
      <c r="N8" s="152">
        <v>1</v>
      </c>
      <c r="O8" s="152">
        <v>50</v>
      </c>
      <c r="P8" s="149" t="s">
        <v>99</v>
      </c>
      <c r="Q8" s="145"/>
      <c r="R8" s="145"/>
      <c r="S8" s="145"/>
      <c r="T8" s="145"/>
      <c r="U8" s="145"/>
      <c r="V8" s="145"/>
      <c r="W8" s="145"/>
      <c r="X8" s="145"/>
      <c r="Y8" s="145"/>
      <c r="Z8" s="152" t="s">
        <v>226</v>
      </c>
      <c r="AA8" s="152" t="s">
        <v>252</v>
      </c>
      <c r="AB8" s="152" t="s">
        <v>253</v>
      </c>
      <c r="AC8" s="152" t="s">
        <v>229</v>
      </c>
      <c r="AD8" s="152" t="s">
        <v>254</v>
      </c>
      <c r="AE8" s="152" t="s">
        <v>255</v>
      </c>
      <c r="AF8" s="152" t="s">
        <v>256</v>
      </c>
      <c r="AG8" s="145"/>
      <c r="AH8" s="145"/>
      <c r="AI8" s="145"/>
      <c r="AJ8" s="145"/>
    </row>
    <row r="9" spans="1:36" x14ac:dyDescent="0.3">
      <c r="A9" s="147" t="s">
        <v>241</v>
      </c>
      <c r="B9" s="148">
        <v>46004</v>
      </c>
      <c r="C9" s="149" t="s">
        <v>55</v>
      </c>
      <c r="D9" s="150" t="s">
        <v>225</v>
      </c>
      <c r="E9" s="149" t="s">
        <v>1</v>
      </c>
      <c r="F9" s="149" t="s">
        <v>215</v>
      </c>
      <c r="G9" s="151">
        <v>0.23810000000000001</v>
      </c>
      <c r="H9" s="152">
        <v>168</v>
      </c>
      <c r="I9" s="152">
        <v>40</v>
      </c>
      <c r="J9" s="152">
        <v>0</v>
      </c>
      <c r="K9" s="149" t="s">
        <v>216</v>
      </c>
      <c r="L9" s="145"/>
      <c r="M9" s="152">
        <v>2</v>
      </c>
      <c r="N9" s="152">
        <v>0</v>
      </c>
      <c r="O9" s="152">
        <v>19</v>
      </c>
      <c r="P9" s="149" t="s">
        <v>105</v>
      </c>
      <c r="Q9" s="145"/>
      <c r="R9" s="145"/>
      <c r="S9" s="145"/>
      <c r="T9" s="145"/>
      <c r="U9" s="145"/>
      <c r="V9" s="145"/>
      <c r="W9" s="145"/>
      <c r="X9" s="145"/>
      <c r="Y9" s="145"/>
      <c r="Z9" s="152" t="s">
        <v>235</v>
      </c>
      <c r="AA9" s="152" t="s">
        <v>257</v>
      </c>
      <c r="AB9" s="145"/>
      <c r="AC9" s="152" t="s">
        <v>258</v>
      </c>
      <c r="AD9" s="145"/>
      <c r="AE9" s="145"/>
      <c r="AF9" s="152" t="s">
        <v>259</v>
      </c>
      <c r="AG9" s="145"/>
      <c r="AH9" s="145"/>
      <c r="AI9" s="145"/>
      <c r="AJ9" s="145"/>
    </row>
    <row r="10" spans="1:36" x14ac:dyDescent="0.3">
      <c r="A10" s="147" t="s">
        <v>213</v>
      </c>
      <c r="B10" s="148">
        <v>46007</v>
      </c>
      <c r="C10" s="149" t="s">
        <v>55</v>
      </c>
      <c r="D10" s="150" t="s">
        <v>214</v>
      </c>
      <c r="E10" s="149" t="s">
        <v>1</v>
      </c>
      <c r="F10" s="149" t="s">
        <v>215</v>
      </c>
      <c r="G10" s="151">
        <v>0.26190000000000002</v>
      </c>
      <c r="H10" s="152">
        <v>168</v>
      </c>
      <c r="I10" s="152">
        <v>44</v>
      </c>
      <c r="J10" s="152">
        <v>0</v>
      </c>
      <c r="K10" s="149" t="s">
        <v>216</v>
      </c>
      <c r="L10" s="145"/>
      <c r="M10" s="152">
        <v>0</v>
      </c>
      <c r="N10" s="152">
        <v>0</v>
      </c>
      <c r="O10" s="152">
        <v>16</v>
      </c>
      <c r="P10" s="149" t="s">
        <v>105</v>
      </c>
      <c r="Q10" s="145"/>
      <c r="R10" s="145"/>
      <c r="S10" s="145"/>
      <c r="T10" s="145"/>
      <c r="U10" s="145"/>
      <c r="V10" s="145"/>
      <c r="W10" s="145"/>
      <c r="X10" s="145"/>
      <c r="Y10" s="145"/>
      <c r="Z10" s="152" t="s">
        <v>242</v>
      </c>
      <c r="AA10" s="145"/>
      <c r="AB10" s="145"/>
      <c r="AC10" s="152" t="s">
        <v>229</v>
      </c>
      <c r="AD10" s="152" t="s">
        <v>260</v>
      </c>
      <c r="AE10" s="152" t="s">
        <v>56</v>
      </c>
      <c r="AF10" s="152" t="s">
        <v>248</v>
      </c>
      <c r="AG10" s="145"/>
      <c r="AH10" s="145"/>
      <c r="AI10" s="145"/>
      <c r="AJ10" s="145"/>
    </row>
    <row r="11" spans="1:36" x14ac:dyDescent="0.3">
      <c r="A11" s="147" t="s">
        <v>224</v>
      </c>
      <c r="B11" s="148">
        <v>46009</v>
      </c>
      <c r="C11" s="149" t="s">
        <v>55</v>
      </c>
      <c r="D11" s="150" t="s">
        <v>225</v>
      </c>
      <c r="E11" s="149" t="s">
        <v>1</v>
      </c>
      <c r="F11" s="149" t="s">
        <v>215</v>
      </c>
      <c r="G11" s="151">
        <v>0.375</v>
      </c>
      <c r="H11" s="152">
        <v>168</v>
      </c>
      <c r="I11" s="152">
        <v>63</v>
      </c>
      <c r="J11" s="152">
        <v>0</v>
      </c>
      <c r="K11" s="149" t="s">
        <v>216</v>
      </c>
      <c r="L11" s="145"/>
      <c r="M11" s="152">
        <v>0</v>
      </c>
      <c r="N11" s="152">
        <v>2</v>
      </c>
      <c r="O11" s="152">
        <v>23</v>
      </c>
      <c r="P11" s="149" t="s">
        <v>159</v>
      </c>
      <c r="Q11" s="145"/>
      <c r="R11" s="145"/>
      <c r="S11" s="145"/>
      <c r="T11" s="145"/>
      <c r="U11" s="145"/>
      <c r="V11" s="145"/>
      <c r="W11" s="145"/>
      <c r="X11" s="145"/>
      <c r="Y11" s="145"/>
      <c r="Z11" s="152" t="s">
        <v>226</v>
      </c>
      <c r="AA11" s="145"/>
      <c r="AB11" s="145"/>
      <c r="AC11" s="152" t="s">
        <v>261</v>
      </c>
      <c r="AD11" s="152" t="s">
        <v>244</v>
      </c>
      <c r="AE11" s="152" t="s">
        <v>231</v>
      </c>
      <c r="AF11" s="152" t="s">
        <v>262</v>
      </c>
      <c r="AG11" s="145"/>
      <c r="AH11" s="145"/>
      <c r="AI11" s="145"/>
      <c r="AJ11" s="145"/>
    </row>
    <row r="12" spans="1:36" x14ac:dyDescent="0.3">
      <c r="A12" s="147" t="s">
        <v>233</v>
      </c>
      <c r="B12" s="148">
        <v>46010</v>
      </c>
      <c r="C12" s="149" t="s">
        <v>55</v>
      </c>
      <c r="D12" s="150" t="s">
        <v>234</v>
      </c>
      <c r="E12" s="149" t="s">
        <v>1</v>
      </c>
      <c r="F12" s="149" t="s">
        <v>215</v>
      </c>
      <c r="G12" s="151">
        <v>0.28570000000000001</v>
      </c>
      <c r="H12" s="152">
        <v>168</v>
      </c>
      <c r="I12" s="152">
        <v>48</v>
      </c>
      <c r="J12" s="152">
        <v>0</v>
      </c>
      <c r="K12" s="149" t="s">
        <v>216</v>
      </c>
      <c r="L12" s="145"/>
      <c r="M12" s="152">
        <v>7</v>
      </c>
      <c r="N12" s="152">
        <v>0</v>
      </c>
      <c r="O12" s="152">
        <v>19</v>
      </c>
      <c r="P12" s="149" t="s">
        <v>105</v>
      </c>
      <c r="Q12" s="145"/>
      <c r="R12" s="145"/>
      <c r="S12" s="145"/>
      <c r="T12" s="145"/>
      <c r="U12" s="145"/>
      <c r="V12" s="145"/>
      <c r="W12" s="145"/>
      <c r="X12" s="145"/>
      <c r="Y12" s="145"/>
      <c r="Z12" s="152" t="s">
        <v>249</v>
      </c>
      <c r="AA12" s="152" t="s">
        <v>263</v>
      </c>
      <c r="AB12" s="152" t="s">
        <v>264</v>
      </c>
      <c r="AC12" s="145"/>
      <c r="AD12" s="152" t="s">
        <v>265</v>
      </c>
      <c r="AE12" s="152" t="s">
        <v>245</v>
      </c>
      <c r="AF12" s="152" t="s">
        <v>266</v>
      </c>
      <c r="AG12" s="145"/>
      <c r="AH12" s="145"/>
      <c r="AI12" s="145"/>
      <c r="AJ12" s="145"/>
    </row>
    <row r="13" spans="1:36" x14ac:dyDescent="0.3">
      <c r="A13" s="147" t="s">
        <v>241</v>
      </c>
      <c r="B13" s="148">
        <v>46011</v>
      </c>
      <c r="C13" s="149" t="s">
        <v>55</v>
      </c>
      <c r="D13" s="150" t="s">
        <v>225</v>
      </c>
      <c r="E13" s="149" t="s">
        <v>1</v>
      </c>
      <c r="F13" s="149" t="s">
        <v>215</v>
      </c>
      <c r="G13" s="151">
        <v>0.34549999999999997</v>
      </c>
      <c r="H13" s="152">
        <v>165</v>
      </c>
      <c r="I13" s="152">
        <v>57</v>
      </c>
      <c r="J13" s="152">
        <v>0</v>
      </c>
      <c r="K13" s="149" t="s">
        <v>216</v>
      </c>
      <c r="L13" s="145"/>
      <c r="M13" s="152">
        <v>8</v>
      </c>
      <c r="N13" s="152">
        <v>0</v>
      </c>
      <c r="O13" s="152">
        <v>28</v>
      </c>
      <c r="P13" s="149" t="s">
        <v>165</v>
      </c>
      <c r="Q13" s="145"/>
      <c r="R13" s="145"/>
      <c r="S13" s="145"/>
      <c r="T13" s="145"/>
      <c r="U13" s="145"/>
      <c r="V13" s="145"/>
      <c r="W13" s="145"/>
      <c r="X13" s="145"/>
      <c r="Y13" s="152" t="s">
        <v>217</v>
      </c>
      <c r="Z13" s="152" t="s">
        <v>249</v>
      </c>
      <c r="AA13" s="145"/>
      <c r="AB13" s="145"/>
      <c r="AC13" s="152" t="s">
        <v>267</v>
      </c>
      <c r="AD13" s="152" t="s">
        <v>260</v>
      </c>
      <c r="AE13" s="152" t="s">
        <v>56</v>
      </c>
      <c r="AF13" s="152" t="s">
        <v>251</v>
      </c>
      <c r="AG13" s="145"/>
      <c r="AH13" s="145"/>
      <c r="AI13" s="145"/>
      <c r="AJ13" s="145"/>
    </row>
    <row r="14" spans="1:36" x14ac:dyDescent="0.3">
      <c r="A14" s="147" t="s">
        <v>213</v>
      </c>
      <c r="B14" s="148">
        <v>46014</v>
      </c>
      <c r="C14" s="149" t="s">
        <v>55</v>
      </c>
      <c r="D14" s="150" t="s">
        <v>214</v>
      </c>
      <c r="E14" s="149" t="s">
        <v>1</v>
      </c>
      <c r="F14" s="149" t="s">
        <v>215</v>
      </c>
      <c r="G14" s="151">
        <v>0.19639999999999999</v>
      </c>
      <c r="H14" s="152">
        <v>168</v>
      </c>
      <c r="I14" s="152">
        <v>33</v>
      </c>
      <c r="J14" s="152">
        <v>0</v>
      </c>
      <c r="K14" s="149" t="s">
        <v>216</v>
      </c>
      <c r="L14" s="145"/>
      <c r="M14" s="152">
        <v>4</v>
      </c>
      <c r="N14" s="152">
        <v>0</v>
      </c>
      <c r="O14" s="152">
        <v>21</v>
      </c>
      <c r="P14" s="149" t="s">
        <v>169</v>
      </c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52" t="s">
        <v>243</v>
      </c>
      <c r="AD14" s="152" t="s">
        <v>268</v>
      </c>
      <c r="AE14" s="152" t="s">
        <v>56</v>
      </c>
      <c r="AF14" s="152" t="s">
        <v>248</v>
      </c>
      <c r="AG14" s="145"/>
      <c r="AH14" s="145"/>
      <c r="AI14" s="145"/>
      <c r="AJ14" s="145"/>
    </row>
    <row r="15" spans="1:36" x14ac:dyDescent="0.3">
      <c r="A15" s="147" t="s">
        <v>224</v>
      </c>
      <c r="B15" s="148">
        <v>46016</v>
      </c>
      <c r="C15" s="149" t="s">
        <v>55</v>
      </c>
      <c r="D15" s="150" t="s">
        <v>225</v>
      </c>
      <c r="E15" s="149" t="s">
        <v>1</v>
      </c>
      <c r="F15" s="149" t="s">
        <v>215</v>
      </c>
      <c r="G15" s="151">
        <v>0.28570000000000001</v>
      </c>
      <c r="H15" s="152">
        <v>168</v>
      </c>
      <c r="I15" s="152">
        <v>48</v>
      </c>
      <c r="J15" s="152">
        <v>0</v>
      </c>
      <c r="K15" s="149" t="s">
        <v>216</v>
      </c>
      <c r="L15" s="145"/>
      <c r="M15" s="152">
        <v>5</v>
      </c>
      <c r="N15" s="152">
        <v>0</v>
      </c>
      <c r="O15" s="152">
        <v>9</v>
      </c>
      <c r="P15" s="149" t="s">
        <v>105</v>
      </c>
      <c r="Q15" s="145"/>
      <c r="R15" s="145"/>
      <c r="S15" s="145"/>
      <c r="T15" s="145"/>
      <c r="U15" s="145"/>
      <c r="V15" s="145"/>
      <c r="W15" s="145"/>
      <c r="X15" s="145"/>
      <c r="Y15" s="145"/>
      <c r="Z15" s="152" t="s">
        <v>249</v>
      </c>
      <c r="AA15" s="145"/>
      <c r="AB15" s="145"/>
      <c r="AC15" s="152" t="s">
        <v>269</v>
      </c>
      <c r="AD15" s="152" t="s">
        <v>254</v>
      </c>
      <c r="AE15" s="152" t="s">
        <v>255</v>
      </c>
      <c r="AF15" s="152" t="s">
        <v>270</v>
      </c>
      <c r="AG15" s="145"/>
      <c r="AH15" s="145"/>
      <c r="AI15" s="145"/>
      <c r="AJ15" s="145"/>
    </row>
    <row r="16" spans="1:36" x14ac:dyDescent="0.3">
      <c r="A16" s="147" t="s">
        <v>233</v>
      </c>
      <c r="B16" s="148">
        <v>46017</v>
      </c>
      <c r="C16" s="149" t="s">
        <v>55</v>
      </c>
      <c r="D16" s="150" t="s">
        <v>234</v>
      </c>
      <c r="E16" s="149" t="s">
        <v>1</v>
      </c>
      <c r="F16" s="149" t="s">
        <v>215</v>
      </c>
      <c r="G16" s="151">
        <v>0.3155</v>
      </c>
      <c r="H16" s="152">
        <v>168</v>
      </c>
      <c r="I16" s="152">
        <v>53</v>
      </c>
      <c r="J16" s="152">
        <v>0</v>
      </c>
      <c r="K16" s="149" t="s">
        <v>216</v>
      </c>
      <c r="L16" s="145"/>
      <c r="M16" s="152">
        <v>1</v>
      </c>
      <c r="N16" s="152">
        <v>0</v>
      </c>
      <c r="O16" s="152">
        <v>20</v>
      </c>
      <c r="P16" s="149" t="s">
        <v>105</v>
      </c>
      <c r="Q16" s="145"/>
      <c r="R16" s="145"/>
      <c r="S16" s="145"/>
      <c r="T16" s="145"/>
      <c r="U16" s="145"/>
      <c r="V16" s="145"/>
      <c r="W16" s="145"/>
      <c r="X16" s="145"/>
      <c r="Y16" s="145"/>
      <c r="Z16" s="152" t="s">
        <v>249</v>
      </c>
      <c r="AA16" s="152" t="s">
        <v>257</v>
      </c>
      <c r="AB16" s="145"/>
      <c r="AC16" s="152" t="s">
        <v>237</v>
      </c>
      <c r="AD16" s="152" t="s">
        <v>265</v>
      </c>
      <c r="AE16" s="152" t="s">
        <v>255</v>
      </c>
      <c r="AF16" s="152" t="s">
        <v>271</v>
      </c>
      <c r="AG16" s="145"/>
      <c r="AH16" s="145"/>
      <c r="AI16" s="145"/>
      <c r="AJ16" s="145"/>
    </row>
    <row r="17" spans="1:36" x14ac:dyDescent="0.3">
      <c r="A17" s="147" t="s">
        <v>241</v>
      </c>
      <c r="B17" s="148">
        <v>46018</v>
      </c>
      <c r="C17" s="149" t="s">
        <v>55</v>
      </c>
      <c r="D17" s="150" t="s">
        <v>225</v>
      </c>
      <c r="E17" s="149" t="s">
        <v>1</v>
      </c>
      <c r="F17" s="149" t="s">
        <v>215</v>
      </c>
      <c r="G17" s="151">
        <v>0.25</v>
      </c>
      <c r="H17" s="152">
        <v>168</v>
      </c>
      <c r="I17" s="152">
        <v>42</v>
      </c>
      <c r="J17" s="152">
        <v>0</v>
      </c>
      <c r="K17" s="149" t="s">
        <v>216</v>
      </c>
      <c r="L17" s="145"/>
      <c r="M17" s="152">
        <v>0</v>
      </c>
      <c r="N17" s="152">
        <v>0</v>
      </c>
      <c r="O17" s="152">
        <v>28</v>
      </c>
      <c r="P17" s="149" t="s">
        <v>105</v>
      </c>
      <c r="Q17" s="145"/>
      <c r="R17" s="145"/>
      <c r="S17" s="145"/>
      <c r="T17" s="145"/>
      <c r="U17" s="145"/>
      <c r="V17" s="145"/>
      <c r="W17" s="145"/>
      <c r="X17" s="145"/>
      <c r="Y17" s="145"/>
      <c r="Z17" s="152" t="s">
        <v>249</v>
      </c>
      <c r="AA17" s="145"/>
      <c r="AB17" s="145"/>
      <c r="AC17" s="152" t="s">
        <v>269</v>
      </c>
      <c r="AD17" s="152" t="s">
        <v>272</v>
      </c>
      <c r="AE17" s="152" t="s">
        <v>273</v>
      </c>
      <c r="AF17" s="152" t="s">
        <v>274</v>
      </c>
      <c r="AG17" s="145"/>
      <c r="AH17" s="145"/>
      <c r="AI17" s="145"/>
      <c r="AJ17" s="145"/>
    </row>
    <row r="18" spans="1:36" x14ac:dyDescent="0.3">
      <c r="A18" s="147" t="s">
        <v>213</v>
      </c>
      <c r="B18" s="148">
        <v>46021</v>
      </c>
      <c r="C18" s="149" t="s">
        <v>55</v>
      </c>
      <c r="D18" s="150" t="s">
        <v>214</v>
      </c>
      <c r="E18" s="149" t="s">
        <v>1</v>
      </c>
      <c r="F18" s="149" t="s">
        <v>215</v>
      </c>
      <c r="G18" s="151">
        <v>0.23810000000000001</v>
      </c>
      <c r="H18" s="152">
        <v>168</v>
      </c>
      <c r="I18" s="152">
        <v>40</v>
      </c>
      <c r="J18" s="152">
        <v>0</v>
      </c>
      <c r="K18" s="149" t="s">
        <v>216</v>
      </c>
      <c r="L18" s="145"/>
      <c r="M18" s="152">
        <v>2</v>
      </c>
      <c r="N18" s="152">
        <v>0</v>
      </c>
      <c r="O18" s="152">
        <v>9</v>
      </c>
      <c r="P18" s="149" t="s">
        <v>105</v>
      </c>
      <c r="Q18" s="145"/>
      <c r="R18" s="145"/>
      <c r="S18" s="145"/>
      <c r="T18" s="145"/>
      <c r="U18" s="145"/>
      <c r="V18" s="145"/>
      <c r="W18" s="145"/>
      <c r="X18" s="145"/>
      <c r="Y18" s="145"/>
      <c r="Z18" s="152" t="s">
        <v>226</v>
      </c>
      <c r="AA18" s="145"/>
      <c r="AB18" s="145"/>
      <c r="AC18" s="145"/>
      <c r="AD18" s="145"/>
      <c r="AE18" s="152" t="s">
        <v>273</v>
      </c>
      <c r="AF18" s="152" t="s">
        <v>259</v>
      </c>
      <c r="AG18" s="145"/>
      <c r="AH18" s="145"/>
      <c r="AI18" s="145"/>
      <c r="AJ18" s="145"/>
    </row>
    <row r="19" spans="1:36" ht="21" x14ac:dyDescent="0.3">
      <c r="A19" s="153" t="s">
        <v>348</v>
      </c>
      <c r="B19" s="154"/>
      <c r="C19" s="153">
        <f>SUBTOTAL(103,DMM_CAI_LF_LEGACY[Flt])</f>
        <v>17</v>
      </c>
      <c r="D19" s="153"/>
      <c r="E19" s="153">
        <f>SUBTOTAL(103,DMM_CAI_LF_LEGACY[Brd-Off])</f>
        <v>17</v>
      </c>
      <c r="F19" s="153"/>
      <c r="G19" s="155">
        <f>SUBTOTAL(101,DMM_CAI_LF_LEGACY[LF%])</f>
        <v>0.34000000000000008</v>
      </c>
      <c r="H19" s="156">
        <f>SUBTOTAL(109,DMM_CAI_LF_LEGACY[CAP])</f>
        <v>2853</v>
      </c>
      <c r="I19" s="156">
        <f>SUBTOTAL(109,DMM_CAI_LF_LEGACY[BKG(Y)])</f>
        <v>970</v>
      </c>
      <c r="J19" s="156">
        <f>SUBTOTAL(109,DMM_CAI_LF_LEGACY[GRP(Y)])</f>
        <v>0</v>
      </c>
      <c r="K19" s="153"/>
      <c r="L19" s="154"/>
      <c r="M19" s="156">
        <f>SUBTOTAL(109,DMM_CAI_LF_LEGACY[TO-DAY])</f>
        <v>74</v>
      </c>
      <c r="N19" s="156">
        <f>SUBTOTAL(109,DMM_CAI_LF_LEGACY[Y-DAY])</f>
        <v>7</v>
      </c>
      <c r="O19" s="156">
        <f>SUBTOTAL(109,DMM_CAI_LF_LEGACY[WEEKLY])</f>
        <v>423</v>
      </c>
      <c r="P19" s="157"/>
      <c r="Q19" s="156">
        <f>SUBTOTAL(109,DMM_CAI_LF_LEGACY[Y])</f>
        <v>0</v>
      </c>
      <c r="R19" s="156">
        <f>SUBTOTAL(109,DMM_CAI_LF_LEGACY[B])</f>
        <v>0</v>
      </c>
      <c r="S19" s="156">
        <f>SUBTOTAL(109,DMM_CAI_LF_LEGACY[M])</f>
        <v>0</v>
      </c>
      <c r="T19" s="156">
        <f>SUBTOTAL(109,DMM_CAI_LF_LEGACY[H])</f>
        <v>0</v>
      </c>
      <c r="U19" s="156">
        <f>SUBTOTAL(109,DMM_CAI_LF_LEGACY[Q])</f>
        <v>0</v>
      </c>
      <c r="V19" s="156">
        <f>SUBTOTAL(109,DMM_CAI_LF_LEGACY[K])</f>
        <v>0</v>
      </c>
      <c r="W19" s="156">
        <f>SUBTOTAL(109,DMM_CAI_LF_LEGACY[V])</f>
        <v>0</v>
      </c>
      <c r="X19" s="156">
        <f>SUBTOTAL(109,DMM_CAI_LF_LEGACY[L])</f>
        <v>0</v>
      </c>
      <c r="Y19" s="156">
        <f>SUBTOTAL(109,DMM_CAI_LF_LEGACY[G])</f>
        <v>0</v>
      </c>
      <c r="Z19" s="156">
        <f>SUBTOTAL(109,DMM_CAI_LF_LEGACY[S])</f>
        <v>0</v>
      </c>
      <c r="AA19" s="156">
        <f>SUBTOTAL(109,DMM_CAI_LF_LEGACY[W])</f>
        <v>0</v>
      </c>
      <c r="AB19" s="156">
        <f>SUBTOTAL(109,DMM_CAI_LF_LEGACY[T])</f>
        <v>0</v>
      </c>
      <c r="AC19" s="156">
        <f>SUBTOTAL(109,DMM_CAI_LF_LEGACY[X])</f>
        <v>0</v>
      </c>
      <c r="AD19" s="156">
        <f>SUBTOTAL(109,DMM_CAI_LF_LEGACY[U])</f>
        <v>0</v>
      </c>
      <c r="AE19" s="156">
        <f>SUBTOTAL(109,DMM_CAI_LF_LEGACY[O])</f>
        <v>0</v>
      </c>
      <c r="AF19" s="156">
        <f>SUBTOTAL(109,DMM_CAI_LF_LEGACY[I])</f>
        <v>0</v>
      </c>
      <c r="AG19" s="156">
        <f>SUBTOTAL(109,DMM_CAI_LF_LEGACY[E])</f>
        <v>0</v>
      </c>
      <c r="AH19" s="156">
        <f>SUBTOTAL(109,DMM_CAI_LF_LEGACY[A])</f>
        <v>0</v>
      </c>
      <c r="AI19" s="156">
        <f>SUBTOTAL(109,DMM_CAI_LF_LEGACY[P])</f>
        <v>0</v>
      </c>
      <c r="AJ19" s="156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44140625" hidden="1" customWidth="1"/>
  </cols>
  <sheetData>
    <row r="1" spans="1:9" ht="18" x14ac:dyDescent="0.3">
      <c r="A1" s="77" t="s">
        <v>275</v>
      </c>
      <c r="B1" s="78" t="s">
        <v>8</v>
      </c>
      <c r="C1" s="78" t="s">
        <v>9</v>
      </c>
      <c r="D1" s="78" t="s">
        <v>276</v>
      </c>
      <c r="E1" s="78" t="s">
        <v>10</v>
      </c>
      <c r="F1" s="78" t="s">
        <v>11</v>
      </c>
      <c r="G1" s="78" t="s">
        <v>12</v>
      </c>
      <c r="H1" s="79" t="s">
        <v>13</v>
      </c>
      <c r="I1" s="2"/>
    </row>
    <row r="2" spans="1:9" ht="19.8" customHeight="1" x14ac:dyDescent="0.3">
      <c r="A2" s="80" t="s">
        <v>277</v>
      </c>
      <c r="B2" s="81" t="s">
        <v>26</v>
      </c>
      <c r="C2" s="82" t="s">
        <v>27</v>
      </c>
      <c r="D2" s="81" t="s">
        <v>1</v>
      </c>
      <c r="E2" s="81" t="s">
        <v>278</v>
      </c>
      <c r="F2" s="81" t="s">
        <v>28</v>
      </c>
      <c r="G2" s="83">
        <v>7</v>
      </c>
      <c r="H2" s="137">
        <v>339</v>
      </c>
      <c r="I2" s="2"/>
    </row>
    <row r="3" spans="1:9" ht="19.8" customHeight="1" x14ac:dyDescent="0.3">
      <c r="A3" s="80" t="s">
        <v>277</v>
      </c>
      <c r="B3" s="81" t="s">
        <v>35</v>
      </c>
      <c r="C3" s="82" t="s">
        <v>36</v>
      </c>
      <c r="D3" s="81" t="s">
        <v>1</v>
      </c>
      <c r="E3" s="81" t="s">
        <v>279</v>
      </c>
      <c r="F3" s="81" t="s">
        <v>37</v>
      </c>
      <c r="G3" s="83">
        <v>9</v>
      </c>
      <c r="H3" s="137">
        <v>349</v>
      </c>
      <c r="I3" s="2"/>
    </row>
    <row r="4" spans="1:9" ht="19.8" customHeight="1" x14ac:dyDescent="0.3">
      <c r="A4" s="80" t="s">
        <v>277</v>
      </c>
      <c r="B4" s="81" t="s">
        <v>47</v>
      </c>
      <c r="C4" s="82" t="s">
        <v>48</v>
      </c>
      <c r="D4" s="81" t="s">
        <v>1</v>
      </c>
      <c r="E4" s="81" t="s">
        <v>280</v>
      </c>
      <c r="F4" s="81" t="s">
        <v>49</v>
      </c>
      <c r="G4" s="83">
        <v>9</v>
      </c>
      <c r="H4" s="137">
        <v>379</v>
      </c>
      <c r="I4" s="2"/>
    </row>
    <row r="5" spans="1:9" ht="19.8" customHeight="1" x14ac:dyDescent="0.3">
      <c r="A5" s="80" t="s">
        <v>277</v>
      </c>
      <c r="B5" s="81" t="s">
        <v>35</v>
      </c>
      <c r="C5" s="82" t="s">
        <v>43</v>
      </c>
      <c r="D5" s="81" t="s">
        <v>1</v>
      </c>
      <c r="E5" s="81" t="s">
        <v>281</v>
      </c>
      <c r="F5" s="81" t="s">
        <v>37</v>
      </c>
      <c r="G5" s="83">
        <v>5</v>
      </c>
      <c r="H5" s="137">
        <v>439</v>
      </c>
      <c r="I5" s="2"/>
    </row>
    <row r="6" spans="1:9" ht="19.8" customHeight="1" x14ac:dyDescent="0.3">
      <c r="A6" s="80" t="s">
        <v>277</v>
      </c>
      <c r="B6" s="81" t="s">
        <v>35</v>
      </c>
      <c r="C6" s="82" t="s">
        <v>36</v>
      </c>
      <c r="D6" s="81" t="s">
        <v>1</v>
      </c>
      <c r="E6" s="81" t="s">
        <v>279</v>
      </c>
      <c r="F6" s="81" t="s">
        <v>40</v>
      </c>
      <c r="G6" s="83">
        <v>9</v>
      </c>
      <c r="H6" s="137">
        <v>449</v>
      </c>
      <c r="I6" s="2"/>
    </row>
    <row r="7" spans="1:9" ht="19.8" customHeight="1" x14ac:dyDescent="0.3">
      <c r="A7" s="84" t="s">
        <v>277</v>
      </c>
      <c r="B7" s="85" t="s">
        <v>52</v>
      </c>
      <c r="C7" s="86" t="s">
        <v>53</v>
      </c>
      <c r="D7" s="85" t="s">
        <v>1</v>
      </c>
      <c r="E7" s="85" t="s">
        <v>214</v>
      </c>
      <c r="F7" s="85" t="s">
        <v>49</v>
      </c>
      <c r="G7" s="87">
        <v>5</v>
      </c>
      <c r="H7" s="138">
        <v>476</v>
      </c>
      <c r="I7" s="2"/>
    </row>
    <row r="8" spans="1:9" ht="19.8" customHeight="1" x14ac:dyDescent="0.3">
      <c r="A8" s="139">
        <v>45993</v>
      </c>
      <c r="B8" s="81" t="s">
        <v>26</v>
      </c>
      <c r="C8" s="82" t="s">
        <v>27</v>
      </c>
      <c r="D8" s="81" t="s">
        <v>1</v>
      </c>
      <c r="E8" s="140">
        <v>1.305555555555556</v>
      </c>
      <c r="F8" s="81" t="s">
        <v>31</v>
      </c>
      <c r="G8" s="83">
        <v>7</v>
      </c>
      <c r="H8" s="137">
        <v>517</v>
      </c>
      <c r="I8" s="2"/>
    </row>
    <row r="9" spans="1:9" ht="19.8" customHeight="1" x14ac:dyDescent="0.3">
      <c r="A9" s="139">
        <v>45993</v>
      </c>
      <c r="B9" s="81" t="s">
        <v>58</v>
      </c>
      <c r="C9" s="82" t="s">
        <v>59</v>
      </c>
      <c r="D9" s="81" t="s">
        <v>1</v>
      </c>
      <c r="E9" s="140">
        <v>1.1701388888888891</v>
      </c>
      <c r="F9" s="81" t="s">
        <v>60</v>
      </c>
      <c r="G9" s="83">
        <v>9</v>
      </c>
      <c r="H9" s="137">
        <v>517</v>
      </c>
      <c r="I9" s="2"/>
    </row>
    <row r="10" spans="1:9" ht="19.8" customHeight="1" x14ac:dyDescent="0.3">
      <c r="A10" s="139">
        <v>45993</v>
      </c>
      <c r="B10" s="81" t="s">
        <v>35</v>
      </c>
      <c r="C10" s="82" t="s">
        <v>43</v>
      </c>
      <c r="D10" s="81" t="s">
        <v>1</v>
      </c>
      <c r="E10" s="140">
        <v>1.833333333333333</v>
      </c>
      <c r="F10" s="81" t="s">
        <v>40</v>
      </c>
      <c r="G10" s="83">
        <v>5</v>
      </c>
      <c r="H10" s="137">
        <v>539</v>
      </c>
      <c r="I10" s="2"/>
    </row>
    <row r="11" spans="1:9" ht="19.8" customHeight="1" x14ac:dyDescent="0.3">
      <c r="A11" s="139">
        <v>45993</v>
      </c>
      <c r="B11" s="81" t="s">
        <v>35</v>
      </c>
      <c r="C11" s="82" t="s">
        <v>36</v>
      </c>
      <c r="D11" s="81" t="s">
        <v>1</v>
      </c>
      <c r="E11" s="140">
        <v>1.197916666666667</v>
      </c>
      <c r="F11" s="81" t="s">
        <v>33</v>
      </c>
      <c r="G11" s="83">
        <v>9</v>
      </c>
      <c r="H11" s="137">
        <v>539</v>
      </c>
      <c r="I11" s="2"/>
    </row>
    <row r="12" spans="1:9" ht="19.8" customHeight="1" x14ac:dyDescent="0.3">
      <c r="A12" s="139">
        <v>45993</v>
      </c>
      <c r="B12" s="81" t="s">
        <v>35</v>
      </c>
      <c r="C12" s="82" t="s">
        <v>43</v>
      </c>
      <c r="D12" s="81" t="s">
        <v>1</v>
      </c>
      <c r="E12" s="140">
        <v>1.833333333333333</v>
      </c>
      <c r="F12" s="81" t="s">
        <v>33</v>
      </c>
      <c r="G12" s="83">
        <v>5</v>
      </c>
      <c r="H12" s="137">
        <v>629</v>
      </c>
      <c r="I12" s="2"/>
    </row>
    <row r="13" spans="1:9" ht="19.8" customHeight="1" x14ac:dyDescent="0.3">
      <c r="A13" s="139">
        <v>45993</v>
      </c>
      <c r="B13" s="81" t="s">
        <v>58</v>
      </c>
      <c r="C13" s="82" t="s">
        <v>61</v>
      </c>
      <c r="D13" s="81" t="s">
        <v>1</v>
      </c>
      <c r="E13" s="140">
        <v>1.864583333333333</v>
      </c>
      <c r="F13" s="81" t="s">
        <v>60</v>
      </c>
      <c r="G13" s="83">
        <v>9</v>
      </c>
      <c r="H13" s="137">
        <v>697</v>
      </c>
      <c r="I13" s="2"/>
    </row>
    <row r="14" spans="1:9" ht="19.8" customHeight="1" x14ac:dyDescent="0.3">
      <c r="A14" s="139">
        <v>45993</v>
      </c>
      <c r="B14" s="81" t="s">
        <v>58</v>
      </c>
      <c r="C14" s="82" t="s">
        <v>63</v>
      </c>
      <c r="D14" s="81" t="s">
        <v>1</v>
      </c>
      <c r="E14" s="140">
        <v>1.5277777777777779</v>
      </c>
      <c r="F14" s="81" t="s">
        <v>60</v>
      </c>
      <c r="G14" s="83">
        <v>9</v>
      </c>
      <c r="H14" s="137">
        <v>757</v>
      </c>
      <c r="I14" s="2"/>
    </row>
    <row r="15" spans="1:9" ht="19.8" customHeight="1" x14ac:dyDescent="0.3">
      <c r="A15" s="139">
        <v>45993</v>
      </c>
      <c r="B15" s="81" t="s">
        <v>65</v>
      </c>
      <c r="C15" s="82" t="s">
        <v>66</v>
      </c>
      <c r="D15" s="81" t="s">
        <v>1</v>
      </c>
      <c r="E15" s="140">
        <v>1.305555555555556</v>
      </c>
      <c r="F15" s="81" t="s">
        <v>67</v>
      </c>
      <c r="G15" s="83">
        <v>4</v>
      </c>
      <c r="H15" s="88" t="s">
        <v>69</v>
      </c>
      <c r="I15" s="2"/>
    </row>
    <row r="16" spans="1:9" ht="19.8" customHeight="1" x14ac:dyDescent="0.3">
      <c r="A16" s="141">
        <v>45993</v>
      </c>
      <c r="B16" s="89" t="s">
        <v>26</v>
      </c>
      <c r="C16" s="90" t="s">
        <v>27</v>
      </c>
      <c r="D16" s="89" t="s">
        <v>1</v>
      </c>
      <c r="E16" s="142">
        <v>1.305555555555556</v>
      </c>
      <c r="F16" s="89" t="s">
        <v>33</v>
      </c>
      <c r="G16" s="91">
        <v>7</v>
      </c>
      <c r="H16" s="92" t="s">
        <v>34</v>
      </c>
      <c r="I16" s="2"/>
    </row>
    <row r="17" spans="1:9" ht="19.8" customHeight="1" x14ac:dyDescent="0.3">
      <c r="A17" s="139">
        <v>45994</v>
      </c>
      <c r="B17" s="81" t="s">
        <v>70</v>
      </c>
      <c r="C17" s="82" t="s">
        <v>71</v>
      </c>
      <c r="D17" s="81" t="s">
        <v>1</v>
      </c>
      <c r="E17" s="140">
        <v>1.9722222222222221</v>
      </c>
      <c r="F17" s="81" t="s">
        <v>72</v>
      </c>
      <c r="G17" s="83">
        <v>9</v>
      </c>
      <c r="H17" s="137">
        <v>360</v>
      </c>
      <c r="I17" s="2"/>
    </row>
    <row r="18" spans="1:9" ht="19.8" customHeight="1" x14ac:dyDescent="0.3">
      <c r="A18" s="139">
        <v>45994</v>
      </c>
      <c r="B18" s="81" t="s">
        <v>76</v>
      </c>
      <c r="C18" s="82" t="s">
        <v>77</v>
      </c>
      <c r="D18" s="81" t="s">
        <v>1</v>
      </c>
      <c r="E18" s="140">
        <v>1.0902777777777779</v>
      </c>
      <c r="F18" s="81" t="s">
        <v>49</v>
      </c>
      <c r="G18" s="83">
        <v>9</v>
      </c>
      <c r="H18" s="137">
        <v>371</v>
      </c>
      <c r="I18" s="2"/>
    </row>
    <row r="19" spans="1:9" ht="19.8" customHeight="1" x14ac:dyDescent="0.3">
      <c r="A19" s="139">
        <v>45994</v>
      </c>
      <c r="B19" s="81" t="s">
        <v>47</v>
      </c>
      <c r="C19" s="82" t="s">
        <v>79</v>
      </c>
      <c r="D19" s="81" t="s">
        <v>1</v>
      </c>
      <c r="E19" s="140">
        <v>1.895833333333333</v>
      </c>
      <c r="F19" s="81" t="s">
        <v>49</v>
      </c>
      <c r="G19" s="83">
        <v>6</v>
      </c>
      <c r="H19" s="137">
        <v>379</v>
      </c>
      <c r="I19" s="2"/>
    </row>
    <row r="20" spans="1:9" ht="19.8" customHeight="1" x14ac:dyDescent="0.3">
      <c r="A20" s="139">
        <v>45994</v>
      </c>
      <c r="B20" s="81" t="s">
        <v>26</v>
      </c>
      <c r="C20" s="82" t="s">
        <v>27</v>
      </c>
      <c r="D20" s="81" t="s">
        <v>1</v>
      </c>
      <c r="E20" s="140">
        <v>1.305555555555556</v>
      </c>
      <c r="F20" s="81" t="s">
        <v>28</v>
      </c>
      <c r="G20" s="83">
        <v>8</v>
      </c>
      <c r="H20" s="137">
        <v>399</v>
      </c>
      <c r="I20" s="2"/>
    </row>
    <row r="21" spans="1:9" ht="19.8" customHeight="1" x14ac:dyDescent="0.3">
      <c r="A21" s="139">
        <v>45994</v>
      </c>
      <c r="B21" s="81" t="s">
        <v>58</v>
      </c>
      <c r="C21" s="82" t="s">
        <v>59</v>
      </c>
      <c r="D21" s="81" t="s">
        <v>1</v>
      </c>
      <c r="E21" s="140">
        <v>1.1701388888888891</v>
      </c>
      <c r="F21" s="81" t="s">
        <v>85</v>
      </c>
      <c r="G21" s="83">
        <v>5</v>
      </c>
      <c r="H21" s="137">
        <v>411</v>
      </c>
      <c r="I21" s="2"/>
    </row>
    <row r="22" spans="1:9" ht="19.8" customHeight="1" x14ac:dyDescent="0.3">
      <c r="A22" s="139">
        <v>45994</v>
      </c>
      <c r="B22" s="81" t="s">
        <v>35</v>
      </c>
      <c r="C22" s="82" t="s">
        <v>43</v>
      </c>
      <c r="D22" s="81" t="s">
        <v>1</v>
      </c>
      <c r="E22" s="140">
        <v>1.833333333333333</v>
      </c>
      <c r="F22" s="81" t="s">
        <v>37</v>
      </c>
      <c r="G22" s="83">
        <v>2</v>
      </c>
      <c r="H22" s="137">
        <v>479</v>
      </c>
      <c r="I22" s="2"/>
    </row>
    <row r="23" spans="1:9" ht="19.8" customHeight="1" x14ac:dyDescent="0.3">
      <c r="A23" s="139">
        <v>45994</v>
      </c>
      <c r="B23" s="81" t="s">
        <v>70</v>
      </c>
      <c r="C23" s="82" t="s">
        <v>71</v>
      </c>
      <c r="D23" s="81" t="s">
        <v>1</v>
      </c>
      <c r="E23" s="140">
        <v>1.9722222222222221</v>
      </c>
      <c r="F23" s="81" t="s">
        <v>74</v>
      </c>
      <c r="G23" s="83">
        <v>9</v>
      </c>
      <c r="H23" s="137">
        <v>483</v>
      </c>
      <c r="I23" s="2"/>
    </row>
    <row r="24" spans="1:9" ht="19.8" customHeight="1" x14ac:dyDescent="0.3">
      <c r="A24" s="139">
        <v>45994</v>
      </c>
      <c r="B24" s="81" t="s">
        <v>26</v>
      </c>
      <c r="C24" s="82" t="s">
        <v>27</v>
      </c>
      <c r="D24" s="81" t="s">
        <v>1</v>
      </c>
      <c r="E24" s="140">
        <v>1.305555555555556</v>
      </c>
      <c r="F24" s="81" t="s">
        <v>31</v>
      </c>
      <c r="G24" s="83">
        <v>8</v>
      </c>
      <c r="H24" s="137">
        <v>577</v>
      </c>
      <c r="I24" s="2"/>
    </row>
    <row r="25" spans="1:9" ht="19.8" customHeight="1" x14ac:dyDescent="0.3">
      <c r="A25" s="139">
        <v>45994</v>
      </c>
      <c r="B25" s="81" t="s">
        <v>35</v>
      </c>
      <c r="C25" s="82" t="s">
        <v>43</v>
      </c>
      <c r="D25" s="81" t="s">
        <v>1</v>
      </c>
      <c r="E25" s="140">
        <v>1.833333333333333</v>
      </c>
      <c r="F25" s="81" t="s">
        <v>40</v>
      </c>
      <c r="G25" s="83">
        <v>2</v>
      </c>
      <c r="H25" s="137">
        <v>579</v>
      </c>
      <c r="I25" s="2"/>
    </row>
    <row r="26" spans="1:9" ht="19.8" customHeight="1" x14ac:dyDescent="0.3">
      <c r="A26" s="139">
        <v>45994</v>
      </c>
      <c r="B26" s="81" t="s">
        <v>35</v>
      </c>
      <c r="C26" s="82" t="s">
        <v>43</v>
      </c>
      <c r="D26" s="81" t="s">
        <v>1</v>
      </c>
      <c r="E26" s="140">
        <v>1.833333333333333</v>
      </c>
      <c r="F26" s="81" t="s">
        <v>33</v>
      </c>
      <c r="G26" s="83">
        <v>2</v>
      </c>
      <c r="H26" s="137">
        <v>669</v>
      </c>
      <c r="I26" s="2"/>
    </row>
    <row r="27" spans="1:9" ht="19.8" customHeight="1" x14ac:dyDescent="0.3">
      <c r="A27" s="139">
        <v>45994</v>
      </c>
      <c r="B27" s="81" t="s">
        <v>58</v>
      </c>
      <c r="C27" s="82" t="s">
        <v>63</v>
      </c>
      <c r="D27" s="81" t="s">
        <v>1</v>
      </c>
      <c r="E27" s="140">
        <v>1.5277777777777779</v>
      </c>
      <c r="F27" s="81" t="s">
        <v>60</v>
      </c>
      <c r="G27" s="83">
        <v>9</v>
      </c>
      <c r="H27" s="137">
        <v>817</v>
      </c>
      <c r="I27" s="2"/>
    </row>
    <row r="28" spans="1:9" ht="19.8" customHeight="1" x14ac:dyDescent="0.3">
      <c r="A28" s="139">
        <v>45994</v>
      </c>
      <c r="B28" s="81" t="s">
        <v>26</v>
      </c>
      <c r="C28" s="82" t="s">
        <v>27</v>
      </c>
      <c r="D28" s="81" t="s">
        <v>1</v>
      </c>
      <c r="E28" s="140">
        <v>1.305555555555556</v>
      </c>
      <c r="F28" s="81" t="s">
        <v>33</v>
      </c>
      <c r="G28" s="83">
        <v>8</v>
      </c>
      <c r="H28" s="137">
        <v>899</v>
      </c>
      <c r="I28" s="2"/>
    </row>
    <row r="29" spans="1:9" ht="19.8" customHeight="1" x14ac:dyDescent="0.3">
      <c r="A29" s="139">
        <v>45994</v>
      </c>
      <c r="B29" s="81" t="s">
        <v>65</v>
      </c>
      <c r="C29" s="82" t="s">
        <v>66</v>
      </c>
      <c r="D29" s="81" t="s">
        <v>1</v>
      </c>
      <c r="E29" s="140">
        <v>1.305555555555556</v>
      </c>
      <c r="F29" s="81" t="s">
        <v>67</v>
      </c>
      <c r="G29" s="83">
        <v>4</v>
      </c>
      <c r="H29" s="88" t="s">
        <v>93</v>
      </c>
      <c r="I29" s="2"/>
    </row>
    <row r="30" spans="1:9" ht="19.8" customHeight="1" x14ac:dyDescent="0.3">
      <c r="A30" s="141">
        <v>45994</v>
      </c>
      <c r="B30" s="89" t="s">
        <v>58</v>
      </c>
      <c r="C30" s="90" t="s">
        <v>61</v>
      </c>
      <c r="D30" s="89" t="s">
        <v>1</v>
      </c>
      <c r="E30" s="142">
        <v>1.864583333333333</v>
      </c>
      <c r="F30" s="89" t="s">
        <v>60</v>
      </c>
      <c r="G30" s="91">
        <v>9</v>
      </c>
      <c r="H30" s="92" t="s">
        <v>88</v>
      </c>
      <c r="I30" s="2"/>
    </row>
    <row r="31" spans="1:9" ht="19.8" customHeight="1" x14ac:dyDescent="0.3">
      <c r="A31" s="139">
        <v>45995</v>
      </c>
      <c r="B31" s="81" t="s">
        <v>26</v>
      </c>
      <c r="C31" s="82" t="s">
        <v>27</v>
      </c>
      <c r="D31" s="81" t="s">
        <v>1</v>
      </c>
      <c r="E31" s="140">
        <v>1.305555555555556</v>
      </c>
      <c r="F31" s="81" t="s">
        <v>28</v>
      </c>
      <c r="G31" s="83">
        <v>2</v>
      </c>
      <c r="H31" s="137">
        <v>339</v>
      </c>
      <c r="I31" s="2"/>
    </row>
    <row r="32" spans="1:9" ht="19.8" customHeight="1" x14ac:dyDescent="0.3">
      <c r="A32" s="139">
        <v>45995</v>
      </c>
      <c r="B32" s="81" t="s">
        <v>35</v>
      </c>
      <c r="C32" s="82" t="s">
        <v>36</v>
      </c>
      <c r="D32" s="81" t="s">
        <v>1</v>
      </c>
      <c r="E32" s="140">
        <v>1.197916666666667</v>
      </c>
      <c r="F32" s="81" t="s">
        <v>37</v>
      </c>
      <c r="G32" s="83">
        <v>6</v>
      </c>
      <c r="H32" s="137">
        <v>349</v>
      </c>
      <c r="I32" s="2"/>
    </row>
    <row r="33" spans="1:9" ht="19.8" customHeight="1" x14ac:dyDescent="0.3">
      <c r="A33" s="139">
        <v>45995</v>
      </c>
      <c r="B33" s="81" t="s">
        <v>76</v>
      </c>
      <c r="C33" s="82" t="s">
        <v>77</v>
      </c>
      <c r="D33" s="81" t="s">
        <v>1</v>
      </c>
      <c r="E33" s="140">
        <v>1.8888888888888891</v>
      </c>
      <c r="F33" s="81" t="s">
        <v>49</v>
      </c>
      <c r="G33" s="83">
        <v>9</v>
      </c>
      <c r="H33" s="137">
        <v>371</v>
      </c>
      <c r="I33" s="2"/>
    </row>
    <row r="34" spans="1:9" ht="19.8" customHeight="1" x14ac:dyDescent="0.3">
      <c r="A34" s="139">
        <v>45995</v>
      </c>
      <c r="B34" s="81" t="s">
        <v>47</v>
      </c>
      <c r="C34" s="82" t="s">
        <v>97</v>
      </c>
      <c r="D34" s="81" t="s">
        <v>1</v>
      </c>
      <c r="E34" s="140">
        <v>1.5625</v>
      </c>
      <c r="F34" s="81" t="s">
        <v>49</v>
      </c>
      <c r="G34" s="83">
        <v>3</v>
      </c>
      <c r="H34" s="137">
        <v>379</v>
      </c>
      <c r="I34" s="2"/>
    </row>
    <row r="35" spans="1:9" ht="19.8" customHeight="1" x14ac:dyDescent="0.3">
      <c r="A35" s="139">
        <v>45995</v>
      </c>
      <c r="B35" s="81" t="s">
        <v>47</v>
      </c>
      <c r="C35" s="82" t="s">
        <v>48</v>
      </c>
      <c r="D35" s="81" t="s">
        <v>1</v>
      </c>
      <c r="E35" s="140">
        <v>1.958333333333333</v>
      </c>
      <c r="F35" s="81" t="s">
        <v>49</v>
      </c>
      <c r="G35" s="83">
        <v>9</v>
      </c>
      <c r="H35" s="137">
        <v>379</v>
      </c>
      <c r="I35" s="2"/>
    </row>
    <row r="36" spans="1:9" ht="19.8" customHeight="1" x14ac:dyDescent="0.3">
      <c r="A36" s="143">
        <v>45995</v>
      </c>
      <c r="B36" s="85" t="s">
        <v>52</v>
      </c>
      <c r="C36" s="86" t="s">
        <v>53</v>
      </c>
      <c r="D36" s="85" t="s">
        <v>1</v>
      </c>
      <c r="E36" s="144">
        <v>1.9236111111111109</v>
      </c>
      <c r="F36" s="85" t="s">
        <v>49</v>
      </c>
      <c r="G36" s="87">
        <v>2</v>
      </c>
      <c r="H36" s="138">
        <v>379</v>
      </c>
      <c r="I36" s="2"/>
    </row>
    <row r="37" spans="1:9" ht="19.8" customHeight="1" x14ac:dyDescent="0.3">
      <c r="A37" s="139">
        <v>45995</v>
      </c>
      <c r="B37" s="81" t="s">
        <v>58</v>
      </c>
      <c r="C37" s="82" t="s">
        <v>59</v>
      </c>
      <c r="D37" s="81" t="s">
        <v>1</v>
      </c>
      <c r="E37" s="140">
        <v>1.1701388888888891</v>
      </c>
      <c r="F37" s="81" t="s">
        <v>85</v>
      </c>
      <c r="G37" s="83">
        <v>9</v>
      </c>
      <c r="H37" s="137">
        <v>411</v>
      </c>
      <c r="I37" s="2"/>
    </row>
    <row r="38" spans="1:9" ht="19.8" customHeight="1" x14ac:dyDescent="0.3">
      <c r="A38" s="139">
        <v>45995</v>
      </c>
      <c r="B38" s="81" t="s">
        <v>35</v>
      </c>
      <c r="C38" s="82" t="s">
        <v>36</v>
      </c>
      <c r="D38" s="81" t="s">
        <v>1</v>
      </c>
      <c r="E38" s="140">
        <v>1.197916666666667</v>
      </c>
      <c r="F38" s="81" t="s">
        <v>40</v>
      </c>
      <c r="G38" s="83">
        <v>6</v>
      </c>
      <c r="H38" s="137">
        <v>449</v>
      </c>
      <c r="I38" s="2"/>
    </row>
    <row r="39" spans="1:9" ht="19.8" customHeight="1" x14ac:dyDescent="0.3">
      <c r="A39" s="139">
        <v>45995</v>
      </c>
      <c r="B39" s="81" t="s">
        <v>26</v>
      </c>
      <c r="C39" s="82" t="s">
        <v>27</v>
      </c>
      <c r="D39" s="81" t="s">
        <v>1</v>
      </c>
      <c r="E39" s="140">
        <v>1.305555555555556</v>
      </c>
      <c r="F39" s="81" t="s">
        <v>31</v>
      </c>
      <c r="G39" s="83">
        <v>2</v>
      </c>
      <c r="H39" s="137">
        <v>517</v>
      </c>
      <c r="I39" s="2"/>
    </row>
    <row r="40" spans="1:9" ht="19.8" customHeight="1" x14ac:dyDescent="0.3">
      <c r="A40" s="139">
        <v>45995</v>
      </c>
      <c r="B40" s="81" t="s">
        <v>35</v>
      </c>
      <c r="C40" s="82" t="s">
        <v>43</v>
      </c>
      <c r="D40" s="81" t="s">
        <v>1</v>
      </c>
      <c r="E40" s="140">
        <v>1.833333333333333</v>
      </c>
      <c r="F40" s="81" t="s">
        <v>37</v>
      </c>
      <c r="G40" s="83">
        <v>9</v>
      </c>
      <c r="H40" s="137">
        <v>519</v>
      </c>
      <c r="I40" s="2"/>
    </row>
    <row r="41" spans="1:9" ht="19.8" customHeight="1" x14ac:dyDescent="0.3">
      <c r="A41" s="139">
        <v>45995</v>
      </c>
      <c r="B41" s="81" t="s">
        <v>35</v>
      </c>
      <c r="C41" s="82" t="s">
        <v>36</v>
      </c>
      <c r="D41" s="81" t="s">
        <v>1</v>
      </c>
      <c r="E41" s="140">
        <v>1.197916666666667</v>
      </c>
      <c r="F41" s="81" t="s">
        <v>33</v>
      </c>
      <c r="G41" s="83">
        <v>6</v>
      </c>
      <c r="H41" s="137">
        <v>539</v>
      </c>
      <c r="I41" s="2"/>
    </row>
    <row r="42" spans="1:9" ht="19.8" customHeight="1" x14ac:dyDescent="0.3">
      <c r="A42" s="139">
        <v>45995</v>
      </c>
      <c r="B42" s="81" t="s">
        <v>35</v>
      </c>
      <c r="C42" s="82" t="s">
        <v>43</v>
      </c>
      <c r="D42" s="81" t="s">
        <v>1</v>
      </c>
      <c r="E42" s="140">
        <v>1.833333333333333</v>
      </c>
      <c r="F42" s="81" t="s">
        <v>40</v>
      </c>
      <c r="G42" s="83">
        <v>9</v>
      </c>
      <c r="H42" s="137">
        <v>619</v>
      </c>
      <c r="I42" s="2"/>
    </row>
    <row r="43" spans="1:9" ht="19.8" customHeight="1" x14ac:dyDescent="0.3">
      <c r="A43" s="139">
        <v>45995</v>
      </c>
      <c r="B43" s="81" t="s">
        <v>58</v>
      </c>
      <c r="C43" s="82" t="s">
        <v>63</v>
      </c>
      <c r="D43" s="81" t="s">
        <v>1</v>
      </c>
      <c r="E43" s="140">
        <v>1.5277777777777779</v>
      </c>
      <c r="F43" s="81" t="s">
        <v>60</v>
      </c>
      <c r="G43" s="83">
        <v>9</v>
      </c>
      <c r="H43" s="137">
        <v>697</v>
      </c>
      <c r="I43" s="2"/>
    </row>
    <row r="44" spans="1:9" ht="19.8" customHeight="1" x14ac:dyDescent="0.3">
      <c r="A44" s="139">
        <v>45995</v>
      </c>
      <c r="B44" s="81" t="s">
        <v>35</v>
      </c>
      <c r="C44" s="82" t="s">
        <v>43</v>
      </c>
      <c r="D44" s="81" t="s">
        <v>1</v>
      </c>
      <c r="E44" s="140">
        <v>1.833333333333333</v>
      </c>
      <c r="F44" s="81" t="s">
        <v>33</v>
      </c>
      <c r="G44" s="83">
        <v>9</v>
      </c>
      <c r="H44" s="137">
        <v>709</v>
      </c>
      <c r="I44" s="2"/>
    </row>
    <row r="45" spans="1:9" ht="19.8" customHeight="1" x14ac:dyDescent="0.3">
      <c r="A45" s="139">
        <v>45995</v>
      </c>
      <c r="B45" s="81" t="s">
        <v>26</v>
      </c>
      <c r="C45" s="82" t="s">
        <v>27</v>
      </c>
      <c r="D45" s="81" t="s">
        <v>1</v>
      </c>
      <c r="E45" s="140">
        <v>1.305555555555556</v>
      </c>
      <c r="F45" s="81" t="s">
        <v>33</v>
      </c>
      <c r="G45" s="83">
        <v>2</v>
      </c>
      <c r="H45" s="137">
        <v>899</v>
      </c>
      <c r="I45" s="2"/>
    </row>
    <row r="46" spans="1:9" ht="19.8" customHeight="1" x14ac:dyDescent="0.3">
      <c r="A46" s="139">
        <v>45995</v>
      </c>
      <c r="B46" s="81" t="s">
        <v>65</v>
      </c>
      <c r="C46" s="82" t="s">
        <v>66</v>
      </c>
      <c r="D46" s="81" t="s">
        <v>1</v>
      </c>
      <c r="E46" s="140">
        <v>1.305555555555556</v>
      </c>
      <c r="F46" s="81" t="s">
        <v>67</v>
      </c>
      <c r="G46" s="83">
        <v>4</v>
      </c>
      <c r="H46" s="88" t="s">
        <v>102</v>
      </c>
      <c r="I46" s="2"/>
    </row>
    <row r="47" spans="1:9" ht="19.8" customHeight="1" x14ac:dyDescent="0.3">
      <c r="A47" s="141">
        <v>45995</v>
      </c>
      <c r="B47" s="89" t="s">
        <v>58</v>
      </c>
      <c r="C47" s="90" t="s">
        <v>61</v>
      </c>
      <c r="D47" s="89" t="s">
        <v>1</v>
      </c>
      <c r="E47" s="142">
        <v>1.864583333333333</v>
      </c>
      <c r="F47" s="89" t="s">
        <v>60</v>
      </c>
      <c r="G47" s="91">
        <v>9</v>
      </c>
      <c r="H47" s="92" t="s">
        <v>101</v>
      </c>
      <c r="I47" s="2"/>
    </row>
    <row r="48" spans="1:9" ht="19.8" customHeight="1" x14ac:dyDescent="0.3">
      <c r="A48" s="139">
        <v>45996</v>
      </c>
      <c r="B48" s="81" t="s">
        <v>26</v>
      </c>
      <c r="C48" s="82" t="s">
        <v>27</v>
      </c>
      <c r="D48" s="81" t="s">
        <v>1</v>
      </c>
      <c r="E48" s="140">
        <v>1.305555555555556</v>
      </c>
      <c r="F48" s="81" t="s">
        <v>103</v>
      </c>
      <c r="G48" s="83">
        <v>3</v>
      </c>
      <c r="H48" s="137">
        <v>369</v>
      </c>
      <c r="I48" s="2"/>
    </row>
    <row r="49" spans="1:9" ht="19.8" customHeight="1" x14ac:dyDescent="0.3">
      <c r="A49" s="139">
        <v>45996</v>
      </c>
      <c r="B49" s="81" t="s">
        <v>47</v>
      </c>
      <c r="C49" s="82" t="s">
        <v>79</v>
      </c>
      <c r="D49" s="81" t="s">
        <v>1</v>
      </c>
      <c r="E49" s="140">
        <v>1.958333333333333</v>
      </c>
      <c r="F49" s="81" t="s">
        <v>49</v>
      </c>
      <c r="G49" s="83">
        <v>5</v>
      </c>
      <c r="H49" s="137">
        <v>379</v>
      </c>
      <c r="I49" s="2"/>
    </row>
    <row r="50" spans="1:9" ht="19.8" customHeight="1" x14ac:dyDescent="0.3">
      <c r="A50" s="143">
        <v>45996</v>
      </c>
      <c r="B50" s="85" t="s">
        <v>52</v>
      </c>
      <c r="C50" s="86" t="s">
        <v>53</v>
      </c>
      <c r="D50" s="85" t="s">
        <v>1</v>
      </c>
      <c r="E50" s="144">
        <v>1.5798611111111109</v>
      </c>
      <c r="F50" s="85" t="s">
        <v>49</v>
      </c>
      <c r="G50" s="87">
        <v>9</v>
      </c>
      <c r="H50" s="138">
        <v>379</v>
      </c>
      <c r="I50" s="2"/>
    </row>
    <row r="51" spans="1:9" ht="19.8" customHeight="1" x14ac:dyDescent="0.3">
      <c r="A51" s="139">
        <v>45996</v>
      </c>
      <c r="B51" s="81" t="s">
        <v>35</v>
      </c>
      <c r="C51" s="82" t="s">
        <v>43</v>
      </c>
      <c r="D51" s="81" t="s">
        <v>1</v>
      </c>
      <c r="E51" s="140">
        <v>1.836805555555556</v>
      </c>
      <c r="F51" s="81" t="s">
        <v>37</v>
      </c>
      <c r="G51" s="83">
        <v>2</v>
      </c>
      <c r="H51" s="137">
        <v>409</v>
      </c>
      <c r="I51" s="2"/>
    </row>
    <row r="52" spans="1:9" ht="19.8" customHeight="1" x14ac:dyDescent="0.3">
      <c r="A52" s="139">
        <v>45996</v>
      </c>
      <c r="B52" s="81" t="s">
        <v>35</v>
      </c>
      <c r="C52" s="82" t="s">
        <v>43</v>
      </c>
      <c r="D52" s="81" t="s">
        <v>1</v>
      </c>
      <c r="E52" s="140">
        <v>1.836805555555556</v>
      </c>
      <c r="F52" s="81" t="s">
        <v>40</v>
      </c>
      <c r="G52" s="83">
        <v>2</v>
      </c>
      <c r="H52" s="137">
        <v>509</v>
      </c>
      <c r="I52" s="2"/>
    </row>
    <row r="53" spans="1:9" ht="19.8" customHeight="1" x14ac:dyDescent="0.3">
      <c r="A53" s="139">
        <v>45996</v>
      </c>
      <c r="B53" s="81" t="s">
        <v>58</v>
      </c>
      <c r="C53" s="82" t="s">
        <v>61</v>
      </c>
      <c r="D53" s="81" t="s">
        <v>1</v>
      </c>
      <c r="E53" s="140">
        <v>1.864583333333333</v>
      </c>
      <c r="F53" s="81" t="s">
        <v>60</v>
      </c>
      <c r="G53" s="83">
        <v>9</v>
      </c>
      <c r="H53" s="137">
        <v>592</v>
      </c>
      <c r="I53" s="2"/>
    </row>
    <row r="54" spans="1:9" ht="19.8" customHeight="1" x14ac:dyDescent="0.3">
      <c r="A54" s="139">
        <v>45996</v>
      </c>
      <c r="B54" s="81" t="s">
        <v>35</v>
      </c>
      <c r="C54" s="82" t="s">
        <v>43</v>
      </c>
      <c r="D54" s="81" t="s">
        <v>1</v>
      </c>
      <c r="E54" s="140">
        <v>1.836805555555556</v>
      </c>
      <c r="F54" s="81" t="s">
        <v>33</v>
      </c>
      <c r="G54" s="83">
        <v>2</v>
      </c>
      <c r="H54" s="137">
        <v>599</v>
      </c>
      <c r="I54" s="2"/>
    </row>
    <row r="55" spans="1:9" ht="19.8" customHeight="1" x14ac:dyDescent="0.3">
      <c r="A55" s="139">
        <v>45996</v>
      </c>
      <c r="B55" s="81" t="s">
        <v>58</v>
      </c>
      <c r="C55" s="82" t="s">
        <v>59</v>
      </c>
      <c r="D55" s="81" t="s">
        <v>1</v>
      </c>
      <c r="E55" s="140">
        <v>1.1701388888888891</v>
      </c>
      <c r="F55" s="81" t="s">
        <v>60</v>
      </c>
      <c r="G55" s="83">
        <v>9</v>
      </c>
      <c r="H55" s="137">
        <v>641</v>
      </c>
      <c r="I55" s="2"/>
    </row>
    <row r="56" spans="1:9" ht="19.8" customHeight="1" x14ac:dyDescent="0.3">
      <c r="A56" s="139">
        <v>45996</v>
      </c>
      <c r="B56" s="81" t="s">
        <v>65</v>
      </c>
      <c r="C56" s="82" t="s">
        <v>66</v>
      </c>
      <c r="D56" s="81" t="s">
        <v>1</v>
      </c>
      <c r="E56" s="140">
        <v>1.305555555555556</v>
      </c>
      <c r="F56" s="81" t="s">
        <v>67</v>
      </c>
      <c r="G56" s="83">
        <v>4</v>
      </c>
      <c r="H56" s="88" t="s">
        <v>102</v>
      </c>
      <c r="I56" s="2"/>
    </row>
    <row r="57" spans="1:9" ht="19.8" customHeight="1" x14ac:dyDescent="0.3">
      <c r="A57" s="141">
        <v>45996</v>
      </c>
      <c r="B57" s="89" t="s">
        <v>58</v>
      </c>
      <c r="C57" s="90" t="s">
        <v>63</v>
      </c>
      <c r="D57" s="89" t="s">
        <v>1</v>
      </c>
      <c r="E57" s="142">
        <v>1.5277777777777779</v>
      </c>
      <c r="F57" s="89" t="s">
        <v>60</v>
      </c>
      <c r="G57" s="91">
        <v>9</v>
      </c>
      <c r="H57" s="92" t="s">
        <v>88</v>
      </c>
      <c r="I57" s="2"/>
    </row>
    <row r="58" spans="1:9" ht="19.8" customHeight="1" x14ac:dyDescent="0.3">
      <c r="A58" s="139">
        <v>45997</v>
      </c>
      <c r="B58" s="81" t="s">
        <v>26</v>
      </c>
      <c r="C58" s="82" t="s">
        <v>27</v>
      </c>
      <c r="D58" s="81" t="s">
        <v>1</v>
      </c>
      <c r="E58" s="140">
        <v>1.305555555555556</v>
      </c>
      <c r="F58" s="81" t="s">
        <v>28</v>
      </c>
      <c r="G58" s="83">
        <v>17</v>
      </c>
      <c r="H58" s="137">
        <v>309</v>
      </c>
      <c r="I58" s="2"/>
    </row>
    <row r="59" spans="1:9" ht="19.8" customHeight="1" x14ac:dyDescent="0.3">
      <c r="A59" s="139">
        <v>45997</v>
      </c>
      <c r="B59" s="81" t="s">
        <v>35</v>
      </c>
      <c r="C59" s="82" t="s">
        <v>36</v>
      </c>
      <c r="D59" s="81" t="s">
        <v>1</v>
      </c>
      <c r="E59" s="140">
        <v>1.2013888888888891</v>
      </c>
      <c r="F59" s="81" t="s">
        <v>37</v>
      </c>
      <c r="G59" s="83">
        <v>9</v>
      </c>
      <c r="H59" s="137">
        <v>349</v>
      </c>
      <c r="I59" s="2"/>
    </row>
    <row r="60" spans="1:9" ht="19.8" customHeight="1" x14ac:dyDescent="0.3">
      <c r="A60" s="139">
        <v>45997</v>
      </c>
      <c r="B60" s="81" t="s">
        <v>70</v>
      </c>
      <c r="C60" s="82" t="s">
        <v>71</v>
      </c>
      <c r="D60" s="81" t="s">
        <v>1</v>
      </c>
      <c r="E60" s="140">
        <v>1.9722222222222221</v>
      </c>
      <c r="F60" s="81" t="s">
        <v>72</v>
      </c>
      <c r="G60" s="83">
        <v>9</v>
      </c>
      <c r="H60" s="137">
        <v>373</v>
      </c>
      <c r="I60" s="2"/>
    </row>
    <row r="61" spans="1:9" ht="19.8" customHeight="1" x14ac:dyDescent="0.3">
      <c r="A61" s="139">
        <v>45997</v>
      </c>
      <c r="B61" s="81" t="s">
        <v>35</v>
      </c>
      <c r="C61" s="82" t="s">
        <v>43</v>
      </c>
      <c r="D61" s="81" t="s">
        <v>1</v>
      </c>
      <c r="E61" s="140">
        <v>1.836805555555556</v>
      </c>
      <c r="F61" s="81" t="s">
        <v>37</v>
      </c>
      <c r="G61" s="83">
        <v>3</v>
      </c>
      <c r="H61" s="137">
        <v>379</v>
      </c>
      <c r="I61" s="2"/>
    </row>
    <row r="62" spans="1:9" ht="19.8" customHeight="1" x14ac:dyDescent="0.3">
      <c r="A62" s="143">
        <v>45997</v>
      </c>
      <c r="B62" s="85" t="s">
        <v>52</v>
      </c>
      <c r="C62" s="86" t="s">
        <v>53</v>
      </c>
      <c r="D62" s="85" t="s">
        <v>1</v>
      </c>
      <c r="E62" s="144">
        <v>1.9236111111111109</v>
      </c>
      <c r="F62" s="85" t="s">
        <v>49</v>
      </c>
      <c r="G62" s="87">
        <v>9</v>
      </c>
      <c r="H62" s="138">
        <v>379</v>
      </c>
      <c r="I62" s="2"/>
    </row>
    <row r="63" spans="1:9" ht="19.8" customHeight="1" x14ac:dyDescent="0.3">
      <c r="A63" s="139">
        <v>45997</v>
      </c>
      <c r="B63" s="81" t="s">
        <v>47</v>
      </c>
      <c r="C63" s="82" t="s">
        <v>48</v>
      </c>
      <c r="D63" s="81" t="s">
        <v>1</v>
      </c>
      <c r="E63" s="140">
        <v>1.895833333333333</v>
      </c>
      <c r="F63" s="81" t="s">
        <v>49</v>
      </c>
      <c r="G63" s="83">
        <v>9</v>
      </c>
      <c r="H63" s="137">
        <v>379</v>
      </c>
      <c r="I63" s="2"/>
    </row>
    <row r="64" spans="1:9" ht="19.8" customHeight="1" x14ac:dyDescent="0.3">
      <c r="A64" s="139">
        <v>45997</v>
      </c>
      <c r="B64" s="81" t="s">
        <v>58</v>
      </c>
      <c r="C64" s="82" t="s">
        <v>61</v>
      </c>
      <c r="D64" s="81" t="s">
        <v>1</v>
      </c>
      <c r="E64" s="140">
        <v>1.864583333333333</v>
      </c>
      <c r="F64" s="81" t="s">
        <v>85</v>
      </c>
      <c r="G64" s="83">
        <v>8</v>
      </c>
      <c r="H64" s="137">
        <v>411</v>
      </c>
      <c r="I64" s="2"/>
    </row>
    <row r="65" spans="1:9" ht="19.8" customHeight="1" x14ac:dyDescent="0.3">
      <c r="A65" s="139">
        <v>45997</v>
      </c>
      <c r="B65" s="81" t="s">
        <v>58</v>
      </c>
      <c r="C65" s="82" t="s">
        <v>59</v>
      </c>
      <c r="D65" s="81" t="s">
        <v>1</v>
      </c>
      <c r="E65" s="140">
        <v>1.1701388888888891</v>
      </c>
      <c r="F65" s="81" t="s">
        <v>85</v>
      </c>
      <c r="G65" s="83">
        <v>9</v>
      </c>
      <c r="H65" s="137">
        <v>415</v>
      </c>
      <c r="I65" s="2"/>
    </row>
    <row r="66" spans="1:9" ht="19.8" customHeight="1" x14ac:dyDescent="0.3">
      <c r="A66" s="139">
        <v>45997</v>
      </c>
      <c r="B66" s="81" t="s">
        <v>35</v>
      </c>
      <c r="C66" s="82" t="s">
        <v>36</v>
      </c>
      <c r="D66" s="81" t="s">
        <v>1</v>
      </c>
      <c r="E66" s="140">
        <v>1.2013888888888891</v>
      </c>
      <c r="F66" s="81" t="s">
        <v>40</v>
      </c>
      <c r="G66" s="83">
        <v>9</v>
      </c>
      <c r="H66" s="137">
        <v>449</v>
      </c>
      <c r="I66" s="2"/>
    </row>
    <row r="67" spans="1:9" ht="19.8" customHeight="1" x14ac:dyDescent="0.3">
      <c r="A67" s="139">
        <v>45997</v>
      </c>
      <c r="B67" s="81" t="s">
        <v>35</v>
      </c>
      <c r="C67" s="82" t="s">
        <v>43</v>
      </c>
      <c r="D67" s="81" t="s">
        <v>1</v>
      </c>
      <c r="E67" s="140">
        <v>1.836805555555556</v>
      </c>
      <c r="F67" s="81" t="s">
        <v>40</v>
      </c>
      <c r="G67" s="83">
        <v>3</v>
      </c>
      <c r="H67" s="137">
        <v>479</v>
      </c>
      <c r="I67" s="2"/>
    </row>
    <row r="68" spans="1:9" ht="19.8" customHeight="1" x14ac:dyDescent="0.3">
      <c r="A68" s="139">
        <v>45997</v>
      </c>
      <c r="B68" s="81" t="s">
        <v>26</v>
      </c>
      <c r="C68" s="82" t="s">
        <v>27</v>
      </c>
      <c r="D68" s="81" t="s">
        <v>1</v>
      </c>
      <c r="E68" s="140">
        <v>1.305555555555556</v>
      </c>
      <c r="F68" s="81" t="s">
        <v>31</v>
      </c>
      <c r="G68" s="83">
        <v>17</v>
      </c>
      <c r="H68" s="137">
        <v>487</v>
      </c>
      <c r="I68" s="2"/>
    </row>
    <row r="69" spans="1:9" ht="19.8" customHeight="1" x14ac:dyDescent="0.3">
      <c r="A69" s="139">
        <v>45997</v>
      </c>
      <c r="B69" s="81" t="s">
        <v>70</v>
      </c>
      <c r="C69" s="82" t="s">
        <v>71</v>
      </c>
      <c r="D69" s="81" t="s">
        <v>1</v>
      </c>
      <c r="E69" s="140">
        <v>1.9722222222222221</v>
      </c>
      <c r="F69" s="81" t="s">
        <v>74</v>
      </c>
      <c r="G69" s="83">
        <v>9</v>
      </c>
      <c r="H69" s="137">
        <v>496</v>
      </c>
      <c r="I69" s="2"/>
    </row>
    <row r="70" spans="1:9" ht="19.8" customHeight="1" x14ac:dyDescent="0.3">
      <c r="A70" s="139">
        <v>45997</v>
      </c>
      <c r="B70" s="81" t="s">
        <v>35</v>
      </c>
      <c r="C70" s="82" t="s">
        <v>36</v>
      </c>
      <c r="D70" s="81" t="s">
        <v>1</v>
      </c>
      <c r="E70" s="140">
        <v>1.2013888888888891</v>
      </c>
      <c r="F70" s="81" t="s">
        <v>33</v>
      </c>
      <c r="G70" s="83">
        <v>9</v>
      </c>
      <c r="H70" s="137">
        <v>539</v>
      </c>
      <c r="I70" s="2"/>
    </row>
    <row r="71" spans="1:9" ht="19.8" customHeight="1" x14ac:dyDescent="0.3">
      <c r="A71" s="139">
        <v>45997</v>
      </c>
      <c r="B71" s="81" t="s">
        <v>35</v>
      </c>
      <c r="C71" s="82" t="s">
        <v>43</v>
      </c>
      <c r="D71" s="81" t="s">
        <v>1</v>
      </c>
      <c r="E71" s="140">
        <v>1.836805555555556</v>
      </c>
      <c r="F71" s="81" t="s">
        <v>33</v>
      </c>
      <c r="G71" s="83">
        <v>3</v>
      </c>
      <c r="H71" s="137">
        <v>569</v>
      </c>
      <c r="I71" s="2"/>
    </row>
    <row r="72" spans="1:9" ht="19.8" customHeight="1" x14ac:dyDescent="0.3">
      <c r="A72" s="139">
        <v>45997</v>
      </c>
      <c r="B72" s="81" t="s">
        <v>58</v>
      </c>
      <c r="C72" s="82" t="s">
        <v>63</v>
      </c>
      <c r="D72" s="81" t="s">
        <v>1</v>
      </c>
      <c r="E72" s="140">
        <v>1.5277777777777779</v>
      </c>
      <c r="F72" s="81" t="s">
        <v>60</v>
      </c>
      <c r="G72" s="83">
        <v>9</v>
      </c>
      <c r="H72" s="137">
        <v>592</v>
      </c>
      <c r="I72" s="2"/>
    </row>
    <row r="73" spans="1:9" ht="19.8" customHeight="1" x14ac:dyDescent="0.3">
      <c r="A73" s="139">
        <v>45997</v>
      </c>
      <c r="B73" s="81" t="s">
        <v>26</v>
      </c>
      <c r="C73" s="82" t="s">
        <v>27</v>
      </c>
      <c r="D73" s="81" t="s">
        <v>1</v>
      </c>
      <c r="E73" s="140">
        <v>1.305555555555556</v>
      </c>
      <c r="F73" s="81" t="s">
        <v>33</v>
      </c>
      <c r="G73" s="83">
        <v>17</v>
      </c>
      <c r="H73" s="137">
        <v>899</v>
      </c>
      <c r="I73" s="2"/>
    </row>
    <row r="74" spans="1:9" ht="19.8" customHeight="1" x14ac:dyDescent="0.3">
      <c r="A74" s="141">
        <v>45997</v>
      </c>
      <c r="B74" s="89" t="s">
        <v>65</v>
      </c>
      <c r="C74" s="90" t="s">
        <v>66</v>
      </c>
      <c r="D74" s="89" t="s">
        <v>1</v>
      </c>
      <c r="E74" s="142">
        <v>1.305555555555556</v>
      </c>
      <c r="F74" s="89" t="s">
        <v>67</v>
      </c>
      <c r="G74" s="91">
        <v>4</v>
      </c>
      <c r="H74" s="92" t="s">
        <v>120</v>
      </c>
      <c r="I74" s="2"/>
    </row>
    <row r="75" spans="1:9" ht="19.8" customHeight="1" x14ac:dyDescent="0.3">
      <c r="A75" s="139">
        <v>45998</v>
      </c>
      <c r="B75" s="81" t="s">
        <v>26</v>
      </c>
      <c r="C75" s="82" t="s">
        <v>27</v>
      </c>
      <c r="D75" s="81" t="s">
        <v>1</v>
      </c>
      <c r="E75" s="140">
        <v>1.305555555555556</v>
      </c>
      <c r="F75" s="81" t="s">
        <v>28</v>
      </c>
      <c r="G75" s="83">
        <v>9</v>
      </c>
      <c r="H75" s="137">
        <v>309</v>
      </c>
      <c r="I75" s="2"/>
    </row>
    <row r="76" spans="1:9" ht="19.8" customHeight="1" x14ac:dyDescent="0.3">
      <c r="A76" s="139">
        <v>45998</v>
      </c>
      <c r="B76" s="81" t="s">
        <v>35</v>
      </c>
      <c r="C76" s="82" t="s">
        <v>43</v>
      </c>
      <c r="D76" s="81" t="s">
        <v>1</v>
      </c>
      <c r="E76" s="140">
        <v>1.836805555555556</v>
      </c>
      <c r="F76" s="81" t="s">
        <v>37</v>
      </c>
      <c r="G76" s="83">
        <v>6</v>
      </c>
      <c r="H76" s="137">
        <v>349</v>
      </c>
      <c r="I76" s="2"/>
    </row>
    <row r="77" spans="1:9" ht="19.8" customHeight="1" x14ac:dyDescent="0.3">
      <c r="A77" s="139">
        <v>45998</v>
      </c>
      <c r="B77" s="81" t="s">
        <v>76</v>
      </c>
      <c r="C77" s="82" t="s">
        <v>122</v>
      </c>
      <c r="D77" s="81" t="s">
        <v>1</v>
      </c>
      <c r="E77" s="140">
        <v>1.2222222222222221</v>
      </c>
      <c r="F77" s="81" t="s">
        <v>49</v>
      </c>
      <c r="G77" s="83">
        <v>9</v>
      </c>
      <c r="H77" s="137">
        <v>371</v>
      </c>
      <c r="I77" s="2"/>
    </row>
    <row r="78" spans="1:9" ht="19.8" customHeight="1" x14ac:dyDescent="0.3">
      <c r="A78" s="139">
        <v>45998</v>
      </c>
      <c r="B78" s="81" t="s">
        <v>47</v>
      </c>
      <c r="C78" s="82" t="s">
        <v>97</v>
      </c>
      <c r="D78" s="81" t="s">
        <v>1</v>
      </c>
      <c r="E78" s="140">
        <v>1.958333333333333</v>
      </c>
      <c r="F78" s="81" t="s">
        <v>49</v>
      </c>
      <c r="G78" s="83">
        <v>9</v>
      </c>
      <c r="H78" s="137">
        <v>379</v>
      </c>
      <c r="I78" s="2"/>
    </row>
    <row r="79" spans="1:9" ht="19.8" customHeight="1" x14ac:dyDescent="0.3">
      <c r="A79" s="139">
        <v>45998</v>
      </c>
      <c r="B79" s="81" t="s">
        <v>58</v>
      </c>
      <c r="C79" s="82" t="s">
        <v>61</v>
      </c>
      <c r="D79" s="81" t="s">
        <v>1</v>
      </c>
      <c r="E79" s="140">
        <v>1.864583333333333</v>
      </c>
      <c r="F79" s="81" t="s">
        <v>85</v>
      </c>
      <c r="G79" s="83">
        <v>9</v>
      </c>
      <c r="H79" s="137">
        <v>411</v>
      </c>
      <c r="I79" s="2"/>
    </row>
    <row r="80" spans="1:9" ht="19.8" customHeight="1" x14ac:dyDescent="0.3">
      <c r="A80" s="139">
        <v>45998</v>
      </c>
      <c r="B80" s="81" t="s">
        <v>58</v>
      </c>
      <c r="C80" s="82" t="s">
        <v>63</v>
      </c>
      <c r="D80" s="81" t="s">
        <v>1</v>
      </c>
      <c r="E80" s="140">
        <v>1.5138888888888891</v>
      </c>
      <c r="F80" s="81" t="s">
        <v>85</v>
      </c>
      <c r="G80" s="83">
        <v>7</v>
      </c>
      <c r="H80" s="137">
        <v>411</v>
      </c>
      <c r="I80" s="2"/>
    </row>
    <row r="81" spans="1:9" ht="19.8" customHeight="1" x14ac:dyDescent="0.3">
      <c r="A81" s="139">
        <v>45998</v>
      </c>
      <c r="B81" s="81" t="s">
        <v>58</v>
      </c>
      <c r="C81" s="82" t="s">
        <v>59</v>
      </c>
      <c r="D81" s="81" t="s">
        <v>1</v>
      </c>
      <c r="E81" s="140">
        <v>1.1701388888888891</v>
      </c>
      <c r="F81" s="81" t="s">
        <v>85</v>
      </c>
      <c r="G81" s="83">
        <v>9</v>
      </c>
      <c r="H81" s="137">
        <v>411</v>
      </c>
      <c r="I81" s="2"/>
    </row>
    <row r="82" spans="1:9" ht="19.8" customHeight="1" x14ac:dyDescent="0.3">
      <c r="A82" s="139">
        <v>45998</v>
      </c>
      <c r="B82" s="81" t="s">
        <v>35</v>
      </c>
      <c r="C82" s="82" t="s">
        <v>43</v>
      </c>
      <c r="D82" s="81" t="s">
        <v>1</v>
      </c>
      <c r="E82" s="140">
        <v>1.836805555555556</v>
      </c>
      <c r="F82" s="81" t="s">
        <v>40</v>
      </c>
      <c r="G82" s="83">
        <v>6</v>
      </c>
      <c r="H82" s="137">
        <v>449</v>
      </c>
      <c r="I82" s="2"/>
    </row>
    <row r="83" spans="1:9" ht="19.8" customHeight="1" x14ac:dyDescent="0.3">
      <c r="A83" s="139">
        <v>45998</v>
      </c>
      <c r="B83" s="81" t="s">
        <v>26</v>
      </c>
      <c r="C83" s="82" t="s">
        <v>27</v>
      </c>
      <c r="D83" s="81" t="s">
        <v>1</v>
      </c>
      <c r="E83" s="140">
        <v>1.305555555555556</v>
      </c>
      <c r="F83" s="81" t="s">
        <v>31</v>
      </c>
      <c r="G83" s="83">
        <v>9</v>
      </c>
      <c r="H83" s="137">
        <v>487</v>
      </c>
      <c r="I83" s="2"/>
    </row>
    <row r="84" spans="1:9" ht="19.8" customHeight="1" x14ac:dyDescent="0.3">
      <c r="A84" s="139">
        <v>45998</v>
      </c>
      <c r="B84" s="81" t="s">
        <v>35</v>
      </c>
      <c r="C84" s="82" t="s">
        <v>43</v>
      </c>
      <c r="D84" s="81" t="s">
        <v>1</v>
      </c>
      <c r="E84" s="140">
        <v>1.836805555555556</v>
      </c>
      <c r="F84" s="81" t="s">
        <v>33</v>
      </c>
      <c r="G84" s="83">
        <v>6</v>
      </c>
      <c r="H84" s="137">
        <v>539</v>
      </c>
      <c r="I84" s="2"/>
    </row>
    <row r="85" spans="1:9" ht="19.8" customHeight="1" x14ac:dyDescent="0.3">
      <c r="A85" s="139">
        <v>45998</v>
      </c>
      <c r="B85" s="81" t="s">
        <v>65</v>
      </c>
      <c r="C85" s="82" t="s">
        <v>66</v>
      </c>
      <c r="D85" s="81" t="s">
        <v>1</v>
      </c>
      <c r="E85" s="140">
        <v>1.305555555555556</v>
      </c>
      <c r="F85" s="81" t="s">
        <v>67</v>
      </c>
      <c r="G85" s="83">
        <v>4</v>
      </c>
      <c r="H85" s="88" t="s">
        <v>120</v>
      </c>
      <c r="I85" s="2"/>
    </row>
    <row r="86" spans="1:9" ht="19.8" customHeight="1" x14ac:dyDescent="0.3">
      <c r="A86" s="141">
        <v>45998</v>
      </c>
      <c r="B86" s="89" t="s">
        <v>26</v>
      </c>
      <c r="C86" s="90" t="s">
        <v>27</v>
      </c>
      <c r="D86" s="89" t="s">
        <v>1</v>
      </c>
      <c r="E86" s="142">
        <v>1.305555555555556</v>
      </c>
      <c r="F86" s="89" t="s">
        <v>33</v>
      </c>
      <c r="G86" s="91">
        <v>9</v>
      </c>
      <c r="H86" s="92" t="s">
        <v>121</v>
      </c>
      <c r="I86" s="2"/>
    </row>
    <row r="87" spans="1:9" ht="19.8" customHeight="1" x14ac:dyDescent="0.3">
      <c r="A87" s="139">
        <v>45999</v>
      </c>
      <c r="B87" s="81" t="s">
        <v>26</v>
      </c>
      <c r="C87" s="82" t="s">
        <v>27</v>
      </c>
      <c r="D87" s="81" t="s">
        <v>1</v>
      </c>
      <c r="E87" s="140">
        <v>1.305555555555556</v>
      </c>
      <c r="F87" s="81" t="s">
        <v>28</v>
      </c>
      <c r="G87" s="83">
        <v>16</v>
      </c>
      <c r="H87" s="137">
        <v>309</v>
      </c>
      <c r="I87" s="2"/>
    </row>
    <row r="88" spans="1:9" ht="19.8" customHeight="1" x14ac:dyDescent="0.3">
      <c r="A88" s="139">
        <v>45999</v>
      </c>
      <c r="B88" s="81" t="s">
        <v>35</v>
      </c>
      <c r="C88" s="82" t="s">
        <v>36</v>
      </c>
      <c r="D88" s="81" t="s">
        <v>1</v>
      </c>
      <c r="E88" s="140">
        <v>1.2013888888888891</v>
      </c>
      <c r="F88" s="81" t="s">
        <v>37</v>
      </c>
      <c r="G88" s="83">
        <v>9</v>
      </c>
      <c r="H88" s="137">
        <v>349</v>
      </c>
      <c r="I88" s="2"/>
    </row>
    <row r="89" spans="1:9" ht="19.8" customHeight="1" x14ac:dyDescent="0.3">
      <c r="A89" s="139">
        <v>45999</v>
      </c>
      <c r="B89" s="81" t="s">
        <v>35</v>
      </c>
      <c r="C89" s="82" t="s">
        <v>43</v>
      </c>
      <c r="D89" s="81" t="s">
        <v>1</v>
      </c>
      <c r="E89" s="140">
        <v>1.836805555555556</v>
      </c>
      <c r="F89" s="81" t="s">
        <v>37</v>
      </c>
      <c r="G89" s="83">
        <v>5</v>
      </c>
      <c r="H89" s="137">
        <v>379</v>
      </c>
      <c r="I89" s="2"/>
    </row>
    <row r="90" spans="1:9" ht="19.8" customHeight="1" x14ac:dyDescent="0.3">
      <c r="A90" s="139">
        <v>45999</v>
      </c>
      <c r="B90" s="81" t="s">
        <v>47</v>
      </c>
      <c r="C90" s="82" t="s">
        <v>79</v>
      </c>
      <c r="D90" s="81" t="s">
        <v>1</v>
      </c>
      <c r="E90" s="140">
        <v>1.958333333333333</v>
      </c>
      <c r="F90" s="81" t="s">
        <v>49</v>
      </c>
      <c r="G90" s="83">
        <v>9</v>
      </c>
      <c r="H90" s="137">
        <v>379</v>
      </c>
      <c r="I90" s="2"/>
    </row>
    <row r="91" spans="1:9" ht="19.8" customHeight="1" x14ac:dyDescent="0.3">
      <c r="A91" s="139">
        <v>45999</v>
      </c>
      <c r="B91" s="81" t="s">
        <v>58</v>
      </c>
      <c r="C91" s="82" t="s">
        <v>61</v>
      </c>
      <c r="D91" s="81" t="s">
        <v>1</v>
      </c>
      <c r="E91" s="140">
        <v>1.864583333333333</v>
      </c>
      <c r="F91" s="81" t="s">
        <v>85</v>
      </c>
      <c r="G91" s="83">
        <v>6</v>
      </c>
      <c r="H91" s="137">
        <v>411</v>
      </c>
      <c r="I91" s="2"/>
    </row>
    <row r="92" spans="1:9" ht="19.8" customHeight="1" x14ac:dyDescent="0.3">
      <c r="A92" s="139">
        <v>45999</v>
      </c>
      <c r="B92" s="81" t="s">
        <v>58</v>
      </c>
      <c r="C92" s="82" t="s">
        <v>59</v>
      </c>
      <c r="D92" s="81" t="s">
        <v>1</v>
      </c>
      <c r="E92" s="140">
        <v>1.1701388888888891</v>
      </c>
      <c r="F92" s="81" t="s">
        <v>85</v>
      </c>
      <c r="G92" s="83">
        <v>9</v>
      </c>
      <c r="H92" s="137">
        <v>411</v>
      </c>
      <c r="I92" s="2"/>
    </row>
    <row r="93" spans="1:9" ht="19.8" customHeight="1" x14ac:dyDescent="0.3">
      <c r="A93" s="139">
        <v>45999</v>
      </c>
      <c r="B93" s="81" t="s">
        <v>58</v>
      </c>
      <c r="C93" s="82" t="s">
        <v>63</v>
      </c>
      <c r="D93" s="81" t="s">
        <v>1</v>
      </c>
      <c r="E93" s="140">
        <v>1.5277777777777779</v>
      </c>
      <c r="F93" s="81" t="s">
        <v>124</v>
      </c>
      <c r="G93" s="83">
        <v>9</v>
      </c>
      <c r="H93" s="137">
        <v>437</v>
      </c>
      <c r="I93" s="2"/>
    </row>
    <row r="94" spans="1:9" ht="19.8" customHeight="1" x14ac:dyDescent="0.3">
      <c r="A94" s="139">
        <v>45999</v>
      </c>
      <c r="B94" s="81" t="s">
        <v>35</v>
      </c>
      <c r="C94" s="82" t="s">
        <v>36</v>
      </c>
      <c r="D94" s="81" t="s">
        <v>1</v>
      </c>
      <c r="E94" s="140">
        <v>1.2013888888888891</v>
      </c>
      <c r="F94" s="81" t="s">
        <v>40</v>
      </c>
      <c r="G94" s="83">
        <v>9</v>
      </c>
      <c r="H94" s="137">
        <v>449</v>
      </c>
      <c r="I94" s="2"/>
    </row>
    <row r="95" spans="1:9" ht="19.8" customHeight="1" x14ac:dyDescent="0.3">
      <c r="A95" s="139">
        <v>45999</v>
      </c>
      <c r="B95" s="81" t="s">
        <v>35</v>
      </c>
      <c r="C95" s="82" t="s">
        <v>43</v>
      </c>
      <c r="D95" s="81" t="s">
        <v>1</v>
      </c>
      <c r="E95" s="140">
        <v>1.836805555555556</v>
      </c>
      <c r="F95" s="81" t="s">
        <v>40</v>
      </c>
      <c r="G95" s="83">
        <v>5</v>
      </c>
      <c r="H95" s="137">
        <v>479</v>
      </c>
      <c r="I95" s="2"/>
    </row>
    <row r="96" spans="1:9" ht="19.8" customHeight="1" x14ac:dyDescent="0.3">
      <c r="A96" s="139">
        <v>45999</v>
      </c>
      <c r="B96" s="81" t="s">
        <v>26</v>
      </c>
      <c r="C96" s="82" t="s">
        <v>27</v>
      </c>
      <c r="D96" s="81" t="s">
        <v>1</v>
      </c>
      <c r="E96" s="140">
        <v>1.305555555555556</v>
      </c>
      <c r="F96" s="81" t="s">
        <v>31</v>
      </c>
      <c r="G96" s="83">
        <v>16</v>
      </c>
      <c r="H96" s="137">
        <v>487</v>
      </c>
      <c r="I96" s="2"/>
    </row>
    <row r="97" spans="1:9" ht="19.8" customHeight="1" x14ac:dyDescent="0.3">
      <c r="A97" s="139">
        <v>45999</v>
      </c>
      <c r="B97" s="81" t="s">
        <v>35</v>
      </c>
      <c r="C97" s="82" t="s">
        <v>36</v>
      </c>
      <c r="D97" s="81" t="s">
        <v>1</v>
      </c>
      <c r="E97" s="140">
        <v>1.2013888888888891</v>
      </c>
      <c r="F97" s="81" t="s">
        <v>33</v>
      </c>
      <c r="G97" s="83">
        <v>9</v>
      </c>
      <c r="H97" s="137">
        <v>539</v>
      </c>
      <c r="I97" s="2"/>
    </row>
    <row r="98" spans="1:9" ht="19.8" customHeight="1" x14ac:dyDescent="0.3">
      <c r="A98" s="139">
        <v>45999</v>
      </c>
      <c r="B98" s="81" t="s">
        <v>35</v>
      </c>
      <c r="C98" s="82" t="s">
        <v>43</v>
      </c>
      <c r="D98" s="81" t="s">
        <v>1</v>
      </c>
      <c r="E98" s="140">
        <v>1.836805555555556</v>
      </c>
      <c r="F98" s="81" t="s">
        <v>33</v>
      </c>
      <c r="G98" s="83">
        <v>5</v>
      </c>
      <c r="H98" s="137">
        <v>569</v>
      </c>
      <c r="I98" s="2"/>
    </row>
    <row r="99" spans="1:9" ht="19.8" customHeight="1" x14ac:dyDescent="0.3">
      <c r="A99" s="139">
        <v>45999</v>
      </c>
      <c r="B99" s="81" t="s">
        <v>26</v>
      </c>
      <c r="C99" s="82" t="s">
        <v>27</v>
      </c>
      <c r="D99" s="81" t="s">
        <v>1</v>
      </c>
      <c r="E99" s="140">
        <v>1.305555555555556</v>
      </c>
      <c r="F99" s="81" t="s">
        <v>33</v>
      </c>
      <c r="G99" s="83">
        <v>16</v>
      </c>
      <c r="H99" s="137">
        <v>899</v>
      </c>
      <c r="I99" s="2"/>
    </row>
    <row r="100" spans="1:9" ht="19.8" customHeight="1" x14ac:dyDescent="0.3">
      <c r="A100" s="141">
        <v>45999</v>
      </c>
      <c r="B100" s="89" t="s">
        <v>65</v>
      </c>
      <c r="C100" s="90" t="s">
        <v>66</v>
      </c>
      <c r="D100" s="89" t="s">
        <v>1</v>
      </c>
      <c r="E100" s="142">
        <v>1.305555555555556</v>
      </c>
      <c r="F100" s="89" t="s">
        <v>67</v>
      </c>
      <c r="G100" s="91">
        <v>4</v>
      </c>
      <c r="H100" s="92" t="s">
        <v>120</v>
      </c>
      <c r="I100" s="2"/>
    </row>
    <row r="101" spans="1:9" ht="19.8" customHeight="1" x14ac:dyDescent="0.3">
      <c r="A101" s="139">
        <v>46000</v>
      </c>
      <c r="B101" s="81" t="s">
        <v>26</v>
      </c>
      <c r="C101" s="82" t="s">
        <v>27</v>
      </c>
      <c r="D101" s="81" t="s">
        <v>1</v>
      </c>
      <c r="E101" s="140">
        <v>1.305555555555556</v>
      </c>
      <c r="F101" s="81" t="s">
        <v>28</v>
      </c>
      <c r="G101" s="83">
        <v>13</v>
      </c>
      <c r="H101" s="137">
        <v>309</v>
      </c>
      <c r="I101" s="2"/>
    </row>
    <row r="102" spans="1:9" ht="19.8" customHeight="1" x14ac:dyDescent="0.3">
      <c r="A102" s="139">
        <v>46000</v>
      </c>
      <c r="B102" s="81" t="s">
        <v>35</v>
      </c>
      <c r="C102" s="82" t="s">
        <v>36</v>
      </c>
      <c r="D102" s="81" t="s">
        <v>1</v>
      </c>
      <c r="E102" s="140">
        <v>1.2013888888888891</v>
      </c>
      <c r="F102" s="81" t="s">
        <v>37</v>
      </c>
      <c r="G102" s="83">
        <v>9</v>
      </c>
      <c r="H102" s="137">
        <v>349</v>
      </c>
      <c r="I102" s="2"/>
    </row>
    <row r="103" spans="1:9" ht="19.8" customHeight="1" x14ac:dyDescent="0.3">
      <c r="A103" s="139">
        <v>46000</v>
      </c>
      <c r="B103" s="81" t="s">
        <v>35</v>
      </c>
      <c r="C103" s="82" t="s">
        <v>43</v>
      </c>
      <c r="D103" s="81" t="s">
        <v>1</v>
      </c>
      <c r="E103" s="140">
        <v>1.836805555555556</v>
      </c>
      <c r="F103" s="81" t="s">
        <v>37</v>
      </c>
      <c r="G103" s="83">
        <v>7</v>
      </c>
      <c r="H103" s="137">
        <v>379</v>
      </c>
      <c r="I103" s="2"/>
    </row>
    <row r="104" spans="1:9" ht="19.8" customHeight="1" x14ac:dyDescent="0.3">
      <c r="A104" s="143">
        <v>46000</v>
      </c>
      <c r="B104" s="85" t="s">
        <v>52</v>
      </c>
      <c r="C104" s="86" t="s">
        <v>53</v>
      </c>
      <c r="D104" s="85" t="s">
        <v>1</v>
      </c>
      <c r="E104" s="144">
        <v>1.270833333333333</v>
      </c>
      <c r="F104" s="85" t="s">
        <v>49</v>
      </c>
      <c r="G104" s="87">
        <v>9</v>
      </c>
      <c r="H104" s="138">
        <v>379</v>
      </c>
      <c r="I104" s="2"/>
    </row>
    <row r="105" spans="1:9" ht="19.8" customHeight="1" x14ac:dyDescent="0.3">
      <c r="A105" s="139">
        <v>46000</v>
      </c>
      <c r="B105" s="81" t="s">
        <v>47</v>
      </c>
      <c r="C105" s="82" t="s">
        <v>48</v>
      </c>
      <c r="D105" s="81" t="s">
        <v>1</v>
      </c>
      <c r="E105" s="140">
        <v>1.958333333333333</v>
      </c>
      <c r="F105" s="81" t="s">
        <v>49</v>
      </c>
      <c r="G105" s="83">
        <v>9</v>
      </c>
      <c r="H105" s="137">
        <v>379</v>
      </c>
      <c r="I105" s="2"/>
    </row>
    <row r="106" spans="1:9" ht="19.8" customHeight="1" x14ac:dyDescent="0.3">
      <c r="A106" s="139">
        <v>46000</v>
      </c>
      <c r="B106" s="81" t="s">
        <v>58</v>
      </c>
      <c r="C106" s="82" t="s">
        <v>61</v>
      </c>
      <c r="D106" s="81" t="s">
        <v>1</v>
      </c>
      <c r="E106" s="140">
        <v>1.864583333333333</v>
      </c>
      <c r="F106" s="81" t="s">
        <v>85</v>
      </c>
      <c r="G106" s="83">
        <v>7</v>
      </c>
      <c r="H106" s="137">
        <v>411</v>
      </c>
      <c r="I106" s="2"/>
    </row>
    <row r="107" spans="1:9" ht="19.8" customHeight="1" x14ac:dyDescent="0.3">
      <c r="A107" s="139">
        <v>46000</v>
      </c>
      <c r="B107" s="81" t="s">
        <v>58</v>
      </c>
      <c r="C107" s="82" t="s">
        <v>59</v>
      </c>
      <c r="D107" s="81" t="s">
        <v>1</v>
      </c>
      <c r="E107" s="140">
        <v>1.1701388888888891</v>
      </c>
      <c r="F107" s="81" t="s">
        <v>85</v>
      </c>
      <c r="G107" s="83">
        <v>8</v>
      </c>
      <c r="H107" s="137">
        <v>411</v>
      </c>
      <c r="I107" s="2"/>
    </row>
    <row r="108" spans="1:9" ht="19.8" customHeight="1" x14ac:dyDescent="0.3">
      <c r="A108" s="139">
        <v>46000</v>
      </c>
      <c r="B108" s="81" t="s">
        <v>35</v>
      </c>
      <c r="C108" s="82" t="s">
        <v>36</v>
      </c>
      <c r="D108" s="81" t="s">
        <v>1</v>
      </c>
      <c r="E108" s="140">
        <v>1.2013888888888891</v>
      </c>
      <c r="F108" s="81" t="s">
        <v>40</v>
      </c>
      <c r="G108" s="83">
        <v>9</v>
      </c>
      <c r="H108" s="137">
        <v>449</v>
      </c>
      <c r="I108" s="2"/>
    </row>
    <row r="109" spans="1:9" ht="19.8" customHeight="1" x14ac:dyDescent="0.3">
      <c r="A109" s="139">
        <v>46000</v>
      </c>
      <c r="B109" s="81" t="s">
        <v>35</v>
      </c>
      <c r="C109" s="82" t="s">
        <v>43</v>
      </c>
      <c r="D109" s="81" t="s">
        <v>1</v>
      </c>
      <c r="E109" s="140">
        <v>1.836805555555556</v>
      </c>
      <c r="F109" s="81" t="s">
        <v>40</v>
      </c>
      <c r="G109" s="83">
        <v>7</v>
      </c>
      <c r="H109" s="137">
        <v>479</v>
      </c>
      <c r="I109" s="2"/>
    </row>
    <row r="110" spans="1:9" ht="19.8" customHeight="1" x14ac:dyDescent="0.3">
      <c r="A110" s="139">
        <v>46000</v>
      </c>
      <c r="B110" s="81" t="s">
        <v>26</v>
      </c>
      <c r="C110" s="82" t="s">
        <v>27</v>
      </c>
      <c r="D110" s="81" t="s">
        <v>1</v>
      </c>
      <c r="E110" s="140">
        <v>1.305555555555556</v>
      </c>
      <c r="F110" s="81" t="s">
        <v>31</v>
      </c>
      <c r="G110" s="83">
        <v>13</v>
      </c>
      <c r="H110" s="137">
        <v>487</v>
      </c>
      <c r="I110" s="2"/>
    </row>
    <row r="111" spans="1:9" ht="19.8" customHeight="1" x14ac:dyDescent="0.3">
      <c r="A111" s="139">
        <v>46000</v>
      </c>
      <c r="B111" s="81" t="s">
        <v>35</v>
      </c>
      <c r="C111" s="82" t="s">
        <v>36</v>
      </c>
      <c r="D111" s="81" t="s">
        <v>1</v>
      </c>
      <c r="E111" s="140">
        <v>1.2013888888888891</v>
      </c>
      <c r="F111" s="81" t="s">
        <v>33</v>
      </c>
      <c r="G111" s="83">
        <v>9</v>
      </c>
      <c r="H111" s="137">
        <v>539</v>
      </c>
      <c r="I111" s="2"/>
    </row>
    <row r="112" spans="1:9" ht="19.8" customHeight="1" x14ac:dyDescent="0.3">
      <c r="A112" s="139">
        <v>46000</v>
      </c>
      <c r="B112" s="81" t="s">
        <v>58</v>
      </c>
      <c r="C112" s="82" t="s">
        <v>63</v>
      </c>
      <c r="D112" s="81" t="s">
        <v>1</v>
      </c>
      <c r="E112" s="140">
        <v>1.5277777777777779</v>
      </c>
      <c r="F112" s="81" t="s">
        <v>60</v>
      </c>
      <c r="G112" s="83">
        <v>9</v>
      </c>
      <c r="H112" s="137">
        <v>547</v>
      </c>
      <c r="I112" s="2"/>
    </row>
    <row r="113" spans="1:9" ht="19.8" customHeight="1" x14ac:dyDescent="0.3">
      <c r="A113" s="139">
        <v>46000</v>
      </c>
      <c r="B113" s="81" t="s">
        <v>35</v>
      </c>
      <c r="C113" s="82" t="s">
        <v>43</v>
      </c>
      <c r="D113" s="81" t="s">
        <v>1</v>
      </c>
      <c r="E113" s="140">
        <v>1.836805555555556</v>
      </c>
      <c r="F113" s="81" t="s">
        <v>33</v>
      </c>
      <c r="G113" s="83">
        <v>7</v>
      </c>
      <c r="H113" s="137">
        <v>569</v>
      </c>
      <c r="I113" s="2"/>
    </row>
    <row r="114" spans="1:9" ht="19.8" customHeight="1" x14ac:dyDescent="0.3">
      <c r="A114" s="139">
        <v>46000</v>
      </c>
      <c r="B114" s="81" t="s">
        <v>26</v>
      </c>
      <c r="C114" s="82" t="s">
        <v>27</v>
      </c>
      <c r="D114" s="81" t="s">
        <v>1</v>
      </c>
      <c r="E114" s="140">
        <v>1.305555555555556</v>
      </c>
      <c r="F114" s="81" t="s">
        <v>33</v>
      </c>
      <c r="G114" s="83">
        <v>13</v>
      </c>
      <c r="H114" s="137">
        <v>899</v>
      </c>
      <c r="I114" s="2"/>
    </row>
    <row r="115" spans="1:9" ht="19.8" customHeight="1" x14ac:dyDescent="0.3">
      <c r="A115" s="141">
        <v>46000</v>
      </c>
      <c r="B115" s="89" t="s">
        <v>65</v>
      </c>
      <c r="C115" s="90" t="s">
        <v>66</v>
      </c>
      <c r="D115" s="89" t="s">
        <v>1</v>
      </c>
      <c r="E115" s="142">
        <v>1.305555555555556</v>
      </c>
      <c r="F115" s="89" t="s">
        <v>67</v>
      </c>
      <c r="G115" s="91">
        <v>4</v>
      </c>
      <c r="H115" s="92" t="s">
        <v>120</v>
      </c>
      <c r="I115" s="2"/>
    </row>
    <row r="116" spans="1:9" ht="19.8" customHeight="1" x14ac:dyDescent="0.3">
      <c r="A116" s="139">
        <v>46001</v>
      </c>
      <c r="B116" s="81" t="s">
        <v>70</v>
      </c>
      <c r="C116" s="82" t="s">
        <v>71</v>
      </c>
      <c r="D116" s="81" t="s">
        <v>1</v>
      </c>
      <c r="E116" s="140">
        <v>1.9722222222222221</v>
      </c>
      <c r="F116" s="81" t="s">
        <v>72</v>
      </c>
      <c r="G116" s="83">
        <v>9</v>
      </c>
      <c r="H116" s="137">
        <v>367</v>
      </c>
      <c r="I116" s="2"/>
    </row>
    <row r="117" spans="1:9" ht="19.8" customHeight="1" x14ac:dyDescent="0.3">
      <c r="A117" s="139">
        <v>46001</v>
      </c>
      <c r="B117" s="81" t="s">
        <v>76</v>
      </c>
      <c r="C117" s="82" t="s">
        <v>77</v>
      </c>
      <c r="D117" s="81" t="s">
        <v>1</v>
      </c>
      <c r="E117" s="140">
        <v>1.0902777777777779</v>
      </c>
      <c r="F117" s="81" t="s">
        <v>49</v>
      </c>
      <c r="G117" s="83">
        <v>9</v>
      </c>
      <c r="H117" s="137">
        <v>371</v>
      </c>
      <c r="I117" s="2"/>
    </row>
    <row r="118" spans="1:9" ht="19.8" customHeight="1" x14ac:dyDescent="0.3">
      <c r="A118" s="139">
        <v>46001</v>
      </c>
      <c r="B118" s="81" t="s">
        <v>26</v>
      </c>
      <c r="C118" s="82" t="s">
        <v>27</v>
      </c>
      <c r="D118" s="81" t="s">
        <v>1</v>
      </c>
      <c r="E118" s="140">
        <v>1.305555555555556</v>
      </c>
      <c r="F118" s="81" t="s">
        <v>28</v>
      </c>
      <c r="G118" s="83">
        <v>1</v>
      </c>
      <c r="H118" s="137">
        <v>399</v>
      </c>
      <c r="I118" s="2"/>
    </row>
    <row r="119" spans="1:9" ht="19.8" customHeight="1" x14ac:dyDescent="0.3">
      <c r="A119" s="139">
        <v>46001</v>
      </c>
      <c r="B119" s="81" t="s">
        <v>58</v>
      </c>
      <c r="C119" s="82" t="s">
        <v>59</v>
      </c>
      <c r="D119" s="81" t="s">
        <v>1</v>
      </c>
      <c r="E119" s="140">
        <v>1.1701388888888891</v>
      </c>
      <c r="F119" s="81" t="s">
        <v>85</v>
      </c>
      <c r="G119" s="83">
        <v>5</v>
      </c>
      <c r="H119" s="137">
        <v>411</v>
      </c>
      <c r="I119" s="2"/>
    </row>
    <row r="120" spans="1:9" ht="19.8" customHeight="1" x14ac:dyDescent="0.3">
      <c r="A120" s="139">
        <v>46001</v>
      </c>
      <c r="B120" s="81" t="s">
        <v>70</v>
      </c>
      <c r="C120" s="82" t="s">
        <v>71</v>
      </c>
      <c r="D120" s="81" t="s">
        <v>1</v>
      </c>
      <c r="E120" s="140">
        <v>1.9722222222222221</v>
      </c>
      <c r="F120" s="81" t="s">
        <v>74</v>
      </c>
      <c r="G120" s="83">
        <v>9</v>
      </c>
      <c r="H120" s="137">
        <v>491</v>
      </c>
      <c r="I120" s="2"/>
    </row>
    <row r="121" spans="1:9" ht="19.8" customHeight="1" x14ac:dyDescent="0.3">
      <c r="A121" s="139">
        <v>46001</v>
      </c>
      <c r="B121" s="81" t="s">
        <v>47</v>
      </c>
      <c r="C121" s="82" t="s">
        <v>79</v>
      </c>
      <c r="D121" s="81" t="s">
        <v>1</v>
      </c>
      <c r="E121" s="140">
        <v>1.895833333333333</v>
      </c>
      <c r="F121" s="81" t="s">
        <v>49</v>
      </c>
      <c r="G121" s="83">
        <v>9</v>
      </c>
      <c r="H121" s="137">
        <v>563</v>
      </c>
      <c r="I121" s="2"/>
    </row>
    <row r="122" spans="1:9" ht="19.8" customHeight="1" x14ac:dyDescent="0.3">
      <c r="A122" s="139">
        <v>46001</v>
      </c>
      <c r="B122" s="81" t="s">
        <v>26</v>
      </c>
      <c r="C122" s="82" t="s">
        <v>27</v>
      </c>
      <c r="D122" s="81" t="s">
        <v>1</v>
      </c>
      <c r="E122" s="140">
        <v>1.305555555555556</v>
      </c>
      <c r="F122" s="81" t="s">
        <v>31</v>
      </c>
      <c r="G122" s="83">
        <v>1</v>
      </c>
      <c r="H122" s="137">
        <v>577</v>
      </c>
      <c r="I122" s="2"/>
    </row>
    <row r="123" spans="1:9" ht="19.8" customHeight="1" x14ac:dyDescent="0.3">
      <c r="A123" s="139">
        <v>46001</v>
      </c>
      <c r="B123" s="81" t="s">
        <v>35</v>
      </c>
      <c r="C123" s="82" t="s">
        <v>43</v>
      </c>
      <c r="D123" s="81" t="s">
        <v>1</v>
      </c>
      <c r="E123" s="140">
        <v>1.836805555555556</v>
      </c>
      <c r="F123" s="81" t="s">
        <v>37</v>
      </c>
      <c r="G123" s="83">
        <v>1</v>
      </c>
      <c r="H123" s="137">
        <v>579</v>
      </c>
      <c r="I123" s="2"/>
    </row>
    <row r="124" spans="1:9" ht="19.8" customHeight="1" x14ac:dyDescent="0.3">
      <c r="A124" s="139">
        <v>46001</v>
      </c>
      <c r="B124" s="81" t="s">
        <v>58</v>
      </c>
      <c r="C124" s="82" t="s">
        <v>61</v>
      </c>
      <c r="D124" s="81" t="s">
        <v>1</v>
      </c>
      <c r="E124" s="140">
        <v>1.864583333333333</v>
      </c>
      <c r="F124" s="81" t="s">
        <v>60</v>
      </c>
      <c r="G124" s="83">
        <v>9</v>
      </c>
      <c r="H124" s="137">
        <v>637</v>
      </c>
      <c r="I124" s="2"/>
    </row>
    <row r="125" spans="1:9" ht="19.8" customHeight="1" x14ac:dyDescent="0.3">
      <c r="A125" s="139">
        <v>46001</v>
      </c>
      <c r="B125" s="81" t="s">
        <v>58</v>
      </c>
      <c r="C125" s="82" t="s">
        <v>63</v>
      </c>
      <c r="D125" s="81" t="s">
        <v>1</v>
      </c>
      <c r="E125" s="140">
        <v>1.5277777777777779</v>
      </c>
      <c r="F125" s="81" t="s">
        <v>60</v>
      </c>
      <c r="G125" s="83">
        <v>9</v>
      </c>
      <c r="H125" s="137">
        <v>637</v>
      </c>
      <c r="I125" s="2"/>
    </row>
    <row r="126" spans="1:9" ht="19.8" customHeight="1" x14ac:dyDescent="0.3">
      <c r="A126" s="139">
        <v>46001</v>
      </c>
      <c r="B126" s="81" t="s">
        <v>35</v>
      </c>
      <c r="C126" s="82" t="s">
        <v>43</v>
      </c>
      <c r="D126" s="81" t="s">
        <v>1</v>
      </c>
      <c r="E126" s="140">
        <v>1.836805555555556</v>
      </c>
      <c r="F126" s="81" t="s">
        <v>40</v>
      </c>
      <c r="G126" s="83">
        <v>1</v>
      </c>
      <c r="H126" s="137">
        <v>679</v>
      </c>
      <c r="I126" s="2"/>
    </row>
    <row r="127" spans="1:9" ht="19.8" customHeight="1" x14ac:dyDescent="0.3">
      <c r="A127" s="139">
        <v>46001</v>
      </c>
      <c r="B127" s="81" t="s">
        <v>35</v>
      </c>
      <c r="C127" s="82" t="s">
        <v>43</v>
      </c>
      <c r="D127" s="81" t="s">
        <v>1</v>
      </c>
      <c r="E127" s="140">
        <v>1.836805555555556</v>
      </c>
      <c r="F127" s="81" t="s">
        <v>33</v>
      </c>
      <c r="G127" s="83">
        <v>1</v>
      </c>
      <c r="H127" s="137">
        <v>769</v>
      </c>
      <c r="I127" s="2"/>
    </row>
    <row r="128" spans="1:9" ht="19.8" customHeight="1" x14ac:dyDescent="0.3">
      <c r="A128" s="139">
        <v>46001</v>
      </c>
      <c r="B128" s="81" t="s">
        <v>26</v>
      </c>
      <c r="C128" s="82" t="s">
        <v>27</v>
      </c>
      <c r="D128" s="81" t="s">
        <v>1</v>
      </c>
      <c r="E128" s="140">
        <v>1.305555555555556</v>
      </c>
      <c r="F128" s="81" t="s">
        <v>33</v>
      </c>
      <c r="G128" s="83">
        <v>1</v>
      </c>
      <c r="H128" s="137">
        <v>899</v>
      </c>
      <c r="I128" s="2"/>
    </row>
    <row r="129" spans="1:9" ht="19.8" customHeight="1" x14ac:dyDescent="0.3">
      <c r="A129" s="141">
        <v>46001</v>
      </c>
      <c r="B129" s="89" t="s">
        <v>65</v>
      </c>
      <c r="C129" s="90" t="s">
        <v>66</v>
      </c>
      <c r="D129" s="89" t="s">
        <v>1</v>
      </c>
      <c r="E129" s="142">
        <v>1.305555555555556</v>
      </c>
      <c r="F129" s="89" t="s">
        <v>67</v>
      </c>
      <c r="G129" s="91">
        <v>4</v>
      </c>
      <c r="H129" s="92" t="s">
        <v>136</v>
      </c>
      <c r="I129" s="2"/>
    </row>
    <row r="130" spans="1:9" ht="19.8" customHeight="1" x14ac:dyDescent="0.3">
      <c r="A130" s="139">
        <v>46002</v>
      </c>
      <c r="B130" s="81" t="s">
        <v>26</v>
      </c>
      <c r="C130" s="82" t="s">
        <v>27</v>
      </c>
      <c r="D130" s="81" t="s">
        <v>1</v>
      </c>
      <c r="E130" s="140">
        <v>1.305555555555556</v>
      </c>
      <c r="F130" s="81" t="s">
        <v>103</v>
      </c>
      <c r="G130" s="83">
        <v>16</v>
      </c>
      <c r="H130" s="137">
        <v>369</v>
      </c>
      <c r="I130" s="2"/>
    </row>
    <row r="131" spans="1:9" ht="19.8" customHeight="1" x14ac:dyDescent="0.3">
      <c r="A131" s="139">
        <v>46002</v>
      </c>
      <c r="B131" s="81" t="s">
        <v>76</v>
      </c>
      <c r="C131" s="82" t="s">
        <v>77</v>
      </c>
      <c r="D131" s="81" t="s">
        <v>1</v>
      </c>
      <c r="E131" s="140">
        <v>1.8888888888888891</v>
      </c>
      <c r="F131" s="81" t="s">
        <v>49</v>
      </c>
      <c r="G131" s="83">
        <v>2</v>
      </c>
      <c r="H131" s="137">
        <v>371</v>
      </c>
      <c r="I131" s="2"/>
    </row>
    <row r="132" spans="1:9" ht="19.8" customHeight="1" x14ac:dyDescent="0.3">
      <c r="A132" s="143">
        <v>46002</v>
      </c>
      <c r="B132" s="85" t="s">
        <v>52</v>
      </c>
      <c r="C132" s="86" t="s">
        <v>53</v>
      </c>
      <c r="D132" s="85" t="s">
        <v>1</v>
      </c>
      <c r="E132" s="144">
        <v>1.9236111111111109</v>
      </c>
      <c r="F132" s="85" t="s">
        <v>49</v>
      </c>
      <c r="G132" s="87">
        <v>9</v>
      </c>
      <c r="H132" s="138">
        <v>379</v>
      </c>
      <c r="I132" s="2"/>
    </row>
    <row r="133" spans="1:9" ht="19.8" customHeight="1" x14ac:dyDescent="0.3">
      <c r="A133" s="139">
        <v>46002</v>
      </c>
      <c r="B133" s="81" t="s">
        <v>35</v>
      </c>
      <c r="C133" s="82" t="s">
        <v>36</v>
      </c>
      <c r="D133" s="81" t="s">
        <v>1</v>
      </c>
      <c r="E133" s="140">
        <v>1.2013888888888891</v>
      </c>
      <c r="F133" s="81" t="s">
        <v>138</v>
      </c>
      <c r="G133" s="83">
        <v>5</v>
      </c>
      <c r="H133" s="137">
        <v>399</v>
      </c>
      <c r="I133" s="2"/>
    </row>
    <row r="134" spans="1:9" ht="19.8" customHeight="1" x14ac:dyDescent="0.3">
      <c r="A134" s="139">
        <v>46002</v>
      </c>
      <c r="B134" s="81" t="s">
        <v>58</v>
      </c>
      <c r="C134" s="82" t="s">
        <v>59</v>
      </c>
      <c r="D134" s="81" t="s">
        <v>1</v>
      </c>
      <c r="E134" s="140">
        <v>1.1701388888888891</v>
      </c>
      <c r="F134" s="81" t="s">
        <v>85</v>
      </c>
      <c r="G134" s="83">
        <v>7</v>
      </c>
      <c r="H134" s="137">
        <v>411</v>
      </c>
      <c r="I134" s="2"/>
    </row>
    <row r="135" spans="1:9" ht="19.8" customHeight="1" x14ac:dyDescent="0.3">
      <c r="A135" s="139">
        <v>46002</v>
      </c>
      <c r="B135" s="81" t="s">
        <v>47</v>
      </c>
      <c r="C135" s="82" t="s">
        <v>48</v>
      </c>
      <c r="D135" s="81" t="s">
        <v>1</v>
      </c>
      <c r="E135" s="140">
        <v>1.958333333333333</v>
      </c>
      <c r="F135" s="81" t="s">
        <v>49</v>
      </c>
      <c r="G135" s="83">
        <v>9</v>
      </c>
      <c r="H135" s="137">
        <v>439</v>
      </c>
      <c r="I135" s="2"/>
    </row>
    <row r="136" spans="1:9" ht="19.8" customHeight="1" x14ac:dyDescent="0.3">
      <c r="A136" s="139">
        <v>46002</v>
      </c>
      <c r="B136" s="81" t="s">
        <v>35</v>
      </c>
      <c r="C136" s="82" t="s">
        <v>43</v>
      </c>
      <c r="D136" s="81" t="s">
        <v>1</v>
      </c>
      <c r="E136" s="140">
        <v>1.836805555555556</v>
      </c>
      <c r="F136" s="81" t="s">
        <v>138</v>
      </c>
      <c r="G136" s="83">
        <v>3</v>
      </c>
      <c r="H136" s="137">
        <v>459</v>
      </c>
      <c r="I136" s="2"/>
    </row>
    <row r="137" spans="1:9" ht="19.8" customHeight="1" x14ac:dyDescent="0.3">
      <c r="A137" s="139">
        <v>46002</v>
      </c>
      <c r="B137" s="81" t="s">
        <v>35</v>
      </c>
      <c r="C137" s="82" t="s">
        <v>36</v>
      </c>
      <c r="D137" s="81" t="s">
        <v>1</v>
      </c>
      <c r="E137" s="140">
        <v>1.2013888888888891</v>
      </c>
      <c r="F137" s="81" t="s">
        <v>40</v>
      </c>
      <c r="G137" s="83">
        <v>5</v>
      </c>
      <c r="H137" s="137">
        <v>499</v>
      </c>
      <c r="I137" s="2"/>
    </row>
    <row r="138" spans="1:9" ht="19.8" customHeight="1" x14ac:dyDescent="0.3">
      <c r="A138" s="139">
        <v>46002</v>
      </c>
      <c r="B138" s="81" t="s">
        <v>58</v>
      </c>
      <c r="C138" s="82" t="s">
        <v>61</v>
      </c>
      <c r="D138" s="81" t="s">
        <v>1</v>
      </c>
      <c r="E138" s="140">
        <v>1.864583333333333</v>
      </c>
      <c r="F138" s="81" t="s">
        <v>60</v>
      </c>
      <c r="G138" s="83">
        <v>9</v>
      </c>
      <c r="H138" s="137">
        <v>547</v>
      </c>
      <c r="I138" s="2"/>
    </row>
    <row r="139" spans="1:9" ht="19.8" customHeight="1" x14ac:dyDescent="0.3">
      <c r="A139" s="139">
        <v>46002</v>
      </c>
      <c r="B139" s="81" t="s">
        <v>58</v>
      </c>
      <c r="C139" s="82" t="s">
        <v>63</v>
      </c>
      <c r="D139" s="81" t="s">
        <v>1</v>
      </c>
      <c r="E139" s="140">
        <v>1.5277777777777779</v>
      </c>
      <c r="F139" s="81" t="s">
        <v>60</v>
      </c>
      <c r="G139" s="83">
        <v>9</v>
      </c>
      <c r="H139" s="137">
        <v>547</v>
      </c>
      <c r="I139" s="2"/>
    </row>
    <row r="140" spans="1:9" ht="19.8" customHeight="1" x14ac:dyDescent="0.3">
      <c r="A140" s="139">
        <v>46002</v>
      </c>
      <c r="B140" s="81" t="s">
        <v>26</v>
      </c>
      <c r="C140" s="82" t="s">
        <v>27</v>
      </c>
      <c r="D140" s="81" t="s">
        <v>1</v>
      </c>
      <c r="E140" s="140">
        <v>1.305555555555556</v>
      </c>
      <c r="F140" s="81" t="s">
        <v>31</v>
      </c>
      <c r="G140" s="83">
        <v>16</v>
      </c>
      <c r="H140" s="137">
        <v>547</v>
      </c>
      <c r="I140" s="2"/>
    </row>
    <row r="141" spans="1:9" ht="19.8" customHeight="1" x14ac:dyDescent="0.3">
      <c r="A141" s="139">
        <v>46002</v>
      </c>
      <c r="B141" s="81" t="s">
        <v>35</v>
      </c>
      <c r="C141" s="82" t="s">
        <v>43</v>
      </c>
      <c r="D141" s="81" t="s">
        <v>1</v>
      </c>
      <c r="E141" s="140">
        <v>1.836805555555556</v>
      </c>
      <c r="F141" s="81" t="s">
        <v>40</v>
      </c>
      <c r="G141" s="83">
        <v>3</v>
      </c>
      <c r="H141" s="137">
        <v>559</v>
      </c>
      <c r="I141" s="2"/>
    </row>
    <row r="142" spans="1:9" ht="19.8" customHeight="1" x14ac:dyDescent="0.3">
      <c r="A142" s="139">
        <v>46002</v>
      </c>
      <c r="B142" s="81" t="s">
        <v>35</v>
      </c>
      <c r="C142" s="82" t="s">
        <v>36</v>
      </c>
      <c r="D142" s="81" t="s">
        <v>1</v>
      </c>
      <c r="E142" s="140">
        <v>1.2013888888888891</v>
      </c>
      <c r="F142" s="81" t="s">
        <v>33</v>
      </c>
      <c r="G142" s="83">
        <v>5</v>
      </c>
      <c r="H142" s="137">
        <v>589</v>
      </c>
      <c r="I142" s="2"/>
    </row>
    <row r="143" spans="1:9" ht="19.8" customHeight="1" x14ac:dyDescent="0.3">
      <c r="A143" s="139">
        <v>46002</v>
      </c>
      <c r="B143" s="81" t="s">
        <v>35</v>
      </c>
      <c r="C143" s="82" t="s">
        <v>43</v>
      </c>
      <c r="D143" s="81" t="s">
        <v>1</v>
      </c>
      <c r="E143" s="140">
        <v>1.836805555555556</v>
      </c>
      <c r="F143" s="81" t="s">
        <v>33</v>
      </c>
      <c r="G143" s="83">
        <v>3</v>
      </c>
      <c r="H143" s="137">
        <v>649</v>
      </c>
      <c r="I143" s="2"/>
    </row>
    <row r="144" spans="1:9" ht="19.8" customHeight="1" x14ac:dyDescent="0.3">
      <c r="A144" s="139">
        <v>46002</v>
      </c>
      <c r="B144" s="81" t="s">
        <v>26</v>
      </c>
      <c r="C144" s="82" t="s">
        <v>27</v>
      </c>
      <c r="D144" s="81" t="s">
        <v>1</v>
      </c>
      <c r="E144" s="140">
        <v>1.305555555555556</v>
      </c>
      <c r="F144" s="81" t="s">
        <v>33</v>
      </c>
      <c r="G144" s="83">
        <v>16</v>
      </c>
      <c r="H144" s="137">
        <v>899</v>
      </c>
      <c r="I144" s="2"/>
    </row>
    <row r="145" spans="1:9" ht="19.8" customHeight="1" x14ac:dyDescent="0.3">
      <c r="A145" s="139">
        <v>46002</v>
      </c>
      <c r="B145" s="81" t="s">
        <v>65</v>
      </c>
      <c r="C145" s="82" t="s">
        <v>66</v>
      </c>
      <c r="D145" s="81" t="s">
        <v>1</v>
      </c>
      <c r="E145" s="140">
        <v>1.305555555555556</v>
      </c>
      <c r="F145" s="81" t="s">
        <v>60</v>
      </c>
      <c r="G145" s="83">
        <v>4</v>
      </c>
      <c r="H145" s="88" t="s">
        <v>102</v>
      </c>
      <c r="I145" s="2"/>
    </row>
    <row r="146" spans="1:9" ht="19.8" customHeight="1" x14ac:dyDescent="0.3">
      <c r="A146" s="141">
        <v>46002</v>
      </c>
      <c r="B146" s="89" t="s">
        <v>65</v>
      </c>
      <c r="C146" s="90" t="s">
        <v>66</v>
      </c>
      <c r="D146" s="89" t="s">
        <v>1</v>
      </c>
      <c r="E146" s="142">
        <v>1.305555555555556</v>
      </c>
      <c r="F146" s="89" t="s">
        <v>67</v>
      </c>
      <c r="G146" s="91">
        <v>4</v>
      </c>
      <c r="H146" s="92" t="s">
        <v>102</v>
      </c>
      <c r="I146" s="2"/>
    </row>
    <row r="147" spans="1:9" ht="19.8" customHeight="1" x14ac:dyDescent="0.3">
      <c r="A147" s="139">
        <v>46003</v>
      </c>
      <c r="B147" s="81" t="s">
        <v>35</v>
      </c>
      <c r="C147" s="82" t="s">
        <v>43</v>
      </c>
      <c r="D147" s="81" t="s">
        <v>1</v>
      </c>
      <c r="E147" s="140">
        <v>1.836805555555556</v>
      </c>
      <c r="F147" s="81" t="s">
        <v>37</v>
      </c>
      <c r="G147" s="83">
        <v>2</v>
      </c>
      <c r="H147" s="137">
        <v>349</v>
      </c>
      <c r="I147" s="2"/>
    </row>
    <row r="148" spans="1:9" ht="19.8" customHeight="1" x14ac:dyDescent="0.3">
      <c r="A148" s="139">
        <v>46003</v>
      </c>
      <c r="B148" s="81" t="s">
        <v>26</v>
      </c>
      <c r="C148" s="82" t="s">
        <v>27</v>
      </c>
      <c r="D148" s="81" t="s">
        <v>1</v>
      </c>
      <c r="E148" s="140">
        <v>1.305555555555556</v>
      </c>
      <c r="F148" s="81" t="s">
        <v>28</v>
      </c>
      <c r="G148" s="83">
        <v>7</v>
      </c>
      <c r="H148" s="137">
        <v>369</v>
      </c>
      <c r="I148" s="2"/>
    </row>
    <row r="149" spans="1:9" ht="19.8" customHeight="1" x14ac:dyDescent="0.3">
      <c r="A149" s="143">
        <v>46003</v>
      </c>
      <c r="B149" s="85" t="s">
        <v>52</v>
      </c>
      <c r="C149" s="86" t="s">
        <v>53</v>
      </c>
      <c r="D149" s="85" t="s">
        <v>1</v>
      </c>
      <c r="E149" s="144">
        <v>1.5798611111111109</v>
      </c>
      <c r="F149" s="85" t="s">
        <v>49</v>
      </c>
      <c r="G149" s="87">
        <v>2</v>
      </c>
      <c r="H149" s="138">
        <v>379</v>
      </c>
      <c r="I149" s="2"/>
    </row>
    <row r="150" spans="1:9" ht="19.8" customHeight="1" x14ac:dyDescent="0.3">
      <c r="A150" s="139">
        <v>46003</v>
      </c>
      <c r="B150" s="81" t="s">
        <v>58</v>
      </c>
      <c r="C150" s="82" t="s">
        <v>59</v>
      </c>
      <c r="D150" s="81" t="s">
        <v>1</v>
      </c>
      <c r="E150" s="140">
        <v>1.1701388888888891</v>
      </c>
      <c r="F150" s="81" t="s">
        <v>85</v>
      </c>
      <c r="G150" s="83">
        <v>9</v>
      </c>
      <c r="H150" s="137">
        <v>411</v>
      </c>
      <c r="I150" s="2"/>
    </row>
    <row r="151" spans="1:9" ht="19.8" customHeight="1" x14ac:dyDescent="0.3">
      <c r="A151" s="139">
        <v>46003</v>
      </c>
      <c r="B151" s="81" t="s">
        <v>58</v>
      </c>
      <c r="C151" s="82" t="s">
        <v>61</v>
      </c>
      <c r="D151" s="81" t="s">
        <v>1</v>
      </c>
      <c r="E151" s="140">
        <v>1.864583333333333</v>
      </c>
      <c r="F151" s="81" t="s">
        <v>124</v>
      </c>
      <c r="G151" s="83">
        <v>9</v>
      </c>
      <c r="H151" s="137">
        <v>437</v>
      </c>
      <c r="I151" s="2"/>
    </row>
    <row r="152" spans="1:9" ht="19.8" customHeight="1" x14ac:dyDescent="0.3">
      <c r="A152" s="139">
        <v>46003</v>
      </c>
      <c r="B152" s="81" t="s">
        <v>47</v>
      </c>
      <c r="C152" s="82" t="s">
        <v>79</v>
      </c>
      <c r="D152" s="81" t="s">
        <v>1</v>
      </c>
      <c r="E152" s="140">
        <v>1.958333333333333</v>
      </c>
      <c r="F152" s="81" t="s">
        <v>49</v>
      </c>
      <c r="G152" s="83">
        <v>9</v>
      </c>
      <c r="H152" s="137">
        <v>439</v>
      </c>
      <c r="I152" s="2"/>
    </row>
    <row r="153" spans="1:9" ht="19.8" customHeight="1" x14ac:dyDescent="0.3">
      <c r="A153" s="139">
        <v>46003</v>
      </c>
      <c r="B153" s="81" t="s">
        <v>35</v>
      </c>
      <c r="C153" s="82" t="s">
        <v>43</v>
      </c>
      <c r="D153" s="81" t="s">
        <v>1</v>
      </c>
      <c r="E153" s="140">
        <v>1.836805555555556</v>
      </c>
      <c r="F153" s="81" t="s">
        <v>40</v>
      </c>
      <c r="G153" s="83">
        <v>2</v>
      </c>
      <c r="H153" s="137">
        <v>449</v>
      </c>
      <c r="I153" s="2"/>
    </row>
    <row r="154" spans="1:9" ht="19.8" customHeight="1" x14ac:dyDescent="0.3">
      <c r="A154" s="139">
        <v>46003</v>
      </c>
      <c r="B154" s="81" t="s">
        <v>35</v>
      </c>
      <c r="C154" s="82" t="s">
        <v>43</v>
      </c>
      <c r="D154" s="81" t="s">
        <v>1</v>
      </c>
      <c r="E154" s="140">
        <v>1.836805555555556</v>
      </c>
      <c r="F154" s="81" t="s">
        <v>33</v>
      </c>
      <c r="G154" s="83">
        <v>2</v>
      </c>
      <c r="H154" s="137">
        <v>539</v>
      </c>
      <c r="I154" s="2"/>
    </row>
    <row r="155" spans="1:9" ht="19.8" customHeight="1" x14ac:dyDescent="0.3">
      <c r="A155" s="139">
        <v>46003</v>
      </c>
      <c r="B155" s="81" t="s">
        <v>26</v>
      </c>
      <c r="C155" s="82" t="s">
        <v>27</v>
      </c>
      <c r="D155" s="81" t="s">
        <v>1</v>
      </c>
      <c r="E155" s="140">
        <v>1.305555555555556</v>
      </c>
      <c r="F155" s="81" t="s">
        <v>31</v>
      </c>
      <c r="G155" s="83">
        <v>7</v>
      </c>
      <c r="H155" s="137">
        <v>547</v>
      </c>
      <c r="I155" s="2"/>
    </row>
    <row r="156" spans="1:9" ht="19.8" customHeight="1" x14ac:dyDescent="0.3">
      <c r="A156" s="139">
        <v>46003</v>
      </c>
      <c r="B156" s="81" t="s">
        <v>58</v>
      </c>
      <c r="C156" s="82" t="s">
        <v>63</v>
      </c>
      <c r="D156" s="81" t="s">
        <v>1</v>
      </c>
      <c r="E156" s="140">
        <v>1.5277777777777779</v>
      </c>
      <c r="F156" s="81" t="s">
        <v>60</v>
      </c>
      <c r="G156" s="83">
        <v>9</v>
      </c>
      <c r="H156" s="137">
        <v>596</v>
      </c>
      <c r="I156" s="2"/>
    </row>
    <row r="157" spans="1:9" ht="19.8" customHeight="1" x14ac:dyDescent="0.3">
      <c r="A157" s="139">
        <v>46003</v>
      </c>
      <c r="B157" s="81" t="s">
        <v>65</v>
      </c>
      <c r="C157" s="82" t="s">
        <v>66</v>
      </c>
      <c r="D157" s="81" t="s">
        <v>1</v>
      </c>
      <c r="E157" s="140">
        <v>1.305555555555556</v>
      </c>
      <c r="F157" s="81" t="s">
        <v>67</v>
      </c>
      <c r="G157" s="83">
        <v>4</v>
      </c>
      <c r="H157" s="88" t="s">
        <v>102</v>
      </c>
      <c r="I157" s="2"/>
    </row>
    <row r="158" spans="1:9" ht="19.8" customHeight="1" x14ac:dyDescent="0.3">
      <c r="A158" s="141">
        <v>46003</v>
      </c>
      <c r="B158" s="89" t="s">
        <v>26</v>
      </c>
      <c r="C158" s="90" t="s">
        <v>27</v>
      </c>
      <c r="D158" s="89" t="s">
        <v>1</v>
      </c>
      <c r="E158" s="142">
        <v>1.305555555555556</v>
      </c>
      <c r="F158" s="89" t="s">
        <v>33</v>
      </c>
      <c r="G158" s="91">
        <v>7</v>
      </c>
      <c r="H158" s="92" t="s">
        <v>34</v>
      </c>
      <c r="I158" s="2"/>
    </row>
    <row r="159" spans="1:9" ht="19.8" customHeight="1" x14ac:dyDescent="0.3">
      <c r="A159" s="139">
        <v>46004</v>
      </c>
      <c r="B159" s="81" t="s">
        <v>26</v>
      </c>
      <c r="C159" s="82" t="s">
        <v>27</v>
      </c>
      <c r="D159" s="81" t="s">
        <v>1</v>
      </c>
      <c r="E159" s="140">
        <v>1.305555555555556</v>
      </c>
      <c r="F159" s="81" t="s">
        <v>28</v>
      </c>
      <c r="G159" s="83">
        <v>19</v>
      </c>
      <c r="H159" s="137">
        <v>309</v>
      </c>
      <c r="I159" s="2"/>
    </row>
    <row r="160" spans="1:9" ht="19.8" customHeight="1" x14ac:dyDescent="0.3">
      <c r="A160" s="139">
        <v>46004</v>
      </c>
      <c r="B160" s="81" t="s">
        <v>35</v>
      </c>
      <c r="C160" s="82" t="s">
        <v>36</v>
      </c>
      <c r="D160" s="81" t="s">
        <v>1</v>
      </c>
      <c r="E160" s="140">
        <v>1.2013888888888891</v>
      </c>
      <c r="F160" s="81" t="s">
        <v>37</v>
      </c>
      <c r="G160" s="83">
        <v>9</v>
      </c>
      <c r="H160" s="137">
        <v>349</v>
      </c>
      <c r="I160" s="2"/>
    </row>
    <row r="161" spans="1:9" ht="19.8" customHeight="1" x14ac:dyDescent="0.3">
      <c r="A161" s="139">
        <v>46004</v>
      </c>
      <c r="B161" s="81" t="s">
        <v>70</v>
      </c>
      <c r="C161" s="82" t="s">
        <v>71</v>
      </c>
      <c r="D161" s="81" t="s">
        <v>1</v>
      </c>
      <c r="E161" s="140">
        <v>1.9722222222222221</v>
      </c>
      <c r="F161" s="81" t="s">
        <v>72</v>
      </c>
      <c r="G161" s="83">
        <v>9</v>
      </c>
      <c r="H161" s="137">
        <v>354</v>
      </c>
      <c r="I161" s="2"/>
    </row>
    <row r="162" spans="1:9" ht="19.8" customHeight="1" x14ac:dyDescent="0.3">
      <c r="A162" s="139">
        <v>46004</v>
      </c>
      <c r="B162" s="81" t="s">
        <v>35</v>
      </c>
      <c r="C162" s="82" t="s">
        <v>43</v>
      </c>
      <c r="D162" s="81" t="s">
        <v>1</v>
      </c>
      <c r="E162" s="140">
        <v>1.836805555555556</v>
      </c>
      <c r="F162" s="81" t="s">
        <v>37</v>
      </c>
      <c r="G162" s="83">
        <v>8</v>
      </c>
      <c r="H162" s="137">
        <v>379</v>
      </c>
      <c r="I162" s="2"/>
    </row>
    <row r="163" spans="1:9" ht="19.8" customHeight="1" x14ac:dyDescent="0.3">
      <c r="A163" s="143">
        <v>46004</v>
      </c>
      <c r="B163" s="85" t="s">
        <v>52</v>
      </c>
      <c r="C163" s="86" t="s">
        <v>53</v>
      </c>
      <c r="D163" s="85" t="s">
        <v>1</v>
      </c>
      <c r="E163" s="144">
        <v>1.9236111111111109</v>
      </c>
      <c r="F163" s="85" t="s">
        <v>49</v>
      </c>
      <c r="G163" s="87">
        <v>9</v>
      </c>
      <c r="H163" s="138">
        <v>379</v>
      </c>
      <c r="I163" s="2"/>
    </row>
    <row r="164" spans="1:9" ht="19.8" customHeight="1" x14ac:dyDescent="0.3">
      <c r="A164" s="139">
        <v>46004</v>
      </c>
      <c r="B164" s="81" t="s">
        <v>47</v>
      </c>
      <c r="C164" s="82" t="s">
        <v>48</v>
      </c>
      <c r="D164" s="81" t="s">
        <v>1</v>
      </c>
      <c r="E164" s="140">
        <v>1.895833333333333</v>
      </c>
      <c r="F164" s="81" t="s">
        <v>49</v>
      </c>
      <c r="G164" s="83">
        <v>9</v>
      </c>
      <c r="H164" s="137">
        <v>379</v>
      </c>
      <c r="I164" s="2"/>
    </row>
    <row r="165" spans="1:9" ht="19.8" customHeight="1" x14ac:dyDescent="0.3">
      <c r="A165" s="139">
        <v>46004</v>
      </c>
      <c r="B165" s="81" t="s">
        <v>58</v>
      </c>
      <c r="C165" s="82" t="s">
        <v>61</v>
      </c>
      <c r="D165" s="81" t="s">
        <v>1</v>
      </c>
      <c r="E165" s="140">
        <v>1.864583333333333</v>
      </c>
      <c r="F165" s="81" t="s">
        <v>85</v>
      </c>
      <c r="G165" s="83">
        <v>9</v>
      </c>
      <c r="H165" s="137">
        <v>411</v>
      </c>
      <c r="I165" s="2"/>
    </row>
    <row r="166" spans="1:9" ht="19.8" customHeight="1" x14ac:dyDescent="0.3">
      <c r="A166" s="139">
        <v>46004</v>
      </c>
      <c r="B166" s="81" t="s">
        <v>58</v>
      </c>
      <c r="C166" s="82" t="s">
        <v>59</v>
      </c>
      <c r="D166" s="81" t="s">
        <v>1</v>
      </c>
      <c r="E166" s="140">
        <v>1.1701388888888891</v>
      </c>
      <c r="F166" s="81" t="s">
        <v>85</v>
      </c>
      <c r="G166" s="83">
        <v>8</v>
      </c>
      <c r="H166" s="137">
        <v>411</v>
      </c>
      <c r="I166" s="2"/>
    </row>
    <row r="167" spans="1:9" ht="19.8" customHeight="1" x14ac:dyDescent="0.3">
      <c r="A167" s="139">
        <v>46004</v>
      </c>
      <c r="B167" s="81" t="s">
        <v>58</v>
      </c>
      <c r="C167" s="82" t="s">
        <v>63</v>
      </c>
      <c r="D167" s="81" t="s">
        <v>1</v>
      </c>
      <c r="E167" s="140">
        <v>1.5277777777777779</v>
      </c>
      <c r="F167" s="81" t="s">
        <v>85</v>
      </c>
      <c r="G167" s="83">
        <v>6</v>
      </c>
      <c r="H167" s="137">
        <v>415</v>
      </c>
      <c r="I167" s="2"/>
    </row>
    <row r="168" spans="1:9" ht="19.8" customHeight="1" x14ac:dyDescent="0.3">
      <c r="A168" s="139">
        <v>46004</v>
      </c>
      <c r="B168" s="81" t="s">
        <v>35</v>
      </c>
      <c r="C168" s="82" t="s">
        <v>36</v>
      </c>
      <c r="D168" s="81" t="s">
        <v>1</v>
      </c>
      <c r="E168" s="140">
        <v>1.2013888888888891</v>
      </c>
      <c r="F168" s="81" t="s">
        <v>40</v>
      </c>
      <c r="G168" s="83">
        <v>9</v>
      </c>
      <c r="H168" s="137">
        <v>449</v>
      </c>
      <c r="I168" s="2"/>
    </row>
    <row r="169" spans="1:9" ht="19.8" customHeight="1" x14ac:dyDescent="0.3">
      <c r="A169" s="139">
        <v>46004</v>
      </c>
      <c r="B169" s="81" t="s">
        <v>70</v>
      </c>
      <c r="C169" s="82" t="s">
        <v>71</v>
      </c>
      <c r="D169" s="81" t="s">
        <v>1</v>
      </c>
      <c r="E169" s="140">
        <v>1.9722222222222221</v>
      </c>
      <c r="F169" s="81" t="s">
        <v>74</v>
      </c>
      <c r="G169" s="83">
        <v>9</v>
      </c>
      <c r="H169" s="137">
        <v>477</v>
      </c>
      <c r="I169" s="2"/>
    </row>
    <row r="170" spans="1:9" ht="19.8" customHeight="1" x14ac:dyDescent="0.3">
      <c r="A170" s="139">
        <v>46004</v>
      </c>
      <c r="B170" s="81" t="s">
        <v>35</v>
      </c>
      <c r="C170" s="82" t="s">
        <v>43</v>
      </c>
      <c r="D170" s="81" t="s">
        <v>1</v>
      </c>
      <c r="E170" s="140">
        <v>1.836805555555556</v>
      </c>
      <c r="F170" s="81" t="s">
        <v>40</v>
      </c>
      <c r="G170" s="83">
        <v>8</v>
      </c>
      <c r="H170" s="137">
        <v>479</v>
      </c>
      <c r="I170" s="2"/>
    </row>
    <row r="171" spans="1:9" ht="19.8" customHeight="1" x14ac:dyDescent="0.3">
      <c r="A171" s="139">
        <v>46004</v>
      </c>
      <c r="B171" s="81" t="s">
        <v>26</v>
      </c>
      <c r="C171" s="82" t="s">
        <v>27</v>
      </c>
      <c r="D171" s="81" t="s">
        <v>1</v>
      </c>
      <c r="E171" s="140">
        <v>1.305555555555556</v>
      </c>
      <c r="F171" s="81" t="s">
        <v>31</v>
      </c>
      <c r="G171" s="83">
        <v>19</v>
      </c>
      <c r="H171" s="137">
        <v>487</v>
      </c>
      <c r="I171" s="2"/>
    </row>
    <row r="172" spans="1:9" ht="19.8" customHeight="1" x14ac:dyDescent="0.3">
      <c r="A172" s="139">
        <v>46004</v>
      </c>
      <c r="B172" s="81" t="s">
        <v>35</v>
      </c>
      <c r="C172" s="82" t="s">
        <v>36</v>
      </c>
      <c r="D172" s="81" t="s">
        <v>1</v>
      </c>
      <c r="E172" s="140">
        <v>1.2013888888888891</v>
      </c>
      <c r="F172" s="81" t="s">
        <v>33</v>
      </c>
      <c r="G172" s="83">
        <v>9</v>
      </c>
      <c r="H172" s="137">
        <v>539</v>
      </c>
      <c r="I172" s="2"/>
    </row>
    <row r="173" spans="1:9" ht="19.8" customHeight="1" x14ac:dyDescent="0.3">
      <c r="A173" s="139">
        <v>46004</v>
      </c>
      <c r="B173" s="81" t="s">
        <v>35</v>
      </c>
      <c r="C173" s="82" t="s">
        <v>43</v>
      </c>
      <c r="D173" s="81" t="s">
        <v>1</v>
      </c>
      <c r="E173" s="140">
        <v>1.836805555555556</v>
      </c>
      <c r="F173" s="81" t="s">
        <v>33</v>
      </c>
      <c r="G173" s="83">
        <v>8</v>
      </c>
      <c r="H173" s="137">
        <v>569</v>
      </c>
      <c r="I173" s="2"/>
    </row>
    <row r="174" spans="1:9" ht="19.8" customHeight="1" x14ac:dyDescent="0.3">
      <c r="A174" s="139">
        <v>46004</v>
      </c>
      <c r="B174" s="81" t="s">
        <v>26</v>
      </c>
      <c r="C174" s="82" t="s">
        <v>27</v>
      </c>
      <c r="D174" s="81" t="s">
        <v>1</v>
      </c>
      <c r="E174" s="140">
        <v>1.305555555555556</v>
      </c>
      <c r="F174" s="81" t="s">
        <v>33</v>
      </c>
      <c r="G174" s="83">
        <v>19</v>
      </c>
      <c r="H174" s="137">
        <v>899</v>
      </c>
      <c r="I174" s="2"/>
    </row>
    <row r="175" spans="1:9" ht="19.8" customHeight="1" x14ac:dyDescent="0.3">
      <c r="A175" s="141">
        <v>46004</v>
      </c>
      <c r="B175" s="89" t="s">
        <v>65</v>
      </c>
      <c r="C175" s="90" t="s">
        <v>66</v>
      </c>
      <c r="D175" s="89" t="s">
        <v>1</v>
      </c>
      <c r="E175" s="142">
        <v>1.305555555555556</v>
      </c>
      <c r="F175" s="89" t="s">
        <v>67</v>
      </c>
      <c r="G175" s="91">
        <v>4</v>
      </c>
      <c r="H175" s="92" t="s">
        <v>120</v>
      </c>
      <c r="I175" s="2"/>
    </row>
    <row r="176" spans="1:9" ht="19.8" customHeight="1" x14ac:dyDescent="0.3">
      <c r="A176" s="139">
        <v>46005</v>
      </c>
      <c r="B176" s="81" t="s">
        <v>26</v>
      </c>
      <c r="C176" s="82" t="s">
        <v>27</v>
      </c>
      <c r="D176" s="81" t="s">
        <v>1</v>
      </c>
      <c r="E176" s="140">
        <v>1.305555555555556</v>
      </c>
      <c r="F176" s="81" t="s">
        <v>28</v>
      </c>
      <c r="G176" s="83">
        <v>18</v>
      </c>
      <c r="H176" s="137">
        <v>309</v>
      </c>
      <c r="I176" s="2"/>
    </row>
    <row r="177" spans="1:9" ht="19.8" customHeight="1" x14ac:dyDescent="0.3">
      <c r="A177" s="139">
        <v>46005</v>
      </c>
      <c r="B177" s="81" t="s">
        <v>35</v>
      </c>
      <c r="C177" s="82" t="s">
        <v>43</v>
      </c>
      <c r="D177" s="81" t="s">
        <v>1</v>
      </c>
      <c r="E177" s="140">
        <v>1.850694444444444</v>
      </c>
      <c r="F177" s="81" t="s">
        <v>37</v>
      </c>
      <c r="G177" s="83">
        <v>3</v>
      </c>
      <c r="H177" s="137">
        <v>349</v>
      </c>
      <c r="I177" s="2"/>
    </row>
    <row r="178" spans="1:9" ht="19.8" customHeight="1" x14ac:dyDescent="0.3">
      <c r="A178" s="139">
        <v>46005</v>
      </c>
      <c r="B178" s="81" t="s">
        <v>76</v>
      </c>
      <c r="C178" s="82" t="s">
        <v>122</v>
      </c>
      <c r="D178" s="81" t="s">
        <v>1</v>
      </c>
      <c r="E178" s="140">
        <v>1.2222222222222221</v>
      </c>
      <c r="F178" s="81" t="s">
        <v>49</v>
      </c>
      <c r="G178" s="83">
        <v>3</v>
      </c>
      <c r="H178" s="137">
        <v>371</v>
      </c>
      <c r="I178" s="2"/>
    </row>
    <row r="179" spans="1:9" ht="19.8" customHeight="1" x14ac:dyDescent="0.3">
      <c r="A179" s="139">
        <v>46005</v>
      </c>
      <c r="B179" s="81" t="s">
        <v>47</v>
      </c>
      <c r="C179" s="82" t="s">
        <v>97</v>
      </c>
      <c r="D179" s="81" t="s">
        <v>1</v>
      </c>
      <c r="E179" s="140">
        <v>1.958333333333333</v>
      </c>
      <c r="F179" s="81" t="s">
        <v>49</v>
      </c>
      <c r="G179" s="83">
        <v>9</v>
      </c>
      <c r="H179" s="137">
        <v>379</v>
      </c>
      <c r="I179" s="2"/>
    </row>
    <row r="180" spans="1:9" ht="19.8" customHeight="1" x14ac:dyDescent="0.3">
      <c r="A180" s="139">
        <v>46005</v>
      </c>
      <c r="B180" s="81" t="s">
        <v>58</v>
      </c>
      <c r="C180" s="82" t="s">
        <v>59</v>
      </c>
      <c r="D180" s="81" t="s">
        <v>1</v>
      </c>
      <c r="E180" s="140">
        <v>1.1701388888888891</v>
      </c>
      <c r="F180" s="81" t="s">
        <v>85</v>
      </c>
      <c r="G180" s="83">
        <v>6</v>
      </c>
      <c r="H180" s="137">
        <v>411</v>
      </c>
      <c r="I180" s="2"/>
    </row>
    <row r="181" spans="1:9" ht="19.8" customHeight="1" x14ac:dyDescent="0.3">
      <c r="A181" s="139">
        <v>46005</v>
      </c>
      <c r="B181" s="81" t="s">
        <v>58</v>
      </c>
      <c r="C181" s="82" t="s">
        <v>61</v>
      </c>
      <c r="D181" s="81" t="s">
        <v>1</v>
      </c>
      <c r="E181" s="140">
        <v>1.864583333333333</v>
      </c>
      <c r="F181" s="81" t="s">
        <v>124</v>
      </c>
      <c r="G181" s="83">
        <v>9</v>
      </c>
      <c r="H181" s="137">
        <v>437</v>
      </c>
      <c r="I181" s="2"/>
    </row>
    <row r="182" spans="1:9" ht="19.8" customHeight="1" x14ac:dyDescent="0.3">
      <c r="A182" s="139">
        <v>46005</v>
      </c>
      <c r="B182" s="81" t="s">
        <v>35</v>
      </c>
      <c r="C182" s="82" t="s">
        <v>43</v>
      </c>
      <c r="D182" s="81" t="s">
        <v>1</v>
      </c>
      <c r="E182" s="140">
        <v>1.850694444444444</v>
      </c>
      <c r="F182" s="81" t="s">
        <v>40</v>
      </c>
      <c r="G182" s="83">
        <v>3</v>
      </c>
      <c r="H182" s="137">
        <v>449</v>
      </c>
      <c r="I182" s="2"/>
    </row>
    <row r="183" spans="1:9" ht="19.8" customHeight="1" x14ac:dyDescent="0.3">
      <c r="A183" s="139">
        <v>46005</v>
      </c>
      <c r="B183" s="81" t="s">
        <v>26</v>
      </c>
      <c r="C183" s="82" t="s">
        <v>27</v>
      </c>
      <c r="D183" s="81" t="s">
        <v>1</v>
      </c>
      <c r="E183" s="140">
        <v>1.305555555555556</v>
      </c>
      <c r="F183" s="81" t="s">
        <v>31</v>
      </c>
      <c r="G183" s="83">
        <v>18</v>
      </c>
      <c r="H183" s="137">
        <v>487</v>
      </c>
      <c r="I183" s="2"/>
    </row>
    <row r="184" spans="1:9" ht="19.8" customHeight="1" x14ac:dyDescent="0.3">
      <c r="A184" s="139">
        <v>46005</v>
      </c>
      <c r="B184" s="81" t="s">
        <v>35</v>
      </c>
      <c r="C184" s="82" t="s">
        <v>43</v>
      </c>
      <c r="D184" s="81" t="s">
        <v>1</v>
      </c>
      <c r="E184" s="140">
        <v>1.850694444444444</v>
      </c>
      <c r="F184" s="81" t="s">
        <v>33</v>
      </c>
      <c r="G184" s="83">
        <v>3</v>
      </c>
      <c r="H184" s="137">
        <v>539</v>
      </c>
      <c r="I184" s="2"/>
    </row>
    <row r="185" spans="1:9" ht="19.8" customHeight="1" x14ac:dyDescent="0.3">
      <c r="A185" s="139">
        <v>46005</v>
      </c>
      <c r="B185" s="81" t="s">
        <v>26</v>
      </c>
      <c r="C185" s="82" t="s">
        <v>27</v>
      </c>
      <c r="D185" s="81" t="s">
        <v>1</v>
      </c>
      <c r="E185" s="140">
        <v>1.305555555555556</v>
      </c>
      <c r="F185" s="81" t="s">
        <v>33</v>
      </c>
      <c r="G185" s="83">
        <v>18</v>
      </c>
      <c r="H185" s="137">
        <v>899</v>
      </c>
      <c r="I185" s="2"/>
    </row>
    <row r="186" spans="1:9" ht="19.8" customHeight="1" x14ac:dyDescent="0.3">
      <c r="A186" s="141">
        <v>46005</v>
      </c>
      <c r="B186" s="89" t="s">
        <v>65</v>
      </c>
      <c r="C186" s="90" t="s">
        <v>66</v>
      </c>
      <c r="D186" s="89" t="s">
        <v>1</v>
      </c>
      <c r="E186" s="142">
        <v>1.305555555555556</v>
      </c>
      <c r="F186" s="89" t="s">
        <v>67</v>
      </c>
      <c r="G186" s="91">
        <v>4</v>
      </c>
      <c r="H186" s="92" t="s">
        <v>120</v>
      </c>
      <c r="I186" s="2"/>
    </row>
    <row r="187" spans="1:9" ht="19.8" customHeight="1" x14ac:dyDescent="0.3">
      <c r="A187" s="139">
        <v>46006</v>
      </c>
      <c r="B187" s="81" t="s">
        <v>26</v>
      </c>
      <c r="C187" s="82" t="s">
        <v>27</v>
      </c>
      <c r="D187" s="81" t="s">
        <v>1</v>
      </c>
      <c r="E187" s="140">
        <v>1.305555555555556</v>
      </c>
      <c r="F187" s="81" t="s">
        <v>28</v>
      </c>
      <c r="G187" s="83">
        <v>12</v>
      </c>
      <c r="H187" s="137">
        <v>309</v>
      </c>
      <c r="I187" s="2"/>
    </row>
    <row r="188" spans="1:9" ht="19.8" customHeight="1" x14ac:dyDescent="0.3">
      <c r="A188" s="139">
        <v>46006</v>
      </c>
      <c r="B188" s="81" t="s">
        <v>35</v>
      </c>
      <c r="C188" s="82" t="s">
        <v>36</v>
      </c>
      <c r="D188" s="81" t="s">
        <v>1</v>
      </c>
      <c r="E188" s="140">
        <v>1.2013888888888891</v>
      </c>
      <c r="F188" s="81" t="s">
        <v>37</v>
      </c>
      <c r="G188" s="83">
        <v>9</v>
      </c>
      <c r="H188" s="137">
        <v>349</v>
      </c>
      <c r="I188" s="2"/>
    </row>
    <row r="189" spans="1:9" ht="19.8" customHeight="1" x14ac:dyDescent="0.3">
      <c r="A189" s="139">
        <v>46006</v>
      </c>
      <c r="B189" s="81" t="s">
        <v>35</v>
      </c>
      <c r="C189" s="82" t="s">
        <v>43</v>
      </c>
      <c r="D189" s="81" t="s">
        <v>1</v>
      </c>
      <c r="E189" s="140">
        <v>1.836805555555556</v>
      </c>
      <c r="F189" s="81" t="s">
        <v>37</v>
      </c>
      <c r="G189" s="83">
        <v>9</v>
      </c>
      <c r="H189" s="137">
        <v>409</v>
      </c>
      <c r="I189" s="2"/>
    </row>
    <row r="190" spans="1:9" ht="19.8" customHeight="1" x14ac:dyDescent="0.3">
      <c r="A190" s="139">
        <v>46006</v>
      </c>
      <c r="B190" s="81" t="s">
        <v>58</v>
      </c>
      <c r="C190" s="82" t="s">
        <v>59</v>
      </c>
      <c r="D190" s="81" t="s">
        <v>1</v>
      </c>
      <c r="E190" s="140">
        <v>1.1701388888888891</v>
      </c>
      <c r="F190" s="81" t="s">
        <v>85</v>
      </c>
      <c r="G190" s="83">
        <v>9</v>
      </c>
      <c r="H190" s="137">
        <v>411</v>
      </c>
      <c r="I190" s="2"/>
    </row>
    <row r="191" spans="1:9" ht="19.8" customHeight="1" x14ac:dyDescent="0.3">
      <c r="A191" s="139">
        <v>46006</v>
      </c>
      <c r="B191" s="81" t="s">
        <v>58</v>
      </c>
      <c r="C191" s="82" t="s">
        <v>61</v>
      </c>
      <c r="D191" s="81" t="s">
        <v>1</v>
      </c>
      <c r="E191" s="140">
        <v>1.864583333333333</v>
      </c>
      <c r="F191" s="81" t="s">
        <v>124</v>
      </c>
      <c r="G191" s="83">
        <v>9</v>
      </c>
      <c r="H191" s="137">
        <v>437</v>
      </c>
      <c r="I191" s="2"/>
    </row>
    <row r="192" spans="1:9" ht="19.8" customHeight="1" x14ac:dyDescent="0.3">
      <c r="A192" s="139">
        <v>46006</v>
      </c>
      <c r="B192" s="81" t="s">
        <v>47</v>
      </c>
      <c r="C192" s="82" t="s">
        <v>79</v>
      </c>
      <c r="D192" s="81" t="s">
        <v>1</v>
      </c>
      <c r="E192" s="140">
        <v>1.958333333333333</v>
      </c>
      <c r="F192" s="81" t="s">
        <v>49</v>
      </c>
      <c r="G192" s="83">
        <v>9</v>
      </c>
      <c r="H192" s="137">
        <v>439</v>
      </c>
      <c r="I192" s="2"/>
    </row>
    <row r="193" spans="1:9" ht="19.8" customHeight="1" x14ac:dyDescent="0.3">
      <c r="A193" s="139">
        <v>46006</v>
      </c>
      <c r="B193" s="81" t="s">
        <v>35</v>
      </c>
      <c r="C193" s="82" t="s">
        <v>36</v>
      </c>
      <c r="D193" s="81" t="s">
        <v>1</v>
      </c>
      <c r="E193" s="140">
        <v>1.2013888888888891</v>
      </c>
      <c r="F193" s="81" t="s">
        <v>40</v>
      </c>
      <c r="G193" s="83">
        <v>9</v>
      </c>
      <c r="H193" s="137">
        <v>449</v>
      </c>
      <c r="I193" s="2"/>
    </row>
    <row r="194" spans="1:9" ht="19.8" customHeight="1" x14ac:dyDescent="0.3">
      <c r="A194" s="139">
        <v>46006</v>
      </c>
      <c r="B194" s="81" t="s">
        <v>26</v>
      </c>
      <c r="C194" s="82" t="s">
        <v>27</v>
      </c>
      <c r="D194" s="81" t="s">
        <v>1</v>
      </c>
      <c r="E194" s="140">
        <v>1.305555555555556</v>
      </c>
      <c r="F194" s="81" t="s">
        <v>31</v>
      </c>
      <c r="G194" s="83">
        <v>12</v>
      </c>
      <c r="H194" s="137">
        <v>487</v>
      </c>
      <c r="I194" s="2"/>
    </row>
    <row r="195" spans="1:9" ht="19.8" customHeight="1" x14ac:dyDescent="0.3">
      <c r="A195" s="139">
        <v>46006</v>
      </c>
      <c r="B195" s="81" t="s">
        <v>35</v>
      </c>
      <c r="C195" s="82" t="s">
        <v>43</v>
      </c>
      <c r="D195" s="81" t="s">
        <v>1</v>
      </c>
      <c r="E195" s="140">
        <v>1.836805555555556</v>
      </c>
      <c r="F195" s="81" t="s">
        <v>40</v>
      </c>
      <c r="G195" s="83">
        <v>9</v>
      </c>
      <c r="H195" s="137">
        <v>509</v>
      </c>
      <c r="I195" s="2"/>
    </row>
    <row r="196" spans="1:9" ht="19.8" customHeight="1" x14ac:dyDescent="0.3">
      <c r="A196" s="139">
        <v>46006</v>
      </c>
      <c r="B196" s="81" t="s">
        <v>35</v>
      </c>
      <c r="C196" s="82" t="s">
        <v>36</v>
      </c>
      <c r="D196" s="81" t="s">
        <v>1</v>
      </c>
      <c r="E196" s="140">
        <v>1.2013888888888891</v>
      </c>
      <c r="F196" s="81" t="s">
        <v>33</v>
      </c>
      <c r="G196" s="83">
        <v>9</v>
      </c>
      <c r="H196" s="137">
        <v>539</v>
      </c>
      <c r="I196" s="2"/>
    </row>
    <row r="197" spans="1:9" ht="19.8" customHeight="1" x14ac:dyDescent="0.3">
      <c r="A197" s="139">
        <v>46006</v>
      </c>
      <c r="B197" s="81" t="s">
        <v>58</v>
      </c>
      <c r="C197" s="82" t="s">
        <v>63</v>
      </c>
      <c r="D197" s="81" t="s">
        <v>1</v>
      </c>
      <c r="E197" s="140">
        <v>1.5277777777777779</v>
      </c>
      <c r="F197" s="81" t="s">
        <v>60</v>
      </c>
      <c r="G197" s="83">
        <v>9</v>
      </c>
      <c r="H197" s="137">
        <v>547</v>
      </c>
      <c r="I197" s="2"/>
    </row>
    <row r="198" spans="1:9" ht="19.8" customHeight="1" x14ac:dyDescent="0.3">
      <c r="A198" s="139">
        <v>46006</v>
      </c>
      <c r="B198" s="81" t="s">
        <v>35</v>
      </c>
      <c r="C198" s="82" t="s">
        <v>43</v>
      </c>
      <c r="D198" s="81" t="s">
        <v>1</v>
      </c>
      <c r="E198" s="140">
        <v>1.836805555555556</v>
      </c>
      <c r="F198" s="81" t="s">
        <v>33</v>
      </c>
      <c r="G198" s="83">
        <v>9</v>
      </c>
      <c r="H198" s="137">
        <v>599</v>
      </c>
      <c r="I198" s="2"/>
    </row>
    <row r="199" spans="1:9" ht="19.8" customHeight="1" x14ac:dyDescent="0.3">
      <c r="A199" s="139">
        <v>46006</v>
      </c>
      <c r="B199" s="81" t="s">
        <v>26</v>
      </c>
      <c r="C199" s="82" t="s">
        <v>27</v>
      </c>
      <c r="D199" s="81" t="s">
        <v>1</v>
      </c>
      <c r="E199" s="140">
        <v>1.305555555555556</v>
      </c>
      <c r="F199" s="81" t="s">
        <v>33</v>
      </c>
      <c r="G199" s="83">
        <v>12</v>
      </c>
      <c r="H199" s="137">
        <v>899</v>
      </c>
      <c r="I199" s="2"/>
    </row>
    <row r="200" spans="1:9" ht="19.8" customHeight="1" x14ac:dyDescent="0.3">
      <c r="A200" s="141">
        <v>46006</v>
      </c>
      <c r="B200" s="89" t="s">
        <v>65</v>
      </c>
      <c r="C200" s="90" t="s">
        <v>66</v>
      </c>
      <c r="D200" s="89" t="s">
        <v>1</v>
      </c>
      <c r="E200" s="142">
        <v>1.305555555555556</v>
      </c>
      <c r="F200" s="89" t="s">
        <v>67</v>
      </c>
      <c r="G200" s="91">
        <v>4</v>
      </c>
      <c r="H200" s="92" t="s">
        <v>120</v>
      </c>
      <c r="I200" s="2"/>
    </row>
    <row r="201" spans="1:9" ht="19.8" customHeight="1" x14ac:dyDescent="0.3">
      <c r="A201" s="139">
        <v>46007</v>
      </c>
      <c r="B201" s="81" t="s">
        <v>26</v>
      </c>
      <c r="C201" s="82" t="s">
        <v>27</v>
      </c>
      <c r="D201" s="81" t="s">
        <v>1</v>
      </c>
      <c r="E201" s="140">
        <v>1.305555555555556</v>
      </c>
      <c r="F201" s="81" t="s">
        <v>28</v>
      </c>
      <c r="G201" s="83">
        <v>17</v>
      </c>
      <c r="H201" s="137">
        <v>309</v>
      </c>
      <c r="I201" s="2"/>
    </row>
    <row r="202" spans="1:9" ht="19.8" customHeight="1" x14ac:dyDescent="0.3">
      <c r="A202" s="139">
        <v>46007</v>
      </c>
      <c r="B202" s="81" t="s">
        <v>35</v>
      </c>
      <c r="C202" s="82" t="s">
        <v>36</v>
      </c>
      <c r="D202" s="81" t="s">
        <v>1</v>
      </c>
      <c r="E202" s="140">
        <v>1.2013888888888891</v>
      </c>
      <c r="F202" s="81" t="s">
        <v>37</v>
      </c>
      <c r="G202" s="83">
        <v>9</v>
      </c>
      <c r="H202" s="137">
        <v>349</v>
      </c>
      <c r="I202" s="2"/>
    </row>
    <row r="203" spans="1:9" ht="19.8" customHeight="1" x14ac:dyDescent="0.3">
      <c r="A203" s="139">
        <v>46007</v>
      </c>
      <c r="B203" s="81" t="s">
        <v>35</v>
      </c>
      <c r="C203" s="82" t="s">
        <v>43</v>
      </c>
      <c r="D203" s="81" t="s">
        <v>1</v>
      </c>
      <c r="E203" s="140">
        <v>1.836805555555556</v>
      </c>
      <c r="F203" s="81" t="s">
        <v>37</v>
      </c>
      <c r="G203" s="83">
        <v>4</v>
      </c>
      <c r="H203" s="137">
        <v>379</v>
      </c>
      <c r="I203" s="2"/>
    </row>
    <row r="204" spans="1:9" ht="19.8" customHeight="1" x14ac:dyDescent="0.3">
      <c r="A204" s="143">
        <v>46007</v>
      </c>
      <c r="B204" s="85" t="s">
        <v>52</v>
      </c>
      <c r="C204" s="86" t="s">
        <v>53</v>
      </c>
      <c r="D204" s="85" t="s">
        <v>1</v>
      </c>
      <c r="E204" s="144">
        <v>1.270833333333333</v>
      </c>
      <c r="F204" s="85" t="s">
        <v>49</v>
      </c>
      <c r="G204" s="87">
        <v>9</v>
      </c>
      <c r="H204" s="138">
        <v>379</v>
      </c>
      <c r="I204" s="2"/>
    </row>
    <row r="205" spans="1:9" ht="19.8" customHeight="1" x14ac:dyDescent="0.3">
      <c r="A205" s="139">
        <v>46007</v>
      </c>
      <c r="B205" s="81" t="s">
        <v>47</v>
      </c>
      <c r="C205" s="82" t="s">
        <v>48</v>
      </c>
      <c r="D205" s="81" t="s">
        <v>1</v>
      </c>
      <c r="E205" s="140">
        <v>1.958333333333333</v>
      </c>
      <c r="F205" s="81" t="s">
        <v>49</v>
      </c>
      <c r="G205" s="83">
        <v>9</v>
      </c>
      <c r="H205" s="137">
        <v>379</v>
      </c>
      <c r="I205" s="2"/>
    </row>
    <row r="206" spans="1:9" ht="19.8" customHeight="1" x14ac:dyDescent="0.3">
      <c r="A206" s="139">
        <v>46007</v>
      </c>
      <c r="B206" s="81" t="s">
        <v>58</v>
      </c>
      <c r="C206" s="82" t="s">
        <v>61</v>
      </c>
      <c r="D206" s="81" t="s">
        <v>1</v>
      </c>
      <c r="E206" s="140">
        <v>1.864583333333333</v>
      </c>
      <c r="F206" s="81" t="s">
        <v>85</v>
      </c>
      <c r="G206" s="83">
        <v>9</v>
      </c>
      <c r="H206" s="137">
        <v>411</v>
      </c>
      <c r="I206" s="2"/>
    </row>
    <row r="207" spans="1:9" ht="19.8" customHeight="1" x14ac:dyDescent="0.3">
      <c r="A207" s="139">
        <v>46007</v>
      </c>
      <c r="B207" s="81" t="s">
        <v>58</v>
      </c>
      <c r="C207" s="82" t="s">
        <v>63</v>
      </c>
      <c r="D207" s="81" t="s">
        <v>1</v>
      </c>
      <c r="E207" s="140">
        <v>1.5277777777777779</v>
      </c>
      <c r="F207" s="81" t="s">
        <v>85</v>
      </c>
      <c r="G207" s="83">
        <v>9</v>
      </c>
      <c r="H207" s="137">
        <v>411</v>
      </c>
      <c r="I207" s="2"/>
    </row>
    <row r="208" spans="1:9" ht="19.8" customHeight="1" x14ac:dyDescent="0.3">
      <c r="A208" s="139">
        <v>46007</v>
      </c>
      <c r="B208" s="81" t="s">
        <v>58</v>
      </c>
      <c r="C208" s="82" t="s">
        <v>59</v>
      </c>
      <c r="D208" s="81" t="s">
        <v>1</v>
      </c>
      <c r="E208" s="140">
        <v>1.1701388888888891</v>
      </c>
      <c r="F208" s="81" t="s">
        <v>85</v>
      </c>
      <c r="G208" s="83">
        <v>9</v>
      </c>
      <c r="H208" s="137">
        <v>411</v>
      </c>
      <c r="I208" s="2"/>
    </row>
    <row r="209" spans="1:9" ht="19.8" customHeight="1" x14ac:dyDescent="0.3">
      <c r="A209" s="139">
        <v>46007</v>
      </c>
      <c r="B209" s="81" t="s">
        <v>35</v>
      </c>
      <c r="C209" s="82" t="s">
        <v>36</v>
      </c>
      <c r="D209" s="81" t="s">
        <v>1</v>
      </c>
      <c r="E209" s="140">
        <v>1.2013888888888891</v>
      </c>
      <c r="F209" s="81" t="s">
        <v>40</v>
      </c>
      <c r="G209" s="83">
        <v>9</v>
      </c>
      <c r="H209" s="137">
        <v>449</v>
      </c>
      <c r="I209" s="2"/>
    </row>
    <row r="210" spans="1:9" ht="19.8" customHeight="1" x14ac:dyDescent="0.3">
      <c r="A210" s="139">
        <v>46007</v>
      </c>
      <c r="B210" s="81" t="s">
        <v>35</v>
      </c>
      <c r="C210" s="82" t="s">
        <v>43</v>
      </c>
      <c r="D210" s="81" t="s">
        <v>1</v>
      </c>
      <c r="E210" s="140">
        <v>1.836805555555556</v>
      </c>
      <c r="F210" s="81" t="s">
        <v>40</v>
      </c>
      <c r="G210" s="83">
        <v>4</v>
      </c>
      <c r="H210" s="137">
        <v>479</v>
      </c>
      <c r="I210" s="2"/>
    </row>
    <row r="211" spans="1:9" ht="19.8" customHeight="1" x14ac:dyDescent="0.3">
      <c r="A211" s="139">
        <v>46007</v>
      </c>
      <c r="B211" s="81" t="s">
        <v>26</v>
      </c>
      <c r="C211" s="82" t="s">
        <v>27</v>
      </c>
      <c r="D211" s="81" t="s">
        <v>1</v>
      </c>
      <c r="E211" s="140">
        <v>1.305555555555556</v>
      </c>
      <c r="F211" s="81" t="s">
        <v>31</v>
      </c>
      <c r="G211" s="83">
        <v>17</v>
      </c>
      <c r="H211" s="137">
        <v>487</v>
      </c>
      <c r="I211" s="2"/>
    </row>
    <row r="212" spans="1:9" ht="19.8" customHeight="1" x14ac:dyDescent="0.3">
      <c r="A212" s="139">
        <v>46007</v>
      </c>
      <c r="B212" s="81" t="s">
        <v>35</v>
      </c>
      <c r="C212" s="82" t="s">
        <v>36</v>
      </c>
      <c r="D212" s="81" t="s">
        <v>1</v>
      </c>
      <c r="E212" s="140">
        <v>1.2013888888888891</v>
      </c>
      <c r="F212" s="81" t="s">
        <v>33</v>
      </c>
      <c r="G212" s="83">
        <v>9</v>
      </c>
      <c r="H212" s="137">
        <v>539</v>
      </c>
      <c r="I212" s="2"/>
    </row>
    <row r="213" spans="1:9" ht="19.8" customHeight="1" x14ac:dyDescent="0.3">
      <c r="A213" s="139">
        <v>46007</v>
      </c>
      <c r="B213" s="81" t="s">
        <v>35</v>
      </c>
      <c r="C213" s="82" t="s">
        <v>43</v>
      </c>
      <c r="D213" s="81" t="s">
        <v>1</v>
      </c>
      <c r="E213" s="140">
        <v>1.836805555555556</v>
      </c>
      <c r="F213" s="81" t="s">
        <v>33</v>
      </c>
      <c r="G213" s="83">
        <v>4</v>
      </c>
      <c r="H213" s="137">
        <v>569</v>
      </c>
      <c r="I213" s="2"/>
    </row>
    <row r="214" spans="1:9" ht="19.8" customHeight="1" x14ac:dyDescent="0.3">
      <c r="A214" s="139">
        <v>46007</v>
      </c>
      <c r="B214" s="81" t="s">
        <v>26</v>
      </c>
      <c r="C214" s="82" t="s">
        <v>27</v>
      </c>
      <c r="D214" s="81" t="s">
        <v>1</v>
      </c>
      <c r="E214" s="140">
        <v>1.305555555555556</v>
      </c>
      <c r="F214" s="81" t="s">
        <v>33</v>
      </c>
      <c r="G214" s="83">
        <v>17</v>
      </c>
      <c r="H214" s="137">
        <v>899</v>
      </c>
      <c r="I214" s="2"/>
    </row>
    <row r="215" spans="1:9" ht="19.8" customHeight="1" x14ac:dyDescent="0.3">
      <c r="A215" s="141">
        <v>46007</v>
      </c>
      <c r="B215" s="89" t="s">
        <v>65</v>
      </c>
      <c r="C215" s="90" t="s">
        <v>66</v>
      </c>
      <c r="D215" s="89" t="s">
        <v>1</v>
      </c>
      <c r="E215" s="142">
        <v>1.305555555555556</v>
      </c>
      <c r="F215" s="89" t="s">
        <v>67</v>
      </c>
      <c r="G215" s="91">
        <v>4</v>
      </c>
      <c r="H215" s="92" t="s">
        <v>120</v>
      </c>
      <c r="I215" s="2"/>
    </row>
    <row r="216" spans="1:9" ht="19.8" customHeight="1" x14ac:dyDescent="0.3">
      <c r="A216" s="139">
        <v>46008</v>
      </c>
      <c r="B216" s="81" t="s">
        <v>26</v>
      </c>
      <c r="C216" s="82" t="s">
        <v>27</v>
      </c>
      <c r="D216" s="81" t="s">
        <v>1</v>
      </c>
      <c r="E216" s="140">
        <v>1.305555555555556</v>
      </c>
      <c r="F216" s="81" t="s">
        <v>28</v>
      </c>
      <c r="G216" s="83">
        <v>15</v>
      </c>
      <c r="H216" s="137">
        <v>309</v>
      </c>
      <c r="I216" s="2"/>
    </row>
    <row r="217" spans="1:9" ht="19.8" customHeight="1" x14ac:dyDescent="0.3">
      <c r="A217" s="139">
        <v>46008</v>
      </c>
      <c r="B217" s="81" t="s">
        <v>70</v>
      </c>
      <c r="C217" s="82" t="s">
        <v>71</v>
      </c>
      <c r="D217" s="81" t="s">
        <v>1</v>
      </c>
      <c r="E217" s="140">
        <v>1.9722222222222221</v>
      </c>
      <c r="F217" s="81" t="s">
        <v>72</v>
      </c>
      <c r="G217" s="83">
        <v>9</v>
      </c>
      <c r="H217" s="137">
        <v>348</v>
      </c>
      <c r="I217" s="2"/>
    </row>
    <row r="218" spans="1:9" ht="19.8" customHeight="1" x14ac:dyDescent="0.3">
      <c r="A218" s="139">
        <v>46008</v>
      </c>
      <c r="B218" s="81" t="s">
        <v>47</v>
      </c>
      <c r="C218" s="82" t="s">
        <v>79</v>
      </c>
      <c r="D218" s="81" t="s">
        <v>1</v>
      </c>
      <c r="E218" s="140">
        <v>1.895833333333333</v>
      </c>
      <c r="F218" s="81" t="s">
        <v>49</v>
      </c>
      <c r="G218" s="83">
        <v>9</v>
      </c>
      <c r="H218" s="137">
        <v>379</v>
      </c>
      <c r="I218" s="2"/>
    </row>
    <row r="219" spans="1:9" ht="19.8" customHeight="1" x14ac:dyDescent="0.3">
      <c r="A219" s="139">
        <v>46008</v>
      </c>
      <c r="B219" s="81" t="s">
        <v>35</v>
      </c>
      <c r="C219" s="82" t="s">
        <v>43</v>
      </c>
      <c r="D219" s="81" t="s">
        <v>1</v>
      </c>
      <c r="E219" s="140">
        <v>1.850694444444444</v>
      </c>
      <c r="F219" s="81" t="s">
        <v>37</v>
      </c>
      <c r="G219" s="83">
        <v>2</v>
      </c>
      <c r="H219" s="137">
        <v>379</v>
      </c>
      <c r="I219" s="2"/>
    </row>
    <row r="220" spans="1:9" ht="19.8" customHeight="1" x14ac:dyDescent="0.3">
      <c r="A220" s="139">
        <v>46008</v>
      </c>
      <c r="B220" s="81" t="s">
        <v>58</v>
      </c>
      <c r="C220" s="82" t="s">
        <v>63</v>
      </c>
      <c r="D220" s="81" t="s">
        <v>1</v>
      </c>
      <c r="E220" s="140">
        <v>1.5277777777777779</v>
      </c>
      <c r="F220" s="81" t="s">
        <v>85</v>
      </c>
      <c r="G220" s="83">
        <v>9</v>
      </c>
      <c r="H220" s="137">
        <v>411</v>
      </c>
      <c r="I220" s="2"/>
    </row>
    <row r="221" spans="1:9" ht="19.8" customHeight="1" x14ac:dyDescent="0.3">
      <c r="A221" s="139">
        <v>46008</v>
      </c>
      <c r="B221" s="81" t="s">
        <v>58</v>
      </c>
      <c r="C221" s="82" t="s">
        <v>59</v>
      </c>
      <c r="D221" s="81" t="s">
        <v>1</v>
      </c>
      <c r="E221" s="140">
        <v>1.1701388888888891</v>
      </c>
      <c r="F221" s="81" t="s">
        <v>85</v>
      </c>
      <c r="G221" s="83">
        <v>9</v>
      </c>
      <c r="H221" s="137">
        <v>411</v>
      </c>
      <c r="I221" s="2"/>
    </row>
    <row r="222" spans="1:9" ht="19.8" customHeight="1" x14ac:dyDescent="0.3">
      <c r="A222" s="139">
        <v>46008</v>
      </c>
      <c r="B222" s="81" t="s">
        <v>76</v>
      </c>
      <c r="C222" s="82" t="s">
        <v>77</v>
      </c>
      <c r="D222" s="81" t="s">
        <v>1</v>
      </c>
      <c r="E222" s="140">
        <v>1.0902777777777779</v>
      </c>
      <c r="F222" s="81" t="s">
        <v>49</v>
      </c>
      <c r="G222" s="83">
        <v>9</v>
      </c>
      <c r="H222" s="137">
        <v>425</v>
      </c>
      <c r="I222" s="2"/>
    </row>
    <row r="223" spans="1:9" ht="19.8" customHeight="1" x14ac:dyDescent="0.3">
      <c r="A223" s="139">
        <v>46008</v>
      </c>
      <c r="B223" s="81" t="s">
        <v>70</v>
      </c>
      <c r="C223" s="82" t="s">
        <v>71</v>
      </c>
      <c r="D223" s="81" t="s">
        <v>1</v>
      </c>
      <c r="E223" s="140">
        <v>1.9722222222222221</v>
      </c>
      <c r="F223" s="81" t="s">
        <v>74</v>
      </c>
      <c r="G223" s="83">
        <v>9</v>
      </c>
      <c r="H223" s="137">
        <v>472</v>
      </c>
      <c r="I223" s="2"/>
    </row>
    <row r="224" spans="1:9" ht="19.8" customHeight="1" x14ac:dyDescent="0.3">
      <c r="A224" s="139">
        <v>46008</v>
      </c>
      <c r="B224" s="81" t="s">
        <v>35</v>
      </c>
      <c r="C224" s="82" t="s">
        <v>43</v>
      </c>
      <c r="D224" s="81" t="s">
        <v>1</v>
      </c>
      <c r="E224" s="140">
        <v>1.850694444444444</v>
      </c>
      <c r="F224" s="81" t="s">
        <v>40</v>
      </c>
      <c r="G224" s="83">
        <v>2</v>
      </c>
      <c r="H224" s="137">
        <v>479</v>
      </c>
      <c r="I224" s="2"/>
    </row>
    <row r="225" spans="1:9" ht="19.8" customHeight="1" x14ac:dyDescent="0.3">
      <c r="A225" s="139">
        <v>46008</v>
      </c>
      <c r="B225" s="81" t="s">
        <v>26</v>
      </c>
      <c r="C225" s="82" t="s">
        <v>27</v>
      </c>
      <c r="D225" s="81" t="s">
        <v>1</v>
      </c>
      <c r="E225" s="140">
        <v>1.305555555555556</v>
      </c>
      <c r="F225" s="81" t="s">
        <v>31</v>
      </c>
      <c r="G225" s="83">
        <v>15</v>
      </c>
      <c r="H225" s="137">
        <v>487</v>
      </c>
      <c r="I225" s="2"/>
    </row>
    <row r="226" spans="1:9" ht="19.8" customHeight="1" x14ac:dyDescent="0.3">
      <c r="A226" s="139">
        <v>46008</v>
      </c>
      <c r="B226" s="81" t="s">
        <v>58</v>
      </c>
      <c r="C226" s="82" t="s">
        <v>61</v>
      </c>
      <c r="D226" s="81" t="s">
        <v>1</v>
      </c>
      <c r="E226" s="140">
        <v>1.864583333333333</v>
      </c>
      <c r="F226" s="81" t="s">
        <v>60</v>
      </c>
      <c r="G226" s="83">
        <v>9</v>
      </c>
      <c r="H226" s="137">
        <v>547</v>
      </c>
      <c r="I226" s="2"/>
    </row>
    <row r="227" spans="1:9" ht="19.8" customHeight="1" x14ac:dyDescent="0.3">
      <c r="A227" s="139">
        <v>46008</v>
      </c>
      <c r="B227" s="81" t="s">
        <v>35</v>
      </c>
      <c r="C227" s="82" t="s">
        <v>43</v>
      </c>
      <c r="D227" s="81" t="s">
        <v>1</v>
      </c>
      <c r="E227" s="140">
        <v>1.850694444444444</v>
      </c>
      <c r="F227" s="81" t="s">
        <v>33</v>
      </c>
      <c r="G227" s="83">
        <v>2</v>
      </c>
      <c r="H227" s="137">
        <v>569</v>
      </c>
      <c r="I227" s="2"/>
    </row>
    <row r="228" spans="1:9" ht="19.8" customHeight="1" x14ac:dyDescent="0.3">
      <c r="A228" s="139">
        <v>46008</v>
      </c>
      <c r="B228" s="81" t="s">
        <v>26</v>
      </c>
      <c r="C228" s="82" t="s">
        <v>27</v>
      </c>
      <c r="D228" s="81" t="s">
        <v>1</v>
      </c>
      <c r="E228" s="140">
        <v>1.305555555555556</v>
      </c>
      <c r="F228" s="81" t="s">
        <v>33</v>
      </c>
      <c r="G228" s="83">
        <v>15</v>
      </c>
      <c r="H228" s="137">
        <v>899</v>
      </c>
      <c r="I228" s="2"/>
    </row>
    <row r="229" spans="1:9" ht="19.8" customHeight="1" x14ac:dyDescent="0.3">
      <c r="A229" s="141">
        <v>46008</v>
      </c>
      <c r="B229" s="89" t="s">
        <v>65</v>
      </c>
      <c r="C229" s="90" t="s">
        <v>66</v>
      </c>
      <c r="D229" s="89" t="s">
        <v>1</v>
      </c>
      <c r="E229" s="142">
        <v>1.305555555555556</v>
      </c>
      <c r="F229" s="89" t="s">
        <v>67</v>
      </c>
      <c r="G229" s="91">
        <v>4</v>
      </c>
      <c r="H229" s="92" t="s">
        <v>120</v>
      </c>
      <c r="I229" s="2"/>
    </row>
    <row r="230" spans="1:9" ht="19.8" customHeight="1" x14ac:dyDescent="0.3">
      <c r="A230" s="139">
        <v>46009</v>
      </c>
      <c r="B230" s="81" t="s">
        <v>35</v>
      </c>
      <c r="C230" s="82" t="s">
        <v>36</v>
      </c>
      <c r="D230" s="81" t="s">
        <v>1</v>
      </c>
      <c r="E230" s="140">
        <v>1.2013888888888891</v>
      </c>
      <c r="F230" s="81" t="s">
        <v>37</v>
      </c>
      <c r="G230" s="83">
        <v>9</v>
      </c>
      <c r="H230" s="137">
        <v>349</v>
      </c>
      <c r="I230" s="2"/>
    </row>
    <row r="231" spans="1:9" ht="19.8" customHeight="1" x14ac:dyDescent="0.3">
      <c r="A231" s="139">
        <v>46009</v>
      </c>
      <c r="B231" s="81" t="s">
        <v>26</v>
      </c>
      <c r="C231" s="82" t="s">
        <v>27</v>
      </c>
      <c r="D231" s="81" t="s">
        <v>1</v>
      </c>
      <c r="E231" s="140">
        <v>1.305555555555556</v>
      </c>
      <c r="F231" s="81" t="s">
        <v>28</v>
      </c>
      <c r="G231" s="83">
        <v>6</v>
      </c>
      <c r="H231" s="137">
        <v>369</v>
      </c>
      <c r="I231" s="2"/>
    </row>
    <row r="232" spans="1:9" ht="19.8" customHeight="1" x14ac:dyDescent="0.3">
      <c r="A232" s="139">
        <v>46009</v>
      </c>
      <c r="B232" s="81" t="s">
        <v>58</v>
      </c>
      <c r="C232" s="82" t="s">
        <v>59</v>
      </c>
      <c r="D232" s="81" t="s">
        <v>1</v>
      </c>
      <c r="E232" s="140">
        <v>1.1701388888888891</v>
      </c>
      <c r="F232" s="81" t="s">
        <v>85</v>
      </c>
      <c r="G232" s="83">
        <v>9</v>
      </c>
      <c r="H232" s="137">
        <v>411</v>
      </c>
      <c r="I232" s="2"/>
    </row>
    <row r="233" spans="1:9" ht="19.8" customHeight="1" x14ac:dyDescent="0.3">
      <c r="A233" s="139">
        <v>46009</v>
      </c>
      <c r="B233" s="81" t="s">
        <v>76</v>
      </c>
      <c r="C233" s="82" t="s">
        <v>77</v>
      </c>
      <c r="D233" s="81" t="s">
        <v>1</v>
      </c>
      <c r="E233" s="140">
        <v>1.913194444444444</v>
      </c>
      <c r="F233" s="81" t="s">
        <v>49</v>
      </c>
      <c r="G233" s="83">
        <v>6</v>
      </c>
      <c r="H233" s="137">
        <v>425</v>
      </c>
      <c r="I233" s="2"/>
    </row>
    <row r="234" spans="1:9" ht="19.8" customHeight="1" x14ac:dyDescent="0.3">
      <c r="A234" s="139">
        <v>46009</v>
      </c>
      <c r="B234" s="81" t="s">
        <v>47</v>
      </c>
      <c r="C234" s="82" t="s">
        <v>48</v>
      </c>
      <c r="D234" s="81" t="s">
        <v>1</v>
      </c>
      <c r="E234" s="140">
        <v>1.958333333333333</v>
      </c>
      <c r="F234" s="81" t="s">
        <v>49</v>
      </c>
      <c r="G234" s="83">
        <v>9</v>
      </c>
      <c r="H234" s="137">
        <v>439</v>
      </c>
      <c r="I234" s="2"/>
    </row>
    <row r="235" spans="1:9" ht="19.8" customHeight="1" x14ac:dyDescent="0.3">
      <c r="A235" s="139">
        <v>46009</v>
      </c>
      <c r="B235" s="81" t="s">
        <v>35</v>
      </c>
      <c r="C235" s="82" t="s">
        <v>36</v>
      </c>
      <c r="D235" s="81" t="s">
        <v>1</v>
      </c>
      <c r="E235" s="140">
        <v>1.2013888888888891</v>
      </c>
      <c r="F235" s="81" t="s">
        <v>40</v>
      </c>
      <c r="G235" s="83">
        <v>9</v>
      </c>
      <c r="H235" s="137">
        <v>449</v>
      </c>
      <c r="I235" s="2"/>
    </row>
    <row r="236" spans="1:9" ht="19.8" customHeight="1" x14ac:dyDescent="0.3">
      <c r="A236" s="143">
        <v>46009</v>
      </c>
      <c r="B236" s="85" t="s">
        <v>52</v>
      </c>
      <c r="C236" s="86" t="s">
        <v>53</v>
      </c>
      <c r="D236" s="85" t="s">
        <v>1</v>
      </c>
      <c r="E236" s="144">
        <v>1.9236111111111109</v>
      </c>
      <c r="F236" s="85" t="s">
        <v>49</v>
      </c>
      <c r="G236" s="87">
        <v>9</v>
      </c>
      <c r="H236" s="138">
        <v>476</v>
      </c>
      <c r="I236" s="2"/>
    </row>
    <row r="237" spans="1:9" ht="19.8" customHeight="1" x14ac:dyDescent="0.3">
      <c r="A237" s="139">
        <v>46009</v>
      </c>
      <c r="B237" s="81" t="s">
        <v>35</v>
      </c>
      <c r="C237" s="82" t="s">
        <v>36</v>
      </c>
      <c r="D237" s="81" t="s">
        <v>1</v>
      </c>
      <c r="E237" s="140">
        <v>1.2013888888888891</v>
      </c>
      <c r="F237" s="81" t="s">
        <v>33</v>
      </c>
      <c r="G237" s="83">
        <v>9</v>
      </c>
      <c r="H237" s="137">
        <v>539</v>
      </c>
      <c r="I237" s="2"/>
    </row>
    <row r="238" spans="1:9" ht="19.8" customHeight="1" x14ac:dyDescent="0.3">
      <c r="A238" s="139">
        <v>46009</v>
      </c>
      <c r="B238" s="81" t="s">
        <v>26</v>
      </c>
      <c r="C238" s="82" t="s">
        <v>27</v>
      </c>
      <c r="D238" s="81" t="s">
        <v>1</v>
      </c>
      <c r="E238" s="140">
        <v>1.305555555555556</v>
      </c>
      <c r="F238" s="81" t="s">
        <v>31</v>
      </c>
      <c r="G238" s="83">
        <v>6</v>
      </c>
      <c r="H238" s="137">
        <v>547</v>
      </c>
      <c r="I238" s="2"/>
    </row>
    <row r="239" spans="1:9" ht="19.8" customHeight="1" x14ac:dyDescent="0.3">
      <c r="A239" s="139">
        <v>46009</v>
      </c>
      <c r="B239" s="81" t="s">
        <v>58</v>
      </c>
      <c r="C239" s="82" t="s">
        <v>63</v>
      </c>
      <c r="D239" s="81" t="s">
        <v>1</v>
      </c>
      <c r="E239" s="140">
        <v>1.5277777777777779</v>
      </c>
      <c r="F239" s="81" t="s">
        <v>60</v>
      </c>
      <c r="G239" s="83">
        <v>9</v>
      </c>
      <c r="H239" s="137">
        <v>547</v>
      </c>
      <c r="I239" s="2"/>
    </row>
    <row r="240" spans="1:9" ht="19.8" customHeight="1" x14ac:dyDescent="0.3">
      <c r="A240" s="139">
        <v>46009</v>
      </c>
      <c r="B240" s="81" t="s">
        <v>35</v>
      </c>
      <c r="C240" s="82" t="s">
        <v>43</v>
      </c>
      <c r="D240" s="81" t="s">
        <v>1</v>
      </c>
      <c r="E240" s="140">
        <v>1.836805555555556</v>
      </c>
      <c r="F240" s="81" t="s">
        <v>37</v>
      </c>
      <c r="G240" s="83">
        <v>6</v>
      </c>
      <c r="H240" s="137">
        <v>559</v>
      </c>
      <c r="I240" s="2"/>
    </row>
    <row r="241" spans="1:9" ht="19.8" customHeight="1" x14ac:dyDescent="0.3">
      <c r="A241" s="139">
        <v>46009</v>
      </c>
      <c r="B241" s="81" t="s">
        <v>58</v>
      </c>
      <c r="C241" s="82" t="s">
        <v>61</v>
      </c>
      <c r="D241" s="81" t="s">
        <v>1</v>
      </c>
      <c r="E241" s="140">
        <v>1.864583333333333</v>
      </c>
      <c r="F241" s="81" t="s">
        <v>60</v>
      </c>
      <c r="G241" s="83">
        <v>9</v>
      </c>
      <c r="H241" s="137">
        <v>592</v>
      </c>
      <c r="I241" s="2"/>
    </row>
    <row r="242" spans="1:9" ht="19.8" customHeight="1" x14ac:dyDescent="0.3">
      <c r="A242" s="139">
        <v>46009</v>
      </c>
      <c r="B242" s="81" t="s">
        <v>35</v>
      </c>
      <c r="C242" s="82" t="s">
        <v>43</v>
      </c>
      <c r="D242" s="81" t="s">
        <v>1</v>
      </c>
      <c r="E242" s="140">
        <v>1.836805555555556</v>
      </c>
      <c r="F242" s="81" t="s">
        <v>40</v>
      </c>
      <c r="G242" s="83">
        <v>6</v>
      </c>
      <c r="H242" s="137">
        <v>659</v>
      </c>
      <c r="I242" s="2"/>
    </row>
    <row r="243" spans="1:9" ht="19.8" customHeight="1" x14ac:dyDescent="0.3">
      <c r="A243" s="139">
        <v>46009</v>
      </c>
      <c r="B243" s="81" t="s">
        <v>35</v>
      </c>
      <c r="C243" s="82" t="s">
        <v>43</v>
      </c>
      <c r="D243" s="81" t="s">
        <v>1</v>
      </c>
      <c r="E243" s="140">
        <v>1.836805555555556</v>
      </c>
      <c r="F243" s="81" t="s">
        <v>33</v>
      </c>
      <c r="G243" s="83">
        <v>6</v>
      </c>
      <c r="H243" s="137">
        <v>749</v>
      </c>
      <c r="I243" s="2"/>
    </row>
    <row r="244" spans="1:9" ht="19.8" customHeight="1" x14ac:dyDescent="0.3">
      <c r="A244" s="139">
        <v>46009</v>
      </c>
      <c r="B244" s="81" t="s">
        <v>26</v>
      </c>
      <c r="C244" s="82" t="s">
        <v>27</v>
      </c>
      <c r="D244" s="81" t="s">
        <v>1</v>
      </c>
      <c r="E244" s="140">
        <v>1.305555555555556</v>
      </c>
      <c r="F244" s="81" t="s">
        <v>33</v>
      </c>
      <c r="G244" s="83">
        <v>6</v>
      </c>
      <c r="H244" s="137">
        <v>899</v>
      </c>
      <c r="I244" s="2"/>
    </row>
    <row r="245" spans="1:9" ht="19.8" customHeight="1" x14ac:dyDescent="0.3">
      <c r="A245" s="141">
        <v>46009</v>
      </c>
      <c r="B245" s="89" t="s">
        <v>65</v>
      </c>
      <c r="C245" s="90" t="s">
        <v>66</v>
      </c>
      <c r="D245" s="89" t="s">
        <v>1</v>
      </c>
      <c r="E245" s="142">
        <v>1.305555555555556</v>
      </c>
      <c r="F245" s="89" t="s">
        <v>67</v>
      </c>
      <c r="G245" s="91">
        <v>4</v>
      </c>
      <c r="H245" s="92" t="s">
        <v>102</v>
      </c>
      <c r="I245" s="2"/>
    </row>
    <row r="246" spans="1:9" ht="19.8" customHeight="1" x14ac:dyDescent="0.3">
      <c r="A246" s="139">
        <v>46010</v>
      </c>
      <c r="B246" s="81" t="s">
        <v>35</v>
      </c>
      <c r="C246" s="82" t="s">
        <v>43</v>
      </c>
      <c r="D246" s="81" t="s">
        <v>1</v>
      </c>
      <c r="E246" s="140">
        <v>1.836805555555556</v>
      </c>
      <c r="F246" s="81" t="s">
        <v>37</v>
      </c>
      <c r="G246" s="83">
        <v>4</v>
      </c>
      <c r="H246" s="137">
        <v>349</v>
      </c>
      <c r="I246" s="2"/>
    </row>
    <row r="247" spans="1:9" ht="19.8" customHeight="1" x14ac:dyDescent="0.3">
      <c r="A247" s="143">
        <v>46010</v>
      </c>
      <c r="B247" s="85" t="s">
        <v>52</v>
      </c>
      <c r="C247" s="86" t="s">
        <v>53</v>
      </c>
      <c r="D247" s="85" t="s">
        <v>1</v>
      </c>
      <c r="E247" s="144">
        <v>1.5798611111111109</v>
      </c>
      <c r="F247" s="85" t="s">
        <v>49</v>
      </c>
      <c r="G247" s="87">
        <v>9</v>
      </c>
      <c r="H247" s="138">
        <v>379</v>
      </c>
      <c r="I247" s="2"/>
    </row>
    <row r="248" spans="1:9" ht="19.8" customHeight="1" x14ac:dyDescent="0.3">
      <c r="A248" s="139">
        <v>46010</v>
      </c>
      <c r="B248" s="81" t="s">
        <v>58</v>
      </c>
      <c r="C248" s="82" t="s">
        <v>61</v>
      </c>
      <c r="D248" s="81" t="s">
        <v>1</v>
      </c>
      <c r="E248" s="140">
        <v>1.864583333333333</v>
      </c>
      <c r="F248" s="81" t="s">
        <v>85</v>
      </c>
      <c r="G248" s="83">
        <v>9</v>
      </c>
      <c r="H248" s="137">
        <v>411</v>
      </c>
      <c r="I248" s="2"/>
    </row>
    <row r="249" spans="1:9" ht="19.8" customHeight="1" x14ac:dyDescent="0.3">
      <c r="A249" s="139">
        <v>46010</v>
      </c>
      <c r="B249" s="81" t="s">
        <v>58</v>
      </c>
      <c r="C249" s="82" t="s">
        <v>59</v>
      </c>
      <c r="D249" s="81" t="s">
        <v>1</v>
      </c>
      <c r="E249" s="140">
        <v>1.1701388888888891</v>
      </c>
      <c r="F249" s="81" t="s">
        <v>85</v>
      </c>
      <c r="G249" s="83">
        <v>9</v>
      </c>
      <c r="H249" s="137">
        <v>411</v>
      </c>
      <c r="I249" s="2"/>
    </row>
    <row r="250" spans="1:9" ht="19.8" customHeight="1" x14ac:dyDescent="0.3">
      <c r="A250" s="139">
        <v>46010</v>
      </c>
      <c r="B250" s="81" t="s">
        <v>26</v>
      </c>
      <c r="C250" s="82" t="s">
        <v>27</v>
      </c>
      <c r="D250" s="81" t="s">
        <v>1</v>
      </c>
      <c r="E250" s="140">
        <v>1.305555555555556</v>
      </c>
      <c r="F250" s="81" t="s">
        <v>28</v>
      </c>
      <c r="G250" s="83">
        <v>8</v>
      </c>
      <c r="H250" s="137">
        <v>429</v>
      </c>
      <c r="I250" s="2"/>
    </row>
    <row r="251" spans="1:9" ht="19.8" customHeight="1" x14ac:dyDescent="0.3">
      <c r="A251" s="139">
        <v>46010</v>
      </c>
      <c r="B251" s="81" t="s">
        <v>47</v>
      </c>
      <c r="C251" s="82" t="s">
        <v>79</v>
      </c>
      <c r="D251" s="81" t="s">
        <v>1</v>
      </c>
      <c r="E251" s="140">
        <v>1.958333333333333</v>
      </c>
      <c r="F251" s="81" t="s">
        <v>49</v>
      </c>
      <c r="G251" s="83">
        <v>9</v>
      </c>
      <c r="H251" s="137">
        <v>439</v>
      </c>
      <c r="I251" s="2"/>
    </row>
    <row r="252" spans="1:9" ht="19.8" customHeight="1" x14ac:dyDescent="0.3">
      <c r="A252" s="139">
        <v>46010</v>
      </c>
      <c r="B252" s="81" t="s">
        <v>35</v>
      </c>
      <c r="C252" s="82" t="s">
        <v>43</v>
      </c>
      <c r="D252" s="81" t="s">
        <v>1</v>
      </c>
      <c r="E252" s="140">
        <v>1.836805555555556</v>
      </c>
      <c r="F252" s="81" t="s">
        <v>40</v>
      </c>
      <c r="G252" s="83">
        <v>4</v>
      </c>
      <c r="H252" s="137">
        <v>449</v>
      </c>
      <c r="I252" s="2"/>
    </row>
    <row r="253" spans="1:9" ht="19.8" customHeight="1" x14ac:dyDescent="0.3">
      <c r="A253" s="139">
        <v>46010</v>
      </c>
      <c r="B253" s="81" t="s">
        <v>35</v>
      </c>
      <c r="C253" s="82" t="s">
        <v>43</v>
      </c>
      <c r="D253" s="81" t="s">
        <v>1</v>
      </c>
      <c r="E253" s="140">
        <v>1.836805555555556</v>
      </c>
      <c r="F253" s="81" t="s">
        <v>33</v>
      </c>
      <c r="G253" s="83">
        <v>4</v>
      </c>
      <c r="H253" s="137">
        <v>539</v>
      </c>
      <c r="I253" s="2"/>
    </row>
    <row r="254" spans="1:9" ht="19.8" customHeight="1" x14ac:dyDescent="0.3">
      <c r="A254" s="139">
        <v>46010</v>
      </c>
      <c r="B254" s="81" t="s">
        <v>58</v>
      </c>
      <c r="C254" s="82" t="s">
        <v>63</v>
      </c>
      <c r="D254" s="81" t="s">
        <v>1</v>
      </c>
      <c r="E254" s="140">
        <v>1.5277777777777779</v>
      </c>
      <c r="F254" s="81" t="s">
        <v>60</v>
      </c>
      <c r="G254" s="83">
        <v>9</v>
      </c>
      <c r="H254" s="137">
        <v>596</v>
      </c>
      <c r="I254" s="2"/>
    </row>
    <row r="255" spans="1:9" ht="19.8" customHeight="1" x14ac:dyDescent="0.3">
      <c r="A255" s="139">
        <v>46010</v>
      </c>
      <c r="B255" s="81" t="s">
        <v>26</v>
      </c>
      <c r="C255" s="82" t="s">
        <v>27</v>
      </c>
      <c r="D255" s="81" t="s">
        <v>1</v>
      </c>
      <c r="E255" s="140">
        <v>1.305555555555556</v>
      </c>
      <c r="F255" s="81" t="s">
        <v>31</v>
      </c>
      <c r="G255" s="83">
        <v>8</v>
      </c>
      <c r="H255" s="137">
        <v>607</v>
      </c>
      <c r="I255" s="2"/>
    </row>
    <row r="256" spans="1:9" ht="19.8" customHeight="1" x14ac:dyDescent="0.3">
      <c r="A256" s="139">
        <v>46010</v>
      </c>
      <c r="B256" s="81" t="s">
        <v>26</v>
      </c>
      <c r="C256" s="82" t="s">
        <v>27</v>
      </c>
      <c r="D256" s="81" t="s">
        <v>1</v>
      </c>
      <c r="E256" s="140">
        <v>1.305555555555556</v>
      </c>
      <c r="F256" s="81" t="s">
        <v>33</v>
      </c>
      <c r="G256" s="83">
        <v>8</v>
      </c>
      <c r="H256" s="88" t="s">
        <v>34</v>
      </c>
      <c r="I256" s="2"/>
    </row>
    <row r="257" spans="1:9" ht="19.8" customHeight="1" x14ac:dyDescent="0.3">
      <c r="A257" s="141">
        <v>46010</v>
      </c>
      <c r="B257" s="89" t="s">
        <v>65</v>
      </c>
      <c r="C257" s="90" t="s">
        <v>66</v>
      </c>
      <c r="D257" s="89" t="s">
        <v>1</v>
      </c>
      <c r="E257" s="142">
        <v>1.305555555555556</v>
      </c>
      <c r="F257" s="89" t="s">
        <v>67</v>
      </c>
      <c r="G257" s="91">
        <v>4</v>
      </c>
      <c r="H257" s="92" t="s">
        <v>136</v>
      </c>
      <c r="I257" s="2"/>
    </row>
    <row r="258" spans="1:9" ht="19.8" customHeight="1" x14ac:dyDescent="0.3">
      <c r="A258" s="139">
        <v>46011</v>
      </c>
      <c r="B258" s="81" t="s">
        <v>26</v>
      </c>
      <c r="C258" s="82" t="s">
        <v>27</v>
      </c>
      <c r="D258" s="81" t="s">
        <v>1</v>
      </c>
      <c r="E258" s="140">
        <v>1.305555555555556</v>
      </c>
      <c r="F258" s="81" t="s">
        <v>28</v>
      </c>
      <c r="G258" s="83">
        <v>20</v>
      </c>
      <c r="H258" s="137">
        <v>309</v>
      </c>
      <c r="I258" s="2"/>
    </row>
    <row r="259" spans="1:9" ht="19.8" customHeight="1" x14ac:dyDescent="0.3">
      <c r="A259" s="139">
        <v>46011</v>
      </c>
      <c r="B259" s="81" t="s">
        <v>35</v>
      </c>
      <c r="C259" s="82" t="s">
        <v>43</v>
      </c>
      <c r="D259" s="81" t="s">
        <v>1</v>
      </c>
      <c r="E259" s="140">
        <v>1.836805555555556</v>
      </c>
      <c r="F259" s="81" t="s">
        <v>37</v>
      </c>
      <c r="G259" s="83">
        <v>1</v>
      </c>
      <c r="H259" s="137">
        <v>349</v>
      </c>
      <c r="I259" s="2"/>
    </row>
    <row r="260" spans="1:9" ht="19.8" customHeight="1" x14ac:dyDescent="0.3">
      <c r="A260" s="139">
        <v>46011</v>
      </c>
      <c r="B260" s="81" t="s">
        <v>35</v>
      </c>
      <c r="C260" s="82" t="s">
        <v>36</v>
      </c>
      <c r="D260" s="81" t="s">
        <v>1</v>
      </c>
      <c r="E260" s="140">
        <v>1.2013888888888891</v>
      </c>
      <c r="F260" s="81" t="s">
        <v>37</v>
      </c>
      <c r="G260" s="83">
        <v>9</v>
      </c>
      <c r="H260" s="137">
        <v>349</v>
      </c>
      <c r="I260" s="2"/>
    </row>
    <row r="261" spans="1:9" ht="19.8" customHeight="1" x14ac:dyDescent="0.3">
      <c r="A261" s="139">
        <v>46011</v>
      </c>
      <c r="B261" s="81" t="s">
        <v>70</v>
      </c>
      <c r="C261" s="82" t="s">
        <v>71</v>
      </c>
      <c r="D261" s="81" t="s">
        <v>1</v>
      </c>
      <c r="E261" s="140">
        <v>1.9722222222222221</v>
      </c>
      <c r="F261" s="81" t="s">
        <v>72</v>
      </c>
      <c r="G261" s="83">
        <v>9</v>
      </c>
      <c r="H261" s="137">
        <v>373</v>
      </c>
      <c r="I261" s="2"/>
    </row>
    <row r="262" spans="1:9" ht="19.8" customHeight="1" x14ac:dyDescent="0.3">
      <c r="A262" s="143">
        <v>46011</v>
      </c>
      <c r="B262" s="85" t="s">
        <v>52</v>
      </c>
      <c r="C262" s="86" t="s">
        <v>53</v>
      </c>
      <c r="D262" s="85" t="s">
        <v>1</v>
      </c>
      <c r="E262" s="144">
        <v>1.9236111111111109</v>
      </c>
      <c r="F262" s="85" t="s">
        <v>49</v>
      </c>
      <c r="G262" s="87">
        <v>7</v>
      </c>
      <c r="H262" s="138">
        <v>379</v>
      </c>
      <c r="I262" s="2"/>
    </row>
    <row r="263" spans="1:9" ht="19.8" customHeight="1" x14ac:dyDescent="0.3">
      <c r="A263" s="139">
        <v>46011</v>
      </c>
      <c r="B263" s="81" t="s">
        <v>58</v>
      </c>
      <c r="C263" s="82" t="s">
        <v>61</v>
      </c>
      <c r="D263" s="81" t="s">
        <v>1</v>
      </c>
      <c r="E263" s="140">
        <v>1.864583333333333</v>
      </c>
      <c r="F263" s="81" t="s">
        <v>85</v>
      </c>
      <c r="G263" s="83">
        <v>9</v>
      </c>
      <c r="H263" s="137">
        <v>411</v>
      </c>
      <c r="I263" s="2"/>
    </row>
    <row r="264" spans="1:9" ht="19.8" customHeight="1" x14ac:dyDescent="0.3">
      <c r="A264" s="139">
        <v>46011</v>
      </c>
      <c r="B264" s="81" t="s">
        <v>58</v>
      </c>
      <c r="C264" s="82" t="s">
        <v>63</v>
      </c>
      <c r="D264" s="81" t="s">
        <v>1</v>
      </c>
      <c r="E264" s="140">
        <v>1.5277777777777779</v>
      </c>
      <c r="F264" s="81" t="s">
        <v>85</v>
      </c>
      <c r="G264" s="83">
        <v>9</v>
      </c>
      <c r="H264" s="137">
        <v>411</v>
      </c>
      <c r="I264" s="2"/>
    </row>
    <row r="265" spans="1:9" ht="19.8" customHeight="1" x14ac:dyDescent="0.3">
      <c r="A265" s="139">
        <v>46011</v>
      </c>
      <c r="B265" s="81" t="s">
        <v>58</v>
      </c>
      <c r="C265" s="82" t="s">
        <v>59</v>
      </c>
      <c r="D265" s="81" t="s">
        <v>1</v>
      </c>
      <c r="E265" s="140">
        <v>1.1701388888888891</v>
      </c>
      <c r="F265" s="81" t="s">
        <v>85</v>
      </c>
      <c r="G265" s="83">
        <v>9</v>
      </c>
      <c r="H265" s="137">
        <v>411</v>
      </c>
      <c r="I265" s="2"/>
    </row>
    <row r="266" spans="1:9" ht="19.8" customHeight="1" x14ac:dyDescent="0.3">
      <c r="A266" s="139">
        <v>46011</v>
      </c>
      <c r="B266" s="81" t="s">
        <v>35</v>
      </c>
      <c r="C266" s="82" t="s">
        <v>43</v>
      </c>
      <c r="D266" s="81" t="s">
        <v>1</v>
      </c>
      <c r="E266" s="140">
        <v>1.836805555555556</v>
      </c>
      <c r="F266" s="81" t="s">
        <v>40</v>
      </c>
      <c r="G266" s="83">
        <v>1</v>
      </c>
      <c r="H266" s="137">
        <v>449</v>
      </c>
      <c r="I266" s="2"/>
    </row>
    <row r="267" spans="1:9" ht="19.8" customHeight="1" x14ac:dyDescent="0.3">
      <c r="A267" s="139">
        <v>46011</v>
      </c>
      <c r="B267" s="81" t="s">
        <v>35</v>
      </c>
      <c r="C267" s="82" t="s">
        <v>36</v>
      </c>
      <c r="D267" s="81" t="s">
        <v>1</v>
      </c>
      <c r="E267" s="140">
        <v>1.2013888888888891</v>
      </c>
      <c r="F267" s="81" t="s">
        <v>40</v>
      </c>
      <c r="G267" s="83">
        <v>9</v>
      </c>
      <c r="H267" s="137">
        <v>449</v>
      </c>
      <c r="I267" s="2"/>
    </row>
    <row r="268" spans="1:9" ht="19.8" customHeight="1" x14ac:dyDescent="0.3">
      <c r="A268" s="139">
        <v>46011</v>
      </c>
      <c r="B268" s="81" t="s">
        <v>26</v>
      </c>
      <c r="C268" s="82" t="s">
        <v>27</v>
      </c>
      <c r="D268" s="81" t="s">
        <v>1</v>
      </c>
      <c r="E268" s="140">
        <v>1.305555555555556</v>
      </c>
      <c r="F268" s="81" t="s">
        <v>31</v>
      </c>
      <c r="G268" s="83">
        <v>20</v>
      </c>
      <c r="H268" s="137">
        <v>487</v>
      </c>
      <c r="I268" s="2"/>
    </row>
    <row r="269" spans="1:9" ht="19.8" customHeight="1" x14ac:dyDescent="0.3">
      <c r="A269" s="139">
        <v>46011</v>
      </c>
      <c r="B269" s="81" t="s">
        <v>70</v>
      </c>
      <c r="C269" s="82" t="s">
        <v>71</v>
      </c>
      <c r="D269" s="81" t="s">
        <v>1</v>
      </c>
      <c r="E269" s="140">
        <v>1.9722222222222221</v>
      </c>
      <c r="F269" s="81" t="s">
        <v>74</v>
      </c>
      <c r="G269" s="83">
        <v>9</v>
      </c>
      <c r="H269" s="137">
        <v>496</v>
      </c>
      <c r="I269" s="2"/>
    </row>
    <row r="270" spans="1:9" ht="19.8" customHeight="1" x14ac:dyDescent="0.3">
      <c r="A270" s="139">
        <v>46011</v>
      </c>
      <c r="B270" s="81" t="s">
        <v>35</v>
      </c>
      <c r="C270" s="82" t="s">
        <v>43</v>
      </c>
      <c r="D270" s="81" t="s">
        <v>1</v>
      </c>
      <c r="E270" s="140">
        <v>1.836805555555556</v>
      </c>
      <c r="F270" s="81" t="s">
        <v>33</v>
      </c>
      <c r="G270" s="83">
        <v>1</v>
      </c>
      <c r="H270" s="137">
        <v>539</v>
      </c>
      <c r="I270" s="2"/>
    </row>
    <row r="271" spans="1:9" ht="19.8" customHeight="1" x14ac:dyDescent="0.3">
      <c r="A271" s="139">
        <v>46011</v>
      </c>
      <c r="B271" s="81" t="s">
        <v>35</v>
      </c>
      <c r="C271" s="82" t="s">
        <v>36</v>
      </c>
      <c r="D271" s="81" t="s">
        <v>1</v>
      </c>
      <c r="E271" s="140">
        <v>1.2013888888888891</v>
      </c>
      <c r="F271" s="81" t="s">
        <v>33</v>
      </c>
      <c r="G271" s="83">
        <v>9</v>
      </c>
      <c r="H271" s="137">
        <v>539</v>
      </c>
      <c r="I271" s="2"/>
    </row>
    <row r="272" spans="1:9" ht="19.8" customHeight="1" x14ac:dyDescent="0.3">
      <c r="A272" s="139">
        <v>46011</v>
      </c>
      <c r="B272" s="81" t="s">
        <v>65</v>
      </c>
      <c r="C272" s="82" t="s">
        <v>66</v>
      </c>
      <c r="D272" s="81" t="s">
        <v>1</v>
      </c>
      <c r="E272" s="140">
        <v>1.305555555555556</v>
      </c>
      <c r="F272" s="81" t="s">
        <v>67</v>
      </c>
      <c r="G272" s="83">
        <v>4</v>
      </c>
      <c r="H272" s="88" t="s">
        <v>120</v>
      </c>
      <c r="I272" s="2"/>
    </row>
    <row r="273" spans="1:9" ht="19.8" customHeight="1" x14ac:dyDescent="0.3">
      <c r="A273" s="141">
        <v>46011</v>
      </c>
      <c r="B273" s="89" t="s">
        <v>26</v>
      </c>
      <c r="C273" s="90" t="s">
        <v>27</v>
      </c>
      <c r="D273" s="89" t="s">
        <v>1</v>
      </c>
      <c r="E273" s="142">
        <v>1.305555555555556</v>
      </c>
      <c r="F273" s="89" t="s">
        <v>33</v>
      </c>
      <c r="G273" s="91">
        <v>20</v>
      </c>
      <c r="H273" s="92" t="s">
        <v>34</v>
      </c>
      <c r="I273" s="2"/>
    </row>
    <row r="274" spans="1:9" ht="19.8" customHeight="1" x14ac:dyDescent="0.3">
      <c r="A274" s="139">
        <v>46012</v>
      </c>
      <c r="B274" s="81" t="s">
        <v>26</v>
      </c>
      <c r="C274" s="82" t="s">
        <v>27</v>
      </c>
      <c r="D274" s="81" t="s">
        <v>1</v>
      </c>
      <c r="E274" s="140">
        <v>1.305555555555556</v>
      </c>
      <c r="F274" s="81" t="s">
        <v>28</v>
      </c>
      <c r="G274" s="83">
        <v>10</v>
      </c>
      <c r="H274" s="137">
        <v>309</v>
      </c>
      <c r="I274" s="2"/>
    </row>
    <row r="275" spans="1:9" ht="19.8" customHeight="1" x14ac:dyDescent="0.3">
      <c r="A275" s="139">
        <v>46012</v>
      </c>
      <c r="B275" s="81" t="s">
        <v>35</v>
      </c>
      <c r="C275" s="82" t="s">
        <v>43</v>
      </c>
      <c r="D275" s="81" t="s">
        <v>1</v>
      </c>
      <c r="E275" s="140">
        <v>1.850694444444444</v>
      </c>
      <c r="F275" s="81" t="s">
        <v>37</v>
      </c>
      <c r="G275" s="83">
        <v>9</v>
      </c>
      <c r="H275" s="137">
        <v>349</v>
      </c>
      <c r="I275" s="2"/>
    </row>
    <row r="276" spans="1:9" ht="19.8" customHeight="1" x14ac:dyDescent="0.3">
      <c r="A276" s="139">
        <v>46012</v>
      </c>
      <c r="B276" s="81" t="s">
        <v>58</v>
      </c>
      <c r="C276" s="82" t="s">
        <v>61</v>
      </c>
      <c r="D276" s="81" t="s">
        <v>1</v>
      </c>
      <c r="E276" s="140">
        <v>1.864583333333333</v>
      </c>
      <c r="F276" s="81" t="s">
        <v>85</v>
      </c>
      <c r="G276" s="83">
        <v>9</v>
      </c>
      <c r="H276" s="137">
        <v>411</v>
      </c>
      <c r="I276" s="2"/>
    </row>
    <row r="277" spans="1:9" ht="19.8" customHeight="1" x14ac:dyDescent="0.3">
      <c r="A277" s="139">
        <v>46012</v>
      </c>
      <c r="B277" s="81" t="s">
        <v>58</v>
      </c>
      <c r="C277" s="82" t="s">
        <v>63</v>
      </c>
      <c r="D277" s="81" t="s">
        <v>1</v>
      </c>
      <c r="E277" s="140">
        <v>1.5277777777777779</v>
      </c>
      <c r="F277" s="81" t="s">
        <v>85</v>
      </c>
      <c r="G277" s="83">
        <v>9</v>
      </c>
      <c r="H277" s="137">
        <v>411</v>
      </c>
      <c r="I277" s="2"/>
    </row>
    <row r="278" spans="1:9" ht="19.8" customHeight="1" x14ac:dyDescent="0.3">
      <c r="A278" s="139">
        <v>46012</v>
      </c>
      <c r="B278" s="81" t="s">
        <v>58</v>
      </c>
      <c r="C278" s="82" t="s">
        <v>59</v>
      </c>
      <c r="D278" s="81" t="s">
        <v>1</v>
      </c>
      <c r="E278" s="140">
        <v>1.1701388888888891</v>
      </c>
      <c r="F278" s="81" t="s">
        <v>85</v>
      </c>
      <c r="G278" s="83">
        <v>9</v>
      </c>
      <c r="H278" s="137">
        <v>411</v>
      </c>
      <c r="I278" s="2"/>
    </row>
    <row r="279" spans="1:9" ht="19.8" customHeight="1" x14ac:dyDescent="0.3">
      <c r="A279" s="139">
        <v>46012</v>
      </c>
      <c r="B279" s="81" t="s">
        <v>47</v>
      </c>
      <c r="C279" s="82" t="s">
        <v>97</v>
      </c>
      <c r="D279" s="81" t="s">
        <v>1</v>
      </c>
      <c r="E279" s="140">
        <v>1.958333333333333</v>
      </c>
      <c r="F279" s="81" t="s">
        <v>49</v>
      </c>
      <c r="G279" s="83">
        <v>9</v>
      </c>
      <c r="H279" s="137">
        <v>439</v>
      </c>
      <c r="I279" s="2"/>
    </row>
    <row r="280" spans="1:9" ht="19.8" customHeight="1" x14ac:dyDescent="0.3">
      <c r="A280" s="139">
        <v>46012</v>
      </c>
      <c r="B280" s="81" t="s">
        <v>35</v>
      </c>
      <c r="C280" s="82" t="s">
        <v>43</v>
      </c>
      <c r="D280" s="81" t="s">
        <v>1</v>
      </c>
      <c r="E280" s="140">
        <v>1.850694444444444</v>
      </c>
      <c r="F280" s="81" t="s">
        <v>40</v>
      </c>
      <c r="G280" s="83">
        <v>9</v>
      </c>
      <c r="H280" s="137">
        <v>449</v>
      </c>
      <c r="I280" s="2"/>
    </row>
    <row r="281" spans="1:9" ht="19.8" customHeight="1" x14ac:dyDescent="0.3">
      <c r="A281" s="139">
        <v>46012</v>
      </c>
      <c r="B281" s="81" t="s">
        <v>26</v>
      </c>
      <c r="C281" s="82" t="s">
        <v>27</v>
      </c>
      <c r="D281" s="81" t="s">
        <v>1</v>
      </c>
      <c r="E281" s="140">
        <v>1.305555555555556</v>
      </c>
      <c r="F281" s="81" t="s">
        <v>31</v>
      </c>
      <c r="G281" s="83">
        <v>10</v>
      </c>
      <c r="H281" s="137">
        <v>487</v>
      </c>
      <c r="I281" s="2"/>
    </row>
    <row r="282" spans="1:9" ht="19.8" customHeight="1" x14ac:dyDescent="0.3">
      <c r="A282" s="139">
        <v>46012</v>
      </c>
      <c r="B282" s="81" t="s">
        <v>35</v>
      </c>
      <c r="C282" s="82" t="s">
        <v>43</v>
      </c>
      <c r="D282" s="81" t="s">
        <v>1</v>
      </c>
      <c r="E282" s="140">
        <v>1.850694444444444</v>
      </c>
      <c r="F282" s="81" t="s">
        <v>33</v>
      </c>
      <c r="G282" s="83">
        <v>9</v>
      </c>
      <c r="H282" s="137">
        <v>539</v>
      </c>
      <c r="I282" s="2"/>
    </row>
    <row r="283" spans="1:9" ht="19.8" customHeight="1" x14ac:dyDescent="0.3">
      <c r="A283" s="139">
        <v>46012</v>
      </c>
      <c r="B283" s="81" t="s">
        <v>26</v>
      </c>
      <c r="C283" s="82" t="s">
        <v>27</v>
      </c>
      <c r="D283" s="81" t="s">
        <v>1</v>
      </c>
      <c r="E283" s="140">
        <v>1.305555555555556</v>
      </c>
      <c r="F283" s="81" t="s">
        <v>33</v>
      </c>
      <c r="G283" s="83">
        <v>10</v>
      </c>
      <c r="H283" s="137">
        <v>899</v>
      </c>
      <c r="I283" s="2"/>
    </row>
    <row r="284" spans="1:9" ht="19.8" customHeight="1" x14ac:dyDescent="0.3">
      <c r="A284" s="141">
        <v>46012</v>
      </c>
      <c r="B284" s="89" t="s">
        <v>65</v>
      </c>
      <c r="C284" s="90" t="s">
        <v>66</v>
      </c>
      <c r="D284" s="89" t="s">
        <v>1</v>
      </c>
      <c r="E284" s="142">
        <v>1.305555555555556</v>
      </c>
      <c r="F284" s="89" t="s">
        <v>67</v>
      </c>
      <c r="G284" s="91">
        <v>4</v>
      </c>
      <c r="H284" s="92" t="s">
        <v>120</v>
      </c>
      <c r="I284" s="2"/>
    </row>
    <row r="285" spans="1:9" ht="19.8" customHeight="1" x14ac:dyDescent="0.3">
      <c r="A285" s="139">
        <v>46013</v>
      </c>
      <c r="B285" s="81" t="s">
        <v>26</v>
      </c>
      <c r="C285" s="82" t="s">
        <v>27</v>
      </c>
      <c r="D285" s="81" t="s">
        <v>1</v>
      </c>
      <c r="E285" s="140">
        <v>1.305555555555556</v>
      </c>
      <c r="F285" s="81" t="s">
        <v>28</v>
      </c>
      <c r="G285" s="83">
        <v>18</v>
      </c>
      <c r="H285" s="137">
        <v>309</v>
      </c>
      <c r="I285" s="2"/>
    </row>
    <row r="286" spans="1:9" ht="19.8" customHeight="1" x14ac:dyDescent="0.3">
      <c r="A286" s="139">
        <v>46013</v>
      </c>
      <c r="B286" s="81" t="s">
        <v>35</v>
      </c>
      <c r="C286" s="82" t="s">
        <v>43</v>
      </c>
      <c r="D286" s="81" t="s">
        <v>1</v>
      </c>
      <c r="E286" s="140">
        <v>1.836805555555556</v>
      </c>
      <c r="F286" s="81" t="s">
        <v>37</v>
      </c>
      <c r="G286" s="83">
        <v>8</v>
      </c>
      <c r="H286" s="137">
        <v>349</v>
      </c>
      <c r="I286" s="2"/>
    </row>
    <row r="287" spans="1:9" ht="19.8" customHeight="1" x14ac:dyDescent="0.3">
      <c r="A287" s="139">
        <v>46013</v>
      </c>
      <c r="B287" s="81" t="s">
        <v>35</v>
      </c>
      <c r="C287" s="82" t="s">
        <v>36</v>
      </c>
      <c r="D287" s="81" t="s">
        <v>1</v>
      </c>
      <c r="E287" s="140">
        <v>1.2013888888888891</v>
      </c>
      <c r="F287" s="81" t="s">
        <v>37</v>
      </c>
      <c r="G287" s="83">
        <v>9</v>
      </c>
      <c r="H287" s="137">
        <v>349</v>
      </c>
      <c r="I287" s="2"/>
    </row>
    <row r="288" spans="1:9" ht="19.8" customHeight="1" x14ac:dyDescent="0.3">
      <c r="A288" s="139">
        <v>46013</v>
      </c>
      <c r="B288" s="81" t="s">
        <v>58</v>
      </c>
      <c r="C288" s="82" t="s">
        <v>61</v>
      </c>
      <c r="D288" s="81" t="s">
        <v>1</v>
      </c>
      <c r="E288" s="140">
        <v>1.864583333333333</v>
      </c>
      <c r="F288" s="81" t="s">
        <v>85</v>
      </c>
      <c r="G288" s="83">
        <v>9</v>
      </c>
      <c r="H288" s="137">
        <v>411</v>
      </c>
      <c r="I288" s="2"/>
    </row>
    <row r="289" spans="1:9" ht="19.8" customHeight="1" x14ac:dyDescent="0.3">
      <c r="A289" s="139">
        <v>46013</v>
      </c>
      <c r="B289" s="81" t="s">
        <v>58</v>
      </c>
      <c r="C289" s="82" t="s">
        <v>63</v>
      </c>
      <c r="D289" s="81" t="s">
        <v>1</v>
      </c>
      <c r="E289" s="140">
        <v>1.5277777777777779</v>
      </c>
      <c r="F289" s="81" t="s">
        <v>85</v>
      </c>
      <c r="G289" s="83">
        <v>9</v>
      </c>
      <c r="H289" s="137">
        <v>411</v>
      </c>
      <c r="I289" s="2"/>
    </row>
    <row r="290" spans="1:9" ht="19.8" customHeight="1" x14ac:dyDescent="0.3">
      <c r="A290" s="139">
        <v>46013</v>
      </c>
      <c r="B290" s="81" t="s">
        <v>58</v>
      </c>
      <c r="C290" s="82" t="s">
        <v>59</v>
      </c>
      <c r="D290" s="81" t="s">
        <v>1</v>
      </c>
      <c r="E290" s="140">
        <v>1.1701388888888891</v>
      </c>
      <c r="F290" s="81" t="s">
        <v>85</v>
      </c>
      <c r="G290" s="83">
        <v>9</v>
      </c>
      <c r="H290" s="137">
        <v>411</v>
      </c>
      <c r="I290" s="2"/>
    </row>
    <row r="291" spans="1:9" ht="19.8" customHeight="1" x14ac:dyDescent="0.3">
      <c r="A291" s="139">
        <v>46013</v>
      </c>
      <c r="B291" s="81" t="s">
        <v>76</v>
      </c>
      <c r="C291" s="82" t="s">
        <v>168</v>
      </c>
      <c r="D291" s="81" t="s">
        <v>1</v>
      </c>
      <c r="E291" s="140">
        <v>1.1215277777777779</v>
      </c>
      <c r="F291" s="81" t="s">
        <v>49</v>
      </c>
      <c r="G291" s="83">
        <v>1</v>
      </c>
      <c r="H291" s="137">
        <v>425</v>
      </c>
      <c r="I291" s="2"/>
    </row>
    <row r="292" spans="1:9" ht="19.8" customHeight="1" x14ac:dyDescent="0.3">
      <c r="A292" s="139">
        <v>46013</v>
      </c>
      <c r="B292" s="81" t="s">
        <v>47</v>
      </c>
      <c r="C292" s="82" t="s">
        <v>79</v>
      </c>
      <c r="D292" s="81" t="s">
        <v>1</v>
      </c>
      <c r="E292" s="140">
        <v>1.958333333333333</v>
      </c>
      <c r="F292" s="81" t="s">
        <v>49</v>
      </c>
      <c r="G292" s="83">
        <v>9</v>
      </c>
      <c r="H292" s="137">
        <v>439</v>
      </c>
      <c r="I292" s="2"/>
    </row>
    <row r="293" spans="1:9" ht="19.8" customHeight="1" x14ac:dyDescent="0.3">
      <c r="A293" s="139">
        <v>46013</v>
      </c>
      <c r="B293" s="81" t="s">
        <v>35</v>
      </c>
      <c r="C293" s="82" t="s">
        <v>43</v>
      </c>
      <c r="D293" s="81" t="s">
        <v>1</v>
      </c>
      <c r="E293" s="140">
        <v>1.836805555555556</v>
      </c>
      <c r="F293" s="81" t="s">
        <v>40</v>
      </c>
      <c r="G293" s="83">
        <v>8</v>
      </c>
      <c r="H293" s="137">
        <v>449</v>
      </c>
      <c r="I293" s="2"/>
    </row>
    <row r="294" spans="1:9" ht="19.8" customHeight="1" x14ac:dyDescent="0.3">
      <c r="A294" s="139">
        <v>46013</v>
      </c>
      <c r="B294" s="81" t="s">
        <v>35</v>
      </c>
      <c r="C294" s="82" t="s">
        <v>36</v>
      </c>
      <c r="D294" s="81" t="s">
        <v>1</v>
      </c>
      <c r="E294" s="140">
        <v>1.2013888888888891</v>
      </c>
      <c r="F294" s="81" t="s">
        <v>40</v>
      </c>
      <c r="G294" s="83">
        <v>9</v>
      </c>
      <c r="H294" s="137">
        <v>449</v>
      </c>
      <c r="I294" s="2"/>
    </row>
    <row r="295" spans="1:9" ht="19.8" customHeight="1" x14ac:dyDescent="0.3">
      <c r="A295" s="139">
        <v>46013</v>
      </c>
      <c r="B295" s="81" t="s">
        <v>26</v>
      </c>
      <c r="C295" s="82" t="s">
        <v>27</v>
      </c>
      <c r="D295" s="81" t="s">
        <v>1</v>
      </c>
      <c r="E295" s="140">
        <v>1.305555555555556</v>
      </c>
      <c r="F295" s="81" t="s">
        <v>31</v>
      </c>
      <c r="G295" s="83">
        <v>18</v>
      </c>
      <c r="H295" s="137">
        <v>487</v>
      </c>
      <c r="I295" s="2"/>
    </row>
    <row r="296" spans="1:9" ht="19.8" customHeight="1" x14ac:dyDescent="0.3">
      <c r="A296" s="139">
        <v>46013</v>
      </c>
      <c r="B296" s="81" t="s">
        <v>35</v>
      </c>
      <c r="C296" s="82" t="s">
        <v>43</v>
      </c>
      <c r="D296" s="81" t="s">
        <v>1</v>
      </c>
      <c r="E296" s="140">
        <v>1.836805555555556</v>
      </c>
      <c r="F296" s="81" t="s">
        <v>33</v>
      </c>
      <c r="G296" s="83">
        <v>8</v>
      </c>
      <c r="H296" s="137">
        <v>539</v>
      </c>
      <c r="I296" s="2"/>
    </row>
    <row r="297" spans="1:9" ht="19.8" customHeight="1" x14ac:dyDescent="0.3">
      <c r="A297" s="139">
        <v>46013</v>
      </c>
      <c r="B297" s="81" t="s">
        <v>35</v>
      </c>
      <c r="C297" s="82" t="s">
        <v>36</v>
      </c>
      <c r="D297" s="81" t="s">
        <v>1</v>
      </c>
      <c r="E297" s="140">
        <v>1.2013888888888891</v>
      </c>
      <c r="F297" s="81" t="s">
        <v>33</v>
      </c>
      <c r="G297" s="83">
        <v>9</v>
      </c>
      <c r="H297" s="137">
        <v>539</v>
      </c>
      <c r="I297" s="2"/>
    </row>
    <row r="298" spans="1:9" ht="19.8" customHeight="1" x14ac:dyDescent="0.3">
      <c r="A298" s="139">
        <v>46013</v>
      </c>
      <c r="B298" s="81" t="s">
        <v>26</v>
      </c>
      <c r="C298" s="82" t="s">
        <v>27</v>
      </c>
      <c r="D298" s="81" t="s">
        <v>1</v>
      </c>
      <c r="E298" s="140">
        <v>1.305555555555556</v>
      </c>
      <c r="F298" s="81" t="s">
        <v>33</v>
      </c>
      <c r="G298" s="83">
        <v>18</v>
      </c>
      <c r="H298" s="137">
        <v>899</v>
      </c>
      <c r="I298" s="2"/>
    </row>
    <row r="299" spans="1:9" ht="19.8" customHeight="1" x14ac:dyDescent="0.3">
      <c r="A299" s="141">
        <v>46013</v>
      </c>
      <c r="B299" s="89" t="s">
        <v>65</v>
      </c>
      <c r="C299" s="90" t="s">
        <v>66</v>
      </c>
      <c r="D299" s="89" t="s">
        <v>1</v>
      </c>
      <c r="E299" s="142">
        <v>1.305555555555556</v>
      </c>
      <c r="F299" s="89" t="s">
        <v>67</v>
      </c>
      <c r="G299" s="91">
        <v>4</v>
      </c>
      <c r="H299" s="92" t="s">
        <v>120</v>
      </c>
      <c r="I299" s="2"/>
    </row>
    <row r="300" spans="1:9" ht="19.8" customHeight="1" x14ac:dyDescent="0.3">
      <c r="A300" s="139">
        <v>46014</v>
      </c>
      <c r="B300" s="81" t="s">
        <v>26</v>
      </c>
      <c r="C300" s="82" t="s">
        <v>27</v>
      </c>
      <c r="D300" s="81" t="s">
        <v>1</v>
      </c>
      <c r="E300" s="140">
        <v>1.305555555555556</v>
      </c>
      <c r="F300" s="81" t="s">
        <v>28</v>
      </c>
      <c r="G300" s="83">
        <v>15</v>
      </c>
      <c r="H300" s="137">
        <v>309</v>
      </c>
      <c r="I300" s="2"/>
    </row>
    <row r="301" spans="1:9" ht="19.8" customHeight="1" x14ac:dyDescent="0.3">
      <c r="A301" s="139">
        <v>46014</v>
      </c>
      <c r="B301" s="81" t="s">
        <v>35</v>
      </c>
      <c r="C301" s="82" t="s">
        <v>43</v>
      </c>
      <c r="D301" s="81" t="s">
        <v>1</v>
      </c>
      <c r="E301" s="140">
        <v>1.836805555555556</v>
      </c>
      <c r="F301" s="81" t="s">
        <v>37</v>
      </c>
      <c r="G301" s="83">
        <v>9</v>
      </c>
      <c r="H301" s="137">
        <v>349</v>
      </c>
      <c r="I301" s="2"/>
    </row>
    <row r="302" spans="1:9" ht="19.8" customHeight="1" x14ac:dyDescent="0.3">
      <c r="A302" s="139">
        <v>46014</v>
      </c>
      <c r="B302" s="81" t="s">
        <v>35</v>
      </c>
      <c r="C302" s="82" t="s">
        <v>36</v>
      </c>
      <c r="D302" s="81" t="s">
        <v>1</v>
      </c>
      <c r="E302" s="140">
        <v>1.2013888888888891</v>
      </c>
      <c r="F302" s="81" t="s">
        <v>37</v>
      </c>
      <c r="G302" s="83">
        <v>9</v>
      </c>
      <c r="H302" s="137">
        <v>379</v>
      </c>
      <c r="I302" s="2"/>
    </row>
    <row r="303" spans="1:9" ht="19.8" customHeight="1" x14ac:dyDescent="0.3">
      <c r="A303" s="143">
        <v>46014</v>
      </c>
      <c r="B303" s="85" t="s">
        <v>52</v>
      </c>
      <c r="C303" s="86" t="s">
        <v>53</v>
      </c>
      <c r="D303" s="85" t="s">
        <v>1</v>
      </c>
      <c r="E303" s="144">
        <v>1.270833333333333</v>
      </c>
      <c r="F303" s="85" t="s">
        <v>49</v>
      </c>
      <c r="G303" s="87">
        <v>6</v>
      </c>
      <c r="H303" s="138">
        <v>379</v>
      </c>
      <c r="I303" s="2"/>
    </row>
    <row r="304" spans="1:9" ht="19.8" customHeight="1" x14ac:dyDescent="0.3">
      <c r="A304" s="139">
        <v>46014</v>
      </c>
      <c r="B304" s="81" t="s">
        <v>58</v>
      </c>
      <c r="C304" s="82" t="s">
        <v>61</v>
      </c>
      <c r="D304" s="81" t="s">
        <v>1</v>
      </c>
      <c r="E304" s="140">
        <v>1.864583333333333</v>
      </c>
      <c r="F304" s="81" t="s">
        <v>85</v>
      </c>
      <c r="G304" s="83">
        <v>9</v>
      </c>
      <c r="H304" s="137">
        <v>411</v>
      </c>
      <c r="I304" s="2"/>
    </row>
    <row r="305" spans="1:9" ht="19.8" customHeight="1" x14ac:dyDescent="0.3">
      <c r="A305" s="139">
        <v>46014</v>
      </c>
      <c r="B305" s="81" t="s">
        <v>58</v>
      </c>
      <c r="C305" s="82" t="s">
        <v>59</v>
      </c>
      <c r="D305" s="81" t="s">
        <v>1</v>
      </c>
      <c r="E305" s="140">
        <v>1.1701388888888891</v>
      </c>
      <c r="F305" s="81" t="s">
        <v>85</v>
      </c>
      <c r="G305" s="83">
        <v>9</v>
      </c>
      <c r="H305" s="137">
        <v>411</v>
      </c>
      <c r="I305" s="2"/>
    </row>
    <row r="306" spans="1:9" ht="19.8" customHeight="1" x14ac:dyDescent="0.3">
      <c r="A306" s="139">
        <v>46014</v>
      </c>
      <c r="B306" s="81" t="s">
        <v>47</v>
      </c>
      <c r="C306" s="82" t="s">
        <v>48</v>
      </c>
      <c r="D306" s="81" t="s">
        <v>1</v>
      </c>
      <c r="E306" s="140">
        <v>1.958333333333333</v>
      </c>
      <c r="F306" s="81" t="s">
        <v>49</v>
      </c>
      <c r="G306" s="83">
        <v>8</v>
      </c>
      <c r="H306" s="137">
        <v>439</v>
      </c>
      <c r="I306" s="2"/>
    </row>
    <row r="307" spans="1:9" ht="19.8" customHeight="1" x14ac:dyDescent="0.3">
      <c r="A307" s="139">
        <v>46014</v>
      </c>
      <c r="B307" s="81" t="s">
        <v>35</v>
      </c>
      <c r="C307" s="82" t="s">
        <v>43</v>
      </c>
      <c r="D307" s="81" t="s">
        <v>1</v>
      </c>
      <c r="E307" s="140">
        <v>1.836805555555556</v>
      </c>
      <c r="F307" s="81" t="s">
        <v>40</v>
      </c>
      <c r="G307" s="83">
        <v>9</v>
      </c>
      <c r="H307" s="137">
        <v>449</v>
      </c>
      <c r="I307" s="2"/>
    </row>
    <row r="308" spans="1:9" ht="19.8" customHeight="1" x14ac:dyDescent="0.3">
      <c r="A308" s="139">
        <v>46014</v>
      </c>
      <c r="B308" s="81" t="s">
        <v>35</v>
      </c>
      <c r="C308" s="82" t="s">
        <v>36</v>
      </c>
      <c r="D308" s="81" t="s">
        <v>1</v>
      </c>
      <c r="E308" s="140">
        <v>1.2013888888888891</v>
      </c>
      <c r="F308" s="81" t="s">
        <v>40</v>
      </c>
      <c r="G308" s="83">
        <v>9</v>
      </c>
      <c r="H308" s="137">
        <v>479</v>
      </c>
      <c r="I308" s="2"/>
    </row>
    <row r="309" spans="1:9" ht="19.8" customHeight="1" x14ac:dyDescent="0.3">
      <c r="A309" s="139">
        <v>46014</v>
      </c>
      <c r="B309" s="81" t="s">
        <v>26</v>
      </c>
      <c r="C309" s="82" t="s">
        <v>27</v>
      </c>
      <c r="D309" s="81" t="s">
        <v>1</v>
      </c>
      <c r="E309" s="140">
        <v>1.305555555555556</v>
      </c>
      <c r="F309" s="81" t="s">
        <v>31</v>
      </c>
      <c r="G309" s="83">
        <v>15</v>
      </c>
      <c r="H309" s="137">
        <v>487</v>
      </c>
      <c r="I309" s="2"/>
    </row>
    <row r="310" spans="1:9" ht="19.8" customHeight="1" x14ac:dyDescent="0.3">
      <c r="A310" s="139">
        <v>46014</v>
      </c>
      <c r="B310" s="81" t="s">
        <v>35</v>
      </c>
      <c r="C310" s="82" t="s">
        <v>43</v>
      </c>
      <c r="D310" s="81" t="s">
        <v>1</v>
      </c>
      <c r="E310" s="140">
        <v>1.836805555555556</v>
      </c>
      <c r="F310" s="81" t="s">
        <v>33</v>
      </c>
      <c r="G310" s="83">
        <v>9</v>
      </c>
      <c r="H310" s="137">
        <v>539</v>
      </c>
      <c r="I310" s="2"/>
    </row>
    <row r="311" spans="1:9" ht="19.8" customHeight="1" x14ac:dyDescent="0.3">
      <c r="A311" s="139">
        <v>46014</v>
      </c>
      <c r="B311" s="81" t="s">
        <v>35</v>
      </c>
      <c r="C311" s="82" t="s">
        <v>36</v>
      </c>
      <c r="D311" s="81" t="s">
        <v>1</v>
      </c>
      <c r="E311" s="140">
        <v>1.2013888888888891</v>
      </c>
      <c r="F311" s="81" t="s">
        <v>33</v>
      </c>
      <c r="G311" s="83">
        <v>9</v>
      </c>
      <c r="H311" s="137">
        <v>569</v>
      </c>
      <c r="I311" s="2"/>
    </row>
    <row r="312" spans="1:9" ht="19.8" customHeight="1" x14ac:dyDescent="0.3">
      <c r="A312" s="139">
        <v>46014</v>
      </c>
      <c r="B312" s="81" t="s">
        <v>26</v>
      </c>
      <c r="C312" s="82" t="s">
        <v>27</v>
      </c>
      <c r="D312" s="81" t="s">
        <v>1</v>
      </c>
      <c r="E312" s="140">
        <v>1.305555555555556</v>
      </c>
      <c r="F312" s="81" t="s">
        <v>33</v>
      </c>
      <c r="G312" s="83">
        <v>15</v>
      </c>
      <c r="H312" s="137">
        <v>899</v>
      </c>
      <c r="I312" s="2"/>
    </row>
    <row r="313" spans="1:9" ht="19.8" customHeight="1" x14ac:dyDescent="0.3">
      <c r="A313" s="141">
        <v>46014</v>
      </c>
      <c r="B313" s="89" t="s">
        <v>65</v>
      </c>
      <c r="C313" s="90" t="s">
        <v>66</v>
      </c>
      <c r="D313" s="89" t="s">
        <v>1</v>
      </c>
      <c r="E313" s="142">
        <v>1.305555555555556</v>
      </c>
      <c r="F313" s="89" t="s">
        <v>67</v>
      </c>
      <c r="G313" s="91">
        <v>4</v>
      </c>
      <c r="H313" s="92" t="s">
        <v>120</v>
      </c>
      <c r="I313" s="2"/>
    </row>
    <row r="314" spans="1:9" ht="19.8" customHeight="1" x14ac:dyDescent="0.3">
      <c r="A314" s="139">
        <v>46015</v>
      </c>
      <c r="B314" s="81" t="s">
        <v>26</v>
      </c>
      <c r="C314" s="82" t="s">
        <v>27</v>
      </c>
      <c r="D314" s="81" t="s">
        <v>1</v>
      </c>
      <c r="E314" s="140">
        <v>1.305555555555556</v>
      </c>
      <c r="F314" s="81" t="s">
        <v>28</v>
      </c>
      <c r="G314" s="83">
        <v>3</v>
      </c>
      <c r="H314" s="137">
        <v>309</v>
      </c>
      <c r="I314" s="2"/>
    </row>
    <row r="315" spans="1:9" ht="19.8" customHeight="1" x14ac:dyDescent="0.3">
      <c r="A315" s="139">
        <v>46015</v>
      </c>
      <c r="B315" s="81" t="s">
        <v>70</v>
      </c>
      <c r="C315" s="82" t="s">
        <v>71</v>
      </c>
      <c r="D315" s="81" t="s">
        <v>1</v>
      </c>
      <c r="E315" s="140">
        <v>1.9722222222222221</v>
      </c>
      <c r="F315" s="81" t="s">
        <v>72</v>
      </c>
      <c r="G315" s="83">
        <v>9</v>
      </c>
      <c r="H315" s="137">
        <v>348</v>
      </c>
      <c r="I315" s="2"/>
    </row>
    <row r="316" spans="1:9" ht="19.8" customHeight="1" x14ac:dyDescent="0.3">
      <c r="A316" s="139">
        <v>46015</v>
      </c>
      <c r="B316" s="81" t="s">
        <v>35</v>
      </c>
      <c r="C316" s="82" t="s">
        <v>43</v>
      </c>
      <c r="D316" s="81" t="s">
        <v>1</v>
      </c>
      <c r="E316" s="140">
        <v>1.850694444444444</v>
      </c>
      <c r="F316" s="81" t="s">
        <v>37</v>
      </c>
      <c r="G316" s="83">
        <v>6</v>
      </c>
      <c r="H316" s="137">
        <v>349</v>
      </c>
      <c r="I316" s="2"/>
    </row>
    <row r="317" spans="1:9" ht="19.8" customHeight="1" x14ac:dyDescent="0.3">
      <c r="A317" s="139">
        <v>46015</v>
      </c>
      <c r="B317" s="81" t="s">
        <v>58</v>
      </c>
      <c r="C317" s="82" t="s">
        <v>61</v>
      </c>
      <c r="D317" s="81" t="s">
        <v>1</v>
      </c>
      <c r="E317" s="140">
        <v>1.864583333333333</v>
      </c>
      <c r="F317" s="81" t="s">
        <v>85</v>
      </c>
      <c r="G317" s="83">
        <v>9</v>
      </c>
      <c r="H317" s="137">
        <v>411</v>
      </c>
      <c r="I317" s="2"/>
    </row>
    <row r="318" spans="1:9" ht="19.8" customHeight="1" x14ac:dyDescent="0.3">
      <c r="A318" s="139">
        <v>46015</v>
      </c>
      <c r="B318" s="81" t="s">
        <v>58</v>
      </c>
      <c r="C318" s="82" t="s">
        <v>63</v>
      </c>
      <c r="D318" s="81" t="s">
        <v>1</v>
      </c>
      <c r="E318" s="140">
        <v>1.5277777777777779</v>
      </c>
      <c r="F318" s="81" t="s">
        <v>85</v>
      </c>
      <c r="G318" s="83">
        <v>9</v>
      </c>
      <c r="H318" s="137">
        <v>411</v>
      </c>
      <c r="I318" s="2"/>
    </row>
    <row r="319" spans="1:9" ht="19.8" customHeight="1" x14ac:dyDescent="0.3">
      <c r="A319" s="139">
        <v>46015</v>
      </c>
      <c r="B319" s="81" t="s">
        <v>58</v>
      </c>
      <c r="C319" s="82" t="s">
        <v>59</v>
      </c>
      <c r="D319" s="81" t="s">
        <v>1</v>
      </c>
      <c r="E319" s="140">
        <v>1.1701388888888891</v>
      </c>
      <c r="F319" s="81" t="s">
        <v>85</v>
      </c>
      <c r="G319" s="83">
        <v>9</v>
      </c>
      <c r="H319" s="137">
        <v>411</v>
      </c>
      <c r="I319" s="2"/>
    </row>
    <row r="320" spans="1:9" ht="19.8" customHeight="1" x14ac:dyDescent="0.3">
      <c r="A320" s="139">
        <v>46015</v>
      </c>
      <c r="B320" s="81" t="s">
        <v>47</v>
      </c>
      <c r="C320" s="82" t="s">
        <v>79</v>
      </c>
      <c r="D320" s="81" t="s">
        <v>1</v>
      </c>
      <c r="E320" s="140">
        <v>1.895833333333333</v>
      </c>
      <c r="F320" s="81" t="s">
        <v>49</v>
      </c>
      <c r="G320" s="83">
        <v>9</v>
      </c>
      <c r="H320" s="137">
        <v>439</v>
      </c>
      <c r="I320" s="2"/>
    </row>
    <row r="321" spans="1:9" ht="19.8" customHeight="1" x14ac:dyDescent="0.3">
      <c r="A321" s="139">
        <v>46015</v>
      </c>
      <c r="B321" s="81" t="s">
        <v>35</v>
      </c>
      <c r="C321" s="82" t="s">
        <v>43</v>
      </c>
      <c r="D321" s="81" t="s">
        <v>1</v>
      </c>
      <c r="E321" s="140">
        <v>1.850694444444444</v>
      </c>
      <c r="F321" s="81" t="s">
        <v>40</v>
      </c>
      <c r="G321" s="83">
        <v>6</v>
      </c>
      <c r="H321" s="137">
        <v>449</v>
      </c>
      <c r="I321" s="2"/>
    </row>
    <row r="322" spans="1:9" ht="19.8" customHeight="1" x14ac:dyDescent="0.3">
      <c r="A322" s="139">
        <v>46015</v>
      </c>
      <c r="B322" s="81" t="s">
        <v>26</v>
      </c>
      <c r="C322" s="82" t="s">
        <v>27</v>
      </c>
      <c r="D322" s="81" t="s">
        <v>1</v>
      </c>
      <c r="E322" s="140">
        <v>1.305555555555556</v>
      </c>
      <c r="F322" s="81" t="s">
        <v>31</v>
      </c>
      <c r="G322" s="83">
        <v>3</v>
      </c>
      <c r="H322" s="137">
        <v>487</v>
      </c>
      <c r="I322" s="2"/>
    </row>
    <row r="323" spans="1:9" ht="19.8" customHeight="1" x14ac:dyDescent="0.3">
      <c r="A323" s="139">
        <v>46015</v>
      </c>
      <c r="B323" s="81" t="s">
        <v>76</v>
      </c>
      <c r="C323" s="82" t="s">
        <v>77</v>
      </c>
      <c r="D323" s="81" t="s">
        <v>1</v>
      </c>
      <c r="E323" s="140">
        <v>1.0902777777777779</v>
      </c>
      <c r="F323" s="81" t="s">
        <v>49</v>
      </c>
      <c r="G323" s="83">
        <v>8</v>
      </c>
      <c r="H323" s="137">
        <v>500</v>
      </c>
      <c r="I323" s="2"/>
    </row>
    <row r="324" spans="1:9" ht="19.8" customHeight="1" x14ac:dyDescent="0.3">
      <c r="A324" s="139">
        <v>46015</v>
      </c>
      <c r="B324" s="81" t="s">
        <v>35</v>
      </c>
      <c r="C324" s="82" t="s">
        <v>43</v>
      </c>
      <c r="D324" s="81" t="s">
        <v>1</v>
      </c>
      <c r="E324" s="140">
        <v>1.850694444444444</v>
      </c>
      <c r="F324" s="81" t="s">
        <v>33</v>
      </c>
      <c r="G324" s="83">
        <v>6</v>
      </c>
      <c r="H324" s="137">
        <v>539</v>
      </c>
      <c r="I324" s="2"/>
    </row>
    <row r="325" spans="1:9" ht="19.8" customHeight="1" x14ac:dyDescent="0.3">
      <c r="A325" s="139">
        <v>46015</v>
      </c>
      <c r="B325" s="81" t="s">
        <v>70</v>
      </c>
      <c r="C325" s="82" t="s">
        <v>71</v>
      </c>
      <c r="D325" s="81" t="s">
        <v>1</v>
      </c>
      <c r="E325" s="140">
        <v>1.9722222222222221</v>
      </c>
      <c r="F325" s="81" t="s">
        <v>74</v>
      </c>
      <c r="G325" s="83">
        <v>9</v>
      </c>
      <c r="H325" s="137">
        <v>554</v>
      </c>
      <c r="I325" s="2"/>
    </row>
    <row r="326" spans="1:9" ht="19.8" customHeight="1" x14ac:dyDescent="0.3">
      <c r="A326" s="139">
        <v>46015</v>
      </c>
      <c r="B326" s="81" t="s">
        <v>26</v>
      </c>
      <c r="C326" s="82" t="s">
        <v>27</v>
      </c>
      <c r="D326" s="81" t="s">
        <v>1</v>
      </c>
      <c r="E326" s="140">
        <v>1.305555555555556</v>
      </c>
      <c r="F326" s="81" t="s">
        <v>33</v>
      </c>
      <c r="G326" s="83">
        <v>3</v>
      </c>
      <c r="H326" s="137">
        <v>899</v>
      </c>
      <c r="I326" s="2"/>
    </row>
    <row r="327" spans="1:9" ht="19.8" customHeight="1" x14ac:dyDescent="0.3">
      <c r="A327" s="141">
        <v>46015</v>
      </c>
      <c r="B327" s="89" t="s">
        <v>65</v>
      </c>
      <c r="C327" s="90" t="s">
        <v>66</v>
      </c>
      <c r="D327" s="89" t="s">
        <v>1</v>
      </c>
      <c r="E327" s="142">
        <v>1.305555555555556</v>
      </c>
      <c r="F327" s="89" t="s">
        <v>67</v>
      </c>
      <c r="G327" s="91">
        <v>4</v>
      </c>
      <c r="H327" s="92" t="s">
        <v>69</v>
      </c>
      <c r="I327" s="2"/>
    </row>
    <row r="328" spans="1:9" ht="19.8" customHeight="1" x14ac:dyDescent="0.3">
      <c r="A328" s="143">
        <v>46016</v>
      </c>
      <c r="B328" s="85" t="s">
        <v>52</v>
      </c>
      <c r="C328" s="86" t="s">
        <v>53</v>
      </c>
      <c r="D328" s="85" t="s">
        <v>1</v>
      </c>
      <c r="E328" s="144">
        <v>1.9236111111111109</v>
      </c>
      <c r="F328" s="85" t="s">
        <v>49</v>
      </c>
      <c r="G328" s="87">
        <v>9</v>
      </c>
      <c r="H328" s="138">
        <v>379</v>
      </c>
      <c r="I328" s="2"/>
    </row>
    <row r="329" spans="1:9" ht="19.8" customHeight="1" x14ac:dyDescent="0.3">
      <c r="A329" s="139">
        <v>46016</v>
      </c>
      <c r="B329" s="81" t="s">
        <v>58</v>
      </c>
      <c r="C329" s="82" t="s">
        <v>59</v>
      </c>
      <c r="D329" s="81" t="s">
        <v>1</v>
      </c>
      <c r="E329" s="140">
        <v>1.1701388888888891</v>
      </c>
      <c r="F329" s="81" t="s">
        <v>85</v>
      </c>
      <c r="G329" s="83">
        <v>9</v>
      </c>
      <c r="H329" s="137">
        <v>411</v>
      </c>
      <c r="I329" s="2"/>
    </row>
    <row r="330" spans="1:9" ht="19.8" customHeight="1" x14ac:dyDescent="0.3">
      <c r="A330" s="139">
        <v>46016</v>
      </c>
      <c r="B330" s="81" t="s">
        <v>58</v>
      </c>
      <c r="C330" s="82" t="s">
        <v>61</v>
      </c>
      <c r="D330" s="81" t="s">
        <v>1</v>
      </c>
      <c r="E330" s="140">
        <v>1.864583333333333</v>
      </c>
      <c r="F330" s="81" t="s">
        <v>124</v>
      </c>
      <c r="G330" s="83">
        <v>9</v>
      </c>
      <c r="H330" s="137">
        <v>437</v>
      </c>
      <c r="I330" s="2"/>
    </row>
    <row r="331" spans="1:9" ht="19.8" customHeight="1" x14ac:dyDescent="0.3">
      <c r="A331" s="139">
        <v>46016</v>
      </c>
      <c r="B331" s="81" t="s">
        <v>76</v>
      </c>
      <c r="C331" s="82" t="s">
        <v>77</v>
      </c>
      <c r="D331" s="81" t="s">
        <v>1</v>
      </c>
      <c r="E331" s="140">
        <v>1.8888888888888891</v>
      </c>
      <c r="F331" s="81" t="s">
        <v>175</v>
      </c>
      <c r="G331" s="83">
        <v>2</v>
      </c>
      <c r="H331" s="137">
        <v>500</v>
      </c>
      <c r="I331" s="2"/>
    </row>
    <row r="332" spans="1:9" ht="19.8" customHeight="1" x14ac:dyDescent="0.3">
      <c r="A332" s="139">
        <v>46016</v>
      </c>
      <c r="B332" s="81" t="s">
        <v>58</v>
      </c>
      <c r="C332" s="82" t="s">
        <v>63</v>
      </c>
      <c r="D332" s="81" t="s">
        <v>1</v>
      </c>
      <c r="E332" s="140">
        <v>1.5277777777777779</v>
      </c>
      <c r="F332" s="81" t="s">
        <v>60</v>
      </c>
      <c r="G332" s="83">
        <v>9</v>
      </c>
      <c r="H332" s="137">
        <v>551</v>
      </c>
      <c r="I332" s="2"/>
    </row>
    <row r="333" spans="1:9" ht="19.8" customHeight="1" x14ac:dyDescent="0.3">
      <c r="A333" s="139">
        <v>46016</v>
      </c>
      <c r="B333" s="81" t="s">
        <v>47</v>
      </c>
      <c r="C333" s="82" t="s">
        <v>48</v>
      </c>
      <c r="D333" s="81" t="s">
        <v>1</v>
      </c>
      <c r="E333" s="140">
        <v>1.958333333333333</v>
      </c>
      <c r="F333" s="81" t="s">
        <v>49</v>
      </c>
      <c r="G333" s="83">
        <v>9</v>
      </c>
      <c r="H333" s="137">
        <v>563</v>
      </c>
      <c r="I333" s="2"/>
    </row>
    <row r="334" spans="1:9" ht="19.8" customHeight="1" x14ac:dyDescent="0.3">
      <c r="A334" s="141">
        <v>46016</v>
      </c>
      <c r="B334" s="89" t="s">
        <v>65</v>
      </c>
      <c r="C334" s="90" t="s">
        <v>66</v>
      </c>
      <c r="D334" s="89" t="s">
        <v>1</v>
      </c>
      <c r="E334" s="142">
        <v>1.305555555555556</v>
      </c>
      <c r="F334" s="89" t="s">
        <v>67</v>
      </c>
      <c r="G334" s="91">
        <v>4</v>
      </c>
      <c r="H334" s="92" t="s">
        <v>69</v>
      </c>
      <c r="I334" s="2"/>
    </row>
    <row r="335" spans="1:9" ht="19.8" customHeight="1" x14ac:dyDescent="0.3">
      <c r="A335" s="139">
        <v>46017</v>
      </c>
      <c r="B335" s="81" t="s">
        <v>26</v>
      </c>
      <c r="C335" s="82" t="s">
        <v>27</v>
      </c>
      <c r="D335" s="81" t="s">
        <v>1</v>
      </c>
      <c r="E335" s="140">
        <v>1.305555555555556</v>
      </c>
      <c r="F335" s="81" t="s">
        <v>28</v>
      </c>
      <c r="G335" s="83">
        <v>16</v>
      </c>
      <c r="H335" s="137">
        <v>309</v>
      </c>
      <c r="I335" s="2"/>
    </row>
    <row r="336" spans="1:9" ht="19.8" customHeight="1" x14ac:dyDescent="0.3">
      <c r="A336" s="139">
        <v>46017</v>
      </c>
      <c r="B336" s="81" t="s">
        <v>35</v>
      </c>
      <c r="C336" s="82" t="s">
        <v>43</v>
      </c>
      <c r="D336" s="81" t="s">
        <v>1</v>
      </c>
      <c r="E336" s="140">
        <v>1.836805555555556</v>
      </c>
      <c r="F336" s="81" t="s">
        <v>37</v>
      </c>
      <c r="G336" s="83">
        <v>7</v>
      </c>
      <c r="H336" s="137">
        <v>349</v>
      </c>
      <c r="I336" s="2"/>
    </row>
    <row r="337" spans="1:9" ht="19.8" customHeight="1" x14ac:dyDescent="0.3">
      <c r="A337" s="143">
        <v>46017</v>
      </c>
      <c r="B337" s="85" t="s">
        <v>52</v>
      </c>
      <c r="C337" s="86" t="s">
        <v>53</v>
      </c>
      <c r="D337" s="85" t="s">
        <v>1</v>
      </c>
      <c r="E337" s="144">
        <v>1.5798611111111109</v>
      </c>
      <c r="F337" s="85" t="s">
        <v>49</v>
      </c>
      <c r="G337" s="87">
        <v>9</v>
      </c>
      <c r="H337" s="138">
        <v>379</v>
      </c>
      <c r="I337" s="2"/>
    </row>
    <row r="338" spans="1:9" ht="19.8" customHeight="1" x14ac:dyDescent="0.3">
      <c r="A338" s="139">
        <v>46017</v>
      </c>
      <c r="B338" s="81" t="s">
        <v>58</v>
      </c>
      <c r="C338" s="82" t="s">
        <v>61</v>
      </c>
      <c r="D338" s="81" t="s">
        <v>1</v>
      </c>
      <c r="E338" s="140">
        <v>1.864583333333333</v>
      </c>
      <c r="F338" s="81" t="s">
        <v>85</v>
      </c>
      <c r="G338" s="83">
        <v>9</v>
      </c>
      <c r="H338" s="137">
        <v>411</v>
      </c>
      <c r="I338" s="2"/>
    </row>
    <row r="339" spans="1:9" ht="19.8" customHeight="1" x14ac:dyDescent="0.3">
      <c r="A339" s="139">
        <v>46017</v>
      </c>
      <c r="B339" s="81" t="s">
        <v>58</v>
      </c>
      <c r="C339" s="82" t="s">
        <v>59</v>
      </c>
      <c r="D339" s="81" t="s">
        <v>1</v>
      </c>
      <c r="E339" s="140">
        <v>1.1701388888888891</v>
      </c>
      <c r="F339" s="81" t="s">
        <v>85</v>
      </c>
      <c r="G339" s="83">
        <v>9</v>
      </c>
      <c r="H339" s="137">
        <v>411</v>
      </c>
      <c r="I339" s="2"/>
    </row>
    <row r="340" spans="1:9" ht="19.8" customHeight="1" x14ac:dyDescent="0.3">
      <c r="A340" s="139">
        <v>46017</v>
      </c>
      <c r="B340" s="81" t="s">
        <v>58</v>
      </c>
      <c r="C340" s="82" t="s">
        <v>63</v>
      </c>
      <c r="D340" s="81" t="s">
        <v>1</v>
      </c>
      <c r="E340" s="140">
        <v>1.5277777777777779</v>
      </c>
      <c r="F340" s="81" t="s">
        <v>85</v>
      </c>
      <c r="G340" s="83">
        <v>9</v>
      </c>
      <c r="H340" s="137">
        <v>415</v>
      </c>
      <c r="I340" s="2"/>
    </row>
    <row r="341" spans="1:9" ht="19.8" customHeight="1" x14ac:dyDescent="0.3">
      <c r="A341" s="139">
        <v>46017</v>
      </c>
      <c r="B341" s="81" t="s">
        <v>47</v>
      </c>
      <c r="C341" s="82" t="s">
        <v>79</v>
      </c>
      <c r="D341" s="81" t="s">
        <v>1</v>
      </c>
      <c r="E341" s="140">
        <v>1.958333333333333</v>
      </c>
      <c r="F341" s="81" t="s">
        <v>175</v>
      </c>
      <c r="G341" s="83">
        <v>9</v>
      </c>
      <c r="H341" s="137">
        <v>439</v>
      </c>
      <c r="I341" s="2"/>
    </row>
    <row r="342" spans="1:9" ht="19.8" customHeight="1" x14ac:dyDescent="0.3">
      <c r="A342" s="139">
        <v>46017</v>
      </c>
      <c r="B342" s="81" t="s">
        <v>35</v>
      </c>
      <c r="C342" s="82" t="s">
        <v>43</v>
      </c>
      <c r="D342" s="81" t="s">
        <v>1</v>
      </c>
      <c r="E342" s="140">
        <v>1.836805555555556</v>
      </c>
      <c r="F342" s="81" t="s">
        <v>40</v>
      </c>
      <c r="G342" s="83">
        <v>7</v>
      </c>
      <c r="H342" s="137">
        <v>449</v>
      </c>
      <c r="I342" s="2"/>
    </row>
    <row r="343" spans="1:9" ht="19.8" customHeight="1" x14ac:dyDescent="0.3">
      <c r="A343" s="139">
        <v>46017</v>
      </c>
      <c r="B343" s="81" t="s">
        <v>26</v>
      </c>
      <c r="C343" s="82" t="s">
        <v>27</v>
      </c>
      <c r="D343" s="81" t="s">
        <v>1</v>
      </c>
      <c r="E343" s="140">
        <v>1.305555555555556</v>
      </c>
      <c r="F343" s="81" t="s">
        <v>31</v>
      </c>
      <c r="G343" s="83">
        <v>16</v>
      </c>
      <c r="H343" s="137">
        <v>487</v>
      </c>
      <c r="I343" s="2"/>
    </row>
    <row r="344" spans="1:9" ht="19.8" customHeight="1" x14ac:dyDescent="0.3">
      <c r="A344" s="139">
        <v>46017</v>
      </c>
      <c r="B344" s="81" t="s">
        <v>35</v>
      </c>
      <c r="C344" s="82" t="s">
        <v>43</v>
      </c>
      <c r="D344" s="81" t="s">
        <v>1</v>
      </c>
      <c r="E344" s="140">
        <v>1.836805555555556</v>
      </c>
      <c r="F344" s="81" t="s">
        <v>33</v>
      </c>
      <c r="G344" s="83">
        <v>7</v>
      </c>
      <c r="H344" s="137">
        <v>539</v>
      </c>
      <c r="I344" s="2"/>
    </row>
    <row r="345" spans="1:9" ht="19.8" customHeight="1" x14ac:dyDescent="0.3">
      <c r="A345" s="139">
        <v>46017</v>
      </c>
      <c r="B345" s="81" t="s">
        <v>26</v>
      </c>
      <c r="C345" s="82" t="s">
        <v>27</v>
      </c>
      <c r="D345" s="81" t="s">
        <v>1</v>
      </c>
      <c r="E345" s="140">
        <v>1.305555555555556</v>
      </c>
      <c r="F345" s="81" t="s">
        <v>33</v>
      </c>
      <c r="G345" s="83">
        <v>16</v>
      </c>
      <c r="H345" s="137">
        <v>899</v>
      </c>
      <c r="I345" s="2"/>
    </row>
    <row r="346" spans="1:9" ht="19.8" customHeight="1" x14ac:dyDescent="0.3">
      <c r="A346" s="141">
        <v>46017</v>
      </c>
      <c r="B346" s="89" t="s">
        <v>65</v>
      </c>
      <c r="C346" s="90" t="s">
        <v>66</v>
      </c>
      <c r="D346" s="89" t="s">
        <v>1</v>
      </c>
      <c r="E346" s="142">
        <v>1.305555555555556</v>
      </c>
      <c r="F346" s="89" t="s">
        <v>67</v>
      </c>
      <c r="G346" s="91">
        <v>4</v>
      </c>
      <c r="H346" s="92" t="s">
        <v>120</v>
      </c>
      <c r="I346" s="2"/>
    </row>
    <row r="347" spans="1:9" ht="19.8" customHeight="1" x14ac:dyDescent="0.3">
      <c r="A347" s="139">
        <v>46018</v>
      </c>
      <c r="B347" s="81" t="s">
        <v>26</v>
      </c>
      <c r="C347" s="82" t="s">
        <v>27</v>
      </c>
      <c r="D347" s="81" t="s">
        <v>1</v>
      </c>
      <c r="E347" s="140">
        <v>1.305555555555556</v>
      </c>
      <c r="F347" s="81" t="s">
        <v>28</v>
      </c>
      <c r="G347" s="83">
        <v>22</v>
      </c>
      <c r="H347" s="137">
        <v>309</v>
      </c>
      <c r="I347" s="2"/>
    </row>
    <row r="348" spans="1:9" ht="19.8" customHeight="1" x14ac:dyDescent="0.3">
      <c r="A348" s="139">
        <v>46018</v>
      </c>
      <c r="B348" s="81" t="s">
        <v>35</v>
      </c>
      <c r="C348" s="82" t="s">
        <v>43</v>
      </c>
      <c r="D348" s="81" t="s">
        <v>1</v>
      </c>
      <c r="E348" s="140">
        <v>1.836805555555556</v>
      </c>
      <c r="F348" s="81" t="s">
        <v>37</v>
      </c>
      <c r="G348" s="83">
        <v>9</v>
      </c>
      <c r="H348" s="137">
        <v>349</v>
      </c>
      <c r="I348" s="2"/>
    </row>
    <row r="349" spans="1:9" ht="19.8" customHeight="1" x14ac:dyDescent="0.3">
      <c r="A349" s="139">
        <v>46018</v>
      </c>
      <c r="B349" s="81" t="s">
        <v>35</v>
      </c>
      <c r="C349" s="82" t="s">
        <v>36</v>
      </c>
      <c r="D349" s="81" t="s">
        <v>1</v>
      </c>
      <c r="E349" s="140">
        <v>1.2013888888888891</v>
      </c>
      <c r="F349" s="81" t="s">
        <v>37</v>
      </c>
      <c r="G349" s="83">
        <v>9</v>
      </c>
      <c r="H349" s="137">
        <v>349</v>
      </c>
      <c r="I349" s="2"/>
    </row>
    <row r="350" spans="1:9" ht="19.8" customHeight="1" x14ac:dyDescent="0.3">
      <c r="A350" s="139">
        <v>46018</v>
      </c>
      <c r="B350" s="81" t="s">
        <v>70</v>
      </c>
      <c r="C350" s="82" t="s">
        <v>71</v>
      </c>
      <c r="D350" s="81" t="s">
        <v>1</v>
      </c>
      <c r="E350" s="140">
        <v>1.9722222222222221</v>
      </c>
      <c r="F350" s="81" t="s">
        <v>72</v>
      </c>
      <c r="G350" s="83">
        <v>9</v>
      </c>
      <c r="H350" s="137">
        <v>373</v>
      </c>
      <c r="I350" s="2"/>
    </row>
    <row r="351" spans="1:9" ht="19.8" customHeight="1" x14ac:dyDescent="0.3">
      <c r="A351" s="143">
        <v>46018</v>
      </c>
      <c r="B351" s="85" t="s">
        <v>52</v>
      </c>
      <c r="C351" s="86" t="s">
        <v>53</v>
      </c>
      <c r="D351" s="85" t="s">
        <v>1</v>
      </c>
      <c r="E351" s="144">
        <v>1.9236111111111109</v>
      </c>
      <c r="F351" s="85" t="s">
        <v>49</v>
      </c>
      <c r="G351" s="87">
        <v>9</v>
      </c>
      <c r="H351" s="138">
        <v>379</v>
      </c>
      <c r="I351" s="2"/>
    </row>
    <row r="352" spans="1:9" ht="19.8" customHeight="1" x14ac:dyDescent="0.3">
      <c r="A352" s="139">
        <v>46018</v>
      </c>
      <c r="B352" s="81" t="s">
        <v>58</v>
      </c>
      <c r="C352" s="82" t="s">
        <v>61</v>
      </c>
      <c r="D352" s="81" t="s">
        <v>1</v>
      </c>
      <c r="E352" s="140">
        <v>1.868055555555556</v>
      </c>
      <c r="F352" s="81" t="s">
        <v>85</v>
      </c>
      <c r="G352" s="83">
        <v>9</v>
      </c>
      <c r="H352" s="137">
        <v>411</v>
      </c>
      <c r="I352" s="2"/>
    </row>
    <row r="353" spans="1:9" ht="19.8" customHeight="1" x14ac:dyDescent="0.3">
      <c r="A353" s="139">
        <v>46018</v>
      </c>
      <c r="B353" s="81" t="s">
        <v>58</v>
      </c>
      <c r="C353" s="82" t="s">
        <v>63</v>
      </c>
      <c r="D353" s="81" t="s">
        <v>1</v>
      </c>
      <c r="E353" s="140">
        <v>1.5277777777777779</v>
      </c>
      <c r="F353" s="81" t="s">
        <v>85</v>
      </c>
      <c r="G353" s="83">
        <v>9</v>
      </c>
      <c r="H353" s="137">
        <v>411</v>
      </c>
      <c r="I353" s="2"/>
    </row>
    <row r="354" spans="1:9" ht="19.8" customHeight="1" x14ac:dyDescent="0.3">
      <c r="A354" s="139">
        <v>46018</v>
      </c>
      <c r="B354" s="81" t="s">
        <v>58</v>
      </c>
      <c r="C354" s="82" t="s">
        <v>59</v>
      </c>
      <c r="D354" s="81" t="s">
        <v>1</v>
      </c>
      <c r="E354" s="140">
        <v>1.1701388888888891</v>
      </c>
      <c r="F354" s="81" t="s">
        <v>85</v>
      </c>
      <c r="G354" s="83">
        <v>9</v>
      </c>
      <c r="H354" s="137">
        <v>411</v>
      </c>
      <c r="I354" s="2"/>
    </row>
    <row r="355" spans="1:9" ht="19.8" customHeight="1" x14ac:dyDescent="0.3">
      <c r="A355" s="139">
        <v>46018</v>
      </c>
      <c r="B355" s="81" t="s">
        <v>35</v>
      </c>
      <c r="C355" s="82" t="s">
        <v>43</v>
      </c>
      <c r="D355" s="81" t="s">
        <v>1</v>
      </c>
      <c r="E355" s="140">
        <v>1.836805555555556</v>
      </c>
      <c r="F355" s="81" t="s">
        <v>40</v>
      </c>
      <c r="G355" s="83">
        <v>9</v>
      </c>
      <c r="H355" s="137">
        <v>449</v>
      </c>
      <c r="I355" s="2"/>
    </row>
    <row r="356" spans="1:9" ht="19.8" customHeight="1" x14ac:dyDescent="0.3">
      <c r="A356" s="139">
        <v>46018</v>
      </c>
      <c r="B356" s="81" t="s">
        <v>35</v>
      </c>
      <c r="C356" s="82" t="s">
        <v>36</v>
      </c>
      <c r="D356" s="81" t="s">
        <v>1</v>
      </c>
      <c r="E356" s="140">
        <v>1.2013888888888891</v>
      </c>
      <c r="F356" s="81" t="s">
        <v>40</v>
      </c>
      <c r="G356" s="83">
        <v>9</v>
      </c>
      <c r="H356" s="137">
        <v>449</v>
      </c>
      <c r="I356" s="2"/>
    </row>
    <row r="357" spans="1:9" ht="19.8" customHeight="1" x14ac:dyDescent="0.3">
      <c r="A357" s="139">
        <v>46018</v>
      </c>
      <c r="B357" s="81" t="s">
        <v>26</v>
      </c>
      <c r="C357" s="82" t="s">
        <v>27</v>
      </c>
      <c r="D357" s="81" t="s">
        <v>1</v>
      </c>
      <c r="E357" s="140">
        <v>1.305555555555556</v>
      </c>
      <c r="F357" s="81" t="s">
        <v>31</v>
      </c>
      <c r="G357" s="83">
        <v>22</v>
      </c>
      <c r="H357" s="137">
        <v>487</v>
      </c>
      <c r="I357" s="2"/>
    </row>
    <row r="358" spans="1:9" ht="19.8" customHeight="1" x14ac:dyDescent="0.3">
      <c r="A358" s="139">
        <v>46018</v>
      </c>
      <c r="B358" s="81" t="s">
        <v>35</v>
      </c>
      <c r="C358" s="82" t="s">
        <v>43</v>
      </c>
      <c r="D358" s="81" t="s">
        <v>1</v>
      </c>
      <c r="E358" s="140">
        <v>1.836805555555556</v>
      </c>
      <c r="F358" s="81" t="s">
        <v>33</v>
      </c>
      <c r="G358" s="83">
        <v>9</v>
      </c>
      <c r="H358" s="137">
        <v>539</v>
      </c>
      <c r="I358" s="2"/>
    </row>
    <row r="359" spans="1:9" ht="19.8" customHeight="1" x14ac:dyDescent="0.3">
      <c r="A359" s="139">
        <v>46018</v>
      </c>
      <c r="B359" s="81" t="s">
        <v>35</v>
      </c>
      <c r="C359" s="82" t="s">
        <v>36</v>
      </c>
      <c r="D359" s="81" t="s">
        <v>1</v>
      </c>
      <c r="E359" s="140">
        <v>1.2013888888888891</v>
      </c>
      <c r="F359" s="81" t="s">
        <v>33</v>
      </c>
      <c r="G359" s="83">
        <v>9</v>
      </c>
      <c r="H359" s="137">
        <v>539</v>
      </c>
      <c r="I359" s="2"/>
    </row>
    <row r="360" spans="1:9" ht="19.8" customHeight="1" x14ac:dyDescent="0.3">
      <c r="A360" s="139">
        <v>46018</v>
      </c>
      <c r="B360" s="81" t="s">
        <v>70</v>
      </c>
      <c r="C360" s="82" t="s">
        <v>71</v>
      </c>
      <c r="D360" s="81" t="s">
        <v>1</v>
      </c>
      <c r="E360" s="140">
        <v>1.9722222222222221</v>
      </c>
      <c r="F360" s="81" t="s">
        <v>74</v>
      </c>
      <c r="G360" s="83">
        <v>9</v>
      </c>
      <c r="H360" s="137">
        <v>578</v>
      </c>
      <c r="I360" s="2"/>
    </row>
    <row r="361" spans="1:9" ht="19.8" customHeight="1" x14ac:dyDescent="0.3">
      <c r="A361" s="139">
        <v>46018</v>
      </c>
      <c r="B361" s="81" t="s">
        <v>26</v>
      </c>
      <c r="C361" s="82" t="s">
        <v>27</v>
      </c>
      <c r="D361" s="81" t="s">
        <v>1</v>
      </c>
      <c r="E361" s="140">
        <v>1.305555555555556</v>
      </c>
      <c r="F361" s="81" t="s">
        <v>33</v>
      </c>
      <c r="G361" s="83">
        <v>22</v>
      </c>
      <c r="H361" s="137">
        <v>899</v>
      </c>
      <c r="I361" s="2"/>
    </row>
    <row r="362" spans="1:9" ht="19.8" customHeight="1" x14ac:dyDescent="0.3">
      <c r="A362" s="141">
        <v>46018</v>
      </c>
      <c r="B362" s="89" t="s">
        <v>65</v>
      </c>
      <c r="C362" s="90" t="s">
        <v>66</v>
      </c>
      <c r="D362" s="89" t="s">
        <v>1</v>
      </c>
      <c r="E362" s="142">
        <v>1.305555555555556</v>
      </c>
      <c r="F362" s="89" t="s">
        <v>67</v>
      </c>
      <c r="G362" s="91">
        <v>4</v>
      </c>
      <c r="H362" s="92" t="s">
        <v>120</v>
      </c>
      <c r="I362" s="2"/>
    </row>
    <row r="363" spans="1:9" ht="19.8" customHeight="1" x14ac:dyDescent="0.3">
      <c r="A363" s="139">
        <v>46019</v>
      </c>
      <c r="B363" s="81" t="s">
        <v>26</v>
      </c>
      <c r="C363" s="82" t="s">
        <v>27</v>
      </c>
      <c r="D363" s="81" t="s">
        <v>1</v>
      </c>
      <c r="E363" s="140">
        <v>1.305555555555556</v>
      </c>
      <c r="F363" s="81" t="s">
        <v>28</v>
      </c>
      <c r="G363" s="83">
        <v>14</v>
      </c>
      <c r="H363" s="137">
        <v>309</v>
      </c>
      <c r="I363" s="2"/>
    </row>
    <row r="364" spans="1:9" ht="19.8" customHeight="1" x14ac:dyDescent="0.3">
      <c r="A364" s="139">
        <v>46019</v>
      </c>
      <c r="B364" s="81" t="s">
        <v>35</v>
      </c>
      <c r="C364" s="82" t="s">
        <v>43</v>
      </c>
      <c r="D364" s="81" t="s">
        <v>1</v>
      </c>
      <c r="E364" s="140">
        <v>1.850694444444444</v>
      </c>
      <c r="F364" s="81" t="s">
        <v>37</v>
      </c>
      <c r="G364" s="83">
        <v>7</v>
      </c>
      <c r="H364" s="137">
        <v>349</v>
      </c>
      <c r="I364" s="2"/>
    </row>
    <row r="365" spans="1:9" ht="19.8" customHeight="1" x14ac:dyDescent="0.3">
      <c r="A365" s="139">
        <v>46019</v>
      </c>
      <c r="B365" s="81" t="s">
        <v>58</v>
      </c>
      <c r="C365" s="82" t="s">
        <v>61</v>
      </c>
      <c r="D365" s="81" t="s">
        <v>1</v>
      </c>
      <c r="E365" s="140">
        <v>1.864583333333333</v>
      </c>
      <c r="F365" s="81" t="s">
        <v>85</v>
      </c>
      <c r="G365" s="83">
        <v>9</v>
      </c>
      <c r="H365" s="137">
        <v>411</v>
      </c>
      <c r="I365" s="2"/>
    </row>
    <row r="366" spans="1:9" ht="19.8" customHeight="1" x14ac:dyDescent="0.3">
      <c r="A366" s="139">
        <v>46019</v>
      </c>
      <c r="B366" s="81" t="s">
        <v>58</v>
      </c>
      <c r="C366" s="82" t="s">
        <v>63</v>
      </c>
      <c r="D366" s="81" t="s">
        <v>1</v>
      </c>
      <c r="E366" s="140">
        <v>1.5277777777777779</v>
      </c>
      <c r="F366" s="81" t="s">
        <v>85</v>
      </c>
      <c r="G366" s="83">
        <v>9</v>
      </c>
      <c r="H366" s="137">
        <v>411</v>
      </c>
      <c r="I366" s="2"/>
    </row>
    <row r="367" spans="1:9" ht="19.8" customHeight="1" x14ac:dyDescent="0.3">
      <c r="A367" s="139">
        <v>46019</v>
      </c>
      <c r="B367" s="81" t="s">
        <v>58</v>
      </c>
      <c r="C367" s="82" t="s">
        <v>59</v>
      </c>
      <c r="D367" s="81" t="s">
        <v>1</v>
      </c>
      <c r="E367" s="140">
        <v>1.1701388888888891</v>
      </c>
      <c r="F367" s="81" t="s">
        <v>85</v>
      </c>
      <c r="G367" s="83">
        <v>9</v>
      </c>
      <c r="H367" s="137">
        <v>411</v>
      </c>
      <c r="I367" s="2"/>
    </row>
    <row r="368" spans="1:9" ht="19.8" customHeight="1" x14ac:dyDescent="0.3">
      <c r="A368" s="139">
        <v>46019</v>
      </c>
      <c r="B368" s="81" t="s">
        <v>47</v>
      </c>
      <c r="C368" s="82" t="s">
        <v>97</v>
      </c>
      <c r="D368" s="81" t="s">
        <v>1</v>
      </c>
      <c r="E368" s="140">
        <v>1.958333333333333</v>
      </c>
      <c r="F368" s="81" t="s">
        <v>175</v>
      </c>
      <c r="G368" s="83">
        <v>9</v>
      </c>
      <c r="H368" s="137">
        <v>439</v>
      </c>
      <c r="I368" s="2"/>
    </row>
    <row r="369" spans="1:9" ht="19.8" customHeight="1" x14ac:dyDescent="0.3">
      <c r="A369" s="139">
        <v>46019</v>
      </c>
      <c r="B369" s="81" t="s">
        <v>35</v>
      </c>
      <c r="C369" s="82" t="s">
        <v>43</v>
      </c>
      <c r="D369" s="81" t="s">
        <v>1</v>
      </c>
      <c r="E369" s="140">
        <v>1.850694444444444</v>
      </c>
      <c r="F369" s="81" t="s">
        <v>40</v>
      </c>
      <c r="G369" s="83">
        <v>7</v>
      </c>
      <c r="H369" s="137">
        <v>449</v>
      </c>
      <c r="I369" s="2"/>
    </row>
    <row r="370" spans="1:9" ht="19.8" customHeight="1" x14ac:dyDescent="0.3">
      <c r="A370" s="139">
        <v>46019</v>
      </c>
      <c r="B370" s="81" t="s">
        <v>26</v>
      </c>
      <c r="C370" s="82" t="s">
        <v>27</v>
      </c>
      <c r="D370" s="81" t="s">
        <v>1</v>
      </c>
      <c r="E370" s="140">
        <v>1.305555555555556</v>
      </c>
      <c r="F370" s="81" t="s">
        <v>31</v>
      </c>
      <c r="G370" s="83">
        <v>14</v>
      </c>
      <c r="H370" s="137">
        <v>487</v>
      </c>
      <c r="I370" s="2"/>
    </row>
    <row r="371" spans="1:9" ht="19.8" customHeight="1" x14ac:dyDescent="0.3">
      <c r="A371" s="139">
        <v>46019</v>
      </c>
      <c r="B371" s="81" t="s">
        <v>35</v>
      </c>
      <c r="C371" s="82" t="s">
        <v>43</v>
      </c>
      <c r="D371" s="81" t="s">
        <v>1</v>
      </c>
      <c r="E371" s="140">
        <v>1.850694444444444</v>
      </c>
      <c r="F371" s="81" t="s">
        <v>33</v>
      </c>
      <c r="G371" s="83">
        <v>7</v>
      </c>
      <c r="H371" s="137">
        <v>539</v>
      </c>
      <c r="I371" s="2"/>
    </row>
    <row r="372" spans="1:9" ht="19.8" customHeight="1" x14ac:dyDescent="0.3">
      <c r="A372" s="139">
        <v>46019</v>
      </c>
      <c r="B372" s="81" t="s">
        <v>26</v>
      </c>
      <c r="C372" s="82" t="s">
        <v>27</v>
      </c>
      <c r="D372" s="81" t="s">
        <v>1</v>
      </c>
      <c r="E372" s="140">
        <v>1.305555555555556</v>
      </c>
      <c r="F372" s="81" t="s">
        <v>33</v>
      </c>
      <c r="G372" s="83">
        <v>14</v>
      </c>
      <c r="H372" s="137">
        <v>899</v>
      </c>
      <c r="I372" s="2"/>
    </row>
    <row r="373" spans="1:9" ht="19.8" customHeight="1" x14ac:dyDescent="0.3">
      <c r="A373" s="141">
        <v>46019</v>
      </c>
      <c r="B373" s="89" t="s">
        <v>65</v>
      </c>
      <c r="C373" s="90" t="s">
        <v>66</v>
      </c>
      <c r="D373" s="89" t="s">
        <v>1</v>
      </c>
      <c r="E373" s="142">
        <v>1.305555555555556</v>
      </c>
      <c r="F373" s="89" t="s">
        <v>67</v>
      </c>
      <c r="G373" s="91">
        <v>4</v>
      </c>
      <c r="H373" s="92" t="s">
        <v>120</v>
      </c>
      <c r="I373" s="2"/>
    </row>
    <row r="374" spans="1:9" ht="19.8" customHeight="1" x14ac:dyDescent="0.3">
      <c r="A374" s="139">
        <v>46020</v>
      </c>
      <c r="B374" s="81" t="s">
        <v>26</v>
      </c>
      <c r="C374" s="82" t="s">
        <v>27</v>
      </c>
      <c r="D374" s="81" t="s">
        <v>1</v>
      </c>
      <c r="E374" s="140">
        <v>1.305555555555556</v>
      </c>
      <c r="F374" s="81" t="s">
        <v>28</v>
      </c>
      <c r="G374" s="83">
        <v>12</v>
      </c>
      <c r="H374" s="137">
        <v>309</v>
      </c>
      <c r="I374" s="2"/>
    </row>
    <row r="375" spans="1:9" ht="19.8" customHeight="1" x14ac:dyDescent="0.3">
      <c r="A375" s="139">
        <v>46020</v>
      </c>
      <c r="B375" s="81" t="s">
        <v>35</v>
      </c>
      <c r="C375" s="82" t="s">
        <v>43</v>
      </c>
      <c r="D375" s="81" t="s">
        <v>1</v>
      </c>
      <c r="E375" s="140">
        <v>1.836805555555556</v>
      </c>
      <c r="F375" s="81" t="s">
        <v>37</v>
      </c>
      <c r="G375" s="83">
        <v>9</v>
      </c>
      <c r="H375" s="137">
        <v>349</v>
      </c>
      <c r="I375" s="2"/>
    </row>
    <row r="376" spans="1:9" ht="19.8" customHeight="1" x14ac:dyDescent="0.3">
      <c r="A376" s="139">
        <v>46020</v>
      </c>
      <c r="B376" s="81" t="s">
        <v>35</v>
      </c>
      <c r="C376" s="82" t="s">
        <v>36</v>
      </c>
      <c r="D376" s="81" t="s">
        <v>1</v>
      </c>
      <c r="E376" s="140">
        <v>1.2013888888888891</v>
      </c>
      <c r="F376" s="81" t="s">
        <v>37</v>
      </c>
      <c r="G376" s="83">
        <v>9</v>
      </c>
      <c r="H376" s="137">
        <v>349</v>
      </c>
      <c r="I376" s="2"/>
    </row>
    <row r="377" spans="1:9" ht="19.8" customHeight="1" x14ac:dyDescent="0.3">
      <c r="A377" s="139">
        <v>46020</v>
      </c>
      <c r="B377" s="81" t="s">
        <v>58</v>
      </c>
      <c r="C377" s="82" t="s">
        <v>61</v>
      </c>
      <c r="D377" s="81" t="s">
        <v>1</v>
      </c>
      <c r="E377" s="140">
        <v>1.864583333333333</v>
      </c>
      <c r="F377" s="81" t="s">
        <v>85</v>
      </c>
      <c r="G377" s="83">
        <v>9</v>
      </c>
      <c r="H377" s="137">
        <v>411</v>
      </c>
      <c r="I377" s="2"/>
    </row>
    <row r="378" spans="1:9" ht="19.8" customHeight="1" x14ac:dyDescent="0.3">
      <c r="A378" s="139">
        <v>46020</v>
      </c>
      <c r="B378" s="81" t="s">
        <v>58</v>
      </c>
      <c r="C378" s="82" t="s">
        <v>63</v>
      </c>
      <c r="D378" s="81" t="s">
        <v>1</v>
      </c>
      <c r="E378" s="140">
        <v>1.5277777777777779</v>
      </c>
      <c r="F378" s="81" t="s">
        <v>85</v>
      </c>
      <c r="G378" s="83">
        <v>9</v>
      </c>
      <c r="H378" s="137">
        <v>411</v>
      </c>
      <c r="I378" s="2"/>
    </row>
    <row r="379" spans="1:9" ht="19.8" customHeight="1" x14ac:dyDescent="0.3">
      <c r="A379" s="139">
        <v>46020</v>
      </c>
      <c r="B379" s="81" t="s">
        <v>58</v>
      </c>
      <c r="C379" s="82" t="s">
        <v>59</v>
      </c>
      <c r="D379" s="81" t="s">
        <v>1</v>
      </c>
      <c r="E379" s="140">
        <v>1.1701388888888891</v>
      </c>
      <c r="F379" s="81" t="s">
        <v>85</v>
      </c>
      <c r="G379" s="83">
        <v>9</v>
      </c>
      <c r="H379" s="137">
        <v>411</v>
      </c>
      <c r="I379" s="2"/>
    </row>
    <row r="380" spans="1:9" ht="19.8" customHeight="1" x14ac:dyDescent="0.3">
      <c r="A380" s="139">
        <v>46020</v>
      </c>
      <c r="B380" s="81" t="s">
        <v>76</v>
      </c>
      <c r="C380" s="82" t="s">
        <v>168</v>
      </c>
      <c r="D380" s="81" t="s">
        <v>1</v>
      </c>
      <c r="E380" s="140">
        <v>1.1284722222222221</v>
      </c>
      <c r="F380" s="81" t="s">
        <v>175</v>
      </c>
      <c r="G380" s="83">
        <v>3</v>
      </c>
      <c r="H380" s="137">
        <v>425</v>
      </c>
      <c r="I380" s="2"/>
    </row>
    <row r="381" spans="1:9" ht="19.8" customHeight="1" x14ac:dyDescent="0.3">
      <c r="A381" s="139">
        <v>46020</v>
      </c>
      <c r="B381" s="81" t="s">
        <v>47</v>
      </c>
      <c r="C381" s="82" t="s">
        <v>79</v>
      </c>
      <c r="D381" s="81" t="s">
        <v>1</v>
      </c>
      <c r="E381" s="140">
        <v>1.958333333333333</v>
      </c>
      <c r="F381" s="81" t="s">
        <v>175</v>
      </c>
      <c r="G381" s="83">
        <v>9</v>
      </c>
      <c r="H381" s="137">
        <v>439</v>
      </c>
      <c r="I381" s="2"/>
    </row>
    <row r="382" spans="1:9" ht="19.8" customHeight="1" x14ac:dyDescent="0.3">
      <c r="A382" s="139">
        <v>46020</v>
      </c>
      <c r="B382" s="81" t="s">
        <v>35</v>
      </c>
      <c r="C382" s="82" t="s">
        <v>43</v>
      </c>
      <c r="D382" s="81" t="s">
        <v>1</v>
      </c>
      <c r="E382" s="140">
        <v>1.836805555555556</v>
      </c>
      <c r="F382" s="81" t="s">
        <v>40</v>
      </c>
      <c r="G382" s="83">
        <v>9</v>
      </c>
      <c r="H382" s="137">
        <v>449</v>
      </c>
      <c r="I382" s="2"/>
    </row>
    <row r="383" spans="1:9" ht="19.8" customHeight="1" x14ac:dyDescent="0.3">
      <c r="A383" s="139">
        <v>46020</v>
      </c>
      <c r="B383" s="81" t="s">
        <v>35</v>
      </c>
      <c r="C383" s="82" t="s">
        <v>36</v>
      </c>
      <c r="D383" s="81" t="s">
        <v>1</v>
      </c>
      <c r="E383" s="140">
        <v>1.2013888888888891</v>
      </c>
      <c r="F383" s="81" t="s">
        <v>40</v>
      </c>
      <c r="G383" s="83">
        <v>9</v>
      </c>
      <c r="H383" s="137">
        <v>449</v>
      </c>
      <c r="I383" s="2"/>
    </row>
    <row r="384" spans="1:9" ht="19.8" customHeight="1" x14ac:dyDescent="0.3">
      <c r="A384" s="139">
        <v>46020</v>
      </c>
      <c r="B384" s="81" t="s">
        <v>26</v>
      </c>
      <c r="C384" s="82" t="s">
        <v>27</v>
      </c>
      <c r="D384" s="81" t="s">
        <v>1</v>
      </c>
      <c r="E384" s="140">
        <v>1.305555555555556</v>
      </c>
      <c r="F384" s="81" t="s">
        <v>31</v>
      </c>
      <c r="G384" s="83">
        <v>12</v>
      </c>
      <c r="H384" s="137">
        <v>487</v>
      </c>
      <c r="I384" s="2"/>
    </row>
    <row r="385" spans="1:9" ht="19.8" customHeight="1" x14ac:dyDescent="0.3">
      <c r="A385" s="139">
        <v>46020</v>
      </c>
      <c r="B385" s="81" t="s">
        <v>35</v>
      </c>
      <c r="C385" s="82" t="s">
        <v>43</v>
      </c>
      <c r="D385" s="81" t="s">
        <v>1</v>
      </c>
      <c r="E385" s="140">
        <v>1.836805555555556</v>
      </c>
      <c r="F385" s="81" t="s">
        <v>33</v>
      </c>
      <c r="G385" s="83">
        <v>9</v>
      </c>
      <c r="H385" s="137">
        <v>539</v>
      </c>
      <c r="I385" s="2"/>
    </row>
    <row r="386" spans="1:9" ht="19.8" customHeight="1" x14ac:dyDescent="0.3">
      <c r="A386" s="139">
        <v>46020</v>
      </c>
      <c r="B386" s="81" t="s">
        <v>35</v>
      </c>
      <c r="C386" s="82" t="s">
        <v>36</v>
      </c>
      <c r="D386" s="81" t="s">
        <v>1</v>
      </c>
      <c r="E386" s="140">
        <v>1.2013888888888891</v>
      </c>
      <c r="F386" s="81" t="s">
        <v>33</v>
      </c>
      <c r="G386" s="83">
        <v>9</v>
      </c>
      <c r="H386" s="137">
        <v>539</v>
      </c>
      <c r="I386" s="2"/>
    </row>
    <row r="387" spans="1:9" ht="19.8" customHeight="1" x14ac:dyDescent="0.3">
      <c r="A387" s="139">
        <v>46020</v>
      </c>
      <c r="B387" s="81" t="s">
        <v>26</v>
      </c>
      <c r="C387" s="82" t="s">
        <v>27</v>
      </c>
      <c r="D387" s="81" t="s">
        <v>1</v>
      </c>
      <c r="E387" s="140">
        <v>1.305555555555556</v>
      </c>
      <c r="F387" s="81" t="s">
        <v>33</v>
      </c>
      <c r="G387" s="83">
        <v>12</v>
      </c>
      <c r="H387" s="137">
        <v>899</v>
      </c>
      <c r="I387" s="2"/>
    </row>
    <row r="388" spans="1:9" ht="19.8" customHeight="1" x14ac:dyDescent="0.3">
      <c r="A388" s="141">
        <v>46020</v>
      </c>
      <c r="B388" s="89" t="s">
        <v>65</v>
      </c>
      <c r="C388" s="90" t="s">
        <v>66</v>
      </c>
      <c r="D388" s="89" t="s">
        <v>1</v>
      </c>
      <c r="E388" s="142">
        <v>1.305555555555556</v>
      </c>
      <c r="F388" s="89" t="s">
        <v>67</v>
      </c>
      <c r="G388" s="91">
        <v>4</v>
      </c>
      <c r="H388" s="92" t="s">
        <v>120</v>
      </c>
      <c r="I388" s="2"/>
    </row>
    <row r="389" spans="1:9" ht="19.8" customHeight="1" x14ac:dyDescent="0.3">
      <c r="A389" s="139">
        <v>46021</v>
      </c>
      <c r="B389" s="81" t="s">
        <v>26</v>
      </c>
      <c r="C389" s="82" t="s">
        <v>27</v>
      </c>
      <c r="D389" s="81" t="s">
        <v>1</v>
      </c>
      <c r="E389" s="140">
        <v>1.305555555555556</v>
      </c>
      <c r="F389" s="81" t="s">
        <v>28</v>
      </c>
      <c r="G389" s="83">
        <v>11</v>
      </c>
      <c r="H389" s="137">
        <v>309</v>
      </c>
      <c r="I389" s="2"/>
    </row>
    <row r="390" spans="1:9" ht="19.8" customHeight="1" x14ac:dyDescent="0.3">
      <c r="A390" s="139">
        <v>46021</v>
      </c>
      <c r="B390" s="81" t="s">
        <v>35</v>
      </c>
      <c r="C390" s="82" t="s">
        <v>36</v>
      </c>
      <c r="D390" s="81" t="s">
        <v>1</v>
      </c>
      <c r="E390" s="140">
        <v>1.2013888888888891</v>
      </c>
      <c r="F390" s="81" t="s">
        <v>37</v>
      </c>
      <c r="G390" s="83">
        <v>2</v>
      </c>
      <c r="H390" s="137">
        <v>379</v>
      </c>
      <c r="I390" s="2"/>
    </row>
    <row r="391" spans="1:9" ht="19.8" customHeight="1" x14ac:dyDescent="0.3">
      <c r="A391" s="143">
        <v>46021</v>
      </c>
      <c r="B391" s="85" t="s">
        <v>52</v>
      </c>
      <c r="C391" s="86" t="s">
        <v>53</v>
      </c>
      <c r="D391" s="85" t="s">
        <v>1</v>
      </c>
      <c r="E391" s="144">
        <v>1.270833333333333</v>
      </c>
      <c r="F391" s="85" t="s">
        <v>49</v>
      </c>
      <c r="G391" s="87">
        <v>9</v>
      </c>
      <c r="H391" s="138">
        <v>379</v>
      </c>
      <c r="I391" s="2"/>
    </row>
    <row r="392" spans="1:9" ht="19.8" customHeight="1" x14ac:dyDescent="0.3">
      <c r="A392" s="139">
        <v>46021</v>
      </c>
      <c r="B392" s="81" t="s">
        <v>35</v>
      </c>
      <c r="C392" s="82" t="s">
        <v>43</v>
      </c>
      <c r="D392" s="81" t="s">
        <v>1</v>
      </c>
      <c r="E392" s="140">
        <v>1.836805555555556</v>
      </c>
      <c r="F392" s="81" t="s">
        <v>37</v>
      </c>
      <c r="G392" s="83">
        <v>6</v>
      </c>
      <c r="H392" s="137">
        <v>409</v>
      </c>
      <c r="I392" s="2"/>
    </row>
    <row r="393" spans="1:9" ht="19.8" customHeight="1" x14ac:dyDescent="0.3">
      <c r="A393" s="139">
        <v>46021</v>
      </c>
      <c r="B393" s="81" t="s">
        <v>58</v>
      </c>
      <c r="C393" s="82" t="s">
        <v>61</v>
      </c>
      <c r="D393" s="81" t="s">
        <v>1</v>
      </c>
      <c r="E393" s="140">
        <v>1.864583333333333</v>
      </c>
      <c r="F393" s="81" t="s">
        <v>85</v>
      </c>
      <c r="G393" s="83">
        <v>9</v>
      </c>
      <c r="H393" s="137">
        <v>411</v>
      </c>
      <c r="I393" s="2"/>
    </row>
    <row r="394" spans="1:9" ht="19.8" customHeight="1" x14ac:dyDescent="0.3">
      <c r="A394" s="139">
        <v>46021</v>
      </c>
      <c r="B394" s="81" t="s">
        <v>58</v>
      </c>
      <c r="C394" s="82" t="s">
        <v>63</v>
      </c>
      <c r="D394" s="81" t="s">
        <v>1</v>
      </c>
      <c r="E394" s="140">
        <v>1.5277777777777779</v>
      </c>
      <c r="F394" s="81" t="s">
        <v>85</v>
      </c>
      <c r="G394" s="83">
        <v>9</v>
      </c>
      <c r="H394" s="137">
        <v>411</v>
      </c>
      <c r="I394" s="2"/>
    </row>
    <row r="395" spans="1:9" ht="19.8" customHeight="1" x14ac:dyDescent="0.3">
      <c r="A395" s="139">
        <v>46021</v>
      </c>
      <c r="B395" s="81" t="s">
        <v>58</v>
      </c>
      <c r="C395" s="82" t="s">
        <v>59</v>
      </c>
      <c r="D395" s="81" t="s">
        <v>1</v>
      </c>
      <c r="E395" s="140">
        <v>1.1701388888888891</v>
      </c>
      <c r="F395" s="81" t="s">
        <v>85</v>
      </c>
      <c r="G395" s="83">
        <v>9</v>
      </c>
      <c r="H395" s="137">
        <v>411</v>
      </c>
      <c r="I395" s="2"/>
    </row>
    <row r="396" spans="1:9" ht="19.8" customHeight="1" x14ac:dyDescent="0.3">
      <c r="A396" s="139">
        <v>46021</v>
      </c>
      <c r="B396" s="81" t="s">
        <v>47</v>
      </c>
      <c r="C396" s="82" t="s">
        <v>48</v>
      </c>
      <c r="D396" s="81" t="s">
        <v>1</v>
      </c>
      <c r="E396" s="140">
        <v>1.958333333333333</v>
      </c>
      <c r="F396" s="81" t="s">
        <v>175</v>
      </c>
      <c r="G396" s="83">
        <v>9</v>
      </c>
      <c r="H396" s="137">
        <v>439</v>
      </c>
      <c r="I396" s="2"/>
    </row>
    <row r="397" spans="1:9" ht="19.8" customHeight="1" x14ac:dyDescent="0.3">
      <c r="A397" s="139">
        <v>46021</v>
      </c>
      <c r="B397" s="81" t="s">
        <v>35</v>
      </c>
      <c r="C397" s="82" t="s">
        <v>36</v>
      </c>
      <c r="D397" s="81" t="s">
        <v>1</v>
      </c>
      <c r="E397" s="140">
        <v>1.2013888888888891</v>
      </c>
      <c r="F397" s="81" t="s">
        <v>40</v>
      </c>
      <c r="G397" s="83">
        <v>2</v>
      </c>
      <c r="H397" s="137">
        <v>479</v>
      </c>
      <c r="I397" s="2"/>
    </row>
    <row r="398" spans="1:9" ht="19.8" customHeight="1" x14ac:dyDescent="0.3">
      <c r="A398" s="139">
        <v>46021</v>
      </c>
      <c r="B398" s="81" t="s">
        <v>26</v>
      </c>
      <c r="C398" s="82" t="s">
        <v>27</v>
      </c>
      <c r="D398" s="81" t="s">
        <v>1</v>
      </c>
      <c r="E398" s="140">
        <v>1.305555555555556</v>
      </c>
      <c r="F398" s="81" t="s">
        <v>31</v>
      </c>
      <c r="G398" s="83">
        <v>11</v>
      </c>
      <c r="H398" s="137">
        <v>487</v>
      </c>
      <c r="I398" s="2"/>
    </row>
    <row r="399" spans="1:9" ht="19.8" customHeight="1" x14ac:dyDescent="0.3">
      <c r="A399" s="139">
        <v>46021</v>
      </c>
      <c r="B399" s="81" t="s">
        <v>35</v>
      </c>
      <c r="C399" s="82" t="s">
        <v>43</v>
      </c>
      <c r="D399" s="81" t="s">
        <v>1</v>
      </c>
      <c r="E399" s="140">
        <v>1.836805555555556</v>
      </c>
      <c r="F399" s="81" t="s">
        <v>40</v>
      </c>
      <c r="G399" s="83">
        <v>6</v>
      </c>
      <c r="H399" s="137">
        <v>509</v>
      </c>
      <c r="I399" s="2"/>
    </row>
    <row r="400" spans="1:9" ht="19.8" customHeight="1" x14ac:dyDescent="0.3">
      <c r="A400" s="139">
        <v>46021</v>
      </c>
      <c r="B400" s="81" t="s">
        <v>35</v>
      </c>
      <c r="C400" s="82" t="s">
        <v>36</v>
      </c>
      <c r="D400" s="81" t="s">
        <v>1</v>
      </c>
      <c r="E400" s="140">
        <v>1.2013888888888891</v>
      </c>
      <c r="F400" s="81" t="s">
        <v>33</v>
      </c>
      <c r="G400" s="83">
        <v>2</v>
      </c>
      <c r="H400" s="137">
        <v>569</v>
      </c>
      <c r="I400" s="2"/>
    </row>
    <row r="401" spans="1:9" ht="19.8" customHeight="1" x14ac:dyDescent="0.3">
      <c r="A401" s="139">
        <v>46021</v>
      </c>
      <c r="B401" s="81" t="s">
        <v>35</v>
      </c>
      <c r="C401" s="82" t="s">
        <v>43</v>
      </c>
      <c r="D401" s="81" t="s">
        <v>1</v>
      </c>
      <c r="E401" s="140">
        <v>1.836805555555556</v>
      </c>
      <c r="F401" s="81" t="s">
        <v>33</v>
      </c>
      <c r="G401" s="83">
        <v>6</v>
      </c>
      <c r="H401" s="137">
        <v>599</v>
      </c>
      <c r="I401" s="2"/>
    </row>
    <row r="402" spans="1:9" ht="19.8" customHeight="1" x14ac:dyDescent="0.3">
      <c r="A402" s="139">
        <v>46021</v>
      </c>
      <c r="B402" s="81" t="s">
        <v>26</v>
      </c>
      <c r="C402" s="82" t="s">
        <v>27</v>
      </c>
      <c r="D402" s="81" t="s">
        <v>1</v>
      </c>
      <c r="E402" s="140">
        <v>1.305555555555556</v>
      </c>
      <c r="F402" s="81" t="s">
        <v>33</v>
      </c>
      <c r="G402" s="83">
        <v>11</v>
      </c>
      <c r="H402" s="137">
        <v>899</v>
      </c>
      <c r="I402" s="2"/>
    </row>
    <row r="403" spans="1:9" ht="19.8" customHeight="1" x14ac:dyDescent="0.3">
      <c r="A403" s="141">
        <v>46021</v>
      </c>
      <c r="B403" s="89" t="s">
        <v>65</v>
      </c>
      <c r="C403" s="90" t="s">
        <v>66</v>
      </c>
      <c r="D403" s="89" t="s">
        <v>1</v>
      </c>
      <c r="E403" s="142">
        <v>1.305555555555556</v>
      </c>
      <c r="F403" s="89" t="s">
        <v>67</v>
      </c>
      <c r="G403" s="91">
        <v>4</v>
      </c>
      <c r="H403" s="92" t="s">
        <v>120</v>
      </c>
      <c r="I403" s="2"/>
    </row>
    <row r="404" spans="1:9" ht="19.8" customHeight="1" x14ac:dyDescent="0.3">
      <c r="A404" s="139">
        <v>46022</v>
      </c>
      <c r="B404" s="81" t="s">
        <v>70</v>
      </c>
      <c r="C404" s="82" t="s">
        <v>71</v>
      </c>
      <c r="D404" s="81" t="s">
        <v>1</v>
      </c>
      <c r="E404" s="140">
        <v>1.9722222222222221</v>
      </c>
      <c r="F404" s="81" t="s">
        <v>72</v>
      </c>
      <c r="G404" s="83">
        <v>9</v>
      </c>
      <c r="H404" s="137">
        <v>367</v>
      </c>
      <c r="I404" s="2"/>
    </row>
    <row r="405" spans="1:9" ht="19.8" customHeight="1" x14ac:dyDescent="0.3">
      <c r="A405" s="139">
        <v>46022</v>
      </c>
      <c r="B405" s="81" t="s">
        <v>26</v>
      </c>
      <c r="C405" s="82" t="s">
        <v>27</v>
      </c>
      <c r="D405" s="81" t="s">
        <v>1</v>
      </c>
      <c r="E405" s="140">
        <v>1.305555555555556</v>
      </c>
      <c r="F405" s="81" t="s">
        <v>28</v>
      </c>
      <c r="G405" s="83">
        <v>20</v>
      </c>
      <c r="H405" s="137">
        <v>369</v>
      </c>
      <c r="I405" s="2"/>
    </row>
    <row r="406" spans="1:9" ht="19.8" customHeight="1" x14ac:dyDescent="0.3">
      <c r="A406" s="139">
        <v>46022</v>
      </c>
      <c r="B406" s="81" t="s">
        <v>58</v>
      </c>
      <c r="C406" s="82" t="s">
        <v>61</v>
      </c>
      <c r="D406" s="81" t="s">
        <v>1</v>
      </c>
      <c r="E406" s="140">
        <v>1.864583333333333</v>
      </c>
      <c r="F406" s="81" t="s">
        <v>85</v>
      </c>
      <c r="G406" s="83">
        <v>9</v>
      </c>
      <c r="H406" s="137">
        <v>411</v>
      </c>
      <c r="I406" s="2"/>
    </row>
    <row r="407" spans="1:9" ht="19.8" customHeight="1" x14ac:dyDescent="0.3">
      <c r="A407" s="139">
        <v>46022</v>
      </c>
      <c r="B407" s="81" t="s">
        <v>58</v>
      </c>
      <c r="C407" s="82" t="s">
        <v>63</v>
      </c>
      <c r="D407" s="81" t="s">
        <v>1</v>
      </c>
      <c r="E407" s="140">
        <v>1.5277777777777779</v>
      </c>
      <c r="F407" s="81" t="s">
        <v>85</v>
      </c>
      <c r="G407" s="83">
        <v>9</v>
      </c>
      <c r="H407" s="137">
        <v>411</v>
      </c>
      <c r="I407" s="2"/>
    </row>
    <row r="408" spans="1:9" ht="19.8" customHeight="1" x14ac:dyDescent="0.3">
      <c r="A408" s="139">
        <v>46022</v>
      </c>
      <c r="B408" s="81" t="s">
        <v>58</v>
      </c>
      <c r="C408" s="82" t="s">
        <v>59</v>
      </c>
      <c r="D408" s="81" t="s">
        <v>1</v>
      </c>
      <c r="E408" s="140">
        <v>1.1701388888888891</v>
      </c>
      <c r="F408" s="81" t="s">
        <v>85</v>
      </c>
      <c r="G408" s="83">
        <v>9</v>
      </c>
      <c r="H408" s="137">
        <v>411</v>
      </c>
      <c r="I408" s="2"/>
    </row>
    <row r="409" spans="1:9" ht="19.8" customHeight="1" x14ac:dyDescent="0.3">
      <c r="A409" s="139">
        <v>46022</v>
      </c>
      <c r="B409" s="81" t="s">
        <v>35</v>
      </c>
      <c r="C409" s="82" t="s">
        <v>43</v>
      </c>
      <c r="D409" s="81" t="s">
        <v>1</v>
      </c>
      <c r="E409" s="140">
        <v>1.850694444444444</v>
      </c>
      <c r="F409" s="81" t="s">
        <v>37</v>
      </c>
      <c r="G409" s="83">
        <v>5</v>
      </c>
      <c r="H409" s="137">
        <v>439</v>
      </c>
      <c r="I409" s="2"/>
    </row>
    <row r="410" spans="1:9" ht="19.8" customHeight="1" x14ac:dyDescent="0.3">
      <c r="A410" s="139">
        <v>46022</v>
      </c>
      <c r="B410" s="81" t="s">
        <v>47</v>
      </c>
      <c r="C410" s="82" t="s">
        <v>79</v>
      </c>
      <c r="D410" s="81" t="s">
        <v>1</v>
      </c>
      <c r="E410" s="140">
        <v>1.895833333333333</v>
      </c>
      <c r="F410" s="81" t="s">
        <v>175</v>
      </c>
      <c r="G410" s="83">
        <v>9</v>
      </c>
      <c r="H410" s="137">
        <v>439</v>
      </c>
      <c r="I410" s="2"/>
    </row>
    <row r="411" spans="1:9" ht="19.8" customHeight="1" x14ac:dyDescent="0.3">
      <c r="A411" s="139">
        <v>46022</v>
      </c>
      <c r="B411" s="81" t="s">
        <v>76</v>
      </c>
      <c r="C411" s="82" t="s">
        <v>77</v>
      </c>
      <c r="D411" s="81" t="s">
        <v>1</v>
      </c>
      <c r="E411" s="140">
        <v>1.0902777777777779</v>
      </c>
      <c r="F411" s="81" t="s">
        <v>175</v>
      </c>
      <c r="G411" s="83">
        <v>8</v>
      </c>
      <c r="H411" s="137">
        <v>500</v>
      </c>
      <c r="I411" s="2"/>
    </row>
    <row r="412" spans="1:9" ht="19.8" customHeight="1" x14ac:dyDescent="0.3">
      <c r="A412" s="139">
        <v>46022</v>
      </c>
      <c r="B412" s="81" t="s">
        <v>35</v>
      </c>
      <c r="C412" s="82" t="s">
        <v>43</v>
      </c>
      <c r="D412" s="81" t="s">
        <v>1</v>
      </c>
      <c r="E412" s="140">
        <v>1.850694444444444</v>
      </c>
      <c r="F412" s="81" t="s">
        <v>40</v>
      </c>
      <c r="G412" s="83">
        <v>5</v>
      </c>
      <c r="H412" s="137">
        <v>539</v>
      </c>
      <c r="I412" s="2"/>
    </row>
    <row r="413" spans="1:9" ht="19.8" customHeight="1" x14ac:dyDescent="0.3">
      <c r="A413" s="139">
        <v>46022</v>
      </c>
      <c r="B413" s="81" t="s">
        <v>26</v>
      </c>
      <c r="C413" s="82" t="s">
        <v>27</v>
      </c>
      <c r="D413" s="81" t="s">
        <v>1</v>
      </c>
      <c r="E413" s="140">
        <v>1.305555555555556</v>
      </c>
      <c r="F413" s="81" t="s">
        <v>31</v>
      </c>
      <c r="G413" s="83">
        <v>20</v>
      </c>
      <c r="H413" s="137">
        <v>547</v>
      </c>
      <c r="I413" s="2"/>
    </row>
    <row r="414" spans="1:9" ht="19.8" customHeight="1" x14ac:dyDescent="0.3">
      <c r="A414" s="139">
        <v>46022</v>
      </c>
      <c r="B414" s="81" t="s">
        <v>70</v>
      </c>
      <c r="C414" s="82" t="s">
        <v>71</v>
      </c>
      <c r="D414" s="81" t="s">
        <v>1</v>
      </c>
      <c r="E414" s="140">
        <v>1.9722222222222221</v>
      </c>
      <c r="F414" s="81" t="s">
        <v>74</v>
      </c>
      <c r="G414" s="83">
        <v>9</v>
      </c>
      <c r="H414" s="137">
        <v>573</v>
      </c>
      <c r="I414" s="2"/>
    </row>
    <row r="415" spans="1:9" ht="19.8" customHeight="1" x14ac:dyDescent="0.3">
      <c r="A415" s="139">
        <v>46022</v>
      </c>
      <c r="B415" s="81" t="s">
        <v>35</v>
      </c>
      <c r="C415" s="82" t="s">
        <v>43</v>
      </c>
      <c r="D415" s="81" t="s">
        <v>1</v>
      </c>
      <c r="E415" s="140">
        <v>1.850694444444444</v>
      </c>
      <c r="F415" s="81" t="s">
        <v>33</v>
      </c>
      <c r="G415" s="83">
        <v>5</v>
      </c>
      <c r="H415" s="137">
        <v>629</v>
      </c>
      <c r="I415" s="2"/>
    </row>
    <row r="416" spans="1:9" ht="19.8" customHeight="1" x14ac:dyDescent="0.3">
      <c r="A416" s="139">
        <v>46022</v>
      </c>
      <c r="B416" s="81" t="s">
        <v>26</v>
      </c>
      <c r="C416" s="82" t="s">
        <v>27</v>
      </c>
      <c r="D416" s="81" t="s">
        <v>1</v>
      </c>
      <c r="E416" s="140">
        <v>1.305555555555556</v>
      </c>
      <c r="F416" s="81" t="s">
        <v>33</v>
      </c>
      <c r="G416" s="83">
        <v>20</v>
      </c>
      <c r="H416" s="137">
        <v>899</v>
      </c>
      <c r="I416" s="2"/>
    </row>
    <row r="417" spans="1:9" ht="19.8" customHeight="1" x14ac:dyDescent="0.3">
      <c r="A417" s="141">
        <v>46022</v>
      </c>
      <c r="B417" s="89" t="s">
        <v>65</v>
      </c>
      <c r="C417" s="90" t="s">
        <v>66</v>
      </c>
      <c r="D417" s="89" t="s">
        <v>1</v>
      </c>
      <c r="E417" s="142">
        <v>1.305555555555556</v>
      </c>
      <c r="F417" s="89" t="s">
        <v>67</v>
      </c>
      <c r="G417" s="91">
        <v>4</v>
      </c>
      <c r="H417" s="92" t="s">
        <v>102</v>
      </c>
      <c r="I417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3" t="s">
        <v>275</v>
      </c>
      <c r="B1" s="93" t="s">
        <v>8</v>
      </c>
      <c r="C1" s="93" t="s">
        <v>9</v>
      </c>
      <c r="D1" s="93" t="s">
        <v>276</v>
      </c>
      <c r="E1" s="93" t="s">
        <v>10</v>
      </c>
      <c r="F1" s="93" t="s">
        <v>11</v>
      </c>
      <c r="G1" s="93" t="s">
        <v>12</v>
      </c>
      <c r="H1" s="93" t="s">
        <v>13</v>
      </c>
      <c r="I1" s="93" t="s">
        <v>282</v>
      </c>
    </row>
    <row r="2" spans="1:9" ht="15.6" x14ac:dyDescent="0.3">
      <c r="A2" s="94" t="s">
        <v>277</v>
      </c>
      <c r="B2" s="94" t="s">
        <v>52</v>
      </c>
      <c r="C2" s="94" t="s">
        <v>53</v>
      </c>
      <c r="D2" s="94" t="s">
        <v>1</v>
      </c>
      <c r="E2" s="94" t="s">
        <v>214</v>
      </c>
      <c r="F2" s="94" t="s">
        <v>49</v>
      </c>
      <c r="G2" s="94" t="s">
        <v>44</v>
      </c>
      <c r="H2" s="94" t="s">
        <v>54</v>
      </c>
      <c r="I2" s="95" t="s">
        <v>283</v>
      </c>
    </row>
    <row r="3" spans="1:9" ht="15.6" x14ac:dyDescent="0.3">
      <c r="A3" s="96" t="s">
        <v>277</v>
      </c>
      <c r="B3" s="96" t="s">
        <v>47</v>
      </c>
      <c r="C3" s="96" t="s">
        <v>48</v>
      </c>
      <c r="D3" s="96" t="s">
        <v>1</v>
      </c>
      <c r="E3" s="96" t="s">
        <v>280</v>
      </c>
      <c r="F3" s="96" t="s">
        <v>49</v>
      </c>
      <c r="G3" s="96" t="s">
        <v>50</v>
      </c>
      <c r="H3" s="96" t="s">
        <v>51</v>
      </c>
      <c r="I3" s="97" t="s">
        <v>284</v>
      </c>
    </row>
    <row r="4" spans="1:9" ht="15.6" x14ac:dyDescent="0.3">
      <c r="A4" s="96" t="s">
        <v>277</v>
      </c>
      <c r="B4" s="96" t="s">
        <v>58</v>
      </c>
      <c r="C4" s="96" t="s">
        <v>59</v>
      </c>
      <c r="D4" s="96" t="s">
        <v>1</v>
      </c>
      <c r="E4" s="96" t="s">
        <v>285</v>
      </c>
      <c r="F4" s="96" t="s">
        <v>60</v>
      </c>
      <c r="G4" s="96" t="s">
        <v>50</v>
      </c>
      <c r="H4" s="96" t="s">
        <v>32</v>
      </c>
      <c r="I4" s="97" t="s">
        <v>286</v>
      </c>
    </row>
    <row r="5" spans="1:9" ht="15.6" x14ac:dyDescent="0.3">
      <c r="A5" s="96" t="s">
        <v>277</v>
      </c>
      <c r="B5" s="96" t="s">
        <v>35</v>
      </c>
      <c r="C5" s="96" t="s">
        <v>36</v>
      </c>
      <c r="D5" s="96" t="s">
        <v>1</v>
      </c>
      <c r="E5" s="96" t="s">
        <v>279</v>
      </c>
      <c r="F5" s="96" t="s">
        <v>33</v>
      </c>
      <c r="G5" s="96" t="s">
        <v>38</v>
      </c>
      <c r="H5" s="96" t="s">
        <v>42</v>
      </c>
      <c r="I5" s="98" t="s">
        <v>287</v>
      </c>
    </row>
    <row r="6" spans="1:9" ht="15.6" x14ac:dyDescent="0.3">
      <c r="A6" s="96" t="s">
        <v>277</v>
      </c>
      <c r="B6" s="96" t="s">
        <v>35</v>
      </c>
      <c r="C6" s="96" t="s">
        <v>43</v>
      </c>
      <c r="D6" s="96" t="s">
        <v>1</v>
      </c>
      <c r="E6" s="96" t="s">
        <v>281</v>
      </c>
      <c r="F6" s="96" t="s">
        <v>33</v>
      </c>
      <c r="G6" s="96" t="s">
        <v>44</v>
      </c>
      <c r="H6" s="96" t="s">
        <v>46</v>
      </c>
      <c r="I6" s="98" t="s">
        <v>288</v>
      </c>
    </row>
    <row r="7" spans="1:9" ht="15.6" x14ac:dyDescent="0.3">
      <c r="A7" s="96" t="s">
        <v>277</v>
      </c>
      <c r="B7" s="96" t="s">
        <v>65</v>
      </c>
      <c r="C7" s="96" t="s">
        <v>66</v>
      </c>
      <c r="D7" s="96" t="s">
        <v>1</v>
      </c>
      <c r="E7" s="96" t="s">
        <v>278</v>
      </c>
      <c r="F7" s="96" t="s">
        <v>67</v>
      </c>
      <c r="G7" s="96" t="s">
        <v>68</v>
      </c>
      <c r="H7" s="96" t="s">
        <v>69</v>
      </c>
      <c r="I7" s="98" t="s">
        <v>289</v>
      </c>
    </row>
    <row r="8" spans="1:9" ht="15.6" x14ac:dyDescent="0.3">
      <c r="A8" s="96" t="s">
        <v>290</v>
      </c>
      <c r="B8" s="96" t="s">
        <v>76</v>
      </c>
      <c r="C8" s="96" t="s">
        <v>77</v>
      </c>
      <c r="D8" s="96" t="s">
        <v>1</v>
      </c>
      <c r="E8" s="96" t="s">
        <v>291</v>
      </c>
      <c r="F8" s="96" t="s">
        <v>49</v>
      </c>
      <c r="G8" s="96" t="s">
        <v>50</v>
      </c>
      <c r="H8" s="96" t="s">
        <v>78</v>
      </c>
      <c r="I8" s="98" t="s">
        <v>292</v>
      </c>
    </row>
    <row r="9" spans="1:9" ht="15.6" x14ac:dyDescent="0.3">
      <c r="A9" s="94" t="s">
        <v>293</v>
      </c>
      <c r="B9" s="94" t="s">
        <v>52</v>
      </c>
      <c r="C9" s="94" t="s">
        <v>53</v>
      </c>
      <c r="D9" s="94" t="s">
        <v>1</v>
      </c>
      <c r="E9" s="94" t="s">
        <v>225</v>
      </c>
      <c r="F9" s="94" t="s">
        <v>49</v>
      </c>
      <c r="G9" s="94" t="s">
        <v>89</v>
      </c>
      <c r="H9" s="94" t="s">
        <v>51</v>
      </c>
      <c r="I9" s="95" t="s">
        <v>283</v>
      </c>
    </row>
    <row r="10" spans="1:9" ht="15.6" x14ac:dyDescent="0.3">
      <c r="A10" s="96" t="s">
        <v>293</v>
      </c>
      <c r="B10" s="96" t="s">
        <v>76</v>
      </c>
      <c r="C10" s="96" t="s">
        <v>77</v>
      </c>
      <c r="D10" s="96" t="s">
        <v>1</v>
      </c>
      <c r="E10" s="96" t="s">
        <v>294</v>
      </c>
      <c r="F10" s="96" t="s">
        <v>49</v>
      </c>
      <c r="G10" s="96" t="s">
        <v>50</v>
      </c>
      <c r="H10" s="96" t="s">
        <v>78</v>
      </c>
      <c r="I10" s="97" t="s">
        <v>295</v>
      </c>
    </row>
    <row r="11" spans="1:9" ht="15.6" x14ac:dyDescent="0.3">
      <c r="A11" s="96" t="s">
        <v>293</v>
      </c>
      <c r="B11" s="96" t="s">
        <v>47</v>
      </c>
      <c r="C11" s="96" t="s">
        <v>97</v>
      </c>
      <c r="D11" s="96" t="s">
        <v>1</v>
      </c>
      <c r="E11" s="96" t="s">
        <v>296</v>
      </c>
      <c r="F11" s="96" t="s">
        <v>49</v>
      </c>
      <c r="G11" s="96" t="s">
        <v>98</v>
      </c>
      <c r="H11" s="96" t="s">
        <v>51</v>
      </c>
      <c r="I11" s="99" t="s">
        <v>297</v>
      </c>
    </row>
    <row r="12" spans="1:9" ht="15.6" x14ac:dyDescent="0.3">
      <c r="A12" s="96" t="s">
        <v>293</v>
      </c>
      <c r="B12" s="96" t="s">
        <v>47</v>
      </c>
      <c r="C12" s="96" t="s">
        <v>48</v>
      </c>
      <c r="D12" s="96" t="s">
        <v>1</v>
      </c>
      <c r="E12" s="96" t="s">
        <v>280</v>
      </c>
      <c r="F12" s="96" t="s">
        <v>49</v>
      </c>
      <c r="G12" s="96" t="s">
        <v>50</v>
      </c>
      <c r="H12" s="96" t="s">
        <v>51</v>
      </c>
      <c r="I12" s="99" t="s">
        <v>297</v>
      </c>
    </row>
    <row r="13" spans="1:9" ht="15.6" x14ac:dyDescent="0.3">
      <c r="A13" s="96" t="s">
        <v>293</v>
      </c>
      <c r="B13" s="96" t="s">
        <v>35</v>
      </c>
      <c r="C13" s="96" t="s">
        <v>36</v>
      </c>
      <c r="D13" s="96" t="s">
        <v>1</v>
      </c>
      <c r="E13" s="96" t="s">
        <v>279</v>
      </c>
      <c r="F13" s="96" t="s">
        <v>33</v>
      </c>
      <c r="G13" s="96" t="s">
        <v>80</v>
      </c>
      <c r="H13" s="96" t="s">
        <v>42</v>
      </c>
      <c r="I13" s="98" t="s">
        <v>298</v>
      </c>
    </row>
    <row r="14" spans="1:9" ht="15.6" x14ac:dyDescent="0.3">
      <c r="A14" s="96" t="s">
        <v>293</v>
      </c>
      <c r="B14" s="96" t="s">
        <v>35</v>
      </c>
      <c r="C14" s="96" t="s">
        <v>43</v>
      </c>
      <c r="D14" s="96" t="s">
        <v>1</v>
      </c>
      <c r="E14" s="96" t="s">
        <v>281</v>
      </c>
      <c r="F14" s="96" t="s">
        <v>33</v>
      </c>
      <c r="G14" s="96" t="s">
        <v>38</v>
      </c>
      <c r="H14" s="96" t="s">
        <v>96</v>
      </c>
      <c r="I14" s="98" t="s">
        <v>299</v>
      </c>
    </row>
    <row r="15" spans="1:9" ht="15.6" x14ac:dyDescent="0.3">
      <c r="A15" s="96" t="s">
        <v>293</v>
      </c>
      <c r="B15" s="96" t="s">
        <v>26</v>
      </c>
      <c r="C15" s="96" t="s">
        <v>27</v>
      </c>
      <c r="D15" s="96" t="s">
        <v>1</v>
      </c>
      <c r="E15" s="96" t="s">
        <v>278</v>
      </c>
      <c r="F15" s="96" t="s">
        <v>33</v>
      </c>
      <c r="G15" s="96" t="s">
        <v>89</v>
      </c>
      <c r="H15" s="96" t="s">
        <v>84</v>
      </c>
      <c r="I15" s="97" t="s">
        <v>300</v>
      </c>
    </row>
    <row r="16" spans="1:9" ht="15.6" x14ac:dyDescent="0.3">
      <c r="A16" s="96" t="s">
        <v>293</v>
      </c>
      <c r="B16" s="96" t="s">
        <v>65</v>
      </c>
      <c r="C16" s="96" t="s">
        <v>66</v>
      </c>
      <c r="D16" s="96" t="s">
        <v>1</v>
      </c>
      <c r="E16" s="96" t="s">
        <v>278</v>
      </c>
      <c r="F16" s="96" t="s">
        <v>67</v>
      </c>
      <c r="G16" s="96" t="s">
        <v>68</v>
      </c>
      <c r="H16" s="96" t="s">
        <v>102</v>
      </c>
      <c r="I16" s="100" t="s">
        <v>301</v>
      </c>
    </row>
    <row r="17" spans="1:9" ht="15.6" x14ac:dyDescent="0.3">
      <c r="A17" s="94" t="s">
        <v>302</v>
      </c>
      <c r="B17" s="94" t="s">
        <v>52</v>
      </c>
      <c r="C17" s="94" t="s">
        <v>53</v>
      </c>
      <c r="D17" s="94" t="s">
        <v>1</v>
      </c>
      <c r="E17" s="94" t="s">
        <v>234</v>
      </c>
      <c r="F17" s="94" t="s">
        <v>49</v>
      </c>
      <c r="G17" s="94" t="s">
        <v>50</v>
      </c>
      <c r="H17" s="94" t="s">
        <v>51</v>
      </c>
      <c r="I17" s="95" t="s">
        <v>283</v>
      </c>
    </row>
    <row r="18" spans="1:9" ht="15.6" x14ac:dyDescent="0.3">
      <c r="A18" s="96" t="s">
        <v>302</v>
      </c>
      <c r="B18" s="96" t="s">
        <v>47</v>
      </c>
      <c r="C18" s="96" t="s">
        <v>79</v>
      </c>
      <c r="D18" s="96" t="s">
        <v>1</v>
      </c>
      <c r="E18" s="96" t="s">
        <v>280</v>
      </c>
      <c r="F18" s="96" t="s">
        <v>49</v>
      </c>
      <c r="G18" s="96" t="s">
        <v>44</v>
      </c>
      <c r="H18" s="96" t="s">
        <v>51</v>
      </c>
      <c r="I18" s="99" t="s">
        <v>297</v>
      </c>
    </row>
    <row r="19" spans="1:9" ht="15.6" x14ac:dyDescent="0.3">
      <c r="A19" s="96" t="s">
        <v>302</v>
      </c>
      <c r="B19" s="96" t="s">
        <v>35</v>
      </c>
      <c r="C19" s="96" t="s">
        <v>43</v>
      </c>
      <c r="D19" s="96" t="s">
        <v>1</v>
      </c>
      <c r="E19" s="96" t="s">
        <v>303</v>
      </c>
      <c r="F19" s="96" t="s">
        <v>33</v>
      </c>
      <c r="G19" s="96" t="s">
        <v>89</v>
      </c>
      <c r="H19" s="96" t="s">
        <v>109</v>
      </c>
      <c r="I19" s="98" t="s">
        <v>304</v>
      </c>
    </row>
    <row r="20" spans="1:9" ht="15.6" x14ac:dyDescent="0.3">
      <c r="A20" s="96" t="s">
        <v>302</v>
      </c>
      <c r="B20" s="96" t="s">
        <v>65</v>
      </c>
      <c r="C20" s="96" t="s">
        <v>66</v>
      </c>
      <c r="D20" s="96" t="s">
        <v>1</v>
      </c>
      <c r="E20" s="96" t="s">
        <v>278</v>
      </c>
      <c r="F20" s="96" t="s">
        <v>67</v>
      </c>
      <c r="G20" s="96" t="s">
        <v>68</v>
      </c>
      <c r="H20" s="96" t="s">
        <v>102</v>
      </c>
      <c r="I20" s="100" t="s">
        <v>301</v>
      </c>
    </row>
    <row r="21" spans="1:9" ht="15.6" x14ac:dyDescent="0.3">
      <c r="A21" s="94" t="s">
        <v>305</v>
      </c>
      <c r="B21" s="94" t="s">
        <v>52</v>
      </c>
      <c r="C21" s="94" t="s">
        <v>53</v>
      </c>
      <c r="D21" s="94" t="s">
        <v>1</v>
      </c>
      <c r="E21" s="94" t="s">
        <v>225</v>
      </c>
      <c r="F21" s="94" t="s">
        <v>49</v>
      </c>
      <c r="G21" s="94" t="s">
        <v>50</v>
      </c>
      <c r="H21" s="94" t="s">
        <v>51</v>
      </c>
      <c r="I21" s="95" t="s">
        <v>283</v>
      </c>
    </row>
    <row r="22" spans="1:9" ht="15.6" x14ac:dyDescent="0.3">
      <c r="A22" s="96" t="s">
        <v>305</v>
      </c>
      <c r="B22" s="96" t="s">
        <v>47</v>
      </c>
      <c r="C22" s="96" t="s">
        <v>48</v>
      </c>
      <c r="D22" s="96" t="s">
        <v>1</v>
      </c>
      <c r="E22" s="96" t="s">
        <v>306</v>
      </c>
      <c r="F22" s="96" t="s">
        <v>49</v>
      </c>
      <c r="G22" s="96" t="s">
        <v>50</v>
      </c>
      <c r="H22" s="96" t="s">
        <v>51</v>
      </c>
      <c r="I22" s="99" t="s">
        <v>297</v>
      </c>
    </row>
    <row r="23" spans="1:9" ht="15.6" x14ac:dyDescent="0.3">
      <c r="A23" s="96" t="s">
        <v>305</v>
      </c>
      <c r="B23" s="96" t="s">
        <v>70</v>
      </c>
      <c r="C23" s="96" t="s">
        <v>71</v>
      </c>
      <c r="D23" s="96" t="s">
        <v>1</v>
      </c>
      <c r="E23" s="96" t="s">
        <v>307</v>
      </c>
      <c r="F23" s="96" t="s">
        <v>74</v>
      </c>
      <c r="G23" s="96" t="s">
        <v>38</v>
      </c>
      <c r="H23" s="96" t="s">
        <v>117</v>
      </c>
      <c r="I23" s="98" t="s">
        <v>308</v>
      </c>
    </row>
    <row r="24" spans="1:9" ht="15.6" x14ac:dyDescent="0.3">
      <c r="A24" s="96" t="s">
        <v>305</v>
      </c>
      <c r="B24" s="96" t="s">
        <v>35</v>
      </c>
      <c r="C24" s="96" t="s">
        <v>36</v>
      </c>
      <c r="D24" s="96" t="s">
        <v>1</v>
      </c>
      <c r="E24" s="96" t="s">
        <v>309</v>
      </c>
      <c r="F24" s="96" t="s">
        <v>33</v>
      </c>
      <c r="G24" s="96" t="s">
        <v>38</v>
      </c>
      <c r="H24" s="96" t="s">
        <v>42</v>
      </c>
      <c r="I24" s="98" t="s">
        <v>298</v>
      </c>
    </row>
    <row r="25" spans="1:9" ht="15.6" x14ac:dyDescent="0.3">
      <c r="A25" s="96" t="s">
        <v>305</v>
      </c>
      <c r="B25" s="96" t="s">
        <v>35</v>
      </c>
      <c r="C25" s="96" t="s">
        <v>43</v>
      </c>
      <c r="D25" s="96" t="s">
        <v>1</v>
      </c>
      <c r="E25" s="96" t="s">
        <v>303</v>
      </c>
      <c r="F25" s="96" t="s">
        <v>33</v>
      </c>
      <c r="G25" s="96" t="s">
        <v>98</v>
      </c>
      <c r="H25" s="96" t="s">
        <v>115</v>
      </c>
      <c r="I25" s="98" t="s">
        <v>310</v>
      </c>
    </row>
    <row r="26" spans="1:9" ht="15.6" x14ac:dyDescent="0.3">
      <c r="A26" s="96" t="s">
        <v>305</v>
      </c>
      <c r="B26" s="96" t="s">
        <v>26</v>
      </c>
      <c r="C26" s="96" t="s">
        <v>27</v>
      </c>
      <c r="D26" s="96" t="s">
        <v>1</v>
      </c>
      <c r="E26" s="96" t="s">
        <v>278</v>
      </c>
      <c r="F26" s="96" t="s">
        <v>33</v>
      </c>
      <c r="G26" s="96" t="s">
        <v>112</v>
      </c>
      <c r="H26" s="96" t="s">
        <v>84</v>
      </c>
      <c r="I26" s="97" t="s">
        <v>300</v>
      </c>
    </row>
    <row r="27" spans="1:9" ht="15.6" x14ac:dyDescent="0.3">
      <c r="A27" s="96" t="s">
        <v>305</v>
      </c>
      <c r="B27" s="96" t="s">
        <v>65</v>
      </c>
      <c r="C27" s="96" t="s">
        <v>66</v>
      </c>
      <c r="D27" s="96" t="s">
        <v>1</v>
      </c>
      <c r="E27" s="96" t="s">
        <v>278</v>
      </c>
      <c r="F27" s="96" t="s">
        <v>67</v>
      </c>
      <c r="G27" s="96" t="s">
        <v>68</v>
      </c>
      <c r="H27" s="96" t="s">
        <v>120</v>
      </c>
      <c r="I27" s="97" t="s">
        <v>311</v>
      </c>
    </row>
    <row r="28" spans="1:9" ht="15.6" x14ac:dyDescent="0.3">
      <c r="A28" s="96" t="s">
        <v>312</v>
      </c>
      <c r="B28" s="96" t="s">
        <v>76</v>
      </c>
      <c r="C28" s="96" t="s">
        <v>122</v>
      </c>
      <c r="D28" s="96" t="s">
        <v>1</v>
      </c>
      <c r="E28" s="96" t="s">
        <v>313</v>
      </c>
      <c r="F28" s="96" t="s">
        <v>49</v>
      </c>
      <c r="G28" s="96" t="s">
        <v>50</v>
      </c>
      <c r="H28" s="96" t="s">
        <v>78</v>
      </c>
      <c r="I28" s="97" t="s">
        <v>295</v>
      </c>
    </row>
    <row r="29" spans="1:9" ht="15.6" x14ac:dyDescent="0.3">
      <c r="A29" s="96" t="s">
        <v>312</v>
      </c>
      <c r="B29" s="96" t="s">
        <v>35</v>
      </c>
      <c r="C29" s="96" t="s">
        <v>43</v>
      </c>
      <c r="D29" s="96" t="s">
        <v>1</v>
      </c>
      <c r="E29" s="96" t="s">
        <v>303</v>
      </c>
      <c r="F29" s="96" t="s">
        <v>33</v>
      </c>
      <c r="G29" s="96" t="s">
        <v>80</v>
      </c>
      <c r="H29" s="96" t="s">
        <v>42</v>
      </c>
      <c r="I29" s="98" t="s">
        <v>298</v>
      </c>
    </row>
    <row r="30" spans="1:9" ht="15.6" x14ac:dyDescent="0.3">
      <c r="A30" s="96" t="s">
        <v>312</v>
      </c>
      <c r="B30" s="96" t="s">
        <v>65</v>
      </c>
      <c r="C30" s="96" t="s">
        <v>66</v>
      </c>
      <c r="D30" s="96" t="s">
        <v>1</v>
      </c>
      <c r="E30" s="96" t="s">
        <v>278</v>
      </c>
      <c r="F30" s="96" t="s">
        <v>67</v>
      </c>
      <c r="G30" s="96" t="s">
        <v>68</v>
      </c>
      <c r="H30" s="96" t="s">
        <v>120</v>
      </c>
      <c r="I30" s="97" t="s">
        <v>311</v>
      </c>
    </row>
    <row r="31" spans="1:9" ht="15.6" x14ac:dyDescent="0.3">
      <c r="A31" s="94" t="s">
        <v>314</v>
      </c>
      <c r="B31" s="94" t="s">
        <v>52</v>
      </c>
      <c r="C31" s="94" t="s">
        <v>53</v>
      </c>
      <c r="D31" s="94" t="s">
        <v>1</v>
      </c>
      <c r="E31" s="94" t="s">
        <v>214</v>
      </c>
      <c r="F31" s="94" t="s">
        <v>49</v>
      </c>
      <c r="G31" s="94" t="s">
        <v>50</v>
      </c>
      <c r="H31" s="94" t="s">
        <v>51</v>
      </c>
      <c r="I31" s="95" t="s">
        <v>283</v>
      </c>
    </row>
    <row r="32" spans="1:9" ht="15.6" x14ac:dyDescent="0.3">
      <c r="A32" s="96" t="s">
        <v>314</v>
      </c>
      <c r="B32" s="96" t="s">
        <v>47</v>
      </c>
      <c r="C32" s="96" t="s">
        <v>48</v>
      </c>
      <c r="D32" s="96" t="s">
        <v>1</v>
      </c>
      <c r="E32" s="96" t="s">
        <v>280</v>
      </c>
      <c r="F32" s="96" t="s">
        <v>49</v>
      </c>
      <c r="G32" s="96" t="s">
        <v>50</v>
      </c>
      <c r="H32" s="96" t="s">
        <v>51</v>
      </c>
      <c r="I32" s="99" t="s">
        <v>297</v>
      </c>
    </row>
    <row r="33" spans="1:9" ht="15.6" x14ac:dyDescent="0.3">
      <c r="A33" s="96" t="s">
        <v>314</v>
      </c>
      <c r="B33" s="96" t="s">
        <v>35</v>
      </c>
      <c r="C33" s="96" t="s">
        <v>36</v>
      </c>
      <c r="D33" s="96" t="s">
        <v>1</v>
      </c>
      <c r="E33" s="96" t="s">
        <v>309</v>
      </c>
      <c r="F33" s="96" t="s">
        <v>33</v>
      </c>
      <c r="G33" s="96" t="s">
        <v>38</v>
      </c>
      <c r="H33" s="96" t="s">
        <v>42</v>
      </c>
      <c r="I33" s="98" t="s">
        <v>298</v>
      </c>
    </row>
    <row r="34" spans="1:9" ht="15.6" x14ac:dyDescent="0.3">
      <c r="A34" s="96" t="s">
        <v>314</v>
      </c>
      <c r="B34" s="96" t="s">
        <v>58</v>
      </c>
      <c r="C34" s="96" t="s">
        <v>63</v>
      </c>
      <c r="D34" s="96" t="s">
        <v>1</v>
      </c>
      <c r="E34" s="96" t="s">
        <v>315</v>
      </c>
      <c r="F34" s="96" t="s">
        <v>60</v>
      </c>
      <c r="G34" s="96" t="s">
        <v>50</v>
      </c>
      <c r="H34" s="96" t="s">
        <v>128</v>
      </c>
      <c r="I34" s="100" t="s">
        <v>316</v>
      </c>
    </row>
    <row r="35" spans="1:9" ht="15.6" x14ac:dyDescent="0.3">
      <c r="A35" s="96" t="s">
        <v>314</v>
      </c>
      <c r="B35" s="96" t="s">
        <v>35</v>
      </c>
      <c r="C35" s="96" t="s">
        <v>43</v>
      </c>
      <c r="D35" s="96" t="s">
        <v>1</v>
      </c>
      <c r="E35" s="96" t="s">
        <v>303</v>
      </c>
      <c r="F35" s="96" t="s">
        <v>33</v>
      </c>
      <c r="G35" s="96" t="s">
        <v>29</v>
      </c>
      <c r="H35" s="96" t="s">
        <v>115</v>
      </c>
      <c r="I35" s="98" t="s">
        <v>310</v>
      </c>
    </row>
    <row r="36" spans="1:9" ht="15.6" x14ac:dyDescent="0.3">
      <c r="A36" s="96" t="s">
        <v>314</v>
      </c>
      <c r="B36" s="96" t="s">
        <v>26</v>
      </c>
      <c r="C36" s="96" t="s">
        <v>27</v>
      </c>
      <c r="D36" s="96" t="s">
        <v>1</v>
      </c>
      <c r="E36" s="96" t="s">
        <v>278</v>
      </c>
      <c r="F36" s="96" t="s">
        <v>33</v>
      </c>
      <c r="G36" s="96" t="s">
        <v>126</v>
      </c>
      <c r="H36" s="96" t="s">
        <v>84</v>
      </c>
      <c r="I36" s="97" t="s">
        <v>300</v>
      </c>
    </row>
    <row r="37" spans="1:9" ht="15.6" x14ac:dyDescent="0.3">
      <c r="A37" s="96" t="s">
        <v>314</v>
      </c>
      <c r="B37" s="96" t="s">
        <v>65</v>
      </c>
      <c r="C37" s="96" t="s">
        <v>66</v>
      </c>
      <c r="D37" s="96" t="s">
        <v>1</v>
      </c>
      <c r="E37" s="96" t="s">
        <v>278</v>
      </c>
      <c r="F37" s="96" t="s">
        <v>67</v>
      </c>
      <c r="G37" s="96" t="s">
        <v>68</v>
      </c>
      <c r="H37" s="96" t="s">
        <v>120</v>
      </c>
      <c r="I37" s="97" t="s">
        <v>311</v>
      </c>
    </row>
    <row r="38" spans="1:9" ht="15.6" x14ac:dyDescent="0.3">
      <c r="A38" s="96" t="s">
        <v>317</v>
      </c>
      <c r="B38" s="96" t="s">
        <v>76</v>
      </c>
      <c r="C38" s="96" t="s">
        <v>77</v>
      </c>
      <c r="D38" s="96" t="s">
        <v>1</v>
      </c>
      <c r="E38" s="96" t="s">
        <v>291</v>
      </c>
      <c r="F38" s="96" t="s">
        <v>49</v>
      </c>
      <c r="G38" s="96" t="s">
        <v>50</v>
      </c>
      <c r="H38" s="96" t="s">
        <v>78</v>
      </c>
      <c r="I38" s="97" t="s">
        <v>295</v>
      </c>
    </row>
    <row r="39" spans="1:9" ht="15.6" x14ac:dyDescent="0.3">
      <c r="A39" s="94" t="s">
        <v>318</v>
      </c>
      <c r="B39" s="94" t="s">
        <v>52</v>
      </c>
      <c r="C39" s="94" t="s">
        <v>53</v>
      </c>
      <c r="D39" s="94" t="s">
        <v>1</v>
      </c>
      <c r="E39" s="94" t="s">
        <v>225</v>
      </c>
      <c r="F39" s="94" t="s">
        <v>49</v>
      </c>
      <c r="G39" s="94" t="s">
        <v>50</v>
      </c>
      <c r="H39" s="94" t="s">
        <v>51</v>
      </c>
      <c r="I39" s="95" t="s">
        <v>283</v>
      </c>
    </row>
    <row r="40" spans="1:9" ht="15.6" x14ac:dyDescent="0.3">
      <c r="A40" s="96" t="s">
        <v>318</v>
      </c>
      <c r="B40" s="96" t="s">
        <v>76</v>
      </c>
      <c r="C40" s="96" t="s">
        <v>77</v>
      </c>
      <c r="D40" s="96" t="s">
        <v>1</v>
      </c>
      <c r="E40" s="96" t="s">
        <v>294</v>
      </c>
      <c r="F40" s="96" t="s">
        <v>49</v>
      </c>
      <c r="G40" s="96" t="s">
        <v>89</v>
      </c>
      <c r="H40" s="96" t="s">
        <v>78</v>
      </c>
      <c r="I40" s="97" t="s">
        <v>295</v>
      </c>
    </row>
    <row r="41" spans="1:9" ht="15.6" x14ac:dyDescent="0.3">
      <c r="A41" s="96" t="s">
        <v>318</v>
      </c>
      <c r="B41" s="96" t="s">
        <v>47</v>
      </c>
      <c r="C41" s="96" t="s">
        <v>48</v>
      </c>
      <c r="D41" s="96" t="s">
        <v>1</v>
      </c>
      <c r="E41" s="96" t="s">
        <v>280</v>
      </c>
      <c r="F41" s="96" t="s">
        <v>49</v>
      </c>
      <c r="G41" s="96" t="s">
        <v>50</v>
      </c>
      <c r="H41" s="96" t="s">
        <v>45</v>
      </c>
      <c r="I41" s="100" t="s">
        <v>319</v>
      </c>
    </row>
    <row r="42" spans="1:9" ht="15.6" x14ac:dyDescent="0.3">
      <c r="A42" s="96" t="s">
        <v>318</v>
      </c>
      <c r="B42" s="96" t="s">
        <v>58</v>
      </c>
      <c r="C42" s="96" t="s">
        <v>61</v>
      </c>
      <c r="D42" s="96" t="s">
        <v>1</v>
      </c>
      <c r="E42" s="96" t="s">
        <v>320</v>
      </c>
      <c r="F42" s="96" t="s">
        <v>60</v>
      </c>
      <c r="G42" s="96" t="s">
        <v>50</v>
      </c>
      <c r="H42" s="96" t="s">
        <v>128</v>
      </c>
      <c r="I42" s="100" t="s">
        <v>316</v>
      </c>
    </row>
    <row r="43" spans="1:9" ht="15.6" x14ac:dyDescent="0.3">
      <c r="A43" s="96" t="s">
        <v>318</v>
      </c>
      <c r="B43" s="96" t="s">
        <v>58</v>
      </c>
      <c r="C43" s="96" t="s">
        <v>63</v>
      </c>
      <c r="D43" s="96" t="s">
        <v>1</v>
      </c>
      <c r="E43" s="96" t="s">
        <v>315</v>
      </c>
      <c r="F43" s="96" t="s">
        <v>60</v>
      </c>
      <c r="G43" s="96" t="s">
        <v>50</v>
      </c>
      <c r="H43" s="96" t="s">
        <v>128</v>
      </c>
      <c r="I43" s="100" t="s">
        <v>316</v>
      </c>
    </row>
    <row r="44" spans="1:9" ht="15.6" x14ac:dyDescent="0.3">
      <c r="A44" s="96" t="s">
        <v>318</v>
      </c>
      <c r="B44" s="96" t="s">
        <v>35</v>
      </c>
      <c r="C44" s="96" t="s">
        <v>36</v>
      </c>
      <c r="D44" s="96" t="s">
        <v>1</v>
      </c>
      <c r="E44" s="96" t="s">
        <v>309</v>
      </c>
      <c r="F44" s="96" t="s">
        <v>33</v>
      </c>
      <c r="G44" s="96" t="s">
        <v>44</v>
      </c>
      <c r="H44" s="96" t="s">
        <v>140</v>
      </c>
      <c r="I44" s="98" t="s">
        <v>321</v>
      </c>
    </row>
    <row r="45" spans="1:9" ht="15.6" x14ac:dyDescent="0.3">
      <c r="A45" s="96" t="s">
        <v>318</v>
      </c>
      <c r="B45" s="96" t="s">
        <v>35</v>
      </c>
      <c r="C45" s="96" t="s">
        <v>43</v>
      </c>
      <c r="D45" s="96" t="s">
        <v>1</v>
      </c>
      <c r="E45" s="96" t="s">
        <v>303</v>
      </c>
      <c r="F45" s="96" t="s">
        <v>33</v>
      </c>
      <c r="G45" s="96" t="s">
        <v>98</v>
      </c>
      <c r="H45" s="96" t="s">
        <v>143</v>
      </c>
      <c r="I45" s="98" t="s">
        <v>322</v>
      </c>
    </row>
    <row r="46" spans="1:9" ht="15.6" x14ac:dyDescent="0.3">
      <c r="A46" s="96" t="s">
        <v>318</v>
      </c>
      <c r="B46" s="96" t="s">
        <v>26</v>
      </c>
      <c r="C46" s="96" t="s">
        <v>27</v>
      </c>
      <c r="D46" s="96" t="s">
        <v>1</v>
      </c>
      <c r="E46" s="96" t="s">
        <v>278</v>
      </c>
      <c r="F46" s="96" t="s">
        <v>33</v>
      </c>
      <c r="G46" s="96" t="s">
        <v>123</v>
      </c>
      <c r="H46" s="96" t="s">
        <v>84</v>
      </c>
      <c r="I46" s="97" t="s">
        <v>300</v>
      </c>
    </row>
    <row r="47" spans="1:9" ht="15.6" x14ac:dyDescent="0.3">
      <c r="A47" s="96" t="s">
        <v>318</v>
      </c>
      <c r="B47" s="96" t="s">
        <v>65</v>
      </c>
      <c r="C47" s="96" t="s">
        <v>66</v>
      </c>
      <c r="D47" s="96" t="s">
        <v>1</v>
      </c>
      <c r="E47" s="96" t="s">
        <v>278</v>
      </c>
      <c r="F47" s="96" t="s">
        <v>67</v>
      </c>
      <c r="G47" s="96" t="s">
        <v>68</v>
      </c>
      <c r="H47" s="96" t="s">
        <v>102</v>
      </c>
      <c r="I47" s="100" t="s">
        <v>301</v>
      </c>
    </row>
    <row r="48" spans="1:9" ht="15.6" x14ac:dyDescent="0.3">
      <c r="A48" s="94" t="s">
        <v>323</v>
      </c>
      <c r="B48" s="94" t="s">
        <v>52</v>
      </c>
      <c r="C48" s="94" t="s">
        <v>53</v>
      </c>
      <c r="D48" s="94" t="s">
        <v>1</v>
      </c>
      <c r="E48" s="94" t="s">
        <v>234</v>
      </c>
      <c r="F48" s="94" t="s">
        <v>49</v>
      </c>
      <c r="G48" s="94" t="s">
        <v>89</v>
      </c>
      <c r="H48" s="94" t="s">
        <v>51</v>
      </c>
      <c r="I48" s="95" t="s">
        <v>283</v>
      </c>
    </row>
    <row r="49" spans="1:9" ht="15.6" x14ac:dyDescent="0.3">
      <c r="A49" s="96" t="s">
        <v>323</v>
      </c>
      <c r="B49" s="96" t="s">
        <v>47</v>
      </c>
      <c r="C49" s="96" t="s">
        <v>79</v>
      </c>
      <c r="D49" s="96" t="s">
        <v>1</v>
      </c>
      <c r="E49" s="96" t="s">
        <v>280</v>
      </c>
      <c r="F49" s="96" t="s">
        <v>49</v>
      </c>
      <c r="G49" s="96" t="s">
        <v>50</v>
      </c>
      <c r="H49" s="96" t="s">
        <v>45</v>
      </c>
      <c r="I49" s="100" t="s">
        <v>319</v>
      </c>
    </row>
    <row r="50" spans="1:9" ht="15.6" x14ac:dyDescent="0.3">
      <c r="A50" s="96" t="s">
        <v>323</v>
      </c>
      <c r="B50" s="96" t="s">
        <v>35</v>
      </c>
      <c r="C50" s="96" t="s">
        <v>43</v>
      </c>
      <c r="D50" s="96" t="s">
        <v>1</v>
      </c>
      <c r="E50" s="96" t="s">
        <v>303</v>
      </c>
      <c r="F50" s="96" t="s">
        <v>33</v>
      </c>
      <c r="G50" s="96" t="s">
        <v>89</v>
      </c>
      <c r="H50" s="96" t="s">
        <v>42</v>
      </c>
      <c r="I50" s="98" t="s">
        <v>298</v>
      </c>
    </row>
    <row r="51" spans="1:9" ht="15.6" x14ac:dyDescent="0.3">
      <c r="A51" s="96" t="s">
        <v>323</v>
      </c>
      <c r="B51" s="96" t="s">
        <v>65</v>
      </c>
      <c r="C51" s="96" t="s">
        <v>66</v>
      </c>
      <c r="D51" s="96" t="s">
        <v>1</v>
      </c>
      <c r="E51" s="96" t="s">
        <v>278</v>
      </c>
      <c r="F51" s="96" t="s">
        <v>67</v>
      </c>
      <c r="G51" s="96" t="s">
        <v>68</v>
      </c>
      <c r="H51" s="96" t="s">
        <v>102</v>
      </c>
      <c r="I51" s="100" t="s">
        <v>301</v>
      </c>
    </row>
    <row r="52" spans="1:9" ht="15.6" x14ac:dyDescent="0.3">
      <c r="A52" s="94" t="s">
        <v>324</v>
      </c>
      <c r="B52" s="94" t="s">
        <v>52</v>
      </c>
      <c r="C52" s="94" t="s">
        <v>53</v>
      </c>
      <c r="D52" s="94" t="s">
        <v>1</v>
      </c>
      <c r="E52" s="94" t="s">
        <v>225</v>
      </c>
      <c r="F52" s="94" t="s">
        <v>49</v>
      </c>
      <c r="G52" s="94" t="s">
        <v>50</v>
      </c>
      <c r="H52" s="94" t="s">
        <v>51</v>
      </c>
      <c r="I52" s="95" t="s">
        <v>283</v>
      </c>
    </row>
    <row r="53" spans="1:9" ht="15.6" x14ac:dyDescent="0.3">
      <c r="A53" s="96" t="s">
        <v>324</v>
      </c>
      <c r="B53" s="96" t="s">
        <v>47</v>
      </c>
      <c r="C53" s="96" t="s">
        <v>48</v>
      </c>
      <c r="D53" s="96" t="s">
        <v>1</v>
      </c>
      <c r="E53" s="96" t="s">
        <v>306</v>
      </c>
      <c r="F53" s="96" t="s">
        <v>49</v>
      </c>
      <c r="G53" s="96" t="s">
        <v>50</v>
      </c>
      <c r="H53" s="96" t="s">
        <v>51</v>
      </c>
      <c r="I53" s="99" t="s">
        <v>297</v>
      </c>
    </row>
    <row r="54" spans="1:9" ht="15.6" x14ac:dyDescent="0.3">
      <c r="A54" s="96" t="s">
        <v>324</v>
      </c>
      <c r="B54" s="96" t="s">
        <v>70</v>
      </c>
      <c r="C54" s="96" t="s">
        <v>71</v>
      </c>
      <c r="D54" s="96" t="s">
        <v>1</v>
      </c>
      <c r="E54" s="96" t="s">
        <v>307</v>
      </c>
      <c r="F54" s="96" t="s">
        <v>74</v>
      </c>
      <c r="G54" s="96" t="s">
        <v>38</v>
      </c>
      <c r="H54" s="96" t="s">
        <v>148</v>
      </c>
      <c r="I54" s="98" t="s">
        <v>325</v>
      </c>
    </row>
    <row r="55" spans="1:9" ht="15.6" x14ac:dyDescent="0.3">
      <c r="A55" s="96" t="s">
        <v>324</v>
      </c>
      <c r="B55" s="96" t="s">
        <v>35</v>
      </c>
      <c r="C55" s="96" t="s">
        <v>36</v>
      </c>
      <c r="D55" s="96" t="s">
        <v>1</v>
      </c>
      <c r="E55" s="96" t="s">
        <v>309</v>
      </c>
      <c r="F55" s="96" t="s">
        <v>33</v>
      </c>
      <c r="G55" s="96" t="s">
        <v>38</v>
      </c>
      <c r="H55" s="96" t="s">
        <v>42</v>
      </c>
      <c r="I55" s="98" t="s">
        <v>298</v>
      </c>
    </row>
    <row r="56" spans="1:9" ht="15.6" x14ac:dyDescent="0.3">
      <c r="A56" s="96" t="s">
        <v>324</v>
      </c>
      <c r="B56" s="96" t="s">
        <v>35</v>
      </c>
      <c r="C56" s="96" t="s">
        <v>43</v>
      </c>
      <c r="D56" s="96" t="s">
        <v>1</v>
      </c>
      <c r="E56" s="96" t="s">
        <v>303</v>
      </c>
      <c r="F56" s="96" t="s">
        <v>33</v>
      </c>
      <c r="G56" s="96" t="s">
        <v>81</v>
      </c>
      <c r="H56" s="96" t="s">
        <v>115</v>
      </c>
      <c r="I56" s="98" t="s">
        <v>310</v>
      </c>
    </row>
    <row r="57" spans="1:9" ht="15.6" x14ac:dyDescent="0.3">
      <c r="A57" s="96" t="s">
        <v>324</v>
      </c>
      <c r="B57" s="96" t="s">
        <v>26</v>
      </c>
      <c r="C57" s="96" t="s">
        <v>27</v>
      </c>
      <c r="D57" s="96" t="s">
        <v>1</v>
      </c>
      <c r="E57" s="96" t="s">
        <v>278</v>
      </c>
      <c r="F57" s="96" t="s">
        <v>33</v>
      </c>
      <c r="G57" s="96" t="s">
        <v>146</v>
      </c>
      <c r="H57" s="96" t="s">
        <v>84</v>
      </c>
      <c r="I57" s="97" t="s">
        <v>300</v>
      </c>
    </row>
    <row r="58" spans="1:9" ht="15.6" x14ac:dyDescent="0.3">
      <c r="A58" s="96" t="s">
        <v>324</v>
      </c>
      <c r="B58" s="96" t="s">
        <v>65</v>
      </c>
      <c r="C58" s="96" t="s">
        <v>66</v>
      </c>
      <c r="D58" s="96" t="s">
        <v>1</v>
      </c>
      <c r="E58" s="96" t="s">
        <v>278</v>
      </c>
      <c r="F58" s="96" t="s">
        <v>67</v>
      </c>
      <c r="G58" s="96" t="s">
        <v>68</v>
      </c>
      <c r="H58" s="96" t="s">
        <v>120</v>
      </c>
      <c r="I58" s="97" t="s">
        <v>311</v>
      </c>
    </row>
    <row r="59" spans="1:9" ht="15.6" x14ac:dyDescent="0.3">
      <c r="A59" s="96" t="s">
        <v>326</v>
      </c>
      <c r="B59" s="96" t="s">
        <v>76</v>
      </c>
      <c r="C59" s="96" t="s">
        <v>122</v>
      </c>
      <c r="D59" s="96" t="s">
        <v>1</v>
      </c>
      <c r="E59" s="96" t="s">
        <v>313</v>
      </c>
      <c r="F59" s="96" t="s">
        <v>49</v>
      </c>
      <c r="G59" s="96" t="s">
        <v>98</v>
      </c>
      <c r="H59" s="96" t="s">
        <v>78</v>
      </c>
      <c r="I59" s="97" t="s">
        <v>295</v>
      </c>
    </row>
    <row r="60" spans="1:9" ht="15.6" x14ac:dyDescent="0.3">
      <c r="A60" s="96" t="s">
        <v>326</v>
      </c>
      <c r="B60" s="96" t="s">
        <v>35</v>
      </c>
      <c r="C60" s="96" t="s">
        <v>43</v>
      </c>
      <c r="D60" s="96" t="s">
        <v>1</v>
      </c>
      <c r="E60" s="96" t="s">
        <v>327</v>
      </c>
      <c r="F60" s="96" t="s">
        <v>33</v>
      </c>
      <c r="G60" s="96" t="s">
        <v>98</v>
      </c>
      <c r="H60" s="96" t="s">
        <v>42</v>
      </c>
      <c r="I60" s="98" t="s">
        <v>298</v>
      </c>
    </row>
    <row r="61" spans="1:9" ht="15.6" x14ac:dyDescent="0.3">
      <c r="A61" s="96" t="s">
        <v>326</v>
      </c>
      <c r="B61" s="96" t="s">
        <v>26</v>
      </c>
      <c r="C61" s="96" t="s">
        <v>27</v>
      </c>
      <c r="D61" s="96" t="s">
        <v>1</v>
      </c>
      <c r="E61" s="96" t="s">
        <v>278</v>
      </c>
      <c r="F61" s="96" t="s">
        <v>33</v>
      </c>
      <c r="G61" s="96" t="s">
        <v>150</v>
      </c>
      <c r="H61" s="96" t="s">
        <v>84</v>
      </c>
      <c r="I61" s="97" t="s">
        <v>300</v>
      </c>
    </row>
    <row r="62" spans="1:9" ht="15.6" x14ac:dyDescent="0.3">
      <c r="A62" s="96" t="s">
        <v>326</v>
      </c>
      <c r="B62" s="96" t="s">
        <v>65</v>
      </c>
      <c r="C62" s="96" t="s">
        <v>66</v>
      </c>
      <c r="D62" s="96" t="s">
        <v>1</v>
      </c>
      <c r="E62" s="96" t="s">
        <v>278</v>
      </c>
      <c r="F62" s="96" t="s">
        <v>67</v>
      </c>
      <c r="G62" s="96" t="s">
        <v>68</v>
      </c>
      <c r="H62" s="96" t="s">
        <v>120</v>
      </c>
      <c r="I62" s="97" t="s">
        <v>311</v>
      </c>
    </row>
    <row r="63" spans="1:9" ht="15.6" x14ac:dyDescent="0.3">
      <c r="A63" s="94" t="s">
        <v>328</v>
      </c>
      <c r="B63" s="94" t="s">
        <v>52</v>
      </c>
      <c r="C63" s="94" t="s">
        <v>53</v>
      </c>
      <c r="D63" s="94" t="s">
        <v>1</v>
      </c>
      <c r="E63" s="94" t="s">
        <v>214</v>
      </c>
      <c r="F63" s="94" t="s">
        <v>49</v>
      </c>
      <c r="G63" s="94" t="s">
        <v>50</v>
      </c>
      <c r="H63" s="94" t="s">
        <v>51</v>
      </c>
      <c r="I63" s="95" t="s">
        <v>283</v>
      </c>
    </row>
    <row r="64" spans="1:9" ht="15.6" x14ac:dyDescent="0.3">
      <c r="A64" s="96" t="s">
        <v>328</v>
      </c>
      <c r="B64" s="96" t="s">
        <v>47</v>
      </c>
      <c r="C64" s="96" t="s">
        <v>48</v>
      </c>
      <c r="D64" s="96" t="s">
        <v>1</v>
      </c>
      <c r="E64" s="96" t="s">
        <v>280</v>
      </c>
      <c r="F64" s="96" t="s">
        <v>49</v>
      </c>
      <c r="G64" s="96" t="s">
        <v>50</v>
      </c>
      <c r="H64" s="96" t="s">
        <v>51</v>
      </c>
      <c r="I64" s="99" t="s">
        <v>297</v>
      </c>
    </row>
    <row r="65" spans="1:9" ht="15.6" x14ac:dyDescent="0.3">
      <c r="A65" s="96" t="s">
        <v>328</v>
      </c>
      <c r="B65" s="96" t="s">
        <v>35</v>
      </c>
      <c r="C65" s="96" t="s">
        <v>36</v>
      </c>
      <c r="D65" s="96" t="s">
        <v>1</v>
      </c>
      <c r="E65" s="96" t="s">
        <v>309</v>
      </c>
      <c r="F65" s="96" t="s">
        <v>33</v>
      </c>
      <c r="G65" s="96" t="s">
        <v>38</v>
      </c>
      <c r="H65" s="96" t="s">
        <v>42</v>
      </c>
      <c r="I65" s="98" t="s">
        <v>298</v>
      </c>
    </row>
    <row r="66" spans="1:9" ht="15.6" x14ac:dyDescent="0.3">
      <c r="A66" s="96" t="s">
        <v>328</v>
      </c>
      <c r="B66" s="96" t="s">
        <v>35</v>
      </c>
      <c r="C66" s="96" t="s">
        <v>43</v>
      </c>
      <c r="D66" s="96" t="s">
        <v>1</v>
      </c>
      <c r="E66" s="96" t="s">
        <v>303</v>
      </c>
      <c r="F66" s="96" t="s">
        <v>33</v>
      </c>
      <c r="G66" s="96" t="s">
        <v>68</v>
      </c>
      <c r="H66" s="96" t="s">
        <v>115</v>
      </c>
      <c r="I66" s="98" t="s">
        <v>310</v>
      </c>
    </row>
    <row r="67" spans="1:9" ht="15.6" x14ac:dyDescent="0.3">
      <c r="A67" s="96" t="s">
        <v>328</v>
      </c>
      <c r="B67" s="96" t="s">
        <v>26</v>
      </c>
      <c r="C67" s="96" t="s">
        <v>27</v>
      </c>
      <c r="D67" s="96" t="s">
        <v>1</v>
      </c>
      <c r="E67" s="96" t="s">
        <v>278</v>
      </c>
      <c r="F67" s="96" t="s">
        <v>33</v>
      </c>
      <c r="G67" s="96" t="s">
        <v>112</v>
      </c>
      <c r="H67" s="96" t="s">
        <v>84</v>
      </c>
      <c r="I67" s="97" t="s">
        <v>300</v>
      </c>
    </row>
    <row r="68" spans="1:9" ht="15.6" x14ac:dyDescent="0.3">
      <c r="A68" s="96" t="s">
        <v>328</v>
      </c>
      <c r="B68" s="96" t="s">
        <v>65</v>
      </c>
      <c r="C68" s="96" t="s">
        <v>66</v>
      </c>
      <c r="D68" s="96" t="s">
        <v>1</v>
      </c>
      <c r="E68" s="96" t="s">
        <v>278</v>
      </c>
      <c r="F68" s="96" t="s">
        <v>67</v>
      </c>
      <c r="G68" s="96" t="s">
        <v>68</v>
      </c>
      <c r="H68" s="96" t="s">
        <v>120</v>
      </c>
      <c r="I68" s="97" t="s">
        <v>311</v>
      </c>
    </row>
    <row r="69" spans="1:9" ht="15.6" x14ac:dyDescent="0.3">
      <c r="A69" s="96" t="s">
        <v>329</v>
      </c>
      <c r="B69" s="96" t="s">
        <v>76</v>
      </c>
      <c r="C69" s="96" t="s">
        <v>77</v>
      </c>
      <c r="D69" s="96" t="s">
        <v>1</v>
      </c>
      <c r="E69" s="96" t="s">
        <v>291</v>
      </c>
      <c r="F69" s="96" t="s">
        <v>49</v>
      </c>
      <c r="G69" s="96" t="s">
        <v>50</v>
      </c>
      <c r="H69" s="96" t="s">
        <v>156</v>
      </c>
      <c r="I69" s="100" t="s">
        <v>330</v>
      </c>
    </row>
    <row r="70" spans="1:9" ht="15.6" x14ac:dyDescent="0.3">
      <c r="A70" s="94" t="s">
        <v>331</v>
      </c>
      <c r="B70" s="94" t="s">
        <v>52</v>
      </c>
      <c r="C70" s="94" t="s">
        <v>53</v>
      </c>
      <c r="D70" s="94" t="s">
        <v>1</v>
      </c>
      <c r="E70" s="94" t="s">
        <v>225</v>
      </c>
      <c r="F70" s="94" t="s">
        <v>49</v>
      </c>
      <c r="G70" s="94" t="s">
        <v>50</v>
      </c>
      <c r="H70" s="94" t="s">
        <v>54</v>
      </c>
      <c r="I70" s="95" t="s">
        <v>283</v>
      </c>
    </row>
    <row r="71" spans="1:9" ht="15.6" x14ac:dyDescent="0.3">
      <c r="A71" s="96" t="s">
        <v>331</v>
      </c>
      <c r="B71" s="96" t="s">
        <v>76</v>
      </c>
      <c r="C71" s="96" t="s">
        <v>77</v>
      </c>
      <c r="D71" s="96" t="s">
        <v>1</v>
      </c>
      <c r="E71" s="96" t="s">
        <v>332</v>
      </c>
      <c r="F71" s="96" t="s">
        <v>49</v>
      </c>
      <c r="G71" s="96" t="s">
        <v>80</v>
      </c>
      <c r="H71" s="96" t="s">
        <v>156</v>
      </c>
      <c r="I71" s="97" t="s">
        <v>286</v>
      </c>
    </row>
    <row r="72" spans="1:9" ht="15.6" x14ac:dyDescent="0.3">
      <c r="A72" s="96" t="s">
        <v>331</v>
      </c>
      <c r="B72" s="96" t="s">
        <v>47</v>
      </c>
      <c r="C72" s="96" t="s">
        <v>48</v>
      </c>
      <c r="D72" s="96" t="s">
        <v>1</v>
      </c>
      <c r="E72" s="96" t="s">
        <v>280</v>
      </c>
      <c r="F72" s="96" t="s">
        <v>49</v>
      </c>
      <c r="G72" s="96" t="s">
        <v>50</v>
      </c>
      <c r="H72" s="96" t="s">
        <v>45</v>
      </c>
      <c r="I72" s="97" t="s">
        <v>333</v>
      </c>
    </row>
    <row r="73" spans="1:9" ht="15.6" x14ac:dyDescent="0.3">
      <c r="A73" s="96" t="s">
        <v>331</v>
      </c>
      <c r="B73" s="96" t="s">
        <v>35</v>
      </c>
      <c r="C73" s="96" t="s">
        <v>36</v>
      </c>
      <c r="D73" s="96" t="s">
        <v>1</v>
      </c>
      <c r="E73" s="96" t="s">
        <v>309</v>
      </c>
      <c r="F73" s="96" t="s">
        <v>33</v>
      </c>
      <c r="G73" s="96" t="s">
        <v>38</v>
      </c>
      <c r="H73" s="96" t="s">
        <v>42</v>
      </c>
      <c r="I73" s="98" t="s">
        <v>287</v>
      </c>
    </row>
    <row r="74" spans="1:9" ht="15.6" x14ac:dyDescent="0.3">
      <c r="A74" s="96" t="s">
        <v>331</v>
      </c>
      <c r="B74" s="96" t="s">
        <v>58</v>
      </c>
      <c r="C74" s="96" t="s">
        <v>63</v>
      </c>
      <c r="D74" s="96" t="s">
        <v>1</v>
      </c>
      <c r="E74" s="96" t="s">
        <v>315</v>
      </c>
      <c r="F74" s="96" t="s">
        <v>60</v>
      </c>
      <c r="G74" s="96" t="s">
        <v>50</v>
      </c>
      <c r="H74" s="96" t="s">
        <v>128</v>
      </c>
      <c r="I74" s="97" t="s">
        <v>334</v>
      </c>
    </row>
    <row r="75" spans="1:9" ht="15.6" x14ac:dyDescent="0.3">
      <c r="A75" s="96" t="s">
        <v>331</v>
      </c>
      <c r="B75" s="96" t="s">
        <v>58</v>
      </c>
      <c r="C75" s="96" t="s">
        <v>61</v>
      </c>
      <c r="D75" s="96" t="s">
        <v>1</v>
      </c>
      <c r="E75" s="96" t="s">
        <v>320</v>
      </c>
      <c r="F75" s="96" t="s">
        <v>60</v>
      </c>
      <c r="G75" s="96" t="s">
        <v>50</v>
      </c>
      <c r="H75" s="96" t="s">
        <v>110</v>
      </c>
      <c r="I75" s="100" t="s">
        <v>335</v>
      </c>
    </row>
    <row r="76" spans="1:9" ht="15.6" x14ac:dyDescent="0.3">
      <c r="A76" s="96" t="s">
        <v>331</v>
      </c>
      <c r="B76" s="96" t="s">
        <v>35</v>
      </c>
      <c r="C76" s="96" t="s">
        <v>43</v>
      </c>
      <c r="D76" s="96" t="s">
        <v>1</v>
      </c>
      <c r="E76" s="96" t="s">
        <v>303</v>
      </c>
      <c r="F76" s="96" t="s">
        <v>33</v>
      </c>
      <c r="G76" s="96" t="s">
        <v>80</v>
      </c>
      <c r="H76" s="96" t="s">
        <v>158</v>
      </c>
      <c r="I76" s="98" t="s">
        <v>322</v>
      </c>
    </row>
    <row r="77" spans="1:9" ht="15.6" x14ac:dyDescent="0.3">
      <c r="A77" s="96" t="s">
        <v>331</v>
      </c>
      <c r="B77" s="96" t="s">
        <v>26</v>
      </c>
      <c r="C77" s="96" t="s">
        <v>27</v>
      </c>
      <c r="D77" s="96" t="s">
        <v>1</v>
      </c>
      <c r="E77" s="96" t="s">
        <v>278</v>
      </c>
      <c r="F77" s="96" t="s">
        <v>33</v>
      </c>
      <c r="G77" s="96" t="s">
        <v>80</v>
      </c>
      <c r="H77" s="96" t="s">
        <v>84</v>
      </c>
      <c r="I77" s="98" t="s">
        <v>336</v>
      </c>
    </row>
    <row r="78" spans="1:9" ht="15.6" x14ac:dyDescent="0.3">
      <c r="A78" s="96" t="s">
        <v>331</v>
      </c>
      <c r="B78" s="96" t="s">
        <v>65</v>
      </c>
      <c r="C78" s="96" t="s">
        <v>66</v>
      </c>
      <c r="D78" s="96" t="s">
        <v>1</v>
      </c>
      <c r="E78" s="96" t="s">
        <v>278</v>
      </c>
      <c r="F78" s="96" t="s">
        <v>67</v>
      </c>
      <c r="G78" s="96" t="s">
        <v>68</v>
      </c>
      <c r="H78" s="96" t="s">
        <v>102</v>
      </c>
      <c r="I78" s="97" t="s">
        <v>311</v>
      </c>
    </row>
    <row r="79" spans="1:9" ht="15.6" x14ac:dyDescent="0.3">
      <c r="A79" s="94" t="s">
        <v>337</v>
      </c>
      <c r="B79" s="94" t="s">
        <v>52</v>
      </c>
      <c r="C79" s="94" t="s">
        <v>53</v>
      </c>
      <c r="D79" s="94" t="s">
        <v>1</v>
      </c>
      <c r="E79" s="94" t="s">
        <v>234</v>
      </c>
      <c r="F79" s="94" t="s">
        <v>49</v>
      </c>
      <c r="G79" s="94" t="s">
        <v>50</v>
      </c>
      <c r="H79" s="94" t="s">
        <v>51</v>
      </c>
      <c r="I79" s="95" t="s">
        <v>283</v>
      </c>
    </row>
    <row r="80" spans="1:9" ht="15.6" x14ac:dyDescent="0.3">
      <c r="A80" s="96" t="s">
        <v>337</v>
      </c>
      <c r="B80" s="96" t="s">
        <v>47</v>
      </c>
      <c r="C80" s="96" t="s">
        <v>79</v>
      </c>
      <c r="D80" s="96" t="s">
        <v>1</v>
      </c>
      <c r="E80" s="96" t="s">
        <v>280</v>
      </c>
      <c r="F80" s="96" t="s">
        <v>49</v>
      </c>
      <c r="G80" s="96" t="s">
        <v>50</v>
      </c>
      <c r="H80" s="96" t="s">
        <v>45</v>
      </c>
      <c r="I80" s="100" t="s">
        <v>319</v>
      </c>
    </row>
    <row r="81" spans="1:9" ht="15.6" x14ac:dyDescent="0.3">
      <c r="A81" s="96" t="s">
        <v>337</v>
      </c>
      <c r="B81" s="96" t="s">
        <v>35</v>
      </c>
      <c r="C81" s="96" t="s">
        <v>43</v>
      </c>
      <c r="D81" s="96" t="s">
        <v>1</v>
      </c>
      <c r="E81" s="96" t="s">
        <v>303</v>
      </c>
      <c r="F81" s="96" t="s">
        <v>33</v>
      </c>
      <c r="G81" s="96" t="s">
        <v>68</v>
      </c>
      <c r="H81" s="96" t="s">
        <v>42</v>
      </c>
      <c r="I81" s="98" t="s">
        <v>298</v>
      </c>
    </row>
    <row r="82" spans="1:9" ht="15.6" x14ac:dyDescent="0.3">
      <c r="A82" s="94" t="s">
        <v>338</v>
      </c>
      <c r="B82" s="94" t="s">
        <v>52</v>
      </c>
      <c r="C82" s="94" t="s">
        <v>53</v>
      </c>
      <c r="D82" s="94" t="s">
        <v>1</v>
      </c>
      <c r="E82" s="94" t="s">
        <v>225</v>
      </c>
      <c r="F82" s="94" t="s">
        <v>49</v>
      </c>
      <c r="G82" s="94" t="s">
        <v>29</v>
      </c>
      <c r="H82" s="94" t="s">
        <v>51</v>
      </c>
      <c r="I82" s="95" t="s">
        <v>283</v>
      </c>
    </row>
    <row r="83" spans="1:9" ht="15.6" x14ac:dyDescent="0.3">
      <c r="A83" s="96" t="s">
        <v>338</v>
      </c>
      <c r="B83" s="96" t="s">
        <v>70</v>
      </c>
      <c r="C83" s="96" t="s">
        <v>71</v>
      </c>
      <c r="D83" s="96" t="s">
        <v>1</v>
      </c>
      <c r="E83" s="96" t="s">
        <v>307</v>
      </c>
      <c r="F83" s="96" t="s">
        <v>74</v>
      </c>
      <c r="G83" s="96" t="s">
        <v>38</v>
      </c>
      <c r="H83" s="96" t="s">
        <v>117</v>
      </c>
      <c r="I83" s="98" t="s">
        <v>308</v>
      </c>
    </row>
    <row r="84" spans="1:9" ht="15.6" x14ac:dyDescent="0.3">
      <c r="A84" s="96" t="s">
        <v>338</v>
      </c>
      <c r="B84" s="96" t="s">
        <v>35</v>
      </c>
      <c r="C84" s="96" t="s">
        <v>43</v>
      </c>
      <c r="D84" s="96" t="s">
        <v>1</v>
      </c>
      <c r="E84" s="96" t="s">
        <v>303</v>
      </c>
      <c r="F84" s="96" t="s">
        <v>33</v>
      </c>
      <c r="G84" s="96" t="s">
        <v>131</v>
      </c>
      <c r="H84" s="96" t="s">
        <v>42</v>
      </c>
      <c r="I84" s="98" t="s">
        <v>298</v>
      </c>
    </row>
    <row r="85" spans="1:9" ht="15.6" x14ac:dyDescent="0.3">
      <c r="A85" s="96" t="s">
        <v>338</v>
      </c>
      <c r="B85" s="96" t="s">
        <v>35</v>
      </c>
      <c r="C85" s="96" t="s">
        <v>36</v>
      </c>
      <c r="D85" s="96" t="s">
        <v>1</v>
      </c>
      <c r="E85" s="96" t="s">
        <v>309</v>
      </c>
      <c r="F85" s="96" t="s">
        <v>33</v>
      </c>
      <c r="G85" s="96" t="s">
        <v>38</v>
      </c>
      <c r="H85" s="96" t="s">
        <v>42</v>
      </c>
      <c r="I85" s="98" t="s">
        <v>298</v>
      </c>
    </row>
    <row r="86" spans="1:9" ht="15.6" x14ac:dyDescent="0.3">
      <c r="A86" s="96" t="s">
        <v>338</v>
      </c>
      <c r="B86" s="96" t="s">
        <v>65</v>
      </c>
      <c r="C86" s="96" t="s">
        <v>66</v>
      </c>
      <c r="D86" s="96" t="s">
        <v>1</v>
      </c>
      <c r="E86" s="96" t="s">
        <v>278</v>
      </c>
      <c r="F86" s="96" t="s">
        <v>67</v>
      </c>
      <c r="G86" s="96" t="s">
        <v>68</v>
      </c>
      <c r="H86" s="96" t="s">
        <v>120</v>
      </c>
      <c r="I86" s="97" t="s">
        <v>311</v>
      </c>
    </row>
    <row r="87" spans="1:9" ht="15.6" x14ac:dyDescent="0.3">
      <c r="A87" s="96" t="s">
        <v>339</v>
      </c>
      <c r="B87" s="96" t="s">
        <v>35</v>
      </c>
      <c r="C87" s="96" t="s">
        <v>43</v>
      </c>
      <c r="D87" s="96" t="s">
        <v>1</v>
      </c>
      <c r="E87" s="96" t="s">
        <v>327</v>
      </c>
      <c r="F87" s="96" t="s">
        <v>33</v>
      </c>
      <c r="G87" s="96" t="s">
        <v>38</v>
      </c>
      <c r="H87" s="96" t="s">
        <v>42</v>
      </c>
      <c r="I87" s="98" t="s">
        <v>298</v>
      </c>
    </row>
    <row r="88" spans="1:9" ht="15.6" x14ac:dyDescent="0.3">
      <c r="A88" s="96" t="s">
        <v>339</v>
      </c>
      <c r="B88" s="96" t="s">
        <v>26</v>
      </c>
      <c r="C88" s="96" t="s">
        <v>27</v>
      </c>
      <c r="D88" s="96" t="s">
        <v>1</v>
      </c>
      <c r="E88" s="96" t="s">
        <v>278</v>
      </c>
      <c r="F88" s="96" t="s">
        <v>33</v>
      </c>
      <c r="G88" s="96" t="s">
        <v>167</v>
      </c>
      <c r="H88" s="96" t="s">
        <v>84</v>
      </c>
      <c r="I88" s="97" t="s">
        <v>300</v>
      </c>
    </row>
    <row r="89" spans="1:9" ht="15.6" x14ac:dyDescent="0.3">
      <c r="A89" s="96" t="s">
        <v>339</v>
      </c>
      <c r="B89" s="96" t="s">
        <v>65</v>
      </c>
      <c r="C89" s="96" t="s">
        <v>66</v>
      </c>
      <c r="D89" s="96" t="s">
        <v>1</v>
      </c>
      <c r="E89" s="96" t="s">
        <v>278</v>
      </c>
      <c r="F89" s="96" t="s">
        <v>67</v>
      </c>
      <c r="G89" s="96" t="s">
        <v>68</v>
      </c>
      <c r="H89" s="96" t="s">
        <v>120</v>
      </c>
      <c r="I89" s="97" t="s">
        <v>311</v>
      </c>
    </row>
    <row r="90" spans="1:9" ht="15.6" x14ac:dyDescent="0.3">
      <c r="A90" s="94" t="s">
        <v>340</v>
      </c>
      <c r="B90" s="94" t="s">
        <v>52</v>
      </c>
      <c r="C90" s="94" t="s">
        <v>53</v>
      </c>
      <c r="D90" s="94" t="s">
        <v>1</v>
      </c>
      <c r="E90" s="94" t="s">
        <v>214</v>
      </c>
      <c r="F90" s="94" t="s">
        <v>49</v>
      </c>
      <c r="G90" s="94" t="s">
        <v>80</v>
      </c>
      <c r="H90" s="94" t="s">
        <v>51</v>
      </c>
      <c r="I90" s="95" t="s">
        <v>283</v>
      </c>
    </row>
    <row r="91" spans="1:9" ht="15.6" x14ac:dyDescent="0.3">
      <c r="A91" s="96" t="s">
        <v>340</v>
      </c>
      <c r="B91" s="96" t="s">
        <v>47</v>
      </c>
      <c r="C91" s="96" t="s">
        <v>48</v>
      </c>
      <c r="D91" s="96" t="s">
        <v>1</v>
      </c>
      <c r="E91" s="96" t="s">
        <v>280</v>
      </c>
      <c r="F91" s="96" t="s">
        <v>49</v>
      </c>
      <c r="G91" s="96" t="s">
        <v>81</v>
      </c>
      <c r="H91" s="96" t="s">
        <v>45</v>
      </c>
      <c r="I91" s="100" t="s">
        <v>319</v>
      </c>
    </row>
    <row r="92" spans="1:9" ht="15.6" x14ac:dyDescent="0.3">
      <c r="A92" s="96" t="s">
        <v>340</v>
      </c>
      <c r="B92" s="96" t="s">
        <v>35</v>
      </c>
      <c r="C92" s="96" t="s">
        <v>43</v>
      </c>
      <c r="D92" s="96" t="s">
        <v>1</v>
      </c>
      <c r="E92" s="96" t="s">
        <v>303</v>
      </c>
      <c r="F92" s="96" t="s">
        <v>33</v>
      </c>
      <c r="G92" s="96" t="s">
        <v>38</v>
      </c>
      <c r="H92" s="96" t="s">
        <v>42</v>
      </c>
      <c r="I92" s="98" t="s">
        <v>298</v>
      </c>
    </row>
    <row r="93" spans="1:9" ht="15.6" x14ac:dyDescent="0.3">
      <c r="A93" s="96" t="s">
        <v>340</v>
      </c>
      <c r="B93" s="96" t="s">
        <v>35</v>
      </c>
      <c r="C93" s="96" t="s">
        <v>36</v>
      </c>
      <c r="D93" s="96" t="s">
        <v>1</v>
      </c>
      <c r="E93" s="96" t="s">
        <v>309</v>
      </c>
      <c r="F93" s="96" t="s">
        <v>33</v>
      </c>
      <c r="G93" s="96" t="s">
        <v>38</v>
      </c>
      <c r="H93" s="96" t="s">
        <v>115</v>
      </c>
      <c r="I93" s="98" t="s">
        <v>310</v>
      </c>
    </row>
    <row r="94" spans="1:9" ht="15.6" x14ac:dyDescent="0.3">
      <c r="A94" s="96" t="s">
        <v>340</v>
      </c>
      <c r="B94" s="96" t="s">
        <v>26</v>
      </c>
      <c r="C94" s="96" t="s">
        <v>27</v>
      </c>
      <c r="D94" s="96" t="s">
        <v>1</v>
      </c>
      <c r="E94" s="96" t="s">
        <v>278</v>
      </c>
      <c r="F94" s="96" t="s">
        <v>33</v>
      </c>
      <c r="G94" s="96" t="s">
        <v>153</v>
      </c>
      <c r="H94" s="96" t="s">
        <v>84</v>
      </c>
      <c r="I94" s="97" t="s">
        <v>300</v>
      </c>
    </row>
    <row r="95" spans="1:9" ht="15.6" x14ac:dyDescent="0.3">
      <c r="A95" s="96" t="s">
        <v>340</v>
      </c>
      <c r="B95" s="96" t="s">
        <v>65</v>
      </c>
      <c r="C95" s="96" t="s">
        <v>66</v>
      </c>
      <c r="D95" s="96" t="s">
        <v>1</v>
      </c>
      <c r="E95" s="96" t="s">
        <v>278</v>
      </c>
      <c r="F95" s="96" t="s">
        <v>67</v>
      </c>
      <c r="G95" s="96" t="s">
        <v>68</v>
      </c>
      <c r="H95" s="96" t="s">
        <v>120</v>
      </c>
      <c r="I95" s="97" t="s">
        <v>311</v>
      </c>
    </row>
    <row r="96" spans="1:9" ht="15.6" x14ac:dyDescent="0.3">
      <c r="A96" s="94" t="s">
        <v>341</v>
      </c>
      <c r="B96" s="94" t="s">
        <v>52</v>
      </c>
      <c r="C96" s="94" t="s">
        <v>53</v>
      </c>
      <c r="D96" s="94" t="s">
        <v>1</v>
      </c>
      <c r="E96" s="94" t="s">
        <v>225</v>
      </c>
      <c r="F96" s="94" t="s">
        <v>49</v>
      </c>
      <c r="G96" s="94" t="s">
        <v>50</v>
      </c>
      <c r="H96" s="94" t="s">
        <v>51</v>
      </c>
      <c r="I96" s="95" t="s">
        <v>283</v>
      </c>
    </row>
    <row r="97" spans="1:9" ht="15.6" x14ac:dyDescent="0.3">
      <c r="A97" s="96" t="s">
        <v>341</v>
      </c>
      <c r="B97" s="96" t="s">
        <v>58</v>
      </c>
      <c r="C97" s="96" t="s">
        <v>63</v>
      </c>
      <c r="D97" s="96" t="s">
        <v>1</v>
      </c>
      <c r="E97" s="96" t="s">
        <v>315</v>
      </c>
      <c r="F97" s="96" t="s">
        <v>60</v>
      </c>
      <c r="G97" s="96" t="s">
        <v>50</v>
      </c>
      <c r="H97" s="96" t="s">
        <v>174</v>
      </c>
      <c r="I97" s="100" t="s">
        <v>316</v>
      </c>
    </row>
    <row r="98" spans="1:9" ht="15.6" x14ac:dyDescent="0.3">
      <c r="A98" s="96" t="s">
        <v>341</v>
      </c>
      <c r="B98" s="96" t="s">
        <v>65</v>
      </c>
      <c r="C98" s="96" t="s">
        <v>66</v>
      </c>
      <c r="D98" s="96" t="s">
        <v>1</v>
      </c>
      <c r="E98" s="96" t="s">
        <v>278</v>
      </c>
      <c r="F98" s="96" t="s">
        <v>67</v>
      </c>
      <c r="G98" s="96" t="s">
        <v>68</v>
      </c>
      <c r="H98" s="96" t="s">
        <v>69</v>
      </c>
      <c r="I98" s="97" t="s">
        <v>342</v>
      </c>
    </row>
    <row r="99" spans="1:9" ht="15.6" x14ac:dyDescent="0.3">
      <c r="A99" s="94" t="s">
        <v>343</v>
      </c>
      <c r="B99" s="94" t="s">
        <v>52</v>
      </c>
      <c r="C99" s="94" t="s">
        <v>53</v>
      </c>
      <c r="D99" s="94" t="s">
        <v>1</v>
      </c>
      <c r="E99" s="94" t="s">
        <v>234</v>
      </c>
      <c r="F99" s="94" t="s">
        <v>49</v>
      </c>
      <c r="G99" s="94" t="s">
        <v>50</v>
      </c>
      <c r="H99" s="94" t="s">
        <v>51</v>
      </c>
      <c r="I99" s="95" t="s">
        <v>283</v>
      </c>
    </row>
    <row r="100" spans="1:9" ht="15.6" x14ac:dyDescent="0.3">
      <c r="A100" s="96" t="s">
        <v>343</v>
      </c>
      <c r="B100" s="96" t="s">
        <v>35</v>
      </c>
      <c r="C100" s="96" t="s">
        <v>43</v>
      </c>
      <c r="D100" s="96" t="s">
        <v>1</v>
      </c>
      <c r="E100" s="96" t="s">
        <v>303</v>
      </c>
      <c r="F100" s="96" t="s">
        <v>33</v>
      </c>
      <c r="G100" s="96" t="s">
        <v>29</v>
      </c>
      <c r="H100" s="96" t="s">
        <v>42</v>
      </c>
      <c r="I100" s="98" t="s">
        <v>298</v>
      </c>
    </row>
    <row r="101" spans="1:9" ht="15.6" x14ac:dyDescent="0.3">
      <c r="A101" s="96" t="s">
        <v>343</v>
      </c>
      <c r="B101" s="96" t="s">
        <v>26</v>
      </c>
      <c r="C101" s="96" t="s">
        <v>27</v>
      </c>
      <c r="D101" s="96" t="s">
        <v>1</v>
      </c>
      <c r="E101" s="96" t="s">
        <v>278</v>
      </c>
      <c r="F101" s="96" t="s">
        <v>33</v>
      </c>
      <c r="G101" s="96" t="s">
        <v>123</v>
      </c>
      <c r="H101" s="96" t="s">
        <v>84</v>
      </c>
      <c r="I101" s="97" t="s">
        <v>300</v>
      </c>
    </row>
    <row r="102" spans="1:9" ht="15.6" x14ac:dyDescent="0.3">
      <c r="A102" s="96" t="s">
        <v>343</v>
      </c>
      <c r="B102" s="96" t="s">
        <v>65</v>
      </c>
      <c r="C102" s="96" t="s">
        <v>66</v>
      </c>
      <c r="D102" s="96" t="s">
        <v>1</v>
      </c>
      <c r="E102" s="96" t="s">
        <v>278</v>
      </c>
      <c r="F102" s="96" t="s">
        <v>67</v>
      </c>
      <c r="G102" s="96" t="s">
        <v>68</v>
      </c>
      <c r="H102" s="96" t="s">
        <v>120</v>
      </c>
      <c r="I102" s="97" t="s">
        <v>311</v>
      </c>
    </row>
    <row r="103" spans="1:9" ht="15.6" x14ac:dyDescent="0.3">
      <c r="A103" s="94" t="s">
        <v>344</v>
      </c>
      <c r="B103" s="94" t="s">
        <v>52</v>
      </c>
      <c r="C103" s="94" t="s">
        <v>53</v>
      </c>
      <c r="D103" s="94" t="s">
        <v>1</v>
      </c>
      <c r="E103" s="94" t="s">
        <v>225</v>
      </c>
      <c r="F103" s="94" t="s">
        <v>49</v>
      </c>
      <c r="G103" s="94" t="s">
        <v>50</v>
      </c>
      <c r="H103" s="94" t="s">
        <v>51</v>
      </c>
      <c r="I103" s="95" t="s">
        <v>283</v>
      </c>
    </row>
    <row r="104" spans="1:9" ht="15.6" x14ac:dyDescent="0.3">
      <c r="A104" s="96" t="s">
        <v>344</v>
      </c>
      <c r="B104" s="96" t="s">
        <v>35</v>
      </c>
      <c r="C104" s="96" t="s">
        <v>43</v>
      </c>
      <c r="D104" s="96" t="s">
        <v>1</v>
      </c>
      <c r="E104" s="96" t="s">
        <v>303</v>
      </c>
      <c r="F104" s="96" t="s">
        <v>33</v>
      </c>
      <c r="G104" s="96" t="s">
        <v>38</v>
      </c>
      <c r="H104" s="96" t="s">
        <v>42</v>
      </c>
      <c r="I104" s="98" t="s">
        <v>298</v>
      </c>
    </row>
    <row r="105" spans="1:9" ht="15.6" x14ac:dyDescent="0.3">
      <c r="A105" s="96" t="s">
        <v>344</v>
      </c>
      <c r="B105" s="96" t="s">
        <v>35</v>
      </c>
      <c r="C105" s="96" t="s">
        <v>36</v>
      </c>
      <c r="D105" s="96" t="s">
        <v>1</v>
      </c>
      <c r="E105" s="96" t="s">
        <v>309</v>
      </c>
      <c r="F105" s="96" t="s">
        <v>33</v>
      </c>
      <c r="G105" s="96" t="s">
        <v>38</v>
      </c>
      <c r="H105" s="96" t="s">
        <v>42</v>
      </c>
      <c r="I105" s="98" t="s">
        <v>298</v>
      </c>
    </row>
    <row r="106" spans="1:9" ht="15.6" x14ac:dyDescent="0.3">
      <c r="A106" s="96" t="s">
        <v>344</v>
      </c>
      <c r="B106" s="96" t="s">
        <v>70</v>
      </c>
      <c r="C106" s="96" t="s">
        <v>71</v>
      </c>
      <c r="D106" s="96" t="s">
        <v>1</v>
      </c>
      <c r="E106" s="96" t="s">
        <v>307</v>
      </c>
      <c r="F106" s="96" t="s">
        <v>74</v>
      </c>
      <c r="G106" s="96" t="s">
        <v>38</v>
      </c>
      <c r="H106" s="96" t="s">
        <v>178</v>
      </c>
      <c r="I106" s="98" t="s">
        <v>345</v>
      </c>
    </row>
    <row r="107" spans="1:9" ht="15.6" x14ac:dyDescent="0.3">
      <c r="A107" s="96" t="s">
        <v>344</v>
      </c>
      <c r="B107" s="96" t="s">
        <v>26</v>
      </c>
      <c r="C107" s="96" t="s">
        <v>27</v>
      </c>
      <c r="D107" s="96" t="s">
        <v>1</v>
      </c>
      <c r="E107" s="96" t="s">
        <v>278</v>
      </c>
      <c r="F107" s="96" t="s">
        <v>33</v>
      </c>
      <c r="G107" s="96" t="s">
        <v>177</v>
      </c>
      <c r="H107" s="96" t="s">
        <v>84</v>
      </c>
      <c r="I107" s="97" t="s">
        <v>300</v>
      </c>
    </row>
    <row r="108" spans="1:9" ht="15.6" x14ac:dyDescent="0.3">
      <c r="A108" s="96" t="s">
        <v>344</v>
      </c>
      <c r="B108" s="96" t="s">
        <v>65</v>
      </c>
      <c r="C108" s="96" t="s">
        <v>66</v>
      </c>
      <c r="D108" s="96" t="s">
        <v>1</v>
      </c>
      <c r="E108" s="96" t="s">
        <v>278</v>
      </c>
      <c r="F108" s="96" t="s">
        <v>67</v>
      </c>
      <c r="G108" s="96" t="s">
        <v>68</v>
      </c>
      <c r="H108" s="96" t="s">
        <v>120</v>
      </c>
      <c r="I108" s="97" t="s">
        <v>311</v>
      </c>
    </row>
    <row r="109" spans="1:9" ht="15.6" x14ac:dyDescent="0.3">
      <c r="A109" s="96" t="s">
        <v>346</v>
      </c>
      <c r="B109" s="96" t="s">
        <v>35</v>
      </c>
      <c r="C109" s="96" t="s">
        <v>43</v>
      </c>
      <c r="D109" s="96" t="s">
        <v>1</v>
      </c>
      <c r="E109" s="96" t="s">
        <v>327</v>
      </c>
      <c r="F109" s="96" t="s">
        <v>33</v>
      </c>
      <c r="G109" s="96" t="s">
        <v>29</v>
      </c>
      <c r="H109" s="96" t="s">
        <v>42</v>
      </c>
      <c r="I109" s="98" t="s">
        <v>298</v>
      </c>
    </row>
    <row r="110" spans="1:9" ht="15.6" x14ac:dyDescent="0.3">
      <c r="A110" s="96" t="s">
        <v>346</v>
      </c>
      <c r="B110" s="96" t="s">
        <v>26</v>
      </c>
      <c r="C110" s="96" t="s">
        <v>27</v>
      </c>
      <c r="D110" s="96" t="s">
        <v>1</v>
      </c>
      <c r="E110" s="96" t="s">
        <v>278</v>
      </c>
      <c r="F110" s="96" t="s">
        <v>33</v>
      </c>
      <c r="G110" s="96" t="s">
        <v>180</v>
      </c>
      <c r="H110" s="96" t="s">
        <v>84</v>
      </c>
      <c r="I110" s="97" t="s">
        <v>300</v>
      </c>
    </row>
    <row r="111" spans="1:9" ht="15.6" x14ac:dyDescent="0.3">
      <c r="A111" s="96" t="s">
        <v>346</v>
      </c>
      <c r="B111" s="96" t="s">
        <v>65</v>
      </c>
      <c r="C111" s="96" t="s">
        <v>66</v>
      </c>
      <c r="D111" s="96" t="s">
        <v>1</v>
      </c>
      <c r="E111" s="96" t="s">
        <v>278</v>
      </c>
      <c r="F111" s="96" t="s">
        <v>67</v>
      </c>
      <c r="G111" s="96" t="s">
        <v>68</v>
      </c>
      <c r="H111" s="96" t="s">
        <v>120</v>
      </c>
      <c r="I111" s="97" t="s">
        <v>311</v>
      </c>
    </row>
    <row r="112" spans="1:9" ht="15.6" x14ac:dyDescent="0.3">
      <c r="A112" s="94" t="s">
        <v>347</v>
      </c>
      <c r="B112" s="94" t="s">
        <v>52</v>
      </c>
      <c r="C112" s="94" t="s">
        <v>53</v>
      </c>
      <c r="D112" s="94" t="s">
        <v>1</v>
      </c>
      <c r="E112" s="94" t="s">
        <v>214</v>
      </c>
      <c r="F112" s="94" t="s">
        <v>49</v>
      </c>
      <c r="G112" s="94" t="s">
        <v>50</v>
      </c>
      <c r="H112" s="94" t="s">
        <v>51</v>
      </c>
      <c r="I112" s="95" t="s">
        <v>283</v>
      </c>
    </row>
    <row r="113" spans="1:9" ht="15.6" x14ac:dyDescent="0.3">
      <c r="A113" s="96" t="s">
        <v>347</v>
      </c>
      <c r="B113" s="96" t="s">
        <v>35</v>
      </c>
      <c r="C113" s="96" t="s">
        <v>36</v>
      </c>
      <c r="D113" s="96" t="s">
        <v>1</v>
      </c>
      <c r="E113" s="96" t="s">
        <v>309</v>
      </c>
      <c r="F113" s="96" t="s">
        <v>33</v>
      </c>
      <c r="G113" s="96" t="s">
        <v>89</v>
      </c>
      <c r="H113" s="96" t="s">
        <v>115</v>
      </c>
      <c r="I113" s="98" t="s">
        <v>310</v>
      </c>
    </row>
    <row r="114" spans="1:9" ht="15.6" x14ac:dyDescent="0.3">
      <c r="A114" s="96" t="s">
        <v>347</v>
      </c>
      <c r="B114" s="96" t="s">
        <v>35</v>
      </c>
      <c r="C114" s="96" t="s">
        <v>43</v>
      </c>
      <c r="D114" s="96" t="s">
        <v>1</v>
      </c>
      <c r="E114" s="96" t="s">
        <v>303</v>
      </c>
      <c r="F114" s="96" t="s">
        <v>33</v>
      </c>
      <c r="G114" s="96" t="s">
        <v>80</v>
      </c>
      <c r="H114" s="96" t="s">
        <v>109</v>
      </c>
      <c r="I114" s="98" t="s">
        <v>304</v>
      </c>
    </row>
    <row r="115" spans="1:9" ht="15.6" x14ac:dyDescent="0.3">
      <c r="A115" s="96" t="s">
        <v>347</v>
      </c>
      <c r="B115" s="96" t="s">
        <v>26</v>
      </c>
      <c r="C115" s="96" t="s">
        <v>27</v>
      </c>
      <c r="D115" s="96" t="s">
        <v>1</v>
      </c>
      <c r="E115" s="96" t="s">
        <v>278</v>
      </c>
      <c r="F115" s="96" t="s">
        <v>33</v>
      </c>
      <c r="G115" s="96" t="s">
        <v>181</v>
      </c>
      <c r="H115" s="96" t="s">
        <v>84</v>
      </c>
      <c r="I115" s="97" t="s">
        <v>300</v>
      </c>
    </row>
    <row r="116" spans="1:9" ht="15.6" x14ac:dyDescent="0.3">
      <c r="A116" s="96" t="s">
        <v>347</v>
      </c>
      <c r="B116" s="96" t="s">
        <v>65</v>
      </c>
      <c r="C116" s="96" t="s">
        <v>66</v>
      </c>
      <c r="D116" s="96" t="s">
        <v>1</v>
      </c>
      <c r="E116" s="96" t="s">
        <v>278</v>
      </c>
      <c r="F116" s="96" t="s">
        <v>67</v>
      </c>
      <c r="G116" s="96" t="s">
        <v>68</v>
      </c>
      <c r="H116" s="96" t="s">
        <v>120</v>
      </c>
      <c r="I116" s="97" t="s">
        <v>311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DMM-CAI - FOCUS MODE</vt:lpstr>
      <vt:lpstr>DMM-CAI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2025-12-01T20:54:54Z</dcterms:created>
  <dcterms:modified xsi:type="dcterms:W3CDTF">2025-12-01T20:55:29Z</dcterms:modified>
</cp:coreProperties>
</file>