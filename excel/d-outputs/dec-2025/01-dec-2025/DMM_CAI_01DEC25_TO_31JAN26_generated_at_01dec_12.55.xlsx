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2A09AF5-A48C-4A64-A6C6-52395C5F4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" sheetId="1" r:id="rId1"/>
    <sheet name="DMM-CAI LF LEGACY" sheetId="2" r:id="rId2"/>
    <sheet name="DMM-CAI - FOCUS MODE" sheetId="3" r:id="rId3"/>
    <sheet name="DMM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2" l="1"/>
  <c r="E38" i="2"/>
  <c r="G38" i="2"/>
  <c r="H38" i="2"/>
  <c r="I38" i="2"/>
  <c r="J38" i="2"/>
  <c r="M38" i="2"/>
  <c r="N38" i="2"/>
  <c r="O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3" authorId="0" shapeId="0" xr:uid="{4C02500F-A46A-489F-B986-CBCE6363FB9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S12 &amp; W2 &amp; T2 &amp; X9 &amp; U2 &amp; O4 &amp; I60</t>
        </r>
      </text>
    </comment>
    <comment ref="F44" authorId="0" shapeId="0" xr:uid="{F5FCB05D-57A5-45DE-B16E-97C73221651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W4 &amp; T10 &amp; X7 &amp; U4 &amp; O3 &amp; I60</t>
        </r>
      </text>
    </comment>
    <comment ref="F58" authorId="0" shapeId="0" xr:uid="{3062F5B2-A401-4D6D-B1E0-6B7D46E567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T4 &amp; X8 &amp; U10 &amp; O17 &amp; I40</t>
        </r>
      </text>
    </comment>
    <comment ref="F75" authorId="0" shapeId="0" xr:uid="{FD261FC8-10FE-415C-B4E1-33BF315DCF1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X1 &amp; U8 &amp; O4 &amp; I20</t>
        </r>
      </text>
    </comment>
    <comment ref="F117" authorId="0" shapeId="0" xr:uid="{E37FFBB0-11AA-4F5E-A889-EE1C762B0A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S10 &amp; X10 &amp; U4 &amp; I24</t>
        </r>
      </text>
    </comment>
    <comment ref="F142" authorId="0" shapeId="0" xr:uid="{BA80BC76-DF39-4971-9BB5-A01B679CB1A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W2 &amp; T2 &amp; O6 &amp; I30</t>
        </r>
      </text>
    </comment>
    <comment ref="F152" authorId="0" shapeId="0" xr:uid="{E988F208-A77C-42ED-A811-C093A7A960E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T3 &amp; X6 &amp; U7 &amp; O7 &amp; I36</t>
        </r>
      </text>
    </comment>
    <comment ref="F169" authorId="0" shapeId="0" xr:uid="{DE0E9BC6-212F-452E-810B-D3441AE8A00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W1 &amp; X5 &amp; I26</t>
        </r>
      </text>
    </comment>
    <comment ref="F209" authorId="0" shapeId="0" xr:uid="{C0A9880A-AB5C-47E2-A43E-4D59AA35D7E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U6 &amp; O5 &amp; I24</t>
        </r>
      </text>
    </comment>
    <comment ref="F237" authorId="0" shapeId="0" xr:uid="{A345E0D6-F186-424F-83D3-7943DAD0E4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X7 &amp; U8 &amp; O3 &amp; I41</t>
        </r>
      </text>
    </comment>
    <comment ref="F252" authorId="0" shapeId="0" xr:uid="{3A5A526D-F338-4606-AB83-1EA105B4A65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W3 &amp; T1 &amp; U9 &amp; O4 &amp; I26</t>
        </r>
      </text>
    </comment>
    <comment ref="F269" authorId="0" shapeId="0" xr:uid="{32123E80-1185-42C6-86AC-35FFA6D827E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X11 &amp; U6 &amp; O5 &amp; I25</t>
        </r>
      </text>
    </comment>
    <comment ref="F304" authorId="0" shapeId="0" xr:uid="{2E8CA0AE-E53F-4BBB-8925-7BE593DC9EF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U3 &amp; O5 &amp; I20</t>
        </r>
      </text>
    </comment>
    <comment ref="F331" authorId="0" shapeId="0" xr:uid="{7E0540C1-F5C1-4856-91B5-E32BD9A6F1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U7 &amp; O7 &amp; I26</t>
        </r>
      </text>
    </comment>
    <comment ref="F339" authorId="0" shapeId="0" xr:uid="{5D587EFF-307D-4A0E-B8D6-A9DA94D241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X8 &amp; U9 &amp; O7 &amp; I26</t>
        </r>
      </text>
    </comment>
    <comment ref="F354" authorId="0" shapeId="0" xr:uid="{CB73BF4E-CD85-4317-B001-0EE04AF5D34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U5 &amp; O8 &amp; I26</t>
        </r>
      </text>
    </comment>
    <comment ref="F395" authorId="0" shapeId="0" xr:uid="{A2F52BC4-AB83-4165-9831-D9590BA3FF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O8 &amp; I26</t>
        </r>
      </text>
    </comment>
    <comment ref="F420" authorId="0" shapeId="0" xr:uid="{EB843592-F8E5-4D8D-81A8-C2A2AF9EE35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T2 &amp; X6 &amp; U11 &amp; O1</t>
        </r>
      </text>
    </comment>
    <comment ref="F434" authorId="0" shapeId="0" xr:uid="{94FDD7A4-4B5F-4D2A-BA9B-6380A82A631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W1 &amp; T4 &amp; X9 &amp; U8 &amp; O3</t>
        </r>
      </text>
    </comment>
    <comment ref="F445" authorId="0" shapeId="0" xr:uid="{36713C97-CA2B-4743-9907-C9E1AFCB51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G4 &amp; S1 &amp; W2 &amp; T3 &amp; X10 &amp; U4</t>
        </r>
      </text>
    </comment>
    <comment ref="F483" authorId="0" shapeId="0" xr:uid="{119CC11E-9E2B-4F9C-957B-3C3C3320D58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U8 &amp; O2</t>
        </r>
      </text>
    </comment>
    <comment ref="F521" authorId="0" shapeId="0" xr:uid="{168C7C56-5E94-48AD-B047-DA1C5B278E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V9]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L3 &amp; G16 &amp; S12 &amp; W3</t>
        </r>
      </text>
    </comment>
    <comment ref="F534" authorId="0" shapeId="0" xr:uid="{DD1E62B1-4233-4481-8A27-1879E0ABB5E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L2]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L3 &amp; G15 &amp; S9 &amp; W6</t>
        </r>
      </text>
    </comment>
    <comment ref="F554" authorId="0" shapeId="0" xr:uid="{74364CB9-7B12-4BDE-AF5D-CD33D6FFC91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S13 &amp; W9</t>
        </r>
      </text>
    </comment>
    <comment ref="F586" authorId="0" shapeId="0" xr:uid="{58185165-4CCD-45A5-BB29-39C761E69A1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G3 &amp; X3 &amp; U9 &amp; O1</t>
        </r>
      </text>
    </comment>
    <comment ref="F621" authorId="0" shapeId="0" xr:uid="{01BE422F-313E-4579-9A0F-B81EEF3E656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G5 &amp; S4 &amp; T3 &amp; X12</t>
        </r>
      </text>
    </comment>
    <comment ref="F638" authorId="0" shapeId="0" xr:uid="{7B6CA60D-1A69-46E8-AE6C-E5DD66FC06F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T2 &amp; X7 &amp; U10 &amp; O2</t>
        </r>
      </text>
    </comment>
    <comment ref="F653" authorId="0" shapeId="0" xr:uid="{F1F4CC24-16FC-416F-B866-ED249700923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W5 &amp; U7 &amp; O3</t>
        </r>
      </text>
    </comment>
    <comment ref="F696" authorId="0" shapeId="0" xr:uid="{C0696AFD-C820-4AC9-B45E-B760180509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X6 &amp; U12 &amp; O1</t>
        </r>
      </text>
    </comment>
    <comment ref="F727" authorId="0" shapeId="0" xr:uid="{F0A4FB89-EC0D-4CCF-9597-459FD71ED7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U8 &amp; O5 &amp; I1</t>
        </r>
      </text>
    </comment>
    <comment ref="F742" authorId="0" shapeId="0" xr:uid="{A51F4CF2-E660-4A36-B708-988E96C62A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U7 &amp; O5</t>
        </r>
      </text>
    </comment>
    <comment ref="F756" authorId="0" shapeId="0" xr:uid="{61F225DD-C294-4366-B763-9411805B5C9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U7 &amp; O6</t>
        </r>
      </text>
    </comment>
    <comment ref="F796" authorId="0" shapeId="0" xr:uid="{7AA4F24C-30D8-45A5-BA65-C90D7F959E9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U3 &amp; O4</t>
        </r>
      </text>
    </comment>
    <comment ref="F832" authorId="0" shapeId="0" xr:uid="{A292A16B-3137-4F61-AB38-712A9B768A0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U7 &amp; O5</t>
        </r>
      </text>
    </comment>
    <comment ref="F848" authorId="0" shapeId="0" xr:uid="{682C2DC2-B5C9-40A3-8F97-722DE95AE9A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U11 &amp; O2</t>
        </r>
      </text>
    </comment>
    <comment ref="F862" authorId="0" shapeId="0" xr:uid="{4B30D4E1-DD5F-467D-92A9-405E491C21C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T1 &amp; X8 &amp; U4 &amp; O2</t>
        </r>
      </text>
    </comment>
  </commentList>
</comments>
</file>

<file path=xl/sharedStrings.xml><?xml version="1.0" encoding="utf-8"?>
<sst xmlns="http://schemas.openxmlformats.org/spreadsheetml/2006/main" count="13953" uniqueCount="496">
  <si>
    <t>COMPREHENSIVE REPORT</t>
  </si>
  <si>
    <t>DMM-CAI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</si>
  <si>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</si>
  <si>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</si>
  <si>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</si>
  <si>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</si>
  <si>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</si>
  <si>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</si>
  <si>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</si>
  <si>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</si>
  <si>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</si>
  <si>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</si>
  <si>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</si>
  <si>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</si>
  <si>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</si>
  <si>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</si>
  <si>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</si>
  <si>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</si>
  <si>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</si>
  <si>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</si>
  <si>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</si>
  <si>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</si>
  <si>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</si>
  <si>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</si>
  <si>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</si>
  <si>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</si>
  <si>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</si>
  <si>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NP-232</t>
  </si>
  <si>
    <t>Cabin: 7 KG | Check-in: 40 KG</t>
  </si>
  <si>
    <t>+9 FOR SAME CLASS</t>
  </si>
  <si>
    <t>379 SAR</t>
  </si>
  <si>
    <t>EgyptAir</t>
  </si>
  <si>
    <t>MS-688</t>
  </si>
  <si>
    <t>Cabin: 7 KG | Check-in: 2 PIECE</t>
  </si>
  <si>
    <t>697 SAR</t>
  </si>
  <si>
    <t>flyadeal</t>
  </si>
  <si>
    <t>F3-911</t>
  </si>
  <si>
    <t>Check-in: 15 KG</t>
  </si>
  <si>
    <t>29 FOR SAME CLASS</t>
  </si>
  <si>
    <t>339 SAR</t>
  </si>
  <si>
    <t>Cabin: 10 KG / Check-in: 25 KG</t>
  </si>
  <si>
    <t>489 SAR</t>
  </si>
  <si>
    <t>Cabin: 10 KG / Check-in: 2 x 40 KG</t>
  </si>
  <si>
    <t>1,249 SAR</t>
  </si>
  <si>
    <t>flynas</t>
  </si>
  <si>
    <t>XY-854</t>
  </si>
  <si>
    <t>Cabin: 7 KG / Check-in: 20 KG</t>
  </si>
  <si>
    <t>9 FOR SAME CLASS</t>
  </si>
  <si>
    <t>349 SAR</t>
  </si>
  <si>
    <t>Cabin: 7 KG / Check-in: 30 KG</t>
  </si>
  <si>
    <t>449 SAR</t>
  </si>
  <si>
    <t>Cabin: 7 KG / Check-in: 2 x 40 KG</t>
  </si>
  <si>
    <t>539 SAR</t>
  </si>
  <si>
    <t>XY-894</t>
  </si>
  <si>
    <t>409 SAR</t>
  </si>
  <si>
    <t>509 SAR</t>
  </si>
  <si>
    <t>599 SAR</t>
  </si>
  <si>
    <t>NP-132</t>
  </si>
  <si>
    <t>MS-684</t>
  </si>
  <si>
    <t>Cabin: 7 KG</t>
  </si>
  <si>
    <t>7 FOR SAME CLASS</t>
  </si>
  <si>
    <t>411 SAR</t>
  </si>
  <si>
    <t>MS-682</t>
  </si>
  <si>
    <t>Air Cairo</t>
  </si>
  <si>
    <t>SM-434</t>
  </si>
  <si>
    <t>566 SAR</t>
  </si>
  <si>
    <t>SM434</t>
  </si>
  <si>
    <t>X9</t>
  </si>
  <si>
    <t>G1 &amp; S12 &amp; W2 &amp; T2 &amp; X9 &amp; U2 &amp; O4 &amp; I60</t>
  </si>
  <si>
    <t>Saudia</t>
  </si>
  <si>
    <t>SV-6446</t>
  </si>
  <si>
    <t>Cabin: 7 KG / Check-in: 2 x 46 KG</t>
  </si>
  <si>
    <t>4 FOR SAME CLASS</t>
  </si>
  <si>
    <t>1,126 SAR</t>
  </si>
  <si>
    <t>Air Arabia Egypt</t>
  </si>
  <si>
    <t>E5-316</t>
  </si>
  <si>
    <t>Cabin: 10 KG / Check-in: 30 KG</t>
  </si>
  <si>
    <t>348 SAR</t>
  </si>
  <si>
    <t>472 SAR</t>
  </si>
  <si>
    <t>Nesma Airlines</t>
  </si>
  <si>
    <t>NE-155</t>
  </si>
  <si>
    <t>371 SAR</t>
  </si>
  <si>
    <t>13 FOR SAME CLASS</t>
  </si>
  <si>
    <t>399 SAR</t>
  </si>
  <si>
    <t>549 SAR</t>
  </si>
  <si>
    <t>899 SAR</t>
  </si>
  <si>
    <t>757 SAR</t>
  </si>
  <si>
    <t>8 FOR SAME CLASS</t>
  </si>
  <si>
    <t>479 SAR</t>
  </si>
  <si>
    <t>579 SAR</t>
  </si>
  <si>
    <t>669 SAR</t>
  </si>
  <si>
    <t>1,291 SAR</t>
  </si>
  <si>
    <t>1 FOR SAME CLASS</t>
  </si>
  <si>
    <t>NP-332</t>
  </si>
  <si>
    <t>Cabin: 7 KG | Check-in: 1 PIECE</t>
  </si>
  <si>
    <t>5 FOR SAME CLASS</t>
  </si>
  <si>
    <t>437 SAR</t>
  </si>
  <si>
    <t>1,567 SAR</t>
  </si>
  <si>
    <t>S4 &amp; W4 &amp; T10 &amp; X7 &amp; U4 &amp; O3 &amp; I60</t>
  </si>
  <si>
    <t>16 FOR SAME CLASS</t>
  </si>
  <si>
    <t>369 SAR</t>
  </si>
  <si>
    <t>519 SAR</t>
  </si>
  <si>
    <t>569 SAR</t>
  </si>
  <si>
    <t>547 SAR</t>
  </si>
  <si>
    <t>596 SAR</t>
  </si>
  <si>
    <t>817 SAR</t>
  </si>
  <si>
    <t>626 SAR</t>
  </si>
  <si>
    <t>T9</t>
  </si>
  <si>
    <t>S6 &amp; T4 &amp; X8 &amp; U10 &amp; O17 &amp; I40</t>
  </si>
  <si>
    <t>1,183 SAR</t>
  </si>
  <si>
    <t>24 FOR SAME CLASS</t>
  </si>
  <si>
    <t>309 SAR</t>
  </si>
  <si>
    <t>459 SAR</t>
  </si>
  <si>
    <t>354 SAR</t>
  </si>
  <si>
    <t>477 SAR</t>
  </si>
  <si>
    <t>415 SAR</t>
  </si>
  <si>
    <t>S3 &amp; X1 &amp; U8 &amp; O4 &amp; I20</t>
  </si>
  <si>
    <t>1,085 SAR</t>
  </si>
  <si>
    <t>20 FOR SAME CLASS</t>
  </si>
  <si>
    <t>NE-151</t>
  </si>
  <si>
    <t>17 FOR SAME CLASS</t>
  </si>
  <si>
    <t>6 FOR SAME CLASS</t>
  </si>
  <si>
    <t>S10 &amp; X10 &amp; U4 &amp; I24</t>
  </si>
  <si>
    <t>367 SAR</t>
  </si>
  <si>
    <t>490 SAR</t>
  </si>
  <si>
    <t>592 SAR</t>
  </si>
  <si>
    <t>563 SAR</t>
  </si>
  <si>
    <t>679 SAR</t>
  </si>
  <si>
    <t>769 SAR</t>
  </si>
  <si>
    <t>1,231 SAR</t>
  </si>
  <si>
    <t>Cabin: 0 KG | Check-in: 15 KG</t>
  </si>
  <si>
    <t>Cabin: 7 KG | Check-in: 20 KG</t>
  </si>
  <si>
    <t>429 SAR</t>
  </si>
  <si>
    <t>439 SAR</t>
  </si>
  <si>
    <t>S1 &amp; W2 &amp; T2 &amp; O6 &amp; I30</t>
  </si>
  <si>
    <t>3 FOR SAME CLASS</t>
  </si>
  <si>
    <t>1,391 SAR</t>
  </si>
  <si>
    <t>X5</t>
  </si>
  <si>
    <t>S4 &amp; W6 &amp; T3 &amp; X6 &amp; U7 &amp; O7 &amp; I36</t>
  </si>
  <si>
    <t>19 FOR SAME CLASS</t>
  </si>
  <si>
    <t>S6 &amp; W1 &amp; X5 &amp; I26</t>
  </si>
  <si>
    <t>18 FOR SAME CLASS</t>
  </si>
  <si>
    <t>14 FOR SAME CLASS</t>
  </si>
  <si>
    <t>S3 &amp; X6 &amp; U6 &amp; O5 &amp; I24</t>
  </si>
  <si>
    <t>11 FOR SAME CLASS</t>
  </si>
  <si>
    <t>425 SAR</t>
  </si>
  <si>
    <t>S5 &amp; X7 &amp; U8 &amp; O3 &amp; I41</t>
  </si>
  <si>
    <t>551 SAR</t>
  </si>
  <si>
    <t>S1 &amp; W3 &amp; T1 &amp; U9 &amp; O4 &amp; I26</t>
  </si>
  <si>
    <t>G1 &amp; S1 &amp; X11 &amp; U6 &amp; O5 &amp; I25</t>
  </si>
  <si>
    <t>NE-153</t>
  </si>
  <si>
    <t>X1 &amp; U3 &amp; O5 &amp; I20</t>
  </si>
  <si>
    <t>12 FOR SAME CLASS</t>
  </si>
  <si>
    <t>554 SAR</t>
  </si>
  <si>
    <t>500 SAR</t>
  </si>
  <si>
    <t>701 SAR</t>
  </si>
  <si>
    <t>Cabin: 7 KG | Check-in: 30 KG</t>
  </si>
  <si>
    <t>2 FOR SAME CLASS</t>
  </si>
  <si>
    <t>S1 &amp; X2 &amp; U7 &amp; O7 &amp; I26</t>
  </si>
  <si>
    <t>560 SAR</t>
  </si>
  <si>
    <t>S1 &amp; X2 &amp; U5 &amp; O8 &amp; I26</t>
  </si>
  <si>
    <t>15 FOR SAME CLASS</t>
  </si>
  <si>
    <t>716 SAR</t>
  </si>
  <si>
    <t>W9</t>
  </si>
  <si>
    <t>S4 &amp; O8 &amp; I26</t>
  </si>
  <si>
    <t>629 SAR</t>
  </si>
  <si>
    <t>619 SAR</t>
  </si>
  <si>
    <t>709 SAR</t>
  </si>
  <si>
    <t>487 SAR</t>
  </si>
  <si>
    <t>517 SAR</t>
  </si>
  <si>
    <t>X2</t>
  </si>
  <si>
    <t>S1 &amp; T2 &amp; X6 &amp; U11 &amp; O1</t>
  </si>
  <si>
    <t>568 SAR</t>
  </si>
  <si>
    <t>T4</t>
  </si>
  <si>
    <t>S2 &amp; W1 &amp; T4 &amp; X9 &amp; U8 &amp; O3</t>
  </si>
  <si>
    <t>1,429 SAR</t>
  </si>
  <si>
    <t>469 SAR</t>
  </si>
  <si>
    <t>474 SAR</t>
  </si>
  <si>
    <t>559 SAR</t>
  </si>
  <si>
    <t>659 SAR</t>
  </si>
  <si>
    <t>749 SAR</t>
  </si>
  <si>
    <t>T7</t>
  </si>
  <si>
    <t>G4 &amp; S1 &amp; W2 &amp; T3 &amp; X10 &amp; U4</t>
  </si>
  <si>
    <t>506 SAR</t>
  </si>
  <si>
    <t>U2</t>
  </si>
  <si>
    <t>S1 &amp; X2 &amp; U8 &amp; O2</t>
  </si>
  <si>
    <t>621 SAR</t>
  </si>
  <si>
    <t>827 SAR</t>
  </si>
  <si>
    <t>759 SAR</t>
  </si>
  <si>
    <t>859 SAR</t>
  </si>
  <si>
    <t>949 SAR</t>
  </si>
  <si>
    <t>849 SAR</t>
  </si>
  <si>
    <t>1,109 SAR</t>
  </si>
  <si>
    <t>1,209 SAR</t>
  </si>
  <si>
    <t>1,299 SAR</t>
  </si>
  <si>
    <t>1,387 SAR</t>
  </si>
  <si>
    <t>914 SAR</t>
  </si>
  <si>
    <t>1,023 SAR</t>
  </si>
  <si>
    <t>1,136 SAR</t>
  </si>
  <si>
    <t>V9</t>
  </si>
  <si>
    <t>L3 &amp; G16 &amp; S12 &amp; W3</t>
  </si>
  <si>
    <t>1,604 SAR</t>
  </si>
  <si>
    <t>811 SAR</t>
  </si>
  <si>
    <t>879 SAR</t>
  </si>
  <si>
    <t>979 SAR</t>
  </si>
  <si>
    <t>1,069 SAR</t>
  </si>
  <si>
    <t>1,016 SAR</t>
  </si>
  <si>
    <t>L2</t>
  </si>
  <si>
    <t>L3 &amp; G15 &amp; S9 &amp; W6</t>
  </si>
  <si>
    <t>699 SAR</t>
  </si>
  <si>
    <t>609 SAR</t>
  </si>
  <si>
    <t>799 SAR</t>
  </si>
  <si>
    <t>627 SAR</t>
  </si>
  <si>
    <t>833 SAR</t>
  </si>
  <si>
    <t>723 SAR</t>
  </si>
  <si>
    <t>896 SAR</t>
  </si>
  <si>
    <t>G3</t>
  </si>
  <si>
    <t>S13 &amp; W9</t>
  </si>
  <si>
    <t>G3 &amp; X3 &amp; U9 &amp; O1</t>
  </si>
  <si>
    <t>505 SAR</t>
  </si>
  <si>
    <t>711 SAR</t>
  </si>
  <si>
    <t>T6</t>
  </si>
  <si>
    <t>G5 &amp; S4 &amp; T3 &amp; X12</t>
  </si>
  <si>
    <t>521 SAR</t>
  </si>
  <si>
    <t>W1 &amp; T2 &amp; X7 &amp; U10 &amp; O2</t>
  </si>
  <si>
    <t>511 SAR</t>
  </si>
  <si>
    <t>717 SAR</t>
  </si>
  <si>
    <t>X6</t>
  </si>
  <si>
    <t>W5 &amp; U7 &amp; O3</t>
  </si>
  <si>
    <t>X6 &amp; U12 &amp; O1</t>
  </si>
  <si>
    <t>752 SAR</t>
  </si>
  <si>
    <t>X5 &amp; U8 &amp; O5 &amp; I1</t>
  </si>
  <si>
    <t>X8</t>
  </si>
  <si>
    <t>X1 &amp; U7 &amp; O5</t>
  </si>
  <si>
    <t>X7</t>
  </si>
  <si>
    <t>X1 &amp; U7 &amp; O6</t>
  </si>
  <si>
    <t>590 SAR</t>
  </si>
  <si>
    <t>795 SAR</t>
  </si>
  <si>
    <t>U1</t>
  </si>
  <si>
    <t>X5 &amp; U3 &amp; O4</t>
  </si>
  <si>
    <t>X4 &amp; U7 &amp; O5</t>
  </si>
  <si>
    <t>10 FOR SAME CLASS</t>
  </si>
  <si>
    <t>U11 &amp; O2</t>
  </si>
  <si>
    <t>S3 &amp; T1 &amp; X8 &amp; U4 &amp; O2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</si>
  <si>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</si>
  <si>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</si>
  <si>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</si>
  <si>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</si>
  <si>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</si>
  <si>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</si>
  <si>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</si>
  <si>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</si>
  <si>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</si>
  <si>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</si>
  <si>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</si>
  <si>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</si>
  <si>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</si>
  <si>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</si>
  <si>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</si>
  <si>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</si>
  <si>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</si>
  <si>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</si>
  <si>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</si>
  <si>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</si>
  <si>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</si>
  <si>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</si>
  <si>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</si>
  <si>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</si>
  <si>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</si>
  <si>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</si>
  <si>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</si>
  <si>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</si>
  <si>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</si>
  <si>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</si>
  <si>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06:30</t>
  </si>
  <si>
    <t>320</t>
  </si>
  <si>
    <t>UPCOMING</t>
  </si>
  <si>
    <t>G1</t>
  </si>
  <si>
    <t>S12</t>
  </si>
  <si>
    <t>W2</t>
  </si>
  <si>
    <t>T2</t>
  </si>
  <si>
    <t>O4</t>
  </si>
  <si>
    <t>I60</t>
  </si>
  <si>
    <t>THURSDAY</t>
  </si>
  <si>
    <t>22:10</t>
  </si>
  <si>
    <t>S4</t>
  </si>
  <si>
    <t>W4</t>
  </si>
  <si>
    <t>T10</t>
  </si>
  <si>
    <t>U4</t>
  </si>
  <si>
    <t>O3</t>
  </si>
  <si>
    <t>FRIDAY</t>
  </si>
  <si>
    <t>13:55</t>
  </si>
  <si>
    <t>S6</t>
  </si>
  <si>
    <t>U10</t>
  </si>
  <si>
    <t>O17</t>
  </si>
  <si>
    <t>I40</t>
  </si>
  <si>
    <t>SATURDAY</t>
  </si>
  <si>
    <t>S3</t>
  </si>
  <si>
    <t>X1</t>
  </si>
  <si>
    <t>U8</t>
  </si>
  <si>
    <t>I20</t>
  </si>
  <si>
    <t>S10</t>
  </si>
  <si>
    <t>X10</t>
  </si>
  <si>
    <t>I24</t>
  </si>
  <si>
    <t>S1</t>
  </si>
  <si>
    <t>O6</t>
  </si>
  <si>
    <t>I30</t>
  </si>
  <si>
    <t>W6</t>
  </si>
  <si>
    <t>T3</t>
  </si>
  <si>
    <t>U7</t>
  </si>
  <si>
    <t>O7</t>
  </si>
  <si>
    <t>I36</t>
  </si>
  <si>
    <t>W1</t>
  </si>
  <si>
    <t>I26</t>
  </si>
  <si>
    <t>U6</t>
  </si>
  <si>
    <t>O5</t>
  </si>
  <si>
    <t>S5</t>
  </si>
  <si>
    <t>I41</t>
  </si>
  <si>
    <t>W3</t>
  </si>
  <si>
    <t>T1</t>
  </si>
  <si>
    <t>U9</t>
  </si>
  <si>
    <t>X11</t>
  </si>
  <si>
    <t>I25</t>
  </si>
  <si>
    <t>U3</t>
  </si>
  <si>
    <t>U5</t>
  </si>
  <si>
    <t>O8</t>
  </si>
  <si>
    <t>U11</t>
  </si>
  <si>
    <t>O1</t>
  </si>
  <si>
    <t>S2</t>
  </si>
  <si>
    <t>G4</t>
  </si>
  <si>
    <t>O2</t>
  </si>
  <si>
    <t>L3</t>
  </si>
  <si>
    <t>G16</t>
  </si>
  <si>
    <t>G15</t>
  </si>
  <si>
    <t>S9</t>
  </si>
  <si>
    <t>S13</t>
  </si>
  <si>
    <t>X3</t>
  </si>
  <si>
    <t>G5</t>
  </si>
  <si>
    <t>X12</t>
  </si>
  <si>
    <t>W5</t>
  </si>
  <si>
    <t>U12</t>
  </si>
  <si>
    <t>I1</t>
  </si>
  <si>
    <t>X4</t>
  </si>
  <si>
    <t>DATE</t>
  </si>
  <si>
    <t>ROUTE</t>
  </si>
  <si>
    <t>2025-12-01</t>
  </si>
  <si>
    <t>23:00</t>
  </si>
  <si>
    <t>20:45</t>
  </si>
  <si>
    <t>2025-12-02</t>
  </si>
  <si>
    <t>07:20</t>
  </si>
  <si>
    <t>04:45</t>
  </si>
  <si>
    <t>20:00</t>
  </si>
  <si>
    <t>04:05</t>
  </si>
  <si>
    <t>[LF] AVAILABLE</t>
  </si>
  <si>
    <t>THREAT STATUS</t>
  </si>
  <si>
    <t>REF</t>
  </si>
  <si>
    <t>CLOSE (-0.8)</t>
  </si>
  <si>
    <t>THREAT (+1.9)</t>
  </si>
  <si>
    <t>CLOSE (-0.3)</t>
  </si>
  <si>
    <t>CLOSE (-0.9)</t>
  </si>
  <si>
    <t>THREAT (+6.3)</t>
  </si>
  <si>
    <t>THREAT (+5.7)</t>
  </si>
  <si>
    <t>CLOSE (-0.4)</t>
  </si>
  <si>
    <t>12:40</t>
  </si>
  <si>
    <t>THREAT (+2.2)</t>
  </si>
  <si>
    <t>2025-12-03</t>
  </si>
  <si>
    <t>02:10</t>
  </si>
  <si>
    <t>THREAT (+2.0)</t>
  </si>
  <si>
    <t>2025-12-04</t>
  </si>
  <si>
    <t>21:20</t>
  </si>
  <si>
    <t>13:30</t>
  </si>
  <si>
    <t>THREAT (+5.0)</t>
  </si>
  <si>
    <t>THREAT (+2.7)</t>
  </si>
  <si>
    <t>2025-12-05</t>
  </si>
  <si>
    <t>20:05</t>
  </si>
  <si>
    <t>CLOSE (-0.5)</t>
  </si>
  <si>
    <t>THREAT (+2.5)</t>
  </si>
  <si>
    <t>CLOSE (-0.0)</t>
  </si>
  <si>
    <t>THREAT (+1.7)</t>
  </si>
  <si>
    <t>THREAT (+6.6)</t>
  </si>
  <si>
    <t>AHEAD (+0.6)</t>
  </si>
  <si>
    <t>THREAT (+3.3)</t>
  </si>
  <si>
    <t>2025-12-06</t>
  </si>
  <si>
    <t>04:50</t>
  </si>
  <si>
    <t>CLOSE (-0.2)</t>
  </si>
  <si>
    <t>23:20</t>
  </si>
  <si>
    <t>21:30</t>
  </si>
  <si>
    <t>AHEAD (+0.3)</t>
  </si>
  <si>
    <t>THREAT (+6.9)</t>
  </si>
  <si>
    <t>CLOSE (-0.6)</t>
  </si>
  <si>
    <t>THREAT (+1.1)</t>
  </si>
  <si>
    <t>THREAT (+6.0)</t>
  </si>
  <si>
    <t>THREAT (+2.6)</t>
  </si>
  <si>
    <t>2025-12-07</t>
  </si>
  <si>
    <t>05:20</t>
  </si>
  <si>
    <t>2025-12-09</t>
  </si>
  <si>
    <t>2025-12-10</t>
  </si>
  <si>
    <t>2025-12-11</t>
  </si>
  <si>
    <t>CLOSE (-0.7)</t>
  </si>
  <si>
    <t>2025-12-12</t>
  </si>
  <si>
    <t>THREAT (+1.3)</t>
  </si>
  <si>
    <t>2025-12-13</t>
  </si>
  <si>
    <t>2025-12-14</t>
  </si>
  <si>
    <t>20:25</t>
  </si>
  <si>
    <t>2025-12-16</t>
  </si>
  <si>
    <t>2025-12-17</t>
  </si>
  <si>
    <t>2025-12-18</t>
  </si>
  <si>
    <t>21:55</t>
  </si>
  <si>
    <t>THREAT (+1.4)</t>
  </si>
  <si>
    <t>2025-12-19</t>
  </si>
  <si>
    <t>THREAT (+1.6)</t>
  </si>
  <si>
    <t>THREAT (+3.2)</t>
  </si>
  <si>
    <t>2025-12-20</t>
  </si>
  <si>
    <t>2025-12-21</t>
  </si>
  <si>
    <t>2025-12-23</t>
  </si>
  <si>
    <t>2025-12-24</t>
  </si>
  <si>
    <t>AHEAD (+0.7)</t>
  </si>
  <si>
    <t>2025-12-25</t>
  </si>
  <si>
    <t>AHEAD (+0.2)</t>
  </si>
  <si>
    <t>AHEAD (+0.1)</t>
  </si>
  <si>
    <t>THREAT (+2.8)</t>
  </si>
  <si>
    <t>2025-12-26</t>
  </si>
  <si>
    <t>2025-12-27</t>
  </si>
  <si>
    <t>22:40</t>
  </si>
  <si>
    <t>THREAT (+6.1)</t>
  </si>
  <si>
    <t>2025-12-28</t>
  </si>
  <si>
    <t>2025-12-30</t>
  </si>
  <si>
    <t>THREAT (+1.2)</t>
  </si>
  <si>
    <t>THREAT (+7.8)</t>
  </si>
  <si>
    <t>THREAT (+7.2)</t>
  </si>
  <si>
    <t>THREAT (+4.2)</t>
  </si>
  <si>
    <t>THREAT (+4.1)</t>
  </si>
  <si>
    <t>2025-12-31</t>
  </si>
  <si>
    <t>2026-01-01</t>
  </si>
  <si>
    <t>AHEAD (+0.0)</t>
  </si>
  <si>
    <t>CLOSE (-0.1)</t>
  </si>
  <si>
    <t>THREAT (+2.1)</t>
  </si>
  <si>
    <t>THREAT (+6.5)</t>
  </si>
  <si>
    <t>THREAT (+3.1)</t>
  </si>
  <si>
    <t>2026-01-02</t>
  </si>
  <si>
    <t>05:10</t>
  </si>
  <si>
    <t>2026-01-03</t>
  </si>
  <si>
    <t>THREAT (+1.5)</t>
  </si>
  <si>
    <t>THREAT (+7.0)</t>
  </si>
  <si>
    <t>THREAT (+6.7)</t>
  </si>
  <si>
    <t>THREAT (+4.8)</t>
  </si>
  <si>
    <t>2026-01-04</t>
  </si>
  <si>
    <t>2026-01-06</t>
  </si>
  <si>
    <t>THREAT (+5.1)</t>
  </si>
  <si>
    <t>2026-01-07</t>
  </si>
  <si>
    <t>AHEAD (+0.5)</t>
  </si>
  <si>
    <t>2026-01-08</t>
  </si>
  <si>
    <t>THREAT (+6.8)</t>
  </si>
  <si>
    <t>THREAT (+3.8)</t>
  </si>
  <si>
    <t>THREAT (+5.6)</t>
  </si>
  <si>
    <t>THREAT (+10.4)</t>
  </si>
  <si>
    <t>THREAT (+9.9)</t>
  </si>
  <si>
    <t>THREAT (+5.9)</t>
  </si>
  <si>
    <t>21:05</t>
  </si>
  <si>
    <t>THREAT (+4.6)</t>
  </si>
  <si>
    <t>2026-01-09</t>
  </si>
  <si>
    <t>AHEAD (+0.4)</t>
  </si>
  <si>
    <t>THREAT (+5.2)</t>
  </si>
  <si>
    <t>THREAT (+3.4)</t>
  </si>
  <si>
    <t>2026-01-10</t>
  </si>
  <si>
    <t>THREAT (+8.5)</t>
  </si>
  <si>
    <t>THREAT (+9.7)</t>
  </si>
  <si>
    <t>THREAT (+8.1)</t>
  </si>
  <si>
    <t>THREAT (+7.5)</t>
  </si>
  <si>
    <t>2026-01-11</t>
  </si>
  <si>
    <t>THREAT (+3.0)</t>
  </si>
  <si>
    <t>THREAT (+2.4)</t>
  </si>
  <si>
    <t>THREAT (+9.0)</t>
  </si>
  <si>
    <t>THREAT (+4.0)</t>
  </si>
  <si>
    <t>2026-01-13</t>
  </si>
  <si>
    <t>THREAT (+3.6)</t>
  </si>
  <si>
    <t>2026-01-14</t>
  </si>
  <si>
    <t>2026-01-15</t>
  </si>
  <si>
    <t>23:10</t>
  </si>
  <si>
    <t>THREAT (+5.3)</t>
  </si>
  <si>
    <t>2026-01-16</t>
  </si>
  <si>
    <t>2026-01-17</t>
  </si>
  <si>
    <t>13:10</t>
  </si>
  <si>
    <t>2026-01-18</t>
  </si>
  <si>
    <t>2026-01-20</t>
  </si>
  <si>
    <t>2026-01-21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</si>
  <si>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</si>
  <si>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</si>
  <si>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</si>
  <si>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</si>
  <si>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</si>
  <si>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</si>
  <si>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</si>
  <si>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</si>
  <si>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2026-01-31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</si>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</sst>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sz val="11"/>
      <color rgb="FFFF66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7" fillId="9" borderId="13" xfId="0" applyNumberFormat="1" applyFont="1" applyFill="1" applyBorder="1" applyAlignment="1">
      <alignment horizontal="center" vertical="center"/>
    </xf>
    <xf numFmtId="1" fontId="17" fillId="9" borderId="14" xfId="0" applyNumberFormat="1" applyFont="1" applyFill="1" applyBorder="1" applyAlignment="1">
      <alignment horizontal="center" vertical="center"/>
    </xf>
    <xf numFmtId="16" fontId="17" fillId="9" borderId="14" xfId="0" applyNumberFormat="1" applyFont="1" applyFill="1" applyBorder="1" applyAlignment="1">
      <alignment horizontal="center" vertical="center"/>
    </xf>
    <xf numFmtId="49" fontId="19" fillId="9" borderId="14" xfId="0" applyNumberFormat="1" applyFont="1" applyFill="1" applyBorder="1" applyAlignment="1">
      <alignment horizontal="center" vertical="center"/>
    </xf>
    <xf numFmtId="49" fontId="17" fillId="9" borderId="15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7" fillId="10" borderId="13" xfId="0" applyNumberFormat="1" applyFont="1" applyFill="1" applyBorder="1" applyAlignment="1">
      <alignment horizontal="center" vertical="center"/>
    </xf>
    <xf numFmtId="1" fontId="17" fillId="10" borderId="14" xfId="0" applyNumberFormat="1" applyFont="1" applyFill="1" applyBorder="1" applyAlignment="1">
      <alignment horizontal="center" vertical="center"/>
    </xf>
    <xf numFmtId="16" fontId="17" fillId="10" borderId="14" xfId="0" applyNumberFormat="1" applyFont="1" applyFill="1" applyBorder="1" applyAlignment="1">
      <alignment horizontal="center" vertical="center"/>
    </xf>
    <xf numFmtId="49" fontId="19" fillId="10" borderId="14" xfId="0" applyNumberFormat="1" applyFont="1" applyFill="1" applyBorder="1" applyAlignment="1">
      <alignment horizontal="center" vertical="center"/>
    </xf>
    <xf numFmtId="49" fontId="17" fillId="10" borderId="15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7" fillId="11" borderId="13" xfId="0" applyNumberFormat="1" applyFont="1" applyFill="1" applyBorder="1" applyAlignment="1">
      <alignment horizontal="center" vertical="center"/>
    </xf>
    <xf numFmtId="1" fontId="17" fillId="11" borderId="14" xfId="0" applyNumberFormat="1" applyFont="1" applyFill="1" applyBorder="1" applyAlignment="1">
      <alignment horizontal="center" vertical="center"/>
    </xf>
    <xf numFmtId="16" fontId="17" fillId="11" borderId="14" xfId="0" applyNumberFormat="1" applyFont="1" applyFill="1" applyBorder="1" applyAlignment="1">
      <alignment horizontal="center" vertical="center"/>
    </xf>
    <xf numFmtId="49" fontId="19" fillId="11" borderId="14" xfId="0" applyNumberFormat="1" applyFont="1" applyFill="1" applyBorder="1" applyAlignment="1">
      <alignment horizontal="center" vertical="center"/>
    </xf>
    <xf numFmtId="49" fontId="17" fillId="11" borderId="15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7" fillId="12" borderId="13" xfId="0" applyNumberFormat="1" applyFont="1" applyFill="1" applyBorder="1" applyAlignment="1">
      <alignment horizontal="center" vertical="center"/>
    </xf>
    <xf numFmtId="1" fontId="17" fillId="12" borderId="14" xfId="0" applyNumberFormat="1" applyFont="1" applyFill="1" applyBorder="1" applyAlignment="1">
      <alignment horizontal="center" vertical="center"/>
    </xf>
    <xf numFmtId="16" fontId="17" fillId="12" borderId="14" xfId="0" applyNumberFormat="1" applyFont="1" applyFill="1" applyBorder="1" applyAlignment="1">
      <alignment horizontal="center" vertical="center"/>
    </xf>
    <xf numFmtId="49" fontId="19" fillId="12" borderId="14" xfId="0" applyNumberFormat="1" applyFont="1" applyFill="1" applyBorder="1" applyAlignment="1">
      <alignment horizontal="center" vertical="center"/>
    </xf>
    <xf numFmtId="49" fontId="17" fillId="12" borderId="15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7" fillId="13" borderId="13" xfId="0" applyNumberFormat="1" applyFont="1" applyFill="1" applyBorder="1" applyAlignment="1">
      <alignment horizontal="center" vertical="center"/>
    </xf>
    <xf numFmtId="1" fontId="17" fillId="13" borderId="14" xfId="0" applyNumberFormat="1" applyFont="1" applyFill="1" applyBorder="1" applyAlignment="1">
      <alignment horizontal="center" vertical="center"/>
    </xf>
    <xf numFmtId="16" fontId="17" fillId="13" borderId="14" xfId="0" applyNumberFormat="1" applyFont="1" applyFill="1" applyBorder="1" applyAlignment="1">
      <alignment horizontal="center" vertical="center"/>
    </xf>
    <xf numFmtId="49" fontId="19" fillId="13" borderId="14" xfId="0" applyNumberFormat="1" applyFont="1" applyFill="1" applyBorder="1" applyAlignment="1">
      <alignment horizontal="center" vertical="center"/>
    </xf>
    <xf numFmtId="49" fontId="17" fillId="13" borderId="15" xfId="0" applyNumberFormat="1" applyFont="1" applyFill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7" fillId="14" borderId="13" xfId="0" applyNumberFormat="1" applyFont="1" applyFill="1" applyBorder="1" applyAlignment="1">
      <alignment horizontal="center" vertical="center"/>
    </xf>
    <xf numFmtId="1" fontId="17" fillId="14" borderId="14" xfId="0" applyNumberFormat="1" applyFont="1" applyFill="1" applyBorder="1" applyAlignment="1">
      <alignment horizontal="center" vertical="center"/>
    </xf>
    <xf numFmtId="16" fontId="17" fillId="14" borderId="14" xfId="0" applyNumberFormat="1" applyFont="1" applyFill="1" applyBorder="1" applyAlignment="1">
      <alignment horizontal="center" vertical="center"/>
    </xf>
    <xf numFmtId="49" fontId="19" fillId="14" borderId="14" xfId="0" applyNumberFormat="1" applyFont="1" applyFill="1" applyBorder="1" applyAlignment="1">
      <alignment horizontal="center" vertical="center"/>
    </xf>
    <xf numFmtId="49" fontId="17" fillId="14" borderId="15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7" fillId="15" borderId="13" xfId="0" applyNumberFormat="1" applyFont="1" applyFill="1" applyBorder="1" applyAlignment="1">
      <alignment horizontal="center" vertical="center"/>
    </xf>
    <xf numFmtId="1" fontId="17" fillId="15" borderId="14" xfId="0" applyNumberFormat="1" applyFont="1" applyFill="1" applyBorder="1" applyAlignment="1">
      <alignment horizontal="center" vertical="center"/>
    </xf>
    <xf numFmtId="16" fontId="17" fillId="15" borderId="14" xfId="0" applyNumberFormat="1" applyFont="1" applyFill="1" applyBorder="1" applyAlignment="1">
      <alignment horizontal="center" vertical="center"/>
    </xf>
    <xf numFmtId="49" fontId="19" fillId="15" borderId="14" xfId="0" applyNumberFormat="1" applyFont="1" applyFill="1" applyBorder="1" applyAlignment="1">
      <alignment horizontal="center" vertical="center"/>
    </xf>
    <xf numFmtId="49" fontId="17" fillId="15" borderId="15" xfId="0" applyNumberFormat="1" applyFont="1" applyFill="1" applyBorder="1" applyAlignment="1">
      <alignment horizontal="center" vertical="center"/>
    </xf>
    <xf numFmtId="0" fontId="21" fillId="16" borderId="21" xfId="0" applyFont="1" applyFill="1" applyBorder="1" applyAlignment="1">
      <alignment horizontal="center" vertical="center"/>
    </xf>
    <xf numFmtId="0" fontId="21" fillId="16" borderId="22" xfId="0" applyFont="1" applyFill="1" applyBorder="1" applyAlignment="1">
      <alignment horizontal="center" vertical="center"/>
    </xf>
    <xf numFmtId="0" fontId="21" fillId="16" borderId="23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1" fontId="22" fillId="0" borderId="25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8" fillId="9" borderId="14" xfId="0" applyNumberFormat="1" applyFont="1" applyFill="1" applyBorder="1" applyAlignment="1">
      <alignment horizontal="center" vertical="center"/>
    </xf>
    <xf numFmtId="166" fontId="17" fillId="9" borderId="14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8" fillId="10" borderId="14" xfId="0" applyNumberFormat="1" applyFont="1" applyFill="1" applyBorder="1" applyAlignment="1">
      <alignment horizontal="center" vertical="center"/>
    </xf>
    <xf numFmtId="166" fontId="17" fillId="10" borderId="14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8" fillId="11" borderId="14" xfId="0" applyNumberFormat="1" applyFont="1" applyFill="1" applyBorder="1" applyAlignment="1">
      <alignment horizontal="center" vertical="center"/>
    </xf>
    <xf numFmtId="166" fontId="17" fillId="11" borderId="14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8" fillId="12" borderId="14" xfId="0" applyNumberFormat="1" applyFont="1" applyFill="1" applyBorder="1" applyAlignment="1">
      <alignment horizontal="center" vertical="center"/>
    </xf>
    <xf numFmtId="166" fontId="17" fillId="12" borderId="14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8" fillId="13" borderId="14" xfId="0" applyNumberFormat="1" applyFont="1" applyFill="1" applyBorder="1" applyAlignment="1">
      <alignment horizontal="center" vertical="center"/>
    </xf>
    <xf numFmtId="166" fontId="17" fillId="13" borderId="14" xfId="0" applyNumberFormat="1" applyFont="1" applyFill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8" fillId="14" borderId="14" xfId="0" applyNumberFormat="1" applyFont="1" applyFill="1" applyBorder="1" applyAlignment="1">
      <alignment horizontal="center" vertical="center"/>
    </xf>
    <xf numFmtId="166" fontId="17" fillId="14" borderId="14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8" fillId="15" borderId="14" xfId="0" applyNumberFormat="1" applyFont="1" applyFill="1" applyBorder="1" applyAlignment="1">
      <alignment horizontal="center" vertical="center"/>
    </xf>
    <xf numFmtId="166" fontId="17" fillId="15" borderId="14" xfId="0" applyNumberFormat="1" applyFont="1" applyFill="1" applyBorder="1" applyAlignment="1">
      <alignment horizontal="center" vertical="center"/>
    </xf>
    <xf numFmtId="169" fontId="22" fillId="0" borderId="26" xfId="0" applyNumberFormat="1" applyFont="1" applyBorder="1" applyAlignment="1">
      <alignment horizontal="center" vertical="center"/>
    </xf>
    <xf numFmtId="169" fontId="22" fillId="0" borderId="29" xfId="0" applyNumberFormat="1" applyFont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70" fontId="22" fillId="0" borderId="24" xfId="0" applyNumberFormat="1" applyFont="1" applyBorder="1" applyAlignment="1">
      <alignment horizontal="center" vertical="center"/>
    </xf>
    <xf numFmtId="171" fontId="22" fillId="0" borderId="25" xfId="0" applyNumberFormat="1" applyFont="1" applyBorder="1" applyAlignment="1">
      <alignment horizontal="center" vertical="center"/>
    </xf>
    <xf numFmtId="170" fontId="22" fillId="0" borderId="27" xfId="0" applyNumberFormat="1" applyFont="1" applyBorder="1" applyAlignment="1">
      <alignment horizontal="center" vertical="center"/>
    </xf>
    <xf numFmtId="171" fontId="22" fillId="0" borderId="28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/>
    <xf numFmtId="168" fontId="31" fillId="0" borderId="0" xfId="0" applyNumberFormat="1" applyFont="1" applyAlignment="1">
      <alignment horizontal="center" vertical="center"/>
    </xf>
    <xf numFmtId="15" fontId="31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7" fontId="31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6" fontId="31" fillId="0" borderId="0" xfId="0" applyNumberFormat="1" applyFont="1" applyAlignment="1">
      <alignment horizontal="center" vertical="center"/>
    </xf>
    <xf numFmtId="0" fontId="32" fillId="19" borderId="0" xfId="0" applyFont="1" applyFill="1" applyAlignment="1">
      <alignment horizontal="center" vertical="center"/>
    </xf>
    <xf numFmtId="15" fontId="32" fillId="19" borderId="0" xfId="0" applyNumberFormat="1" applyFont="1" applyFill="1" applyAlignment="1">
      <alignment horizontal="center" vertical="center"/>
    </xf>
    <xf numFmtId="167" fontId="32" fillId="19" borderId="0" xfId="0" applyNumberFormat="1" applyFont="1" applyFill="1" applyAlignment="1">
      <alignment horizontal="center" vertical="center"/>
    </xf>
    <xf numFmtId="1" fontId="32" fillId="19" borderId="0" xfId="0" applyNumberFormat="1" applyFont="1" applyFill="1" applyAlignment="1">
      <alignment horizontal="center" vertical="center"/>
    </xf>
    <xf numFmtId="0" fontId="32" fillId="19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4" fillId="8" borderId="30" xfId="0" applyFont="1" applyFill="1" applyBorder="1" applyAlignment="1">
      <alignment horizontal="center" vertical="center"/>
    </xf>
    <xf numFmtId="0" fontId="14" fillId="8" borderId="31" xfId="0" applyFont="1" applyFill="1" applyBorder="1" applyAlignment="1">
      <alignment horizontal="center" vertical="center"/>
    </xf>
    <xf numFmtId="0" fontId="14" fillId="8" borderId="3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38" totalsRowCount="1" headerRowDxfId="74" dataDxfId="73" totalsRowDxfId="72">
  <tableColumns count="36">
    <tableColumn id="1" xr3:uid="{00000000-0010-0000-0000-000001000000}" name="Day" totalsRowLabel="TOTAL" dataDxfId="71" totalsRowDxfId="35"/>
    <tableColumn id="2" xr3:uid="{00000000-0010-0000-0000-000002000000}" name="Flt Dt" dataDxfId="70" totalsRowDxfId="34"/>
    <tableColumn id="3" xr3:uid="{00000000-0010-0000-0000-000003000000}" name="Flt" totalsRowFunction="count" dataDxfId="69" totalsRowDxfId="33"/>
    <tableColumn id="4" xr3:uid="{00000000-0010-0000-0000-000004000000}" name="DEP" dataDxfId="68" totalsRowDxfId="32"/>
    <tableColumn id="5" xr3:uid="{00000000-0010-0000-0000-000005000000}" name="Brd-Off" totalsRowFunction="count" dataDxfId="67" totalsRowDxfId="31"/>
    <tableColumn id="6" xr3:uid="{00000000-0010-0000-0000-000006000000}" name="Eqp" dataDxfId="66" totalsRowDxfId="30"/>
    <tableColumn id="7" xr3:uid="{00000000-0010-0000-0000-000007000000}" name="LF%" totalsRowFunction="average" dataDxfId="65" totalsRowDxfId="29"/>
    <tableColumn id="8" xr3:uid="{00000000-0010-0000-0000-000008000000}" name="CAP" totalsRowFunction="sum" dataDxfId="64" totalsRowDxfId="28"/>
    <tableColumn id="9" xr3:uid="{00000000-0010-0000-0000-000009000000}" name="BKG(Y)" totalsRowFunction="sum" dataDxfId="63" totalsRowDxfId="27"/>
    <tableColumn id="10" xr3:uid="{00000000-0010-0000-0000-00000A000000}" name="GRP(Y)" totalsRowFunction="sum" dataDxfId="62" totalsRowDxfId="26"/>
    <tableColumn id="11" xr3:uid="{00000000-0010-0000-0000-00000B000000}" name="FLT ST" dataDxfId="61" totalsRowDxfId="25"/>
    <tableColumn id="12" xr3:uid="{00000000-0010-0000-0000-00000C000000}" name="LST-SOLD" dataDxfId="60" totalsRowDxfId="24"/>
    <tableColumn id="13" xr3:uid="{00000000-0010-0000-0000-00000D000000}" name="TO-DAY" totalsRowFunction="sum" dataDxfId="59" totalsRowDxfId="23"/>
    <tableColumn id="14" xr3:uid="{00000000-0010-0000-0000-00000E000000}" name="Y-DAY" totalsRowFunction="sum" dataDxfId="58" totalsRowDxfId="22"/>
    <tableColumn id="15" xr3:uid="{00000000-0010-0000-0000-00000F000000}" name="WEEKLY" totalsRowFunction="sum" dataDxfId="57" totalsRowDxfId="21"/>
    <tableColumn id="16" xr3:uid="{00000000-0010-0000-0000-000010000000}" name="LOWEST AVAIL" dataDxfId="56" totalsRowDxfId="20"/>
    <tableColumn id="17" xr3:uid="{00000000-0010-0000-0000-000011000000}" name="Y" totalsRowFunction="sum" dataDxfId="55" totalsRowDxfId="19"/>
    <tableColumn id="18" xr3:uid="{00000000-0010-0000-0000-000012000000}" name="B" totalsRowFunction="sum" dataDxfId="54" totalsRowDxfId="18"/>
    <tableColumn id="19" xr3:uid="{00000000-0010-0000-0000-000013000000}" name="M" totalsRowFunction="sum" dataDxfId="53" totalsRowDxfId="17"/>
    <tableColumn id="20" xr3:uid="{00000000-0010-0000-0000-000014000000}" name="H" totalsRowFunction="sum" dataDxfId="52" totalsRowDxfId="16"/>
    <tableColumn id="21" xr3:uid="{00000000-0010-0000-0000-000015000000}" name="Q" totalsRowFunction="sum" dataDxfId="51" totalsRowDxfId="15"/>
    <tableColumn id="22" xr3:uid="{00000000-0010-0000-0000-000016000000}" name="K" totalsRowFunction="sum" dataDxfId="50" totalsRowDxfId="14"/>
    <tableColumn id="23" xr3:uid="{00000000-0010-0000-0000-000017000000}" name="V" totalsRowFunction="sum" dataDxfId="49" totalsRowDxfId="13"/>
    <tableColumn id="24" xr3:uid="{00000000-0010-0000-0000-000018000000}" name="L" totalsRowFunction="sum" dataDxfId="48" totalsRowDxfId="12"/>
    <tableColumn id="25" xr3:uid="{00000000-0010-0000-0000-000019000000}" name="G" totalsRowFunction="sum" dataDxfId="47" totalsRowDxfId="11"/>
    <tableColumn id="26" xr3:uid="{00000000-0010-0000-0000-00001A000000}" name="S" totalsRowFunction="sum" dataDxfId="46" totalsRowDxfId="10"/>
    <tableColumn id="27" xr3:uid="{00000000-0010-0000-0000-00001B000000}" name="W" totalsRowFunction="sum" dataDxfId="45" totalsRowDxfId="9"/>
    <tableColumn id="28" xr3:uid="{00000000-0010-0000-0000-00001C000000}" name="T" totalsRowFunction="sum" dataDxfId="44" totalsRowDxfId="8"/>
    <tableColumn id="29" xr3:uid="{00000000-0010-0000-0000-00001D000000}" name="X" totalsRowFunction="sum" dataDxfId="43" totalsRowDxfId="7"/>
    <tableColumn id="30" xr3:uid="{00000000-0010-0000-0000-00001E000000}" name="U" totalsRowFunction="sum" dataDxfId="42" totalsRowDxfId="6"/>
    <tableColumn id="31" xr3:uid="{00000000-0010-0000-0000-00001F000000}" name="O" totalsRowFunction="sum" dataDxfId="41" totalsRowDxfId="5"/>
    <tableColumn id="32" xr3:uid="{00000000-0010-0000-0000-000020000000}" name="I" totalsRowFunction="sum" dataDxfId="40" totalsRowDxfId="4"/>
    <tableColumn id="33" xr3:uid="{00000000-0010-0000-0000-000021000000}" name="E" totalsRowFunction="sum" dataDxfId="39" totalsRowDxfId="3"/>
    <tableColumn id="34" xr3:uid="{00000000-0010-0000-0000-000022000000}" name="A" totalsRowFunction="sum" dataDxfId="38" totalsRowDxfId="2"/>
    <tableColumn id="35" xr3:uid="{00000000-0010-0000-0000-000023000000}" name="P" totalsRowFunction="sum" dataDxfId="37" totalsRowDxfId="1"/>
    <tableColumn id="36" xr3:uid="{00000000-0010-0000-0000-000024000000}" name="N" totalsRowFunction="count" dataDxfId="36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" displayName="FocusMode_DMM_CAI" ref="A1:H871" totalsRowShown="0">
  <autoFilter ref="A1:H871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DMM_CAI" displayName="ThreatsAlert_DMM_CAI" ref="A1:I468">
  <autoFilter ref="A1:I46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57"/>
  <sheetViews>
    <sheetView tabSelected="1" topLeftCell="A235" zoomScale="80" zoomScaleNormal="80" workbookViewId="0">
      <selection activeCell="F32" sqref="F32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6.6640625" bestFit="1" customWidth="1"/>
    <col min="19" max="92" width="8" customWidth="1"/>
  </cols>
  <sheetData>
    <row r="1" spans="1:92" ht="28.8" customHeight="1" x14ac:dyDescent="0.3">
      <c r="A1" s="157" t="s">
        <v>0</v>
      </c>
      <c r="B1" s="156"/>
      <c r="C1" s="156"/>
      <c r="D1" s="156"/>
      <c r="E1" s="156"/>
      <c r="F1" s="1" t="s">
        <v>1</v>
      </c>
      <c r="G1" s="1" t="s">
        <v>2</v>
      </c>
      <c r="H1" s="155">
        <v>45992</v>
      </c>
      <c r="I1" s="156"/>
      <c r="J1" s="156"/>
      <c r="K1" s="156"/>
      <c r="L1" s="156"/>
      <c r="M1" s="1" t="s">
        <v>3</v>
      </c>
      <c r="N1" s="173">
        <v>46053</v>
      </c>
      <c r="O1" s="156"/>
      <c r="P1" s="156"/>
      <c r="Q1" s="156"/>
      <c r="R1" s="15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69" t="s">
        <v>4</v>
      </c>
      <c r="B2" s="156"/>
      <c r="C2" s="156"/>
      <c r="D2" s="156"/>
      <c r="E2" s="156"/>
      <c r="F2" s="156"/>
      <c r="G2" s="170">
        <v>45992.538341481479</v>
      </c>
      <c r="H2" s="156"/>
      <c r="I2" s="156"/>
      <c r="J2" s="156"/>
      <c r="K2" s="174">
        <v>45992.538341481479</v>
      </c>
      <c r="L2" s="156"/>
      <c r="M2" s="156"/>
      <c r="N2" s="156"/>
      <c r="O2" s="156"/>
      <c r="P2" s="156"/>
      <c r="Q2" s="156"/>
      <c r="R2" s="156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72" t="s">
        <v>5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75" t="s">
        <v>6</v>
      </c>
      <c r="B4" s="162"/>
      <c r="C4" s="162"/>
      <c r="D4" s="162"/>
      <c r="E4" s="162"/>
      <c r="F4" s="163"/>
      <c r="G4" s="99">
        <v>45992</v>
      </c>
      <c r="H4" s="171" t="s">
        <v>7</v>
      </c>
      <c r="I4" s="162"/>
      <c r="J4" s="162"/>
      <c r="K4" s="162"/>
      <c r="L4" s="162"/>
      <c r="M4" s="162"/>
      <c r="N4" s="162"/>
      <c r="O4" s="162"/>
      <c r="P4" s="162"/>
      <c r="Q4" s="162"/>
      <c r="R4" s="16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8" t="s">
        <v>26</v>
      </c>
      <c r="B6" s="8" t="s">
        <v>27</v>
      </c>
      <c r="C6" s="100">
        <v>0.95833333333333337</v>
      </c>
      <c r="D6" s="8" t="s">
        <v>28</v>
      </c>
      <c r="E6" s="8" t="s">
        <v>29</v>
      </c>
      <c r="F6" s="8" t="s">
        <v>30</v>
      </c>
      <c r="G6" s="1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thickTop="1" thickBot="1" x14ac:dyDescent="0.35">
      <c r="A7" s="14" t="s">
        <v>31</v>
      </c>
      <c r="B7" s="14" t="s">
        <v>32</v>
      </c>
      <c r="C7" s="101">
        <v>0.86458333333333337</v>
      </c>
      <c r="D7" s="14" t="s">
        <v>33</v>
      </c>
      <c r="E7" s="14" t="s">
        <v>29</v>
      </c>
      <c r="F7" s="14" t="s">
        <v>34</v>
      </c>
      <c r="G7" s="160"/>
      <c r="H7" s="15"/>
      <c r="I7" s="16"/>
      <c r="J7" s="16"/>
      <c r="K7" s="16"/>
      <c r="L7" s="16"/>
      <c r="M7" s="16"/>
      <c r="N7" s="16"/>
      <c r="O7" s="17"/>
      <c r="P7" s="16"/>
      <c r="Q7" s="18"/>
      <c r="R7" s="19"/>
    </row>
    <row r="8" spans="1:92" ht="17.399999999999999" customHeight="1" thickBot="1" x14ac:dyDescent="0.35">
      <c r="A8" s="164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6"/>
    </row>
    <row r="9" spans="1:92" ht="22.05" customHeight="1" thickTop="1" thickBot="1" x14ac:dyDescent="0.35">
      <c r="A9" s="161" t="s">
        <v>6</v>
      </c>
      <c r="B9" s="162"/>
      <c r="C9" s="162"/>
      <c r="D9" s="162"/>
      <c r="E9" s="162"/>
      <c r="F9" s="163"/>
      <c r="G9" s="102">
        <v>45993</v>
      </c>
      <c r="H9" s="167" t="s">
        <v>7</v>
      </c>
      <c r="I9" s="162"/>
      <c r="J9" s="162"/>
      <c r="K9" s="162"/>
      <c r="L9" s="162"/>
      <c r="M9" s="162"/>
      <c r="N9" s="162"/>
      <c r="O9" s="162"/>
      <c r="P9" s="162"/>
      <c r="Q9" s="162"/>
      <c r="R9" s="163"/>
    </row>
    <row r="10" spans="1:92" ht="24" customHeight="1" x14ac:dyDescent="0.3">
      <c r="A10" s="20" t="s">
        <v>8</v>
      </c>
      <c r="B10" s="20" t="s">
        <v>9</v>
      </c>
      <c r="C10" s="103" t="s">
        <v>10</v>
      </c>
      <c r="D10" s="20" t="s">
        <v>11</v>
      </c>
      <c r="E10" s="20" t="s">
        <v>12</v>
      </c>
      <c r="F10" s="21" t="s">
        <v>13</v>
      </c>
      <c r="G10" s="22" t="s">
        <v>14</v>
      </c>
      <c r="H10" s="20" t="s">
        <v>15</v>
      </c>
      <c r="I10" s="104" t="s">
        <v>16</v>
      </c>
      <c r="J10" s="23" t="s">
        <v>17</v>
      </c>
      <c r="K10" s="24" t="s">
        <v>18</v>
      </c>
      <c r="L10" s="23" t="s">
        <v>19</v>
      </c>
      <c r="M10" s="23" t="s">
        <v>20</v>
      </c>
      <c r="N10" s="23" t="s">
        <v>21</v>
      </c>
      <c r="O10" s="20" t="s">
        <v>22</v>
      </c>
      <c r="P10" s="103" t="s">
        <v>23</v>
      </c>
      <c r="Q10" s="23" t="s">
        <v>24</v>
      </c>
      <c r="R10" s="20" t="s">
        <v>25</v>
      </c>
    </row>
    <row r="11" spans="1:92" ht="15" customHeight="1" x14ac:dyDescent="0.3">
      <c r="A11" s="8" t="s">
        <v>35</v>
      </c>
      <c r="B11" s="8" t="s">
        <v>36</v>
      </c>
      <c r="C11" s="100">
        <v>0.30555555555555558</v>
      </c>
      <c r="D11" s="8" t="s">
        <v>37</v>
      </c>
      <c r="E11" s="8" t="s">
        <v>38</v>
      </c>
      <c r="F11" s="8" t="s">
        <v>39</v>
      </c>
      <c r="G11" s="15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25" t="s">
        <v>35</v>
      </c>
      <c r="B12" s="25" t="s">
        <v>36</v>
      </c>
      <c r="C12" s="105">
        <v>0.30555555555555558</v>
      </c>
      <c r="D12" s="25" t="s">
        <v>40</v>
      </c>
      <c r="E12" s="25" t="s">
        <v>38</v>
      </c>
      <c r="F12" s="25" t="s">
        <v>41</v>
      </c>
      <c r="G12" s="15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25" t="s">
        <v>35</v>
      </c>
      <c r="B13" s="25" t="s">
        <v>36</v>
      </c>
      <c r="C13" s="105">
        <v>0.30555555555555558</v>
      </c>
      <c r="D13" s="25" t="s">
        <v>42</v>
      </c>
      <c r="E13" s="25" t="s">
        <v>38</v>
      </c>
      <c r="F13" s="25" t="s">
        <v>43</v>
      </c>
      <c r="G13" s="15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26" t="s">
        <v>44</v>
      </c>
      <c r="B14" s="26" t="s">
        <v>45</v>
      </c>
      <c r="C14" s="106">
        <v>0.19791666666666671</v>
      </c>
      <c r="D14" s="26" t="s">
        <v>46</v>
      </c>
      <c r="E14" s="26" t="s">
        <v>47</v>
      </c>
      <c r="F14" s="26" t="s">
        <v>48</v>
      </c>
      <c r="G14" s="15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25" t="s">
        <v>44</v>
      </c>
      <c r="B15" s="25" t="s">
        <v>45</v>
      </c>
      <c r="C15" s="105">
        <v>0.19791666666666671</v>
      </c>
      <c r="D15" s="25" t="s">
        <v>49</v>
      </c>
      <c r="E15" s="25" t="s">
        <v>47</v>
      </c>
      <c r="F15" s="25" t="s">
        <v>50</v>
      </c>
      <c r="G15" s="15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25" t="s">
        <v>44</v>
      </c>
      <c r="B16" s="25" t="s">
        <v>45</v>
      </c>
      <c r="C16" s="105">
        <v>0.19791666666666671</v>
      </c>
      <c r="D16" s="25" t="s">
        <v>51</v>
      </c>
      <c r="E16" s="25" t="s">
        <v>47</v>
      </c>
      <c r="F16" s="25" t="s">
        <v>52</v>
      </c>
      <c r="G16" s="15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27" t="s">
        <v>44</v>
      </c>
      <c r="B17" s="27" t="s">
        <v>53</v>
      </c>
      <c r="C17" s="107">
        <v>0.83333333333333337</v>
      </c>
      <c r="D17" s="27" t="s">
        <v>46</v>
      </c>
      <c r="E17" s="27" t="s">
        <v>47</v>
      </c>
      <c r="F17" s="27" t="s">
        <v>54</v>
      </c>
      <c r="G17" s="15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25" t="s">
        <v>44</v>
      </c>
      <c r="B18" s="25" t="s">
        <v>53</v>
      </c>
      <c r="C18" s="105">
        <v>0.83333333333333337</v>
      </c>
      <c r="D18" s="25" t="s">
        <v>49</v>
      </c>
      <c r="E18" s="25" t="s">
        <v>47</v>
      </c>
      <c r="F18" s="25" t="s">
        <v>55</v>
      </c>
      <c r="G18" s="15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25" t="s">
        <v>44</v>
      </c>
      <c r="B19" s="25" t="s">
        <v>53</v>
      </c>
      <c r="C19" s="105">
        <v>0.83333333333333337</v>
      </c>
      <c r="D19" s="25" t="s">
        <v>51</v>
      </c>
      <c r="E19" s="25" t="s">
        <v>47</v>
      </c>
      <c r="F19" s="25" t="s">
        <v>56</v>
      </c>
      <c r="G19" s="15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6" t="s">
        <v>26</v>
      </c>
      <c r="B20" s="26" t="s">
        <v>57</v>
      </c>
      <c r="C20" s="106">
        <v>0.95833333333333337</v>
      </c>
      <c r="D20" s="26" t="s">
        <v>28</v>
      </c>
      <c r="E20" s="26" t="s">
        <v>29</v>
      </c>
      <c r="F20" s="26" t="s">
        <v>30</v>
      </c>
      <c r="G20" s="15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26" t="s">
        <v>31</v>
      </c>
      <c r="B21" s="26" t="s">
        <v>58</v>
      </c>
      <c r="C21" s="106">
        <v>0.1701388888888889</v>
      </c>
      <c r="D21" s="26" t="s">
        <v>59</v>
      </c>
      <c r="E21" s="26" t="s">
        <v>60</v>
      </c>
      <c r="F21" s="26" t="s">
        <v>61</v>
      </c>
      <c r="G21" s="15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7" t="s">
        <v>31</v>
      </c>
      <c r="B22" s="27" t="s">
        <v>32</v>
      </c>
      <c r="C22" s="107">
        <v>0.86458333333333337</v>
      </c>
      <c r="D22" s="27" t="s">
        <v>33</v>
      </c>
      <c r="E22" s="27" t="s">
        <v>29</v>
      </c>
      <c r="F22" s="27" t="s">
        <v>34</v>
      </c>
      <c r="G22" s="15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27" t="s">
        <v>31</v>
      </c>
      <c r="B23" s="27" t="s">
        <v>62</v>
      </c>
      <c r="C23" s="107">
        <v>0.52777777777777779</v>
      </c>
      <c r="D23" s="27" t="s">
        <v>33</v>
      </c>
      <c r="E23" s="27" t="s">
        <v>29</v>
      </c>
      <c r="F23" s="27" t="s">
        <v>34</v>
      </c>
      <c r="G23" s="15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28" t="s">
        <v>63</v>
      </c>
      <c r="B24" s="28" t="s">
        <v>64</v>
      </c>
      <c r="C24" s="108">
        <v>0.27083333333333331</v>
      </c>
      <c r="D24" s="28" t="s">
        <v>28</v>
      </c>
      <c r="E24" s="28" t="s">
        <v>29</v>
      </c>
      <c r="F24" s="28" t="s">
        <v>65</v>
      </c>
      <c r="G24" s="159"/>
      <c r="H24" s="29" t="s">
        <v>66</v>
      </c>
      <c r="I24" s="109">
        <v>0.54759999999999998</v>
      </c>
      <c r="J24" s="30">
        <v>92</v>
      </c>
      <c r="K24" s="31">
        <v>45992</v>
      </c>
      <c r="L24" s="30">
        <v>41</v>
      </c>
      <c r="M24" s="30">
        <v>2</v>
      </c>
      <c r="N24" s="30">
        <v>0</v>
      </c>
      <c r="O24" s="32" t="s">
        <v>67</v>
      </c>
      <c r="P24" s="110">
        <v>0.27083333333333331</v>
      </c>
      <c r="Q24" s="30">
        <v>168</v>
      </c>
      <c r="R24" s="33" t="s">
        <v>68</v>
      </c>
    </row>
    <row r="25" spans="1:18" ht="15" customHeight="1" thickBot="1" x14ac:dyDescent="0.35">
      <c r="A25" s="14" t="s">
        <v>69</v>
      </c>
      <c r="B25" s="14" t="s">
        <v>70</v>
      </c>
      <c r="C25" s="101">
        <v>0.30555555555555558</v>
      </c>
      <c r="D25" s="14" t="s">
        <v>71</v>
      </c>
      <c r="E25" s="14" t="s">
        <v>72</v>
      </c>
      <c r="F25" s="14" t="s">
        <v>73</v>
      </c>
      <c r="G25" s="160"/>
      <c r="H25" s="15"/>
      <c r="I25" s="16"/>
      <c r="J25" s="16"/>
      <c r="K25" s="16"/>
      <c r="L25" s="16"/>
      <c r="M25" s="16"/>
      <c r="N25" s="16"/>
      <c r="O25" s="17"/>
      <c r="P25" s="16"/>
      <c r="Q25" s="18"/>
      <c r="R25" s="19"/>
    </row>
    <row r="26" spans="1:18" ht="17.399999999999999" customHeight="1" thickBot="1" x14ac:dyDescent="0.35">
      <c r="A26" s="164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6"/>
    </row>
    <row r="27" spans="1:18" ht="22.05" customHeight="1" thickTop="1" thickBot="1" x14ac:dyDescent="0.35">
      <c r="A27" s="161" t="s">
        <v>6</v>
      </c>
      <c r="B27" s="162"/>
      <c r="C27" s="162"/>
      <c r="D27" s="162"/>
      <c r="E27" s="162"/>
      <c r="F27" s="163"/>
      <c r="G27" s="102">
        <v>45994</v>
      </c>
      <c r="H27" s="167" t="s">
        <v>7</v>
      </c>
      <c r="I27" s="162"/>
      <c r="J27" s="162"/>
      <c r="K27" s="162"/>
      <c r="L27" s="162"/>
      <c r="M27" s="162"/>
      <c r="N27" s="162"/>
      <c r="O27" s="162"/>
      <c r="P27" s="162"/>
      <c r="Q27" s="162"/>
      <c r="R27" s="163"/>
    </row>
    <row r="28" spans="1:18" ht="24" customHeight="1" x14ac:dyDescent="0.3">
      <c r="A28" s="20" t="s">
        <v>8</v>
      </c>
      <c r="B28" s="20" t="s">
        <v>9</v>
      </c>
      <c r="C28" s="103" t="s">
        <v>10</v>
      </c>
      <c r="D28" s="20" t="s">
        <v>11</v>
      </c>
      <c r="E28" s="20" t="s">
        <v>12</v>
      </c>
      <c r="F28" s="21" t="s">
        <v>13</v>
      </c>
      <c r="G28" s="22" t="s">
        <v>14</v>
      </c>
      <c r="H28" s="20" t="s">
        <v>15</v>
      </c>
      <c r="I28" s="104" t="s">
        <v>16</v>
      </c>
      <c r="J28" s="23" t="s">
        <v>17</v>
      </c>
      <c r="K28" s="24" t="s">
        <v>18</v>
      </c>
      <c r="L28" s="23" t="s">
        <v>19</v>
      </c>
      <c r="M28" s="23" t="s">
        <v>20</v>
      </c>
      <c r="N28" s="23" t="s">
        <v>21</v>
      </c>
      <c r="O28" s="20" t="s">
        <v>22</v>
      </c>
      <c r="P28" s="103" t="s">
        <v>23</v>
      </c>
      <c r="Q28" s="23" t="s">
        <v>24</v>
      </c>
      <c r="R28" s="20" t="s">
        <v>25</v>
      </c>
    </row>
    <row r="29" spans="1:18" ht="15" customHeight="1" x14ac:dyDescent="0.3">
      <c r="A29" s="8" t="s">
        <v>74</v>
      </c>
      <c r="B29" s="8" t="s">
        <v>75</v>
      </c>
      <c r="C29" s="100">
        <v>0.97222222222222221</v>
      </c>
      <c r="D29" s="8" t="s">
        <v>76</v>
      </c>
      <c r="E29" s="8" t="s">
        <v>47</v>
      </c>
      <c r="F29" s="8" t="s">
        <v>77</v>
      </c>
      <c r="G29" s="15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25" t="s">
        <v>74</v>
      </c>
      <c r="B30" s="25" t="s">
        <v>75</v>
      </c>
      <c r="C30" s="105">
        <v>0.97222222222222221</v>
      </c>
      <c r="D30" s="25" t="s">
        <v>42</v>
      </c>
      <c r="E30" s="25" t="s">
        <v>47</v>
      </c>
      <c r="F30" s="25" t="s">
        <v>78</v>
      </c>
      <c r="G30" s="15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26" t="s">
        <v>79</v>
      </c>
      <c r="B31" s="26" t="s">
        <v>80</v>
      </c>
      <c r="C31" s="106">
        <v>9.0277777777777776E-2</v>
      </c>
      <c r="D31" s="26" t="s">
        <v>28</v>
      </c>
      <c r="E31" s="26" t="s">
        <v>29</v>
      </c>
      <c r="F31" s="26" t="s">
        <v>81</v>
      </c>
      <c r="G31" s="15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26" t="s">
        <v>26</v>
      </c>
      <c r="B32" s="26" t="s">
        <v>27</v>
      </c>
      <c r="C32" s="106">
        <v>0.89583333333333337</v>
      </c>
      <c r="D32" s="26" t="s">
        <v>28</v>
      </c>
      <c r="E32" s="26" t="s">
        <v>29</v>
      </c>
      <c r="F32" s="26" t="s">
        <v>30</v>
      </c>
      <c r="G32" s="15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26" t="s">
        <v>35</v>
      </c>
      <c r="B33" s="26" t="s">
        <v>36</v>
      </c>
      <c r="C33" s="106">
        <v>0.30555555555555558</v>
      </c>
      <c r="D33" s="26" t="s">
        <v>37</v>
      </c>
      <c r="E33" s="26" t="s">
        <v>82</v>
      </c>
      <c r="F33" s="26" t="s">
        <v>83</v>
      </c>
      <c r="G33" s="15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25" t="s">
        <v>35</v>
      </c>
      <c r="B34" s="25" t="s">
        <v>36</v>
      </c>
      <c r="C34" s="105">
        <v>0.30555555555555558</v>
      </c>
      <c r="D34" s="25" t="s">
        <v>40</v>
      </c>
      <c r="E34" s="25" t="s">
        <v>82</v>
      </c>
      <c r="F34" s="25" t="s">
        <v>84</v>
      </c>
      <c r="G34" s="15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5" t="s">
        <v>35</v>
      </c>
      <c r="B35" s="25" t="s">
        <v>36</v>
      </c>
      <c r="C35" s="105">
        <v>0.30555555555555558</v>
      </c>
      <c r="D35" s="25" t="s">
        <v>42</v>
      </c>
      <c r="E35" s="25" t="s">
        <v>82</v>
      </c>
      <c r="F35" s="25" t="s">
        <v>85</v>
      </c>
      <c r="G35" s="15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26" t="s">
        <v>31</v>
      </c>
      <c r="B36" s="26" t="s">
        <v>58</v>
      </c>
      <c r="C36" s="106">
        <v>0.1701388888888889</v>
      </c>
      <c r="D36" s="26" t="s">
        <v>59</v>
      </c>
      <c r="E36" s="26" t="s">
        <v>60</v>
      </c>
      <c r="F36" s="26" t="s">
        <v>61</v>
      </c>
      <c r="G36" s="15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27" t="s">
        <v>31</v>
      </c>
      <c r="B37" s="27" t="s">
        <v>32</v>
      </c>
      <c r="C37" s="107">
        <v>0.86458333333333337</v>
      </c>
      <c r="D37" s="27" t="s">
        <v>33</v>
      </c>
      <c r="E37" s="27" t="s">
        <v>29</v>
      </c>
      <c r="F37" s="27" t="s">
        <v>34</v>
      </c>
      <c r="G37" s="15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27" t="s">
        <v>31</v>
      </c>
      <c r="B38" s="27" t="s">
        <v>62</v>
      </c>
      <c r="C38" s="107">
        <v>0.52777777777777779</v>
      </c>
      <c r="D38" s="27" t="s">
        <v>33</v>
      </c>
      <c r="E38" s="27" t="s">
        <v>29</v>
      </c>
      <c r="F38" s="27" t="s">
        <v>86</v>
      </c>
      <c r="G38" s="15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26" t="s">
        <v>44</v>
      </c>
      <c r="B39" s="26" t="s">
        <v>53</v>
      </c>
      <c r="C39" s="106">
        <v>0.83333333333333337</v>
      </c>
      <c r="D39" s="26" t="s">
        <v>46</v>
      </c>
      <c r="E39" s="26" t="s">
        <v>87</v>
      </c>
      <c r="F39" s="26" t="s">
        <v>88</v>
      </c>
      <c r="G39" s="15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25" t="s">
        <v>44</v>
      </c>
      <c r="B40" s="25" t="s">
        <v>53</v>
      </c>
      <c r="C40" s="105">
        <v>0.83333333333333337</v>
      </c>
      <c r="D40" s="25" t="s">
        <v>49</v>
      </c>
      <c r="E40" s="25" t="s">
        <v>87</v>
      </c>
      <c r="F40" s="25" t="s">
        <v>89</v>
      </c>
      <c r="G40" s="15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25" t="s">
        <v>44</v>
      </c>
      <c r="B41" s="25" t="s">
        <v>53</v>
      </c>
      <c r="C41" s="105">
        <v>0.83333333333333337</v>
      </c>
      <c r="D41" s="25" t="s">
        <v>51</v>
      </c>
      <c r="E41" s="25" t="s">
        <v>87</v>
      </c>
      <c r="F41" s="25" t="s">
        <v>90</v>
      </c>
      <c r="G41" s="15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thickBot="1" x14ac:dyDescent="0.35">
      <c r="A42" s="14" t="s">
        <v>69</v>
      </c>
      <c r="B42" s="14" t="s">
        <v>70</v>
      </c>
      <c r="C42" s="101">
        <v>0.30555555555555558</v>
      </c>
      <c r="D42" s="14" t="s">
        <v>71</v>
      </c>
      <c r="E42" s="14" t="s">
        <v>72</v>
      </c>
      <c r="F42" s="14" t="s">
        <v>91</v>
      </c>
      <c r="G42" s="160"/>
      <c r="H42" s="15"/>
      <c r="I42" s="16"/>
      <c r="J42" s="16"/>
      <c r="K42" s="16"/>
      <c r="L42" s="16"/>
      <c r="M42" s="16"/>
      <c r="N42" s="16"/>
      <c r="O42" s="17"/>
      <c r="P42" s="16"/>
      <c r="Q42" s="18"/>
      <c r="R42" s="19"/>
    </row>
    <row r="43" spans="1:18" ht="17.399999999999999" customHeight="1" thickBot="1" x14ac:dyDescent="0.35">
      <c r="A43" s="164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6"/>
    </row>
    <row r="44" spans="1:18" ht="22.05" customHeight="1" thickTop="1" thickBot="1" x14ac:dyDescent="0.35">
      <c r="A44" s="161" t="s">
        <v>6</v>
      </c>
      <c r="B44" s="162"/>
      <c r="C44" s="162"/>
      <c r="D44" s="162"/>
      <c r="E44" s="162"/>
      <c r="F44" s="163"/>
      <c r="G44" s="102">
        <v>45995</v>
      </c>
      <c r="H44" s="167" t="s">
        <v>7</v>
      </c>
      <c r="I44" s="162"/>
      <c r="J44" s="162"/>
      <c r="K44" s="162"/>
      <c r="L44" s="162"/>
      <c r="M44" s="162"/>
      <c r="N44" s="162"/>
      <c r="O44" s="162"/>
      <c r="P44" s="162"/>
      <c r="Q44" s="162"/>
      <c r="R44" s="163"/>
    </row>
    <row r="45" spans="1:18" ht="24" customHeight="1" x14ac:dyDescent="0.3">
      <c r="A45" s="20" t="s">
        <v>8</v>
      </c>
      <c r="B45" s="20" t="s">
        <v>9</v>
      </c>
      <c r="C45" s="103" t="s">
        <v>10</v>
      </c>
      <c r="D45" s="20" t="s">
        <v>11</v>
      </c>
      <c r="E45" s="20" t="s">
        <v>12</v>
      </c>
      <c r="F45" s="21" t="s">
        <v>13</v>
      </c>
      <c r="G45" s="22" t="s">
        <v>14</v>
      </c>
      <c r="H45" s="20" t="s">
        <v>15</v>
      </c>
      <c r="I45" s="104" t="s">
        <v>16</v>
      </c>
      <c r="J45" s="23" t="s">
        <v>17</v>
      </c>
      <c r="K45" s="24" t="s">
        <v>18</v>
      </c>
      <c r="L45" s="23" t="s">
        <v>19</v>
      </c>
      <c r="M45" s="23" t="s">
        <v>20</v>
      </c>
      <c r="N45" s="23" t="s">
        <v>21</v>
      </c>
      <c r="O45" s="20" t="s">
        <v>22</v>
      </c>
      <c r="P45" s="103" t="s">
        <v>23</v>
      </c>
      <c r="Q45" s="23" t="s">
        <v>24</v>
      </c>
      <c r="R45" s="20" t="s">
        <v>25</v>
      </c>
    </row>
    <row r="46" spans="1:18" ht="15" customHeight="1" x14ac:dyDescent="0.3">
      <c r="A46" s="8" t="s">
        <v>35</v>
      </c>
      <c r="B46" s="8" t="s">
        <v>36</v>
      </c>
      <c r="C46" s="100">
        <v>0.30555555555555558</v>
      </c>
      <c r="D46" s="8" t="s">
        <v>37</v>
      </c>
      <c r="E46" s="8" t="s">
        <v>82</v>
      </c>
      <c r="F46" s="8" t="s">
        <v>39</v>
      </c>
      <c r="G46" s="15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25" t="s">
        <v>35</v>
      </c>
      <c r="B47" s="25" t="s">
        <v>36</v>
      </c>
      <c r="C47" s="105">
        <v>0.30555555555555558</v>
      </c>
      <c r="D47" s="25" t="s">
        <v>40</v>
      </c>
      <c r="E47" s="25" t="s">
        <v>82</v>
      </c>
      <c r="F47" s="25" t="s">
        <v>41</v>
      </c>
      <c r="G47" s="15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25" t="s">
        <v>35</v>
      </c>
      <c r="B48" s="25" t="s">
        <v>36</v>
      </c>
      <c r="C48" s="105">
        <v>0.30555555555555558</v>
      </c>
      <c r="D48" s="25" t="s">
        <v>42</v>
      </c>
      <c r="E48" s="25" t="s">
        <v>82</v>
      </c>
      <c r="F48" s="25" t="s">
        <v>85</v>
      </c>
      <c r="G48" s="15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26" t="s">
        <v>44</v>
      </c>
      <c r="B49" s="26" t="s">
        <v>45</v>
      </c>
      <c r="C49" s="106">
        <v>0.19791666666666671</v>
      </c>
      <c r="D49" s="26" t="s">
        <v>46</v>
      </c>
      <c r="E49" s="26" t="s">
        <v>47</v>
      </c>
      <c r="F49" s="26" t="s">
        <v>48</v>
      </c>
      <c r="G49" s="15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25" t="s">
        <v>44</v>
      </c>
      <c r="B50" s="25" t="s">
        <v>45</v>
      </c>
      <c r="C50" s="105">
        <v>0.19791666666666671</v>
      </c>
      <c r="D50" s="25" t="s">
        <v>49</v>
      </c>
      <c r="E50" s="25" t="s">
        <v>47</v>
      </c>
      <c r="F50" s="25" t="s">
        <v>50</v>
      </c>
      <c r="G50" s="15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25" t="s">
        <v>44</v>
      </c>
      <c r="B51" s="25" t="s">
        <v>45</v>
      </c>
      <c r="C51" s="105">
        <v>0.19791666666666671</v>
      </c>
      <c r="D51" s="25" t="s">
        <v>51</v>
      </c>
      <c r="E51" s="25" t="s">
        <v>47</v>
      </c>
      <c r="F51" s="25" t="s">
        <v>52</v>
      </c>
      <c r="G51" s="15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27" t="s">
        <v>44</v>
      </c>
      <c r="B52" s="27" t="s">
        <v>53</v>
      </c>
      <c r="C52" s="107">
        <v>0.83333333333333337</v>
      </c>
      <c r="D52" s="27" t="s">
        <v>46</v>
      </c>
      <c r="E52" s="27" t="s">
        <v>92</v>
      </c>
      <c r="F52" s="27" t="s">
        <v>88</v>
      </c>
      <c r="G52" s="15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25" t="s">
        <v>44</v>
      </c>
      <c r="B53" s="25" t="s">
        <v>53</v>
      </c>
      <c r="C53" s="105">
        <v>0.83333333333333337</v>
      </c>
      <c r="D53" s="25" t="s">
        <v>49</v>
      </c>
      <c r="E53" s="25" t="s">
        <v>92</v>
      </c>
      <c r="F53" s="25" t="s">
        <v>89</v>
      </c>
      <c r="G53" s="15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25" t="s">
        <v>44</v>
      </c>
      <c r="B54" s="25" t="s">
        <v>53</v>
      </c>
      <c r="C54" s="105">
        <v>0.83333333333333337</v>
      </c>
      <c r="D54" s="25" t="s">
        <v>51</v>
      </c>
      <c r="E54" s="25" t="s">
        <v>92</v>
      </c>
      <c r="F54" s="25" t="s">
        <v>90</v>
      </c>
      <c r="G54" s="15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6" t="s">
        <v>79</v>
      </c>
      <c r="B55" s="26" t="s">
        <v>80</v>
      </c>
      <c r="C55" s="106">
        <v>0.88888888888888884</v>
      </c>
      <c r="D55" s="26" t="s">
        <v>28</v>
      </c>
      <c r="E55" s="26" t="s">
        <v>29</v>
      </c>
      <c r="F55" s="26" t="s">
        <v>81</v>
      </c>
      <c r="G55" s="15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26" t="s">
        <v>26</v>
      </c>
      <c r="B56" s="26" t="s">
        <v>93</v>
      </c>
      <c r="C56" s="106">
        <v>0.5625</v>
      </c>
      <c r="D56" s="26" t="s">
        <v>28</v>
      </c>
      <c r="E56" s="26" t="s">
        <v>29</v>
      </c>
      <c r="F56" s="26" t="s">
        <v>30</v>
      </c>
      <c r="G56" s="15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27" t="s">
        <v>26</v>
      </c>
      <c r="B57" s="27" t="s">
        <v>57</v>
      </c>
      <c r="C57" s="107">
        <v>0.95833333333333337</v>
      </c>
      <c r="D57" s="27" t="s">
        <v>28</v>
      </c>
      <c r="E57" s="27" t="s">
        <v>29</v>
      </c>
      <c r="F57" s="27" t="s">
        <v>30</v>
      </c>
      <c r="G57" s="15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26" t="s">
        <v>31</v>
      </c>
      <c r="B58" s="26" t="s">
        <v>58</v>
      </c>
      <c r="C58" s="106">
        <v>0.1701388888888889</v>
      </c>
      <c r="D58" s="26" t="s">
        <v>59</v>
      </c>
      <c r="E58" s="26" t="s">
        <v>29</v>
      </c>
      <c r="F58" s="26" t="s">
        <v>61</v>
      </c>
      <c r="G58" s="15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7" t="s">
        <v>31</v>
      </c>
      <c r="B59" s="27" t="s">
        <v>62</v>
      </c>
      <c r="C59" s="107">
        <v>0.52777777777777779</v>
      </c>
      <c r="D59" s="27" t="s">
        <v>94</v>
      </c>
      <c r="E59" s="27" t="s">
        <v>95</v>
      </c>
      <c r="F59" s="27" t="s">
        <v>96</v>
      </c>
      <c r="G59" s="15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27" t="s">
        <v>31</v>
      </c>
      <c r="B60" s="27" t="s">
        <v>32</v>
      </c>
      <c r="C60" s="107">
        <v>0.86458333333333337</v>
      </c>
      <c r="D60" s="27" t="s">
        <v>33</v>
      </c>
      <c r="E60" s="27" t="s">
        <v>29</v>
      </c>
      <c r="F60" s="27" t="s">
        <v>97</v>
      </c>
      <c r="G60" s="15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34" t="s">
        <v>63</v>
      </c>
      <c r="B61" s="34" t="s">
        <v>64</v>
      </c>
      <c r="C61" s="111">
        <v>0.92361111111111116</v>
      </c>
      <c r="D61" s="34" t="s">
        <v>28</v>
      </c>
      <c r="E61" s="34" t="s">
        <v>29</v>
      </c>
      <c r="F61" s="34" t="s">
        <v>65</v>
      </c>
      <c r="G61" s="159"/>
      <c r="H61" s="35" t="s">
        <v>66</v>
      </c>
      <c r="I61" s="112">
        <v>0.54759999999999998</v>
      </c>
      <c r="J61" s="36">
        <v>92</v>
      </c>
      <c r="K61" s="37">
        <v>45991</v>
      </c>
      <c r="L61" s="36">
        <v>42</v>
      </c>
      <c r="M61" s="36">
        <v>0</v>
      </c>
      <c r="N61" s="36">
        <v>2</v>
      </c>
      <c r="O61" s="38" t="s">
        <v>67</v>
      </c>
      <c r="P61" s="113">
        <v>0.92361111111111116</v>
      </c>
      <c r="Q61" s="36">
        <v>168</v>
      </c>
      <c r="R61" s="39" t="s">
        <v>98</v>
      </c>
    </row>
    <row r="62" spans="1:18" ht="15" customHeight="1" thickBot="1" x14ac:dyDescent="0.35">
      <c r="A62" s="14" t="s">
        <v>69</v>
      </c>
      <c r="B62" s="14" t="s">
        <v>70</v>
      </c>
      <c r="C62" s="101">
        <v>0.30555555555555558</v>
      </c>
      <c r="D62" s="14" t="s">
        <v>71</v>
      </c>
      <c r="E62" s="14" t="s">
        <v>72</v>
      </c>
      <c r="F62" s="14" t="s">
        <v>73</v>
      </c>
      <c r="G62" s="160"/>
      <c r="H62" s="15"/>
      <c r="I62" s="16"/>
      <c r="J62" s="16"/>
      <c r="K62" s="16"/>
      <c r="L62" s="16"/>
      <c r="M62" s="16"/>
      <c r="N62" s="16"/>
      <c r="O62" s="17"/>
      <c r="P62" s="16"/>
      <c r="Q62" s="18"/>
      <c r="R62" s="19"/>
    </row>
    <row r="63" spans="1:18" ht="17.399999999999999" customHeight="1" thickBot="1" x14ac:dyDescent="0.35">
      <c r="A63" s="164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6"/>
    </row>
    <row r="64" spans="1:18" ht="22.05" customHeight="1" thickTop="1" thickBot="1" x14ac:dyDescent="0.35">
      <c r="A64" s="161" t="s">
        <v>6</v>
      </c>
      <c r="B64" s="162"/>
      <c r="C64" s="162"/>
      <c r="D64" s="162"/>
      <c r="E64" s="162"/>
      <c r="F64" s="163"/>
      <c r="G64" s="102">
        <v>45996</v>
      </c>
      <c r="H64" s="167" t="s">
        <v>7</v>
      </c>
      <c r="I64" s="162"/>
      <c r="J64" s="162"/>
      <c r="K64" s="162"/>
      <c r="L64" s="162"/>
      <c r="M64" s="162"/>
      <c r="N64" s="162"/>
      <c r="O64" s="162"/>
      <c r="P64" s="162"/>
      <c r="Q64" s="162"/>
      <c r="R64" s="163"/>
    </row>
    <row r="65" spans="1:18" ht="24" customHeight="1" x14ac:dyDescent="0.3">
      <c r="A65" s="20" t="s">
        <v>8</v>
      </c>
      <c r="B65" s="20" t="s">
        <v>9</v>
      </c>
      <c r="C65" s="103" t="s">
        <v>10</v>
      </c>
      <c r="D65" s="20" t="s">
        <v>11</v>
      </c>
      <c r="E65" s="20" t="s">
        <v>12</v>
      </c>
      <c r="F65" s="21" t="s">
        <v>13</v>
      </c>
      <c r="G65" s="22" t="s">
        <v>14</v>
      </c>
      <c r="H65" s="20" t="s">
        <v>15</v>
      </c>
      <c r="I65" s="104" t="s">
        <v>16</v>
      </c>
      <c r="J65" s="23" t="s">
        <v>17</v>
      </c>
      <c r="K65" s="24" t="s">
        <v>18</v>
      </c>
      <c r="L65" s="23" t="s">
        <v>19</v>
      </c>
      <c r="M65" s="23" t="s">
        <v>20</v>
      </c>
      <c r="N65" s="23" t="s">
        <v>21</v>
      </c>
      <c r="O65" s="20" t="s">
        <v>22</v>
      </c>
      <c r="P65" s="103" t="s">
        <v>23</v>
      </c>
      <c r="Q65" s="23" t="s">
        <v>24</v>
      </c>
      <c r="R65" s="20" t="s">
        <v>25</v>
      </c>
    </row>
    <row r="66" spans="1:18" ht="15" customHeight="1" x14ac:dyDescent="0.3">
      <c r="A66" s="8" t="s">
        <v>35</v>
      </c>
      <c r="B66" s="8" t="s">
        <v>36</v>
      </c>
      <c r="C66" s="100">
        <v>0.30555555555555558</v>
      </c>
      <c r="D66" s="8" t="s">
        <v>37</v>
      </c>
      <c r="E66" s="8" t="s">
        <v>99</v>
      </c>
      <c r="F66" s="8" t="s">
        <v>100</v>
      </c>
      <c r="G66" s="15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25" t="s">
        <v>35</v>
      </c>
      <c r="B67" s="25" t="s">
        <v>36</v>
      </c>
      <c r="C67" s="105">
        <v>0.30555555555555558</v>
      </c>
      <c r="D67" s="25" t="s">
        <v>40</v>
      </c>
      <c r="E67" s="25" t="s">
        <v>99</v>
      </c>
      <c r="F67" s="25" t="s">
        <v>101</v>
      </c>
      <c r="G67" s="15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25" t="s">
        <v>35</v>
      </c>
      <c r="B68" s="25" t="s">
        <v>36</v>
      </c>
      <c r="C68" s="105">
        <v>0.30555555555555558</v>
      </c>
      <c r="D68" s="25" t="s">
        <v>42</v>
      </c>
      <c r="E68" s="25" t="s">
        <v>99</v>
      </c>
      <c r="F68" s="25" t="s">
        <v>85</v>
      </c>
      <c r="G68" s="15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26" t="s">
        <v>44</v>
      </c>
      <c r="B69" s="26" t="s">
        <v>53</v>
      </c>
      <c r="C69" s="106">
        <v>0.83680555555555558</v>
      </c>
      <c r="D69" s="26" t="s">
        <v>46</v>
      </c>
      <c r="E69" s="26" t="s">
        <v>92</v>
      </c>
      <c r="F69" s="26" t="s">
        <v>30</v>
      </c>
      <c r="G69" s="15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25" t="s">
        <v>44</v>
      </c>
      <c r="B70" s="25" t="s">
        <v>53</v>
      </c>
      <c r="C70" s="105">
        <v>0.83680555555555558</v>
      </c>
      <c r="D70" s="25" t="s">
        <v>49</v>
      </c>
      <c r="E70" s="25" t="s">
        <v>92</v>
      </c>
      <c r="F70" s="25" t="s">
        <v>88</v>
      </c>
      <c r="G70" s="15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25" t="s">
        <v>44</v>
      </c>
      <c r="B71" s="25" t="s">
        <v>53</v>
      </c>
      <c r="C71" s="105">
        <v>0.83680555555555558</v>
      </c>
      <c r="D71" s="25" t="s">
        <v>51</v>
      </c>
      <c r="E71" s="25" t="s">
        <v>92</v>
      </c>
      <c r="F71" s="25" t="s">
        <v>102</v>
      </c>
      <c r="G71" s="15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26" t="s">
        <v>26</v>
      </c>
      <c r="B72" s="26" t="s">
        <v>27</v>
      </c>
      <c r="C72" s="106">
        <v>0.95833333333333337</v>
      </c>
      <c r="D72" s="26" t="s">
        <v>28</v>
      </c>
      <c r="E72" s="26" t="s">
        <v>29</v>
      </c>
      <c r="F72" s="26" t="s">
        <v>30</v>
      </c>
      <c r="G72" s="15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26" t="s">
        <v>31</v>
      </c>
      <c r="B73" s="26" t="s">
        <v>32</v>
      </c>
      <c r="C73" s="106">
        <v>0.86458333333333337</v>
      </c>
      <c r="D73" s="26" t="s">
        <v>33</v>
      </c>
      <c r="E73" s="26" t="s">
        <v>29</v>
      </c>
      <c r="F73" s="26" t="s">
        <v>103</v>
      </c>
      <c r="G73" s="15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27" t="s">
        <v>31</v>
      </c>
      <c r="B74" s="27" t="s">
        <v>58</v>
      </c>
      <c r="C74" s="107">
        <v>0.1701388888888889</v>
      </c>
      <c r="D74" s="27" t="s">
        <v>33</v>
      </c>
      <c r="E74" s="27" t="s">
        <v>29</v>
      </c>
      <c r="F74" s="27" t="s">
        <v>104</v>
      </c>
      <c r="G74" s="15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27" t="s">
        <v>31</v>
      </c>
      <c r="B75" s="27" t="s">
        <v>62</v>
      </c>
      <c r="C75" s="107">
        <v>0.52777777777777779</v>
      </c>
      <c r="D75" s="27" t="s">
        <v>33</v>
      </c>
      <c r="E75" s="27" t="s">
        <v>29</v>
      </c>
      <c r="F75" s="27" t="s">
        <v>105</v>
      </c>
      <c r="G75" s="15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40" t="s">
        <v>63</v>
      </c>
      <c r="B76" s="40" t="s">
        <v>64</v>
      </c>
      <c r="C76" s="114">
        <v>0.57986111111111116</v>
      </c>
      <c r="D76" s="40" t="s">
        <v>28</v>
      </c>
      <c r="E76" s="40" t="s">
        <v>29</v>
      </c>
      <c r="F76" s="40" t="s">
        <v>106</v>
      </c>
      <c r="G76" s="159"/>
      <c r="H76" s="41" t="s">
        <v>66</v>
      </c>
      <c r="I76" s="115">
        <v>0.50600000000000001</v>
      </c>
      <c r="J76" s="42">
        <v>85</v>
      </c>
      <c r="K76" s="43">
        <v>45991</v>
      </c>
      <c r="L76" s="42">
        <v>27</v>
      </c>
      <c r="M76" s="42">
        <v>0</v>
      </c>
      <c r="N76" s="42">
        <v>1</v>
      </c>
      <c r="O76" s="44" t="s">
        <v>107</v>
      </c>
      <c r="P76" s="116">
        <v>0.57986111111111116</v>
      </c>
      <c r="Q76" s="42">
        <v>168</v>
      </c>
      <c r="R76" s="45" t="s">
        <v>108</v>
      </c>
    </row>
    <row r="77" spans="1:18" ht="15" customHeight="1" thickBot="1" x14ac:dyDescent="0.35">
      <c r="A77" s="14" t="s">
        <v>69</v>
      </c>
      <c r="B77" s="14" t="s">
        <v>70</v>
      </c>
      <c r="C77" s="101">
        <v>0.30555555555555558</v>
      </c>
      <c r="D77" s="14" t="s">
        <v>71</v>
      </c>
      <c r="E77" s="14" t="s">
        <v>72</v>
      </c>
      <c r="F77" s="14" t="s">
        <v>109</v>
      </c>
      <c r="G77" s="160"/>
      <c r="H77" s="15"/>
      <c r="I77" s="16"/>
      <c r="J77" s="16"/>
      <c r="K77" s="16"/>
      <c r="L77" s="16"/>
      <c r="M77" s="16"/>
      <c r="N77" s="16"/>
      <c r="O77" s="17"/>
      <c r="P77" s="16"/>
      <c r="Q77" s="18"/>
      <c r="R77" s="19"/>
    </row>
    <row r="78" spans="1:18" ht="17.399999999999999" customHeight="1" thickBot="1" x14ac:dyDescent="0.35">
      <c r="A78" s="164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6"/>
    </row>
    <row r="79" spans="1:18" ht="22.05" customHeight="1" thickTop="1" thickBot="1" x14ac:dyDescent="0.35">
      <c r="A79" s="161" t="s">
        <v>6</v>
      </c>
      <c r="B79" s="162"/>
      <c r="C79" s="162"/>
      <c r="D79" s="162"/>
      <c r="E79" s="162"/>
      <c r="F79" s="163"/>
      <c r="G79" s="102">
        <v>45997</v>
      </c>
      <c r="H79" s="167" t="s">
        <v>7</v>
      </c>
      <c r="I79" s="162"/>
      <c r="J79" s="162"/>
      <c r="K79" s="162"/>
      <c r="L79" s="162"/>
      <c r="M79" s="162"/>
      <c r="N79" s="162"/>
      <c r="O79" s="162"/>
      <c r="P79" s="162"/>
      <c r="Q79" s="162"/>
      <c r="R79" s="163"/>
    </row>
    <row r="80" spans="1:18" ht="24" customHeight="1" x14ac:dyDescent="0.3">
      <c r="A80" s="20" t="s">
        <v>8</v>
      </c>
      <c r="B80" s="20" t="s">
        <v>9</v>
      </c>
      <c r="C80" s="103" t="s">
        <v>10</v>
      </c>
      <c r="D80" s="20" t="s">
        <v>11</v>
      </c>
      <c r="E80" s="20" t="s">
        <v>12</v>
      </c>
      <c r="F80" s="21" t="s">
        <v>13</v>
      </c>
      <c r="G80" s="22" t="s">
        <v>14</v>
      </c>
      <c r="H80" s="20" t="s">
        <v>15</v>
      </c>
      <c r="I80" s="104" t="s">
        <v>16</v>
      </c>
      <c r="J80" s="23" t="s">
        <v>17</v>
      </c>
      <c r="K80" s="24" t="s">
        <v>18</v>
      </c>
      <c r="L80" s="23" t="s">
        <v>19</v>
      </c>
      <c r="M80" s="23" t="s">
        <v>20</v>
      </c>
      <c r="N80" s="23" t="s">
        <v>21</v>
      </c>
      <c r="O80" s="20" t="s">
        <v>22</v>
      </c>
      <c r="P80" s="103" t="s">
        <v>23</v>
      </c>
      <c r="Q80" s="23" t="s">
        <v>24</v>
      </c>
      <c r="R80" s="20" t="s">
        <v>25</v>
      </c>
    </row>
    <row r="81" spans="1:18" ht="15" customHeight="1" x14ac:dyDescent="0.3">
      <c r="A81" s="8" t="s">
        <v>35</v>
      </c>
      <c r="B81" s="8" t="s">
        <v>36</v>
      </c>
      <c r="C81" s="100">
        <v>0.30555555555555558</v>
      </c>
      <c r="D81" s="8" t="s">
        <v>37</v>
      </c>
      <c r="E81" s="8" t="s">
        <v>110</v>
      </c>
      <c r="F81" s="8" t="s">
        <v>111</v>
      </c>
      <c r="G81" s="15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25" t="s">
        <v>35</v>
      </c>
      <c r="B82" s="25" t="s">
        <v>36</v>
      </c>
      <c r="C82" s="105">
        <v>0.30555555555555558</v>
      </c>
      <c r="D82" s="25" t="s">
        <v>40</v>
      </c>
      <c r="E82" s="25" t="s">
        <v>110</v>
      </c>
      <c r="F82" s="25" t="s">
        <v>112</v>
      </c>
      <c r="G82" s="15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25" t="s">
        <v>35</v>
      </c>
      <c r="B83" s="25" t="s">
        <v>36</v>
      </c>
      <c r="C83" s="105">
        <v>0.30555555555555558</v>
      </c>
      <c r="D83" s="25" t="s">
        <v>42</v>
      </c>
      <c r="E83" s="25" t="s">
        <v>110</v>
      </c>
      <c r="F83" s="25" t="s">
        <v>85</v>
      </c>
      <c r="G83" s="15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26" t="s">
        <v>44</v>
      </c>
      <c r="B84" s="26" t="s">
        <v>45</v>
      </c>
      <c r="C84" s="106">
        <v>0.2013888888888889</v>
      </c>
      <c r="D84" s="26" t="s">
        <v>46</v>
      </c>
      <c r="E84" s="26" t="s">
        <v>47</v>
      </c>
      <c r="F84" s="26" t="s">
        <v>48</v>
      </c>
      <c r="G84" s="15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25" t="s">
        <v>44</v>
      </c>
      <c r="B85" s="25" t="s">
        <v>45</v>
      </c>
      <c r="C85" s="105">
        <v>0.2013888888888889</v>
      </c>
      <c r="D85" s="25" t="s">
        <v>49</v>
      </c>
      <c r="E85" s="25" t="s">
        <v>47</v>
      </c>
      <c r="F85" s="25" t="s">
        <v>50</v>
      </c>
      <c r="G85" s="15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5" t="s">
        <v>44</v>
      </c>
      <c r="B86" s="25" t="s">
        <v>45</v>
      </c>
      <c r="C86" s="105">
        <v>0.2013888888888889</v>
      </c>
      <c r="D86" s="25" t="s">
        <v>51</v>
      </c>
      <c r="E86" s="25" t="s">
        <v>47</v>
      </c>
      <c r="F86" s="25" t="s">
        <v>52</v>
      </c>
      <c r="G86" s="15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27" t="s">
        <v>44</v>
      </c>
      <c r="B87" s="27" t="s">
        <v>53</v>
      </c>
      <c r="C87" s="107">
        <v>0.83680555555555558</v>
      </c>
      <c r="D87" s="27" t="s">
        <v>46</v>
      </c>
      <c r="E87" s="27" t="s">
        <v>47</v>
      </c>
      <c r="F87" s="27" t="s">
        <v>30</v>
      </c>
      <c r="G87" s="15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25" t="s">
        <v>44</v>
      </c>
      <c r="B88" s="25" t="s">
        <v>53</v>
      </c>
      <c r="C88" s="105">
        <v>0.83680555555555558</v>
      </c>
      <c r="D88" s="25" t="s">
        <v>49</v>
      </c>
      <c r="E88" s="25" t="s">
        <v>47</v>
      </c>
      <c r="F88" s="25" t="s">
        <v>88</v>
      </c>
      <c r="G88" s="15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25" t="s">
        <v>44</v>
      </c>
      <c r="B89" s="25" t="s">
        <v>53</v>
      </c>
      <c r="C89" s="105">
        <v>0.83680555555555558</v>
      </c>
      <c r="D89" s="25" t="s">
        <v>51</v>
      </c>
      <c r="E89" s="25" t="s">
        <v>47</v>
      </c>
      <c r="F89" s="25" t="s">
        <v>102</v>
      </c>
      <c r="G89" s="15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26" t="s">
        <v>74</v>
      </c>
      <c r="B90" s="26" t="s">
        <v>75</v>
      </c>
      <c r="C90" s="106">
        <v>0.97222222222222221</v>
      </c>
      <c r="D90" s="26" t="s">
        <v>76</v>
      </c>
      <c r="E90" s="26" t="s">
        <v>47</v>
      </c>
      <c r="F90" s="26" t="s">
        <v>113</v>
      </c>
      <c r="G90" s="15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25" t="s">
        <v>74</v>
      </c>
      <c r="B91" s="25" t="s">
        <v>75</v>
      </c>
      <c r="C91" s="105">
        <v>0.97222222222222221</v>
      </c>
      <c r="D91" s="25" t="s">
        <v>42</v>
      </c>
      <c r="E91" s="25" t="s">
        <v>47</v>
      </c>
      <c r="F91" s="25" t="s">
        <v>114</v>
      </c>
      <c r="G91" s="15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26" t="s">
        <v>26</v>
      </c>
      <c r="B92" s="26" t="s">
        <v>57</v>
      </c>
      <c r="C92" s="106">
        <v>0.89583333333333337</v>
      </c>
      <c r="D92" s="26" t="s">
        <v>28</v>
      </c>
      <c r="E92" s="26" t="s">
        <v>29</v>
      </c>
      <c r="F92" s="26" t="s">
        <v>30</v>
      </c>
      <c r="G92" s="15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26" t="s">
        <v>31</v>
      </c>
      <c r="B93" s="26" t="s">
        <v>32</v>
      </c>
      <c r="C93" s="106">
        <v>0.86458333333333337</v>
      </c>
      <c r="D93" s="26" t="s">
        <v>59</v>
      </c>
      <c r="E93" s="26" t="s">
        <v>29</v>
      </c>
      <c r="F93" s="26" t="s">
        <v>61</v>
      </c>
      <c r="G93" s="15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27" t="s">
        <v>31</v>
      </c>
      <c r="B94" s="27" t="s">
        <v>58</v>
      </c>
      <c r="C94" s="107">
        <v>0.1701388888888889</v>
      </c>
      <c r="D94" s="27" t="s">
        <v>59</v>
      </c>
      <c r="E94" s="27" t="s">
        <v>29</v>
      </c>
      <c r="F94" s="27" t="s">
        <v>115</v>
      </c>
      <c r="G94" s="15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27" t="s">
        <v>31</v>
      </c>
      <c r="B95" s="27" t="s">
        <v>62</v>
      </c>
      <c r="C95" s="107">
        <v>0.52777777777777779</v>
      </c>
      <c r="D95" s="27" t="s">
        <v>33</v>
      </c>
      <c r="E95" s="27" t="s">
        <v>29</v>
      </c>
      <c r="F95" s="27" t="s">
        <v>103</v>
      </c>
      <c r="G95" s="15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40" t="s">
        <v>63</v>
      </c>
      <c r="B96" s="40" t="s">
        <v>64</v>
      </c>
      <c r="C96" s="114">
        <v>0.92361111111111116</v>
      </c>
      <c r="D96" s="40" t="s">
        <v>28</v>
      </c>
      <c r="E96" s="40" t="s">
        <v>29</v>
      </c>
      <c r="F96" s="40" t="s">
        <v>65</v>
      </c>
      <c r="G96" s="159"/>
      <c r="H96" s="41" t="s">
        <v>66</v>
      </c>
      <c r="I96" s="115">
        <v>0.21429999999999999</v>
      </c>
      <c r="J96" s="42">
        <v>36</v>
      </c>
      <c r="K96" s="43">
        <v>45991</v>
      </c>
      <c r="L96" s="42">
        <v>14</v>
      </c>
      <c r="M96" s="42">
        <v>0</v>
      </c>
      <c r="N96" s="42">
        <v>2</v>
      </c>
      <c r="O96" s="44" t="s">
        <v>67</v>
      </c>
      <c r="P96" s="116">
        <v>0.92361111111111116</v>
      </c>
      <c r="Q96" s="42">
        <v>168</v>
      </c>
      <c r="R96" s="45" t="s">
        <v>116</v>
      </c>
    </row>
    <row r="97" spans="1:18" ht="15" customHeight="1" thickBot="1" x14ac:dyDescent="0.35">
      <c r="A97" s="14" t="s">
        <v>69</v>
      </c>
      <c r="B97" s="14" t="s">
        <v>70</v>
      </c>
      <c r="C97" s="101">
        <v>0.30555555555555558</v>
      </c>
      <c r="D97" s="14" t="s">
        <v>71</v>
      </c>
      <c r="E97" s="14" t="s">
        <v>72</v>
      </c>
      <c r="F97" s="14" t="s">
        <v>117</v>
      </c>
      <c r="G97" s="160"/>
      <c r="H97" s="15"/>
      <c r="I97" s="16"/>
      <c r="J97" s="16"/>
      <c r="K97" s="16"/>
      <c r="L97" s="16"/>
      <c r="M97" s="16"/>
      <c r="N97" s="16"/>
      <c r="O97" s="17"/>
      <c r="P97" s="16"/>
      <c r="Q97" s="18"/>
      <c r="R97" s="19"/>
    </row>
    <row r="98" spans="1:18" ht="17.399999999999999" customHeight="1" thickBot="1" x14ac:dyDescent="0.35">
      <c r="A98" s="164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6"/>
    </row>
    <row r="99" spans="1:18" ht="22.05" customHeight="1" thickTop="1" thickBot="1" x14ac:dyDescent="0.35">
      <c r="A99" s="161" t="s">
        <v>6</v>
      </c>
      <c r="B99" s="162"/>
      <c r="C99" s="162"/>
      <c r="D99" s="162"/>
      <c r="E99" s="162"/>
      <c r="F99" s="163"/>
      <c r="G99" s="102">
        <v>45998</v>
      </c>
      <c r="H99" s="167" t="s">
        <v>7</v>
      </c>
      <c r="I99" s="162"/>
      <c r="J99" s="162"/>
      <c r="K99" s="162"/>
      <c r="L99" s="162"/>
      <c r="M99" s="162"/>
      <c r="N99" s="162"/>
      <c r="O99" s="162"/>
      <c r="P99" s="162"/>
      <c r="Q99" s="162"/>
      <c r="R99" s="163"/>
    </row>
    <row r="100" spans="1:18" ht="24" customHeight="1" x14ac:dyDescent="0.3">
      <c r="A100" s="20" t="s">
        <v>8</v>
      </c>
      <c r="B100" s="20" t="s">
        <v>9</v>
      </c>
      <c r="C100" s="103" t="s">
        <v>10</v>
      </c>
      <c r="D100" s="20" t="s">
        <v>11</v>
      </c>
      <c r="E100" s="20" t="s">
        <v>12</v>
      </c>
      <c r="F100" s="21" t="s">
        <v>13</v>
      </c>
      <c r="G100" s="22" t="s">
        <v>14</v>
      </c>
      <c r="H100" s="20" t="s">
        <v>15</v>
      </c>
      <c r="I100" s="104" t="s">
        <v>16</v>
      </c>
      <c r="J100" s="23" t="s">
        <v>17</v>
      </c>
      <c r="K100" s="24" t="s">
        <v>18</v>
      </c>
      <c r="L100" s="23" t="s">
        <v>19</v>
      </c>
      <c r="M100" s="23" t="s">
        <v>20</v>
      </c>
      <c r="N100" s="23" t="s">
        <v>21</v>
      </c>
      <c r="O100" s="20" t="s">
        <v>22</v>
      </c>
      <c r="P100" s="103" t="s">
        <v>23</v>
      </c>
      <c r="Q100" s="23" t="s">
        <v>24</v>
      </c>
      <c r="R100" s="20" t="s">
        <v>25</v>
      </c>
    </row>
    <row r="101" spans="1:18" ht="15" customHeight="1" x14ac:dyDescent="0.3">
      <c r="A101" s="8" t="s">
        <v>35</v>
      </c>
      <c r="B101" s="8" t="s">
        <v>36</v>
      </c>
      <c r="C101" s="100">
        <v>0.30555555555555558</v>
      </c>
      <c r="D101" s="8" t="s">
        <v>37</v>
      </c>
      <c r="E101" s="8" t="s">
        <v>118</v>
      </c>
      <c r="F101" s="8" t="s">
        <v>111</v>
      </c>
      <c r="G101" s="15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25" t="s">
        <v>35</v>
      </c>
      <c r="B102" s="25" t="s">
        <v>36</v>
      </c>
      <c r="C102" s="105">
        <v>0.30555555555555558</v>
      </c>
      <c r="D102" s="25" t="s">
        <v>40</v>
      </c>
      <c r="E102" s="25" t="s">
        <v>118</v>
      </c>
      <c r="F102" s="25" t="s">
        <v>112</v>
      </c>
      <c r="G102" s="15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25" t="s">
        <v>35</v>
      </c>
      <c r="B103" s="25" t="s">
        <v>36</v>
      </c>
      <c r="C103" s="105">
        <v>0.30555555555555558</v>
      </c>
      <c r="D103" s="25" t="s">
        <v>42</v>
      </c>
      <c r="E103" s="25" t="s">
        <v>118</v>
      </c>
      <c r="F103" s="25" t="s">
        <v>43</v>
      </c>
      <c r="G103" s="15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26" t="s">
        <v>44</v>
      </c>
      <c r="B104" s="26" t="s">
        <v>53</v>
      </c>
      <c r="C104" s="106">
        <v>0.83680555555555558</v>
      </c>
      <c r="D104" s="26" t="s">
        <v>46</v>
      </c>
      <c r="E104" s="26" t="s">
        <v>47</v>
      </c>
      <c r="F104" s="26" t="s">
        <v>48</v>
      </c>
      <c r="G104" s="15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25" t="s">
        <v>44</v>
      </c>
      <c r="B105" s="25" t="s">
        <v>53</v>
      </c>
      <c r="C105" s="105">
        <v>0.83680555555555558</v>
      </c>
      <c r="D105" s="25" t="s">
        <v>49</v>
      </c>
      <c r="E105" s="25" t="s">
        <v>47</v>
      </c>
      <c r="F105" s="25" t="s">
        <v>50</v>
      </c>
      <c r="G105" s="15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25" t="s">
        <v>44</v>
      </c>
      <c r="B106" s="25" t="s">
        <v>53</v>
      </c>
      <c r="C106" s="105">
        <v>0.83680555555555558</v>
      </c>
      <c r="D106" s="25" t="s">
        <v>51</v>
      </c>
      <c r="E106" s="25" t="s">
        <v>47</v>
      </c>
      <c r="F106" s="25" t="s">
        <v>52</v>
      </c>
      <c r="G106" s="15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26" t="s">
        <v>79</v>
      </c>
      <c r="B107" s="26" t="s">
        <v>119</v>
      </c>
      <c r="C107" s="106">
        <v>0.22222222222222221</v>
      </c>
      <c r="D107" s="26" t="s">
        <v>28</v>
      </c>
      <c r="E107" s="26" t="s">
        <v>29</v>
      </c>
      <c r="F107" s="26" t="s">
        <v>81</v>
      </c>
      <c r="G107" s="15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6" t="s">
        <v>26</v>
      </c>
      <c r="B108" s="26" t="s">
        <v>93</v>
      </c>
      <c r="C108" s="106">
        <v>0.95833333333333337</v>
      </c>
      <c r="D108" s="26" t="s">
        <v>28</v>
      </c>
      <c r="E108" s="26" t="s">
        <v>29</v>
      </c>
      <c r="F108" s="26" t="s">
        <v>30</v>
      </c>
      <c r="G108" s="15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26" t="s">
        <v>31</v>
      </c>
      <c r="B109" s="26" t="s">
        <v>32</v>
      </c>
      <c r="C109" s="106">
        <v>0.86458333333333337</v>
      </c>
      <c r="D109" s="26" t="s">
        <v>59</v>
      </c>
      <c r="E109" s="26" t="s">
        <v>29</v>
      </c>
      <c r="F109" s="26" t="s">
        <v>61</v>
      </c>
      <c r="G109" s="15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27" t="s">
        <v>31</v>
      </c>
      <c r="B110" s="27" t="s">
        <v>62</v>
      </c>
      <c r="C110" s="107">
        <v>0.51388888888888884</v>
      </c>
      <c r="D110" s="27" t="s">
        <v>59</v>
      </c>
      <c r="E110" s="27" t="s">
        <v>60</v>
      </c>
      <c r="F110" s="27" t="s">
        <v>61</v>
      </c>
      <c r="G110" s="15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27" t="s">
        <v>31</v>
      </c>
      <c r="B111" s="27" t="s">
        <v>58</v>
      </c>
      <c r="C111" s="107">
        <v>0.1701388888888889</v>
      </c>
      <c r="D111" s="27" t="s">
        <v>59</v>
      </c>
      <c r="E111" s="27" t="s">
        <v>29</v>
      </c>
      <c r="F111" s="27" t="s">
        <v>61</v>
      </c>
      <c r="G111" s="15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thickBot="1" x14ac:dyDescent="0.35">
      <c r="A112" s="14" t="s">
        <v>69</v>
      </c>
      <c r="B112" s="14" t="s">
        <v>70</v>
      </c>
      <c r="C112" s="101">
        <v>0.30555555555555558</v>
      </c>
      <c r="D112" s="14" t="s">
        <v>71</v>
      </c>
      <c r="E112" s="14" t="s">
        <v>72</v>
      </c>
      <c r="F112" s="14" t="s">
        <v>117</v>
      </c>
      <c r="G112" s="160"/>
      <c r="H112" s="15"/>
      <c r="I112" s="16"/>
      <c r="J112" s="16"/>
      <c r="K112" s="16"/>
      <c r="L112" s="16"/>
      <c r="M112" s="16"/>
      <c r="N112" s="16"/>
      <c r="O112" s="17"/>
      <c r="P112" s="16"/>
      <c r="Q112" s="18"/>
      <c r="R112" s="19"/>
    </row>
    <row r="113" spans="1:18" ht="17.399999999999999" customHeight="1" thickBot="1" x14ac:dyDescent="0.35">
      <c r="A113" s="164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6"/>
    </row>
    <row r="114" spans="1:18" ht="22.05" customHeight="1" thickTop="1" thickBot="1" x14ac:dyDescent="0.35">
      <c r="A114" s="161" t="s">
        <v>6</v>
      </c>
      <c r="B114" s="162"/>
      <c r="C114" s="162"/>
      <c r="D114" s="162"/>
      <c r="E114" s="162"/>
      <c r="F114" s="163"/>
      <c r="G114" s="102">
        <v>45999</v>
      </c>
      <c r="H114" s="167" t="s">
        <v>7</v>
      </c>
      <c r="I114" s="162"/>
      <c r="J114" s="162"/>
      <c r="K114" s="162"/>
      <c r="L114" s="162"/>
      <c r="M114" s="162"/>
      <c r="N114" s="162"/>
      <c r="O114" s="162"/>
      <c r="P114" s="162"/>
      <c r="Q114" s="162"/>
      <c r="R114" s="163"/>
    </row>
    <row r="115" spans="1:18" ht="24" customHeight="1" x14ac:dyDescent="0.3">
      <c r="A115" s="20" t="s">
        <v>8</v>
      </c>
      <c r="B115" s="20" t="s">
        <v>9</v>
      </c>
      <c r="C115" s="103" t="s">
        <v>10</v>
      </c>
      <c r="D115" s="20" t="s">
        <v>11</v>
      </c>
      <c r="E115" s="20" t="s">
        <v>12</v>
      </c>
      <c r="F115" s="21" t="s">
        <v>13</v>
      </c>
      <c r="G115" s="22" t="s">
        <v>14</v>
      </c>
      <c r="H115" s="20" t="s">
        <v>15</v>
      </c>
      <c r="I115" s="104" t="s">
        <v>16</v>
      </c>
      <c r="J115" s="23" t="s">
        <v>17</v>
      </c>
      <c r="K115" s="24" t="s">
        <v>18</v>
      </c>
      <c r="L115" s="23" t="s">
        <v>19</v>
      </c>
      <c r="M115" s="23" t="s">
        <v>20</v>
      </c>
      <c r="N115" s="23" t="s">
        <v>21</v>
      </c>
      <c r="O115" s="20" t="s">
        <v>22</v>
      </c>
      <c r="P115" s="103" t="s">
        <v>23</v>
      </c>
      <c r="Q115" s="23" t="s">
        <v>24</v>
      </c>
      <c r="R115" s="20" t="s">
        <v>25</v>
      </c>
    </row>
    <row r="116" spans="1:18" ht="15" customHeight="1" x14ac:dyDescent="0.3">
      <c r="A116" s="8" t="s">
        <v>35</v>
      </c>
      <c r="B116" s="8" t="s">
        <v>36</v>
      </c>
      <c r="C116" s="100">
        <v>0.30555555555555558</v>
      </c>
      <c r="D116" s="8" t="s">
        <v>37</v>
      </c>
      <c r="E116" s="8" t="s">
        <v>120</v>
      </c>
      <c r="F116" s="8" t="s">
        <v>111</v>
      </c>
      <c r="G116" s="15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25" t="s">
        <v>35</v>
      </c>
      <c r="B117" s="25" t="s">
        <v>36</v>
      </c>
      <c r="C117" s="105">
        <v>0.30555555555555558</v>
      </c>
      <c r="D117" s="25" t="s">
        <v>40</v>
      </c>
      <c r="E117" s="25" t="s">
        <v>120</v>
      </c>
      <c r="F117" s="25" t="s">
        <v>112</v>
      </c>
      <c r="G117" s="15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25" t="s">
        <v>35</v>
      </c>
      <c r="B118" s="25" t="s">
        <v>36</v>
      </c>
      <c r="C118" s="105">
        <v>0.30555555555555558</v>
      </c>
      <c r="D118" s="25" t="s">
        <v>42</v>
      </c>
      <c r="E118" s="25" t="s">
        <v>120</v>
      </c>
      <c r="F118" s="25" t="s">
        <v>85</v>
      </c>
      <c r="G118" s="15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26" t="s">
        <v>44</v>
      </c>
      <c r="B119" s="26" t="s">
        <v>45</v>
      </c>
      <c r="C119" s="106">
        <v>0.2013888888888889</v>
      </c>
      <c r="D119" s="26" t="s">
        <v>46</v>
      </c>
      <c r="E119" s="26" t="s">
        <v>47</v>
      </c>
      <c r="F119" s="26" t="s">
        <v>48</v>
      </c>
      <c r="G119" s="15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25" t="s">
        <v>44</v>
      </c>
      <c r="B120" s="25" t="s">
        <v>45</v>
      </c>
      <c r="C120" s="105">
        <v>0.2013888888888889</v>
      </c>
      <c r="D120" s="25" t="s">
        <v>49</v>
      </c>
      <c r="E120" s="25" t="s">
        <v>47</v>
      </c>
      <c r="F120" s="25" t="s">
        <v>50</v>
      </c>
      <c r="G120" s="15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25" t="s">
        <v>44</v>
      </c>
      <c r="B121" s="25" t="s">
        <v>45</v>
      </c>
      <c r="C121" s="105">
        <v>0.2013888888888889</v>
      </c>
      <c r="D121" s="25" t="s">
        <v>51</v>
      </c>
      <c r="E121" s="25" t="s">
        <v>47</v>
      </c>
      <c r="F121" s="25" t="s">
        <v>52</v>
      </c>
      <c r="G121" s="15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27" t="s">
        <v>44</v>
      </c>
      <c r="B122" s="27" t="s">
        <v>53</v>
      </c>
      <c r="C122" s="107">
        <v>0.83680555555555558</v>
      </c>
      <c r="D122" s="27" t="s">
        <v>46</v>
      </c>
      <c r="E122" s="27" t="s">
        <v>87</v>
      </c>
      <c r="F122" s="27" t="s">
        <v>30</v>
      </c>
      <c r="G122" s="15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25" t="s">
        <v>44</v>
      </c>
      <c r="B123" s="25" t="s">
        <v>53</v>
      </c>
      <c r="C123" s="105">
        <v>0.83680555555555558</v>
      </c>
      <c r="D123" s="25" t="s">
        <v>49</v>
      </c>
      <c r="E123" s="25" t="s">
        <v>87</v>
      </c>
      <c r="F123" s="25" t="s">
        <v>88</v>
      </c>
      <c r="G123" s="15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25" t="s">
        <v>44</v>
      </c>
      <c r="B124" s="25" t="s">
        <v>53</v>
      </c>
      <c r="C124" s="105">
        <v>0.83680555555555558</v>
      </c>
      <c r="D124" s="25" t="s">
        <v>51</v>
      </c>
      <c r="E124" s="25" t="s">
        <v>87</v>
      </c>
      <c r="F124" s="25" t="s">
        <v>102</v>
      </c>
      <c r="G124" s="15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26" t="s">
        <v>26</v>
      </c>
      <c r="B125" s="26" t="s">
        <v>27</v>
      </c>
      <c r="C125" s="106">
        <v>0.95833333333333337</v>
      </c>
      <c r="D125" s="26" t="s">
        <v>28</v>
      </c>
      <c r="E125" s="26" t="s">
        <v>29</v>
      </c>
      <c r="F125" s="26" t="s">
        <v>30</v>
      </c>
      <c r="G125" s="15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6" t="s">
        <v>31</v>
      </c>
      <c r="B126" s="26" t="s">
        <v>32</v>
      </c>
      <c r="C126" s="106">
        <v>0.86458333333333337</v>
      </c>
      <c r="D126" s="26" t="s">
        <v>59</v>
      </c>
      <c r="E126" s="26" t="s">
        <v>29</v>
      </c>
      <c r="F126" s="26" t="s">
        <v>61</v>
      </c>
      <c r="G126" s="15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27" t="s">
        <v>31</v>
      </c>
      <c r="B127" s="27" t="s">
        <v>58</v>
      </c>
      <c r="C127" s="107">
        <v>0.1701388888888889</v>
      </c>
      <c r="D127" s="27" t="s">
        <v>59</v>
      </c>
      <c r="E127" s="27" t="s">
        <v>29</v>
      </c>
      <c r="F127" s="27" t="s">
        <v>61</v>
      </c>
      <c r="G127" s="15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27" t="s">
        <v>31</v>
      </c>
      <c r="B128" s="27" t="s">
        <v>62</v>
      </c>
      <c r="C128" s="107">
        <v>0.52777777777777779</v>
      </c>
      <c r="D128" s="27" t="s">
        <v>94</v>
      </c>
      <c r="E128" s="27" t="s">
        <v>29</v>
      </c>
      <c r="F128" s="27" t="s">
        <v>96</v>
      </c>
      <c r="G128" s="15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thickBot="1" x14ac:dyDescent="0.35">
      <c r="A129" s="14" t="s">
        <v>69</v>
      </c>
      <c r="B129" s="14" t="s">
        <v>70</v>
      </c>
      <c r="C129" s="101">
        <v>0.30555555555555558</v>
      </c>
      <c r="D129" s="14" t="s">
        <v>71</v>
      </c>
      <c r="E129" s="14" t="s">
        <v>72</v>
      </c>
      <c r="F129" s="14" t="s">
        <v>117</v>
      </c>
      <c r="G129" s="160"/>
      <c r="H129" s="15"/>
      <c r="I129" s="16"/>
      <c r="J129" s="16"/>
      <c r="K129" s="16"/>
      <c r="L129" s="16"/>
      <c r="M129" s="16"/>
      <c r="N129" s="16"/>
      <c r="O129" s="17"/>
      <c r="P129" s="16"/>
      <c r="Q129" s="18"/>
      <c r="R129" s="19"/>
    </row>
    <row r="130" spans="1:18" ht="17.399999999999999" customHeight="1" thickBot="1" x14ac:dyDescent="0.35">
      <c r="A130" s="164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6"/>
    </row>
    <row r="131" spans="1:18" ht="22.05" customHeight="1" thickTop="1" thickBot="1" x14ac:dyDescent="0.35">
      <c r="A131" s="161" t="s">
        <v>6</v>
      </c>
      <c r="B131" s="162"/>
      <c r="C131" s="162"/>
      <c r="D131" s="162"/>
      <c r="E131" s="162"/>
      <c r="F131" s="163"/>
      <c r="G131" s="102">
        <v>46000</v>
      </c>
      <c r="H131" s="167" t="s">
        <v>7</v>
      </c>
      <c r="I131" s="162"/>
      <c r="J131" s="162"/>
      <c r="K131" s="162"/>
      <c r="L131" s="162"/>
      <c r="M131" s="162"/>
      <c r="N131" s="162"/>
      <c r="O131" s="162"/>
      <c r="P131" s="162"/>
      <c r="Q131" s="162"/>
      <c r="R131" s="163"/>
    </row>
    <row r="132" spans="1:18" ht="24" customHeight="1" x14ac:dyDescent="0.3">
      <c r="A132" s="20" t="s">
        <v>8</v>
      </c>
      <c r="B132" s="20" t="s">
        <v>9</v>
      </c>
      <c r="C132" s="103" t="s">
        <v>10</v>
      </c>
      <c r="D132" s="20" t="s">
        <v>11</v>
      </c>
      <c r="E132" s="20" t="s">
        <v>12</v>
      </c>
      <c r="F132" s="21" t="s">
        <v>13</v>
      </c>
      <c r="G132" s="22" t="s">
        <v>14</v>
      </c>
      <c r="H132" s="20" t="s">
        <v>15</v>
      </c>
      <c r="I132" s="104" t="s">
        <v>16</v>
      </c>
      <c r="J132" s="23" t="s">
        <v>17</v>
      </c>
      <c r="K132" s="24" t="s">
        <v>18</v>
      </c>
      <c r="L132" s="23" t="s">
        <v>19</v>
      </c>
      <c r="M132" s="23" t="s">
        <v>20</v>
      </c>
      <c r="N132" s="23" t="s">
        <v>21</v>
      </c>
      <c r="O132" s="20" t="s">
        <v>22</v>
      </c>
      <c r="P132" s="103" t="s">
        <v>23</v>
      </c>
      <c r="Q132" s="23" t="s">
        <v>24</v>
      </c>
      <c r="R132" s="20" t="s">
        <v>25</v>
      </c>
    </row>
    <row r="133" spans="1:18" ht="15" customHeight="1" x14ac:dyDescent="0.3">
      <c r="A133" s="8" t="s">
        <v>35</v>
      </c>
      <c r="B133" s="8" t="s">
        <v>36</v>
      </c>
      <c r="C133" s="100">
        <v>0.30555555555555558</v>
      </c>
      <c r="D133" s="8" t="s">
        <v>37</v>
      </c>
      <c r="E133" s="8" t="s">
        <v>118</v>
      </c>
      <c r="F133" s="8" t="s">
        <v>111</v>
      </c>
      <c r="G133" s="15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25" t="s">
        <v>35</v>
      </c>
      <c r="B134" s="25" t="s">
        <v>36</v>
      </c>
      <c r="C134" s="105">
        <v>0.30555555555555558</v>
      </c>
      <c r="D134" s="25" t="s">
        <v>40</v>
      </c>
      <c r="E134" s="25" t="s">
        <v>118</v>
      </c>
      <c r="F134" s="25" t="s">
        <v>112</v>
      </c>
      <c r="G134" s="15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25" t="s">
        <v>35</v>
      </c>
      <c r="B135" s="25" t="s">
        <v>36</v>
      </c>
      <c r="C135" s="105">
        <v>0.30555555555555558</v>
      </c>
      <c r="D135" s="25" t="s">
        <v>42</v>
      </c>
      <c r="E135" s="25" t="s">
        <v>118</v>
      </c>
      <c r="F135" s="25" t="s">
        <v>85</v>
      </c>
      <c r="G135" s="15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26" t="s">
        <v>44</v>
      </c>
      <c r="B136" s="26" t="s">
        <v>53</v>
      </c>
      <c r="C136" s="106">
        <v>0.83680555555555558</v>
      </c>
      <c r="D136" s="26" t="s">
        <v>46</v>
      </c>
      <c r="E136" s="26" t="s">
        <v>47</v>
      </c>
      <c r="F136" s="26" t="s">
        <v>48</v>
      </c>
      <c r="G136" s="15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25" t="s">
        <v>44</v>
      </c>
      <c r="B137" s="25" t="s">
        <v>53</v>
      </c>
      <c r="C137" s="105">
        <v>0.83680555555555558</v>
      </c>
      <c r="D137" s="25" t="s">
        <v>49</v>
      </c>
      <c r="E137" s="25" t="s">
        <v>47</v>
      </c>
      <c r="F137" s="25" t="s">
        <v>50</v>
      </c>
      <c r="G137" s="15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25" t="s">
        <v>44</v>
      </c>
      <c r="B138" s="25" t="s">
        <v>53</v>
      </c>
      <c r="C138" s="105">
        <v>0.83680555555555558</v>
      </c>
      <c r="D138" s="25" t="s">
        <v>51</v>
      </c>
      <c r="E138" s="25" t="s">
        <v>47</v>
      </c>
      <c r="F138" s="25" t="s">
        <v>52</v>
      </c>
      <c r="G138" s="15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27" t="s">
        <v>44</v>
      </c>
      <c r="B139" s="27" t="s">
        <v>45</v>
      </c>
      <c r="C139" s="107">
        <v>0.2013888888888889</v>
      </c>
      <c r="D139" s="27" t="s">
        <v>46</v>
      </c>
      <c r="E139" s="27" t="s">
        <v>47</v>
      </c>
      <c r="F139" s="27" t="s">
        <v>48</v>
      </c>
      <c r="G139" s="15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25" t="s">
        <v>44</v>
      </c>
      <c r="B140" s="25" t="s">
        <v>45</v>
      </c>
      <c r="C140" s="105">
        <v>0.2013888888888889</v>
      </c>
      <c r="D140" s="25" t="s">
        <v>49</v>
      </c>
      <c r="E140" s="25" t="s">
        <v>47</v>
      </c>
      <c r="F140" s="25" t="s">
        <v>50</v>
      </c>
      <c r="G140" s="15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25" t="s">
        <v>44</v>
      </c>
      <c r="B141" s="25" t="s">
        <v>45</v>
      </c>
      <c r="C141" s="105">
        <v>0.2013888888888889</v>
      </c>
      <c r="D141" s="25" t="s">
        <v>51</v>
      </c>
      <c r="E141" s="25" t="s">
        <v>47</v>
      </c>
      <c r="F141" s="25" t="s">
        <v>52</v>
      </c>
      <c r="G141" s="15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26" t="s">
        <v>26</v>
      </c>
      <c r="B142" s="26" t="s">
        <v>57</v>
      </c>
      <c r="C142" s="106">
        <v>0.95833333333333337</v>
      </c>
      <c r="D142" s="26" t="s">
        <v>28</v>
      </c>
      <c r="E142" s="26" t="s">
        <v>121</v>
      </c>
      <c r="F142" s="26" t="s">
        <v>30</v>
      </c>
      <c r="G142" s="15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26" t="s">
        <v>31</v>
      </c>
      <c r="B143" s="26" t="s">
        <v>32</v>
      </c>
      <c r="C143" s="106">
        <v>0.86458333333333337</v>
      </c>
      <c r="D143" s="26" t="s">
        <v>59</v>
      </c>
      <c r="E143" s="26" t="s">
        <v>87</v>
      </c>
      <c r="F143" s="26" t="s">
        <v>61</v>
      </c>
      <c r="G143" s="15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27" t="s">
        <v>31</v>
      </c>
      <c r="B144" s="27" t="s">
        <v>58</v>
      </c>
      <c r="C144" s="107">
        <v>0.1701388888888889</v>
      </c>
      <c r="D144" s="27" t="s">
        <v>59</v>
      </c>
      <c r="E144" s="27" t="s">
        <v>87</v>
      </c>
      <c r="F144" s="27" t="s">
        <v>61</v>
      </c>
      <c r="G144" s="15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27" t="s">
        <v>31</v>
      </c>
      <c r="B145" s="27" t="s">
        <v>62</v>
      </c>
      <c r="C145" s="107">
        <v>0.52777777777777779</v>
      </c>
      <c r="D145" s="27" t="s">
        <v>94</v>
      </c>
      <c r="E145" s="27" t="s">
        <v>29</v>
      </c>
      <c r="F145" s="27" t="s">
        <v>96</v>
      </c>
      <c r="G145" s="15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28" t="s">
        <v>63</v>
      </c>
      <c r="B146" s="28" t="s">
        <v>64</v>
      </c>
      <c r="C146" s="108">
        <v>0.27083333333333331</v>
      </c>
      <c r="D146" s="28" t="s">
        <v>28</v>
      </c>
      <c r="E146" s="28" t="s">
        <v>29</v>
      </c>
      <c r="F146" s="28" t="s">
        <v>65</v>
      </c>
      <c r="G146" s="159"/>
      <c r="H146" s="29" t="s">
        <v>66</v>
      </c>
      <c r="I146" s="109">
        <v>0.28570000000000001</v>
      </c>
      <c r="J146" s="30">
        <v>48</v>
      </c>
      <c r="K146" s="31">
        <v>45990</v>
      </c>
      <c r="L146" s="30">
        <v>13</v>
      </c>
      <c r="M146" s="30">
        <v>0</v>
      </c>
      <c r="N146" s="30">
        <v>0</v>
      </c>
      <c r="O146" s="32" t="s">
        <v>67</v>
      </c>
      <c r="P146" s="110">
        <v>0.27083333333333331</v>
      </c>
      <c r="Q146" s="30">
        <v>168</v>
      </c>
      <c r="R146" s="33" t="s">
        <v>122</v>
      </c>
    </row>
    <row r="147" spans="1:18" ht="15" customHeight="1" thickBot="1" x14ac:dyDescent="0.35">
      <c r="A147" s="14" t="s">
        <v>69</v>
      </c>
      <c r="B147" s="14" t="s">
        <v>70</v>
      </c>
      <c r="C147" s="101">
        <v>0.30555555555555558</v>
      </c>
      <c r="D147" s="14" t="s">
        <v>71</v>
      </c>
      <c r="E147" s="14" t="s">
        <v>72</v>
      </c>
      <c r="F147" s="14" t="s">
        <v>117</v>
      </c>
      <c r="G147" s="160"/>
      <c r="H147" s="15"/>
      <c r="I147" s="16"/>
      <c r="J147" s="16"/>
      <c r="K147" s="16"/>
      <c r="L147" s="16"/>
      <c r="M147" s="16"/>
      <c r="N147" s="16"/>
      <c r="O147" s="17"/>
      <c r="P147" s="16"/>
      <c r="Q147" s="18"/>
      <c r="R147" s="19"/>
    </row>
    <row r="148" spans="1:18" ht="17.399999999999999" customHeight="1" thickBot="1" x14ac:dyDescent="0.35">
      <c r="A148" s="164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6"/>
    </row>
    <row r="149" spans="1:18" ht="22.05" customHeight="1" thickTop="1" thickBot="1" x14ac:dyDescent="0.35">
      <c r="A149" s="161" t="s">
        <v>6</v>
      </c>
      <c r="B149" s="162"/>
      <c r="C149" s="162"/>
      <c r="D149" s="162"/>
      <c r="E149" s="162"/>
      <c r="F149" s="163"/>
      <c r="G149" s="102">
        <v>46001</v>
      </c>
      <c r="H149" s="167" t="s">
        <v>7</v>
      </c>
      <c r="I149" s="162"/>
      <c r="J149" s="162"/>
      <c r="K149" s="162"/>
      <c r="L149" s="162"/>
      <c r="M149" s="162"/>
      <c r="N149" s="162"/>
      <c r="O149" s="162"/>
      <c r="P149" s="162"/>
      <c r="Q149" s="162"/>
      <c r="R149" s="163"/>
    </row>
    <row r="150" spans="1:18" ht="24" customHeight="1" x14ac:dyDescent="0.3">
      <c r="A150" s="20" t="s">
        <v>8</v>
      </c>
      <c r="B150" s="20" t="s">
        <v>9</v>
      </c>
      <c r="C150" s="103" t="s">
        <v>10</v>
      </c>
      <c r="D150" s="20" t="s">
        <v>11</v>
      </c>
      <c r="E150" s="20" t="s">
        <v>12</v>
      </c>
      <c r="F150" s="21" t="s">
        <v>13</v>
      </c>
      <c r="G150" s="22" t="s">
        <v>14</v>
      </c>
      <c r="H150" s="20" t="s">
        <v>15</v>
      </c>
      <c r="I150" s="104" t="s">
        <v>16</v>
      </c>
      <c r="J150" s="23" t="s">
        <v>17</v>
      </c>
      <c r="K150" s="24" t="s">
        <v>18</v>
      </c>
      <c r="L150" s="23" t="s">
        <v>19</v>
      </c>
      <c r="M150" s="23" t="s">
        <v>20</v>
      </c>
      <c r="N150" s="23" t="s">
        <v>21</v>
      </c>
      <c r="O150" s="20" t="s">
        <v>22</v>
      </c>
      <c r="P150" s="103" t="s">
        <v>23</v>
      </c>
      <c r="Q150" s="23" t="s">
        <v>24</v>
      </c>
      <c r="R150" s="20" t="s">
        <v>25</v>
      </c>
    </row>
    <row r="151" spans="1:18" ht="15" customHeight="1" x14ac:dyDescent="0.3">
      <c r="A151" s="8" t="s">
        <v>74</v>
      </c>
      <c r="B151" s="8" t="s">
        <v>75</v>
      </c>
      <c r="C151" s="100">
        <v>0.97222222222222221</v>
      </c>
      <c r="D151" s="8" t="s">
        <v>76</v>
      </c>
      <c r="E151" s="8" t="s">
        <v>47</v>
      </c>
      <c r="F151" s="8" t="s">
        <v>123</v>
      </c>
      <c r="G151" s="15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25" t="s">
        <v>74</v>
      </c>
      <c r="B152" s="25" t="s">
        <v>75</v>
      </c>
      <c r="C152" s="105">
        <v>0.97222222222222221</v>
      </c>
      <c r="D152" s="25" t="s">
        <v>42</v>
      </c>
      <c r="E152" s="25" t="s">
        <v>47</v>
      </c>
      <c r="F152" s="25" t="s">
        <v>124</v>
      </c>
      <c r="G152" s="15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26" t="s">
        <v>79</v>
      </c>
      <c r="B153" s="26" t="s">
        <v>80</v>
      </c>
      <c r="C153" s="106">
        <v>9.0277777777777776E-2</v>
      </c>
      <c r="D153" s="26" t="s">
        <v>28</v>
      </c>
      <c r="E153" s="26" t="s">
        <v>29</v>
      </c>
      <c r="F153" s="26" t="s">
        <v>81</v>
      </c>
      <c r="G153" s="15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26" t="s">
        <v>35</v>
      </c>
      <c r="B154" s="26" t="s">
        <v>36</v>
      </c>
      <c r="C154" s="106">
        <v>0.30555555555555558</v>
      </c>
      <c r="D154" s="26" t="s">
        <v>37</v>
      </c>
      <c r="E154" s="26" t="s">
        <v>95</v>
      </c>
      <c r="F154" s="26" t="s">
        <v>83</v>
      </c>
      <c r="G154" s="15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25" t="s">
        <v>35</v>
      </c>
      <c r="B155" s="25" t="s">
        <v>36</v>
      </c>
      <c r="C155" s="105">
        <v>0.30555555555555558</v>
      </c>
      <c r="D155" s="25" t="s">
        <v>40</v>
      </c>
      <c r="E155" s="25" t="s">
        <v>95</v>
      </c>
      <c r="F155" s="25" t="s">
        <v>84</v>
      </c>
      <c r="G155" s="15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25" t="s">
        <v>35</v>
      </c>
      <c r="B156" s="25" t="s">
        <v>36</v>
      </c>
      <c r="C156" s="105">
        <v>0.30555555555555558</v>
      </c>
      <c r="D156" s="25" t="s">
        <v>42</v>
      </c>
      <c r="E156" s="25" t="s">
        <v>95</v>
      </c>
      <c r="F156" s="25" t="s">
        <v>85</v>
      </c>
      <c r="G156" s="15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26" t="s">
        <v>31</v>
      </c>
      <c r="B157" s="26" t="s">
        <v>58</v>
      </c>
      <c r="C157" s="106">
        <v>0.1701388888888889</v>
      </c>
      <c r="D157" s="26" t="s">
        <v>59</v>
      </c>
      <c r="E157" s="26" t="s">
        <v>121</v>
      </c>
      <c r="F157" s="26" t="s">
        <v>61</v>
      </c>
      <c r="G157" s="15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27" t="s">
        <v>31</v>
      </c>
      <c r="B158" s="27" t="s">
        <v>62</v>
      </c>
      <c r="C158" s="107">
        <v>0.52777777777777779</v>
      </c>
      <c r="D158" s="27" t="s">
        <v>33</v>
      </c>
      <c r="E158" s="27" t="s">
        <v>29</v>
      </c>
      <c r="F158" s="27" t="s">
        <v>103</v>
      </c>
      <c r="G158" s="15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27" t="s">
        <v>31</v>
      </c>
      <c r="B159" s="27" t="s">
        <v>32</v>
      </c>
      <c r="C159" s="107">
        <v>0.86458333333333337</v>
      </c>
      <c r="D159" s="27" t="s">
        <v>33</v>
      </c>
      <c r="E159" s="27" t="s">
        <v>29</v>
      </c>
      <c r="F159" s="27" t="s">
        <v>125</v>
      </c>
      <c r="G159" s="15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26" t="s">
        <v>26</v>
      </c>
      <c r="B160" s="26" t="s">
        <v>27</v>
      </c>
      <c r="C160" s="106">
        <v>0.89583333333333337</v>
      </c>
      <c r="D160" s="26" t="s">
        <v>28</v>
      </c>
      <c r="E160" s="26" t="s">
        <v>87</v>
      </c>
      <c r="F160" s="26" t="s">
        <v>126</v>
      </c>
      <c r="G160" s="15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26" t="s">
        <v>44</v>
      </c>
      <c r="B161" s="26" t="s">
        <v>53</v>
      </c>
      <c r="C161" s="106">
        <v>0.83680555555555558</v>
      </c>
      <c r="D161" s="26" t="s">
        <v>46</v>
      </c>
      <c r="E161" s="26" t="s">
        <v>72</v>
      </c>
      <c r="F161" s="26" t="s">
        <v>89</v>
      </c>
      <c r="G161" s="15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25" t="s">
        <v>44</v>
      </c>
      <c r="B162" s="25" t="s">
        <v>53</v>
      </c>
      <c r="C162" s="105">
        <v>0.83680555555555558</v>
      </c>
      <c r="D162" s="25" t="s">
        <v>49</v>
      </c>
      <c r="E162" s="25" t="s">
        <v>72</v>
      </c>
      <c r="F162" s="25" t="s">
        <v>127</v>
      </c>
      <c r="G162" s="15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25" t="s">
        <v>44</v>
      </c>
      <c r="B163" s="25" t="s">
        <v>53</v>
      </c>
      <c r="C163" s="105">
        <v>0.83680555555555558</v>
      </c>
      <c r="D163" s="25" t="s">
        <v>51</v>
      </c>
      <c r="E163" s="25" t="s">
        <v>72</v>
      </c>
      <c r="F163" s="25" t="s">
        <v>128</v>
      </c>
      <c r="G163" s="15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thickBot="1" x14ac:dyDescent="0.35">
      <c r="A164" s="14" t="s">
        <v>69</v>
      </c>
      <c r="B164" s="14" t="s">
        <v>70</v>
      </c>
      <c r="C164" s="101">
        <v>0.30555555555555558</v>
      </c>
      <c r="D164" s="14" t="s">
        <v>71</v>
      </c>
      <c r="E164" s="14" t="s">
        <v>72</v>
      </c>
      <c r="F164" s="14" t="s">
        <v>129</v>
      </c>
      <c r="G164" s="160"/>
      <c r="H164" s="15"/>
      <c r="I164" s="16"/>
      <c r="J164" s="16"/>
      <c r="K164" s="16"/>
      <c r="L164" s="16"/>
      <c r="M164" s="16"/>
      <c r="N164" s="16"/>
      <c r="O164" s="17"/>
      <c r="P164" s="16"/>
      <c r="Q164" s="18"/>
      <c r="R164" s="19"/>
    </row>
    <row r="165" spans="1:18" ht="17.399999999999999" customHeight="1" thickBot="1" x14ac:dyDescent="0.35">
      <c r="A165" s="164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6"/>
    </row>
    <row r="166" spans="1:18" ht="22.05" customHeight="1" thickTop="1" thickBot="1" x14ac:dyDescent="0.35">
      <c r="A166" s="161" t="s">
        <v>6</v>
      </c>
      <c r="B166" s="162"/>
      <c r="C166" s="162"/>
      <c r="D166" s="162"/>
      <c r="E166" s="162"/>
      <c r="F166" s="163"/>
      <c r="G166" s="102">
        <v>46002</v>
      </c>
      <c r="H166" s="167" t="s">
        <v>7</v>
      </c>
      <c r="I166" s="162"/>
      <c r="J166" s="162"/>
      <c r="K166" s="162"/>
      <c r="L166" s="162"/>
      <c r="M166" s="162"/>
      <c r="N166" s="162"/>
      <c r="O166" s="162"/>
      <c r="P166" s="162"/>
      <c r="Q166" s="162"/>
      <c r="R166" s="163"/>
    </row>
    <row r="167" spans="1:18" ht="24" customHeight="1" x14ac:dyDescent="0.3">
      <c r="A167" s="20" t="s">
        <v>8</v>
      </c>
      <c r="B167" s="20" t="s">
        <v>9</v>
      </c>
      <c r="C167" s="103" t="s">
        <v>10</v>
      </c>
      <c r="D167" s="20" t="s">
        <v>11</v>
      </c>
      <c r="E167" s="20" t="s">
        <v>12</v>
      </c>
      <c r="F167" s="21" t="s">
        <v>13</v>
      </c>
      <c r="G167" s="22" t="s">
        <v>14</v>
      </c>
      <c r="H167" s="20" t="s">
        <v>15</v>
      </c>
      <c r="I167" s="104" t="s">
        <v>16</v>
      </c>
      <c r="J167" s="23" t="s">
        <v>17</v>
      </c>
      <c r="K167" s="24" t="s">
        <v>18</v>
      </c>
      <c r="L167" s="23" t="s">
        <v>19</v>
      </c>
      <c r="M167" s="23" t="s">
        <v>20</v>
      </c>
      <c r="N167" s="23" t="s">
        <v>21</v>
      </c>
      <c r="O167" s="20" t="s">
        <v>22</v>
      </c>
      <c r="P167" s="103" t="s">
        <v>23</v>
      </c>
      <c r="Q167" s="23" t="s">
        <v>24</v>
      </c>
      <c r="R167" s="20" t="s">
        <v>25</v>
      </c>
    </row>
    <row r="168" spans="1:18" ht="15" customHeight="1" x14ac:dyDescent="0.3">
      <c r="A168" s="8" t="s">
        <v>35</v>
      </c>
      <c r="B168" s="8" t="s">
        <v>36</v>
      </c>
      <c r="C168" s="100">
        <v>0.30555555555555558</v>
      </c>
      <c r="D168" s="8" t="s">
        <v>130</v>
      </c>
      <c r="E168" s="8" t="s">
        <v>110</v>
      </c>
      <c r="F168" s="8" t="s">
        <v>100</v>
      </c>
      <c r="G168" s="15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26" t="s">
        <v>79</v>
      </c>
      <c r="B169" s="26" t="s">
        <v>80</v>
      </c>
      <c r="C169" s="106">
        <v>0.88888888888888884</v>
      </c>
      <c r="D169" s="26" t="s">
        <v>28</v>
      </c>
      <c r="E169" s="26" t="s">
        <v>95</v>
      </c>
      <c r="F169" s="26" t="s">
        <v>81</v>
      </c>
      <c r="G169" s="15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26" t="s">
        <v>44</v>
      </c>
      <c r="B170" s="26" t="s">
        <v>45</v>
      </c>
      <c r="C170" s="106">
        <v>0.2013888888888889</v>
      </c>
      <c r="D170" s="26" t="s">
        <v>131</v>
      </c>
      <c r="E170" s="26" t="s">
        <v>121</v>
      </c>
      <c r="F170" s="26" t="s">
        <v>83</v>
      </c>
      <c r="G170" s="15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27" t="s">
        <v>44</v>
      </c>
      <c r="B171" s="27" t="s">
        <v>53</v>
      </c>
      <c r="C171" s="107">
        <v>0.83680555555555558</v>
      </c>
      <c r="D171" s="27" t="s">
        <v>131</v>
      </c>
      <c r="E171" s="27" t="s">
        <v>92</v>
      </c>
      <c r="F171" s="27" t="s">
        <v>132</v>
      </c>
      <c r="G171" s="15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26" t="s">
        <v>31</v>
      </c>
      <c r="B172" s="26" t="s">
        <v>58</v>
      </c>
      <c r="C172" s="106">
        <v>0.1701388888888889</v>
      </c>
      <c r="D172" s="26" t="s">
        <v>59</v>
      </c>
      <c r="E172" s="26" t="s">
        <v>121</v>
      </c>
      <c r="F172" s="26" t="s">
        <v>61</v>
      </c>
      <c r="G172" s="15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27" t="s">
        <v>31</v>
      </c>
      <c r="B173" s="27" t="s">
        <v>32</v>
      </c>
      <c r="C173" s="107">
        <v>0.86458333333333337</v>
      </c>
      <c r="D173" s="27" t="s">
        <v>33</v>
      </c>
      <c r="E173" s="27" t="s">
        <v>29</v>
      </c>
      <c r="F173" s="27" t="s">
        <v>103</v>
      </c>
      <c r="G173" s="15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27" t="s">
        <v>31</v>
      </c>
      <c r="B174" s="27" t="s">
        <v>62</v>
      </c>
      <c r="C174" s="107">
        <v>0.52777777777777779</v>
      </c>
      <c r="D174" s="27" t="s">
        <v>33</v>
      </c>
      <c r="E174" s="27" t="s">
        <v>29</v>
      </c>
      <c r="F174" s="27" t="s">
        <v>103</v>
      </c>
      <c r="G174" s="15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26" t="s">
        <v>26</v>
      </c>
      <c r="B175" s="26" t="s">
        <v>57</v>
      </c>
      <c r="C175" s="106">
        <v>0.95833333333333337</v>
      </c>
      <c r="D175" s="26" t="s">
        <v>28</v>
      </c>
      <c r="E175" s="26" t="s">
        <v>29</v>
      </c>
      <c r="F175" s="26" t="s">
        <v>133</v>
      </c>
      <c r="G175" s="15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40" t="s">
        <v>63</v>
      </c>
      <c r="B176" s="40" t="s">
        <v>64</v>
      </c>
      <c r="C176" s="114">
        <v>0.92361111111111116</v>
      </c>
      <c r="D176" s="40" t="s">
        <v>28</v>
      </c>
      <c r="E176" s="40" t="s">
        <v>29</v>
      </c>
      <c r="F176" s="40" t="s">
        <v>106</v>
      </c>
      <c r="G176" s="159"/>
      <c r="H176" s="41" t="s">
        <v>66</v>
      </c>
      <c r="I176" s="115">
        <v>0.24399999999999999</v>
      </c>
      <c r="J176" s="42">
        <v>41</v>
      </c>
      <c r="K176" s="43">
        <v>45990</v>
      </c>
      <c r="L176" s="42">
        <v>17</v>
      </c>
      <c r="M176" s="42">
        <v>0</v>
      </c>
      <c r="N176" s="42">
        <v>0</v>
      </c>
      <c r="O176" s="44" t="s">
        <v>107</v>
      </c>
      <c r="P176" s="116">
        <v>0.92361111111111116</v>
      </c>
      <c r="Q176" s="42">
        <v>168</v>
      </c>
      <c r="R176" s="45" t="s">
        <v>134</v>
      </c>
    </row>
    <row r="177" spans="1:18" ht="15" customHeight="1" thickBot="1" x14ac:dyDescent="0.35">
      <c r="A177" s="14" t="s">
        <v>69</v>
      </c>
      <c r="B177" s="14" t="s">
        <v>70</v>
      </c>
      <c r="C177" s="101">
        <v>0.30555555555555558</v>
      </c>
      <c r="D177" s="14" t="s">
        <v>71</v>
      </c>
      <c r="E177" s="14" t="s">
        <v>72</v>
      </c>
      <c r="F177" s="14" t="s">
        <v>109</v>
      </c>
      <c r="G177" s="160"/>
      <c r="H177" s="15"/>
      <c r="I177" s="16"/>
      <c r="J177" s="16"/>
      <c r="K177" s="16"/>
      <c r="L177" s="16"/>
      <c r="M177" s="16"/>
      <c r="N177" s="16"/>
      <c r="O177" s="17"/>
      <c r="P177" s="16"/>
      <c r="Q177" s="18"/>
      <c r="R177" s="19"/>
    </row>
    <row r="178" spans="1:18" ht="17.399999999999999" customHeight="1" thickBot="1" x14ac:dyDescent="0.35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6"/>
    </row>
    <row r="179" spans="1:18" ht="22.05" customHeight="1" thickTop="1" thickBot="1" x14ac:dyDescent="0.35">
      <c r="A179" s="161" t="s">
        <v>6</v>
      </c>
      <c r="B179" s="162"/>
      <c r="C179" s="162"/>
      <c r="D179" s="162"/>
      <c r="E179" s="162"/>
      <c r="F179" s="163"/>
      <c r="G179" s="102">
        <v>46003</v>
      </c>
      <c r="H179" s="167" t="s">
        <v>7</v>
      </c>
      <c r="I179" s="162"/>
      <c r="J179" s="162"/>
      <c r="K179" s="162"/>
      <c r="L179" s="162"/>
      <c r="M179" s="162"/>
      <c r="N179" s="162"/>
      <c r="O179" s="162"/>
      <c r="P179" s="162"/>
      <c r="Q179" s="162"/>
      <c r="R179" s="163"/>
    </row>
    <row r="180" spans="1:18" ht="24" customHeight="1" x14ac:dyDescent="0.3">
      <c r="A180" s="20" t="s">
        <v>8</v>
      </c>
      <c r="B180" s="20" t="s">
        <v>9</v>
      </c>
      <c r="C180" s="103" t="s">
        <v>10</v>
      </c>
      <c r="D180" s="20" t="s">
        <v>11</v>
      </c>
      <c r="E180" s="20" t="s">
        <v>12</v>
      </c>
      <c r="F180" s="21" t="s">
        <v>13</v>
      </c>
      <c r="G180" s="22" t="s">
        <v>14</v>
      </c>
      <c r="H180" s="20" t="s">
        <v>15</v>
      </c>
      <c r="I180" s="104" t="s">
        <v>16</v>
      </c>
      <c r="J180" s="23" t="s">
        <v>17</v>
      </c>
      <c r="K180" s="24" t="s">
        <v>18</v>
      </c>
      <c r="L180" s="23" t="s">
        <v>19</v>
      </c>
      <c r="M180" s="23" t="s">
        <v>20</v>
      </c>
      <c r="N180" s="23" t="s">
        <v>21</v>
      </c>
      <c r="O180" s="20" t="s">
        <v>22</v>
      </c>
      <c r="P180" s="103" t="s">
        <v>23</v>
      </c>
      <c r="Q180" s="23" t="s">
        <v>24</v>
      </c>
      <c r="R180" s="20" t="s">
        <v>25</v>
      </c>
    </row>
    <row r="181" spans="1:18" ht="15" customHeight="1" x14ac:dyDescent="0.3">
      <c r="A181" s="8" t="s">
        <v>35</v>
      </c>
      <c r="B181" s="8" t="s">
        <v>36</v>
      </c>
      <c r="C181" s="100">
        <v>0.30555555555555558</v>
      </c>
      <c r="D181" s="8" t="s">
        <v>37</v>
      </c>
      <c r="E181" s="8" t="s">
        <v>60</v>
      </c>
      <c r="F181" s="8" t="s">
        <v>39</v>
      </c>
      <c r="G181" s="15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25" t="s">
        <v>35</v>
      </c>
      <c r="B182" s="25" t="s">
        <v>36</v>
      </c>
      <c r="C182" s="105">
        <v>0.30555555555555558</v>
      </c>
      <c r="D182" s="25" t="s">
        <v>40</v>
      </c>
      <c r="E182" s="25" t="s">
        <v>60</v>
      </c>
      <c r="F182" s="25" t="s">
        <v>41</v>
      </c>
      <c r="G182" s="15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25" t="s">
        <v>35</v>
      </c>
      <c r="B183" s="25" t="s">
        <v>36</v>
      </c>
      <c r="C183" s="105">
        <v>0.30555555555555558</v>
      </c>
      <c r="D183" s="25" t="s">
        <v>42</v>
      </c>
      <c r="E183" s="25" t="s">
        <v>60</v>
      </c>
      <c r="F183" s="25" t="s">
        <v>43</v>
      </c>
      <c r="G183" s="15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26" t="s">
        <v>44</v>
      </c>
      <c r="B184" s="26" t="s">
        <v>53</v>
      </c>
      <c r="C184" s="106">
        <v>0.83680555555555558</v>
      </c>
      <c r="D184" s="26" t="s">
        <v>46</v>
      </c>
      <c r="E184" s="26" t="s">
        <v>135</v>
      </c>
      <c r="F184" s="26" t="s">
        <v>48</v>
      </c>
      <c r="G184" s="15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25" t="s">
        <v>44</v>
      </c>
      <c r="B185" s="25" t="s">
        <v>53</v>
      </c>
      <c r="C185" s="105">
        <v>0.83680555555555558</v>
      </c>
      <c r="D185" s="25" t="s">
        <v>49</v>
      </c>
      <c r="E185" s="25" t="s">
        <v>135</v>
      </c>
      <c r="F185" s="25" t="s">
        <v>50</v>
      </c>
      <c r="G185" s="15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25" t="s">
        <v>44</v>
      </c>
      <c r="B186" s="25" t="s">
        <v>53</v>
      </c>
      <c r="C186" s="105">
        <v>0.83680555555555558</v>
      </c>
      <c r="D186" s="25" t="s">
        <v>51</v>
      </c>
      <c r="E186" s="25" t="s">
        <v>135</v>
      </c>
      <c r="F186" s="25" t="s">
        <v>52</v>
      </c>
      <c r="G186" s="15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26" t="s">
        <v>31</v>
      </c>
      <c r="B187" s="26" t="s">
        <v>32</v>
      </c>
      <c r="C187" s="106">
        <v>0.86458333333333337</v>
      </c>
      <c r="D187" s="26" t="s">
        <v>59</v>
      </c>
      <c r="E187" s="26" t="s">
        <v>92</v>
      </c>
      <c r="F187" s="26" t="s">
        <v>61</v>
      </c>
      <c r="G187" s="15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27" t="s">
        <v>31</v>
      </c>
      <c r="B188" s="27" t="s">
        <v>58</v>
      </c>
      <c r="C188" s="107">
        <v>0.1701388888888889</v>
      </c>
      <c r="D188" s="27" t="s">
        <v>59</v>
      </c>
      <c r="E188" s="27" t="s">
        <v>29</v>
      </c>
      <c r="F188" s="27" t="s">
        <v>61</v>
      </c>
      <c r="G188" s="15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27" t="s">
        <v>31</v>
      </c>
      <c r="B189" s="27" t="s">
        <v>62</v>
      </c>
      <c r="C189" s="107">
        <v>0.52777777777777779</v>
      </c>
      <c r="D189" s="27" t="s">
        <v>33</v>
      </c>
      <c r="E189" s="27" t="s">
        <v>29</v>
      </c>
      <c r="F189" s="27" t="s">
        <v>136</v>
      </c>
      <c r="G189" s="15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26" t="s">
        <v>26</v>
      </c>
      <c r="B190" s="26" t="s">
        <v>27</v>
      </c>
      <c r="C190" s="106">
        <v>0.95833333333333337</v>
      </c>
      <c r="D190" s="26" t="s">
        <v>28</v>
      </c>
      <c r="E190" s="26" t="s">
        <v>29</v>
      </c>
      <c r="F190" s="26" t="s">
        <v>133</v>
      </c>
      <c r="G190" s="15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46" t="s">
        <v>63</v>
      </c>
      <c r="B191" s="46" t="s">
        <v>64</v>
      </c>
      <c r="C191" s="117">
        <v>0.57986111111111116</v>
      </c>
      <c r="D191" s="46" t="s">
        <v>28</v>
      </c>
      <c r="E191" s="46" t="s">
        <v>95</v>
      </c>
      <c r="F191" s="46" t="s">
        <v>65</v>
      </c>
      <c r="G191" s="159"/>
      <c r="H191" s="47" t="s">
        <v>66</v>
      </c>
      <c r="I191" s="118">
        <v>0.41070000000000001</v>
      </c>
      <c r="J191" s="48">
        <v>69</v>
      </c>
      <c r="K191" s="49">
        <v>45992</v>
      </c>
      <c r="L191" s="48">
        <v>38</v>
      </c>
      <c r="M191" s="48">
        <v>3</v>
      </c>
      <c r="N191" s="48">
        <v>1</v>
      </c>
      <c r="O191" s="50" t="s">
        <v>137</v>
      </c>
      <c r="P191" s="119">
        <v>0.57986111111111116</v>
      </c>
      <c r="Q191" s="48">
        <v>168</v>
      </c>
      <c r="R191" s="51" t="s">
        <v>138</v>
      </c>
    </row>
    <row r="192" spans="1:18" ht="15" customHeight="1" thickBot="1" x14ac:dyDescent="0.35">
      <c r="A192" s="14" t="s">
        <v>69</v>
      </c>
      <c r="B192" s="14" t="s">
        <v>70</v>
      </c>
      <c r="C192" s="101">
        <v>0.30555555555555558</v>
      </c>
      <c r="D192" s="14" t="s">
        <v>71</v>
      </c>
      <c r="E192" s="14" t="s">
        <v>72</v>
      </c>
      <c r="F192" s="14" t="s">
        <v>73</v>
      </c>
      <c r="G192" s="160"/>
      <c r="H192" s="15"/>
      <c r="I192" s="16"/>
      <c r="J192" s="16"/>
      <c r="K192" s="16"/>
      <c r="L192" s="16"/>
      <c r="M192" s="16"/>
      <c r="N192" s="16"/>
      <c r="O192" s="17"/>
      <c r="P192" s="16"/>
      <c r="Q192" s="18"/>
      <c r="R192" s="19"/>
    </row>
    <row r="193" spans="1:18" ht="17.399999999999999" customHeight="1" thickBot="1" x14ac:dyDescent="0.35">
      <c r="A193" s="164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6"/>
    </row>
    <row r="194" spans="1:18" ht="22.05" customHeight="1" thickTop="1" thickBot="1" x14ac:dyDescent="0.35">
      <c r="A194" s="161" t="s">
        <v>6</v>
      </c>
      <c r="B194" s="162"/>
      <c r="C194" s="162"/>
      <c r="D194" s="162"/>
      <c r="E194" s="162"/>
      <c r="F194" s="163"/>
      <c r="G194" s="102">
        <v>46004</v>
      </c>
      <c r="H194" s="167" t="s">
        <v>7</v>
      </c>
      <c r="I194" s="162"/>
      <c r="J194" s="162"/>
      <c r="K194" s="162"/>
      <c r="L194" s="162"/>
      <c r="M194" s="162"/>
      <c r="N194" s="162"/>
      <c r="O194" s="162"/>
      <c r="P194" s="162"/>
      <c r="Q194" s="162"/>
      <c r="R194" s="163"/>
    </row>
    <row r="195" spans="1:18" ht="24" customHeight="1" x14ac:dyDescent="0.3">
      <c r="A195" s="20" t="s">
        <v>8</v>
      </c>
      <c r="B195" s="20" t="s">
        <v>9</v>
      </c>
      <c r="C195" s="103" t="s">
        <v>10</v>
      </c>
      <c r="D195" s="20" t="s">
        <v>11</v>
      </c>
      <c r="E195" s="20" t="s">
        <v>12</v>
      </c>
      <c r="F195" s="21" t="s">
        <v>13</v>
      </c>
      <c r="G195" s="22" t="s">
        <v>14</v>
      </c>
      <c r="H195" s="20" t="s">
        <v>15</v>
      </c>
      <c r="I195" s="104" t="s">
        <v>16</v>
      </c>
      <c r="J195" s="23" t="s">
        <v>17</v>
      </c>
      <c r="K195" s="24" t="s">
        <v>18</v>
      </c>
      <c r="L195" s="23" t="s">
        <v>19</v>
      </c>
      <c r="M195" s="23" t="s">
        <v>20</v>
      </c>
      <c r="N195" s="23" t="s">
        <v>21</v>
      </c>
      <c r="O195" s="20" t="s">
        <v>22</v>
      </c>
      <c r="P195" s="103" t="s">
        <v>23</v>
      </c>
      <c r="Q195" s="23" t="s">
        <v>24</v>
      </c>
      <c r="R195" s="20" t="s">
        <v>25</v>
      </c>
    </row>
    <row r="196" spans="1:18" ht="15" customHeight="1" x14ac:dyDescent="0.3">
      <c r="A196" s="8" t="s">
        <v>35</v>
      </c>
      <c r="B196" s="8" t="s">
        <v>36</v>
      </c>
      <c r="C196" s="100">
        <v>0.30555555555555558</v>
      </c>
      <c r="D196" s="8" t="s">
        <v>37</v>
      </c>
      <c r="E196" s="8" t="s">
        <v>139</v>
      </c>
      <c r="F196" s="8" t="s">
        <v>111</v>
      </c>
      <c r="G196" s="15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25" t="s">
        <v>35</v>
      </c>
      <c r="B197" s="25" t="s">
        <v>36</v>
      </c>
      <c r="C197" s="105">
        <v>0.30555555555555558</v>
      </c>
      <c r="D197" s="25" t="s">
        <v>40</v>
      </c>
      <c r="E197" s="25" t="s">
        <v>139</v>
      </c>
      <c r="F197" s="25" t="s">
        <v>112</v>
      </c>
      <c r="G197" s="15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5" t="s">
        <v>35</v>
      </c>
      <c r="B198" s="25" t="s">
        <v>36</v>
      </c>
      <c r="C198" s="105">
        <v>0.30555555555555558</v>
      </c>
      <c r="D198" s="25" t="s">
        <v>42</v>
      </c>
      <c r="E198" s="25" t="s">
        <v>139</v>
      </c>
      <c r="F198" s="25" t="s">
        <v>85</v>
      </c>
      <c r="G198" s="15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26" t="s">
        <v>44</v>
      </c>
      <c r="B199" s="26" t="s">
        <v>45</v>
      </c>
      <c r="C199" s="106">
        <v>0.2013888888888889</v>
      </c>
      <c r="D199" s="26" t="s">
        <v>46</v>
      </c>
      <c r="E199" s="26" t="s">
        <v>47</v>
      </c>
      <c r="F199" s="26" t="s">
        <v>48</v>
      </c>
      <c r="G199" s="15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25" t="s">
        <v>44</v>
      </c>
      <c r="B200" s="25" t="s">
        <v>45</v>
      </c>
      <c r="C200" s="105">
        <v>0.2013888888888889</v>
      </c>
      <c r="D200" s="25" t="s">
        <v>49</v>
      </c>
      <c r="E200" s="25" t="s">
        <v>47</v>
      </c>
      <c r="F200" s="25" t="s">
        <v>50</v>
      </c>
      <c r="G200" s="15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25" t="s">
        <v>44</v>
      </c>
      <c r="B201" s="25" t="s">
        <v>45</v>
      </c>
      <c r="C201" s="105">
        <v>0.2013888888888889</v>
      </c>
      <c r="D201" s="25" t="s">
        <v>51</v>
      </c>
      <c r="E201" s="25" t="s">
        <v>47</v>
      </c>
      <c r="F201" s="25" t="s">
        <v>52</v>
      </c>
      <c r="G201" s="15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27" t="s">
        <v>44</v>
      </c>
      <c r="B202" s="27" t="s">
        <v>53</v>
      </c>
      <c r="C202" s="107">
        <v>0.83680555555555558</v>
      </c>
      <c r="D202" s="27" t="s">
        <v>46</v>
      </c>
      <c r="E202" s="27" t="s">
        <v>47</v>
      </c>
      <c r="F202" s="27" t="s">
        <v>30</v>
      </c>
      <c r="G202" s="15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25" t="s">
        <v>44</v>
      </c>
      <c r="B203" s="25" t="s">
        <v>53</v>
      </c>
      <c r="C203" s="105">
        <v>0.83680555555555558</v>
      </c>
      <c r="D203" s="25" t="s">
        <v>49</v>
      </c>
      <c r="E203" s="25" t="s">
        <v>47</v>
      </c>
      <c r="F203" s="25" t="s">
        <v>88</v>
      </c>
      <c r="G203" s="15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25" t="s">
        <v>44</v>
      </c>
      <c r="B204" s="25" t="s">
        <v>53</v>
      </c>
      <c r="C204" s="105">
        <v>0.83680555555555558</v>
      </c>
      <c r="D204" s="25" t="s">
        <v>51</v>
      </c>
      <c r="E204" s="25" t="s">
        <v>47</v>
      </c>
      <c r="F204" s="25" t="s">
        <v>102</v>
      </c>
      <c r="G204" s="15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26" t="s">
        <v>74</v>
      </c>
      <c r="B205" s="26" t="s">
        <v>75</v>
      </c>
      <c r="C205" s="106">
        <v>0.97222222222222221</v>
      </c>
      <c r="D205" s="26" t="s">
        <v>76</v>
      </c>
      <c r="E205" s="26" t="s">
        <v>47</v>
      </c>
      <c r="F205" s="26" t="s">
        <v>113</v>
      </c>
      <c r="G205" s="15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25" t="s">
        <v>74</v>
      </c>
      <c r="B206" s="25" t="s">
        <v>75</v>
      </c>
      <c r="C206" s="105">
        <v>0.97222222222222221</v>
      </c>
      <c r="D206" s="25" t="s">
        <v>42</v>
      </c>
      <c r="E206" s="25" t="s">
        <v>47</v>
      </c>
      <c r="F206" s="25" t="s">
        <v>114</v>
      </c>
      <c r="G206" s="15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26" t="s">
        <v>26</v>
      </c>
      <c r="B207" s="26" t="s">
        <v>57</v>
      </c>
      <c r="C207" s="106">
        <v>0.89583333333333337</v>
      </c>
      <c r="D207" s="26" t="s">
        <v>28</v>
      </c>
      <c r="E207" s="26" t="s">
        <v>29</v>
      </c>
      <c r="F207" s="26" t="s">
        <v>30</v>
      </c>
      <c r="G207" s="15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26" t="s">
        <v>31</v>
      </c>
      <c r="B208" s="26" t="s">
        <v>32</v>
      </c>
      <c r="C208" s="106">
        <v>0.86458333333333337</v>
      </c>
      <c r="D208" s="26" t="s">
        <v>59</v>
      </c>
      <c r="E208" s="26" t="s">
        <v>29</v>
      </c>
      <c r="F208" s="26" t="s">
        <v>61</v>
      </c>
      <c r="G208" s="15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27" t="s">
        <v>31</v>
      </c>
      <c r="B209" s="27" t="s">
        <v>58</v>
      </c>
      <c r="C209" s="107">
        <v>0.1701388888888889</v>
      </c>
      <c r="D209" s="27" t="s">
        <v>59</v>
      </c>
      <c r="E209" s="27" t="s">
        <v>87</v>
      </c>
      <c r="F209" s="27" t="s">
        <v>61</v>
      </c>
      <c r="G209" s="15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27" t="s">
        <v>31</v>
      </c>
      <c r="B210" s="27" t="s">
        <v>62</v>
      </c>
      <c r="C210" s="107">
        <v>0.52777777777777779</v>
      </c>
      <c r="D210" s="27" t="s">
        <v>59</v>
      </c>
      <c r="E210" s="27" t="s">
        <v>121</v>
      </c>
      <c r="F210" s="27" t="s">
        <v>115</v>
      </c>
      <c r="G210" s="15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52" t="s">
        <v>63</v>
      </c>
      <c r="B211" s="52" t="s">
        <v>64</v>
      </c>
      <c r="C211" s="120">
        <v>0.92361111111111116</v>
      </c>
      <c r="D211" s="52" t="s">
        <v>28</v>
      </c>
      <c r="E211" s="52" t="s">
        <v>29</v>
      </c>
      <c r="F211" s="52" t="s">
        <v>65</v>
      </c>
      <c r="G211" s="159"/>
      <c r="H211" s="53" t="s">
        <v>66</v>
      </c>
      <c r="I211" s="121">
        <v>0.22620000000000001</v>
      </c>
      <c r="J211" s="54">
        <v>38</v>
      </c>
      <c r="K211" s="55">
        <v>45990</v>
      </c>
      <c r="L211" s="54">
        <v>17</v>
      </c>
      <c r="M211" s="54">
        <v>0</v>
      </c>
      <c r="N211" s="54">
        <v>0</v>
      </c>
      <c r="O211" s="56" t="s">
        <v>67</v>
      </c>
      <c r="P211" s="122">
        <v>0.92361111111111116</v>
      </c>
      <c r="Q211" s="54">
        <v>168</v>
      </c>
      <c r="R211" s="57" t="s">
        <v>140</v>
      </c>
    </row>
    <row r="212" spans="1:18" ht="15" customHeight="1" thickBot="1" x14ac:dyDescent="0.35">
      <c r="A212" s="14" t="s">
        <v>69</v>
      </c>
      <c r="B212" s="14" t="s">
        <v>70</v>
      </c>
      <c r="C212" s="101">
        <v>0.30555555555555558</v>
      </c>
      <c r="D212" s="14" t="s">
        <v>71</v>
      </c>
      <c r="E212" s="14" t="s">
        <v>72</v>
      </c>
      <c r="F212" s="14" t="s">
        <v>117</v>
      </c>
      <c r="G212" s="160"/>
      <c r="H212" s="15"/>
      <c r="I212" s="16"/>
      <c r="J212" s="16"/>
      <c r="K212" s="16"/>
      <c r="L212" s="16"/>
      <c r="M212" s="16"/>
      <c r="N212" s="16"/>
      <c r="O212" s="17"/>
      <c r="P212" s="16"/>
      <c r="Q212" s="18"/>
      <c r="R212" s="19"/>
    </row>
    <row r="213" spans="1:18" ht="17.399999999999999" customHeight="1" thickBot="1" x14ac:dyDescent="0.35">
      <c r="A213" s="164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6"/>
    </row>
    <row r="214" spans="1:18" ht="22.05" customHeight="1" thickTop="1" thickBot="1" x14ac:dyDescent="0.35">
      <c r="A214" s="161" t="s">
        <v>6</v>
      </c>
      <c r="B214" s="162"/>
      <c r="C214" s="162"/>
      <c r="D214" s="162"/>
      <c r="E214" s="162"/>
      <c r="F214" s="163"/>
      <c r="G214" s="102">
        <v>46005</v>
      </c>
      <c r="H214" s="167" t="s">
        <v>7</v>
      </c>
      <c r="I214" s="162"/>
      <c r="J214" s="162"/>
      <c r="K214" s="162"/>
      <c r="L214" s="162"/>
      <c r="M214" s="162"/>
      <c r="N214" s="162"/>
      <c r="O214" s="162"/>
      <c r="P214" s="162"/>
      <c r="Q214" s="162"/>
      <c r="R214" s="163"/>
    </row>
    <row r="215" spans="1:18" ht="24" customHeight="1" x14ac:dyDescent="0.3">
      <c r="A215" s="20" t="s">
        <v>8</v>
      </c>
      <c r="B215" s="20" t="s">
        <v>9</v>
      </c>
      <c r="C215" s="103" t="s">
        <v>10</v>
      </c>
      <c r="D215" s="20" t="s">
        <v>11</v>
      </c>
      <c r="E215" s="20" t="s">
        <v>12</v>
      </c>
      <c r="F215" s="21" t="s">
        <v>13</v>
      </c>
      <c r="G215" s="22" t="s">
        <v>14</v>
      </c>
      <c r="H215" s="20" t="s">
        <v>15</v>
      </c>
      <c r="I215" s="104" t="s">
        <v>16</v>
      </c>
      <c r="J215" s="23" t="s">
        <v>17</v>
      </c>
      <c r="K215" s="24" t="s">
        <v>18</v>
      </c>
      <c r="L215" s="23" t="s">
        <v>19</v>
      </c>
      <c r="M215" s="23" t="s">
        <v>20</v>
      </c>
      <c r="N215" s="23" t="s">
        <v>21</v>
      </c>
      <c r="O215" s="20" t="s">
        <v>22</v>
      </c>
      <c r="P215" s="103" t="s">
        <v>23</v>
      </c>
      <c r="Q215" s="23" t="s">
        <v>24</v>
      </c>
      <c r="R215" s="20" t="s">
        <v>25</v>
      </c>
    </row>
    <row r="216" spans="1:18" ht="15" customHeight="1" x14ac:dyDescent="0.3">
      <c r="A216" s="8" t="s">
        <v>35</v>
      </c>
      <c r="B216" s="8" t="s">
        <v>36</v>
      </c>
      <c r="C216" s="100">
        <v>0.30555555555555558</v>
      </c>
      <c r="D216" s="8" t="s">
        <v>37</v>
      </c>
      <c r="E216" s="8" t="s">
        <v>141</v>
      </c>
      <c r="F216" s="8" t="s">
        <v>111</v>
      </c>
      <c r="G216" s="15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25" t="s">
        <v>35</v>
      </c>
      <c r="B217" s="25" t="s">
        <v>36</v>
      </c>
      <c r="C217" s="105">
        <v>0.30555555555555558</v>
      </c>
      <c r="D217" s="25" t="s">
        <v>40</v>
      </c>
      <c r="E217" s="25" t="s">
        <v>141</v>
      </c>
      <c r="F217" s="25" t="s">
        <v>112</v>
      </c>
      <c r="G217" s="15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25" t="s">
        <v>35</v>
      </c>
      <c r="B218" s="25" t="s">
        <v>36</v>
      </c>
      <c r="C218" s="105">
        <v>0.30555555555555558</v>
      </c>
      <c r="D218" s="25" t="s">
        <v>42</v>
      </c>
      <c r="E218" s="25" t="s">
        <v>141</v>
      </c>
      <c r="F218" s="25" t="s">
        <v>85</v>
      </c>
      <c r="G218" s="15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26" t="s">
        <v>44</v>
      </c>
      <c r="B219" s="26" t="s">
        <v>53</v>
      </c>
      <c r="C219" s="106">
        <v>0.85069444444444442</v>
      </c>
      <c r="D219" s="26" t="s">
        <v>46</v>
      </c>
      <c r="E219" s="26" t="s">
        <v>121</v>
      </c>
      <c r="F219" s="26" t="s">
        <v>48</v>
      </c>
      <c r="G219" s="15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25" t="s">
        <v>44</v>
      </c>
      <c r="B220" s="25" t="s">
        <v>53</v>
      </c>
      <c r="C220" s="105">
        <v>0.85069444444444442</v>
      </c>
      <c r="D220" s="25" t="s">
        <v>49</v>
      </c>
      <c r="E220" s="25" t="s">
        <v>121</v>
      </c>
      <c r="F220" s="25" t="s">
        <v>50</v>
      </c>
      <c r="G220" s="15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25" t="s">
        <v>44</v>
      </c>
      <c r="B221" s="25" t="s">
        <v>53</v>
      </c>
      <c r="C221" s="105">
        <v>0.85069444444444442</v>
      </c>
      <c r="D221" s="25" t="s">
        <v>51</v>
      </c>
      <c r="E221" s="25" t="s">
        <v>121</v>
      </c>
      <c r="F221" s="25" t="s">
        <v>52</v>
      </c>
      <c r="G221" s="15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26" t="s">
        <v>79</v>
      </c>
      <c r="B222" s="26" t="s">
        <v>119</v>
      </c>
      <c r="C222" s="106">
        <v>0.22222222222222221</v>
      </c>
      <c r="D222" s="26" t="s">
        <v>28</v>
      </c>
      <c r="E222" s="26" t="s">
        <v>95</v>
      </c>
      <c r="F222" s="26" t="s">
        <v>81</v>
      </c>
      <c r="G222" s="15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26" t="s">
        <v>26</v>
      </c>
      <c r="B223" s="26" t="s">
        <v>93</v>
      </c>
      <c r="C223" s="106">
        <v>0.95833333333333337</v>
      </c>
      <c r="D223" s="26" t="s">
        <v>28</v>
      </c>
      <c r="E223" s="26" t="s">
        <v>29</v>
      </c>
      <c r="F223" s="26" t="s">
        <v>30</v>
      </c>
      <c r="G223" s="15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26" t="s">
        <v>31</v>
      </c>
      <c r="B224" s="26" t="s">
        <v>32</v>
      </c>
      <c r="C224" s="106">
        <v>0.86458333333333337</v>
      </c>
      <c r="D224" s="26" t="s">
        <v>59</v>
      </c>
      <c r="E224" s="26" t="s">
        <v>72</v>
      </c>
      <c r="F224" s="26" t="s">
        <v>61</v>
      </c>
      <c r="G224" s="15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27" t="s">
        <v>31</v>
      </c>
      <c r="B225" s="27" t="s">
        <v>58</v>
      </c>
      <c r="C225" s="107">
        <v>0.1701388888888889</v>
      </c>
      <c r="D225" s="27" t="s">
        <v>59</v>
      </c>
      <c r="E225" s="27" t="s">
        <v>121</v>
      </c>
      <c r="F225" s="27" t="s">
        <v>61</v>
      </c>
      <c r="G225" s="15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thickBot="1" x14ac:dyDescent="0.35">
      <c r="A226" s="14" t="s">
        <v>69</v>
      </c>
      <c r="B226" s="14" t="s">
        <v>70</v>
      </c>
      <c r="C226" s="101">
        <v>0.30555555555555558</v>
      </c>
      <c r="D226" s="14" t="s">
        <v>71</v>
      </c>
      <c r="E226" s="14" t="s">
        <v>72</v>
      </c>
      <c r="F226" s="14" t="s">
        <v>117</v>
      </c>
      <c r="G226" s="160"/>
      <c r="H226" s="15"/>
      <c r="I226" s="16"/>
      <c r="J226" s="16"/>
      <c r="K226" s="16"/>
      <c r="L226" s="16"/>
      <c r="M226" s="16"/>
      <c r="N226" s="16"/>
      <c r="O226" s="17"/>
      <c r="P226" s="16"/>
      <c r="Q226" s="18"/>
      <c r="R226" s="19"/>
    </row>
    <row r="227" spans="1:18" ht="17.399999999999999" customHeight="1" thickBot="1" x14ac:dyDescent="0.35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6"/>
    </row>
    <row r="228" spans="1:18" ht="22.05" customHeight="1" thickTop="1" thickBot="1" x14ac:dyDescent="0.35">
      <c r="A228" s="161" t="s">
        <v>6</v>
      </c>
      <c r="B228" s="162"/>
      <c r="C228" s="162"/>
      <c r="D228" s="162"/>
      <c r="E228" s="162"/>
      <c r="F228" s="163"/>
      <c r="G228" s="102">
        <v>46006</v>
      </c>
      <c r="H228" s="167" t="s">
        <v>7</v>
      </c>
      <c r="I228" s="162"/>
      <c r="J228" s="162"/>
      <c r="K228" s="162"/>
      <c r="L228" s="162"/>
      <c r="M228" s="162"/>
      <c r="N228" s="162"/>
      <c r="O228" s="162"/>
      <c r="P228" s="162"/>
      <c r="Q228" s="162"/>
      <c r="R228" s="163"/>
    </row>
    <row r="229" spans="1:18" ht="24" customHeight="1" x14ac:dyDescent="0.3">
      <c r="A229" s="20" t="s">
        <v>8</v>
      </c>
      <c r="B229" s="20" t="s">
        <v>9</v>
      </c>
      <c r="C229" s="103" t="s">
        <v>10</v>
      </c>
      <c r="D229" s="20" t="s">
        <v>11</v>
      </c>
      <c r="E229" s="20" t="s">
        <v>12</v>
      </c>
      <c r="F229" s="21" t="s">
        <v>13</v>
      </c>
      <c r="G229" s="22" t="s">
        <v>14</v>
      </c>
      <c r="H229" s="20" t="s">
        <v>15</v>
      </c>
      <c r="I229" s="104" t="s">
        <v>16</v>
      </c>
      <c r="J229" s="23" t="s">
        <v>17</v>
      </c>
      <c r="K229" s="24" t="s">
        <v>18</v>
      </c>
      <c r="L229" s="23" t="s">
        <v>19</v>
      </c>
      <c r="M229" s="23" t="s">
        <v>20</v>
      </c>
      <c r="N229" s="23" t="s">
        <v>21</v>
      </c>
      <c r="O229" s="20" t="s">
        <v>22</v>
      </c>
      <c r="P229" s="103" t="s">
        <v>23</v>
      </c>
      <c r="Q229" s="23" t="s">
        <v>24</v>
      </c>
      <c r="R229" s="20" t="s">
        <v>25</v>
      </c>
    </row>
    <row r="230" spans="1:18" ht="15" customHeight="1" x14ac:dyDescent="0.3">
      <c r="A230" s="8" t="s">
        <v>35</v>
      </c>
      <c r="B230" s="8" t="s">
        <v>36</v>
      </c>
      <c r="C230" s="100">
        <v>0.30555555555555558</v>
      </c>
      <c r="D230" s="8" t="s">
        <v>37</v>
      </c>
      <c r="E230" s="8" t="s">
        <v>142</v>
      </c>
      <c r="F230" s="8" t="s">
        <v>111</v>
      </c>
      <c r="G230" s="15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25" t="s">
        <v>35</v>
      </c>
      <c r="B231" s="25" t="s">
        <v>36</v>
      </c>
      <c r="C231" s="105">
        <v>0.30555555555555558</v>
      </c>
      <c r="D231" s="25" t="s">
        <v>40</v>
      </c>
      <c r="E231" s="25" t="s">
        <v>142</v>
      </c>
      <c r="F231" s="25" t="s">
        <v>112</v>
      </c>
      <c r="G231" s="15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25" t="s">
        <v>35</v>
      </c>
      <c r="B232" s="25" t="s">
        <v>36</v>
      </c>
      <c r="C232" s="105">
        <v>0.30555555555555558</v>
      </c>
      <c r="D232" s="25" t="s">
        <v>42</v>
      </c>
      <c r="E232" s="25" t="s">
        <v>142</v>
      </c>
      <c r="F232" s="25" t="s">
        <v>85</v>
      </c>
      <c r="G232" s="15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26" t="s">
        <v>44</v>
      </c>
      <c r="B233" s="26" t="s">
        <v>45</v>
      </c>
      <c r="C233" s="106">
        <v>0.2013888888888889</v>
      </c>
      <c r="D233" s="26" t="s">
        <v>46</v>
      </c>
      <c r="E233" s="26" t="s">
        <v>47</v>
      </c>
      <c r="F233" s="26" t="s">
        <v>48</v>
      </c>
      <c r="G233" s="15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25" t="s">
        <v>44</v>
      </c>
      <c r="B234" s="25" t="s">
        <v>45</v>
      </c>
      <c r="C234" s="105">
        <v>0.2013888888888889</v>
      </c>
      <c r="D234" s="25" t="s">
        <v>49</v>
      </c>
      <c r="E234" s="25" t="s">
        <v>47</v>
      </c>
      <c r="F234" s="25" t="s">
        <v>50</v>
      </c>
      <c r="G234" s="15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25" t="s">
        <v>44</v>
      </c>
      <c r="B235" s="25" t="s">
        <v>45</v>
      </c>
      <c r="C235" s="105">
        <v>0.2013888888888889</v>
      </c>
      <c r="D235" s="25" t="s">
        <v>51</v>
      </c>
      <c r="E235" s="25" t="s">
        <v>47</v>
      </c>
      <c r="F235" s="25" t="s">
        <v>52</v>
      </c>
      <c r="G235" s="15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27" t="s">
        <v>44</v>
      </c>
      <c r="B236" s="27" t="s">
        <v>53</v>
      </c>
      <c r="C236" s="107">
        <v>0.83680555555555558</v>
      </c>
      <c r="D236" s="27" t="s">
        <v>46</v>
      </c>
      <c r="E236" s="27" t="s">
        <v>47</v>
      </c>
      <c r="F236" s="27" t="s">
        <v>54</v>
      </c>
      <c r="G236" s="15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25" t="s">
        <v>44</v>
      </c>
      <c r="B237" s="25" t="s">
        <v>53</v>
      </c>
      <c r="C237" s="105">
        <v>0.83680555555555558</v>
      </c>
      <c r="D237" s="25" t="s">
        <v>49</v>
      </c>
      <c r="E237" s="25" t="s">
        <v>47</v>
      </c>
      <c r="F237" s="25" t="s">
        <v>55</v>
      </c>
      <c r="G237" s="15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25" t="s">
        <v>44</v>
      </c>
      <c r="B238" s="25" t="s">
        <v>53</v>
      </c>
      <c r="C238" s="105">
        <v>0.83680555555555558</v>
      </c>
      <c r="D238" s="25" t="s">
        <v>51</v>
      </c>
      <c r="E238" s="25" t="s">
        <v>47</v>
      </c>
      <c r="F238" s="25" t="s">
        <v>56</v>
      </c>
      <c r="G238" s="15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26" t="s">
        <v>31</v>
      </c>
      <c r="B239" s="26" t="s">
        <v>32</v>
      </c>
      <c r="C239" s="106">
        <v>0.86458333333333337</v>
      </c>
      <c r="D239" s="26" t="s">
        <v>59</v>
      </c>
      <c r="E239" s="26" t="s">
        <v>29</v>
      </c>
      <c r="F239" s="26" t="s">
        <v>61</v>
      </c>
      <c r="G239" s="15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27" t="s">
        <v>31</v>
      </c>
      <c r="B240" s="27" t="s">
        <v>58</v>
      </c>
      <c r="C240" s="107">
        <v>0.1701388888888889</v>
      </c>
      <c r="D240" s="27" t="s">
        <v>59</v>
      </c>
      <c r="E240" s="27" t="s">
        <v>29</v>
      </c>
      <c r="F240" s="27" t="s">
        <v>61</v>
      </c>
      <c r="G240" s="15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27" t="s">
        <v>31</v>
      </c>
      <c r="B241" s="27" t="s">
        <v>62</v>
      </c>
      <c r="C241" s="107">
        <v>0.52777777777777779</v>
      </c>
      <c r="D241" s="27" t="s">
        <v>94</v>
      </c>
      <c r="E241" s="27" t="s">
        <v>29</v>
      </c>
      <c r="F241" s="27" t="s">
        <v>96</v>
      </c>
      <c r="G241" s="15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26" t="s">
        <v>26</v>
      </c>
      <c r="B242" s="26" t="s">
        <v>27</v>
      </c>
      <c r="C242" s="106">
        <v>0.95833333333333337</v>
      </c>
      <c r="D242" s="26" t="s">
        <v>28</v>
      </c>
      <c r="E242" s="26" t="s">
        <v>29</v>
      </c>
      <c r="F242" s="26" t="s">
        <v>133</v>
      </c>
      <c r="G242" s="15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thickBot="1" x14ac:dyDescent="0.35">
      <c r="A243" s="14" t="s">
        <v>69</v>
      </c>
      <c r="B243" s="14" t="s">
        <v>70</v>
      </c>
      <c r="C243" s="101">
        <v>0.30555555555555558</v>
      </c>
      <c r="D243" s="14" t="s">
        <v>71</v>
      </c>
      <c r="E243" s="14" t="s">
        <v>72</v>
      </c>
      <c r="F243" s="14" t="s">
        <v>117</v>
      </c>
      <c r="G243" s="160"/>
      <c r="H243" s="15"/>
      <c r="I243" s="16"/>
      <c r="J243" s="16"/>
      <c r="K243" s="16"/>
      <c r="L243" s="16"/>
      <c r="M243" s="16"/>
      <c r="N243" s="16"/>
      <c r="O243" s="17"/>
      <c r="P243" s="16"/>
      <c r="Q243" s="18"/>
      <c r="R243" s="19"/>
    </row>
    <row r="244" spans="1:18" ht="17.399999999999999" customHeight="1" thickBot="1" x14ac:dyDescent="0.35">
      <c r="A244" s="164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6"/>
    </row>
    <row r="245" spans="1:18" ht="22.05" customHeight="1" thickTop="1" thickBot="1" x14ac:dyDescent="0.35">
      <c r="A245" s="161" t="s">
        <v>6</v>
      </c>
      <c r="B245" s="162"/>
      <c r="C245" s="162"/>
      <c r="D245" s="162"/>
      <c r="E245" s="162"/>
      <c r="F245" s="163"/>
      <c r="G245" s="102">
        <v>46007</v>
      </c>
      <c r="H245" s="167" t="s">
        <v>7</v>
      </c>
      <c r="I245" s="162"/>
      <c r="J245" s="162"/>
      <c r="K245" s="162"/>
      <c r="L245" s="162"/>
      <c r="M245" s="162"/>
      <c r="N245" s="162"/>
      <c r="O245" s="162"/>
      <c r="P245" s="162"/>
      <c r="Q245" s="162"/>
      <c r="R245" s="163"/>
    </row>
    <row r="246" spans="1:18" ht="24" customHeight="1" x14ac:dyDescent="0.3">
      <c r="A246" s="20" t="s">
        <v>8</v>
      </c>
      <c r="B246" s="20" t="s">
        <v>9</v>
      </c>
      <c r="C246" s="103" t="s">
        <v>10</v>
      </c>
      <c r="D246" s="20" t="s">
        <v>11</v>
      </c>
      <c r="E246" s="20" t="s">
        <v>12</v>
      </c>
      <c r="F246" s="21" t="s">
        <v>13</v>
      </c>
      <c r="G246" s="22" t="s">
        <v>14</v>
      </c>
      <c r="H246" s="20" t="s">
        <v>15</v>
      </c>
      <c r="I246" s="104" t="s">
        <v>16</v>
      </c>
      <c r="J246" s="23" t="s">
        <v>17</v>
      </c>
      <c r="K246" s="24" t="s">
        <v>18</v>
      </c>
      <c r="L246" s="23" t="s">
        <v>19</v>
      </c>
      <c r="M246" s="23" t="s">
        <v>20</v>
      </c>
      <c r="N246" s="23" t="s">
        <v>21</v>
      </c>
      <c r="O246" s="20" t="s">
        <v>22</v>
      </c>
      <c r="P246" s="103" t="s">
        <v>23</v>
      </c>
      <c r="Q246" s="23" t="s">
        <v>24</v>
      </c>
      <c r="R246" s="20" t="s">
        <v>25</v>
      </c>
    </row>
    <row r="247" spans="1:18" ht="15" customHeight="1" x14ac:dyDescent="0.3">
      <c r="A247" s="8" t="s">
        <v>35</v>
      </c>
      <c r="B247" s="8" t="s">
        <v>36</v>
      </c>
      <c r="C247" s="100">
        <v>0.30555555555555558</v>
      </c>
      <c r="D247" s="8" t="s">
        <v>37</v>
      </c>
      <c r="E247" s="8" t="s">
        <v>118</v>
      </c>
      <c r="F247" s="8" t="s">
        <v>111</v>
      </c>
      <c r="G247" s="15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25" t="s">
        <v>35</v>
      </c>
      <c r="B248" s="25" t="s">
        <v>36</v>
      </c>
      <c r="C248" s="105">
        <v>0.30555555555555558</v>
      </c>
      <c r="D248" s="25" t="s">
        <v>40</v>
      </c>
      <c r="E248" s="25" t="s">
        <v>118</v>
      </c>
      <c r="F248" s="25" t="s">
        <v>112</v>
      </c>
      <c r="G248" s="15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25" t="s">
        <v>35</v>
      </c>
      <c r="B249" s="25" t="s">
        <v>36</v>
      </c>
      <c r="C249" s="105">
        <v>0.30555555555555558</v>
      </c>
      <c r="D249" s="25" t="s">
        <v>42</v>
      </c>
      <c r="E249" s="25" t="s">
        <v>118</v>
      </c>
      <c r="F249" s="25" t="s">
        <v>85</v>
      </c>
      <c r="G249" s="15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26" t="s">
        <v>44</v>
      </c>
      <c r="B250" s="26" t="s">
        <v>45</v>
      </c>
      <c r="C250" s="106">
        <v>0.2013888888888889</v>
      </c>
      <c r="D250" s="26" t="s">
        <v>46</v>
      </c>
      <c r="E250" s="26" t="s">
        <v>47</v>
      </c>
      <c r="F250" s="26" t="s">
        <v>48</v>
      </c>
      <c r="G250" s="15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25" t="s">
        <v>44</v>
      </c>
      <c r="B251" s="25" t="s">
        <v>45</v>
      </c>
      <c r="C251" s="105">
        <v>0.2013888888888889</v>
      </c>
      <c r="D251" s="25" t="s">
        <v>49</v>
      </c>
      <c r="E251" s="25" t="s">
        <v>47</v>
      </c>
      <c r="F251" s="25" t="s">
        <v>50</v>
      </c>
      <c r="G251" s="15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25" t="s">
        <v>44</v>
      </c>
      <c r="B252" s="25" t="s">
        <v>45</v>
      </c>
      <c r="C252" s="105">
        <v>0.2013888888888889</v>
      </c>
      <c r="D252" s="25" t="s">
        <v>51</v>
      </c>
      <c r="E252" s="25" t="s">
        <v>47</v>
      </c>
      <c r="F252" s="25" t="s">
        <v>52</v>
      </c>
      <c r="G252" s="15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27" t="s">
        <v>44</v>
      </c>
      <c r="B253" s="27" t="s">
        <v>53</v>
      </c>
      <c r="C253" s="107">
        <v>0.83680555555555558</v>
      </c>
      <c r="D253" s="27" t="s">
        <v>46</v>
      </c>
      <c r="E253" s="27" t="s">
        <v>87</v>
      </c>
      <c r="F253" s="27" t="s">
        <v>30</v>
      </c>
      <c r="G253" s="15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25" t="s">
        <v>44</v>
      </c>
      <c r="B254" s="25" t="s">
        <v>53</v>
      </c>
      <c r="C254" s="105">
        <v>0.83680555555555558</v>
      </c>
      <c r="D254" s="25" t="s">
        <v>49</v>
      </c>
      <c r="E254" s="25" t="s">
        <v>87</v>
      </c>
      <c r="F254" s="25" t="s">
        <v>88</v>
      </c>
      <c r="G254" s="15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25" t="s">
        <v>44</v>
      </c>
      <c r="B255" s="25" t="s">
        <v>53</v>
      </c>
      <c r="C255" s="105">
        <v>0.83680555555555558</v>
      </c>
      <c r="D255" s="25" t="s">
        <v>51</v>
      </c>
      <c r="E255" s="25" t="s">
        <v>87</v>
      </c>
      <c r="F255" s="25" t="s">
        <v>102</v>
      </c>
      <c r="G255" s="15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26" t="s">
        <v>26</v>
      </c>
      <c r="B256" s="26" t="s">
        <v>57</v>
      </c>
      <c r="C256" s="106">
        <v>0.95833333333333337</v>
      </c>
      <c r="D256" s="26" t="s">
        <v>28</v>
      </c>
      <c r="E256" s="26" t="s">
        <v>121</v>
      </c>
      <c r="F256" s="26" t="s">
        <v>30</v>
      </c>
      <c r="G256" s="15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26" t="s">
        <v>31</v>
      </c>
      <c r="B257" s="26" t="s">
        <v>32</v>
      </c>
      <c r="C257" s="106">
        <v>0.86458333333333337</v>
      </c>
      <c r="D257" s="26" t="s">
        <v>59</v>
      </c>
      <c r="E257" s="26" t="s">
        <v>29</v>
      </c>
      <c r="F257" s="26" t="s">
        <v>61</v>
      </c>
      <c r="G257" s="15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27" t="s">
        <v>31</v>
      </c>
      <c r="B258" s="27" t="s">
        <v>62</v>
      </c>
      <c r="C258" s="107">
        <v>0.52777777777777779</v>
      </c>
      <c r="D258" s="27" t="s">
        <v>59</v>
      </c>
      <c r="E258" s="27" t="s">
        <v>29</v>
      </c>
      <c r="F258" s="27" t="s">
        <v>61</v>
      </c>
      <c r="G258" s="15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27" t="s">
        <v>31</v>
      </c>
      <c r="B259" s="27" t="s">
        <v>58</v>
      </c>
      <c r="C259" s="107">
        <v>0.1701388888888889</v>
      </c>
      <c r="D259" s="27" t="s">
        <v>59</v>
      </c>
      <c r="E259" s="27" t="s">
        <v>29</v>
      </c>
      <c r="F259" s="27" t="s">
        <v>61</v>
      </c>
      <c r="G259" s="15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28" t="s">
        <v>63</v>
      </c>
      <c r="B260" s="28" t="s">
        <v>64</v>
      </c>
      <c r="C260" s="108">
        <v>0.27083333333333331</v>
      </c>
      <c r="D260" s="28" t="s">
        <v>28</v>
      </c>
      <c r="E260" s="28" t="s">
        <v>29</v>
      </c>
      <c r="F260" s="28" t="s">
        <v>65</v>
      </c>
      <c r="G260" s="159"/>
      <c r="H260" s="29" t="s">
        <v>66</v>
      </c>
      <c r="I260" s="109">
        <v>0.26190000000000002</v>
      </c>
      <c r="J260" s="30">
        <v>44</v>
      </c>
      <c r="K260" s="31">
        <v>45989</v>
      </c>
      <c r="L260" s="30">
        <v>16</v>
      </c>
      <c r="M260" s="30">
        <v>0</v>
      </c>
      <c r="N260" s="30">
        <v>0</v>
      </c>
      <c r="O260" s="32" t="s">
        <v>67</v>
      </c>
      <c r="P260" s="110">
        <v>0.27083333333333331</v>
      </c>
      <c r="Q260" s="30">
        <v>168</v>
      </c>
      <c r="R260" s="33" t="s">
        <v>143</v>
      </c>
    </row>
    <row r="261" spans="1:18" ht="15" customHeight="1" thickBot="1" x14ac:dyDescent="0.35">
      <c r="A261" s="14" t="s">
        <v>69</v>
      </c>
      <c r="B261" s="14" t="s">
        <v>70</v>
      </c>
      <c r="C261" s="101">
        <v>0.30555555555555558</v>
      </c>
      <c r="D261" s="14" t="s">
        <v>71</v>
      </c>
      <c r="E261" s="14" t="s">
        <v>72</v>
      </c>
      <c r="F261" s="14" t="s">
        <v>117</v>
      </c>
      <c r="G261" s="160"/>
      <c r="H261" s="15"/>
      <c r="I261" s="16"/>
      <c r="J261" s="16"/>
      <c r="K261" s="16"/>
      <c r="L261" s="16"/>
      <c r="M261" s="16"/>
      <c r="N261" s="16"/>
      <c r="O261" s="17"/>
      <c r="P261" s="16"/>
      <c r="Q261" s="18"/>
      <c r="R261" s="19"/>
    </row>
    <row r="262" spans="1:18" ht="17.399999999999999" customHeight="1" thickBot="1" x14ac:dyDescent="0.35">
      <c r="A262" s="164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6"/>
    </row>
    <row r="263" spans="1:18" ht="22.05" customHeight="1" thickTop="1" thickBot="1" x14ac:dyDescent="0.35">
      <c r="A263" s="161" t="s">
        <v>6</v>
      </c>
      <c r="B263" s="162"/>
      <c r="C263" s="162"/>
      <c r="D263" s="162"/>
      <c r="E263" s="162"/>
      <c r="F263" s="163"/>
      <c r="G263" s="102">
        <v>46008</v>
      </c>
      <c r="H263" s="167" t="s">
        <v>7</v>
      </c>
      <c r="I263" s="162"/>
      <c r="J263" s="162"/>
      <c r="K263" s="162"/>
      <c r="L263" s="162"/>
      <c r="M263" s="162"/>
      <c r="N263" s="162"/>
      <c r="O263" s="162"/>
      <c r="P263" s="162"/>
      <c r="Q263" s="162"/>
      <c r="R263" s="163"/>
    </row>
    <row r="264" spans="1:18" ht="24" customHeight="1" x14ac:dyDescent="0.3">
      <c r="A264" s="20" t="s">
        <v>8</v>
      </c>
      <c r="B264" s="20" t="s">
        <v>9</v>
      </c>
      <c r="C264" s="103" t="s">
        <v>10</v>
      </c>
      <c r="D264" s="20" t="s">
        <v>11</v>
      </c>
      <c r="E264" s="20" t="s">
        <v>12</v>
      </c>
      <c r="F264" s="21" t="s">
        <v>13</v>
      </c>
      <c r="G264" s="22" t="s">
        <v>14</v>
      </c>
      <c r="H264" s="20" t="s">
        <v>15</v>
      </c>
      <c r="I264" s="104" t="s">
        <v>16</v>
      </c>
      <c r="J264" s="23" t="s">
        <v>17</v>
      </c>
      <c r="K264" s="24" t="s">
        <v>18</v>
      </c>
      <c r="L264" s="23" t="s">
        <v>19</v>
      </c>
      <c r="M264" s="23" t="s">
        <v>20</v>
      </c>
      <c r="N264" s="23" t="s">
        <v>21</v>
      </c>
      <c r="O264" s="20" t="s">
        <v>22</v>
      </c>
      <c r="P264" s="103" t="s">
        <v>23</v>
      </c>
      <c r="Q264" s="23" t="s">
        <v>24</v>
      </c>
      <c r="R264" s="20" t="s">
        <v>25</v>
      </c>
    </row>
    <row r="265" spans="1:18" ht="15" customHeight="1" x14ac:dyDescent="0.3">
      <c r="A265" s="8" t="s">
        <v>35</v>
      </c>
      <c r="B265" s="8" t="s">
        <v>36</v>
      </c>
      <c r="C265" s="100">
        <v>0.30555555555555558</v>
      </c>
      <c r="D265" s="8" t="s">
        <v>37</v>
      </c>
      <c r="E265" s="8" t="s">
        <v>99</v>
      </c>
      <c r="F265" s="8" t="s">
        <v>111</v>
      </c>
      <c r="G265" s="15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25" t="s">
        <v>35</v>
      </c>
      <c r="B266" s="25" t="s">
        <v>36</v>
      </c>
      <c r="C266" s="105">
        <v>0.30555555555555558</v>
      </c>
      <c r="D266" s="25" t="s">
        <v>40</v>
      </c>
      <c r="E266" s="25" t="s">
        <v>99</v>
      </c>
      <c r="F266" s="25" t="s">
        <v>112</v>
      </c>
      <c r="G266" s="15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25" t="s">
        <v>35</v>
      </c>
      <c r="B267" s="25" t="s">
        <v>36</v>
      </c>
      <c r="C267" s="105">
        <v>0.30555555555555558</v>
      </c>
      <c r="D267" s="25" t="s">
        <v>42</v>
      </c>
      <c r="E267" s="25" t="s">
        <v>99</v>
      </c>
      <c r="F267" s="25" t="s">
        <v>85</v>
      </c>
      <c r="G267" s="15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26" t="s">
        <v>74</v>
      </c>
      <c r="B268" s="26" t="s">
        <v>75</v>
      </c>
      <c r="C268" s="106">
        <v>0.97222222222222221</v>
      </c>
      <c r="D268" s="26" t="s">
        <v>76</v>
      </c>
      <c r="E268" s="26" t="s">
        <v>47</v>
      </c>
      <c r="F268" s="26" t="s">
        <v>77</v>
      </c>
      <c r="G268" s="15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25" t="s">
        <v>74</v>
      </c>
      <c r="B269" s="25" t="s">
        <v>75</v>
      </c>
      <c r="C269" s="105">
        <v>0.97222222222222221</v>
      </c>
      <c r="D269" s="25" t="s">
        <v>42</v>
      </c>
      <c r="E269" s="25" t="s">
        <v>47</v>
      </c>
      <c r="F269" s="25" t="s">
        <v>78</v>
      </c>
      <c r="G269" s="15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26" t="s">
        <v>79</v>
      </c>
      <c r="B270" s="26" t="s">
        <v>80</v>
      </c>
      <c r="C270" s="106">
        <v>9.0277777777777776E-2</v>
      </c>
      <c r="D270" s="26" t="s">
        <v>28</v>
      </c>
      <c r="E270" s="26" t="s">
        <v>95</v>
      </c>
      <c r="F270" s="26" t="s">
        <v>81</v>
      </c>
      <c r="G270" s="15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26" t="s">
        <v>44</v>
      </c>
      <c r="B271" s="26" t="s">
        <v>53</v>
      </c>
      <c r="C271" s="106">
        <v>0.85069444444444442</v>
      </c>
      <c r="D271" s="26" t="s">
        <v>46</v>
      </c>
      <c r="E271" s="26" t="s">
        <v>60</v>
      </c>
      <c r="F271" s="26" t="s">
        <v>30</v>
      </c>
      <c r="G271" s="15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25" t="s">
        <v>44</v>
      </c>
      <c r="B272" s="25" t="s">
        <v>53</v>
      </c>
      <c r="C272" s="105">
        <v>0.85069444444444442</v>
      </c>
      <c r="D272" s="25" t="s">
        <v>49</v>
      </c>
      <c r="E272" s="25" t="s">
        <v>60</v>
      </c>
      <c r="F272" s="25" t="s">
        <v>88</v>
      </c>
      <c r="G272" s="15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25" t="s">
        <v>44</v>
      </c>
      <c r="B273" s="25" t="s">
        <v>53</v>
      </c>
      <c r="C273" s="105">
        <v>0.85069444444444442</v>
      </c>
      <c r="D273" s="25" t="s">
        <v>51</v>
      </c>
      <c r="E273" s="25" t="s">
        <v>60</v>
      </c>
      <c r="F273" s="25" t="s">
        <v>102</v>
      </c>
      <c r="G273" s="15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26" t="s">
        <v>26</v>
      </c>
      <c r="B274" s="26" t="s">
        <v>27</v>
      </c>
      <c r="C274" s="106">
        <v>0.89583333333333337</v>
      </c>
      <c r="D274" s="26" t="s">
        <v>28</v>
      </c>
      <c r="E274" s="26" t="s">
        <v>29</v>
      </c>
      <c r="F274" s="26" t="s">
        <v>30</v>
      </c>
      <c r="G274" s="15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26" t="s">
        <v>31</v>
      </c>
      <c r="B275" s="26" t="s">
        <v>62</v>
      </c>
      <c r="C275" s="106">
        <v>0.52777777777777779</v>
      </c>
      <c r="D275" s="26" t="s">
        <v>59</v>
      </c>
      <c r="E275" s="26" t="s">
        <v>29</v>
      </c>
      <c r="F275" s="26" t="s">
        <v>61</v>
      </c>
      <c r="G275" s="15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27" t="s">
        <v>31</v>
      </c>
      <c r="B276" s="27" t="s">
        <v>58</v>
      </c>
      <c r="C276" s="107">
        <v>0.1701388888888889</v>
      </c>
      <c r="D276" s="27" t="s">
        <v>59</v>
      </c>
      <c r="E276" s="27" t="s">
        <v>29</v>
      </c>
      <c r="F276" s="27" t="s">
        <v>61</v>
      </c>
      <c r="G276" s="15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27" t="s">
        <v>31</v>
      </c>
      <c r="B277" s="27" t="s">
        <v>32</v>
      </c>
      <c r="C277" s="107">
        <v>0.86458333333333337</v>
      </c>
      <c r="D277" s="27" t="s">
        <v>33</v>
      </c>
      <c r="E277" s="27" t="s">
        <v>29</v>
      </c>
      <c r="F277" s="27" t="s">
        <v>103</v>
      </c>
      <c r="G277" s="15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thickBot="1" x14ac:dyDescent="0.35">
      <c r="A278" s="14" t="s">
        <v>69</v>
      </c>
      <c r="B278" s="14" t="s">
        <v>70</v>
      </c>
      <c r="C278" s="101">
        <v>0.30555555555555558</v>
      </c>
      <c r="D278" s="14" t="s">
        <v>71</v>
      </c>
      <c r="E278" s="14" t="s">
        <v>72</v>
      </c>
      <c r="F278" s="14" t="s">
        <v>117</v>
      </c>
      <c r="G278" s="160"/>
      <c r="H278" s="15"/>
      <c r="I278" s="16"/>
      <c r="J278" s="16"/>
      <c r="K278" s="16"/>
      <c r="L278" s="16"/>
      <c r="M278" s="16"/>
      <c r="N278" s="16"/>
      <c r="O278" s="17"/>
      <c r="P278" s="16"/>
      <c r="Q278" s="18"/>
      <c r="R278" s="19"/>
    </row>
    <row r="279" spans="1:18" ht="17.399999999999999" customHeight="1" thickBot="1" x14ac:dyDescent="0.35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6"/>
    </row>
    <row r="280" spans="1:18" ht="22.05" customHeight="1" thickTop="1" thickBot="1" x14ac:dyDescent="0.35">
      <c r="A280" s="161" t="s">
        <v>6</v>
      </c>
      <c r="B280" s="162"/>
      <c r="C280" s="162"/>
      <c r="D280" s="162"/>
      <c r="E280" s="162"/>
      <c r="F280" s="163"/>
      <c r="G280" s="102">
        <v>46009</v>
      </c>
      <c r="H280" s="167" t="s">
        <v>7</v>
      </c>
      <c r="I280" s="162"/>
      <c r="J280" s="162"/>
      <c r="K280" s="162"/>
      <c r="L280" s="162"/>
      <c r="M280" s="162"/>
      <c r="N280" s="162"/>
      <c r="O280" s="162"/>
      <c r="P280" s="162"/>
      <c r="Q280" s="162"/>
      <c r="R280" s="163"/>
    </row>
    <row r="281" spans="1:18" ht="24" customHeight="1" x14ac:dyDescent="0.3">
      <c r="A281" s="20" t="s">
        <v>8</v>
      </c>
      <c r="B281" s="20" t="s">
        <v>9</v>
      </c>
      <c r="C281" s="103" t="s">
        <v>10</v>
      </c>
      <c r="D281" s="20" t="s">
        <v>11</v>
      </c>
      <c r="E281" s="20" t="s">
        <v>12</v>
      </c>
      <c r="F281" s="21" t="s">
        <v>13</v>
      </c>
      <c r="G281" s="22" t="s">
        <v>14</v>
      </c>
      <c r="H281" s="20" t="s">
        <v>15</v>
      </c>
      <c r="I281" s="104" t="s">
        <v>16</v>
      </c>
      <c r="J281" s="23" t="s">
        <v>17</v>
      </c>
      <c r="K281" s="24" t="s">
        <v>18</v>
      </c>
      <c r="L281" s="23" t="s">
        <v>19</v>
      </c>
      <c r="M281" s="23" t="s">
        <v>20</v>
      </c>
      <c r="N281" s="23" t="s">
        <v>21</v>
      </c>
      <c r="O281" s="20" t="s">
        <v>22</v>
      </c>
      <c r="P281" s="103" t="s">
        <v>23</v>
      </c>
      <c r="Q281" s="23" t="s">
        <v>24</v>
      </c>
      <c r="R281" s="20" t="s">
        <v>25</v>
      </c>
    </row>
    <row r="282" spans="1:18" ht="15" customHeight="1" x14ac:dyDescent="0.3">
      <c r="A282" s="8" t="s">
        <v>35</v>
      </c>
      <c r="B282" s="8" t="s">
        <v>36</v>
      </c>
      <c r="C282" s="100">
        <v>0.30555555555555558</v>
      </c>
      <c r="D282" s="8" t="s">
        <v>37</v>
      </c>
      <c r="E282" s="8" t="s">
        <v>144</v>
      </c>
      <c r="F282" s="8" t="s">
        <v>39</v>
      </c>
      <c r="G282" s="15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25" t="s">
        <v>35</v>
      </c>
      <c r="B283" s="25" t="s">
        <v>36</v>
      </c>
      <c r="C283" s="105">
        <v>0.30555555555555558</v>
      </c>
      <c r="D283" s="25" t="s">
        <v>40</v>
      </c>
      <c r="E283" s="25" t="s">
        <v>144</v>
      </c>
      <c r="F283" s="25" t="s">
        <v>41</v>
      </c>
      <c r="G283" s="15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25" t="s">
        <v>35</v>
      </c>
      <c r="B284" s="25" t="s">
        <v>36</v>
      </c>
      <c r="C284" s="105">
        <v>0.30555555555555558</v>
      </c>
      <c r="D284" s="25" t="s">
        <v>42</v>
      </c>
      <c r="E284" s="25" t="s">
        <v>144</v>
      </c>
      <c r="F284" s="25" t="s">
        <v>85</v>
      </c>
      <c r="G284" s="15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26" t="s">
        <v>44</v>
      </c>
      <c r="B285" s="26" t="s">
        <v>45</v>
      </c>
      <c r="C285" s="106">
        <v>0.2013888888888889</v>
      </c>
      <c r="D285" s="26" t="s">
        <v>46</v>
      </c>
      <c r="E285" s="26" t="s">
        <v>47</v>
      </c>
      <c r="F285" s="26" t="s">
        <v>48</v>
      </c>
      <c r="G285" s="15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25" t="s">
        <v>44</v>
      </c>
      <c r="B286" s="25" t="s">
        <v>45</v>
      </c>
      <c r="C286" s="105">
        <v>0.2013888888888889</v>
      </c>
      <c r="D286" s="25" t="s">
        <v>49</v>
      </c>
      <c r="E286" s="25" t="s">
        <v>47</v>
      </c>
      <c r="F286" s="25" t="s">
        <v>50</v>
      </c>
      <c r="G286" s="15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25" t="s">
        <v>44</v>
      </c>
      <c r="B287" s="25" t="s">
        <v>45</v>
      </c>
      <c r="C287" s="105">
        <v>0.2013888888888889</v>
      </c>
      <c r="D287" s="25" t="s">
        <v>51</v>
      </c>
      <c r="E287" s="25" t="s">
        <v>47</v>
      </c>
      <c r="F287" s="25" t="s">
        <v>52</v>
      </c>
      <c r="G287" s="15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27" t="s">
        <v>44</v>
      </c>
      <c r="B288" s="27" t="s">
        <v>53</v>
      </c>
      <c r="C288" s="107">
        <v>0.83680555555555558</v>
      </c>
      <c r="D288" s="27" t="s">
        <v>46</v>
      </c>
      <c r="E288" s="27" t="s">
        <v>135</v>
      </c>
      <c r="F288" s="27" t="s">
        <v>88</v>
      </c>
      <c r="G288" s="15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25" t="s">
        <v>44</v>
      </c>
      <c r="B289" s="25" t="s">
        <v>53</v>
      </c>
      <c r="C289" s="105">
        <v>0.83680555555555558</v>
      </c>
      <c r="D289" s="25" t="s">
        <v>49</v>
      </c>
      <c r="E289" s="25" t="s">
        <v>135</v>
      </c>
      <c r="F289" s="25" t="s">
        <v>89</v>
      </c>
      <c r="G289" s="15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25" t="s">
        <v>44</v>
      </c>
      <c r="B290" s="25" t="s">
        <v>53</v>
      </c>
      <c r="C290" s="105">
        <v>0.83680555555555558</v>
      </c>
      <c r="D290" s="25" t="s">
        <v>51</v>
      </c>
      <c r="E290" s="25" t="s">
        <v>135</v>
      </c>
      <c r="F290" s="25" t="s">
        <v>90</v>
      </c>
      <c r="G290" s="15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26" t="s">
        <v>31</v>
      </c>
      <c r="B291" s="26" t="s">
        <v>62</v>
      </c>
      <c r="C291" s="106">
        <v>0.52777777777777779</v>
      </c>
      <c r="D291" s="26" t="s">
        <v>59</v>
      </c>
      <c r="E291" s="26" t="s">
        <v>87</v>
      </c>
      <c r="F291" s="26" t="s">
        <v>61</v>
      </c>
      <c r="G291" s="15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7" t="s">
        <v>31</v>
      </c>
      <c r="B292" s="27" t="s">
        <v>58</v>
      </c>
      <c r="C292" s="107">
        <v>0.1701388888888889</v>
      </c>
      <c r="D292" s="27" t="s">
        <v>59</v>
      </c>
      <c r="E292" s="27" t="s">
        <v>29</v>
      </c>
      <c r="F292" s="27" t="s">
        <v>61</v>
      </c>
      <c r="G292" s="15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27" t="s">
        <v>31</v>
      </c>
      <c r="B293" s="27" t="s">
        <v>32</v>
      </c>
      <c r="C293" s="107">
        <v>0.86458333333333337</v>
      </c>
      <c r="D293" s="27" t="s">
        <v>33</v>
      </c>
      <c r="E293" s="27" t="s">
        <v>29</v>
      </c>
      <c r="F293" s="27" t="s">
        <v>125</v>
      </c>
      <c r="G293" s="15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26" t="s">
        <v>79</v>
      </c>
      <c r="B294" s="26" t="s">
        <v>80</v>
      </c>
      <c r="C294" s="106">
        <v>0.91319444444444442</v>
      </c>
      <c r="D294" s="26" t="s">
        <v>28</v>
      </c>
      <c r="E294" s="26" t="s">
        <v>87</v>
      </c>
      <c r="F294" s="26" t="s">
        <v>145</v>
      </c>
      <c r="G294" s="15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26" t="s">
        <v>26</v>
      </c>
      <c r="B295" s="26" t="s">
        <v>57</v>
      </c>
      <c r="C295" s="106">
        <v>0.95833333333333337</v>
      </c>
      <c r="D295" s="26" t="s">
        <v>28</v>
      </c>
      <c r="E295" s="26" t="s">
        <v>29</v>
      </c>
      <c r="F295" s="26" t="s">
        <v>133</v>
      </c>
      <c r="G295" s="15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34" t="s">
        <v>63</v>
      </c>
      <c r="B296" s="34" t="s">
        <v>64</v>
      </c>
      <c r="C296" s="111">
        <v>0.92361111111111116</v>
      </c>
      <c r="D296" s="34" t="s">
        <v>28</v>
      </c>
      <c r="E296" s="34" t="s">
        <v>29</v>
      </c>
      <c r="F296" s="34" t="s">
        <v>65</v>
      </c>
      <c r="G296" s="159"/>
      <c r="H296" s="35" t="s">
        <v>66</v>
      </c>
      <c r="I296" s="112">
        <v>0.38100000000000001</v>
      </c>
      <c r="J296" s="36">
        <v>64</v>
      </c>
      <c r="K296" s="37">
        <v>45991</v>
      </c>
      <c r="L296" s="36">
        <v>24</v>
      </c>
      <c r="M296" s="36">
        <v>0</v>
      </c>
      <c r="N296" s="36">
        <v>2</v>
      </c>
      <c r="O296" s="38" t="s">
        <v>67</v>
      </c>
      <c r="P296" s="113">
        <v>0.92361111111111116</v>
      </c>
      <c r="Q296" s="36">
        <v>168</v>
      </c>
      <c r="R296" s="39" t="s">
        <v>146</v>
      </c>
    </row>
    <row r="297" spans="1:18" ht="15" customHeight="1" thickBot="1" x14ac:dyDescent="0.35">
      <c r="A297" s="14" t="s">
        <v>69</v>
      </c>
      <c r="B297" s="14" t="s">
        <v>70</v>
      </c>
      <c r="C297" s="101">
        <v>0.30555555555555558</v>
      </c>
      <c r="D297" s="14" t="s">
        <v>71</v>
      </c>
      <c r="E297" s="14" t="s">
        <v>72</v>
      </c>
      <c r="F297" s="14" t="s">
        <v>73</v>
      </c>
      <c r="G297" s="160"/>
      <c r="H297" s="15"/>
      <c r="I297" s="16"/>
      <c r="J297" s="16"/>
      <c r="K297" s="16"/>
      <c r="L297" s="16"/>
      <c r="M297" s="16"/>
      <c r="N297" s="16"/>
      <c r="O297" s="17"/>
      <c r="P297" s="16"/>
      <c r="Q297" s="18"/>
      <c r="R297" s="19"/>
    </row>
    <row r="298" spans="1:18" ht="17.399999999999999" customHeight="1" thickBot="1" x14ac:dyDescent="0.35">
      <c r="A298" s="164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6"/>
    </row>
    <row r="299" spans="1:18" ht="22.05" customHeight="1" thickTop="1" thickBot="1" x14ac:dyDescent="0.35">
      <c r="A299" s="161" t="s">
        <v>6</v>
      </c>
      <c r="B299" s="162"/>
      <c r="C299" s="162"/>
      <c r="D299" s="162"/>
      <c r="E299" s="162"/>
      <c r="F299" s="163"/>
      <c r="G299" s="102">
        <v>46010</v>
      </c>
      <c r="H299" s="167" t="s">
        <v>7</v>
      </c>
      <c r="I299" s="162"/>
      <c r="J299" s="162"/>
      <c r="K299" s="162"/>
      <c r="L299" s="162"/>
      <c r="M299" s="162"/>
      <c r="N299" s="162"/>
      <c r="O299" s="162"/>
      <c r="P299" s="162"/>
      <c r="Q299" s="162"/>
      <c r="R299" s="163"/>
    </row>
    <row r="300" spans="1:18" ht="24" customHeight="1" x14ac:dyDescent="0.3">
      <c r="A300" s="20" t="s">
        <v>8</v>
      </c>
      <c r="B300" s="20" t="s">
        <v>9</v>
      </c>
      <c r="C300" s="103" t="s">
        <v>10</v>
      </c>
      <c r="D300" s="20" t="s">
        <v>11</v>
      </c>
      <c r="E300" s="20" t="s">
        <v>12</v>
      </c>
      <c r="F300" s="21" t="s">
        <v>13</v>
      </c>
      <c r="G300" s="22" t="s">
        <v>14</v>
      </c>
      <c r="H300" s="20" t="s">
        <v>15</v>
      </c>
      <c r="I300" s="104" t="s">
        <v>16</v>
      </c>
      <c r="J300" s="23" t="s">
        <v>17</v>
      </c>
      <c r="K300" s="24" t="s">
        <v>18</v>
      </c>
      <c r="L300" s="23" t="s">
        <v>19</v>
      </c>
      <c r="M300" s="23" t="s">
        <v>20</v>
      </c>
      <c r="N300" s="23" t="s">
        <v>21</v>
      </c>
      <c r="O300" s="20" t="s">
        <v>22</v>
      </c>
      <c r="P300" s="103" t="s">
        <v>23</v>
      </c>
      <c r="Q300" s="23" t="s">
        <v>24</v>
      </c>
      <c r="R300" s="20" t="s">
        <v>25</v>
      </c>
    </row>
    <row r="301" spans="1:18" ht="15" customHeight="1" x14ac:dyDescent="0.3">
      <c r="A301" s="8" t="s">
        <v>35</v>
      </c>
      <c r="B301" s="8" t="s">
        <v>36</v>
      </c>
      <c r="C301" s="100">
        <v>0.30555555555555558</v>
      </c>
      <c r="D301" s="8" t="s">
        <v>37</v>
      </c>
      <c r="E301" s="8" t="s">
        <v>99</v>
      </c>
      <c r="F301" s="8" t="s">
        <v>111</v>
      </c>
      <c r="G301" s="15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25" t="s">
        <v>35</v>
      </c>
      <c r="B302" s="25" t="s">
        <v>36</v>
      </c>
      <c r="C302" s="105">
        <v>0.30555555555555558</v>
      </c>
      <c r="D302" s="25" t="s">
        <v>40</v>
      </c>
      <c r="E302" s="25" t="s">
        <v>99</v>
      </c>
      <c r="F302" s="25" t="s">
        <v>112</v>
      </c>
      <c r="G302" s="15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5" t="s">
        <v>35</v>
      </c>
      <c r="B303" s="25" t="s">
        <v>36</v>
      </c>
      <c r="C303" s="105">
        <v>0.30555555555555558</v>
      </c>
      <c r="D303" s="25" t="s">
        <v>42</v>
      </c>
      <c r="E303" s="25" t="s">
        <v>99</v>
      </c>
      <c r="F303" s="25" t="s">
        <v>43</v>
      </c>
      <c r="G303" s="15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26" t="s">
        <v>44</v>
      </c>
      <c r="B304" s="26" t="s">
        <v>53</v>
      </c>
      <c r="C304" s="106">
        <v>0.83680555555555558</v>
      </c>
      <c r="D304" s="26" t="s">
        <v>46</v>
      </c>
      <c r="E304" s="26" t="s">
        <v>87</v>
      </c>
      <c r="F304" s="26" t="s">
        <v>48</v>
      </c>
      <c r="G304" s="15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25" t="s">
        <v>44</v>
      </c>
      <c r="B305" s="25" t="s">
        <v>53</v>
      </c>
      <c r="C305" s="105">
        <v>0.83680555555555558</v>
      </c>
      <c r="D305" s="25" t="s">
        <v>49</v>
      </c>
      <c r="E305" s="25" t="s">
        <v>87</v>
      </c>
      <c r="F305" s="25" t="s">
        <v>50</v>
      </c>
      <c r="G305" s="15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25" t="s">
        <v>44</v>
      </c>
      <c r="B306" s="25" t="s">
        <v>53</v>
      </c>
      <c r="C306" s="105">
        <v>0.83680555555555558</v>
      </c>
      <c r="D306" s="25" t="s">
        <v>51</v>
      </c>
      <c r="E306" s="25" t="s">
        <v>87</v>
      </c>
      <c r="F306" s="25" t="s">
        <v>52</v>
      </c>
      <c r="G306" s="15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26" t="s">
        <v>31</v>
      </c>
      <c r="B307" s="26" t="s">
        <v>32</v>
      </c>
      <c r="C307" s="106">
        <v>0.86458333333333337</v>
      </c>
      <c r="D307" s="26" t="s">
        <v>59</v>
      </c>
      <c r="E307" s="26" t="s">
        <v>29</v>
      </c>
      <c r="F307" s="26" t="s">
        <v>61</v>
      </c>
      <c r="G307" s="15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27" t="s">
        <v>31</v>
      </c>
      <c r="B308" s="27" t="s">
        <v>58</v>
      </c>
      <c r="C308" s="107">
        <v>0.1701388888888889</v>
      </c>
      <c r="D308" s="27" t="s">
        <v>59</v>
      </c>
      <c r="E308" s="27" t="s">
        <v>29</v>
      </c>
      <c r="F308" s="27" t="s">
        <v>61</v>
      </c>
      <c r="G308" s="15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27" t="s">
        <v>31</v>
      </c>
      <c r="B309" s="27" t="s">
        <v>62</v>
      </c>
      <c r="C309" s="107">
        <v>0.52777777777777779</v>
      </c>
      <c r="D309" s="27" t="s">
        <v>33</v>
      </c>
      <c r="E309" s="27" t="s">
        <v>29</v>
      </c>
      <c r="F309" s="27" t="s">
        <v>147</v>
      </c>
      <c r="G309" s="15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26" t="s">
        <v>26</v>
      </c>
      <c r="B310" s="26" t="s">
        <v>27</v>
      </c>
      <c r="C310" s="106">
        <v>0.95833333333333337</v>
      </c>
      <c r="D310" s="26" t="s">
        <v>28</v>
      </c>
      <c r="E310" s="26" t="s">
        <v>121</v>
      </c>
      <c r="F310" s="26" t="s">
        <v>133</v>
      </c>
      <c r="G310" s="15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40" t="s">
        <v>63</v>
      </c>
      <c r="B311" s="40" t="s">
        <v>64</v>
      </c>
      <c r="C311" s="114">
        <v>0.57986111111111116</v>
      </c>
      <c r="D311" s="40" t="s">
        <v>28</v>
      </c>
      <c r="E311" s="40" t="s">
        <v>29</v>
      </c>
      <c r="F311" s="40" t="s">
        <v>106</v>
      </c>
      <c r="G311" s="159"/>
      <c r="H311" s="41" t="s">
        <v>66</v>
      </c>
      <c r="I311" s="115">
        <v>0.26190000000000002</v>
      </c>
      <c r="J311" s="42">
        <v>44</v>
      </c>
      <c r="K311" s="43">
        <v>45992</v>
      </c>
      <c r="L311" s="42">
        <v>15</v>
      </c>
      <c r="M311" s="42">
        <v>3</v>
      </c>
      <c r="N311" s="42">
        <v>0</v>
      </c>
      <c r="O311" s="44" t="s">
        <v>107</v>
      </c>
      <c r="P311" s="116">
        <v>0.57986111111111116</v>
      </c>
      <c r="Q311" s="42">
        <v>168</v>
      </c>
      <c r="R311" s="45" t="s">
        <v>148</v>
      </c>
    </row>
    <row r="312" spans="1:18" ht="15" customHeight="1" thickBot="1" x14ac:dyDescent="0.35">
      <c r="A312" s="14" t="s">
        <v>69</v>
      </c>
      <c r="B312" s="14" t="s">
        <v>70</v>
      </c>
      <c r="C312" s="101">
        <v>0.30555555555555558</v>
      </c>
      <c r="D312" s="14" t="s">
        <v>71</v>
      </c>
      <c r="E312" s="14" t="s">
        <v>72</v>
      </c>
      <c r="F312" s="14" t="s">
        <v>117</v>
      </c>
      <c r="G312" s="160"/>
      <c r="H312" s="15"/>
      <c r="I312" s="16"/>
      <c r="J312" s="16"/>
      <c r="K312" s="16"/>
      <c r="L312" s="16"/>
      <c r="M312" s="16"/>
      <c r="N312" s="16"/>
      <c r="O312" s="17"/>
      <c r="P312" s="16"/>
      <c r="Q312" s="18"/>
      <c r="R312" s="19"/>
    </row>
    <row r="313" spans="1:18" ht="17.399999999999999" customHeight="1" thickBot="1" x14ac:dyDescent="0.35">
      <c r="A313" s="164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6"/>
    </row>
    <row r="314" spans="1:18" ht="22.05" customHeight="1" thickTop="1" thickBot="1" x14ac:dyDescent="0.35">
      <c r="A314" s="161" t="s">
        <v>6</v>
      </c>
      <c r="B314" s="162"/>
      <c r="C314" s="162"/>
      <c r="D314" s="162"/>
      <c r="E314" s="162"/>
      <c r="F314" s="163"/>
      <c r="G314" s="102">
        <v>46011</v>
      </c>
      <c r="H314" s="167" t="s">
        <v>7</v>
      </c>
      <c r="I314" s="162"/>
      <c r="J314" s="162"/>
      <c r="K314" s="162"/>
      <c r="L314" s="162"/>
      <c r="M314" s="162"/>
      <c r="N314" s="162"/>
      <c r="O314" s="162"/>
      <c r="P314" s="162"/>
      <c r="Q314" s="162"/>
      <c r="R314" s="163"/>
    </row>
    <row r="315" spans="1:18" ht="24" customHeight="1" x14ac:dyDescent="0.3">
      <c r="A315" s="20" t="s">
        <v>8</v>
      </c>
      <c r="B315" s="20" t="s">
        <v>9</v>
      </c>
      <c r="C315" s="103" t="s">
        <v>10</v>
      </c>
      <c r="D315" s="20" t="s">
        <v>11</v>
      </c>
      <c r="E315" s="20" t="s">
        <v>12</v>
      </c>
      <c r="F315" s="21" t="s">
        <v>13</v>
      </c>
      <c r="G315" s="22" t="s">
        <v>14</v>
      </c>
      <c r="H315" s="20" t="s">
        <v>15</v>
      </c>
      <c r="I315" s="104" t="s">
        <v>16</v>
      </c>
      <c r="J315" s="23" t="s">
        <v>17</v>
      </c>
      <c r="K315" s="24" t="s">
        <v>18</v>
      </c>
      <c r="L315" s="23" t="s">
        <v>19</v>
      </c>
      <c r="M315" s="23" t="s">
        <v>20</v>
      </c>
      <c r="N315" s="23" t="s">
        <v>21</v>
      </c>
      <c r="O315" s="20" t="s">
        <v>22</v>
      </c>
      <c r="P315" s="103" t="s">
        <v>23</v>
      </c>
      <c r="Q315" s="23" t="s">
        <v>24</v>
      </c>
      <c r="R315" s="20" t="s">
        <v>25</v>
      </c>
    </row>
    <row r="316" spans="1:18" ht="15" customHeight="1" x14ac:dyDescent="0.3">
      <c r="A316" s="8" t="s">
        <v>35</v>
      </c>
      <c r="B316" s="8" t="s">
        <v>36</v>
      </c>
      <c r="C316" s="100">
        <v>0.30555555555555558</v>
      </c>
      <c r="D316" s="8" t="s">
        <v>37</v>
      </c>
      <c r="E316" s="8" t="s">
        <v>118</v>
      </c>
      <c r="F316" s="8" t="s">
        <v>111</v>
      </c>
      <c r="G316" s="15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25" t="s">
        <v>35</v>
      </c>
      <c r="B317" s="25" t="s">
        <v>36</v>
      </c>
      <c r="C317" s="105">
        <v>0.30555555555555558</v>
      </c>
      <c r="D317" s="25" t="s">
        <v>40</v>
      </c>
      <c r="E317" s="25" t="s">
        <v>118</v>
      </c>
      <c r="F317" s="25" t="s">
        <v>112</v>
      </c>
      <c r="G317" s="15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25" t="s">
        <v>35</v>
      </c>
      <c r="B318" s="25" t="s">
        <v>36</v>
      </c>
      <c r="C318" s="105">
        <v>0.30555555555555558</v>
      </c>
      <c r="D318" s="25" t="s">
        <v>42</v>
      </c>
      <c r="E318" s="25" t="s">
        <v>118</v>
      </c>
      <c r="F318" s="25" t="s">
        <v>43</v>
      </c>
      <c r="G318" s="15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26" t="s">
        <v>44</v>
      </c>
      <c r="B319" s="26" t="s">
        <v>53</v>
      </c>
      <c r="C319" s="106">
        <v>0.83680555555555558</v>
      </c>
      <c r="D319" s="26" t="s">
        <v>46</v>
      </c>
      <c r="E319" s="26" t="s">
        <v>47</v>
      </c>
      <c r="F319" s="26" t="s">
        <v>48</v>
      </c>
      <c r="G319" s="15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25" t="s">
        <v>44</v>
      </c>
      <c r="B320" s="25" t="s">
        <v>53</v>
      </c>
      <c r="C320" s="105">
        <v>0.83680555555555558</v>
      </c>
      <c r="D320" s="25" t="s">
        <v>49</v>
      </c>
      <c r="E320" s="25" t="s">
        <v>47</v>
      </c>
      <c r="F320" s="25" t="s">
        <v>50</v>
      </c>
      <c r="G320" s="15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25" t="s">
        <v>44</v>
      </c>
      <c r="B321" s="25" t="s">
        <v>53</v>
      </c>
      <c r="C321" s="105">
        <v>0.83680555555555558</v>
      </c>
      <c r="D321" s="25" t="s">
        <v>51</v>
      </c>
      <c r="E321" s="25" t="s">
        <v>47</v>
      </c>
      <c r="F321" s="25" t="s">
        <v>52</v>
      </c>
      <c r="G321" s="15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27" t="s">
        <v>44</v>
      </c>
      <c r="B322" s="27" t="s">
        <v>45</v>
      </c>
      <c r="C322" s="107">
        <v>0.2013888888888889</v>
      </c>
      <c r="D322" s="27" t="s">
        <v>46</v>
      </c>
      <c r="E322" s="27" t="s">
        <v>47</v>
      </c>
      <c r="F322" s="27" t="s">
        <v>48</v>
      </c>
      <c r="G322" s="15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25" t="s">
        <v>44</v>
      </c>
      <c r="B323" s="25" t="s">
        <v>45</v>
      </c>
      <c r="C323" s="105">
        <v>0.2013888888888889</v>
      </c>
      <c r="D323" s="25" t="s">
        <v>49</v>
      </c>
      <c r="E323" s="25" t="s">
        <v>47</v>
      </c>
      <c r="F323" s="25" t="s">
        <v>50</v>
      </c>
      <c r="G323" s="15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25" t="s">
        <v>44</v>
      </c>
      <c r="B324" s="25" t="s">
        <v>45</v>
      </c>
      <c r="C324" s="105">
        <v>0.2013888888888889</v>
      </c>
      <c r="D324" s="25" t="s">
        <v>51</v>
      </c>
      <c r="E324" s="25" t="s">
        <v>47</v>
      </c>
      <c r="F324" s="25" t="s">
        <v>52</v>
      </c>
      <c r="G324" s="15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26" t="s">
        <v>74</v>
      </c>
      <c r="B325" s="26" t="s">
        <v>75</v>
      </c>
      <c r="C325" s="106">
        <v>0.97222222222222221</v>
      </c>
      <c r="D325" s="26" t="s">
        <v>76</v>
      </c>
      <c r="E325" s="26" t="s">
        <v>47</v>
      </c>
      <c r="F325" s="26" t="s">
        <v>113</v>
      </c>
      <c r="G325" s="15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25" t="s">
        <v>74</v>
      </c>
      <c r="B326" s="25" t="s">
        <v>75</v>
      </c>
      <c r="C326" s="105">
        <v>0.97222222222222221</v>
      </c>
      <c r="D326" s="25" t="s">
        <v>42</v>
      </c>
      <c r="E326" s="25" t="s">
        <v>47</v>
      </c>
      <c r="F326" s="25" t="s">
        <v>114</v>
      </c>
      <c r="G326" s="15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26" t="s">
        <v>31</v>
      </c>
      <c r="B327" s="26" t="s">
        <v>32</v>
      </c>
      <c r="C327" s="106">
        <v>0.86458333333333337</v>
      </c>
      <c r="D327" s="26" t="s">
        <v>59</v>
      </c>
      <c r="E327" s="26" t="s">
        <v>29</v>
      </c>
      <c r="F327" s="26" t="s">
        <v>61</v>
      </c>
      <c r="G327" s="15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27" t="s">
        <v>31</v>
      </c>
      <c r="B328" s="27" t="s">
        <v>62</v>
      </c>
      <c r="C328" s="107">
        <v>0.52777777777777779</v>
      </c>
      <c r="D328" s="27" t="s">
        <v>59</v>
      </c>
      <c r="E328" s="27" t="s">
        <v>29</v>
      </c>
      <c r="F328" s="27" t="s">
        <v>61</v>
      </c>
      <c r="G328" s="15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27" t="s">
        <v>31</v>
      </c>
      <c r="B329" s="27" t="s">
        <v>58</v>
      </c>
      <c r="C329" s="107">
        <v>0.1701388888888889</v>
      </c>
      <c r="D329" s="27" t="s">
        <v>59</v>
      </c>
      <c r="E329" s="27" t="s">
        <v>29</v>
      </c>
      <c r="F329" s="27" t="s">
        <v>61</v>
      </c>
      <c r="G329" s="15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26" t="s">
        <v>26</v>
      </c>
      <c r="B330" s="26" t="s">
        <v>57</v>
      </c>
      <c r="C330" s="106">
        <v>0.89583333333333337</v>
      </c>
      <c r="D330" s="26" t="s">
        <v>28</v>
      </c>
      <c r="E330" s="26" t="s">
        <v>29</v>
      </c>
      <c r="F330" s="26" t="s">
        <v>133</v>
      </c>
      <c r="G330" s="15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52" t="s">
        <v>63</v>
      </c>
      <c r="B331" s="52" t="s">
        <v>64</v>
      </c>
      <c r="C331" s="120">
        <v>0.92361111111111116</v>
      </c>
      <c r="D331" s="52" t="s">
        <v>28</v>
      </c>
      <c r="E331" s="52" t="s">
        <v>29</v>
      </c>
      <c r="F331" s="52" t="s">
        <v>65</v>
      </c>
      <c r="G331" s="159"/>
      <c r="H331" s="53" t="s">
        <v>66</v>
      </c>
      <c r="I331" s="121">
        <v>0.29170000000000001</v>
      </c>
      <c r="J331" s="54">
        <v>49</v>
      </c>
      <c r="K331" s="55">
        <v>45989</v>
      </c>
      <c r="L331" s="54">
        <v>20</v>
      </c>
      <c r="M331" s="54">
        <v>0</v>
      </c>
      <c r="N331" s="54">
        <v>0</v>
      </c>
      <c r="O331" s="56" t="s">
        <v>67</v>
      </c>
      <c r="P331" s="122">
        <v>0.92361111111111116</v>
      </c>
      <c r="Q331" s="54">
        <v>168</v>
      </c>
      <c r="R331" s="57" t="s">
        <v>149</v>
      </c>
    </row>
    <row r="332" spans="1:18" ht="15" customHeight="1" thickBot="1" x14ac:dyDescent="0.35">
      <c r="A332" s="14" t="s">
        <v>69</v>
      </c>
      <c r="B332" s="14" t="s">
        <v>70</v>
      </c>
      <c r="C332" s="101">
        <v>0.30555555555555558</v>
      </c>
      <c r="D332" s="14" t="s">
        <v>71</v>
      </c>
      <c r="E332" s="14" t="s">
        <v>72</v>
      </c>
      <c r="F332" s="14" t="s">
        <v>117</v>
      </c>
      <c r="G332" s="160"/>
      <c r="H332" s="15"/>
      <c r="I332" s="16"/>
      <c r="J332" s="16"/>
      <c r="K332" s="16"/>
      <c r="L332" s="16"/>
      <c r="M332" s="16"/>
      <c r="N332" s="16"/>
      <c r="O332" s="17"/>
      <c r="P332" s="16"/>
      <c r="Q332" s="18"/>
      <c r="R332" s="19"/>
    </row>
    <row r="333" spans="1:18" ht="17.399999999999999" customHeight="1" thickBot="1" x14ac:dyDescent="0.35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6"/>
    </row>
    <row r="334" spans="1:18" ht="22.05" customHeight="1" thickTop="1" thickBot="1" x14ac:dyDescent="0.35">
      <c r="A334" s="161" t="s">
        <v>6</v>
      </c>
      <c r="B334" s="162"/>
      <c r="C334" s="162"/>
      <c r="D334" s="162"/>
      <c r="E334" s="162"/>
      <c r="F334" s="163"/>
      <c r="G334" s="102">
        <v>46012</v>
      </c>
      <c r="H334" s="167" t="s">
        <v>7</v>
      </c>
      <c r="I334" s="162"/>
      <c r="J334" s="162"/>
      <c r="K334" s="162"/>
      <c r="L334" s="162"/>
      <c r="M334" s="162"/>
      <c r="N334" s="162"/>
      <c r="O334" s="162"/>
      <c r="P334" s="162"/>
      <c r="Q334" s="162"/>
      <c r="R334" s="163"/>
    </row>
    <row r="335" spans="1:18" ht="24" customHeight="1" x14ac:dyDescent="0.3">
      <c r="A335" s="20" t="s">
        <v>8</v>
      </c>
      <c r="B335" s="20" t="s">
        <v>9</v>
      </c>
      <c r="C335" s="103" t="s">
        <v>10</v>
      </c>
      <c r="D335" s="20" t="s">
        <v>11</v>
      </c>
      <c r="E335" s="20" t="s">
        <v>12</v>
      </c>
      <c r="F335" s="21" t="s">
        <v>13</v>
      </c>
      <c r="G335" s="22" t="s">
        <v>14</v>
      </c>
      <c r="H335" s="20" t="s">
        <v>15</v>
      </c>
      <c r="I335" s="104" t="s">
        <v>16</v>
      </c>
      <c r="J335" s="23" t="s">
        <v>17</v>
      </c>
      <c r="K335" s="24" t="s">
        <v>18</v>
      </c>
      <c r="L335" s="23" t="s">
        <v>19</v>
      </c>
      <c r="M335" s="23" t="s">
        <v>20</v>
      </c>
      <c r="N335" s="23" t="s">
        <v>21</v>
      </c>
      <c r="O335" s="20" t="s">
        <v>22</v>
      </c>
      <c r="P335" s="103" t="s">
        <v>23</v>
      </c>
      <c r="Q335" s="23" t="s">
        <v>24</v>
      </c>
      <c r="R335" s="20" t="s">
        <v>25</v>
      </c>
    </row>
    <row r="336" spans="1:18" ht="15" customHeight="1" x14ac:dyDescent="0.3">
      <c r="A336" s="8" t="s">
        <v>35</v>
      </c>
      <c r="B336" s="8" t="s">
        <v>36</v>
      </c>
      <c r="C336" s="100">
        <v>0.30555555555555558</v>
      </c>
      <c r="D336" s="8" t="s">
        <v>37</v>
      </c>
      <c r="E336" s="8" t="s">
        <v>139</v>
      </c>
      <c r="F336" s="8" t="s">
        <v>111</v>
      </c>
      <c r="G336" s="15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25" t="s">
        <v>35</v>
      </c>
      <c r="B337" s="25" t="s">
        <v>36</v>
      </c>
      <c r="C337" s="105">
        <v>0.30555555555555558</v>
      </c>
      <c r="D337" s="25" t="s">
        <v>40</v>
      </c>
      <c r="E337" s="25" t="s">
        <v>139</v>
      </c>
      <c r="F337" s="25" t="s">
        <v>112</v>
      </c>
      <c r="G337" s="15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5" t="s">
        <v>35</v>
      </c>
      <c r="B338" s="25" t="s">
        <v>36</v>
      </c>
      <c r="C338" s="105">
        <v>0.30555555555555558</v>
      </c>
      <c r="D338" s="25" t="s">
        <v>42</v>
      </c>
      <c r="E338" s="25" t="s">
        <v>139</v>
      </c>
      <c r="F338" s="25" t="s">
        <v>85</v>
      </c>
      <c r="G338" s="15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6" t="s">
        <v>44</v>
      </c>
      <c r="B339" s="26" t="s">
        <v>53</v>
      </c>
      <c r="C339" s="106">
        <v>0.85069444444444442</v>
      </c>
      <c r="D339" s="26" t="s">
        <v>46</v>
      </c>
      <c r="E339" s="26" t="s">
        <v>47</v>
      </c>
      <c r="F339" s="26" t="s">
        <v>48</v>
      </c>
      <c r="G339" s="15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25" t="s">
        <v>44</v>
      </c>
      <c r="B340" s="25" t="s">
        <v>53</v>
      </c>
      <c r="C340" s="105">
        <v>0.85069444444444442</v>
      </c>
      <c r="D340" s="25" t="s">
        <v>49</v>
      </c>
      <c r="E340" s="25" t="s">
        <v>47</v>
      </c>
      <c r="F340" s="25" t="s">
        <v>50</v>
      </c>
      <c r="G340" s="15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25" t="s">
        <v>44</v>
      </c>
      <c r="B341" s="25" t="s">
        <v>53</v>
      </c>
      <c r="C341" s="105">
        <v>0.85069444444444442</v>
      </c>
      <c r="D341" s="25" t="s">
        <v>51</v>
      </c>
      <c r="E341" s="25" t="s">
        <v>47</v>
      </c>
      <c r="F341" s="25" t="s">
        <v>52</v>
      </c>
      <c r="G341" s="15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26" t="s">
        <v>31</v>
      </c>
      <c r="B342" s="26" t="s">
        <v>32</v>
      </c>
      <c r="C342" s="106">
        <v>0.86458333333333337</v>
      </c>
      <c r="D342" s="26" t="s">
        <v>59</v>
      </c>
      <c r="E342" s="26" t="s">
        <v>29</v>
      </c>
      <c r="F342" s="26" t="s">
        <v>61</v>
      </c>
      <c r="G342" s="15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27" t="s">
        <v>31</v>
      </c>
      <c r="B343" s="27" t="s">
        <v>62</v>
      </c>
      <c r="C343" s="107">
        <v>0.52777777777777779</v>
      </c>
      <c r="D343" s="27" t="s">
        <v>59</v>
      </c>
      <c r="E343" s="27" t="s">
        <v>29</v>
      </c>
      <c r="F343" s="27" t="s">
        <v>61</v>
      </c>
      <c r="G343" s="15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27" t="s">
        <v>31</v>
      </c>
      <c r="B344" s="27" t="s">
        <v>58</v>
      </c>
      <c r="C344" s="107">
        <v>0.1701388888888889</v>
      </c>
      <c r="D344" s="27" t="s">
        <v>59</v>
      </c>
      <c r="E344" s="27" t="s">
        <v>29</v>
      </c>
      <c r="F344" s="27" t="s">
        <v>61</v>
      </c>
      <c r="G344" s="159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26" t="s">
        <v>26</v>
      </c>
      <c r="B345" s="26" t="s">
        <v>93</v>
      </c>
      <c r="C345" s="106">
        <v>0.95833333333333337</v>
      </c>
      <c r="D345" s="26" t="s">
        <v>28</v>
      </c>
      <c r="E345" s="26" t="s">
        <v>29</v>
      </c>
      <c r="F345" s="26" t="s">
        <v>133</v>
      </c>
      <c r="G345" s="159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thickBot="1" x14ac:dyDescent="0.35">
      <c r="A346" s="14" t="s">
        <v>69</v>
      </c>
      <c r="B346" s="14" t="s">
        <v>70</v>
      </c>
      <c r="C346" s="101">
        <v>0.30555555555555558</v>
      </c>
      <c r="D346" s="14" t="s">
        <v>71</v>
      </c>
      <c r="E346" s="14" t="s">
        <v>72</v>
      </c>
      <c r="F346" s="14" t="s">
        <v>117</v>
      </c>
      <c r="G346" s="160"/>
      <c r="H346" s="15"/>
      <c r="I346" s="16"/>
      <c r="J346" s="16"/>
      <c r="K346" s="16"/>
      <c r="L346" s="16"/>
      <c r="M346" s="16"/>
      <c r="N346" s="16"/>
      <c r="O346" s="17"/>
      <c r="P346" s="16"/>
      <c r="Q346" s="18"/>
      <c r="R346" s="19"/>
    </row>
    <row r="347" spans="1:18" ht="17.399999999999999" customHeight="1" thickBot="1" x14ac:dyDescent="0.35">
      <c r="A347" s="164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6"/>
    </row>
    <row r="348" spans="1:18" ht="22.05" customHeight="1" thickTop="1" thickBot="1" x14ac:dyDescent="0.35">
      <c r="A348" s="161" t="s">
        <v>6</v>
      </c>
      <c r="B348" s="162"/>
      <c r="C348" s="162"/>
      <c r="D348" s="162"/>
      <c r="E348" s="162"/>
      <c r="F348" s="163"/>
      <c r="G348" s="102">
        <v>46013</v>
      </c>
      <c r="H348" s="167" t="s">
        <v>7</v>
      </c>
      <c r="I348" s="162"/>
      <c r="J348" s="162"/>
      <c r="K348" s="162"/>
      <c r="L348" s="162"/>
      <c r="M348" s="162"/>
      <c r="N348" s="162"/>
      <c r="O348" s="162"/>
      <c r="P348" s="162"/>
      <c r="Q348" s="162"/>
      <c r="R348" s="163"/>
    </row>
    <row r="349" spans="1:18" ht="24" customHeight="1" x14ac:dyDescent="0.3">
      <c r="A349" s="20" t="s">
        <v>8</v>
      </c>
      <c r="B349" s="20" t="s">
        <v>9</v>
      </c>
      <c r="C349" s="103" t="s">
        <v>10</v>
      </c>
      <c r="D349" s="20" t="s">
        <v>11</v>
      </c>
      <c r="E349" s="20" t="s">
        <v>12</v>
      </c>
      <c r="F349" s="21" t="s">
        <v>13</v>
      </c>
      <c r="G349" s="22" t="s">
        <v>14</v>
      </c>
      <c r="H349" s="20" t="s">
        <v>15</v>
      </c>
      <c r="I349" s="104" t="s">
        <v>16</v>
      </c>
      <c r="J349" s="23" t="s">
        <v>17</v>
      </c>
      <c r="K349" s="24" t="s">
        <v>18</v>
      </c>
      <c r="L349" s="23" t="s">
        <v>19</v>
      </c>
      <c r="M349" s="23" t="s">
        <v>20</v>
      </c>
      <c r="N349" s="23" t="s">
        <v>21</v>
      </c>
      <c r="O349" s="20" t="s">
        <v>22</v>
      </c>
      <c r="P349" s="103" t="s">
        <v>23</v>
      </c>
      <c r="Q349" s="23" t="s">
        <v>24</v>
      </c>
      <c r="R349" s="20" t="s">
        <v>25</v>
      </c>
    </row>
    <row r="350" spans="1:18" ht="15" customHeight="1" x14ac:dyDescent="0.3">
      <c r="A350" s="8" t="s">
        <v>35</v>
      </c>
      <c r="B350" s="8" t="s">
        <v>36</v>
      </c>
      <c r="C350" s="100">
        <v>0.30555555555555558</v>
      </c>
      <c r="D350" s="8" t="s">
        <v>37</v>
      </c>
      <c r="E350" s="8" t="s">
        <v>139</v>
      </c>
      <c r="F350" s="8" t="s">
        <v>111</v>
      </c>
      <c r="G350" s="15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25" t="s">
        <v>35</v>
      </c>
      <c r="B351" s="25" t="s">
        <v>36</v>
      </c>
      <c r="C351" s="105">
        <v>0.30555555555555558</v>
      </c>
      <c r="D351" s="25" t="s">
        <v>40</v>
      </c>
      <c r="E351" s="25" t="s">
        <v>139</v>
      </c>
      <c r="F351" s="25" t="s">
        <v>112</v>
      </c>
      <c r="G351" s="15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25" t="s">
        <v>35</v>
      </c>
      <c r="B352" s="25" t="s">
        <v>36</v>
      </c>
      <c r="C352" s="105">
        <v>0.30555555555555558</v>
      </c>
      <c r="D352" s="25" t="s">
        <v>42</v>
      </c>
      <c r="E352" s="25" t="s">
        <v>139</v>
      </c>
      <c r="F352" s="25" t="s">
        <v>85</v>
      </c>
      <c r="G352" s="15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26" t="s">
        <v>44</v>
      </c>
      <c r="B353" s="26" t="s">
        <v>53</v>
      </c>
      <c r="C353" s="106">
        <v>0.83680555555555558</v>
      </c>
      <c r="D353" s="26" t="s">
        <v>46</v>
      </c>
      <c r="E353" s="26" t="s">
        <v>47</v>
      </c>
      <c r="F353" s="26" t="s">
        <v>48</v>
      </c>
      <c r="G353" s="15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25" t="s">
        <v>44</v>
      </c>
      <c r="B354" s="25" t="s">
        <v>53</v>
      </c>
      <c r="C354" s="105">
        <v>0.83680555555555558</v>
      </c>
      <c r="D354" s="25" t="s">
        <v>49</v>
      </c>
      <c r="E354" s="25" t="s">
        <v>47</v>
      </c>
      <c r="F354" s="25" t="s">
        <v>50</v>
      </c>
      <c r="G354" s="15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25" t="s">
        <v>44</v>
      </c>
      <c r="B355" s="25" t="s">
        <v>53</v>
      </c>
      <c r="C355" s="105">
        <v>0.83680555555555558</v>
      </c>
      <c r="D355" s="25" t="s">
        <v>51</v>
      </c>
      <c r="E355" s="25" t="s">
        <v>47</v>
      </c>
      <c r="F355" s="25" t="s">
        <v>52</v>
      </c>
      <c r="G355" s="15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7" t="s">
        <v>44</v>
      </c>
      <c r="B356" s="27" t="s">
        <v>45</v>
      </c>
      <c r="C356" s="107">
        <v>0.2013888888888889</v>
      </c>
      <c r="D356" s="27" t="s">
        <v>46</v>
      </c>
      <c r="E356" s="27" t="s">
        <v>47</v>
      </c>
      <c r="F356" s="27" t="s">
        <v>48</v>
      </c>
      <c r="G356" s="15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25" t="s">
        <v>44</v>
      </c>
      <c r="B357" s="25" t="s">
        <v>45</v>
      </c>
      <c r="C357" s="105">
        <v>0.2013888888888889</v>
      </c>
      <c r="D357" s="25" t="s">
        <v>49</v>
      </c>
      <c r="E357" s="25" t="s">
        <v>47</v>
      </c>
      <c r="F357" s="25" t="s">
        <v>50</v>
      </c>
      <c r="G357" s="15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25" t="s">
        <v>44</v>
      </c>
      <c r="B358" s="25" t="s">
        <v>45</v>
      </c>
      <c r="C358" s="105">
        <v>0.2013888888888889</v>
      </c>
      <c r="D358" s="25" t="s">
        <v>51</v>
      </c>
      <c r="E358" s="25" t="s">
        <v>47</v>
      </c>
      <c r="F358" s="25" t="s">
        <v>52</v>
      </c>
      <c r="G358" s="15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26" t="s">
        <v>31</v>
      </c>
      <c r="B359" s="26" t="s">
        <v>32</v>
      </c>
      <c r="C359" s="106">
        <v>0.86458333333333337</v>
      </c>
      <c r="D359" s="26" t="s">
        <v>59</v>
      </c>
      <c r="E359" s="26" t="s">
        <v>29</v>
      </c>
      <c r="F359" s="26" t="s">
        <v>61</v>
      </c>
      <c r="G359" s="15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27" t="s">
        <v>31</v>
      </c>
      <c r="B360" s="27" t="s">
        <v>62</v>
      </c>
      <c r="C360" s="107">
        <v>0.52777777777777779</v>
      </c>
      <c r="D360" s="27" t="s">
        <v>59</v>
      </c>
      <c r="E360" s="27" t="s">
        <v>29</v>
      </c>
      <c r="F360" s="27" t="s">
        <v>61</v>
      </c>
      <c r="G360" s="15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27" t="s">
        <v>31</v>
      </c>
      <c r="B361" s="27" t="s">
        <v>58</v>
      </c>
      <c r="C361" s="107">
        <v>0.1701388888888889</v>
      </c>
      <c r="D361" s="27" t="s">
        <v>59</v>
      </c>
      <c r="E361" s="27" t="s">
        <v>29</v>
      </c>
      <c r="F361" s="27" t="s">
        <v>61</v>
      </c>
      <c r="G361" s="159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26" t="s">
        <v>79</v>
      </c>
      <c r="B362" s="26" t="s">
        <v>150</v>
      </c>
      <c r="C362" s="106">
        <v>0.1215277777777778</v>
      </c>
      <c r="D362" s="26" t="s">
        <v>28</v>
      </c>
      <c r="E362" s="26" t="s">
        <v>92</v>
      </c>
      <c r="F362" s="26" t="s">
        <v>145</v>
      </c>
      <c r="G362" s="15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26" t="s">
        <v>26</v>
      </c>
      <c r="B363" s="26" t="s">
        <v>27</v>
      </c>
      <c r="C363" s="106">
        <v>0.95833333333333337</v>
      </c>
      <c r="D363" s="26" t="s">
        <v>28</v>
      </c>
      <c r="E363" s="26" t="s">
        <v>29</v>
      </c>
      <c r="F363" s="26" t="s">
        <v>133</v>
      </c>
      <c r="G363" s="15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thickBot="1" x14ac:dyDescent="0.35">
      <c r="A364" s="14" t="s">
        <v>69</v>
      </c>
      <c r="B364" s="14" t="s">
        <v>70</v>
      </c>
      <c r="C364" s="101">
        <v>0.30555555555555558</v>
      </c>
      <c r="D364" s="14" t="s">
        <v>71</v>
      </c>
      <c r="E364" s="14" t="s">
        <v>72</v>
      </c>
      <c r="F364" s="14" t="s">
        <v>117</v>
      </c>
      <c r="G364" s="160"/>
      <c r="H364" s="15"/>
      <c r="I364" s="16"/>
      <c r="J364" s="16"/>
      <c r="K364" s="16"/>
      <c r="L364" s="16"/>
      <c r="M364" s="16"/>
      <c r="N364" s="16"/>
      <c r="O364" s="17"/>
      <c r="P364" s="16"/>
      <c r="Q364" s="18"/>
      <c r="R364" s="19"/>
    </row>
    <row r="365" spans="1:18" ht="17.399999999999999" customHeight="1" thickBot="1" x14ac:dyDescent="0.35">
      <c r="A365" s="164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6"/>
    </row>
    <row r="366" spans="1:18" ht="22.05" customHeight="1" thickTop="1" thickBot="1" x14ac:dyDescent="0.35">
      <c r="A366" s="161" t="s">
        <v>6</v>
      </c>
      <c r="B366" s="162"/>
      <c r="C366" s="162"/>
      <c r="D366" s="162"/>
      <c r="E366" s="162"/>
      <c r="F366" s="163"/>
      <c r="G366" s="102">
        <v>46014</v>
      </c>
      <c r="H366" s="167" t="s">
        <v>7</v>
      </c>
      <c r="I366" s="162"/>
      <c r="J366" s="162"/>
      <c r="K366" s="162"/>
      <c r="L366" s="162"/>
      <c r="M366" s="162"/>
      <c r="N366" s="162"/>
      <c r="O366" s="162"/>
      <c r="P366" s="162"/>
      <c r="Q366" s="162"/>
      <c r="R366" s="163"/>
    </row>
    <row r="367" spans="1:18" ht="24" customHeight="1" x14ac:dyDescent="0.3">
      <c r="A367" s="20" t="s">
        <v>8</v>
      </c>
      <c r="B367" s="20" t="s">
        <v>9</v>
      </c>
      <c r="C367" s="103" t="s">
        <v>10</v>
      </c>
      <c r="D367" s="20" t="s">
        <v>11</v>
      </c>
      <c r="E367" s="20" t="s">
        <v>12</v>
      </c>
      <c r="F367" s="21" t="s">
        <v>13</v>
      </c>
      <c r="G367" s="22" t="s">
        <v>14</v>
      </c>
      <c r="H367" s="20" t="s">
        <v>15</v>
      </c>
      <c r="I367" s="104" t="s">
        <v>16</v>
      </c>
      <c r="J367" s="23" t="s">
        <v>17</v>
      </c>
      <c r="K367" s="24" t="s">
        <v>18</v>
      </c>
      <c r="L367" s="23" t="s">
        <v>19</v>
      </c>
      <c r="M367" s="23" t="s">
        <v>20</v>
      </c>
      <c r="N367" s="23" t="s">
        <v>21</v>
      </c>
      <c r="O367" s="20" t="s">
        <v>22</v>
      </c>
      <c r="P367" s="103" t="s">
        <v>23</v>
      </c>
      <c r="Q367" s="23" t="s">
        <v>24</v>
      </c>
      <c r="R367" s="20" t="s">
        <v>25</v>
      </c>
    </row>
    <row r="368" spans="1:18" ht="15" customHeight="1" x14ac:dyDescent="0.3">
      <c r="A368" s="8" t="s">
        <v>35</v>
      </c>
      <c r="B368" s="8" t="s">
        <v>36</v>
      </c>
      <c r="C368" s="100">
        <v>0.30555555555555558</v>
      </c>
      <c r="D368" s="8" t="s">
        <v>130</v>
      </c>
      <c r="E368" s="8" t="s">
        <v>139</v>
      </c>
      <c r="F368" s="8" t="s">
        <v>111</v>
      </c>
      <c r="G368" s="15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26" t="s">
        <v>44</v>
      </c>
      <c r="B369" s="26" t="s">
        <v>53</v>
      </c>
      <c r="C369" s="106">
        <v>0.83680555555555558</v>
      </c>
      <c r="D369" s="26" t="s">
        <v>131</v>
      </c>
      <c r="E369" s="26" t="s">
        <v>47</v>
      </c>
      <c r="F369" s="26" t="s">
        <v>48</v>
      </c>
      <c r="G369" s="15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27" t="s">
        <v>44</v>
      </c>
      <c r="B370" s="27" t="s">
        <v>45</v>
      </c>
      <c r="C370" s="107">
        <v>0.2013888888888889</v>
      </c>
      <c r="D370" s="27" t="s">
        <v>131</v>
      </c>
      <c r="E370" s="27" t="s">
        <v>47</v>
      </c>
      <c r="F370" s="27" t="s">
        <v>30</v>
      </c>
      <c r="G370" s="15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26" t="s">
        <v>31</v>
      </c>
      <c r="B371" s="26" t="s">
        <v>32</v>
      </c>
      <c r="C371" s="106">
        <v>0.86458333333333337</v>
      </c>
      <c r="D371" s="26" t="s">
        <v>59</v>
      </c>
      <c r="E371" s="26" t="s">
        <v>29</v>
      </c>
      <c r="F371" s="26" t="s">
        <v>61</v>
      </c>
      <c r="G371" s="15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27" t="s">
        <v>31</v>
      </c>
      <c r="B372" s="27" t="s">
        <v>58</v>
      </c>
      <c r="C372" s="107">
        <v>0.1701388888888889</v>
      </c>
      <c r="D372" s="27" t="s">
        <v>59</v>
      </c>
      <c r="E372" s="27" t="s">
        <v>29</v>
      </c>
      <c r="F372" s="27" t="s">
        <v>61</v>
      </c>
      <c r="G372" s="15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26" t="s">
        <v>26</v>
      </c>
      <c r="B373" s="26" t="s">
        <v>57</v>
      </c>
      <c r="C373" s="106">
        <v>0.95833333333333337</v>
      </c>
      <c r="D373" s="26" t="s">
        <v>28</v>
      </c>
      <c r="E373" s="26" t="s">
        <v>87</v>
      </c>
      <c r="F373" s="26" t="s">
        <v>133</v>
      </c>
      <c r="G373" s="15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52" t="s">
        <v>63</v>
      </c>
      <c r="B374" s="52" t="s">
        <v>64</v>
      </c>
      <c r="C374" s="120">
        <v>0.27083333333333331</v>
      </c>
      <c r="D374" s="52" t="s">
        <v>28</v>
      </c>
      <c r="E374" s="52" t="s">
        <v>29</v>
      </c>
      <c r="F374" s="52" t="s">
        <v>65</v>
      </c>
      <c r="G374" s="159"/>
      <c r="H374" s="53" t="s">
        <v>66</v>
      </c>
      <c r="I374" s="121">
        <v>0.1726</v>
      </c>
      <c r="J374" s="54">
        <v>29</v>
      </c>
      <c r="K374" s="55">
        <v>45990</v>
      </c>
      <c r="L374" s="54">
        <v>17</v>
      </c>
      <c r="M374" s="54">
        <v>0</v>
      </c>
      <c r="N374" s="54">
        <v>0</v>
      </c>
      <c r="O374" s="56" t="s">
        <v>67</v>
      </c>
      <c r="P374" s="122">
        <v>0.27083333333333331</v>
      </c>
      <c r="Q374" s="54">
        <v>168</v>
      </c>
      <c r="R374" s="57" t="s">
        <v>151</v>
      </c>
    </row>
    <row r="375" spans="1:18" ht="15" customHeight="1" thickBot="1" x14ac:dyDescent="0.35">
      <c r="A375" s="14" t="s">
        <v>69</v>
      </c>
      <c r="B375" s="14" t="s">
        <v>70</v>
      </c>
      <c r="C375" s="101">
        <v>0.30555555555555558</v>
      </c>
      <c r="D375" s="14" t="s">
        <v>71</v>
      </c>
      <c r="E375" s="14" t="s">
        <v>72</v>
      </c>
      <c r="F375" s="14" t="s">
        <v>117</v>
      </c>
      <c r="G375" s="160"/>
      <c r="H375" s="15"/>
      <c r="I375" s="16"/>
      <c r="J375" s="16"/>
      <c r="K375" s="16"/>
      <c r="L375" s="16"/>
      <c r="M375" s="16"/>
      <c r="N375" s="16"/>
      <c r="O375" s="17"/>
      <c r="P375" s="16"/>
      <c r="Q375" s="18"/>
      <c r="R375" s="19"/>
    </row>
    <row r="376" spans="1:18" ht="17.399999999999999" customHeight="1" thickBot="1" x14ac:dyDescent="0.35">
      <c r="A376" s="164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6"/>
    </row>
    <row r="377" spans="1:18" ht="22.05" customHeight="1" thickTop="1" thickBot="1" x14ac:dyDescent="0.35">
      <c r="A377" s="161" t="s">
        <v>6</v>
      </c>
      <c r="B377" s="162"/>
      <c r="C377" s="162"/>
      <c r="D377" s="162"/>
      <c r="E377" s="162"/>
      <c r="F377" s="163"/>
      <c r="G377" s="102">
        <v>46015</v>
      </c>
      <c r="H377" s="167" t="s">
        <v>7</v>
      </c>
      <c r="I377" s="162"/>
      <c r="J377" s="162"/>
      <c r="K377" s="162"/>
      <c r="L377" s="162"/>
      <c r="M377" s="162"/>
      <c r="N377" s="162"/>
      <c r="O377" s="162"/>
      <c r="P377" s="162"/>
      <c r="Q377" s="162"/>
      <c r="R377" s="163"/>
    </row>
    <row r="378" spans="1:18" ht="24" customHeight="1" x14ac:dyDescent="0.3">
      <c r="A378" s="20" t="s">
        <v>8</v>
      </c>
      <c r="B378" s="20" t="s">
        <v>9</v>
      </c>
      <c r="C378" s="103" t="s">
        <v>10</v>
      </c>
      <c r="D378" s="20" t="s">
        <v>11</v>
      </c>
      <c r="E378" s="20" t="s">
        <v>12</v>
      </c>
      <c r="F378" s="21" t="s">
        <v>13</v>
      </c>
      <c r="G378" s="22" t="s">
        <v>14</v>
      </c>
      <c r="H378" s="20" t="s">
        <v>15</v>
      </c>
      <c r="I378" s="104" t="s">
        <v>16</v>
      </c>
      <c r="J378" s="23" t="s">
        <v>17</v>
      </c>
      <c r="K378" s="24" t="s">
        <v>18</v>
      </c>
      <c r="L378" s="23" t="s">
        <v>19</v>
      </c>
      <c r="M378" s="23" t="s">
        <v>20</v>
      </c>
      <c r="N378" s="23" t="s">
        <v>21</v>
      </c>
      <c r="O378" s="20" t="s">
        <v>22</v>
      </c>
      <c r="P378" s="103" t="s">
        <v>23</v>
      </c>
      <c r="Q378" s="23" t="s">
        <v>24</v>
      </c>
      <c r="R378" s="20" t="s">
        <v>25</v>
      </c>
    </row>
    <row r="379" spans="1:18" ht="15" customHeight="1" x14ac:dyDescent="0.3">
      <c r="A379" s="8" t="s">
        <v>35</v>
      </c>
      <c r="B379" s="8" t="s">
        <v>36</v>
      </c>
      <c r="C379" s="100">
        <v>0.30555555555555558</v>
      </c>
      <c r="D379" s="8" t="s">
        <v>37</v>
      </c>
      <c r="E379" s="8" t="s">
        <v>152</v>
      </c>
      <c r="F379" s="8" t="s">
        <v>111</v>
      </c>
      <c r="G379" s="15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25" t="s">
        <v>35</v>
      </c>
      <c r="B380" s="25" t="s">
        <v>36</v>
      </c>
      <c r="C380" s="105">
        <v>0.30555555555555558</v>
      </c>
      <c r="D380" s="25" t="s">
        <v>40</v>
      </c>
      <c r="E380" s="25" t="s">
        <v>152</v>
      </c>
      <c r="F380" s="25" t="s">
        <v>112</v>
      </c>
      <c r="G380" s="15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25" t="s">
        <v>35</v>
      </c>
      <c r="B381" s="25" t="s">
        <v>36</v>
      </c>
      <c r="C381" s="105">
        <v>0.30555555555555558</v>
      </c>
      <c r="D381" s="25" t="s">
        <v>42</v>
      </c>
      <c r="E381" s="25" t="s">
        <v>152</v>
      </c>
      <c r="F381" s="25" t="s">
        <v>85</v>
      </c>
      <c r="G381" s="15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26" t="s">
        <v>74</v>
      </c>
      <c r="B382" s="26" t="s">
        <v>75</v>
      </c>
      <c r="C382" s="106">
        <v>0.97222222222222221</v>
      </c>
      <c r="D382" s="26" t="s">
        <v>76</v>
      </c>
      <c r="E382" s="26" t="s">
        <v>47</v>
      </c>
      <c r="F382" s="26" t="s">
        <v>77</v>
      </c>
      <c r="G382" s="15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25" t="s">
        <v>74</v>
      </c>
      <c r="B383" s="25" t="s">
        <v>75</v>
      </c>
      <c r="C383" s="105">
        <v>0.97222222222222221</v>
      </c>
      <c r="D383" s="25" t="s">
        <v>42</v>
      </c>
      <c r="E383" s="25" t="s">
        <v>47</v>
      </c>
      <c r="F383" s="25" t="s">
        <v>153</v>
      </c>
      <c r="G383" s="15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26" t="s">
        <v>44</v>
      </c>
      <c r="B384" s="26" t="s">
        <v>53</v>
      </c>
      <c r="C384" s="106">
        <v>0.85069444444444442</v>
      </c>
      <c r="D384" s="26" t="s">
        <v>46</v>
      </c>
      <c r="E384" s="26" t="s">
        <v>60</v>
      </c>
      <c r="F384" s="26" t="s">
        <v>48</v>
      </c>
      <c r="G384" s="15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25" t="s">
        <v>44</v>
      </c>
      <c r="B385" s="25" t="s">
        <v>53</v>
      </c>
      <c r="C385" s="105">
        <v>0.85069444444444442</v>
      </c>
      <c r="D385" s="25" t="s">
        <v>49</v>
      </c>
      <c r="E385" s="25" t="s">
        <v>60</v>
      </c>
      <c r="F385" s="25" t="s">
        <v>50</v>
      </c>
      <c r="G385" s="15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25" t="s">
        <v>44</v>
      </c>
      <c r="B386" s="25" t="s">
        <v>53</v>
      </c>
      <c r="C386" s="105">
        <v>0.85069444444444442</v>
      </c>
      <c r="D386" s="25" t="s">
        <v>51</v>
      </c>
      <c r="E386" s="25" t="s">
        <v>60</v>
      </c>
      <c r="F386" s="25" t="s">
        <v>52</v>
      </c>
      <c r="G386" s="15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26" t="s">
        <v>31</v>
      </c>
      <c r="B387" s="26" t="s">
        <v>32</v>
      </c>
      <c r="C387" s="106">
        <v>0.86458333333333337</v>
      </c>
      <c r="D387" s="26" t="s">
        <v>59</v>
      </c>
      <c r="E387" s="26" t="s">
        <v>29</v>
      </c>
      <c r="F387" s="26" t="s">
        <v>61</v>
      </c>
      <c r="G387" s="15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27" t="s">
        <v>31</v>
      </c>
      <c r="B388" s="27" t="s">
        <v>62</v>
      </c>
      <c r="C388" s="107">
        <v>0.52777777777777779</v>
      </c>
      <c r="D388" s="27" t="s">
        <v>59</v>
      </c>
      <c r="E388" s="27" t="s">
        <v>29</v>
      </c>
      <c r="F388" s="27" t="s">
        <v>61</v>
      </c>
      <c r="G388" s="15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27" t="s">
        <v>31</v>
      </c>
      <c r="B389" s="27" t="s">
        <v>58</v>
      </c>
      <c r="C389" s="107">
        <v>0.1701388888888889</v>
      </c>
      <c r="D389" s="27" t="s">
        <v>59</v>
      </c>
      <c r="E389" s="27" t="s">
        <v>29</v>
      </c>
      <c r="F389" s="27" t="s">
        <v>61</v>
      </c>
      <c r="G389" s="15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26" t="s">
        <v>26</v>
      </c>
      <c r="B390" s="26" t="s">
        <v>27</v>
      </c>
      <c r="C390" s="106">
        <v>0.89583333333333337</v>
      </c>
      <c r="D390" s="26" t="s">
        <v>28</v>
      </c>
      <c r="E390" s="26" t="s">
        <v>29</v>
      </c>
      <c r="F390" s="26" t="s">
        <v>133</v>
      </c>
      <c r="G390" s="15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26" t="s">
        <v>79</v>
      </c>
      <c r="B391" s="26" t="s">
        <v>80</v>
      </c>
      <c r="C391" s="106">
        <v>9.0277777777777776E-2</v>
      </c>
      <c r="D391" s="26" t="s">
        <v>28</v>
      </c>
      <c r="E391" s="26" t="s">
        <v>87</v>
      </c>
      <c r="F391" s="26" t="s">
        <v>154</v>
      </c>
      <c r="G391" s="15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thickBot="1" x14ac:dyDescent="0.35">
      <c r="A392" s="14" t="s">
        <v>69</v>
      </c>
      <c r="B392" s="14" t="s">
        <v>70</v>
      </c>
      <c r="C392" s="101">
        <v>0.30555555555555558</v>
      </c>
      <c r="D392" s="14" t="s">
        <v>71</v>
      </c>
      <c r="E392" s="14" t="s">
        <v>72</v>
      </c>
      <c r="F392" s="14" t="s">
        <v>117</v>
      </c>
      <c r="G392" s="160"/>
      <c r="H392" s="15"/>
      <c r="I392" s="16"/>
      <c r="J392" s="16"/>
      <c r="K392" s="16"/>
      <c r="L392" s="16"/>
      <c r="M392" s="16"/>
      <c r="N392" s="16"/>
      <c r="O392" s="17"/>
      <c r="P392" s="16"/>
      <c r="Q392" s="18"/>
      <c r="R392" s="19"/>
    </row>
    <row r="393" spans="1:18" ht="17.399999999999999" customHeight="1" thickBot="1" x14ac:dyDescent="0.35">
      <c r="A393" s="164"/>
      <c r="B393" s="165"/>
      <c r="C393" s="165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6"/>
    </row>
    <row r="394" spans="1:18" ht="22.05" customHeight="1" thickTop="1" thickBot="1" x14ac:dyDescent="0.35">
      <c r="A394" s="161" t="s">
        <v>6</v>
      </c>
      <c r="B394" s="162"/>
      <c r="C394" s="162"/>
      <c r="D394" s="162"/>
      <c r="E394" s="162"/>
      <c r="F394" s="163"/>
      <c r="G394" s="102">
        <v>46016</v>
      </c>
      <c r="H394" s="167" t="s">
        <v>7</v>
      </c>
      <c r="I394" s="162"/>
      <c r="J394" s="162"/>
      <c r="K394" s="162"/>
      <c r="L394" s="162"/>
      <c r="M394" s="162"/>
      <c r="N394" s="162"/>
      <c r="O394" s="162"/>
      <c r="P394" s="162"/>
      <c r="Q394" s="162"/>
      <c r="R394" s="163"/>
    </row>
    <row r="395" spans="1:18" ht="24" customHeight="1" x14ac:dyDescent="0.3">
      <c r="A395" s="20" t="s">
        <v>8</v>
      </c>
      <c r="B395" s="20" t="s">
        <v>9</v>
      </c>
      <c r="C395" s="103" t="s">
        <v>10</v>
      </c>
      <c r="D395" s="20" t="s">
        <v>11</v>
      </c>
      <c r="E395" s="20" t="s">
        <v>12</v>
      </c>
      <c r="F395" s="21" t="s">
        <v>13</v>
      </c>
      <c r="G395" s="22" t="s">
        <v>14</v>
      </c>
      <c r="H395" s="20" t="s">
        <v>15</v>
      </c>
      <c r="I395" s="104" t="s">
        <v>16</v>
      </c>
      <c r="J395" s="23" t="s">
        <v>17</v>
      </c>
      <c r="K395" s="24" t="s">
        <v>18</v>
      </c>
      <c r="L395" s="23" t="s">
        <v>19</v>
      </c>
      <c r="M395" s="23" t="s">
        <v>20</v>
      </c>
      <c r="N395" s="23" t="s">
        <v>21</v>
      </c>
      <c r="O395" s="20" t="s">
        <v>22</v>
      </c>
      <c r="P395" s="103" t="s">
        <v>23</v>
      </c>
      <c r="Q395" s="23" t="s">
        <v>24</v>
      </c>
      <c r="R395" s="20" t="s">
        <v>25</v>
      </c>
    </row>
    <row r="396" spans="1:18" ht="15" customHeight="1" x14ac:dyDescent="0.3">
      <c r="A396" s="8" t="s">
        <v>35</v>
      </c>
      <c r="B396" s="8" t="s">
        <v>36</v>
      </c>
      <c r="C396" s="100">
        <v>0.30555555555555558</v>
      </c>
      <c r="D396" s="8" t="s">
        <v>37</v>
      </c>
      <c r="E396" s="8" t="s">
        <v>118</v>
      </c>
      <c r="F396" s="8" t="s">
        <v>39</v>
      </c>
      <c r="G396" s="15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25" t="s">
        <v>35</v>
      </c>
      <c r="B397" s="25" t="s">
        <v>36</v>
      </c>
      <c r="C397" s="105">
        <v>0.30555555555555558</v>
      </c>
      <c r="D397" s="25" t="s">
        <v>40</v>
      </c>
      <c r="E397" s="25" t="s">
        <v>118</v>
      </c>
      <c r="F397" s="25" t="s">
        <v>41</v>
      </c>
      <c r="G397" s="15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25" t="s">
        <v>35</v>
      </c>
      <c r="B398" s="25" t="s">
        <v>36</v>
      </c>
      <c r="C398" s="105">
        <v>0.30555555555555558</v>
      </c>
      <c r="D398" s="25" t="s">
        <v>42</v>
      </c>
      <c r="E398" s="25" t="s">
        <v>118</v>
      </c>
      <c r="F398" s="25" t="s">
        <v>85</v>
      </c>
      <c r="G398" s="159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26" t="s">
        <v>44</v>
      </c>
      <c r="B399" s="26" t="s">
        <v>45</v>
      </c>
      <c r="C399" s="106">
        <v>0.2013888888888889</v>
      </c>
      <c r="D399" s="26" t="s">
        <v>46</v>
      </c>
      <c r="E399" s="26" t="s">
        <v>135</v>
      </c>
      <c r="F399" s="26" t="s">
        <v>30</v>
      </c>
      <c r="G399" s="15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25" t="s">
        <v>44</v>
      </c>
      <c r="B400" s="25" t="s">
        <v>45</v>
      </c>
      <c r="C400" s="105">
        <v>0.2013888888888889</v>
      </c>
      <c r="D400" s="25" t="s">
        <v>49</v>
      </c>
      <c r="E400" s="25" t="s">
        <v>135</v>
      </c>
      <c r="F400" s="25" t="s">
        <v>88</v>
      </c>
      <c r="G400" s="159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25" t="s">
        <v>44</v>
      </c>
      <c r="B401" s="25" t="s">
        <v>45</v>
      </c>
      <c r="C401" s="105">
        <v>0.2013888888888889</v>
      </c>
      <c r="D401" s="25" t="s">
        <v>51</v>
      </c>
      <c r="E401" s="25" t="s">
        <v>135</v>
      </c>
      <c r="F401" s="25" t="s">
        <v>102</v>
      </c>
      <c r="G401" s="159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27" t="s">
        <v>44</v>
      </c>
      <c r="B402" s="27" t="s">
        <v>53</v>
      </c>
      <c r="C402" s="107">
        <v>0.83680555555555558</v>
      </c>
      <c r="D402" s="27" t="s">
        <v>46</v>
      </c>
      <c r="E402" s="27" t="s">
        <v>92</v>
      </c>
      <c r="F402" s="27" t="s">
        <v>54</v>
      </c>
      <c r="G402" s="159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25" t="s">
        <v>44</v>
      </c>
      <c r="B403" s="25" t="s">
        <v>53</v>
      </c>
      <c r="C403" s="105">
        <v>0.83680555555555558</v>
      </c>
      <c r="D403" s="25" t="s">
        <v>49</v>
      </c>
      <c r="E403" s="25" t="s">
        <v>92</v>
      </c>
      <c r="F403" s="25" t="s">
        <v>55</v>
      </c>
      <c r="G403" s="159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25" t="s">
        <v>44</v>
      </c>
      <c r="B404" s="25" t="s">
        <v>53</v>
      </c>
      <c r="C404" s="105">
        <v>0.83680555555555558</v>
      </c>
      <c r="D404" s="25" t="s">
        <v>51</v>
      </c>
      <c r="E404" s="25" t="s">
        <v>92</v>
      </c>
      <c r="F404" s="25" t="s">
        <v>56</v>
      </c>
      <c r="G404" s="159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26" t="s">
        <v>31</v>
      </c>
      <c r="B405" s="26" t="s">
        <v>58</v>
      </c>
      <c r="C405" s="106">
        <v>0.1701388888888889</v>
      </c>
      <c r="D405" s="26" t="s">
        <v>59</v>
      </c>
      <c r="E405" s="26" t="s">
        <v>29</v>
      </c>
      <c r="F405" s="26" t="s">
        <v>61</v>
      </c>
      <c r="G405" s="15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27" t="s">
        <v>31</v>
      </c>
      <c r="B406" s="27" t="s">
        <v>32</v>
      </c>
      <c r="C406" s="107">
        <v>0.86458333333333337</v>
      </c>
      <c r="D406" s="27" t="s">
        <v>33</v>
      </c>
      <c r="E406" s="27" t="s">
        <v>29</v>
      </c>
      <c r="F406" s="27" t="s">
        <v>34</v>
      </c>
      <c r="G406" s="15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27" t="s">
        <v>31</v>
      </c>
      <c r="B407" s="27" t="s">
        <v>62</v>
      </c>
      <c r="C407" s="107">
        <v>0.52777777777777779</v>
      </c>
      <c r="D407" s="27" t="s">
        <v>33</v>
      </c>
      <c r="E407" s="27" t="s">
        <v>29</v>
      </c>
      <c r="F407" s="27" t="s">
        <v>155</v>
      </c>
      <c r="G407" s="15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26" t="s">
        <v>79</v>
      </c>
      <c r="B408" s="26" t="s">
        <v>80</v>
      </c>
      <c r="C408" s="106">
        <v>0.88888888888888884</v>
      </c>
      <c r="D408" s="26" t="s">
        <v>156</v>
      </c>
      <c r="E408" s="26" t="s">
        <v>157</v>
      </c>
      <c r="F408" s="26" t="s">
        <v>154</v>
      </c>
      <c r="G408" s="15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26" t="s">
        <v>26</v>
      </c>
      <c r="B409" s="26" t="s">
        <v>57</v>
      </c>
      <c r="C409" s="106">
        <v>0.95833333333333337</v>
      </c>
      <c r="D409" s="26" t="s">
        <v>28</v>
      </c>
      <c r="E409" s="26" t="s">
        <v>29</v>
      </c>
      <c r="F409" s="26" t="s">
        <v>126</v>
      </c>
      <c r="G409" s="15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34" t="s">
        <v>63</v>
      </c>
      <c r="B410" s="34" t="s">
        <v>64</v>
      </c>
      <c r="C410" s="111">
        <v>0.92361111111111116</v>
      </c>
      <c r="D410" s="34" t="s">
        <v>28</v>
      </c>
      <c r="E410" s="34" t="s">
        <v>29</v>
      </c>
      <c r="F410" s="34" t="s">
        <v>106</v>
      </c>
      <c r="G410" s="159"/>
      <c r="H410" s="35" t="s">
        <v>66</v>
      </c>
      <c r="I410" s="112">
        <v>0.25600000000000001</v>
      </c>
      <c r="J410" s="36">
        <v>43</v>
      </c>
      <c r="K410" s="37">
        <v>45989</v>
      </c>
      <c r="L410" s="36">
        <v>4</v>
      </c>
      <c r="M410" s="36">
        <v>0</v>
      </c>
      <c r="N410" s="36">
        <v>0</v>
      </c>
      <c r="O410" s="38" t="s">
        <v>107</v>
      </c>
      <c r="P410" s="113">
        <v>0.92361111111111116</v>
      </c>
      <c r="Q410" s="36">
        <v>168</v>
      </c>
      <c r="R410" s="39" t="s">
        <v>158</v>
      </c>
    </row>
    <row r="411" spans="1:18" ht="15" customHeight="1" thickBot="1" x14ac:dyDescent="0.35">
      <c r="A411" s="14" t="s">
        <v>69</v>
      </c>
      <c r="B411" s="14" t="s">
        <v>70</v>
      </c>
      <c r="C411" s="101">
        <v>0.30555555555555558</v>
      </c>
      <c r="D411" s="14" t="s">
        <v>71</v>
      </c>
      <c r="E411" s="14" t="s">
        <v>72</v>
      </c>
      <c r="F411" s="14" t="s">
        <v>73</v>
      </c>
      <c r="G411" s="160"/>
      <c r="H411" s="15"/>
      <c r="I411" s="16"/>
      <c r="J411" s="16"/>
      <c r="K411" s="16"/>
      <c r="L411" s="16"/>
      <c r="M411" s="16"/>
      <c r="N411" s="16"/>
      <c r="O411" s="17"/>
      <c r="P411" s="16"/>
      <c r="Q411" s="18"/>
      <c r="R411" s="19"/>
    </row>
    <row r="412" spans="1:18" ht="17.399999999999999" customHeight="1" thickBot="1" x14ac:dyDescent="0.35">
      <c r="A412" s="164"/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6"/>
    </row>
    <row r="413" spans="1:18" ht="22.05" customHeight="1" thickTop="1" thickBot="1" x14ac:dyDescent="0.35">
      <c r="A413" s="161" t="s">
        <v>6</v>
      </c>
      <c r="B413" s="162"/>
      <c r="C413" s="162"/>
      <c r="D413" s="162"/>
      <c r="E413" s="162"/>
      <c r="F413" s="163"/>
      <c r="G413" s="102">
        <v>46017</v>
      </c>
      <c r="H413" s="167" t="s">
        <v>7</v>
      </c>
      <c r="I413" s="162"/>
      <c r="J413" s="162"/>
      <c r="K413" s="162"/>
      <c r="L413" s="162"/>
      <c r="M413" s="162"/>
      <c r="N413" s="162"/>
      <c r="O413" s="162"/>
      <c r="P413" s="162"/>
      <c r="Q413" s="162"/>
      <c r="R413" s="163"/>
    </row>
    <row r="414" spans="1:18" ht="24" customHeight="1" x14ac:dyDescent="0.3">
      <c r="A414" s="20" t="s">
        <v>8</v>
      </c>
      <c r="B414" s="20" t="s">
        <v>9</v>
      </c>
      <c r="C414" s="103" t="s">
        <v>10</v>
      </c>
      <c r="D414" s="20" t="s">
        <v>11</v>
      </c>
      <c r="E414" s="20" t="s">
        <v>12</v>
      </c>
      <c r="F414" s="21" t="s">
        <v>13</v>
      </c>
      <c r="G414" s="22" t="s">
        <v>14</v>
      </c>
      <c r="H414" s="20" t="s">
        <v>15</v>
      </c>
      <c r="I414" s="104" t="s">
        <v>16</v>
      </c>
      <c r="J414" s="23" t="s">
        <v>17</v>
      </c>
      <c r="K414" s="24" t="s">
        <v>18</v>
      </c>
      <c r="L414" s="23" t="s">
        <v>19</v>
      </c>
      <c r="M414" s="23" t="s">
        <v>20</v>
      </c>
      <c r="N414" s="23" t="s">
        <v>21</v>
      </c>
      <c r="O414" s="20" t="s">
        <v>22</v>
      </c>
      <c r="P414" s="103" t="s">
        <v>23</v>
      </c>
      <c r="Q414" s="23" t="s">
        <v>24</v>
      </c>
      <c r="R414" s="20" t="s">
        <v>25</v>
      </c>
    </row>
    <row r="415" spans="1:18" ht="49.95" customHeight="1" x14ac:dyDescent="0.3">
      <c r="A415" s="8" t="s">
        <v>44</v>
      </c>
      <c r="B415" s="8" t="s">
        <v>53</v>
      </c>
      <c r="C415" s="100">
        <v>0.83680555555555558</v>
      </c>
      <c r="D415" s="8" t="s">
        <v>46</v>
      </c>
      <c r="E415" s="8" t="s">
        <v>60</v>
      </c>
      <c r="F415" s="8" t="s">
        <v>48</v>
      </c>
      <c r="G415" s="15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49.95" customHeight="1" x14ac:dyDescent="0.3">
      <c r="A416" s="25" t="s">
        <v>44</v>
      </c>
      <c r="B416" s="25" t="s">
        <v>53</v>
      </c>
      <c r="C416" s="105">
        <v>0.83680555555555558</v>
      </c>
      <c r="D416" s="25" t="s">
        <v>49</v>
      </c>
      <c r="E416" s="25" t="s">
        <v>60</v>
      </c>
      <c r="F416" s="25" t="s">
        <v>50</v>
      </c>
      <c r="G416" s="15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49.95" customHeight="1" thickBot="1" x14ac:dyDescent="0.35">
      <c r="A417" s="58" t="s">
        <v>44</v>
      </c>
      <c r="B417" s="58" t="s">
        <v>53</v>
      </c>
      <c r="C417" s="123">
        <v>0.83680555555555558</v>
      </c>
      <c r="D417" s="58" t="s">
        <v>51</v>
      </c>
      <c r="E417" s="58" t="s">
        <v>60</v>
      </c>
      <c r="F417" s="58" t="s">
        <v>52</v>
      </c>
      <c r="G417" s="160"/>
      <c r="H417" s="15"/>
      <c r="I417" s="16"/>
      <c r="J417" s="16"/>
      <c r="K417" s="16"/>
      <c r="L417" s="16"/>
      <c r="M417" s="16"/>
      <c r="N417" s="16"/>
      <c r="O417" s="17"/>
      <c r="P417" s="16"/>
      <c r="Q417" s="18"/>
      <c r="R417" s="19"/>
    </row>
    <row r="418" spans="1:18" ht="17.399999999999999" customHeight="1" thickBot="1" x14ac:dyDescent="0.35">
      <c r="A418" s="164"/>
      <c r="B418" s="165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6"/>
    </row>
    <row r="419" spans="1:18" ht="22.05" customHeight="1" thickTop="1" thickBot="1" x14ac:dyDescent="0.35">
      <c r="A419" s="161" t="s">
        <v>6</v>
      </c>
      <c r="B419" s="162"/>
      <c r="C419" s="162"/>
      <c r="D419" s="162"/>
      <c r="E419" s="162"/>
      <c r="F419" s="163"/>
      <c r="G419" s="102">
        <v>46018</v>
      </c>
      <c r="H419" s="167" t="s">
        <v>7</v>
      </c>
      <c r="I419" s="162"/>
      <c r="J419" s="162"/>
      <c r="K419" s="162"/>
      <c r="L419" s="162"/>
      <c r="M419" s="162"/>
      <c r="N419" s="162"/>
      <c r="O419" s="162"/>
      <c r="P419" s="162"/>
      <c r="Q419" s="162"/>
      <c r="R419" s="163"/>
    </row>
    <row r="420" spans="1:18" ht="24" customHeight="1" x14ac:dyDescent="0.3">
      <c r="A420" s="20" t="s">
        <v>8</v>
      </c>
      <c r="B420" s="20" t="s">
        <v>9</v>
      </c>
      <c r="C420" s="103" t="s">
        <v>10</v>
      </c>
      <c r="D420" s="20" t="s">
        <v>11</v>
      </c>
      <c r="E420" s="20" t="s">
        <v>12</v>
      </c>
      <c r="F420" s="21" t="s">
        <v>13</v>
      </c>
      <c r="G420" s="22" t="s">
        <v>14</v>
      </c>
      <c r="H420" s="20" t="s">
        <v>15</v>
      </c>
      <c r="I420" s="104" t="s">
        <v>16</v>
      </c>
      <c r="J420" s="23" t="s">
        <v>17</v>
      </c>
      <c r="K420" s="24" t="s">
        <v>18</v>
      </c>
      <c r="L420" s="23" t="s">
        <v>19</v>
      </c>
      <c r="M420" s="23" t="s">
        <v>20</v>
      </c>
      <c r="N420" s="23" t="s">
        <v>21</v>
      </c>
      <c r="O420" s="20" t="s">
        <v>22</v>
      </c>
      <c r="P420" s="103" t="s">
        <v>23</v>
      </c>
      <c r="Q420" s="23" t="s">
        <v>24</v>
      </c>
      <c r="R420" s="20" t="s">
        <v>25</v>
      </c>
    </row>
    <row r="421" spans="1:18" ht="15" customHeight="1" x14ac:dyDescent="0.3">
      <c r="A421" s="8" t="s">
        <v>35</v>
      </c>
      <c r="B421" s="8" t="s">
        <v>36</v>
      </c>
      <c r="C421" s="100">
        <v>0.30555555555555558</v>
      </c>
      <c r="D421" s="8" t="s">
        <v>37</v>
      </c>
      <c r="E421" s="8" t="s">
        <v>141</v>
      </c>
      <c r="F421" s="8" t="s">
        <v>111</v>
      </c>
      <c r="G421" s="15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25" t="s">
        <v>35</v>
      </c>
      <c r="B422" s="25" t="s">
        <v>36</v>
      </c>
      <c r="C422" s="105">
        <v>0.30555555555555558</v>
      </c>
      <c r="D422" s="25" t="s">
        <v>40</v>
      </c>
      <c r="E422" s="25" t="s">
        <v>141</v>
      </c>
      <c r="F422" s="25" t="s">
        <v>112</v>
      </c>
      <c r="G422" s="15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25" t="s">
        <v>35</v>
      </c>
      <c r="B423" s="25" t="s">
        <v>36</v>
      </c>
      <c r="C423" s="105">
        <v>0.30555555555555558</v>
      </c>
      <c r="D423" s="25" t="s">
        <v>42</v>
      </c>
      <c r="E423" s="25" t="s">
        <v>141</v>
      </c>
      <c r="F423" s="25" t="s">
        <v>85</v>
      </c>
      <c r="G423" s="15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26" t="s">
        <v>44</v>
      </c>
      <c r="B424" s="26" t="s">
        <v>53</v>
      </c>
      <c r="C424" s="106">
        <v>0.83680555555555558</v>
      </c>
      <c r="D424" s="26" t="s">
        <v>46</v>
      </c>
      <c r="E424" s="26" t="s">
        <v>47</v>
      </c>
      <c r="F424" s="26" t="s">
        <v>48</v>
      </c>
      <c r="G424" s="15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25" t="s">
        <v>44</v>
      </c>
      <c r="B425" s="25" t="s">
        <v>53</v>
      </c>
      <c r="C425" s="105">
        <v>0.83680555555555558</v>
      </c>
      <c r="D425" s="25" t="s">
        <v>49</v>
      </c>
      <c r="E425" s="25" t="s">
        <v>47</v>
      </c>
      <c r="F425" s="25" t="s">
        <v>50</v>
      </c>
      <c r="G425" s="15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25" t="s">
        <v>44</v>
      </c>
      <c r="B426" s="25" t="s">
        <v>53</v>
      </c>
      <c r="C426" s="105">
        <v>0.83680555555555558</v>
      </c>
      <c r="D426" s="25" t="s">
        <v>51</v>
      </c>
      <c r="E426" s="25" t="s">
        <v>47</v>
      </c>
      <c r="F426" s="25" t="s">
        <v>52</v>
      </c>
      <c r="G426" s="15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27" t="s">
        <v>44</v>
      </c>
      <c r="B427" s="27" t="s">
        <v>45</v>
      </c>
      <c r="C427" s="107">
        <v>0.2013888888888889</v>
      </c>
      <c r="D427" s="27" t="s">
        <v>46</v>
      </c>
      <c r="E427" s="27" t="s">
        <v>47</v>
      </c>
      <c r="F427" s="27" t="s">
        <v>48</v>
      </c>
      <c r="G427" s="15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25" t="s">
        <v>44</v>
      </c>
      <c r="B428" s="25" t="s">
        <v>45</v>
      </c>
      <c r="C428" s="105">
        <v>0.2013888888888889</v>
      </c>
      <c r="D428" s="25" t="s">
        <v>49</v>
      </c>
      <c r="E428" s="25" t="s">
        <v>47</v>
      </c>
      <c r="F428" s="25" t="s">
        <v>50</v>
      </c>
      <c r="G428" s="15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25" t="s">
        <v>44</v>
      </c>
      <c r="B429" s="25" t="s">
        <v>45</v>
      </c>
      <c r="C429" s="105">
        <v>0.2013888888888889</v>
      </c>
      <c r="D429" s="25" t="s">
        <v>51</v>
      </c>
      <c r="E429" s="25" t="s">
        <v>47</v>
      </c>
      <c r="F429" s="25" t="s">
        <v>52</v>
      </c>
      <c r="G429" s="15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26" t="s">
        <v>74</v>
      </c>
      <c r="B430" s="26" t="s">
        <v>75</v>
      </c>
      <c r="C430" s="106">
        <v>0.97222222222222221</v>
      </c>
      <c r="D430" s="26" t="s">
        <v>76</v>
      </c>
      <c r="E430" s="26" t="s">
        <v>47</v>
      </c>
      <c r="F430" s="26" t="s">
        <v>113</v>
      </c>
      <c r="G430" s="15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25" t="s">
        <v>74</v>
      </c>
      <c r="B431" s="25" t="s">
        <v>75</v>
      </c>
      <c r="C431" s="105">
        <v>0.97222222222222221</v>
      </c>
      <c r="D431" s="25" t="s">
        <v>42</v>
      </c>
      <c r="E431" s="25" t="s">
        <v>47</v>
      </c>
      <c r="F431" s="25" t="s">
        <v>159</v>
      </c>
      <c r="G431" s="15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26" t="s">
        <v>31</v>
      </c>
      <c r="B432" s="26" t="s">
        <v>32</v>
      </c>
      <c r="C432" s="106">
        <v>0.86805555555555558</v>
      </c>
      <c r="D432" s="26" t="s">
        <v>59</v>
      </c>
      <c r="E432" s="26" t="s">
        <v>29</v>
      </c>
      <c r="F432" s="26" t="s">
        <v>61</v>
      </c>
      <c r="G432" s="15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27" t="s">
        <v>31</v>
      </c>
      <c r="B433" s="27" t="s">
        <v>62</v>
      </c>
      <c r="C433" s="107">
        <v>0.52777777777777779</v>
      </c>
      <c r="D433" s="27" t="s">
        <v>59</v>
      </c>
      <c r="E433" s="27" t="s">
        <v>29</v>
      </c>
      <c r="F433" s="27" t="s">
        <v>61</v>
      </c>
      <c r="G433" s="15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27" t="s">
        <v>31</v>
      </c>
      <c r="B434" s="27" t="s">
        <v>58</v>
      </c>
      <c r="C434" s="107">
        <v>0.1701388888888889</v>
      </c>
      <c r="D434" s="27" t="s">
        <v>59</v>
      </c>
      <c r="E434" s="27" t="s">
        <v>29</v>
      </c>
      <c r="F434" s="27" t="s">
        <v>61</v>
      </c>
      <c r="G434" s="15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26" t="s">
        <v>26</v>
      </c>
      <c r="B435" s="26" t="s">
        <v>57</v>
      </c>
      <c r="C435" s="106">
        <v>0.94444444444444442</v>
      </c>
      <c r="D435" s="26" t="s">
        <v>156</v>
      </c>
      <c r="E435" s="26" t="s">
        <v>29</v>
      </c>
      <c r="F435" s="26" t="s">
        <v>133</v>
      </c>
      <c r="G435" s="15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59" t="s">
        <v>63</v>
      </c>
      <c r="B436" s="59" t="s">
        <v>64</v>
      </c>
      <c r="C436" s="124">
        <v>0.92361111111111116</v>
      </c>
      <c r="D436" s="59" t="s">
        <v>28</v>
      </c>
      <c r="E436" s="59" t="s">
        <v>29</v>
      </c>
      <c r="F436" s="59" t="s">
        <v>65</v>
      </c>
      <c r="G436" s="159"/>
      <c r="H436" s="60" t="s">
        <v>66</v>
      </c>
      <c r="I436" s="125">
        <v>0.25</v>
      </c>
      <c r="J436" s="61">
        <v>42</v>
      </c>
      <c r="K436" s="62">
        <v>45990</v>
      </c>
      <c r="L436" s="61">
        <v>28</v>
      </c>
      <c r="M436" s="61">
        <v>0</v>
      </c>
      <c r="N436" s="61">
        <v>0</v>
      </c>
      <c r="O436" s="63" t="s">
        <v>67</v>
      </c>
      <c r="P436" s="126">
        <v>0.92361111111111116</v>
      </c>
      <c r="Q436" s="61">
        <v>168</v>
      </c>
      <c r="R436" s="64" t="s">
        <v>160</v>
      </c>
    </row>
    <row r="437" spans="1:18" ht="15" customHeight="1" thickBot="1" x14ac:dyDescent="0.35">
      <c r="A437" s="14" t="s">
        <v>69</v>
      </c>
      <c r="B437" s="14" t="s">
        <v>70</v>
      </c>
      <c r="C437" s="101">
        <v>0.30555555555555558</v>
      </c>
      <c r="D437" s="14" t="s">
        <v>71</v>
      </c>
      <c r="E437" s="14" t="s">
        <v>72</v>
      </c>
      <c r="F437" s="14" t="s">
        <v>117</v>
      </c>
      <c r="G437" s="160"/>
      <c r="H437" s="15"/>
      <c r="I437" s="16"/>
      <c r="J437" s="16"/>
      <c r="K437" s="16"/>
      <c r="L437" s="16"/>
      <c r="M437" s="16"/>
      <c r="N437" s="16"/>
      <c r="O437" s="17"/>
      <c r="P437" s="16"/>
      <c r="Q437" s="18"/>
      <c r="R437" s="19"/>
    </row>
    <row r="438" spans="1:18" ht="17.399999999999999" customHeight="1" thickBot="1" x14ac:dyDescent="0.35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6"/>
    </row>
    <row r="439" spans="1:18" ht="22.05" customHeight="1" thickTop="1" thickBot="1" x14ac:dyDescent="0.35">
      <c r="A439" s="161" t="s">
        <v>6</v>
      </c>
      <c r="B439" s="162"/>
      <c r="C439" s="162"/>
      <c r="D439" s="162"/>
      <c r="E439" s="162"/>
      <c r="F439" s="163"/>
      <c r="G439" s="102">
        <v>46019</v>
      </c>
      <c r="H439" s="167" t="s">
        <v>7</v>
      </c>
      <c r="I439" s="162"/>
      <c r="J439" s="162"/>
      <c r="K439" s="162"/>
      <c r="L439" s="162"/>
      <c r="M439" s="162"/>
      <c r="N439" s="162"/>
      <c r="O439" s="162"/>
      <c r="P439" s="162"/>
      <c r="Q439" s="162"/>
      <c r="R439" s="163"/>
    </row>
    <row r="440" spans="1:18" ht="24" customHeight="1" x14ac:dyDescent="0.3">
      <c r="A440" s="20" t="s">
        <v>8</v>
      </c>
      <c r="B440" s="20" t="s">
        <v>9</v>
      </c>
      <c r="C440" s="103" t="s">
        <v>10</v>
      </c>
      <c r="D440" s="20" t="s">
        <v>11</v>
      </c>
      <c r="E440" s="20" t="s">
        <v>12</v>
      </c>
      <c r="F440" s="21" t="s">
        <v>13</v>
      </c>
      <c r="G440" s="22" t="s">
        <v>14</v>
      </c>
      <c r="H440" s="20" t="s">
        <v>15</v>
      </c>
      <c r="I440" s="104" t="s">
        <v>16</v>
      </c>
      <c r="J440" s="23" t="s">
        <v>17</v>
      </c>
      <c r="K440" s="24" t="s">
        <v>18</v>
      </c>
      <c r="L440" s="23" t="s">
        <v>19</v>
      </c>
      <c r="M440" s="23" t="s">
        <v>20</v>
      </c>
      <c r="N440" s="23" t="s">
        <v>21</v>
      </c>
      <c r="O440" s="20" t="s">
        <v>22</v>
      </c>
      <c r="P440" s="103" t="s">
        <v>23</v>
      </c>
      <c r="Q440" s="23" t="s">
        <v>24</v>
      </c>
      <c r="R440" s="20" t="s">
        <v>25</v>
      </c>
    </row>
    <row r="441" spans="1:18" ht="15" customHeight="1" x14ac:dyDescent="0.3">
      <c r="A441" s="8" t="s">
        <v>35</v>
      </c>
      <c r="B441" s="8" t="s">
        <v>36</v>
      </c>
      <c r="C441" s="100">
        <v>0.30555555555555558</v>
      </c>
      <c r="D441" s="8" t="s">
        <v>37</v>
      </c>
      <c r="E441" s="8" t="s">
        <v>139</v>
      </c>
      <c r="F441" s="8" t="s">
        <v>111</v>
      </c>
      <c r="G441" s="15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5" t="s">
        <v>35</v>
      </c>
      <c r="B442" s="25" t="s">
        <v>36</v>
      </c>
      <c r="C442" s="105">
        <v>0.30555555555555558</v>
      </c>
      <c r="D442" s="25" t="s">
        <v>40</v>
      </c>
      <c r="E442" s="25" t="s">
        <v>139</v>
      </c>
      <c r="F442" s="25" t="s">
        <v>112</v>
      </c>
      <c r="G442" s="15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25" t="s">
        <v>35</v>
      </c>
      <c r="B443" s="25" t="s">
        <v>36</v>
      </c>
      <c r="C443" s="105">
        <v>0.30555555555555558</v>
      </c>
      <c r="D443" s="25" t="s">
        <v>42</v>
      </c>
      <c r="E443" s="25" t="s">
        <v>139</v>
      </c>
      <c r="F443" s="25" t="s">
        <v>85</v>
      </c>
      <c r="G443" s="15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26" t="s">
        <v>44</v>
      </c>
      <c r="B444" s="26" t="s">
        <v>53</v>
      </c>
      <c r="C444" s="106">
        <v>0.85069444444444442</v>
      </c>
      <c r="D444" s="26" t="s">
        <v>46</v>
      </c>
      <c r="E444" s="26" t="s">
        <v>60</v>
      </c>
      <c r="F444" s="26" t="s">
        <v>48</v>
      </c>
      <c r="G444" s="15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25" t="s">
        <v>44</v>
      </c>
      <c r="B445" s="25" t="s">
        <v>53</v>
      </c>
      <c r="C445" s="105">
        <v>0.85069444444444442</v>
      </c>
      <c r="D445" s="25" t="s">
        <v>49</v>
      </c>
      <c r="E445" s="25" t="s">
        <v>60</v>
      </c>
      <c r="F445" s="25" t="s">
        <v>50</v>
      </c>
      <c r="G445" s="15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25" t="s">
        <v>44</v>
      </c>
      <c r="B446" s="25" t="s">
        <v>53</v>
      </c>
      <c r="C446" s="105">
        <v>0.85069444444444442</v>
      </c>
      <c r="D446" s="25" t="s">
        <v>51</v>
      </c>
      <c r="E446" s="25" t="s">
        <v>60</v>
      </c>
      <c r="F446" s="25" t="s">
        <v>52</v>
      </c>
      <c r="G446" s="15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26" t="s">
        <v>31</v>
      </c>
      <c r="B447" s="26" t="s">
        <v>32</v>
      </c>
      <c r="C447" s="106">
        <v>0.86458333333333337</v>
      </c>
      <c r="D447" s="26" t="s">
        <v>59</v>
      </c>
      <c r="E447" s="26" t="s">
        <v>29</v>
      </c>
      <c r="F447" s="26" t="s">
        <v>61</v>
      </c>
      <c r="G447" s="15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27" t="s">
        <v>31</v>
      </c>
      <c r="B448" s="27" t="s">
        <v>62</v>
      </c>
      <c r="C448" s="107">
        <v>0.52777777777777779</v>
      </c>
      <c r="D448" s="27" t="s">
        <v>59</v>
      </c>
      <c r="E448" s="27" t="s">
        <v>29</v>
      </c>
      <c r="F448" s="27" t="s">
        <v>61</v>
      </c>
      <c r="G448" s="15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27" t="s">
        <v>31</v>
      </c>
      <c r="B449" s="27" t="s">
        <v>58</v>
      </c>
      <c r="C449" s="107">
        <v>0.1701388888888889</v>
      </c>
      <c r="D449" s="27" t="s">
        <v>59</v>
      </c>
      <c r="E449" s="27" t="s">
        <v>29</v>
      </c>
      <c r="F449" s="27" t="s">
        <v>61</v>
      </c>
      <c r="G449" s="15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26" t="s">
        <v>26</v>
      </c>
      <c r="B450" s="26" t="s">
        <v>93</v>
      </c>
      <c r="C450" s="106">
        <v>0.95833333333333337</v>
      </c>
      <c r="D450" s="26" t="s">
        <v>156</v>
      </c>
      <c r="E450" s="26" t="s">
        <v>29</v>
      </c>
      <c r="F450" s="26" t="s">
        <v>133</v>
      </c>
      <c r="G450" s="15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thickBot="1" x14ac:dyDescent="0.35">
      <c r="A451" s="14" t="s">
        <v>69</v>
      </c>
      <c r="B451" s="14" t="s">
        <v>70</v>
      </c>
      <c r="C451" s="101">
        <v>0.30555555555555558</v>
      </c>
      <c r="D451" s="14" t="s">
        <v>71</v>
      </c>
      <c r="E451" s="14" t="s">
        <v>72</v>
      </c>
      <c r="F451" s="14" t="s">
        <v>117</v>
      </c>
      <c r="G451" s="160"/>
      <c r="H451" s="15"/>
      <c r="I451" s="16"/>
      <c r="J451" s="16"/>
      <c r="K451" s="16"/>
      <c r="L451" s="16"/>
      <c r="M451" s="16"/>
      <c r="N451" s="16"/>
      <c r="O451" s="17"/>
      <c r="P451" s="16"/>
      <c r="Q451" s="18"/>
      <c r="R451" s="19"/>
    </row>
    <row r="452" spans="1:18" ht="17.399999999999999" customHeight="1" thickBot="1" x14ac:dyDescent="0.35">
      <c r="A452" s="164"/>
      <c r="B452" s="165"/>
      <c r="C452" s="165"/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6"/>
    </row>
    <row r="453" spans="1:18" ht="22.05" customHeight="1" thickTop="1" thickBot="1" x14ac:dyDescent="0.35">
      <c r="A453" s="161" t="s">
        <v>6</v>
      </c>
      <c r="B453" s="162"/>
      <c r="C453" s="162"/>
      <c r="D453" s="162"/>
      <c r="E453" s="162"/>
      <c r="F453" s="163"/>
      <c r="G453" s="102">
        <v>46020</v>
      </c>
      <c r="H453" s="167" t="s">
        <v>7</v>
      </c>
      <c r="I453" s="162"/>
      <c r="J453" s="162"/>
      <c r="K453" s="162"/>
      <c r="L453" s="162"/>
      <c r="M453" s="162"/>
      <c r="N453" s="162"/>
      <c r="O453" s="162"/>
      <c r="P453" s="162"/>
      <c r="Q453" s="162"/>
      <c r="R453" s="163"/>
    </row>
    <row r="454" spans="1:18" ht="24" customHeight="1" x14ac:dyDescent="0.3">
      <c r="A454" s="20" t="s">
        <v>8</v>
      </c>
      <c r="B454" s="20" t="s">
        <v>9</v>
      </c>
      <c r="C454" s="103" t="s">
        <v>10</v>
      </c>
      <c r="D454" s="20" t="s">
        <v>11</v>
      </c>
      <c r="E454" s="20" t="s">
        <v>12</v>
      </c>
      <c r="F454" s="21" t="s">
        <v>13</v>
      </c>
      <c r="G454" s="22" t="s">
        <v>14</v>
      </c>
      <c r="H454" s="20" t="s">
        <v>15</v>
      </c>
      <c r="I454" s="104" t="s">
        <v>16</v>
      </c>
      <c r="J454" s="23" t="s">
        <v>17</v>
      </c>
      <c r="K454" s="24" t="s">
        <v>18</v>
      </c>
      <c r="L454" s="23" t="s">
        <v>19</v>
      </c>
      <c r="M454" s="23" t="s">
        <v>20</v>
      </c>
      <c r="N454" s="23" t="s">
        <v>21</v>
      </c>
      <c r="O454" s="20" t="s">
        <v>22</v>
      </c>
      <c r="P454" s="103" t="s">
        <v>23</v>
      </c>
      <c r="Q454" s="23" t="s">
        <v>24</v>
      </c>
      <c r="R454" s="20" t="s">
        <v>25</v>
      </c>
    </row>
    <row r="455" spans="1:18" ht="15" customHeight="1" x14ac:dyDescent="0.3">
      <c r="A455" s="8" t="s">
        <v>35</v>
      </c>
      <c r="B455" s="8" t="s">
        <v>36</v>
      </c>
      <c r="C455" s="100">
        <v>0.30555555555555558</v>
      </c>
      <c r="D455" s="8" t="s">
        <v>37</v>
      </c>
      <c r="E455" s="8" t="s">
        <v>161</v>
      </c>
      <c r="F455" s="8" t="s">
        <v>111</v>
      </c>
      <c r="G455" s="158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25" t="s">
        <v>35</v>
      </c>
      <c r="B456" s="25" t="s">
        <v>36</v>
      </c>
      <c r="C456" s="105">
        <v>0.30555555555555558</v>
      </c>
      <c r="D456" s="25" t="s">
        <v>40</v>
      </c>
      <c r="E456" s="25" t="s">
        <v>161</v>
      </c>
      <c r="F456" s="25" t="s">
        <v>112</v>
      </c>
      <c r="G456" s="15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25" t="s">
        <v>35</v>
      </c>
      <c r="B457" s="25" t="s">
        <v>36</v>
      </c>
      <c r="C457" s="105">
        <v>0.30555555555555558</v>
      </c>
      <c r="D457" s="25" t="s">
        <v>42</v>
      </c>
      <c r="E457" s="25" t="s">
        <v>161</v>
      </c>
      <c r="F457" s="25" t="s">
        <v>85</v>
      </c>
      <c r="G457" s="159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26" t="s">
        <v>44</v>
      </c>
      <c r="B458" s="26" t="s">
        <v>53</v>
      </c>
      <c r="C458" s="106">
        <v>0.83680555555555558</v>
      </c>
      <c r="D458" s="26" t="s">
        <v>46</v>
      </c>
      <c r="E458" s="26" t="s">
        <v>47</v>
      </c>
      <c r="F458" s="26" t="s">
        <v>48</v>
      </c>
      <c r="G458" s="159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25" t="s">
        <v>44</v>
      </c>
      <c r="B459" s="25" t="s">
        <v>53</v>
      </c>
      <c r="C459" s="105">
        <v>0.83680555555555558</v>
      </c>
      <c r="D459" s="25" t="s">
        <v>49</v>
      </c>
      <c r="E459" s="25" t="s">
        <v>47</v>
      </c>
      <c r="F459" s="25" t="s">
        <v>50</v>
      </c>
      <c r="G459" s="15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25" t="s">
        <v>44</v>
      </c>
      <c r="B460" s="25" t="s">
        <v>53</v>
      </c>
      <c r="C460" s="105">
        <v>0.83680555555555558</v>
      </c>
      <c r="D460" s="25" t="s">
        <v>51</v>
      </c>
      <c r="E460" s="25" t="s">
        <v>47</v>
      </c>
      <c r="F460" s="25" t="s">
        <v>52</v>
      </c>
      <c r="G460" s="15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27" t="s">
        <v>44</v>
      </c>
      <c r="B461" s="27" t="s">
        <v>45</v>
      </c>
      <c r="C461" s="107">
        <v>0.2013888888888889</v>
      </c>
      <c r="D461" s="27" t="s">
        <v>46</v>
      </c>
      <c r="E461" s="27" t="s">
        <v>47</v>
      </c>
      <c r="F461" s="27" t="s">
        <v>48</v>
      </c>
      <c r="G461" s="15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25" t="s">
        <v>44</v>
      </c>
      <c r="B462" s="25" t="s">
        <v>45</v>
      </c>
      <c r="C462" s="105">
        <v>0.2013888888888889</v>
      </c>
      <c r="D462" s="25" t="s">
        <v>49</v>
      </c>
      <c r="E462" s="25" t="s">
        <v>47</v>
      </c>
      <c r="F462" s="25" t="s">
        <v>50</v>
      </c>
      <c r="G462" s="15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25" t="s">
        <v>44</v>
      </c>
      <c r="B463" s="25" t="s">
        <v>45</v>
      </c>
      <c r="C463" s="105">
        <v>0.2013888888888889</v>
      </c>
      <c r="D463" s="25" t="s">
        <v>51</v>
      </c>
      <c r="E463" s="25" t="s">
        <v>47</v>
      </c>
      <c r="F463" s="25" t="s">
        <v>52</v>
      </c>
      <c r="G463" s="15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26" t="s">
        <v>31</v>
      </c>
      <c r="B464" s="26" t="s">
        <v>32</v>
      </c>
      <c r="C464" s="106">
        <v>0.86458333333333337</v>
      </c>
      <c r="D464" s="26" t="s">
        <v>59</v>
      </c>
      <c r="E464" s="26" t="s">
        <v>29</v>
      </c>
      <c r="F464" s="26" t="s">
        <v>61</v>
      </c>
      <c r="G464" s="159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27" t="s">
        <v>31</v>
      </c>
      <c r="B465" s="27" t="s">
        <v>62</v>
      </c>
      <c r="C465" s="107">
        <v>0.52777777777777779</v>
      </c>
      <c r="D465" s="27" t="s">
        <v>59</v>
      </c>
      <c r="E465" s="27" t="s">
        <v>29</v>
      </c>
      <c r="F465" s="27" t="s">
        <v>61</v>
      </c>
      <c r="G465" s="159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27" t="s">
        <v>31</v>
      </c>
      <c r="B466" s="27" t="s">
        <v>58</v>
      </c>
      <c r="C466" s="107">
        <v>0.1701388888888889</v>
      </c>
      <c r="D466" s="27" t="s">
        <v>59</v>
      </c>
      <c r="E466" s="27" t="s">
        <v>29</v>
      </c>
      <c r="F466" s="27" t="s">
        <v>61</v>
      </c>
      <c r="G466" s="159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26" t="s">
        <v>79</v>
      </c>
      <c r="B467" s="26" t="s">
        <v>150</v>
      </c>
      <c r="C467" s="106">
        <v>0.12847222222222221</v>
      </c>
      <c r="D467" s="26" t="s">
        <v>156</v>
      </c>
      <c r="E467" s="26" t="s">
        <v>135</v>
      </c>
      <c r="F467" s="26" t="s">
        <v>145</v>
      </c>
      <c r="G467" s="15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26" t="s">
        <v>26</v>
      </c>
      <c r="B468" s="26" t="s">
        <v>27</v>
      </c>
      <c r="C468" s="106">
        <v>0.95833333333333337</v>
      </c>
      <c r="D468" s="26" t="s">
        <v>156</v>
      </c>
      <c r="E468" s="26" t="s">
        <v>29</v>
      </c>
      <c r="F468" s="26" t="s">
        <v>133</v>
      </c>
      <c r="G468" s="15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thickBot="1" x14ac:dyDescent="0.35">
      <c r="A469" s="14" t="s">
        <v>69</v>
      </c>
      <c r="B469" s="14" t="s">
        <v>70</v>
      </c>
      <c r="C469" s="101">
        <v>0.30555555555555558</v>
      </c>
      <c r="D469" s="14" t="s">
        <v>71</v>
      </c>
      <c r="E469" s="14" t="s">
        <v>72</v>
      </c>
      <c r="F469" s="14" t="s">
        <v>117</v>
      </c>
      <c r="G469" s="160"/>
      <c r="H469" s="15"/>
      <c r="I469" s="16"/>
      <c r="J469" s="16"/>
      <c r="K469" s="16"/>
      <c r="L469" s="16"/>
      <c r="M469" s="16"/>
      <c r="N469" s="16"/>
      <c r="O469" s="17"/>
      <c r="P469" s="16"/>
      <c r="Q469" s="18"/>
      <c r="R469" s="19"/>
    </row>
    <row r="470" spans="1:18" ht="17.399999999999999" customHeight="1" thickBot="1" x14ac:dyDescent="0.35">
      <c r="A470" s="164"/>
      <c r="B470" s="165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6"/>
    </row>
    <row r="471" spans="1:18" ht="22.05" customHeight="1" thickTop="1" thickBot="1" x14ac:dyDescent="0.35">
      <c r="A471" s="161" t="s">
        <v>6</v>
      </c>
      <c r="B471" s="162"/>
      <c r="C471" s="162"/>
      <c r="D471" s="162"/>
      <c r="E471" s="162"/>
      <c r="F471" s="163"/>
      <c r="G471" s="102">
        <v>46021</v>
      </c>
      <c r="H471" s="167" t="s">
        <v>7</v>
      </c>
      <c r="I471" s="162"/>
      <c r="J471" s="162"/>
      <c r="K471" s="162"/>
      <c r="L471" s="162"/>
      <c r="M471" s="162"/>
      <c r="N471" s="162"/>
      <c r="O471" s="162"/>
      <c r="P471" s="162"/>
      <c r="Q471" s="162"/>
      <c r="R471" s="163"/>
    </row>
    <row r="472" spans="1:18" ht="24" customHeight="1" x14ac:dyDescent="0.3">
      <c r="A472" s="20" t="s">
        <v>8</v>
      </c>
      <c r="B472" s="20" t="s">
        <v>9</v>
      </c>
      <c r="C472" s="103" t="s">
        <v>10</v>
      </c>
      <c r="D472" s="20" t="s">
        <v>11</v>
      </c>
      <c r="E472" s="20" t="s">
        <v>12</v>
      </c>
      <c r="F472" s="21" t="s">
        <v>13</v>
      </c>
      <c r="G472" s="22" t="s">
        <v>14</v>
      </c>
      <c r="H472" s="20" t="s">
        <v>15</v>
      </c>
      <c r="I472" s="104" t="s">
        <v>16</v>
      </c>
      <c r="J472" s="23" t="s">
        <v>17</v>
      </c>
      <c r="K472" s="24" t="s">
        <v>18</v>
      </c>
      <c r="L472" s="23" t="s">
        <v>19</v>
      </c>
      <c r="M472" s="23" t="s">
        <v>20</v>
      </c>
      <c r="N472" s="23" t="s">
        <v>21</v>
      </c>
      <c r="O472" s="20" t="s">
        <v>22</v>
      </c>
      <c r="P472" s="103" t="s">
        <v>23</v>
      </c>
      <c r="Q472" s="23" t="s">
        <v>24</v>
      </c>
      <c r="R472" s="20" t="s">
        <v>25</v>
      </c>
    </row>
    <row r="473" spans="1:18" ht="15" customHeight="1" x14ac:dyDescent="0.3">
      <c r="A473" s="8" t="s">
        <v>35</v>
      </c>
      <c r="B473" s="8" t="s">
        <v>36</v>
      </c>
      <c r="C473" s="100">
        <v>0.30555555555555558</v>
      </c>
      <c r="D473" s="8" t="s">
        <v>37</v>
      </c>
      <c r="E473" s="8" t="s">
        <v>144</v>
      </c>
      <c r="F473" s="8" t="s">
        <v>111</v>
      </c>
      <c r="G473" s="15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25" t="s">
        <v>35</v>
      </c>
      <c r="B474" s="25" t="s">
        <v>36</v>
      </c>
      <c r="C474" s="105">
        <v>0.30555555555555558</v>
      </c>
      <c r="D474" s="25" t="s">
        <v>40</v>
      </c>
      <c r="E474" s="25" t="s">
        <v>144</v>
      </c>
      <c r="F474" s="25" t="s">
        <v>112</v>
      </c>
      <c r="G474" s="15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25" t="s">
        <v>35</v>
      </c>
      <c r="B475" s="25" t="s">
        <v>36</v>
      </c>
      <c r="C475" s="105">
        <v>0.30555555555555558</v>
      </c>
      <c r="D475" s="25" t="s">
        <v>42</v>
      </c>
      <c r="E475" s="25" t="s">
        <v>144</v>
      </c>
      <c r="F475" s="25" t="s">
        <v>85</v>
      </c>
      <c r="G475" s="15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26" t="s">
        <v>44</v>
      </c>
      <c r="B476" s="26" t="s">
        <v>45</v>
      </c>
      <c r="C476" s="106">
        <v>0.2013888888888889</v>
      </c>
      <c r="D476" s="26" t="s">
        <v>46</v>
      </c>
      <c r="E476" s="26" t="s">
        <v>135</v>
      </c>
      <c r="F476" s="26" t="s">
        <v>48</v>
      </c>
      <c r="G476" s="15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25" t="s">
        <v>44</v>
      </c>
      <c r="B477" s="25" t="s">
        <v>45</v>
      </c>
      <c r="C477" s="105">
        <v>0.2013888888888889</v>
      </c>
      <c r="D477" s="25" t="s">
        <v>49</v>
      </c>
      <c r="E477" s="25" t="s">
        <v>135</v>
      </c>
      <c r="F477" s="25" t="s">
        <v>50</v>
      </c>
      <c r="G477" s="15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25" t="s">
        <v>44</v>
      </c>
      <c r="B478" s="25" t="s">
        <v>45</v>
      </c>
      <c r="C478" s="105">
        <v>0.2013888888888889</v>
      </c>
      <c r="D478" s="25" t="s">
        <v>51</v>
      </c>
      <c r="E478" s="25" t="s">
        <v>135</v>
      </c>
      <c r="F478" s="25" t="s">
        <v>52</v>
      </c>
      <c r="G478" s="15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27" t="s">
        <v>44</v>
      </c>
      <c r="B479" s="27" t="s">
        <v>53</v>
      </c>
      <c r="C479" s="107">
        <v>0.83680555555555558</v>
      </c>
      <c r="D479" s="27" t="s">
        <v>46</v>
      </c>
      <c r="E479" s="27" t="s">
        <v>60</v>
      </c>
      <c r="F479" s="27" t="s">
        <v>54</v>
      </c>
      <c r="G479" s="15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25" t="s">
        <v>44</v>
      </c>
      <c r="B480" s="25" t="s">
        <v>53</v>
      </c>
      <c r="C480" s="105">
        <v>0.83680555555555558</v>
      </c>
      <c r="D480" s="25" t="s">
        <v>49</v>
      </c>
      <c r="E480" s="25" t="s">
        <v>60</v>
      </c>
      <c r="F480" s="25" t="s">
        <v>55</v>
      </c>
      <c r="G480" s="15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25" t="s">
        <v>44</v>
      </c>
      <c r="B481" s="25" t="s">
        <v>53</v>
      </c>
      <c r="C481" s="105">
        <v>0.83680555555555558</v>
      </c>
      <c r="D481" s="25" t="s">
        <v>51</v>
      </c>
      <c r="E481" s="25" t="s">
        <v>60</v>
      </c>
      <c r="F481" s="25" t="s">
        <v>56</v>
      </c>
      <c r="G481" s="15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26" t="s">
        <v>31</v>
      </c>
      <c r="B482" s="26" t="s">
        <v>32</v>
      </c>
      <c r="C482" s="106">
        <v>0.86458333333333337</v>
      </c>
      <c r="D482" s="26" t="s">
        <v>59</v>
      </c>
      <c r="E482" s="26" t="s">
        <v>29</v>
      </c>
      <c r="F482" s="26" t="s">
        <v>61</v>
      </c>
      <c r="G482" s="15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27" t="s">
        <v>31</v>
      </c>
      <c r="B483" s="27" t="s">
        <v>62</v>
      </c>
      <c r="C483" s="107">
        <v>0.52777777777777779</v>
      </c>
      <c r="D483" s="27" t="s">
        <v>59</v>
      </c>
      <c r="E483" s="27" t="s">
        <v>29</v>
      </c>
      <c r="F483" s="27" t="s">
        <v>61</v>
      </c>
      <c r="G483" s="15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27" t="s">
        <v>31</v>
      </c>
      <c r="B484" s="27" t="s">
        <v>58</v>
      </c>
      <c r="C484" s="107">
        <v>0.1701388888888889</v>
      </c>
      <c r="D484" s="27" t="s">
        <v>59</v>
      </c>
      <c r="E484" s="27" t="s">
        <v>29</v>
      </c>
      <c r="F484" s="27" t="s">
        <v>61</v>
      </c>
      <c r="G484" s="159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26" t="s">
        <v>26</v>
      </c>
      <c r="B485" s="26" t="s">
        <v>57</v>
      </c>
      <c r="C485" s="106">
        <v>0.95833333333333337</v>
      </c>
      <c r="D485" s="26" t="s">
        <v>156</v>
      </c>
      <c r="E485" s="26" t="s">
        <v>29</v>
      </c>
      <c r="F485" s="26" t="s">
        <v>133</v>
      </c>
      <c r="G485" s="159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59" t="s">
        <v>63</v>
      </c>
      <c r="B486" s="59" t="s">
        <v>64</v>
      </c>
      <c r="C486" s="124">
        <v>0.27083333333333331</v>
      </c>
      <c r="D486" s="59" t="s">
        <v>28</v>
      </c>
      <c r="E486" s="59" t="s">
        <v>29</v>
      </c>
      <c r="F486" s="59" t="s">
        <v>162</v>
      </c>
      <c r="G486" s="159"/>
      <c r="H486" s="60" t="s">
        <v>66</v>
      </c>
      <c r="I486" s="125">
        <v>0.22620000000000001</v>
      </c>
      <c r="J486" s="61">
        <v>38</v>
      </c>
      <c r="K486" s="62">
        <v>45988</v>
      </c>
      <c r="L486" s="61">
        <v>7</v>
      </c>
      <c r="M486" s="61">
        <v>0</v>
      </c>
      <c r="N486" s="61">
        <v>0</v>
      </c>
      <c r="O486" s="63" t="s">
        <v>163</v>
      </c>
      <c r="P486" s="126">
        <v>0.27083333333333331</v>
      </c>
      <c r="Q486" s="61">
        <v>168</v>
      </c>
      <c r="R486" s="64" t="s">
        <v>164</v>
      </c>
    </row>
    <row r="487" spans="1:18" ht="15" customHeight="1" thickBot="1" x14ac:dyDescent="0.35">
      <c r="A487" s="14" t="s">
        <v>69</v>
      </c>
      <c r="B487" s="14" t="s">
        <v>70</v>
      </c>
      <c r="C487" s="101">
        <v>0.30555555555555558</v>
      </c>
      <c r="D487" s="14" t="s">
        <v>71</v>
      </c>
      <c r="E487" s="14" t="s">
        <v>72</v>
      </c>
      <c r="F487" s="14" t="s">
        <v>117</v>
      </c>
      <c r="G487" s="160"/>
      <c r="H487" s="15"/>
      <c r="I487" s="16"/>
      <c r="J487" s="16"/>
      <c r="K487" s="16"/>
      <c r="L487" s="16"/>
      <c r="M487" s="16"/>
      <c r="N487" s="16"/>
      <c r="O487" s="17"/>
      <c r="P487" s="16"/>
      <c r="Q487" s="18"/>
      <c r="R487" s="19"/>
    </row>
    <row r="488" spans="1:18" ht="17.399999999999999" customHeight="1" thickBot="1" x14ac:dyDescent="0.35">
      <c r="A488" s="164"/>
      <c r="B488" s="165"/>
      <c r="C488" s="165"/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6"/>
    </row>
    <row r="489" spans="1:18" ht="22.05" customHeight="1" thickTop="1" thickBot="1" x14ac:dyDescent="0.35">
      <c r="A489" s="161" t="s">
        <v>6</v>
      </c>
      <c r="B489" s="162"/>
      <c r="C489" s="162"/>
      <c r="D489" s="162"/>
      <c r="E489" s="162"/>
      <c r="F489" s="163"/>
      <c r="G489" s="102">
        <v>46022</v>
      </c>
      <c r="H489" s="167" t="s">
        <v>7</v>
      </c>
      <c r="I489" s="162"/>
      <c r="J489" s="162"/>
      <c r="K489" s="162"/>
      <c r="L489" s="162"/>
      <c r="M489" s="162"/>
      <c r="N489" s="162"/>
      <c r="O489" s="162"/>
      <c r="P489" s="162"/>
      <c r="Q489" s="162"/>
      <c r="R489" s="163"/>
    </row>
    <row r="490" spans="1:18" ht="24" customHeight="1" x14ac:dyDescent="0.3">
      <c r="A490" s="20" t="s">
        <v>8</v>
      </c>
      <c r="B490" s="20" t="s">
        <v>9</v>
      </c>
      <c r="C490" s="103" t="s">
        <v>10</v>
      </c>
      <c r="D490" s="20" t="s">
        <v>11</v>
      </c>
      <c r="E490" s="20" t="s">
        <v>12</v>
      </c>
      <c r="F490" s="21" t="s">
        <v>13</v>
      </c>
      <c r="G490" s="22" t="s">
        <v>14</v>
      </c>
      <c r="H490" s="20" t="s">
        <v>15</v>
      </c>
      <c r="I490" s="104" t="s">
        <v>16</v>
      </c>
      <c r="J490" s="23" t="s">
        <v>17</v>
      </c>
      <c r="K490" s="24" t="s">
        <v>18</v>
      </c>
      <c r="L490" s="23" t="s">
        <v>19</v>
      </c>
      <c r="M490" s="23" t="s">
        <v>20</v>
      </c>
      <c r="N490" s="23" t="s">
        <v>21</v>
      </c>
      <c r="O490" s="20" t="s">
        <v>22</v>
      </c>
      <c r="P490" s="103" t="s">
        <v>23</v>
      </c>
      <c r="Q490" s="23" t="s">
        <v>24</v>
      </c>
      <c r="R490" s="20" t="s">
        <v>25</v>
      </c>
    </row>
    <row r="491" spans="1:18" ht="15" customHeight="1" x14ac:dyDescent="0.3">
      <c r="A491" s="8" t="s">
        <v>74</v>
      </c>
      <c r="B491" s="8" t="s">
        <v>75</v>
      </c>
      <c r="C491" s="100">
        <v>0.97222222222222221</v>
      </c>
      <c r="D491" s="8" t="s">
        <v>76</v>
      </c>
      <c r="E491" s="8" t="s">
        <v>47</v>
      </c>
      <c r="F491" s="8" t="s">
        <v>77</v>
      </c>
      <c r="G491" s="15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25" t="s">
        <v>74</v>
      </c>
      <c r="B492" s="25" t="s">
        <v>75</v>
      </c>
      <c r="C492" s="105">
        <v>0.97222222222222221</v>
      </c>
      <c r="D492" s="25" t="s">
        <v>42</v>
      </c>
      <c r="E492" s="25" t="s">
        <v>47</v>
      </c>
      <c r="F492" s="25" t="s">
        <v>153</v>
      </c>
      <c r="G492" s="15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26" t="s">
        <v>35</v>
      </c>
      <c r="B493" s="26" t="s">
        <v>36</v>
      </c>
      <c r="C493" s="106">
        <v>0.30555555555555558</v>
      </c>
      <c r="D493" s="26" t="s">
        <v>37</v>
      </c>
      <c r="E493" s="26" t="s">
        <v>118</v>
      </c>
      <c r="F493" s="26" t="s">
        <v>100</v>
      </c>
      <c r="G493" s="15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25" t="s">
        <v>35</v>
      </c>
      <c r="B494" s="25" t="s">
        <v>36</v>
      </c>
      <c r="C494" s="105">
        <v>0.30555555555555558</v>
      </c>
      <c r="D494" s="25" t="s">
        <v>40</v>
      </c>
      <c r="E494" s="25" t="s">
        <v>118</v>
      </c>
      <c r="F494" s="25" t="s">
        <v>101</v>
      </c>
      <c r="G494" s="15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25" t="s">
        <v>35</v>
      </c>
      <c r="B495" s="25" t="s">
        <v>36</v>
      </c>
      <c r="C495" s="105">
        <v>0.30555555555555558</v>
      </c>
      <c r="D495" s="25" t="s">
        <v>42</v>
      </c>
      <c r="E495" s="25" t="s">
        <v>118</v>
      </c>
      <c r="F495" s="25" t="s">
        <v>85</v>
      </c>
      <c r="G495" s="15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26" t="s">
        <v>31</v>
      </c>
      <c r="B496" s="26" t="s">
        <v>32</v>
      </c>
      <c r="C496" s="106">
        <v>0.86458333333333337</v>
      </c>
      <c r="D496" s="26" t="s">
        <v>59</v>
      </c>
      <c r="E496" s="26" t="s">
        <v>29</v>
      </c>
      <c r="F496" s="26" t="s">
        <v>61</v>
      </c>
      <c r="G496" s="15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27" t="s">
        <v>31</v>
      </c>
      <c r="B497" s="27" t="s">
        <v>62</v>
      </c>
      <c r="C497" s="107">
        <v>0.52777777777777779</v>
      </c>
      <c r="D497" s="27" t="s">
        <v>59</v>
      </c>
      <c r="E497" s="27" t="s">
        <v>29</v>
      </c>
      <c r="F497" s="27" t="s">
        <v>61</v>
      </c>
      <c r="G497" s="15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27" t="s">
        <v>31</v>
      </c>
      <c r="B498" s="27" t="s">
        <v>58</v>
      </c>
      <c r="C498" s="107">
        <v>0.1701388888888889</v>
      </c>
      <c r="D498" s="27" t="s">
        <v>59</v>
      </c>
      <c r="E498" s="27" t="s">
        <v>29</v>
      </c>
      <c r="F498" s="27" t="s">
        <v>61</v>
      </c>
      <c r="G498" s="15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26" t="s">
        <v>44</v>
      </c>
      <c r="B499" s="26" t="s">
        <v>53</v>
      </c>
      <c r="C499" s="106">
        <v>0.85069444444444442</v>
      </c>
      <c r="D499" s="26" t="s">
        <v>46</v>
      </c>
      <c r="E499" s="26" t="s">
        <v>121</v>
      </c>
      <c r="F499" s="26" t="s">
        <v>133</v>
      </c>
      <c r="G499" s="15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25" t="s">
        <v>44</v>
      </c>
      <c r="B500" s="25" t="s">
        <v>53</v>
      </c>
      <c r="C500" s="105">
        <v>0.85069444444444442</v>
      </c>
      <c r="D500" s="25" t="s">
        <v>49</v>
      </c>
      <c r="E500" s="25" t="s">
        <v>121</v>
      </c>
      <c r="F500" s="25" t="s">
        <v>52</v>
      </c>
      <c r="G500" s="15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25" t="s">
        <v>44</v>
      </c>
      <c r="B501" s="25" t="s">
        <v>53</v>
      </c>
      <c r="C501" s="105">
        <v>0.85069444444444442</v>
      </c>
      <c r="D501" s="25" t="s">
        <v>51</v>
      </c>
      <c r="E501" s="25" t="s">
        <v>121</v>
      </c>
      <c r="F501" s="25" t="s">
        <v>165</v>
      </c>
      <c r="G501" s="15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26" t="s">
        <v>26</v>
      </c>
      <c r="B502" s="26" t="s">
        <v>27</v>
      </c>
      <c r="C502" s="106">
        <v>0.89583333333333337</v>
      </c>
      <c r="D502" s="26" t="s">
        <v>156</v>
      </c>
      <c r="E502" s="26" t="s">
        <v>29</v>
      </c>
      <c r="F502" s="26" t="s">
        <v>133</v>
      </c>
      <c r="G502" s="15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26" t="s">
        <v>79</v>
      </c>
      <c r="B503" s="26" t="s">
        <v>80</v>
      </c>
      <c r="C503" s="106">
        <v>9.0277777777777776E-2</v>
      </c>
      <c r="D503" s="26" t="s">
        <v>156</v>
      </c>
      <c r="E503" s="26" t="s">
        <v>87</v>
      </c>
      <c r="F503" s="26" t="s">
        <v>154</v>
      </c>
      <c r="G503" s="15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thickBot="1" x14ac:dyDescent="0.35">
      <c r="A504" s="14" t="s">
        <v>69</v>
      </c>
      <c r="B504" s="14" t="s">
        <v>70</v>
      </c>
      <c r="C504" s="101">
        <v>0.30555555555555558</v>
      </c>
      <c r="D504" s="14" t="s">
        <v>71</v>
      </c>
      <c r="E504" s="14" t="s">
        <v>72</v>
      </c>
      <c r="F504" s="14" t="s">
        <v>109</v>
      </c>
      <c r="G504" s="160"/>
      <c r="H504" s="15"/>
      <c r="I504" s="16"/>
      <c r="J504" s="16"/>
      <c r="K504" s="16"/>
      <c r="L504" s="16"/>
      <c r="M504" s="16"/>
      <c r="N504" s="16"/>
      <c r="O504" s="17"/>
      <c r="P504" s="16"/>
      <c r="Q504" s="18"/>
      <c r="R504" s="19"/>
    </row>
    <row r="505" spans="1:18" ht="17.399999999999999" customHeight="1" thickBot="1" x14ac:dyDescent="0.35">
      <c r="A505" s="164"/>
      <c r="B505" s="165"/>
      <c r="C505" s="165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6"/>
    </row>
    <row r="506" spans="1:18" ht="22.05" customHeight="1" thickTop="1" thickBot="1" x14ac:dyDescent="0.35">
      <c r="A506" s="161" t="s">
        <v>6</v>
      </c>
      <c r="B506" s="162"/>
      <c r="C506" s="162"/>
      <c r="D506" s="162"/>
      <c r="E506" s="162"/>
      <c r="F506" s="163"/>
      <c r="G506" s="102">
        <v>46023</v>
      </c>
      <c r="H506" s="167" t="s">
        <v>7</v>
      </c>
      <c r="I506" s="162"/>
      <c r="J506" s="162"/>
      <c r="K506" s="162"/>
      <c r="L506" s="162"/>
      <c r="M506" s="162"/>
      <c r="N506" s="162"/>
      <c r="O506" s="162"/>
      <c r="P506" s="162"/>
      <c r="Q506" s="162"/>
      <c r="R506" s="163"/>
    </row>
    <row r="507" spans="1:18" ht="24" customHeight="1" x14ac:dyDescent="0.3">
      <c r="A507" s="20" t="s">
        <v>8</v>
      </c>
      <c r="B507" s="20" t="s">
        <v>9</v>
      </c>
      <c r="C507" s="103" t="s">
        <v>10</v>
      </c>
      <c r="D507" s="20" t="s">
        <v>11</v>
      </c>
      <c r="E507" s="20" t="s">
        <v>12</v>
      </c>
      <c r="F507" s="21" t="s">
        <v>13</v>
      </c>
      <c r="G507" s="22" t="s">
        <v>14</v>
      </c>
      <c r="H507" s="20" t="s">
        <v>15</v>
      </c>
      <c r="I507" s="104" t="s">
        <v>16</v>
      </c>
      <c r="J507" s="23" t="s">
        <v>17</v>
      </c>
      <c r="K507" s="24" t="s">
        <v>18</v>
      </c>
      <c r="L507" s="23" t="s">
        <v>19</v>
      </c>
      <c r="M507" s="23" t="s">
        <v>20</v>
      </c>
      <c r="N507" s="23" t="s">
        <v>21</v>
      </c>
      <c r="O507" s="20" t="s">
        <v>22</v>
      </c>
      <c r="P507" s="103" t="s">
        <v>23</v>
      </c>
      <c r="Q507" s="23" t="s">
        <v>24</v>
      </c>
      <c r="R507" s="20" t="s">
        <v>25</v>
      </c>
    </row>
    <row r="508" spans="1:18" ht="15" customHeight="1" x14ac:dyDescent="0.3">
      <c r="A508" s="8" t="s">
        <v>35</v>
      </c>
      <c r="B508" s="8" t="s">
        <v>36</v>
      </c>
      <c r="C508" s="100">
        <v>0.30555555555555558</v>
      </c>
      <c r="D508" s="8" t="s">
        <v>37</v>
      </c>
      <c r="E508" s="8" t="s">
        <v>141</v>
      </c>
      <c r="F508" s="8" t="s">
        <v>100</v>
      </c>
      <c r="G508" s="15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25" t="s">
        <v>35</v>
      </c>
      <c r="B509" s="25" t="s">
        <v>36</v>
      </c>
      <c r="C509" s="105">
        <v>0.30555555555555558</v>
      </c>
      <c r="D509" s="25" t="s">
        <v>40</v>
      </c>
      <c r="E509" s="25" t="s">
        <v>141</v>
      </c>
      <c r="F509" s="25" t="s">
        <v>101</v>
      </c>
      <c r="G509" s="159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25" t="s">
        <v>35</v>
      </c>
      <c r="B510" s="25" t="s">
        <v>36</v>
      </c>
      <c r="C510" s="105">
        <v>0.30555555555555558</v>
      </c>
      <c r="D510" s="25" t="s">
        <v>42</v>
      </c>
      <c r="E510" s="25" t="s">
        <v>141</v>
      </c>
      <c r="F510" s="25" t="s">
        <v>85</v>
      </c>
      <c r="G510" s="159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26" t="s">
        <v>44</v>
      </c>
      <c r="B511" s="26" t="s">
        <v>45</v>
      </c>
      <c r="C511" s="106">
        <v>0.2013888888888889</v>
      </c>
      <c r="D511" s="26" t="s">
        <v>46</v>
      </c>
      <c r="E511" s="26" t="s">
        <v>47</v>
      </c>
      <c r="F511" s="26" t="s">
        <v>88</v>
      </c>
      <c r="G511" s="159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25" t="s">
        <v>44</v>
      </c>
      <c r="B512" s="25" t="s">
        <v>45</v>
      </c>
      <c r="C512" s="105">
        <v>0.2013888888888889</v>
      </c>
      <c r="D512" s="25" t="s">
        <v>49</v>
      </c>
      <c r="E512" s="25" t="s">
        <v>47</v>
      </c>
      <c r="F512" s="25" t="s">
        <v>89</v>
      </c>
      <c r="G512" s="159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25" t="s">
        <v>44</v>
      </c>
      <c r="B513" s="25" t="s">
        <v>45</v>
      </c>
      <c r="C513" s="105">
        <v>0.2013888888888889</v>
      </c>
      <c r="D513" s="25" t="s">
        <v>51</v>
      </c>
      <c r="E513" s="25" t="s">
        <v>47</v>
      </c>
      <c r="F513" s="25" t="s">
        <v>90</v>
      </c>
      <c r="G513" s="15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27" t="s">
        <v>44</v>
      </c>
      <c r="B514" s="27" t="s">
        <v>53</v>
      </c>
      <c r="C514" s="107">
        <v>0.83680555555555558</v>
      </c>
      <c r="D514" s="27" t="s">
        <v>46</v>
      </c>
      <c r="E514" s="27" t="s">
        <v>157</v>
      </c>
      <c r="F514" s="27" t="s">
        <v>101</v>
      </c>
      <c r="G514" s="15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25" t="s">
        <v>44</v>
      </c>
      <c r="B515" s="25" t="s">
        <v>53</v>
      </c>
      <c r="C515" s="105">
        <v>0.83680555555555558</v>
      </c>
      <c r="D515" s="25" t="s">
        <v>49</v>
      </c>
      <c r="E515" s="25" t="s">
        <v>157</v>
      </c>
      <c r="F515" s="25" t="s">
        <v>166</v>
      </c>
      <c r="G515" s="15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25" t="s">
        <v>44</v>
      </c>
      <c r="B516" s="25" t="s">
        <v>53</v>
      </c>
      <c r="C516" s="105">
        <v>0.83680555555555558</v>
      </c>
      <c r="D516" s="25" t="s">
        <v>51</v>
      </c>
      <c r="E516" s="25" t="s">
        <v>157</v>
      </c>
      <c r="F516" s="25" t="s">
        <v>167</v>
      </c>
      <c r="G516" s="15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26" t="s">
        <v>31</v>
      </c>
      <c r="B517" s="26" t="s">
        <v>58</v>
      </c>
      <c r="C517" s="106">
        <v>0.1701388888888889</v>
      </c>
      <c r="D517" s="26" t="s">
        <v>94</v>
      </c>
      <c r="E517" s="26" t="s">
        <v>29</v>
      </c>
      <c r="F517" s="26" t="s">
        <v>168</v>
      </c>
      <c r="G517" s="15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27" t="s">
        <v>31</v>
      </c>
      <c r="B518" s="27" t="s">
        <v>62</v>
      </c>
      <c r="C518" s="107">
        <v>0.52777777777777779</v>
      </c>
      <c r="D518" s="27" t="s">
        <v>94</v>
      </c>
      <c r="E518" s="27" t="s">
        <v>29</v>
      </c>
      <c r="F518" s="27" t="s">
        <v>169</v>
      </c>
      <c r="G518" s="15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27" t="s">
        <v>31</v>
      </c>
      <c r="B519" s="27" t="s">
        <v>32</v>
      </c>
      <c r="C519" s="107">
        <v>0.86458333333333337</v>
      </c>
      <c r="D519" s="27" t="s">
        <v>33</v>
      </c>
      <c r="E519" s="27" t="s">
        <v>29</v>
      </c>
      <c r="F519" s="27" t="s">
        <v>125</v>
      </c>
      <c r="G519" s="15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26" t="s">
        <v>79</v>
      </c>
      <c r="B520" s="26" t="s">
        <v>80</v>
      </c>
      <c r="C520" s="106">
        <v>0.88888888888888884</v>
      </c>
      <c r="D520" s="26" t="s">
        <v>156</v>
      </c>
      <c r="E520" s="26" t="s">
        <v>92</v>
      </c>
      <c r="F520" s="26" t="s">
        <v>154</v>
      </c>
      <c r="G520" s="15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26" t="s">
        <v>26</v>
      </c>
      <c r="B521" s="26" t="s">
        <v>93</v>
      </c>
      <c r="C521" s="106">
        <v>0.5625</v>
      </c>
      <c r="D521" s="26" t="s">
        <v>156</v>
      </c>
      <c r="E521" s="26" t="s">
        <v>92</v>
      </c>
      <c r="F521" s="26" t="s">
        <v>126</v>
      </c>
      <c r="G521" s="15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27" t="s">
        <v>26</v>
      </c>
      <c r="B522" s="27" t="s">
        <v>57</v>
      </c>
      <c r="C522" s="107">
        <v>0.95833333333333337</v>
      </c>
      <c r="D522" s="27" t="s">
        <v>156</v>
      </c>
      <c r="E522" s="27" t="s">
        <v>72</v>
      </c>
      <c r="F522" s="27" t="s">
        <v>165</v>
      </c>
      <c r="G522" s="15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65" t="s">
        <v>63</v>
      </c>
      <c r="B523" s="65" t="s">
        <v>64</v>
      </c>
      <c r="C523" s="127">
        <v>0.92361111111111116</v>
      </c>
      <c r="D523" s="65" t="s">
        <v>156</v>
      </c>
      <c r="E523" s="65" t="s">
        <v>157</v>
      </c>
      <c r="F523" s="65" t="s">
        <v>65</v>
      </c>
      <c r="G523" s="159"/>
      <c r="H523" s="66" t="s">
        <v>66</v>
      </c>
      <c r="I523" s="128">
        <v>0.125</v>
      </c>
      <c r="J523" s="67">
        <v>21</v>
      </c>
      <c r="K523" s="68">
        <v>46352</v>
      </c>
      <c r="L523" s="67">
        <v>21</v>
      </c>
      <c r="M523" s="67">
        <v>0</v>
      </c>
      <c r="N523" s="67">
        <v>0</v>
      </c>
      <c r="O523" s="69" t="s">
        <v>170</v>
      </c>
      <c r="P523" s="129">
        <v>0.92361111111111116</v>
      </c>
      <c r="Q523" s="67">
        <v>168</v>
      </c>
      <c r="R523" s="70" t="s">
        <v>171</v>
      </c>
    </row>
    <row r="524" spans="1:18" ht="15" customHeight="1" thickBot="1" x14ac:dyDescent="0.35">
      <c r="A524" s="14" t="s">
        <v>69</v>
      </c>
      <c r="B524" s="14" t="s">
        <v>70</v>
      </c>
      <c r="C524" s="101">
        <v>0.30555555555555558</v>
      </c>
      <c r="D524" s="14" t="s">
        <v>71</v>
      </c>
      <c r="E524" s="14" t="s">
        <v>72</v>
      </c>
      <c r="F524" s="14" t="s">
        <v>109</v>
      </c>
      <c r="G524" s="160"/>
      <c r="H524" s="15"/>
      <c r="I524" s="16"/>
      <c r="J524" s="16"/>
      <c r="K524" s="16"/>
      <c r="L524" s="16"/>
      <c r="M524" s="16"/>
      <c r="N524" s="16"/>
      <c r="O524" s="17"/>
      <c r="P524" s="16"/>
      <c r="Q524" s="18"/>
      <c r="R524" s="19"/>
    </row>
    <row r="525" spans="1:18" ht="17.399999999999999" customHeight="1" thickBot="1" x14ac:dyDescent="0.35">
      <c r="A525" s="164"/>
      <c r="B525" s="165"/>
      <c r="C525" s="165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6"/>
    </row>
    <row r="526" spans="1:18" ht="22.05" customHeight="1" thickTop="1" thickBot="1" x14ac:dyDescent="0.35">
      <c r="A526" s="161" t="s">
        <v>6</v>
      </c>
      <c r="B526" s="162"/>
      <c r="C526" s="162"/>
      <c r="D526" s="162"/>
      <c r="E526" s="162"/>
      <c r="F526" s="163"/>
      <c r="G526" s="102">
        <v>46024</v>
      </c>
      <c r="H526" s="167" t="s">
        <v>7</v>
      </c>
      <c r="I526" s="162"/>
      <c r="J526" s="162"/>
      <c r="K526" s="162"/>
      <c r="L526" s="162"/>
      <c r="M526" s="162"/>
      <c r="N526" s="162"/>
      <c r="O526" s="162"/>
      <c r="P526" s="162"/>
      <c r="Q526" s="162"/>
      <c r="R526" s="163"/>
    </row>
    <row r="527" spans="1:18" ht="24" customHeight="1" x14ac:dyDescent="0.3">
      <c r="A527" s="20" t="s">
        <v>8</v>
      </c>
      <c r="B527" s="20" t="s">
        <v>9</v>
      </c>
      <c r="C527" s="103" t="s">
        <v>10</v>
      </c>
      <c r="D527" s="20" t="s">
        <v>11</v>
      </c>
      <c r="E527" s="20" t="s">
        <v>12</v>
      </c>
      <c r="F527" s="21" t="s">
        <v>13</v>
      </c>
      <c r="G527" s="22" t="s">
        <v>14</v>
      </c>
      <c r="H527" s="20" t="s">
        <v>15</v>
      </c>
      <c r="I527" s="104" t="s">
        <v>16</v>
      </c>
      <c r="J527" s="23" t="s">
        <v>17</v>
      </c>
      <c r="K527" s="24" t="s">
        <v>18</v>
      </c>
      <c r="L527" s="23" t="s">
        <v>19</v>
      </c>
      <c r="M527" s="23" t="s">
        <v>20</v>
      </c>
      <c r="N527" s="23" t="s">
        <v>21</v>
      </c>
      <c r="O527" s="20" t="s">
        <v>22</v>
      </c>
      <c r="P527" s="103" t="s">
        <v>23</v>
      </c>
      <c r="Q527" s="23" t="s">
        <v>24</v>
      </c>
      <c r="R527" s="20" t="s">
        <v>25</v>
      </c>
    </row>
    <row r="528" spans="1:18" ht="15" customHeight="1" x14ac:dyDescent="0.3">
      <c r="A528" s="8" t="s">
        <v>31</v>
      </c>
      <c r="B528" s="8" t="s">
        <v>58</v>
      </c>
      <c r="C528" s="100">
        <v>0.1701388888888889</v>
      </c>
      <c r="D528" s="8" t="s">
        <v>94</v>
      </c>
      <c r="E528" s="8" t="s">
        <v>29</v>
      </c>
      <c r="F528" s="8" t="s">
        <v>168</v>
      </c>
      <c r="G528" s="16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27" t="s">
        <v>31</v>
      </c>
      <c r="B529" s="27" t="s">
        <v>32</v>
      </c>
      <c r="C529" s="107">
        <v>0.86458333333333337</v>
      </c>
      <c r="D529" s="27" t="s">
        <v>33</v>
      </c>
      <c r="E529" s="27" t="s">
        <v>29</v>
      </c>
      <c r="F529" s="27" t="s">
        <v>103</v>
      </c>
      <c r="G529" s="15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27" t="s">
        <v>31</v>
      </c>
      <c r="B530" s="27" t="s">
        <v>62</v>
      </c>
      <c r="C530" s="107">
        <v>0.52777777777777779</v>
      </c>
      <c r="D530" s="27" t="s">
        <v>33</v>
      </c>
      <c r="E530" s="27" t="s">
        <v>29</v>
      </c>
      <c r="F530" s="27" t="s">
        <v>104</v>
      </c>
      <c r="G530" s="15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26" t="s">
        <v>26</v>
      </c>
      <c r="B531" s="26" t="s">
        <v>27</v>
      </c>
      <c r="C531" s="106">
        <v>0.95833333333333337</v>
      </c>
      <c r="D531" s="26" t="s">
        <v>156</v>
      </c>
      <c r="E531" s="26" t="s">
        <v>135</v>
      </c>
      <c r="F531" s="26" t="s">
        <v>126</v>
      </c>
      <c r="G531" s="15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26" t="s">
        <v>79</v>
      </c>
      <c r="B532" s="26" t="s">
        <v>119</v>
      </c>
      <c r="C532" s="106">
        <v>0.21527777777777779</v>
      </c>
      <c r="D532" s="26" t="s">
        <v>156</v>
      </c>
      <c r="E532" s="26" t="s">
        <v>29</v>
      </c>
      <c r="F532" s="26" t="s">
        <v>172</v>
      </c>
      <c r="G532" s="159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34" t="s">
        <v>63</v>
      </c>
      <c r="B533" s="34" t="s">
        <v>64</v>
      </c>
      <c r="C533" s="111">
        <v>0.57986111111111116</v>
      </c>
      <c r="D533" s="34" t="s">
        <v>156</v>
      </c>
      <c r="E533" s="34" t="s">
        <v>72</v>
      </c>
      <c r="F533" s="34" t="s">
        <v>106</v>
      </c>
      <c r="G533" s="159"/>
      <c r="H533" s="35" t="s">
        <v>66</v>
      </c>
      <c r="I533" s="112">
        <v>0.16070000000000001</v>
      </c>
      <c r="J533" s="36">
        <v>27</v>
      </c>
      <c r="K533" s="37">
        <v>46356</v>
      </c>
      <c r="L533" s="36">
        <v>27</v>
      </c>
      <c r="M533" s="36">
        <v>0</v>
      </c>
      <c r="N533" s="36">
        <v>0</v>
      </c>
      <c r="O533" s="38" t="s">
        <v>173</v>
      </c>
      <c r="P533" s="113">
        <v>0.57986111111111116</v>
      </c>
      <c r="Q533" s="36">
        <v>168</v>
      </c>
      <c r="R533" s="39" t="s">
        <v>174</v>
      </c>
    </row>
    <row r="534" spans="1:18" ht="15" customHeight="1" thickBot="1" x14ac:dyDescent="0.35">
      <c r="A534" s="14" t="s">
        <v>69</v>
      </c>
      <c r="B534" s="14" t="s">
        <v>70</v>
      </c>
      <c r="C534" s="101">
        <v>0.30555555555555558</v>
      </c>
      <c r="D534" s="14" t="s">
        <v>71</v>
      </c>
      <c r="E534" s="14" t="s">
        <v>72</v>
      </c>
      <c r="F534" s="14" t="s">
        <v>175</v>
      </c>
      <c r="G534" s="160"/>
      <c r="H534" s="15"/>
      <c r="I534" s="16"/>
      <c r="J534" s="16"/>
      <c r="K534" s="16"/>
      <c r="L534" s="16"/>
      <c r="M534" s="16"/>
      <c r="N534" s="16"/>
      <c r="O534" s="17"/>
      <c r="P534" s="16"/>
      <c r="Q534" s="18"/>
      <c r="R534" s="19"/>
    </row>
    <row r="535" spans="1:18" ht="17.399999999999999" customHeight="1" thickBot="1" x14ac:dyDescent="0.35">
      <c r="A535" s="164"/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6"/>
    </row>
    <row r="536" spans="1:18" ht="22.05" customHeight="1" thickTop="1" thickBot="1" x14ac:dyDescent="0.35">
      <c r="A536" s="161" t="s">
        <v>6</v>
      </c>
      <c r="B536" s="162"/>
      <c r="C536" s="162"/>
      <c r="D536" s="162"/>
      <c r="E536" s="162"/>
      <c r="F536" s="163"/>
      <c r="G536" s="102">
        <v>46025</v>
      </c>
      <c r="H536" s="167" t="s">
        <v>7</v>
      </c>
      <c r="I536" s="162"/>
      <c r="J536" s="162"/>
      <c r="K536" s="162"/>
      <c r="L536" s="162"/>
      <c r="M536" s="162"/>
      <c r="N536" s="162"/>
      <c r="O536" s="162"/>
      <c r="P536" s="162"/>
      <c r="Q536" s="162"/>
      <c r="R536" s="163"/>
    </row>
    <row r="537" spans="1:18" ht="24" customHeight="1" x14ac:dyDescent="0.3">
      <c r="A537" s="20" t="s">
        <v>8</v>
      </c>
      <c r="B537" s="20" t="s">
        <v>9</v>
      </c>
      <c r="C537" s="103" t="s">
        <v>10</v>
      </c>
      <c r="D537" s="20" t="s">
        <v>11</v>
      </c>
      <c r="E537" s="20" t="s">
        <v>12</v>
      </c>
      <c r="F537" s="21" t="s">
        <v>13</v>
      </c>
      <c r="G537" s="22" t="s">
        <v>14</v>
      </c>
      <c r="H537" s="20" t="s">
        <v>15</v>
      </c>
      <c r="I537" s="104" t="s">
        <v>16</v>
      </c>
      <c r="J537" s="23" t="s">
        <v>17</v>
      </c>
      <c r="K537" s="24" t="s">
        <v>18</v>
      </c>
      <c r="L537" s="23" t="s">
        <v>19</v>
      </c>
      <c r="M537" s="23" t="s">
        <v>20</v>
      </c>
      <c r="N537" s="23" t="s">
        <v>21</v>
      </c>
      <c r="O537" s="20" t="s">
        <v>22</v>
      </c>
      <c r="P537" s="103" t="s">
        <v>23</v>
      </c>
      <c r="Q537" s="23" t="s">
        <v>24</v>
      </c>
      <c r="R537" s="20" t="s">
        <v>25</v>
      </c>
    </row>
    <row r="538" spans="1:18" ht="15" customHeight="1" x14ac:dyDescent="0.3">
      <c r="A538" s="8" t="s">
        <v>35</v>
      </c>
      <c r="B538" s="8" t="s">
        <v>36</v>
      </c>
      <c r="C538" s="100">
        <v>0.30555555555555558</v>
      </c>
      <c r="D538" s="8" t="s">
        <v>37</v>
      </c>
      <c r="E538" s="8" t="s">
        <v>118</v>
      </c>
      <c r="F538" s="8" t="s">
        <v>176</v>
      </c>
      <c r="G538" s="158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25" t="s">
        <v>35</v>
      </c>
      <c r="B539" s="25" t="s">
        <v>36</v>
      </c>
      <c r="C539" s="105">
        <v>0.30555555555555558</v>
      </c>
      <c r="D539" s="25" t="s">
        <v>40</v>
      </c>
      <c r="E539" s="25" t="s">
        <v>118</v>
      </c>
      <c r="F539" s="25" t="s">
        <v>166</v>
      </c>
      <c r="G539" s="159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25" t="s">
        <v>35</v>
      </c>
      <c r="B540" s="25" t="s">
        <v>36</v>
      </c>
      <c r="C540" s="105">
        <v>0.30555555555555558</v>
      </c>
      <c r="D540" s="25" t="s">
        <v>42</v>
      </c>
      <c r="E540" s="25" t="s">
        <v>118</v>
      </c>
      <c r="F540" s="25" t="s">
        <v>85</v>
      </c>
      <c r="G540" s="159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26" t="s">
        <v>74</v>
      </c>
      <c r="B541" s="26" t="s">
        <v>75</v>
      </c>
      <c r="C541" s="106">
        <v>0.97222222222222221</v>
      </c>
      <c r="D541" s="26" t="s">
        <v>76</v>
      </c>
      <c r="E541" s="26" t="s">
        <v>47</v>
      </c>
      <c r="F541" s="26" t="s">
        <v>177</v>
      </c>
      <c r="G541" s="159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25" t="s">
        <v>74</v>
      </c>
      <c r="B542" s="25" t="s">
        <v>75</v>
      </c>
      <c r="C542" s="105">
        <v>0.97222222222222221</v>
      </c>
      <c r="D542" s="25" t="s">
        <v>42</v>
      </c>
      <c r="E542" s="25" t="s">
        <v>47</v>
      </c>
      <c r="F542" s="25" t="s">
        <v>127</v>
      </c>
      <c r="G542" s="159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26" t="s">
        <v>31</v>
      </c>
      <c r="B543" s="26" t="s">
        <v>58</v>
      </c>
      <c r="C543" s="106">
        <v>0.1701388888888889</v>
      </c>
      <c r="D543" s="26" t="s">
        <v>94</v>
      </c>
      <c r="E543" s="26" t="s">
        <v>29</v>
      </c>
      <c r="F543" s="26" t="s">
        <v>168</v>
      </c>
      <c r="G543" s="159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7" t="s">
        <v>31</v>
      </c>
      <c r="B544" s="27" t="s">
        <v>32</v>
      </c>
      <c r="C544" s="107">
        <v>0.86458333333333337</v>
      </c>
      <c r="D544" s="27" t="s">
        <v>94</v>
      </c>
      <c r="E544" s="27" t="s">
        <v>29</v>
      </c>
      <c r="F544" s="27" t="s">
        <v>169</v>
      </c>
      <c r="G544" s="159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27" t="s">
        <v>31</v>
      </c>
      <c r="B545" s="27" t="s">
        <v>62</v>
      </c>
      <c r="C545" s="107">
        <v>0.52777777777777779</v>
      </c>
      <c r="D545" s="27" t="s">
        <v>94</v>
      </c>
      <c r="E545" s="27" t="s">
        <v>29</v>
      </c>
      <c r="F545" s="27" t="s">
        <v>169</v>
      </c>
      <c r="G545" s="159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26" t="s">
        <v>44</v>
      </c>
      <c r="B546" s="26" t="s">
        <v>53</v>
      </c>
      <c r="C546" s="106">
        <v>0.83680555555555558</v>
      </c>
      <c r="D546" s="26" t="s">
        <v>46</v>
      </c>
      <c r="E546" s="26" t="s">
        <v>92</v>
      </c>
      <c r="F546" s="26" t="s">
        <v>101</v>
      </c>
      <c r="G546" s="15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25" t="s">
        <v>44</v>
      </c>
      <c r="B547" s="25" t="s">
        <v>53</v>
      </c>
      <c r="C547" s="105">
        <v>0.83680555555555558</v>
      </c>
      <c r="D547" s="25" t="s">
        <v>49</v>
      </c>
      <c r="E547" s="25" t="s">
        <v>92</v>
      </c>
      <c r="F547" s="25" t="s">
        <v>166</v>
      </c>
      <c r="G547" s="15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25" t="s">
        <v>44</v>
      </c>
      <c r="B548" s="25" t="s">
        <v>53</v>
      </c>
      <c r="C548" s="105">
        <v>0.83680555555555558</v>
      </c>
      <c r="D548" s="25" t="s">
        <v>51</v>
      </c>
      <c r="E548" s="25" t="s">
        <v>92</v>
      </c>
      <c r="F548" s="25" t="s">
        <v>167</v>
      </c>
      <c r="G548" s="15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27" t="s">
        <v>44</v>
      </c>
      <c r="B549" s="27" t="s">
        <v>45</v>
      </c>
      <c r="C549" s="107">
        <v>0.2013888888888889</v>
      </c>
      <c r="D549" s="27" t="s">
        <v>46</v>
      </c>
      <c r="E549" s="27" t="s">
        <v>135</v>
      </c>
      <c r="F549" s="27" t="s">
        <v>178</v>
      </c>
      <c r="G549" s="15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25" t="s">
        <v>44</v>
      </c>
      <c r="B550" s="25" t="s">
        <v>45</v>
      </c>
      <c r="C550" s="105">
        <v>0.2013888888888889</v>
      </c>
      <c r="D550" s="25" t="s">
        <v>49</v>
      </c>
      <c r="E550" s="25" t="s">
        <v>135</v>
      </c>
      <c r="F550" s="25" t="s">
        <v>179</v>
      </c>
      <c r="G550" s="15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25" t="s">
        <v>44</v>
      </c>
      <c r="B551" s="25" t="s">
        <v>45</v>
      </c>
      <c r="C551" s="105">
        <v>0.2013888888888889</v>
      </c>
      <c r="D551" s="25" t="s">
        <v>51</v>
      </c>
      <c r="E551" s="25" t="s">
        <v>135</v>
      </c>
      <c r="F551" s="25" t="s">
        <v>180</v>
      </c>
      <c r="G551" s="15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65" t="s">
        <v>63</v>
      </c>
      <c r="B552" s="65" t="s">
        <v>64</v>
      </c>
      <c r="C552" s="127">
        <v>0.92361111111111116</v>
      </c>
      <c r="D552" s="65" t="s">
        <v>156</v>
      </c>
      <c r="E552" s="65" t="s">
        <v>60</v>
      </c>
      <c r="F552" s="65" t="s">
        <v>106</v>
      </c>
      <c r="G552" s="159"/>
      <c r="H552" s="66" t="s">
        <v>66</v>
      </c>
      <c r="I552" s="128">
        <v>0.1429</v>
      </c>
      <c r="J552" s="67">
        <v>24</v>
      </c>
      <c r="K552" s="68">
        <v>46354</v>
      </c>
      <c r="L552" s="67">
        <v>24</v>
      </c>
      <c r="M552" s="67">
        <v>0</v>
      </c>
      <c r="N552" s="67">
        <v>0</v>
      </c>
      <c r="O552" s="69" t="s">
        <v>181</v>
      </c>
      <c r="P552" s="129">
        <v>0.92361111111111116</v>
      </c>
      <c r="Q552" s="67">
        <v>168</v>
      </c>
      <c r="R552" s="70" t="s">
        <v>182</v>
      </c>
    </row>
    <row r="553" spans="1:18" ht="15" customHeight="1" x14ac:dyDescent="0.3">
      <c r="A553" s="26" t="s">
        <v>26</v>
      </c>
      <c r="B553" s="26" t="s">
        <v>57</v>
      </c>
      <c r="C553" s="106">
        <v>0.89583333333333337</v>
      </c>
      <c r="D553" s="26" t="s">
        <v>156</v>
      </c>
      <c r="E553" s="26" t="s">
        <v>135</v>
      </c>
      <c r="F553" s="26" t="s">
        <v>165</v>
      </c>
      <c r="G553" s="15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thickBot="1" x14ac:dyDescent="0.35">
      <c r="A554" s="14" t="s">
        <v>69</v>
      </c>
      <c r="B554" s="14" t="s">
        <v>70</v>
      </c>
      <c r="C554" s="101">
        <v>0.30555555555555558</v>
      </c>
      <c r="D554" s="14" t="s">
        <v>71</v>
      </c>
      <c r="E554" s="14" t="s">
        <v>72</v>
      </c>
      <c r="F554" s="14" t="s">
        <v>175</v>
      </c>
      <c r="G554" s="160"/>
      <c r="H554" s="15"/>
      <c r="I554" s="16"/>
      <c r="J554" s="16"/>
      <c r="K554" s="16"/>
      <c r="L554" s="16"/>
      <c r="M554" s="16"/>
      <c r="N554" s="16"/>
      <c r="O554" s="17"/>
      <c r="P554" s="16"/>
      <c r="Q554" s="18"/>
      <c r="R554" s="19"/>
    </row>
    <row r="555" spans="1:18" ht="17.399999999999999" customHeight="1" thickBot="1" x14ac:dyDescent="0.35">
      <c r="A555" s="164"/>
      <c r="B555" s="165"/>
      <c r="C555" s="165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6"/>
    </row>
    <row r="556" spans="1:18" ht="22.05" customHeight="1" thickTop="1" thickBot="1" x14ac:dyDescent="0.35">
      <c r="A556" s="161" t="s">
        <v>6</v>
      </c>
      <c r="B556" s="162"/>
      <c r="C556" s="162"/>
      <c r="D556" s="162"/>
      <c r="E556" s="162"/>
      <c r="F556" s="163"/>
      <c r="G556" s="102">
        <v>46026</v>
      </c>
      <c r="H556" s="167" t="s">
        <v>7</v>
      </c>
      <c r="I556" s="162"/>
      <c r="J556" s="162"/>
      <c r="K556" s="162"/>
      <c r="L556" s="162"/>
      <c r="M556" s="162"/>
      <c r="N556" s="162"/>
      <c r="O556" s="162"/>
      <c r="P556" s="162"/>
      <c r="Q556" s="162"/>
      <c r="R556" s="163"/>
    </row>
    <row r="557" spans="1:18" ht="24" customHeight="1" x14ac:dyDescent="0.3">
      <c r="A557" s="20" t="s">
        <v>8</v>
      </c>
      <c r="B557" s="20" t="s">
        <v>9</v>
      </c>
      <c r="C557" s="103" t="s">
        <v>10</v>
      </c>
      <c r="D557" s="20" t="s">
        <v>11</v>
      </c>
      <c r="E557" s="20" t="s">
        <v>12</v>
      </c>
      <c r="F557" s="21" t="s">
        <v>13</v>
      </c>
      <c r="G557" s="22" t="s">
        <v>14</v>
      </c>
      <c r="H557" s="20" t="s">
        <v>15</v>
      </c>
      <c r="I557" s="104" t="s">
        <v>16</v>
      </c>
      <c r="J557" s="23" t="s">
        <v>17</v>
      </c>
      <c r="K557" s="24" t="s">
        <v>18</v>
      </c>
      <c r="L557" s="23" t="s">
        <v>19</v>
      </c>
      <c r="M557" s="23" t="s">
        <v>20</v>
      </c>
      <c r="N557" s="23" t="s">
        <v>21</v>
      </c>
      <c r="O557" s="20" t="s">
        <v>22</v>
      </c>
      <c r="P557" s="103" t="s">
        <v>23</v>
      </c>
      <c r="Q557" s="23" t="s">
        <v>24</v>
      </c>
      <c r="R557" s="20" t="s">
        <v>25</v>
      </c>
    </row>
    <row r="558" spans="1:18" ht="15" customHeight="1" x14ac:dyDescent="0.3">
      <c r="A558" s="8" t="s">
        <v>35</v>
      </c>
      <c r="B558" s="8" t="s">
        <v>36</v>
      </c>
      <c r="C558" s="100">
        <v>0.30555555555555558</v>
      </c>
      <c r="D558" s="8" t="s">
        <v>37</v>
      </c>
      <c r="E558" s="8" t="s">
        <v>118</v>
      </c>
      <c r="F558" s="8" t="s">
        <v>176</v>
      </c>
      <c r="G558" s="158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25" t="s">
        <v>35</v>
      </c>
      <c r="B559" s="25" t="s">
        <v>36</v>
      </c>
      <c r="C559" s="105">
        <v>0.30555555555555558</v>
      </c>
      <c r="D559" s="25" t="s">
        <v>40</v>
      </c>
      <c r="E559" s="25" t="s">
        <v>118</v>
      </c>
      <c r="F559" s="25" t="s">
        <v>166</v>
      </c>
      <c r="G559" s="159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25" t="s">
        <v>35</v>
      </c>
      <c r="B560" s="25" t="s">
        <v>36</v>
      </c>
      <c r="C560" s="105">
        <v>0.30555555555555558</v>
      </c>
      <c r="D560" s="25" t="s">
        <v>42</v>
      </c>
      <c r="E560" s="25" t="s">
        <v>118</v>
      </c>
      <c r="F560" s="25" t="s">
        <v>85</v>
      </c>
      <c r="G560" s="159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26" t="s">
        <v>31</v>
      </c>
      <c r="B561" s="26" t="s">
        <v>58</v>
      </c>
      <c r="C561" s="106">
        <v>0.1701388888888889</v>
      </c>
      <c r="D561" s="26" t="s">
        <v>94</v>
      </c>
      <c r="E561" s="26" t="s">
        <v>29</v>
      </c>
      <c r="F561" s="26" t="s">
        <v>168</v>
      </c>
      <c r="G561" s="15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27" t="s">
        <v>31</v>
      </c>
      <c r="B562" s="27" t="s">
        <v>32</v>
      </c>
      <c r="C562" s="107">
        <v>0.86458333333333337</v>
      </c>
      <c r="D562" s="27" t="s">
        <v>94</v>
      </c>
      <c r="E562" s="27" t="s">
        <v>29</v>
      </c>
      <c r="F562" s="27" t="s">
        <v>169</v>
      </c>
      <c r="G562" s="159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27" t="s">
        <v>31</v>
      </c>
      <c r="B563" s="27" t="s">
        <v>62</v>
      </c>
      <c r="C563" s="107">
        <v>0.52777777777777779</v>
      </c>
      <c r="D563" s="27" t="s">
        <v>94</v>
      </c>
      <c r="E563" s="27" t="s">
        <v>29</v>
      </c>
      <c r="F563" s="27" t="s">
        <v>169</v>
      </c>
      <c r="G563" s="159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26" t="s">
        <v>79</v>
      </c>
      <c r="B564" s="26" t="s">
        <v>119</v>
      </c>
      <c r="C564" s="106">
        <v>0.21527777777777779</v>
      </c>
      <c r="D564" s="26" t="s">
        <v>156</v>
      </c>
      <c r="E564" s="26" t="s">
        <v>135</v>
      </c>
      <c r="F564" s="26" t="s">
        <v>154</v>
      </c>
      <c r="G564" s="159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26" t="s">
        <v>44</v>
      </c>
      <c r="B565" s="26" t="s">
        <v>53</v>
      </c>
      <c r="C565" s="106">
        <v>0.83680555555555558</v>
      </c>
      <c r="D565" s="26" t="s">
        <v>46</v>
      </c>
      <c r="E565" s="26" t="s">
        <v>95</v>
      </c>
      <c r="F565" s="26" t="s">
        <v>178</v>
      </c>
      <c r="G565" s="159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25" t="s">
        <v>44</v>
      </c>
      <c r="B566" s="25" t="s">
        <v>53</v>
      </c>
      <c r="C566" s="105">
        <v>0.83680555555555558</v>
      </c>
      <c r="D566" s="25" t="s">
        <v>49</v>
      </c>
      <c r="E566" s="25" t="s">
        <v>95</v>
      </c>
      <c r="F566" s="25" t="s">
        <v>179</v>
      </c>
      <c r="G566" s="159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25" t="s">
        <v>44</v>
      </c>
      <c r="B567" s="25" t="s">
        <v>53</v>
      </c>
      <c r="C567" s="105">
        <v>0.83680555555555558</v>
      </c>
      <c r="D567" s="25" t="s">
        <v>51</v>
      </c>
      <c r="E567" s="25" t="s">
        <v>95</v>
      </c>
      <c r="F567" s="25" t="s">
        <v>180</v>
      </c>
      <c r="G567" s="159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26" t="s">
        <v>26</v>
      </c>
      <c r="B568" s="26" t="s">
        <v>93</v>
      </c>
      <c r="C568" s="106">
        <v>0.95833333333333337</v>
      </c>
      <c r="D568" s="26" t="s">
        <v>156</v>
      </c>
      <c r="E568" s="26" t="s">
        <v>135</v>
      </c>
      <c r="F568" s="26" t="s">
        <v>126</v>
      </c>
      <c r="G568" s="159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thickBot="1" x14ac:dyDescent="0.35">
      <c r="A569" s="14" t="s">
        <v>69</v>
      </c>
      <c r="B569" s="14" t="s">
        <v>70</v>
      </c>
      <c r="C569" s="101">
        <v>0.30555555555555558</v>
      </c>
      <c r="D569" s="14" t="s">
        <v>71</v>
      </c>
      <c r="E569" s="14" t="s">
        <v>72</v>
      </c>
      <c r="F569" s="14" t="s">
        <v>175</v>
      </c>
      <c r="G569" s="160"/>
      <c r="H569" s="15"/>
      <c r="I569" s="16"/>
      <c r="J569" s="16"/>
      <c r="K569" s="16"/>
      <c r="L569" s="16"/>
      <c r="M569" s="16"/>
      <c r="N569" s="16"/>
      <c r="O569" s="17"/>
      <c r="P569" s="16"/>
      <c r="Q569" s="18"/>
      <c r="R569" s="19"/>
    </row>
    <row r="570" spans="1:18" ht="17.399999999999999" customHeight="1" thickBot="1" x14ac:dyDescent="0.35">
      <c r="A570" s="164"/>
      <c r="B570" s="165"/>
      <c r="C570" s="165"/>
      <c r="D570" s="165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6"/>
    </row>
    <row r="571" spans="1:18" ht="22.05" customHeight="1" thickTop="1" thickBot="1" x14ac:dyDescent="0.35">
      <c r="A571" s="161" t="s">
        <v>6</v>
      </c>
      <c r="B571" s="162"/>
      <c r="C571" s="162"/>
      <c r="D571" s="162"/>
      <c r="E571" s="162"/>
      <c r="F571" s="163"/>
      <c r="G571" s="102">
        <v>46027</v>
      </c>
      <c r="H571" s="167" t="s">
        <v>7</v>
      </c>
      <c r="I571" s="162"/>
      <c r="J571" s="162"/>
      <c r="K571" s="162"/>
      <c r="L571" s="162"/>
      <c r="M571" s="162"/>
      <c r="N571" s="162"/>
      <c r="O571" s="162"/>
      <c r="P571" s="162"/>
      <c r="Q571" s="162"/>
      <c r="R571" s="163"/>
    </row>
    <row r="572" spans="1:18" ht="24" customHeight="1" x14ac:dyDescent="0.3">
      <c r="A572" s="20" t="s">
        <v>8</v>
      </c>
      <c r="B572" s="20" t="s">
        <v>9</v>
      </c>
      <c r="C572" s="103" t="s">
        <v>10</v>
      </c>
      <c r="D572" s="20" t="s">
        <v>11</v>
      </c>
      <c r="E572" s="20" t="s">
        <v>12</v>
      </c>
      <c r="F572" s="21" t="s">
        <v>13</v>
      </c>
      <c r="G572" s="22" t="s">
        <v>14</v>
      </c>
      <c r="H572" s="20" t="s">
        <v>15</v>
      </c>
      <c r="I572" s="104" t="s">
        <v>16</v>
      </c>
      <c r="J572" s="23" t="s">
        <v>17</v>
      </c>
      <c r="K572" s="24" t="s">
        <v>18</v>
      </c>
      <c r="L572" s="23" t="s">
        <v>19</v>
      </c>
      <c r="M572" s="23" t="s">
        <v>20</v>
      </c>
      <c r="N572" s="23" t="s">
        <v>21</v>
      </c>
      <c r="O572" s="20" t="s">
        <v>22</v>
      </c>
      <c r="P572" s="103" t="s">
        <v>23</v>
      </c>
      <c r="Q572" s="23" t="s">
        <v>24</v>
      </c>
      <c r="R572" s="20" t="s">
        <v>25</v>
      </c>
    </row>
    <row r="573" spans="1:18" ht="15" customHeight="1" x14ac:dyDescent="0.3">
      <c r="A573" s="8" t="s">
        <v>35</v>
      </c>
      <c r="B573" s="8" t="s">
        <v>36</v>
      </c>
      <c r="C573" s="100">
        <v>0.30555555555555558</v>
      </c>
      <c r="D573" s="8" t="s">
        <v>37</v>
      </c>
      <c r="E573" s="8" t="s">
        <v>118</v>
      </c>
      <c r="F573" s="8" t="s">
        <v>132</v>
      </c>
      <c r="G573" s="15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25" t="s">
        <v>35</v>
      </c>
      <c r="B574" s="25" t="s">
        <v>36</v>
      </c>
      <c r="C574" s="105">
        <v>0.30555555555555558</v>
      </c>
      <c r="D574" s="25" t="s">
        <v>40</v>
      </c>
      <c r="E574" s="25" t="s">
        <v>118</v>
      </c>
      <c r="F574" s="25" t="s">
        <v>89</v>
      </c>
      <c r="G574" s="159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25" t="s">
        <v>35</v>
      </c>
      <c r="B575" s="25" t="s">
        <v>36</v>
      </c>
      <c r="C575" s="105">
        <v>0.30555555555555558</v>
      </c>
      <c r="D575" s="25" t="s">
        <v>42</v>
      </c>
      <c r="E575" s="25" t="s">
        <v>118</v>
      </c>
      <c r="F575" s="25" t="s">
        <v>85</v>
      </c>
      <c r="G575" s="159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26" t="s">
        <v>44</v>
      </c>
      <c r="B576" s="26" t="s">
        <v>53</v>
      </c>
      <c r="C576" s="106">
        <v>0.83680555555555558</v>
      </c>
      <c r="D576" s="26" t="s">
        <v>46</v>
      </c>
      <c r="E576" s="26" t="s">
        <v>95</v>
      </c>
      <c r="F576" s="26" t="s">
        <v>88</v>
      </c>
      <c r="G576" s="159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25" t="s">
        <v>44</v>
      </c>
      <c r="B577" s="25" t="s">
        <v>53</v>
      </c>
      <c r="C577" s="105">
        <v>0.83680555555555558</v>
      </c>
      <c r="D577" s="25" t="s">
        <v>49</v>
      </c>
      <c r="E577" s="25" t="s">
        <v>95</v>
      </c>
      <c r="F577" s="25" t="s">
        <v>89</v>
      </c>
      <c r="G577" s="159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25" t="s">
        <v>44</v>
      </c>
      <c r="B578" s="25" t="s">
        <v>53</v>
      </c>
      <c r="C578" s="105">
        <v>0.83680555555555558</v>
      </c>
      <c r="D578" s="25" t="s">
        <v>51</v>
      </c>
      <c r="E578" s="25" t="s">
        <v>95</v>
      </c>
      <c r="F578" s="25" t="s">
        <v>90</v>
      </c>
      <c r="G578" s="159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27" t="s">
        <v>44</v>
      </c>
      <c r="B579" s="27" t="s">
        <v>45</v>
      </c>
      <c r="C579" s="107">
        <v>0.2013888888888889</v>
      </c>
      <c r="D579" s="27" t="s">
        <v>46</v>
      </c>
      <c r="E579" s="27" t="s">
        <v>95</v>
      </c>
      <c r="F579" s="27" t="s">
        <v>101</v>
      </c>
      <c r="G579" s="159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25" t="s">
        <v>44</v>
      </c>
      <c r="B580" s="25" t="s">
        <v>45</v>
      </c>
      <c r="C580" s="105">
        <v>0.2013888888888889</v>
      </c>
      <c r="D580" s="25" t="s">
        <v>49</v>
      </c>
      <c r="E580" s="25" t="s">
        <v>95</v>
      </c>
      <c r="F580" s="25" t="s">
        <v>166</v>
      </c>
      <c r="G580" s="159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25" t="s">
        <v>44</v>
      </c>
      <c r="B581" s="25" t="s">
        <v>45</v>
      </c>
      <c r="C581" s="105">
        <v>0.2013888888888889</v>
      </c>
      <c r="D581" s="25" t="s">
        <v>51</v>
      </c>
      <c r="E581" s="25" t="s">
        <v>95</v>
      </c>
      <c r="F581" s="25" t="s">
        <v>167</v>
      </c>
      <c r="G581" s="159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26" t="s">
        <v>31</v>
      </c>
      <c r="B582" s="26" t="s">
        <v>58</v>
      </c>
      <c r="C582" s="106">
        <v>0.1701388888888889</v>
      </c>
      <c r="D582" s="26" t="s">
        <v>94</v>
      </c>
      <c r="E582" s="26" t="s">
        <v>29</v>
      </c>
      <c r="F582" s="26" t="s">
        <v>168</v>
      </c>
      <c r="G582" s="159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27" t="s">
        <v>31</v>
      </c>
      <c r="B583" s="27" t="s">
        <v>32</v>
      </c>
      <c r="C583" s="107">
        <v>0.86458333333333337</v>
      </c>
      <c r="D583" s="27" t="s">
        <v>94</v>
      </c>
      <c r="E583" s="27" t="s">
        <v>29</v>
      </c>
      <c r="F583" s="27" t="s">
        <v>169</v>
      </c>
      <c r="G583" s="159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27" t="s">
        <v>31</v>
      </c>
      <c r="B584" s="27" t="s">
        <v>62</v>
      </c>
      <c r="C584" s="107">
        <v>0.52777777777777779</v>
      </c>
      <c r="D584" s="27" t="s">
        <v>94</v>
      </c>
      <c r="E584" s="27" t="s">
        <v>29</v>
      </c>
      <c r="F584" s="27" t="s">
        <v>169</v>
      </c>
      <c r="G584" s="159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26" t="s">
        <v>79</v>
      </c>
      <c r="B585" s="26" t="s">
        <v>150</v>
      </c>
      <c r="C585" s="106">
        <v>0.12847222222222221</v>
      </c>
      <c r="D585" s="26" t="s">
        <v>156</v>
      </c>
      <c r="E585" s="26" t="s">
        <v>29</v>
      </c>
      <c r="F585" s="26" t="s">
        <v>172</v>
      </c>
      <c r="G585" s="159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26" t="s">
        <v>26</v>
      </c>
      <c r="B586" s="26" t="s">
        <v>27</v>
      </c>
      <c r="C586" s="106">
        <v>0.95833333333333337</v>
      </c>
      <c r="D586" s="26" t="s">
        <v>156</v>
      </c>
      <c r="E586" s="26" t="s">
        <v>29</v>
      </c>
      <c r="F586" s="26" t="s">
        <v>127</v>
      </c>
      <c r="G586" s="159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thickBot="1" x14ac:dyDescent="0.35">
      <c r="A587" s="14" t="s">
        <v>69</v>
      </c>
      <c r="B587" s="14" t="s">
        <v>70</v>
      </c>
      <c r="C587" s="101">
        <v>0.30555555555555558</v>
      </c>
      <c r="D587" s="14" t="s">
        <v>71</v>
      </c>
      <c r="E587" s="14" t="s">
        <v>72</v>
      </c>
      <c r="F587" s="14" t="s">
        <v>91</v>
      </c>
      <c r="G587" s="160"/>
      <c r="H587" s="15"/>
      <c r="I587" s="16"/>
      <c r="J587" s="16"/>
      <c r="K587" s="16"/>
      <c r="L587" s="16"/>
      <c r="M587" s="16"/>
      <c r="N587" s="16"/>
      <c r="O587" s="17"/>
      <c r="P587" s="16"/>
      <c r="Q587" s="18"/>
      <c r="R587" s="19"/>
    </row>
    <row r="588" spans="1:18" ht="17.399999999999999" customHeight="1" thickBot="1" x14ac:dyDescent="0.35">
      <c r="A588" s="164"/>
      <c r="B588" s="165"/>
      <c r="C588" s="165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6"/>
    </row>
    <row r="589" spans="1:18" ht="22.05" customHeight="1" thickTop="1" thickBot="1" x14ac:dyDescent="0.35">
      <c r="A589" s="161" t="s">
        <v>6</v>
      </c>
      <c r="B589" s="162"/>
      <c r="C589" s="162"/>
      <c r="D589" s="162"/>
      <c r="E589" s="162"/>
      <c r="F589" s="163"/>
      <c r="G589" s="102">
        <v>46028</v>
      </c>
      <c r="H589" s="167" t="s">
        <v>7</v>
      </c>
      <c r="I589" s="162"/>
      <c r="J589" s="162"/>
      <c r="K589" s="162"/>
      <c r="L589" s="162"/>
      <c r="M589" s="162"/>
      <c r="N589" s="162"/>
      <c r="O589" s="162"/>
      <c r="P589" s="162"/>
      <c r="Q589" s="162"/>
      <c r="R589" s="163"/>
    </row>
    <row r="590" spans="1:18" ht="24" customHeight="1" x14ac:dyDescent="0.3">
      <c r="A590" s="20" t="s">
        <v>8</v>
      </c>
      <c r="B590" s="20" t="s">
        <v>9</v>
      </c>
      <c r="C590" s="103" t="s">
        <v>10</v>
      </c>
      <c r="D590" s="20" t="s">
        <v>11</v>
      </c>
      <c r="E590" s="20" t="s">
        <v>12</v>
      </c>
      <c r="F590" s="21" t="s">
        <v>13</v>
      </c>
      <c r="G590" s="22" t="s">
        <v>14</v>
      </c>
      <c r="H590" s="20" t="s">
        <v>15</v>
      </c>
      <c r="I590" s="104" t="s">
        <v>16</v>
      </c>
      <c r="J590" s="23" t="s">
        <v>17</v>
      </c>
      <c r="K590" s="24" t="s">
        <v>18</v>
      </c>
      <c r="L590" s="23" t="s">
        <v>19</v>
      </c>
      <c r="M590" s="23" t="s">
        <v>20</v>
      </c>
      <c r="N590" s="23" t="s">
        <v>21</v>
      </c>
      <c r="O590" s="20" t="s">
        <v>22</v>
      </c>
      <c r="P590" s="103" t="s">
        <v>23</v>
      </c>
      <c r="Q590" s="23" t="s">
        <v>24</v>
      </c>
      <c r="R590" s="20" t="s">
        <v>25</v>
      </c>
    </row>
    <row r="591" spans="1:18" ht="15" customHeight="1" x14ac:dyDescent="0.3">
      <c r="A591" s="8" t="s">
        <v>35</v>
      </c>
      <c r="B591" s="8" t="s">
        <v>36</v>
      </c>
      <c r="C591" s="100">
        <v>0.30555555555555558</v>
      </c>
      <c r="D591" s="8" t="s">
        <v>37</v>
      </c>
      <c r="E591" s="8" t="s">
        <v>118</v>
      </c>
      <c r="F591" s="8" t="s">
        <v>132</v>
      </c>
      <c r="G591" s="158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25" t="s">
        <v>35</v>
      </c>
      <c r="B592" s="25" t="s">
        <v>36</v>
      </c>
      <c r="C592" s="105">
        <v>0.30555555555555558</v>
      </c>
      <c r="D592" s="25" t="s">
        <v>40</v>
      </c>
      <c r="E592" s="25" t="s">
        <v>118</v>
      </c>
      <c r="F592" s="25" t="s">
        <v>89</v>
      </c>
      <c r="G592" s="159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25" t="s">
        <v>35</v>
      </c>
      <c r="B593" s="25" t="s">
        <v>36</v>
      </c>
      <c r="C593" s="105">
        <v>0.30555555555555558</v>
      </c>
      <c r="D593" s="25" t="s">
        <v>42</v>
      </c>
      <c r="E593" s="25" t="s">
        <v>118</v>
      </c>
      <c r="F593" s="25" t="s">
        <v>43</v>
      </c>
      <c r="G593" s="15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26" t="s">
        <v>31</v>
      </c>
      <c r="B594" s="26" t="s">
        <v>58</v>
      </c>
      <c r="C594" s="106">
        <v>0.1701388888888889</v>
      </c>
      <c r="D594" s="26" t="s">
        <v>94</v>
      </c>
      <c r="E594" s="26" t="s">
        <v>29</v>
      </c>
      <c r="F594" s="26" t="s">
        <v>168</v>
      </c>
      <c r="G594" s="159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27" t="s">
        <v>31</v>
      </c>
      <c r="B595" s="27" t="s">
        <v>32</v>
      </c>
      <c r="C595" s="107">
        <v>0.86458333333333337</v>
      </c>
      <c r="D595" s="27" t="s">
        <v>33</v>
      </c>
      <c r="E595" s="27" t="s">
        <v>29</v>
      </c>
      <c r="F595" s="27" t="s">
        <v>103</v>
      </c>
      <c r="G595" s="15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27" t="s">
        <v>31</v>
      </c>
      <c r="B596" s="27" t="s">
        <v>62</v>
      </c>
      <c r="C596" s="107">
        <v>0.52777777777777779</v>
      </c>
      <c r="D596" s="27" t="s">
        <v>33</v>
      </c>
      <c r="E596" s="27" t="s">
        <v>29</v>
      </c>
      <c r="F596" s="27" t="s">
        <v>103</v>
      </c>
      <c r="G596" s="15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26" t="s">
        <v>79</v>
      </c>
      <c r="B597" s="26" t="s">
        <v>119</v>
      </c>
      <c r="C597" s="106">
        <v>0.21527777777777779</v>
      </c>
      <c r="D597" s="26" t="s">
        <v>156</v>
      </c>
      <c r="E597" s="26" t="s">
        <v>92</v>
      </c>
      <c r="F597" s="26" t="s">
        <v>154</v>
      </c>
      <c r="G597" s="15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52" t="s">
        <v>63</v>
      </c>
      <c r="B598" s="52" t="s">
        <v>64</v>
      </c>
      <c r="C598" s="120">
        <v>0.27083333333333331</v>
      </c>
      <c r="D598" s="52" t="s">
        <v>156</v>
      </c>
      <c r="E598" s="52" t="s">
        <v>157</v>
      </c>
      <c r="F598" s="52" t="s">
        <v>183</v>
      </c>
      <c r="G598" s="159"/>
      <c r="H598" s="53" t="s">
        <v>66</v>
      </c>
      <c r="I598" s="121">
        <v>7.7399999999999997E-2</v>
      </c>
      <c r="J598" s="54">
        <v>13</v>
      </c>
      <c r="K598" s="55">
        <v>46353</v>
      </c>
      <c r="L598" s="54">
        <v>13</v>
      </c>
      <c r="M598" s="54">
        <v>0</v>
      </c>
      <c r="N598" s="54">
        <v>0</v>
      </c>
      <c r="O598" s="56" t="s">
        <v>184</v>
      </c>
      <c r="P598" s="122">
        <v>0.27083333333333331</v>
      </c>
      <c r="Q598" s="54">
        <v>168</v>
      </c>
      <c r="R598" s="57" t="s">
        <v>185</v>
      </c>
    </row>
    <row r="599" spans="1:18" ht="15" customHeight="1" x14ac:dyDescent="0.3">
      <c r="A599" s="26" t="s">
        <v>44</v>
      </c>
      <c r="B599" s="26" t="s">
        <v>53</v>
      </c>
      <c r="C599" s="106">
        <v>0.83680555555555558</v>
      </c>
      <c r="D599" s="26" t="s">
        <v>46</v>
      </c>
      <c r="E599" s="26" t="s">
        <v>87</v>
      </c>
      <c r="F599" s="26" t="s">
        <v>178</v>
      </c>
      <c r="G599" s="15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25" t="s">
        <v>44</v>
      </c>
      <c r="B600" s="25" t="s">
        <v>53</v>
      </c>
      <c r="C600" s="105">
        <v>0.83680555555555558</v>
      </c>
      <c r="D600" s="25" t="s">
        <v>49</v>
      </c>
      <c r="E600" s="25" t="s">
        <v>87</v>
      </c>
      <c r="F600" s="25" t="s">
        <v>179</v>
      </c>
      <c r="G600" s="15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25" t="s">
        <v>44</v>
      </c>
      <c r="B601" s="25" t="s">
        <v>53</v>
      </c>
      <c r="C601" s="105">
        <v>0.83680555555555558</v>
      </c>
      <c r="D601" s="25" t="s">
        <v>51</v>
      </c>
      <c r="E601" s="25" t="s">
        <v>87</v>
      </c>
      <c r="F601" s="25" t="s">
        <v>180</v>
      </c>
      <c r="G601" s="15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27" t="s">
        <v>44</v>
      </c>
      <c r="B602" s="27" t="s">
        <v>45</v>
      </c>
      <c r="C602" s="107">
        <v>0.2013888888888889</v>
      </c>
      <c r="D602" s="27" t="s">
        <v>46</v>
      </c>
      <c r="E602" s="27" t="s">
        <v>72</v>
      </c>
      <c r="F602" s="27" t="s">
        <v>178</v>
      </c>
      <c r="G602" s="159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25" t="s">
        <v>44</v>
      </c>
      <c r="B603" s="25" t="s">
        <v>45</v>
      </c>
      <c r="C603" s="105">
        <v>0.2013888888888889</v>
      </c>
      <c r="D603" s="25" t="s">
        <v>49</v>
      </c>
      <c r="E603" s="25" t="s">
        <v>72</v>
      </c>
      <c r="F603" s="25" t="s">
        <v>179</v>
      </c>
      <c r="G603" s="159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25" t="s">
        <v>44</v>
      </c>
      <c r="B604" s="25" t="s">
        <v>45</v>
      </c>
      <c r="C604" s="105">
        <v>0.2013888888888889</v>
      </c>
      <c r="D604" s="25" t="s">
        <v>51</v>
      </c>
      <c r="E604" s="25" t="s">
        <v>72</v>
      </c>
      <c r="F604" s="25" t="s">
        <v>180</v>
      </c>
      <c r="G604" s="159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26" t="s">
        <v>26</v>
      </c>
      <c r="B605" s="26" t="s">
        <v>57</v>
      </c>
      <c r="C605" s="106">
        <v>0.95833333333333337</v>
      </c>
      <c r="D605" s="26" t="s">
        <v>156</v>
      </c>
      <c r="E605" s="26" t="s">
        <v>60</v>
      </c>
      <c r="F605" s="26" t="s">
        <v>165</v>
      </c>
      <c r="G605" s="159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thickBot="1" x14ac:dyDescent="0.35">
      <c r="A606" s="14" t="s">
        <v>69</v>
      </c>
      <c r="B606" s="14" t="s">
        <v>70</v>
      </c>
      <c r="C606" s="101">
        <v>0.30555555555555558</v>
      </c>
      <c r="D606" s="14" t="s">
        <v>71</v>
      </c>
      <c r="E606" s="14" t="s">
        <v>72</v>
      </c>
      <c r="F606" s="14" t="s">
        <v>91</v>
      </c>
      <c r="G606" s="160"/>
      <c r="H606" s="15"/>
      <c r="I606" s="16"/>
      <c r="J606" s="16"/>
      <c r="K606" s="16"/>
      <c r="L606" s="16"/>
      <c r="M606" s="16"/>
      <c r="N606" s="16"/>
      <c r="O606" s="17"/>
      <c r="P606" s="16"/>
      <c r="Q606" s="18"/>
      <c r="R606" s="19"/>
    </row>
    <row r="607" spans="1:18" ht="17.399999999999999" customHeight="1" thickBot="1" x14ac:dyDescent="0.35">
      <c r="A607" s="164"/>
      <c r="B607" s="165"/>
      <c r="C607" s="165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6"/>
    </row>
    <row r="608" spans="1:18" ht="22.05" customHeight="1" thickTop="1" thickBot="1" x14ac:dyDescent="0.35">
      <c r="A608" s="161" t="s">
        <v>6</v>
      </c>
      <c r="B608" s="162"/>
      <c r="C608" s="162"/>
      <c r="D608" s="162"/>
      <c r="E608" s="162"/>
      <c r="F608" s="163"/>
      <c r="G608" s="102">
        <v>46029</v>
      </c>
      <c r="H608" s="167" t="s">
        <v>7</v>
      </c>
      <c r="I608" s="162"/>
      <c r="J608" s="162"/>
      <c r="K608" s="162"/>
      <c r="L608" s="162"/>
      <c r="M608" s="162"/>
      <c r="N608" s="162"/>
      <c r="O608" s="162"/>
      <c r="P608" s="162"/>
      <c r="Q608" s="162"/>
      <c r="R608" s="163"/>
    </row>
    <row r="609" spans="1:18" ht="24" customHeight="1" x14ac:dyDescent="0.3">
      <c r="A609" s="20" t="s">
        <v>8</v>
      </c>
      <c r="B609" s="20" t="s">
        <v>9</v>
      </c>
      <c r="C609" s="103" t="s">
        <v>10</v>
      </c>
      <c r="D609" s="20" t="s">
        <v>11</v>
      </c>
      <c r="E609" s="20" t="s">
        <v>12</v>
      </c>
      <c r="F609" s="21" t="s">
        <v>13</v>
      </c>
      <c r="G609" s="22" t="s">
        <v>14</v>
      </c>
      <c r="H609" s="20" t="s">
        <v>15</v>
      </c>
      <c r="I609" s="104" t="s">
        <v>16</v>
      </c>
      <c r="J609" s="23" t="s">
        <v>17</v>
      </c>
      <c r="K609" s="24" t="s">
        <v>18</v>
      </c>
      <c r="L609" s="23" t="s">
        <v>19</v>
      </c>
      <c r="M609" s="23" t="s">
        <v>20</v>
      </c>
      <c r="N609" s="23" t="s">
        <v>21</v>
      </c>
      <c r="O609" s="20" t="s">
        <v>22</v>
      </c>
      <c r="P609" s="103" t="s">
        <v>23</v>
      </c>
      <c r="Q609" s="23" t="s">
        <v>24</v>
      </c>
      <c r="R609" s="20" t="s">
        <v>25</v>
      </c>
    </row>
    <row r="610" spans="1:18" ht="15" customHeight="1" x14ac:dyDescent="0.3">
      <c r="A610" s="8" t="s">
        <v>35</v>
      </c>
      <c r="B610" s="8" t="s">
        <v>36</v>
      </c>
      <c r="C610" s="100">
        <v>0.30555555555555558</v>
      </c>
      <c r="D610" s="8" t="s">
        <v>37</v>
      </c>
      <c r="E610" s="8" t="s">
        <v>139</v>
      </c>
      <c r="F610" s="8" t="s">
        <v>176</v>
      </c>
      <c r="G610" s="158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25" t="s">
        <v>35</v>
      </c>
      <c r="B611" s="25" t="s">
        <v>36</v>
      </c>
      <c r="C611" s="105">
        <v>0.30555555555555558</v>
      </c>
      <c r="D611" s="25" t="s">
        <v>40</v>
      </c>
      <c r="E611" s="25" t="s">
        <v>139</v>
      </c>
      <c r="F611" s="25" t="s">
        <v>166</v>
      </c>
      <c r="G611" s="159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25" t="s">
        <v>35</v>
      </c>
      <c r="B612" s="25" t="s">
        <v>36</v>
      </c>
      <c r="C612" s="105">
        <v>0.30555555555555558</v>
      </c>
      <c r="D612" s="25" t="s">
        <v>42</v>
      </c>
      <c r="E612" s="25" t="s">
        <v>139</v>
      </c>
      <c r="F612" s="25" t="s">
        <v>85</v>
      </c>
      <c r="G612" s="159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26" t="s">
        <v>79</v>
      </c>
      <c r="B613" s="26" t="s">
        <v>80</v>
      </c>
      <c r="C613" s="106">
        <v>9.0277777777777776E-2</v>
      </c>
      <c r="D613" s="26" t="s">
        <v>156</v>
      </c>
      <c r="E613" s="26" t="s">
        <v>157</v>
      </c>
      <c r="F613" s="26" t="s">
        <v>172</v>
      </c>
      <c r="G613" s="159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26" t="s">
        <v>74</v>
      </c>
      <c r="B614" s="26" t="s">
        <v>75</v>
      </c>
      <c r="C614" s="106">
        <v>0.97222222222222221</v>
      </c>
      <c r="D614" s="26" t="s">
        <v>76</v>
      </c>
      <c r="E614" s="26" t="s">
        <v>47</v>
      </c>
      <c r="F614" s="26" t="s">
        <v>186</v>
      </c>
      <c r="G614" s="15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25" t="s">
        <v>74</v>
      </c>
      <c r="B615" s="25" t="s">
        <v>75</v>
      </c>
      <c r="C615" s="105">
        <v>0.97222222222222221</v>
      </c>
      <c r="D615" s="25" t="s">
        <v>42</v>
      </c>
      <c r="E615" s="25" t="s">
        <v>47</v>
      </c>
      <c r="F615" s="25" t="s">
        <v>187</v>
      </c>
      <c r="G615" s="159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26" t="s">
        <v>26</v>
      </c>
      <c r="B616" s="26" t="s">
        <v>27</v>
      </c>
      <c r="C616" s="106">
        <v>0.89583333333333337</v>
      </c>
      <c r="D616" s="26" t="s">
        <v>156</v>
      </c>
      <c r="E616" s="26" t="s">
        <v>92</v>
      </c>
      <c r="F616" s="26" t="s">
        <v>127</v>
      </c>
      <c r="G616" s="159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26" t="s">
        <v>31</v>
      </c>
      <c r="B617" s="26" t="s">
        <v>58</v>
      </c>
      <c r="C617" s="106">
        <v>0.1701388888888889</v>
      </c>
      <c r="D617" s="26" t="s">
        <v>33</v>
      </c>
      <c r="E617" s="26" t="s">
        <v>29</v>
      </c>
      <c r="F617" s="26" t="s">
        <v>34</v>
      </c>
      <c r="G617" s="15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27" t="s">
        <v>31</v>
      </c>
      <c r="B618" s="27" t="s">
        <v>32</v>
      </c>
      <c r="C618" s="107">
        <v>0.86458333333333337</v>
      </c>
      <c r="D618" s="27" t="s">
        <v>33</v>
      </c>
      <c r="E618" s="27" t="s">
        <v>29</v>
      </c>
      <c r="F618" s="27" t="s">
        <v>86</v>
      </c>
      <c r="G618" s="159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27" t="s">
        <v>31</v>
      </c>
      <c r="B619" s="27" t="s">
        <v>62</v>
      </c>
      <c r="C619" s="107">
        <v>0.52777777777777779</v>
      </c>
      <c r="D619" s="27" t="s">
        <v>33</v>
      </c>
      <c r="E619" s="27" t="s">
        <v>29</v>
      </c>
      <c r="F619" s="27" t="s">
        <v>86</v>
      </c>
      <c r="G619" s="159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26" t="s">
        <v>44</v>
      </c>
      <c r="B620" s="26" t="s">
        <v>53</v>
      </c>
      <c r="C620" s="106">
        <v>0.83680555555555558</v>
      </c>
      <c r="D620" s="26" t="s">
        <v>46</v>
      </c>
      <c r="E620" s="26" t="s">
        <v>47</v>
      </c>
      <c r="F620" s="26" t="s">
        <v>188</v>
      </c>
      <c r="G620" s="159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25" t="s">
        <v>44</v>
      </c>
      <c r="B621" s="25" t="s">
        <v>53</v>
      </c>
      <c r="C621" s="105">
        <v>0.83680555555555558</v>
      </c>
      <c r="D621" s="25" t="s">
        <v>49</v>
      </c>
      <c r="E621" s="25" t="s">
        <v>47</v>
      </c>
      <c r="F621" s="25" t="s">
        <v>189</v>
      </c>
      <c r="G621" s="159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25" t="s">
        <v>44</v>
      </c>
      <c r="B622" s="25" t="s">
        <v>53</v>
      </c>
      <c r="C622" s="105">
        <v>0.83680555555555558</v>
      </c>
      <c r="D622" s="25" t="s">
        <v>51</v>
      </c>
      <c r="E622" s="25" t="s">
        <v>47</v>
      </c>
      <c r="F622" s="25" t="s">
        <v>190</v>
      </c>
      <c r="G622" s="159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thickBot="1" x14ac:dyDescent="0.35">
      <c r="A623" s="14" t="s">
        <v>69</v>
      </c>
      <c r="B623" s="14" t="s">
        <v>70</v>
      </c>
      <c r="C623" s="101">
        <v>0.30555555555555558</v>
      </c>
      <c r="D623" s="14" t="s">
        <v>71</v>
      </c>
      <c r="E623" s="14" t="s">
        <v>72</v>
      </c>
      <c r="F623" s="14" t="s">
        <v>175</v>
      </c>
      <c r="G623" s="160"/>
      <c r="H623" s="15"/>
      <c r="I623" s="16"/>
      <c r="J623" s="16"/>
      <c r="K623" s="16"/>
      <c r="L623" s="16"/>
      <c r="M623" s="16"/>
      <c r="N623" s="16"/>
      <c r="O623" s="17"/>
      <c r="P623" s="16"/>
      <c r="Q623" s="18"/>
      <c r="R623" s="19"/>
    </row>
    <row r="624" spans="1:18" ht="17.399999999999999" customHeight="1" thickBot="1" x14ac:dyDescent="0.35">
      <c r="A624" s="164"/>
      <c r="B624" s="165"/>
      <c r="C624" s="165"/>
      <c r="D624" s="165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6"/>
    </row>
    <row r="625" spans="1:18" ht="22.05" customHeight="1" thickTop="1" thickBot="1" x14ac:dyDescent="0.35">
      <c r="A625" s="161" t="s">
        <v>6</v>
      </c>
      <c r="B625" s="162"/>
      <c r="C625" s="162"/>
      <c r="D625" s="162"/>
      <c r="E625" s="162"/>
      <c r="F625" s="163"/>
      <c r="G625" s="102">
        <v>46030</v>
      </c>
      <c r="H625" s="167" t="s">
        <v>7</v>
      </c>
      <c r="I625" s="162"/>
      <c r="J625" s="162"/>
      <c r="K625" s="162"/>
      <c r="L625" s="162"/>
      <c r="M625" s="162"/>
      <c r="N625" s="162"/>
      <c r="O625" s="162"/>
      <c r="P625" s="162"/>
      <c r="Q625" s="162"/>
      <c r="R625" s="163"/>
    </row>
    <row r="626" spans="1:18" ht="24" customHeight="1" x14ac:dyDescent="0.3">
      <c r="A626" s="20" t="s">
        <v>8</v>
      </c>
      <c r="B626" s="20" t="s">
        <v>9</v>
      </c>
      <c r="C626" s="103" t="s">
        <v>10</v>
      </c>
      <c r="D626" s="20" t="s">
        <v>11</v>
      </c>
      <c r="E626" s="20" t="s">
        <v>12</v>
      </c>
      <c r="F626" s="21" t="s">
        <v>13</v>
      </c>
      <c r="G626" s="22" t="s">
        <v>14</v>
      </c>
      <c r="H626" s="20" t="s">
        <v>15</v>
      </c>
      <c r="I626" s="104" t="s">
        <v>16</v>
      </c>
      <c r="J626" s="23" t="s">
        <v>17</v>
      </c>
      <c r="K626" s="24" t="s">
        <v>18</v>
      </c>
      <c r="L626" s="23" t="s">
        <v>19</v>
      </c>
      <c r="M626" s="23" t="s">
        <v>20</v>
      </c>
      <c r="N626" s="23" t="s">
        <v>21</v>
      </c>
      <c r="O626" s="20" t="s">
        <v>22</v>
      </c>
      <c r="P626" s="103" t="s">
        <v>23</v>
      </c>
      <c r="Q626" s="23" t="s">
        <v>24</v>
      </c>
      <c r="R626" s="20" t="s">
        <v>25</v>
      </c>
    </row>
    <row r="627" spans="1:18" ht="15" customHeight="1" x14ac:dyDescent="0.3">
      <c r="A627" s="8" t="s">
        <v>35</v>
      </c>
      <c r="B627" s="8" t="s">
        <v>36</v>
      </c>
      <c r="C627" s="100">
        <v>0.30555555555555558</v>
      </c>
      <c r="D627" s="8" t="s">
        <v>37</v>
      </c>
      <c r="E627" s="8" t="s">
        <v>141</v>
      </c>
      <c r="F627" s="8" t="s">
        <v>56</v>
      </c>
      <c r="G627" s="158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25" t="s">
        <v>35</v>
      </c>
      <c r="B628" s="25" t="s">
        <v>36</v>
      </c>
      <c r="C628" s="105">
        <v>0.30555555555555558</v>
      </c>
      <c r="D628" s="25" t="s">
        <v>40</v>
      </c>
      <c r="E628" s="25" t="s">
        <v>141</v>
      </c>
      <c r="F628" s="25" t="s">
        <v>180</v>
      </c>
      <c r="G628" s="159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25" t="s">
        <v>35</v>
      </c>
      <c r="B629" s="25" t="s">
        <v>36</v>
      </c>
      <c r="C629" s="105">
        <v>0.30555555555555558</v>
      </c>
      <c r="D629" s="25" t="s">
        <v>42</v>
      </c>
      <c r="E629" s="25" t="s">
        <v>141</v>
      </c>
      <c r="F629" s="25" t="s">
        <v>85</v>
      </c>
      <c r="G629" s="159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26" t="s">
        <v>44</v>
      </c>
      <c r="B630" s="26" t="s">
        <v>45</v>
      </c>
      <c r="C630" s="106">
        <v>0.2013888888888889</v>
      </c>
      <c r="D630" s="26" t="s">
        <v>46</v>
      </c>
      <c r="E630" s="26" t="s">
        <v>135</v>
      </c>
      <c r="F630" s="26" t="s">
        <v>179</v>
      </c>
      <c r="G630" s="159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25" t="s">
        <v>44</v>
      </c>
      <c r="B631" s="25" t="s">
        <v>45</v>
      </c>
      <c r="C631" s="105">
        <v>0.2013888888888889</v>
      </c>
      <c r="D631" s="25" t="s">
        <v>49</v>
      </c>
      <c r="E631" s="25" t="s">
        <v>135</v>
      </c>
      <c r="F631" s="25" t="s">
        <v>188</v>
      </c>
      <c r="G631" s="15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25" t="s">
        <v>44</v>
      </c>
      <c r="B632" s="25" t="s">
        <v>45</v>
      </c>
      <c r="C632" s="105">
        <v>0.2013888888888889</v>
      </c>
      <c r="D632" s="25" t="s">
        <v>51</v>
      </c>
      <c r="E632" s="25" t="s">
        <v>135</v>
      </c>
      <c r="F632" s="25" t="s">
        <v>191</v>
      </c>
      <c r="G632" s="159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27" t="s">
        <v>44</v>
      </c>
      <c r="B633" s="27" t="s">
        <v>53</v>
      </c>
      <c r="C633" s="107">
        <v>0.83680555555555558</v>
      </c>
      <c r="D633" s="27" t="s">
        <v>46</v>
      </c>
      <c r="E633" s="27" t="s">
        <v>121</v>
      </c>
      <c r="F633" s="27" t="s">
        <v>192</v>
      </c>
      <c r="G633" s="159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25" t="s">
        <v>44</v>
      </c>
      <c r="B634" s="25" t="s">
        <v>53</v>
      </c>
      <c r="C634" s="105">
        <v>0.83680555555555558</v>
      </c>
      <c r="D634" s="25" t="s">
        <v>49</v>
      </c>
      <c r="E634" s="25" t="s">
        <v>121</v>
      </c>
      <c r="F634" s="25" t="s">
        <v>193</v>
      </c>
      <c r="G634" s="159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25" t="s">
        <v>44</v>
      </c>
      <c r="B635" s="25" t="s">
        <v>53</v>
      </c>
      <c r="C635" s="105">
        <v>0.83680555555555558</v>
      </c>
      <c r="D635" s="25" t="s">
        <v>51</v>
      </c>
      <c r="E635" s="25" t="s">
        <v>121</v>
      </c>
      <c r="F635" s="25" t="s">
        <v>194</v>
      </c>
      <c r="G635" s="159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26" t="s">
        <v>31</v>
      </c>
      <c r="B636" s="26" t="s">
        <v>58</v>
      </c>
      <c r="C636" s="106">
        <v>0.1701388888888889</v>
      </c>
      <c r="D636" s="26" t="s">
        <v>33</v>
      </c>
      <c r="E636" s="26" t="s">
        <v>29</v>
      </c>
      <c r="F636" s="26" t="s">
        <v>34</v>
      </c>
      <c r="G636" s="159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27" t="s">
        <v>31</v>
      </c>
      <c r="B637" s="27" t="s">
        <v>62</v>
      </c>
      <c r="C637" s="107">
        <v>0.52777777777777779</v>
      </c>
      <c r="D637" s="27" t="s">
        <v>33</v>
      </c>
      <c r="E637" s="27" t="s">
        <v>29</v>
      </c>
      <c r="F637" s="27" t="s">
        <v>105</v>
      </c>
      <c r="G637" s="159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27" t="s">
        <v>31</v>
      </c>
      <c r="B638" s="27" t="s">
        <v>32</v>
      </c>
      <c r="C638" s="107">
        <v>0.87847222222222221</v>
      </c>
      <c r="D638" s="27" t="s">
        <v>33</v>
      </c>
      <c r="E638" s="27" t="s">
        <v>29</v>
      </c>
      <c r="F638" s="27" t="s">
        <v>195</v>
      </c>
      <c r="G638" s="159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26" t="s">
        <v>26</v>
      </c>
      <c r="B639" s="26" t="s">
        <v>93</v>
      </c>
      <c r="C639" s="106">
        <v>0.5625</v>
      </c>
      <c r="D639" s="26" t="s">
        <v>156</v>
      </c>
      <c r="E639" s="26" t="s">
        <v>92</v>
      </c>
      <c r="F639" s="26" t="s">
        <v>196</v>
      </c>
      <c r="G639" s="159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27" t="s">
        <v>26</v>
      </c>
      <c r="B640" s="27" t="s">
        <v>57</v>
      </c>
      <c r="C640" s="107">
        <v>0.95833333333333337</v>
      </c>
      <c r="D640" s="27" t="s">
        <v>156</v>
      </c>
      <c r="E640" s="27" t="s">
        <v>29</v>
      </c>
      <c r="F640" s="27" t="s">
        <v>197</v>
      </c>
      <c r="G640" s="159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28" t="s">
        <v>63</v>
      </c>
      <c r="B641" s="28" t="s">
        <v>64</v>
      </c>
      <c r="C641" s="108">
        <v>0.92361111111111116</v>
      </c>
      <c r="D641" s="28" t="s">
        <v>156</v>
      </c>
      <c r="E641" s="28" t="s">
        <v>29</v>
      </c>
      <c r="F641" s="28" t="s">
        <v>198</v>
      </c>
      <c r="G641" s="159"/>
      <c r="H641" s="29" t="s">
        <v>66</v>
      </c>
      <c r="I641" s="109">
        <v>0.20610000000000001</v>
      </c>
      <c r="J641" s="30">
        <v>34</v>
      </c>
      <c r="K641" s="31">
        <v>46356</v>
      </c>
      <c r="L641" s="30">
        <v>34</v>
      </c>
      <c r="M641" s="30">
        <v>0</v>
      </c>
      <c r="N641" s="30">
        <v>0</v>
      </c>
      <c r="O641" s="32" t="s">
        <v>199</v>
      </c>
      <c r="P641" s="110">
        <v>0.92361111111111116</v>
      </c>
      <c r="Q641" s="30">
        <v>165</v>
      </c>
      <c r="R641" s="33" t="s">
        <v>200</v>
      </c>
    </row>
    <row r="642" spans="1:18" ht="15" customHeight="1" x14ac:dyDescent="0.3">
      <c r="A642" s="26" t="s">
        <v>79</v>
      </c>
      <c r="B642" s="26" t="s">
        <v>80</v>
      </c>
      <c r="C642" s="106">
        <v>0.96527777777777779</v>
      </c>
      <c r="D642" s="26" t="s">
        <v>156</v>
      </c>
      <c r="E642" s="26" t="s">
        <v>95</v>
      </c>
      <c r="F642" s="26" t="s">
        <v>175</v>
      </c>
      <c r="G642" s="159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thickBot="1" x14ac:dyDescent="0.35">
      <c r="A643" s="14" t="s">
        <v>69</v>
      </c>
      <c r="B643" s="14" t="s">
        <v>70</v>
      </c>
      <c r="C643" s="101">
        <v>0.30555555555555558</v>
      </c>
      <c r="D643" s="14" t="s">
        <v>71</v>
      </c>
      <c r="E643" s="14" t="s">
        <v>72</v>
      </c>
      <c r="F643" s="14" t="s">
        <v>201</v>
      </c>
      <c r="G643" s="160"/>
      <c r="H643" s="15"/>
      <c r="I643" s="16"/>
      <c r="J643" s="16"/>
      <c r="K643" s="16"/>
      <c r="L643" s="16"/>
      <c r="M643" s="16"/>
      <c r="N643" s="16"/>
      <c r="O643" s="17"/>
      <c r="P643" s="16"/>
      <c r="Q643" s="18"/>
      <c r="R643" s="19"/>
    </row>
    <row r="644" spans="1:18" ht="17.399999999999999" customHeight="1" thickBot="1" x14ac:dyDescent="0.35">
      <c r="A644" s="164"/>
      <c r="B644" s="165"/>
      <c r="C644" s="165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6"/>
    </row>
    <row r="645" spans="1:18" ht="22.05" customHeight="1" thickTop="1" thickBot="1" x14ac:dyDescent="0.35">
      <c r="A645" s="161" t="s">
        <v>6</v>
      </c>
      <c r="B645" s="162"/>
      <c r="C645" s="162"/>
      <c r="D645" s="162"/>
      <c r="E645" s="162"/>
      <c r="F645" s="163"/>
      <c r="G645" s="102">
        <v>46031</v>
      </c>
      <c r="H645" s="167" t="s">
        <v>7</v>
      </c>
      <c r="I645" s="162"/>
      <c r="J645" s="162"/>
      <c r="K645" s="162"/>
      <c r="L645" s="162"/>
      <c r="M645" s="162"/>
      <c r="N645" s="162"/>
      <c r="O645" s="162"/>
      <c r="P645" s="162"/>
      <c r="Q645" s="162"/>
      <c r="R645" s="163"/>
    </row>
    <row r="646" spans="1:18" ht="24" customHeight="1" x14ac:dyDescent="0.3">
      <c r="A646" s="20" t="s">
        <v>8</v>
      </c>
      <c r="B646" s="20" t="s">
        <v>9</v>
      </c>
      <c r="C646" s="103" t="s">
        <v>10</v>
      </c>
      <c r="D646" s="20" t="s">
        <v>11</v>
      </c>
      <c r="E646" s="20" t="s">
        <v>12</v>
      </c>
      <c r="F646" s="21" t="s">
        <v>13</v>
      </c>
      <c r="G646" s="22" t="s">
        <v>14</v>
      </c>
      <c r="H646" s="20" t="s">
        <v>15</v>
      </c>
      <c r="I646" s="104" t="s">
        <v>16</v>
      </c>
      <c r="J646" s="23" t="s">
        <v>17</v>
      </c>
      <c r="K646" s="24" t="s">
        <v>18</v>
      </c>
      <c r="L646" s="23" t="s">
        <v>19</v>
      </c>
      <c r="M646" s="23" t="s">
        <v>20</v>
      </c>
      <c r="N646" s="23" t="s">
        <v>21</v>
      </c>
      <c r="O646" s="20" t="s">
        <v>22</v>
      </c>
      <c r="P646" s="103" t="s">
        <v>23</v>
      </c>
      <c r="Q646" s="23" t="s">
        <v>24</v>
      </c>
      <c r="R646" s="20" t="s">
        <v>25</v>
      </c>
    </row>
    <row r="647" spans="1:18" ht="15" customHeight="1" x14ac:dyDescent="0.3">
      <c r="A647" s="8" t="s">
        <v>35</v>
      </c>
      <c r="B647" s="8" t="s">
        <v>36</v>
      </c>
      <c r="C647" s="100">
        <v>0.30555555555555558</v>
      </c>
      <c r="D647" s="8" t="s">
        <v>37</v>
      </c>
      <c r="E647" s="8" t="s">
        <v>142</v>
      </c>
      <c r="F647" s="8" t="s">
        <v>56</v>
      </c>
      <c r="G647" s="158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25" t="s">
        <v>35</v>
      </c>
      <c r="B648" s="25" t="s">
        <v>36</v>
      </c>
      <c r="C648" s="105">
        <v>0.30555555555555558</v>
      </c>
      <c r="D648" s="25" t="s">
        <v>40</v>
      </c>
      <c r="E648" s="25" t="s">
        <v>142</v>
      </c>
      <c r="F648" s="25" t="s">
        <v>180</v>
      </c>
      <c r="G648" s="159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25" t="s">
        <v>35</v>
      </c>
      <c r="B649" s="25" t="s">
        <v>36</v>
      </c>
      <c r="C649" s="105">
        <v>0.30555555555555558</v>
      </c>
      <c r="D649" s="25" t="s">
        <v>42</v>
      </c>
      <c r="E649" s="25" t="s">
        <v>142</v>
      </c>
      <c r="F649" s="25" t="s">
        <v>43</v>
      </c>
      <c r="G649" s="159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26" t="s">
        <v>31</v>
      </c>
      <c r="B650" s="26" t="s">
        <v>32</v>
      </c>
      <c r="C650" s="106">
        <v>0.86458333333333337</v>
      </c>
      <c r="D650" s="26" t="s">
        <v>33</v>
      </c>
      <c r="E650" s="26" t="s">
        <v>29</v>
      </c>
      <c r="F650" s="26" t="s">
        <v>86</v>
      </c>
      <c r="G650" s="159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27" t="s">
        <v>31</v>
      </c>
      <c r="B651" s="27" t="s">
        <v>58</v>
      </c>
      <c r="C651" s="107">
        <v>0.1701388888888889</v>
      </c>
      <c r="D651" s="27" t="s">
        <v>33</v>
      </c>
      <c r="E651" s="27" t="s">
        <v>29</v>
      </c>
      <c r="F651" s="27" t="s">
        <v>105</v>
      </c>
      <c r="G651" s="159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27" t="s">
        <v>31</v>
      </c>
      <c r="B652" s="27" t="s">
        <v>62</v>
      </c>
      <c r="C652" s="107">
        <v>0.51388888888888884</v>
      </c>
      <c r="D652" s="27" t="s">
        <v>33</v>
      </c>
      <c r="E652" s="27" t="s">
        <v>29</v>
      </c>
      <c r="F652" s="27" t="s">
        <v>136</v>
      </c>
      <c r="G652" s="159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26" t="s">
        <v>26</v>
      </c>
      <c r="B653" s="26" t="s">
        <v>27</v>
      </c>
      <c r="C653" s="106">
        <v>0.95833333333333337</v>
      </c>
      <c r="D653" s="26" t="s">
        <v>156</v>
      </c>
      <c r="E653" s="26" t="s">
        <v>92</v>
      </c>
      <c r="F653" s="26" t="s">
        <v>202</v>
      </c>
      <c r="G653" s="159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26" t="s">
        <v>44</v>
      </c>
      <c r="B654" s="26" t="s">
        <v>53</v>
      </c>
      <c r="C654" s="106">
        <v>0.83680555555555558</v>
      </c>
      <c r="D654" s="26" t="s">
        <v>46</v>
      </c>
      <c r="E654" s="26" t="s">
        <v>47</v>
      </c>
      <c r="F654" s="26" t="s">
        <v>203</v>
      </c>
      <c r="G654" s="159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25" t="s">
        <v>44</v>
      </c>
      <c r="B655" s="25" t="s">
        <v>53</v>
      </c>
      <c r="C655" s="105">
        <v>0.83680555555555558</v>
      </c>
      <c r="D655" s="25" t="s">
        <v>49</v>
      </c>
      <c r="E655" s="25" t="s">
        <v>47</v>
      </c>
      <c r="F655" s="25" t="s">
        <v>204</v>
      </c>
      <c r="G655" s="159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25" t="s">
        <v>44</v>
      </c>
      <c r="B656" s="25" t="s">
        <v>53</v>
      </c>
      <c r="C656" s="105">
        <v>0.83680555555555558</v>
      </c>
      <c r="D656" s="25" t="s">
        <v>51</v>
      </c>
      <c r="E656" s="25" t="s">
        <v>47</v>
      </c>
      <c r="F656" s="25" t="s">
        <v>205</v>
      </c>
      <c r="G656" s="159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52" t="s">
        <v>63</v>
      </c>
      <c r="B657" s="52" t="s">
        <v>64</v>
      </c>
      <c r="C657" s="120">
        <v>0.57986111111111116</v>
      </c>
      <c r="D657" s="52" t="s">
        <v>156</v>
      </c>
      <c r="E657" s="52" t="s">
        <v>157</v>
      </c>
      <c r="F657" s="52" t="s">
        <v>206</v>
      </c>
      <c r="G657" s="159"/>
      <c r="H657" s="53" t="s">
        <v>66</v>
      </c>
      <c r="I657" s="121">
        <v>0.19639999999999999</v>
      </c>
      <c r="J657" s="54">
        <v>33</v>
      </c>
      <c r="K657" s="55">
        <v>46356</v>
      </c>
      <c r="L657" s="54">
        <v>33</v>
      </c>
      <c r="M657" s="54">
        <v>0</v>
      </c>
      <c r="N657" s="54">
        <v>0</v>
      </c>
      <c r="O657" s="56" t="s">
        <v>207</v>
      </c>
      <c r="P657" s="122">
        <v>0.57986111111111116</v>
      </c>
      <c r="Q657" s="54">
        <v>168</v>
      </c>
      <c r="R657" s="57" t="s">
        <v>208</v>
      </c>
    </row>
    <row r="658" spans="1:18" ht="15" customHeight="1" x14ac:dyDescent="0.3">
      <c r="A658" s="26" t="s">
        <v>79</v>
      </c>
      <c r="B658" s="26" t="s">
        <v>119</v>
      </c>
      <c r="C658" s="106">
        <v>0.21527777777777779</v>
      </c>
      <c r="D658" s="26" t="s">
        <v>156</v>
      </c>
      <c r="E658" s="26" t="s">
        <v>72</v>
      </c>
      <c r="F658" s="26" t="s">
        <v>175</v>
      </c>
      <c r="G658" s="159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thickBot="1" x14ac:dyDescent="0.35">
      <c r="A659" s="14" t="s">
        <v>69</v>
      </c>
      <c r="B659" s="14" t="s">
        <v>70</v>
      </c>
      <c r="C659" s="101">
        <v>0.30555555555555558</v>
      </c>
      <c r="D659" s="14" t="s">
        <v>71</v>
      </c>
      <c r="E659" s="14" t="s">
        <v>72</v>
      </c>
      <c r="F659" s="14" t="s">
        <v>201</v>
      </c>
      <c r="G659" s="160"/>
      <c r="H659" s="15"/>
      <c r="I659" s="16"/>
      <c r="J659" s="16"/>
      <c r="K659" s="16"/>
      <c r="L659" s="16"/>
      <c r="M659" s="16"/>
      <c r="N659" s="16"/>
      <c r="O659" s="17"/>
      <c r="P659" s="16"/>
      <c r="Q659" s="18"/>
      <c r="R659" s="19"/>
    </row>
    <row r="660" spans="1:18" ht="17.399999999999999" customHeight="1" thickBot="1" x14ac:dyDescent="0.35">
      <c r="A660" s="164"/>
      <c r="B660" s="165"/>
      <c r="C660" s="165"/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6"/>
    </row>
    <row r="661" spans="1:18" ht="22.05" customHeight="1" thickTop="1" thickBot="1" x14ac:dyDescent="0.35">
      <c r="A661" s="161" t="s">
        <v>6</v>
      </c>
      <c r="B661" s="162"/>
      <c r="C661" s="162"/>
      <c r="D661" s="162"/>
      <c r="E661" s="162"/>
      <c r="F661" s="163"/>
      <c r="G661" s="102">
        <v>46032</v>
      </c>
      <c r="H661" s="167" t="s">
        <v>7</v>
      </c>
      <c r="I661" s="162"/>
      <c r="J661" s="162"/>
      <c r="K661" s="162"/>
      <c r="L661" s="162"/>
      <c r="M661" s="162"/>
      <c r="N661" s="162"/>
      <c r="O661" s="162"/>
      <c r="P661" s="162"/>
      <c r="Q661" s="162"/>
      <c r="R661" s="163"/>
    </row>
    <row r="662" spans="1:18" ht="24" customHeight="1" x14ac:dyDescent="0.3">
      <c r="A662" s="20" t="s">
        <v>8</v>
      </c>
      <c r="B662" s="20" t="s">
        <v>9</v>
      </c>
      <c r="C662" s="103" t="s">
        <v>10</v>
      </c>
      <c r="D662" s="20" t="s">
        <v>11</v>
      </c>
      <c r="E662" s="20" t="s">
        <v>12</v>
      </c>
      <c r="F662" s="21" t="s">
        <v>13</v>
      </c>
      <c r="G662" s="22" t="s">
        <v>14</v>
      </c>
      <c r="H662" s="20" t="s">
        <v>15</v>
      </c>
      <c r="I662" s="104" t="s">
        <v>16</v>
      </c>
      <c r="J662" s="23" t="s">
        <v>17</v>
      </c>
      <c r="K662" s="24" t="s">
        <v>18</v>
      </c>
      <c r="L662" s="23" t="s">
        <v>19</v>
      </c>
      <c r="M662" s="23" t="s">
        <v>20</v>
      </c>
      <c r="N662" s="23" t="s">
        <v>21</v>
      </c>
      <c r="O662" s="20" t="s">
        <v>22</v>
      </c>
      <c r="P662" s="103" t="s">
        <v>23</v>
      </c>
      <c r="Q662" s="23" t="s">
        <v>24</v>
      </c>
      <c r="R662" s="20" t="s">
        <v>25</v>
      </c>
    </row>
    <row r="663" spans="1:18" ht="15" customHeight="1" x14ac:dyDescent="0.3">
      <c r="A663" s="8" t="s">
        <v>35</v>
      </c>
      <c r="B663" s="8" t="s">
        <v>36</v>
      </c>
      <c r="C663" s="100">
        <v>0.30555555555555558</v>
      </c>
      <c r="D663" s="8" t="s">
        <v>37</v>
      </c>
      <c r="E663" s="8" t="s">
        <v>118</v>
      </c>
      <c r="F663" s="8" t="s">
        <v>84</v>
      </c>
      <c r="G663" s="158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25" t="s">
        <v>35</v>
      </c>
      <c r="B664" s="25" t="s">
        <v>36</v>
      </c>
      <c r="C664" s="105">
        <v>0.30555555555555558</v>
      </c>
      <c r="D664" s="25" t="s">
        <v>40</v>
      </c>
      <c r="E664" s="25" t="s">
        <v>118</v>
      </c>
      <c r="F664" s="25" t="s">
        <v>209</v>
      </c>
      <c r="G664" s="159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25" t="s">
        <v>35</v>
      </c>
      <c r="B665" s="25" t="s">
        <v>36</v>
      </c>
      <c r="C665" s="105">
        <v>0.30555555555555558</v>
      </c>
      <c r="D665" s="25" t="s">
        <v>42</v>
      </c>
      <c r="E665" s="25" t="s">
        <v>118</v>
      </c>
      <c r="F665" s="25" t="s">
        <v>85</v>
      </c>
      <c r="G665" s="159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26" t="s">
        <v>44</v>
      </c>
      <c r="B666" s="26" t="s">
        <v>53</v>
      </c>
      <c r="C666" s="106">
        <v>0.83680555555555558</v>
      </c>
      <c r="D666" s="26" t="s">
        <v>46</v>
      </c>
      <c r="E666" s="26" t="s">
        <v>92</v>
      </c>
      <c r="F666" s="26" t="s">
        <v>210</v>
      </c>
      <c r="G666" s="159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25" t="s">
        <v>44</v>
      </c>
      <c r="B667" s="25" t="s">
        <v>53</v>
      </c>
      <c r="C667" s="105">
        <v>0.83680555555555558</v>
      </c>
      <c r="D667" s="25" t="s">
        <v>49</v>
      </c>
      <c r="E667" s="25" t="s">
        <v>92</v>
      </c>
      <c r="F667" s="25" t="s">
        <v>167</v>
      </c>
      <c r="G667" s="159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25" t="s">
        <v>44</v>
      </c>
      <c r="B668" s="25" t="s">
        <v>53</v>
      </c>
      <c r="C668" s="105">
        <v>0.83680555555555558</v>
      </c>
      <c r="D668" s="25" t="s">
        <v>51</v>
      </c>
      <c r="E668" s="25" t="s">
        <v>92</v>
      </c>
      <c r="F668" s="25" t="s">
        <v>211</v>
      </c>
      <c r="G668" s="159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27" t="s">
        <v>44</v>
      </c>
      <c r="B669" s="27" t="s">
        <v>45</v>
      </c>
      <c r="C669" s="107">
        <v>0.2013888888888889</v>
      </c>
      <c r="D669" s="27" t="s">
        <v>46</v>
      </c>
      <c r="E669" s="27" t="s">
        <v>92</v>
      </c>
      <c r="F669" s="27" t="s">
        <v>210</v>
      </c>
      <c r="G669" s="15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25" t="s">
        <v>44</v>
      </c>
      <c r="B670" s="25" t="s">
        <v>45</v>
      </c>
      <c r="C670" s="105">
        <v>0.2013888888888889</v>
      </c>
      <c r="D670" s="25" t="s">
        <v>49</v>
      </c>
      <c r="E670" s="25" t="s">
        <v>92</v>
      </c>
      <c r="F670" s="25" t="s">
        <v>167</v>
      </c>
      <c r="G670" s="159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25" t="s">
        <v>44</v>
      </c>
      <c r="B671" s="25" t="s">
        <v>45</v>
      </c>
      <c r="C671" s="105">
        <v>0.2013888888888889</v>
      </c>
      <c r="D671" s="25" t="s">
        <v>51</v>
      </c>
      <c r="E671" s="25" t="s">
        <v>92</v>
      </c>
      <c r="F671" s="25" t="s">
        <v>211</v>
      </c>
      <c r="G671" s="159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26" t="s">
        <v>74</v>
      </c>
      <c r="B672" s="26" t="s">
        <v>75</v>
      </c>
      <c r="C672" s="106">
        <v>0.97222222222222221</v>
      </c>
      <c r="D672" s="26" t="s">
        <v>76</v>
      </c>
      <c r="E672" s="26" t="s">
        <v>47</v>
      </c>
      <c r="F672" s="26" t="s">
        <v>212</v>
      </c>
      <c r="G672" s="159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25" t="s">
        <v>74</v>
      </c>
      <c r="B673" s="25" t="s">
        <v>75</v>
      </c>
      <c r="C673" s="105">
        <v>0.97222222222222221</v>
      </c>
      <c r="D673" s="25" t="s">
        <v>42</v>
      </c>
      <c r="E673" s="25" t="s">
        <v>47</v>
      </c>
      <c r="F673" s="25" t="s">
        <v>213</v>
      </c>
      <c r="G673" s="159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26" t="s">
        <v>26</v>
      </c>
      <c r="B674" s="26" t="s">
        <v>57</v>
      </c>
      <c r="C674" s="106">
        <v>0.89583333333333337</v>
      </c>
      <c r="D674" s="26" t="s">
        <v>156</v>
      </c>
      <c r="E674" s="26" t="s">
        <v>29</v>
      </c>
      <c r="F674" s="26" t="s">
        <v>214</v>
      </c>
      <c r="G674" s="159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26" t="s">
        <v>31</v>
      </c>
      <c r="B675" s="26" t="s">
        <v>32</v>
      </c>
      <c r="C675" s="106">
        <v>0.86458333333333337</v>
      </c>
      <c r="D675" s="26" t="s">
        <v>33</v>
      </c>
      <c r="E675" s="26" t="s">
        <v>29</v>
      </c>
      <c r="F675" s="26" t="s">
        <v>86</v>
      </c>
      <c r="G675" s="15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27" t="s">
        <v>31</v>
      </c>
      <c r="B676" s="27" t="s">
        <v>62</v>
      </c>
      <c r="C676" s="107">
        <v>0.52777777777777779</v>
      </c>
      <c r="D676" s="27" t="s">
        <v>33</v>
      </c>
      <c r="E676" s="27" t="s">
        <v>29</v>
      </c>
      <c r="F676" s="27" t="s">
        <v>86</v>
      </c>
      <c r="G676" s="159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27" t="s">
        <v>31</v>
      </c>
      <c r="B677" s="27" t="s">
        <v>58</v>
      </c>
      <c r="C677" s="107">
        <v>0.1701388888888889</v>
      </c>
      <c r="D677" s="27" t="s">
        <v>33</v>
      </c>
      <c r="E677" s="27" t="s">
        <v>29</v>
      </c>
      <c r="F677" s="27" t="s">
        <v>86</v>
      </c>
      <c r="G677" s="15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34" t="s">
        <v>63</v>
      </c>
      <c r="B678" s="34" t="s">
        <v>64</v>
      </c>
      <c r="C678" s="111">
        <v>0.92361111111111116</v>
      </c>
      <c r="D678" s="34" t="s">
        <v>156</v>
      </c>
      <c r="E678" s="34" t="s">
        <v>135</v>
      </c>
      <c r="F678" s="34" t="s">
        <v>215</v>
      </c>
      <c r="G678" s="159"/>
      <c r="H678" s="35" t="s">
        <v>66</v>
      </c>
      <c r="I678" s="112">
        <v>0.13100000000000001</v>
      </c>
      <c r="J678" s="36">
        <v>22</v>
      </c>
      <c r="K678" s="37">
        <v>46354</v>
      </c>
      <c r="L678" s="36">
        <v>22</v>
      </c>
      <c r="M678" s="36">
        <v>0</v>
      </c>
      <c r="N678" s="36">
        <v>0</v>
      </c>
      <c r="O678" s="38" t="s">
        <v>216</v>
      </c>
      <c r="P678" s="113">
        <v>0.92361111111111116</v>
      </c>
      <c r="Q678" s="36">
        <v>168</v>
      </c>
      <c r="R678" s="39" t="s">
        <v>217</v>
      </c>
    </row>
    <row r="679" spans="1:18" ht="15" customHeight="1" thickBot="1" x14ac:dyDescent="0.35">
      <c r="A679" s="14" t="s">
        <v>69</v>
      </c>
      <c r="B679" s="14" t="s">
        <v>70</v>
      </c>
      <c r="C679" s="101">
        <v>0.30555555555555558</v>
      </c>
      <c r="D679" s="14" t="s">
        <v>71</v>
      </c>
      <c r="E679" s="14" t="s">
        <v>72</v>
      </c>
      <c r="F679" s="14" t="s">
        <v>201</v>
      </c>
      <c r="G679" s="160"/>
      <c r="H679" s="15"/>
      <c r="I679" s="16"/>
      <c r="J679" s="16"/>
      <c r="K679" s="16"/>
      <c r="L679" s="16"/>
      <c r="M679" s="16"/>
      <c r="N679" s="16"/>
      <c r="O679" s="17"/>
      <c r="P679" s="16"/>
      <c r="Q679" s="18"/>
      <c r="R679" s="19"/>
    </row>
    <row r="680" spans="1:18" ht="17.399999999999999" customHeight="1" thickBot="1" x14ac:dyDescent="0.35">
      <c r="A680" s="164"/>
      <c r="B680" s="165"/>
      <c r="C680" s="165"/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6"/>
    </row>
    <row r="681" spans="1:18" ht="22.05" customHeight="1" thickTop="1" thickBot="1" x14ac:dyDescent="0.35">
      <c r="A681" s="161" t="s">
        <v>6</v>
      </c>
      <c r="B681" s="162"/>
      <c r="C681" s="162"/>
      <c r="D681" s="162"/>
      <c r="E681" s="162"/>
      <c r="F681" s="163"/>
      <c r="G681" s="102">
        <v>46033</v>
      </c>
      <c r="H681" s="167" t="s">
        <v>7</v>
      </c>
      <c r="I681" s="162"/>
      <c r="J681" s="162"/>
      <c r="K681" s="162"/>
      <c r="L681" s="162"/>
      <c r="M681" s="162"/>
      <c r="N681" s="162"/>
      <c r="O681" s="162"/>
      <c r="P681" s="162"/>
      <c r="Q681" s="162"/>
      <c r="R681" s="163"/>
    </row>
    <row r="682" spans="1:18" ht="24" customHeight="1" x14ac:dyDescent="0.3">
      <c r="A682" s="20" t="s">
        <v>8</v>
      </c>
      <c r="B682" s="20" t="s">
        <v>9</v>
      </c>
      <c r="C682" s="103" t="s">
        <v>10</v>
      </c>
      <c r="D682" s="20" t="s">
        <v>11</v>
      </c>
      <c r="E682" s="20" t="s">
        <v>12</v>
      </c>
      <c r="F682" s="21" t="s">
        <v>13</v>
      </c>
      <c r="G682" s="22" t="s">
        <v>14</v>
      </c>
      <c r="H682" s="20" t="s">
        <v>15</v>
      </c>
      <c r="I682" s="104" t="s">
        <v>16</v>
      </c>
      <c r="J682" s="23" t="s">
        <v>17</v>
      </c>
      <c r="K682" s="24" t="s">
        <v>18</v>
      </c>
      <c r="L682" s="23" t="s">
        <v>19</v>
      </c>
      <c r="M682" s="23" t="s">
        <v>20</v>
      </c>
      <c r="N682" s="23" t="s">
        <v>21</v>
      </c>
      <c r="O682" s="20" t="s">
        <v>22</v>
      </c>
      <c r="P682" s="103" t="s">
        <v>23</v>
      </c>
      <c r="Q682" s="23" t="s">
        <v>24</v>
      </c>
      <c r="R682" s="20" t="s">
        <v>25</v>
      </c>
    </row>
    <row r="683" spans="1:18" ht="15" customHeight="1" x14ac:dyDescent="0.3">
      <c r="A683" s="8" t="s">
        <v>31</v>
      </c>
      <c r="B683" s="8" t="s">
        <v>58</v>
      </c>
      <c r="C683" s="100">
        <v>0.1701388888888889</v>
      </c>
      <c r="D683" s="8" t="s">
        <v>94</v>
      </c>
      <c r="E683" s="8" t="s">
        <v>29</v>
      </c>
      <c r="F683" s="8" t="s">
        <v>168</v>
      </c>
      <c r="G683" s="158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27" t="s">
        <v>31</v>
      </c>
      <c r="B684" s="27" t="s">
        <v>32</v>
      </c>
      <c r="C684" s="107">
        <v>0.86458333333333337</v>
      </c>
      <c r="D684" s="27" t="s">
        <v>94</v>
      </c>
      <c r="E684" s="27" t="s">
        <v>29</v>
      </c>
      <c r="F684" s="27" t="s">
        <v>169</v>
      </c>
      <c r="G684" s="159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27" t="s">
        <v>31</v>
      </c>
      <c r="B685" s="27" t="s">
        <v>62</v>
      </c>
      <c r="C685" s="107">
        <v>0.52777777777777779</v>
      </c>
      <c r="D685" s="27" t="s">
        <v>94</v>
      </c>
      <c r="E685" s="27" t="s">
        <v>29</v>
      </c>
      <c r="F685" s="27" t="s">
        <v>169</v>
      </c>
      <c r="G685" s="159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26" t="s">
        <v>35</v>
      </c>
      <c r="B686" s="26" t="s">
        <v>36</v>
      </c>
      <c r="C686" s="106">
        <v>0.30555555555555558</v>
      </c>
      <c r="D686" s="26" t="s">
        <v>37</v>
      </c>
      <c r="E686" s="26" t="s">
        <v>118</v>
      </c>
      <c r="F686" s="26" t="s">
        <v>55</v>
      </c>
      <c r="G686" s="159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25" t="s">
        <v>35</v>
      </c>
      <c r="B687" s="25" t="s">
        <v>36</v>
      </c>
      <c r="C687" s="105">
        <v>0.30555555555555558</v>
      </c>
      <c r="D687" s="25" t="s">
        <v>40</v>
      </c>
      <c r="E687" s="25" t="s">
        <v>118</v>
      </c>
      <c r="F687" s="25" t="s">
        <v>179</v>
      </c>
      <c r="G687" s="159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25" t="s">
        <v>35</v>
      </c>
      <c r="B688" s="25" t="s">
        <v>36</v>
      </c>
      <c r="C688" s="105">
        <v>0.30555555555555558</v>
      </c>
      <c r="D688" s="25" t="s">
        <v>42</v>
      </c>
      <c r="E688" s="25" t="s">
        <v>118</v>
      </c>
      <c r="F688" s="25" t="s">
        <v>85</v>
      </c>
      <c r="G688" s="159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26" t="s">
        <v>44</v>
      </c>
      <c r="B689" s="26" t="s">
        <v>53</v>
      </c>
      <c r="C689" s="106">
        <v>0.83680555555555558</v>
      </c>
      <c r="D689" s="26" t="s">
        <v>46</v>
      </c>
      <c r="E689" s="26" t="s">
        <v>72</v>
      </c>
      <c r="F689" s="26" t="s">
        <v>178</v>
      </c>
      <c r="G689" s="159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25" t="s">
        <v>44</v>
      </c>
      <c r="B690" s="25" t="s">
        <v>53</v>
      </c>
      <c r="C690" s="105">
        <v>0.83680555555555558</v>
      </c>
      <c r="D690" s="25" t="s">
        <v>49</v>
      </c>
      <c r="E690" s="25" t="s">
        <v>72</v>
      </c>
      <c r="F690" s="25" t="s">
        <v>179</v>
      </c>
      <c r="G690" s="159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25" t="s">
        <v>44</v>
      </c>
      <c r="B691" s="25" t="s">
        <v>53</v>
      </c>
      <c r="C691" s="105">
        <v>0.83680555555555558</v>
      </c>
      <c r="D691" s="25" t="s">
        <v>51</v>
      </c>
      <c r="E691" s="25" t="s">
        <v>72</v>
      </c>
      <c r="F691" s="25" t="s">
        <v>180</v>
      </c>
      <c r="G691" s="159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26" t="s">
        <v>79</v>
      </c>
      <c r="B692" s="26" t="s">
        <v>119</v>
      </c>
      <c r="C692" s="106">
        <v>0.21527777777777779</v>
      </c>
      <c r="D692" s="26" t="s">
        <v>156</v>
      </c>
      <c r="E692" s="26" t="s">
        <v>60</v>
      </c>
      <c r="F692" s="26" t="s">
        <v>172</v>
      </c>
      <c r="G692" s="159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26" t="s">
        <v>26</v>
      </c>
      <c r="B693" s="26" t="s">
        <v>93</v>
      </c>
      <c r="C693" s="106">
        <v>0.95833333333333337</v>
      </c>
      <c r="D693" s="26" t="s">
        <v>156</v>
      </c>
      <c r="E693" s="26" t="s">
        <v>95</v>
      </c>
      <c r="F693" s="26" t="s">
        <v>165</v>
      </c>
      <c r="G693" s="159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thickBot="1" x14ac:dyDescent="0.35">
      <c r="A694" s="14" t="s">
        <v>69</v>
      </c>
      <c r="B694" s="14" t="s">
        <v>70</v>
      </c>
      <c r="C694" s="101">
        <v>0.30555555555555558</v>
      </c>
      <c r="D694" s="14" t="s">
        <v>71</v>
      </c>
      <c r="E694" s="14" t="s">
        <v>72</v>
      </c>
      <c r="F694" s="14" t="s">
        <v>175</v>
      </c>
      <c r="G694" s="160"/>
      <c r="H694" s="15"/>
      <c r="I694" s="16"/>
      <c r="J694" s="16"/>
      <c r="K694" s="16"/>
      <c r="L694" s="16"/>
      <c r="M694" s="16"/>
      <c r="N694" s="16"/>
      <c r="O694" s="17"/>
      <c r="P694" s="16"/>
      <c r="Q694" s="18"/>
      <c r="R694" s="19"/>
    </row>
    <row r="695" spans="1:18" ht="17.399999999999999" customHeight="1" thickBot="1" x14ac:dyDescent="0.35">
      <c r="A695" s="164"/>
      <c r="B695" s="165"/>
      <c r="C695" s="165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6"/>
    </row>
    <row r="696" spans="1:18" ht="22.05" customHeight="1" thickTop="1" thickBot="1" x14ac:dyDescent="0.35">
      <c r="A696" s="161" t="s">
        <v>6</v>
      </c>
      <c r="B696" s="162"/>
      <c r="C696" s="162"/>
      <c r="D696" s="162"/>
      <c r="E696" s="162"/>
      <c r="F696" s="163"/>
      <c r="G696" s="102">
        <v>46034</v>
      </c>
      <c r="H696" s="167" t="s">
        <v>7</v>
      </c>
      <c r="I696" s="162"/>
      <c r="J696" s="162"/>
      <c r="K696" s="162"/>
      <c r="L696" s="162"/>
      <c r="M696" s="162"/>
      <c r="N696" s="162"/>
      <c r="O696" s="162"/>
      <c r="P696" s="162"/>
      <c r="Q696" s="162"/>
      <c r="R696" s="163"/>
    </row>
    <row r="697" spans="1:18" ht="24" customHeight="1" x14ac:dyDescent="0.3">
      <c r="A697" s="20" t="s">
        <v>8</v>
      </c>
      <c r="B697" s="20" t="s">
        <v>9</v>
      </c>
      <c r="C697" s="103" t="s">
        <v>10</v>
      </c>
      <c r="D697" s="20" t="s">
        <v>11</v>
      </c>
      <c r="E697" s="20" t="s">
        <v>12</v>
      </c>
      <c r="F697" s="21" t="s">
        <v>13</v>
      </c>
      <c r="G697" s="22" t="s">
        <v>14</v>
      </c>
      <c r="H697" s="20" t="s">
        <v>15</v>
      </c>
      <c r="I697" s="104" t="s">
        <v>16</v>
      </c>
      <c r="J697" s="23" t="s">
        <v>17</v>
      </c>
      <c r="K697" s="24" t="s">
        <v>18</v>
      </c>
      <c r="L697" s="23" t="s">
        <v>19</v>
      </c>
      <c r="M697" s="23" t="s">
        <v>20</v>
      </c>
      <c r="N697" s="23" t="s">
        <v>21</v>
      </c>
      <c r="O697" s="20" t="s">
        <v>22</v>
      </c>
      <c r="P697" s="103" t="s">
        <v>23</v>
      </c>
      <c r="Q697" s="23" t="s">
        <v>24</v>
      </c>
      <c r="R697" s="20" t="s">
        <v>25</v>
      </c>
    </row>
    <row r="698" spans="1:18" ht="15" customHeight="1" x14ac:dyDescent="0.3">
      <c r="A698" s="8" t="s">
        <v>31</v>
      </c>
      <c r="B698" s="8" t="s">
        <v>58</v>
      </c>
      <c r="C698" s="100">
        <v>0.1701388888888889</v>
      </c>
      <c r="D698" s="8" t="s">
        <v>94</v>
      </c>
      <c r="E698" s="8" t="s">
        <v>29</v>
      </c>
      <c r="F698" s="8" t="s">
        <v>168</v>
      </c>
      <c r="G698" s="158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27" t="s">
        <v>31</v>
      </c>
      <c r="B699" s="27" t="s">
        <v>32</v>
      </c>
      <c r="C699" s="107">
        <v>0.86458333333333337</v>
      </c>
      <c r="D699" s="27" t="s">
        <v>94</v>
      </c>
      <c r="E699" s="27" t="s">
        <v>29</v>
      </c>
      <c r="F699" s="27" t="s">
        <v>169</v>
      </c>
      <c r="G699" s="159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27" t="s">
        <v>31</v>
      </c>
      <c r="B700" s="27" t="s">
        <v>62</v>
      </c>
      <c r="C700" s="107">
        <v>0.52777777777777779</v>
      </c>
      <c r="D700" s="27" t="s">
        <v>94</v>
      </c>
      <c r="E700" s="27" t="s">
        <v>29</v>
      </c>
      <c r="F700" s="27" t="s">
        <v>169</v>
      </c>
      <c r="G700" s="159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26" t="s">
        <v>79</v>
      </c>
      <c r="B701" s="26" t="s">
        <v>150</v>
      </c>
      <c r="C701" s="106">
        <v>0.12847222222222221</v>
      </c>
      <c r="D701" s="26" t="s">
        <v>156</v>
      </c>
      <c r="E701" s="26" t="s">
        <v>60</v>
      </c>
      <c r="F701" s="26" t="s">
        <v>154</v>
      </c>
      <c r="G701" s="159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26" t="s">
        <v>35</v>
      </c>
      <c r="B702" s="26" t="s">
        <v>36</v>
      </c>
      <c r="C702" s="106">
        <v>0.30555555555555558</v>
      </c>
      <c r="D702" s="26" t="s">
        <v>37</v>
      </c>
      <c r="E702" s="26" t="s">
        <v>118</v>
      </c>
      <c r="F702" s="26" t="s">
        <v>55</v>
      </c>
      <c r="G702" s="159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25" t="s">
        <v>35</v>
      </c>
      <c r="B703" s="25" t="s">
        <v>36</v>
      </c>
      <c r="C703" s="105">
        <v>0.30555555555555558</v>
      </c>
      <c r="D703" s="25" t="s">
        <v>40</v>
      </c>
      <c r="E703" s="25" t="s">
        <v>118</v>
      </c>
      <c r="F703" s="25" t="s">
        <v>179</v>
      </c>
      <c r="G703" s="159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25" t="s">
        <v>35</v>
      </c>
      <c r="B704" s="25" t="s">
        <v>36</v>
      </c>
      <c r="C704" s="105">
        <v>0.30555555555555558</v>
      </c>
      <c r="D704" s="25" t="s">
        <v>42</v>
      </c>
      <c r="E704" s="25" t="s">
        <v>118</v>
      </c>
      <c r="F704" s="25" t="s">
        <v>85</v>
      </c>
      <c r="G704" s="159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26" t="s">
        <v>44</v>
      </c>
      <c r="B705" s="26" t="s">
        <v>53</v>
      </c>
      <c r="C705" s="106">
        <v>0.83680555555555558</v>
      </c>
      <c r="D705" s="26" t="s">
        <v>46</v>
      </c>
      <c r="E705" s="26" t="s">
        <v>95</v>
      </c>
      <c r="F705" s="26" t="s">
        <v>178</v>
      </c>
      <c r="G705" s="15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25" t="s">
        <v>44</v>
      </c>
      <c r="B706" s="25" t="s">
        <v>53</v>
      </c>
      <c r="C706" s="105">
        <v>0.83680555555555558</v>
      </c>
      <c r="D706" s="25" t="s">
        <v>49</v>
      </c>
      <c r="E706" s="25" t="s">
        <v>95</v>
      </c>
      <c r="F706" s="25" t="s">
        <v>179</v>
      </c>
      <c r="G706" s="15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25" t="s">
        <v>44</v>
      </c>
      <c r="B707" s="25" t="s">
        <v>53</v>
      </c>
      <c r="C707" s="105">
        <v>0.83680555555555558</v>
      </c>
      <c r="D707" s="25" t="s">
        <v>51</v>
      </c>
      <c r="E707" s="25" t="s">
        <v>95</v>
      </c>
      <c r="F707" s="25" t="s">
        <v>180</v>
      </c>
      <c r="G707" s="15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27" t="s">
        <v>44</v>
      </c>
      <c r="B708" s="27" t="s">
        <v>45</v>
      </c>
      <c r="C708" s="107">
        <v>0.2013888888888889</v>
      </c>
      <c r="D708" s="27" t="s">
        <v>46</v>
      </c>
      <c r="E708" s="27" t="s">
        <v>95</v>
      </c>
      <c r="F708" s="27" t="s">
        <v>178</v>
      </c>
      <c r="G708" s="159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25" t="s">
        <v>44</v>
      </c>
      <c r="B709" s="25" t="s">
        <v>45</v>
      </c>
      <c r="C709" s="105">
        <v>0.2013888888888889</v>
      </c>
      <c r="D709" s="25" t="s">
        <v>49</v>
      </c>
      <c r="E709" s="25" t="s">
        <v>95</v>
      </c>
      <c r="F709" s="25" t="s">
        <v>179</v>
      </c>
      <c r="G709" s="159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25" t="s">
        <v>44</v>
      </c>
      <c r="B710" s="25" t="s">
        <v>45</v>
      </c>
      <c r="C710" s="105">
        <v>0.2013888888888889</v>
      </c>
      <c r="D710" s="25" t="s">
        <v>51</v>
      </c>
      <c r="E710" s="25" t="s">
        <v>95</v>
      </c>
      <c r="F710" s="25" t="s">
        <v>180</v>
      </c>
      <c r="G710" s="159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26" t="s">
        <v>26</v>
      </c>
      <c r="B711" s="26" t="s">
        <v>27</v>
      </c>
      <c r="C711" s="106">
        <v>0.95833333333333337</v>
      </c>
      <c r="D711" s="26" t="s">
        <v>156</v>
      </c>
      <c r="E711" s="26" t="s">
        <v>92</v>
      </c>
      <c r="F711" s="26" t="s">
        <v>126</v>
      </c>
      <c r="G711" s="15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thickBot="1" x14ac:dyDescent="0.35">
      <c r="A712" s="14" t="s">
        <v>69</v>
      </c>
      <c r="B712" s="14" t="s">
        <v>70</v>
      </c>
      <c r="C712" s="101">
        <v>0.30555555555555558</v>
      </c>
      <c r="D712" s="14" t="s">
        <v>71</v>
      </c>
      <c r="E712" s="14" t="s">
        <v>72</v>
      </c>
      <c r="F712" s="14" t="s">
        <v>175</v>
      </c>
      <c r="G712" s="160"/>
      <c r="H712" s="15"/>
      <c r="I712" s="16"/>
      <c r="J712" s="16"/>
      <c r="K712" s="16"/>
      <c r="L712" s="16"/>
      <c r="M712" s="16"/>
      <c r="N712" s="16"/>
      <c r="O712" s="17"/>
      <c r="P712" s="16"/>
      <c r="Q712" s="18"/>
      <c r="R712" s="19"/>
    </row>
    <row r="713" spans="1:18" ht="17.399999999999999" customHeight="1" thickBot="1" x14ac:dyDescent="0.35">
      <c r="A713" s="164"/>
      <c r="B713" s="165"/>
      <c r="C713" s="165"/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6"/>
    </row>
    <row r="714" spans="1:18" ht="22.05" customHeight="1" thickTop="1" thickBot="1" x14ac:dyDescent="0.35">
      <c r="A714" s="161" t="s">
        <v>6</v>
      </c>
      <c r="B714" s="162"/>
      <c r="C714" s="162"/>
      <c r="D714" s="162"/>
      <c r="E714" s="162"/>
      <c r="F714" s="163"/>
      <c r="G714" s="102">
        <v>46035</v>
      </c>
      <c r="H714" s="167" t="s">
        <v>7</v>
      </c>
      <c r="I714" s="162"/>
      <c r="J714" s="162"/>
      <c r="K714" s="162"/>
      <c r="L714" s="162"/>
      <c r="M714" s="162"/>
      <c r="N714" s="162"/>
      <c r="O714" s="162"/>
      <c r="P714" s="162"/>
      <c r="Q714" s="162"/>
      <c r="R714" s="163"/>
    </row>
    <row r="715" spans="1:18" ht="24" customHeight="1" x14ac:dyDescent="0.3">
      <c r="A715" s="20" t="s">
        <v>8</v>
      </c>
      <c r="B715" s="20" t="s">
        <v>9</v>
      </c>
      <c r="C715" s="103" t="s">
        <v>10</v>
      </c>
      <c r="D715" s="20" t="s">
        <v>11</v>
      </c>
      <c r="E715" s="20" t="s">
        <v>12</v>
      </c>
      <c r="F715" s="21" t="s">
        <v>13</v>
      </c>
      <c r="G715" s="22" t="s">
        <v>14</v>
      </c>
      <c r="H715" s="20" t="s">
        <v>15</v>
      </c>
      <c r="I715" s="104" t="s">
        <v>16</v>
      </c>
      <c r="J715" s="23" t="s">
        <v>17</v>
      </c>
      <c r="K715" s="24" t="s">
        <v>18</v>
      </c>
      <c r="L715" s="23" t="s">
        <v>19</v>
      </c>
      <c r="M715" s="23" t="s">
        <v>20</v>
      </c>
      <c r="N715" s="23" t="s">
        <v>21</v>
      </c>
      <c r="O715" s="20" t="s">
        <v>22</v>
      </c>
      <c r="P715" s="103" t="s">
        <v>23</v>
      </c>
      <c r="Q715" s="23" t="s">
        <v>24</v>
      </c>
      <c r="R715" s="20" t="s">
        <v>25</v>
      </c>
    </row>
    <row r="716" spans="1:18" ht="15" customHeight="1" x14ac:dyDescent="0.3">
      <c r="A716" s="8" t="s">
        <v>31</v>
      </c>
      <c r="B716" s="8" t="s">
        <v>58</v>
      </c>
      <c r="C716" s="100">
        <v>0.1701388888888889</v>
      </c>
      <c r="D716" s="8" t="s">
        <v>94</v>
      </c>
      <c r="E716" s="8" t="s">
        <v>29</v>
      </c>
      <c r="F716" s="8" t="s">
        <v>168</v>
      </c>
      <c r="G716" s="158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27" t="s">
        <v>31</v>
      </c>
      <c r="B717" s="27" t="s">
        <v>32</v>
      </c>
      <c r="C717" s="107">
        <v>0.86458333333333337</v>
      </c>
      <c r="D717" s="27" t="s">
        <v>94</v>
      </c>
      <c r="E717" s="27" t="s">
        <v>29</v>
      </c>
      <c r="F717" s="27" t="s">
        <v>169</v>
      </c>
      <c r="G717" s="159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27" t="s">
        <v>31</v>
      </c>
      <c r="B718" s="27" t="s">
        <v>62</v>
      </c>
      <c r="C718" s="107">
        <v>0.52777777777777779</v>
      </c>
      <c r="D718" s="27" t="s">
        <v>94</v>
      </c>
      <c r="E718" s="27" t="s">
        <v>29</v>
      </c>
      <c r="F718" s="27" t="s">
        <v>169</v>
      </c>
      <c r="G718" s="159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26" t="s">
        <v>79</v>
      </c>
      <c r="B719" s="26" t="s">
        <v>119</v>
      </c>
      <c r="C719" s="106">
        <v>0.21527777777777779</v>
      </c>
      <c r="D719" s="26" t="s">
        <v>156</v>
      </c>
      <c r="E719" s="26" t="s">
        <v>121</v>
      </c>
      <c r="F719" s="26" t="s">
        <v>154</v>
      </c>
      <c r="G719" s="159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52" t="s">
        <v>63</v>
      </c>
      <c r="B720" s="52" t="s">
        <v>64</v>
      </c>
      <c r="C720" s="120">
        <v>0.27083333333333331</v>
      </c>
      <c r="D720" s="52" t="s">
        <v>156</v>
      </c>
      <c r="E720" s="52" t="s">
        <v>157</v>
      </c>
      <c r="F720" s="52" t="s">
        <v>183</v>
      </c>
      <c r="G720" s="159"/>
      <c r="H720" s="53" t="s">
        <v>66</v>
      </c>
      <c r="I720" s="121">
        <v>9.5200000000000007E-2</v>
      </c>
      <c r="J720" s="54">
        <v>16</v>
      </c>
      <c r="K720" s="55">
        <v>46357</v>
      </c>
      <c r="L720" s="54">
        <v>16</v>
      </c>
      <c r="M720" s="54">
        <v>0</v>
      </c>
      <c r="N720" s="54">
        <v>0</v>
      </c>
      <c r="O720" s="56" t="s">
        <v>184</v>
      </c>
      <c r="P720" s="122">
        <v>0.27083333333333331</v>
      </c>
      <c r="Q720" s="54">
        <v>168</v>
      </c>
      <c r="R720" s="57" t="s">
        <v>218</v>
      </c>
    </row>
    <row r="721" spans="1:18" ht="15" customHeight="1" x14ac:dyDescent="0.3">
      <c r="A721" s="26" t="s">
        <v>35</v>
      </c>
      <c r="B721" s="26" t="s">
        <v>36</v>
      </c>
      <c r="C721" s="106">
        <v>0.30555555555555558</v>
      </c>
      <c r="D721" s="26" t="s">
        <v>37</v>
      </c>
      <c r="E721" s="26" t="s">
        <v>118</v>
      </c>
      <c r="F721" s="26" t="s">
        <v>55</v>
      </c>
      <c r="G721" s="159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25" t="s">
        <v>35</v>
      </c>
      <c r="B722" s="25" t="s">
        <v>36</v>
      </c>
      <c r="C722" s="105">
        <v>0.30555555555555558</v>
      </c>
      <c r="D722" s="25" t="s">
        <v>40</v>
      </c>
      <c r="E722" s="25" t="s">
        <v>118</v>
      </c>
      <c r="F722" s="25" t="s">
        <v>179</v>
      </c>
      <c r="G722" s="159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25" t="s">
        <v>35</v>
      </c>
      <c r="B723" s="25" t="s">
        <v>36</v>
      </c>
      <c r="C723" s="105">
        <v>0.30555555555555558</v>
      </c>
      <c r="D723" s="25" t="s">
        <v>42</v>
      </c>
      <c r="E723" s="25" t="s">
        <v>118</v>
      </c>
      <c r="F723" s="25" t="s">
        <v>85</v>
      </c>
      <c r="G723" s="159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26" t="s">
        <v>44</v>
      </c>
      <c r="B724" s="26" t="s">
        <v>45</v>
      </c>
      <c r="C724" s="106">
        <v>0.2013888888888889</v>
      </c>
      <c r="D724" s="26" t="s">
        <v>46</v>
      </c>
      <c r="E724" s="26" t="s">
        <v>95</v>
      </c>
      <c r="F724" s="26" t="s">
        <v>178</v>
      </c>
      <c r="G724" s="159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25" t="s">
        <v>44</v>
      </c>
      <c r="B725" s="25" t="s">
        <v>45</v>
      </c>
      <c r="C725" s="105">
        <v>0.2013888888888889</v>
      </c>
      <c r="D725" s="25" t="s">
        <v>49</v>
      </c>
      <c r="E725" s="25" t="s">
        <v>95</v>
      </c>
      <c r="F725" s="25" t="s">
        <v>179</v>
      </c>
      <c r="G725" s="159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25" t="s">
        <v>44</v>
      </c>
      <c r="B726" s="25" t="s">
        <v>45</v>
      </c>
      <c r="C726" s="105">
        <v>0.2013888888888889</v>
      </c>
      <c r="D726" s="25" t="s">
        <v>51</v>
      </c>
      <c r="E726" s="25" t="s">
        <v>95</v>
      </c>
      <c r="F726" s="25" t="s">
        <v>180</v>
      </c>
      <c r="G726" s="159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27" t="s">
        <v>44</v>
      </c>
      <c r="B727" s="27" t="s">
        <v>53</v>
      </c>
      <c r="C727" s="107">
        <v>0.83680555555555558</v>
      </c>
      <c r="D727" s="27" t="s">
        <v>46</v>
      </c>
      <c r="E727" s="27" t="s">
        <v>157</v>
      </c>
      <c r="F727" s="27" t="s">
        <v>210</v>
      </c>
      <c r="G727" s="159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25" t="s">
        <v>44</v>
      </c>
      <c r="B728" s="25" t="s">
        <v>53</v>
      </c>
      <c r="C728" s="105">
        <v>0.83680555555555558</v>
      </c>
      <c r="D728" s="25" t="s">
        <v>49</v>
      </c>
      <c r="E728" s="25" t="s">
        <v>157</v>
      </c>
      <c r="F728" s="25" t="s">
        <v>167</v>
      </c>
      <c r="G728" s="159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25" t="s">
        <v>44</v>
      </c>
      <c r="B729" s="25" t="s">
        <v>53</v>
      </c>
      <c r="C729" s="105">
        <v>0.83680555555555558</v>
      </c>
      <c r="D729" s="25" t="s">
        <v>51</v>
      </c>
      <c r="E729" s="25" t="s">
        <v>157</v>
      </c>
      <c r="F729" s="25" t="s">
        <v>211</v>
      </c>
      <c r="G729" s="159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26" t="s">
        <v>26</v>
      </c>
      <c r="B730" s="26" t="s">
        <v>57</v>
      </c>
      <c r="C730" s="106">
        <v>0.95833333333333337</v>
      </c>
      <c r="D730" s="26" t="s">
        <v>156</v>
      </c>
      <c r="E730" s="26" t="s">
        <v>60</v>
      </c>
      <c r="F730" s="26" t="s">
        <v>126</v>
      </c>
      <c r="G730" s="159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thickBot="1" x14ac:dyDescent="0.35">
      <c r="A731" s="14" t="s">
        <v>69</v>
      </c>
      <c r="B731" s="14" t="s">
        <v>70</v>
      </c>
      <c r="C731" s="101">
        <v>0.30555555555555558</v>
      </c>
      <c r="D731" s="14" t="s">
        <v>71</v>
      </c>
      <c r="E731" s="14" t="s">
        <v>72</v>
      </c>
      <c r="F731" s="14" t="s">
        <v>175</v>
      </c>
      <c r="G731" s="160"/>
      <c r="H731" s="15"/>
      <c r="I731" s="16"/>
      <c r="J731" s="16"/>
      <c r="K731" s="16"/>
      <c r="L731" s="16"/>
      <c r="M731" s="16"/>
      <c r="N731" s="16"/>
      <c r="O731" s="17"/>
      <c r="P731" s="16"/>
      <c r="Q731" s="18"/>
      <c r="R731" s="19"/>
    </row>
    <row r="732" spans="1:18" ht="17.399999999999999" customHeight="1" thickBot="1" x14ac:dyDescent="0.35">
      <c r="A732" s="164"/>
      <c r="B732" s="165"/>
      <c r="C732" s="165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6"/>
    </row>
    <row r="733" spans="1:18" ht="22.05" customHeight="1" thickTop="1" thickBot="1" x14ac:dyDescent="0.35">
      <c r="A733" s="161" t="s">
        <v>6</v>
      </c>
      <c r="B733" s="162"/>
      <c r="C733" s="162"/>
      <c r="D733" s="162"/>
      <c r="E733" s="162"/>
      <c r="F733" s="163"/>
      <c r="G733" s="102">
        <v>46036</v>
      </c>
      <c r="H733" s="167" t="s">
        <v>7</v>
      </c>
      <c r="I733" s="162"/>
      <c r="J733" s="162"/>
      <c r="K733" s="162"/>
      <c r="L733" s="162"/>
      <c r="M733" s="162"/>
      <c r="N733" s="162"/>
      <c r="O733" s="162"/>
      <c r="P733" s="162"/>
      <c r="Q733" s="162"/>
      <c r="R733" s="163"/>
    </row>
    <row r="734" spans="1:18" ht="24" customHeight="1" x14ac:dyDescent="0.3">
      <c r="A734" s="20" t="s">
        <v>8</v>
      </c>
      <c r="B734" s="20" t="s">
        <v>9</v>
      </c>
      <c r="C734" s="103" t="s">
        <v>10</v>
      </c>
      <c r="D734" s="20" t="s">
        <v>11</v>
      </c>
      <c r="E734" s="20" t="s">
        <v>12</v>
      </c>
      <c r="F734" s="21" t="s">
        <v>13</v>
      </c>
      <c r="G734" s="22" t="s">
        <v>14</v>
      </c>
      <c r="H734" s="20" t="s">
        <v>15</v>
      </c>
      <c r="I734" s="104" t="s">
        <v>16</v>
      </c>
      <c r="J734" s="23" t="s">
        <v>17</v>
      </c>
      <c r="K734" s="24" t="s">
        <v>18</v>
      </c>
      <c r="L734" s="23" t="s">
        <v>19</v>
      </c>
      <c r="M734" s="23" t="s">
        <v>20</v>
      </c>
      <c r="N734" s="23" t="s">
        <v>21</v>
      </c>
      <c r="O734" s="20" t="s">
        <v>22</v>
      </c>
      <c r="P734" s="103" t="s">
        <v>23</v>
      </c>
      <c r="Q734" s="23" t="s">
        <v>24</v>
      </c>
      <c r="R734" s="20" t="s">
        <v>25</v>
      </c>
    </row>
    <row r="735" spans="1:18" ht="15" customHeight="1" x14ac:dyDescent="0.3">
      <c r="A735" s="8" t="s">
        <v>31</v>
      </c>
      <c r="B735" s="8" t="s">
        <v>58</v>
      </c>
      <c r="C735" s="100">
        <v>0.1701388888888889</v>
      </c>
      <c r="D735" s="8" t="s">
        <v>94</v>
      </c>
      <c r="E735" s="8" t="s">
        <v>29</v>
      </c>
      <c r="F735" s="8" t="s">
        <v>168</v>
      </c>
      <c r="G735" s="158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27" t="s">
        <v>31</v>
      </c>
      <c r="B736" s="27" t="s">
        <v>32</v>
      </c>
      <c r="C736" s="107">
        <v>0.86458333333333337</v>
      </c>
      <c r="D736" s="27" t="s">
        <v>94</v>
      </c>
      <c r="E736" s="27" t="s">
        <v>29</v>
      </c>
      <c r="F736" s="27" t="s">
        <v>169</v>
      </c>
      <c r="G736" s="159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27" t="s">
        <v>31</v>
      </c>
      <c r="B737" s="27" t="s">
        <v>62</v>
      </c>
      <c r="C737" s="107">
        <v>0.52777777777777779</v>
      </c>
      <c r="D737" s="27" t="s">
        <v>94</v>
      </c>
      <c r="E737" s="27" t="s">
        <v>29</v>
      </c>
      <c r="F737" s="27" t="s">
        <v>169</v>
      </c>
      <c r="G737" s="159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26" t="s">
        <v>79</v>
      </c>
      <c r="B738" s="26" t="s">
        <v>80</v>
      </c>
      <c r="C738" s="106">
        <v>9.0277777777777776E-2</v>
      </c>
      <c r="D738" s="26" t="s">
        <v>156</v>
      </c>
      <c r="E738" s="26" t="s">
        <v>135</v>
      </c>
      <c r="F738" s="26" t="s">
        <v>154</v>
      </c>
      <c r="G738" s="159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26" t="s">
        <v>74</v>
      </c>
      <c r="B739" s="26" t="s">
        <v>75</v>
      </c>
      <c r="C739" s="106">
        <v>0.97222222222222221</v>
      </c>
      <c r="D739" s="26" t="s">
        <v>76</v>
      </c>
      <c r="E739" s="26" t="s">
        <v>47</v>
      </c>
      <c r="F739" s="26" t="s">
        <v>219</v>
      </c>
      <c r="G739" s="159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25" t="s">
        <v>74</v>
      </c>
      <c r="B740" s="25" t="s">
        <v>75</v>
      </c>
      <c r="C740" s="105">
        <v>0.97222222222222221</v>
      </c>
      <c r="D740" s="25" t="s">
        <v>42</v>
      </c>
      <c r="E740" s="25" t="s">
        <v>47</v>
      </c>
      <c r="F740" s="25" t="s">
        <v>220</v>
      </c>
      <c r="G740" s="159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26" t="s">
        <v>35</v>
      </c>
      <c r="B741" s="26" t="s">
        <v>36</v>
      </c>
      <c r="C741" s="106">
        <v>0.30555555555555558</v>
      </c>
      <c r="D741" s="26" t="s">
        <v>37</v>
      </c>
      <c r="E741" s="26" t="s">
        <v>118</v>
      </c>
      <c r="F741" s="26" t="s">
        <v>55</v>
      </c>
      <c r="G741" s="159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25" t="s">
        <v>35</v>
      </c>
      <c r="B742" s="25" t="s">
        <v>36</v>
      </c>
      <c r="C742" s="105">
        <v>0.30555555555555558</v>
      </c>
      <c r="D742" s="25" t="s">
        <v>40</v>
      </c>
      <c r="E742" s="25" t="s">
        <v>118</v>
      </c>
      <c r="F742" s="25" t="s">
        <v>179</v>
      </c>
      <c r="G742" s="159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25" t="s">
        <v>35</v>
      </c>
      <c r="B743" s="25" t="s">
        <v>36</v>
      </c>
      <c r="C743" s="105">
        <v>0.30555555555555558</v>
      </c>
      <c r="D743" s="25" t="s">
        <v>42</v>
      </c>
      <c r="E743" s="25" t="s">
        <v>118</v>
      </c>
      <c r="F743" s="25" t="s">
        <v>85</v>
      </c>
      <c r="G743" s="159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26" t="s">
        <v>26</v>
      </c>
      <c r="B744" s="26" t="s">
        <v>27</v>
      </c>
      <c r="C744" s="106">
        <v>0.89583333333333337</v>
      </c>
      <c r="D744" s="26" t="s">
        <v>156</v>
      </c>
      <c r="E744" s="26" t="s">
        <v>157</v>
      </c>
      <c r="F744" s="26" t="s">
        <v>126</v>
      </c>
      <c r="G744" s="159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26" t="s">
        <v>44</v>
      </c>
      <c r="B745" s="26" t="s">
        <v>53</v>
      </c>
      <c r="C745" s="106">
        <v>0.83680555555555558</v>
      </c>
      <c r="D745" s="26" t="s">
        <v>46</v>
      </c>
      <c r="E745" s="26" t="s">
        <v>72</v>
      </c>
      <c r="F745" s="26" t="s">
        <v>210</v>
      </c>
      <c r="G745" s="159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25" t="s">
        <v>44</v>
      </c>
      <c r="B746" s="25" t="s">
        <v>53</v>
      </c>
      <c r="C746" s="105">
        <v>0.83680555555555558</v>
      </c>
      <c r="D746" s="25" t="s">
        <v>49</v>
      </c>
      <c r="E746" s="25" t="s">
        <v>72</v>
      </c>
      <c r="F746" s="25" t="s">
        <v>167</v>
      </c>
      <c r="G746" s="159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25" t="s">
        <v>44</v>
      </c>
      <c r="B747" s="25" t="s">
        <v>53</v>
      </c>
      <c r="C747" s="105">
        <v>0.83680555555555558</v>
      </c>
      <c r="D747" s="25" t="s">
        <v>51</v>
      </c>
      <c r="E747" s="25" t="s">
        <v>72</v>
      </c>
      <c r="F747" s="25" t="s">
        <v>211</v>
      </c>
      <c r="G747" s="159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thickBot="1" x14ac:dyDescent="0.35">
      <c r="A748" s="14" t="s">
        <v>69</v>
      </c>
      <c r="B748" s="14" t="s">
        <v>70</v>
      </c>
      <c r="C748" s="101">
        <v>0.30555555555555558</v>
      </c>
      <c r="D748" s="14" t="s">
        <v>71</v>
      </c>
      <c r="E748" s="14" t="s">
        <v>72</v>
      </c>
      <c r="F748" s="14" t="s">
        <v>175</v>
      </c>
      <c r="G748" s="160"/>
      <c r="H748" s="15"/>
      <c r="I748" s="16"/>
      <c r="J748" s="16"/>
      <c r="K748" s="16"/>
      <c r="L748" s="16"/>
      <c r="M748" s="16"/>
      <c r="N748" s="16"/>
      <c r="O748" s="17"/>
      <c r="P748" s="16"/>
      <c r="Q748" s="18"/>
      <c r="R748" s="19"/>
    </row>
    <row r="749" spans="1:18" ht="17.399999999999999" customHeight="1" thickBot="1" x14ac:dyDescent="0.35">
      <c r="A749" s="164"/>
      <c r="B749" s="165"/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6"/>
    </row>
    <row r="750" spans="1:18" ht="22.05" customHeight="1" thickTop="1" thickBot="1" x14ac:dyDescent="0.35">
      <c r="A750" s="161" t="s">
        <v>6</v>
      </c>
      <c r="B750" s="162"/>
      <c r="C750" s="162"/>
      <c r="D750" s="162"/>
      <c r="E750" s="162"/>
      <c r="F750" s="163"/>
      <c r="G750" s="102">
        <v>46037</v>
      </c>
      <c r="H750" s="167" t="s">
        <v>7</v>
      </c>
      <c r="I750" s="162"/>
      <c r="J750" s="162"/>
      <c r="K750" s="162"/>
      <c r="L750" s="162"/>
      <c r="M750" s="162"/>
      <c r="N750" s="162"/>
      <c r="O750" s="162"/>
      <c r="P750" s="162"/>
      <c r="Q750" s="162"/>
      <c r="R750" s="163"/>
    </row>
    <row r="751" spans="1:18" ht="24" customHeight="1" x14ac:dyDescent="0.3">
      <c r="A751" s="20" t="s">
        <v>8</v>
      </c>
      <c r="B751" s="20" t="s">
        <v>9</v>
      </c>
      <c r="C751" s="103" t="s">
        <v>10</v>
      </c>
      <c r="D751" s="20" t="s">
        <v>11</v>
      </c>
      <c r="E751" s="20" t="s">
        <v>12</v>
      </c>
      <c r="F751" s="21" t="s">
        <v>13</v>
      </c>
      <c r="G751" s="22" t="s">
        <v>14</v>
      </c>
      <c r="H751" s="20" t="s">
        <v>15</v>
      </c>
      <c r="I751" s="104" t="s">
        <v>16</v>
      </c>
      <c r="J751" s="23" t="s">
        <v>17</v>
      </c>
      <c r="K751" s="24" t="s">
        <v>18</v>
      </c>
      <c r="L751" s="23" t="s">
        <v>19</v>
      </c>
      <c r="M751" s="23" t="s">
        <v>20</v>
      </c>
      <c r="N751" s="23" t="s">
        <v>21</v>
      </c>
      <c r="O751" s="20" t="s">
        <v>22</v>
      </c>
      <c r="P751" s="103" t="s">
        <v>23</v>
      </c>
      <c r="Q751" s="23" t="s">
        <v>24</v>
      </c>
      <c r="R751" s="20" t="s">
        <v>25</v>
      </c>
    </row>
    <row r="752" spans="1:18" ht="15" customHeight="1" x14ac:dyDescent="0.3">
      <c r="A752" s="8" t="s">
        <v>31</v>
      </c>
      <c r="B752" s="8" t="s">
        <v>58</v>
      </c>
      <c r="C752" s="100">
        <v>0.1701388888888889</v>
      </c>
      <c r="D752" s="8" t="s">
        <v>94</v>
      </c>
      <c r="E752" s="8" t="s">
        <v>29</v>
      </c>
      <c r="F752" s="8" t="s">
        <v>168</v>
      </c>
      <c r="G752" s="158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27" t="s">
        <v>31</v>
      </c>
      <c r="B753" s="27" t="s">
        <v>62</v>
      </c>
      <c r="C753" s="107">
        <v>0.52777777777777779</v>
      </c>
      <c r="D753" s="27" t="s">
        <v>94</v>
      </c>
      <c r="E753" s="27" t="s">
        <v>29</v>
      </c>
      <c r="F753" s="27" t="s">
        <v>169</v>
      </c>
      <c r="G753" s="159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27" t="s">
        <v>31</v>
      </c>
      <c r="B754" s="27" t="s">
        <v>32</v>
      </c>
      <c r="C754" s="107">
        <v>0.86458333333333337</v>
      </c>
      <c r="D754" s="27" t="s">
        <v>33</v>
      </c>
      <c r="E754" s="27" t="s">
        <v>29</v>
      </c>
      <c r="F754" s="27" t="s">
        <v>103</v>
      </c>
      <c r="G754" s="159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26" t="s">
        <v>35</v>
      </c>
      <c r="B755" s="26" t="s">
        <v>36</v>
      </c>
      <c r="C755" s="106">
        <v>0.30555555555555558</v>
      </c>
      <c r="D755" s="26" t="s">
        <v>37</v>
      </c>
      <c r="E755" s="26" t="s">
        <v>118</v>
      </c>
      <c r="F755" s="26" t="s">
        <v>55</v>
      </c>
      <c r="G755" s="159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25" t="s">
        <v>35</v>
      </c>
      <c r="B756" s="25" t="s">
        <v>36</v>
      </c>
      <c r="C756" s="105">
        <v>0.30555555555555558</v>
      </c>
      <c r="D756" s="25" t="s">
        <v>40</v>
      </c>
      <c r="E756" s="25" t="s">
        <v>118</v>
      </c>
      <c r="F756" s="25" t="s">
        <v>179</v>
      </c>
      <c r="G756" s="159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25" t="s">
        <v>35</v>
      </c>
      <c r="B757" s="25" t="s">
        <v>36</v>
      </c>
      <c r="C757" s="105">
        <v>0.30555555555555558</v>
      </c>
      <c r="D757" s="25" t="s">
        <v>42</v>
      </c>
      <c r="E757" s="25" t="s">
        <v>118</v>
      </c>
      <c r="F757" s="25" t="s">
        <v>85</v>
      </c>
      <c r="G757" s="159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26" t="s">
        <v>44</v>
      </c>
      <c r="B758" s="26" t="s">
        <v>45</v>
      </c>
      <c r="C758" s="106">
        <v>0.2013888888888889</v>
      </c>
      <c r="D758" s="26" t="s">
        <v>46</v>
      </c>
      <c r="E758" s="26" t="s">
        <v>72</v>
      </c>
      <c r="F758" s="26" t="s">
        <v>178</v>
      </c>
      <c r="G758" s="159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25" t="s">
        <v>44</v>
      </c>
      <c r="B759" s="25" t="s">
        <v>45</v>
      </c>
      <c r="C759" s="105">
        <v>0.2013888888888889</v>
      </c>
      <c r="D759" s="25" t="s">
        <v>49</v>
      </c>
      <c r="E759" s="25" t="s">
        <v>72</v>
      </c>
      <c r="F759" s="25" t="s">
        <v>179</v>
      </c>
      <c r="G759" s="159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25" t="s">
        <v>44</v>
      </c>
      <c r="B760" s="25" t="s">
        <v>45</v>
      </c>
      <c r="C760" s="105">
        <v>0.2013888888888889</v>
      </c>
      <c r="D760" s="25" t="s">
        <v>51</v>
      </c>
      <c r="E760" s="25" t="s">
        <v>72</v>
      </c>
      <c r="F760" s="25" t="s">
        <v>180</v>
      </c>
      <c r="G760" s="159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27" t="s">
        <v>44</v>
      </c>
      <c r="B761" s="27" t="s">
        <v>53</v>
      </c>
      <c r="C761" s="107">
        <v>0.83680555555555558</v>
      </c>
      <c r="D761" s="27" t="s">
        <v>46</v>
      </c>
      <c r="E761" s="27" t="s">
        <v>47</v>
      </c>
      <c r="F761" s="27" t="s">
        <v>179</v>
      </c>
      <c r="G761" s="159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25" t="s">
        <v>44</v>
      </c>
      <c r="B762" s="25" t="s">
        <v>53</v>
      </c>
      <c r="C762" s="105">
        <v>0.83680555555555558</v>
      </c>
      <c r="D762" s="25" t="s">
        <v>49</v>
      </c>
      <c r="E762" s="25" t="s">
        <v>47</v>
      </c>
      <c r="F762" s="25" t="s">
        <v>188</v>
      </c>
      <c r="G762" s="159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25" t="s">
        <v>44</v>
      </c>
      <c r="B763" s="25" t="s">
        <v>53</v>
      </c>
      <c r="C763" s="105">
        <v>0.83680555555555558</v>
      </c>
      <c r="D763" s="25" t="s">
        <v>51</v>
      </c>
      <c r="E763" s="25" t="s">
        <v>47</v>
      </c>
      <c r="F763" s="25" t="s">
        <v>191</v>
      </c>
      <c r="G763" s="159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26" t="s">
        <v>26</v>
      </c>
      <c r="B764" s="26" t="s">
        <v>57</v>
      </c>
      <c r="C764" s="106">
        <v>0.95833333333333337</v>
      </c>
      <c r="D764" s="26" t="s">
        <v>156</v>
      </c>
      <c r="E764" s="26" t="s">
        <v>95</v>
      </c>
      <c r="F764" s="26" t="s">
        <v>126</v>
      </c>
      <c r="G764" s="159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27" t="s">
        <v>26</v>
      </c>
      <c r="B765" s="27" t="s">
        <v>93</v>
      </c>
      <c r="C765" s="107">
        <v>0.5625</v>
      </c>
      <c r="D765" s="27" t="s">
        <v>156</v>
      </c>
      <c r="E765" s="27" t="s">
        <v>72</v>
      </c>
      <c r="F765" s="27" t="s">
        <v>165</v>
      </c>
      <c r="G765" s="159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26" t="s">
        <v>79</v>
      </c>
      <c r="B766" s="26" t="s">
        <v>80</v>
      </c>
      <c r="C766" s="106">
        <v>0.96527777777777779</v>
      </c>
      <c r="D766" s="26" t="s">
        <v>156</v>
      </c>
      <c r="E766" s="26" t="s">
        <v>121</v>
      </c>
      <c r="F766" s="26" t="s">
        <v>172</v>
      </c>
      <c r="G766" s="159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34" t="s">
        <v>63</v>
      </c>
      <c r="B767" s="34" t="s">
        <v>64</v>
      </c>
      <c r="C767" s="111">
        <v>0.92361111111111116</v>
      </c>
      <c r="D767" s="34" t="s">
        <v>156</v>
      </c>
      <c r="E767" s="34" t="s">
        <v>121</v>
      </c>
      <c r="F767" s="34" t="s">
        <v>106</v>
      </c>
      <c r="G767" s="159"/>
      <c r="H767" s="35" t="s">
        <v>66</v>
      </c>
      <c r="I767" s="112">
        <v>0.1429</v>
      </c>
      <c r="J767" s="36">
        <v>24</v>
      </c>
      <c r="K767" s="37">
        <v>46355</v>
      </c>
      <c r="L767" s="36">
        <v>24</v>
      </c>
      <c r="M767" s="36">
        <v>0</v>
      </c>
      <c r="N767" s="36">
        <v>0</v>
      </c>
      <c r="O767" s="38" t="s">
        <v>221</v>
      </c>
      <c r="P767" s="113">
        <v>0.92361111111111116</v>
      </c>
      <c r="Q767" s="36">
        <v>168</v>
      </c>
      <c r="R767" s="39" t="s">
        <v>222</v>
      </c>
    </row>
    <row r="768" spans="1:18" ht="15" customHeight="1" thickBot="1" x14ac:dyDescent="0.35">
      <c r="A768" s="14" t="s">
        <v>69</v>
      </c>
      <c r="B768" s="14" t="s">
        <v>70</v>
      </c>
      <c r="C768" s="101">
        <v>0.30555555555555558</v>
      </c>
      <c r="D768" s="14" t="s">
        <v>71</v>
      </c>
      <c r="E768" s="14" t="s">
        <v>72</v>
      </c>
      <c r="F768" s="14" t="s">
        <v>175</v>
      </c>
      <c r="G768" s="160"/>
      <c r="H768" s="15"/>
      <c r="I768" s="16"/>
      <c r="J768" s="16"/>
      <c r="K768" s="16"/>
      <c r="L768" s="16"/>
      <c r="M768" s="16"/>
      <c r="N768" s="16"/>
      <c r="O768" s="17"/>
      <c r="P768" s="16"/>
      <c r="Q768" s="18"/>
      <c r="R768" s="19"/>
    </row>
    <row r="769" spans="1:18" ht="17.399999999999999" customHeight="1" thickBot="1" x14ac:dyDescent="0.35">
      <c r="A769" s="164"/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6"/>
    </row>
    <row r="770" spans="1:18" ht="22.05" customHeight="1" thickTop="1" thickBot="1" x14ac:dyDescent="0.35">
      <c r="A770" s="161" t="s">
        <v>6</v>
      </c>
      <c r="B770" s="162"/>
      <c r="C770" s="162"/>
      <c r="D770" s="162"/>
      <c r="E770" s="162"/>
      <c r="F770" s="163"/>
      <c r="G770" s="102">
        <v>46038</v>
      </c>
      <c r="H770" s="167" t="s">
        <v>7</v>
      </c>
      <c r="I770" s="162"/>
      <c r="J770" s="162"/>
      <c r="K770" s="162"/>
      <c r="L770" s="162"/>
      <c r="M770" s="162"/>
      <c r="N770" s="162"/>
      <c r="O770" s="162"/>
      <c r="P770" s="162"/>
      <c r="Q770" s="162"/>
      <c r="R770" s="163"/>
    </row>
    <row r="771" spans="1:18" ht="24" customHeight="1" x14ac:dyDescent="0.3">
      <c r="A771" s="20" t="s">
        <v>8</v>
      </c>
      <c r="B771" s="20" t="s">
        <v>9</v>
      </c>
      <c r="C771" s="103" t="s">
        <v>10</v>
      </c>
      <c r="D771" s="20" t="s">
        <v>11</v>
      </c>
      <c r="E771" s="20" t="s">
        <v>12</v>
      </c>
      <c r="F771" s="21" t="s">
        <v>13</v>
      </c>
      <c r="G771" s="22" t="s">
        <v>14</v>
      </c>
      <c r="H771" s="20" t="s">
        <v>15</v>
      </c>
      <c r="I771" s="104" t="s">
        <v>16</v>
      </c>
      <c r="J771" s="23" t="s">
        <v>17</v>
      </c>
      <c r="K771" s="24" t="s">
        <v>18</v>
      </c>
      <c r="L771" s="23" t="s">
        <v>19</v>
      </c>
      <c r="M771" s="23" t="s">
        <v>20</v>
      </c>
      <c r="N771" s="23" t="s">
        <v>21</v>
      </c>
      <c r="O771" s="20" t="s">
        <v>22</v>
      </c>
      <c r="P771" s="103" t="s">
        <v>23</v>
      </c>
      <c r="Q771" s="23" t="s">
        <v>24</v>
      </c>
      <c r="R771" s="20" t="s">
        <v>25</v>
      </c>
    </row>
    <row r="772" spans="1:18" ht="15" customHeight="1" x14ac:dyDescent="0.3">
      <c r="A772" s="8" t="s">
        <v>31</v>
      </c>
      <c r="B772" s="8" t="s">
        <v>58</v>
      </c>
      <c r="C772" s="100">
        <v>0.1701388888888889</v>
      </c>
      <c r="D772" s="8" t="s">
        <v>94</v>
      </c>
      <c r="E772" s="8" t="s">
        <v>29</v>
      </c>
      <c r="F772" s="8" t="s">
        <v>168</v>
      </c>
      <c r="G772" s="158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27" t="s">
        <v>31</v>
      </c>
      <c r="B773" s="27" t="s">
        <v>32</v>
      </c>
      <c r="C773" s="107">
        <v>0.86458333333333337</v>
      </c>
      <c r="D773" s="27" t="s">
        <v>94</v>
      </c>
      <c r="E773" s="27" t="s">
        <v>29</v>
      </c>
      <c r="F773" s="27" t="s">
        <v>169</v>
      </c>
      <c r="G773" s="159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27" t="s">
        <v>31</v>
      </c>
      <c r="B774" s="27" t="s">
        <v>62</v>
      </c>
      <c r="C774" s="107">
        <v>0.52777777777777779</v>
      </c>
      <c r="D774" s="27" t="s">
        <v>94</v>
      </c>
      <c r="E774" s="27" t="s">
        <v>29</v>
      </c>
      <c r="F774" s="27" t="s">
        <v>223</v>
      </c>
      <c r="G774" s="159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26" t="s">
        <v>79</v>
      </c>
      <c r="B775" s="26" t="s">
        <v>119</v>
      </c>
      <c r="C775" s="106">
        <v>0.21527777777777779</v>
      </c>
      <c r="D775" s="26" t="s">
        <v>156</v>
      </c>
      <c r="E775" s="26" t="s">
        <v>95</v>
      </c>
      <c r="F775" s="26" t="s">
        <v>154</v>
      </c>
      <c r="G775" s="159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26" t="s">
        <v>35</v>
      </c>
      <c r="B776" s="26" t="s">
        <v>36</v>
      </c>
      <c r="C776" s="106">
        <v>0.30555555555555558</v>
      </c>
      <c r="D776" s="26" t="s">
        <v>37</v>
      </c>
      <c r="E776" s="26" t="s">
        <v>118</v>
      </c>
      <c r="F776" s="26" t="s">
        <v>55</v>
      </c>
      <c r="G776" s="159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25" t="s">
        <v>35</v>
      </c>
      <c r="B777" s="25" t="s">
        <v>36</v>
      </c>
      <c r="C777" s="105">
        <v>0.30555555555555558</v>
      </c>
      <c r="D777" s="25" t="s">
        <v>40</v>
      </c>
      <c r="E777" s="25" t="s">
        <v>118</v>
      </c>
      <c r="F777" s="25" t="s">
        <v>179</v>
      </c>
      <c r="G777" s="159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25" t="s">
        <v>35</v>
      </c>
      <c r="B778" s="25" t="s">
        <v>36</v>
      </c>
      <c r="C778" s="105">
        <v>0.30555555555555558</v>
      </c>
      <c r="D778" s="25" t="s">
        <v>42</v>
      </c>
      <c r="E778" s="25" t="s">
        <v>118</v>
      </c>
      <c r="F778" s="25" t="s">
        <v>85</v>
      </c>
      <c r="G778" s="159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26" t="s">
        <v>44</v>
      </c>
      <c r="B779" s="26" t="s">
        <v>53</v>
      </c>
      <c r="C779" s="106">
        <v>0.83680555555555558</v>
      </c>
      <c r="D779" s="26" t="s">
        <v>46</v>
      </c>
      <c r="E779" s="26" t="s">
        <v>95</v>
      </c>
      <c r="F779" s="26" t="s">
        <v>178</v>
      </c>
      <c r="G779" s="159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25" t="s">
        <v>44</v>
      </c>
      <c r="B780" s="25" t="s">
        <v>53</v>
      </c>
      <c r="C780" s="105">
        <v>0.83680555555555558</v>
      </c>
      <c r="D780" s="25" t="s">
        <v>49</v>
      </c>
      <c r="E780" s="25" t="s">
        <v>95</v>
      </c>
      <c r="F780" s="25" t="s">
        <v>179</v>
      </c>
      <c r="G780" s="159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25" t="s">
        <v>44</v>
      </c>
      <c r="B781" s="25" t="s">
        <v>53</v>
      </c>
      <c r="C781" s="105">
        <v>0.83680555555555558</v>
      </c>
      <c r="D781" s="25" t="s">
        <v>51</v>
      </c>
      <c r="E781" s="25" t="s">
        <v>95</v>
      </c>
      <c r="F781" s="25" t="s">
        <v>180</v>
      </c>
      <c r="G781" s="159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26" t="s">
        <v>26</v>
      </c>
      <c r="B782" s="26" t="s">
        <v>27</v>
      </c>
      <c r="C782" s="106">
        <v>0.95833333333333337</v>
      </c>
      <c r="D782" s="26" t="s">
        <v>156</v>
      </c>
      <c r="E782" s="26" t="s">
        <v>157</v>
      </c>
      <c r="F782" s="26" t="s">
        <v>126</v>
      </c>
      <c r="G782" s="159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52" t="s">
        <v>63</v>
      </c>
      <c r="B783" s="52" t="s">
        <v>64</v>
      </c>
      <c r="C783" s="120">
        <v>0.57986111111111116</v>
      </c>
      <c r="D783" s="52" t="s">
        <v>156</v>
      </c>
      <c r="E783" s="52" t="s">
        <v>60</v>
      </c>
      <c r="F783" s="52" t="s">
        <v>106</v>
      </c>
      <c r="G783" s="159"/>
      <c r="H783" s="53" t="s">
        <v>66</v>
      </c>
      <c r="I783" s="121">
        <v>0.1333</v>
      </c>
      <c r="J783" s="54">
        <v>22</v>
      </c>
      <c r="K783" s="55">
        <v>46355</v>
      </c>
      <c r="L783" s="54">
        <v>22</v>
      </c>
      <c r="M783" s="54">
        <v>0</v>
      </c>
      <c r="N783" s="54">
        <v>0</v>
      </c>
      <c r="O783" s="56" t="s">
        <v>181</v>
      </c>
      <c r="P783" s="122">
        <v>0.57986111111111116</v>
      </c>
      <c r="Q783" s="54">
        <v>165</v>
      </c>
      <c r="R783" s="57" t="s">
        <v>224</v>
      </c>
    </row>
    <row r="784" spans="1:18" ht="15" customHeight="1" thickBot="1" x14ac:dyDescent="0.35">
      <c r="A784" s="14" t="s">
        <v>69</v>
      </c>
      <c r="B784" s="14" t="s">
        <v>70</v>
      </c>
      <c r="C784" s="101">
        <v>0.30555555555555558</v>
      </c>
      <c r="D784" s="14" t="s">
        <v>71</v>
      </c>
      <c r="E784" s="14" t="s">
        <v>72</v>
      </c>
      <c r="F784" s="14" t="s">
        <v>175</v>
      </c>
      <c r="G784" s="160"/>
      <c r="H784" s="15"/>
      <c r="I784" s="16"/>
      <c r="J784" s="16"/>
      <c r="K784" s="16"/>
      <c r="L784" s="16"/>
      <c r="M784" s="16"/>
      <c r="N784" s="16"/>
      <c r="O784" s="17"/>
      <c r="P784" s="16"/>
      <c r="Q784" s="18"/>
      <c r="R784" s="19"/>
    </row>
    <row r="785" spans="1:18" ht="17.399999999999999" customHeight="1" thickBot="1" x14ac:dyDescent="0.35">
      <c r="A785" s="164"/>
      <c r="B785" s="165"/>
      <c r="C785" s="165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6"/>
    </row>
    <row r="786" spans="1:18" ht="22.05" customHeight="1" thickTop="1" thickBot="1" x14ac:dyDescent="0.35">
      <c r="A786" s="161" t="s">
        <v>6</v>
      </c>
      <c r="B786" s="162"/>
      <c r="C786" s="162"/>
      <c r="D786" s="162"/>
      <c r="E786" s="162"/>
      <c r="F786" s="163"/>
      <c r="G786" s="102">
        <v>46039</v>
      </c>
      <c r="H786" s="167" t="s">
        <v>7</v>
      </c>
      <c r="I786" s="162"/>
      <c r="J786" s="162"/>
      <c r="K786" s="162"/>
      <c r="L786" s="162"/>
      <c r="M786" s="162"/>
      <c r="N786" s="162"/>
      <c r="O786" s="162"/>
      <c r="P786" s="162"/>
      <c r="Q786" s="162"/>
      <c r="R786" s="163"/>
    </row>
    <row r="787" spans="1:18" ht="24" customHeight="1" x14ac:dyDescent="0.3">
      <c r="A787" s="20" t="s">
        <v>8</v>
      </c>
      <c r="B787" s="20" t="s">
        <v>9</v>
      </c>
      <c r="C787" s="103" t="s">
        <v>10</v>
      </c>
      <c r="D787" s="20" t="s">
        <v>11</v>
      </c>
      <c r="E787" s="20" t="s">
        <v>12</v>
      </c>
      <c r="F787" s="21" t="s">
        <v>13</v>
      </c>
      <c r="G787" s="22" t="s">
        <v>14</v>
      </c>
      <c r="H787" s="20" t="s">
        <v>15</v>
      </c>
      <c r="I787" s="104" t="s">
        <v>16</v>
      </c>
      <c r="J787" s="23" t="s">
        <v>17</v>
      </c>
      <c r="K787" s="24" t="s">
        <v>18</v>
      </c>
      <c r="L787" s="23" t="s">
        <v>19</v>
      </c>
      <c r="M787" s="23" t="s">
        <v>20</v>
      </c>
      <c r="N787" s="23" t="s">
        <v>21</v>
      </c>
      <c r="O787" s="20" t="s">
        <v>22</v>
      </c>
      <c r="P787" s="103" t="s">
        <v>23</v>
      </c>
      <c r="Q787" s="23" t="s">
        <v>24</v>
      </c>
      <c r="R787" s="20" t="s">
        <v>25</v>
      </c>
    </row>
    <row r="788" spans="1:18" ht="15" customHeight="1" x14ac:dyDescent="0.3">
      <c r="A788" s="8" t="s">
        <v>31</v>
      </c>
      <c r="B788" s="8" t="s">
        <v>58</v>
      </c>
      <c r="C788" s="100">
        <v>0.1701388888888889</v>
      </c>
      <c r="D788" s="8" t="s">
        <v>94</v>
      </c>
      <c r="E788" s="8" t="s">
        <v>29</v>
      </c>
      <c r="F788" s="8" t="s">
        <v>168</v>
      </c>
      <c r="G788" s="158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27" t="s">
        <v>31</v>
      </c>
      <c r="B789" s="27" t="s">
        <v>32</v>
      </c>
      <c r="C789" s="107">
        <v>0.86458333333333337</v>
      </c>
      <c r="D789" s="27" t="s">
        <v>94</v>
      </c>
      <c r="E789" s="27" t="s">
        <v>29</v>
      </c>
      <c r="F789" s="27" t="s">
        <v>169</v>
      </c>
      <c r="G789" s="159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27" t="s">
        <v>31</v>
      </c>
      <c r="B790" s="27" t="s">
        <v>62</v>
      </c>
      <c r="C790" s="107">
        <v>0.52777777777777779</v>
      </c>
      <c r="D790" s="27" t="s">
        <v>94</v>
      </c>
      <c r="E790" s="27" t="s">
        <v>29</v>
      </c>
      <c r="F790" s="27" t="s">
        <v>169</v>
      </c>
      <c r="G790" s="159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26" t="s">
        <v>79</v>
      </c>
      <c r="B791" s="26" t="s">
        <v>80</v>
      </c>
      <c r="C791" s="106">
        <v>0.54861111111111116</v>
      </c>
      <c r="D791" s="26" t="s">
        <v>156</v>
      </c>
      <c r="E791" s="26" t="s">
        <v>135</v>
      </c>
      <c r="F791" s="26" t="s">
        <v>154</v>
      </c>
      <c r="G791" s="159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26" t="s">
        <v>35</v>
      </c>
      <c r="B792" s="26" t="s">
        <v>36</v>
      </c>
      <c r="C792" s="106">
        <v>0.30555555555555558</v>
      </c>
      <c r="D792" s="26" t="s">
        <v>37</v>
      </c>
      <c r="E792" s="26" t="s">
        <v>118</v>
      </c>
      <c r="F792" s="26" t="s">
        <v>55</v>
      </c>
      <c r="G792" s="159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25" t="s">
        <v>35</v>
      </c>
      <c r="B793" s="25" t="s">
        <v>36</v>
      </c>
      <c r="C793" s="105">
        <v>0.30555555555555558</v>
      </c>
      <c r="D793" s="25" t="s">
        <v>40</v>
      </c>
      <c r="E793" s="25" t="s">
        <v>118</v>
      </c>
      <c r="F793" s="25" t="s">
        <v>179</v>
      </c>
      <c r="G793" s="159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25" t="s">
        <v>35</v>
      </c>
      <c r="B794" s="25" t="s">
        <v>36</v>
      </c>
      <c r="C794" s="105">
        <v>0.30555555555555558</v>
      </c>
      <c r="D794" s="25" t="s">
        <v>42</v>
      </c>
      <c r="E794" s="25" t="s">
        <v>118</v>
      </c>
      <c r="F794" s="25" t="s">
        <v>85</v>
      </c>
      <c r="G794" s="159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26" t="s">
        <v>74</v>
      </c>
      <c r="B795" s="26" t="s">
        <v>75</v>
      </c>
      <c r="C795" s="106">
        <v>0.97222222222222221</v>
      </c>
      <c r="D795" s="26" t="s">
        <v>76</v>
      </c>
      <c r="E795" s="26" t="s">
        <v>47</v>
      </c>
      <c r="F795" s="26" t="s">
        <v>225</v>
      </c>
      <c r="G795" s="159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25" t="s">
        <v>74</v>
      </c>
      <c r="B796" s="25" t="s">
        <v>75</v>
      </c>
      <c r="C796" s="105">
        <v>0.97222222222222221</v>
      </c>
      <c r="D796" s="25" t="s">
        <v>42</v>
      </c>
      <c r="E796" s="25" t="s">
        <v>47</v>
      </c>
      <c r="F796" s="25" t="s">
        <v>226</v>
      </c>
      <c r="G796" s="159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26" t="s">
        <v>44</v>
      </c>
      <c r="B797" s="26" t="s">
        <v>53</v>
      </c>
      <c r="C797" s="106">
        <v>0.83680555555555558</v>
      </c>
      <c r="D797" s="26" t="s">
        <v>46</v>
      </c>
      <c r="E797" s="26" t="s">
        <v>72</v>
      </c>
      <c r="F797" s="26" t="s">
        <v>178</v>
      </c>
      <c r="G797" s="159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25" t="s">
        <v>44</v>
      </c>
      <c r="B798" s="25" t="s">
        <v>53</v>
      </c>
      <c r="C798" s="105">
        <v>0.83680555555555558</v>
      </c>
      <c r="D798" s="25" t="s">
        <v>49</v>
      </c>
      <c r="E798" s="25" t="s">
        <v>72</v>
      </c>
      <c r="F798" s="25" t="s">
        <v>179</v>
      </c>
      <c r="G798" s="159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25" t="s">
        <v>44</v>
      </c>
      <c r="B799" s="25" t="s">
        <v>53</v>
      </c>
      <c r="C799" s="105">
        <v>0.83680555555555558</v>
      </c>
      <c r="D799" s="25" t="s">
        <v>51</v>
      </c>
      <c r="E799" s="25" t="s">
        <v>72</v>
      </c>
      <c r="F799" s="25" t="s">
        <v>180</v>
      </c>
      <c r="G799" s="159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27" t="s">
        <v>44</v>
      </c>
      <c r="B800" s="27" t="s">
        <v>45</v>
      </c>
      <c r="C800" s="107">
        <v>0.2013888888888889</v>
      </c>
      <c r="D800" s="27" t="s">
        <v>46</v>
      </c>
      <c r="E800" s="27" t="s">
        <v>95</v>
      </c>
      <c r="F800" s="27" t="s">
        <v>178</v>
      </c>
      <c r="G800" s="159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25" t="s">
        <v>44</v>
      </c>
      <c r="B801" s="25" t="s">
        <v>45</v>
      </c>
      <c r="C801" s="105">
        <v>0.2013888888888889</v>
      </c>
      <c r="D801" s="25" t="s">
        <v>49</v>
      </c>
      <c r="E801" s="25" t="s">
        <v>95</v>
      </c>
      <c r="F801" s="25" t="s">
        <v>179</v>
      </c>
      <c r="G801" s="159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25" t="s">
        <v>44</v>
      </c>
      <c r="B802" s="25" t="s">
        <v>45</v>
      </c>
      <c r="C802" s="105">
        <v>0.2013888888888889</v>
      </c>
      <c r="D802" s="25" t="s">
        <v>51</v>
      </c>
      <c r="E802" s="25" t="s">
        <v>95</v>
      </c>
      <c r="F802" s="25" t="s">
        <v>180</v>
      </c>
      <c r="G802" s="159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26" t="s">
        <v>26</v>
      </c>
      <c r="B803" s="26" t="s">
        <v>57</v>
      </c>
      <c r="C803" s="106">
        <v>0.89583333333333337</v>
      </c>
      <c r="D803" s="26" t="s">
        <v>156</v>
      </c>
      <c r="E803" s="26" t="s">
        <v>60</v>
      </c>
      <c r="F803" s="26" t="s">
        <v>126</v>
      </c>
      <c r="G803" s="159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34" t="s">
        <v>63</v>
      </c>
      <c r="B804" s="34" t="s">
        <v>64</v>
      </c>
      <c r="C804" s="111">
        <v>0.92361111111111116</v>
      </c>
      <c r="D804" s="34" t="s">
        <v>156</v>
      </c>
      <c r="E804" s="34" t="s">
        <v>121</v>
      </c>
      <c r="F804" s="34" t="s">
        <v>65</v>
      </c>
      <c r="G804" s="159"/>
      <c r="H804" s="35" t="s">
        <v>66</v>
      </c>
      <c r="I804" s="112">
        <v>8.9300000000000004E-2</v>
      </c>
      <c r="J804" s="36">
        <v>15</v>
      </c>
      <c r="K804" s="37">
        <v>46355</v>
      </c>
      <c r="L804" s="36">
        <v>15</v>
      </c>
      <c r="M804" s="36">
        <v>0</v>
      </c>
      <c r="N804" s="36">
        <v>0</v>
      </c>
      <c r="O804" s="38" t="s">
        <v>227</v>
      </c>
      <c r="P804" s="113">
        <v>0.92361111111111116</v>
      </c>
      <c r="Q804" s="36">
        <v>168</v>
      </c>
      <c r="R804" s="39" t="s">
        <v>228</v>
      </c>
    </row>
    <row r="805" spans="1:18" ht="15" customHeight="1" thickBot="1" x14ac:dyDescent="0.35">
      <c r="A805" s="14" t="s">
        <v>69</v>
      </c>
      <c r="B805" s="14" t="s">
        <v>70</v>
      </c>
      <c r="C805" s="101">
        <v>0.30555555555555558</v>
      </c>
      <c r="D805" s="14" t="s">
        <v>71</v>
      </c>
      <c r="E805" s="14" t="s">
        <v>72</v>
      </c>
      <c r="F805" s="14" t="s">
        <v>175</v>
      </c>
      <c r="G805" s="160"/>
      <c r="H805" s="15"/>
      <c r="I805" s="16"/>
      <c r="J805" s="16"/>
      <c r="K805" s="16"/>
      <c r="L805" s="16"/>
      <c r="M805" s="16"/>
      <c r="N805" s="16"/>
      <c r="O805" s="17"/>
      <c r="P805" s="16"/>
      <c r="Q805" s="18"/>
      <c r="R805" s="19"/>
    </row>
    <row r="806" spans="1:18" ht="17.399999999999999" customHeight="1" thickBot="1" x14ac:dyDescent="0.35">
      <c r="A806" s="164"/>
      <c r="B806" s="165"/>
      <c r="C806" s="165"/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6"/>
    </row>
    <row r="807" spans="1:18" ht="22.05" customHeight="1" thickTop="1" thickBot="1" x14ac:dyDescent="0.35">
      <c r="A807" s="161" t="s">
        <v>6</v>
      </c>
      <c r="B807" s="162"/>
      <c r="C807" s="162"/>
      <c r="D807" s="162"/>
      <c r="E807" s="162"/>
      <c r="F807" s="163"/>
      <c r="G807" s="102">
        <v>46040</v>
      </c>
      <c r="H807" s="167" t="s">
        <v>7</v>
      </c>
      <c r="I807" s="162"/>
      <c r="J807" s="162"/>
      <c r="K807" s="162"/>
      <c r="L807" s="162"/>
      <c r="M807" s="162"/>
      <c r="N807" s="162"/>
      <c r="O807" s="162"/>
      <c r="P807" s="162"/>
      <c r="Q807" s="162"/>
      <c r="R807" s="163"/>
    </row>
    <row r="808" spans="1:18" ht="24" customHeight="1" x14ac:dyDescent="0.3">
      <c r="A808" s="20" t="s">
        <v>8</v>
      </c>
      <c r="B808" s="20" t="s">
        <v>9</v>
      </c>
      <c r="C808" s="103" t="s">
        <v>10</v>
      </c>
      <c r="D808" s="20" t="s">
        <v>11</v>
      </c>
      <c r="E808" s="20" t="s">
        <v>12</v>
      </c>
      <c r="F808" s="21" t="s">
        <v>13</v>
      </c>
      <c r="G808" s="22" t="s">
        <v>14</v>
      </c>
      <c r="H808" s="20" t="s">
        <v>15</v>
      </c>
      <c r="I808" s="104" t="s">
        <v>16</v>
      </c>
      <c r="J808" s="23" t="s">
        <v>17</v>
      </c>
      <c r="K808" s="24" t="s">
        <v>18</v>
      </c>
      <c r="L808" s="23" t="s">
        <v>19</v>
      </c>
      <c r="M808" s="23" t="s">
        <v>20</v>
      </c>
      <c r="N808" s="23" t="s">
        <v>21</v>
      </c>
      <c r="O808" s="20" t="s">
        <v>22</v>
      </c>
      <c r="P808" s="103" t="s">
        <v>23</v>
      </c>
      <c r="Q808" s="23" t="s">
        <v>24</v>
      </c>
      <c r="R808" s="20" t="s">
        <v>25</v>
      </c>
    </row>
    <row r="809" spans="1:18" ht="15" customHeight="1" x14ac:dyDescent="0.3">
      <c r="A809" s="8" t="s">
        <v>31</v>
      </c>
      <c r="B809" s="8" t="s">
        <v>58</v>
      </c>
      <c r="C809" s="100">
        <v>0.1701388888888889</v>
      </c>
      <c r="D809" s="8" t="s">
        <v>94</v>
      </c>
      <c r="E809" s="8" t="s">
        <v>29</v>
      </c>
      <c r="F809" s="8" t="s">
        <v>168</v>
      </c>
      <c r="G809" s="158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27" t="s">
        <v>31</v>
      </c>
      <c r="B810" s="27" t="s">
        <v>32</v>
      </c>
      <c r="C810" s="107">
        <v>0.86458333333333337</v>
      </c>
      <c r="D810" s="27" t="s">
        <v>94</v>
      </c>
      <c r="E810" s="27" t="s">
        <v>29</v>
      </c>
      <c r="F810" s="27" t="s">
        <v>169</v>
      </c>
      <c r="G810" s="159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27" t="s">
        <v>31</v>
      </c>
      <c r="B811" s="27" t="s">
        <v>62</v>
      </c>
      <c r="C811" s="107">
        <v>0.52777777777777779</v>
      </c>
      <c r="D811" s="27" t="s">
        <v>94</v>
      </c>
      <c r="E811" s="27" t="s">
        <v>29</v>
      </c>
      <c r="F811" s="27" t="s">
        <v>169</v>
      </c>
      <c r="G811" s="159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26" t="s">
        <v>79</v>
      </c>
      <c r="B812" s="26" t="s">
        <v>119</v>
      </c>
      <c r="C812" s="106">
        <v>0.21527777777777779</v>
      </c>
      <c r="D812" s="26" t="s">
        <v>156</v>
      </c>
      <c r="E812" s="26" t="s">
        <v>60</v>
      </c>
      <c r="F812" s="26" t="s">
        <v>154</v>
      </c>
      <c r="G812" s="159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26" t="s">
        <v>35</v>
      </c>
      <c r="B813" s="26" t="s">
        <v>36</v>
      </c>
      <c r="C813" s="106">
        <v>0.30555555555555558</v>
      </c>
      <c r="D813" s="26" t="s">
        <v>37</v>
      </c>
      <c r="E813" s="26" t="s">
        <v>118</v>
      </c>
      <c r="F813" s="26" t="s">
        <v>55</v>
      </c>
      <c r="G813" s="159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25" t="s">
        <v>35</v>
      </c>
      <c r="B814" s="25" t="s">
        <v>36</v>
      </c>
      <c r="C814" s="105">
        <v>0.30555555555555558</v>
      </c>
      <c r="D814" s="25" t="s">
        <v>40</v>
      </c>
      <c r="E814" s="25" t="s">
        <v>118</v>
      </c>
      <c r="F814" s="25" t="s">
        <v>179</v>
      </c>
      <c r="G814" s="159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25" t="s">
        <v>35</v>
      </c>
      <c r="B815" s="25" t="s">
        <v>36</v>
      </c>
      <c r="C815" s="105">
        <v>0.30555555555555558</v>
      </c>
      <c r="D815" s="25" t="s">
        <v>42</v>
      </c>
      <c r="E815" s="25" t="s">
        <v>118</v>
      </c>
      <c r="F815" s="25" t="s">
        <v>85</v>
      </c>
      <c r="G815" s="159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26" t="s">
        <v>44</v>
      </c>
      <c r="B816" s="26" t="s">
        <v>53</v>
      </c>
      <c r="C816" s="106">
        <v>0.83680555555555558</v>
      </c>
      <c r="D816" s="26" t="s">
        <v>46</v>
      </c>
      <c r="E816" s="26" t="s">
        <v>135</v>
      </c>
      <c r="F816" s="26" t="s">
        <v>178</v>
      </c>
      <c r="G816" s="159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25" t="s">
        <v>44</v>
      </c>
      <c r="B817" s="25" t="s">
        <v>53</v>
      </c>
      <c r="C817" s="105">
        <v>0.83680555555555558</v>
      </c>
      <c r="D817" s="25" t="s">
        <v>49</v>
      </c>
      <c r="E817" s="25" t="s">
        <v>135</v>
      </c>
      <c r="F817" s="25" t="s">
        <v>179</v>
      </c>
      <c r="G817" s="159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25" t="s">
        <v>44</v>
      </c>
      <c r="B818" s="25" t="s">
        <v>53</v>
      </c>
      <c r="C818" s="105">
        <v>0.83680555555555558</v>
      </c>
      <c r="D818" s="25" t="s">
        <v>51</v>
      </c>
      <c r="E818" s="25" t="s">
        <v>135</v>
      </c>
      <c r="F818" s="25" t="s">
        <v>180</v>
      </c>
      <c r="G818" s="159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26" t="s">
        <v>26</v>
      </c>
      <c r="B819" s="26" t="s">
        <v>93</v>
      </c>
      <c r="C819" s="106">
        <v>0.95833333333333337</v>
      </c>
      <c r="D819" s="26" t="s">
        <v>156</v>
      </c>
      <c r="E819" s="26" t="s">
        <v>135</v>
      </c>
      <c r="F819" s="26" t="s">
        <v>126</v>
      </c>
      <c r="G819" s="159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thickBot="1" x14ac:dyDescent="0.35">
      <c r="A820" s="14" t="s">
        <v>69</v>
      </c>
      <c r="B820" s="14" t="s">
        <v>70</v>
      </c>
      <c r="C820" s="101">
        <v>0.30555555555555558</v>
      </c>
      <c r="D820" s="14" t="s">
        <v>71</v>
      </c>
      <c r="E820" s="14" t="s">
        <v>72</v>
      </c>
      <c r="F820" s="14" t="s">
        <v>175</v>
      </c>
      <c r="G820" s="160"/>
      <c r="H820" s="15"/>
      <c r="I820" s="16"/>
      <c r="J820" s="16"/>
      <c r="K820" s="16"/>
      <c r="L820" s="16"/>
      <c r="M820" s="16"/>
      <c r="N820" s="16"/>
      <c r="O820" s="17"/>
      <c r="P820" s="16"/>
      <c r="Q820" s="18"/>
      <c r="R820" s="19"/>
    </row>
    <row r="821" spans="1:18" ht="17.399999999999999" customHeight="1" thickBot="1" x14ac:dyDescent="0.35">
      <c r="A821" s="164"/>
      <c r="B821" s="165"/>
      <c r="C821" s="165"/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6"/>
    </row>
    <row r="822" spans="1:18" ht="22.05" customHeight="1" thickTop="1" thickBot="1" x14ac:dyDescent="0.35">
      <c r="A822" s="161" t="s">
        <v>6</v>
      </c>
      <c r="B822" s="162"/>
      <c r="C822" s="162"/>
      <c r="D822" s="162"/>
      <c r="E822" s="162"/>
      <c r="F822" s="163"/>
      <c r="G822" s="102">
        <v>46041</v>
      </c>
      <c r="H822" s="167" t="s">
        <v>7</v>
      </c>
      <c r="I822" s="162"/>
      <c r="J822" s="162"/>
      <c r="K822" s="162"/>
      <c r="L822" s="162"/>
      <c r="M822" s="162"/>
      <c r="N822" s="162"/>
      <c r="O822" s="162"/>
      <c r="P822" s="162"/>
      <c r="Q822" s="162"/>
      <c r="R822" s="163"/>
    </row>
    <row r="823" spans="1:18" ht="24" customHeight="1" x14ac:dyDescent="0.3">
      <c r="A823" s="20" t="s">
        <v>8</v>
      </c>
      <c r="B823" s="20" t="s">
        <v>9</v>
      </c>
      <c r="C823" s="103" t="s">
        <v>10</v>
      </c>
      <c r="D823" s="20" t="s">
        <v>11</v>
      </c>
      <c r="E823" s="20" t="s">
        <v>12</v>
      </c>
      <c r="F823" s="21" t="s">
        <v>13</v>
      </c>
      <c r="G823" s="22" t="s">
        <v>14</v>
      </c>
      <c r="H823" s="20" t="s">
        <v>15</v>
      </c>
      <c r="I823" s="104" t="s">
        <v>16</v>
      </c>
      <c r="J823" s="23" t="s">
        <v>17</v>
      </c>
      <c r="K823" s="24" t="s">
        <v>18</v>
      </c>
      <c r="L823" s="23" t="s">
        <v>19</v>
      </c>
      <c r="M823" s="23" t="s">
        <v>20</v>
      </c>
      <c r="N823" s="23" t="s">
        <v>21</v>
      </c>
      <c r="O823" s="20" t="s">
        <v>22</v>
      </c>
      <c r="P823" s="103" t="s">
        <v>23</v>
      </c>
      <c r="Q823" s="23" t="s">
        <v>24</v>
      </c>
      <c r="R823" s="20" t="s">
        <v>25</v>
      </c>
    </row>
    <row r="824" spans="1:18" ht="15" customHeight="1" x14ac:dyDescent="0.3">
      <c r="A824" s="8" t="s">
        <v>31</v>
      </c>
      <c r="B824" s="8" t="s">
        <v>58</v>
      </c>
      <c r="C824" s="100">
        <v>0.1701388888888889</v>
      </c>
      <c r="D824" s="8" t="s">
        <v>94</v>
      </c>
      <c r="E824" s="8" t="s">
        <v>29</v>
      </c>
      <c r="F824" s="8" t="s">
        <v>168</v>
      </c>
      <c r="G824" s="158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27" t="s">
        <v>31</v>
      </c>
      <c r="B825" s="27" t="s">
        <v>32</v>
      </c>
      <c r="C825" s="107">
        <v>0.86458333333333337</v>
      </c>
      <c r="D825" s="27" t="s">
        <v>94</v>
      </c>
      <c r="E825" s="27" t="s">
        <v>29</v>
      </c>
      <c r="F825" s="27" t="s">
        <v>169</v>
      </c>
      <c r="G825" s="159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27" t="s">
        <v>31</v>
      </c>
      <c r="B826" s="27" t="s">
        <v>62</v>
      </c>
      <c r="C826" s="107">
        <v>0.52777777777777779</v>
      </c>
      <c r="D826" s="27" t="s">
        <v>94</v>
      </c>
      <c r="E826" s="27" t="s">
        <v>29</v>
      </c>
      <c r="F826" s="27" t="s">
        <v>169</v>
      </c>
      <c r="G826" s="159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26" t="s">
        <v>79</v>
      </c>
      <c r="B827" s="26" t="s">
        <v>150</v>
      </c>
      <c r="C827" s="106">
        <v>0.12847222222222221</v>
      </c>
      <c r="D827" s="26" t="s">
        <v>156</v>
      </c>
      <c r="E827" s="26" t="s">
        <v>157</v>
      </c>
      <c r="F827" s="26" t="s">
        <v>154</v>
      </c>
      <c r="G827" s="159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26" t="s">
        <v>35</v>
      </c>
      <c r="B828" s="26" t="s">
        <v>36</v>
      </c>
      <c r="C828" s="106">
        <v>0.30555555555555558</v>
      </c>
      <c r="D828" s="26" t="s">
        <v>37</v>
      </c>
      <c r="E828" s="26" t="s">
        <v>118</v>
      </c>
      <c r="F828" s="26" t="s">
        <v>55</v>
      </c>
      <c r="G828" s="159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25" t="s">
        <v>35</v>
      </c>
      <c r="B829" s="25" t="s">
        <v>36</v>
      </c>
      <c r="C829" s="105">
        <v>0.30555555555555558</v>
      </c>
      <c r="D829" s="25" t="s">
        <v>40</v>
      </c>
      <c r="E829" s="25" t="s">
        <v>118</v>
      </c>
      <c r="F829" s="25" t="s">
        <v>179</v>
      </c>
      <c r="G829" s="159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25" t="s">
        <v>35</v>
      </c>
      <c r="B830" s="25" t="s">
        <v>36</v>
      </c>
      <c r="C830" s="105">
        <v>0.30555555555555558</v>
      </c>
      <c r="D830" s="25" t="s">
        <v>42</v>
      </c>
      <c r="E830" s="25" t="s">
        <v>118</v>
      </c>
      <c r="F830" s="25" t="s">
        <v>85</v>
      </c>
      <c r="G830" s="159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26" t="s">
        <v>44</v>
      </c>
      <c r="B831" s="26" t="s">
        <v>53</v>
      </c>
      <c r="C831" s="106">
        <v>0.83680555555555558</v>
      </c>
      <c r="D831" s="26" t="s">
        <v>46</v>
      </c>
      <c r="E831" s="26" t="s">
        <v>95</v>
      </c>
      <c r="F831" s="26" t="s">
        <v>178</v>
      </c>
      <c r="G831" s="159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25" t="s">
        <v>44</v>
      </c>
      <c r="B832" s="25" t="s">
        <v>53</v>
      </c>
      <c r="C832" s="105">
        <v>0.83680555555555558</v>
      </c>
      <c r="D832" s="25" t="s">
        <v>49</v>
      </c>
      <c r="E832" s="25" t="s">
        <v>95</v>
      </c>
      <c r="F832" s="25" t="s">
        <v>179</v>
      </c>
      <c r="G832" s="159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25" t="s">
        <v>44</v>
      </c>
      <c r="B833" s="25" t="s">
        <v>53</v>
      </c>
      <c r="C833" s="105">
        <v>0.83680555555555558</v>
      </c>
      <c r="D833" s="25" t="s">
        <v>51</v>
      </c>
      <c r="E833" s="25" t="s">
        <v>95</v>
      </c>
      <c r="F833" s="25" t="s">
        <v>180</v>
      </c>
      <c r="G833" s="159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27" t="s">
        <v>44</v>
      </c>
      <c r="B834" s="27" t="s">
        <v>45</v>
      </c>
      <c r="C834" s="107">
        <v>0.2013888888888889</v>
      </c>
      <c r="D834" s="27" t="s">
        <v>46</v>
      </c>
      <c r="E834" s="27" t="s">
        <v>95</v>
      </c>
      <c r="F834" s="27" t="s">
        <v>178</v>
      </c>
      <c r="G834" s="159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25" t="s">
        <v>44</v>
      </c>
      <c r="B835" s="25" t="s">
        <v>45</v>
      </c>
      <c r="C835" s="105">
        <v>0.2013888888888889</v>
      </c>
      <c r="D835" s="25" t="s">
        <v>49</v>
      </c>
      <c r="E835" s="25" t="s">
        <v>95</v>
      </c>
      <c r="F835" s="25" t="s">
        <v>179</v>
      </c>
      <c r="G835" s="159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25" t="s">
        <v>44</v>
      </c>
      <c r="B836" s="25" t="s">
        <v>45</v>
      </c>
      <c r="C836" s="105">
        <v>0.2013888888888889</v>
      </c>
      <c r="D836" s="25" t="s">
        <v>51</v>
      </c>
      <c r="E836" s="25" t="s">
        <v>95</v>
      </c>
      <c r="F836" s="25" t="s">
        <v>180</v>
      </c>
      <c r="G836" s="159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26" t="s">
        <v>26</v>
      </c>
      <c r="B837" s="26" t="s">
        <v>27</v>
      </c>
      <c r="C837" s="106">
        <v>0.95833333333333337</v>
      </c>
      <c r="D837" s="26" t="s">
        <v>156</v>
      </c>
      <c r="E837" s="26" t="s">
        <v>135</v>
      </c>
      <c r="F837" s="26" t="s">
        <v>126</v>
      </c>
      <c r="G837" s="159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thickBot="1" x14ac:dyDescent="0.35">
      <c r="A838" s="14" t="s">
        <v>69</v>
      </c>
      <c r="B838" s="14" t="s">
        <v>70</v>
      </c>
      <c r="C838" s="101">
        <v>0.30555555555555558</v>
      </c>
      <c r="D838" s="14" t="s">
        <v>71</v>
      </c>
      <c r="E838" s="14" t="s">
        <v>72</v>
      </c>
      <c r="F838" s="14" t="s">
        <v>175</v>
      </c>
      <c r="G838" s="160"/>
      <c r="H838" s="15"/>
      <c r="I838" s="16"/>
      <c r="J838" s="16"/>
      <c r="K838" s="16"/>
      <c r="L838" s="16"/>
      <c r="M838" s="16"/>
      <c r="N838" s="16"/>
      <c r="O838" s="17"/>
      <c r="P838" s="16"/>
      <c r="Q838" s="18"/>
      <c r="R838" s="19"/>
    </row>
    <row r="839" spans="1:18" ht="17.399999999999999" customHeight="1" thickBot="1" x14ac:dyDescent="0.35">
      <c r="A839" s="164"/>
      <c r="B839" s="165"/>
      <c r="C839" s="165"/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6"/>
    </row>
    <row r="840" spans="1:18" ht="22.05" customHeight="1" thickTop="1" thickBot="1" x14ac:dyDescent="0.35">
      <c r="A840" s="161" t="s">
        <v>6</v>
      </c>
      <c r="B840" s="162"/>
      <c r="C840" s="162"/>
      <c r="D840" s="162"/>
      <c r="E840" s="162"/>
      <c r="F840" s="163"/>
      <c r="G840" s="102">
        <v>46042</v>
      </c>
      <c r="H840" s="167" t="s">
        <v>7</v>
      </c>
      <c r="I840" s="162"/>
      <c r="J840" s="162"/>
      <c r="K840" s="162"/>
      <c r="L840" s="162"/>
      <c r="M840" s="162"/>
      <c r="N840" s="162"/>
      <c r="O840" s="162"/>
      <c r="P840" s="162"/>
      <c r="Q840" s="162"/>
      <c r="R840" s="163"/>
    </row>
    <row r="841" spans="1:18" ht="24" customHeight="1" x14ac:dyDescent="0.3">
      <c r="A841" s="20" t="s">
        <v>8</v>
      </c>
      <c r="B841" s="20" t="s">
        <v>9</v>
      </c>
      <c r="C841" s="103" t="s">
        <v>10</v>
      </c>
      <c r="D841" s="20" t="s">
        <v>11</v>
      </c>
      <c r="E841" s="20" t="s">
        <v>12</v>
      </c>
      <c r="F841" s="21" t="s">
        <v>13</v>
      </c>
      <c r="G841" s="22" t="s">
        <v>14</v>
      </c>
      <c r="H841" s="20" t="s">
        <v>15</v>
      </c>
      <c r="I841" s="104" t="s">
        <v>16</v>
      </c>
      <c r="J841" s="23" t="s">
        <v>17</v>
      </c>
      <c r="K841" s="24" t="s">
        <v>18</v>
      </c>
      <c r="L841" s="23" t="s">
        <v>19</v>
      </c>
      <c r="M841" s="23" t="s">
        <v>20</v>
      </c>
      <c r="N841" s="23" t="s">
        <v>21</v>
      </c>
      <c r="O841" s="20" t="s">
        <v>22</v>
      </c>
      <c r="P841" s="103" t="s">
        <v>23</v>
      </c>
      <c r="Q841" s="23" t="s">
        <v>24</v>
      </c>
      <c r="R841" s="20" t="s">
        <v>25</v>
      </c>
    </row>
    <row r="842" spans="1:18" ht="15" customHeight="1" x14ac:dyDescent="0.3">
      <c r="A842" s="8" t="s">
        <v>31</v>
      </c>
      <c r="B842" s="8" t="s">
        <v>58</v>
      </c>
      <c r="C842" s="100">
        <v>0.1701388888888889</v>
      </c>
      <c r="D842" s="8" t="s">
        <v>94</v>
      </c>
      <c r="E842" s="8" t="s">
        <v>29</v>
      </c>
      <c r="F842" s="8" t="s">
        <v>168</v>
      </c>
      <c r="G842" s="158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27" t="s">
        <v>31</v>
      </c>
      <c r="B843" s="27" t="s">
        <v>32</v>
      </c>
      <c r="C843" s="107">
        <v>0.86458333333333337</v>
      </c>
      <c r="D843" s="27" t="s">
        <v>94</v>
      </c>
      <c r="E843" s="27" t="s">
        <v>29</v>
      </c>
      <c r="F843" s="27" t="s">
        <v>169</v>
      </c>
      <c r="G843" s="159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27" t="s">
        <v>31</v>
      </c>
      <c r="B844" s="27" t="s">
        <v>62</v>
      </c>
      <c r="C844" s="107">
        <v>0.52777777777777779</v>
      </c>
      <c r="D844" s="27" t="s">
        <v>94</v>
      </c>
      <c r="E844" s="27" t="s">
        <v>29</v>
      </c>
      <c r="F844" s="27" t="s">
        <v>169</v>
      </c>
      <c r="G844" s="159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26" t="s">
        <v>35</v>
      </c>
      <c r="B845" s="26" t="s">
        <v>36</v>
      </c>
      <c r="C845" s="106">
        <v>0.30555555555555558</v>
      </c>
      <c r="D845" s="26" t="s">
        <v>37</v>
      </c>
      <c r="E845" s="26" t="s">
        <v>118</v>
      </c>
      <c r="F845" s="26" t="s">
        <v>55</v>
      </c>
      <c r="G845" s="159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25" t="s">
        <v>35</v>
      </c>
      <c r="B846" s="25" t="s">
        <v>36</v>
      </c>
      <c r="C846" s="105">
        <v>0.30555555555555558</v>
      </c>
      <c r="D846" s="25" t="s">
        <v>40</v>
      </c>
      <c r="E846" s="25" t="s">
        <v>118</v>
      </c>
      <c r="F846" s="25" t="s">
        <v>179</v>
      </c>
      <c r="G846" s="159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25" t="s">
        <v>35</v>
      </c>
      <c r="B847" s="25" t="s">
        <v>36</v>
      </c>
      <c r="C847" s="105">
        <v>0.30555555555555558</v>
      </c>
      <c r="D847" s="25" t="s">
        <v>42</v>
      </c>
      <c r="E847" s="25" t="s">
        <v>118</v>
      </c>
      <c r="F847" s="25" t="s">
        <v>85</v>
      </c>
      <c r="G847" s="159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26" t="s">
        <v>44</v>
      </c>
      <c r="B848" s="26" t="s">
        <v>53</v>
      </c>
      <c r="C848" s="106">
        <v>0.83680555555555558</v>
      </c>
      <c r="D848" s="26" t="s">
        <v>46</v>
      </c>
      <c r="E848" s="26" t="s">
        <v>157</v>
      </c>
      <c r="F848" s="26" t="s">
        <v>178</v>
      </c>
      <c r="G848" s="159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25" t="s">
        <v>44</v>
      </c>
      <c r="B849" s="25" t="s">
        <v>53</v>
      </c>
      <c r="C849" s="105">
        <v>0.83680555555555558</v>
      </c>
      <c r="D849" s="25" t="s">
        <v>49</v>
      </c>
      <c r="E849" s="25" t="s">
        <v>157</v>
      </c>
      <c r="F849" s="25" t="s">
        <v>179</v>
      </c>
      <c r="G849" s="159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25" t="s">
        <v>44</v>
      </c>
      <c r="B850" s="25" t="s">
        <v>53</v>
      </c>
      <c r="C850" s="105">
        <v>0.83680555555555558</v>
      </c>
      <c r="D850" s="25" t="s">
        <v>51</v>
      </c>
      <c r="E850" s="25" t="s">
        <v>157</v>
      </c>
      <c r="F850" s="25" t="s">
        <v>180</v>
      </c>
      <c r="G850" s="159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27" t="s">
        <v>44</v>
      </c>
      <c r="B851" s="27" t="s">
        <v>45</v>
      </c>
      <c r="C851" s="107">
        <v>0.2013888888888889</v>
      </c>
      <c r="D851" s="27" t="s">
        <v>46</v>
      </c>
      <c r="E851" s="27" t="s">
        <v>92</v>
      </c>
      <c r="F851" s="27" t="s">
        <v>178</v>
      </c>
      <c r="G851" s="159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25" t="s">
        <v>44</v>
      </c>
      <c r="B852" s="25" t="s">
        <v>45</v>
      </c>
      <c r="C852" s="105">
        <v>0.2013888888888889</v>
      </c>
      <c r="D852" s="25" t="s">
        <v>49</v>
      </c>
      <c r="E852" s="25" t="s">
        <v>92</v>
      </c>
      <c r="F852" s="25" t="s">
        <v>179</v>
      </c>
      <c r="G852" s="159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25" t="s">
        <v>44</v>
      </c>
      <c r="B853" s="25" t="s">
        <v>45</v>
      </c>
      <c r="C853" s="105">
        <v>0.2013888888888889</v>
      </c>
      <c r="D853" s="25" t="s">
        <v>51</v>
      </c>
      <c r="E853" s="25" t="s">
        <v>92</v>
      </c>
      <c r="F853" s="25" t="s">
        <v>180</v>
      </c>
      <c r="G853" s="159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26" t="s">
        <v>26</v>
      </c>
      <c r="B854" s="26" t="s">
        <v>57</v>
      </c>
      <c r="C854" s="106">
        <v>0.95833333333333337</v>
      </c>
      <c r="D854" s="26" t="s">
        <v>156</v>
      </c>
      <c r="E854" s="26" t="s">
        <v>95</v>
      </c>
      <c r="F854" s="26" t="s">
        <v>126</v>
      </c>
      <c r="G854" s="159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40" t="s">
        <v>63</v>
      </c>
      <c r="B855" s="40" t="s">
        <v>64</v>
      </c>
      <c r="C855" s="114">
        <v>0.27083333333333331</v>
      </c>
      <c r="D855" s="40" t="s">
        <v>156</v>
      </c>
      <c r="E855" s="40" t="s">
        <v>157</v>
      </c>
      <c r="F855" s="40" t="s">
        <v>65</v>
      </c>
      <c r="G855" s="159"/>
      <c r="H855" s="41" t="s">
        <v>66</v>
      </c>
      <c r="I855" s="115">
        <v>0.11310000000000001</v>
      </c>
      <c r="J855" s="42">
        <v>19</v>
      </c>
      <c r="K855" s="43">
        <v>46355</v>
      </c>
      <c r="L855" s="42">
        <v>19</v>
      </c>
      <c r="M855" s="42">
        <v>0</v>
      </c>
      <c r="N855" s="42">
        <v>0</v>
      </c>
      <c r="O855" s="44" t="s">
        <v>170</v>
      </c>
      <c r="P855" s="116">
        <v>0.27083333333333331</v>
      </c>
      <c r="Q855" s="42">
        <v>168</v>
      </c>
      <c r="R855" s="45" t="s">
        <v>229</v>
      </c>
    </row>
    <row r="856" spans="1:18" ht="15" customHeight="1" x14ac:dyDescent="0.3">
      <c r="A856" s="26" t="s">
        <v>79</v>
      </c>
      <c r="B856" s="26" t="s">
        <v>119</v>
      </c>
      <c r="C856" s="106">
        <v>0.21527777777777779</v>
      </c>
      <c r="D856" s="26" t="s">
        <v>156</v>
      </c>
      <c r="E856" s="26" t="s">
        <v>72</v>
      </c>
      <c r="F856" s="26" t="s">
        <v>172</v>
      </c>
      <c r="G856" s="159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thickBot="1" x14ac:dyDescent="0.35">
      <c r="A857" s="14" t="s">
        <v>69</v>
      </c>
      <c r="B857" s="14" t="s">
        <v>70</v>
      </c>
      <c r="C857" s="101">
        <v>0.30555555555555558</v>
      </c>
      <c r="D857" s="14" t="s">
        <v>71</v>
      </c>
      <c r="E857" s="14" t="s">
        <v>72</v>
      </c>
      <c r="F857" s="14" t="s">
        <v>175</v>
      </c>
      <c r="G857" s="160"/>
      <c r="H857" s="15"/>
      <c r="I857" s="16"/>
      <c r="J857" s="16"/>
      <c r="K857" s="16"/>
      <c r="L857" s="16"/>
      <c r="M857" s="16"/>
      <c r="N857" s="16"/>
      <c r="O857" s="17"/>
      <c r="P857" s="16"/>
      <c r="Q857" s="18"/>
      <c r="R857" s="19"/>
    </row>
    <row r="858" spans="1:18" ht="17.399999999999999" customHeight="1" thickBot="1" x14ac:dyDescent="0.35">
      <c r="A858" s="164"/>
      <c r="B858" s="165"/>
      <c r="C858" s="165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6"/>
    </row>
    <row r="859" spans="1:18" ht="22.05" customHeight="1" thickTop="1" thickBot="1" x14ac:dyDescent="0.35">
      <c r="A859" s="161" t="s">
        <v>6</v>
      </c>
      <c r="B859" s="162"/>
      <c r="C859" s="162"/>
      <c r="D859" s="162"/>
      <c r="E859" s="162"/>
      <c r="F859" s="163"/>
      <c r="G859" s="102">
        <v>46043</v>
      </c>
      <c r="H859" s="167" t="s">
        <v>7</v>
      </c>
      <c r="I859" s="162"/>
      <c r="J859" s="162"/>
      <c r="K859" s="162"/>
      <c r="L859" s="162"/>
      <c r="M859" s="162"/>
      <c r="N859" s="162"/>
      <c r="O859" s="162"/>
      <c r="P859" s="162"/>
      <c r="Q859" s="162"/>
      <c r="R859" s="163"/>
    </row>
    <row r="860" spans="1:18" ht="24" customHeight="1" x14ac:dyDescent="0.3">
      <c r="A860" s="20" t="s">
        <v>8</v>
      </c>
      <c r="B860" s="20" t="s">
        <v>9</v>
      </c>
      <c r="C860" s="103" t="s">
        <v>10</v>
      </c>
      <c r="D860" s="20" t="s">
        <v>11</v>
      </c>
      <c r="E860" s="20" t="s">
        <v>12</v>
      </c>
      <c r="F860" s="21" t="s">
        <v>13</v>
      </c>
      <c r="G860" s="22" t="s">
        <v>14</v>
      </c>
      <c r="H860" s="20" t="s">
        <v>15</v>
      </c>
      <c r="I860" s="104" t="s">
        <v>16</v>
      </c>
      <c r="J860" s="23" t="s">
        <v>17</v>
      </c>
      <c r="K860" s="24" t="s">
        <v>18</v>
      </c>
      <c r="L860" s="23" t="s">
        <v>19</v>
      </c>
      <c r="M860" s="23" t="s">
        <v>20</v>
      </c>
      <c r="N860" s="23" t="s">
        <v>21</v>
      </c>
      <c r="O860" s="20" t="s">
        <v>22</v>
      </c>
      <c r="P860" s="103" t="s">
        <v>23</v>
      </c>
      <c r="Q860" s="23" t="s">
        <v>24</v>
      </c>
      <c r="R860" s="20" t="s">
        <v>25</v>
      </c>
    </row>
    <row r="861" spans="1:18" ht="15" customHeight="1" x14ac:dyDescent="0.3">
      <c r="A861" s="8" t="s">
        <v>31</v>
      </c>
      <c r="B861" s="8" t="s">
        <v>58</v>
      </c>
      <c r="C861" s="100">
        <v>0.1701388888888889</v>
      </c>
      <c r="D861" s="8" t="s">
        <v>94</v>
      </c>
      <c r="E861" s="8" t="s">
        <v>29</v>
      </c>
      <c r="F861" s="8" t="s">
        <v>168</v>
      </c>
      <c r="G861" s="158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27" t="s">
        <v>31</v>
      </c>
      <c r="B862" s="27" t="s">
        <v>32</v>
      </c>
      <c r="C862" s="107">
        <v>0.86458333333333337</v>
      </c>
      <c r="D862" s="27" t="s">
        <v>94</v>
      </c>
      <c r="E862" s="27" t="s">
        <v>29</v>
      </c>
      <c r="F862" s="27" t="s">
        <v>169</v>
      </c>
      <c r="G862" s="159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27" t="s">
        <v>31</v>
      </c>
      <c r="B863" s="27" t="s">
        <v>62</v>
      </c>
      <c r="C863" s="107">
        <v>0.52777777777777779</v>
      </c>
      <c r="D863" s="27" t="s">
        <v>94</v>
      </c>
      <c r="E863" s="27" t="s">
        <v>29</v>
      </c>
      <c r="F863" s="27" t="s">
        <v>169</v>
      </c>
      <c r="G863" s="159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26" t="s">
        <v>79</v>
      </c>
      <c r="B864" s="26" t="s">
        <v>80</v>
      </c>
      <c r="C864" s="106">
        <v>9.0277777777777776E-2</v>
      </c>
      <c r="D864" s="26" t="s">
        <v>156</v>
      </c>
      <c r="E864" s="26" t="s">
        <v>72</v>
      </c>
      <c r="F864" s="26" t="s">
        <v>154</v>
      </c>
      <c r="G864" s="159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26" t="s">
        <v>35</v>
      </c>
      <c r="B865" s="26" t="s">
        <v>36</v>
      </c>
      <c r="C865" s="106">
        <v>0.30555555555555558</v>
      </c>
      <c r="D865" s="26" t="s">
        <v>37</v>
      </c>
      <c r="E865" s="26" t="s">
        <v>118</v>
      </c>
      <c r="F865" s="26" t="s">
        <v>55</v>
      </c>
      <c r="G865" s="159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25" t="s">
        <v>35</v>
      </c>
      <c r="B866" s="25" t="s">
        <v>36</v>
      </c>
      <c r="C866" s="105">
        <v>0.30555555555555558</v>
      </c>
      <c r="D866" s="25" t="s">
        <v>40</v>
      </c>
      <c r="E866" s="25" t="s">
        <v>118</v>
      </c>
      <c r="F866" s="25" t="s">
        <v>179</v>
      </c>
      <c r="G866" s="159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25" t="s">
        <v>35</v>
      </c>
      <c r="B867" s="25" t="s">
        <v>36</v>
      </c>
      <c r="C867" s="105">
        <v>0.30555555555555558</v>
      </c>
      <c r="D867" s="25" t="s">
        <v>42</v>
      </c>
      <c r="E867" s="25" t="s">
        <v>118</v>
      </c>
      <c r="F867" s="25" t="s">
        <v>85</v>
      </c>
      <c r="G867" s="159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26" t="s">
        <v>74</v>
      </c>
      <c r="B868" s="26" t="s">
        <v>75</v>
      </c>
      <c r="C868" s="106">
        <v>0.97222222222222221</v>
      </c>
      <c r="D868" s="26" t="s">
        <v>76</v>
      </c>
      <c r="E868" s="26" t="s">
        <v>47</v>
      </c>
      <c r="F868" s="26" t="s">
        <v>103</v>
      </c>
      <c r="G868" s="159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25" t="s">
        <v>74</v>
      </c>
      <c r="B869" s="25" t="s">
        <v>75</v>
      </c>
      <c r="C869" s="105">
        <v>0.97222222222222221</v>
      </c>
      <c r="D869" s="25" t="s">
        <v>42</v>
      </c>
      <c r="E869" s="25" t="s">
        <v>47</v>
      </c>
      <c r="F869" s="25" t="s">
        <v>230</v>
      </c>
      <c r="G869" s="159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26" t="s">
        <v>44</v>
      </c>
      <c r="B870" s="26" t="s">
        <v>53</v>
      </c>
      <c r="C870" s="106">
        <v>0.83680555555555558</v>
      </c>
      <c r="D870" s="26" t="s">
        <v>46</v>
      </c>
      <c r="E870" s="26" t="s">
        <v>157</v>
      </c>
      <c r="F870" s="26" t="s">
        <v>178</v>
      </c>
      <c r="G870" s="159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25" t="s">
        <v>44</v>
      </c>
      <c r="B871" s="25" t="s">
        <v>53</v>
      </c>
      <c r="C871" s="105">
        <v>0.83680555555555558</v>
      </c>
      <c r="D871" s="25" t="s">
        <v>49</v>
      </c>
      <c r="E871" s="25" t="s">
        <v>157</v>
      </c>
      <c r="F871" s="25" t="s">
        <v>179</v>
      </c>
      <c r="G871" s="159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25" t="s">
        <v>44</v>
      </c>
      <c r="B872" s="25" t="s">
        <v>53</v>
      </c>
      <c r="C872" s="105">
        <v>0.83680555555555558</v>
      </c>
      <c r="D872" s="25" t="s">
        <v>51</v>
      </c>
      <c r="E872" s="25" t="s">
        <v>157</v>
      </c>
      <c r="F872" s="25" t="s">
        <v>180</v>
      </c>
      <c r="G872" s="159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26" t="s">
        <v>26</v>
      </c>
      <c r="B873" s="26" t="s">
        <v>27</v>
      </c>
      <c r="C873" s="106">
        <v>0.89583333333333337</v>
      </c>
      <c r="D873" s="26" t="s">
        <v>156</v>
      </c>
      <c r="E873" s="26" t="s">
        <v>29</v>
      </c>
      <c r="F873" s="26" t="s">
        <v>126</v>
      </c>
      <c r="G873" s="159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thickBot="1" x14ac:dyDescent="0.35">
      <c r="A874" s="14" t="s">
        <v>69</v>
      </c>
      <c r="B874" s="14" t="s">
        <v>70</v>
      </c>
      <c r="C874" s="101">
        <v>0.30555555555555558</v>
      </c>
      <c r="D874" s="14" t="s">
        <v>71</v>
      </c>
      <c r="E874" s="14" t="s">
        <v>72</v>
      </c>
      <c r="F874" s="14" t="s">
        <v>175</v>
      </c>
      <c r="G874" s="160"/>
      <c r="H874" s="15"/>
      <c r="I874" s="16"/>
      <c r="J874" s="16"/>
      <c r="K874" s="16"/>
      <c r="L874" s="16"/>
      <c r="M874" s="16"/>
      <c r="N874" s="16"/>
      <c r="O874" s="17"/>
      <c r="P874" s="16"/>
      <c r="Q874" s="18"/>
      <c r="R874" s="19"/>
    </row>
    <row r="875" spans="1:18" ht="17.399999999999999" customHeight="1" thickBot="1" x14ac:dyDescent="0.35">
      <c r="A875" s="164"/>
      <c r="B875" s="165"/>
      <c r="C875" s="165"/>
      <c r="D875" s="165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6"/>
    </row>
    <row r="876" spans="1:18" ht="22.05" customHeight="1" thickTop="1" thickBot="1" x14ac:dyDescent="0.35">
      <c r="A876" s="161" t="s">
        <v>6</v>
      </c>
      <c r="B876" s="162"/>
      <c r="C876" s="162"/>
      <c r="D876" s="162"/>
      <c r="E876" s="162"/>
      <c r="F876" s="163"/>
      <c r="G876" s="102">
        <v>46044</v>
      </c>
      <c r="H876" s="167" t="s">
        <v>7</v>
      </c>
      <c r="I876" s="162"/>
      <c r="J876" s="162"/>
      <c r="K876" s="162"/>
      <c r="L876" s="162"/>
      <c r="M876" s="162"/>
      <c r="N876" s="162"/>
      <c r="O876" s="162"/>
      <c r="P876" s="162"/>
      <c r="Q876" s="162"/>
      <c r="R876" s="163"/>
    </row>
    <row r="877" spans="1:18" ht="24" customHeight="1" x14ac:dyDescent="0.3">
      <c r="A877" s="20" t="s">
        <v>8</v>
      </c>
      <c r="B877" s="20" t="s">
        <v>9</v>
      </c>
      <c r="C877" s="103" t="s">
        <v>10</v>
      </c>
      <c r="D877" s="20" t="s">
        <v>11</v>
      </c>
      <c r="E877" s="20" t="s">
        <v>12</v>
      </c>
      <c r="F877" s="21" t="s">
        <v>13</v>
      </c>
      <c r="G877" s="22" t="s">
        <v>14</v>
      </c>
      <c r="H877" s="20" t="s">
        <v>15</v>
      </c>
      <c r="I877" s="104" t="s">
        <v>16</v>
      </c>
      <c r="J877" s="23" t="s">
        <v>17</v>
      </c>
      <c r="K877" s="24" t="s">
        <v>18</v>
      </c>
      <c r="L877" s="23" t="s">
        <v>19</v>
      </c>
      <c r="M877" s="23" t="s">
        <v>20</v>
      </c>
      <c r="N877" s="23" t="s">
        <v>21</v>
      </c>
      <c r="O877" s="20" t="s">
        <v>22</v>
      </c>
      <c r="P877" s="103" t="s">
        <v>23</v>
      </c>
      <c r="Q877" s="23" t="s">
        <v>24</v>
      </c>
      <c r="R877" s="20" t="s">
        <v>25</v>
      </c>
    </row>
    <row r="878" spans="1:18" ht="15" customHeight="1" x14ac:dyDescent="0.3">
      <c r="A878" s="8" t="s">
        <v>31</v>
      </c>
      <c r="B878" s="8" t="s">
        <v>58</v>
      </c>
      <c r="C878" s="100">
        <v>0.1701388888888889</v>
      </c>
      <c r="D878" s="8" t="s">
        <v>94</v>
      </c>
      <c r="E878" s="8" t="s">
        <v>29</v>
      </c>
      <c r="F878" s="8" t="s">
        <v>168</v>
      </c>
      <c r="G878" s="158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27" t="s">
        <v>31</v>
      </c>
      <c r="B879" s="27" t="s">
        <v>32</v>
      </c>
      <c r="C879" s="107">
        <v>0.86458333333333337</v>
      </c>
      <c r="D879" s="27" t="s">
        <v>94</v>
      </c>
      <c r="E879" s="27" t="s">
        <v>29</v>
      </c>
      <c r="F879" s="27" t="s">
        <v>169</v>
      </c>
      <c r="G879" s="159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27" t="s">
        <v>31</v>
      </c>
      <c r="B880" s="27" t="s">
        <v>62</v>
      </c>
      <c r="C880" s="107">
        <v>0.52777777777777779</v>
      </c>
      <c r="D880" s="27" t="s">
        <v>94</v>
      </c>
      <c r="E880" s="27" t="s">
        <v>29</v>
      </c>
      <c r="F880" s="27" t="s">
        <v>169</v>
      </c>
      <c r="G880" s="159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26" t="s">
        <v>79</v>
      </c>
      <c r="B881" s="26" t="s">
        <v>80</v>
      </c>
      <c r="C881" s="106">
        <v>0.96527777777777779</v>
      </c>
      <c r="D881" s="26" t="s">
        <v>156</v>
      </c>
      <c r="E881" s="26" t="s">
        <v>135</v>
      </c>
      <c r="F881" s="26" t="s">
        <v>154</v>
      </c>
      <c r="G881" s="159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26" t="s">
        <v>35</v>
      </c>
      <c r="B882" s="26" t="s">
        <v>36</v>
      </c>
      <c r="C882" s="106">
        <v>0.30555555555555558</v>
      </c>
      <c r="D882" s="26" t="s">
        <v>37</v>
      </c>
      <c r="E882" s="26" t="s">
        <v>118</v>
      </c>
      <c r="F882" s="26" t="s">
        <v>55</v>
      </c>
      <c r="G882" s="159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25" t="s">
        <v>35</v>
      </c>
      <c r="B883" s="25" t="s">
        <v>36</v>
      </c>
      <c r="C883" s="105">
        <v>0.30555555555555558</v>
      </c>
      <c r="D883" s="25" t="s">
        <v>40</v>
      </c>
      <c r="E883" s="25" t="s">
        <v>118</v>
      </c>
      <c r="F883" s="25" t="s">
        <v>179</v>
      </c>
      <c r="G883" s="159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25" t="s">
        <v>35</v>
      </c>
      <c r="B884" s="25" t="s">
        <v>36</v>
      </c>
      <c r="C884" s="105">
        <v>0.30555555555555558</v>
      </c>
      <c r="D884" s="25" t="s">
        <v>42</v>
      </c>
      <c r="E884" s="25" t="s">
        <v>118</v>
      </c>
      <c r="F884" s="25" t="s">
        <v>85</v>
      </c>
      <c r="G884" s="159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26" t="s">
        <v>44</v>
      </c>
      <c r="B885" s="26" t="s">
        <v>45</v>
      </c>
      <c r="C885" s="106">
        <v>0.2013888888888889</v>
      </c>
      <c r="D885" s="26" t="s">
        <v>46</v>
      </c>
      <c r="E885" s="26" t="s">
        <v>95</v>
      </c>
      <c r="F885" s="26" t="s">
        <v>178</v>
      </c>
      <c r="G885" s="159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25" t="s">
        <v>44</v>
      </c>
      <c r="B886" s="25" t="s">
        <v>45</v>
      </c>
      <c r="C886" s="105">
        <v>0.2013888888888889</v>
      </c>
      <c r="D886" s="25" t="s">
        <v>49</v>
      </c>
      <c r="E886" s="25" t="s">
        <v>95</v>
      </c>
      <c r="F886" s="25" t="s">
        <v>179</v>
      </c>
      <c r="G886" s="159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25" t="s">
        <v>44</v>
      </c>
      <c r="B887" s="25" t="s">
        <v>45</v>
      </c>
      <c r="C887" s="105">
        <v>0.2013888888888889</v>
      </c>
      <c r="D887" s="25" t="s">
        <v>51</v>
      </c>
      <c r="E887" s="25" t="s">
        <v>95</v>
      </c>
      <c r="F887" s="25" t="s">
        <v>180</v>
      </c>
      <c r="G887" s="159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27" t="s">
        <v>44</v>
      </c>
      <c r="B888" s="27" t="s">
        <v>53</v>
      </c>
      <c r="C888" s="107">
        <v>0.83680555555555558</v>
      </c>
      <c r="D888" s="27" t="s">
        <v>46</v>
      </c>
      <c r="E888" s="27" t="s">
        <v>72</v>
      </c>
      <c r="F888" s="27" t="s">
        <v>210</v>
      </c>
      <c r="G888" s="159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25" t="s">
        <v>44</v>
      </c>
      <c r="B889" s="25" t="s">
        <v>53</v>
      </c>
      <c r="C889" s="105">
        <v>0.83680555555555558</v>
      </c>
      <c r="D889" s="25" t="s">
        <v>49</v>
      </c>
      <c r="E889" s="25" t="s">
        <v>72</v>
      </c>
      <c r="F889" s="25" t="s">
        <v>167</v>
      </c>
      <c r="G889" s="159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25" t="s">
        <v>44</v>
      </c>
      <c r="B890" s="25" t="s">
        <v>53</v>
      </c>
      <c r="C890" s="105">
        <v>0.83680555555555558</v>
      </c>
      <c r="D890" s="25" t="s">
        <v>51</v>
      </c>
      <c r="E890" s="25" t="s">
        <v>72</v>
      </c>
      <c r="F890" s="25" t="s">
        <v>211</v>
      </c>
      <c r="G890" s="159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26" t="s">
        <v>26</v>
      </c>
      <c r="B891" s="26" t="s">
        <v>93</v>
      </c>
      <c r="C891" s="106">
        <v>0.5625</v>
      </c>
      <c r="D891" s="26" t="s">
        <v>156</v>
      </c>
      <c r="E891" s="26" t="s">
        <v>95</v>
      </c>
      <c r="F891" s="26" t="s">
        <v>126</v>
      </c>
      <c r="G891" s="159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27" t="s">
        <v>26</v>
      </c>
      <c r="B892" s="27" t="s">
        <v>57</v>
      </c>
      <c r="C892" s="107">
        <v>0.95833333333333337</v>
      </c>
      <c r="D892" s="27" t="s">
        <v>156</v>
      </c>
      <c r="E892" s="27" t="s">
        <v>121</v>
      </c>
      <c r="F892" s="27" t="s">
        <v>126</v>
      </c>
      <c r="G892" s="159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34" t="s">
        <v>63</v>
      </c>
      <c r="B893" s="34" t="s">
        <v>64</v>
      </c>
      <c r="C893" s="111">
        <v>0.92361111111111116</v>
      </c>
      <c r="D893" s="34" t="s">
        <v>156</v>
      </c>
      <c r="E893" s="34" t="s">
        <v>157</v>
      </c>
      <c r="F893" s="34" t="s">
        <v>65</v>
      </c>
      <c r="G893" s="159"/>
      <c r="H893" s="35" t="s">
        <v>66</v>
      </c>
      <c r="I893" s="112">
        <v>0.11310000000000001</v>
      </c>
      <c r="J893" s="36">
        <v>19</v>
      </c>
      <c r="K893" s="37">
        <v>46356</v>
      </c>
      <c r="L893" s="36">
        <v>19</v>
      </c>
      <c r="M893" s="36">
        <v>0</v>
      </c>
      <c r="N893" s="36">
        <v>0</v>
      </c>
      <c r="O893" s="38" t="s">
        <v>170</v>
      </c>
      <c r="P893" s="113">
        <v>0.92361111111111116</v>
      </c>
      <c r="Q893" s="36">
        <v>168</v>
      </c>
      <c r="R893" s="39" t="s">
        <v>231</v>
      </c>
    </row>
    <row r="894" spans="1:18" ht="15" customHeight="1" thickBot="1" x14ac:dyDescent="0.35">
      <c r="A894" s="14" t="s">
        <v>69</v>
      </c>
      <c r="B894" s="14" t="s">
        <v>70</v>
      </c>
      <c r="C894" s="101">
        <v>0.30555555555555558</v>
      </c>
      <c r="D894" s="14" t="s">
        <v>71</v>
      </c>
      <c r="E894" s="14" t="s">
        <v>72</v>
      </c>
      <c r="F894" s="14" t="s">
        <v>175</v>
      </c>
      <c r="G894" s="160"/>
      <c r="H894" s="15"/>
      <c r="I894" s="16"/>
      <c r="J894" s="16"/>
      <c r="K894" s="16"/>
      <c r="L894" s="16"/>
      <c r="M894" s="16"/>
      <c r="N894" s="16"/>
      <c r="O894" s="17"/>
      <c r="P894" s="16"/>
      <c r="Q894" s="18"/>
      <c r="R894" s="19"/>
    </row>
    <row r="895" spans="1:18" ht="17.399999999999999" customHeight="1" thickBot="1" x14ac:dyDescent="0.35">
      <c r="A895" s="164"/>
      <c r="B895" s="165"/>
      <c r="C895" s="165"/>
      <c r="D895" s="165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6"/>
    </row>
    <row r="896" spans="1:18" ht="22.05" customHeight="1" thickTop="1" thickBot="1" x14ac:dyDescent="0.35">
      <c r="A896" s="161" t="s">
        <v>6</v>
      </c>
      <c r="B896" s="162"/>
      <c r="C896" s="162"/>
      <c r="D896" s="162"/>
      <c r="E896" s="162"/>
      <c r="F896" s="163"/>
      <c r="G896" s="102">
        <v>46045</v>
      </c>
      <c r="H896" s="167" t="s">
        <v>7</v>
      </c>
      <c r="I896" s="162"/>
      <c r="J896" s="162"/>
      <c r="K896" s="162"/>
      <c r="L896" s="162"/>
      <c r="M896" s="162"/>
      <c r="N896" s="162"/>
      <c r="O896" s="162"/>
      <c r="P896" s="162"/>
      <c r="Q896" s="162"/>
      <c r="R896" s="163"/>
    </row>
    <row r="897" spans="1:18" ht="24" customHeight="1" x14ac:dyDescent="0.3">
      <c r="A897" s="20" t="s">
        <v>8</v>
      </c>
      <c r="B897" s="20" t="s">
        <v>9</v>
      </c>
      <c r="C897" s="103" t="s">
        <v>10</v>
      </c>
      <c r="D897" s="20" t="s">
        <v>11</v>
      </c>
      <c r="E897" s="20" t="s">
        <v>12</v>
      </c>
      <c r="F897" s="21" t="s">
        <v>13</v>
      </c>
      <c r="G897" s="22" t="s">
        <v>14</v>
      </c>
      <c r="H897" s="20" t="s">
        <v>15</v>
      </c>
      <c r="I897" s="104" t="s">
        <v>16</v>
      </c>
      <c r="J897" s="23" t="s">
        <v>17</v>
      </c>
      <c r="K897" s="24" t="s">
        <v>18</v>
      </c>
      <c r="L897" s="23" t="s">
        <v>19</v>
      </c>
      <c r="M897" s="23" t="s">
        <v>20</v>
      </c>
      <c r="N897" s="23" t="s">
        <v>21</v>
      </c>
      <c r="O897" s="20" t="s">
        <v>22</v>
      </c>
      <c r="P897" s="103" t="s">
        <v>23</v>
      </c>
      <c r="Q897" s="23" t="s">
        <v>24</v>
      </c>
      <c r="R897" s="20" t="s">
        <v>25</v>
      </c>
    </row>
    <row r="898" spans="1:18" ht="15" customHeight="1" x14ac:dyDescent="0.3">
      <c r="A898" s="8" t="s">
        <v>31</v>
      </c>
      <c r="B898" s="8" t="s">
        <v>58</v>
      </c>
      <c r="C898" s="100">
        <v>0.1701388888888889</v>
      </c>
      <c r="D898" s="8" t="s">
        <v>94</v>
      </c>
      <c r="E898" s="8" t="s">
        <v>29</v>
      </c>
      <c r="F898" s="8" t="s">
        <v>168</v>
      </c>
      <c r="G898" s="158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27" t="s">
        <v>31</v>
      </c>
      <c r="B899" s="27" t="s">
        <v>32</v>
      </c>
      <c r="C899" s="107">
        <v>0.86458333333333337</v>
      </c>
      <c r="D899" s="27" t="s">
        <v>94</v>
      </c>
      <c r="E899" s="27" t="s">
        <v>29</v>
      </c>
      <c r="F899" s="27" t="s">
        <v>169</v>
      </c>
      <c r="G899" s="159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27" t="s">
        <v>31</v>
      </c>
      <c r="B900" s="27" t="s">
        <v>62</v>
      </c>
      <c r="C900" s="107">
        <v>0.52777777777777779</v>
      </c>
      <c r="D900" s="27" t="s">
        <v>94</v>
      </c>
      <c r="E900" s="27" t="s">
        <v>29</v>
      </c>
      <c r="F900" s="27" t="s">
        <v>223</v>
      </c>
      <c r="G900" s="159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26" t="s">
        <v>79</v>
      </c>
      <c r="B901" s="26" t="s">
        <v>119</v>
      </c>
      <c r="C901" s="106">
        <v>0.21527777777777779</v>
      </c>
      <c r="D901" s="26" t="s">
        <v>156</v>
      </c>
      <c r="E901" s="26" t="s">
        <v>95</v>
      </c>
      <c r="F901" s="26" t="s">
        <v>154</v>
      </c>
      <c r="G901" s="159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26" t="s">
        <v>35</v>
      </c>
      <c r="B902" s="26" t="s">
        <v>36</v>
      </c>
      <c r="C902" s="106">
        <v>0.30555555555555558</v>
      </c>
      <c r="D902" s="26" t="s">
        <v>37</v>
      </c>
      <c r="E902" s="26" t="s">
        <v>118</v>
      </c>
      <c r="F902" s="26" t="s">
        <v>55</v>
      </c>
      <c r="G902" s="159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25" t="s">
        <v>35</v>
      </c>
      <c r="B903" s="25" t="s">
        <v>36</v>
      </c>
      <c r="C903" s="105">
        <v>0.30555555555555558</v>
      </c>
      <c r="D903" s="25" t="s">
        <v>40</v>
      </c>
      <c r="E903" s="25" t="s">
        <v>118</v>
      </c>
      <c r="F903" s="25" t="s">
        <v>179</v>
      </c>
      <c r="G903" s="159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25" t="s">
        <v>35</v>
      </c>
      <c r="B904" s="25" t="s">
        <v>36</v>
      </c>
      <c r="C904" s="105">
        <v>0.30555555555555558</v>
      </c>
      <c r="D904" s="25" t="s">
        <v>42</v>
      </c>
      <c r="E904" s="25" t="s">
        <v>118</v>
      </c>
      <c r="F904" s="25" t="s">
        <v>85</v>
      </c>
      <c r="G904" s="159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26" t="s">
        <v>26</v>
      </c>
      <c r="B905" s="26" t="s">
        <v>27</v>
      </c>
      <c r="C905" s="106">
        <v>0.95833333333333337</v>
      </c>
      <c r="D905" s="26" t="s">
        <v>156</v>
      </c>
      <c r="E905" s="26" t="s">
        <v>60</v>
      </c>
      <c r="F905" s="26" t="s">
        <v>126</v>
      </c>
      <c r="G905" s="159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59" t="s">
        <v>63</v>
      </c>
      <c r="B906" s="59" t="s">
        <v>64</v>
      </c>
      <c r="C906" s="124">
        <v>0.57986111111111116</v>
      </c>
      <c r="D906" s="59" t="s">
        <v>156</v>
      </c>
      <c r="E906" s="59" t="s">
        <v>87</v>
      </c>
      <c r="F906" s="59" t="s">
        <v>65</v>
      </c>
      <c r="G906" s="159"/>
      <c r="H906" s="60" t="s">
        <v>66</v>
      </c>
      <c r="I906" s="125">
        <v>7.8799999999999995E-2</v>
      </c>
      <c r="J906" s="61">
        <v>13</v>
      </c>
      <c r="K906" s="62">
        <v>46353</v>
      </c>
      <c r="L906" s="61">
        <v>13</v>
      </c>
      <c r="M906" s="61">
        <v>0</v>
      </c>
      <c r="N906" s="61">
        <v>0</v>
      </c>
      <c r="O906" s="63" t="s">
        <v>232</v>
      </c>
      <c r="P906" s="126">
        <v>0.57986111111111116</v>
      </c>
      <c r="Q906" s="61">
        <v>165</v>
      </c>
      <c r="R906" s="64" t="s">
        <v>233</v>
      </c>
    </row>
    <row r="907" spans="1:18" ht="15" customHeight="1" x14ac:dyDescent="0.3">
      <c r="A907" s="26" t="s">
        <v>44</v>
      </c>
      <c r="B907" s="26" t="s">
        <v>53</v>
      </c>
      <c r="C907" s="106">
        <v>0.83680555555555558</v>
      </c>
      <c r="D907" s="26" t="s">
        <v>46</v>
      </c>
      <c r="E907" s="26" t="s">
        <v>95</v>
      </c>
      <c r="F907" s="26" t="s">
        <v>210</v>
      </c>
      <c r="G907" s="159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25" t="s">
        <v>44</v>
      </c>
      <c r="B908" s="25" t="s">
        <v>53</v>
      </c>
      <c r="C908" s="105">
        <v>0.83680555555555558</v>
      </c>
      <c r="D908" s="25" t="s">
        <v>49</v>
      </c>
      <c r="E908" s="25" t="s">
        <v>95</v>
      </c>
      <c r="F908" s="25" t="s">
        <v>167</v>
      </c>
      <c r="G908" s="159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25" t="s">
        <v>44</v>
      </c>
      <c r="B909" s="25" t="s">
        <v>53</v>
      </c>
      <c r="C909" s="105">
        <v>0.83680555555555558</v>
      </c>
      <c r="D909" s="25" t="s">
        <v>51</v>
      </c>
      <c r="E909" s="25" t="s">
        <v>95</v>
      </c>
      <c r="F909" s="25" t="s">
        <v>211</v>
      </c>
      <c r="G909" s="159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thickBot="1" x14ac:dyDescent="0.35">
      <c r="A910" s="14" t="s">
        <v>69</v>
      </c>
      <c r="B910" s="14" t="s">
        <v>70</v>
      </c>
      <c r="C910" s="101">
        <v>0.30555555555555558</v>
      </c>
      <c r="D910" s="14" t="s">
        <v>71</v>
      </c>
      <c r="E910" s="14" t="s">
        <v>72</v>
      </c>
      <c r="F910" s="14" t="s">
        <v>175</v>
      </c>
      <c r="G910" s="160"/>
      <c r="H910" s="15"/>
      <c r="I910" s="16"/>
      <c r="J910" s="16"/>
      <c r="K910" s="16"/>
      <c r="L910" s="16"/>
      <c r="M910" s="16"/>
      <c r="N910" s="16"/>
      <c r="O910" s="17"/>
      <c r="P910" s="16"/>
      <c r="Q910" s="18"/>
      <c r="R910" s="19"/>
    </row>
    <row r="911" spans="1:18" ht="17.399999999999999" customHeight="1" thickBot="1" x14ac:dyDescent="0.35">
      <c r="A911" s="164"/>
      <c r="B911" s="165"/>
      <c r="C911" s="165"/>
      <c r="D911" s="165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6"/>
    </row>
    <row r="912" spans="1:18" ht="22.05" customHeight="1" thickTop="1" thickBot="1" x14ac:dyDescent="0.35">
      <c r="A912" s="161" t="s">
        <v>6</v>
      </c>
      <c r="B912" s="162"/>
      <c r="C912" s="162"/>
      <c r="D912" s="162"/>
      <c r="E912" s="162"/>
      <c r="F912" s="163"/>
      <c r="G912" s="102">
        <v>46046</v>
      </c>
      <c r="H912" s="167" t="s">
        <v>7</v>
      </c>
      <c r="I912" s="162"/>
      <c r="J912" s="162"/>
      <c r="K912" s="162"/>
      <c r="L912" s="162"/>
      <c r="M912" s="162"/>
      <c r="N912" s="162"/>
      <c r="O912" s="162"/>
      <c r="P912" s="162"/>
      <c r="Q912" s="162"/>
      <c r="R912" s="163"/>
    </row>
    <row r="913" spans="1:18" ht="24" customHeight="1" x14ac:dyDescent="0.3">
      <c r="A913" s="20" t="s">
        <v>8</v>
      </c>
      <c r="B913" s="20" t="s">
        <v>9</v>
      </c>
      <c r="C913" s="103" t="s">
        <v>10</v>
      </c>
      <c r="D913" s="20" t="s">
        <v>11</v>
      </c>
      <c r="E913" s="20" t="s">
        <v>12</v>
      </c>
      <c r="F913" s="21" t="s">
        <v>13</v>
      </c>
      <c r="G913" s="22" t="s">
        <v>14</v>
      </c>
      <c r="H913" s="20" t="s">
        <v>15</v>
      </c>
      <c r="I913" s="104" t="s">
        <v>16</v>
      </c>
      <c r="J913" s="23" t="s">
        <v>17</v>
      </c>
      <c r="K913" s="24" t="s">
        <v>18</v>
      </c>
      <c r="L913" s="23" t="s">
        <v>19</v>
      </c>
      <c r="M913" s="23" t="s">
        <v>20</v>
      </c>
      <c r="N913" s="23" t="s">
        <v>21</v>
      </c>
      <c r="O913" s="20" t="s">
        <v>22</v>
      </c>
      <c r="P913" s="103" t="s">
        <v>23</v>
      </c>
      <c r="Q913" s="23" t="s">
        <v>24</v>
      </c>
      <c r="R913" s="20" t="s">
        <v>25</v>
      </c>
    </row>
    <row r="914" spans="1:18" ht="15" customHeight="1" x14ac:dyDescent="0.3">
      <c r="A914" s="8" t="s">
        <v>31</v>
      </c>
      <c r="B914" s="8" t="s">
        <v>58</v>
      </c>
      <c r="C914" s="100">
        <v>0.1701388888888889</v>
      </c>
      <c r="D914" s="8" t="s">
        <v>94</v>
      </c>
      <c r="E914" s="8" t="s">
        <v>29</v>
      </c>
      <c r="F914" s="8" t="s">
        <v>168</v>
      </c>
      <c r="G914" s="158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27" t="s">
        <v>31</v>
      </c>
      <c r="B915" s="27" t="s">
        <v>32</v>
      </c>
      <c r="C915" s="107">
        <v>0.86458333333333337</v>
      </c>
      <c r="D915" s="27" t="s">
        <v>94</v>
      </c>
      <c r="E915" s="27" t="s">
        <v>29</v>
      </c>
      <c r="F915" s="27" t="s">
        <v>169</v>
      </c>
      <c r="G915" s="159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27" t="s">
        <v>31</v>
      </c>
      <c r="B916" s="27" t="s">
        <v>62</v>
      </c>
      <c r="C916" s="107">
        <v>0.52777777777777779</v>
      </c>
      <c r="D916" s="27" t="s">
        <v>94</v>
      </c>
      <c r="E916" s="27" t="s">
        <v>29</v>
      </c>
      <c r="F916" s="27" t="s">
        <v>169</v>
      </c>
      <c r="G916" s="159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26" t="s">
        <v>35</v>
      </c>
      <c r="B917" s="26" t="s">
        <v>36</v>
      </c>
      <c r="C917" s="106">
        <v>0.30555555555555558</v>
      </c>
      <c r="D917" s="26" t="s">
        <v>37</v>
      </c>
      <c r="E917" s="26" t="s">
        <v>118</v>
      </c>
      <c r="F917" s="26" t="s">
        <v>55</v>
      </c>
      <c r="G917" s="159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25" t="s">
        <v>35</v>
      </c>
      <c r="B918" s="25" t="s">
        <v>36</v>
      </c>
      <c r="C918" s="105">
        <v>0.30555555555555558</v>
      </c>
      <c r="D918" s="25" t="s">
        <v>40</v>
      </c>
      <c r="E918" s="25" t="s">
        <v>118</v>
      </c>
      <c r="F918" s="25" t="s">
        <v>179</v>
      </c>
      <c r="G918" s="159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25" t="s">
        <v>35</v>
      </c>
      <c r="B919" s="25" t="s">
        <v>36</v>
      </c>
      <c r="C919" s="105">
        <v>0.30555555555555558</v>
      </c>
      <c r="D919" s="25" t="s">
        <v>42</v>
      </c>
      <c r="E919" s="25" t="s">
        <v>118</v>
      </c>
      <c r="F919" s="25" t="s">
        <v>85</v>
      </c>
      <c r="G919" s="159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26" t="s">
        <v>44</v>
      </c>
      <c r="B920" s="26" t="s">
        <v>53</v>
      </c>
      <c r="C920" s="106">
        <v>0.83680555555555558</v>
      </c>
      <c r="D920" s="26" t="s">
        <v>46</v>
      </c>
      <c r="E920" s="26" t="s">
        <v>72</v>
      </c>
      <c r="F920" s="26" t="s">
        <v>178</v>
      </c>
      <c r="G920" s="159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25" t="s">
        <v>44</v>
      </c>
      <c r="B921" s="25" t="s">
        <v>53</v>
      </c>
      <c r="C921" s="105">
        <v>0.83680555555555558</v>
      </c>
      <c r="D921" s="25" t="s">
        <v>49</v>
      </c>
      <c r="E921" s="25" t="s">
        <v>72</v>
      </c>
      <c r="F921" s="25" t="s">
        <v>179</v>
      </c>
      <c r="G921" s="159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25" t="s">
        <v>44</v>
      </c>
      <c r="B922" s="25" t="s">
        <v>53</v>
      </c>
      <c r="C922" s="105">
        <v>0.83680555555555558</v>
      </c>
      <c r="D922" s="25" t="s">
        <v>51</v>
      </c>
      <c r="E922" s="25" t="s">
        <v>72</v>
      </c>
      <c r="F922" s="25" t="s">
        <v>180</v>
      </c>
      <c r="G922" s="159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27" t="s">
        <v>44</v>
      </c>
      <c r="B923" s="27" t="s">
        <v>45</v>
      </c>
      <c r="C923" s="107">
        <v>0.2013888888888889</v>
      </c>
      <c r="D923" s="27" t="s">
        <v>46</v>
      </c>
      <c r="E923" s="27" t="s">
        <v>72</v>
      </c>
      <c r="F923" s="27" t="s">
        <v>178</v>
      </c>
      <c r="G923" s="159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25" t="s">
        <v>44</v>
      </c>
      <c r="B924" s="25" t="s">
        <v>45</v>
      </c>
      <c r="C924" s="105">
        <v>0.2013888888888889</v>
      </c>
      <c r="D924" s="25" t="s">
        <v>49</v>
      </c>
      <c r="E924" s="25" t="s">
        <v>72</v>
      </c>
      <c r="F924" s="25" t="s">
        <v>179</v>
      </c>
      <c r="G924" s="159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25" t="s">
        <v>44</v>
      </c>
      <c r="B925" s="25" t="s">
        <v>45</v>
      </c>
      <c r="C925" s="105">
        <v>0.2013888888888889</v>
      </c>
      <c r="D925" s="25" t="s">
        <v>51</v>
      </c>
      <c r="E925" s="25" t="s">
        <v>72</v>
      </c>
      <c r="F925" s="25" t="s">
        <v>180</v>
      </c>
      <c r="G925" s="159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26" t="s">
        <v>26</v>
      </c>
      <c r="B926" s="26" t="s">
        <v>57</v>
      </c>
      <c r="C926" s="106">
        <v>0.89583333333333337</v>
      </c>
      <c r="D926" s="26" t="s">
        <v>156</v>
      </c>
      <c r="E926" s="26" t="s">
        <v>60</v>
      </c>
      <c r="F926" s="26" t="s">
        <v>126</v>
      </c>
      <c r="G926" s="159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65" t="s">
        <v>63</v>
      </c>
      <c r="B927" s="65" t="s">
        <v>64</v>
      </c>
      <c r="C927" s="127">
        <v>0.92361111111111116</v>
      </c>
      <c r="D927" s="65" t="s">
        <v>156</v>
      </c>
      <c r="E927" s="65" t="s">
        <v>60</v>
      </c>
      <c r="F927" s="65" t="s">
        <v>65</v>
      </c>
      <c r="G927" s="159"/>
      <c r="H927" s="66" t="s">
        <v>66</v>
      </c>
      <c r="I927" s="128">
        <v>8.3299999999999999E-2</v>
      </c>
      <c r="J927" s="67">
        <v>14</v>
      </c>
      <c r="K927" s="68">
        <v>46354</v>
      </c>
      <c r="L927" s="67">
        <v>14</v>
      </c>
      <c r="M927" s="67">
        <v>0</v>
      </c>
      <c r="N927" s="67">
        <v>0</v>
      </c>
      <c r="O927" s="69" t="s">
        <v>234</v>
      </c>
      <c r="P927" s="129">
        <v>0.92361111111111116</v>
      </c>
      <c r="Q927" s="67">
        <v>168</v>
      </c>
      <c r="R927" s="70" t="s">
        <v>235</v>
      </c>
    </row>
    <row r="928" spans="1:18" ht="15" customHeight="1" x14ac:dyDescent="0.3">
      <c r="A928" s="26" t="s">
        <v>79</v>
      </c>
      <c r="B928" s="26" t="s">
        <v>80</v>
      </c>
      <c r="C928" s="106">
        <v>0.54861111111111116</v>
      </c>
      <c r="D928" s="26" t="s">
        <v>156</v>
      </c>
      <c r="E928" s="26" t="s">
        <v>29</v>
      </c>
      <c r="F928" s="26" t="s">
        <v>172</v>
      </c>
      <c r="G928" s="159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26" t="s">
        <v>74</v>
      </c>
      <c r="B929" s="26" t="s">
        <v>75</v>
      </c>
      <c r="C929" s="106">
        <v>0.97222222222222221</v>
      </c>
      <c r="D929" s="26" t="s">
        <v>76</v>
      </c>
      <c r="E929" s="26" t="s">
        <v>47</v>
      </c>
      <c r="F929" s="26" t="s">
        <v>236</v>
      </c>
      <c r="G929" s="159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25" t="s">
        <v>74</v>
      </c>
      <c r="B930" s="25" t="s">
        <v>75</v>
      </c>
      <c r="C930" s="105">
        <v>0.97222222222222221</v>
      </c>
      <c r="D930" s="25" t="s">
        <v>42</v>
      </c>
      <c r="E930" s="25" t="s">
        <v>47</v>
      </c>
      <c r="F930" s="25" t="s">
        <v>237</v>
      </c>
      <c r="G930" s="159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thickBot="1" x14ac:dyDescent="0.35">
      <c r="A931" s="14" t="s">
        <v>69</v>
      </c>
      <c r="B931" s="14" t="s">
        <v>70</v>
      </c>
      <c r="C931" s="101">
        <v>0.30555555555555558</v>
      </c>
      <c r="D931" s="14" t="s">
        <v>71</v>
      </c>
      <c r="E931" s="14" t="s">
        <v>72</v>
      </c>
      <c r="F931" s="14" t="s">
        <v>175</v>
      </c>
      <c r="G931" s="160"/>
      <c r="H931" s="15"/>
      <c r="I931" s="16"/>
      <c r="J931" s="16"/>
      <c r="K931" s="16"/>
      <c r="L931" s="16"/>
      <c r="M931" s="16"/>
      <c r="N931" s="16"/>
      <c r="O931" s="17"/>
      <c r="P931" s="16"/>
      <c r="Q931" s="18"/>
      <c r="R931" s="19"/>
    </row>
    <row r="932" spans="1:18" ht="17.399999999999999" customHeight="1" thickBot="1" x14ac:dyDescent="0.35">
      <c r="A932" s="164"/>
      <c r="B932" s="165"/>
      <c r="C932" s="165"/>
      <c r="D932" s="165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6"/>
    </row>
    <row r="933" spans="1:18" ht="22.05" customHeight="1" thickTop="1" thickBot="1" x14ac:dyDescent="0.35">
      <c r="A933" s="161" t="s">
        <v>6</v>
      </c>
      <c r="B933" s="162"/>
      <c r="C933" s="162"/>
      <c r="D933" s="162"/>
      <c r="E933" s="162"/>
      <c r="F933" s="163"/>
      <c r="G933" s="102">
        <v>46047</v>
      </c>
      <c r="H933" s="167" t="s">
        <v>7</v>
      </c>
      <c r="I933" s="162"/>
      <c r="J933" s="162"/>
      <c r="K933" s="162"/>
      <c r="L933" s="162"/>
      <c r="M933" s="162"/>
      <c r="N933" s="162"/>
      <c r="O933" s="162"/>
      <c r="P933" s="162"/>
      <c r="Q933" s="162"/>
      <c r="R933" s="163"/>
    </row>
    <row r="934" spans="1:18" ht="24" customHeight="1" x14ac:dyDescent="0.3">
      <c r="A934" s="20" t="s">
        <v>8</v>
      </c>
      <c r="B934" s="20" t="s">
        <v>9</v>
      </c>
      <c r="C934" s="103" t="s">
        <v>10</v>
      </c>
      <c r="D934" s="20" t="s">
        <v>11</v>
      </c>
      <c r="E934" s="20" t="s">
        <v>12</v>
      </c>
      <c r="F934" s="21" t="s">
        <v>13</v>
      </c>
      <c r="G934" s="22" t="s">
        <v>14</v>
      </c>
      <c r="H934" s="20" t="s">
        <v>15</v>
      </c>
      <c r="I934" s="104" t="s">
        <v>16</v>
      </c>
      <c r="J934" s="23" t="s">
        <v>17</v>
      </c>
      <c r="K934" s="24" t="s">
        <v>18</v>
      </c>
      <c r="L934" s="23" t="s">
        <v>19</v>
      </c>
      <c r="M934" s="23" t="s">
        <v>20</v>
      </c>
      <c r="N934" s="23" t="s">
        <v>21</v>
      </c>
      <c r="O934" s="20" t="s">
        <v>22</v>
      </c>
      <c r="P934" s="103" t="s">
        <v>23</v>
      </c>
      <c r="Q934" s="23" t="s">
        <v>24</v>
      </c>
      <c r="R934" s="20" t="s">
        <v>25</v>
      </c>
    </row>
    <row r="935" spans="1:18" ht="15" customHeight="1" x14ac:dyDescent="0.3">
      <c r="A935" s="8" t="s">
        <v>31</v>
      </c>
      <c r="B935" s="8" t="s">
        <v>58</v>
      </c>
      <c r="C935" s="100">
        <v>0.1701388888888889</v>
      </c>
      <c r="D935" s="8" t="s">
        <v>94</v>
      </c>
      <c r="E935" s="8" t="s">
        <v>29</v>
      </c>
      <c r="F935" s="8" t="s">
        <v>168</v>
      </c>
      <c r="G935" s="168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27" t="s">
        <v>31</v>
      </c>
      <c r="B936" s="27" t="s">
        <v>32</v>
      </c>
      <c r="C936" s="107">
        <v>0.86458333333333337</v>
      </c>
      <c r="D936" s="27" t="s">
        <v>94</v>
      </c>
      <c r="E936" s="27" t="s">
        <v>29</v>
      </c>
      <c r="F936" s="27" t="s">
        <v>169</v>
      </c>
      <c r="G936" s="159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27" t="s">
        <v>31</v>
      </c>
      <c r="B937" s="27" t="s">
        <v>62</v>
      </c>
      <c r="C937" s="107">
        <v>0.52777777777777779</v>
      </c>
      <c r="D937" s="27" t="s">
        <v>94</v>
      </c>
      <c r="E937" s="27" t="s">
        <v>29</v>
      </c>
      <c r="F937" s="27" t="s">
        <v>169</v>
      </c>
      <c r="G937" s="159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26" t="s">
        <v>79</v>
      </c>
      <c r="B938" s="26" t="s">
        <v>119</v>
      </c>
      <c r="C938" s="106">
        <v>0.21527777777777779</v>
      </c>
      <c r="D938" s="26" t="s">
        <v>156</v>
      </c>
      <c r="E938" s="26" t="s">
        <v>157</v>
      </c>
      <c r="F938" s="26" t="s">
        <v>154</v>
      </c>
      <c r="G938" s="159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26" t="s">
        <v>35</v>
      </c>
      <c r="B939" s="26" t="s">
        <v>36</v>
      </c>
      <c r="C939" s="106">
        <v>0.30555555555555558</v>
      </c>
      <c r="D939" s="26" t="s">
        <v>37</v>
      </c>
      <c r="E939" s="26" t="s">
        <v>118</v>
      </c>
      <c r="F939" s="26" t="s">
        <v>55</v>
      </c>
      <c r="G939" s="159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25" t="s">
        <v>35</v>
      </c>
      <c r="B940" s="25" t="s">
        <v>36</v>
      </c>
      <c r="C940" s="105">
        <v>0.30555555555555558</v>
      </c>
      <c r="D940" s="25" t="s">
        <v>40</v>
      </c>
      <c r="E940" s="25" t="s">
        <v>118</v>
      </c>
      <c r="F940" s="25" t="s">
        <v>179</v>
      </c>
      <c r="G940" s="159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25" t="s">
        <v>35</v>
      </c>
      <c r="B941" s="25" t="s">
        <v>36</v>
      </c>
      <c r="C941" s="105">
        <v>0.30555555555555558</v>
      </c>
      <c r="D941" s="25" t="s">
        <v>42</v>
      </c>
      <c r="E941" s="25" t="s">
        <v>118</v>
      </c>
      <c r="F941" s="25" t="s">
        <v>85</v>
      </c>
      <c r="G941" s="159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26" t="s">
        <v>44</v>
      </c>
      <c r="B942" s="26" t="s">
        <v>53</v>
      </c>
      <c r="C942" s="106">
        <v>0.83680555555555558</v>
      </c>
      <c r="D942" s="26" t="s">
        <v>46</v>
      </c>
      <c r="E942" s="26" t="s">
        <v>157</v>
      </c>
      <c r="F942" s="26" t="s">
        <v>178</v>
      </c>
      <c r="G942" s="159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25" t="s">
        <v>44</v>
      </c>
      <c r="B943" s="25" t="s">
        <v>53</v>
      </c>
      <c r="C943" s="105">
        <v>0.83680555555555558</v>
      </c>
      <c r="D943" s="25" t="s">
        <v>49</v>
      </c>
      <c r="E943" s="25" t="s">
        <v>157</v>
      </c>
      <c r="F943" s="25" t="s">
        <v>179</v>
      </c>
      <c r="G943" s="159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25" t="s">
        <v>44</v>
      </c>
      <c r="B944" s="25" t="s">
        <v>53</v>
      </c>
      <c r="C944" s="105">
        <v>0.83680555555555558</v>
      </c>
      <c r="D944" s="25" t="s">
        <v>51</v>
      </c>
      <c r="E944" s="25" t="s">
        <v>157</v>
      </c>
      <c r="F944" s="25" t="s">
        <v>180</v>
      </c>
      <c r="G944" s="159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26" t="s">
        <v>26</v>
      </c>
      <c r="B945" s="26" t="s">
        <v>93</v>
      </c>
      <c r="C945" s="106">
        <v>0.95833333333333337</v>
      </c>
      <c r="D945" s="26" t="s">
        <v>156</v>
      </c>
      <c r="E945" s="26" t="s">
        <v>92</v>
      </c>
      <c r="F945" s="26" t="s">
        <v>126</v>
      </c>
      <c r="G945" s="159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thickBot="1" x14ac:dyDescent="0.35">
      <c r="A946" s="14" t="s">
        <v>69</v>
      </c>
      <c r="B946" s="14" t="s">
        <v>70</v>
      </c>
      <c r="C946" s="101">
        <v>0.30555555555555558</v>
      </c>
      <c r="D946" s="14" t="s">
        <v>71</v>
      </c>
      <c r="E946" s="14" t="s">
        <v>72</v>
      </c>
      <c r="F946" s="14" t="s">
        <v>175</v>
      </c>
      <c r="G946" s="160"/>
      <c r="H946" s="15"/>
      <c r="I946" s="16"/>
      <c r="J946" s="16"/>
      <c r="K946" s="16"/>
      <c r="L946" s="16"/>
      <c r="M946" s="16"/>
      <c r="N946" s="16"/>
      <c r="O946" s="17"/>
      <c r="P946" s="16"/>
      <c r="Q946" s="18"/>
      <c r="R946" s="19"/>
    </row>
    <row r="947" spans="1:18" ht="17.399999999999999" customHeight="1" thickBot="1" x14ac:dyDescent="0.35">
      <c r="A947" s="164"/>
      <c r="B947" s="165"/>
      <c r="C947" s="165"/>
      <c r="D947" s="165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6"/>
    </row>
    <row r="948" spans="1:18" ht="22.05" customHeight="1" thickTop="1" thickBot="1" x14ac:dyDescent="0.35">
      <c r="A948" s="161" t="s">
        <v>6</v>
      </c>
      <c r="B948" s="162"/>
      <c r="C948" s="162"/>
      <c r="D948" s="162"/>
      <c r="E948" s="162"/>
      <c r="F948" s="163"/>
      <c r="G948" s="102">
        <v>46048</v>
      </c>
      <c r="H948" s="167" t="s">
        <v>7</v>
      </c>
      <c r="I948" s="162"/>
      <c r="J948" s="162"/>
      <c r="K948" s="162"/>
      <c r="L948" s="162"/>
      <c r="M948" s="162"/>
      <c r="N948" s="162"/>
      <c r="O948" s="162"/>
      <c r="P948" s="162"/>
      <c r="Q948" s="162"/>
      <c r="R948" s="163"/>
    </row>
    <row r="949" spans="1:18" ht="24" customHeight="1" x14ac:dyDescent="0.3">
      <c r="A949" s="20" t="s">
        <v>8</v>
      </c>
      <c r="B949" s="20" t="s">
        <v>9</v>
      </c>
      <c r="C949" s="103" t="s">
        <v>10</v>
      </c>
      <c r="D949" s="20" t="s">
        <v>11</v>
      </c>
      <c r="E949" s="20" t="s">
        <v>12</v>
      </c>
      <c r="F949" s="21" t="s">
        <v>13</v>
      </c>
      <c r="G949" s="22" t="s">
        <v>14</v>
      </c>
      <c r="H949" s="20" t="s">
        <v>15</v>
      </c>
      <c r="I949" s="104" t="s">
        <v>16</v>
      </c>
      <c r="J949" s="23" t="s">
        <v>17</v>
      </c>
      <c r="K949" s="24" t="s">
        <v>18</v>
      </c>
      <c r="L949" s="23" t="s">
        <v>19</v>
      </c>
      <c r="M949" s="23" t="s">
        <v>20</v>
      </c>
      <c r="N949" s="23" t="s">
        <v>21</v>
      </c>
      <c r="O949" s="20" t="s">
        <v>22</v>
      </c>
      <c r="P949" s="103" t="s">
        <v>23</v>
      </c>
      <c r="Q949" s="23" t="s">
        <v>24</v>
      </c>
      <c r="R949" s="20" t="s">
        <v>25</v>
      </c>
    </row>
    <row r="950" spans="1:18" ht="15" customHeight="1" x14ac:dyDescent="0.3">
      <c r="A950" s="8" t="s">
        <v>31</v>
      </c>
      <c r="B950" s="8" t="s">
        <v>58</v>
      </c>
      <c r="C950" s="100">
        <v>0.1701388888888889</v>
      </c>
      <c r="D950" s="8" t="s">
        <v>94</v>
      </c>
      <c r="E950" s="8" t="s">
        <v>29</v>
      </c>
      <c r="F950" s="8" t="s">
        <v>168</v>
      </c>
      <c r="G950" s="158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27" t="s">
        <v>31</v>
      </c>
      <c r="B951" s="27" t="s">
        <v>32</v>
      </c>
      <c r="C951" s="107">
        <v>0.86458333333333337</v>
      </c>
      <c r="D951" s="27" t="s">
        <v>94</v>
      </c>
      <c r="E951" s="27" t="s">
        <v>29</v>
      </c>
      <c r="F951" s="27" t="s">
        <v>169</v>
      </c>
      <c r="G951" s="159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27" t="s">
        <v>31</v>
      </c>
      <c r="B952" s="27" t="s">
        <v>62</v>
      </c>
      <c r="C952" s="107">
        <v>0.52777777777777779</v>
      </c>
      <c r="D952" s="27" t="s">
        <v>94</v>
      </c>
      <c r="E952" s="27" t="s">
        <v>29</v>
      </c>
      <c r="F952" s="27" t="s">
        <v>169</v>
      </c>
      <c r="G952" s="159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26" t="s">
        <v>79</v>
      </c>
      <c r="B953" s="26" t="s">
        <v>150</v>
      </c>
      <c r="C953" s="106">
        <v>0.12847222222222221</v>
      </c>
      <c r="D953" s="26" t="s">
        <v>156</v>
      </c>
      <c r="E953" s="26" t="s">
        <v>29</v>
      </c>
      <c r="F953" s="26" t="s">
        <v>154</v>
      </c>
      <c r="G953" s="159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26" t="s">
        <v>35</v>
      </c>
      <c r="B954" s="26" t="s">
        <v>36</v>
      </c>
      <c r="C954" s="106">
        <v>0.30555555555555558</v>
      </c>
      <c r="D954" s="26" t="s">
        <v>37</v>
      </c>
      <c r="E954" s="26" t="s">
        <v>118</v>
      </c>
      <c r="F954" s="26" t="s">
        <v>55</v>
      </c>
      <c r="G954" s="159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25" t="s">
        <v>35</v>
      </c>
      <c r="B955" s="25" t="s">
        <v>36</v>
      </c>
      <c r="C955" s="105">
        <v>0.30555555555555558</v>
      </c>
      <c r="D955" s="25" t="s">
        <v>40</v>
      </c>
      <c r="E955" s="25" t="s">
        <v>118</v>
      </c>
      <c r="F955" s="25" t="s">
        <v>179</v>
      </c>
      <c r="G955" s="159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25" t="s">
        <v>35</v>
      </c>
      <c r="B956" s="25" t="s">
        <v>36</v>
      </c>
      <c r="C956" s="105">
        <v>0.30555555555555558</v>
      </c>
      <c r="D956" s="25" t="s">
        <v>42</v>
      </c>
      <c r="E956" s="25" t="s">
        <v>118</v>
      </c>
      <c r="F956" s="25" t="s">
        <v>85</v>
      </c>
      <c r="G956" s="159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26" t="s">
        <v>44</v>
      </c>
      <c r="B957" s="26" t="s">
        <v>53</v>
      </c>
      <c r="C957" s="106">
        <v>0.83680555555555558</v>
      </c>
      <c r="D957" s="26" t="s">
        <v>46</v>
      </c>
      <c r="E957" s="26" t="s">
        <v>95</v>
      </c>
      <c r="F957" s="26" t="s">
        <v>178</v>
      </c>
      <c r="G957" s="159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25" t="s">
        <v>44</v>
      </c>
      <c r="B958" s="25" t="s">
        <v>53</v>
      </c>
      <c r="C958" s="105">
        <v>0.83680555555555558</v>
      </c>
      <c r="D958" s="25" t="s">
        <v>49</v>
      </c>
      <c r="E958" s="25" t="s">
        <v>95</v>
      </c>
      <c r="F958" s="25" t="s">
        <v>179</v>
      </c>
      <c r="G958" s="159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25" t="s">
        <v>44</v>
      </c>
      <c r="B959" s="25" t="s">
        <v>53</v>
      </c>
      <c r="C959" s="105">
        <v>0.83680555555555558</v>
      </c>
      <c r="D959" s="25" t="s">
        <v>51</v>
      </c>
      <c r="E959" s="25" t="s">
        <v>95</v>
      </c>
      <c r="F959" s="25" t="s">
        <v>180</v>
      </c>
      <c r="G959" s="159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27" t="s">
        <v>44</v>
      </c>
      <c r="B960" s="27" t="s">
        <v>45</v>
      </c>
      <c r="C960" s="107">
        <v>0.2013888888888889</v>
      </c>
      <c r="D960" s="27" t="s">
        <v>46</v>
      </c>
      <c r="E960" s="27" t="s">
        <v>92</v>
      </c>
      <c r="F960" s="27" t="s">
        <v>178</v>
      </c>
      <c r="G960" s="159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25" t="s">
        <v>44</v>
      </c>
      <c r="B961" s="25" t="s">
        <v>45</v>
      </c>
      <c r="C961" s="105">
        <v>0.2013888888888889</v>
      </c>
      <c r="D961" s="25" t="s">
        <v>49</v>
      </c>
      <c r="E961" s="25" t="s">
        <v>92</v>
      </c>
      <c r="F961" s="25" t="s">
        <v>179</v>
      </c>
      <c r="G961" s="159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25" t="s">
        <v>44</v>
      </c>
      <c r="B962" s="25" t="s">
        <v>45</v>
      </c>
      <c r="C962" s="105">
        <v>0.2013888888888889</v>
      </c>
      <c r="D962" s="25" t="s">
        <v>51</v>
      </c>
      <c r="E962" s="25" t="s">
        <v>92</v>
      </c>
      <c r="F962" s="25" t="s">
        <v>180</v>
      </c>
      <c r="G962" s="159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26" t="s">
        <v>26</v>
      </c>
      <c r="B963" s="26" t="s">
        <v>27</v>
      </c>
      <c r="C963" s="106">
        <v>0.95833333333333337</v>
      </c>
      <c r="D963" s="26" t="s">
        <v>156</v>
      </c>
      <c r="E963" s="26" t="s">
        <v>87</v>
      </c>
      <c r="F963" s="26" t="s">
        <v>126</v>
      </c>
      <c r="G963" s="159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thickBot="1" x14ac:dyDescent="0.35">
      <c r="A964" s="14" t="s">
        <v>69</v>
      </c>
      <c r="B964" s="14" t="s">
        <v>70</v>
      </c>
      <c r="C964" s="101">
        <v>0.30555555555555558</v>
      </c>
      <c r="D964" s="14" t="s">
        <v>71</v>
      </c>
      <c r="E964" s="14" t="s">
        <v>72</v>
      </c>
      <c r="F964" s="14" t="s">
        <v>175</v>
      </c>
      <c r="G964" s="160"/>
      <c r="H964" s="15"/>
      <c r="I964" s="16"/>
      <c r="J964" s="16"/>
      <c r="K964" s="16"/>
      <c r="L964" s="16"/>
      <c r="M964" s="16"/>
      <c r="N964" s="16"/>
      <c r="O964" s="17"/>
      <c r="P964" s="16"/>
      <c r="Q964" s="18"/>
      <c r="R964" s="19"/>
    </row>
    <row r="965" spans="1:18" ht="17.399999999999999" customHeight="1" thickBot="1" x14ac:dyDescent="0.35">
      <c r="A965" s="164"/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6"/>
    </row>
    <row r="966" spans="1:18" ht="22.05" customHeight="1" thickTop="1" thickBot="1" x14ac:dyDescent="0.35">
      <c r="A966" s="161" t="s">
        <v>6</v>
      </c>
      <c r="B966" s="162"/>
      <c r="C966" s="162"/>
      <c r="D966" s="162"/>
      <c r="E966" s="162"/>
      <c r="F966" s="163"/>
      <c r="G966" s="102">
        <v>46049</v>
      </c>
      <c r="H966" s="167" t="s">
        <v>7</v>
      </c>
      <c r="I966" s="162"/>
      <c r="J966" s="162"/>
      <c r="K966" s="162"/>
      <c r="L966" s="162"/>
      <c r="M966" s="162"/>
      <c r="N966" s="162"/>
      <c r="O966" s="162"/>
      <c r="P966" s="162"/>
      <c r="Q966" s="162"/>
      <c r="R966" s="163"/>
    </row>
    <row r="967" spans="1:18" ht="24" customHeight="1" x14ac:dyDescent="0.3">
      <c r="A967" s="20" t="s">
        <v>8</v>
      </c>
      <c r="B967" s="20" t="s">
        <v>9</v>
      </c>
      <c r="C967" s="103" t="s">
        <v>10</v>
      </c>
      <c r="D967" s="20" t="s">
        <v>11</v>
      </c>
      <c r="E967" s="20" t="s">
        <v>12</v>
      </c>
      <c r="F967" s="21" t="s">
        <v>13</v>
      </c>
      <c r="G967" s="22" t="s">
        <v>14</v>
      </c>
      <c r="H967" s="20" t="s">
        <v>15</v>
      </c>
      <c r="I967" s="104" t="s">
        <v>16</v>
      </c>
      <c r="J967" s="23" t="s">
        <v>17</v>
      </c>
      <c r="K967" s="24" t="s">
        <v>18</v>
      </c>
      <c r="L967" s="23" t="s">
        <v>19</v>
      </c>
      <c r="M967" s="23" t="s">
        <v>20</v>
      </c>
      <c r="N967" s="23" t="s">
        <v>21</v>
      </c>
      <c r="O967" s="20" t="s">
        <v>22</v>
      </c>
      <c r="P967" s="103" t="s">
        <v>23</v>
      </c>
      <c r="Q967" s="23" t="s">
        <v>24</v>
      </c>
      <c r="R967" s="20" t="s">
        <v>25</v>
      </c>
    </row>
    <row r="968" spans="1:18" ht="15" customHeight="1" x14ac:dyDescent="0.3">
      <c r="A968" s="8" t="s">
        <v>31</v>
      </c>
      <c r="B968" s="8" t="s">
        <v>58</v>
      </c>
      <c r="C968" s="100">
        <v>0.1701388888888889</v>
      </c>
      <c r="D968" s="8" t="s">
        <v>94</v>
      </c>
      <c r="E968" s="8" t="s">
        <v>29</v>
      </c>
      <c r="F968" s="8" t="s">
        <v>168</v>
      </c>
      <c r="G968" s="158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27" t="s">
        <v>31</v>
      </c>
      <c r="B969" s="27" t="s">
        <v>32</v>
      </c>
      <c r="C969" s="107">
        <v>0.86458333333333337</v>
      </c>
      <c r="D969" s="27" t="s">
        <v>94</v>
      </c>
      <c r="E969" s="27" t="s">
        <v>29</v>
      </c>
      <c r="F969" s="27" t="s">
        <v>169</v>
      </c>
      <c r="G969" s="159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27" t="s">
        <v>31</v>
      </c>
      <c r="B970" s="27" t="s">
        <v>62</v>
      </c>
      <c r="C970" s="107">
        <v>0.52777777777777779</v>
      </c>
      <c r="D970" s="27" t="s">
        <v>94</v>
      </c>
      <c r="E970" s="27" t="s">
        <v>29</v>
      </c>
      <c r="F970" s="27" t="s">
        <v>169</v>
      </c>
      <c r="G970" s="159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26" t="s">
        <v>79</v>
      </c>
      <c r="B971" s="26" t="s">
        <v>119</v>
      </c>
      <c r="C971" s="106">
        <v>0.21527777777777779</v>
      </c>
      <c r="D971" s="26" t="s">
        <v>156</v>
      </c>
      <c r="E971" s="26" t="s">
        <v>72</v>
      </c>
      <c r="F971" s="26" t="s">
        <v>154</v>
      </c>
      <c r="G971" s="159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52" t="s">
        <v>63</v>
      </c>
      <c r="B972" s="52" t="s">
        <v>64</v>
      </c>
      <c r="C972" s="120">
        <v>0.27083333333333331</v>
      </c>
      <c r="D972" s="52" t="s">
        <v>156</v>
      </c>
      <c r="E972" s="52" t="s">
        <v>92</v>
      </c>
      <c r="F972" s="52" t="s">
        <v>183</v>
      </c>
      <c r="G972" s="159"/>
      <c r="H972" s="53" t="s">
        <v>66</v>
      </c>
      <c r="I972" s="121">
        <v>7.1400000000000005E-2</v>
      </c>
      <c r="J972" s="54">
        <v>12</v>
      </c>
      <c r="K972" s="55">
        <v>46348</v>
      </c>
      <c r="L972" s="54">
        <v>12</v>
      </c>
      <c r="M972" s="54">
        <v>0</v>
      </c>
      <c r="N972" s="54">
        <v>0</v>
      </c>
      <c r="O972" s="56" t="s">
        <v>238</v>
      </c>
      <c r="P972" s="122">
        <v>0.27083333333333331</v>
      </c>
      <c r="Q972" s="54">
        <v>168</v>
      </c>
      <c r="R972" s="57" t="s">
        <v>239</v>
      </c>
    </row>
    <row r="973" spans="1:18" ht="15" customHeight="1" x14ac:dyDescent="0.3">
      <c r="A973" s="26" t="s">
        <v>35</v>
      </c>
      <c r="B973" s="26" t="s">
        <v>36</v>
      </c>
      <c r="C973" s="106">
        <v>0.30555555555555558</v>
      </c>
      <c r="D973" s="26" t="s">
        <v>37</v>
      </c>
      <c r="E973" s="26" t="s">
        <v>118</v>
      </c>
      <c r="F973" s="26" t="s">
        <v>55</v>
      </c>
      <c r="G973" s="159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25" t="s">
        <v>35</v>
      </c>
      <c r="B974" s="25" t="s">
        <v>36</v>
      </c>
      <c r="C974" s="105">
        <v>0.30555555555555558</v>
      </c>
      <c r="D974" s="25" t="s">
        <v>40</v>
      </c>
      <c r="E974" s="25" t="s">
        <v>118</v>
      </c>
      <c r="F974" s="25" t="s">
        <v>179</v>
      </c>
      <c r="G974" s="159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25" t="s">
        <v>35</v>
      </c>
      <c r="B975" s="25" t="s">
        <v>36</v>
      </c>
      <c r="C975" s="105">
        <v>0.30555555555555558</v>
      </c>
      <c r="D975" s="25" t="s">
        <v>42</v>
      </c>
      <c r="E975" s="25" t="s">
        <v>118</v>
      </c>
      <c r="F975" s="25" t="s">
        <v>85</v>
      </c>
      <c r="G975" s="159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26" t="s">
        <v>44</v>
      </c>
      <c r="B976" s="26" t="s">
        <v>53</v>
      </c>
      <c r="C976" s="106">
        <v>0.83680555555555558</v>
      </c>
      <c r="D976" s="26" t="s">
        <v>46</v>
      </c>
      <c r="E976" s="26" t="s">
        <v>157</v>
      </c>
      <c r="F976" s="26" t="s">
        <v>178</v>
      </c>
      <c r="G976" s="159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25" t="s">
        <v>44</v>
      </c>
      <c r="B977" s="25" t="s">
        <v>53</v>
      </c>
      <c r="C977" s="105">
        <v>0.83680555555555558</v>
      </c>
      <c r="D977" s="25" t="s">
        <v>49</v>
      </c>
      <c r="E977" s="25" t="s">
        <v>157</v>
      </c>
      <c r="F977" s="25" t="s">
        <v>179</v>
      </c>
      <c r="G977" s="159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25" t="s">
        <v>44</v>
      </c>
      <c r="B978" s="25" t="s">
        <v>53</v>
      </c>
      <c r="C978" s="105">
        <v>0.83680555555555558</v>
      </c>
      <c r="D978" s="25" t="s">
        <v>51</v>
      </c>
      <c r="E978" s="25" t="s">
        <v>157</v>
      </c>
      <c r="F978" s="25" t="s">
        <v>180</v>
      </c>
      <c r="G978" s="159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27" t="s">
        <v>44</v>
      </c>
      <c r="B979" s="27" t="s">
        <v>45</v>
      </c>
      <c r="C979" s="107">
        <v>0.2013888888888889</v>
      </c>
      <c r="D979" s="27" t="s">
        <v>46</v>
      </c>
      <c r="E979" s="27" t="s">
        <v>135</v>
      </c>
      <c r="F979" s="27" t="s">
        <v>178</v>
      </c>
      <c r="G979" s="159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25" t="s">
        <v>44</v>
      </c>
      <c r="B980" s="25" t="s">
        <v>45</v>
      </c>
      <c r="C980" s="105">
        <v>0.2013888888888889</v>
      </c>
      <c r="D980" s="25" t="s">
        <v>49</v>
      </c>
      <c r="E980" s="25" t="s">
        <v>135</v>
      </c>
      <c r="F980" s="25" t="s">
        <v>179</v>
      </c>
      <c r="G980" s="159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25" t="s">
        <v>44</v>
      </c>
      <c r="B981" s="25" t="s">
        <v>45</v>
      </c>
      <c r="C981" s="105">
        <v>0.2013888888888889</v>
      </c>
      <c r="D981" s="25" t="s">
        <v>51</v>
      </c>
      <c r="E981" s="25" t="s">
        <v>135</v>
      </c>
      <c r="F981" s="25" t="s">
        <v>180</v>
      </c>
      <c r="G981" s="159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26" t="s">
        <v>26</v>
      </c>
      <c r="B982" s="26" t="s">
        <v>57</v>
      </c>
      <c r="C982" s="106">
        <v>0.95833333333333337</v>
      </c>
      <c r="D982" s="26" t="s">
        <v>156</v>
      </c>
      <c r="E982" s="26" t="s">
        <v>72</v>
      </c>
      <c r="F982" s="26" t="s">
        <v>126</v>
      </c>
      <c r="G982" s="159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thickBot="1" x14ac:dyDescent="0.35">
      <c r="A983" s="14" t="s">
        <v>69</v>
      </c>
      <c r="B983" s="14" t="s">
        <v>70</v>
      </c>
      <c r="C983" s="101">
        <v>0.30555555555555558</v>
      </c>
      <c r="D983" s="14" t="s">
        <v>71</v>
      </c>
      <c r="E983" s="14" t="s">
        <v>72</v>
      </c>
      <c r="F983" s="14" t="s">
        <v>175</v>
      </c>
      <c r="G983" s="160"/>
      <c r="H983" s="15"/>
      <c r="I983" s="16"/>
      <c r="J983" s="16"/>
      <c r="K983" s="16"/>
      <c r="L983" s="16"/>
      <c r="M983" s="16"/>
      <c r="N983" s="16"/>
      <c r="O983" s="17"/>
      <c r="P983" s="16"/>
      <c r="Q983" s="18"/>
      <c r="R983" s="19"/>
    </row>
    <row r="984" spans="1:18" ht="17.399999999999999" customHeight="1" thickBot="1" x14ac:dyDescent="0.35">
      <c r="A984" s="164"/>
      <c r="B984" s="165"/>
      <c r="C984" s="165"/>
      <c r="D984" s="165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6"/>
    </row>
    <row r="985" spans="1:18" ht="22.05" customHeight="1" thickTop="1" thickBot="1" x14ac:dyDescent="0.35">
      <c r="A985" s="161" t="s">
        <v>6</v>
      </c>
      <c r="B985" s="162"/>
      <c r="C985" s="162"/>
      <c r="D985" s="162"/>
      <c r="E985" s="162"/>
      <c r="F985" s="163"/>
      <c r="G985" s="102">
        <v>46050</v>
      </c>
      <c r="H985" s="167" t="s">
        <v>7</v>
      </c>
      <c r="I985" s="162"/>
      <c r="J985" s="162"/>
      <c r="K985" s="162"/>
      <c r="L985" s="162"/>
      <c r="M985" s="162"/>
      <c r="N985" s="162"/>
      <c r="O985" s="162"/>
      <c r="P985" s="162"/>
      <c r="Q985" s="162"/>
      <c r="R985" s="163"/>
    </row>
    <row r="986" spans="1:18" ht="24" customHeight="1" x14ac:dyDescent="0.3">
      <c r="A986" s="20" t="s">
        <v>8</v>
      </c>
      <c r="B986" s="20" t="s">
        <v>9</v>
      </c>
      <c r="C986" s="103" t="s">
        <v>10</v>
      </c>
      <c r="D986" s="20" t="s">
        <v>11</v>
      </c>
      <c r="E986" s="20" t="s">
        <v>12</v>
      </c>
      <c r="F986" s="21" t="s">
        <v>13</v>
      </c>
      <c r="G986" s="22" t="s">
        <v>14</v>
      </c>
      <c r="H986" s="20" t="s">
        <v>15</v>
      </c>
      <c r="I986" s="104" t="s">
        <v>16</v>
      </c>
      <c r="J986" s="23" t="s">
        <v>17</v>
      </c>
      <c r="K986" s="24" t="s">
        <v>18</v>
      </c>
      <c r="L986" s="23" t="s">
        <v>19</v>
      </c>
      <c r="M986" s="23" t="s">
        <v>20</v>
      </c>
      <c r="N986" s="23" t="s">
        <v>21</v>
      </c>
      <c r="O986" s="20" t="s">
        <v>22</v>
      </c>
      <c r="P986" s="103" t="s">
        <v>23</v>
      </c>
      <c r="Q986" s="23" t="s">
        <v>24</v>
      </c>
      <c r="R986" s="20" t="s">
        <v>25</v>
      </c>
    </row>
    <row r="987" spans="1:18" ht="15" customHeight="1" x14ac:dyDescent="0.3">
      <c r="A987" s="8" t="s">
        <v>31</v>
      </c>
      <c r="B987" s="8" t="s">
        <v>58</v>
      </c>
      <c r="C987" s="100">
        <v>0.1701388888888889</v>
      </c>
      <c r="D987" s="8" t="s">
        <v>94</v>
      </c>
      <c r="E987" s="8" t="s">
        <v>29</v>
      </c>
      <c r="F987" s="8" t="s">
        <v>168</v>
      </c>
      <c r="G987" s="158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27" t="s">
        <v>31</v>
      </c>
      <c r="B988" s="27" t="s">
        <v>32</v>
      </c>
      <c r="C988" s="107">
        <v>0.86458333333333337</v>
      </c>
      <c r="D988" s="27" t="s">
        <v>94</v>
      </c>
      <c r="E988" s="27" t="s">
        <v>29</v>
      </c>
      <c r="F988" s="27" t="s">
        <v>169</v>
      </c>
      <c r="G988" s="159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27" t="s">
        <v>31</v>
      </c>
      <c r="B989" s="27" t="s">
        <v>62</v>
      </c>
      <c r="C989" s="107">
        <v>0.52777777777777779</v>
      </c>
      <c r="D989" s="27" t="s">
        <v>94</v>
      </c>
      <c r="E989" s="27" t="s">
        <v>29</v>
      </c>
      <c r="F989" s="27" t="s">
        <v>169</v>
      </c>
      <c r="G989" s="159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26" t="s">
        <v>79</v>
      </c>
      <c r="B990" s="26" t="s">
        <v>80</v>
      </c>
      <c r="C990" s="106">
        <v>9.0277777777777776E-2</v>
      </c>
      <c r="D990" s="26" t="s">
        <v>156</v>
      </c>
      <c r="E990" s="26" t="s">
        <v>135</v>
      </c>
      <c r="F990" s="26" t="s">
        <v>154</v>
      </c>
      <c r="G990" s="159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26" t="s">
        <v>74</v>
      </c>
      <c r="B991" s="26" t="s">
        <v>75</v>
      </c>
      <c r="C991" s="106">
        <v>0.97222222222222221</v>
      </c>
      <c r="D991" s="26" t="s">
        <v>76</v>
      </c>
      <c r="E991" s="26" t="s">
        <v>47</v>
      </c>
      <c r="F991" s="26" t="s">
        <v>219</v>
      </c>
      <c r="G991" s="159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25" t="s">
        <v>74</v>
      </c>
      <c r="B992" s="25" t="s">
        <v>75</v>
      </c>
      <c r="C992" s="105">
        <v>0.97222222222222221</v>
      </c>
      <c r="D992" s="25" t="s">
        <v>42</v>
      </c>
      <c r="E992" s="25" t="s">
        <v>47</v>
      </c>
      <c r="F992" s="25" t="s">
        <v>220</v>
      </c>
      <c r="G992" s="159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26" t="s">
        <v>35</v>
      </c>
      <c r="B993" s="26" t="s">
        <v>36</v>
      </c>
      <c r="C993" s="106">
        <v>0.30555555555555558</v>
      </c>
      <c r="D993" s="26" t="s">
        <v>37</v>
      </c>
      <c r="E993" s="26" t="s">
        <v>118</v>
      </c>
      <c r="F993" s="26" t="s">
        <v>55</v>
      </c>
      <c r="G993" s="159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25" t="s">
        <v>35</v>
      </c>
      <c r="B994" s="25" t="s">
        <v>36</v>
      </c>
      <c r="C994" s="105">
        <v>0.30555555555555558</v>
      </c>
      <c r="D994" s="25" t="s">
        <v>40</v>
      </c>
      <c r="E994" s="25" t="s">
        <v>118</v>
      </c>
      <c r="F994" s="25" t="s">
        <v>179</v>
      </c>
      <c r="G994" s="159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25" t="s">
        <v>35</v>
      </c>
      <c r="B995" s="25" t="s">
        <v>36</v>
      </c>
      <c r="C995" s="105">
        <v>0.30555555555555558</v>
      </c>
      <c r="D995" s="25" t="s">
        <v>42</v>
      </c>
      <c r="E995" s="25" t="s">
        <v>118</v>
      </c>
      <c r="F995" s="25" t="s">
        <v>85</v>
      </c>
      <c r="G995" s="159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26" t="s">
        <v>44</v>
      </c>
      <c r="B996" s="26" t="s">
        <v>53</v>
      </c>
      <c r="C996" s="106">
        <v>0.83680555555555558</v>
      </c>
      <c r="D996" s="26" t="s">
        <v>46</v>
      </c>
      <c r="E996" s="26" t="s">
        <v>157</v>
      </c>
      <c r="F996" s="26" t="s">
        <v>178</v>
      </c>
      <c r="G996" s="159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25" t="s">
        <v>44</v>
      </c>
      <c r="B997" s="25" t="s">
        <v>53</v>
      </c>
      <c r="C997" s="105">
        <v>0.83680555555555558</v>
      </c>
      <c r="D997" s="25" t="s">
        <v>49</v>
      </c>
      <c r="E997" s="25" t="s">
        <v>157</v>
      </c>
      <c r="F997" s="25" t="s">
        <v>179</v>
      </c>
      <c r="G997" s="159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25" t="s">
        <v>44</v>
      </c>
      <c r="B998" s="25" t="s">
        <v>53</v>
      </c>
      <c r="C998" s="105">
        <v>0.83680555555555558</v>
      </c>
      <c r="D998" s="25" t="s">
        <v>51</v>
      </c>
      <c r="E998" s="25" t="s">
        <v>157</v>
      </c>
      <c r="F998" s="25" t="s">
        <v>180</v>
      </c>
      <c r="G998" s="159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26" t="s">
        <v>26</v>
      </c>
      <c r="B999" s="26" t="s">
        <v>27</v>
      </c>
      <c r="C999" s="106">
        <v>0.89583333333333337</v>
      </c>
      <c r="D999" s="26" t="s">
        <v>156</v>
      </c>
      <c r="E999" s="26" t="s">
        <v>135</v>
      </c>
      <c r="F999" s="26" t="s">
        <v>126</v>
      </c>
      <c r="G999" s="159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thickBot="1" x14ac:dyDescent="0.35">
      <c r="A1000" s="14" t="s">
        <v>69</v>
      </c>
      <c r="B1000" s="14" t="s">
        <v>70</v>
      </c>
      <c r="C1000" s="101">
        <v>0.30555555555555558</v>
      </c>
      <c r="D1000" s="14" t="s">
        <v>71</v>
      </c>
      <c r="E1000" s="14" t="s">
        <v>72</v>
      </c>
      <c r="F1000" s="14" t="s">
        <v>175</v>
      </c>
      <c r="G1000" s="160"/>
      <c r="H1000" s="15"/>
      <c r="I1000" s="16"/>
      <c r="J1000" s="16"/>
      <c r="K1000" s="16"/>
      <c r="L1000" s="16"/>
      <c r="M1000" s="16"/>
      <c r="N1000" s="16"/>
      <c r="O1000" s="17"/>
      <c r="P1000" s="16"/>
      <c r="Q1000" s="18"/>
      <c r="R1000" s="19"/>
    </row>
    <row r="1001" spans="1:18" ht="17.399999999999999" customHeight="1" thickBot="1" x14ac:dyDescent="0.35">
      <c r="A1001" s="164"/>
      <c r="B1001" s="165"/>
      <c r="C1001" s="165"/>
      <c r="D1001" s="165"/>
      <c r="E1001" s="165"/>
      <c r="F1001" s="165"/>
      <c r="G1001" s="165"/>
      <c r="H1001" s="165"/>
      <c r="I1001" s="165"/>
      <c r="J1001" s="165"/>
      <c r="K1001" s="165"/>
      <c r="L1001" s="165"/>
      <c r="M1001" s="165"/>
      <c r="N1001" s="165"/>
      <c r="O1001" s="165"/>
      <c r="P1001" s="165"/>
      <c r="Q1001" s="165"/>
      <c r="R1001" s="166"/>
    </row>
    <row r="1002" spans="1:18" ht="22.05" customHeight="1" thickTop="1" thickBot="1" x14ac:dyDescent="0.35">
      <c r="A1002" s="161" t="s">
        <v>6</v>
      </c>
      <c r="B1002" s="162"/>
      <c r="C1002" s="162"/>
      <c r="D1002" s="162"/>
      <c r="E1002" s="162"/>
      <c r="F1002" s="163"/>
      <c r="G1002" s="102">
        <v>46051</v>
      </c>
      <c r="H1002" s="167" t="s">
        <v>7</v>
      </c>
      <c r="I1002" s="162"/>
      <c r="J1002" s="162"/>
      <c r="K1002" s="162"/>
      <c r="L1002" s="162"/>
      <c r="M1002" s="162"/>
      <c r="N1002" s="162"/>
      <c r="O1002" s="162"/>
      <c r="P1002" s="162"/>
      <c r="Q1002" s="162"/>
      <c r="R1002" s="163"/>
    </row>
    <row r="1003" spans="1:18" ht="24" customHeight="1" x14ac:dyDescent="0.3">
      <c r="A1003" s="20" t="s">
        <v>8</v>
      </c>
      <c r="B1003" s="20" t="s">
        <v>9</v>
      </c>
      <c r="C1003" s="103" t="s">
        <v>10</v>
      </c>
      <c r="D1003" s="20" t="s">
        <v>11</v>
      </c>
      <c r="E1003" s="20" t="s">
        <v>12</v>
      </c>
      <c r="F1003" s="21" t="s">
        <v>13</v>
      </c>
      <c r="G1003" s="22" t="s">
        <v>14</v>
      </c>
      <c r="H1003" s="20" t="s">
        <v>15</v>
      </c>
      <c r="I1003" s="104" t="s">
        <v>16</v>
      </c>
      <c r="J1003" s="23" t="s">
        <v>17</v>
      </c>
      <c r="K1003" s="24" t="s">
        <v>18</v>
      </c>
      <c r="L1003" s="23" t="s">
        <v>19</v>
      </c>
      <c r="M1003" s="23" t="s">
        <v>20</v>
      </c>
      <c r="N1003" s="23" t="s">
        <v>21</v>
      </c>
      <c r="O1003" s="20" t="s">
        <v>22</v>
      </c>
      <c r="P1003" s="103" t="s">
        <v>23</v>
      </c>
      <c r="Q1003" s="23" t="s">
        <v>24</v>
      </c>
      <c r="R1003" s="20" t="s">
        <v>25</v>
      </c>
    </row>
    <row r="1004" spans="1:18" ht="15" customHeight="1" x14ac:dyDescent="0.3">
      <c r="A1004" s="8" t="s">
        <v>31</v>
      </c>
      <c r="B1004" s="8" t="s">
        <v>58</v>
      </c>
      <c r="C1004" s="100">
        <v>0.1701388888888889</v>
      </c>
      <c r="D1004" s="8" t="s">
        <v>94</v>
      </c>
      <c r="E1004" s="8" t="s">
        <v>29</v>
      </c>
      <c r="F1004" s="8" t="s">
        <v>168</v>
      </c>
      <c r="G1004" s="158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27" t="s">
        <v>31</v>
      </c>
      <c r="B1005" s="27" t="s">
        <v>32</v>
      </c>
      <c r="C1005" s="107">
        <v>0.86458333333333337</v>
      </c>
      <c r="D1005" s="27" t="s">
        <v>94</v>
      </c>
      <c r="E1005" s="27" t="s">
        <v>29</v>
      </c>
      <c r="F1005" s="27" t="s">
        <v>169</v>
      </c>
      <c r="G1005" s="159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27" t="s">
        <v>31</v>
      </c>
      <c r="B1006" s="27" t="s">
        <v>62</v>
      </c>
      <c r="C1006" s="107">
        <v>0.52777777777777779</v>
      </c>
      <c r="D1006" s="27" t="s">
        <v>94</v>
      </c>
      <c r="E1006" s="27" t="s">
        <v>29</v>
      </c>
      <c r="F1006" s="27" t="s">
        <v>169</v>
      </c>
      <c r="G1006" s="159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26" t="s">
        <v>79</v>
      </c>
      <c r="B1007" s="26" t="s">
        <v>80</v>
      </c>
      <c r="C1007" s="106">
        <v>0.96527777777777779</v>
      </c>
      <c r="D1007" s="26" t="s">
        <v>156</v>
      </c>
      <c r="E1007" s="26" t="s">
        <v>92</v>
      </c>
      <c r="F1007" s="26" t="s">
        <v>154</v>
      </c>
      <c r="G1007" s="159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26" t="s">
        <v>35</v>
      </c>
      <c r="B1008" s="26" t="s">
        <v>36</v>
      </c>
      <c r="C1008" s="106">
        <v>0.30555555555555558</v>
      </c>
      <c r="D1008" s="26" t="s">
        <v>37</v>
      </c>
      <c r="E1008" s="26" t="s">
        <v>139</v>
      </c>
      <c r="F1008" s="26" t="s">
        <v>55</v>
      </c>
      <c r="G1008" s="159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25" t="s">
        <v>35</v>
      </c>
      <c r="B1009" s="25" t="s">
        <v>36</v>
      </c>
      <c r="C1009" s="105">
        <v>0.30555555555555558</v>
      </c>
      <c r="D1009" s="25" t="s">
        <v>40</v>
      </c>
      <c r="E1009" s="25" t="s">
        <v>139</v>
      </c>
      <c r="F1009" s="25" t="s">
        <v>179</v>
      </c>
      <c r="G1009" s="159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25" t="s">
        <v>35</v>
      </c>
      <c r="B1010" s="25" t="s">
        <v>36</v>
      </c>
      <c r="C1010" s="105">
        <v>0.30555555555555558</v>
      </c>
      <c r="D1010" s="25" t="s">
        <v>42</v>
      </c>
      <c r="E1010" s="25" t="s">
        <v>139</v>
      </c>
      <c r="F1010" s="25" t="s">
        <v>85</v>
      </c>
      <c r="G1010" s="159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26" t="s">
        <v>44</v>
      </c>
      <c r="B1011" s="26" t="s">
        <v>45</v>
      </c>
      <c r="C1011" s="106">
        <v>0.2013888888888889</v>
      </c>
      <c r="D1011" s="26" t="s">
        <v>46</v>
      </c>
      <c r="E1011" s="26" t="s">
        <v>95</v>
      </c>
      <c r="F1011" s="26" t="s">
        <v>178</v>
      </c>
      <c r="G1011" s="159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25" t="s">
        <v>44</v>
      </c>
      <c r="B1012" s="25" t="s">
        <v>45</v>
      </c>
      <c r="C1012" s="105">
        <v>0.2013888888888889</v>
      </c>
      <c r="D1012" s="25" t="s">
        <v>49</v>
      </c>
      <c r="E1012" s="25" t="s">
        <v>95</v>
      </c>
      <c r="F1012" s="25" t="s">
        <v>179</v>
      </c>
      <c r="G1012" s="159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25" t="s">
        <v>44</v>
      </c>
      <c r="B1013" s="25" t="s">
        <v>45</v>
      </c>
      <c r="C1013" s="105">
        <v>0.2013888888888889</v>
      </c>
      <c r="D1013" s="25" t="s">
        <v>51</v>
      </c>
      <c r="E1013" s="25" t="s">
        <v>95</v>
      </c>
      <c r="F1013" s="25" t="s">
        <v>180</v>
      </c>
      <c r="G1013" s="159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27" t="s">
        <v>44</v>
      </c>
      <c r="B1014" s="27" t="s">
        <v>53</v>
      </c>
      <c r="C1014" s="107">
        <v>0.83680555555555558</v>
      </c>
      <c r="D1014" s="27" t="s">
        <v>46</v>
      </c>
      <c r="E1014" s="27" t="s">
        <v>95</v>
      </c>
      <c r="F1014" s="27" t="s">
        <v>210</v>
      </c>
      <c r="G1014" s="159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25" t="s">
        <v>44</v>
      </c>
      <c r="B1015" s="25" t="s">
        <v>53</v>
      </c>
      <c r="C1015" s="105">
        <v>0.83680555555555558</v>
      </c>
      <c r="D1015" s="25" t="s">
        <v>49</v>
      </c>
      <c r="E1015" s="25" t="s">
        <v>95</v>
      </c>
      <c r="F1015" s="25" t="s">
        <v>167</v>
      </c>
      <c r="G1015" s="159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25" t="s">
        <v>44</v>
      </c>
      <c r="B1016" s="25" t="s">
        <v>53</v>
      </c>
      <c r="C1016" s="105">
        <v>0.83680555555555558</v>
      </c>
      <c r="D1016" s="25" t="s">
        <v>51</v>
      </c>
      <c r="E1016" s="25" t="s">
        <v>95</v>
      </c>
      <c r="F1016" s="25" t="s">
        <v>211</v>
      </c>
      <c r="G1016" s="159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26" t="s">
        <v>26</v>
      </c>
      <c r="B1017" s="26" t="s">
        <v>93</v>
      </c>
      <c r="C1017" s="106">
        <v>0.5625</v>
      </c>
      <c r="D1017" s="26" t="s">
        <v>156</v>
      </c>
      <c r="E1017" s="26" t="s">
        <v>72</v>
      </c>
      <c r="F1017" s="26" t="s">
        <v>126</v>
      </c>
      <c r="G1017" s="159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27" t="s">
        <v>26</v>
      </c>
      <c r="B1018" s="27" t="s">
        <v>57</v>
      </c>
      <c r="C1018" s="107">
        <v>0.95833333333333337</v>
      </c>
      <c r="D1018" s="27" t="s">
        <v>156</v>
      </c>
      <c r="E1018" s="27" t="s">
        <v>29</v>
      </c>
      <c r="F1018" s="27" t="s">
        <v>126</v>
      </c>
      <c r="G1018" s="159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65" t="s">
        <v>63</v>
      </c>
      <c r="B1019" s="65" t="s">
        <v>64</v>
      </c>
      <c r="C1019" s="127">
        <v>0.92361111111111116</v>
      </c>
      <c r="D1019" s="65" t="s">
        <v>156</v>
      </c>
      <c r="E1019" s="65" t="s">
        <v>95</v>
      </c>
      <c r="F1019" s="65" t="s">
        <v>65</v>
      </c>
      <c r="G1019" s="159"/>
      <c r="H1019" s="66" t="s">
        <v>66</v>
      </c>
      <c r="I1019" s="128">
        <v>9.5200000000000007E-2</v>
      </c>
      <c r="J1019" s="67">
        <v>16</v>
      </c>
      <c r="K1019" s="68">
        <v>46356</v>
      </c>
      <c r="L1019" s="67">
        <v>16</v>
      </c>
      <c r="M1019" s="67">
        <v>0</v>
      </c>
      <c r="N1019" s="67">
        <v>0</v>
      </c>
      <c r="O1019" s="69" t="s">
        <v>137</v>
      </c>
      <c r="P1019" s="129">
        <v>0.92361111111111116</v>
      </c>
      <c r="Q1019" s="67">
        <v>168</v>
      </c>
      <c r="R1019" s="70" t="s">
        <v>240</v>
      </c>
    </row>
    <row r="1020" spans="1:18" ht="15" customHeight="1" thickBot="1" x14ac:dyDescent="0.35">
      <c r="A1020" s="14" t="s">
        <v>69</v>
      </c>
      <c r="B1020" s="14" t="s">
        <v>70</v>
      </c>
      <c r="C1020" s="101">
        <v>0.30555555555555558</v>
      </c>
      <c r="D1020" s="14" t="s">
        <v>71</v>
      </c>
      <c r="E1020" s="14" t="s">
        <v>72</v>
      </c>
      <c r="F1020" s="14" t="s">
        <v>175</v>
      </c>
      <c r="G1020" s="160"/>
      <c r="H1020" s="15"/>
      <c r="I1020" s="16"/>
      <c r="J1020" s="16"/>
      <c r="K1020" s="16"/>
      <c r="L1020" s="16"/>
      <c r="M1020" s="16"/>
      <c r="N1020" s="16"/>
      <c r="O1020" s="17"/>
      <c r="P1020" s="16"/>
      <c r="Q1020" s="18"/>
      <c r="R1020" s="19"/>
    </row>
    <row r="1021" spans="1:18" ht="17.399999999999999" customHeight="1" thickBot="1" x14ac:dyDescent="0.35">
      <c r="A1021" s="164"/>
      <c r="B1021" s="165"/>
      <c r="C1021" s="165"/>
      <c r="D1021" s="165"/>
      <c r="E1021" s="165"/>
      <c r="F1021" s="165"/>
      <c r="G1021" s="165"/>
      <c r="H1021" s="165"/>
      <c r="I1021" s="165"/>
      <c r="J1021" s="165"/>
      <c r="K1021" s="165"/>
      <c r="L1021" s="165"/>
      <c r="M1021" s="165"/>
      <c r="N1021" s="165"/>
      <c r="O1021" s="165"/>
      <c r="P1021" s="165"/>
      <c r="Q1021" s="165"/>
      <c r="R1021" s="166"/>
    </row>
    <row r="1022" spans="1:18" ht="22.05" customHeight="1" thickTop="1" thickBot="1" x14ac:dyDescent="0.35">
      <c r="A1022" s="161" t="s">
        <v>6</v>
      </c>
      <c r="B1022" s="162"/>
      <c r="C1022" s="162"/>
      <c r="D1022" s="162"/>
      <c r="E1022" s="162"/>
      <c r="F1022" s="163"/>
      <c r="G1022" s="102">
        <v>46052</v>
      </c>
      <c r="H1022" s="167" t="s">
        <v>7</v>
      </c>
      <c r="I1022" s="162"/>
      <c r="J1022" s="162"/>
      <c r="K1022" s="162"/>
      <c r="L1022" s="162"/>
      <c r="M1022" s="162"/>
      <c r="N1022" s="162"/>
      <c r="O1022" s="162"/>
      <c r="P1022" s="162"/>
      <c r="Q1022" s="162"/>
      <c r="R1022" s="163"/>
    </row>
    <row r="1023" spans="1:18" ht="24" customHeight="1" x14ac:dyDescent="0.3">
      <c r="A1023" s="20" t="s">
        <v>8</v>
      </c>
      <c r="B1023" s="20" t="s">
        <v>9</v>
      </c>
      <c r="C1023" s="103" t="s">
        <v>10</v>
      </c>
      <c r="D1023" s="20" t="s">
        <v>11</v>
      </c>
      <c r="E1023" s="20" t="s">
        <v>12</v>
      </c>
      <c r="F1023" s="21" t="s">
        <v>13</v>
      </c>
      <c r="G1023" s="22" t="s">
        <v>14</v>
      </c>
      <c r="H1023" s="20" t="s">
        <v>15</v>
      </c>
      <c r="I1023" s="104" t="s">
        <v>16</v>
      </c>
      <c r="J1023" s="23" t="s">
        <v>17</v>
      </c>
      <c r="K1023" s="24" t="s">
        <v>18</v>
      </c>
      <c r="L1023" s="23" t="s">
        <v>19</v>
      </c>
      <c r="M1023" s="23" t="s">
        <v>20</v>
      </c>
      <c r="N1023" s="23" t="s">
        <v>21</v>
      </c>
      <c r="O1023" s="20" t="s">
        <v>22</v>
      </c>
      <c r="P1023" s="103" t="s">
        <v>23</v>
      </c>
      <c r="Q1023" s="23" t="s">
        <v>24</v>
      </c>
      <c r="R1023" s="20" t="s">
        <v>25</v>
      </c>
    </row>
    <row r="1024" spans="1:18" ht="15" customHeight="1" x14ac:dyDescent="0.3">
      <c r="A1024" s="8" t="s">
        <v>35</v>
      </c>
      <c r="B1024" s="8" t="s">
        <v>36</v>
      </c>
      <c r="C1024" s="100">
        <v>0.30555555555555558</v>
      </c>
      <c r="D1024" s="8" t="s">
        <v>37</v>
      </c>
      <c r="E1024" s="8" t="s">
        <v>241</v>
      </c>
      <c r="F1024" s="8" t="s">
        <v>176</v>
      </c>
      <c r="G1024" s="168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25" t="s">
        <v>35</v>
      </c>
      <c r="B1025" s="25" t="s">
        <v>36</v>
      </c>
      <c r="C1025" s="105">
        <v>0.30555555555555558</v>
      </c>
      <c r="D1025" s="25" t="s">
        <v>40</v>
      </c>
      <c r="E1025" s="25" t="s">
        <v>241</v>
      </c>
      <c r="F1025" s="25" t="s">
        <v>166</v>
      </c>
      <c r="G1025" s="159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25" t="s">
        <v>35</v>
      </c>
      <c r="B1026" s="25" t="s">
        <v>36</v>
      </c>
      <c r="C1026" s="105">
        <v>0.30555555555555558</v>
      </c>
      <c r="D1026" s="25" t="s">
        <v>42</v>
      </c>
      <c r="E1026" s="25" t="s">
        <v>241</v>
      </c>
      <c r="F1026" s="25" t="s">
        <v>85</v>
      </c>
      <c r="G1026" s="159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26" t="s">
        <v>31</v>
      </c>
      <c r="B1027" s="26" t="s">
        <v>58</v>
      </c>
      <c r="C1027" s="106">
        <v>0.1701388888888889</v>
      </c>
      <c r="D1027" s="26" t="s">
        <v>94</v>
      </c>
      <c r="E1027" s="26" t="s">
        <v>29</v>
      </c>
      <c r="F1027" s="26" t="s">
        <v>168</v>
      </c>
      <c r="G1027" s="159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27" t="s">
        <v>31</v>
      </c>
      <c r="B1028" s="27" t="s">
        <v>32</v>
      </c>
      <c r="C1028" s="107">
        <v>0.86458333333333337</v>
      </c>
      <c r="D1028" s="27" t="s">
        <v>94</v>
      </c>
      <c r="E1028" s="27" t="s">
        <v>29</v>
      </c>
      <c r="F1028" s="27" t="s">
        <v>169</v>
      </c>
      <c r="G1028" s="159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27" t="s">
        <v>31</v>
      </c>
      <c r="B1029" s="27" t="s">
        <v>62</v>
      </c>
      <c r="C1029" s="107">
        <v>0.52777777777777779</v>
      </c>
      <c r="D1029" s="27" t="s">
        <v>94</v>
      </c>
      <c r="E1029" s="27" t="s">
        <v>29</v>
      </c>
      <c r="F1029" s="27" t="s">
        <v>223</v>
      </c>
      <c r="G1029" s="159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26" t="s">
        <v>79</v>
      </c>
      <c r="B1030" s="26" t="s">
        <v>119</v>
      </c>
      <c r="C1030" s="106">
        <v>0.21527777777777779</v>
      </c>
      <c r="D1030" s="26" t="s">
        <v>156</v>
      </c>
      <c r="E1030" s="26" t="s">
        <v>72</v>
      </c>
      <c r="F1030" s="26" t="s">
        <v>154</v>
      </c>
      <c r="G1030" s="159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26" t="s">
        <v>44</v>
      </c>
      <c r="B1031" s="26" t="s">
        <v>53</v>
      </c>
      <c r="C1031" s="106">
        <v>0.83680555555555558</v>
      </c>
      <c r="D1031" s="26" t="s">
        <v>46</v>
      </c>
      <c r="E1031" s="26" t="s">
        <v>157</v>
      </c>
      <c r="F1031" s="26" t="s">
        <v>178</v>
      </c>
      <c r="G1031" s="159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25" t="s">
        <v>44</v>
      </c>
      <c r="B1032" s="25" t="s">
        <v>53</v>
      </c>
      <c r="C1032" s="105">
        <v>0.83680555555555558</v>
      </c>
      <c r="D1032" s="25" t="s">
        <v>49</v>
      </c>
      <c r="E1032" s="25" t="s">
        <v>157</v>
      </c>
      <c r="F1032" s="25" t="s">
        <v>179</v>
      </c>
      <c r="G1032" s="159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25" t="s">
        <v>44</v>
      </c>
      <c r="B1033" s="25" t="s">
        <v>53</v>
      </c>
      <c r="C1033" s="105">
        <v>0.83680555555555558</v>
      </c>
      <c r="D1033" s="25" t="s">
        <v>51</v>
      </c>
      <c r="E1033" s="25" t="s">
        <v>157</v>
      </c>
      <c r="F1033" s="25" t="s">
        <v>180</v>
      </c>
      <c r="G1033" s="159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26" t="s">
        <v>26</v>
      </c>
      <c r="B1034" s="26" t="s">
        <v>27</v>
      </c>
      <c r="C1034" s="106">
        <v>0.95833333333333337</v>
      </c>
      <c r="D1034" s="26" t="s">
        <v>156</v>
      </c>
      <c r="E1034" s="26" t="s">
        <v>121</v>
      </c>
      <c r="F1034" s="26" t="s">
        <v>126</v>
      </c>
      <c r="G1034" s="159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65" t="s">
        <v>63</v>
      </c>
      <c r="B1035" s="65" t="s">
        <v>64</v>
      </c>
      <c r="C1035" s="127">
        <v>0.57986111111111116</v>
      </c>
      <c r="D1035" s="65" t="s">
        <v>156</v>
      </c>
      <c r="E1035" s="65" t="s">
        <v>87</v>
      </c>
      <c r="F1035" s="65" t="s">
        <v>65</v>
      </c>
      <c r="G1035" s="159"/>
      <c r="H1035" s="66" t="s">
        <v>66</v>
      </c>
      <c r="I1035" s="128">
        <v>7.7399999999999997E-2</v>
      </c>
      <c r="J1035" s="67">
        <v>13</v>
      </c>
      <c r="K1035" s="68">
        <v>46353</v>
      </c>
      <c r="L1035" s="67">
        <v>13</v>
      </c>
      <c r="M1035" s="67">
        <v>0</v>
      </c>
      <c r="N1035" s="67">
        <v>0</v>
      </c>
      <c r="O1035" s="69" t="s">
        <v>232</v>
      </c>
      <c r="P1035" s="129">
        <v>0.57986111111111116</v>
      </c>
      <c r="Q1035" s="67">
        <v>168</v>
      </c>
      <c r="R1035" s="70" t="s">
        <v>242</v>
      </c>
    </row>
    <row r="1036" spans="1:18" ht="15" customHeight="1" thickBot="1" x14ac:dyDescent="0.35">
      <c r="A1036" s="14" t="s">
        <v>69</v>
      </c>
      <c r="B1036" s="14" t="s">
        <v>70</v>
      </c>
      <c r="C1036" s="101">
        <v>0.30555555555555558</v>
      </c>
      <c r="D1036" s="14" t="s">
        <v>71</v>
      </c>
      <c r="E1036" s="14" t="s">
        <v>72</v>
      </c>
      <c r="F1036" s="14" t="s">
        <v>175</v>
      </c>
      <c r="G1036" s="160"/>
      <c r="H1036" s="15"/>
      <c r="I1036" s="16"/>
      <c r="J1036" s="16"/>
      <c r="K1036" s="16"/>
      <c r="L1036" s="16"/>
      <c r="M1036" s="16"/>
      <c r="N1036" s="16"/>
      <c r="O1036" s="17"/>
      <c r="P1036" s="16"/>
      <c r="Q1036" s="18"/>
      <c r="R1036" s="19"/>
    </row>
    <row r="1037" spans="1:18" ht="17.399999999999999" customHeight="1" thickBot="1" x14ac:dyDescent="0.35">
      <c r="A1037" s="164"/>
      <c r="B1037" s="165"/>
      <c r="C1037" s="165"/>
      <c r="D1037" s="165"/>
      <c r="E1037" s="165"/>
      <c r="F1037" s="165"/>
      <c r="G1037" s="165"/>
      <c r="H1037" s="165"/>
      <c r="I1037" s="165"/>
      <c r="J1037" s="165"/>
      <c r="K1037" s="165"/>
      <c r="L1037" s="165"/>
      <c r="M1037" s="165"/>
      <c r="N1037" s="165"/>
      <c r="O1037" s="165"/>
      <c r="P1037" s="165"/>
      <c r="Q1037" s="165"/>
      <c r="R1037" s="166"/>
    </row>
    <row r="1038" spans="1:18" ht="22.05" customHeight="1" thickTop="1" thickBot="1" x14ac:dyDescent="0.35">
      <c r="A1038" s="161" t="s">
        <v>6</v>
      </c>
      <c r="B1038" s="162"/>
      <c r="C1038" s="162"/>
      <c r="D1038" s="162"/>
      <c r="E1038" s="162"/>
      <c r="F1038" s="163"/>
      <c r="G1038" s="102">
        <v>46053</v>
      </c>
      <c r="H1038" s="167" t="s">
        <v>7</v>
      </c>
      <c r="I1038" s="162"/>
      <c r="J1038" s="162"/>
      <c r="K1038" s="162"/>
      <c r="L1038" s="162"/>
      <c r="M1038" s="162"/>
      <c r="N1038" s="162"/>
      <c r="O1038" s="162"/>
      <c r="P1038" s="162"/>
      <c r="Q1038" s="162"/>
      <c r="R1038" s="163"/>
    </row>
    <row r="1039" spans="1:18" ht="24" customHeight="1" x14ac:dyDescent="0.3">
      <c r="A1039" s="20" t="s">
        <v>8</v>
      </c>
      <c r="B1039" s="20" t="s">
        <v>9</v>
      </c>
      <c r="C1039" s="103" t="s">
        <v>10</v>
      </c>
      <c r="D1039" s="20" t="s">
        <v>11</v>
      </c>
      <c r="E1039" s="20" t="s">
        <v>12</v>
      </c>
      <c r="F1039" s="21" t="s">
        <v>13</v>
      </c>
      <c r="G1039" s="22" t="s">
        <v>14</v>
      </c>
      <c r="H1039" s="20" t="s">
        <v>15</v>
      </c>
      <c r="I1039" s="104" t="s">
        <v>16</v>
      </c>
      <c r="J1039" s="23" t="s">
        <v>17</v>
      </c>
      <c r="K1039" s="24" t="s">
        <v>18</v>
      </c>
      <c r="L1039" s="23" t="s">
        <v>19</v>
      </c>
      <c r="M1039" s="23" t="s">
        <v>20</v>
      </c>
      <c r="N1039" s="23" t="s">
        <v>21</v>
      </c>
      <c r="O1039" s="20" t="s">
        <v>22</v>
      </c>
      <c r="P1039" s="103" t="s">
        <v>23</v>
      </c>
      <c r="Q1039" s="23" t="s">
        <v>24</v>
      </c>
      <c r="R1039" s="20" t="s">
        <v>25</v>
      </c>
    </row>
    <row r="1040" spans="1:18" ht="15" customHeight="1" x14ac:dyDescent="0.3">
      <c r="A1040" s="8" t="s">
        <v>35</v>
      </c>
      <c r="B1040" s="8" t="s">
        <v>36</v>
      </c>
      <c r="C1040" s="100">
        <v>0.30555555555555558</v>
      </c>
      <c r="D1040" s="8" t="s">
        <v>37</v>
      </c>
      <c r="E1040" s="8" t="s">
        <v>241</v>
      </c>
      <c r="F1040" s="8" t="s">
        <v>176</v>
      </c>
      <c r="G1040" s="168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25" t="s">
        <v>35</v>
      </c>
      <c r="B1041" s="25" t="s">
        <v>36</v>
      </c>
      <c r="C1041" s="105">
        <v>0.30555555555555558</v>
      </c>
      <c r="D1041" s="25" t="s">
        <v>40</v>
      </c>
      <c r="E1041" s="25" t="s">
        <v>241</v>
      </c>
      <c r="F1041" s="25" t="s">
        <v>166</v>
      </c>
      <c r="G1041" s="159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25" t="s">
        <v>35</v>
      </c>
      <c r="B1042" s="25" t="s">
        <v>36</v>
      </c>
      <c r="C1042" s="105">
        <v>0.30555555555555558</v>
      </c>
      <c r="D1042" s="25" t="s">
        <v>42</v>
      </c>
      <c r="E1042" s="25" t="s">
        <v>241</v>
      </c>
      <c r="F1042" s="25" t="s">
        <v>85</v>
      </c>
      <c r="G1042" s="159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26" t="s">
        <v>31</v>
      </c>
      <c r="B1043" s="26" t="s">
        <v>58</v>
      </c>
      <c r="C1043" s="106">
        <v>0.1701388888888889</v>
      </c>
      <c r="D1043" s="26" t="s">
        <v>94</v>
      </c>
      <c r="E1043" s="26" t="s">
        <v>29</v>
      </c>
      <c r="F1043" s="26" t="s">
        <v>168</v>
      </c>
      <c r="G1043" s="159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27" t="s">
        <v>31</v>
      </c>
      <c r="B1044" s="27" t="s">
        <v>32</v>
      </c>
      <c r="C1044" s="107">
        <v>0.86458333333333337</v>
      </c>
      <c r="D1044" s="27" t="s">
        <v>94</v>
      </c>
      <c r="E1044" s="27" t="s">
        <v>29</v>
      </c>
      <c r="F1044" s="27" t="s">
        <v>169</v>
      </c>
      <c r="G1044" s="159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27" t="s">
        <v>31</v>
      </c>
      <c r="B1045" s="27" t="s">
        <v>62</v>
      </c>
      <c r="C1045" s="107">
        <v>0.52777777777777779</v>
      </c>
      <c r="D1045" s="27" t="s">
        <v>94</v>
      </c>
      <c r="E1045" s="27" t="s">
        <v>29</v>
      </c>
      <c r="F1045" s="27" t="s">
        <v>169</v>
      </c>
      <c r="G1045" s="159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26" t="s">
        <v>74</v>
      </c>
      <c r="B1046" s="26" t="s">
        <v>75</v>
      </c>
      <c r="C1046" s="106">
        <v>0.97222222222222221</v>
      </c>
      <c r="D1046" s="26" t="s">
        <v>76</v>
      </c>
      <c r="E1046" s="26" t="s">
        <v>47</v>
      </c>
      <c r="F1046" s="26" t="s">
        <v>225</v>
      </c>
      <c r="G1046" s="159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25" t="s">
        <v>74</v>
      </c>
      <c r="B1047" s="25" t="s">
        <v>75</v>
      </c>
      <c r="C1047" s="105">
        <v>0.97222222222222221</v>
      </c>
      <c r="D1047" s="25" t="s">
        <v>42</v>
      </c>
      <c r="E1047" s="25" t="s">
        <v>47</v>
      </c>
      <c r="F1047" s="25" t="s">
        <v>226</v>
      </c>
      <c r="G1047" s="159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26" t="s">
        <v>44</v>
      </c>
      <c r="B1048" s="26" t="s">
        <v>53</v>
      </c>
      <c r="C1048" s="106">
        <v>0.83680555555555558</v>
      </c>
      <c r="D1048" s="26" t="s">
        <v>46</v>
      </c>
      <c r="E1048" s="26" t="s">
        <v>135</v>
      </c>
      <c r="F1048" s="26" t="s">
        <v>178</v>
      </c>
      <c r="G1048" s="159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25" t="s">
        <v>44</v>
      </c>
      <c r="B1049" s="25" t="s">
        <v>53</v>
      </c>
      <c r="C1049" s="105">
        <v>0.83680555555555558</v>
      </c>
      <c r="D1049" s="25" t="s">
        <v>49</v>
      </c>
      <c r="E1049" s="25" t="s">
        <v>135</v>
      </c>
      <c r="F1049" s="25" t="s">
        <v>179</v>
      </c>
      <c r="G1049" s="159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25" t="s">
        <v>44</v>
      </c>
      <c r="B1050" s="25" t="s">
        <v>53</v>
      </c>
      <c r="C1050" s="105">
        <v>0.83680555555555558</v>
      </c>
      <c r="D1050" s="25" t="s">
        <v>51</v>
      </c>
      <c r="E1050" s="25" t="s">
        <v>135</v>
      </c>
      <c r="F1050" s="25" t="s">
        <v>180</v>
      </c>
      <c r="G1050" s="159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27" t="s">
        <v>44</v>
      </c>
      <c r="B1051" s="27" t="s">
        <v>45</v>
      </c>
      <c r="C1051" s="107">
        <v>0.2013888888888889</v>
      </c>
      <c r="D1051" s="27" t="s">
        <v>46</v>
      </c>
      <c r="E1051" s="27" t="s">
        <v>95</v>
      </c>
      <c r="F1051" s="27" t="s">
        <v>178</v>
      </c>
      <c r="G1051" s="159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25" t="s">
        <v>44</v>
      </c>
      <c r="B1052" s="25" t="s">
        <v>45</v>
      </c>
      <c r="C1052" s="105">
        <v>0.2013888888888889</v>
      </c>
      <c r="D1052" s="25" t="s">
        <v>49</v>
      </c>
      <c r="E1052" s="25" t="s">
        <v>95</v>
      </c>
      <c r="F1052" s="25" t="s">
        <v>179</v>
      </c>
      <c r="G1052" s="159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25" t="s">
        <v>44</v>
      </c>
      <c r="B1053" s="25" t="s">
        <v>45</v>
      </c>
      <c r="C1053" s="105">
        <v>0.2013888888888889</v>
      </c>
      <c r="D1053" s="25" t="s">
        <v>51</v>
      </c>
      <c r="E1053" s="25" t="s">
        <v>95</v>
      </c>
      <c r="F1053" s="25" t="s">
        <v>180</v>
      </c>
      <c r="G1053" s="159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26" t="s">
        <v>26</v>
      </c>
      <c r="B1054" s="26" t="s">
        <v>57</v>
      </c>
      <c r="C1054" s="106">
        <v>0.89583333333333337</v>
      </c>
      <c r="D1054" s="26" t="s">
        <v>156</v>
      </c>
      <c r="E1054" s="26" t="s">
        <v>157</v>
      </c>
      <c r="F1054" s="26" t="s">
        <v>126</v>
      </c>
      <c r="G1054" s="159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28" t="s">
        <v>63</v>
      </c>
      <c r="B1055" s="28" t="s">
        <v>64</v>
      </c>
      <c r="C1055" s="108">
        <v>0.92361111111111116</v>
      </c>
      <c r="D1055" s="28" t="s">
        <v>156</v>
      </c>
      <c r="E1055" s="28" t="s">
        <v>157</v>
      </c>
      <c r="F1055" s="28" t="s">
        <v>65</v>
      </c>
      <c r="G1055" s="159"/>
      <c r="H1055" s="29" t="s">
        <v>66</v>
      </c>
      <c r="I1055" s="109">
        <v>0.1071</v>
      </c>
      <c r="J1055" s="30">
        <v>18</v>
      </c>
      <c r="K1055" s="31">
        <v>46355</v>
      </c>
      <c r="L1055" s="30">
        <v>18</v>
      </c>
      <c r="M1055" s="30">
        <v>0</v>
      </c>
      <c r="N1055" s="30">
        <v>0</v>
      </c>
      <c r="O1055" s="32" t="s">
        <v>170</v>
      </c>
      <c r="P1055" s="110">
        <v>0.92361111111111116</v>
      </c>
      <c r="Q1055" s="30">
        <v>168</v>
      </c>
      <c r="R1055" s="33" t="s">
        <v>243</v>
      </c>
    </row>
    <row r="1056" spans="1:18" ht="15" customHeight="1" x14ac:dyDescent="0.3">
      <c r="A1056" s="26" t="s">
        <v>79</v>
      </c>
      <c r="B1056" s="26" t="s">
        <v>80</v>
      </c>
      <c r="C1056" s="106">
        <v>0.54861111111111116</v>
      </c>
      <c r="D1056" s="26" t="s">
        <v>156</v>
      </c>
      <c r="E1056" s="26" t="s">
        <v>29</v>
      </c>
      <c r="F1056" s="26" t="s">
        <v>172</v>
      </c>
      <c r="G1056" s="159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69</v>
      </c>
      <c r="B1057" s="14" t="s">
        <v>70</v>
      </c>
      <c r="C1057" s="101">
        <v>0.30555555555555558</v>
      </c>
      <c r="D1057" s="14" t="s">
        <v>71</v>
      </c>
      <c r="E1057" s="14" t="s">
        <v>72</v>
      </c>
      <c r="F1057" s="14" t="s">
        <v>175</v>
      </c>
      <c r="G1057" s="160"/>
      <c r="H1057" s="15"/>
      <c r="I1057" s="16"/>
      <c r="J1057" s="16"/>
      <c r="K1057" s="16"/>
      <c r="L1057" s="16"/>
      <c r="M1057" s="16"/>
      <c r="N1057" s="16"/>
      <c r="O1057" s="17"/>
      <c r="P1057" s="16"/>
      <c r="Q1057" s="18"/>
      <c r="R1057" s="19"/>
    </row>
  </sheetData>
  <mergeCells count="254">
    <mergeCell ref="H1038:R1038"/>
    <mergeCell ref="H99:R99"/>
    <mergeCell ref="A347:R347"/>
    <mergeCell ref="G878:G894"/>
    <mergeCell ref="H131:R131"/>
    <mergeCell ref="H27:R27"/>
    <mergeCell ref="G558:G569"/>
    <mergeCell ref="H214:R214"/>
    <mergeCell ref="H245:R245"/>
    <mergeCell ref="A555:R555"/>
    <mergeCell ref="H714:R714"/>
    <mergeCell ref="A1021:R1021"/>
    <mergeCell ref="A178:R178"/>
    <mergeCell ref="H661:R661"/>
    <mergeCell ref="A859:F859"/>
    <mergeCell ref="A948:F948"/>
    <mergeCell ref="A733:F733"/>
    <mergeCell ref="H489:R489"/>
    <mergeCell ref="A1002:F1002"/>
    <mergeCell ref="A194:F194"/>
    <mergeCell ref="H64:R64"/>
    <mergeCell ref="A607:R607"/>
    <mergeCell ref="H453:R453"/>
    <mergeCell ref="G1024:G1036"/>
    <mergeCell ref="A4:F4"/>
    <mergeCell ref="A681:F681"/>
    <mergeCell ref="H822:R822"/>
    <mergeCell ref="H589:R589"/>
    <mergeCell ref="G914:G931"/>
    <mergeCell ref="H1002:R1002"/>
    <mergeCell ref="A588:R588"/>
    <mergeCell ref="H840:R840"/>
    <mergeCell ref="A696:F696"/>
    <mergeCell ref="H228:R228"/>
    <mergeCell ref="G772:G784"/>
    <mergeCell ref="A770:F770"/>
    <mergeCell ref="H526:R526"/>
    <mergeCell ref="G610:G623"/>
    <mergeCell ref="A966:F966"/>
    <mergeCell ref="G133:G147"/>
    <mergeCell ref="G151:G164"/>
    <mergeCell ref="A839:R839"/>
    <mergeCell ref="H896:R896"/>
    <mergeCell ref="H439:R439"/>
    <mergeCell ref="H263:R263"/>
    <mergeCell ref="H377:R377"/>
    <mergeCell ref="G168:G177"/>
    <mergeCell ref="H334:R334"/>
    <mergeCell ref="N1:R1"/>
    <mergeCell ref="A299:F299"/>
    <mergeCell ref="A660:R660"/>
    <mergeCell ref="A43:R43"/>
    <mergeCell ref="G196:G212"/>
    <mergeCell ref="G66:G77"/>
    <mergeCell ref="A661:F661"/>
    <mergeCell ref="H933:R933"/>
    <mergeCell ref="A525:R525"/>
    <mergeCell ref="A932:R932"/>
    <mergeCell ref="A471:F471"/>
    <mergeCell ref="K2:R2"/>
    <mergeCell ref="A245:F245"/>
    <mergeCell ref="G735:G748"/>
    <mergeCell ref="G898:G910"/>
    <mergeCell ref="A680:R680"/>
    <mergeCell ref="A488:R488"/>
    <mergeCell ref="A644:R644"/>
    <mergeCell ref="H859:R859"/>
    <mergeCell ref="G350:G364"/>
    <mergeCell ref="G473:G487"/>
    <mergeCell ref="A571:F571"/>
    <mergeCell ref="G415:G417"/>
    <mergeCell ref="A807:F807"/>
    <mergeCell ref="G29:G42"/>
    <mergeCell ref="A695:R695"/>
    <mergeCell ref="A113:R113"/>
    <mergeCell ref="G824:G838"/>
    <mergeCell ref="G538:G554"/>
    <mergeCell ref="A750:F750"/>
    <mergeCell ref="A769:R769"/>
    <mergeCell ref="A279:R279"/>
    <mergeCell ref="A79:F79"/>
    <mergeCell ref="G441:G451"/>
    <mergeCell ref="A505:R505"/>
    <mergeCell ref="A570:R570"/>
    <mergeCell ref="A78:R78"/>
    <mergeCell ref="H750:R750"/>
    <mergeCell ref="G247:G261"/>
    <mergeCell ref="G265:G278"/>
    <mergeCell ref="A413:F413"/>
    <mergeCell ref="A749:R749"/>
    <mergeCell ref="H280:R280"/>
    <mergeCell ref="H786:R786"/>
    <mergeCell ref="G421:G437"/>
    <mergeCell ref="H314:R314"/>
    <mergeCell ref="G216:G226"/>
    <mergeCell ref="G455:G469"/>
    <mergeCell ref="G6:G7"/>
    <mergeCell ref="A298:R298"/>
    <mergeCell ref="G2:J2"/>
    <mergeCell ref="A131:F131"/>
    <mergeCell ref="H471:R471"/>
    <mergeCell ref="G627:G643"/>
    <mergeCell ref="A470:R470"/>
    <mergeCell ref="G282:G297"/>
    <mergeCell ref="A732:R732"/>
    <mergeCell ref="A148:R148"/>
    <mergeCell ref="G368:G375"/>
    <mergeCell ref="H645:R645"/>
    <mergeCell ref="A334:F334"/>
    <mergeCell ref="G683:G694"/>
    <mergeCell ref="G81:G97"/>
    <mergeCell ref="H4:R4"/>
    <mergeCell ref="H44:R44"/>
    <mergeCell ref="A3:R3"/>
    <mergeCell ref="A9:F9"/>
    <mergeCell ref="G336:G346"/>
    <mergeCell ref="H419:R419"/>
    <mergeCell ref="A314:F314"/>
    <mergeCell ref="A114:F114"/>
    <mergeCell ref="G663:G679"/>
    <mergeCell ref="G11:G25"/>
    <mergeCell ref="A193:R193"/>
    <mergeCell ref="A418:R418"/>
    <mergeCell ref="A556:F556"/>
    <mergeCell ref="A179:F179"/>
    <mergeCell ref="A2:F2"/>
    <mergeCell ref="A26:R26"/>
    <mergeCell ref="G379:G392"/>
    <mergeCell ref="H1022:R1022"/>
    <mergeCell ref="H733:R733"/>
    <mergeCell ref="A875:R875"/>
    <mergeCell ref="A713:R713"/>
    <mergeCell ref="A489:F489"/>
    <mergeCell ref="G591:G606"/>
    <mergeCell ref="A313:R313"/>
    <mergeCell ref="G968:G983"/>
    <mergeCell ref="H625:R625"/>
    <mergeCell ref="A896:F896"/>
    <mergeCell ref="H506:R506"/>
    <mergeCell ref="G301:G312"/>
    <mergeCell ref="A439:F439"/>
    <mergeCell ref="G842:G857"/>
    <mergeCell ref="A377:F377"/>
    <mergeCell ref="A8:R8"/>
    <mergeCell ref="A1038:F1038"/>
    <mergeCell ref="A1022:F1022"/>
    <mergeCell ref="A27:F27"/>
    <mergeCell ref="G508:G524"/>
    <mergeCell ref="H696:R696"/>
    <mergeCell ref="A149:F149"/>
    <mergeCell ref="G46:G62"/>
    <mergeCell ref="A214:F214"/>
    <mergeCell ref="H299:R299"/>
    <mergeCell ref="A624:R624"/>
    <mergeCell ref="A714:F714"/>
    <mergeCell ref="G573:G587"/>
    <mergeCell ref="G788:G805"/>
    <mergeCell ref="A63:R63"/>
    <mergeCell ref="A348:F348"/>
    <mergeCell ref="A506:F506"/>
    <mergeCell ref="A821:R821"/>
    <mergeCell ref="G1004:G1020"/>
    <mergeCell ref="G950:G964"/>
    <mergeCell ref="A912:F912"/>
    <mergeCell ref="A166:F166"/>
    <mergeCell ref="A608:F608"/>
    <mergeCell ref="H149:R149"/>
    <mergeCell ref="G396:G411"/>
    <mergeCell ref="H985:R985"/>
    <mergeCell ref="G230:G243"/>
    <mergeCell ref="A365:R365"/>
    <mergeCell ref="H966:R966"/>
    <mergeCell ref="H413:R413"/>
    <mergeCell ref="A1001:R1001"/>
    <mergeCell ref="A933:F933"/>
    <mergeCell ref="G809:G820"/>
    <mergeCell ref="G528:G534"/>
    <mergeCell ref="H536:R536"/>
    <mergeCell ref="H681:R681"/>
    <mergeCell ref="A806:R806"/>
    <mergeCell ref="G987:G1000"/>
    <mergeCell ref="A244:R244"/>
    <mergeCell ref="A895:R895"/>
    <mergeCell ref="A911:R911"/>
    <mergeCell ref="A785:R785"/>
    <mergeCell ref="A984:R984"/>
    <mergeCell ref="H348:R348"/>
    <mergeCell ref="A858:R858"/>
    <mergeCell ref="A453:F453"/>
    <mergeCell ref="A366:F366"/>
    <mergeCell ref="G698:G712"/>
    <mergeCell ref="A227:R227"/>
    <mergeCell ref="A376:R376"/>
    <mergeCell ref="H948:R948"/>
    <mergeCell ref="A965:R965"/>
    <mergeCell ref="H876:R876"/>
    <mergeCell ref="H912:R912"/>
    <mergeCell ref="H114:R114"/>
    <mergeCell ref="G491:G504"/>
    <mergeCell ref="G935:G946"/>
    <mergeCell ref="A393:R393"/>
    <mergeCell ref="G116:G129"/>
    <mergeCell ref="A947:R947"/>
    <mergeCell ref="G181:G192"/>
    <mergeCell ref="A165:R165"/>
    <mergeCell ref="A130:R130"/>
    <mergeCell ref="A64:F64"/>
    <mergeCell ref="H366:R366"/>
    <mergeCell ref="A412:R412"/>
    <mergeCell ref="A589:F589"/>
    <mergeCell ref="A536:F536"/>
    <mergeCell ref="H556:R556"/>
    <mergeCell ref="A840:F840"/>
    <mergeCell ref="A98:R98"/>
    <mergeCell ref="H770:R770"/>
    <mergeCell ref="A452:R452"/>
    <mergeCell ref="A228:F228"/>
    <mergeCell ref="G716:G731"/>
    <mergeCell ref="A526:F526"/>
    <mergeCell ref="H179:R179"/>
    <mergeCell ref="A535:R535"/>
    <mergeCell ref="A625:F625"/>
    <mergeCell ref="H166:R166"/>
    <mergeCell ref="H608:R608"/>
    <mergeCell ref="A419:F419"/>
    <mergeCell ref="G316:G332"/>
    <mergeCell ref="A394:F394"/>
    <mergeCell ref="A786:F786"/>
    <mergeCell ref="H194:R194"/>
    <mergeCell ref="A99:F99"/>
    <mergeCell ref="H1:L1"/>
    <mergeCell ref="A1:E1"/>
    <mergeCell ref="G647:G659"/>
    <mergeCell ref="A645:F645"/>
    <mergeCell ref="A876:F876"/>
    <mergeCell ref="A438:R438"/>
    <mergeCell ref="H9:R9"/>
    <mergeCell ref="G861:G874"/>
    <mergeCell ref="G1040:G1057"/>
    <mergeCell ref="A1037:R1037"/>
    <mergeCell ref="H394:R394"/>
    <mergeCell ref="A822:F822"/>
    <mergeCell ref="A263:F263"/>
    <mergeCell ref="A213:R213"/>
    <mergeCell ref="A985:F985"/>
    <mergeCell ref="H571:R571"/>
    <mergeCell ref="G752:G768"/>
    <mergeCell ref="G101:G112"/>
    <mergeCell ref="A262:R262"/>
    <mergeCell ref="A333:R333"/>
    <mergeCell ref="H79:R79"/>
    <mergeCell ref="A280:F280"/>
    <mergeCell ref="H807:R807"/>
    <mergeCell ref="A44:F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8"/>
  <sheetViews>
    <sheetView workbookViewId="0">
      <selection activeCell="G6" sqref="G6"/>
    </sheetView>
  </sheetViews>
  <sheetFormatPr defaultRowHeight="15.6" outlineLevelCol="2" x14ac:dyDescent="0.3"/>
  <cols>
    <col min="1" max="1" width="11.77734375" style="142" bestFit="1" customWidth="1"/>
    <col min="2" max="2" width="10.88671875" style="142" bestFit="1" customWidth="1"/>
    <col min="3" max="3" width="7.88671875" style="142" bestFit="1" customWidth="1"/>
    <col min="4" max="4" width="6.77734375" style="142" bestFit="1" customWidth="1"/>
    <col min="5" max="5" width="10.5546875" style="142" bestFit="1" customWidth="1"/>
    <col min="6" max="6" width="5.21875" style="142" bestFit="1" customWidth="1"/>
    <col min="7" max="7" width="10" style="142" bestFit="1" customWidth="1"/>
    <col min="8" max="9" width="8.5546875" style="142" bestFit="1" customWidth="1"/>
    <col min="10" max="10" width="8" style="142" bestFit="1" customWidth="1"/>
    <col min="11" max="11" width="12.21875" style="142" bestFit="1" customWidth="1"/>
    <col min="12" max="12" width="20.6640625" style="142" bestFit="1" customWidth="1"/>
    <col min="13" max="13" width="8.77734375" style="142" bestFit="1" customWidth="1" outlineLevel="2"/>
    <col min="14" max="14" width="7.33203125" style="142" bestFit="1" customWidth="1" outlineLevel="2"/>
    <col min="15" max="15" width="9.109375" style="142" bestFit="1" customWidth="1" outlineLevel="2"/>
    <col min="16" max="16" width="15.33203125" style="142" bestFit="1" customWidth="1"/>
    <col min="17" max="24" width="3.88671875" style="142" bestFit="1" customWidth="1"/>
    <col min="25" max="25" width="5.33203125" style="142" bestFit="1" customWidth="1"/>
    <col min="26" max="26" width="4.88671875" style="142" bestFit="1" customWidth="1"/>
    <col min="27" max="27" width="4.77734375" style="142" bestFit="1" customWidth="1"/>
    <col min="28" max="28" width="5" style="142" bestFit="1" customWidth="1"/>
    <col min="29" max="29" width="5.109375" style="142" bestFit="1" customWidth="1"/>
    <col min="30" max="31" width="5.33203125" style="142" bestFit="1" customWidth="1"/>
    <col min="32" max="32" width="4.44140625" style="142" bestFit="1" customWidth="1"/>
    <col min="33" max="36" width="3.88671875" style="142" bestFit="1" customWidth="1"/>
    <col min="37" max="16384" width="8.88671875" style="142"/>
  </cols>
  <sheetData>
    <row r="1" spans="1:36" x14ac:dyDescent="0.3">
      <c r="A1" s="141" t="s">
        <v>244</v>
      </c>
      <c r="B1" s="141" t="s">
        <v>245</v>
      </c>
      <c r="C1" s="141" t="s">
        <v>246</v>
      </c>
      <c r="D1" s="141" t="s">
        <v>23</v>
      </c>
      <c r="E1" s="141" t="s">
        <v>247</v>
      </c>
      <c r="F1" s="141" t="s">
        <v>248</v>
      </c>
      <c r="G1" s="141" t="s">
        <v>16</v>
      </c>
      <c r="H1" s="141" t="s">
        <v>249</v>
      </c>
      <c r="I1" s="141" t="s">
        <v>250</v>
      </c>
      <c r="J1" s="141" t="s">
        <v>251</v>
      </c>
      <c r="K1" s="141" t="s">
        <v>252</v>
      </c>
      <c r="L1" s="141" t="s">
        <v>18</v>
      </c>
      <c r="M1" s="141" t="s">
        <v>20</v>
      </c>
      <c r="N1" s="141" t="s">
        <v>21</v>
      </c>
      <c r="O1" s="141" t="s">
        <v>19</v>
      </c>
      <c r="P1" s="141" t="s">
        <v>22</v>
      </c>
      <c r="Q1" s="141" t="s">
        <v>253</v>
      </c>
      <c r="R1" s="141" t="s">
        <v>254</v>
      </c>
      <c r="S1" s="141" t="s">
        <v>255</v>
      </c>
      <c r="T1" s="141" t="s">
        <v>256</v>
      </c>
      <c r="U1" s="141" t="s">
        <v>257</v>
      </c>
      <c r="V1" s="141" t="s">
        <v>258</v>
      </c>
      <c r="W1" s="141" t="s">
        <v>259</v>
      </c>
      <c r="X1" s="141" t="s">
        <v>260</v>
      </c>
      <c r="Y1" s="141" t="s">
        <v>261</v>
      </c>
      <c r="Z1" s="141" t="s">
        <v>262</v>
      </c>
      <c r="AA1" s="141" t="s">
        <v>263</v>
      </c>
      <c r="AB1" s="141" t="s">
        <v>264</v>
      </c>
      <c r="AC1" s="141" t="s">
        <v>265</v>
      </c>
      <c r="AD1" s="141" t="s">
        <v>266</v>
      </c>
      <c r="AE1" s="141" t="s">
        <v>267</v>
      </c>
      <c r="AF1" s="141" t="s">
        <v>268</v>
      </c>
      <c r="AG1" s="141" t="s">
        <v>269</v>
      </c>
      <c r="AH1" s="141" t="s">
        <v>270</v>
      </c>
      <c r="AI1" s="141" t="s">
        <v>271</v>
      </c>
      <c r="AJ1" s="141" t="s">
        <v>272</v>
      </c>
    </row>
    <row r="2" spans="1:36" x14ac:dyDescent="0.3">
      <c r="A2" s="143" t="s">
        <v>273</v>
      </c>
      <c r="B2" s="144">
        <v>45993</v>
      </c>
      <c r="C2" s="145" t="s">
        <v>66</v>
      </c>
      <c r="D2" s="146" t="s">
        <v>274</v>
      </c>
      <c r="E2" s="145" t="s">
        <v>1</v>
      </c>
      <c r="F2" s="145" t="s">
        <v>275</v>
      </c>
      <c r="G2" s="147">
        <v>0.54759999999999998</v>
      </c>
      <c r="H2" s="148">
        <v>168</v>
      </c>
      <c r="I2" s="148">
        <v>92</v>
      </c>
      <c r="J2" s="148">
        <v>0</v>
      </c>
      <c r="K2" s="145" t="s">
        <v>276</v>
      </c>
      <c r="L2" s="149">
        <v>45992</v>
      </c>
      <c r="M2" s="148">
        <v>2</v>
      </c>
      <c r="N2" s="148">
        <v>0</v>
      </c>
      <c r="O2" s="148">
        <v>41</v>
      </c>
      <c r="P2" s="145" t="s">
        <v>67</v>
      </c>
      <c r="Q2" s="141"/>
      <c r="R2" s="141"/>
      <c r="S2" s="141"/>
      <c r="T2" s="141"/>
      <c r="U2" s="141"/>
      <c r="V2" s="141"/>
      <c r="W2" s="141"/>
      <c r="X2" s="141"/>
      <c r="Y2" s="148" t="s">
        <v>277</v>
      </c>
      <c r="Z2" s="148" t="s">
        <v>278</v>
      </c>
      <c r="AA2" s="148" t="s">
        <v>279</v>
      </c>
      <c r="AB2" s="148" t="s">
        <v>280</v>
      </c>
      <c r="AC2" s="148" t="s">
        <v>67</v>
      </c>
      <c r="AD2" s="148" t="s">
        <v>184</v>
      </c>
      <c r="AE2" s="148" t="s">
        <v>281</v>
      </c>
      <c r="AF2" s="148" t="s">
        <v>282</v>
      </c>
      <c r="AG2" s="141"/>
      <c r="AH2" s="141"/>
      <c r="AI2" s="141"/>
      <c r="AJ2" s="141"/>
    </row>
    <row r="3" spans="1:36" x14ac:dyDescent="0.3">
      <c r="A3" s="143" t="s">
        <v>283</v>
      </c>
      <c r="B3" s="144">
        <v>45995</v>
      </c>
      <c r="C3" s="145" t="s">
        <v>66</v>
      </c>
      <c r="D3" s="146" t="s">
        <v>284</v>
      </c>
      <c r="E3" s="145" t="s">
        <v>1</v>
      </c>
      <c r="F3" s="145" t="s">
        <v>275</v>
      </c>
      <c r="G3" s="147">
        <v>0.54759999999999998</v>
      </c>
      <c r="H3" s="148">
        <v>168</v>
      </c>
      <c r="I3" s="148">
        <v>92</v>
      </c>
      <c r="J3" s="148">
        <v>0</v>
      </c>
      <c r="K3" s="145" t="s">
        <v>276</v>
      </c>
      <c r="L3" s="149">
        <v>45991</v>
      </c>
      <c r="M3" s="148">
        <v>0</v>
      </c>
      <c r="N3" s="148">
        <v>2</v>
      </c>
      <c r="O3" s="148">
        <v>42</v>
      </c>
      <c r="P3" s="145" t="s">
        <v>67</v>
      </c>
      <c r="Q3" s="141"/>
      <c r="R3" s="141"/>
      <c r="S3" s="141"/>
      <c r="T3" s="141"/>
      <c r="U3" s="141"/>
      <c r="V3" s="141"/>
      <c r="W3" s="141"/>
      <c r="X3" s="141"/>
      <c r="Y3" s="141"/>
      <c r="Z3" s="148" t="s">
        <v>285</v>
      </c>
      <c r="AA3" s="148" t="s">
        <v>286</v>
      </c>
      <c r="AB3" s="148" t="s">
        <v>287</v>
      </c>
      <c r="AC3" s="148" t="s">
        <v>234</v>
      </c>
      <c r="AD3" s="148" t="s">
        <v>288</v>
      </c>
      <c r="AE3" s="148" t="s">
        <v>289</v>
      </c>
      <c r="AF3" s="148" t="s">
        <v>282</v>
      </c>
      <c r="AG3" s="141"/>
      <c r="AH3" s="141"/>
      <c r="AI3" s="141"/>
      <c r="AJ3" s="141"/>
    </row>
    <row r="4" spans="1:36" x14ac:dyDescent="0.3">
      <c r="A4" s="143" t="s">
        <v>290</v>
      </c>
      <c r="B4" s="144">
        <v>45996</v>
      </c>
      <c r="C4" s="145" t="s">
        <v>66</v>
      </c>
      <c r="D4" s="146" t="s">
        <v>291</v>
      </c>
      <c r="E4" s="145" t="s">
        <v>1</v>
      </c>
      <c r="F4" s="145" t="s">
        <v>275</v>
      </c>
      <c r="G4" s="147">
        <v>0.50600000000000001</v>
      </c>
      <c r="H4" s="148">
        <v>168</v>
      </c>
      <c r="I4" s="148">
        <v>85</v>
      </c>
      <c r="J4" s="148">
        <v>0</v>
      </c>
      <c r="K4" s="145" t="s">
        <v>276</v>
      </c>
      <c r="L4" s="149">
        <v>45991</v>
      </c>
      <c r="M4" s="148">
        <v>0</v>
      </c>
      <c r="N4" s="148">
        <v>1</v>
      </c>
      <c r="O4" s="148">
        <v>27</v>
      </c>
      <c r="P4" s="145" t="s">
        <v>107</v>
      </c>
      <c r="Q4" s="141"/>
      <c r="R4" s="141"/>
      <c r="S4" s="141"/>
      <c r="T4" s="141"/>
      <c r="U4" s="141"/>
      <c r="V4" s="141"/>
      <c r="W4" s="141"/>
      <c r="X4" s="141"/>
      <c r="Y4" s="141"/>
      <c r="Z4" s="148" t="s">
        <v>292</v>
      </c>
      <c r="AA4" s="141"/>
      <c r="AB4" s="148" t="s">
        <v>173</v>
      </c>
      <c r="AC4" s="148" t="s">
        <v>232</v>
      </c>
      <c r="AD4" s="148" t="s">
        <v>293</v>
      </c>
      <c r="AE4" s="148" t="s">
        <v>294</v>
      </c>
      <c r="AF4" s="148" t="s">
        <v>295</v>
      </c>
      <c r="AG4" s="141"/>
      <c r="AH4" s="141"/>
      <c r="AI4" s="141"/>
      <c r="AJ4" s="141"/>
    </row>
    <row r="5" spans="1:36" x14ac:dyDescent="0.3">
      <c r="A5" s="143" t="s">
        <v>296</v>
      </c>
      <c r="B5" s="144">
        <v>45997</v>
      </c>
      <c r="C5" s="145" t="s">
        <v>66</v>
      </c>
      <c r="D5" s="146" t="s">
        <v>284</v>
      </c>
      <c r="E5" s="145" t="s">
        <v>1</v>
      </c>
      <c r="F5" s="145" t="s">
        <v>275</v>
      </c>
      <c r="G5" s="147">
        <v>0.21429999999999999</v>
      </c>
      <c r="H5" s="148">
        <v>168</v>
      </c>
      <c r="I5" s="148">
        <v>36</v>
      </c>
      <c r="J5" s="148">
        <v>0</v>
      </c>
      <c r="K5" s="145" t="s">
        <v>276</v>
      </c>
      <c r="L5" s="149">
        <v>45991</v>
      </c>
      <c r="M5" s="148">
        <v>0</v>
      </c>
      <c r="N5" s="148">
        <v>2</v>
      </c>
      <c r="O5" s="148">
        <v>14</v>
      </c>
      <c r="P5" s="145" t="s">
        <v>67</v>
      </c>
      <c r="Q5" s="141"/>
      <c r="R5" s="141"/>
      <c r="S5" s="141"/>
      <c r="T5" s="141"/>
      <c r="U5" s="141"/>
      <c r="V5" s="141"/>
      <c r="W5" s="141"/>
      <c r="X5" s="141"/>
      <c r="Y5" s="141"/>
      <c r="Z5" s="148" t="s">
        <v>297</v>
      </c>
      <c r="AA5" s="141"/>
      <c r="AB5" s="141"/>
      <c r="AC5" s="148" t="s">
        <v>298</v>
      </c>
      <c r="AD5" s="148" t="s">
        <v>299</v>
      </c>
      <c r="AE5" s="148" t="s">
        <v>281</v>
      </c>
      <c r="AF5" s="148" t="s">
        <v>300</v>
      </c>
      <c r="AG5" s="141"/>
      <c r="AH5" s="141"/>
      <c r="AI5" s="141"/>
      <c r="AJ5" s="141"/>
    </row>
    <row r="6" spans="1:36" x14ac:dyDescent="0.3">
      <c r="A6" s="143" t="s">
        <v>273</v>
      </c>
      <c r="B6" s="144">
        <v>46000</v>
      </c>
      <c r="C6" s="145" t="s">
        <v>66</v>
      </c>
      <c r="D6" s="146" t="s">
        <v>274</v>
      </c>
      <c r="E6" s="145" t="s">
        <v>1</v>
      </c>
      <c r="F6" s="145" t="s">
        <v>275</v>
      </c>
      <c r="G6" s="147">
        <v>0.28570000000000001</v>
      </c>
      <c r="H6" s="148">
        <v>168</v>
      </c>
      <c r="I6" s="148">
        <v>48</v>
      </c>
      <c r="J6" s="148">
        <v>0</v>
      </c>
      <c r="K6" s="145" t="s">
        <v>276</v>
      </c>
      <c r="L6" s="149">
        <v>45990</v>
      </c>
      <c r="M6" s="148">
        <v>0</v>
      </c>
      <c r="N6" s="148">
        <v>0</v>
      </c>
      <c r="O6" s="148">
        <v>13</v>
      </c>
      <c r="P6" s="145" t="s">
        <v>67</v>
      </c>
      <c r="Q6" s="141"/>
      <c r="R6" s="141"/>
      <c r="S6" s="141"/>
      <c r="T6" s="141"/>
      <c r="U6" s="141"/>
      <c r="V6" s="141"/>
      <c r="W6" s="141"/>
      <c r="X6" s="141"/>
      <c r="Y6" s="141"/>
      <c r="Z6" s="148" t="s">
        <v>301</v>
      </c>
      <c r="AA6" s="141"/>
      <c r="AB6" s="141"/>
      <c r="AC6" s="148" t="s">
        <v>302</v>
      </c>
      <c r="AD6" s="148" t="s">
        <v>288</v>
      </c>
      <c r="AE6" s="141"/>
      <c r="AF6" s="148" t="s">
        <v>303</v>
      </c>
      <c r="AG6" s="141"/>
      <c r="AH6" s="141"/>
      <c r="AI6" s="141"/>
      <c r="AJ6" s="141"/>
    </row>
    <row r="7" spans="1:36" x14ac:dyDescent="0.3">
      <c r="A7" s="143" t="s">
        <v>283</v>
      </c>
      <c r="B7" s="144">
        <v>46002</v>
      </c>
      <c r="C7" s="145" t="s">
        <v>66</v>
      </c>
      <c r="D7" s="146" t="s">
        <v>284</v>
      </c>
      <c r="E7" s="145" t="s">
        <v>1</v>
      </c>
      <c r="F7" s="145" t="s">
        <v>275</v>
      </c>
      <c r="G7" s="147">
        <v>0.24399999999999999</v>
      </c>
      <c r="H7" s="148">
        <v>168</v>
      </c>
      <c r="I7" s="148">
        <v>41</v>
      </c>
      <c r="J7" s="148">
        <v>0</v>
      </c>
      <c r="K7" s="145" t="s">
        <v>276</v>
      </c>
      <c r="L7" s="149">
        <v>45990</v>
      </c>
      <c r="M7" s="148">
        <v>0</v>
      </c>
      <c r="N7" s="148">
        <v>0</v>
      </c>
      <c r="O7" s="148">
        <v>17</v>
      </c>
      <c r="P7" s="145" t="s">
        <v>107</v>
      </c>
      <c r="Q7" s="141"/>
      <c r="R7" s="141"/>
      <c r="S7" s="141"/>
      <c r="T7" s="141"/>
      <c r="U7" s="141"/>
      <c r="V7" s="141"/>
      <c r="W7" s="141"/>
      <c r="X7" s="141"/>
      <c r="Y7" s="141"/>
      <c r="Z7" s="148" t="s">
        <v>304</v>
      </c>
      <c r="AA7" s="148" t="s">
        <v>279</v>
      </c>
      <c r="AB7" s="148" t="s">
        <v>280</v>
      </c>
      <c r="AC7" s="141"/>
      <c r="AD7" s="141"/>
      <c r="AE7" s="148" t="s">
        <v>305</v>
      </c>
      <c r="AF7" s="148" t="s">
        <v>306</v>
      </c>
      <c r="AG7" s="141"/>
      <c r="AH7" s="141"/>
      <c r="AI7" s="141"/>
      <c r="AJ7" s="141"/>
    </row>
    <row r="8" spans="1:36" x14ac:dyDescent="0.3">
      <c r="A8" s="143" t="s">
        <v>290</v>
      </c>
      <c r="B8" s="144">
        <v>46003</v>
      </c>
      <c r="C8" s="145" t="s">
        <v>66</v>
      </c>
      <c r="D8" s="146" t="s">
        <v>291</v>
      </c>
      <c r="E8" s="145" t="s">
        <v>1</v>
      </c>
      <c r="F8" s="145" t="s">
        <v>275</v>
      </c>
      <c r="G8" s="147">
        <v>0.41070000000000001</v>
      </c>
      <c r="H8" s="148">
        <v>168</v>
      </c>
      <c r="I8" s="148">
        <v>69</v>
      </c>
      <c r="J8" s="148">
        <v>0</v>
      </c>
      <c r="K8" s="145" t="s">
        <v>276</v>
      </c>
      <c r="L8" s="149">
        <v>45992</v>
      </c>
      <c r="M8" s="148">
        <v>3</v>
      </c>
      <c r="N8" s="148">
        <v>1</v>
      </c>
      <c r="O8" s="148">
        <v>38</v>
      </c>
      <c r="P8" s="145" t="s">
        <v>137</v>
      </c>
      <c r="Q8" s="141"/>
      <c r="R8" s="141"/>
      <c r="S8" s="141"/>
      <c r="T8" s="141"/>
      <c r="U8" s="141"/>
      <c r="V8" s="141"/>
      <c r="W8" s="141"/>
      <c r="X8" s="141"/>
      <c r="Y8" s="141"/>
      <c r="Z8" s="148" t="s">
        <v>285</v>
      </c>
      <c r="AA8" s="148" t="s">
        <v>307</v>
      </c>
      <c r="AB8" s="148" t="s">
        <v>308</v>
      </c>
      <c r="AC8" s="148" t="s">
        <v>227</v>
      </c>
      <c r="AD8" s="148" t="s">
        <v>309</v>
      </c>
      <c r="AE8" s="148" t="s">
        <v>310</v>
      </c>
      <c r="AF8" s="148" t="s">
        <v>311</v>
      </c>
      <c r="AG8" s="141"/>
      <c r="AH8" s="141"/>
      <c r="AI8" s="141"/>
      <c r="AJ8" s="141"/>
    </row>
    <row r="9" spans="1:36" x14ac:dyDescent="0.3">
      <c r="A9" s="143" t="s">
        <v>296</v>
      </c>
      <c r="B9" s="144">
        <v>46004</v>
      </c>
      <c r="C9" s="145" t="s">
        <v>66</v>
      </c>
      <c r="D9" s="146" t="s">
        <v>284</v>
      </c>
      <c r="E9" s="145" t="s">
        <v>1</v>
      </c>
      <c r="F9" s="145" t="s">
        <v>275</v>
      </c>
      <c r="G9" s="147">
        <v>0.22620000000000001</v>
      </c>
      <c r="H9" s="148">
        <v>168</v>
      </c>
      <c r="I9" s="148">
        <v>38</v>
      </c>
      <c r="J9" s="148">
        <v>0</v>
      </c>
      <c r="K9" s="145" t="s">
        <v>276</v>
      </c>
      <c r="L9" s="149">
        <v>45990</v>
      </c>
      <c r="M9" s="148">
        <v>0</v>
      </c>
      <c r="N9" s="148">
        <v>0</v>
      </c>
      <c r="O9" s="148">
        <v>17</v>
      </c>
      <c r="P9" s="145" t="s">
        <v>67</v>
      </c>
      <c r="Q9" s="141"/>
      <c r="R9" s="141"/>
      <c r="S9" s="141"/>
      <c r="T9" s="141"/>
      <c r="U9" s="141"/>
      <c r="V9" s="141"/>
      <c r="W9" s="141"/>
      <c r="X9" s="141"/>
      <c r="Y9" s="141"/>
      <c r="Z9" s="148" t="s">
        <v>292</v>
      </c>
      <c r="AA9" s="148" t="s">
        <v>312</v>
      </c>
      <c r="AB9" s="141"/>
      <c r="AC9" s="148" t="s">
        <v>137</v>
      </c>
      <c r="AD9" s="141"/>
      <c r="AE9" s="141"/>
      <c r="AF9" s="148" t="s">
        <v>313</v>
      </c>
      <c r="AG9" s="141"/>
      <c r="AH9" s="141"/>
      <c r="AI9" s="141"/>
      <c r="AJ9" s="141"/>
    </row>
    <row r="10" spans="1:36" x14ac:dyDescent="0.3">
      <c r="A10" s="143" t="s">
        <v>273</v>
      </c>
      <c r="B10" s="144">
        <v>46007</v>
      </c>
      <c r="C10" s="145" t="s">
        <v>66</v>
      </c>
      <c r="D10" s="146" t="s">
        <v>274</v>
      </c>
      <c r="E10" s="145" t="s">
        <v>1</v>
      </c>
      <c r="F10" s="145" t="s">
        <v>275</v>
      </c>
      <c r="G10" s="147">
        <v>0.26190000000000002</v>
      </c>
      <c r="H10" s="148">
        <v>168</v>
      </c>
      <c r="I10" s="148">
        <v>44</v>
      </c>
      <c r="J10" s="148">
        <v>0</v>
      </c>
      <c r="K10" s="145" t="s">
        <v>276</v>
      </c>
      <c r="L10" s="149">
        <v>45989</v>
      </c>
      <c r="M10" s="148">
        <v>0</v>
      </c>
      <c r="N10" s="148">
        <v>0</v>
      </c>
      <c r="O10" s="148">
        <v>16</v>
      </c>
      <c r="P10" s="145" t="s">
        <v>67</v>
      </c>
      <c r="Q10" s="141"/>
      <c r="R10" s="141"/>
      <c r="S10" s="141"/>
      <c r="T10" s="141"/>
      <c r="U10" s="141"/>
      <c r="V10" s="141"/>
      <c r="W10" s="141"/>
      <c r="X10" s="141"/>
      <c r="Y10" s="141"/>
      <c r="Z10" s="148" t="s">
        <v>297</v>
      </c>
      <c r="AA10" s="141"/>
      <c r="AB10" s="141"/>
      <c r="AC10" s="148" t="s">
        <v>227</v>
      </c>
      <c r="AD10" s="148" t="s">
        <v>314</v>
      </c>
      <c r="AE10" s="148" t="s">
        <v>315</v>
      </c>
      <c r="AF10" s="148" t="s">
        <v>303</v>
      </c>
      <c r="AG10" s="141"/>
      <c r="AH10" s="141"/>
      <c r="AI10" s="141"/>
      <c r="AJ10" s="141"/>
    </row>
    <row r="11" spans="1:36" x14ac:dyDescent="0.3">
      <c r="A11" s="143" t="s">
        <v>283</v>
      </c>
      <c r="B11" s="144">
        <v>46009</v>
      </c>
      <c r="C11" s="145" t="s">
        <v>66</v>
      </c>
      <c r="D11" s="146" t="s">
        <v>284</v>
      </c>
      <c r="E11" s="145" t="s">
        <v>1</v>
      </c>
      <c r="F11" s="145" t="s">
        <v>275</v>
      </c>
      <c r="G11" s="147">
        <v>0.38100000000000001</v>
      </c>
      <c r="H11" s="148">
        <v>168</v>
      </c>
      <c r="I11" s="148">
        <v>64</v>
      </c>
      <c r="J11" s="148">
        <v>0</v>
      </c>
      <c r="K11" s="145" t="s">
        <v>276</v>
      </c>
      <c r="L11" s="149">
        <v>45991</v>
      </c>
      <c r="M11" s="148">
        <v>0</v>
      </c>
      <c r="N11" s="148">
        <v>2</v>
      </c>
      <c r="O11" s="148">
        <v>24</v>
      </c>
      <c r="P11" s="145" t="s">
        <v>67</v>
      </c>
      <c r="Q11" s="141"/>
      <c r="R11" s="141"/>
      <c r="S11" s="141"/>
      <c r="T11" s="141"/>
      <c r="U11" s="141"/>
      <c r="V11" s="141"/>
      <c r="W11" s="141"/>
      <c r="X11" s="141"/>
      <c r="Y11" s="141"/>
      <c r="Z11" s="148" t="s">
        <v>316</v>
      </c>
      <c r="AA11" s="141"/>
      <c r="AB11" s="141"/>
      <c r="AC11" s="148" t="s">
        <v>234</v>
      </c>
      <c r="AD11" s="148" t="s">
        <v>299</v>
      </c>
      <c r="AE11" s="148" t="s">
        <v>289</v>
      </c>
      <c r="AF11" s="148" t="s">
        <v>317</v>
      </c>
      <c r="AG11" s="141"/>
      <c r="AH11" s="141"/>
      <c r="AI11" s="141"/>
      <c r="AJ11" s="141"/>
    </row>
    <row r="12" spans="1:36" x14ac:dyDescent="0.3">
      <c r="A12" s="143" t="s">
        <v>290</v>
      </c>
      <c r="B12" s="144">
        <v>46010</v>
      </c>
      <c r="C12" s="145" t="s">
        <v>66</v>
      </c>
      <c r="D12" s="146" t="s">
        <v>291</v>
      </c>
      <c r="E12" s="145" t="s">
        <v>1</v>
      </c>
      <c r="F12" s="145" t="s">
        <v>275</v>
      </c>
      <c r="G12" s="147">
        <v>0.26190000000000002</v>
      </c>
      <c r="H12" s="148">
        <v>168</v>
      </c>
      <c r="I12" s="148">
        <v>44</v>
      </c>
      <c r="J12" s="148">
        <v>0</v>
      </c>
      <c r="K12" s="145" t="s">
        <v>276</v>
      </c>
      <c r="L12" s="149">
        <v>45992</v>
      </c>
      <c r="M12" s="148">
        <v>3</v>
      </c>
      <c r="N12" s="148">
        <v>0</v>
      </c>
      <c r="O12" s="148">
        <v>15</v>
      </c>
      <c r="P12" s="145" t="s">
        <v>107</v>
      </c>
      <c r="Q12" s="141"/>
      <c r="R12" s="141"/>
      <c r="S12" s="141"/>
      <c r="T12" s="141"/>
      <c r="U12" s="141"/>
      <c r="V12" s="141"/>
      <c r="W12" s="141"/>
      <c r="X12" s="141"/>
      <c r="Y12" s="141"/>
      <c r="Z12" s="148" t="s">
        <v>304</v>
      </c>
      <c r="AA12" s="148" t="s">
        <v>318</v>
      </c>
      <c r="AB12" s="148" t="s">
        <v>319</v>
      </c>
      <c r="AC12" s="141"/>
      <c r="AD12" s="148" t="s">
        <v>320</v>
      </c>
      <c r="AE12" s="148" t="s">
        <v>281</v>
      </c>
      <c r="AF12" s="148" t="s">
        <v>313</v>
      </c>
      <c r="AG12" s="141"/>
      <c r="AH12" s="141"/>
      <c r="AI12" s="141"/>
      <c r="AJ12" s="141"/>
    </row>
    <row r="13" spans="1:36" x14ac:dyDescent="0.3">
      <c r="A13" s="143" t="s">
        <v>296</v>
      </c>
      <c r="B13" s="144">
        <v>46011</v>
      </c>
      <c r="C13" s="145" t="s">
        <v>66</v>
      </c>
      <c r="D13" s="146" t="s">
        <v>284</v>
      </c>
      <c r="E13" s="145" t="s">
        <v>1</v>
      </c>
      <c r="F13" s="145" t="s">
        <v>275</v>
      </c>
      <c r="G13" s="147">
        <v>0.29170000000000001</v>
      </c>
      <c r="H13" s="148">
        <v>168</v>
      </c>
      <c r="I13" s="148">
        <v>49</v>
      </c>
      <c r="J13" s="148">
        <v>0</v>
      </c>
      <c r="K13" s="145" t="s">
        <v>276</v>
      </c>
      <c r="L13" s="149">
        <v>45989</v>
      </c>
      <c r="M13" s="148">
        <v>0</v>
      </c>
      <c r="N13" s="148">
        <v>0</v>
      </c>
      <c r="O13" s="148">
        <v>20</v>
      </c>
      <c r="P13" s="145" t="s">
        <v>67</v>
      </c>
      <c r="Q13" s="141"/>
      <c r="R13" s="141"/>
      <c r="S13" s="141"/>
      <c r="T13" s="141"/>
      <c r="U13" s="141"/>
      <c r="V13" s="141"/>
      <c r="W13" s="141"/>
      <c r="X13" s="141"/>
      <c r="Y13" s="148" t="s">
        <v>277</v>
      </c>
      <c r="Z13" s="148" t="s">
        <v>304</v>
      </c>
      <c r="AA13" s="141"/>
      <c r="AB13" s="141"/>
      <c r="AC13" s="148" t="s">
        <v>321</v>
      </c>
      <c r="AD13" s="148" t="s">
        <v>314</v>
      </c>
      <c r="AE13" s="148" t="s">
        <v>315</v>
      </c>
      <c r="AF13" s="148" t="s">
        <v>322</v>
      </c>
      <c r="AG13" s="141"/>
      <c r="AH13" s="141"/>
      <c r="AI13" s="141"/>
      <c r="AJ13" s="141"/>
    </row>
    <row r="14" spans="1:36" x14ac:dyDescent="0.3">
      <c r="A14" s="143" t="s">
        <v>273</v>
      </c>
      <c r="B14" s="144">
        <v>46014</v>
      </c>
      <c r="C14" s="145" t="s">
        <v>66</v>
      </c>
      <c r="D14" s="146" t="s">
        <v>274</v>
      </c>
      <c r="E14" s="145" t="s">
        <v>1</v>
      </c>
      <c r="F14" s="145" t="s">
        <v>275</v>
      </c>
      <c r="G14" s="147">
        <v>0.1726</v>
      </c>
      <c r="H14" s="148">
        <v>168</v>
      </c>
      <c r="I14" s="148">
        <v>29</v>
      </c>
      <c r="J14" s="148">
        <v>0</v>
      </c>
      <c r="K14" s="145" t="s">
        <v>276</v>
      </c>
      <c r="L14" s="149">
        <v>45990</v>
      </c>
      <c r="M14" s="148">
        <v>0</v>
      </c>
      <c r="N14" s="148">
        <v>0</v>
      </c>
      <c r="O14" s="148">
        <v>17</v>
      </c>
      <c r="P14" s="145" t="s">
        <v>67</v>
      </c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8" t="s">
        <v>298</v>
      </c>
      <c r="AD14" s="148" t="s">
        <v>323</v>
      </c>
      <c r="AE14" s="148" t="s">
        <v>315</v>
      </c>
      <c r="AF14" s="148" t="s">
        <v>300</v>
      </c>
      <c r="AG14" s="141"/>
      <c r="AH14" s="141"/>
      <c r="AI14" s="141"/>
      <c r="AJ14" s="141"/>
    </row>
    <row r="15" spans="1:36" x14ac:dyDescent="0.3">
      <c r="A15" s="143" t="s">
        <v>283</v>
      </c>
      <c r="B15" s="144">
        <v>46016</v>
      </c>
      <c r="C15" s="145" t="s">
        <v>66</v>
      </c>
      <c r="D15" s="146" t="s">
        <v>284</v>
      </c>
      <c r="E15" s="145" t="s">
        <v>1</v>
      </c>
      <c r="F15" s="145" t="s">
        <v>275</v>
      </c>
      <c r="G15" s="147">
        <v>0.25600000000000001</v>
      </c>
      <c r="H15" s="148">
        <v>168</v>
      </c>
      <c r="I15" s="148">
        <v>43</v>
      </c>
      <c r="J15" s="148">
        <v>0</v>
      </c>
      <c r="K15" s="145" t="s">
        <v>276</v>
      </c>
      <c r="L15" s="149">
        <v>45989</v>
      </c>
      <c r="M15" s="148">
        <v>0</v>
      </c>
      <c r="N15" s="148">
        <v>0</v>
      </c>
      <c r="O15" s="148">
        <v>4</v>
      </c>
      <c r="P15" s="145" t="s">
        <v>107</v>
      </c>
      <c r="Q15" s="141"/>
      <c r="R15" s="141"/>
      <c r="S15" s="141"/>
      <c r="T15" s="141"/>
      <c r="U15" s="141"/>
      <c r="V15" s="141"/>
      <c r="W15" s="141"/>
      <c r="X15" s="141"/>
      <c r="Y15" s="141"/>
      <c r="Z15" s="148" t="s">
        <v>304</v>
      </c>
      <c r="AA15" s="141"/>
      <c r="AB15" s="141"/>
      <c r="AC15" s="148" t="s">
        <v>170</v>
      </c>
      <c r="AD15" s="148" t="s">
        <v>309</v>
      </c>
      <c r="AE15" s="148" t="s">
        <v>310</v>
      </c>
      <c r="AF15" s="148" t="s">
        <v>313</v>
      </c>
      <c r="AG15" s="141"/>
      <c r="AH15" s="141"/>
      <c r="AI15" s="141"/>
      <c r="AJ15" s="141"/>
    </row>
    <row r="16" spans="1:36" x14ac:dyDescent="0.3">
      <c r="A16" s="143" t="s">
        <v>290</v>
      </c>
      <c r="B16" s="144">
        <v>46017</v>
      </c>
      <c r="C16" s="145" t="s">
        <v>66</v>
      </c>
      <c r="D16" s="146" t="s">
        <v>291</v>
      </c>
      <c r="E16" s="145" t="s">
        <v>1</v>
      </c>
      <c r="F16" s="145" t="s">
        <v>275</v>
      </c>
      <c r="G16" s="147">
        <v>0.3095</v>
      </c>
      <c r="H16" s="148">
        <v>168</v>
      </c>
      <c r="I16" s="148">
        <v>52</v>
      </c>
      <c r="J16" s="148">
        <v>0</v>
      </c>
      <c r="K16" s="145" t="s">
        <v>276</v>
      </c>
      <c r="L16" s="149">
        <v>45989</v>
      </c>
      <c r="M16" s="148">
        <v>0</v>
      </c>
      <c r="N16" s="148">
        <v>0</v>
      </c>
      <c r="O16" s="148">
        <v>19</v>
      </c>
      <c r="P16" s="145" t="s">
        <v>107</v>
      </c>
      <c r="Q16" s="141"/>
      <c r="R16" s="141"/>
      <c r="S16" s="141"/>
      <c r="T16" s="141"/>
      <c r="U16" s="141"/>
      <c r="V16" s="141"/>
      <c r="W16" s="141"/>
      <c r="X16" s="141"/>
      <c r="Y16" s="141"/>
      <c r="Z16" s="148" t="s">
        <v>304</v>
      </c>
      <c r="AA16" s="148" t="s">
        <v>312</v>
      </c>
      <c r="AB16" s="141"/>
      <c r="AC16" s="148" t="s">
        <v>232</v>
      </c>
      <c r="AD16" s="148" t="s">
        <v>320</v>
      </c>
      <c r="AE16" s="148" t="s">
        <v>310</v>
      </c>
      <c r="AF16" s="148" t="s">
        <v>313</v>
      </c>
      <c r="AG16" s="141"/>
      <c r="AH16" s="141"/>
      <c r="AI16" s="141"/>
      <c r="AJ16" s="141"/>
    </row>
    <row r="17" spans="1:36" x14ac:dyDescent="0.3">
      <c r="A17" s="143" t="s">
        <v>296</v>
      </c>
      <c r="B17" s="144">
        <v>46018</v>
      </c>
      <c r="C17" s="145" t="s">
        <v>66</v>
      </c>
      <c r="D17" s="146" t="s">
        <v>284</v>
      </c>
      <c r="E17" s="145" t="s">
        <v>1</v>
      </c>
      <c r="F17" s="145" t="s">
        <v>275</v>
      </c>
      <c r="G17" s="147">
        <v>0.25</v>
      </c>
      <c r="H17" s="148">
        <v>168</v>
      </c>
      <c r="I17" s="148">
        <v>42</v>
      </c>
      <c r="J17" s="148">
        <v>0</v>
      </c>
      <c r="K17" s="145" t="s">
        <v>276</v>
      </c>
      <c r="L17" s="149">
        <v>45990</v>
      </c>
      <c r="M17" s="148">
        <v>0</v>
      </c>
      <c r="N17" s="148">
        <v>0</v>
      </c>
      <c r="O17" s="148">
        <v>28</v>
      </c>
      <c r="P17" s="145" t="s">
        <v>67</v>
      </c>
      <c r="Q17" s="141"/>
      <c r="R17" s="141"/>
      <c r="S17" s="141"/>
      <c r="T17" s="141"/>
      <c r="U17" s="141"/>
      <c r="V17" s="141"/>
      <c r="W17" s="141"/>
      <c r="X17" s="141"/>
      <c r="Y17" s="141"/>
      <c r="Z17" s="148" t="s">
        <v>304</v>
      </c>
      <c r="AA17" s="141"/>
      <c r="AB17" s="141"/>
      <c r="AC17" s="148" t="s">
        <v>170</v>
      </c>
      <c r="AD17" s="148" t="s">
        <v>324</v>
      </c>
      <c r="AE17" s="148" t="s">
        <v>325</v>
      </c>
      <c r="AF17" s="148" t="s">
        <v>313</v>
      </c>
      <c r="AG17" s="141"/>
      <c r="AH17" s="141"/>
      <c r="AI17" s="141"/>
      <c r="AJ17" s="141"/>
    </row>
    <row r="18" spans="1:36" x14ac:dyDescent="0.3">
      <c r="A18" s="143" t="s">
        <v>273</v>
      </c>
      <c r="B18" s="144">
        <v>46021</v>
      </c>
      <c r="C18" s="145" t="s">
        <v>66</v>
      </c>
      <c r="D18" s="146" t="s">
        <v>274</v>
      </c>
      <c r="E18" s="145" t="s">
        <v>1</v>
      </c>
      <c r="F18" s="145" t="s">
        <v>275</v>
      </c>
      <c r="G18" s="147">
        <v>0.22620000000000001</v>
      </c>
      <c r="H18" s="148">
        <v>168</v>
      </c>
      <c r="I18" s="148">
        <v>38</v>
      </c>
      <c r="J18" s="148">
        <v>0</v>
      </c>
      <c r="K18" s="145" t="s">
        <v>276</v>
      </c>
      <c r="L18" s="149">
        <v>45988</v>
      </c>
      <c r="M18" s="148">
        <v>0</v>
      </c>
      <c r="N18" s="148">
        <v>0</v>
      </c>
      <c r="O18" s="148">
        <v>7</v>
      </c>
      <c r="P18" s="145" t="s">
        <v>163</v>
      </c>
      <c r="Q18" s="141"/>
      <c r="R18" s="141"/>
      <c r="S18" s="141"/>
      <c r="T18" s="141"/>
      <c r="U18" s="141"/>
      <c r="V18" s="141"/>
      <c r="W18" s="141"/>
      <c r="X18" s="141"/>
      <c r="Y18" s="141"/>
      <c r="Z18" s="148" t="s">
        <v>285</v>
      </c>
      <c r="AA18" s="141"/>
      <c r="AB18" s="141"/>
      <c r="AC18" s="141"/>
      <c r="AD18" s="141"/>
      <c r="AE18" s="148" t="s">
        <v>325</v>
      </c>
      <c r="AF18" s="148" t="s">
        <v>313</v>
      </c>
      <c r="AG18" s="141"/>
      <c r="AH18" s="141"/>
      <c r="AI18" s="141"/>
      <c r="AJ18" s="141"/>
    </row>
    <row r="19" spans="1:36" x14ac:dyDescent="0.3">
      <c r="A19" s="143" t="s">
        <v>283</v>
      </c>
      <c r="B19" s="144">
        <v>46023</v>
      </c>
      <c r="C19" s="145" t="s">
        <v>66</v>
      </c>
      <c r="D19" s="146" t="s">
        <v>284</v>
      </c>
      <c r="E19" s="145" t="s">
        <v>1</v>
      </c>
      <c r="F19" s="145" t="s">
        <v>275</v>
      </c>
      <c r="G19" s="147">
        <v>0.125</v>
      </c>
      <c r="H19" s="148">
        <v>168</v>
      </c>
      <c r="I19" s="148">
        <v>21</v>
      </c>
      <c r="J19" s="148">
        <v>0</v>
      </c>
      <c r="K19" s="145" t="s">
        <v>276</v>
      </c>
      <c r="L19" s="149">
        <v>46352</v>
      </c>
      <c r="M19" s="148">
        <v>0</v>
      </c>
      <c r="N19" s="148">
        <v>0</v>
      </c>
      <c r="O19" s="148">
        <v>21</v>
      </c>
      <c r="P19" s="145" t="s">
        <v>170</v>
      </c>
      <c r="Q19" s="141"/>
      <c r="R19" s="141"/>
      <c r="S19" s="141"/>
      <c r="T19" s="141"/>
      <c r="U19" s="141"/>
      <c r="V19" s="141"/>
      <c r="W19" s="141"/>
      <c r="X19" s="141"/>
      <c r="Y19" s="141"/>
      <c r="Z19" s="148" t="s">
        <v>304</v>
      </c>
      <c r="AA19" s="141"/>
      <c r="AB19" s="148" t="s">
        <v>280</v>
      </c>
      <c r="AC19" s="148" t="s">
        <v>227</v>
      </c>
      <c r="AD19" s="148" t="s">
        <v>326</v>
      </c>
      <c r="AE19" s="148" t="s">
        <v>327</v>
      </c>
      <c r="AF19" s="141"/>
      <c r="AG19" s="141"/>
      <c r="AH19" s="141"/>
      <c r="AI19" s="141"/>
      <c r="AJ19" s="141"/>
    </row>
    <row r="20" spans="1:36" x14ac:dyDescent="0.3">
      <c r="A20" s="143" t="s">
        <v>290</v>
      </c>
      <c r="B20" s="144">
        <v>46024</v>
      </c>
      <c r="C20" s="145" t="s">
        <v>66</v>
      </c>
      <c r="D20" s="146" t="s">
        <v>291</v>
      </c>
      <c r="E20" s="145" t="s">
        <v>1</v>
      </c>
      <c r="F20" s="145" t="s">
        <v>275</v>
      </c>
      <c r="G20" s="147">
        <v>0.16070000000000001</v>
      </c>
      <c r="H20" s="148">
        <v>168</v>
      </c>
      <c r="I20" s="148">
        <v>27</v>
      </c>
      <c r="J20" s="148">
        <v>0</v>
      </c>
      <c r="K20" s="145" t="s">
        <v>276</v>
      </c>
      <c r="L20" s="149">
        <v>46356</v>
      </c>
      <c r="M20" s="148">
        <v>0</v>
      </c>
      <c r="N20" s="148">
        <v>0</v>
      </c>
      <c r="O20" s="148">
        <v>27</v>
      </c>
      <c r="P20" s="145" t="s">
        <v>173</v>
      </c>
      <c r="Q20" s="141"/>
      <c r="R20" s="141"/>
      <c r="S20" s="141"/>
      <c r="T20" s="141"/>
      <c r="U20" s="141"/>
      <c r="V20" s="141"/>
      <c r="W20" s="141"/>
      <c r="X20" s="141"/>
      <c r="Y20" s="141"/>
      <c r="Z20" s="148" t="s">
        <v>328</v>
      </c>
      <c r="AA20" s="148" t="s">
        <v>312</v>
      </c>
      <c r="AB20" s="148" t="s">
        <v>173</v>
      </c>
      <c r="AC20" s="148" t="s">
        <v>67</v>
      </c>
      <c r="AD20" s="148" t="s">
        <v>299</v>
      </c>
      <c r="AE20" s="148" t="s">
        <v>289</v>
      </c>
      <c r="AF20" s="141"/>
      <c r="AG20" s="141"/>
      <c r="AH20" s="141"/>
      <c r="AI20" s="141"/>
      <c r="AJ20" s="141"/>
    </row>
    <row r="21" spans="1:36" x14ac:dyDescent="0.3">
      <c r="A21" s="143" t="s">
        <v>296</v>
      </c>
      <c r="B21" s="144">
        <v>46025</v>
      </c>
      <c r="C21" s="145" t="s">
        <v>66</v>
      </c>
      <c r="D21" s="146" t="s">
        <v>284</v>
      </c>
      <c r="E21" s="145" t="s">
        <v>1</v>
      </c>
      <c r="F21" s="145" t="s">
        <v>275</v>
      </c>
      <c r="G21" s="147">
        <v>0.1429</v>
      </c>
      <c r="H21" s="148">
        <v>168</v>
      </c>
      <c r="I21" s="148">
        <v>24</v>
      </c>
      <c r="J21" s="148">
        <v>0</v>
      </c>
      <c r="K21" s="145" t="s">
        <v>276</v>
      </c>
      <c r="L21" s="149">
        <v>46354</v>
      </c>
      <c r="M21" s="148">
        <v>0</v>
      </c>
      <c r="N21" s="148">
        <v>0</v>
      </c>
      <c r="O21" s="148">
        <v>24</v>
      </c>
      <c r="P21" s="145" t="s">
        <v>181</v>
      </c>
      <c r="Q21" s="141"/>
      <c r="R21" s="141"/>
      <c r="S21" s="141"/>
      <c r="T21" s="141"/>
      <c r="U21" s="141"/>
      <c r="V21" s="141"/>
      <c r="W21" s="141"/>
      <c r="X21" s="141"/>
      <c r="Y21" s="148" t="s">
        <v>329</v>
      </c>
      <c r="Z21" s="148" t="s">
        <v>304</v>
      </c>
      <c r="AA21" s="148" t="s">
        <v>279</v>
      </c>
      <c r="AB21" s="148" t="s">
        <v>308</v>
      </c>
      <c r="AC21" s="148" t="s">
        <v>302</v>
      </c>
      <c r="AD21" s="148" t="s">
        <v>288</v>
      </c>
      <c r="AE21" s="141"/>
      <c r="AF21" s="141"/>
      <c r="AG21" s="141"/>
      <c r="AH21" s="141"/>
      <c r="AI21" s="141"/>
      <c r="AJ21" s="141"/>
    </row>
    <row r="22" spans="1:36" x14ac:dyDescent="0.3">
      <c r="A22" s="143" t="s">
        <v>273</v>
      </c>
      <c r="B22" s="144">
        <v>46028</v>
      </c>
      <c r="C22" s="145" t="s">
        <v>66</v>
      </c>
      <c r="D22" s="146" t="s">
        <v>274</v>
      </c>
      <c r="E22" s="145" t="s">
        <v>1</v>
      </c>
      <c r="F22" s="145" t="s">
        <v>275</v>
      </c>
      <c r="G22" s="147">
        <v>7.7399999999999997E-2</v>
      </c>
      <c r="H22" s="148">
        <v>168</v>
      </c>
      <c r="I22" s="148">
        <v>13</v>
      </c>
      <c r="J22" s="148">
        <v>0</v>
      </c>
      <c r="K22" s="145" t="s">
        <v>276</v>
      </c>
      <c r="L22" s="149">
        <v>46353</v>
      </c>
      <c r="M22" s="148">
        <v>0</v>
      </c>
      <c r="N22" s="148">
        <v>0</v>
      </c>
      <c r="O22" s="148">
        <v>13</v>
      </c>
      <c r="P22" s="145" t="s">
        <v>184</v>
      </c>
      <c r="Q22" s="141"/>
      <c r="R22" s="141"/>
      <c r="S22" s="141"/>
      <c r="T22" s="141"/>
      <c r="U22" s="141"/>
      <c r="V22" s="141"/>
      <c r="W22" s="141"/>
      <c r="X22" s="141"/>
      <c r="Y22" s="141"/>
      <c r="Z22" s="148" t="s">
        <v>304</v>
      </c>
      <c r="AA22" s="141"/>
      <c r="AB22" s="141"/>
      <c r="AC22" s="148" t="s">
        <v>170</v>
      </c>
      <c r="AD22" s="148" t="s">
        <v>299</v>
      </c>
      <c r="AE22" s="148" t="s">
        <v>330</v>
      </c>
      <c r="AF22" s="141"/>
      <c r="AG22" s="141"/>
      <c r="AH22" s="141"/>
      <c r="AI22" s="141"/>
      <c r="AJ22" s="141"/>
    </row>
    <row r="23" spans="1:36" x14ac:dyDescent="0.3">
      <c r="A23" s="143" t="s">
        <v>283</v>
      </c>
      <c r="B23" s="144">
        <v>46030</v>
      </c>
      <c r="C23" s="145" t="s">
        <v>66</v>
      </c>
      <c r="D23" s="146" t="s">
        <v>284</v>
      </c>
      <c r="E23" s="145" t="s">
        <v>1</v>
      </c>
      <c r="F23" s="145" t="s">
        <v>275</v>
      </c>
      <c r="G23" s="147">
        <v>0.20610000000000001</v>
      </c>
      <c r="H23" s="148">
        <v>165</v>
      </c>
      <c r="I23" s="148">
        <v>34</v>
      </c>
      <c r="J23" s="148">
        <v>0</v>
      </c>
      <c r="K23" s="145" t="s">
        <v>276</v>
      </c>
      <c r="L23" s="149">
        <v>46356</v>
      </c>
      <c r="M23" s="148">
        <v>0</v>
      </c>
      <c r="N23" s="148">
        <v>0</v>
      </c>
      <c r="O23" s="148">
        <v>34</v>
      </c>
      <c r="P23" s="145" t="s">
        <v>199</v>
      </c>
      <c r="Q23" s="141"/>
      <c r="R23" s="141"/>
      <c r="S23" s="141"/>
      <c r="T23" s="141"/>
      <c r="U23" s="141"/>
      <c r="V23" s="141"/>
      <c r="W23" s="141"/>
      <c r="X23" s="148" t="s">
        <v>331</v>
      </c>
      <c r="Y23" s="148" t="s">
        <v>332</v>
      </c>
      <c r="Z23" s="148" t="s">
        <v>278</v>
      </c>
      <c r="AA23" s="148" t="s">
        <v>318</v>
      </c>
      <c r="AB23" s="141"/>
      <c r="AC23" s="141"/>
      <c r="AD23" s="141"/>
      <c r="AE23" s="141"/>
      <c r="AF23" s="141"/>
      <c r="AG23" s="141"/>
      <c r="AH23" s="141"/>
      <c r="AI23" s="141"/>
      <c r="AJ23" s="141"/>
    </row>
    <row r="24" spans="1:36" x14ac:dyDescent="0.3">
      <c r="A24" s="143" t="s">
        <v>290</v>
      </c>
      <c r="B24" s="144">
        <v>46031</v>
      </c>
      <c r="C24" s="145" t="s">
        <v>66</v>
      </c>
      <c r="D24" s="146" t="s">
        <v>291</v>
      </c>
      <c r="E24" s="145" t="s">
        <v>1</v>
      </c>
      <c r="F24" s="145" t="s">
        <v>275</v>
      </c>
      <c r="G24" s="147">
        <v>0.19639999999999999</v>
      </c>
      <c r="H24" s="148">
        <v>168</v>
      </c>
      <c r="I24" s="148">
        <v>33</v>
      </c>
      <c r="J24" s="148">
        <v>0</v>
      </c>
      <c r="K24" s="145" t="s">
        <v>276</v>
      </c>
      <c r="L24" s="149">
        <v>46356</v>
      </c>
      <c r="M24" s="148">
        <v>0</v>
      </c>
      <c r="N24" s="148">
        <v>0</v>
      </c>
      <c r="O24" s="148">
        <v>33</v>
      </c>
      <c r="P24" s="145" t="s">
        <v>207</v>
      </c>
      <c r="Q24" s="141"/>
      <c r="R24" s="141"/>
      <c r="S24" s="141"/>
      <c r="T24" s="141"/>
      <c r="U24" s="141"/>
      <c r="V24" s="141"/>
      <c r="W24" s="141"/>
      <c r="X24" s="148" t="s">
        <v>331</v>
      </c>
      <c r="Y24" s="148" t="s">
        <v>333</v>
      </c>
      <c r="Z24" s="148" t="s">
        <v>334</v>
      </c>
      <c r="AA24" s="148" t="s">
        <v>307</v>
      </c>
      <c r="AB24" s="141"/>
      <c r="AC24" s="141"/>
      <c r="AD24" s="141"/>
      <c r="AE24" s="141"/>
      <c r="AF24" s="141"/>
      <c r="AG24" s="141"/>
      <c r="AH24" s="141"/>
      <c r="AI24" s="141"/>
      <c r="AJ24" s="141"/>
    </row>
    <row r="25" spans="1:36" x14ac:dyDescent="0.3">
      <c r="A25" s="143" t="s">
        <v>296</v>
      </c>
      <c r="B25" s="144">
        <v>46032</v>
      </c>
      <c r="C25" s="145" t="s">
        <v>66</v>
      </c>
      <c r="D25" s="146" t="s">
        <v>284</v>
      </c>
      <c r="E25" s="145" t="s">
        <v>1</v>
      </c>
      <c r="F25" s="145" t="s">
        <v>275</v>
      </c>
      <c r="G25" s="147">
        <v>0.13100000000000001</v>
      </c>
      <c r="H25" s="148">
        <v>168</v>
      </c>
      <c r="I25" s="148">
        <v>22</v>
      </c>
      <c r="J25" s="148">
        <v>0</v>
      </c>
      <c r="K25" s="145" t="s">
        <v>276</v>
      </c>
      <c r="L25" s="149">
        <v>46354</v>
      </c>
      <c r="M25" s="148">
        <v>0</v>
      </c>
      <c r="N25" s="148">
        <v>0</v>
      </c>
      <c r="O25" s="148">
        <v>22</v>
      </c>
      <c r="P25" s="145" t="s">
        <v>216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48" t="s">
        <v>335</v>
      </c>
      <c r="AA25" s="148" t="s">
        <v>163</v>
      </c>
      <c r="AB25" s="141"/>
      <c r="AC25" s="141"/>
      <c r="AD25" s="141"/>
      <c r="AE25" s="141"/>
      <c r="AF25" s="141"/>
      <c r="AG25" s="141"/>
      <c r="AH25" s="141"/>
      <c r="AI25" s="141"/>
      <c r="AJ25" s="141"/>
    </row>
    <row r="26" spans="1:36" x14ac:dyDescent="0.3">
      <c r="A26" s="143" t="s">
        <v>273</v>
      </c>
      <c r="B26" s="144">
        <v>46035</v>
      </c>
      <c r="C26" s="145" t="s">
        <v>66</v>
      </c>
      <c r="D26" s="146" t="s">
        <v>274</v>
      </c>
      <c r="E26" s="145" t="s">
        <v>1</v>
      </c>
      <c r="F26" s="145" t="s">
        <v>275</v>
      </c>
      <c r="G26" s="147">
        <v>9.5200000000000007E-2</v>
      </c>
      <c r="H26" s="148">
        <v>168</v>
      </c>
      <c r="I26" s="148">
        <v>16</v>
      </c>
      <c r="J26" s="148">
        <v>0</v>
      </c>
      <c r="K26" s="145" t="s">
        <v>276</v>
      </c>
      <c r="L26" s="149">
        <v>46357</v>
      </c>
      <c r="M26" s="148">
        <v>0</v>
      </c>
      <c r="N26" s="148">
        <v>0</v>
      </c>
      <c r="O26" s="148">
        <v>16</v>
      </c>
      <c r="P26" s="145" t="s">
        <v>184</v>
      </c>
      <c r="Q26" s="141"/>
      <c r="R26" s="141"/>
      <c r="S26" s="141"/>
      <c r="T26" s="141"/>
      <c r="U26" s="141"/>
      <c r="V26" s="141"/>
      <c r="W26" s="141"/>
      <c r="X26" s="141"/>
      <c r="Y26" s="148" t="s">
        <v>216</v>
      </c>
      <c r="Z26" s="141"/>
      <c r="AA26" s="141"/>
      <c r="AB26" s="141"/>
      <c r="AC26" s="148" t="s">
        <v>336</v>
      </c>
      <c r="AD26" s="148" t="s">
        <v>320</v>
      </c>
      <c r="AE26" s="148" t="s">
        <v>327</v>
      </c>
      <c r="AF26" s="141"/>
      <c r="AG26" s="141"/>
      <c r="AH26" s="141"/>
      <c r="AI26" s="141"/>
      <c r="AJ26" s="141"/>
    </row>
    <row r="27" spans="1:36" x14ac:dyDescent="0.3">
      <c r="A27" s="143" t="s">
        <v>283</v>
      </c>
      <c r="B27" s="144">
        <v>46037</v>
      </c>
      <c r="C27" s="145" t="s">
        <v>66</v>
      </c>
      <c r="D27" s="146" t="s">
        <v>284</v>
      </c>
      <c r="E27" s="145" t="s">
        <v>1</v>
      </c>
      <c r="F27" s="145" t="s">
        <v>275</v>
      </c>
      <c r="G27" s="147">
        <v>0.1429</v>
      </c>
      <c r="H27" s="148">
        <v>168</v>
      </c>
      <c r="I27" s="148">
        <v>24</v>
      </c>
      <c r="J27" s="148">
        <v>0</v>
      </c>
      <c r="K27" s="145" t="s">
        <v>276</v>
      </c>
      <c r="L27" s="149">
        <v>46355</v>
      </c>
      <c r="M27" s="148">
        <v>0</v>
      </c>
      <c r="N27" s="148">
        <v>0</v>
      </c>
      <c r="O27" s="148">
        <v>24</v>
      </c>
      <c r="P27" s="145" t="s">
        <v>221</v>
      </c>
      <c r="Q27" s="141"/>
      <c r="R27" s="141"/>
      <c r="S27" s="141"/>
      <c r="T27" s="141"/>
      <c r="U27" s="141"/>
      <c r="V27" s="141"/>
      <c r="W27" s="141"/>
      <c r="X27" s="141"/>
      <c r="Y27" s="148" t="s">
        <v>337</v>
      </c>
      <c r="Z27" s="148" t="s">
        <v>285</v>
      </c>
      <c r="AA27" s="141"/>
      <c r="AB27" s="148" t="s">
        <v>308</v>
      </c>
      <c r="AC27" s="148" t="s">
        <v>338</v>
      </c>
      <c r="AD27" s="141"/>
      <c r="AE27" s="141"/>
      <c r="AF27" s="141"/>
      <c r="AG27" s="141"/>
      <c r="AH27" s="141"/>
      <c r="AI27" s="141"/>
      <c r="AJ27" s="141"/>
    </row>
    <row r="28" spans="1:36" x14ac:dyDescent="0.3">
      <c r="A28" s="143" t="s">
        <v>290</v>
      </c>
      <c r="B28" s="144">
        <v>46038</v>
      </c>
      <c r="C28" s="145" t="s">
        <v>66</v>
      </c>
      <c r="D28" s="146" t="s">
        <v>291</v>
      </c>
      <c r="E28" s="145" t="s">
        <v>1</v>
      </c>
      <c r="F28" s="145" t="s">
        <v>275</v>
      </c>
      <c r="G28" s="147">
        <v>0.1333</v>
      </c>
      <c r="H28" s="148">
        <v>165</v>
      </c>
      <c r="I28" s="148">
        <v>22</v>
      </c>
      <c r="J28" s="148">
        <v>0</v>
      </c>
      <c r="K28" s="145" t="s">
        <v>276</v>
      </c>
      <c r="L28" s="149">
        <v>46355</v>
      </c>
      <c r="M28" s="148">
        <v>0</v>
      </c>
      <c r="N28" s="148">
        <v>0</v>
      </c>
      <c r="O28" s="148">
        <v>22</v>
      </c>
      <c r="P28" s="145" t="s">
        <v>181</v>
      </c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8" t="s">
        <v>312</v>
      </c>
      <c r="AB28" s="148" t="s">
        <v>280</v>
      </c>
      <c r="AC28" s="148" t="s">
        <v>234</v>
      </c>
      <c r="AD28" s="148" t="s">
        <v>293</v>
      </c>
      <c r="AE28" s="148" t="s">
        <v>330</v>
      </c>
      <c r="AF28" s="141"/>
      <c r="AG28" s="141"/>
      <c r="AH28" s="141"/>
      <c r="AI28" s="141"/>
      <c r="AJ28" s="141"/>
    </row>
    <row r="29" spans="1:36" x14ac:dyDescent="0.3">
      <c r="A29" s="143" t="s">
        <v>296</v>
      </c>
      <c r="B29" s="144">
        <v>46039</v>
      </c>
      <c r="C29" s="145" t="s">
        <v>66</v>
      </c>
      <c r="D29" s="146" t="s">
        <v>284</v>
      </c>
      <c r="E29" s="145" t="s">
        <v>1</v>
      </c>
      <c r="F29" s="145" t="s">
        <v>275</v>
      </c>
      <c r="G29" s="147">
        <v>8.9300000000000004E-2</v>
      </c>
      <c r="H29" s="148">
        <v>168</v>
      </c>
      <c r="I29" s="148">
        <v>15</v>
      </c>
      <c r="J29" s="148">
        <v>0</v>
      </c>
      <c r="K29" s="145" t="s">
        <v>276</v>
      </c>
      <c r="L29" s="149">
        <v>46355</v>
      </c>
      <c r="M29" s="148">
        <v>0</v>
      </c>
      <c r="N29" s="148">
        <v>0</v>
      </c>
      <c r="O29" s="148">
        <v>15</v>
      </c>
      <c r="P29" s="145" t="s">
        <v>227</v>
      </c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8" t="s">
        <v>339</v>
      </c>
      <c r="AB29" s="141"/>
      <c r="AC29" s="141"/>
      <c r="AD29" s="148" t="s">
        <v>309</v>
      </c>
      <c r="AE29" s="148" t="s">
        <v>289</v>
      </c>
      <c r="AF29" s="141"/>
      <c r="AG29" s="141"/>
      <c r="AH29" s="141"/>
      <c r="AI29" s="141"/>
      <c r="AJ29" s="141"/>
    </row>
    <row r="30" spans="1:36" x14ac:dyDescent="0.3">
      <c r="A30" s="143" t="s">
        <v>273</v>
      </c>
      <c r="B30" s="144">
        <v>46042</v>
      </c>
      <c r="C30" s="145" t="s">
        <v>66</v>
      </c>
      <c r="D30" s="146" t="s">
        <v>274</v>
      </c>
      <c r="E30" s="145" t="s">
        <v>1</v>
      </c>
      <c r="F30" s="145" t="s">
        <v>275</v>
      </c>
      <c r="G30" s="147">
        <v>0.11310000000000001</v>
      </c>
      <c r="H30" s="148">
        <v>168</v>
      </c>
      <c r="I30" s="148">
        <v>19</v>
      </c>
      <c r="J30" s="148">
        <v>0</v>
      </c>
      <c r="K30" s="145" t="s">
        <v>276</v>
      </c>
      <c r="L30" s="149">
        <v>46355</v>
      </c>
      <c r="M30" s="148">
        <v>0</v>
      </c>
      <c r="N30" s="148">
        <v>0</v>
      </c>
      <c r="O30" s="148">
        <v>19</v>
      </c>
      <c r="P30" s="145" t="s">
        <v>170</v>
      </c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8" t="s">
        <v>227</v>
      </c>
      <c r="AD30" s="148" t="s">
        <v>340</v>
      </c>
      <c r="AE30" s="148" t="s">
        <v>327</v>
      </c>
      <c r="AF30" s="141"/>
      <c r="AG30" s="141"/>
      <c r="AH30" s="141"/>
      <c r="AI30" s="141"/>
      <c r="AJ30" s="141"/>
    </row>
    <row r="31" spans="1:36" x14ac:dyDescent="0.3">
      <c r="A31" s="143" t="s">
        <v>283</v>
      </c>
      <c r="B31" s="144">
        <v>46044</v>
      </c>
      <c r="C31" s="145" t="s">
        <v>66</v>
      </c>
      <c r="D31" s="146" t="s">
        <v>284</v>
      </c>
      <c r="E31" s="145" t="s">
        <v>1</v>
      </c>
      <c r="F31" s="145" t="s">
        <v>275</v>
      </c>
      <c r="G31" s="147">
        <v>0.11310000000000001</v>
      </c>
      <c r="H31" s="148">
        <v>168</v>
      </c>
      <c r="I31" s="148">
        <v>19</v>
      </c>
      <c r="J31" s="148">
        <v>0</v>
      </c>
      <c r="K31" s="145" t="s">
        <v>276</v>
      </c>
      <c r="L31" s="149">
        <v>46356</v>
      </c>
      <c r="M31" s="148">
        <v>0</v>
      </c>
      <c r="N31" s="148">
        <v>0</v>
      </c>
      <c r="O31" s="148">
        <v>19</v>
      </c>
      <c r="P31" s="145" t="s">
        <v>170</v>
      </c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8" t="s">
        <v>137</v>
      </c>
      <c r="AD31" s="148" t="s">
        <v>299</v>
      </c>
      <c r="AE31" s="148" t="s">
        <v>315</v>
      </c>
      <c r="AF31" s="148" t="s">
        <v>341</v>
      </c>
      <c r="AG31" s="141"/>
      <c r="AH31" s="141"/>
      <c r="AI31" s="141"/>
      <c r="AJ31" s="141"/>
    </row>
    <row r="32" spans="1:36" x14ac:dyDescent="0.3">
      <c r="A32" s="143" t="s">
        <v>290</v>
      </c>
      <c r="B32" s="144">
        <v>46045</v>
      </c>
      <c r="C32" s="145" t="s">
        <v>66</v>
      </c>
      <c r="D32" s="146" t="s">
        <v>291</v>
      </c>
      <c r="E32" s="145" t="s">
        <v>1</v>
      </c>
      <c r="F32" s="145" t="s">
        <v>275</v>
      </c>
      <c r="G32" s="147">
        <v>7.8799999999999995E-2</v>
      </c>
      <c r="H32" s="148">
        <v>165</v>
      </c>
      <c r="I32" s="148">
        <v>13</v>
      </c>
      <c r="J32" s="148">
        <v>0</v>
      </c>
      <c r="K32" s="145" t="s">
        <v>276</v>
      </c>
      <c r="L32" s="149">
        <v>46353</v>
      </c>
      <c r="M32" s="148">
        <v>0</v>
      </c>
      <c r="N32" s="148">
        <v>0</v>
      </c>
      <c r="O32" s="148">
        <v>13</v>
      </c>
      <c r="P32" s="145" t="s">
        <v>232</v>
      </c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8" t="s">
        <v>298</v>
      </c>
      <c r="AD32" s="148" t="s">
        <v>309</v>
      </c>
      <c r="AE32" s="148" t="s">
        <v>315</v>
      </c>
      <c r="AF32" s="141"/>
      <c r="AG32" s="141"/>
      <c r="AH32" s="141"/>
      <c r="AI32" s="141"/>
      <c r="AJ32" s="141"/>
    </row>
    <row r="33" spans="1:36" x14ac:dyDescent="0.3">
      <c r="A33" s="143" t="s">
        <v>296</v>
      </c>
      <c r="B33" s="144">
        <v>46046</v>
      </c>
      <c r="C33" s="145" t="s">
        <v>66</v>
      </c>
      <c r="D33" s="146" t="s">
        <v>284</v>
      </c>
      <c r="E33" s="145" t="s">
        <v>1</v>
      </c>
      <c r="F33" s="145" t="s">
        <v>275</v>
      </c>
      <c r="G33" s="147">
        <v>8.3299999999999999E-2</v>
      </c>
      <c r="H33" s="148">
        <v>168</v>
      </c>
      <c r="I33" s="148">
        <v>14</v>
      </c>
      <c r="J33" s="148">
        <v>0</v>
      </c>
      <c r="K33" s="145" t="s">
        <v>276</v>
      </c>
      <c r="L33" s="149">
        <v>46354</v>
      </c>
      <c r="M33" s="148">
        <v>0</v>
      </c>
      <c r="N33" s="148">
        <v>0</v>
      </c>
      <c r="O33" s="148">
        <v>14</v>
      </c>
      <c r="P33" s="145" t="s">
        <v>234</v>
      </c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8" t="s">
        <v>298</v>
      </c>
      <c r="AD33" s="148" t="s">
        <v>309</v>
      </c>
      <c r="AE33" s="148" t="s">
        <v>305</v>
      </c>
      <c r="AF33" s="141"/>
      <c r="AG33" s="141"/>
      <c r="AH33" s="141"/>
      <c r="AI33" s="141"/>
      <c r="AJ33" s="141"/>
    </row>
    <row r="34" spans="1:36" x14ac:dyDescent="0.3">
      <c r="A34" s="143" t="s">
        <v>273</v>
      </c>
      <c r="B34" s="144">
        <v>46049</v>
      </c>
      <c r="C34" s="145" t="s">
        <v>66</v>
      </c>
      <c r="D34" s="146" t="s">
        <v>274</v>
      </c>
      <c r="E34" s="145" t="s">
        <v>1</v>
      </c>
      <c r="F34" s="145" t="s">
        <v>275</v>
      </c>
      <c r="G34" s="147">
        <v>7.1400000000000005E-2</v>
      </c>
      <c r="H34" s="148">
        <v>168</v>
      </c>
      <c r="I34" s="148">
        <v>12</v>
      </c>
      <c r="J34" s="148">
        <v>0</v>
      </c>
      <c r="K34" s="145" t="s">
        <v>276</v>
      </c>
      <c r="L34" s="149">
        <v>46348</v>
      </c>
      <c r="M34" s="148">
        <v>0</v>
      </c>
      <c r="N34" s="148">
        <v>0</v>
      </c>
      <c r="O34" s="148">
        <v>12</v>
      </c>
      <c r="P34" s="145" t="s">
        <v>238</v>
      </c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8" t="s">
        <v>137</v>
      </c>
      <c r="AD34" s="148" t="s">
        <v>323</v>
      </c>
      <c r="AE34" s="148" t="s">
        <v>281</v>
      </c>
      <c r="AF34" s="141"/>
      <c r="AG34" s="141"/>
      <c r="AH34" s="141"/>
      <c r="AI34" s="141"/>
      <c r="AJ34" s="141"/>
    </row>
    <row r="35" spans="1:36" x14ac:dyDescent="0.3">
      <c r="A35" s="143" t="s">
        <v>283</v>
      </c>
      <c r="B35" s="144">
        <v>46051</v>
      </c>
      <c r="C35" s="145" t="s">
        <v>66</v>
      </c>
      <c r="D35" s="146" t="s">
        <v>284</v>
      </c>
      <c r="E35" s="145" t="s">
        <v>1</v>
      </c>
      <c r="F35" s="145" t="s">
        <v>275</v>
      </c>
      <c r="G35" s="147">
        <v>9.5200000000000007E-2</v>
      </c>
      <c r="H35" s="148">
        <v>168</v>
      </c>
      <c r="I35" s="148">
        <v>16</v>
      </c>
      <c r="J35" s="148">
        <v>0</v>
      </c>
      <c r="K35" s="145" t="s">
        <v>276</v>
      </c>
      <c r="L35" s="149">
        <v>46356</v>
      </c>
      <c r="M35" s="148">
        <v>0</v>
      </c>
      <c r="N35" s="148">
        <v>0</v>
      </c>
      <c r="O35" s="148">
        <v>16</v>
      </c>
      <c r="P35" s="145" t="s">
        <v>137</v>
      </c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8" t="s">
        <v>342</v>
      </c>
      <c r="AD35" s="148" t="s">
        <v>309</v>
      </c>
      <c r="AE35" s="148" t="s">
        <v>315</v>
      </c>
      <c r="AF35" s="141"/>
      <c r="AG35" s="141"/>
      <c r="AH35" s="141"/>
      <c r="AI35" s="141"/>
      <c r="AJ35" s="141"/>
    </row>
    <row r="36" spans="1:36" x14ac:dyDescent="0.3">
      <c r="A36" s="143" t="s">
        <v>290</v>
      </c>
      <c r="B36" s="144">
        <v>46052</v>
      </c>
      <c r="C36" s="145" t="s">
        <v>66</v>
      </c>
      <c r="D36" s="146" t="s">
        <v>291</v>
      </c>
      <c r="E36" s="145" t="s">
        <v>1</v>
      </c>
      <c r="F36" s="145" t="s">
        <v>275</v>
      </c>
      <c r="G36" s="147">
        <v>7.7399999999999997E-2</v>
      </c>
      <c r="H36" s="148">
        <v>168</v>
      </c>
      <c r="I36" s="148">
        <v>13</v>
      </c>
      <c r="J36" s="148">
        <v>0</v>
      </c>
      <c r="K36" s="145" t="s">
        <v>276</v>
      </c>
      <c r="L36" s="149">
        <v>46353</v>
      </c>
      <c r="M36" s="148">
        <v>0</v>
      </c>
      <c r="N36" s="148">
        <v>0</v>
      </c>
      <c r="O36" s="148">
        <v>13</v>
      </c>
      <c r="P36" s="145" t="s">
        <v>232</v>
      </c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8" t="s">
        <v>326</v>
      </c>
      <c r="AE36" s="148" t="s">
        <v>330</v>
      </c>
      <c r="AF36" s="141"/>
      <c r="AG36" s="141"/>
      <c r="AH36" s="141"/>
      <c r="AI36" s="141"/>
      <c r="AJ36" s="141"/>
    </row>
    <row r="37" spans="1:36" x14ac:dyDescent="0.3">
      <c r="A37" s="143" t="s">
        <v>296</v>
      </c>
      <c r="B37" s="144">
        <v>46053</v>
      </c>
      <c r="C37" s="145" t="s">
        <v>66</v>
      </c>
      <c r="D37" s="146" t="s">
        <v>284</v>
      </c>
      <c r="E37" s="145" t="s">
        <v>1</v>
      </c>
      <c r="F37" s="145" t="s">
        <v>275</v>
      </c>
      <c r="G37" s="147">
        <v>0.1071</v>
      </c>
      <c r="H37" s="148">
        <v>168</v>
      </c>
      <c r="I37" s="148">
        <v>18</v>
      </c>
      <c r="J37" s="148">
        <v>0</v>
      </c>
      <c r="K37" s="145" t="s">
        <v>276</v>
      </c>
      <c r="L37" s="149">
        <v>46355</v>
      </c>
      <c r="M37" s="148">
        <v>0</v>
      </c>
      <c r="N37" s="148">
        <v>0</v>
      </c>
      <c r="O37" s="148">
        <v>18</v>
      </c>
      <c r="P37" s="145" t="s">
        <v>170</v>
      </c>
      <c r="Q37" s="141"/>
      <c r="R37" s="141"/>
      <c r="S37" s="141"/>
      <c r="T37" s="141"/>
      <c r="U37" s="141"/>
      <c r="V37" s="141"/>
      <c r="W37" s="141"/>
      <c r="X37" s="141"/>
      <c r="Y37" s="141"/>
      <c r="Z37" s="148" t="s">
        <v>297</v>
      </c>
      <c r="AA37" s="141"/>
      <c r="AB37" s="148" t="s">
        <v>319</v>
      </c>
      <c r="AC37" s="148" t="s">
        <v>232</v>
      </c>
      <c r="AD37" s="148" t="s">
        <v>288</v>
      </c>
      <c r="AE37" s="148" t="s">
        <v>330</v>
      </c>
      <c r="AF37" s="141"/>
      <c r="AG37" s="141"/>
      <c r="AH37" s="141"/>
      <c r="AI37" s="141"/>
      <c r="AJ37" s="141"/>
    </row>
    <row r="38" spans="1:36" ht="21" x14ac:dyDescent="0.3">
      <c r="A38" s="150" t="s">
        <v>495</v>
      </c>
      <c r="B38" s="151"/>
      <c r="C38" s="150">
        <f>SUBTOTAL(103,DMM_CAI_LF_LEGACY[Flt])</f>
        <v>36</v>
      </c>
      <c r="D38" s="150"/>
      <c r="E38" s="150">
        <f>SUBTOTAL(103,DMM_CAI_LF_LEGACY[Brd-Off])</f>
        <v>36</v>
      </c>
      <c r="F38" s="150"/>
      <c r="G38" s="152">
        <f>SUBTOTAL(101,DMM_CAI_LF_LEGACY[LF%])</f>
        <v>0.21201388888888892</v>
      </c>
      <c r="H38" s="153">
        <f>SUBTOTAL(109,DMM_CAI_LF_LEGACY[CAP])</f>
        <v>6039</v>
      </c>
      <c r="I38" s="153">
        <f>SUBTOTAL(109,DMM_CAI_LF_LEGACY[BKG(Y)])</f>
        <v>1281</v>
      </c>
      <c r="J38" s="153">
        <f>SUBTOTAL(109,DMM_CAI_LF_LEGACY[GRP(Y)])</f>
        <v>0</v>
      </c>
      <c r="K38" s="150"/>
      <c r="L38" s="151"/>
      <c r="M38" s="153">
        <f>SUBTOTAL(109,DMM_CAI_LF_LEGACY[TO-DAY])</f>
        <v>8</v>
      </c>
      <c r="N38" s="153">
        <f>SUBTOTAL(109,DMM_CAI_LF_LEGACY[Y-DAY])</f>
        <v>8</v>
      </c>
      <c r="O38" s="153">
        <f>SUBTOTAL(109,DMM_CAI_LF_LEGACY[WEEKLY])</f>
        <v>734</v>
      </c>
      <c r="P38" s="154"/>
      <c r="Q38" s="153">
        <f>SUBTOTAL(109,DMM_CAI_LF_LEGACY[Y])</f>
        <v>0</v>
      </c>
      <c r="R38" s="153">
        <f>SUBTOTAL(109,DMM_CAI_LF_LEGACY[B])</f>
        <v>0</v>
      </c>
      <c r="S38" s="153">
        <f>SUBTOTAL(109,DMM_CAI_LF_LEGACY[M])</f>
        <v>0</v>
      </c>
      <c r="T38" s="153">
        <f>SUBTOTAL(109,DMM_CAI_LF_LEGACY[H])</f>
        <v>0</v>
      </c>
      <c r="U38" s="153">
        <f>SUBTOTAL(109,DMM_CAI_LF_LEGACY[Q])</f>
        <v>0</v>
      </c>
      <c r="V38" s="153">
        <f>SUBTOTAL(109,DMM_CAI_LF_LEGACY[K])</f>
        <v>0</v>
      </c>
      <c r="W38" s="153">
        <f>SUBTOTAL(109,DMM_CAI_LF_LEGACY[V])</f>
        <v>0</v>
      </c>
      <c r="X38" s="153">
        <f>SUBTOTAL(109,DMM_CAI_LF_LEGACY[L])</f>
        <v>0</v>
      </c>
      <c r="Y38" s="153">
        <f>SUBTOTAL(109,DMM_CAI_LF_LEGACY[G])</f>
        <v>0</v>
      </c>
      <c r="Z38" s="153">
        <f>SUBTOTAL(109,DMM_CAI_LF_LEGACY[S])</f>
        <v>0</v>
      </c>
      <c r="AA38" s="153">
        <f>SUBTOTAL(109,DMM_CAI_LF_LEGACY[W])</f>
        <v>0</v>
      </c>
      <c r="AB38" s="153">
        <f>SUBTOTAL(109,DMM_CAI_LF_LEGACY[T])</f>
        <v>0</v>
      </c>
      <c r="AC38" s="153">
        <f>SUBTOTAL(109,DMM_CAI_LF_LEGACY[X])</f>
        <v>0</v>
      </c>
      <c r="AD38" s="153">
        <f>SUBTOTAL(109,DMM_CAI_LF_LEGACY[U])</f>
        <v>0</v>
      </c>
      <c r="AE38" s="153">
        <f>SUBTOTAL(109,DMM_CAI_LF_LEGACY[O])</f>
        <v>0</v>
      </c>
      <c r="AF38" s="153">
        <f>SUBTOTAL(109,DMM_CAI_LF_LEGACY[I])</f>
        <v>0</v>
      </c>
      <c r="AG38" s="153">
        <f>SUBTOTAL(109,DMM_CAI_LF_LEGACY[E])</f>
        <v>0</v>
      </c>
      <c r="AH38" s="153">
        <f>SUBTOTAL(109,DMM_CAI_LF_LEGACY[A])</f>
        <v>0</v>
      </c>
      <c r="AI38" s="153">
        <f>SUBTOTAL(109,DMM_CAI_LF_LEGACY[P])</f>
        <v>0</v>
      </c>
      <c r="AJ38" s="153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workbookViewId="0"/>
  </sheetViews>
  <sheetFormatPr defaultRowHeight="14.4" x14ac:dyDescent="0.3"/>
  <cols>
    <col min="1" max="1" width="11.886718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  <col min="9" max="9" width="185" hidden="1" customWidth="1"/>
  </cols>
  <sheetData>
    <row r="1" spans="1:9" ht="18" x14ac:dyDescent="0.3">
      <c r="A1" s="71" t="s">
        <v>343</v>
      </c>
      <c r="B1" s="72" t="s">
        <v>8</v>
      </c>
      <c r="C1" s="72" t="s">
        <v>9</v>
      </c>
      <c r="D1" s="72" t="s">
        <v>344</v>
      </c>
      <c r="E1" s="72" t="s">
        <v>10</v>
      </c>
      <c r="F1" s="72" t="s">
        <v>11</v>
      </c>
      <c r="G1" s="72" t="s">
        <v>12</v>
      </c>
      <c r="H1" s="73" t="s">
        <v>13</v>
      </c>
      <c r="I1" s="2"/>
    </row>
    <row r="2" spans="1:9" ht="19.8" customHeight="1" x14ac:dyDescent="0.3">
      <c r="A2" s="74" t="s">
        <v>345</v>
      </c>
      <c r="B2" s="75" t="s">
        <v>26</v>
      </c>
      <c r="C2" s="76" t="s">
        <v>27</v>
      </c>
      <c r="D2" s="75" t="s">
        <v>1</v>
      </c>
      <c r="E2" s="75" t="s">
        <v>346</v>
      </c>
      <c r="F2" s="75" t="s">
        <v>28</v>
      </c>
      <c r="G2" s="77">
        <v>9</v>
      </c>
      <c r="H2" s="130">
        <v>379</v>
      </c>
      <c r="I2" s="2"/>
    </row>
    <row r="3" spans="1:9" ht="19.8" customHeight="1" x14ac:dyDescent="0.3">
      <c r="A3" s="78" t="s">
        <v>345</v>
      </c>
      <c r="B3" s="79" t="s">
        <v>31</v>
      </c>
      <c r="C3" s="80" t="s">
        <v>32</v>
      </c>
      <c r="D3" s="79" t="s">
        <v>1</v>
      </c>
      <c r="E3" s="79" t="s">
        <v>347</v>
      </c>
      <c r="F3" s="79" t="s">
        <v>33</v>
      </c>
      <c r="G3" s="81">
        <v>9</v>
      </c>
      <c r="H3" s="131">
        <v>697</v>
      </c>
      <c r="I3" s="2"/>
    </row>
    <row r="4" spans="1:9" ht="19.8" customHeight="1" x14ac:dyDescent="0.3">
      <c r="A4" s="74" t="s">
        <v>348</v>
      </c>
      <c r="B4" s="75" t="s">
        <v>35</v>
      </c>
      <c r="C4" s="76" t="s">
        <v>36</v>
      </c>
      <c r="D4" s="75" t="s">
        <v>1</v>
      </c>
      <c r="E4" s="75" t="s">
        <v>349</v>
      </c>
      <c r="F4" s="75" t="s">
        <v>37</v>
      </c>
      <c r="G4" s="77">
        <v>29</v>
      </c>
      <c r="H4" s="130">
        <v>339</v>
      </c>
      <c r="I4" s="2"/>
    </row>
    <row r="5" spans="1:9" ht="19.8" customHeight="1" x14ac:dyDescent="0.3">
      <c r="A5" s="74" t="s">
        <v>348</v>
      </c>
      <c r="B5" s="75" t="s">
        <v>44</v>
      </c>
      <c r="C5" s="76" t="s">
        <v>45</v>
      </c>
      <c r="D5" s="75" t="s">
        <v>1</v>
      </c>
      <c r="E5" s="75" t="s">
        <v>350</v>
      </c>
      <c r="F5" s="75" t="s">
        <v>46</v>
      </c>
      <c r="G5" s="77">
        <v>9</v>
      </c>
      <c r="H5" s="130">
        <v>349</v>
      </c>
      <c r="I5" s="2"/>
    </row>
    <row r="6" spans="1:9" ht="19.8" customHeight="1" x14ac:dyDescent="0.3">
      <c r="A6" s="74" t="s">
        <v>348</v>
      </c>
      <c r="B6" s="75" t="s">
        <v>26</v>
      </c>
      <c r="C6" s="76" t="s">
        <v>57</v>
      </c>
      <c r="D6" s="75" t="s">
        <v>1</v>
      </c>
      <c r="E6" s="75" t="s">
        <v>346</v>
      </c>
      <c r="F6" s="75" t="s">
        <v>28</v>
      </c>
      <c r="G6" s="77">
        <v>9</v>
      </c>
      <c r="H6" s="130">
        <v>379</v>
      </c>
      <c r="I6" s="2"/>
    </row>
    <row r="7" spans="1:9" ht="19.8" customHeight="1" x14ac:dyDescent="0.3">
      <c r="A7" s="74" t="s">
        <v>348</v>
      </c>
      <c r="B7" s="75" t="s">
        <v>44</v>
      </c>
      <c r="C7" s="76" t="s">
        <v>53</v>
      </c>
      <c r="D7" s="75" t="s">
        <v>1</v>
      </c>
      <c r="E7" s="75" t="s">
        <v>351</v>
      </c>
      <c r="F7" s="75" t="s">
        <v>46</v>
      </c>
      <c r="G7" s="77">
        <v>9</v>
      </c>
      <c r="H7" s="130">
        <v>409</v>
      </c>
      <c r="I7" s="2"/>
    </row>
    <row r="8" spans="1:9" ht="19.8" customHeight="1" x14ac:dyDescent="0.3">
      <c r="A8" s="74" t="s">
        <v>348</v>
      </c>
      <c r="B8" s="75" t="s">
        <v>31</v>
      </c>
      <c r="C8" s="76" t="s">
        <v>58</v>
      </c>
      <c r="D8" s="75" t="s">
        <v>1</v>
      </c>
      <c r="E8" s="75" t="s">
        <v>352</v>
      </c>
      <c r="F8" s="75" t="s">
        <v>59</v>
      </c>
      <c r="G8" s="77">
        <v>7</v>
      </c>
      <c r="H8" s="130">
        <v>411</v>
      </c>
      <c r="I8" s="2"/>
    </row>
    <row r="9" spans="1:9" ht="19.8" customHeight="1" x14ac:dyDescent="0.3">
      <c r="A9" s="74" t="s">
        <v>348</v>
      </c>
      <c r="B9" s="75" t="s">
        <v>44</v>
      </c>
      <c r="C9" s="76" t="s">
        <v>45</v>
      </c>
      <c r="D9" s="75" t="s">
        <v>1</v>
      </c>
      <c r="E9" s="75" t="s">
        <v>350</v>
      </c>
      <c r="F9" s="75" t="s">
        <v>49</v>
      </c>
      <c r="G9" s="77">
        <v>9</v>
      </c>
      <c r="H9" s="130">
        <v>449</v>
      </c>
      <c r="I9" s="2"/>
    </row>
    <row r="10" spans="1:9" ht="19.8" customHeight="1" x14ac:dyDescent="0.3">
      <c r="A10" s="74" t="s">
        <v>348</v>
      </c>
      <c r="B10" s="75" t="s">
        <v>35</v>
      </c>
      <c r="C10" s="76" t="s">
        <v>36</v>
      </c>
      <c r="D10" s="75" t="s">
        <v>1</v>
      </c>
      <c r="E10" s="75" t="s">
        <v>349</v>
      </c>
      <c r="F10" s="75" t="s">
        <v>40</v>
      </c>
      <c r="G10" s="77">
        <v>29</v>
      </c>
      <c r="H10" s="130">
        <v>489</v>
      </c>
      <c r="I10" s="2"/>
    </row>
    <row r="11" spans="1:9" ht="19.8" customHeight="1" x14ac:dyDescent="0.3">
      <c r="A11" s="74" t="s">
        <v>348</v>
      </c>
      <c r="B11" s="75" t="s">
        <v>44</v>
      </c>
      <c r="C11" s="76" t="s">
        <v>53</v>
      </c>
      <c r="D11" s="75" t="s">
        <v>1</v>
      </c>
      <c r="E11" s="75" t="s">
        <v>351</v>
      </c>
      <c r="F11" s="75" t="s">
        <v>49</v>
      </c>
      <c r="G11" s="77">
        <v>9</v>
      </c>
      <c r="H11" s="130">
        <v>509</v>
      </c>
      <c r="I11" s="2"/>
    </row>
    <row r="12" spans="1:9" ht="19.8" customHeight="1" x14ac:dyDescent="0.3">
      <c r="A12" s="74" t="s">
        <v>348</v>
      </c>
      <c r="B12" s="75" t="s">
        <v>44</v>
      </c>
      <c r="C12" s="76" t="s">
        <v>45</v>
      </c>
      <c r="D12" s="75" t="s">
        <v>1</v>
      </c>
      <c r="E12" s="75" t="s">
        <v>350</v>
      </c>
      <c r="F12" s="75" t="s">
        <v>51</v>
      </c>
      <c r="G12" s="77">
        <v>9</v>
      </c>
      <c r="H12" s="130">
        <v>539</v>
      </c>
      <c r="I12" s="2"/>
    </row>
    <row r="13" spans="1:9" ht="19.8" customHeight="1" x14ac:dyDescent="0.3">
      <c r="A13" s="82" t="s">
        <v>348</v>
      </c>
      <c r="B13" s="83" t="s">
        <v>63</v>
      </c>
      <c r="C13" s="84" t="s">
        <v>64</v>
      </c>
      <c r="D13" s="83" t="s">
        <v>1</v>
      </c>
      <c r="E13" s="83" t="s">
        <v>274</v>
      </c>
      <c r="F13" s="83" t="s">
        <v>28</v>
      </c>
      <c r="G13" s="85">
        <v>9</v>
      </c>
      <c r="H13" s="132">
        <v>566</v>
      </c>
      <c r="I13" s="2"/>
    </row>
    <row r="14" spans="1:9" ht="19.8" customHeight="1" x14ac:dyDescent="0.3">
      <c r="A14" s="133">
        <v>45993</v>
      </c>
      <c r="B14" s="75" t="s">
        <v>44</v>
      </c>
      <c r="C14" s="76" t="s">
        <v>53</v>
      </c>
      <c r="D14" s="75" t="s">
        <v>1</v>
      </c>
      <c r="E14" s="134">
        <v>1.833333333333333</v>
      </c>
      <c r="F14" s="75" t="s">
        <v>51</v>
      </c>
      <c r="G14" s="77">
        <v>9</v>
      </c>
      <c r="H14" s="130">
        <v>599</v>
      </c>
      <c r="I14" s="2"/>
    </row>
    <row r="15" spans="1:9" ht="19.8" customHeight="1" x14ac:dyDescent="0.3">
      <c r="A15" s="133">
        <v>45993</v>
      </c>
      <c r="B15" s="75" t="s">
        <v>31</v>
      </c>
      <c r="C15" s="76" t="s">
        <v>32</v>
      </c>
      <c r="D15" s="75" t="s">
        <v>1</v>
      </c>
      <c r="E15" s="134">
        <v>1.864583333333333</v>
      </c>
      <c r="F15" s="75" t="s">
        <v>33</v>
      </c>
      <c r="G15" s="77">
        <v>9</v>
      </c>
      <c r="H15" s="130">
        <v>697</v>
      </c>
      <c r="I15" s="2"/>
    </row>
    <row r="16" spans="1:9" ht="19.8" customHeight="1" x14ac:dyDescent="0.3">
      <c r="A16" s="133">
        <v>45993</v>
      </c>
      <c r="B16" s="75" t="s">
        <v>31</v>
      </c>
      <c r="C16" s="76" t="s">
        <v>62</v>
      </c>
      <c r="D16" s="75" t="s">
        <v>1</v>
      </c>
      <c r="E16" s="134">
        <v>1.5277777777777779</v>
      </c>
      <c r="F16" s="75" t="s">
        <v>33</v>
      </c>
      <c r="G16" s="77">
        <v>9</v>
      </c>
      <c r="H16" s="130">
        <v>697</v>
      </c>
      <c r="I16" s="2"/>
    </row>
    <row r="17" spans="1:9" ht="19.8" customHeight="1" x14ac:dyDescent="0.3">
      <c r="A17" s="133">
        <v>45993</v>
      </c>
      <c r="B17" s="75" t="s">
        <v>69</v>
      </c>
      <c r="C17" s="76" t="s">
        <v>70</v>
      </c>
      <c r="D17" s="75" t="s">
        <v>1</v>
      </c>
      <c r="E17" s="134">
        <v>1.305555555555556</v>
      </c>
      <c r="F17" s="75" t="s">
        <v>71</v>
      </c>
      <c r="G17" s="77">
        <v>4</v>
      </c>
      <c r="H17" s="86" t="s">
        <v>73</v>
      </c>
      <c r="I17" s="2"/>
    </row>
    <row r="18" spans="1:9" ht="19.8" customHeight="1" x14ac:dyDescent="0.3">
      <c r="A18" s="135">
        <v>45993</v>
      </c>
      <c r="B18" s="79" t="s">
        <v>35</v>
      </c>
      <c r="C18" s="80" t="s">
        <v>36</v>
      </c>
      <c r="D18" s="79" t="s">
        <v>1</v>
      </c>
      <c r="E18" s="136">
        <v>1.305555555555556</v>
      </c>
      <c r="F18" s="79" t="s">
        <v>42</v>
      </c>
      <c r="G18" s="81">
        <v>29</v>
      </c>
      <c r="H18" s="87" t="s">
        <v>43</v>
      </c>
      <c r="I18" s="2"/>
    </row>
    <row r="19" spans="1:9" ht="19.8" customHeight="1" x14ac:dyDescent="0.3">
      <c r="A19" s="133">
        <v>45994</v>
      </c>
      <c r="B19" s="75" t="s">
        <v>74</v>
      </c>
      <c r="C19" s="76" t="s">
        <v>75</v>
      </c>
      <c r="D19" s="75" t="s">
        <v>1</v>
      </c>
      <c r="E19" s="134">
        <v>1.9722222222222221</v>
      </c>
      <c r="F19" s="75" t="s">
        <v>76</v>
      </c>
      <c r="G19" s="77">
        <v>9</v>
      </c>
      <c r="H19" s="130">
        <v>348</v>
      </c>
      <c r="I19" s="2"/>
    </row>
    <row r="20" spans="1:9" ht="19.8" customHeight="1" x14ac:dyDescent="0.3">
      <c r="A20" s="133">
        <v>45994</v>
      </c>
      <c r="B20" s="75" t="s">
        <v>79</v>
      </c>
      <c r="C20" s="76" t="s">
        <v>80</v>
      </c>
      <c r="D20" s="75" t="s">
        <v>1</v>
      </c>
      <c r="E20" s="134">
        <v>1.0902777777777779</v>
      </c>
      <c r="F20" s="75" t="s">
        <v>28</v>
      </c>
      <c r="G20" s="77">
        <v>9</v>
      </c>
      <c r="H20" s="130">
        <v>371</v>
      </c>
      <c r="I20" s="2"/>
    </row>
    <row r="21" spans="1:9" ht="19.8" customHeight="1" x14ac:dyDescent="0.3">
      <c r="A21" s="133">
        <v>45994</v>
      </c>
      <c r="B21" s="75" t="s">
        <v>26</v>
      </c>
      <c r="C21" s="76" t="s">
        <v>27</v>
      </c>
      <c r="D21" s="75" t="s">
        <v>1</v>
      </c>
      <c r="E21" s="134">
        <v>1.895833333333333</v>
      </c>
      <c r="F21" s="75" t="s">
        <v>28</v>
      </c>
      <c r="G21" s="77">
        <v>9</v>
      </c>
      <c r="H21" s="130">
        <v>379</v>
      </c>
      <c r="I21" s="2"/>
    </row>
    <row r="22" spans="1:9" ht="19.8" customHeight="1" x14ac:dyDescent="0.3">
      <c r="A22" s="133">
        <v>45994</v>
      </c>
      <c r="B22" s="75" t="s">
        <v>35</v>
      </c>
      <c r="C22" s="76" t="s">
        <v>36</v>
      </c>
      <c r="D22" s="75" t="s">
        <v>1</v>
      </c>
      <c r="E22" s="134">
        <v>1.305555555555556</v>
      </c>
      <c r="F22" s="75" t="s">
        <v>37</v>
      </c>
      <c r="G22" s="77">
        <v>13</v>
      </c>
      <c r="H22" s="130">
        <v>399</v>
      </c>
      <c r="I22" s="2"/>
    </row>
    <row r="23" spans="1:9" ht="19.8" customHeight="1" x14ac:dyDescent="0.3">
      <c r="A23" s="133">
        <v>45994</v>
      </c>
      <c r="B23" s="75" t="s">
        <v>31</v>
      </c>
      <c r="C23" s="76" t="s">
        <v>58</v>
      </c>
      <c r="D23" s="75" t="s">
        <v>1</v>
      </c>
      <c r="E23" s="134">
        <v>1.1701388888888891</v>
      </c>
      <c r="F23" s="75" t="s">
        <v>59</v>
      </c>
      <c r="G23" s="77">
        <v>7</v>
      </c>
      <c r="H23" s="130">
        <v>411</v>
      </c>
      <c r="I23" s="2"/>
    </row>
    <row r="24" spans="1:9" ht="19.8" customHeight="1" x14ac:dyDescent="0.3">
      <c r="A24" s="133">
        <v>45994</v>
      </c>
      <c r="B24" s="75" t="s">
        <v>74</v>
      </c>
      <c r="C24" s="76" t="s">
        <v>75</v>
      </c>
      <c r="D24" s="75" t="s">
        <v>1</v>
      </c>
      <c r="E24" s="134">
        <v>1.9722222222222221</v>
      </c>
      <c r="F24" s="75" t="s">
        <v>42</v>
      </c>
      <c r="G24" s="77">
        <v>9</v>
      </c>
      <c r="H24" s="130">
        <v>472</v>
      </c>
      <c r="I24" s="2"/>
    </row>
    <row r="25" spans="1:9" ht="19.8" customHeight="1" x14ac:dyDescent="0.3">
      <c r="A25" s="133">
        <v>45994</v>
      </c>
      <c r="B25" s="75" t="s">
        <v>44</v>
      </c>
      <c r="C25" s="76" t="s">
        <v>53</v>
      </c>
      <c r="D25" s="75" t="s">
        <v>1</v>
      </c>
      <c r="E25" s="134">
        <v>1.833333333333333</v>
      </c>
      <c r="F25" s="75" t="s">
        <v>46</v>
      </c>
      <c r="G25" s="77">
        <v>8</v>
      </c>
      <c r="H25" s="130">
        <v>479</v>
      </c>
      <c r="I25" s="2"/>
    </row>
    <row r="26" spans="1:9" ht="19.8" customHeight="1" x14ac:dyDescent="0.3">
      <c r="A26" s="133">
        <v>45994</v>
      </c>
      <c r="B26" s="75" t="s">
        <v>35</v>
      </c>
      <c r="C26" s="76" t="s">
        <v>36</v>
      </c>
      <c r="D26" s="75" t="s">
        <v>1</v>
      </c>
      <c r="E26" s="134">
        <v>1.305555555555556</v>
      </c>
      <c r="F26" s="75" t="s">
        <v>40</v>
      </c>
      <c r="G26" s="77">
        <v>13</v>
      </c>
      <c r="H26" s="130">
        <v>549</v>
      </c>
      <c r="I26" s="2"/>
    </row>
    <row r="27" spans="1:9" ht="19.8" customHeight="1" x14ac:dyDescent="0.3">
      <c r="A27" s="133">
        <v>45994</v>
      </c>
      <c r="B27" s="75" t="s">
        <v>44</v>
      </c>
      <c r="C27" s="76" t="s">
        <v>53</v>
      </c>
      <c r="D27" s="75" t="s">
        <v>1</v>
      </c>
      <c r="E27" s="134">
        <v>1.833333333333333</v>
      </c>
      <c r="F27" s="75" t="s">
        <v>49</v>
      </c>
      <c r="G27" s="77">
        <v>8</v>
      </c>
      <c r="H27" s="130">
        <v>579</v>
      </c>
      <c r="I27" s="2"/>
    </row>
    <row r="28" spans="1:9" ht="19.8" customHeight="1" x14ac:dyDescent="0.3">
      <c r="A28" s="133">
        <v>45994</v>
      </c>
      <c r="B28" s="75" t="s">
        <v>44</v>
      </c>
      <c r="C28" s="76" t="s">
        <v>53</v>
      </c>
      <c r="D28" s="75" t="s">
        <v>1</v>
      </c>
      <c r="E28" s="134">
        <v>1.833333333333333</v>
      </c>
      <c r="F28" s="75" t="s">
        <v>51</v>
      </c>
      <c r="G28" s="77">
        <v>8</v>
      </c>
      <c r="H28" s="130">
        <v>669</v>
      </c>
      <c r="I28" s="2"/>
    </row>
    <row r="29" spans="1:9" ht="19.8" customHeight="1" x14ac:dyDescent="0.3">
      <c r="A29" s="133">
        <v>45994</v>
      </c>
      <c r="B29" s="75" t="s">
        <v>31</v>
      </c>
      <c r="C29" s="76" t="s">
        <v>32</v>
      </c>
      <c r="D29" s="75" t="s">
        <v>1</v>
      </c>
      <c r="E29" s="134">
        <v>1.864583333333333</v>
      </c>
      <c r="F29" s="75" t="s">
        <v>33</v>
      </c>
      <c r="G29" s="77">
        <v>9</v>
      </c>
      <c r="H29" s="130">
        <v>697</v>
      </c>
      <c r="I29" s="2"/>
    </row>
    <row r="30" spans="1:9" ht="19.8" customHeight="1" x14ac:dyDescent="0.3">
      <c r="A30" s="133">
        <v>45994</v>
      </c>
      <c r="B30" s="75" t="s">
        <v>31</v>
      </c>
      <c r="C30" s="76" t="s">
        <v>62</v>
      </c>
      <c r="D30" s="75" t="s">
        <v>1</v>
      </c>
      <c r="E30" s="134">
        <v>1.5277777777777779</v>
      </c>
      <c r="F30" s="75" t="s">
        <v>33</v>
      </c>
      <c r="G30" s="77">
        <v>9</v>
      </c>
      <c r="H30" s="130">
        <v>757</v>
      </c>
      <c r="I30" s="2"/>
    </row>
    <row r="31" spans="1:9" ht="19.8" customHeight="1" x14ac:dyDescent="0.3">
      <c r="A31" s="133">
        <v>45994</v>
      </c>
      <c r="B31" s="75" t="s">
        <v>35</v>
      </c>
      <c r="C31" s="76" t="s">
        <v>36</v>
      </c>
      <c r="D31" s="75" t="s">
        <v>1</v>
      </c>
      <c r="E31" s="134">
        <v>1.305555555555556</v>
      </c>
      <c r="F31" s="75" t="s">
        <v>42</v>
      </c>
      <c r="G31" s="77">
        <v>13</v>
      </c>
      <c r="H31" s="130">
        <v>899</v>
      </c>
      <c r="I31" s="2"/>
    </row>
    <row r="32" spans="1:9" ht="19.8" customHeight="1" x14ac:dyDescent="0.3">
      <c r="A32" s="135">
        <v>45994</v>
      </c>
      <c r="B32" s="79" t="s">
        <v>69</v>
      </c>
      <c r="C32" s="80" t="s">
        <v>70</v>
      </c>
      <c r="D32" s="79" t="s">
        <v>1</v>
      </c>
      <c r="E32" s="136">
        <v>1.305555555555556</v>
      </c>
      <c r="F32" s="79" t="s">
        <v>71</v>
      </c>
      <c r="G32" s="81">
        <v>4</v>
      </c>
      <c r="H32" s="87" t="s">
        <v>91</v>
      </c>
      <c r="I32" s="2"/>
    </row>
    <row r="33" spans="1:9" ht="19.8" customHeight="1" x14ac:dyDescent="0.3">
      <c r="A33" s="133">
        <v>45995</v>
      </c>
      <c r="B33" s="75" t="s">
        <v>35</v>
      </c>
      <c r="C33" s="76" t="s">
        <v>36</v>
      </c>
      <c r="D33" s="75" t="s">
        <v>1</v>
      </c>
      <c r="E33" s="134">
        <v>1.305555555555556</v>
      </c>
      <c r="F33" s="75" t="s">
        <v>37</v>
      </c>
      <c r="G33" s="77">
        <v>13</v>
      </c>
      <c r="H33" s="130">
        <v>339</v>
      </c>
      <c r="I33" s="2"/>
    </row>
    <row r="34" spans="1:9" ht="19.8" customHeight="1" x14ac:dyDescent="0.3">
      <c r="A34" s="133">
        <v>45995</v>
      </c>
      <c r="B34" s="75" t="s">
        <v>44</v>
      </c>
      <c r="C34" s="76" t="s">
        <v>45</v>
      </c>
      <c r="D34" s="75" t="s">
        <v>1</v>
      </c>
      <c r="E34" s="134">
        <v>1.197916666666667</v>
      </c>
      <c r="F34" s="75" t="s">
        <v>46</v>
      </c>
      <c r="G34" s="77">
        <v>9</v>
      </c>
      <c r="H34" s="130">
        <v>349</v>
      </c>
      <c r="I34" s="2"/>
    </row>
    <row r="35" spans="1:9" ht="19.8" customHeight="1" x14ac:dyDescent="0.3">
      <c r="A35" s="133">
        <v>45995</v>
      </c>
      <c r="B35" s="75" t="s">
        <v>79</v>
      </c>
      <c r="C35" s="76" t="s">
        <v>80</v>
      </c>
      <c r="D35" s="75" t="s">
        <v>1</v>
      </c>
      <c r="E35" s="134">
        <v>1.8888888888888891</v>
      </c>
      <c r="F35" s="75" t="s">
        <v>28</v>
      </c>
      <c r="G35" s="77">
        <v>9</v>
      </c>
      <c r="H35" s="130">
        <v>371</v>
      </c>
      <c r="I35" s="2"/>
    </row>
    <row r="36" spans="1:9" ht="19.8" customHeight="1" x14ac:dyDescent="0.3">
      <c r="A36" s="133">
        <v>45995</v>
      </c>
      <c r="B36" s="75" t="s">
        <v>26</v>
      </c>
      <c r="C36" s="76" t="s">
        <v>93</v>
      </c>
      <c r="D36" s="75" t="s">
        <v>1</v>
      </c>
      <c r="E36" s="134">
        <v>1.5625</v>
      </c>
      <c r="F36" s="75" t="s">
        <v>28</v>
      </c>
      <c r="G36" s="77">
        <v>9</v>
      </c>
      <c r="H36" s="130">
        <v>379</v>
      </c>
      <c r="I36" s="2"/>
    </row>
    <row r="37" spans="1:9" ht="19.8" customHeight="1" x14ac:dyDescent="0.3">
      <c r="A37" s="133">
        <v>45995</v>
      </c>
      <c r="B37" s="75" t="s">
        <v>26</v>
      </c>
      <c r="C37" s="76" t="s">
        <v>57</v>
      </c>
      <c r="D37" s="75" t="s">
        <v>1</v>
      </c>
      <c r="E37" s="134">
        <v>1.958333333333333</v>
      </c>
      <c r="F37" s="75" t="s">
        <v>28</v>
      </c>
      <c r="G37" s="77">
        <v>9</v>
      </c>
      <c r="H37" s="130">
        <v>379</v>
      </c>
      <c r="I37" s="2"/>
    </row>
    <row r="38" spans="1:9" ht="19.8" customHeight="1" x14ac:dyDescent="0.3">
      <c r="A38" s="133">
        <v>45995</v>
      </c>
      <c r="B38" s="75" t="s">
        <v>31</v>
      </c>
      <c r="C38" s="76" t="s">
        <v>58</v>
      </c>
      <c r="D38" s="75" t="s">
        <v>1</v>
      </c>
      <c r="E38" s="134">
        <v>1.1701388888888891</v>
      </c>
      <c r="F38" s="75" t="s">
        <v>59</v>
      </c>
      <c r="G38" s="77">
        <v>9</v>
      </c>
      <c r="H38" s="130">
        <v>411</v>
      </c>
      <c r="I38" s="2"/>
    </row>
    <row r="39" spans="1:9" ht="19.8" customHeight="1" x14ac:dyDescent="0.3">
      <c r="A39" s="133">
        <v>45995</v>
      </c>
      <c r="B39" s="75" t="s">
        <v>31</v>
      </c>
      <c r="C39" s="76" t="s">
        <v>62</v>
      </c>
      <c r="D39" s="75" t="s">
        <v>1</v>
      </c>
      <c r="E39" s="134">
        <v>1.5277777777777779</v>
      </c>
      <c r="F39" s="75" t="s">
        <v>94</v>
      </c>
      <c r="G39" s="77">
        <v>5</v>
      </c>
      <c r="H39" s="130">
        <v>437</v>
      </c>
      <c r="I39" s="2"/>
    </row>
    <row r="40" spans="1:9" ht="19.8" customHeight="1" x14ac:dyDescent="0.3">
      <c r="A40" s="133">
        <v>45995</v>
      </c>
      <c r="B40" s="75" t="s">
        <v>44</v>
      </c>
      <c r="C40" s="76" t="s">
        <v>45</v>
      </c>
      <c r="D40" s="75" t="s">
        <v>1</v>
      </c>
      <c r="E40" s="134">
        <v>1.197916666666667</v>
      </c>
      <c r="F40" s="75" t="s">
        <v>49</v>
      </c>
      <c r="G40" s="77">
        <v>9</v>
      </c>
      <c r="H40" s="130">
        <v>449</v>
      </c>
      <c r="I40" s="2"/>
    </row>
    <row r="41" spans="1:9" ht="19.8" customHeight="1" x14ac:dyDescent="0.3">
      <c r="A41" s="133">
        <v>45995</v>
      </c>
      <c r="B41" s="75" t="s">
        <v>44</v>
      </c>
      <c r="C41" s="76" t="s">
        <v>53</v>
      </c>
      <c r="D41" s="75" t="s">
        <v>1</v>
      </c>
      <c r="E41" s="134">
        <v>1.833333333333333</v>
      </c>
      <c r="F41" s="75" t="s">
        <v>46</v>
      </c>
      <c r="G41" s="77">
        <v>1</v>
      </c>
      <c r="H41" s="130">
        <v>479</v>
      </c>
      <c r="I41" s="2"/>
    </row>
    <row r="42" spans="1:9" ht="19.8" customHeight="1" x14ac:dyDescent="0.3">
      <c r="A42" s="133">
        <v>45995</v>
      </c>
      <c r="B42" s="75" t="s">
        <v>35</v>
      </c>
      <c r="C42" s="76" t="s">
        <v>36</v>
      </c>
      <c r="D42" s="75" t="s">
        <v>1</v>
      </c>
      <c r="E42" s="134">
        <v>1.305555555555556</v>
      </c>
      <c r="F42" s="75" t="s">
        <v>40</v>
      </c>
      <c r="G42" s="77">
        <v>13</v>
      </c>
      <c r="H42" s="130">
        <v>489</v>
      </c>
      <c r="I42" s="2"/>
    </row>
    <row r="43" spans="1:9" ht="19.8" customHeight="1" x14ac:dyDescent="0.3">
      <c r="A43" s="133">
        <v>45995</v>
      </c>
      <c r="B43" s="75" t="s">
        <v>44</v>
      </c>
      <c r="C43" s="76" t="s">
        <v>45</v>
      </c>
      <c r="D43" s="75" t="s">
        <v>1</v>
      </c>
      <c r="E43" s="134">
        <v>1.197916666666667</v>
      </c>
      <c r="F43" s="75" t="s">
        <v>51</v>
      </c>
      <c r="G43" s="77">
        <v>9</v>
      </c>
      <c r="H43" s="130">
        <v>539</v>
      </c>
      <c r="I43" s="2"/>
    </row>
    <row r="44" spans="1:9" ht="19.8" customHeight="1" x14ac:dyDescent="0.3">
      <c r="A44" s="137">
        <v>45995</v>
      </c>
      <c r="B44" s="83" t="s">
        <v>63</v>
      </c>
      <c r="C44" s="84" t="s">
        <v>64</v>
      </c>
      <c r="D44" s="83" t="s">
        <v>1</v>
      </c>
      <c r="E44" s="138">
        <v>1.9236111111111109</v>
      </c>
      <c r="F44" s="83" t="s">
        <v>28</v>
      </c>
      <c r="G44" s="85">
        <v>9</v>
      </c>
      <c r="H44" s="132">
        <v>566</v>
      </c>
      <c r="I44" s="2"/>
    </row>
    <row r="45" spans="1:9" ht="19.8" customHeight="1" x14ac:dyDescent="0.3">
      <c r="A45" s="133">
        <v>45995</v>
      </c>
      <c r="B45" s="75" t="s">
        <v>44</v>
      </c>
      <c r="C45" s="76" t="s">
        <v>53</v>
      </c>
      <c r="D45" s="75" t="s">
        <v>1</v>
      </c>
      <c r="E45" s="134">
        <v>1.833333333333333</v>
      </c>
      <c r="F45" s="75" t="s">
        <v>49</v>
      </c>
      <c r="G45" s="77">
        <v>1</v>
      </c>
      <c r="H45" s="130">
        <v>579</v>
      </c>
      <c r="I45" s="2"/>
    </row>
    <row r="46" spans="1:9" ht="19.8" customHeight="1" x14ac:dyDescent="0.3">
      <c r="A46" s="133">
        <v>45995</v>
      </c>
      <c r="B46" s="75" t="s">
        <v>44</v>
      </c>
      <c r="C46" s="76" t="s">
        <v>53</v>
      </c>
      <c r="D46" s="75" t="s">
        <v>1</v>
      </c>
      <c r="E46" s="134">
        <v>1.833333333333333</v>
      </c>
      <c r="F46" s="75" t="s">
        <v>51</v>
      </c>
      <c r="G46" s="77">
        <v>1</v>
      </c>
      <c r="H46" s="130">
        <v>669</v>
      </c>
      <c r="I46" s="2"/>
    </row>
    <row r="47" spans="1:9" ht="19.8" customHeight="1" x14ac:dyDescent="0.3">
      <c r="A47" s="133">
        <v>45995</v>
      </c>
      <c r="B47" s="75" t="s">
        <v>35</v>
      </c>
      <c r="C47" s="76" t="s">
        <v>36</v>
      </c>
      <c r="D47" s="75" t="s">
        <v>1</v>
      </c>
      <c r="E47" s="134">
        <v>1.305555555555556</v>
      </c>
      <c r="F47" s="75" t="s">
        <v>42</v>
      </c>
      <c r="G47" s="77">
        <v>13</v>
      </c>
      <c r="H47" s="130">
        <v>899</v>
      </c>
      <c r="I47" s="2"/>
    </row>
    <row r="48" spans="1:9" ht="19.8" customHeight="1" x14ac:dyDescent="0.3">
      <c r="A48" s="133">
        <v>45995</v>
      </c>
      <c r="B48" s="75" t="s">
        <v>69</v>
      </c>
      <c r="C48" s="76" t="s">
        <v>70</v>
      </c>
      <c r="D48" s="75" t="s">
        <v>1</v>
      </c>
      <c r="E48" s="134">
        <v>1.305555555555556</v>
      </c>
      <c r="F48" s="75" t="s">
        <v>71</v>
      </c>
      <c r="G48" s="77">
        <v>4</v>
      </c>
      <c r="H48" s="86" t="s">
        <v>73</v>
      </c>
      <c r="I48" s="2"/>
    </row>
    <row r="49" spans="1:9" ht="19.8" customHeight="1" x14ac:dyDescent="0.3">
      <c r="A49" s="135">
        <v>45995</v>
      </c>
      <c r="B49" s="79" t="s">
        <v>31</v>
      </c>
      <c r="C49" s="80" t="s">
        <v>32</v>
      </c>
      <c r="D49" s="79" t="s">
        <v>1</v>
      </c>
      <c r="E49" s="136">
        <v>1.864583333333333</v>
      </c>
      <c r="F49" s="79" t="s">
        <v>33</v>
      </c>
      <c r="G49" s="81">
        <v>9</v>
      </c>
      <c r="H49" s="87" t="s">
        <v>97</v>
      </c>
      <c r="I49" s="2"/>
    </row>
    <row r="50" spans="1:9" ht="19.8" customHeight="1" x14ac:dyDescent="0.3">
      <c r="A50" s="133">
        <v>45996</v>
      </c>
      <c r="B50" s="75" t="s">
        <v>35</v>
      </c>
      <c r="C50" s="76" t="s">
        <v>36</v>
      </c>
      <c r="D50" s="75" t="s">
        <v>1</v>
      </c>
      <c r="E50" s="134">
        <v>1.305555555555556</v>
      </c>
      <c r="F50" s="75" t="s">
        <v>37</v>
      </c>
      <c r="G50" s="77">
        <v>16</v>
      </c>
      <c r="H50" s="130">
        <v>369</v>
      </c>
      <c r="I50" s="2"/>
    </row>
    <row r="51" spans="1:9" ht="19.8" customHeight="1" x14ac:dyDescent="0.3">
      <c r="A51" s="133">
        <v>45996</v>
      </c>
      <c r="B51" s="75" t="s">
        <v>44</v>
      </c>
      <c r="C51" s="76" t="s">
        <v>53</v>
      </c>
      <c r="D51" s="75" t="s">
        <v>1</v>
      </c>
      <c r="E51" s="134">
        <v>1.836805555555556</v>
      </c>
      <c r="F51" s="75" t="s">
        <v>46</v>
      </c>
      <c r="G51" s="77">
        <v>1</v>
      </c>
      <c r="H51" s="130">
        <v>379</v>
      </c>
      <c r="I51" s="2"/>
    </row>
    <row r="52" spans="1:9" ht="19.8" customHeight="1" x14ac:dyDescent="0.3">
      <c r="A52" s="133">
        <v>45996</v>
      </c>
      <c r="B52" s="75" t="s">
        <v>26</v>
      </c>
      <c r="C52" s="76" t="s">
        <v>27</v>
      </c>
      <c r="D52" s="75" t="s">
        <v>1</v>
      </c>
      <c r="E52" s="134">
        <v>1.958333333333333</v>
      </c>
      <c r="F52" s="75" t="s">
        <v>28</v>
      </c>
      <c r="G52" s="77">
        <v>9</v>
      </c>
      <c r="H52" s="130">
        <v>379</v>
      </c>
      <c r="I52" s="2"/>
    </row>
    <row r="53" spans="1:9" ht="19.8" customHeight="1" x14ac:dyDescent="0.3">
      <c r="A53" s="133">
        <v>45996</v>
      </c>
      <c r="B53" s="75" t="s">
        <v>44</v>
      </c>
      <c r="C53" s="76" t="s">
        <v>53</v>
      </c>
      <c r="D53" s="75" t="s">
        <v>1</v>
      </c>
      <c r="E53" s="134">
        <v>1.836805555555556</v>
      </c>
      <c r="F53" s="75" t="s">
        <v>49</v>
      </c>
      <c r="G53" s="77">
        <v>1</v>
      </c>
      <c r="H53" s="130">
        <v>479</v>
      </c>
      <c r="I53" s="2"/>
    </row>
    <row r="54" spans="1:9" ht="19.8" customHeight="1" x14ac:dyDescent="0.3">
      <c r="A54" s="133">
        <v>45996</v>
      </c>
      <c r="B54" s="75" t="s">
        <v>35</v>
      </c>
      <c r="C54" s="76" t="s">
        <v>36</v>
      </c>
      <c r="D54" s="75" t="s">
        <v>1</v>
      </c>
      <c r="E54" s="134">
        <v>1.305555555555556</v>
      </c>
      <c r="F54" s="75" t="s">
        <v>40</v>
      </c>
      <c r="G54" s="77">
        <v>16</v>
      </c>
      <c r="H54" s="130">
        <v>519</v>
      </c>
      <c r="I54" s="2"/>
    </row>
    <row r="55" spans="1:9" ht="19.8" customHeight="1" x14ac:dyDescent="0.3">
      <c r="A55" s="133">
        <v>45996</v>
      </c>
      <c r="B55" s="75" t="s">
        <v>31</v>
      </c>
      <c r="C55" s="76" t="s">
        <v>32</v>
      </c>
      <c r="D55" s="75" t="s">
        <v>1</v>
      </c>
      <c r="E55" s="134">
        <v>1.864583333333333</v>
      </c>
      <c r="F55" s="75" t="s">
        <v>33</v>
      </c>
      <c r="G55" s="77">
        <v>9</v>
      </c>
      <c r="H55" s="130">
        <v>547</v>
      </c>
      <c r="I55" s="2"/>
    </row>
    <row r="56" spans="1:9" ht="19.8" customHeight="1" x14ac:dyDescent="0.3">
      <c r="A56" s="133">
        <v>45996</v>
      </c>
      <c r="B56" s="75" t="s">
        <v>44</v>
      </c>
      <c r="C56" s="76" t="s">
        <v>53</v>
      </c>
      <c r="D56" s="75" t="s">
        <v>1</v>
      </c>
      <c r="E56" s="134">
        <v>1.836805555555556</v>
      </c>
      <c r="F56" s="75" t="s">
        <v>51</v>
      </c>
      <c r="G56" s="77">
        <v>1</v>
      </c>
      <c r="H56" s="130">
        <v>569</v>
      </c>
      <c r="I56" s="2"/>
    </row>
    <row r="57" spans="1:9" ht="19.8" customHeight="1" x14ac:dyDescent="0.3">
      <c r="A57" s="133">
        <v>45996</v>
      </c>
      <c r="B57" s="75" t="s">
        <v>31</v>
      </c>
      <c r="C57" s="76" t="s">
        <v>58</v>
      </c>
      <c r="D57" s="75" t="s">
        <v>1</v>
      </c>
      <c r="E57" s="134">
        <v>1.1701388888888891</v>
      </c>
      <c r="F57" s="75" t="s">
        <v>33</v>
      </c>
      <c r="G57" s="77">
        <v>9</v>
      </c>
      <c r="H57" s="130">
        <v>596</v>
      </c>
      <c r="I57" s="2"/>
    </row>
    <row r="58" spans="1:9" ht="19.8" customHeight="1" x14ac:dyDescent="0.3">
      <c r="A58" s="137">
        <v>45996</v>
      </c>
      <c r="B58" s="83" t="s">
        <v>63</v>
      </c>
      <c r="C58" s="84" t="s">
        <v>64</v>
      </c>
      <c r="D58" s="83" t="s">
        <v>1</v>
      </c>
      <c r="E58" s="138">
        <v>1.5798611111111109</v>
      </c>
      <c r="F58" s="83" t="s">
        <v>28</v>
      </c>
      <c r="G58" s="85">
        <v>9</v>
      </c>
      <c r="H58" s="132">
        <v>626</v>
      </c>
      <c r="I58" s="2"/>
    </row>
    <row r="59" spans="1:9" ht="19.8" customHeight="1" x14ac:dyDescent="0.3">
      <c r="A59" s="133">
        <v>45996</v>
      </c>
      <c r="B59" s="75" t="s">
        <v>31</v>
      </c>
      <c r="C59" s="76" t="s">
        <v>62</v>
      </c>
      <c r="D59" s="75" t="s">
        <v>1</v>
      </c>
      <c r="E59" s="134">
        <v>1.5277777777777779</v>
      </c>
      <c r="F59" s="75" t="s">
        <v>33</v>
      </c>
      <c r="G59" s="77">
        <v>9</v>
      </c>
      <c r="H59" s="130">
        <v>817</v>
      </c>
      <c r="I59" s="2"/>
    </row>
    <row r="60" spans="1:9" ht="19.8" customHeight="1" x14ac:dyDescent="0.3">
      <c r="A60" s="133">
        <v>45996</v>
      </c>
      <c r="B60" s="75" t="s">
        <v>35</v>
      </c>
      <c r="C60" s="76" t="s">
        <v>36</v>
      </c>
      <c r="D60" s="75" t="s">
        <v>1</v>
      </c>
      <c r="E60" s="134">
        <v>1.305555555555556</v>
      </c>
      <c r="F60" s="75" t="s">
        <v>42</v>
      </c>
      <c r="G60" s="77">
        <v>16</v>
      </c>
      <c r="H60" s="130">
        <v>899</v>
      </c>
      <c r="I60" s="2"/>
    </row>
    <row r="61" spans="1:9" ht="19.8" customHeight="1" x14ac:dyDescent="0.3">
      <c r="A61" s="135">
        <v>45996</v>
      </c>
      <c r="B61" s="79" t="s">
        <v>69</v>
      </c>
      <c r="C61" s="80" t="s">
        <v>70</v>
      </c>
      <c r="D61" s="79" t="s">
        <v>1</v>
      </c>
      <c r="E61" s="136">
        <v>1.305555555555556</v>
      </c>
      <c r="F61" s="79" t="s">
        <v>71</v>
      </c>
      <c r="G61" s="81">
        <v>4</v>
      </c>
      <c r="H61" s="87" t="s">
        <v>109</v>
      </c>
      <c r="I61" s="2"/>
    </row>
    <row r="62" spans="1:9" ht="19.8" customHeight="1" x14ac:dyDescent="0.3">
      <c r="A62" s="133">
        <v>45997</v>
      </c>
      <c r="B62" s="75" t="s">
        <v>35</v>
      </c>
      <c r="C62" s="76" t="s">
        <v>36</v>
      </c>
      <c r="D62" s="75" t="s">
        <v>1</v>
      </c>
      <c r="E62" s="134">
        <v>1.305555555555556</v>
      </c>
      <c r="F62" s="75" t="s">
        <v>37</v>
      </c>
      <c r="G62" s="77">
        <v>24</v>
      </c>
      <c r="H62" s="130">
        <v>309</v>
      </c>
      <c r="I62" s="2"/>
    </row>
    <row r="63" spans="1:9" ht="19.8" customHeight="1" x14ac:dyDescent="0.3">
      <c r="A63" s="133">
        <v>45997</v>
      </c>
      <c r="B63" s="75" t="s">
        <v>44</v>
      </c>
      <c r="C63" s="76" t="s">
        <v>45</v>
      </c>
      <c r="D63" s="75" t="s">
        <v>1</v>
      </c>
      <c r="E63" s="134">
        <v>1.2013888888888891</v>
      </c>
      <c r="F63" s="75" t="s">
        <v>46</v>
      </c>
      <c r="G63" s="77">
        <v>9</v>
      </c>
      <c r="H63" s="130">
        <v>349</v>
      </c>
      <c r="I63" s="2"/>
    </row>
    <row r="64" spans="1:9" ht="19.8" customHeight="1" x14ac:dyDescent="0.3">
      <c r="A64" s="133">
        <v>45997</v>
      </c>
      <c r="B64" s="75" t="s">
        <v>74</v>
      </c>
      <c r="C64" s="76" t="s">
        <v>75</v>
      </c>
      <c r="D64" s="75" t="s">
        <v>1</v>
      </c>
      <c r="E64" s="134">
        <v>1.9722222222222221</v>
      </c>
      <c r="F64" s="75" t="s">
        <v>76</v>
      </c>
      <c r="G64" s="77">
        <v>9</v>
      </c>
      <c r="H64" s="130">
        <v>354</v>
      </c>
      <c r="I64" s="2"/>
    </row>
    <row r="65" spans="1:9" ht="19.8" customHeight="1" x14ac:dyDescent="0.3">
      <c r="A65" s="133">
        <v>45997</v>
      </c>
      <c r="B65" s="75" t="s">
        <v>44</v>
      </c>
      <c r="C65" s="76" t="s">
        <v>53</v>
      </c>
      <c r="D65" s="75" t="s">
        <v>1</v>
      </c>
      <c r="E65" s="134">
        <v>1.836805555555556</v>
      </c>
      <c r="F65" s="75" t="s">
        <v>46</v>
      </c>
      <c r="G65" s="77">
        <v>9</v>
      </c>
      <c r="H65" s="130">
        <v>379</v>
      </c>
      <c r="I65" s="2"/>
    </row>
    <row r="66" spans="1:9" ht="19.8" customHeight="1" x14ac:dyDescent="0.3">
      <c r="A66" s="133">
        <v>45997</v>
      </c>
      <c r="B66" s="75" t="s">
        <v>26</v>
      </c>
      <c r="C66" s="76" t="s">
        <v>57</v>
      </c>
      <c r="D66" s="75" t="s">
        <v>1</v>
      </c>
      <c r="E66" s="134">
        <v>1.895833333333333</v>
      </c>
      <c r="F66" s="75" t="s">
        <v>28</v>
      </c>
      <c r="G66" s="77">
        <v>9</v>
      </c>
      <c r="H66" s="130">
        <v>379</v>
      </c>
      <c r="I66" s="2"/>
    </row>
    <row r="67" spans="1:9" ht="19.8" customHeight="1" x14ac:dyDescent="0.3">
      <c r="A67" s="133">
        <v>45997</v>
      </c>
      <c r="B67" s="75" t="s">
        <v>31</v>
      </c>
      <c r="C67" s="76" t="s">
        <v>32</v>
      </c>
      <c r="D67" s="75" t="s">
        <v>1</v>
      </c>
      <c r="E67" s="134">
        <v>1.864583333333333</v>
      </c>
      <c r="F67" s="75" t="s">
        <v>59</v>
      </c>
      <c r="G67" s="77">
        <v>9</v>
      </c>
      <c r="H67" s="130">
        <v>411</v>
      </c>
      <c r="I67" s="2"/>
    </row>
    <row r="68" spans="1:9" ht="19.8" customHeight="1" x14ac:dyDescent="0.3">
      <c r="A68" s="133">
        <v>45997</v>
      </c>
      <c r="B68" s="75" t="s">
        <v>31</v>
      </c>
      <c r="C68" s="76" t="s">
        <v>58</v>
      </c>
      <c r="D68" s="75" t="s">
        <v>1</v>
      </c>
      <c r="E68" s="134">
        <v>1.1701388888888891</v>
      </c>
      <c r="F68" s="75" t="s">
        <v>59</v>
      </c>
      <c r="G68" s="77">
        <v>9</v>
      </c>
      <c r="H68" s="130">
        <v>415</v>
      </c>
      <c r="I68" s="2"/>
    </row>
    <row r="69" spans="1:9" ht="19.8" customHeight="1" x14ac:dyDescent="0.3">
      <c r="A69" s="133">
        <v>45997</v>
      </c>
      <c r="B69" s="75" t="s">
        <v>44</v>
      </c>
      <c r="C69" s="76" t="s">
        <v>45</v>
      </c>
      <c r="D69" s="75" t="s">
        <v>1</v>
      </c>
      <c r="E69" s="134">
        <v>1.2013888888888891</v>
      </c>
      <c r="F69" s="75" t="s">
        <v>49</v>
      </c>
      <c r="G69" s="77">
        <v>9</v>
      </c>
      <c r="H69" s="130">
        <v>449</v>
      </c>
      <c r="I69" s="2"/>
    </row>
    <row r="70" spans="1:9" ht="19.8" customHeight="1" x14ac:dyDescent="0.3">
      <c r="A70" s="133">
        <v>45997</v>
      </c>
      <c r="B70" s="75" t="s">
        <v>35</v>
      </c>
      <c r="C70" s="76" t="s">
        <v>36</v>
      </c>
      <c r="D70" s="75" t="s">
        <v>1</v>
      </c>
      <c r="E70" s="134">
        <v>1.305555555555556</v>
      </c>
      <c r="F70" s="75" t="s">
        <v>40</v>
      </c>
      <c r="G70" s="77">
        <v>24</v>
      </c>
      <c r="H70" s="130">
        <v>459</v>
      </c>
      <c r="I70" s="2"/>
    </row>
    <row r="71" spans="1:9" ht="19.8" customHeight="1" x14ac:dyDescent="0.3">
      <c r="A71" s="133">
        <v>45997</v>
      </c>
      <c r="B71" s="75" t="s">
        <v>74</v>
      </c>
      <c r="C71" s="76" t="s">
        <v>75</v>
      </c>
      <c r="D71" s="75" t="s">
        <v>1</v>
      </c>
      <c r="E71" s="134">
        <v>1.9722222222222221</v>
      </c>
      <c r="F71" s="75" t="s">
        <v>42</v>
      </c>
      <c r="G71" s="77">
        <v>9</v>
      </c>
      <c r="H71" s="130">
        <v>477</v>
      </c>
      <c r="I71" s="2"/>
    </row>
    <row r="72" spans="1:9" ht="19.8" customHeight="1" x14ac:dyDescent="0.3">
      <c r="A72" s="133">
        <v>45997</v>
      </c>
      <c r="B72" s="75" t="s">
        <v>44</v>
      </c>
      <c r="C72" s="76" t="s">
        <v>53</v>
      </c>
      <c r="D72" s="75" t="s">
        <v>1</v>
      </c>
      <c r="E72" s="134">
        <v>1.836805555555556</v>
      </c>
      <c r="F72" s="75" t="s">
        <v>49</v>
      </c>
      <c r="G72" s="77">
        <v>9</v>
      </c>
      <c r="H72" s="130">
        <v>479</v>
      </c>
      <c r="I72" s="2"/>
    </row>
    <row r="73" spans="1:9" ht="19.8" customHeight="1" x14ac:dyDescent="0.3">
      <c r="A73" s="133">
        <v>45997</v>
      </c>
      <c r="B73" s="75" t="s">
        <v>44</v>
      </c>
      <c r="C73" s="76" t="s">
        <v>45</v>
      </c>
      <c r="D73" s="75" t="s">
        <v>1</v>
      </c>
      <c r="E73" s="134">
        <v>1.2013888888888891</v>
      </c>
      <c r="F73" s="75" t="s">
        <v>51</v>
      </c>
      <c r="G73" s="77">
        <v>9</v>
      </c>
      <c r="H73" s="130">
        <v>539</v>
      </c>
      <c r="I73" s="2"/>
    </row>
    <row r="74" spans="1:9" ht="19.8" customHeight="1" x14ac:dyDescent="0.3">
      <c r="A74" s="133">
        <v>45997</v>
      </c>
      <c r="B74" s="75" t="s">
        <v>31</v>
      </c>
      <c r="C74" s="76" t="s">
        <v>62</v>
      </c>
      <c r="D74" s="75" t="s">
        <v>1</v>
      </c>
      <c r="E74" s="134">
        <v>1.5277777777777779</v>
      </c>
      <c r="F74" s="75" t="s">
        <v>33</v>
      </c>
      <c r="G74" s="77">
        <v>9</v>
      </c>
      <c r="H74" s="130">
        <v>547</v>
      </c>
      <c r="I74" s="2"/>
    </row>
    <row r="75" spans="1:9" ht="19.8" customHeight="1" x14ac:dyDescent="0.3">
      <c r="A75" s="137">
        <v>45997</v>
      </c>
      <c r="B75" s="83" t="s">
        <v>63</v>
      </c>
      <c r="C75" s="84" t="s">
        <v>64</v>
      </c>
      <c r="D75" s="83" t="s">
        <v>1</v>
      </c>
      <c r="E75" s="138">
        <v>1.9236111111111109</v>
      </c>
      <c r="F75" s="83" t="s">
        <v>28</v>
      </c>
      <c r="G75" s="85">
        <v>9</v>
      </c>
      <c r="H75" s="132">
        <v>566</v>
      </c>
      <c r="I75" s="2"/>
    </row>
    <row r="76" spans="1:9" ht="19.8" customHeight="1" x14ac:dyDescent="0.3">
      <c r="A76" s="133">
        <v>45997</v>
      </c>
      <c r="B76" s="75" t="s">
        <v>44</v>
      </c>
      <c r="C76" s="76" t="s">
        <v>53</v>
      </c>
      <c r="D76" s="75" t="s">
        <v>1</v>
      </c>
      <c r="E76" s="134">
        <v>1.836805555555556</v>
      </c>
      <c r="F76" s="75" t="s">
        <v>51</v>
      </c>
      <c r="G76" s="77">
        <v>9</v>
      </c>
      <c r="H76" s="130">
        <v>569</v>
      </c>
      <c r="I76" s="2"/>
    </row>
    <row r="77" spans="1:9" ht="19.8" customHeight="1" x14ac:dyDescent="0.3">
      <c r="A77" s="133">
        <v>45997</v>
      </c>
      <c r="B77" s="75" t="s">
        <v>35</v>
      </c>
      <c r="C77" s="76" t="s">
        <v>36</v>
      </c>
      <c r="D77" s="75" t="s">
        <v>1</v>
      </c>
      <c r="E77" s="134">
        <v>1.305555555555556</v>
      </c>
      <c r="F77" s="75" t="s">
        <v>42</v>
      </c>
      <c r="G77" s="77">
        <v>24</v>
      </c>
      <c r="H77" s="130">
        <v>899</v>
      </c>
      <c r="I77" s="2"/>
    </row>
    <row r="78" spans="1:9" ht="19.8" customHeight="1" x14ac:dyDescent="0.3">
      <c r="A78" s="135">
        <v>45997</v>
      </c>
      <c r="B78" s="79" t="s">
        <v>69</v>
      </c>
      <c r="C78" s="80" t="s">
        <v>70</v>
      </c>
      <c r="D78" s="79" t="s">
        <v>1</v>
      </c>
      <c r="E78" s="136">
        <v>1.305555555555556</v>
      </c>
      <c r="F78" s="79" t="s">
        <v>71</v>
      </c>
      <c r="G78" s="81">
        <v>4</v>
      </c>
      <c r="H78" s="87" t="s">
        <v>117</v>
      </c>
      <c r="I78" s="2"/>
    </row>
    <row r="79" spans="1:9" ht="19.8" customHeight="1" x14ac:dyDescent="0.3">
      <c r="A79" s="133">
        <v>45998</v>
      </c>
      <c r="B79" s="75" t="s">
        <v>35</v>
      </c>
      <c r="C79" s="76" t="s">
        <v>36</v>
      </c>
      <c r="D79" s="75" t="s">
        <v>1</v>
      </c>
      <c r="E79" s="134">
        <v>1.305555555555556</v>
      </c>
      <c r="F79" s="75" t="s">
        <v>37</v>
      </c>
      <c r="G79" s="77">
        <v>20</v>
      </c>
      <c r="H79" s="130">
        <v>309</v>
      </c>
      <c r="I79" s="2"/>
    </row>
    <row r="80" spans="1:9" ht="19.8" customHeight="1" x14ac:dyDescent="0.3">
      <c r="A80" s="133">
        <v>45998</v>
      </c>
      <c r="B80" s="75" t="s">
        <v>44</v>
      </c>
      <c r="C80" s="76" t="s">
        <v>53</v>
      </c>
      <c r="D80" s="75" t="s">
        <v>1</v>
      </c>
      <c r="E80" s="134">
        <v>1.836805555555556</v>
      </c>
      <c r="F80" s="75" t="s">
        <v>46</v>
      </c>
      <c r="G80" s="77">
        <v>9</v>
      </c>
      <c r="H80" s="130">
        <v>349</v>
      </c>
      <c r="I80" s="2"/>
    </row>
    <row r="81" spans="1:9" ht="19.8" customHeight="1" x14ac:dyDescent="0.3">
      <c r="A81" s="133">
        <v>45998</v>
      </c>
      <c r="B81" s="75" t="s">
        <v>79</v>
      </c>
      <c r="C81" s="76" t="s">
        <v>119</v>
      </c>
      <c r="D81" s="75" t="s">
        <v>1</v>
      </c>
      <c r="E81" s="134">
        <v>1.2222222222222221</v>
      </c>
      <c r="F81" s="75" t="s">
        <v>28</v>
      </c>
      <c r="G81" s="77">
        <v>9</v>
      </c>
      <c r="H81" s="130">
        <v>371</v>
      </c>
      <c r="I81" s="2"/>
    </row>
    <row r="82" spans="1:9" ht="19.8" customHeight="1" x14ac:dyDescent="0.3">
      <c r="A82" s="133">
        <v>45998</v>
      </c>
      <c r="B82" s="75" t="s">
        <v>26</v>
      </c>
      <c r="C82" s="76" t="s">
        <v>93</v>
      </c>
      <c r="D82" s="75" t="s">
        <v>1</v>
      </c>
      <c r="E82" s="134">
        <v>1.958333333333333</v>
      </c>
      <c r="F82" s="75" t="s">
        <v>28</v>
      </c>
      <c r="G82" s="77">
        <v>9</v>
      </c>
      <c r="H82" s="130">
        <v>379</v>
      </c>
      <c r="I82" s="2"/>
    </row>
    <row r="83" spans="1:9" ht="19.8" customHeight="1" x14ac:dyDescent="0.3">
      <c r="A83" s="133">
        <v>45998</v>
      </c>
      <c r="B83" s="75" t="s">
        <v>31</v>
      </c>
      <c r="C83" s="76" t="s">
        <v>32</v>
      </c>
      <c r="D83" s="75" t="s">
        <v>1</v>
      </c>
      <c r="E83" s="134">
        <v>1.864583333333333</v>
      </c>
      <c r="F83" s="75" t="s">
        <v>59</v>
      </c>
      <c r="G83" s="77">
        <v>9</v>
      </c>
      <c r="H83" s="130">
        <v>411</v>
      </c>
      <c r="I83" s="2"/>
    </row>
    <row r="84" spans="1:9" ht="19.8" customHeight="1" x14ac:dyDescent="0.3">
      <c r="A84" s="133">
        <v>45998</v>
      </c>
      <c r="B84" s="75" t="s">
        <v>31</v>
      </c>
      <c r="C84" s="76" t="s">
        <v>62</v>
      </c>
      <c r="D84" s="75" t="s">
        <v>1</v>
      </c>
      <c r="E84" s="134">
        <v>1.5138888888888891</v>
      </c>
      <c r="F84" s="75" t="s">
        <v>59</v>
      </c>
      <c r="G84" s="77">
        <v>7</v>
      </c>
      <c r="H84" s="130">
        <v>411</v>
      </c>
      <c r="I84" s="2"/>
    </row>
    <row r="85" spans="1:9" ht="19.8" customHeight="1" x14ac:dyDescent="0.3">
      <c r="A85" s="133">
        <v>45998</v>
      </c>
      <c r="B85" s="75" t="s">
        <v>31</v>
      </c>
      <c r="C85" s="76" t="s">
        <v>58</v>
      </c>
      <c r="D85" s="75" t="s">
        <v>1</v>
      </c>
      <c r="E85" s="134">
        <v>1.1701388888888891</v>
      </c>
      <c r="F85" s="75" t="s">
        <v>59</v>
      </c>
      <c r="G85" s="77">
        <v>9</v>
      </c>
      <c r="H85" s="130">
        <v>411</v>
      </c>
      <c r="I85" s="2"/>
    </row>
    <row r="86" spans="1:9" ht="19.8" customHeight="1" x14ac:dyDescent="0.3">
      <c r="A86" s="133">
        <v>45998</v>
      </c>
      <c r="B86" s="75" t="s">
        <v>44</v>
      </c>
      <c r="C86" s="76" t="s">
        <v>53</v>
      </c>
      <c r="D86" s="75" t="s">
        <v>1</v>
      </c>
      <c r="E86" s="134">
        <v>1.836805555555556</v>
      </c>
      <c r="F86" s="75" t="s">
        <v>49</v>
      </c>
      <c r="G86" s="77">
        <v>9</v>
      </c>
      <c r="H86" s="130">
        <v>449</v>
      </c>
      <c r="I86" s="2"/>
    </row>
    <row r="87" spans="1:9" ht="19.8" customHeight="1" x14ac:dyDescent="0.3">
      <c r="A87" s="133">
        <v>45998</v>
      </c>
      <c r="B87" s="75" t="s">
        <v>35</v>
      </c>
      <c r="C87" s="76" t="s">
        <v>36</v>
      </c>
      <c r="D87" s="75" t="s">
        <v>1</v>
      </c>
      <c r="E87" s="134">
        <v>1.305555555555556</v>
      </c>
      <c r="F87" s="75" t="s">
        <v>40</v>
      </c>
      <c r="G87" s="77">
        <v>20</v>
      </c>
      <c r="H87" s="130">
        <v>459</v>
      </c>
      <c r="I87" s="2"/>
    </row>
    <row r="88" spans="1:9" ht="19.8" customHeight="1" x14ac:dyDescent="0.3">
      <c r="A88" s="133">
        <v>45998</v>
      </c>
      <c r="B88" s="75" t="s">
        <v>44</v>
      </c>
      <c r="C88" s="76" t="s">
        <v>53</v>
      </c>
      <c r="D88" s="75" t="s">
        <v>1</v>
      </c>
      <c r="E88" s="134">
        <v>1.836805555555556</v>
      </c>
      <c r="F88" s="75" t="s">
        <v>51</v>
      </c>
      <c r="G88" s="77">
        <v>9</v>
      </c>
      <c r="H88" s="130">
        <v>539</v>
      </c>
      <c r="I88" s="2"/>
    </row>
    <row r="89" spans="1:9" ht="19.8" customHeight="1" x14ac:dyDescent="0.3">
      <c r="A89" s="133">
        <v>45998</v>
      </c>
      <c r="B89" s="75" t="s">
        <v>69</v>
      </c>
      <c r="C89" s="76" t="s">
        <v>70</v>
      </c>
      <c r="D89" s="75" t="s">
        <v>1</v>
      </c>
      <c r="E89" s="134">
        <v>1.305555555555556</v>
      </c>
      <c r="F89" s="75" t="s">
        <v>71</v>
      </c>
      <c r="G89" s="77">
        <v>4</v>
      </c>
      <c r="H89" s="86" t="s">
        <v>117</v>
      </c>
      <c r="I89" s="2"/>
    </row>
    <row r="90" spans="1:9" ht="19.8" customHeight="1" x14ac:dyDescent="0.3">
      <c r="A90" s="135">
        <v>45998</v>
      </c>
      <c r="B90" s="79" t="s">
        <v>35</v>
      </c>
      <c r="C90" s="80" t="s">
        <v>36</v>
      </c>
      <c r="D90" s="79" t="s">
        <v>1</v>
      </c>
      <c r="E90" s="136">
        <v>1.305555555555556</v>
      </c>
      <c r="F90" s="79" t="s">
        <v>42</v>
      </c>
      <c r="G90" s="81">
        <v>20</v>
      </c>
      <c r="H90" s="87" t="s">
        <v>43</v>
      </c>
      <c r="I90" s="2"/>
    </row>
    <row r="91" spans="1:9" ht="19.8" customHeight="1" x14ac:dyDescent="0.3">
      <c r="A91" s="133">
        <v>45999</v>
      </c>
      <c r="B91" s="75" t="s">
        <v>35</v>
      </c>
      <c r="C91" s="76" t="s">
        <v>36</v>
      </c>
      <c r="D91" s="75" t="s">
        <v>1</v>
      </c>
      <c r="E91" s="134">
        <v>1.305555555555556</v>
      </c>
      <c r="F91" s="75" t="s">
        <v>37</v>
      </c>
      <c r="G91" s="77">
        <v>17</v>
      </c>
      <c r="H91" s="130">
        <v>309</v>
      </c>
      <c r="I91" s="2"/>
    </row>
    <row r="92" spans="1:9" ht="19.8" customHeight="1" x14ac:dyDescent="0.3">
      <c r="A92" s="133">
        <v>45999</v>
      </c>
      <c r="B92" s="75" t="s">
        <v>44</v>
      </c>
      <c r="C92" s="76" t="s">
        <v>45</v>
      </c>
      <c r="D92" s="75" t="s">
        <v>1</v>
      </c>
      <c r="E92" s="134">
        <v>1.2013888888888891</v>
      </c>
      <c r="F92" s="75" t="s">
        <v>46</v>
      </c>
      <c r="G92" s="77">
        <v>9</v>
      </c>
      <c r="H92" s="130">
        <v>349</v>
      </c>
      <c r="I92" s="2"/>
    </row>
    <row r="93" spans="1:9" ht="19.8" customHeight="1" x14ac:dyDescent="0.3">
      <c r="A93" s="133">
        <v>45999</v>
      </c>
      <c r="B93" s="75" t="s">
        <v>44</v>
      </c>
      <c r="C93" s="76" t="s">
        <v>53</v>
      </c>
      <c r="D93" s="75" t="s">
        <v>1</v>
      </c>
      <c r="E93" s="134">
        <v>1.836805555555556</v>
      </c>
      <c r="F93" s="75" t="s">
        <v>46</v>
      </c>
      <c r="G93" s="77">
        <v>8</v>
      </c>
      <c r="H93" s="130">
        <v>379</v>
      </c>
      <c r="I93" s="2"/>
    </row>
    <row r="94" spans="1:9" ht="19.8" customHeight="1" x14ac:dyDescent="0.3">
      <c r="A94" s="133">
        <v>45999</v>
      </c>
      <c r="B94" s="75" t="s">
        <v>26</v>
      </c>
      <c r="C94" s="76" t="s">
        <v>27</v>
      </c>
      <c r="D94" s="75" t="s">
        <v>1</v>
      </c>
      <c r="E94" s="134">
        <v>1.958333333333333</v>
      </c>
      <c r="F94" s="75" t="s">
        <v>28</v>
      </c>
      <c r="G94" s="77">
        <v>9</v>
      </c>
      <c r="H94" s="130">
        <v>379</v>
      </c>
      <c r="I94" s="2"/>
    </row>
    <row r="95" spans="1:9" ht="19.8" customHeight="1" x14ac:dyDescent="0.3">
      <c r="A95" s="133">
        <v>45999</v>
      </c>
      <c r="B95" s="75" t="s">
        <v>31</v>
      </c>
      <c r="C95" s="76" t="s">
        <v>32</v>
      </c>
      <c r="D95" s="75" t="s">
        <v>1</v>
      </c>
      <c r="E95" s="134">
        <v>1.864583333333333</v>
      </c>
      <c r="F95" s="75" t="s">
        <v>59</v>
      </c>
      <c r="G95" s="77">
        <v>9</v>
      </c>
      <c r="H95" s="130">
        <v>411</v>
      </c>
      <c r="I95" s="2"/>
    </row>
    <row r="96" spans="1:9" ht="19.8" customHeight="1" x14ac:dyDescent="0.3">
      <c r="A96" s="133">
        <v>45999</v>
      </c>
      <c r="B96" s="75" t="s">
        <v>31</v>
      </c>
      <c r="C96" s="76" t="s">
        <v>58</v>
      </c>
      <c r="D96" s="75" t="s">
        <v>1</v>
      </c>
      <c r="E96" s="134">
        <v>1.1701388888888891</v>
      </c>
      <c r="F96" s="75" t="s">
        <v>59</v>
      </c>
      <c r="G96" s="77">
        <v>9</v>
      </c>
      <c r="H96" s="130">
        <v>411</v>
      </c>
      <c r="I96" s="2"/>
    </row>
    <row r="97" spans="1:9" ht="19.8" customHeight="1" x14ac:dyDescent="0.3">
      <c r="A97" s="133">
        <v>45999</v>
      </c>
      <c r="B97" s="75" t="s">
        <v>31</v>
      </c>
      <c r="C97" s="76" t="s">
        <v>62</v>
      </c>
      <c r="D97" s="75" t="s">
        <v>1</v>
      </c>
      <c r="E97" s="134">
        <v>1.5277777777777779</v>
      </c>
      <c r="F97" s="75" t="s">
        <v>94</v>
      </c>
      <c r="G97" s="77">
        <v>9</v>
      </c>
      <c r="H97" s="130">
        <v>437</v>
      </c>
      <c r="I97" s="2"/>
    </row>
    <row r="98" spans="1:9" ht="19.8" customHeight="1" x14ac:dyDescent="0.3">
      <c r="A98" s="133">
        <v>45999</v>
      </c>
      <c r="B98" s="75" t="s">
        <v>44</v>
      </c>
      <c r="C98" s="76" t="s">
        <v>45</v>
      </c>
      <c r="D98" s="75" t="s">
        <v>1</v>
      </c>
      <c r="E98" s="134">
        <v>1.2013888888888891</v>
      </c>
      <c r="F98" s="75" t="s">
        <v>49</v>
      </c>
      <c r="G98" s="77">
        <v>9</v>
      </c>
      <c r="H98" s="130">
        <v>449</v>
      </c>
      <c r="I98" s="2"/>
    </row>
    <row r="99" spans="1:9" ht="19.8" customHeight="1" x14ac:dyDescent="0.3">
      <c r="A99" s="133">
        <v>45999</v>
      </c>
      <c r="B99" s="75" t="s">
        <v>35</v>
      </c>
      <c r="C99" s="76" t="s">
        <v>36</v>
      </c>
      <c r="D99" s="75" t="s">
        <v>1</v>
      </c>
      <c r="E99" s="134">
        <v>1.305555555555556</v>
      </c>
      <c r="F99" s="75" t="s">
        <v>40</v>
      </c>
      <c r="G99" s="77">
        <v>17</v>
      </c>
      <c r="H99" s="130">
        <v>459</v>
      </c>
      <c r="I99" s="2"/>
    </row>
    <row r="100" spans="1:9" ht="19.8" customHeight="1" x14ac:dyDescent="0.3">
      <c r="A100" s="133">
        <v>45999</v>
      </c>
      <c r="B100" s="75" t="s">
        <v>44</v>
      </c>
      <c r="C100" s="76" t="s">
        <v>53</v>
      </c>
      <c r="D100" s="75" t="s">
        <v>1</v>
      </c>
      <c r="E100" s="134">
        <v>1.836805555555556</v>
      </c>
      <c r="F100" s="75" t="s">
        <v>49</v>
      </c>
      <c r="G100" s="77">
        <v>8</v>
      </c>
      <c r="H100" s="130">
        <v>479</v>
      </c>
      <c r="I100" s="2"/>
    </row>
    <row r="101" spans="1:9" ht="19.8" customHeight="1" x14ac:dyDescent="0.3">
      <c r="A101" s="133">
        <v>45999</v>
      </c>
      <c r="B101" s="75" t="s">
        <v>44</v>
      </c>
      <c r="C101" s="76" t="s">
        <v>45</v>
      </c>
      <c r="D101" s="75" t="s">
        <v>1</v>
      </c>
      <c r="E101" s="134">
        <v>1.2013888888888891</v>
      </c>
      <c r="F101" s="75" t="s">
        <v>51</v>
      </c>
      <c r="G101" s="77">
        <v>9</v>
      </c>
      <c r="H101" s="130">
        <v>539</v>
      </c>
      <c r="I101" s="2"/>
    </row>
    <row r="102" spans="1:9" ht="19.8" customHeight="1" x14ac:dyDescent="0.3">
      <c r="A102" s="133">
        <v>45999</v>
      </c>
      <c r="B102" s="75" t="s">
        <v>44</v>
      </c>
      <c r="C102" s="76" t="s">
        <v>53</v>
      </c>
      <c r="D102" s="75" t="s">
        <v>1</v>
      </c>
      <c r="E102" s="134">
        <v>1.836805555555556</v>
      </c>
      <c r="F102" s="75" t="s">
        <v>51</v>
      </c>
      <c r="G102" s="77">
        <v>8</v>
      </c>
      <c r="H102" s="130">
        <v>569</v>
      </c>
      <c r="I102" s="2"/>
    </row>
    <row r="103" spans="1:9" ht="19.8" customHeight="1" x14ac:dyDescent="0.3">
      <c r="A103" s="133">
        <v>45999</v>
      </c>
      <c r="B103" s="75" t="s">
        <v>35</v>
      </c>
      <c r="C103" s="76" t="s">
        <v>36</v>
      </c>
      <c r="D103" s="75" t="s">
        <v>1</v>
      </c>
      <c r="E103" s="134">
        <v>1.305555555555556</v>
      </c>
      <c r="F103" s="75" t="s">
        <v>42</v>
      </c>
      <c r="G103" s="77">
        <v>17</v>
      </c>
      <c r="H103" s="130">
        <v>899</v>
      </c>
      <c r="I103" s="2"/>
    </row>
    <row r="104" spans="1:9" ht="19.8" customHeight="1" x14ac:dyDescent="0.3">
      <c r="A104" s="135">
        <v>45999</v>
      </c>
      <c r="B104" s="79" t="s">
        <v>69</v>
      </c>
      <c r="C104" s="80" t="s">
        <v>70</v>
      </c>
      <c r="D104" s="79" t="s">
        <v>1</v>
      </c>
      <c r="E104" s="136">
        <v>1.305555555555556</v>
      </c>
      <c r="F104" s="79" t="s">
        <v>71</v>
      </c>
      <c r="G104" s="81">
        <v>4</v>
      </c>
      <c r="H104" s="87" t="s">
        <v>117</v>
      </c>
      <c r="I104" s="2"/>
    </row>
    <row r="105" spans="1:9" ht="19.8" customHeight="1" x14ac:dyDescent="0.3">
      <c r="A105" s="133">
        <v>46000</v>
      </c>
      <c r="B105" s="75" t="s">
        <v>35</v>
      </c>
      <c r="C105" s="76" t="s">
        <v>36</v>
      </c>
      <c r="D105" s="75" t="s">
        <v>1</v>
      </c>
      <c r="E105" s="134">
        <v>1.305555555555556</v>
      </c>
      <c r="F105" s="75" t="s">
        <v>37</v>
      </c>
      <c r="G105" s="77">
        <v>20</v>
      </c>
      <c r="H105" s="130">
        <v>309</v>
      </c>
      <c r="I105" s="2"/>
    </row>
    <row r="106" spans="1:9" ht="19.8" customHeight="1" x14ac:dyDescent="0.3">
      <c r="A106" s="133">
        <v>46000</v>
      </c>
      <c r="B106" s="75" t="s">
        <v>44</v>
      </c>
      <c r="C106" s="76" t="s">
        <v>53</v>
      </c>
      <c r="D106" s="75" t="s">
        <v>1</v>
      </c>
      <c r="E106" s="134">
        <v>1.836805555555556</v>
      </c>
      <c r="F106" s="75" t="s">
        <v>46</v>
      </c>
      <c r="G106" s="77">
        <v>9</v>
      </c>
      <c r="H106" s="130">
        <v>349</v>
      </c>
      <c r="I106" s="2"/>
    </row>
    <row r="107" spans="1:9" ht="19.8" customHeight="1" x14ac:dyDescent="0.3">
      <c r="A107" s="133">
        <v>46000</v>
      </c>
      <c r="B107" s="75" t="s">
        <v>44</v>
      </c>
      <c r="C107" s="76" t="s">
        <v>45</v>
      </c>
      <c r="D107" s="75" t="s">
        <v>1</v>
      </c>
      <c r="E107" s="134">
        <v>1.2013888888888891</v>
      </c>
      <c r="F107" s="75" t="s">
        <v>46</v>
      </c>
      <c r="G107" s="77">
        <v>9</v>
      </c>
      <c r="H107" s="130">
        <v>349</v>
      </c>
      <c r="I107" s="2"/>
    </row>
    <row r="108" spans="1:9" ht="19.8" customHeight="1" x14ac:dyDescent="0.3">
      <c r="A108" s="133">
        <v>46000</v>
      </c>
      <c r="B108" s="75" t="s">
        <v>26</v>
      </c>
      <c r="C108" s="76" t="s">
        <v>57</v>
      </c>
      <c r="D108" s="75" t="s">
        <v>1</v>
      </c>
      <c r="E108" s="134">
        <v>1.958333333333333</v>
      </c>
      <c r="F108" s="75" t="s">
        <v>28</v>
      </c>
      <c r="G108" s="77">
        <v>6</v>
      </c>
      <c r="H108" s="130">
        <v>379</v>
      </c>
      <c r="I108" s="2"/>
    </row>
    <row r="109" spans="1:9" ht="19.8" customHeight="1" x14ac:dyDescent="0.3">
      <c r="A109" s="133">
        <v>46000</v>
      </c>
      <c r="B109" s="75" t="s">
        <v>31</v>
      </c>
      <c r="C109" s="76" t="s">
        <v>32</v>
      </c>
      <c r="D109" s="75" t="s">
        <v>1</v>
      </c>
      <c r="E109" s="134">
        <v>1.864583333333333</v>
      </c>
      <c r="F109" s="75" t="s">
        <v>59</v>
      </c>
      <c r="G109" s="77">
        <v>8</v>
      </c>
      <c r="H109" s="130">
        <v>411</v>
      </c>
      <c r="I109" s="2"/>
    </row>
    <row r="110" spans="1:9" ht="19.8" customHeight="1" x14ac:dyDescent="0.3">
      <c r="A110" s="133">
        <v>46000</v>
      </c>
      <c r="B110" s="75" t="s">
        <v>31</v>
      </c>
      <c r="C110" s="76" t="s">
        <v>58</v>
      </c>
      <c r="D110" s="75" t="s">
        <v>1</v>
      </c>
      <c r="E110" s="134">
        <v>1.1701388888888891</v>
      </c>
      <c r="F110" s="75" t="s">
        <v>59</v>
      </c>
      <c r="G110" s="77">
        <v>8</v>
      </c>
      <c r="H110" s="130">
        <v>411</v>
      </c>
      <c r="I110" s="2"/>
    </row>
    <row r="111" spans="1:9" ht="19.8" customHeight="1" x14ac:dyDescent="0.3">
      <c r="A111" s="133">
        <v>46000</v>
      </c>
      <c r="B111" s="75" t="s">
        <v>31</v>
      </c>
      <c r="C111" s="76" t="s">
        <v>62</v>
      </c>
      <c r="D111" s="75" t="s">
        <v>1</v>
      </c>
      <c r="E111" s="134">
        <v>1.5277777777777779</v>
      </c>
      <c r="F111" s="75" t="s">
        <v>94</v>
      </c>
      <c r="G111" s="77">
        <v>9</v>
      </c>
      <c r="H111" s="130">
        <v>437</v>
      </c>
      <c r="I111" s="2"/>
    </row>
    <row r="112" spans="1:9" ht="19.8" customHeight="1" x14ac:dyDescent="0.3">
      <c r="A112" s="133">
        <v>46000</v>
      </c>
      <c r="B112" s="75" t="s">
        <v>44</v>
      </c>
      <c r="C112" s="76" t="s">
        <v>53</v>
      </c>
      <c r="D112" s="75" t="s">
        <v>1</v>
      </c>
      <c r="E112" s="134">
        <v>1.836805555555556</v>
      </c>
      <c r="F112" s="75" t="s">
        <v>49</v>
      </c>
      <c r="G112" s="77">
        <v>9</v>
      </c>
      <c r="H112" s="130">
        <v>449</v>
      </c>
      <c r="I112" s="2"/>
    </row>
    <row r="113" spans="1:9" ht="19.8" customHeight="1" x14ac:dyDescent="0.3">
      <c r="A113" s="133">
        <v>46000</v>
      </c>
      <c r="B113" s="75" t="s">
        <v>44</v>
      </c>
      <c r="C113" s="76" t="s">
        <v>45</v>
      </c>
      <c r="D113" s="75" t="s">
        <v>1</v>
      </c>
      <c r="E113" s="134">
        <v>1.2013888888888891</v>
      </c>
      <c r="F113" s="75" t="s">
        <v>49</v>
      </c>
      <c r="G113" s="77">
        <v>9</v>
      </c>
      <c r="H113" s="130">
        <v>449</v>
      </c>
      <c r="I113" s="2"/>
    </row>
    <row r="114" spans="1:9" ht="19.8" customHeight="1" x14ac:dyDescent="0.3">
      <c r="A114" s="133">
        <v>46000</v>
      </c>
      <c r="B114" s="75" t="s">
        <v>35</v>
      </c>
      <c r="C114" s="76" t="s">
        <v>36</v>
      </c>
      <c r="D114" s="75" t="s">
        <v>1</v>
      </c>
      <c r="E114" s="134">
        <v>1.305555555555556</v>
      </c>
      <c r="F114" s="75" t="s">
        <v>40</v>
      </c>
      <c r="G114" s="77">
        <v>20</v>
      </c>
      <c r="H114" s="130">
        <v>459</v>
      </c>
      <c r="I114" s="2"/>
    </row>
    <row r="115" spans="1:9" ht="19.8" customHeight="1" x14ac:dyDescent="0.3">
      <c r="A115" s="133">
        <v>46000</v>
      </c>
      <c r="B115" s="75" t="s">
        <v>44</v>
      </c>
      <c r="C115" s="76" t="s">
        <v>53</v>
      </c>
      <c r="D115" s="75" t="s">
        <v>1</v>
      </c>
      <c r="E115" s="134">
        <v>1.836805555555556</v>
      </c>
      <c r="F115" s="75" t="s">
        <v>51</v>
      </c>
      <c r="G115" s="77">
        <v>9</v>
      </c>
      <c r="H115" s="130">
        <v>539</v>
      </c>
      <c r="I115" s="2"/>
    </row>
    <row r="116" spans="1:9" ht="19.8" customHeight="1" x14ac:dyDescent="0.3">
      <c r="A116" s="133">
        <v>46000</v>
      </c>
      <c r="B116" s="75" t="s">
        <v>44</v>
      </c>
      <c r="C116" s="76" t="s">
        <v>45</v>
      </c>
      <c r="D116" s="75" t="s">
        <v>1</v>
      </c>
      <c r="E116" s="134">
        <v>1.2013888888888891</v>
      </c>
      <c r="F116" s="75" t="s">
        <v>51</v>
      </c>
      <c r="G116" s="77">
        <v>9</v>
      </c>
      <c r="H116" s="130">
        <v>539</v>
      </c>
      <c r="I116" s="2"/>
    </row>
    <row r="117" spans="1:9" ht="19.8" customHeight="1" x14ac:dyDescent="0.3">
      <c r="A117" s="137">
        <v>46000</v>
      </c>
      <c r="B117" s="83" t="s">
        <v>63</v>
      </c>
      <c r="C117" s="84" t="s">
        <v>64</v>
      </c>
      <c r="D117" s="83" t="s">
        <v>1</v>
      </c>
      <c r="E117" s="138">
        <v>1.270833333333333</v>
      </c>
      <c r="F117" s="83" t="s">
        <v>28</v>
      </c>
      <c r="G117" s="85">
        <v>9</v>
      </c>
      <c r="H117" s="132">
        <v>566</v>
      </c>
      <c r="I117" s="2"/>
    </row>
    <row r="118" spans="1:9" ht="19.8" customHeight="1" x14ac:dyDescent="0.3">
      <c r="A118" s="133">
        <v>46000</v>
      </c>
      <c r="B118" s="75" t="s">
        <v>35</v>
      </c>
      <c r="C118" s="76" t="s">
        <v>36</v>
      </c>
      <c r="D118" s="75" t="s">
        <v>1</v>
      </c>
      <c r="E118" s="134">
        <v>1.305555555555556</v>
      </c>
      <c r="F118" s="75" t="s">
        <v>42</v>
      </c>
      <c r="G118" s="77">
        <v>20</v>
      </c>
      <c r="H118" s="130">
        <v>899</v>
      </c>
      <c r="I118" s="2"/>
    </row>
    <row r="119" spans="1:9" ht="19.8" customHeight="1" x14ac:dyDescent="0.3">
      <c r="A119" s="135">
        <v>46000</v>
      </c>
      <c r="B119" s="79" t="s">
        <v>69</v>
      </c>
      <c r="C119" s="80" t="s">
        <v>70</v>
      </c>
      <c r="D119" s="79" t="s">
        <v>1</v>
      </c>
      <c r="E119" s="136">
        <v>1.305555555555556</v>
      </c>
      <c r="F119" s="79" t="s">
        <v>71</v>
      </c>
      <c r="G119" s="81">
        <v>4</v>
      </c>
      <c r="H119" s="87" t="s">
        <v>117</v>
      </c>
      <c r="I119" s="2"/>
    </row>
    <row r="120" spans="1:9" ht="19.8" customHeight="1" x14ac:dyDescent="0.3">
      <c r="A120" s="133">
        <v>46001</v>
      </c>
      <c r="B120" s="75" t="s">
        <v>74</v>
      </c>
      <c r="C120" s="76" t="s">
        <v>75</v>
      </c>
      <c r="D120" s="75" t="s">
        <v>1</v>
      </c>
      <c r="E120" s="134">
        <v>1.9722222222222221</v>
      </c>
      <c r="F120" s="75" t="s">
        <v>76</v>
      </c>
      <c r="G120" s="77">
        <v>9</v>
      </c>
      <c r="H120" s="130">
        <v>367</v>
      </c>
      <c r="I120" s="2"/>
    </row>
    <row r="121" spans="1:9" ht="19.8" customHeight="1" x14ac:dyDescent="0.3">
      <c r="A121" s="133">
        <v>46001</v>
      </c>
      <c r="B121" s="75" t="s">
        <v>79</v>
      </c>
      <c r="C121" s="76" t="s">
        <v>80</v>
      </c>
      <c r="D121" s="75" t="s">
        <v>1</v>
      </c>
      <c r="E121" s="134">
        <v>1.0902777777777779</v>
      </c>
      <c r="F121" s="75" t="s">
        <v>28</v>
      </c>
      <c r="G121" s="77">
        <v>9</v>
      </c>
      <c r="H121" s="130">
        <v>371</v>
      </c>
      <c r="I121" s="2"/>
    </row>
    <row r="122" spans="1:9" ht="19.8" customHeight="1" x14ac:dyDescent="0.3">
      <c r="A122" s="133">
        <v>46001</v>
      </c>
      <c r="B122" s="75" t="s">
        <v>35</v>
      </c>
      <c r="C122" s="76" t="s">
        <v>36</v>
      </c>
      <c r="D122" s="75" t="s">
        <v>1</v>
      </c>
      <c r="E122" s="134">
        <v>1.305555555555556</v>
      </c>
      <c r="F122" s="75" t="s">
        <v>37</v>
      </c>
      <c r="G122" s="77">
        <v>5</v>
      </c>
      <c r="H122" s="130">
        <v>399</v>
      </c>
      <c r="I122" s="2"/>
    </row>
    <row r="123" spans="1:9" ht="19.8" customHeight="1" x14ac:dyDescent="0.3">
      <c r="A123" s="133">
        <v>46001</v>
      </c>
      <c r="B123" s="75" t="s">
        <v>31</v>
      </c>
      <c r="C123" s="76" t="s">
        <v>58</v>
      </c>
      <c r="D123" s="75" t="s">
        <v>1</v>
      </c>
      <c r="E123" s="134">
        <v>1.1701388888888891</v>
      </c>
      <c r="F123" s="75" t="s">
        <v>59</v>
      </c>
      <c r="G123" s="77">
        <v>6</v>
      </c>
      <c r="H123" s="130">
        <v>411</v>
      </c>
      <c r="I123" s="2"/>
    </row>
    <row r="124" spans="1:9" ht="19.8" customHeight="1" x14ac:dyDescent="0.3">
      <c r="A124" s="133">
        <v>46001</v>
      </c>
      <c r="B124" s="75" t="s">
        <v>74</v>
      </c>
      <c r="C124" s="76" t="s">
        <v>75</v>
      </c>
      <c r="D124" s="75" t="s">
        <v>1</v>
      </c>
      <c r="E124" s="134">
        <v>1.9722222222222221</v>
      </c>
      <c r="F124" s="75" t="s">
        <v>42</v>
      </c>
      <c r="G124" s="77">
        <v>9</v>
      </c>
      <c r="H124" s="130">
        <v>490</v>
      </c>
      <c r="I124" s="2"/>
    </row>
    <row r="125" spans="1:9" ht="19.8" customHeight="1" x14ac:dyDescent="0.3">
      <c r="A125" s="133">
        <v>46001</v>
      </c>
      <c r="B125" s="75" t="s">
        <v>31</v>
      </c>
      <c r="C125" s="76" t="s">
        <v>62</v>
      </c>
      <c r="D125" s="75" t="s">
        <v>1</v>
      </c>
      <c r="E125" s="134">
        <v>1.5277777777777779</v>
      </c>
      <c r="F125" s="75" t="s">
        <v>33</v>
      </c>
      <c r="G125" s="77">
        <v>9</v>
      </c>
      <c r="H125" s="130">
        <v>547</v>
      </c>
      <c r="I125" s="2"/>
    </row>
    <row r="126" spans="1:9" ht="19.8" customHeight="1" x14ac:dyDescent="0.3">
      <c r="A126" s="133">
        <v>46001</v>
      </c>
      <c r="B126" s="75" t="s">
        <v>35</v>
      </c>
      <c r="C126" s="76" t="s">
        <v>36</v>
      </c>
      <c r="D126" s="75" t="s">
        <v>1</v>
      </c>
      <c r="E126" s="134">
        <v>1.305555555555556</v>
      </c>
      <c r="F126" s="75" t="s">
        <v>40</v>
      </c>
      <c r="G126" s="77">
        <v>5</v>
      </c>
      <c r="H126" s="130">
        <v>549</v>
      </c>
      <c r="I126" s="2"/>
    </row>
    <row r="127" spans="1:9" ht="19.8" customHeight="1" x14ac:dyDescent="0.3">
      <c r="A127" s="133">
        <v>46001</v>
      </c>
      <c r="B127" s="75" t="s">
        <v>26</v>
      </c>
      <c r="C127" s="76" t="s">
        <v>27</v>
      </c>
      <c r="D127" s="75" t="s">
        <v>1</v>
      </c>
      <c r="E127" s="134">
        <v>1.895833333333333</v>
      </c>
      <c r="F127" s="75" t="s">
        <v>28</v>
      </c>
      <c r="G127" s="77">
        <v>8</v>
      </c>
      <c r="H127" s="130">
        <v>563</v>
      </c>
      <c r="I127" s="2"/>
    </row>
    <row r="128" spans="1:9" ht="19.8" customHeight="1" x14ac:dyDescent="0.3">
      <c r="A128" s="133">
        <v>46001</v>
      </c>
      <c r="B128" s="75" t="s">
        <v>44</v>
      </c>
      <c r="C128" s="76" t="s">
        <v>53</v>
      </c>
      <c r="D128" s="75" t="s">
        <v>1</v>
      </c>
      <c r="E128" s="134">
        <v>1.836805555555556</v>
      </c>
      <c r="F128" s="75" t="s">
        <v>46</v>
      </c>
      <c r="G128" s="77">
        <v>4</v>
      </c>
      <c r="H128" s="130">
        <v>579</v>
      </c>
      <c r="I128" s="2"/>
    </row>
    <row r="129" spans="1:9" ht="19.8" customHeight="1" x14ac:dyDescent="0.3">
      <c r="A129" s="133">
        <v>46001</v>
      </c>
      <c r="B129" s="75" t="s">
        <v>31</v>
      </c>
      <c r="C129" s="76" t="s">
        <v>32</v>
      </c>
      <c r="D129" s="75" t="s">
        <v>1</v>
      </c>
      <c r="E129" s="134">
        <v>1.864583333333333</v>
      </c>
      <c r="F129" s="75" t="s">
        <v>33</v>
      </c>
      <c r="G129" s="77">
        <v>9</v>
      </c>
      <c r="H129" s="130">
        <v>592</v>
      </c>
      <c r="I129" s="2"/>
    </row>
    <row r="130" spans="1:9" ht="19.8" customHeight="1" x14ac:dyDescent="0.3">
      <c r="A130" s="133">
        <v>46001</v>
      </c>
      <c r="B130" s="75" t="s">
        <v>44</v>
      </c>
      <c r="C130" s="76" t="s">
        <v>53</v>
      </c>
      <c r="D130" s="75" t="s">
        <v>1</v>
      </c>
      <c r="E130" s="134">
        <v>1.836805555555556</v>
      </c>
      <c r="F130" s="75" t="s">
        <v>49</v>
      </c>
      <c r="G130" s="77">
        <v>4</v>
      </c>
      <c r="H130" s="130">
        <v>679</v>
      </c>
      <c r="I130" s="2"/>
    </row>
    <row r="131" spans="1:9" ht="19.8" customHeight="1" x14ac:dyDescent="0.3">
      <c r="A131" s="133">
        <v>46001</v>
      </c>
      <c r="B131" s="75" t="s">
        <v>44</v>
      </c>
      <c r="C131" s="76" t="s">
        <v>53</v>
      </c>
      <c r="D131" s="75" t="s">
        <v>1</v>
      </c>
      <c r="E131" s="134">
        <v>1.836805555555556</v>
      </c>
      <c r="F131" s="75" t="s">
        <v>51</v>
      </c>
      <c r="G131" s="77">
        <v>4</v>
      </c>
      <c r="H131" s="130">
        <v>769</v>
      </c>
      <c r="I131" s="2"/>
    </row>
    <row r="132" spans="1:9" ht="19.8" customHeight="1" x14ac:dyDescent="0.3">
      <c r="A132" s="133">
        <v>46001</v>
      </c>
      <c r="B132" s="75" t="s">
        <v>35</v>
      </c>
      <c r="C132" s="76" t="s">
        <v>36</v>
      </c>
      <c r="D132" s="75" t="s">
        <v>1</v>
      </c>
      <c r="E132" s="134">
        <v>1.305555555555556</v>
      </c>
      <c r="F132" s="75" t="s">
        <v>42</v>
      </c>
      <c r="G132" s="77">
        <v>5</v>
      </c>
      <c r="H132" s="130">
        <v>899</v>
      </c>
      <c r="I132" s="2"/>
    </row>
    <row r="133" spans="1:9" ht="19.8" customHeight="1" x14ac:dyDescent="0.3">
      <c r="A133" s="135">
        <v>46001</v>
      </c>
      <c r="B133" s="79" t="s">
        <v>69</v>
      </c>
      <c r="C133" s="80" t="s">
        <v>70</v>
      </c>
      <c r="D133" s="79" t="s">
        <v>1</v>
      </c>
      <c r="E133" s="136">
        <v>1.305555555555556</v>
      </c>
      <c r="F133" s="79" t="s">
        <v>71</v>
      </c>
      <c r="G133" s="81">
        <v>4</v>
      </c>
      <c r="H133" s="87" t="s">
        <v>129</v>
      </c>
      <c r="I133" s="2"/>
    </row>
    <row r="134" spans="1:9" ht="19.8" customHeight="1" x14ac:dyDescent="0.3">
      <c r="A134" s="133">
        <v>46002</v>
      </c>
      <c r="B134" s="75" t="s">
        <v>35</v>
      </c>
      <c r="C134" s="76" t="s">
        <v>36</v>
      </c>
      <c r="D134" s="75" t="s">
        <v>1</v>
      </c>
      <c r="E134" s="134">
        <v>1.305555555555556</v>
      </c>
      <c r="F134" s="75" t="s">
        <v>130</v>
      </c>
      <c r="G134" s="77">
        <v>24</v>
      </c>
      <c r="H134" s="130">
        <v>369</v>
      </c>
      <c r="I134" s="2"/>
    </row>
    <row r="135" spans="1:9" ht="19.8" customHeight="1" x14ac:dyDescent="0.3">
      <c r="A135" s="133">
        <v>46002</v>
      </c>
      <c r="B135" s="75" t="s">
        <v>79</v>
      </c>
      <c r="C135" s="76" t="s">
        <v>80</v>
      </c>
      <c r="D135" s="75" t="s">
        <v>1</v>
      </c>
      <c r="E135" s="134">
        <v>1.8888888888888891</v>
      </c>
      <c r="F135" s="75" t="s">
        <v>28</v>
      </c>
      <c r="G135" s="77">
        <v>5</v>
      </c>
      <c r="H135" s="130">
        <v>371</v>
      </c>
      <c r="I135" s="2"/>
    </row>
    <row r="136" spans="1:9" ht="19.8" customHeight="1" x14ac:dyDescent="0.3">
      <c r="A136" s="133">
        <v>46002</v>
      </c>
      <c r="B136" s="75" t="s">
        <v>44</v>
      </c>
      <c r="C136" s="76" t="s">
        <v>45</v>
      </c>
      <c r="D136" s="75" t="s">
        <v>1</v>
      </c>
      <c r="E136" s="134">
        <v>1.2013888888888891</v>
      </c>
      <c r="F136" s="75" t="s">
        <v>131</v>
      </c>
      <c r="G136" s="77">
        <v>6</v>
      </c>
      <c r="H136" s="130">
        <v>399</v>
      </c>
      <c r="I136" s="2"/>
    </row>
    <row r="137" spans="1:9" ht="19.8" customHeight="1" x14ac:dyDescent="0.3">
      <c r="A137" s="133">
        <v>46002</v>
      </c>
      <c r="B137" s="75" t="s">
        <v>31</v>
      </c>
      <c r="C137" s="76" t="s">
        <v>58</v>
      </c>
      <c r="D137" s="75" t="s">
        <v>1</v>
      </c>
      <c r="E137" s="134">
        <v>1.1701388888888891</v>
      </c>
      <c r="F137" s="75" t="s">
        <v>59</v>
      </c>
      <c r="G137" s="77">
        <v>6</v>
      </c>
      <c r="H137" s="130">
        <v>411</v>
      </c>
      <c r="I137" s="2"/>
    </row>
    <row r="138" spans="1:9" ht="19.8" customHeight="1" x14ac:dyDescent="0.3">
      <c r="A138" s="133">
        <v>46002</v>
      </c>
      <c r="B138" s="75" t="s">
        <v>44</v>
      </c>
      <c r="C138" s="76" t="s">
        <v>53</v>
      </c>
      <c r="D138" s="75" t="s">
        <v>1</v>
      </c>
      <c r="E138" s="134">
        <v>1.836805555555556</v>
      </c>
      <c r="F138" s="75" t="s">
        <v>131</v>
      </c>
      <c r="G138" s="77">
        <v>1</v>
      </c>
      <c r="H138" s="130">
        <v>429</v>
      </c>
      <c r="I138" s="2"/>
    </row>
    <row r="139" spans="1:9" ht="19.8" customHeight="1" x14ac:dyDescent="0.3">
      <c r="A139" s="133">
        <v>46002</v>
      </c>
      <c r="B139" s="75" t="s">
        <v>26</v>
      </c>
      <c r="C139" s="76" t="s">
        <v>57</v>
      </c>
      <c r="D139" s="75" t="s">
        <v>1</v>
      </c>
      <c r="E139" s="134">
        <v>1.958333333333333</v>
      </c>
      <c r="F139" s="75" t="s">
        <v>28</v>
      </c>
      <c r="G139" s="77">
        <v>9</v>
      </c>
      <c r="H139" s="130">
        <v>439</v>
      </c>
      <c r="I139" s="2"/>
    </row>
    <row r="140" spans="1:9" ht="19.8" customHeight="1" x14ac:dyDescent="0.3">
      <c r="A140" s="133">
        <v>46002</v>
      </c>
      <c r="B140" s="75" t="s">
        <v>31</v>
      </c>
      <c r="C140" s="76" t="s">
        <v>32</v>
      </c>
      <c r="D140" s="75" t="s">
        <v>1</v>
      </c>
      <c r="E140" s="134">
        <v>1.864583333333333</v>
      </c>
      <c r="F140" s="75" t="s">
        <v>33</v>
      </c>
      <c r="G140" s="77">
        <v>9</v>
      </c>
      <c r="H140" s="130">
        <v>547</v>
      </c>
      <c r="I140" s="2"/>
    </row>
    <row r="141" spans="1:9" ht="19.8" customHeight="1" x14ac:dyDescent="0.3">
      <c r="A141" s="133">
        <v>46002</v>
      </c>
      <c r="B141" s="75" t="s">
        <v>31</v>
      </c>
      <c r="C141" s="76" t="s">
        <v>62</v>
      </c>
      <c r="D141" s="75" t="s">
        <v>1</v>
      </c>
      <c r="E141" s="134">
        <v>1.5277777777777779</v>
      </c>
      <c r="F141" s="75" t="s">
        <v>33</v>
      </c>
      <c r="G141" s="77">
        <v>9</v>
      </c>
      <c r="H141" s="130">
        <v>547</v>
      </c>
      <c r="I141" s="2"/>
    </row>
    <row r="142" spans="1:9" ht="19.8" customHeight="1" x14ac:dyDescent="0.3">
      <c r="A142" s="137">
        <v>46002</v>
      </c>
      <c r="B142" s="83" t="s">
        <v>63</v>
      </c>
      <c r="C142" s="84" t="s">
        <v>64</v>
      </c>
      <c r="D142" s="83" t="s">
        <v>1</v>
      </c>
      <c r="E142" s="138">
        <v>1.9236111111111109</v>
      </c>
      <c r="F142" s="83" t="s">
        <v>28</v>
      </c>
      <c r="G142" s="85">
        <v>9</v>
      </c>
      <c r="H142" s="132">
        <v>626</v>
      </c>
      <c r="I142" s="2"/>
    </row>
    <row r="143" spans="1:9" ht="19.8" customHeight="1" x14ac:dyDescent="0.3">
      <c r="A143" s="135">
        <v>46002</v>
      </c>
      <c r="B143" s="79" t="s">
        <v>69</v>
      </c>
      <c r="C143" s="80" t="s">
        <v>70</v>
      </c>
      <c r="D143" s="79" t="s">
        <v>1</v>
      </c>
      <c r="E143" s="136">
        <v>1.305555555555556</v>
      </c>
      <c r="F143" s="79" t="s">
        <v>71</v>
      </c>
      <c r="G143" s="81">
        <v>4</v>
      </c>
      <c r="H143" s="87" t="s">
        <v>109</v>
      </c>
      <c r="I143" s="2"/>
    </row>
    <row r="144" spans="1:9" ht="19.8" customHeight="1" x14ac:dyDescent="0.3">
      <c r="A144" s="133">
        <v>46003</v>
      </c>
      <c r="B144" s="75" t="s">
        <v>35</v>
      </c>
      <c r="C144" s="76" t="s">
        <v>36</v>
      </c>
      <c r="D144" s="75" t="s">
        <v>1</v>
      </c>
      <c r="E144" s="134">
        <v>1.305555555555556</v>
      </c>
      <c r="F144" s="75" t="s">
        <v>37</v>
      </c>
      <c r="G144" s="77">
        <v>7</v>
      </c>
      <c r="H144" s="130">
        <v>339</v>
      </c>
      <c r="I144" s="2"/>
    </row>
    <row r="145" spans="1:9" ht="19.8" customHeight="1" x14ac:dyDescent="0.3">
      <c r="A145" s="133">
        <v>46003</v>
      </c>
      <c r="B145" s="75" t="s">
        <v>44</v>
      </c>
      <c r="C145" s="76" t="s">
        <v>53</v>
      </c>
      <c r="D145" s="75" t="s">
        <v>1</v>
      </c>
      <c r="E145" s="134">
        <v>1.836805555555556</v>
      </c>
      <c r="F145" s="75" t="s">
        <v>46</v>
      </c>
      <c r="G145" s="77">
        <v>3</v>
      </c>
      <c r="H145" s="130">
        <v>349</v>
      </c>
      <c r="I145" s="2"/>
    </row>
    <row r="146" spans="1:9" ht="19.8" customHeight="1" x14ac:dyDescent="0.3">
      <c r="A146" s="133">
        <v>46003</v>
      </c>
      <c r="B146" s="75" t="s">
        <v>31</v>
      </c>
      <c r="C146" s="76" t="s">
        <v>32</v>
      </c>
      <c r="D146" s="75" t="s">
        <v>1</v>
      </c>
      <c r="E146" s="134">
        <v>1.864583333333333</v>
      </c>
      <c r="F146" s="75" t="s">
        <v>59</v>
      </c>
      <c r="G146" s="77">
        <v>1</v>
      </c>
      <c r="H146" s="130">
        <v>411</v>
      </c>
      <c r="I146" s="2"/>
    </row>
    <row r="147" spans="1:9" ht="19.8" customHeight="1" x14ac:dyDescent="0.3">
      <c r="A147" s="133">
        <v>46003</v>
      </c>
      <c r="B147" s="75" t="s">
        <v>31</v>
      </c>
      <c r="C147" s="76" t="s">
        <v>58</v>
      </c>
      <c r="D147" s="75" t="s">
        <v>1</v>
      </c>
      <c r="E147" s="134">
        <v>1.1701388888888891</v>
      </c>
      <c r="F147" s="75" t="s">
        <v>59</v>
      </c>
      <c r="G147" s="77">
        <v>9</v>
      </c>
      <c r="H147" s="130">
        <v>411</v>
      </c>
      <c r="I147" s="2"/>
    </row>
    <row r="148" spans="1:9" ht="19.8" customHeight="1" x14ac:dyDescent="0.3">
      <c r="A148" s="133">
        <v>46003</v>
      </c>
      <c r="B148" s="75" t="s">
        <v>26</v>
      </c>
      <c r="C148" s="76" t="s">
        <v>27</v>
      </c>
      <c r="D148" s="75" t="s">
        <v>1</v>
      </c>
      <c r="E148" s="134">
        <v>1.958333333333333</v>
      </c>
      <c r="F148" s="75" t="s">
        <v>28</v>
      </c>
      <c r="G148" s="77">
        <v>9</v>
      </c>
      <c r="H148" s="130">
        <v>439</v>
      </c>
      <c r="I148" s="2"/>
    </row>
    <row r="149" spans="1:9" ht="19.8" customHeight="1" x14ac:dyDescent="0.3">
      <c r="A149" s="133">
        <v>46003</v>
      </c>
      <c r="B149" s="75" t="s">
        <v>44</v>
      </c>
      <c r="C149" s="76" t="s">
        <v>53</v>
      </c>
      <c r="D149" s="75" t="s">
        <v>1</v>
      </c>
      <c r="E149" s="134">
        <v>1.836805555555556</v>
      </c>
      <c r="F149" s="75" t="s">
        <v>49</v>
      </c>
      <c r="G149" s="77">
        <v>3</v>
      </c>
      <c r="H149" s="130">
        <v>449</v>
      </c>
      <c r="I149" s="2"/>
    </row>
    <row r="150" spans="1:9" ht="19.8" customHeight="1" x14ac:dyDescent="0.3">
      <c r="A150" s="133">
        <v>46003</v>
      </c>
      <c r="B150" s="75" t="s">
        <v>35</v>
      </c>
      <c r="C150" s="76" t="s">
        <v>36</v>
      </c>
      <c r="D150" s="75" t="s">
        <v>1</v>
      </c>
      <c r="E150" s="134">
        <v>1.305555555555556</v>
      </c>
      <c r="F150" s="75" t="s">
        <v>40</v>
      </c>
      <c r="G150" s="77">
        <v>7</v>
      </c>
      <c r="H150" s="130">
        <v>489</v>
      </c>
      <c r="I150" s="2"/>
    </row>
    <row r="151" spans="1:9" ht="19.8" customHeight="1" x14ac:dyDescent="0.3">
      <c r="A151" s="133">
        <v>46003</v>
      </c>
      <c r="B151" s="75" t="s">
        <v>44</v>
      </c>
      <c r="C151" s="76" t="s">
        <v>53</v>
      </c>
      <c r="D151" s="75" t="s">
        <v>1</v>
      </c>
      <c r="E151" s="134">
        <v>1.836805555555556</v>
      </c>
      <c r="F151" s="75" t="s">
        <v>51</v>
      </c>
      <c r="G151" s="77">
        <v>3</v>
      </c>
      <c r="H151" s="130">
        <v>539</v>
      </c>
      <c r="I151" s="2"/>
    </row>
    <row r="152" spans="1:9" ht="19.8" customHeight="1" x14ac:dyDescent="0.3">
      <c r="A152" s="137">
        <v>46003</v>
      </c>
      <c r="B152" s="83" t="s">
        <v>63</v>
      </c>
      <c r="C152" s="84" t="s">
        <v>64</v>
      </c>
      <c r="D152" s="83" t="s">
        <v>1</v>
      </c>
      <c r="E152" s="138">
        <v>1.5798611111111109</v>
      </c>
      <c r="F152" s="83" t="s">
        <v>28</v>
      </c>
      <c r="G152" s="85">
        <v>5</v>
      </c>
      <c r="H152" s="132">
        <v>566</v>
      </c>
      <c r="I152" s="2"/>
    </row>
    <row r="153" spans="1:9" ht="19.8" customHeight="1" x14ac:dyDescent="0.3">
      <c r="A153" s="133">
        <v>46003</v>
      </c>
      <c r="B153" s="75" t="s">
        <v>69</v>
      </c>
      <c r="C153" s="76" t="s">
        <v>70</v>
      </c>
      <c r="D153" s="75" t="s">
        <v>1</v>
      </c>
      <c r="E153" s="134">
        <v>1.305555555555556</v>
      </c>
      <c r="F153" s="75" t="s">
        <v>71</v>
      </c>
      <c r="G153" s="77">
        <v>4</v>
      </c>
      <c r="H153" s="86" t="s">
        <v>73</v>
      </c>
      <c r="I153" s="2"/>
    </row>
    <row r="154" spans="1:9" ht="19.8" customHeight="1" x14ac:dyDescent="0.3">
      <c r="A154" s="133">
        <v>46003</v>
      </c>
      <c r="B154" s="75" t="s">
        <v>35</v>
      </c>
      <c r="C154" s="76" t="s">
        <v>36</v>
      </c>
      <c r="D154" s="75" t="s">
        <v>1</v>
      </c>
      <c r="E154" s="134">
        <v>1.305555555555556</v>
      </c>
      <c r="F154" s="75" t="s">
        <v>42</v>
      </c>
      <c r="G154" s="77">
        <v>7</v>
      </c>
      <c r="H154" s="86" t="s">
        <v>43</v>
      </c>
      <c r="I154" s="2"/>
    </row>
    <row r="155" spans="1:9" ht="19.8" customHeight="1" x14ac:dyDescent="0.3">
      <c r="A155" s="135">
        <v>46003</v>
      </c>
      <c r="B155" s="79" t="s">
        <v>31</v>
      </c>
      <c r="C155" s="80" t="s">
        <v>62</v>
      </c>
      <c r="D155" s="79" t="s">
        <v>1</v>
      </c>
      <c r="E155" s="136">
        <v>1.5277777777777779</v>
      </c>
      <c r="F155" s="79" t="s">
        <v>33</v>
      </c>
      <c r="G155" s="81">
        <v>9</v>
      </c>
      <c r="H155" s="87" t="s">
        <v>136</v>
      </c>
      <c r="I155" s="2"/>
    </row>
    <row r="156" spans="1:9" ht="19.8" customHeight="1" x14ac:dyDescent="0.3">
      <c r="A156" s="133">
        <v>46004</v>
      </c>
      <c r="B156" s="75" t="s">
        <v>35</v>
      </c>
      <c r="C156" s="76" t="s">
        <v>36</v>
      </c>
      <c r="D156" s="75" t="s">
        <v>1</v>
      </c>
      <c r="E156" s="134">
        <v>1.305555555555556</v>
      </c>
      <c r="F156" s="75" t="s">
        <v>37</v>
      </c>
      <c r="G156" s="77">
        <v>19</v>
      </c>
      <c r="H156" s="130">
        <v>309</v>
      </c>
      <c r="I156" s="2"/>
    </row>
    <row r="157" spans="1:9" ht="19.8" customHeight="1" x14ac:dyDescent="0.3">
      <c r="A157" s="133">
        <v>46004</v>
      </c>
      <c r="B157" s="75" t="s">
        <v>44</v>
      </c>
      <c r="C157" s="76" t="s">
        <v>45</v>
      </c>
      <c r="D157" s="75" t="s">
        <v>1</v>
      </c>
      <c r="E157" s="134">
        <v>1.2013888888888891</v>
      </c>
      <c r="F157" s="75" t="s">
        <v>46</v>
      </c>
      <c r="G157" s="77">
        <v>9</v>
      </c>
      <c r="H157" s="130">
        <v>349</v>
      </c>
      <c r="I157" s="2"/>
    </row>
    <row r="158" spans="1:9" ht="19.8" customHeight="1" x14ac:dyDescent="0.3">
      <c r="A158" s="133">
        <v>46004</v>
      </c>
      <c r="B158" s="75" t="s">
        <v>74</v>
      </c>
      <c r="C158" s="76" t="s">
        <v>75</v>
      </c>
      <c r="D158" s="75" t="s">
        <v>1</v>
      </c>
      <c r="E158" s="134">
        <v>1.9722222222222221</v>
      </c>
      <c r="F158" s="75" t="s">
        <v>76</v>
      </c>
      <c r="G158" s="77">
        <v>9</v>
      </c>
      <c r="H158" s="130">
        <v>354</v>
      </c>
      <c r="I158" s="2"/>
    </row>
    <row r="159" spans="1:9" ht="19.8" customHeight="1" x14ac:dyDescent="0.3">
      <c r="A159" s="133">
        <v>46004</v>
      </c>
      <c r="B159" s="75" t="s">
        <v>44</v>
      </c>
      <c r="C159" s="76" t="s">
        <v>53</v>
      </c>
      <c r="D159" s="75" t="s">
        <v>1</v>
      </c>
      <c r="E159" s="134">
        <v>1.836805555555556</v>
      </c>
      <c r="F159" s="75" t="s">
        <v>46</v>
      </c>
      <c r="G159" s="77">
        <v>9</v>
      </c>
      <c r="H159" s="130">
        <v>379</v>
      </c>
      <c r="I159" s="2"/>
    </row>
    <row r="160" spans="1:9" ht="19.8" customHeight="1" x14ac:dyDescent="0.3">
      <c r="A160" s="133">
        <v>46004</v>
      </c>
      <c r="B160" s="75" t="s">
        <v>26</v>
      </c>
      <c r="C160" s="76" t="s">
        <v>57</v>
      </c>
      <c r="D160" s="75" t="s">
        <v>1</v>
      </c>
      <c r="E160" s="134">
        <v>1.895833333333333</v>
      </c>
      <c r="F160" s="75" t="s">
        <v>28</v>
      </c>
      <c r="G160" s="77">
        <v>9</v>
      </c>
      <c r="H160" s="130">
        <v>379</v>
      </c>
      <c r="I160" s="2"/>
    </row>
    <row r="161" spans="1:9" ht="19.8" customHeight="1" x14ac:dyDescent="0.3">
      <c r="A161" s="133">
        <v>46004</v>
      </c>
      <c r="B161" s="75" t="s">
        <v>31</v>
      </c>
      <c r="C161" s="76" t="s">
        <v>32</v>
      </c>
      <c r="D161" s="75" t="s">
        <v>1</v>
      </c>
      <c r="E161" s="134">
        <v>1.864583333333333</v>
      </c>
      <c r="F161" s="75" t="s">
        <v>59</v>
      </c>
      <c r="G161" s="77">
        <v>9</v>
      </c>
      <c r="H161" s="130">
        <v>411</v>
      </c>
      <c r="I161" s="2"/>
    </row>
    <row r="162" spans="1:9" ht="19.8" customHeight="1" x14ac:dyDescent="0.3">
      <c r="A162" s="133">
        <v>46004</v>
      </c>
      <c r="B162" s="75" t="s">
        <v>31</v>
      </c>
      <c r="C162" s="76" t="s">
        <v>58</v>
      </c>
      <c r="D162" s="75" t="s">
        <v>1</v>
      </c>
      <c r="E162" s="134">
        <v>1.1701388888888891</v>
      </c>
      <c r="F162" s="75" t="s">
        <v>59</v>
      </c>
      <c r="G162" s="77">
        <v>8</v>
      </c>
      <c r="H162" s="130">
        <v>411</v>
      </c>
      <c r="I162" s="2"/>
    </row>
    <row r="163" spans="1:9" ht="19.8" customHeight="1" x14ac:dyDescent="0.3">
      <c r="A163" s="133">
        <v>46004</v>
      </c>
      <c r="B163" s="75" t="s">
        <v>31</v>
      </c>
      <c r="C163" s="76" t="s">
        <v>62</v>
      </c>
      <c r="D163" s="75" t="s">
        <v>1</v>
      </c>
      <c r="E163" s="134">
        <v>1.5277777777777779</v>
      </c>
      <c r="F163" s="75" t="s">
        <v>59</v>
      </c>
      <c r="G163" s="77">
        <v>6</v>
      </c>
      <c r="H163" s="130">
        <v>415</v>
      </c>
      <c r="I163" s="2"/>
    </row>
    <row r="164" spans="1:9" ht="19.8" customHeight="1" x14ac:dyDescent="0.3">
      <c r="A164" s="133">
        <v>46004</v>
      </c>
      <c r="B164" s="75" t="s">
        <v>44</v>
      </c>
      <c r="C164" s="76" t="s">
        <v>45</v>
      </c>
      <c r="D164" s="75" t="s">
        <v>1</v>
      </c>
      <c r="E164" s="134">
        <v>1.2013888888888891</v>
      </c>
      <c r="F164" s="75" t="s">
        <v>49</v>
      </c>
      <c r="G164" s="77">
        <v>9</v>
      </c>
      <c r="H164" s="130">
        <v>449</v>
      </c>
      <c r="I164" s="2"/>
    </row>
    <row r="165" spans="1:9" ht="19.8" customHeight="1" x14ac:dyDescent="0.3">
      <c r="A165" s="133">
        <v>46004</v>
      </c>
      <c r="B165" s="75" t="s">
        <v>35</v>
      </c>
      <c r="C165" s="76" t="s">
        <v>36</v>
      </c>
      <c r="D165" s="75" t="s">
        <v>1</v>
      </c>
      <c r="E165" s="134">
        <v>1.305555555555556</v>
      </c>
      <c r="F165" s="75" t="s">
        <v>40</v>
      </c>
      <c r="G165" s="77">
        <v>19</v>
      </c>
      <c r="H165" s="130">
        <v>459</v>
      </c>
      <c r="I165" s="2"/>
    </row>
    <row r="166" spans="1:9" ht="19.8" customHeight="1" x14ac:dyDescent="0.3">
      <c r="A166" s="133">
        <v>46004</v>
      </c>
      <c r="B166" s="75" t="s">
        <v>74</v>
      </c>
      <c r="C166" s="76" t="s">
        <v>75</v>
      </c>
      <c r="D166" s="75" t="s">
        <v>1</v>
      </c>
      <c r="E166" s="134">
        <v>1.9722222222222221</v>
      </c>
      <c r="F166" s="75" t="s">
        <v>42</v>
      </c>
      <c r="G166" s="77">
        <v>9</v>
      </c>
      <c r="H166" s="130">
        <v>477</v>
      </c>
      <c r="I166" s="2"/>
    </row>
    <row r="167" spans="1:9" ht="19.8" customHeight="1" x14ac:dyDescent="0.3">
      <c r="A167" s="133">
        <v>46004</v>
      </c>
      <c r="B167" s="75" t="s">
        <v>44</v>
      </c>
      <c r="C167" s="76" t="s">
        <v>53</v>
      </c>
      <c r="D167" s="75" t="s">
        <v>1</v>
      </c>
      <c r="E167" s="134">
        <v>1.836805555555556</v>
      </c>
      <c r="F167" s="75" t="s">
        <v>49</v>
      </c>
      <c r="G167" s="77">
        <v>9</v>
      </c>
      <c r="H167" s="130">
        <v>479</v>
      </c>
      <c r="I167" s="2"/>
    </row>
    <row r="168" spans="1:9" ht="19.8" customHeight="1" x14ac:dyDescent="0.3">
      <c r="A168" s="133">
        <v>46004</v>
      </c>
      <c r="B168" s="75" t="s">
        <v>44</v>
      </c>
      <c r="C168" s="76" t="s">
        <v>45</v>
      </c>
      <c r="D168" s="75" t="s">
        <v>1</v>
      </c>
      <c r="E168" s="134">
        <v>1.2013888888888891</v>
      </c>
      <c r="F168" s="75" t="s">
        <v>51</v>
      </c>
      <c r="G168" s="77">
        <v>9</v>
      </c>
      <c r="H168" s="130">
        <v>539</v>
      </c>
      <c r="I168" s="2"/>
    </row>
    <row r="169" spans="1:9" ht="19.8" customHeight="1" x14ac:dyDescent="0.3">
      <c r="A169" s="137">
        <v>46004</v>
      </c>
      <c r="B169" s="83" t="s">
        <v>63</v>
      </c>
      <c r="C169" s="84" t="s">
        <v>64</v>
      </c>
      <c r="D169" s="83" t="s">
        <v>1</v>
      </c>
      <c r="E169" s="138">
        <v>1.9236111111111109</v>
      </c>
      <c r="F169" s="83" t="s">
        <v>28</v>
      </c>
      <c r="G169" s="85">
        <v>9</v>
      </c>
      <c r="H169" s="132">
        <v>566</v>
      </c>
      <c r="I169" s="2"/>
    </row>
    <row r="170" spans="1:9" ht="19.8" customHeight="1" x14ac:dyDescent="0.3">
      <c r="A170" s="133">
        <v>46004</v>
      </c>
      <c r="B170" s="75" t="s">
        <v>44</v>
      </c>
      <c r="C170" s="76" t="s">
        <v>53</v>
      </c>
      <c r="D170" s="75" t="s">
        <v>1</v>
      </c>
      <c r="E170" s="134">
        <v>1.836805555555556</v>
      </c>
      <c r="F170" s="75" t="s">
        <v>51</v>
      </c>
      <c r="G170" s="77">
        <v>9</v>
      </c>
      <c r="H170" s="130">
        <v>569</v>
      </c>
      <c r="I170" s="2"/>
    </row>
    <row r="171" spans="1:9" ht="19.8" customHeight="1" x14ac:dyDescent="0.3">
      <c r="A171" s="133">
        <v>46004</v>
      </c>
      <c r="B171" s="75" t="s">
        <v>35</v>
      </c>
      <c r="C171" s="76" t="s">
        <v>36</v>
      </c>
      <c r="D171" s="75" t="s">
        <v>1</v>
      </c>
      <c r="E171" s="134">
        <v>1.305555555555556</v>
      </c>
      <c r="F171" s="75" t="s">
        <v>42</v>
      </c>
      <c r="G171" s="77">
        <v>19</v>
      </c>
      <c r="H171" s="130">
        <v>899</v>
      </c>
      <c r="I171" s="2"/>
    </row>
    <row r="172" spans="1:9" ht="19.8" customHeight="1" x14ac:dyDescent="0.3">
      <c r="A172" s="135">
        <v>46004</v>
      </c>
      <c r="B172" s="79" t="s">
        <v>69</v>
      </c>
      <c r="C172" s="80" t="s">
        <v>70</v>
      </c>
      <c r="D172" s="79" t="s">
        <v>1</v>
      </c>
      <c r="E172" s="136">
        <v>1.305555555555556</v>
      </c>
      <c r="F172" s="79" t="s">
        <v>71</v>
      </c>
      <c r="G172" s="81">
        <v>4</v>
      </c>
      <c r="H172" s="87" t="s">
        <v>117</v>
      </c>
      <c r="I172" s="2"/>
    </row>
    <row r="173" spans="1:9" ht="19.8" customHeight="1" x14ac:dyDescent="0.3">
      <c r="A173" s="133">
        <v>46005</v>
      </c>
      <c r="B173" s="75" t="s">
        <v>35</v>
      </c>
      <c r="C173" s="76" t="s">
        <v>36</v>
      </c>
      <c r="D173" s="75" t="s">
        <v>1</v>
      </c>
      <c r="E173" s="134">
        <v>1.305555555555556</v>
      </c>
      <c r="F173" s="75" t="s">
        <v>37</v>
      </c>
      <c r="G173" s="77">
        <v>18</v>
      </c>
      <c r="H173" s="130">
        <v>309</v>
      </c>
      <c r="I173" s="2"/>
    </row>
    <row r="174" spans="1:9" ht="19.8" customHeight="1" x14ac:dyDescent="0.3">
      <c r="A174" s="133">
        <v>46005</v>
      </c>
      <c r="B174" s="75" t="s">
        <v>44</v>
      </c>
      <c r="C174" s="76" t="s">
        <v>53</v>
      </c>
      <c r="D174" s="75" t="s">
        <v>1</v>
      </c>
      <c r="E174" s="134">
        <v>1.850694444444444</v>
      </c>
      <c r="F174" s="75" t="s">
        <v>46</v>
      </c>
      <c r="G174" s="77">
        <v>6</v>
      </c>
      <c r="H174" s="130">
        <v>349</v>
      </c>
      <c r="I174" s="2"/>
    </row>
    <row r="175" spans="1:9" ht="19.8" customHeight="1" x14ac:dyDescent="0.3">
      <c r="A175" s="133">
        <v>46005</v>
      </c>
      <c r="B175" s="75" t="s">
        <v>79</v>
      </c>
      <c r="C175" s="76" t="s">
        <v>119</v>
      </c>
      <c r="D175" s="75" t="s">
        <v>1</v>
      </c>
      <c r="E175" s="134">
        <v>1.2222222222222221</v>
      </c>
      <c r="F175" s="75" t="s">
        <v>28</v>
      </c>
      <c r="G175" s="77">
        <v>5</v>
      </c>
      <c r="H175" s="130">
        <v>371</v>
      </c>
      <c r="I175" s="2"/>
    </row>
    <row r="176" spans="1:9" ht="19.8" customHeight="1" x14ac:dyDescent="0.3">
      <c r="A176" s="133">
        <v>46005</v>
      </c>
      <c r="B176" s="75" t="s">
        <v>26</v>
      </c>
      <c r="C176" s="76" t="s">
        <v>93</v>
      </c>
      <c r="D176" s="75" t="s">
        <v>1</v>
      </c>
      <c r="E176" s="134">
        <v>1.958333333333333</v>
      </c>
      <c r="F176" s="75" t="s">
        <v>28</v>
      </c>
      <c r="G176" s="77">
        <v>9</v>
      </c>
      <c r="H176" s="130">
        <v>379</v>
      </c>
      <c r="I176" s="2"/>
    </row>
    <row r="177" spans="1:9" ht="19.8" customHeight="1" x14ac:dyDescent="0.3">
      <c r="A177" s="133">
        <v>46005</v>
      </c>
      <c r="B177" s="75" t="s">
        <v>31</v>
      </c>
      <c r="C177" s="76" t="s">
        <v>32</v>
      </c>
      <c r="D177" s="75" t="s">
        <v>1</v>
      </c>
      <c r="E177" s="134">
        <v>1.864583333333333</v>
      </c>
      <c r="F177" s="75" t="s">
        <v>59</v>
      </c>
      <c r="G177" s="77">
        <v>4</v>
      </c>
      <c r="H177" s="130">
        <v>411</v>
      </c>
      <c r="I177" s="2"/>
    </row>
    <row r="178" spans="1:9" ht="19.8" customHeight="1" x14ac:dyDescent="0.3">
      <c r="A178" s="133">
        <v>46005</v>
      </c>
      <c r="B178" s="75" t="s">
        <v>31</v>
      </c>
      <c r="C178" s="76" t="s">
        <v>58</v>
      </c>
      <c r="D178" s="75" t="s">
        <v>1</v>
      </c>
      <c r="E178" s="134">
        <v>1.1701388888888891</v>
      </c>
      <c r="F178" s="75" t="s">
        <v>59</v>
      </c>
      <c r="G178" s="77">
        <v>6</v>
      </c>
      <c r="H178" s="130">
        <v>411</v>
      </c>
      <c r="I178" s="2"/>
    </row>
    <row r="179" spans="1:9" ht="19.8" customHeight="1" x14ac:dyDescent="0.3">
      <c r="A179" s="133">
        <v>46005</v>
      </c>
      <c r="B179" s="75" t="s">
        <v>44</v>
      </c>
      <c r="C179" s="76" t="s">
        <v>53</v>
      </c>
      <c r="D179" s="75" t="s">
        <v>1</v>
      </c>
      <c r="E179" s="134">
        <v>1.850694444444444</v>
      </c>
      <c r="F179" s="75" t="s">
        <v>49</v>
      </c>
      <c r="G179" s="77">
        <v>6</v>
      </c>
      <c r="H179" s="130">
        <v>449</v>
      </c>
      <c r="I179" s="2"/>
    </row>
    <row r="180" spans="1:9" ht="19.8" customHeight="1" x14ac:dyDescent="0.3">
      <c r="A180" s="133">
        <v>46005</v>
      </c>
      <c r="B180" s="75" t="s">
        <v>35</v>
      </c>
      <c r="C180" s="76" t="s">
        <v>36</v>
      </c>
      <c r="D180" s="75" t="s">
        <v>1</v>
      </c>
      <c r="E180" s="134">
        <v>1.305555555555556</v>
      </c>
      <c r="F180" s="75" t="s">
        <v>40</v>
      </c>
      <c r="G180" s="77">
        <v>18</v>
      </c>
      <c r="H180" s="130">
        <v>459</v>
      </c>
      <c r="I180" s="2"/>
    </row>
    <row r="181" spans="1:9" ht="19.8" customHeight="1" x14ac:dyDescent="0.3">
      <c r="A181" s="133">
        <v>46005</v>
      </c>
      <c r="B181" s="75" t="s">
        <v>44</v>
      </c>
      <c r="C181" s="76" t="s">
        <v>53</v>
      </c>
      <c r="D181" s="75" t="s">
        <v>1</v>
      </c>
      <c r="E181" s="134">
        <v>1.850694444444444</v>
      </c>
      <c r="F181" s="75" t="s">
        <v>51</v>
      </c>
      <c r="G181" s="77">
        <v>6</v>
      </c>
      <c r="H181" s="130">
        <v>539</v>
      </c>
      <c r="I181" s="2"/>
    </row>
    <row r="182" spans="1:9" ht="19.8" customHeight="1" x14ac:dyDescent="0.3">
      <c r="A182" s="133">
        <v>46005</v>
      </c>
      <c r="B182" s="75" t="s">
        <v>35</v>
      </c>
      <c r="C182" s="76" t="s">
        <v>36</v>
      </c>
      <c r="D182" s="75" t="s">
        <v>1</v>
      </c>
      <c r="E182" s="134">
        <v>1.305555555555556</v>
      </c>
      <c r="F182" s="75" t="s">
        <v>42</v>
      </c>
      <c r="G182" s="77">
        <v>18</v>
      </c>
      <c r="H182" s="130">
        <v>899</v>
      </c>
      <c r="I182" s="2"/>
    </row>
    <row r="183" spans="1:9" ht="19.8" customHeight="1" x14ac:dyDescent="0.3">
      <c r="A183" s="135">
        <v>46005</v>
      </c>
      <c r="B183" s="79" t="s">
        <v>69</v>
      </c>
      <c r="C183" s="80" t="s">
        <v>70</v>
      </c>
      <c r="D183" s="79" t="s">
        <v>1</v>
      </c>
      <c r="E183" s="136">
        <v>1.305555555555556</v>
      </c>
      <c r="F183" s="79" t="s">
        <v>71</v>
      </c>
      <c r="G183" s="81">
        <v>4</v>
      </c>
      <c r="H183" s="87" t="s">
        <v>117</v>
      </c>
      <c r="I183" s="2"/>
    </row>
    <row r="184" spans="1:9" ht="19.8" customHeight="1" x14ac:dyDescent="0.3">
      <c r="A184" s="133">
        <v>46006</v>
      </c>
      <c r="B184" s="75" t="s">
        <v>35</v>
      </c>
      <c r="C184" s="76" t="s">
        <v>36</v>
      </c>
      <c r="D184" s="75" t="s">
        <v>1</v>
      </c>
      <c r="E184" s="134">
        <v>1.305555555555556</v>
      </c>
      <c r="F184" s="75" t="s">
        <v>37</v>
      </c>
      <c r="G184" s="77">
        <v>14</v>
      </c>
      <c r="H184" s="130">
        <v>309</v>
      </c>
      <c r="I184" s="2"/>
    </row>
    <row r="185" spans="1:9" ht="19.8" customHeight="1" x14ac:dyDescent="0.3">
      <c r="A185" s="133">
        <v>46006</v>
      </c>
      <c r="B185" s="75" t="s">
        <v>44</v>
      </c>
      <c r="C185" s="76" t="s">
        <v>45</v>
      </c>
      <c r="D185" s="75" t="s">
        <v>1</v>
      </c>
      <c r="E185" s="134">
        <v>1.2013888888888891</v>
      </c>
      <c r="F185" s="75" t="s">
        <v>46</v>
      </c>
      <c r="G185" s="77">
        <v>9</v>
      </c>
      <c r="H185" s="130">
        <v>349</v>
      </c>
      <c r="I185" s="2"/>
    </row>
    <row r="186" spans="1:9" ht="19.8" customHeight="1" x14ac:dyDescent="0.3">
      <c r="A186" s="133">
        <v>46006</v>
      </c>
      <c r="B186" s="75" t="s">
        <v>44</v>
      </c>
      <c r="C186" s="76" t="s">
        <v>53</v>
      </c>
      <c r="D186" s="75" t="s">
        <v>1</v>
      </c>
      <c r="E186" s="134">
        <v>1.836805555555556</v>
      </c>
      <c r="F186" s="75" t="s">
        <v>46</v>
      </c>
      <c r="G186" s="77">
        <v>9</v>
      </c>
      <c r="H186" s="130">
        <v>409</v>
      </c>
      <c r="I186" s="2"/>
    </row>
    <row r="187" spans="1:9" ht="19.8" customHeight="1" x14ac:dyDescent="0.3">
      <c r="A187" s="133">
        <v>46006</v>
      </c>
      <c r="B187" s="75" t="s">
        <v>31</v>
      </c>
      <c r="C187" s="76" t="s">
        <v>32</v>
      </c>
      <c r="D187" s="75" t="s">
        <v>1</v>
      </c>
      <c r="E187" s="134">
        <v>1.864583333333333</v>
      </c>
      <c r="F187" s="75" t="s">
        <v>59</v>
      </c>
      <c r="G187" s="77">
        <v>9</v>
      </c>
      <c r="H187" s="130">
        <v>411</v>
      </c>
      <c r="I187" s="2"/>
    </row>
    <row r="188" spans="1:9" ht="19.8" customHeight="1" x14ac:dyDescent="0.3">
      <c r="A188" s="133">
        <v>46006</v>
      </c>
      <c r="B188" s="75" t="s">
        <v>31</v>
      </c>
      <c r="C188" s="76" t="s">
        <v>58</v>
      </c>
      <c r="D188" s="75" t="s">
        <v>1</v>
      </c>
      <c r="E188" s="134">
        <v>1.1701388888888891</v>
      </c>
      <c r="F188" s="75" t="s">
        <v>59</v>
      </c>
      <c r="G188" s="77">
        <v>9</v>
      </c>
      <c r="H188" s="130">
        <v>411</v>
      </c>
      <c r="I188" s="2"/>
    </row>
    <row r="189" spans="1:9" ht="19.8" customHeight="1" x14ac:dyDescent="0.3">
      <c r="A189" s="133">
        <v>46006</v>
      </c>
      <c r="B189" s="75" t="s">
        <v>31</v>
      </c>
      <c r="C189" s="76" t="s">
        <v>62</v>
      </c>
      <c r="D189" s="75" t="s">
        <v>1</v>
      </c>
      <c r="E189" s="134">
        <v>1.5277777777777779</v>
      </c>
      <c r="F189" s="75" t="s">
        <v>94</v>
      </c>
      <c r="G189" s="77">
        <v>9</v>
      </c>
      <c r="H189" s="130">
        <v>437</v>
      </c>
      <c r="I189" s="2"/>
    </row>
    <row r="190" spans="1:9" ht="19.8" customHeight="1" x14ac:dyDescent="0.3">
      <c r="A190" s="133">
        <v>46006</v>
      </c>
      <c r="B190" s="75" t="s">
        <v>26</v>
      </c>
      <c r="C190" s="76" t="s">
        <v>27</v>
      </c>
      <c r="D190" s="75" t="s">
        <v>1</v>
      </c>
      <c r="E190" s="134">
        <v>1.958333333333333</v>
      </c>
      <c r="F190" s="75" t="s">
        <v>28</v>
      </c>
      <c r="G190" s="77">
        <v>9</v>
      </c>
      <c r="H190" s="130">
        <v>439</v>
      </c>
      <c r="I190" s="2"/>
    </row>
    <row r="191" spans="1:9" ht="19.8" customHeight="1" x14ac:dyDescent="0.3">
      <c r="A191" s="133">
        <v>46006</v>
      </c>
      <c r="B191" s="75" t="s">
        <v>44</v>
      </c>
      <c r="C191" s="76" t="s">
        <v>45</v>
      </c>
      <c r="D191" s="75" t="s">
        <v>1</v>
      </c>
      <c r="E191" s="134">
        <v>1.2013888888888891</v>
      </c>
      <c r="F191" s="75" t="s">
        <v>49</v>
      </c>
      <c r="G191" s="77">
        <v>9</v>
      </c>
      <c r="H191" s="130">
        <v>449</v>
      </c>
      <c r="I191" s="2"/>
    </row>
    <row r="192" spans="1:9" ht="19.8" customHeight="1" x14ac:dyDescent="0.3">
      <c r="A192" s="133">
        <v>46006</v>
      </c>
      <c r="B192" s="75" t="s">
        <v>35</v>
      </c>
      <c r="C192" s="76" t="s">
        <v>36</v>
      </c>
      <c r="D192" s="75" t="s">
        <v>1</v>
      </c>
      <c r="E192" s="134">
        <v>1.305555555555556</v>
      </c>
      <c r="F192" s="75" t="s">
        <v>40</v>
      </c>
      <c r="G192" s="77">
        <v>14</v>
      </c>
      <c r="H192" s="130">
        <v>459</v>
      </c>
      <c r="I192" s="2"/>
    </row>
    <row r="193" spans="1:9" ht="19.8" customHeight="1" x14ac:dyDescent="0.3">
      <c r="A193" s="133">
        <v>46006</v>
      </c>
      <c r="B193" s="75" t="s">
        <v>44</v>
      </c>
      <c r="C193" s="76" t="s">
        <v>53</v>
      </c>
      <c r="D193" s="75" t="s">
        <v>1</v>
      </c>
      <c r="E193" s="134">
        <v>1.836805555555556</v>
      </c>
      <c r="F193" s="75" t="s">
        <v>49</v>
      </c>
      <c r="G193" s="77">
        <v>9</v>
      </c>
      <c r="H193" s="130">
        <v>509</v>
      </c>
      <c r="I193" s="2"/>
    </row>
    <row r="194" spans="1:9" ht="19.8" customHeight="1" x14ac:dyDescent="0.3">
      <c r="A194" s="133">
        <v>46006</v>
      </c>
      <c r="B194" s="75" t="s">
        <v>44</v>
      </c>
      <c r="C194" s="76" t="s">
        <v>45</v>
      </c>
      <c r="D194" s="75" t="s">
        <v>1</v>
      </c>
      <c r="E194" s="134">
        <v>1.2013888888888891</v>
      </c>
      <c r="F194" s="75" t="s">
        <v>51</v>
      </c>
      <c r="G194" s="77">
        <v>9</v>
      </c>
      <c r="H194" s="130">
        <v>539</v>
      </c>
      <c r="I194" s="2"/>
    </row>
    <row r="195" spans="1:9" ht="19.8" customHeight="1" x14ac:dyDescent="0.3">
      <c r="A195" s="133">
        <v>46006</v>
      </c>
      <c r="B195" s="75" t="s">
        <v>44</v>
      </c>
      <c r="C195" s="76" t="s">
        <v>53</v>
      </c>
      <c r="D195" s="75" t="s">
        <v>1</v>
      </c>
      <c r="E195" s="134">
        <v>1.836805555555556</v>
      </c>
      <c r="F195" s="75" t="s">
        <v>51</v>
      </c>
      <c r="G195" s="77">
        <v>9</v>
      </c>
      <c r="H195" s="130">
        <v>599</v>
      </c>
      <c r="I195" s="2"/>
    </row>
    <row r="196" spans="1:9" ht="19.8" customHeight="1" x14ac:dyDescent="0.3">
      <c r="A196" s="133">
        <v>46006</v>
      </c>
      <c r="B196" s="75" t="s">
        <v>35</v>
      </c>
      <c r="C196" s="76" t="s">
        <v>36</v>
      </c>
      <c r="D196" s="75" t="s">
        <v>1</v>
      </c>
      <c r="E196" s="134">
        <v>1.305555555555556</v>
      </c>
      <c r="F196" s="75" t="s">
        <v>42</v>
      </c>
      <c r="G196" s="77">
        <v>14</v>
      </c>
      <c r="H196" s="130">
        <v>899</v>
      </c>
      <c r="I196" s="2"/>
    </row>
    <row r="197" spans="1:9" ht="19.8" customHeight="1" x14ac:dyDescent="0.3">
      <c r="A197" s="135">
        <v>46006</v>
      </c>
      <c r="B197" s="79" t="s">
        <v>69</v>
      </c>
      <c r="C197" s="80" t="s">
        <v>70</v>
      </c>
      <c r="D197" s="79" t="s">
        <v>1</v>
      </c>
      <c r="E197" s="136">
        <v>1.305555555555556</v>
      </c>
      <c r="F197" s="79" t="s">
        <v>71</v>
      </c>
      <c r="G197" s="81">
        <v>4</v>
      </c>
      <c r="H197" s="87" t="s">
        <v>117</v>
      </c>
      <c r="I197" s="2"/>
    </row>
    <row r="198" spans="1:9" ht="19.8" customHeight="1" x14ac:dyDescent="0.3">
      <c r="A198" s="133">
        <v>46007</v>
      </c>
      <c r="B198" s="75" t="s">
        <v>35</v>
      </c>
      <c r="C198" s="76" t="s">
        <v>36</v>
      </c>
      <c r="D198" s="75" t="s">
        <v>1</v>
      </c>
      <c r="E198" s="134">
        <v>1.305555555555556</v>
      </c>
      <c r="F198" s="75" t="s">
        <v>37</v>
      </c>
      <c r="G198" s="77">
        <v>20</v>
      </c>
      <c r="H198" s="130">
        <v>309</v>
      </c>
      <c r="I198" s="2"/>
    </row>
    <row r="199" spans="1:9" ht="19.8" customHeight="1" x14ac:dyDescent="0.3">
      <c r="A199" s="133">
        <v>46007</v>
      </c>
      <c r="B199" s="75" t="s">
        <v>44</v>
      </c>
      <c r="C199" s="76" t="s">
        <v>45</v>
      </c>
      <c r="D199" s="75" t="s">
        <v>1</v>
      </c>
      <c r="E199" s="134">
        <v>1.2013888888888891</v>
      </c>
      <c r="F199" s="75" t="s">
        <v>46</v>
      </c>
      <c r="G199" s="77">
        <v>9</v>
      </c>
      <c r="H199" s="130">
        <v>349</v>
      </c>
      <c r="I199" s="2"/>
    </row>
    <row r="200" spans="1:9" ht="19.8" customHeight="1" x14ac:dyDescent="0.3">
      <c r="A200" s="133">
        <v>46007</v>
      </c>
      <c r="B200" s="75" t="s">
        <v>44</v>
      </c>
      <c r="C200" s="76" t="s">
        <v>53</v>
      </c>
      <c r="D200" s="75" t="s">
        <v>1</v>
      </c>
      <c r="E200" s="134">
        <v>1.836805555555556</v>
      </c>
      <c r="F200" s="75" t="s">
        <v>46</v>
      </c>
      <c r="G200" s="77">
        <v>8</v>
      </c>
      <c r="H200" s="130">
        <v>379</v>
      </c>
      <c r="I200" s="2"/>
    </row>
    <row r="201" spans="1:9" ht="19.8" customHeight="1" x14ac:dyDescent="0.3">
      <c r="A201" s="133">
        <v>46007</v>
      </c>
      <c r="B201" s="75" t="s">
        <v>26</v>
      </c>
      <c r="C201" s="76" t="s">
        <v>57</v>
      </c>
      <c r="D201" s="75" t="s">
        <v>1</v>
      </c>
      <c r="E201" s="134">
        <v>1.958333333333333</v>
      </c>
      <c r="F201" s="75" t="s">
        <v>28</v>
      </c>
      <c r="G201" s="77">
        <v>6</v>
      </c>
      <c r="H201" s="130">
        <v>379</v>
      </c>
      <c r="I201" s="2"/>
    </row>
    <row r="202" spans="1:9" ht="19.8" customHeight="1" x14ac:dyDescent="0.3">
      <c r="A202" s="133">
        <v>46007</v>
      </c>
      <c r="B202" s="75" t="s">
        <v>31</v>
      </c>
      <c r="C202" s="76" t="s">
        <v>32</v>
      </c>
      <c r="D202" s="75" t="s">
        <v>1</v>
      </c>
      <c r="E202" s="134">
        <v>1.864583333333333</v>
      </c>
      <c r="F202" s="75" t="s">
        <v>59</v>
      </c>
      <c r="G202" s="77">
        <v>9</v>
      </c>
      <c r="H202" s="130">
        <v>411</v>
      </c>
      <c r="I202" s="2"/>
    </row>
    <row r="203" spans="1:9" ht="19.8" customHeight="1" x14ac:dyDescent="0.3">
      <c r="A203" s="133">
        <v>46007</v>
      </c>
      <c r="B203" s="75" t="s">
        <v>31</v>
      </c>
      <c r="C203" s="76" t="s">
        <v>62</v>
      </c>
      <c r="D203" s="75" t="s">
        <v>1</v>
      </c>
      <c r="E203" s="134">
        <v>1.5277777777777779</v>
      </c>
      <c r="F203" s="75" t="s">
        <v>59</v>
      </c>
      <c r="G203" s="77">
        <v>9</v>
      </c>
      <c r="H203" s="130">
        <v>411</v>
      </c>
      <c r="I203" s="2"/>
    </row>
    <row r="204" spans="1:9" ht="19.8" customHeight="1" x14ac:dyDescent="0.3">
      <c r="A204" s="133">
        <v>46007</v>
      </c>
      <c r="B204" s="75" t="s">
        <v>31</v>
      </c>
      <c r="C204" s="76" t="s">
        <v>58</v>
      </c>
      <c r="D204" s="75" t="s">
        <v>1</v>
      </c>
      <c r="E204" s="134">
        <v>1.1701388888888891</v>
      </c>
      <c r="F204" s="75" t="s">
        <v>59</v>
      </c>
      <c r="G204" s="77">
        <v>9</v>
      </c>
      <c r="H204" s="130">
        <v>411</v>
      </c>
      <c r="I204" s="2"/>
    </row>
    <row r="205" spans="1:9" ht="19.8" customHeight="1" x14ac:dyDescent="0.3">
      <c r="A205" s="133">
        <v>46007</v>
      </c>
      <c r="B205" s="75" t="s">
        <v>44</v>
      </c>
      <c r="C205" s="76" t="s">
        <v>45</v>
      </c>
      <c r="D205" s="75" t="s">
        <v>1</v>
      </c>
      <c r="E205" s="134">
        <v>1.2013888888888891</v>
      </c>
      <c r="F205" s="75" t="s">
        <v>49</v>
      </c>
      <c r="G205" s="77">
        <v>9</v>
      </c>
      <c r="H205" s="130">
        <v>449</v>
      </c>
      <c r="I205" s="2"/>
    </row>
    <row r="206" spans="1:9" ht="19.8" customHeight="1" x14ac:dyDescent="0.3">
      <c r="A206" s="133">
        <v>46007</v>
      </c>
      <c r="B206" s="75" t="s">
        <v>35</v>
      </c>
      <c r="C206" s="76" t="s">
        <v>36</v>
      </c>
      <c r="D206" s="75" t="s">
        <v>1</v>
      </c>
      <c r="E206" s="134">
        <v>1.305555555555556</v>
      </c>
      <c r="F206" s="75" t="s">
        <v>40</v>
      </c>
      <c r="G206" s="77">
        <v>20</v>
      </c>
      <c r="H206" s="130">
        <v>459</v>
      </c>
      <c r="I206" s="2"/>
    </row>
    <row r="207" spans="1:9" ht="19.8" customHeight="1" x14ac:dyDescent="0.3">
      <c r="A207" s="133">
        <v>46007</v>
      </c>
      <c r="B207" s="75" t="s">
        <v>44</v>
      </c>
      <c r="C207" s="76" t="s">
        <v>53</v>
      </c>
      <c r="D207" s="75" t="s">
        <v>1</v>
      </c>
      <c r="E207" s="134">
        <v>1.836805555555556</v>
      </c>
      <c r="F207" s="75" t="s">
        <v>49</v>
      </c>
      <c r="G207" s="77">
        <v>8</v>
      </c>
      <c r="H207" s="130">
        <v>479</v>
      </c>
      <c r="I207" s="2"/>
    </row>
    <row r="208" spans="1:9" ht="19.8" customHeight="1" x14ac:dyDescent="0.3">
      <c r="A208" s="133">
        <v>46007</v>
      </c>
      <c r="B208" s="75" t="s">
        <v>44</v>
      </c>
      <c r="C208" s="76" t="s">
        <v>45</v>
      </c>
      <c r="D208" s="75" t="s">
        <v>1</v>
      </c>
      <c r="E208" s="134">
        <v>1.2013888888888891</v>
      </c>
      <c r="F208" s="75" t="s">
        <v>51</v>
      </c>
      <c r="G208" s="77">
        <v>9</v>
      </c>
      <c r="H208" s="130">
        <v>539</v>
      </c>
      <c r="I208" s="2"/>
    </row>
    <row r="209" spans="1:9" ht="19.8" customHeight="1" x14ac:dyDescent="0.3">
      <c r="A209" s="137">
        <v>46007</v>
      </c>
      <c r="B209" s="83" t="s">
        <v>63</v>
      </c>
      <c r="C209" s="84" t="s">
        <v>64</v>
      </c>
      <c r="D209" s="83" t="s">
        <v>1</v>
      </c>
      <c r="E209" s="138">
        <v>1.270833333333333</v>
      </c>
      <c r="F209" s="83" t="s">
        <v>28</v>
      </c>
      <c r="G209" s="85">
        <v>9</v>
      </c>
      <c r="H209" s="132">
        <v>566</v>
      </c>
      <c r="I209" s="2"/>
    </row>
    <row r="210" spans="1:9" ht="19.8" customHeight="1" x14ac:dyDescent="0.3">
      <c r="A210" s="133">
        <v>46007</v>
      </c>
      <c r="B210" s="75" t="s">
        <v>44</v>
      </c>
      <c r="C210" s="76" t="s">
        <v>53</v>
      </c>
      <c r="D210" s="75" t="s">
        <v>1</v>
      </c>
      <c r="E210" s="134">
        <v>1.836805555555556</v>
      </c>
      <c r="F210" s="75" t="s">
        <v>51</v>
      </c>
      <c r="G210" s="77">
        <v>8</v>
      </c>
      <c r="H210" s="130">
        <v>569</v>
      </c>
      <c r="I210" s="2"/>
    </row>
    <row r="211" spans="1:9" ht="19.8" customHeight="1" x14ac:dyDescent="0.3">
      <c r="A211" s="133">
        <v>46007</v>
      </c>
      <c r="B211" s="75" t="s">
        <v>35</v>
      </c>
      <c r="C211" s="76" t="s">
        <v>36</v>
      </c>
      <c r="D211" s="75" t="s">
        <v>1</v>
      </c>
      <c r="E211" s="134">
        <v>1.305555555555556</v>
      </c>
      <c r="F211" s="75" t="s">
        <v>42</v>
      </c>
      <c r="G211" s="77">
        <v>20</v>
      </c>
      <c r="H211" s="130">
        <v>899</v>
      </c>
      <c r="I211" s="2"/>
    </row>
    <row r="212" spans="1:9" ht="19.8" customHeight="1" x14ac:dyDescent="0.3">
      <c r="A212" s="135">
        <v>46007</v>
      </c>
      <c r="B212" s="79" t="s">
        <v>69</v>
      </c>
      <c r="C212" s="80" t="s">
        <v>70</v>
      </c>
      <c r="D212" s="79" t="s">
        <v>1</v>
      </c>
      <c r="E212" s="136">
        <v>1.305555555555556</v>
      </c>
      <c r="F212" s="79" t="s">
        <v>71</v>
      </c>
      <c r="G212" s="81">
        <v>4</v>
      </c>
      <c r="H212" s="87" t="s">
        <v>117</v>
      </c>
      <c r="I212" s="2"/>
    </row>
    <row r="213" spans="1:9" ht="19.8" customHeight="1" x14ac:dyDescent="0.3">
      <c r="A213" s="133">
        <v>46008</v>
      </c>
      <c r="B213" s="75" t="s">
        <v>35</v>
      </c>
      <c r="C213" s="76" t="s">
        <v>36</v>
      </c>
      <c r="D213" s="75" t="s">
        <v>1</v>
      </c>
      <c r="E213" s="134">
        <v>1.305555555555556</v>
      </c>
      <c r="F213" s="75" t="s">
        <v>37</v>
      </c>
      <c r="G213" s="77">
        <v>16</v>
      </c>
      <c r="H213" s="130">
        <v>309</v>
      </c>
      <c r="I213" s="2"/>
    </row>
    <row r="214" spans="1:9" ht="19.8" customHeight="1" x14ac:dyDescent="0.3">
      <c r="A214" s="133">
        <v>46008</v>
      </c>
      <c r="B214" s="75" t="s">
        <v>74</v>
      </c>
      <c r="C214" s="76" t="s">
        <v>75</v>
      </c>
      <c r="D214" s="75" t="s">
        <v>1</v>
      </c>
      <c r="E214" s="134">
        <v>1.9722222222222221</v>
      </c>
      <c r="F214" s="75" t="s">
        <v>76</v>
      </c>
      <c r="G214" s="77">
        <v>9</v>
      </c>
      <c r="H214" s="130">
        <v>348</v>
      </c>
      <c r="I214" s="2"/>
    </row>
    <row r="215" spans="1:9" ht="19.8" customHeight="1" x14ac:dyDescent="0.3">
      <c r="A215" s="133">
        <v>46008</v>
      </c>
      <c r="B215" s="75" t="s">
        <v>79</v>
      </c>
      <c r="C215" s="76" t="s">
        <v>80</v>
      </c>
      <c r="D215" s="75" t="s">
        <v>1</v>
      </c>
      <c r="E215" s="134">
        <v>1.0902777777777779</v>
      </c>
      <c r="F215" s="75" t="s">
        <v>28</v>
      </c>
      <c r="G215" s="77">
        <v>5</v>
      </c>
      <c r="H215" s="130">
        <v>371</v>
      </c>
      <c r="I215" s="2"/>
    </row>
    <row r="216" spans="1:9" ht="19.8" customHeight="1" x14ac:dyDescent="0.3">
      <c r="A216" s="133">
        <v>46008</v>
      </c>
      <c r="B216" s="75" t="s">
        <v>44</v>
      </c>
      <c r="C216" s="76" t="s">
        <v>53</v>
      </c>
      <c r="D216" s="75" t="s">
        <v>1</v>
      </c>
      <c r="E216" s="134">
        <v>1.850694444444444</v>
      </c>
      <c r="F216" s="75" t="s">
        <v>46</v>
      </c>
      <c r="G216" s="77">
        <v>7</v>
      </c>
      <c r="H216" s="130">
        <v>379</v>
      </c>
      <c r="I216" s="2"/>
    </row>
    <row r="217" spans="1:9" ht="19.8" customHeight="1" x14ac:dyDescent="0.3">
      <c r="A217" s="133">
        <v>46008</v>
      </c>
      <c r="B217" s="75" t="s">
        <v>26</v>
      </c>
      <c r="C217" s="76" t="s">
        <v>27</v>
      </c>
      <c r="D217" s="75" t="s">
        <v>1</v>
      </c>
      <c r="E217" s="134">
        <v>1.895833333333333</v>
      </c>
      <c r="F217" s="75" t="s">
        <v>28</v>
      </c>
      <c r="G217" s="77">
        <v>9</v>
      </c>
      <c r="H217" s="130">
        <v>379</v>
      </c>
      <c r="I217" s="2"/>
    </row>
    <row r="218" spans="1:9" ht="19.8" customHeight="1" x14ac:dyDescent="0.3">
      <c r="A218" s="133">
        <v>46008</v>
      </c>
      <c r="B218" s="75" t="s">
        <v>31</v>
      </c>
      <c r="C218" s="76" t="s">
        <v>62</v>
      </c>
      <c r="D218" s="75" t="s">
        <v>1</v>
      </c>
      <c r="E218" s="134">
        <v>1.5277777777777779</v>
      </c>
      <c r="F218" s="75" t="s">
        <v>59</v>
      </c>
      <c r="G218" s="77">
        <v>9</v>
      </c>
      <c r="H218" s="130">
        <v>411</v>
      </c>
      <c r="I218" s="2"/>
    </row>
    <row r="219" spans="1:9" ht="19.8" customHeight="1" x14ac:dyDescent="0.3">
      <c r="A219" s="133">
        <v>46008</v>
      </c>
      <c r="B219" s="75" t="s">
        <v>31</v>
      </c>
      <c r="C219" s="76" t="s">
        <v>58</v>
      </c>
      <c r="D219" s="75" t="s">
        <v>1</v>
      </c>
      <c r="E219" s="134">
        <v>1.1701388888888891</v>
      </c>
      <c r="F219" s="75" t="s">
        <v>59</v>
      </c>
      <c r="G219" s="77">
        <v>9</v>
      </c>
      <c r="H219" s="130">
        <v>411</v>
      </c>
      <c r="I219" s="2"/>
    </row>
    <row r="220" spans="1:9" ht="19.8" customHeight="1" x14ac:dyDescent="0.3">
      <c r="A220" s="133">
        <v>46008</v>
      </c>
      <c r="B220" s="75" t="s">
        <v>35</v>
      </c>
      <c r="C220" s="76" t="s">
        <v>36</v>
      </c>
      <c r="D220" s="75" t="s">
        <v>1</v>
      </c>
      <c r="E220" s="134">
        <v>1.305555555555556</v>
      </c>
      <c r="F220" s="75" t="s">
        <v>40</v>
      </c>
      <c r="G220" s="77">
        <v>16</v>
      </c>
      <c r="H220" s="130">
        <v>459</v>
      </c>
      <c r="I220" s="2"/>
    </row>
    <row r="221" spans="1:9" ht="19.8" customHeight="1" x14ac:dyDescent="0.3">
      <c r="A221" s="133">
        <v>46008</v>
      </c>
      <c r="B221" s="75" t="s">
        <v>74</v>
      </c>
      <c r="C221" s="76" t="s">
        <v>75</v>
      </c>
      <c r="D221" s="75" t="s">
        <v>1</v>
      </c>
      <c r="E221" s="134">
        <v>1.9722222222222221</v>
      </c>
      <c r="F221" s="75" t="s">
        <v>42</v>
      </c>
      <c r="G221" s="77">
        <v>9</v>
      </c>
      <c r="H221" s="130">
        <v>472</v>
      </c>
      <c r="I221" s="2"/>
    </row>
    <row r="222" spans="1:9" ht="19.8" customHeight="1" x14ac:dyDescent="0.3">
      <c r="A222" s="133">
        <v>46008</v>
      </c>
      <c r="B222" s="75" t="s">
        <v>44</v>
      </c>
      <c r="C222" s="76" t="s">
        <v>53</v>
      </c>
      <c r="D222" s="75" t="s">
        <v>1</v>
      </c>
      <c r="E222" s="134">
        <v>1.850694444444444</v>
      </c>
      <c r="F222" s="75" t="s">
        <v>49</v>
      </c>
      <c r="G222" s="77">
        <v>7</v>
      </c>
      <c r="H222" s="130">
        <v>479</v>
      </c>
      <c r="I222" s="2"/>
    </row>
    <row r="223" spans="1:9" ht="19.8" customHeight="1" x14ac:dyDescent="0.3">
      <c r="A223" s="133">
        <v>46008</v>
      </c>
      <c r="B223" s="75" t="s">
        <v>31</v>
      </c>
      <c r="C223" s="76" t="s">
        <v>32</v>
      </c>
      <c r="D223" s="75" t="s">
        <v>1</v>
      </c>
      <c r="E223" s="134">
        <v>1.864583333333333</v>
      </c>
      <c r="F223" s="75" t="s">
        <v>33</v>
      </c>
      <c r="G223" s="77">
        <v>9</v>
      </c>
      <c r="H223" s="130">
        <v>547</v>
      </c>
      <c r="I223" s="2"/>
    </row>
    <row r="224" spans="1:9" ht="19.8" customHeight="1" x14ac:dyDescent="0.3">
      <c r="A224" s="133">
        <v>46008</v>
      </c>
      <c r="B224" s="75" t="s">
        <v>44</v>
      </c>
      <c r="C224" s="76" t="s">
        <v>53</v>
      </c>
      <c r="D224" s="75" t="s">
        <v>1</v>
      </c>
      <c r="E224" s="134">
        <v>1.850694444444444</v>
      </c>
      <c r="F224" s="75" t="s">
        <v>51</v>
      </c>
      <c r="G224" s="77">
        <v>7</v>
      </c>
      <c r="H224" s="130">
        <v>569</v>
      </c>
      <c r="I224" s="2"/>
    </row>
    <row r="225" spans="1:9" ht="19.8" customHeight="1" x14ac:dyDescent="0.3">
      <c r="A225" s="133">
        <v>46008</v>
      </c>
      <c r="B225" s="75" t="s">
        <v>35</v>
      </c>
      <c r="C225" s="76" t="s">
        <v>36</v>
      </c>
      <c r="D225" s="75" t="s">
        <v>1</v>
      </c>
      <c r="E225" s="134">
        <v>1.305555555555556</v>
      </c>
      <c r="F225" s="75" t="s">
        <v>42</v>
      </c>
      <c r="G225" s="77">
        <v>16</v>
      </c>
      <c r="H225" s="130">
        <v>899</v>
      </c>
      <c r="I225" s="2"/>
    </row>
    <row r="226" spans="1:9" ht="19.8" customHeight="1" x14ac:dyDescent="0.3">
      <c r="A226" s="135">
        <v>46008</v>
      </c>
      <c r="B226" s="79" t="s">
        <v>69</v>
      </c>
      <c r="C226" s="80" t="s">
        <v>70</v>
      </c>
      <c r="D226" s="79" t="s">
        <v>1</v>
      </c>
      <c r="E226" s="136">
        <v>1.305555555555556</v>
      </c>
      <c r="F226" s="79" t="s">
        <v>71</v>
      </c>
      <c r="G226" s="81">
        <v>4</v>
      </c>
      <c r="H226" s="87" t="s">
        <v>117</v>
      </c>
      <c r="I226" s="2"/>
    </row>
    <row r="227" spans="1:9" ht="19.8" customHeight="1" x14ac:dyDescent="0.3">
      <c r="A227" s="133">
        <v>46009</v>
      </c>
      <c r="B227" s="75" t="s">
        <v>35</v>
      </c>
      <c r="C227" s="76" t="s">
        <v>36</v>
      </c>
      <c r="D227" s="75" t="s">
        <v>1</v>
      </c>
      <c r="E227" s="134">
        <v>1.305555555555556</v>
      </c>
      <c r="F227" s="75" t="s">
        <v>37</v>
      </c>
      <c r="G227" s="77">
        <v>11</v>
      </c>
      <c r="H227" s="130">
        <v>339</v>
      </c>
      <c r="I227" s="2"/>
    </row>
    <row r="228" spans="1:9" ht="19.8" customHeight="1" x14ac:dyDescent="0.3">
      <c r="A228" s="133">
        <v>46009</v>
      </c>
      <c r="B228" s="75" t="s">
        <v>44</v>
      </c>
      <c r="C228" s="76" t="s">
        <v>45</v>
      </c>
      <c r="D228" s="75" t="s">
        <v>1</v>
      </c>
      <c r="E228" s="134">
        <v>1.2013888888888891</v>
      </c>
      <c r="F228" s="75" t="s">
        <v>46</v>
      </c>
      <c r="G228" s="77">
        <v>9</v>
      </c>
      <c r="H228" s="130">
        <v>349</v>
      </c>
      <c r="I228" s="2"/>
    </row>
    <row r="229" spans="1:9" ht="19.8" customHeight="1" x14ac:dyDescent="0.3">
      <c r="A229" s="133">
        <v>46009</v>
      </c>
      <c r="B229" s="75" t="s">
        <v>31</v>
      </c>
      <c r="C229" s="76" t="s">
        <v>62</v>
      </c>
      <c r="D229" s="75" t="s">
        <v>1</v>
      </c>
      <c r="E229" s="134">
        <v>1.5277777777777779</v>
      </c>
      <c r="F229" s="75" t="s">
        <v>59</v>
      </c>
      <c r="G229" s="77">
        <v>8</v>
      </c>
      <c r="H229" s="130">
        <v>411</v>
      </c>
      <c r="I229" s="2"/>
    </row>
    <row r="230" spans="1:9" ht="19.8" customHeight="1" x14ac:dyDescent="0.3">
      <c r="A230" s="133">
        <v>46009</v>
      </c>
      <c r="B230" s="75" t="s">
        <v>31</v>
      </c>
      <c r="C230" s="76" t="s">
        <v>58</v>
      </c>
      <c r="D230" s="75" t="s">
        <v>1</v>
      </c>
      <c r="E230" s="134">
        <v>1.1701388888888891</v>
      </c>
      <c r="F230" s="75" t="s">
        <v>59</v>
      </c>
      <c r="G230" s="77">
        <v>9</v>
      </c>
      <c r="H230" s="130">
        <v>411</v>
      </c>
      <c r="I230" s="2"/>
    </row>
    <row r="231" spans="1:9" ht="19.8" customHeight="1" x14ac:dyDescent="0.3">
      <c r="A231" s="133">
        <v>46009</v>
      </c>
      <c r="B231" s="75" t="s">
        <v>79</v>
      </c>
      <c r="C231" s="76" t="s">
        <v>80</v>
      </c>
      <c r="D231" s="75" t="s">
        <v>1</v>
      </c>
      <c r="E231" s="134">
        <v>1.913194444444444</v>
      </c>
      <c r="F231" s="75" t="s">
        <v>28</v>
      </c>
      <c r="G231" s="77">
        <v>8</v>
      </c>
      <c r="H231" s="130">
        <v>425</v>
      </c>
      <c r="I231" s="2"/>
    </row>
    <row r="232" spans="1:9" ht="19.8" customHeight="1" x14ac:dyDescent="0.3">
      <c r="A232" s="133">
        <v>46009</v>
      </c>
      <c r="B232" s="75" t="s">
        <v>26</v>
      </c>
      <c r="C232" s="76" t="s">
        <v>57</v>
      </c>
      <c r="D232" s="75" t="s">
        <v>1</v>
      </c>
      <c r="E232" s="134">
        <v>1.958333333333333</v>
      </c>
      <c r="F232" s="75" t="s">
        <v>28</v>
      </c>
      <c r="G232" s="77">
        <v>9</v>
      </c>
      <c r="H232" s="130">
        <v>439</v>
      </c>
      <c r="I232" s="2"/>
    </row>
    <row r="233" spans="1:9" ht="19.8" customHeight="1" x14ac:dyDescent="0.3">
      <c r="A233" s="133">
        <v>46009</v>
      </c>
      <c r="B233" s="75" t="s">
        <v>44</v>
      </c>
      <c r="C233" s="76" t="s">
        <v>45</v>
      </c>
      <c r="D233" s="75" t="s">
        <v>1</v>
      </c>
      <c r="E233" s="134">
        <v>1.2013888888888891</v>
      </c>
      <c r="F233" s="75" t="s">
        <v>49</v>
      </c>
      <c r="G233" s="77">
        <v>9</v>
      </c>
      <c r="H233" s="130">
        <v>449</v>
      </c>
      <c r="I233" s="2"/>
    </row>
    <row r="234" spans="1:9" ht="19.8" customHeight="1" x14ac:dyDescent="0.3">
      <c r="A234" s="133">
        <v>46009</v>
      </c>
      <c r="B234" s="75" t="s">
        <v>44</v>
      </c>
      <c r="C234" s="76" t="s">
        <v>53</v>
      </c>
      <c r="D234" s="75" t="s">
        <v>1</v>
      </c>
      <c r="E234" s="134">
        <v>1.836805555555556</v>
      </c>
      <c r="F234" s="75" t="s">
        <v>46</v>
      </c>
      <c r="G234" s="77">
        <v>3</v>
      </c>
      <c r="H234" s="130">
        <v>479</v>
      </c>
      <c r="I234" s="2"/>
    </row>
    <row r="235" spans="1:9" ht="19.8" customHeight="1" x14ac:dyDescent="0.3">
      <c r="A235" s="133">
        <v>46009</v>
      </c>
      <c r="B235" s="75" t="s">
        <v>35</v>
      </c>
      <c r="C235" s="76" t="s">
        <v>36</v>
      </c>
      <c r="D235" s="75" t="s">
        <v>1</v>
      </c>
      <c r="E235" s="134">
        <v>1.305555555555556</v>
      </c>
      <c r="F235" s="75" t="s">
        <v>40</v>
      </c>
      <c r="G235" s="77">
        <v>11</v>
      </c>
      <c r="H235" s="130">
        <v>489</v>
      </c>
      <c r="I235" s="2"/>
    </row>
    <row r="236" spans="1:9" ht="19.8" customHeight="1" x14ac:dyDescent="0.3">
      <c r="A236" s="133">
        <v>46009</v>
      </c>
      <c r="B236" s="75" t="s">
        <v>44</v>
      </c>
      <c r="C236" s="76" t="s">
        <v>45</v>
      </c>
      <c r="D236" s="75" t="s">
        <v>1</v>
      </c>
      <c r="E236" s="134">
        <v>1.2013888888888891</v>
      </c>
      <c r="F236" s="75" t="s">
        <v>51</v>
      </c>
      <c r="G236" s="77">
        <v>9</v>
      </c>
      <c r="H236" s="130">
        <v>539</v>
      </c>
      <c r="I236" s="2"/>
    </row>
    <row r="237" spans="1:9" ht="19.8" customHeight="1" x14ac:dyDescent="0.3">
      <c r="A237" s="137">
        <v>46009</v>
      </c>
      <c r="B237" s="83" t="s">
        <v>63</v>
      </c>
      <c r="C237" s="84" t="s">
        <v>64</v>
      </c>
      <c r="D237" s="83" t="s">
        <v>1</v>
      </c>
      <c r="E237" s="138">
        <v>1.9236111111111109</v>
      </c>
      <c r="F237" s="83" t="s">
        <v>28</v>
      </c>
      <c r="G237" s="85">
        <v>9</v>
      </c>
      <c r="H237" s="132">
        <v>566</v>
      </c>
      <c r="I237" s="2"/>
    </row>
    <row r="238" spans="1:9" ht="19.8" customHeight="1" x14ac:dyDescent="0.3">
      <c r="A238" s="133">
        <v>46009</v>
      </c>
      <c r="B238" s="75" t="s">
        <v>44</v>
      </c>
      <c r="C238" s="76" t="s">
        <v>53</v>
      </c>
      <c r="D238" s="75" t="s">
        <v>1</v>
      </c>
      <c r="E238" s="134">
        <v>1.836805555555556</v>
      </c>
      <c r="F238" s="75" t="s">
        <v>49</v>
      </c>
      <c r="G238" s="77">
        <v>3</v>
      </c>
      <c r="H238" s="130">
        <v>579</v>
      </c>
      <c r="I238" s="2"/>
    </row>
    <row r="239" spans="1:9" ht="19.8" customHeight="1" x14ac:dyDescent="0.3">
      <c r="A239" s="133">
        <v>46009</v>
      </c>
      <c r="B239" s="75" t="s">
        <v>31</v>
      </c>
      <c r="C239" s="76" t="s">
        <v>32</v>
      </c>
      <c r="D239" s="75" t="s">
        <v>1</v>
      </c>
      <c r="E239" s="134">
        <v>1.864583333333333</v>
      </c>
      <c r="F239" s="75" t="s">
        <v>33</v>
      </c>
      <c r="G239" s="77">
        <v>9</v>
      </c>
      <c r="H239" s="130">
        <v>592</v>
      </c>
      <c r="I239" s="2"/>
    </row>
    <row r="240" spans="1:9" ht="19.8" customHeight="1" x14ac:dyDescent="0.3">
      <c r="A240" s="133">
        <v>46009</v>
      </c>
      <c r="B240" s="75" t="s">
        <v>44</v>
      </c>
      <c r="C240" s="76" t="s">
        <v>53</v>
      </c>
      <c r="D240" s="75" t="s">
        <v>1</v>
      </c>
      <c r="E240" s="134">
        <v>1.836805555555556</v>
      </c>
      <c r="F240" s="75" t="s">
        <v>51</v>
      </c>
      <c r="G240" s="77">
        <v>3</v>
      </c>
      <c r="H240" s="130">
        <v>669</v>
      </c>
      <c r="I240" s="2"/>
    </row>
    <row r="241" spans="1:9" ht="19.8" customHeight="1" x14ac:dyDescent="0.3">
      <c r="A241" s="133">
        <v>46009</v>
      </c>
      <c r="B241" s="75" t="s">
        <v>35</v>
      </c>
      <c r="C241" s="76" t="s">
        <v>36</v>
      </c>
      <c r="D241" s="75" t="s">
        <v>1</v>
      </c>
      <c r="E241" s="134">
        <v>1.305555555555556</v>
      </c>
      <c r="F241" s="75" t="s">
        <v>42</v>
      </c>
      <c r="G241" s="77">
        <v>11</v>
      </c>
      <c r="H241" s="130">
        <v>899</v>
      </c>
      <c r="I241" s="2"/>
    </row>
    <row r="242" spans="1:9" ht="19.8" customHeight="1" x14ac:dyDescent="0.3">
      <c r="A242" s="135">
        <v>46009</v>
      </c>
      <c r="B242" s="79" t="s">
        <v>69</v>
      </c>
      <c r="C242" s="80" t="s">
        <v>70</v>
      </c>
      <c r="D242" s="79" t="s">
        <v>1</v>
      </c>
      <c r="E242" s="136">
        <v>1.305555555555556</v>
      </c>
      <c r="F242" s="79" t="s">
        <v>71</v>
      </c>
      <c r="G242" s="81">
        <v>4</v>
      </c>
      <c r="H242" s="87" t="s">
        <v>73</v>
      </c>
      <c r="I242" s="2"/>
    </row>
    <row r="243" spans="1:9" ht="19.8" customHeight="1" x14ac:dyDescent="0.3">
      <c r="A243" s="133">
        <v>46010</v>
      </c>
      <c r="B243" s="75" t="s">
        <v>35</v>
      </c>
      <c r="C243" s="76" t="s">
        <v>36</v>
      </c>
      <c r="D243" s="75" t="s">
        <v>1</v>
      </c>
      <c r="E243" s="134">
        <v>1.305555555555556</v>
      </c>
      <c r="F243" s="75" t="s">
        <v>37</v>
      </c>
      <c r="G243" s="77">
        <v>16</v>
      </c>
      <c r="H243" s="130">
        <v>309</v>
      </c>
      <c r="I243" s="2"/>
    </row>
    <row r="244" spans="1:9" ht="19.8" customHeight="1" x14ac:dyDescent="0.3">
      <c r="A244" s="133">
        <v>46010</v>
      </c>
      <c r="B244" s="75" t="s">
        <v>44</v>
      </c>
      <c r="C244" s="76" t="s">
        <v>53</v>
      </c>
      <c r="D244" s="75" t="s">
        <v>1</v>
      </c>
      <c r="E244" s="134">
        <v>1.836805555555556</v>
      </c>
      <c r="F244" s="75" t="s">
        <v>46</v>
      </c>
      <c r="G244" s="77">
        <v>8</v>
      </c>
      <c r="H244" s="130">
        <v>349</v>
      </c>
      <c r="I244" s="2"/>
    </row>
    <row r="245" spans="1:9" ht="19.8" customHeight="1" x14ac:dyDescent="0.3">
      <c r="A245" s="133">
        <v>46010</v>
      </c>
      <c r="B245" s="75" t="s">
        <v>31</v>
      </c>
      <c r="C245" s="76" t="s">
        <v>32</v>
      </c>
      <c r="D245" s="75" t="s">
        <v>1</v>
      </c>
      <c r="E245" s="134">
        <v>1.864583333333333</v>
      </c>
      <c r="F245" s="75" t="s">
        <v>59</v>
      </c>
      <c r="G245" s="77">
        <v>9</v>
      </c>
      <c r="H245" s="130">
        <v>411</v>
      </c>
      <c r="I245" s="2"/>
    </row>
    <row r="246" spans="1:9" ht="19.8" customHeight="1" x14ac:dyDescent="0.3">
      <c r="A246" s="133">
        <v>46010</v>
      </c>
      <c r="B246" s="75" t="s">
        <v>31</v>
      </c>
      <c r="C246" s="76" t="s">
        <v>58</v>
      </c>
      <c r="D246" s="75" t="s">
        <v>1</v>
      </c>
      <c r="E246" s="134">
        <v>1.1701388888888891</v>
      </c>
      <c r="F246" s="75" t="s">
        <v>59</v>
      </c>
      <c r="G246" s="77">
        <v>9</v>
      </c>
      <c r="H246" s="130">
        <v>411</v>
      </c>
      <c r="I246" s="2"/>
    </row>
    <row r="247" spans="1:9" ht="19.8" customHeight="1" x14ac:dyDescent="0.3">
      <c r="A247" s="133">
        <v>46010</v>
      </c>
      <c r="B247" s="75" t="s">
        <v>26</v>
      </c>
      <c r="C247" s="76" t="s">
        <v>27</v>
      </c>
      <c r="D247" s="75" t="s">
        <v>1</v>
      </c>
      <c r="E247" s="134">
        <v>1.958333333333333</v>
      </c>
      <c r="F247" s="75" t="s">
        <v>28</v>
      </c>
      <c r="G247" s="77">
        <v>6</v>
      </c>
      <c r="H247" s="130">
        <v>439</v>
      </c>
      <c r="I247" s="2"/>
    </row>
    <row r="248" spans="1:9" ht="19.8" customHeight="1" x14ac:dyDescent="0.3">
      <c r="A248" s="133">
        <v>46010</v>
      </c>
      <c r="B248" s="75" t="s">
        <v>44</v>
      </c>
      <c r="C248" s="76" t="s">
        <v>53</v>
      </c>
      <c r="D248" s="75" t="s">
        <v>1</v>
      </c>
      <c r="E248" s="134">
        <v>1.836805555555556</v>
      </c>
      <c r="F248" s="75" t="s">
        <v>49</v>
      </c>
      <c r="G248" s="77">
        <v>8</v>
      </c>
      <c r="H248" s="130">
        <v>449</v>
      </c>
      <c r="I248" s="2"/>
    </row>
    <row r="249" spans="1:9" ht="19.8" customHeight="1" x14ac:dyDescent="0.3">
      <c r="A249" s="133">
        <v>46010</v>
      </c>
      <c r="B249" s="75" t="s">
        <v>35</v>
      </c>
      <c r="C249" s="76" t="s">
        <v>36</v>
      </c>
      <c r="D249" s="75" t="s">
        <v>1</v>
      </c>
      <c r="E249" s="134">
        <v>1.305555555555556</v>
      </c>
      <c r="F249" s="75" t="s">
        <v>40</v>
      </c>
      <c r="G249" s="77">
        <v>16</v>
      </c>
      <c r="H249" s="130">
        <v>459</v>
      </c>
      <c r="I249" s="2"/>
    </row>
    <row r="250" spans="1:9" ht="19.8" customHeight="1" x14ac:dyDescent="0.3">
      <c r="A250" s="133">
        <v>46010</v>
      </c>
      <c r="B250" s="75" t="s">
        <v>44</v>
      </c>
      <c r="C250" s="76" t="s">
        <v>53</v>
      </c>
      <c r="D250" s="75" t="s">
        <v>1</v>
      </c>
      <c r="E250" s="134">
        <v>1.836805555555556</v>
      </c>
      <c r="F250" s="75" t="s">
        <v>51</v>
      </c>
      <c r="G250" s="77">
        <v>8</v>
      </c>
      <c r="H250" s="130">
        <v>539</v>
      </c>
      <c r="I250" s="2"/>
    </row>
    <row r="251" spans="1:9" ht="19.8" customHeight="1" x14ac:dyDescent="0.3">
      <c r="A251" s="133">
        <v>46010</v>
      </c>
      <c r="B251" s="75" t="s">
        <v>31</v>
      </c>
      <c r="C251" s="76" t="s">
        <v>62</v>
      </c>
      <c r="D251" s="75" t="s">
        <v>1</v>
      </c>
      <c r="E251" s="134">
        <v>1.5277777777777779</v>
      </c>
      <c r="F251" s="75" t="s">
        <v>33</v>
      </c>
      <c r="G251" s="77">
        <v>9</v>
      </c>
      <c r="H251" s="130">
        <v>551</v>
      </c>
      <c r="I251" s="2"/>
    </row>
    <row r="252" spans="1:9" ht="19.8" customHeight="1" x14ac:dyDescent="0.3">
      <c r="A252" s="137">
        <v>46010</v>
      </c>
      <c r="B252" s="83" t="s">
        <v>63</v>
      </c>
      <c r="C252" s="84" t="s">
        <v>64</v>
      </c>
      <c r="D252" s="83" t="s">
        <v>1</v>
      </c>
      <c r="E252" s="138">
        <v>1.5798611111111109</v>
      </c>
      <c r="F252" s="83" t="s">
        <v>28</v>
      </c>
      <c r="G252" s="85">
        <v>9</v>
      </c>
      <c r="H252" s="132">
        <v>626</v>
      </c>
      <c r="I252" s="2"/>
    </row>
    <row r="253" spans="1:9" ht="19.8" customHeight="1" x14ac:dyDescent="0.3">
      <c r="A253" s="133">
        <v>46010</v>
      </c>
      <c r="B253" s="75" t="s">
        <v>69</v>
      </c>
      <c r="C253" s="76" t="s">
        <v>70</v>
      </c>
      <c r="D253" s="75" t="s">
        <v>1</v>
      </c>
      <c r="E253" s="134">
        <v>1.305555555555556</v>
      </c>
      <c r="F253" s="75" t="s">
        <v>71</v>
      </c>
      <c r="G253" s="77">
        <v>4</v>
      </c>
      <c r="H253" s="86" t="s">
        <v>117</v>
      </c>
      <c r="I253" s="2"/>
    </row>
    <row r="254" spans="1:9" ht="19.8" customHeight="1" x14ac:dyDescent="0.3">
      <c r="A254" s="135">
        <v>46010</v>
      </c>
      <c r="B254" s="79" t="s">
        <v>35</v>
      </c>
      <c r="C254" s="80" t="s">
        <v>36</v>
      </c>
      <c r="D254" s="79" t="s">
        <v>1</v>
      </c>
      <c r="E254" s="136">
        <v>1.305555555555556</v>
      </c>
      <c r="F254" s="79" t="s">
        <v>42</v>
      </c>
      <c r="G254" s="81">
        <v>16</v>
      </c>
      <c r="H254" s="87" t="s">
        <v>43</v>
      </c>
      <c r="I254" s="2"/>
    </row>
    <row r="255" spans="1:9" ht="19.8" customHeight="1" x14ac:dyDescent="0.3">
      <c r="A255" s="133">
        <v>46011</v>
      </c>
      <c r="B255" s="75" t="s">
        <v>35</v>
      </c>
      <c r="C255" s="76" t="s">
        <v>36</v>
      </c>
      <c r="D255" s="75" t="s">
        <v>1</v>
      </c>
      <c r="E255" s="134">
        <v>1.305555555555556</v>
      </c>
      <c r="F255" s="75" t="s">
        <v>37</v>
      </c>
      <c r="G255" s="77">
        <v>20</v>
      </c>
      <c r="H255" s="130">
        <v>309</v>
      </c>
      <c r="I255" s="2"/>
    </row>
    <row r="256" spans="1:9" ht="19.8" customHeight="1" x14ac:dyDescent="0.3">
      <c r="A256" s="133">
        <v>46011</v>
      </c>
      <c r="B256" s="75" t="s">
        <v>44</v>
      </c>
      <c r="C256" s="76" t="s">
        <v>53</v>
      </c>
      <c r="D256" s="75" t="s">
        <v>1</v>
      </c>
      <c r="E256" s="134">
        <v>1.836805555555556</v>
      </c>
      <c r="F256" s="75" t="s">
        <v>46</v>
      </c>
      <c r="G256" s="77">
        <v>9</v>
      </c>
      <c r="H256" s="130">
        <v>349</v>
      </c>
      <c r="I256" s="2"/>
    </row>
    <row r="257" spans="1:9" ht="19.8" customHeight="1" x14ac:dyDescent="0.3">
      <c r="A257" s="133">
        <v>46011</v>
      </c>
      <c r="B257" s="75" t="s">
        <v>44</v>
      </c>
      <c r="C257" s="76" t="s">
        <v>45</v>
      </c>
      <c r="D257" s="75" t="s">
        <v>1</v>
      </c>
      <c r="E257" s="134">
        <v>1.2013888888888891</v>
      </c>
      <c r="F257" s="75" t="s">
        <v>46</v>
      </c>
      <c r="G257" s="77">
        <v>9</v>
      </c>
      <c r="H257" s="130">
        <v>349</v>
      </c>
      <c r="I257" s="2"/>
    </row>
    <row r="258" spans="1:9" ht="19.8" customHeight="1" x14ac:dyDescent="0.3">
      <c r="A258" s="133">
        <v>46011</v>
      </c>
      <c r="B258" s="75" t="s">
        <v>74</v>
      </c>
      <c r="C258" s="76" t="s">
        <v>75</v>
      </c>
      <c r="D258" s="75" t="s">
        <v>1</v>
      </c>
      <c r="E258" s="134">
        <v>1.9722222222222221</v>
      </c>
      <c r="F258" s="75" t="s">
        <v>76</v>
      </c>
      <c r="G258" s="77">
        <v>9</v>
      </c>
      <c r="H258" s="130">
        <v>354</v>
      </c>
      <c r="I258" s="2"/>
    </row>
    <row r="259" spans="1:9" ht="19.8" customHeight="1" x14ac:dyDescent="0.3">
      <c r="A259" s="133">
        <v>46011</v>
      </c>
      <c r="B259" s="75" t="s">
        <v>31</v>
      </c>
      <c r="C259" s="76" t="s">
        <v>32</v>
      </c>
      <c r="D259" s="75" t="s">
        <v>1</v>
      </c>
      <c r="E259" s="134">
        <v>1.864583333333333</v>
      </c>
      <c r="F259" s="75" t="s">
        <v>59</v>
      </c>
      <c r="G259" s="77">
        <v>9</v>
      </c>
      <c r="H259" s="130">
        <v>411</v>
      </c>
      <c r="I259" s="2"/>
    </row>
    <row r="260" spans="1:9" ht="19.8" customHeight="1" x14ac:dyDescent="0.3">
      <c r="A260" s="133">
        <v>46011</v>
      </c>
      <c r="B260" s="75" t="s">
        <v>31</v>
      </c>
      <c r="C260" s="76" t="s">
        <v>62</v>
      </c>
      <c r="D260" s="75" t="s">
        <v>1</v>
      </c>
      <c r="E260" s="134">
        <v>1.5277777777777779</v>
      </c>
      <c r="F260" s="75" t="s">
        <v>59</v>
      </c>
      <c r="G260" s="77">
        <v>9</v>
      </c>
      <c r="H260" s="130">
        <v>411</v>
      </c>
      <c r="I260" s="2"/>
    </row>
    <row r="261" spans="1:9" ht="19.8" customHeight="1" x14ac:dyDescent="0.3">
      <c r="A261" s="133">
        <v>46011</v>
      </c>
      <c r="B261" s="75" t="s">
        <v>31</v>
      </c>
      <c r="C261" s="76" t="s">
        <v>58</v>
      </c>
      <c r="D261" s="75" t="s">
        <v>1</v>
      </c>
      <c r="E261" s="134">
        <v>1.1701388888888891</v>
      </c>
      <c r="F261" s="75" t="s">
        <v>59</v>
      </c>
      <c r="G261" s="77">
        <v>9</v>
      </c>
      <c r="H261" s="130">
        <v>411</v>
      </c>
      <c r="I261" s="2"/>
    </row>
    <row r="262" spans="1:9" ht="19.8" customHeight="1" x14ac:dyDescent="0.3">
      <c r="A262" s="133">
        <v>46011</v>
      </c>
      <c r="B262" s="75" t="s">
        <v>26</v>
      </c>
      <c r="C262" s="76" t="s">
        <v>57</v>
      </c>
      <c r="D262" s="75" t="s">
        <v>1</v>
      </c>
      <c r="E262" s="134">
        <v>1.895833333333333</v>
      </c>
      <c r="F262" s="75" t="s">
        <v>28</v>
      </c>
      <c r="G262" s="77">
        <v>9</v>
      </c>
      <c r="H262" s="130">
        <v>439</v>
      </c>
      <c r="I262" s="2"/>
    </row>
    <row r="263" spans="1:9" ht="19.8" customHeight="1" x14ac:dyDescent="0.3">
      <c r="A263" s="133">
        <v>46011</v>
      </c>
      <c r="B263" s="75" t="s">
        <v>44</v>
      </c>
      <c r="C263" s="76" t="s">
        <v>53</v>
      </c>
      <c r="D263" s="75" t="s">
        <v>1</v>
      </c>
      <c r="E263" s="134">
        <v>1.836805555555556</v>
      </c>
      <c r="F263" s="75" t="s">
        <v>49</v>
      </c>
      <c r="G263" s="77">
        <v>9</v>
      </c>
      <c r="H263" s="130">
        <v>449</v>
      </c>
      <c r="I263" s="2"/>
    </row>
    <row r="264" spans="1:9" ht="19.8" customHeight="1" x14ac:dyDescent="0.3">
      <c r="A264" s="133">
        <v>46011</v>
      </c>
      <c r="B264" s="75" t="s">
        <v>44</v>
      </c>
      <c r="C264" s="76" t="s">
        <v>45</v>
      </c>
      <c r="D264" s="75" t="s">
        <v>1</v>
      </c>
      <c r="E264" s="134">
        <v>1.2013888888888891</v>
      </c>
      <c r="F264" s="75" t="s">
        <v>49</v>
      </c>
      <c r="G264" s="77">
        <v>9</v>
      </c>
      <c r="H264" s="130">
        <v>449</v>
      </c>
      <c r="I264" s="2"/>
    </row>
    <row r="265" spans="1:9" ht="19.8" customHeight="1" x14ac:dyDescent="0.3">
      <c r="A265" s="133">
        <v>46011</v>
      </c>
      <c r="B265" s="75" t="s">
        <v>35</v>
      </c>
      <c r="C265" s="76" t="s">
        <v>36</v>
      </c>
      <c r="D265" s="75" t="s">
        <v>1</v>
      </c>
      <c r="E265" s="134">
        <v>1.305555555555556</v>
      </c>
      <c r="F265" s="75" t="s">
        <v>40</v>
      </c>
      <c r="G265" s="77">
        <v>20</v>
      </c>
      <c r="H265" s="130">
        <v>459</v>
      </c>
      <c r="I265" s="2"/>
    </row>
    <row r="266" spans="1:9" ht="19.8" customHeight="1" x14ac:dyDescent="0.3">
      <c r="A266" s="133">
        <v>46011</v>
      </c>
      <c r="B266" s="75" t="s">
        <v>74</v>
      </c>
      <c r="C266" s="76" t="s">
        <v>75</v>
      </c>
      <c r="D266" s="75" t="s">
        <v>1</v>
      </c>
      <c r="E266" s="134">
        <v>1.9722222222222221</v>
      </c>
      <c r="F266" s="75" t="s">
        <v>42</v>
      </c>
      <c r="G266" s="77">
        <v>9</v>
      </c>
      <c r="H266" s="130">
        <v>477</v>
      </c>
      <c r="I266" s="2"/>
    </row>
    <row r="267" spans="1:9" ht="19.8" customHeight="1" x14ac:dyDescent="0.3">
      <c r="A267" s="133">
        <v>46011</v>
      </c>
      <c r="B267" s="75" t="s">
        <v>44</v>
      </c>
      <c r="C267" s="76" t="s">
        <v>53</v>
      </c>
      <c r="D267" s="75" t="s">
        <v>1</v>
      </c>
      <c r="E267" s="134">
        <v>1.836805555555556</v>
      </c>
      <c r="F267" s="75" t="s">
        <v>51</v>
      </c>
      <c r="G267" s="77">
        <v>9</v>
      </c>
      <c r="H267" s="130">
        <v>539</v>
      </c>
      <c r="I267" s="2"/>
    </row>
    <row r="268" spans="1:9" ht="19.8" customHeight="1" x14ac:dyDescent="0.3">
      <c r="A268" s="133">
        <v>46011</v>
      </c>
      <c r="B268" s="75" t="s">
        <v>44</v>
      </c>
      <c r="C268" s="76" t="s">
        <v>45</v>
      </c>
      <c r="D268" s="75" t="s">
        <v>1</v>
      </c>
      <c r="E268" s="134">
        <v>1.2013888888888891</v>
      </c>
      <c r="F268" s="75" t="s">
        <v>51</v>
      </c>
      <c r="G268" s="77">
        <v>9</v>
      </c>
      <c r="H268" s="130">
        <v>539</v>
      </c>
      <c r="I268" s="2"/>
    </row>
    <row r="269" spans="1:9" ht="19.8" customHeight="1" x14ac:dyDescent="0.3">
      <c r="A269" s="137">
        <v>46011</v>
      </c>
      <c r="B269" s="83" t="s">
        <v>63</v>
      </c>
      <c r="C269" s="84" t="s">
        <v>64</v>
      </c>
      <c r="D269" s="83" t="s">
        <v>1</v>
      </c>
      <c r="E269" s="138">
        <v>1.9236111111111109</v>
      </c>
      <c r="F269" s="83" t="s">
        <v>28</v>
      </c>
      <c r="G269" s="85">
        <v>9</v>
      </c>
      <c r="H269" s="132">
        <v>566</v>
      </c>
      <c r="I269" s="2"/>
    </row>
    <row r="270" spans="1:9" ht="19.8" customHeight="1" x14ac:dyDescent="0.3">
      <c r="A270" s="133">
        <v>46011</v>
      </c>
      <c r="B270" s="75" t="s">
        <v>69</v>
      </c>
      <c r="C270" s="76" t="s">
        <v>70</v>
      </c>
      <c r="D270" s="75" t="s">
        <v>1</v>
      </c>
      <c r="E270" s="134">
        <v>1.305555555555556</v>
      </c>
      <c r="F270" s="75" t="s">
        <v>71</v>
      </c>
      <c r="G270" s="77">
        <v>4</v>
      </c>
      <c r="H270" s="86" t="s">
        <v>117</v>
      </c>
      <c r="I270" s="2"/>
    </row>
    <row r="271" spans="1:9" ht="19.8" customHeight="1" x14ac:dyDescent="0.3">
      <c r="A271" s="135">
        <v>46011</v>
      </c>
      <c r="B271" s="79" t="s">
        <v>35</v>
      </c>
      <c r="C271" s="80" t="s">
        <v>36</v>
      </c>
      <c r="D271" s="79" t="s">
        <v>1</v>
      </c>
      <c r="E271" s="136">
        <v>1.305555555555556</v>
      </c>
      <c r="F271" s="79" t="s">
        <v>42</v>
      </c>
      <c r="G271" s="81">
        <v>20</v>
      </c>
      <c r="H271" s="87" t="s">
        <v>43</v>
      </c>
      <c r="I271" s="2"/>
    </row>
    <row r="272" spans="1:9" ht="19.8" customHeight="1" x14ac:dyDescent="0.3">
      <c r="A272" s="133">
        <v>46012</v>
      </c>
      <c r="B272" s="75" t="s">
        <v>35</v>
      </c>
      <c r="C272" s="76" t="s">
        <v>36</v>
      </c>
      <c r="D272" s="75" t="s">
        <v>1</v>
      </c>
      <c r="E272" s="134">
        <v>1.305555555555556</v>
      </c>
      <c r="F272" s="75" t="s">
        <v>37</v>
      </c>
      <c r="G272" s="77">
        <v>19</v>
      </c>
      <c r="H272" s="130">
        <v>309</v>
      </c>
      <c r="I272" s="2"/>
    </row>
    <row r="273" spans="1:9" ht="19.8" customHeight="1" x14ac:dyDescent="0.3">
      <c r="A273" s="133">
        <v>46012</v>
      </c>
      <c r="B273" s="75" t="s">
        <v>44</v>
      </c>
      <c r="C273" s="76" t="s">
        <v>53</v>
      </c>
      <c r="D273" s="75" t="s">
        <v>1</v>
      </c>
      <c r="E273" s="134">
        <v>1.850694444444444</v>
      </c>
      <c r="F273" s="75" t="s">
        <v>46</v>
      </c>
      <c r="G273" s="77">
        <v>9</v>
      </c>
      <c r="H273" s="130">
        <v>349</v>
      </c>
      <c r="I273" s="2"/>
    </row>
    <row r="274" spans="1:9" ht="19.8" customHeight="1" x14ac:dyDescent="0.3">
      <c r="A274" s="133">
        <v>46012</v>
      </c>
      <c r="B274" s="75" t="s">
        <v>31</v>
      </c>
      <c r="C274" s="76" t="s">
        <v>32</v>
      </c>
      <c r="D274" s="75" t="s">
        <v>1</v>
      </c>
      <c r="E274" s="134">
        <v>1.864583333333333</v>
      </c>
      <c r="F274" s="75" t="s">
        <v>59</v>
      </c>
      <c r="G274" s="77">
        <v>9</v>
      </c>
      <c r="H274" s="130">
        <v>411</v>
      </c>
      <c r="I274" s="2"/>
    </row>
    <row r="275" spans="1:9" ht="19.8" customHeight="1" x14ac:dyDescent="0.3">
      <c r="A275" s="133">
        <v>46012</v>
      </c>
      <c r="B275" s="75" t="s">
        <v>31</v>
      </c>
      <c r="C275" s="76" t="s">
        <v>62</v>
      </c>
      <c r="D275" s="75" t="s">
        <v>1</v>
      </c>
      <c r="E275" s="134">
        <v>1.5277777777777779</v>
      </c>
      <c r="F275" s="75" t="s">
        <v>59</v>
      </c>
      <c r="G275" s="77">
        <v>9</v>
      </c>
      <c r="H275" s="130">
        <v>411</v>
      </c>
      <c r="I275" s="2"/>
    </row>
    <row r="276" spans="1:9" ht="19.8" customHeight="1" x14ac:dyDescent="0.3">
      <c r="A276" s="133">
        <v>46012</v>
      </c>
      <c r="B276" s="75" t="s">
        <v>31</v>
      </c>
      <c r="C276" s="76" t="s">
        <v>58</v>
      </c>
      <c r="D276" s="75" t="s">
        <v>1</v>
      </c>
      <c r="E276" s="134">
        <v>1.1701388888888891</v>
      </c>
      <c r="F276" s="75" t="s">
        <v>59</v>
      </c>
      <c r="G276" s="77">
        <v>9</v>
      </c>
      <c r="H276" s="130">
        <v>411</v>
      </c>
      <c r="I276" s="2"/>
    </row>
    <row r="277" spans="1:9" ht="19.8" customHeight="1" x14ac:dyDescent="0.3">
      <c r="A277" s="133">
        <v>46012</v>
      </c>
      <c r="B277" s="75" t="s">
        <v>26</v>
      </c>
      <c r="C277" s="76" t="s">
        <v>93</v>
      </c>
      <c r="D277" s="75" t="s">
        <v>1</v>
      </c>
      <c r="E277" s="134">
        <v>1.958333333333333</v>
      </c>
      <c r="F277" s="75" t="s">
        <v>28</v>
      </c>
      <c r="G277" s="77">
        <v>9</v>
      </c>
      <c r="H277" s="130">
        <v>439</v>
      </c>
      <c r="I277" s="2"/>
    </row>
    <row r="278" spans="1:9" ht="19.8" customHeight="1" x14ac:dyDescent="0.3">
      <c r="A278" s="133">
        <v>46012</v>
      </c>
      <c r="B278" s="75" t="s">
        <v>44</v>
      </c>
      <c r="C278" s="76" t="s">
        <v>53</v>
      </c>
      <c r="D278" s="75" t="s">
        <v>1</v>
      </c>
      <c r="E278" s="134">
        <v>1.850694444444444</v>
      </c>
      <c r="F278" s="75" t="s">
        <v>49</v>
      </c>
      <c r="G278" s="77">
        <v>9</v>
      </c>
      <c r="H278" s="130">
        <v>449</v>
      </c>
      <c r="I278" s="2"/>
    </row>
    <row r="279" spans="1:9" ht="19.8" customHeight="1" x14ac:dyDescent="0.3">
      <c r="A279" s="133">
        <v>46012</v>
      </c>
      <c r="B279" s="75" t="s">
        <v>35</v>
      </c>
      <c r="C279" s="76" t="s">
        <v>36</v>
      </c>
      <c r="D279" s="75" t="s">
        <v>1</v>
      </c>
      <c r="E279" s="134">
        <v>1.305555555555556</v>
      </c>
      <c r="F279" s="75" t="s">
        <v>40</v>
      </c>
      <c r="G279" s="77">
        <v>19</v>
      </c>
      <c r="H279" s="130">
        <v>459</v>
      </c>
      <c r="I279" s="2"/>
    </row>
    <row r="280" spans="1:9" ht="19.8" customHeight="1" x14ac:dyDescent="0.3">
      <c r="A280" s="133">
        <v>46012</v>
      </c>
      <c r="B280" s="75" t="s">
        <v>44</v>
      </c>
      <c r="C280" s="76" t="s">
        <v>53</v>
      </c>
      <c r="D280" s="75" t="s">
        <v>1</v>
      </c>
      <c r="E280" s="134">
        <v>1.850694444444444</v>
      </c>
      <c r="F280" s="75" t="s">
        <v>51</v>
      </c>
      <c r="G280" s="77">
        <v>9</v>
      </c>
      <c r="H280" s="130">
        <v>539</v>
      </c>
      <c r="I280" s="2"/>
    </row>
    <row r="281" spans="1:9" ht="19.8" customHeight="1" x14ac:dyDescent="0.3">
      <c r="A281" s="133">
        <v>46012</v>
      </c>
      <c r="B281" s="75" t="s">
        <v>35</v>
      </c>
      <c r="C281" s="76" t="s">
        <v>36</v>
      </c>
      <c r="D281" s="75" t="s">
        <v>1</v>
      </c>
      <c r="E281" s="134">
        <v>1.305555555555556</v>
      </c>
      <c r="F281" s="75" t="s">
        <v>42</v>
      </c>
      <c r="G281" s="77">
        <v>19</v>
      </c>
      <c r="H281" s="130">
        <v>899</v>
      </c>
      <c r="I281" s="2"/>
    </row>
    <row r="282" spans="1:9" ht="19.8" customHeight="1" x14ac:dyDescent="0.3">
      <c r="A282" s="135">
        <v>46012</v>
      </c>
      <c r="B282" s="79" t="s">
        <v>69</v>
      </c>
      <c r="C282" s="80" t="s">
        <v>70</v>
      </c>
      <c r="D282" s="79" t="s">
        <v>1</v>
      </c>
      <c r="E282" s="136">
        <v>1.305555555555556</v>
      </c>
      <c r="F282" s="79" t="s">
        <v>71</v>
      </c>
      <c r="G282" s="81">
        <v>4</v>
      </c>
      <c r="H282" s="87" t="s">
        <v>117</v>
      </c>
      <c r="I282" s="2"/>
    </row>
    <row r="283" spans="1:9" ht="19.8" customHeight="1" x14ac:dyDescent="0.3">
      <c r="A283" s="133">
        <v>46013</v>
      </c>
      <c r="B283" s="75" t="s">
        <v>35</v>
      </c>
      <c r="C283" s="76" t="s">
        <v>36</v>
      </c>
      <c r="D283" s="75" t="s">
        <v>1</v>
      </c>
      <c r="E283" s="134">
        <v>1.305555555555556</v>
      </c>
      <c r="F283" s="75" t="s">
        <v>37</v>
      </c>
      <c r="G283" s="77">
        <v>19</v>
      </c>
      <c r="H283" s="130">
        <v>309</v>
      </c>
      <c r="I283" s="2"/>
    </row>
    <row r="284" spans="1:9" ht="19.8" customHeight="1" x14ac:dyDescent="0.3">
      <c r="A284" s="133">
        <v>46013</v>
      </c>
      <c r="B284" s="75" t="s">
        <v>44</v>
      </c>
      <c r="C284" s="76" t="s">
        <v>53</v>
      </c>
      <c r="D284" s="75" t="s">
        <v>1</v>
      </c>
      <c r="E284" s="134">
        <v>1.836805555555556</v>
      </c>
      <c r="F284" s="75" t="s">
        <v>46</v>
      </c>
      <c r="G284" s="77">
        <v>9</v>
      </c>
      <c r="H284" s="130">
        <v>349</v>
      </c>
      <c r="I284" s="2"/>
    </row>
    <row r="285" spans="1:9" ht="19.8" customHeight="1" x14ac:dyDescent="0.3">
      <c r="A285" s="133">
        <v>46013</v>
      </c>
      <c r="B285" s="75" t="s">
        <v>44</v>
      </c>
      <c r="C285" s="76" t="s">
        <v>45</v>
      </c>
      <c r="D285" s="75" t="s">
        <v>1</v>
      </c>
      <c r="E285" s="134">
        <v>1.2013888888888891</v>
      </c>
      <c r="F285" s="75" t="s">
        <v>46</v>
      </c>
      <c r="G285" s="77">
        <v>9</v>
      </c>
      <c r="H285" s="130">
        <v>349</v>
      </c>
      <c r="I285" s="2"/>
    </row>
    <row r="286" spans="1:9" ht="19.8" customHeight="1" x14ac:dyDescent="0.3">
      <c r="A286" s="133">
        <v>46013</v>
      </c>
      <c r="B286" s="75" t="s">
        <v>31</v>
      </c>
      <c r="C286" s="76" t="s">
        <v>32</v>
      </c>
      <c r="D286" s="75" t="s">
        <v>1</v>
      </c>
      <c r="E286" s="134">
        <v>1.864583333333333</v>
      </c>
      <c r="F286" s="75" t="s">
        <v>59</v>
      </c>
      <c r="G286" s="77">
        <v>9</v>
      </c>
      <c r="H286" s="130">
        <v>411</v>
      </c>
      <c r="I286" s="2"/>
    </row>
    <row r="287" spans="1:9" ht="19.8" customHeight="1" x14ac:dyDescent="0.3">
      <c r="A287" s="133">
        <v>46013</v>
      </c>
      <c r="B287" s="75" t="s">
        <v>31</v>
      </c>
      <c r="C287" s="76" t="s">
        <v>62</v>
      </c>
      <c r="D287" s="75" t="s">
        <v>1</v>
      </c>
      <c r="E287" s="134">
        <v>1.5277777777777779</v>
      </c>
      <c r="F287" s="75" t="s">
        <v>59</v>
      </c>
      <c r="G287" s="77">
        <v>9</v>
      </c>
      <c r="H287" s="130">
        <v>411</v>
      </c>
      <c r="I287" s="2"/>
    </row>
    <row r="288" spans="1:9" ht="19.8" customHeight="1" x14ac:dyDescent="0.3">
      <c r="A288" s="133">
        <v>46013</v>
      </c>
      <c r="B288" s="75" t="s">
        <v>31</v>
      </c>
      <c r="C288" s="76" t="s">
        <v>58</v>
      </c>
      <c r="D288" s="75" t="s">
        <v>1</v>
      </c>
      <c r="E288" s="134">
        <v>1.1701388888888891</v>
      </c>
      <c r="F288" s="75" t="s">
        <v>59</v>
      </c>
      <c r="G288" s="77">
        <v>9</v>
      </c>
      <c r="H288" s="130">
        <v>411</v>
      </c>
      <c r="I288" s="2"/>
    </row>
    <row r="289" spans="1:9" ht="19.8" customHeight="1" x14ac:dyDescent="0.3">
      <c r="A289" s="133">
        <v>46013</v>
      </c>
      <c r="B289" s="75" t="s">
        <v>79</v>
      </c>
      <c r="C289" s="76" t="s">
        <v>150</v>
      </c>
      <c r="D289" s="75" t="s">
        <v>1</v>
      </c>
      <c r="E289" s="134">
        <v>1.1215277777777779</v>
      </c>
      <c r="F289" s="75" t="s">
        <v>28</v>
      </c>
      <c r="G289" s="77">
        <v>1</v>
      </c>
      <c r="H289" s="130">
        <v>425</v>
      </c>
      <c r="I289" s="2"/>
    </row>
    <row r="290" spans="1:9" ht="19.8" customHeight="1" x14ac:dyDescent="0.3">
      <c r="A290" s="133">
        <v>46013</v>
      </c>
      <c r="B290" s="75" t="s">
        <v>26</v>
      </c>
      <c r="C290" s="76" t="s">
        <v>27</v>
      </c>
      <c r="D290" s="75" t="s">
        <v>1</v>
      </c>
      <c r="E290" s="134">
        <v>1.958333333333333</v>
      </c>
      <c r="F290" s="75" t="s">
        <v>28</v>
      </c>
      <c r="G290" s="77">
        <v>9</v>
      </c>
      <c r="H290" s="130">
        <v>439</v>
      </c>
      <c r="I290" s="2"/>
    </row>
    <row r="291" spans="1:9" ht="19.8" customHeight="1" x14ac:dyDescent="0.3">
      <c r="A291" s="133">
        <v>46013</v>
      </c>
      <c r="B291" s="75" t="s">
        <v>44</v>
      </c>
      <c r="C291" s="76" t="s">
        <v>53</v>
      </c>
      <c r="D291" s="75" t="s">
        <v>1</v>
      </c>
      <c r="E291" s="134">
        <v>1.836805555555556</v>
      </c>
      <c r="F291" s="75" t="s">
        <v>49</v>
      </c>
      <c r="G291" s="77">
        <v>9</v>
      </c>
      <c r="H291" s="130">
        <v>449</v>
      </c>
      <c r="I291" s="2"/>
    </row>
    <row r="292" spans="1:9" ht="19.8" customHeight="1" x14ac:dyDescent="0.3">
      <c r="A292" s="133">
        <v>46013</v>
      </c>
      <c r="B292" s="75" t="s">
        <v>44</v>
      </c>
      <c r="C292" s="76" t="s">
        <v>45</v>
      </c>
      <c r="D292" s="75" t="s">
        <v>1</v>
      </c>
      <c r="E292" s="134">
        <v>1.2013888888888891</v>
      </c>
      <c r="F292" s="75" t="s">
        <v>49</v>
      </c>
      <c r="G292" s="77">
        <v>9</v>
      </c>
      <c r="H292" s="130">
        <v>449</v>
      </c>
      <c r="I292" s="2"/>
    </row>
    <row r="293" spans="1:9" ht="19.8" customHeight="1" x14ac:dyDescent="0.3">
      <c r="A293" s="133">
        <v>46013</v>
      </c>
      <c r="B293" s="75" t="s">
        <v>35</v>
      </c>
      <c r="C293" s="76" t="s">
        <v>36</v>
      </c>
      <c r="D293" s="75" t="s">
        <v>1</v>
      </c>
      <c r="E293" s="134">
        <v>1.305555555555556</v>
      </c>
      <c r="F293" s="75" t="s">
        <v>40</v>
      </c>
      <c r="G293" s="77">
        <v>19</v>
      </c>
      <c r="H293" s="130">
        <v>459</v>
      </c>
      <c r="I293" s="2"/>
    </row>
    <row r="294" spans="1:9" ht="19.8" customHeight="1" x14ac:dyDescent="0.3">
      <c r="A294" s="133">
        <v>46013</v>
      </c>
      <c r="B294" s="75" t="s">
        <v>44</v>
      </c>
      <c r="C294" s="76" t="s">
        <v>53</v>
      </c>
      <c r="D294" s="75" t="s">
        <v>1</v>
      </c>
      <c r="E294" s="134">
        <v>1.836805555555556</v>
      </c>
      <c r="F294" s="75" t="s">
        <v>51</v>
      </c>
      <c r="G294" s="77">
        <v>9</v>
      </c>
      <c r="H294" s="130">
        <v>539</v>
      </c>
      <c r="I294" s="2"/>
    </row>
    <row r="295" spans="1:9" ht="19.8" customHeight="1" x14ac:dyDescent="0.3">
      <c r="A295" s="133">
        <v>46013</v>
      </c>
      <c r="B295" s="75" t="s">
        <v>44</v>
      </c>
      <c r="C295" s="76" t="s">
        <v>45</v>
      </c>
      <c r="D295" s="75" t="s">
        <v>1</v>
      </c>
      <c r="E295" s="134">
        <v>1.2013888888888891</v>
      </c>
      <c r="F295" s="75" t="s">
        <v>51</v>
      </c>
      <c r="G295" s="77">
        <v>9</v>
      </c>
      <c r="H295" s="130">
        <v>539</v>
      </c>
      <c r="I295" s="2"/>
    </row>
    <row r="296" spans="1:9" ht="19.8" customHeight="1" x14ac:dyDescent="0.3">
      <c r="A296" s="133">
        <v>46013</v>
      </c>
      <c r="B296" s="75" t="s">
        <v>35</v>
      </c>
      <c r="C296" s="76" t="s">
        <v>36</v>
      </c>
      <c r="D296" s="75" t="s">
        <v>1</v>
      </c>
      <c r="E296" s="134">
        <v>1.305555555555556</v>
      </c>
      <c r="F296" s="75" t="s">
        <v>42</v>
      </c>
      <c r="G296" s="77">
        <v>19</v>
      </c>
      <c r="H296" s="130">
        <v>899</v>
      </c>
      <c r="I296" s="2"/>
    </row>
    <row r="297" spans="1:9" ht="19.8" customHeight="1" x14ac:dyDescent="0.3">
      <c r="A297" s="135">
        <v>46013</v>
      </c>
      <c r="B297" s="79" t="s">
        <v>69</v>
      </c>
      <c r="C297" s="80" t="s">
        <v>70</v>
      </c>
      <c r="D297" s="79" t="s">
        <v>1</v>
      </c>
      <c r="E297" s="136">
        <v>1.305555555555556</v>
      </c>
      <c r="F297" s="79" t="s">
        <v>71</v>
      </c>
      <c r="G297" s="81">
        <v>4</v>
      </c>
      <c r="H297" s="87" t="s">
        <v>117</v>
      </c>
      <c r="I297" s="2"/>
    </row>
    <row r="298" spans="1:9" ht="19.8" customHeight="1" x14ac:dyDescent="0.3">
      <c r="A298" s="133">
        <v>46014</v>
      </c>
      <c r="B298" s="75" t="s">
        <v>35</v>
      </c>
      <c r="C298" s="76" t="s">
        <v>36</v>
      </c>
      <c r="D298" s="75" t="s">
        <v>1</v>
      </c>
      <c r="E298" s="134">
        <v>1.305555555555556</v>
      </c>
      <c r="F298" s="75" t="s">
        <v>130</v>
      </c>
      <c r="G298" s="77">
        <v>19</v>
      </c>
      <c r="H298" s="130">
        <v>309</v>
      </c>
      <c r="I298" s="2"/>
    </row>
    <row r="299" spans="1:9" ht="19.8" customHeight="1" x14ac:dyDescent="0.3">
      <c r="A299" s="133">
        <v>46014</v>
      </c>
      <c r="B299" s="75" t="s">
        <v>44</v>
      </c>
      <c r="C299" s="76" t="s">
        <v>53</v>
      </c>
      <c r="D299" s="75" t="s">
        <v>1</v>
      </c>
      <c r="E299" s="134">
        <v>1.836805555555556</v>
      </c>
      <c r="F299" s="75" t="s">
        <v>131</v>
      </c>
      <c r="G299" s="77">
        <v>9</v>
      </c>
      <c r="H299" s="130">
        <v>349</v>
      </c>
      <c r="I299" s="2"/>
    </row>
    <row r="300" spans="1:9" ht="19.8" customHeight="1" x14ac:dyDescent="0.3">
      <c r="A300" s="133">
        <v>46014</v>
      </c>
      <c r="B300" s="75" t="s">
        <v>44</v>
      </c>
      <c r="C300" s="76" t="s">
        <v>45</v>
      </c>
      <c r="D300" s="75" t="s">
        <v>1</v>
      </c>
      <c r="E300" s="134">
        <v>1.2013888888888891</v>
      </c>
      <c r="F300" s="75" t="s">
        <v>131</v>
      </c>
      <c r="G300" s="77">
        <v>9</v>
      </c>
      <c r="H300" s="130">
        <v>379</v>
      </c>
      <c r="I300" s="2"/>
    </row>
    <row r="301" spans="1:9" ht="19.8" customHeight="1" x14ac:dyDescent="0.3">
      <c r="A301" s="133">
        <v>46014</v>
      </c>
      <c r="B301" s="75" t="s">
        <v>31</v>
      </c>
      <c r="C301" s="76" t="s">
        <v>32</v>
      </c>
      <c r="D301" s="75" t="s">
        <v>1</v>
      </c>
      <c r="E301" s="134">
        <v>1.864583333333333</v>
      </c>
      <c r="F301" s="75" t="s">
        <v>59</v>
      </c>
      <c r="G301" s="77">
        <v>9</v>
      </c>
      <c r="H301" s="130">
        <v>411</v>
      </c>
      <c r="I301" s="2"/>
    </row>
    <row r="302" spans="1:9" ht="19.8" customHeight="1" x14ac:dyDescent="0.3">
      <c r="A302" s="133">
        <v>46014</v>
      </c>
      <c r="B302" s="75" t="s">
        <v>31</v>
      </c>
      <c r="C302" s="76" t="s">
        <v>58</v>
      </c>
      <c r="D302" s="75" t="s">
        <v>1</v>
      </c>
      <c r="E302" s="134">
        <v>1.1701388888888891</v>
      </c>
      <c r="F302" s="75" t="s">
        <v>59</v>
      </c>
      <c r="G302" s="77">
        <v>9</v>
      </c>
      <c r="H302" s="130">
        <v>411</v>
      </c>
      <c r="I302" s="2"/>
    </row>
    <row r="303" spans="1:9" ht="19.8" customHeight="1" x14ac:dyDescent="0.3">
      <c r="A303" s="133">
        <v>46014</v>
      </c>
      <c r="B303" s="75" t="s">
        <v>26</v>
      </c>
      <c r="C303" s="76" t="s">
        <v>57</v>
      </c>
      <c r="D303" s="75" t="s">
        <v>1</v>
      </c>
      <c r="E303" s="134">
        <v>1.958333333333333</v>
      </c>
      <c r="F303" s="75" t="s">
        <v>28</v>
      </c>
      <c r="G303" s="77">
        <v>8</v>
      </c>
      <c r="H303" s="130">
        <v>439</v>
      </c>
      <c r="I303" s="2"/>
    </row>
    <row r="304" spans="1:9" ht="19.8" customHeight="1" x14ac:dyDescent="0.3">
      <c r="A304" s="137">
        <v>46014</v>
      </c>
      <c r="B304" s="83" t="s">
        <v>63</v>
      </c>
      <c r="C304" s="84" t="s">
        <v>64</v>
      </c>
      <c r="D304" s="83" t="s">
        <v>1</v>
      </c>
      <c r="E304" s="138">
        <v>1.270833333333333</v>
      </c>
      <c r="F304" s="83" t="s">
        <v>28</v>
      </c>
      <c r="G304" s="85">
        <v>9</v>
      </c>
      <c r="H304" s="132">
        <v>566</v>
      </c>
      <c r="I304" s="2"/>
    </row>
    <row r="305" spans="1:9" ht="19.8" customHeight="1" x14ac:dyDescent="0.3">
      <c r="A305" s="135">
        <v>46014</v>
      </c>
      <c r="B305" s="79" t="s">
        <v>69</v>
      </c>
      <c r="C305" s="80" t="s">
        <v>70</v>
      </c>
      <c r="D305" s="79" t="s">
        <v>1</v>
      </c>
      <c r="E305" s="136">
        <v>1.305555555555556</v>
      </c>
      <c r="F305" s="79" t="s">
        <v>71</v>
      </c>
      <c r="G305" s="81">
        <v>4</v>
      </c>
      <c r="H305" s="87" t="s">
        <v>117</v>
      </c>
      <c r="I305" s="2"/>
    </row>
    <row r="306" spans="1:9" ht="19.8" customHeight="1" x14ac:dyDescent="0.3">
      <c r="A306" s="133">
        <v>46015</v>
      </c>
      <c r="B306" s="75" t="s">
        <v>35</v>
      </c>
      <c r="C306" s="76" t="s">
        <v>36</v>
      </c>
      <c r="D306" s="75" t="s">
        <v>1</v>
      </c>
      <c r="E306" s="134">
        <v>1.305555555555556</v>
      </c>
      <c r="F306" s="75" t="s">
        <v>37</v>
      </c>
      <c r="G306" s="77">
        <v>12</v>
      </c>
      <c r="H306" s="130">
        <v>309</v>
      </c>
      <c r="I306" s="2"/>
    </row>
    <row r="307" spans="1:9" ht="19.8" customHeight="1" x14ac:dyDescent="0.3">
      <c r="A307" s="133">
        <v>46015</v>
      </c>
      <c r="B307" s="75" t="s">
        <v>74</v>
      </c>
      <c r="C307" s="76" t="s">
        <v>75</v>
      </c>
      <c r="D307" s="75" t="s">
        <v>1</v>
      </c>
      <c r="E307" s="134">
        <v>1.9722222222222221</v>
      </c>
      <c r="F307" s="75" t="s">
        <v>76</v>
      </c>
      <c r="G307" s="77">
        <v>9</v>
      </c>
      <c r="H307" s="130">
        <v>348</v>
      </c>
      <c r="I307" s="2"/>
    </row>
    <row r="308" spans="1:9" ht="19.8" customHeight="1" x14ac:dyDescent="0.3">
      <c r="A308" s="133">
        <v>46015</v>
      </c>
      <c r="B308" s="75" t="s">
        <v>44</v>
      </c>
      <c r="C308" s="76" t="s">
        <v>53</v>
      </c>
      <c r="D308" s="75" t="s">
        <v>1</v>
      </c>
      <c r="E308" s="134">
        <v>1.850694444444444</v>
      </c>
      <c r="F308" s="75" t="s">
        <v>46</v>
      </c>
      <c r="G308" s="77">
        <v>7</v>
      </c>
      <c r="H308" s="130">
        <v>349</v>
      </c>
      <c r="I308" s="2"/>
    </row>
    <row r="309" spans="1:9" ht="19.8" customHeight="1" x14ac:dyDescent="0.3">
      <c r="A309" s="133">
        <v>46015</v>
      </c>
      <c r="B309" s="75" t="s">
        <v>31</v>
      </c>
      <c r="C309" s="76" t="s">
        <v>32</v>
      </c>
      <c r="D309" s="75" t="s">
        <v>1</v>
      </c>
      <c r="E309" s="134">
        <v>1.864583333333333</v>
      </c>
      <c r="F309" s="75" t="s">
        <v>59</v>
      </c>
      <c r="G309" s="77">
        <v>9</v>
      </c>
      <c r="H309" s="130">
        <v>411</v>
      </c>
      <c r="I309" s="2"/>
    </row>
    <row r="310" spans="1:9" ht="19.8" customHeight="1" x14ac:dyDescent="0.3">
      <c r="A310" s="133">
        <v>46015</v>
      </c>
      <c r="B310" s="75" t="s">
        <v>31</v>
      </c>
      <c r="C310" s="76" t="s">
        <v>62</v>
      </c>
      <c r="D310" s="75" t="s">
        <v>1</v>
      </c>
      <c r="E310" s="134">
        <v>1.5277777777777779</v>
      </c>
      <c r="F310" s="75" t="s">
        <v>59</v>
      </c>
      <c r="G310" s="77">
        <v>9</v>
      </c>
      <c r="H310" s="130">
        <v>411</v>
      </c>
      <c r="I310" s="2"/>
    </row>
    <row r="311" spans="1:9" ht="19.8" customHeight="1" x14ac:dyDescent="0.3">
      <c r="A311" s="133">
        <v>46015</v>
      </c>
      <c r="B311" s="75" t="s">
        <v>31</v>
      </c>
      <c r="C311" s="76" t="s">
        <v>58</v>
      </c>
      <c r="D311" s="75" t="s">
        <v>1</v>
      </c>
      <c r="E311" s="134">
        <v>1.1701388888888891</v>
      </c>
      <c r="F311" s="75" t="s">
        <v>59</v>
      </c>
      <c r="G311" s="77">
        <v>9</v>
      </c>
      <c r="H311" s="130">
        <v>411</v>
      </c>
      <c r="I311" s="2"/>
    </row>
    <row r="312" spans="1:9" ht="19.8" customHeight="1" x14ac:dyDescent="0.3">
      <c r="A312" s="133">
        <v>46015</v>
      </c>
      <c r="B312" s="75" t="s">
        <v>26</v>
      </c>
      <c r="C312" s="76" t="s">
        <v>27</v>
      </c>
      <c r="D312" s="75" t="s">
        <v>1</v>
      </c>
      <c r="E312" s="134">
        <v>1.895833333333333</v>
      </c>
      <c r="F312" s="75" t="s">
        <v>28</v>
      </c>
      <c r="G312" s="77">
        <v>9</v>
      </c>
      <c r="H312" s="130">
        <v>439</v>
      </c>
      <c r="I312" s="2"/>
    </row>
    <row r="313" spans="1:9" ht="19.8" customHeight="1" x14ac:dyDescent="0.3">
      <c r="A313" s="133">
        <v>46015</v>
      </c>
      <c r="B313" s="75" t="s">
        <v>44</v>
      </c>
      <c r="C313" s="76" t="s">
        <v>53</v>
      </c>
      <c r="D313" s="75" t="s">
        <v>1</v>
      </c>
      <c r="E313" s="134">
        <v>1.850694444444444</v>
      </c>
      <c r="F313" s="75" t="s">
        <v>49</v>
      </c>
      <c r="G313" s="77">
        <v>7</v>
      </c>
      <c r="H313" s="130">
        <v>449</v>
      </c>
      <c r="I313" s="2"/>
    </row>
    <row r="314" spans="1:9" ht="19.8" customHeight="1" x14ac:dyDescent="0.3">
      <c r="A314" s="133">
        <v>46015</v>
      </c>
      <c r="B314" s="75" t="s">
        <v>35</v>
      </c>
      <c r="C314" s="76" t="s">
        <v>36</v>
      </c>
      <c r="D314" s="75" t="s">
        <v>1</v>
      </c>
      <c r="E314" s="134">
        <v>1.305555555555556</v>
      </c>
      <c r="F314" s="75" t="s">
        <v>40</v>
      </c>
      <c r="G314" s="77">
        <v>12</v>
      </c>
      <c r="H314" s="130">
        <v>459</v>
      </c>
      <c r="I314" s="2"/>
    </row>
    <row r="315" spans="1:9" ht="19.8" customHeight="1" x14ac:dyDescent="0.3">
      <c r="A315" s="133">
        <v>46015</v>
      </c>
      <c r="B315" s="75" t="s">
        <v>79</v>
      </c>
      <c r="C315" s="76" t="s">
        <v>80</v>
      </c>
      <c r="D315" s="75" t="s">
        <v>1</v>
      </c>
      <c r="E315" s="134">
        <v>1.0902777777777779</v>
      </c>
      <c r="F315" s="75" t="s">
        <v>28</v>
      </c>
      <c r="G315" s="77">
        <v>8</v>
      </c>
      <c r="H315" s="130">
        <v>500</v>
      </c>
      <c r="I315" s="2"/>
    </row>
    <row r="316" spans="1:9" ht="19.8" customHeight="1" x14ac:dyDescent="0.3">
      <c r="A316" s="133">
        <v>46015</v>
      </c>
      <c r="B316" s="75" t="s">
        <v>44</v>
      </c>
      <c r="C316" s="76" t="s">
        <v>53</v>
      </c>
      <c r="D316" s="75" t="s">
        <v>1</v>
      </c>
      <c r="E316" s="134">
        <v>1.850694444444444</v>
      </c>
      <c r="F316" s="75" t="s">
        <v>51</v>
      </c>
      <c r="G316" s="77">
        <v>7</v>
      </c>
      <c r="H316" s="130">
        <v>539</v>
      </c>
      <c r="I316" s="2"/>
    </row>
    <row r="317" spans="1:9" ht="19.8" customHeight="1" x14ac:dyDescent="0.3">
      <c r="A317" s="133">
        <v>46015</v>
      </c>
      <c r="B317" s="75" t="s">
        <v>74</v>
      </c>
      <c r="C317" s="76" t="s">
        <v>75</v>
      </c>
      <c r="D317" s="75" t="s">
        <v>1</v>
      </c>
      <c r="E317" s="134">
        <v>1.9722222222222221</v>
      </c>
      <c r="F317" s="75" t="s">
        <v>42</v>
      </c>
      <c r="G317" s="77">
        <v>9</v>
      </c>
      <c r="H317" s="130">
        <v>554</v>
      </c>
      <c r="I317" s="2"/>
    </row>
    <row r="318" spans="1:9" ht="19.8" customHeight="1" x14ac:dyDescent="0.3">
      <c r="A318" s="133">
        <v>46015</v>
      </c>
      <c r="B318" s="75" t="s">
        <v>35</v>
      </c>
      <c r="C318" s="76" t="s">
        <v>36</v>
      </c>
      <c r="D318" s="75" t="s">
        <v>1</v>
      </c>
      <c r="E318" s="134">
        <v>1.305555555555556</v>
      </c>
      <c r="F318" s="75" t="s">
        <v>42</v>
      </c>
      <c r="G318" s="77">
        <v>12</v>
      </c>
      <c r="H318" s="130">
        <v>899</v>
      </c>
      <c r="I318" s="2"/>
    </row>
    <row r="319" spans="1:9" ht="19.8" customHeight="1" x14ac:dyDescent="0.3">
      <c r="A319" s="135">
        <v>46015</v>
      </c>
      <c r="B319" s="79" t="s">
        <v>69</v>
      </c>
      <c r="C319" s="80" t="s">
        <v>70</v>
      </c>
      <c r="D319" s="79" t="s">
        <v>1</v>
      </c>
      <c r="E319" s="136">
        <v>1.305555555555556</v>
      </c>
      <c r="F319" s="79" t="s">
        <v>71</v>
      </c>
      <c r="G319" s="81">
        <v>4</v>
      </c>
      <c r="H319" s="87" t="s">
        <v>117</v>
      </c>
      <c r="I319" s="2"/>
    </row>
    <row r="320" spans="1:9" ht="19.8" customHeight="1" x14ac:dyDescent="0.3">
      <c r="A320" s="133">
        <v>46016</v>
      </c>
      <c r="B320" s="75" t="s">
        <v>35</v>
      </c>
      <c r="C320" s="76" t="s">
        <v>36</v>
      </c>
      <c r="D320" s="75" t="s">
        <v>1</v>
      </c>
      <c r="E320" s="134">
        <v>1.305555555555556</v>
      </c>
      <c r="F320" s="75" t="s">
        <v>37</v>
      </c>
      <c r="G320" s="77">
        <v>20</v>
      </c>
      <c r="H320" s="130">
        <v>339</v>
      </c>
      <c r="I320" s="2"/>
    </row>
    <row r="321" spans="1:9" ht="19.8" customHeight="1" x14ac:dyDescent="0.3">
      <c r="A321" s="133">
        <v>46016</v>
      </c>
      <c r="B321" s="75" t="s">
        <v>44</v>
      </c>
      <c r="C321" s="76" t="s">
        <v>45</v>
      </c>
      <c r="D321" s="75" t="s">
        <v>1</v>
      </c>
      <c r="E321" s="134">
        <v>1.2013888888888891</v>
      </c>
      <c r="F321" s="75" t="s">
        <v>46</v>
      </c>
      <c r="G321" s="77">
        <v>3</v>
      </c>
      <c r="H321" s="130">
        <v>379</v>
      </c>
      <c r="I321" s="2"/>
    </row>
    <row r="322" spans="1:9" ht="19.8" customHeight="1" x14ac:dyDescent="0.3">
      <c r="A322" s="133">
        <v>46016</v>
      </c>
      <c r="B322" s="75" t="s">
        <v>44</v>
      </c>
      <c r="C322" s="76" t="s">
        <v>53</v>
      </c>
      <c r="D322" s="75" t="s">
        <v>1</v>
      </c>
      <c r="E322" s="134">
        <v>1.836805555555556</v>
      </c>
      <c r="F322" s="75" t="s">
        <v>46</v>
      </c>
      <c r="G322" s="77">
        <v>1</v>
      </c>
      <c r="H322" s="130">
        <v>409</v>
      </c>
      <c r="I322" s="2"/>
    </row>
    <row r="323" spans="1:9" ht="19.8" customHeight="1" x14ac:dyDescent="0.3">
      <c r="A323" s="133">
        <v>46016</v>
      </c>
      <c r="B323" s="75" t="s">
        <v>31</v>
      </c>
      <c r="C323" s="76" t="s">
        <v>58</v>
      </c>
      <c r="D323" s="75" t="s">
        <v>1</v>
      </c>
      <c r="E323" s="134">
        <v>1.1701388888888891</v>
      </c>
      <c r="F323" s="75" t="s">
        <v>59</v>
      </c>
      <c r="G323" s="77">
        <v>9</v>
      </c>
      <c r="H323" s="130">
        <v>411</v>
      </c>
      <c r="I323" s="2"/>
    </row>
    <row r="324" spans="1:9" ht="19.8" customHeight="1" x14ac:dyDescent="0.3">
      <c r="A324" s="133">
        <v>46016</v>
      </c>
      <c r="B324" s="75" t="s">
        <v>44</v>
      </c>
      <c r="C324" s="76" t="s">
        <v>45</v>
      </c>
      <c r="D324" s="75" t="s">
        <v>1</v>
      </c>
      <c r="E324" s="134">
        <v>1.2013888888888891</v>
      </c>
      <c r="F324" s="75" t="s">
        <v>49</v>
      </c>
      <c r="G324" s="77">
        <v>3</v>
      </c>
      <c r="H324" s="130">
        <v>479</v>
      </c>
      <c r="I324" s="2"/>
    </row>
    <row r="325" spans="1:9" ht="19.8" customHeight="1" x14ac:dyDescent="0.3">
      <c r="A325" s="133">
        <v>46016</v>
      </c>
      <c r="B325" s="75" t="s">
        <v>35</v>
      </c>
      <c r="C325" s="76" t="s">
        <v>36</v>
      </c>
      <c r="D325" s="75" t="s">
        <v>1</v>
      </c>
      <c r="E325" s="134">
        <v>1.305555555555556</v>
      </c>
      <c r="F325" s="75" t="s">
        <v>40</v>
      </c>
      <c r="G325" s="77">
        <v>20</v>
      </c>
      <c r="H325" s="130">
        <v>489</v>
      </c>
      <c r="I325" s="2"/>
    </row>
    <row r="326" spans="1:9" ht="19.8" customHeight="1" x14ac:dyDescent="0.3">
      <c r="A326" s="133">
        <v>46016</v>
      </c>
      <c r="B326" s="75" t="s">
        <v>79</v>
      </c>
      <c r="C326" s="76" t="s">
        <v>80</v>
      </c>
      <c r="D326" s="75" t="s">
        <v>1</v>
      </c>
      <c r="E326" s="134">
        <v>1.8888888888888891</v>
      </c>
      <c r="F326" s="75" t="s">
        <v>156</v>
      </c>
      <c r="G326" s="77">
        <v>2</v>
      </c>
      <c r="H326" s="130">
        <v>500</v>
      </c>
      <c r="I326" s="2"/>
    </row>
    <row r="327" spans="1:9" ht="19.8" customHeight="1" x14ac:dyDescent="0.3">
      <c r="A327" s="133">
        <v>46016</v>
      </c>
      <c r="B327" s="75" t="s">
        <v>44</v>
      </c>
      <c r="C327" s="76" t="s">
        <v>53</v>
      </c>
      <c r="D327" s="75" t="s">
        <v>1</v>
      </c>
      <c r="E327" s="134">
        <v>1.836805555555556</v>
      </c>
      <c r="F327" s="75" t="s">
        <v>49</v>
      </c>
      <c r="G327" s="77">
        <v>1</v>
      </c>
      <c r="H327" s="130">
        <v>509</v>
      </c>
      <c r="I327" s="2"/>
    </row>
    <row r="328" spans="1:9" ht="19.8" customHeight="1" x14ac:dyDescent="0.3">
      <c r="A328" s="133">
        <v>46016</v>
      </c>
      <c r="B328" s="75" t="s">
        <v>26</v>
      </c>
      <c r="C328" s="76" t="s">
        <v>57</v>
      </c>
      <c r="D328" s="75" t="s">
        <v>1</v>
      </c>
      <c r="E328" s="134">
        <v>1.958333333333333</v>
      </c>
      <c r="F328" s="75" t="s">
        <v>28</v>
      </c>
      <c r="G328" s="77">
        <v>9</v>
      </c>
      <c r="H328" s="130">
        <v>563</v>
      </c>
      <c r="I328" s="2"/>
    </row>
    <row r="329" spans="1:9" ht="19.8" customHeight="1" x14ac:dyDescent="0.3">
      <c r="A329" s="133">
        <v>46016</v>
      </c>
      <c r="B329" s="75" t="s">
        <v>44</v>
      </c>
      <c r="C329" s="76" t="s">
        <v>45</v>
      </c>
      <c r="D329" s="75" t="s">
        <v>1</v>
      </c>
      <c r="E329" s="134">
        <v>1.2013888888888891</v>
      </c>
      <c r="F329" s="75" t="s">
        <v>51</v>
      </c>
      <c r="G329" s="77">
        <v>3</v>
      </c>
      <c r="H329" s="130">
        <v>569</v>
      </c>
      <c r="I329" s="2"/>
    </row>
    <row r="330" spans="1:9" ht="19.8" customHeight="1" x14ac:dyDescent="0.3">
      <c r="A330" s="133">
        <v>46016</v>
      </c>
      <c r="B330" s="75" t="s">
        <v>44</v>
      </c>
      <c r="C330" s="76" t="s">
        <v>53</v>
      </c>
      <c r="D330" s="75" t="s">
        <v>1</v>
      </c>
      <c r="E330" s="134">
        <v>1.836805555555556</v>
      </c>
      <c r="F330" s="75" t="s">
        <v>51</v>
      </c>
      <c r="G330" s="77">
        <v>1</v>
      </c>
      <c r="H330" s="130">
        <v>599</v>
      </c>
      <c r="I330" s="2"/>
    </row>
    <row r="331" spans="1:9" ht="19.8" customHeight="1" x14ac:dyDescent="0.3">
      <c r="A331" s="137">
        <v>46016</v>
      </c>
      <c r="B331" s="83" t="s">
        <v>63</v>
      </c>
      <c r="C331" s="84" t="s">
        <v>64</v>
      </c>
      <c r="D331" s="83" t="s">
        <v>1</v>
      </c>
      <c r="E331" s="138">
        <v>1.9236111111111109</v>
      </c>
      <c r="F331" s="83" t="s">
        <v>28</v>
      </c>
      <c r="G331" s="85">
        <v>9</v>
      </c>
      <c r="H331" s="132">
        <v>626</v>
      </c>
      <c r="I331" s="2"/>
    </row>
    <row r="332" spans="1:9" ht="19.8" customHeight="1" x14ac:dyDescent="0.3">
      <c r="A332" s="133">
        <v>46016</v>
      </c>
      <c r="B332" s="75" t="s">
        <v>31</v>
      </c>
      <c r="C332" s="76" t="s">
        <v>32</v>
      </c>
      <c r="D332" s="75" t="s">
        <v>1</v>
      </c>
      <c r="E332" s="134">
        <v>1.864583333333333</v>
      </c>
      <c r="F332" s="75" t="s">
        <v>33</v>
      </c>
      <c r="G332" s="77">
        <v>9</v>
      </c>
      <c r="H332" s="130">
        <v>697</v>
      </c>
      <c r="I332" s="2"/>
    </row>
    <row r="333" spans="1:9" ht="19.8" customHeight="1" x14ac:dyDescent="0.3">
      <c r="A333" s="133">
        <v>46016</v>
      </c>
      <c r="B333" s="75" t="s">
        <v>31</v>
      </c>
      <c r="C333" s="76" t="s">
        <v>62</v>
      </c>
      <c r="D333" s="75" t="s">
        <v>1</v>
      </c>
      <c r="E333" s="134">
        <v>1.5277777777777779</v>
      </c>
      <c r="F333" s="75" t="s">
        <v>33</v>
      </c>
      <c r="G333" s="77">
        <v>9</v>
      </c>
      <c r="H333" s="130">
        <v>701</v>
      </c>
      <c r="I333" s="2"/>
    </row>
    <row r="334" spans="1:9" ht="19.8" customHeight="1" x14ac:dyDescent="0.3">
      <c r="A334" s="133">
        <v>46016</v>
      </c>
      <c r="B334" s="75" t="s">
        <v>35</v>
      </c>
      <c r="C334" s="76" t="s">
        <v>36</v>
      </c>
      <c r="D334" s="75" t="s">
        <v>1</v>
      </c>
      <c r="E334" s="134">
        <v>1.305555555555556</v>
      </c>
      <c r="F334" s="75" t="s">
        <v>42</v>
      </c>
      <c r="G334" s="77">
        <v>20</v>
      </c>
      <c r="H334" s="130">
        <v>899</v>
      </c>
      <c r="I334" s="2"/>
    </row>
    <row r="335" spans="1:9" ht="19.8" customHeight="1" x14ac:dyDescent="0.3">
      <c r="A335" s="135">
        <v>46016</v>
      </c>
      <c r="B335" s="79" t="s">
        <v>69</v>
      </c>
      <c r="C335" s="80" t="s">
        <v>70</v>
      </c>
      <c r="D335" s="79" t="s">
        <v>1</v>
      </c>
      <c r="E335" s="136">
        <v>1.305555555555556</v>
      </c>
      <c r="F335" s="79" t="s">
        <v>71</v>
      </c>
      <c r="G335" s="81">
        <v>4</v>
      </c>
      <c r="H335" s="87" t="s">
        <v>73</v>
      </c>
      <c r="I335" s="2"/>
    </row>
    <row r="336" spans="1:9" ht="19.8" customHeight="1" x14ac:dyDescent="0.3">
      <c r="A336" s="133">
        <v>46017</v>
      </c>
      <c r="B336" s="75" t="s">
        <v>44</v>
      </c>
      <c r="C336" s="76" t="s">
        <v>53</v>
      </c>
      <c r="D336" s="75" t="s">
        <v>1</v>
      </c>
      <c r="E336" s="134">
        <v>1.836805555555556</v>
      </c>
      <c r="F336" s="75" t="s">
        <v>46</v>
      </c>
      <c r="G336" s="77">
        <v>7</v>
      </c>
      <c r="H336" s="130">
        <v>349</v>
      </c>
      <c r="I336" s="2"/>
    </row>
    <row r="337" spans="1:9" ht="19.8" customHeight="1" x14ac:dyDescent="0.3">
      <c r="A337" s="133">
        <v>46017</v>
      </c>
      <c r="B337" s="75" t="s">
        <v>44</v>
      </c>
      <c r="C337" s="76" t="s">
        <v>53</v>
      </c>
      <c r="D337" s="75" t="s">
        <v>1</v>
      </c>
      <c r="E337" s="134">
        <v>1.836805555555556</v>
      </c>
      <c r="F337" s="75" t="s">
        <v>49</v>
      </c>
      <c r="G337" s="77">
        <v>7</v>
      </c>
      <c r="H337" s="130">
        <v>449</v>
      </c>
      <c r="I337" s="2"/>
    </row>
    <row r="338" spans="1:9" ht="19.8" customHeight="1" x14ac:dyDescent="0.3">
      <c r="A338" s="133">
        <v>46017</v>
      </c>
      <c r="B338" s="75" t="s">
        <v>44</v>
      </c>
      <c r="C338" s="76" t="s">
        <v>53</v>
      </c>
      <c r="D338" s="75" t="s">
        <v>1</v>
      </c>
      <c r="E338" s="134">
        <v>1.836805555555556</v>
      </c>
      <c r="F338" s="75" t="s">
        <v>51</v>
      </c>
      <c r="G338" s="77">
        <v>7</v>
      </c>
      <c r="H338" s="130">
        <v>539</v>
      </c>
      <c r="I338" s="2"/>
    </row>
    <row r="339" spans="1:9" ht="19.8" customHeight="1" x14ac:dyDescent="0.3">
      <c r="A339" s="139">
        <v>46017</v>
      </c>
      <c r="B339" s="88" t="s">
        <v>63</v>
      </c>
      <c r="C339" s="89" t="s">
        <v>64</v>
      </c>
      <c r="D339" s="88" t="s">
        <v>1</v>
      </c>
      <c r="E339" s="140">
        <v>1.5798611111111109</v>
      </c>
      <c r="F339" s="88"/>
      <c r="G339" s="88"/>
      <c r="H339" s="90" t="s">
        <v>353</v>
      </c>
      <c r="I339" s="2"/>
    </row>
    <row r="340" spans="1:9" ht="19.8" customHeight="1" x14ac:dyDescent="0.3">
      <c r="A340" s="133">
        <v>46018</v>
      </c>
      <c r="B340" s="75" t="s">
        <v>35</v>
      </c>
      <c r="C340" s="76" t="s">
        <v>36</v>
      </c>
      <c r="D340" s="75" t="s">
        <v>1</v>
      </c>
      <c r="E340" s="134">
        <v>1.305555555555556</v>
      </c>
      <c r="F340" s="75" t="s">
        <v>37</v>
      </c>
      <c r="G340" s="77">
        <v>18</v>
      </c>
      <c r="H340" s="130">
        <v>309</v>
      </c>
      <c r="I340" s="2"/>
    </row>
    <row r="341" spans="1:9" ht="19.8" customHeight="1" x14ac:dyDescent="0.3">
      <c r="A341" s="133">
        <v>46018</v>
      </c>
      <c r="B341" s="75" t="s">
        <v>44</v>
      </c>
      <c r="C341" s="76" t="s">
        <v>53</v>
      </c>
      <c r="D341" s="75" t="s">
        <v>1</v>
      </c>
      <c r="E341" s="134">
        <v>1.836805555555556</v>
      </c>
      <c r="F341" s="75" t="s">
        <v>46</v>
      </c>
      <c r="G341" s="77">
        <v>9</v>
      </c>
      <c r="H341" s="130">
        <v>349</v>
      </c>
      <c r="I341" s="2"/>
    </row>
    <row r="342" spans="1:9" ht="19.8" customHeight="1" x14ac:dyDescent="0.3">
      <c r="A342" s="133">
        <v>46018</v>
      </c>
      <c r="B342" s="75" t="s">
        <v>44</v>
      </c>
      <c r="C342" s="76" t="s">
        <v>45</v>
      </c>
      <c r="D342" s="75" t="s">
        <v>1</v>
      </c>
      <c r="E342" s="134">
        <v>1.2013888888888891</v>
      </c>
      <c r="F342" s="75" t="s">
        <v>46</v>
      </c>
      <c r="G342" s="77">
        <v>9</v>
      </c>
      <c r="H342" s="130">
        <v>349</v>
      </c>
      <c r="I342" s="2"/>
    </row>
    <row r="343" spans="1:9" ht="19.8" customHeight="1" x14ac:dyDescent="0.3">
      <c r="A343" s="133">
        <v>46018</v>
      </c>
      <c r="B343" s="75" t="s">
        <v>74</v>
      </c>
      <c r="C343" s="76" t="s">
        <v>75</v>
      </c>
      <c r="D343" s="75" t="s">
        <v>1</v>
      </c>
      <c r="E343" s="134">
        <v>1.9722222222222221</v>
      </c>
      <c r="F343" s="75" t="s">
        <v>76</v>
      </c>
      <c r="G343" s="77">
        <v>9</v>
      </c>
      <c r="H343" s="130">
        <v>354</v>
      </c>
      <c r="I343" s="2"/>
    </row>
    <row r="344" spans="1:9" ht="19.8" customHeight="1" x14ac:dyDescent="0.3">
      <c r="A344" s="133">
        <v>46018</v>
      </c>
      <c r="B344" s="75" t="s">
        <v>31</v>
      </c>
      <c r="C344" s="76" t="s">
        <v>32</v>
      </c>
      <c r="D344" s="75" t="s">
        <v>1</v>
      </c>
      <c r="E344" s="134">
        <v>1.868055555555556</v>
      </c>
      <c r="F344" s="75" t="s">
        <v>59</v>
      </c>
      <c r="G344" s="77">
        <v>9</v>
      </c>
      <c r="H344" s="130">
        <v>411</v>
      </c>
      <c r="I344" s="2"/>
    </row>
    <row r="345" spans="1:9" ht="19.8" customHeight="1" x14ac:dyDescent="0.3">
      <c r="A345" s="133">
        <v>46018</v>
      </c>
      <c r="B345" s="75" t="s">
        <v>31</v>
      </c>
      <c r="C345" s="76" t="s">
        <v>62</v>
      </c>
      <c r="D345" s="75" t="s">
        <v>1</v>
      </c>
      <c r="E345" s="134">
        <v>1.5277777777777779</v>
      </c>
      <c r="F345" s="75" t="s">
        <v>59</v>
      </c>
      <c r="G345" s="77">
        <v>9</v>
      </c>
      <c r="H345" s="130">
        <v>411</v>
      </c>
      <c r="I345" s="2"/>
    </row>
    <row r="346" spans="1:9" ht="19.8" customHeight="1" x14ac:dyDescent="0.3">
      <c r="A346" s="133">
        <v>46018</v>
      </c>
      <c r="B346" s="75" t="s">
        <v>31</v>
      </c>
      <c r="C346" s="76" t="s">
        <v>58</v>
      </c>
      <c r="D346" s="75" t="s">
        <v>1</v>
      </c>
      <c r="E346" s="134">
        <v>1.1701388888888891</v>
      </c>
      <c r="F346" s="75" t="s">
        <v>59</v>
      </c>
      <c r="G346" s="77">
        <v>9</v>
      </c>
      <c r="H346" s="130">
        <v>411</v>
      </c>
      <c r="I346" s="2"/>
    </row>
    <row r="347" spans="1:9" ht="19.8" customHeight="1" x14ac:dyDescent="0.3">
      <c r="A347" s="133">
        <v>46018</v>
      </c>
      <c r="B347" s="75" t="s">
        <v>26</v>
      </c>
      <c r="C347" s="76" t="s">
        <v>57</v>
      </c>
      <c r="D347" s="75" t="s">
        <v>1</v>
      </c>
      <c r="E347" s="134">
        <v>1.944444444444444</v>
      </c>
      <c r="F347" s="75" t="s">
        <v>156</v>
      </c>
      <c r="G347" s="77">
        <v>9</v>
      </c>
      <c r="H347" s="130">
        <v>439</v>
      </c>
      <c r="I347" s="2"/>
    </row>
    <row r="348" spans="1:9" ht="19.8" customHeight="1" x14ac:dyDescent="0.3">
      <c r="A348" s="133">
        <v>46018</v>
      </c>
      <c r="B348" s="75" t="s">
        <v>44</v>
      </c>
      <c r="C348" s="76" t="s">
        <v>53</v>
      </c>
      <c r="D348" s="75" t="s">
        <v>1</v>
      </c>
      <c r="E348" s="134">
        <v>1.836805555555556</v>
      </c>
      <c r="F348" s="75" t="s">
        <v>49</v>
      </c>
      <c r="G348" s="77">
        <v>9</v>
      </c>
      <c r="H348" s="130">
        <v>449</v>
      </c>
      <c r="I348" s="2"/>
    </row>
    <row r="349" spans="1:9" ht="19.8" customHeight="1" x14ac:dyDescent="0.3">
      <c r="A349" s="133">
        <v>46018</v>
      </c>
      <c r="B349" s="75" t="s">
        <v>44</v>
      </c>
      <c r="C349" s="76" t="s">
        <v>45</v>
      </c>
      <c r="D349" s="75" t="s">
        <v>1</v>
      </c>
      <c r="E349" s="134">
        <v>1.2013888888888891</v>
      </c>
      <c r="F349" s="75" t="s">
        <v>49</v>
      </c>
      <c r="G349" s="77">
        <v>9</v>
      </c>
      <c r="H349" s="130">
        <v>449</v>
      </c>
      <c r="I349" s="2"/>
    </row>
    <row r="350" spans="1:9" ht="19.8" customHeight="1" x14ac:dyDescent="0.3">
      <c r="A350" s="133">
        <v>46018</v>
      </c>
      <c r="B350" s="75" t="s">
        <v>35</v>
      </c>
      <c r="C350" s="76" t="s">
        <v>36</v>
      </c>
      <c r="D350" s="75" t="s">
        <v>1</v>
      </c>
      <c r="E350" s="134">
        <v>1.305555555555556</v>
      </c>
      <c r="F350" s="75" t="s">
        <v>40</v>
      </c>
      <c r="G350" s="77">
        <v>18</v>
      </c>
      <c r="H350" s="130">
        <v>459</v>
      </c>
      <c r="I350" s="2"/>
    </row>
    <row r="351" spans="1:9" ht="19.8" customHeight="1" x14ac:dyDescent="0.3">
      <c r="A351" s="133">
        <v>46018</v>
      </c>
      <c r="B351" s="75" t="s">
        <v>44</v>
      </c>
      <c r="C351" s="76" t="s">
        <v>53</v>
      </c>
      <c r="D351" s="75" t="s">
        <v>1</v>
      </c>
      <c r="E351" s="134">
        <v>1.836805555555556</v>
      </c>
      <c r="F351" s="75" t="s">
        <v>51</v>
      </c>
      <c r="G351" s="77">
        <v>9</v>
      </c>
      <c r="H351" s="130">
        <v>539</v>
      </c>
      <c r="I351" s="2"/>
    </row>
    <row r="352" spans="1:9" ht="19.8" customHeight="1" x14ac:dyDescent="0.3">
      <c r="A352" s="133">
        <v>46018</v>
      </c>
      <c r="B352" s="75" t="s">
        <v>44</v>
      </c>
      <c r="C352" s="76" t="s">
        <v>45</v>
      </c>
      <c r="D352" s="75" t="s">
        <v>1</v>
      </c>
      <c r="E352" s="134">
        <v>1.2013888888888891</v>
      </c>
      <c r="F352" s="75" t="s">
        <v>51</v>
      </c>
      <c r="G352" s="77">
        <v>9</v>
      </c>
      <c r="H352" s="130">
        <v>539</v>
      </c>
      <c r="I352" s="2"/>
    </row>
    <row r="353" spans="1:9" ht="19.8" customHeight="1" x14ac:dyDescent="0.3">
      <c r="A353" s="133">
        <v>46018</v>
      </c>
      <c r="B353" s="75" t="s">
        <v>74</v>
      </c>
      <c r="C353" s="76" t="s">
        <v>75</v>
      </c>
      <c r="D353" s="75" t="s">
        <v>1</v>
      </c>
      <c r="E353" s="134">
        <v>1.9722222222222221</v>
      </c>
      <c r="F353" s="75" t="s">
        <v>42</v>
      </c>
      <c r="G353" s="77">
        <v>9</v>
      </c>
      <c r="H353" s="130">
        <v>560</v>
      </c>
      <c r="I353" s="2"/>
    </row>
    <row r="354" spans="1:9" ht="19.8" customHeight="1" x14ac:dyDescent="0.3">
      <c r="A354" s="137">
        <v>46018</v>
      </c>
      <c r="B354" s="83" t="s">
        <v>63</v>
      </c>
      <c r="C354" s="84" t="s">
        <v>64</v>
      </c>
      <c r="D354" s="83" t="s">
        <v>1</v>
      </c>
      <c r="E354" s="138">
        <v>1.9236111111111109</v>
      </c>
      <c r="F354" s="83" t="s">
        <v>28</v>
      </c>
      <c r="G354" s="85">
        <v>9</v>
      </c>
      <c r="H354" s="132">
        <v>566</v>
      </c>
      <c r="I354" s="2"/>
    </row>
    <row r="355" spans="1:9" ht="19.8" customHeight="1" x14ac:dyDescent="0.3">
      <c r="A355" s="133">
        <v>46018</v>
      </c>
      <c r="B355" s="75" t="s">
        <v>35</v>
      </c>
      <c r="C355" s="76" t="s">
        <v>36</v>
      </c>
      <c r="D355" s="75" t="s">
        <v>1</v>
      </c>
      <c r="E355" s="134">
        <v>1.305555555555556</v>
      </c>
      <c r="F355" s="75" t="s">
        <v>42</v>
      </c>
      <c r="G355" s="77">
        <v>18</v>
      </c>
      <c r="H355" s="130">
        <v>899</v>
      </c>
      <c r="I355" s="2"/>
    </row>
    <row r="356" spans="1:9" ht="19.8" customHeight="1" x14ac:dyDescent="0.3">
      <c r="A356" s="135">
        <v>46018</v>
      </c>
      <c r="B356" s="79" t="s">
        <v>69</v>
      </c>
      <c r="C356" s="80" t="s">
        <v>70</v>
      </c>
      <c r="D356" s="79" t="s">
        <v>1</v>
      </c>
      <c r="E356" s="136">
        <v>1.305555555555556</v>
      </c>
      <c r="F356" s="79" t="s">
        <v>71</v>
      </c>
      <c r="G356" s="81">
        <v>4</v>
      </c>
      <c r="H356" s="87" t="s">
        <v>117</v>
      </c>
      <c r="I356" s="2"/>
    </row>
    <row r="357" spans="1:9" ht="19.8" customHeight="1" x14ac:dyDescent="0.3">
      <c r="A357" s="133">
        <v>46019</v>
      </c>
      <c r="B357" s="75" t="s">
        <v>35</v>
      </c>
      <c r="C357" s="76" t="s">
        <v>36</v>
      </c>
      <c r="D357" s="75" t="s">
        <v>1</v>
      </c>
      <c r="E357" s="134">
        <v>1.305555555555556</v>
      </c>
      <c r="F357" s="75" t="s">
        <v>37</v>
      </c>
      <c r="G357" s="77">
        <v>19</v>
      </c>
      <c r="H357" s="130">
        <v>309</v>
      </c>
      <c r="I357" s="2"/>
    </row>
    <row r="358" spans="1:9" ht="19.8" customHeight="1" x14ac:dyDescent="0.3">
      <c r="A358" s="133">
        <v>46019</v>
      </c>
      <c r="B358" s="75" t="s">
        <v>44</v>
      </c>
      <c r="C358" s="76" t="s">
        <v>53</v>
      </c>
      <c r="D358" s="75" t="s">
        <v>1</v>
      </c>
      <c r="E358" s="134">
        <v>1.850694444444444</v>
      </c>
      <c r="F358" s="75" t="s">
        <v>46</v>
      </c>
      <c r="G358" s="77">
        <v>7</v>
      </c>
      <c r="H358" s="130">
        <v>349</v>
      </c>
      <c r="I358" s="2"/>
    </row>
    <row r="359" spans="1:9" ht="19.8" customHeight="1" x14ac:dyDescent="0.3">
      <c r="A359" s="133">
        <v>46019</v>
      </c>
      <c r="B359" s="75" t="s">
        <v>31</v>
      </c>
      <c r="C359" s="76" t="s">
        <v>32</v>
      </c>
      <c r="D359" s="75" t="s">
        <v>1</v>
      </c>
      <c r="E359" s="134">
        <v>1.864583333333333</v>
      </c>
      <c r="F359" s="75" t="s">
        <v>59</v>
      </c>
      <c r="G359" s="77">
        <v>9</v>
      </c>
      <c r="H359" s="130">
        <v>411</v>
      </c>
      <c r="I359" s="2"/>
    </row>
    <row r="360" spans="1:9" ht="19.8" customHeight="1" x14ac:dyDescent="0.3">
      <c r="A360" s="133">
        <v>46019</v>
      </c>
      <c r="B360" s="75" t="s">
        <v>31</v>
      </c>
      <c r="C360" s="76" t="s">
        <v>62</v>
      </c>
      <c r="D360" s="75" t="s">
        <v>1</v>
      </c>
      <c r="E360" s="134">
        <v>1.5277777777777779</v>
      </c>
      <c r="F360" s="75" t="s">
        <v>59</v>
      </c>
      <c r="G360" s="77">
        <v>9</v>
      </c>
      <c r="H360" s="130">
        <v>411</v>
      </c>
      <c r="I360" s="2"/>
    </row>
    <row r="361" spans="1:9" ht="19.8" customHeight="1" x14ac:dyDescent="0.3">
      <c r="A361" s="133">
        <v>46019</v>
      </c>
      <c r="B361" s="75" t="s">
        <v>31</v>
      </c>
      <c r="C361" s="76" t="s">
        <v>58</v>
      </c>
      <c r="D361" s="75" t="s">
        <v>1</v>
      </c>
      <c r="E361" s="134">
        <v>1.1701388888888891</v>
      </c>
      <c r="F361" s="75" t="s">
        <v>59</v>
      </c>
      <c r="G361" s="77">
        <v>9</v>
      </c>
      <c r="H361" s="130">
        <v>411</v>
      </c>
      <c r="I361" s="2"/>
    </row>
    <row r="362" spans="1:9" ht="19.8" customHeight="1" x14ac:dyDescent="0.3">
      <c r="A362" s="133">
        <v>46019</v>
      </c>
      <c r="B362" s="75" t="s">
        <v>26</v>
      </c>
      <c r="C362" s="76" t="s">
        <v>93</v>
      </c>
      <c r="D362" s="75" t="s">
        <v>1</v>
      </c>
      <c r="E362" s="134">
        <v>1.958333333333333</v>
      </c>
      <c r="F362" s="75" t="s">
        <v>156</v>
      </c>
      <c r="G362" s="77">
        <v>9</v>
      </c>
      <c r="H362" s="130">
        <v>439</v>
      </c>
      <c r="I362" s="2"/>
    </row>
    <row r="363" spans="1:9" ht="19.8" customHeight="1" x14ac:dyDescent="0.3">
      <c r="A363" s="133">
        <v>46019</v>
      </c>
      <c r="B363" s="75" t="s">
        <v>44</v>
      </c>
      <c r="C363" s="76" t="s">
        <v>53</v>
      </c>
      <c r="D363" s="75" t="s">
        <v>1</v>
      </c>
      <c r="E363" s="134">
        <v>1.850694444444444</v>
      </c>
      <c r="F363" s="75" t="s">
        <v>49</v>
      </c>
      <c r="G363" s="77">
        <v>7</v>
      </c>
      <c r="H363" s="130">
        <v>449</v>
      </c>
      <c r="I363" s="2"/>
    </row>
    <row r="364" spans="1:9" ht="19.8" customHeight="1" x14ac:dyDescent="0.3">
      <c r="A364" s="133">
        <v>46019</v>
      </c>
      <c r="B364" s="75" t="s">
        <v>35</v>
      </c>
      <c r="C364" s="76" t="s">
        <v>36</v>
      </c>
      <c r="D364" s="75" t="s">
        <v>1</v>
      </c>
      <c r="E364" s="134">
        <v>1.305555555555556</v>
      </c>
      <c r="F364" s="75" t="s">
        <v>40</v>
      </c>
      <c r="G364" s="77">
        <v>19</v>
      </c>
      <c r="H364" s="130">
        <v>459</v>
      </c>
      <c r="I364" s="2"/>
    </row>
    <row r="365" spans="1:9" ht="19.8" customHeight="1" x14ac:dyDescent="0.3">
      <c r="A365" s="133">
        <v>46019</v>
      </c>
      <c r="B365" s="75" t="s">
        <v>44</v>
      </c>
      <c r="C365" s="76" t="s">
        <v>53</v>
      </c>
      <c r="D365" s="75" t="s">
        <v>1</v>
      </c>
      <c r="E365" s="134">
        <v>1.850694444444444</v>
      </c>
      <c r="F365" s="75" t="s">
        <v>51</v>
      </c>
      <c r="G365" s="77">
        <v>7</v>
      </c>
      <c r="H365" s="130">
        <v>539</v>
      </c>
      <c r="I365" s="2"/>
    </row>
    <row r="366" spans="1:9" ht="19.8" customHeight="1" x14ac:dyDescent="0.3">
      <c r="A366" s="133">
        <v>46019</v>
      </c>
      <c r="B366" s="75" t="s">
        <v>35</v>
      </c>
      <c r="C366" s="76" t="s">
        <v>36</v>
      </c>
      <c r="D366" s="75" t="s">
        <v>1</v>
      </c>
      <c r="E366" s="134">
        <v>1.305555555555556</v>
      </c>
      <c r="F366" s="75" t="s">
        <v>42</v>
      </c>
      <c r="G366" s="77">
        <v>19</v>
      </c>
      <c r="H366" s="130">
        <v>899</v>
      </c>
      <c r="I366" s="2"/>
    </row>
    <row r="367" spans="1:9" ht="19.8" customHeight="1" x14ac:dyDescent="0.3">
      <c r="A367" s="135">
        <v>46019</v>
      </c>
      <c r="B367" s="79" t="s">
        <v>69</v>
      </c>
      <c r="C367" s="80" t="s">
        <v>70</v>
      </c>
      <c r="D367" s="79" t="s">
        <v>1</v>
      </c>
      <c r="E367" s="136">
        <v>1.305555555555556</v>
      </c>
      <c r="F367" s="79" t="s">
        <v>71</v>
      </c>
      <c r="G367" s="81">
        <v>4</v>
      </c>
      <c r="H367" s="87" t="s">
        <v>117</v>
      </c>
      <c r="I367" s="2"/>
    </row>
    <row r="368" spans="1:9" ht="19.8" customHeight="1" x14ac:dyDescent="0.3">
      <c r="A368" s="133">
        <v>46020</v>
      </c>
      <c r="B368" s="75" t="s">
        <v>35</v>
      </c>
      <c r="C368" s="76" t="s">
        <v>36</v>
      </c>
      <c r="D368" s="75" t="s">
        <v>1</v>
      </c>
      <c r="E368" s="134">
        <v>1.305555555555556</v>
      </c>
      <c r="F368" s="75" t="s">
        <v>37</v>
      </c>
      <c r="G368" s="77">
        <v>15</v>
      </c>
      <c r="H368" s="130">
        <v>309</v>
      </c>
      <c r="I368" s="2"/>
    </row>
    <row r="369" spans="1:9" ht="19.8" customHeight="1" x14ac:dyDescent="0.3">
      <c r="A369" s="133">
        <v>46020</v>
      </c>
      <c r="B369" s="75" t="s">
        <v>44</v>
      </c>
      <c r="C369" s="76" t="s">
        <v>53</v>
      </c>
      <c r="D369" s="75" t="s">
        <v>1</v>
      </c>
      <c r="E369" s="134">
        <v>1.836805555555556</v>
      </c>
      <c r="F369" s="75" t="s">
        <v>46</v>
      </c>
      <c r="G369" s="77">
        <v>9</v>
      </c>
      <c r="H369" s="130">
        <v>349</v>
      </c>
      <c r="I369" s="2"/>
    </row>
    <row r="370" spans="1:9" ht="19.8" customHeight="1" x14ac:dyDescent="0.3">
      <c r="A370" s="133">
        <v>46020</v>
      </c>
      <c r="B370" s="75" t="s">
        <v>44</v>
      </c>
      <c r="C370" s="76" t="s">
        <v>45</v>
      </c>
      <c r="D370" s="75" t="s">
        <v>1</v>
      </c>
      <c r="E370" s="134">
        <v>1.2013888888888891</v>
      </c>
      <c r="F370" s="75" t="s">
        <v>46</v>
      </c>
      <c r="G370" s="77">
        <v>9</v>
      </c>
      <c r="H370" s="130">
        <v>349</v>
      </c>
      <c r="I370" s="2"/>
    </row>
    <row r="371" spans="1:9" ht="19.8" customHeight="1" x14ac:dyDescent="0.3">
      <c r="A371" s="133">
        <v>46020</v>
      </c>
      <c r="B371" s="75" t="s">
        <v>31</v>
      </c>
      <c r="C371" s="76" t="s">
        <v>32</v>
      </c>
      <c r="D371" s="75" t="s">
        <v>1</v>
      </c>
      <c r="E371" s="134">
        <v>1.864583333333333</v>
      </c>
      <c r="F371" s="75" t="s">
        <v>59</v>
      </c>
      <c r="G371" s="77">
        <v>9</v>
      </c>
      <c r="H371" s="130">
        <v>411</v>
      </c>
      <c r="I371" s="2"/>
    </row>
    <row r="372" spans="1:9" ht="19.8" customHeight="1" x14ac:dyDescent="0.3">
      <c r="A372" s="133">
        <v>46020</v>
      </c>
      <c r="B372" s="75" t="s">
        <v>31</v>
      </c>
      <c r="C372" s="76" t="s">
        <v>62</v>
      </c>
      <c r="D372" s="75" t="s">
        <v>1</v>
      </c>
      <c r="E372" s="134">
        <v>1.5277777777777779</v>
      </c>
      <c r="F372" s="75" t="s">
        <v>59</v>
      </c>
      <c r="G372" s="77">
        <v>9</v>
      </c>
      <c r="H372" s="130">
        <v>411</v>
      </c>
      <c r="I372" s="2"/>
    </row>
    <row r="373" spans="1:9" ht="19.8" customHeight="1" x14ac:dyDescent="0.3">
      <c r="A373" s="133">
        <v>46020</v>
      </c>
      <c r="B373" s="75" t="s">
        <v>31</v>
      </c>
      <c r="C373" s="76" t="s">
        <v>58</v>
      </c>
      <c r="D373" s="75" t="s">
        <v>1</v>
      </c>
      <c r="E373" s="134">
        <v>1.1701388888888891</v>
      </c>
      <c r="F373" s="75" t="s">
        <v>59</v>
      </c>
      <c r="G373" s="77">
        <v>9</v>
      </c>
      <c r="H373" s="130">
        <v>411</v>
      </c>
      <c r="I373" s="2"/>
    </row>
    <row r="374" spans="1:9" ht="19.8" customHeight="1" x14ac:dyDescent="0.3">
      <c r="A374" s="133">
        <v>46020</v>
      </c>
      <c r="B374" s="75" t="s">
        <v>79</v>
      </c>
      <c r="C374" s="76" t="s">
        <v>150</v>
      </c>
      <c r="D374" s="75" t="s">
        <v>1</v>
      </c>
      <c r="E374" s="134">
        <v>1.1284722222222221</v>
      </c>
      <c r="F374" s="75" t="s">
        <v>156</v>
      </c>
      <c r="G374" s="77">
        <v>3</v>
      </c>
      <c r="H374" s="130">
        <v>425</v>
      </c>
      <c r="I374" s="2"/>
    </row>
    <row r="375" spans="1:9" ht="19.8" customHeight="1" x14ac:dyDescent="0.3">
      <c r="A375" s="133">
        <v>46020</v>
      </c>
      <c r="B375" s="75" t="s">
        <v>26</v>
      </c>
      <c r="C375" s="76" t="s">
        <v>27</v>
      </c>
      <c r="D375" s="75" t="s">
        <v>1</v>
      </c>
      <c r="E375" s="134">
        <v>1.958333333333333</v>
      </c>
      <c r="F375" s="75" t="s">
        <v>156</v>
      </c>
      <c r="G375" s="77">
        <v>9</v>
      </c>
      <c r="H375" s="130">
        <v>439</v>
      </c>
      <c r="I375" s="2"/>
    </row>
    <row r="376" spans="1:9" ht="19.8" customHeight="1" x14ac:dyDescent="0.3">
      <c r="A376" s="133">
        <v>46020</v>
      </c>
      <c r="B376" s="75" t="s">
        <v>44</v>
      </c>
      <c r="C376" s="76" t="s">
        <v>53</v>
      </c>
      <c r="D376" s="75" t="s">
        <v>1</v>
      </c>
      <c r="E376" s="134">
        <v>1.836805555555556</v>
      </c>
      <c r="F376" s="75" t="s">
        <v>49</v>
      </c>
      <c r="G376" s="77">
        <v>9</v>
      </c>
      <c r="H376" s="130">
        <v>449</v>
      </c>
      <c r="I376" s="2"/>
    </row>
    <row r="377" spans="1:9" ht="19.8" customHeight="1" x14ac:dyDescent="0.3">
      <c r="A377" s="133">
        <v>46020</v>
      </c>
      <c r="B377" s="75" t="s">
        <v>44</v>
      </c>
      <c r="C377" s="76" t="s">
        <v>45</v>
      </c>
      <c r="D377" s="75" t="s">
        <v>1</v>
      </c>
      <c r="E377" s="134">
        <v>1.2013888888888891</v>
      </c>
      <c r="F377" s="75" t="s">
        <v>49</v>
      </c>
      <c r="G377" s="77">
        <v>9</v>
      </c>
      <c r="H377" s="130">
        <v>449</v>
      </c>
      <c r="I377" s="2"/>
    </row>
    <row r="378" spans="1:9" ht="19.8" customHeight="1" x14ac:dyDescent="0.3">
      <c r="A378" s="133">
        <v>46020</v>
      </c>
      <c r="B378" s="75" t="s">
        <v>35</v>
      </c>
      <c r="C378" s="76" t="s">
        <v>36</v>
      </c>
      <c r="D378" s="75" t="s">
        <v>1</v>
      </c>
      <c r="E378" s="134">
        <v>1.305555555555556</v>
      </c>
      <c r="F378" s="75" t="s">
        <v>40</v>
      </c>
      <c r="G378" s="77">
        <v>15</v>
      </c>
      <c r="H378" s="130">
        <v>459</v>
      </c>
      <c r="I378" s="2"/>
    </row>
    <row r="379" spans="1:9" ht="19.8" customHeight="1" x14ac:dyDescent="0.3">
      <c r="A379" s="133">
        <v>46020</v>
      </c>
      <c r="B379" s="75" t="s">
        <v>44</v>
      </c>
      <c r="C379" s="76" t="s">
        <v>53</v>
      </c>
      <c r="D379" s="75" t="s">
        <v>1</v>
      </c>
      <c r="E379" s="134">
        <v>1.836805555555556</v>
      </c>
      <c r="F379" s="75" t="s">
        <v>51</v>
      </c>
      <c r="G379" s="77">
        <v>9</v>
      </c>
      <c r="H379" s="130">
        <v>539</v>
      </c>
      <c r="I379" s="2"/>
    </row>
    <row r="380" spans="1:9" ht="19.8" customHeight="1" x14ac:dyDescent="0.3">
      <c r="A380" s="133">
        <v>46020</v>
      </c>
      <c r="B380" s="75" t="s">
        <v>44</v>
      </c>
      <c r="C380" s="76" t="s">
        <v>45</v>
      </c>
      <c r="D380" s="75" t="s">
        <v>1</v>
      </c>
      <c r="E380" s="134">
        <v>1.2013888888888891</v>
      </c>
      <c r="F380" s="75" t="s">
        <v>51</v>
      </c>
      <c r="G380" s="77">
        <v>9</v>
      </c>
      <c r="H380" s="130">
        <v>539</v>
      </c>
      <c r="I380" s="2"/>
    </row>
    <row r="381" spans="1:9" ht="19.8" customHeight="1" x14ac:dyDescent="0.3">
      <c r="A381" s="133">
        <v>46020</v>
      </c>
      <c r="B381" s="75" t="s">
        <v>35</v>
      </c>
      <c r="C381" s="76" t="s">
        <v>36</v>
      </c>
      <c r="D381" s="75" t="s">
        <v>1</v>
      </c>
      <c r="E381" s="134">
        <v>1.305555555555556</v>
      </c>
      <c r="F381" s="75" t="s">
        <v>42</v>
      </c>
      <c r="G381" s="77">
        <v>15</v>
      </c>
      <c r="H381" s="130">
        <v>899</v>
      </c>
      <c r="I381" s="2"/>
    </row>
    <row r="382" spans="1:9" ht="19.8" customHeight="1" x14ac:dyDescent="0.3">
      <c r="A382" s="135">
        <v>46020</v>
      </c>
      <c r="B382" s="79" t="s">
        <v>69</v>
      </c>
      <c r="C382" s="80" t="s">
        <v>70</v>
      </c>
      <c r="D382" s="79" t="s">
        <v>1</v>
      </c>
      <c r="E382" s="136">
        <v>1.305555555555556</v>
      </c>
      <c r="F382" s="79" t="s">
        <v>71</v>
      </c>
      <c r="G382" s="81">
        <v>4</v>
      </c>
      <c r="H382" s="87" t="s">
        <v>117</v>
      </c>
      <c r="I382" s="2"/>
    </row>
    <row r="383" spans="1:9" ht="19.8" customHeight="1" x14ac:dyDescent="0.3">
      <c r="A383" s="133">
        <v>46021</v>
      </c>
      <c r="B383" s="75" t="s">
        <v>35</v>
      </c>
      <c r="C383" s="76" t="s">
        <v>36</v>
      </c>
      <c r="D383" s="75" t="s">
        <v>1</v>
      </c>
      <c r="E383" s="134">
        <v>1.305555555555556</v>
      </c>
      <c r="F383" s="75" t="s">
        <v>37</v>
      </c>
      <c r="G383" s="77">
        <v>11</v>
      </c>
      <c r="H383" s="130">
        <v>309</v>
      </c>
      <c r="I383" s="2"/>
    </row>
    <row r="384" spans="1:9" ht="19.8" customHeight="1" x14ac:dyDescent="0.3">
      <c r="A384" s="133">
        <v>46021</v>
      </c>
      <c r="B384" s="75" t="s">
        <v>44</v>
      </c>
      <c r="C384" s="76" t="s">
        <v>45</v>
      </c>
      <c r="D384" s="75" t="s">
        <v>1</v>
      </c>
      <c r="E384" s="134">
        <v>1.2013888888888891</v>
      </c>
      <c r="F384" s="75" t="s">
        <v>46</v>
      </c>
      <c r="G384" s="77">
        <v>3</v>
      </c>
      <c r="H384" s="130">
        <v>349</v>
      </c>
      <c r="I384" s="2"/>
    </row>
    <row r="385" spans="1:9" ht="19.8" customHeight="1" x14ac:dyDescent="0.3">
      <c r="A385" s="133">
        <v>46021</v>
      </c>
      <c r="B385" s="75" t="s">
        <v>44</v>
      </c>
      <c r="C385" s="76" t="s">
        <v>53</v>
      </c>
      <c r="D385" s="75" t="s">
        <v>1</v>
      </c>
      <c r="E385" s="134">
        <v>1.836805555555556</v>
      </c>
      <c r="F385" s="75" t="s">
        <v>46</v>
      </c>
      <c r="G385" s="77">
        <v>7</v>
      </c>
      <c r="H385" s="130">
        <v>409</v>
      </c>
      <c r="I385" s="2"/>
    </row>
    <row r="386" spans="1:9" ht="19.8" customHeight="1" x14ac:dyDescent="0.3">
      <c r="A386" s="133">
        <v>46021</v>
      </c>
      <c r="B386" s="75" t="s">
        <v>31</v>
      </c>
      <c r="C386" s="76" t="s">
        <v>32</v>
      </c>
      <c r="D386" s="75" t="s">
        <v>1</v>
      </c>
      <c r="E386" s="134">
        <v>1.864583333333333</v>
      </c>
      <c r="F386" s="75" t="s">
        <v>59</v>
      </c>
      <c r="G386" s="77">
        <v>9</v>
      </c>
      <c r="H386" s="130">
        <v>411</v>
      </c>
      <c r="I386" s="2"/>
    </row>
    <row r="387" spans="1:9" ht="19.8" customHeight="1" x14ac:dyDescent="0.3">
      <c r="A387" s="133">
        <v>46021</v>
      </c>
      <c r="B387" s="75" t="s">
        <v>31</v>
      </c>
      <c r="C387" s="76" t="s">
        <v>62</v>
      </c>
      <c r="D387" s="75" t="s">
        <v>1</v>
      </c>
      <c r="E387" s="134">
        <v>1.5277777777777779</v>
      </c>
      <c r="F387" s="75" t="s">
        <v>59</v>
      </c>
      <c r="G387" s="77">
        <v>9</v>
      </c>
      <c r="H387" s="130">
        <v>411</v>
      </c>
      <c r="I387" s="2"/>
    </row>
    <row r="388" spans="1:9" ht="19.8" customHeight="1" x14ac:dyDescent="0.3">
      <c r="A388" s="133">
        <v>46021</v>
      </c>
      <c r="B388" s="75" t="s">
        <v>31</v>
      </c>
      <c r="C388" s="76" t="s">
        <v>58</v>
      </c>
      <c r="D388" s="75" t="s">
        <v>1</v>
      </c>
      <c r="E388" s="134">
        <v>1.1701388888888891</v>
      </c>
      <c r="F388" s="75" t="s">
        <v>59</v>
      </c>
      <c r="G388" s="77">
        <v>9</v>
      </c>
      <c r="H388" s="130">
        <v>411</v>
      </c>
      <c r="I388" s="2"/>
    </row>
    <row r="389" spans="1:9" ht="19.8" customHeight="1" x14ac:dyDescent="0.3">
      <c r="A389" s="133">
        <v>46021</v>
      </c>
      <c r="B389" s="75" t="s">
        <v>26</v>
      </c>
      <c r="C389" s="76" t="s">
        <v>57</v>
      </c>
      <c r="D389" s="75" t="s">
        <v>1</v>
      </c>
      <c r="E389" s="134">
        <v>1.958333333333333</v>
      </c>
      <c r="F389" s="75" t="s">
        <v>156</v>
      </c>
      <c r="G389" s="77">
        <v>9</v>
      </c>
      <c r="H389" s="130">
        <v>439</v>
      </c>
      <c r="I389" s="2"/>
    </row>
    <row r="390" spans="1:9" ht="19.8" customHeight="1" x14ac:dyDescent="0.3">
      <c r="A390" s="133">
        <v>46021</v>
      </c>
      <c r="B390" s="75" t="s">
        <v>44</v>
      </c>
      <c r="C390" s="76" t="s">
        <v>45</v>
      </c>
      <c r="D390" s="75" t="s">
        <v>1</v>
      </c>
      <c r="E390" s="134">
        <v>1.2013888888888891</v>
      </c>
      <c r="F390" s="75" t="s">
        <v>49</v>
      </c>
      <c r="G390" s="77">
        <v>3</v>
      </c>
      <c r="H390" s="130">
        <v>449</v>
      </c>
      <c r="I390" s="2"/>
    </row>
    <row r="391" spans="1:9" ht="19.8" customHeight="1" x14ac:dyDescent="0.3">
      <c r="A391" s="133">
        <v>46021</v>
      </c>
      <c r="B391" s="75" t="s">
        <v>35</v>
      </c>
      <c r="C391" s="76" t="s">
        <v>36</v>
      </c>
      <c r="D391" s="75" t="s">
        <v>1</v>
      </c>
      <c r="E391" s="134">
        <v>1.305555555555556</v>
      </c>
      <c r="F391" s="75" t="s">
        <v>40</v>
      </c>
      <c r="G391" s="77">
        <v>11</v>
      </c>
      <c r="H391" s="130">
        <v>459</v>
      </c>
      <c r="I391" s="2"/>
    </row>
    <row r="392" spans="1:9" ht="19.8" customHeight="1" x14ac:dyDescent="0.3">
      <c r="A392" s="133">
        <v>46021</v>
      </c>
      <c r="B392" s="75" t="s">
        <v>44</v>
      </c>
      <c r="C392" s="76" t="s">
        <v>53</v>
      </c>
      <c r="D392" s="75" t="s">
        <v>1</v>
      </c>
      <c r="E392" s="134">
        <v>1.836805555555556</v>
      </c>
      <c r="F392" s="75" t="s">
        <v>49</v>
      </c>
      <c r="G392" s="77">
        <v>7</v>
      </c>
      <c r="H392" s="130">
        <v>509</v>
      </c>
      <c r="I392" s="2"/>
    </row>
    <row r="393" spans="1:9" ht="19.8" customHeight="1" x14ac:dyDescent="0.3">
      <c r="A393" s="133">
        <v>46021</v>
      </c>
      <c r="B393" s="75" t="s">
        <v>44</v>
      </c>
      <c r="C393" s="76" t="s">
        <v>45</v>
      </c>
      <c r="D393" s="75" t="s">
        <v>1</v>
      </c>
      <c r="E393" s="134">
        <v>1.2013888888888891</v>
      </c>
      <c r="F393" s="75" t="s">
        <v>51</v>
      </c>
      <c r="G393" s="77">
        <v>3</v>
      </c>
      <c r="H393" s="130">
        <v>539</v>
      </c>
      <c r="I393" s="2"/>
    </row>
    <row r="394" spans="1:9" ht="19.8" customHeight="1" x14ac:dyDescent="0.3">
      <c r="A394" s="133">
        <v>46021</v>
      </c>
      <c r="B394" s="75" t="s">
        <v>44</v>
      </c>
      <c r="C394" s="76" t="s">
        <v>53</v>
      </c>
      <c r="D394" s="75" t="s">
        <v>1</v>
      </c>
      <c r="E394" s="134">
        <v>1.836805555555556</v>
      </c>
      <c r="F394" s="75" t="s">
        <v>51</v>
      </c>
      <c r="G394" s="77">
        <v>7</v>
      </c>
      <c r="H394" s="130">
        <v>599</v>
      </c>
      <c r="I394" s="2"/>
    </row>
    <row r="395" spans="1:9" ht="19.8" customHeight="1" x14ac:dyDescent="0.3">
      <c r="A395" s="137">
        <v>46021</v>
      </c>
      <c r="B395" s="83" t="s">
        <v>63</v>
      </c>
      <c r="C395" s="84" t="s">
        <v>64</v>
      </c>
      <c r="D395" s="83" t="s">
        <v>1</v>
      </c>
      <c r="E395" s="138">
        <v>1.270833333333333</v>
      </c>
      <c r="F395" s="83" t="s">
        <v>28</v>
      </c>
      <c r="G395" s="85">
        <v>9</v>
      </c>
      <c r="H395" s="132">
        <v>716</v>
      </c>
      <c r="I395" s="2"/>
    </row>
    <row r="396" spans="1:9" ht="19.8" customHeight="1" x14ac:dyDescent="0.3">
      <c r="A396" s="133">
        <v>46021</v>
      </c>
      <c r="B396" s="75" t="s">
        <v>35</v>
      </c>
      <c r="C396" s="76" t="s">
        <v>36</v>
      </c>
      <c r="D396" s="75" t="s">
        <v>1</v>
      </c>
      <c r="E396" s="134">
        <v>1.305555555555556</v>
      </c>
      <c r="F396" s="75" t="s">
        <v>42</v>
      </c>
      <c r="G396" s="77">
        <v>11</v>
      </c>
      <c r="H396" s="130">
        <v>899</v>
      </c>
      <c r="I396" s="2"/>
    </row>
    <row r="397" spans="1:9" ht="19.8" customHeight="1" x14ac:dyDescent="0.3">
      <c r="A397" s="135">
        <v>46021</v>
      </c>
      <c r="B397" s="79" t="s">
        <v>69</v>
      </c>
      <c r="C397" s="80" t="s">
        <v>70</v>
      </c>
      <c r="D397" s="79" t="s">
        <v>1</v>
      </c>
      <c r="E397" s="136">
        <v>1.305555555555556</v>
      </c>
      <c r="F397" s="79" t="s">
        <v>71</v>
      </c>
      <c r="G397" s="81">
        <v>4</v>
      </c>
      <c r="H397" s="87" t="s">
        <v>117</v>
      </c>
      <c r="I397" s="2"/>
    </row>
    <row r="398" spans="1:9" ht="19.8" customHeight="1" x14ac:dyDescent="0.3">
      <c r="A398" s="133">
        <v>46022</v>
      </c>
      <c r="B398" s="75" t="s">
        <v>74</v>
      </c>
      <c r="C398" s="76" t="s">
        <v>75</v>
      </c>
      <c r="D398" s="75" t="s">
        <v>1</v>
      </c>
      <c r="E398" s="134">
        <v>1.9722222222222221</v>
      </c>
      <c r="F398" s="75" t="s">
        <v>76</v>
      </c>
      <c r="G398" s="77">
        <v>9</v>
      </c>
      <c r="H398" s="130">
        <v>348</v>
      </c>
      <c r="I398" s="2"/>
    </row>
    <row r="399" spans="1:9" ht="19.8" customHeight="1" x14ac:dyDescent="0.3">
      <c r="A399" s="133">
        <v>46022</v>
      </c>
      <c r="B399" s="75" t="s">
        <v>35</v>
      </c>
      <c r="C399" s="76" t="s">
        <v>36</v>
      </c>
      <c r="D399" s="75" t="s">
        <v>1</v>
      </c>
      <c r="E399" s="134">
        <v>1.305555555555556</v>
      </c>
      <c r="F399" s="75" t="s">
        <v>37</v>
      </c>
      <c r="G399" s="77">
        <v>20</v>
      </c>
      <c r="H399" s="130">
        <v>369</v>
      </c>
      <c r="I399" s="2"/>
    </row>
    <row r="400" spans="1:9" ht="19.8" customHeight="1" x14ac:dyDescent="0.3">
      <c r="A400" s="133">
        <v>46022</v>
      </c>
      <c r="B400" s="75" t="s">
        <v>31</v>
      </c>
      <c r="C400" s="76" t="s">
        <v>32</v>
      </c>
      <c r="D400" s="75" t="s">
        <v>1</v>
      </c>
      <c r="E400" s="134">
        <v>1.864583333333333</v>
      </c>
      <c r="F400" s="75" t="s">
        <v>59</v>
      </c>
      <c r="G400" s="77">
        <v>9</v>
      </c>
      <c r="H400" s="130">
        <v>411</v>
      </c>
      <c r="I400" s="2"/>
    </row>
    <row r="401" spans="1:9" ht="19.8" customHeight="1" x14ac:dyDescent="0.3">
      <c r="A401" s="133">
        <v>46022</v>
      </c>
      <c r="B401" s="75" t="s">
        <v>31</v>
      </c>
      <c r="C401" s="76" t="s">
        <v>62</v>
      </c>
      <c r="D401" s="75" t="s">
        <v>1</v>
      </c>
      <c r="E401" s="134">
        <v>1.5277777777777779</v>
      </c>
      <c r="F401" s="75" t="s">
        <v>59</v>
      </c>
      <c r="G401" s="77">
        <v>9</v>
      </c>
      <c r="H401" s="130">
        <v>411</v>
      </c>
      <c r="I401" s="2"/>
    </row>
    <row r="402" spans="1:9" ht="19.8" customHeight="1" x14ac:dyDescent="0.3">
      <c r="A402" s="133">
        <v>46022</v>
      </c>
      <c r="B402" s="75" t="s">
        <v>31</v>
      </c>
      <c r="C402" s="76" t="s">
        <v>58</v>
      </c>
      <c r="D402" s="75" t="s">
        <v>1</v>
      </c>
      <c r="E402" s="134">
        <v>1.1701388888888891</v>
      </c>
      <c r="F402" s="75" t="s">
        <v>59</v>
      </c>
      <c r="G402" s="77">
        <v>9</v>
      </c>
      <c r="H402" s="130">
        <v>411</v>
      </c>
      <c r="I402" s="2"/>
    </row>
    <row r="403" spans="1:9" ht="19.8" customHeight="1" x14ac:dyDescent="0.3">
      <c r="A403" s="133">
        <v>46022</v>
      </c>
      <c r="B403" s="75" t="s">
        <v>44</v>
      </c>
      <c r="C403" s="76" t="s">
        <v>53</v>
      </c>
      <c r="D403" s="75" t="s">
        <v>1</v>
      </c>
      <c r="E403" s="134">
        <v>1.850694444444444</v>
      </c>
      <c r="F403" s="75" t="s">
        <v>46</v>
      </c>
      <c r="G403" s="77">
        <v>6</v>
      </c>
      <c r="H403" s="130">
        <v>439</v>
      </c>
      <c r="I403" s="2"/>
    </row>
    <row r="404" spans="1:9" ht="19.8" customHeight="1" x14ac:dyDescent="0.3">
      <c r="A404" s="133">
        <v>46022</v>
      </c>
      <c r="B404" s="75" t="s">
        <v>26</v>
      </c>
      <c r="C404" s="76" t="s">
        <v>27</v>
      </c>
      <c r="D404" s="75" t="s">
        <v>1</v>
      </c>
      <c r="E404" s="134">
        <v>1.895833333333333</v>
      </c>
      <c r="F404" s="75" t="s">
        <v>156</v>
      </c>
      <c r="G404" s="77">
        <v>9</v>
      </c>
      <c r="H404" s="130">
        <v>439</v>
      </c>
      <c r="I404" s="2"/>
    </row>
    <row r="405" spans="1:9" ht="19.8" customHeight="1" x14ac:dyDescent="0.3">
      <c r="A405" s="133">
        <v>46022</v>
      </c>
      <c r="B405" s="75" t="s">
        <v>79</v>
      </c>
      <c r="C405" s="76" t="s">
        <v>80</v>
      </c>
      <c r="D405" s="75" t="s">
        <v>1</v>
      </c>
      <c r="E405" s="134">
        <v>1.0902777777777779</v>
      </c>
      <c r="F405" s="75" t="s">
        <v>156</v>
      </c>
      <c r="G405" s="77">
        <v>8</v>
      </c>
      <c r="H405" s="130">
        <v>500</v>
      </c>
      <c r="I405" s="2"/>
    </row>
    <row r="406" spans="1:9" ht="19.8" customHeight="1" x14ac:dyDescent="0.3">
      <c r="A406" s="133">
        <v>46022</v>
      </c>
      <c r="B406" s="75" t="s">
        <v>35</v>
      </c>
      <c r="C406" s="76" t="s">
        <v>36</v>
      </c>
      <c r="D406" s="75" t="s">
        <v>1</v>
      </c>
      <c r="E406" s="134">
        <v>1.305555555555556</v>
      </c>
      <c r="F406" s="75" t="s">
        <v>40</v>
      </c>
      <c r="G406" s="77">
        <v>20</v>
      </c>
      <c r="H406" s="130">
        <v>519</v>
      </c>
      <c r="I406" s="2"/>
    </row>
    <row r="407" spans="1:9" ht="19.8" customHeight="1" x14ac:dyDescent="0.3">
      <c r="A407" s="133">
        <v>46022</v>
      </c>
      <c r="B407" s="75" t="s">
        <v>44</v>
      </c>
      <c r="C407" s="76" t="s">
        <v>53</v>
      </c>
      <c r="D407" s="75" t="s">
        <v>1</v>
      </c>
      <c r="E407" s="134">
        <v>1.850694444444444</v>
      </c>
      <c r="F407" s="75" t="s">
        <v>49</v>
      </c>
      <c r="G407" s="77">
        <v>6</v>
      </c>
      <c r="H407" s="130">
        <v>539</v>
      </c>
      <c r="I407" s="2"/>
    </row>
    <row r="408" spans="1:9" ht="19.8" customHeight="1" x14ac:dyDescent="0.3">
      <c r="A408" s="133">
        <v>46022</v>
      </c>
      <c r="B408" s="75" t="s">
        <v>74</v>
      </c>
      <c r="C408" s="76" t="s">
        <v>75</v>
      </c>
      <c r="D408" s="75" t="s">
        <v>1</v>
      </c>
      <c r="E408" s="134">
        <v>1.9722222222222221</v>
      </c>
      <c r="F408" s="75" t="s">
        <v>42</v>
      </c>
      <c r="G408" s="77">
        <v>9</v>
      </c>
      <c r="H408" s="130">
        <v>554</v>
      </c>
      <c r="I408" s="2"/>
    </row>
    <row r="409" spans="1:9" ht="19.8" customHeight="1" x14ac:dyDescent="0.3">
      <c r="A409" s="133">
        <v>46022</v>
      </c>
      <c r="B409" s="75" t="s">
        <v>44</v>
      </c>
      <c r="C409" s="76" t="s">
        <v>53</v>
      </c>
      <c r="D409" s="75" t="s">
        <v>1</v>
      </c>
      <c r="E409" s="134">
        <v>1.850694444444444</v>
      </c>
      <c r="F409" s="75" t="s">
        <v>51</v>
      </c>
      <c r="G409" s="77">
        <v>6</v>
      </c>
      <c r="H409" s="130">
        <v>629</v>
      </c>
      <c r="I409" s="2"/>
    </row>
    <row r="410" spans="1:9" ht="19.8" customHeight="1" x14ac:dyDescent="0.3">
      <c r="A410" s="133">
        <v>46022</v>
      </c>
      <c r="B410" s="75" t="s">
        <v>35</v>
      </c>
      <c r="C410" s="76" t="s">
        <v>36</v>
      </c>
      <c r="D410" s="75" t="s">
        <v>1</v>
      </c>
      <c r="E410" s="134">
        <v>1.305555555555556</v>
      </c>
      <c r="F410" s="75" t="s">
        <v>42</v>
      </c>
      <c r="G410" s="77">
        <v>20</v>
      </c>
      <c r="H410" s="130">
        <v>899</v>
      </c>
      <c r="I410" s="2"/>
    </row>
    <row r="411" spans="1:9" ht="19.8" customHeight="1" x14ac:dyDescent="0.3">
      <c r="A411" s="135">
        <v>46022</v>
      </c>
      <c r="B411" s="79" t="s">
        <v>69</v>
      </c>
      <c r="C411" s="80" t="s">
        <v>70</v>
      </c>
      <c r="D411" s="79" t="s">
        <v>1</v>
      </c>
      <c r="E411" s="136">
        <v>1.305555555555556</v>
      </c>
      <c r="F411" s="79" t="s">
        <v>71</v>
      </c>
      <c r="G411" s="81">
        <v>4</v>
      </c>
      <c r="H411" s="87" t="s">
        <v>109</v>
      </c>
      <c r="I411" s="2"/>
    </row>
    <row r="412" spans="1:9" ht="19.8" customHeight="1" x14ac:dyDescent="0.3">
      <c r="A412" s="133">
        <v>46023</v>
      </c>
      <c r="B412" s="75" t="s">
        <v>35</v>
      </c>
      <c r="C412" s="76" t="s">
        <v>36</v>
      </c>
      <c r="D412" s="75" t="s">
        <v>1</v>
      </c>
      <c r="E412" s="134">
        <v>1.305555555555556</v>
      </c>
      <c r="F412" s="75" t="s">
        <v>37</v>
      </c>
      <c r="G412" s="77">
        <v>18</v>
      </c>
      <c r="H412" s="130">
        <v>369</v>
      </c>
      <c r="I412" s="2"/>
    </row>
    <row r="413" spans="1:9" ht="19.8" customHeight="1" x14ac:dyDescent="0.3">
      <c r="A413" s="133">
        <v>46023</v>
      </c>
      <c r="B413" s="75" t="s">
        <v>44</v>
      </c>
      <c r="C413" s="76" t="s">
        <v>45</v>
      </c>
      <c r="D413" s="75" t="s">
        <v>1</v>
      </c>
      <c r="E413" s="134">
        <v>1.2013888888888891</v>
      </c>
      <c r="F413" s="75" t="s">
        <v>46</v>
      </c>
      <c r="G413" s="77">
        <v>9</v>
      </c>
      <c r="H413" s="130">
        <v>479</v>
      </c>
      <c r="I413" s="2"/>
    </row>
    <row r="414" spans="1:9" ht="19.8" customHeight="1" x14ac:dyDescent="0.3">
      <c r="A414" s="133">
        <v>46023</v>
      </c>
      <c r="B414" s="75" t="s">
        <v>31</v>
      </c>
      <c r="C414" s="76" t="s">
        <v>58</v>
      </c>
      <c r="D414" s="75" t="s">
        <v>1</v>
      </c>
      <c r="E414" s="134">
        <v>1.1701388888888891</v>
      </c>
      <c r="F414" s="75" t="s">
        <v>94</v>
      </c>
      <c r="G414" s="77">
        <v>9</v>
      </c>
      <c r="H414" s="130">
        <v>487</v>
      </c>
      <c r="I414" s="2"/>
    </row>
    <row r="415" spans="1:9" ht="19.8" customHeight="1" x14ac:dyDescent="0.3">
      <c r="A415" s="133">
        <v>46023</v>
      </c>
      <c r="B415" s="75" t="s">
        <v>79</v>
      </c>
      <c r="C415" s="76" t="s">
        <v>80</v>
      </c>
      <c r="D415" s="75" t="s">
        <v>1</v>
      </c>
      <c r="E415" s="134">
        <v>1.8888888888888891</v>
      </c>
      <c r="F415" s="75" t="s">
        <v>156</v>
      </c>
      <c r="G415" s="77">
        <v>1</v>
      </c>
      <c r="H415" s="130">
        <v>500</v>
      </c>
      <c r="I415" s="2"/>
    </row>
    <row r="416" spans="1:9" ht="19.8" customHeight="1" x14ac:dyDescent="0.3">
      <c r="A416" s="133">
        <v>46023</v>
      </c>
      <c r="B416" s="75" t="s">
        <v>31</v>
      </c>
      <c r="C416" s="76" t="s">
        <v>62</v>
      </c>
      <c r="D416" s="75" t="s">
        <v>1</v>
      </c>
      <c r="E416" s="134">
        <v>1.5277777777777779</v>
      </c>
      <c r="F416" s="75" t="s">
        <v>94</v>
      </c>
      <c r="G416" s="77">
        <v>9</v>
      </c>
      <c r="H416" s="130">
        <v>517</v>
      </c>
      <c r="I416" s="2"/>
    </row>
    <row r="417" spans="1:9" ht="19.8" customHeight="1" x14ac:dyDescent="0.3">
      <c r="A417" s="133">
        <v>46023</v>
      </c>
      <c r="B417" s="75" t="s">
        <v>35</v>
      </c>
      <c r="C417" s="76" t="s">
        <v>36</v>
      </c>
      <c r="D417" s="75" t="s">
        <v>1</v>
      </c>
      <c r="E417" s="134">
        <v>1.305555555555556</v>
      </c>
      <c r="F417" s="75" t="s">
        <v>40</v>
      </c>
      <c r="G417" s="77">
        <v>18</v>
      </c>
      <c r="H417" s="130">
        <v>519</v>
      </c>
      <c r="I417" s="2"/>
    </row>
    <row r="418" spans="1:9" ht="19.8" customHeight="1" x14ac:dyDescent="0.3">
      <c r="A418" s="133">
        <v>46023</v>
      </c>
      <c r="B418" s="75" t="s">
        <v>44</v>
      </c>
      <c r="C418" s="76" t="s">
        <v>53</v>
      </c>
      <c r="D418" s="75" t="s">
        <v>1</v>
      </c>
      <c r="E418" s="134">
        <v>1.836805555555556</v>
      </c>
      <c r="F418" s="75" t="s">
        <v>46</v>
      </c>
      <c r="G418" s="77">
        <v>2</v>
      </c>
      <c r="H418" s="130">
        <v>519</v>
      </c>
      <c r="I418" s="2"/>
    </row>
    <row r="419" spans="1:9" ht="19.8" customHeight="1" x14ac:dyDescent="0.3">
      <c r="A419" s="133">
        <v>46023</v>
      </c>
      <c r="B419" s="75" t="s">
        <v>26</v>
      </c>
      <c r="C419" s="76" t="s">
        <v>93</v>
      </c>
      <c r="D419" s="75" t="s">
        <v>1</v>
      </c>
      <c r="E419" s="134">
        <v>1.5625</v>
      </c>
      <c r="F419" s="75" t="s">
        <v>156</v>
      </c>
      <c r="G419" s="77">
        <v>1</v>
      </c>
      <c r="H419" s="130">
        <v>563</v>
      </c>
      <c r="I419" s="2"/>
    </row>
    <row r="420" spans="1:9" ht="19.8" customHeight="1" x14ac:dyDescent="0.3">
      <c r="A420" s="137">
        <v>46023</v>
      </c>
      <c r="B420" s="83" t="s">
        <v>63</v>
      </c>
      <c r="C420" s="84" t="s">
        <v>64</v>
      </c>
      <c r="D420" s="83" t="s">
        <v>1</v>
      </c>
      <c r="E420" s="138">
        <v>1.9236111111111109</v>
      </c>
      <c r="F420" s="83" t="s">
        <v>156</v>
      </c>
      <c r="G420" s="85">
        <v>2</v>
      </c>
      <c r="H420" s="132">
        <v>566</v>
      </c>
      <c r="I420" s="2"/>
    </row>
    <row r="421" spans="1:9" ht="19.8" customHeight="1" x14ac:dyDescent="0.3">
      <c r="A421" s="133">
        <v>46023</v>
      </c>
      <c r="B421" s="75" t="s">
        <v>44</v>
      </c>
      <c r="C421" s="76" t="s">
        <v>45</v>
      </c>
      <c r="D421" s="75" t="s">
        <v>1</v>
      </c>
      <c r="E421" s="134">
        <v>1.2013888888888891</v>
      </c>
      <c r="F421" s="75" t="s">
        <v>49</v>
      </c>
      <c r="G421" s="77">
        <v>9</v>
      </c>
      <c r="H421" s="130">
        <v>579</v>
      </c>
      <c r="I421" s="2"/>
    </row>
    <row r="422" spans="1:9" ht="19.8" customHeight="1" x14ac:dyDescent="0.3">
      <c r="A422" s="133">
        <v>46023</v>
      </c>
      <c r="B422" s="75" t="s">
        <v>31</v>
      </c>
      <c r="C422" s="76" t="s">
        <v>32</v>
      </c>
      <c r="D422" s="75" t="s">
        <v>1</v>
      </c>
      <c r="E422" s="134">
        <v>1.864583333333333</v>
      </c>
      <c r="F422" s="75" t="s">
        <v>33</v>
      </c>
      <c r="G422" s="77">
        <v>9</v>
      </c>
      <c r="H422" s="130">
        <v>592</v>
      </c>
      <c r="I422" s="2"/>
    </row>
    <row r="423" spans="1:9" ht="19.8" customHeight="1" x14ac:dyDescent="0.3">
      <c r="A423" s="133">
        <v>46023</v>
      </c>
      <c r="B423" s="75" t="s">
        <v>44</v>
      </c>
      <c r="C423" s="76" t="s">
        <v>53</v>
      </c>
      <c r="D423" s="75" t="s">
        <v>1</v>
      </c>
      <c r="E423" s="134">
        <v>1.836805555555556</v>
      </c>
      <c r="F423" s="75" t="s">
        <v>49</v>
      </c>
      <c r="G423" s="77">
        <v>2</v>
      </c>
      <c r="H423" s="130">
        <v>619</v>
      </c>
      <c r="I423" s="2"/>
    </row>
    <row r="424" spans="1:9" ht="19.8" customHeight="1" x14ac:dyDescent="0.3">
      <c r="A424" s="133">
        <v>46023</v>
      </c>
      <c r="B424" s="75" t="s">
        <v>26</v>
      </c>
      <c r="C424" s="76" t="s">
        <v>57</v>
      </c>
      <c r="D424" s="75" t="s">
        <v>1</v>
      </c>
      <c r="E424" s="134">
        <v>1.958333333333333</v>
      </c>
      <c r="F424" s="75" t="s">
        <v>156</v>
      </c>
      <c r="G424" s="77">
        <v>4</v>
      </c>
      <c r="H424" s="130">
        <v>629</v>
      </c>
      <c r="I424" s="2"/>
    </row>
    <row r="425" spans="1:9" ht="19.8" customHeight="1" x14ac:dyDescent="0.3">
      <c r="A425" s="133">
        <v>46023</v>
      </c>
      <c r="B425" s="75" t="s">
        <v>44</v>
      </c>
      <c r="C425" s="76" t="s">
        <v>45</v>
      </c>
      <c r="D425" s="75" t="s">
        <v>1</v>
      </c>
      <c r="E425" s="134">
        <v>1.2013888888888891</v>
      </c>
      <c r="F425" s="75" t="s">
        <v>51</v>
      </c>
      <c r="G425" s="77">
        <v>9</v>
      </c>
      <c r="H425" s="130">
        <v>669</v>
      </c>
      <c r="I425" s="2"/>
    </row>
    <row r="426" spans="1:9" ht="19.8" customHeight="1" x14ac:dyDescent="0.3">
      <c r="A426" s="133">
        <v>46023</v>
      </c>
      <c r="B426" s="75" t="s">
        <v>44</v>
      </c>
      <c r="C426" s="76" t="s">
        <v>53</v>
      </c>
      <c r="D426" s="75" t="s">
        <v>1</v>
      </c>
      <c r="E426" s="134">
        <v>1.836805555555556</v>
      </c>
      <c r="F426" s="75" t="s">
        <v>51</v>
      </c>
      <c r="G426" s="77">
        <v>2</v>
      </c>
      <c r="H426" s="130">
        <v>709</v>
      </c>
      <c r="I426" s="2"/>
    </row>
    <row r="427" spans="1:9" ht="19.8" customHeight="1" x14ac:dyDescent="0.3">
      <c r="A427" s="133">
        <v>46023</v>
      </c>
      <c r="B427" s="75" t="s">
        <v>35</v>
      </c>
      <c r="C427" s="76" t="s">
        <v>36</v>
      </c>
      <c r="D427" s="75" t="s">
        <v>1</v>
      </c>
      <c r="E427" s="134">
        <v>1.305555555555556</v>
      </c>
      <c r="F427" s="75" t="s">
        <v>42</v>
      </c>
      <c r="G427" s="77">
        <v>18</v>
      </c>
      <c r="H427" s="130">
        <v>899</v>
      </c>
      <c r="I427" s="2"/>
    </row>
    <row r="428" spans="1:9" ht="19.8" customHeight="1" x14ac:dyDescent="0.3">
      <c r="A428" s="135">
        <v>46023</v>
      </c>
      <c r="B428" s="79" t="s">
        <v>69</v>
      </c>
      <c r="C428" s="80" t="s">
        <v>70</v>
      </c>
      <c r="D428" s="79" t="s">
        <v>1</v>
      </c>
      <c r="E428" s="136">
        <v>1.305555555555556</v>
      </c>
      <c r="F428" s="79" t="s">
        <v>71</v>
      </c>
      <c r="G428" s="81">
        <v>4</v>
      </c>
      <c r="H428" s="87" t="s">
        <v>109</v>
      </c>
      <c r="I428" s="2"/>
    </row>
    <row r="429" spans="1:9" ht="19.8" customHeight="1" x14ac:dyDescent="0.3">
      <c r="A429" s="133">
        <v>46024</v>
      </c>
      <c r="B429" s="75" t="s">
        <v>31</v>
      </c>
      <c r="C429" s="76" t="s">
        <v>58</v>
      </c>
      <c r="D429" s="75" t="s">
        <v>1</v>
      </c>
      <c r="E429" s="134">
        <v>1.1701388888888891</v>
      </c>
      <c r="F429" s="75" t="s">
        <v>94</v>
      </c>
      <c r="G429" s="77">
        <v>9</v>
      </c>
      <c r="H429" s="130">
        <v>487</v>
      </c>
      <c r="I429" s="2"/>
    </row>
    <row r="430" spans="1:9" ht="19.8" customHeight="1" x14ac:dyDescent="0.3">
      <c r="A430" s="133">
        <v>46024</v>
      </c>
      <c r="B430" s="75" t="s">
        <v>31</v>
      </c>
      <c r="C430" s="76" t="s">
        <v>32</v>
      </c>
      <c r="D430" s="75" t="s">
        <v>1</v>
      </c>
      <c r="E430" s="134">
        <v>1.864583333333333</v>
      </c>
      <c r="F430" s="75" t="s">
        <v>33</v>
      </c>
      <c r="G430" s="77">
        <v>9</v>
      </c>
      <c r="H430" s="130">
        <v>547</v>
      </c>
      <c r="I430" s="2"/>
    </row>
    <row r="431" spans="1:9" ht="19.8" customHeight="1" x14ac:dyDescent="0.3">
      <c r="A431" s="133">
        <v>46024</v>
      </c>
      <c r="B431" s="75" t="s">
        <v>26</v>
      </c>
      <c r="C431" s="76" t="s">
        <v>27</v>
      </c>
      <c r="D431" s="75" t="s">
        <v>1</v>
      </c>
      <c r="E431" s="134">
        <v>1.958333333333333</v>
      </c>
      <c r="F431" s="75" t="s">
        <v>156</v>
      </c>
      <c r="G431" s="77">
        <v>3</v>
      </c>
      <c r="H431" s="130">
        <v>563</v>
      </c>
      <c r="I431" s="2"/>
    </row>
    <row r="432" spans="1:9" ht="19.8" customHeight="1" x14ac:dyDescent="0.3">
      <c r="A432" s="133">
        <v>46024</v>
      </c>
      <c r="B432" s="75" t="s">
        <v>79</v>
      </c>
      <c r="C432" s="76" t="s">
        <v>119</v>
      </c>
      <c r="D432" s="75" t="s">
        <v>1</v>
      </c>
      <c r="E432" s="134">
        <v>1.2152777777777779</v>
      </c>
      <c r="F432" s="75" t="s">
        <v>156</v>
      </c>
      <c r="G432" s="77">
        <v>9</v>
      </c>
      <c r="H432" s="130">
        <v>568</v>
      </c>
      <c r="I432" s="2"/>
    </row>
    <row r="433" spans="1:9" ht="19.8" customHeight="1" x14ac:dyDescent="0.3">
      <c r="A433" s="133">
        <v>46024</v>
      </c>
      <c r="B433" s="75" t="s">
        <v>31</v>
      </c>
      <c r="C433" s="76" t="s">
        <v>62</v>
      </c>
      <c r="D433" s="75" t="s">
        <v>1</v>
      </c>
      <c r="E433" s="134">
        <v>1.5277777777777779</v>
      </c>
      <c r="F433" s="75" t="s">
        <v>33</v>
      </c>
      <c r="G433" s="77">
        <v>9</v>
      </c>
      <c r="H433" s="130">
        <v>596</v>
      </c>
      <c r="I433" s="2"/>
    </row>
    <row r="434" spans="1:9" ht="19.8" customHeight="1" x14ac:dyDescent="0.3">
      <c r="A434" s="137">
        <v>46024</v>
      </c>
      <c r="B434" s="83" t="s">
        <v>63</v>
      </c>
      <c r="C434" s="84" t="s">
        <v>64</v>
      </c>
      <c r="D434" s="83" t="s">
        <v>1</v>
      </c>
      <c r="E434" s="138">
        <v>1.5798611111111109</v>
      </c>
      <c r="F434" s="83" t="s">
        <v>156</v>
      </c>
      <c r="G434" s="85">
        <v>4</v>
      </c>
      <c r="H434" s="132">
        <v>626</v>
      </c>
      <c r="I434" s="2"/>
    </row>
    <row r="435" spans="1:9" ht="19.8" customHeight="1" x14ac:dyDescent="0.3">
      <c r="A435" s="135">
        <v>46024</v>
      </c>
      <c r="B435" s="79" t="s">
        <v>69</v>
      </c>
      <c r="C435" s="80" t="s">
        <v>70</v>
      </c>
      <c r="D435" s="79" t="s">
        <v>1</v>
      </c>
      <c r="E435" s="136">
        <v>1.305555555555556</v>
      </c>
      <c r="F435" s="79" t="s">
        <v>71</v>
      </c>
      <c r="G435" s="81">
        <v>4</v>
      </c>
      <c r="H435" s="87" t="s">
        <v>175</v>
      </c>
      <c r="I435" s="2"/>
    </row>
    <row r="436" spans="1:9" ht="19.8" customHeight="1" x14ac:dyDescent="0.3">
      <c r="A436" s="133">
        <v>46025</v>
      </c>
      <c r="B436" s="75" t="s">
        <v>35</v>
      </c>
      <c r="C436" s="76" t="s">
        <v>36</v>
      </c>
      <c r="D436" s="75" t="s">
        <v>1</v>
      </c>
      <c r="E436" s="134">
        <v>1.305555555555556</v>
      </c>
      <c r="F436" s="75" t="s">
        <v>37</v>
      </c>
      <c r="G436" s="77">
        <v>20</v>
      </c>
      <c r="H436" s="130">
        <v>469</v>
      </c>
      <c r="I436" s="2"/>
    </row>
    <row r="437" spans="1:9" ht="19.8" customHeight="1" x14ac:dyDescent="0.3">
      <c r="A437" s="133">
        <v>46025</v>
      </c>
      <c r="B437" s="75" t="s">
        <v>74</v>
      </c>
      <c r="C437" s="76" t="s">
        <v>75</v>
      </c>
      <c r="D437" s="75" t="s">
        <v>1</v>
      </c>
      <c r="E437" s="134">
        <v>1.9722222222222221</v>
      </c>
      <c r="F437" s="75" t="s">
        <v>76</v>
      </c>
      <c r="G437" s="77">
        <v>9</v>
      </c>
      <c r="H437" s="130">
        <v>474</v>
      </c>
      <c r="I437" s="2"/>
    </row>
    <row r="438" spans="1:9" ht="19.8" customHeight="1" x14ac:dyDescent="0.3">
      <c r="A438" s="133">
        <v>46025</v>
      </c>
      <c r="B438" s="75" t="s">
        <v>31</v>
      </c>
      <c r="C438" s="76" t="s">
        <v>58</v>
      </c>
      <c r="D438" s="75" t="s">
        <v>1</v>
      </c>
      <c r="E438" s="134">
        <v>1.1701388888888891</v>
      </c>
      <c r="F438" s="75" t="s">
        <v>94</v>
      </c>
      <c r="G438" s="77">
        <v>9</v>
      </c>
      <c r="H438" s="130">
        <v>487</v>
      </c>
      <c r="I438" s="2"/>
    </row>
    <row r="439" spans="1:9" ht="19.8" customHeight="1" x14ac:dyDescent="0.3">
      <c r="A439" s="133">
        <v>46025</v>
      </c>
      <c r="B439" s="75" t="s">
        <v>31</v>
      </c>
      <c r="C439" s="76" t="s">
        <v>32</v>
      </c>
      <c r="D439" s="75" t="s">
        <v>1</v>
      </c>
      <c r="E439" s="134">
        <v>1.864583333333333</v>
      </c>
      <c r="F439" s="75" t="s">
        <v>94</v>
      </c>
      <c r="G439" s="77">
        <v>9</v>
      </c>
      <c r="H439" s="130">
        <v>517</v>
      </c>
      <c r="I439" s="2"/>
    </row>
    <row r="440" spans="1:9" ht="19.8" customHeight="1" x14ac:dyDescent="0.3">
      <c r="A440" s="133">
        <v>46025</v>
      </c>
      <c r="B440" s="75" t="s">
        <v>31</v>
      </c>
      <c r="C440" s="76" t="s">
        <v>62</v>
      </c>
      <c r="D440" s="75" t="s">
        <v>1</v>
      </c>
      <c r="E440" s="134">
        <v>1.5277777777777779</v>
      </c>
      <c r="F440" s="75" t="s">
        <v>94</v>
      </c>
      <c r="G440" s="77">
        <v>9</v>
      </c>
      <c r="H440" s="130">
        <v>517</v>
      </c>
      <c r="I440" s="2"/>
    </row>
    <row r="441" spans="1:9" ht="19.8" customHeight="1" x14ac:dyDescent="0.3">
      <c r="A441" s="133">
        <v>46025</v>
      </c>
      <c r="B441" s="75" t="s">
        <v>44</v>
      </c>
      <c r="C441" s="76" t="s">
        <v>53</v>
      </c>
      <c r="D441" s="75" t="s">
        <v>1</v>
      </c>
      <c r="E441" s="134">
        <v>1.836805555555556</v>
      </c>
      <c r="F441" s="75" t="s">
        <v>46</v>
      </c>
      <c r="G441" s="77">
        <v>1</v>
      </c>
      <c r="H441" s="130">
        <v>519</v>
      </c>
      <c r="I441" s="2"/>
    </row>
    <row r="442" spans="1:9" ht="19.8" customHeight="1" x14ac:dyDescent="0.3">
      <c r="A442" s="133">
        <v>46025</v>
      </c>
      <c r="B442" s="75" t="s">
        <v>44</v>
      </c>
      <c r="C442" s="76" t="s">
        <v>45</v>
      </c>
      <c r="D442" s="75" t="s">
        <v>1</v>
      </c>
      <c r="E442" s="134">
        <v>1.2013888888888891</v>
      </c>
      <c r="F442" s="75" t="s">
        <v>46</v>
      </c>
      <c r="G442" s="77">
        <v>3</v>
      </c>
      <c r="H442" s="130">
        <v>559</v>
      </c>
      <c r="I442" s="2"/>
    </row>
    <row r="443" spans="1:9" ht="19.8" customHeight="1" x14ac:dyDescent="0.3">
      <c r="A443" s="133">
        <v>46025</v>
      </c>
      <c r="B443" s="75" t="s">
        <v>35</v>
      </c>
      <c r="C443" s="76" t="s">
        <v>36</v>
      </c>
      <c r="D443" s="75" t="s">
        <v>1</v>
      </c>
      <c r="E443" s="134">
        <v>1.305555555555556</v>
      </c>
      <c r="F443" s="75" t="s">
        <v>40</v>
      </c>
      <c r="G443" s="77">
        <v>20</v>
      </c>
      <c r="H443" s="130">
        <v>619</v>
      </c>
      <c r="I443" s="2"/>
    </row>
    <row r="444" spans="1:9" ht="19.8" customHeight="1" x14ac:dyDescent="0.3">
      <c r="A444" s="133">
        <v>46025</v>
      </c>
      <c r="B444" s="75" t="s">
        <v>44</v>
      </c>
      <c r="C444" s="76" t="s">
        <v>53</v>
      </c>
      <c r="D444" s="75" t="s">
        <v>1</v>
      </c>
      <c r="E444" s="134">
        <v>1.836805555555556</v>
      </c>
      <c r="F444" s="75" t="s">
        <v>49</v>
      </c>
      <c r="G444" s="77">
        <v>1</v>
      </c>
      <c r="H444" s="130">
        <v>619</v>
      </c>
      <c r="I444" s="2"/>
    </row>
    <row r="445" spans="1:9" ht="19.8" customHeight="1" x14ac:dyDescent="0.3">
      <c r="A445" s="137">
        <v>46025</v>
      </c>
      <c r="B445" s="83" t="s">
        <v>63</v>
      </c>
      <c r="C445" s="84" t="s">
        <v>64</v>
      </c>
      <c r="D445" s="83" t="s">
        <v>1</v>
      </c>
      <c r="E445" s="138">
        <v>1.9236111111111109</v>
      </c>
      <c r="F445" s="83" t="s">
        <v>156</v>
      </c>
      <c r="G445" s="85">
        <v>7</v>
      </c>
      <c r="H445" s="132">
        <v>626</v>
      </c>
      <c r="I445" s="2"/>
    </row>
    <row r="446" spans="1:9" ht="19.8" customHeight="1" x14ac:dyDescent="0.3">
      <c r="A446" s="133">
        <v>46025</v>
      </c>
      <c r="B446" s="75" t="s">
        <v>26</v>
      </c>
      <c r="C446" s="76" t="s">
        <v>57</v>
      </c>
      <c r="D446" s="75" t="s">
        <v>1</v>
      </c>
      <c r="E446" s="134">
        <v>1.895833333333333</v>
      </c>
      <c r="F446" s="75" t="s">
        <v>156</v>
      </c>
      <c r="G446" s="77">
        <v>3</v>
      </c>
      <c r="H446" s="130">
        <v>629</v>
      </c>
      <c r="I446" s="2"/>
    </row>
    <row r="447" spans="1:9" ht="19.8" customHeight="1" x14ac:dyDescent="0.3">
      <c r="A447" s="133">
        <v>46025</v>
      </c>
      <c r="B447" s="75" t="s">
        <v>44</v>
      </c>
      <c r="C447" s="76" t="s">
        <v>45</v>
      </c>
      <c r="D447" s="75" t="s">
        <v>1</v>
      </c>
      <c r="E447" s="134">
        <v>1.2013888888888891</v>
      </c>
      <c r="F447" s="75" t="s">
        <v>49</v>
      </c>
      <c r="G447" s="77">
        <v>3</v>
      </c>
      <c r="H447" s="130">
        <v>659</v>
      </c>
      <c r="I447" s="2"/>
    </row>
    <row r="448" spans="1:9" ht="19.8" customHeight="1" x14ac:dyDescent="0.3">
      <c r="A448" s="133">
        <v>46025</v>
      </c>
      <c r="B448" s="75" t="s">
        <v>74</v>
      </c>
      <c r="C448" s="76" t="s">
        <v>75</v>
      </c>
      <c r="D448" s="75" t="s">
        <v>1</v>
      </c>
      <c r="E448" s="134">
        <v>1.9722222222222221</v>
      </c>
      <c r="F448" s="75" t="s">
        <v>42</v>
      </c>
      <c r="G448" s="77">
        <v>9</v>
      </c>
      <c r="H448" s="130">
        <v>679</v>
      </c>
      <c r="I448" s="2"/>
    </row>
    <row r="449" spans="1:9" ht="19.8" customHeight="1" x14ac:dyDescent="0.3">
      <c r="A449" s="133">
        <v>46025</v>
      </c>
      <c r="B449" s="75" t="s">
        <v>44</v>
      </c>
      <c r="C449" s="76" t="s">
        <v>53</v>
      </c>
      <c r="D449" s="75" t="s">
        <v>1</v>
      </c>
      <c r="E449" s="134">
        <v>1.836805555555556</v>
      </c>
      <c r="F449" s="75" t="s">
        <v>51</v>
      </c>
      <c r="G449" s="77">
        <v>1</v>
      </c>
      <c r="H449" s="130">
        <v>709</v>
      </c>
      <c r="I449" s="2"/>
    </row>
    <row r="450" spans="1:9" ht="19.8" customHeight="1" x14ac:dyDescent="0.3">
      <c r="A450" s="133">
        <v>46025</v>
      </c>
      <c r="B450" s="75" t="s">
        <v>44</v>
      </c>
      <c r="C450" s="76" t="s">
        <v>45</v>
      </c>
      <c r="D450" s="75" t="s">
        <v>1</v>
      </c>
      <c r="E450" s="134">
        <v>1.2013888888888891</v>
      </c>
      <c r="F450" s="75" t="s">
        <v>51</v>
      </c>
      <c r="G450" s="77">
        <v>3</v>
      </c>
      <c r="H450" s="130">
        <v>749</v>
      </c>
      <c r="I450" s="2"/>
    </row>
    <row r="451" spans="1:9" ht="19.8" customHeight="1" x14ac:dyDescent="0.3">
      <c r="A451" s="133">
        <v>46025</v>
      </c>
      <c r="B451" s="75" t="s">
        <v>35</v>
      </c>
      <c r="C451" s="76" t="s">
        <v>36</v>
      </c>
      <c r="D451" s="75" t="s">
        <v>1</v>
      </c>
      <c r="E451" s="134">
        <v>1.305555555555556</v>
      </c>
      <c r="F451" s="75" t="s">
        <v>42</v>
      </c>
      <c r="G451" s="77">
        <v>20</v>
      </c>
      <c r="H451" s="130">
        <v>899</v>
      </c>
      <c r="I451" s="2"/>
    </row>
    <row r="452" spans="1:9" ht="19.8" customHeight="1" x14ac:dyDescent="0.3">
      <c r="A452" s="135">
        <v>46025</v>
      </c>
      <c r="B452" s="79" t="s">
        <v>69</v>
      </c>
      <c r="C452" s="80" t="s">
        <v>70</v>
      </c>
      <c r="D452" s="79" t="s">
        <v>1</v>
      </c>
      <c r="E452" s="136">
        <v>1.305555555555556</v>
      </c>
      <c r="F452" s="79" t="s">
        <v>71</v>
      </c>
      <c r="G452" s="81">
        <v>4</v>
      </c>
      <c r="H452" s="87" t="s">
        <v>175</v>
      </c>
      <c r="I452" s="2"/>
    </row>
    <row r="453" spans="1:9" ht="19.8" customHeight="1" x14ac:dyDescent="0.3">
      <c r="A453" s="133">
        <v>46026</v>
      </c>
      <c r="B453" s="75" t="s">
        <v>35</v>
      </c>
      <c r="C453" s="76" t="s">
        <v>36</v>
      </c>
      <c r="D453" s="75" t="s">
        <v>1</v>
      </c>
      <c r="E453" s="134">
        <v>1.305555555555556</v>
      </c>
      <c r="F453" s="75" t="s">
        <v>37</v>
      </c>
      <c r="G453" s="77">
        <v>20</v>
      </c>
      <c r="H453" s="130">
        <v>469</v>
      </c>
      <c r="I453" s="2"/>
    </row>
    <row r="454" spans="1:9" ht="19.8" customHeight="1" x14ac:dyDescent="0.3">
      <c r="A454" s="133">
        <v>46026</v>
      </c>
      <c r="B454" s="75" t="s">
        <v>31</v>
      </c>
      <c r="C454" s="76" t="s">
        <v>58</v>
      </c>
      <c r="D454" s="75" t="s">
        <v>1</v>
      </c>
      <c r="E454" s="134">
        <v>1.1701388888888891</v>
      </c>
      <c r="F454" s="75" t="s">
        <v>94</v>
      </c>
      <c r="G454" s="77">
        <v>9</v>
      </c>
      <c r="H454" s="130">
        <v>487</v>
      </c>
      <c r="I454" s="2"/>
    </row>
    <row r="455" spans="1:9" ht="19.8" customHeight="1" x14ac:dyDescent="0.3">
      <c r="A455" s="133">
        <v>46026</v>
      </c>
      <c r="B455" s="75" t="s">
        <v>79</v>
      </c>
      <c r="C455" s="76" t="s">
        <v>119</v>
      </c>
      <c r="D455" s="75" t="s">
        <v>1</v>
      </c>
      <c r="E455" s="134">
        <v>1.2152777777777779</v>
      </c>
      <c r="F455" s="75" t="s">
        <v>156</v>
      </c>
      <c r="G455" s="77">
        <v>3</v>
      </c>
      <c r="H455" s="130">
        <v>500</v>
      </c>
      <c r="I455" s="2"/>
    </row>
    <row r="456" spans="1:9" ht="19.8" customHeight="1" x14ac:dyDescent="0.3">
      <c r="A456" s="133">
        <v>46026</v>
      </c>
      <c r="B456" s="75" t="s">
        <v>31</v>
      </c>
      <c r="C456" s="76" t="s">
        <v>32</v>
      </c>
      <c r="D456" s="75" t="s">
        <v>1</v>
      </c>
      <c r="E456" s="134">
        <v>1.864583333333333</v>
      </c>
      <c r="F456" s="75" t="s">
        <v>94</v>
      </c>
      <c r="G456" s="77">
        <v>9</v>
      </c>
      <c r="H456" s="130">
        <v>517</v>
      </c>
      <c r="I456" s="2"/>
    </row>
    <row r="457" spans="1:9" ht="19.8" customHeight="1" x14ac:dyDescent="0.3">
      <c r="A457" s="133">
        <v>46026</v>
      </c>
      <c r="B457" s="75" t="s">
        <v>31</v>
      </c>
      <c r="C457" s="76" t="s">
        <v>62</v>
      </c>
      <c r="D457" s="75" t="s">
        <v>1</v>
      </c>
      <c r="E457" s="134">
        <v>1.5277777777777779</v>
      </c>
      <c r="F457" s="75" t="s">
        <v>94</v>
      </c>
      <c r="G457" s="77">
        <v>9</v>
      </c>
      <c r="H457" s="130">
        <v>517</v>
      </c>
      <c r="I457" s="2"/>
    </row>
    <row r="458" spans="1:9" ht="19.8" customHeight="1" x14ac:dyDescent="0.3">
      <c r="A458" s="133">
        <v>46026</v>
      </c>
      <c r="B458" s="75" t="s">
        <v>44</v>
      </c>
      <c r="C458" s="76" t="s">
        <v>53</v>
      </c>
      <c r="D458" s="75" t="s">
        <v>1</v>
      </c>
      <c r="E458" s="134">
        <v>1.836805555555556</v>
      </c>
      <c r="F458" s="75" t="s">
        <v>46</v>
      </c>
      <c r="G458" s="77">
        <v>5</v>
      </c>
      <c r="H458" s="130">
        <v>559</v>
      </c>
      <c r="I458" s="2"/>
    </row>
    <row r="459" spans="1:9" ht="19.8" customHeight="1" x14ac:dyDescent="0.3">
      <c r="A459" s="133">
        <v>46026</v>
      </c>
      <c r="B459" s="75" t="s">
        <v>26</v>
      </c>
      <c r="C459" s="76" t="s">
        <v>93</v>
      </c>
      <c r="D459" s="75" t="s">
        <v>1</v>
      </c>
      <c r="E459" s="134">
        <v>1.958333333333333</v>
      </c>
      <c r="F459" s="75" t="s">
        <v>156</v>
      </c>
      <c r="G459" s="77">
        <v>3</v>
      </c>
      <c r="H459" s="130">
        <v>563</v>
      </c>
      <c r="I459" s="2"/>
    </row>
    <row r="460" spans="1:9" ht="19.8" customHeight="1" x14ac:dyDescent="0.3">
      <c r="A460" s="133">
        <v>46026</v>
      </c>
      <c r="B460" s="75" t="s">
        <v>35</v>
      </c>
      <c r="C460" s="76" t="s">
        <v>36</v>
      </c>
      <c r="D460" s="75" t="s">
        <v>1</v>
      </c>
      <c r="E460" s="134">
        <v>1.305555555555556</v>
      </c>
      <c r="F460" s="75" t="s">
        <v>40</v>
      </c>
      <c r="G460" s="77">
        <v>20</v>
      </c>
      <c r="H460" s="130">
        <v>619</v>
      </c>
      <c r="I460" s="2"/>
    </row>
    <row r="461" spans="1:9" ht="19.8" customHeight="1" x14ac:dyDescent="0.3">
      <c r="A461" s="133">
        <v>46026</v>
      </c>
      <c r="B461" s="75" t="s">
        <v>44</v>
      </c>
      <c r="C461" s="76" t="s">
        <v>53</v>
      </c>
      <c r="D461" s="75" t="s">
        <v>1</v>
      </c>
      <c r="E461" s="134">
        <v>1.836805555555556</v>
      </c>
      <c r="F461" s="75" t="s">
        <v>49</v>
      </c>
      <c r="G461" s="77">
        <v>5</v>
      </c>
      <c r="H461" s="130">
        <v>659</v>
      </c>
      <c r="I461" s="2"/>
    </row>
    <row r="462" spans="1:9" ht="19.8" customHeight="1" x14ac:dyDescent="0.3">
      <c r="A462" s="133">
        <v>46026</v>
      </c>
      <c r="B462" s="75" t="s">
        <v>44</v>
      </c>
      <c r="C462" s="76" t="s">
        <v>53</v>
      </c>
      <c r="D462" s="75" t="s">
        <v>1</v>
      </c>
      <c r="E462" s="134">
        <v>1.836805555555556</v>
      </c>
      <c r="F462" s="75" t="s">
        <v>51</v>
      </c>
      <c r="G462" s="77">
        <v>5</v>
      </c>
      <c r="H462" s="130">
        <v>749</v>
      </c>
      <c r="I462" s="2"/>
    </row>
    <row r="463" spans="1:9" ht="19.8" customHeight="1" x14ac:dyDescent="0.3">
      <c r="A463" s="133">
        <v>46026</v>
      </c>
      <c r="B463" s="75" t="s">
        <v>35</v>
      </c>
      <c r="C463" s="76" t="s">
        <v>36</v>
      </c>
      <c r="D463" s="75" t="s">
        <v>1</v>
      </c>
      <c r="E463" s="134">
        <v>1.305555555555556</v>
      </c>
      <c r="F463" s="75" t="s">
        <v>42</v>
      </c>
      <c r="G463" s="77">
        <v>20</v>
      </c>
      <c r="H463" s="130">
        <v>899</v>
      </c>
      <c r="I463" s="2"/>
    </row>
    <row r="464" spans="1:9" ht="19.8" customHeight="1" x14ac:dyDescent="0.3">
      <c r="A464" s="135">
        <v>46026</v>
      </c>
      <c r="B464" s="79" t="s">
        <v>69</v>
      </c>
      <c r="C464" s="80" t="s">
        <v>70</v>
      </c>
      <c r="D464" s="79" t="s">
        <v>1</v>
      </c>
      <c r="E464" s="136">
        <v>1.305555555555556</v>
      </c>
      <c r="F464" s="79" t="s">
        <v>71</v>
      </c>
      <c r="G464" s="81">
        <v>4</v>
      </c>
      <c r="H464" s="87" t="s">
        <v>175</v>
      </c>
      <c r="I464" s="2"/>
    </row>
    <row r="465" spans="1:9" ht="19.8" customHeight="1" x14ac:dyDescent="0.3">
      <c r="A465" s="133">
        <v>46027</v>
      </c>
      <c r="B465" s="75" t="s">
        <v>35</v>
      </c>
      <c r="C465" s="76" t="s">
        <v>36</v>
      </c>
      <c r="D465" s="75" t="s">
        <v>1</v>
      </c>
      <c r="E465" s="134">
        <v>1.305555555555556</v>
      </c>
      <c r="F465" s="75" t="s">
        <v>37</v>
      </c>
      <c r="G465" s="77">
        <v>20</v>
      </c>
      <c r="H465" s="130">
        <v>429</v>
      </c>
      <c r="I465" s="2"/>
    </row>
    <row r="466" spans="1:9" ht="19.8" customHeight="1" x14ac:dyDescent="0.3">
      <c r="A466" s="133">
        <v>46027</v>
      </c>
      <c r="B466" s="75" t="s">
        <v>44</v>
      </c>
      <c r="C466" s="76" t="s">
        <v>53</v>
      </c>
      <c r="D466" s="75" t="s">
        <v>1</v>
      </c>
      <c r="E466" s="134">
        <v>1.836805555555556</v>
      </c>
      <c r="F466" s="75" t="s">
        <v>46</v>
      </c>
      <c r="G466" s="77">
        <v>5</v>
      </c>
      <c r="H466" s="130">
        <v>479</v>
      </c>
      <c r="I466" s="2"/>
    </row>
    <row r="467" spans="1:9" ht="19.8" customHeight="1" x14ac:dyDescent="0.3">
      <c r="A467" s="133">
        <v>46027</v>
      </c>
      <c r="B467" s="75" t="s">
        <v>31</v>
      </c>
      <c r="C467" s="76" t="s">
        <v>58</v>
      </c>
      <c r="D467" s="75" t="s">
        <v>1</v>
      </c>
      <c r="E467" s="134">
        <v>1.1701388888888891</v>
      </c>
      <c r="F467" s="75" t="s">
        <v>94</v>
      </c>
      <c r="G467" s="77">
        <v>9</v>
      </c>
      <c r="H467" s="130">
        <v>487</v>
      </c>
      <c r="I467" s="2"/>
    </row>
    <row r="468" spans="1:9" ht="19.8" customHeight="1" x14ac:dyDescent="0.3">
      <c r="A468" s="133">
        <v>46027</v>
      </c>
      <c r="B468" s="75" t="s">
        <v>31</v>
      </c>
      <c r="C468" s="76" t="s">
        <v>32</v>
      </c>
      <c r="D468" s="75" t="s">
        <v>1</v>
      </c>
      <c r="E468" s="134">
        <v>1.864583333333333</v>
      </c>
      <c r="F468" s="75" t="s">
        <v>94</v>
      </c>
      <c r="G468" s="77">
        <v>9</v>
      </c>
      <c r="H468" s="130">
        <v>517</v>
      </c>
      <c r="I468" s="2"/>
    </row>
    <row r="469" spans="1:9" ht="19.8" customHeight="1" x14ac:dyDescent="0.3">
      <c r="A469" s="133">
        <v>46027</v>
      </c>
      <c r="B469" s="75" t="s">
        <v>31</v>
      </c>
      <c r="C469" s="76" t="s">
        <v>62</v>
      </c>
      <c r="D469" s="75" t="s">
        <v>1</v>
      </c>
      <c r="E469" s="134">
        <v>1.5277777777777779</v>
      </c>
      <c r="F469" s="75" t="s">
        <v>94</v>
      </c>
      <c r="G469" s="77">
        <v>9</v>
      </c>
      <c r="H469" s="130">
        <v>517</v>
      </c>
      <c r="I469" s="2"/>
    </row>
    <row r="470" spans="1:9" ht="19.8" customHeight="1" x14ac:dyDescent="0.3">
      <c r="A470" s="133">
        <v>46027</v>
      </c>
      <c r="B470" s="75" t="s">
        <v>44</v>
      </c>
      <c r="C470" s="76" t="s">
        <v>45</v>
      </c>
      <c r="D470" s="75" t="s">
        <v>1</v>
      </c>
      <c r="E470" s="134">
        <v>1.2013888888888891</v>
      </c>
      <c r="F470" s="75" t="s">
        <v>46</v>
      </c>
      <c r="G470" s="77">
        <v>5</v>
      </c>
      <c r="H470" s="130">
        <v>519</v>
      </c>
      <c r="I470" s="2"/>
    </row>
    <row r="471" spans="1:9" ht="19.8" customHeight="1" x14ac:dyDescent="0.3">
      <c r="A471" s="133">
        <v>46027</v>
      </c>
      <c r="B471" s="75" t="s">
        <v>79</v>
      </c>
      <c r="C471" s="76" t="s">
        <v>150</v>
      </c>
      <c r="D471" s="75" t="s">
        <v>1</v>
      </c>
      <c r="E471" s="134">
        <v>1.1284722222222221</v>
      </c>
      <c r="F471" s="75" t="s">
        <v>156</v>
      </c>
      <c r="G471" s="77">
        <v>9</v>
      </c>
      <c r="H471" s="130">
        <v>568</v>
      </c>
      <c r="I471" s="2"/>
    </row>
    <row r="472" spans="1:9" ht="19.8" customHeight="1" x14ac:dyDescent="0.3">
      <c r="A472" s="133">
        <v>46027</v>
      </c>
      <c r="B472" s="75" t="s">
        <v>35</v>
      </c>
      <c r="C472" s="76" t="s">
        <v>36</v>
      </c>
      <c r="D472" s="75" t="s">
        <v>1</v>
      </c>
      <c r="E472" s="134">
        <v>1.305555555555556</v>
      </c>
      <c r="F472" s="75" t="s">
        <v>40</v>
      </c>
      <c r="G472" s="77">
        <v>20</v>
      </c>
      <c r="H472" s="130">
        <v>579</v>
      </c>
      <c r="I472" s="2"/>
    </row>
    <row r="473" spans="1:9" ht="19.8" customHeight="1" x14ac:dyDescent="0.3">
      <c r="A473" s="133">
        <v>46027</v>
      </c>
      <c r="B473" s="75" t="s">
        <v>44</v>
      </c>
      <c r="C473" s="76" t="s">
        <v>53</v>
      </c>
      <c r="D473" s="75" t="s">
        <v>1</v>
      </c>
      <c r="E473" s="134">
        <v>1.836805555555556</v>
      </c>
      <c r="F473" s="75" t="s">
        <v>49</v>
      </c>
      <c r="G473" s="77">
        <v>5</v>
      </c>
      <c r="H473" s="130">
        <v>579</v>
      </c>
      <c r="I473" s="2"/>
    </row>
    <row r="474" spans="1:9" ht="19.8" customHeight="1" x14ac:dyDescent="0.3">
      <c r="A474" s="133">
        <v>46027</v>
      </c>
      <c r="B474" s="75" t="s">
        <v>44</v>
      </c>
      <c r="C474" s="76" t="s">
        <v>45</v>
      </c>
      <c r="D474" s="75" t="s">
        <v>1</v>
      </c>
      <c r="E474" s="134">
        <v>1.2013888888888891</v>
      </c>
      <c r="F474" s="75" t="s">
        <v>49</v>
      </c>
      <c r="G474" s="77">
        <v>5</v>
      </c>
      <c r="H474" s="130">
        <v>619</v>
      </c>
      <c r="I474" s="2"/>
    </row>
    <row r="475" spans="1:9" ht="19.8" customHeight="1" x14ac:dyDescent="0.3">
      <c r="A475" s="133">
        <v>46027</v>
      </c>
      <c r="B475" s="75" t="s">
        <v>44</v>
      </c>
      <c r="C475" s="76" t="s">
        <v>53</v>
      </c>
      <c r="D475" s="75" t="s">
        <v>1</v>
      </c>
      <c r="E475" s="134">
        <v>1.836805555555556</v>
      </c>
      <c r="F475" s="75" t="s">
        <v>51</v>
      </c>
      <c r="G475" s="77">
        <v>5</v>
      </c>
      <c r="H475" s="130">
        <v>669</v>
      </c>
      <c r="I475" s="2"/>
    </row>
    <row r="476" spans="1:9" ht="19.8" customHeight="1" x14ac:dyDescent="0.3">
      <c r="A476" s="133">
        <v>46027</v>
      </c>
      <c r="B476" s="75" t="s">
        <v>26</v>
      </c>
      <c r="C476" s="76" t="s">
        <v>27</v>
      </c>
      <c r="D476" s="75" t="s">
        <v>1</v>
      </c>
      <c r="E476" s="134">
        <v>1.958333333333333</v>
      </c>
      <c r="F476" s="75" t="s">
        <v>156</v>
      </c>
      <c r="G476" s="77">
        <v>9</v>
      </c>
      <c r="H476" s="130">
        <v>679</v>
      </c>
      <c r="I476" s="2"/>
    </row>
    <row r="477" spans="1:9" ht="19.8" customHeight="1" x14ac:dyDescent="0.3">
      <c r="A477" s="133">
        <v>46027</v>
      </c>
      <c r="B477" s="75" t="s">
        <v>44</v>
      </c>
      <c r="C477" s="76" t="s">
        <v>45</v>
      </c>
      <c r="D477" s="75" t="s">
        <v>1</v>
      </c>
      <c r="E477" s="134">
        <v>1.2013888888888891</v>
      </c>
      <c r="F477" s="75" t="s">
        <v>51</v>
      </c>
      <c r="G477" s="77">
        <v>5</v>
      </c>
      <c r="H477" s="130">
        <v>709</v>
      </c>
      <c r="I477" s="2"/>
    </row>
    <row r="478" spans="1:9" ht="19.8" customHeight="1" x14ac:dyDescent="0.3">
      <c r="A478" s="133">
        <v>46027</v>
      </c>
      <c r="B478" s="75" t="s">
        <v>35</v>
      </c>
      <c r="C478" s="76" t="s">
        <v>36</v>
      </c>
      <c r="D478" s="75" t="s">
        <v>1</v>
      </c>
      <c r="E478" s="134">
        <v>1.305555555555556</v>
      </c>
      <c r="F478" s="75" t="s">
        <v>42</v>
      </c>
      <c r="G478" s="77">
        <v>20</v>
      </c>
      <c r="H478" s="130">
        <v>899</v>
      </c>
      <c r="I478" s="2"/>
    </row>
    <row r="479" spans="1:9" ht="19.8" customHeight="1" x14ac:dyDescent="0.3">
      <c r="A479" s="135">
        <v>46027</v>
      </c>
      <c r="B479" s="79" t="s">
        <v>69</v>
      </c>
      <c r="C479" s="80" t="s">
        <v>70</v>
      </c>
      <c r="D479" s="79" t="s">
        <v>1</v>
      </c>
      <c r="E479" s="136">
        <v>1.305555555555556</v>
      </c>
      <c r="F479" s="79" t="s">
        <v>71</v>
      </c>
      <c r="G479" s="81">
        <v>4</v>
      </c>
      <c r="H479" s="87" t="s">
        <v>91</v>
      </c>
      <c r="I479" s="2"/>
    </row>
    <row r="480" spans="1:9" ht="19.8" customHeight="1" x14ac:dyDescent="0.3">
      <c r="A480" s="133">
        <v>46028</v>
      </c>
      <c r="B480" s="75" t="s">
        <v>35</v>
      </c>
      <c r="C480" s="76" t="s">
        <v>36</v>
      </c>
      <c r="D480" s="75" t="s">
        <v>1</v>
      </c>
      <c r="E480" s="134">
        <v>1.305555555555556</v>
      </c>
      <c r="F480" s="75" t="s">
        <v>37</v>
      </c>
      <c r="G480" s="77">
        <v>20</v>
      </c>
      <c r="H480" s="130">
        <v>429</v>
      </c>
      <c r="I480" s="2"/>
    </row>
    <row r="481" spans="1:9" ht="19.8" customHeight="1" x14ac:dyDescent="0.3">
      <c r="A481" s="133">
        <v>46028</v>
      </c>
      <c r="B481" s="75" t="s">
        <v>31</v>
      </c>
      <c r="C481" s="76" t="s">
        <v>58</v>
      </c>
      <c r="D481" s="75" t="s">
        <v>1</v>
      </c>
      <c r="E481" s="134">
        <v>1.1701388888888891</v>
      </c>
      <c r="F481" s="75" t="s">
        <v>94</v>
      </c>
      <c r="G481" s="77">
        <v>9</v>
      </c>
      <c r="H481" s="130">
        <v>487</v>
      </c>
      <c r="I481" s="2"/>
    </row>
    <row r="482" spans="1:9" ht="19.8" customHeight="1" x14ac:dyDescent="0.3">
      <c r="A482" s="133">
        <v>46028</v>
      </c>
      <c r="B482" s="75" t="s">
        <v>79</v>
      </c>
      <c r="C482" s="76" t="s">
        <v>119</v>
      </c>
      <c r="D482" s="75" t="s">
        <v>1</v>
      </c>
      <c r="E482" s="134">
        <v>1.2152777777777779</v>
      </c>
      <c r="F482" s="75" t="s">
        <v>156</v>
      </c>
      <c r="G482" s="77">
        <v>1</v>
      </c>
      <c r="H482" s="130">
        <v>500</v>
      </c>
      <c r="I482" s="2"/>
    </row>
    <row r="483" spans="1:9" ht="19.8" customHeight="1" x14ac:dyDescent="0.3">
      <c r="A483" s="137">
        <v>46028</v>
      </c>
      <c r="B483" s="83" t="s">
        <v>63</v>
      </c>
      <c r="C483" s="84" t="s">
        <v>64</v>
      </c>
      <c r="D483" s="83" t="s">
        <v>1</v>
      </c>
      <c r="E483" s="138">
        <v>1.270833333333333</v>
      </c>
      <c r="F483" s="83" t="s">
        <v>156</v>
      </c>
      <c r="G483" s="85">
        <v>2</v>
      </c>
      <c r="H483" s="132">
        <v>506</v>
      </c>
      <c r="I483" s="2"/>
    </row>
    <row r="484" spans="1:9" ht="19.8" customHeight="1" x14ac:dyDescent="0.3">
      <c r="A484" s="133">
        <v>46028</v>
      </c>
      <c r="B484" s="75" t="s">
        <v>31</v>
      </c>
      <c r="C484" s="76" t="s">
        <v>32</v>
      </c>
      <c r="D484" s="75" t="s">
        <v>1</v>
      </c>
      <c r="E484" s="134">
        <v>1.864583333333333</v>
      </c>
      <c r="F484" s="75" t="s">
        <v>33</v>
      </c>
      <c r="G484" s="77">
        <v>9</v>
      </c>
      <c r="H484" s="130">
        <v>547</v>
      </c>
      <c r="I484" s="2"/>
    </row>
    <row r="485" spans="1:9" ht="19.8" customHeight="1" x14ac:dyDescent="0.3">
      <c r="A485" s="133">
        <v>46028</v>
      </c>
      <c r="B485" s="75" t="s">
        <v>31</v>
      </c>
      <c r="C485" s="76" t="s">
        <v>62</v>
      </c>
      <c r="D485" s="75" t="s">
        <v>1</v>
      </c>
      <c r="E485" s="134">
        <v>1.5277777777777779</v>
      </c>
      <c r="F485" s="75" t="s">
        <v>33</v>
      </c>
      <c r="G485" s="77">
        <v>9</v>
      </c>
      <c r="H485" s="130">
        <v>547</v>
      </c>
      <c r="I485" s="2"/>
    </row>
    <row r="486" spans="1:9" ht="19.8" customHeight="1" x14ac:dyDescent="0.3">
      <c r="A486" s="133">
        <v>46028</v>
      </c>
      <c r="B486" s="75" t="s">
        <v>44</v>
      </c>
      <c r="C486" s="76" t="s">
        <v>53</v>
      </c>
      <c r="D486" s="75" t="s">
        <v>1</v>
      </c>
      <c r="E486" s="134">
        <v>1.836805555555556</v>
      </c>
      <c r="F486" s="75" t="s">
        <v>46</v>
      </c>
      <c r="G486" s="77">
        <v>8</v>
      </c>
      <c r="H486" s="130">
        <v>559</v>
      </c>
      <c r="I486" s="2"/>
    </row>
    <row r="487" spans="1:9" ht="19.8" customHeight="1" x14ac:dyDescent="0.3">
      <c r="A487" s="133">
        <v>46028</v>
      </c>
      <c r="B487" s="75" t="s">
        <v>44</v>
      </c>
      <c r="C487" s="76" t="s">
        <v>45</v>
      </c>
      <c r="D487" s="75" t="s">
        <v>1</v>
      </c>
      <c r="E487" s="134">
        <v>1.2013888888888891</v>
      </c>
      <c r="F487" s="75" t="s">
        <v>46</v>
      </c>
      <c r="G487" s="77">
        <v>4</v>
      </c>
      <c r="H487" s="130">
        <v>559</v>
      </c>
      <c r="I487" s="2"/>
    </row>
    <row r="488" spans="1:9" ht="19.8" customHeight="1" x14ac:dyDescent="0.3">
      <c r="A488" s="133">
        <v>46028</v>
      </c>
      <c r="B488" s="75" t="s">
        <v>35</v>
      </c>
      <c r="C488" s="76" t="s">
        <v>36</v>
      </c>
      <c r="D488" s="75" t="s">
        <v>1</v>
      </c>
      <c r="E488" s="134">
        <v>1.305555555555556</v>
      </c>
      <c r="F488" s="75" t="s">
        <v>40</v>
      </c>
      <c r="G488" s="77">
        <v>20</v>
      </c>
      <c r="H488" s="130">
        <v>579</v>
      </c>
      <c r="I488" s="2"/>
    </row>
    <row r="489" spans="1:9" ht="19.8" customHeight="1" x14ac:dyDescent="0.3">
      <c r="A489" s="133">
        <v>46028</v>
      </c>
      <c r="B489" s="75" t="s">
        <v>26</v>
      </c>
      <c r="C489" s="76" t="s">
        <v>57</v>
      </c>
      <c r="D489" s="75" t="s">
        <v>1</v>
      </c>
      <c r="E489" s="134">
        <v>1.958333333333333</v>
      </c>
      <c r="F489" s="75" t="s">
        <v>156</v>
      </c>
      <c r="G489" s="77">
        <v>7</v>
      </c>
      <c r="H489" s="130">
        <v>629</v>
      </c>
      <c r="I489" s="2"/>
    </row>
    <row r="490" spans="1:9" ht="19.8" customHeight="1" x14ac:dyDescent="0.3">
      <c r="A490" s="133">
        <v>46028</v>
      </c>
      <c r="B490" s="75" t="s">
        <v>44</v>
      </c>
      <c r="C490" s="76" t="s">
        <v>53</v>
      </c>
      <c r="D490" s="75" t="s">
        <v>1</v>
      </c>
      <c r="E490" s="134">
        <v>1.836805555555556</v>
      </c>
      <c r="F490" s="75" t="s">
        <v>49</v>
      </c>
      <c r="G490" s="77">
        <v>8</v>
      </c>
      <c r="H490" s="130">
        <v>659</v>
      </c>
      <c r="I490" s="2"/>
    </row>
    <row r="491" spans="1:9" ht="19.8" customHeight="1" x14ac:dyDescent="0.3">
      <c r="A491" s="133">
        <v>46028</v>
      </c>
      <c r="B491" s="75" t="s">
        <v>44</v>
      </c>
      <c r="C491" s="76" t="s">
        <v>45</v>
      </c>
      <c r="D491" s="75" t="s">
        <v>1</v>
      </c>
      <c r="E491" s="134">
        <v>1.2013888888888891</v>
      </c>
      <c r="F491" s="75" t="s">
        <v>49</v>
      </c>
      <c r="G491" s="77">
        <v>4</v>
      </c>
      <c r="H491" s="130">
        <v>659</v>
      </c>
      <c r="I491" s="2"/>
    </row>
    <row r="492" spans="1:9" ht="19.8" customHeight="1" x14ac:dyDescent="0.3">
      <c r="A492" s="133">
        <v>46028</v>
      </c>
      <c r="B492" s="75" t="s">
        <v>44</v>
      </c>
      <c r="C492" s="76" t="s">
        <v>53</v>
      </c>
      <c r="D492" s="75" t="s">
        <v>1</v>
      </c>
      <c r="E492" s="134">
        <v>1.836805555555556</v>
      </c>
      <c r="F492" s="75" t="s">
        <v>51</v>
      </c>
      <c r="G492" s="77">
        <v>8</v>
      </c>
      <c r="H492" s="130">
        <v>749</v>
      </c>
      <c r="I492" s="2"/>
    </row>
    <row r="493" spans="1:9" ht="19.8" customHeight="1" x14ac:dyDescent="0.3">
      <c r="A493" s="133">
        <v>46028</v>
      </c>
      <c r="B493" s="75" t="s">
        <v>44</v>
      </c>
      <c r="C493" s="76" t="s">
        <v>45</v>
      </c>
      <c r="D493" s="75" t="s">
        <v>1</v>
      </c>
      <c r="E493" s="134">
        <v>1.2013888888888891</v>
      </c>
      <c r="F493" s="75" t="s">
        <v>51</v>
      </c>
      <c r="G493" s="77">
        <v>4</v>
      </c>
      <c r="H493" s="130">
        <v>749</v>
      </c>
      <c r="I493" s="2"/>
    </row>
    <row r="494" spans="1:9" ht="19.8" customHeight="1" x14ac:dyDescent="0.3">
      <c r="A494" s="133">
        <v>46028</v>
      </c>
      <c r="B494" s="75" t="s">
        <v>35</v>
      </c>
      <c r="C494" s="76" t="s">
        <v>36</v>
      </c>
      <c r="D494" s="75" t="s">
        <v>1</v>
      </c>
      <c r="E494" s="134">
        <v>1.305555555555556</v>
      </c>
      <c r="F494" s="75" t="s">
        <v>42</v>
      </c>
      <c r="G494" s="77">
        <v>20</v>
      </c>
      <c r="H494" s="86" t="s">
        <v>43</v>
      </c>
      <c r="I494" s="2"/>
    </row>
    <row r="495" spans="1:9" ht="19.8" customHeight="1" x14ac:dyDescent="0.3">
      <c r="A495" s="135">
        <v>46028</v>
      </c>
      <c r="B495" s="79" t="s">
        <v>69</v>
      </c>
      <c r="C495" s="80" t="s">
        <v>70</v>
      </c>
      <c r="D495" s="79" t="s">
        <v>1</v>
      </c>
      <c r="E495" s="136">
        <v>1.305555555555556</v>
      </c>
      <c r="F495" s="79" t="s">
        <v>71</v>
      </c>
      <c r="G495" s="81">
        <v>4</v>
      </c>
      <c r="H495" s="87" t="s">
        <v>91</v>
      </c>
      <c r="I495" s="2"/>
    </row>
    <row r="496" spans="1:9" ht="19.8" customHeight="1" x14ac:dyDescent="0.3">
      <c r="A496" s="133">
        <v>46029</v>
      </c>
      <c r="B496" s="75" t="s">
        <v>35</v>
      </c>
      <c r="C496" s="76" t="s">
        <v>36</v>
      </c>
      <c r="D496" s="75" t="s">
        <v>1</v>
      </c>
      <c r="E496" s="134">
        <v>1.305555555555556</v>
      </c>
      <c r="F496" s="75" t="s">
        <v>37</v>
      </c>
      <c r="G496" s="77">
        <v>19</v>
      </c>
      <c r="H496" s="130">
        <v>469</v>
      </c>
      <c r="I496" s="2"/>
    </row>
    <row r="497" spans="1:9" ht="19.8" customHeight="1" x14ac:dyDescent="0.3">
      <c r="A497" s="133">
        <v>46029</v>
      </c>
      <c r="B497" s="75" t="s">
        <v>79</v>
      </c>
      <c r="C497" s="76" t="s">
        <v>80</v>
      </c>
      <c r="D497" s="75" t="s">
        <v>1</v>
      </c>
      <c r="E497" s="134">
        <v>1.0902777777777779</v>
      </c>
      <c r="F497" s="75" t="s">
        <v>156</v>
      </c>
      <c r="G497" s="77">
        <v>2</v>
      </c>
      <c r="H497" s="130">
        <v>568</v>
      </c>
      <c r="I497" s="2"/>
    </row>
    <row r="498" spans="1:9" ht="19.8" customHeight="1" x14ac:dyDescent="0.3">
      <c r="A498" s="133">
        <v>46029</v>
      </c>
      <c r="B498" s="75" t="s">
        <v>35</v>
      </c>
      <c r="C498" s="76" t="s">
        <v>36</v>
      </c>
      <c r="D498" s="75" t="s">
        <v>1</v>
      </c>
      <c r="E498" s="134">
        <v>1.305555555555556</v>
      </c>
      <c r="F498" s="75" t="s">
        <v>40</v>
      </c>
      <c r="G498" s="77">
        <v>19</v>
      </c>
      <c r="H498" s="130">
        <v>619</v>
      </c>
      <c r="I498" s="2"/>
    </row>
    <row r="499" spans="1:9" ht="19.8" customHeight="1" x14ac:dyDescent="0.3">
      <c r="A499" s="133">
        <v>46029</v>
      </c>
      <c r="B499" s="75" t="s">
        <v>74</v>
      </c>
      <c r="C499" s="76" t="s">
        <v>75</v>
      </c>
      <c r="D499" s="75" t="s">
        <v>1</v>
      </c>
      <c r="E499" s="134">
        <v>1.9722222222222221</v>
      </c>
      <c r="F499" s="75" t="s">
        <v>76</v>
      </c>
      <c r="G499" s="77">
        <v>9</v>
      </c>
      <c r="H499" s="130">
        <v>621</v>
      </c>
      <c r="I499" s="2"/>
    </row>
    <row r="500" spans="1:9" ht="19.8" customHeight="1" x14ac:dyDescent="0.3">
      <c r="A500" s="133">
        <v>46029</v>
      </c>
      <c r="B500" s="75" t="s">
        <v>26</v>
      </c>
      <c r="C500" s="76" t="s">
        <v>27</v>
      </c>
      <c r="D500" s="75" t="s">
        <v>1</v>
      </c>
      <c r="E500" s="134">
        <v>1.895833333333333</v>
      </c>
      <c r="F500" s="75" t="s">
        <v>156</v>
      </c>
      <c r="G500" s="77">
        <v>1</v>
      </c>
      <c r="H500" s="130">
        <v>679</v>
      </c>
      <c r="I500" s="2"/>
    </row>
    <row r="501" spans="1:9" ht="19.8" customHeight="1" x14ac:dyDescent="0.3">
      <c r="A501" s="133">
        <v>46029</v>
      </c>
      <c r="B501" s="75" t="s">
        <v>31</v>
      </c>
      <c r="C501" s="76" t="s">
        <v>58</v>
      </c>
      <c r="D501" s="75" t="s">
        <v>1</v>
      </c>
      <c r="E501" s="134">
        <v>1.1701388888888891</v>
      </c>
      <c r="F501" s="75" t="s">
        <v>33</v>
      </c>
      <c r="G501" s="77">
        <v>9</v>
      </c>
      <c r="H501" s="130">
        <v>697</v>
      </c>
      <c r="I501" s="2"/>
    </row>
    <row r="502" spans="1:9" ht="19.8" customHeight="1" x14ac:dyDescent="0.3">
      <c r="A502" s="133">
        <v>46029</v>
      </c>
      <c r="B502" s="75" t="s">
        <v>31</v>
      </c>
      <c r="C502" s="76" t="s">
        <v>32</v>
      </c>
      <c r="D502" s="75" t="s">
        <v>1</v>
      </c>
      <c r="E502" s="134">
        <v>1.864583333333333</v>
      </c>
      <c r="F502" s="75" t="s">
        <v>33</v>
      </c>
      <c r="G502" s="77">
        <v>9</v>
      </c>
      <c r="H502" s="130">
        <v>757</v>
      </c>
      <c r="I502" s="2"/>
    </row>
    <row r="503" spans="1:9" ht="19.8" customHeight="1" x14ac:dyDescent="0.3">
      <c r="A503" s="133">
        <v>46029</v>
      </c>
      <c r="B503" s="75" t="s">
        <v>31</v>
      </c>
      <c r="C503" s="76" t="s">
        <v>62</v>
      </c>
      <c r="D503" s="75" t="s">
        <v>1</v>
      </c>
      <c r="E503" s="134">
        <v>1.5277777777777779</v>
      </c>
      <c r="F503" s="75" t="s">
        <v>33</v>
      </c>
      <c r="G503" s="77">
        <v>9</v>
      </c>
      <c r="H503" s="130">
        <v>757</v>
      </c>
      <c r="I503" s="2"/>
    </row>
    <row r="504" spans="1:9" ht="19.8" customHeight="1" x14ac:dyDescent="0.3">
      <c r="A504" s="133">
        <v>46029</v>
      </c>
      <c r="B504" s="75" t="s">
        <v>44</v>
      </c>
      <c r="C504" s="76" t="s">
        <v>53</v>
      </c>
      <c r="D504" s="75" t="s">
        <v>1</v>
      </c>
      <c r="E504" s="134">
        <v>1.836805555555556</v>
      </c>
      <c r="F504" s="75" t="s">
        <v>46</v>
      </c>
      <c r="G504" s="77">
        <v>9</v>
      </c>
      <c r="H504" s="130">
        <v>759</v>
      </c>
      <c r="I504" s="2"/>
    </row>
    <row r="505" spans="1:9" ht="19.8" customHeight="1" x14ac:dyDescent="0.3">
      <c r="A505" s="133">
        <v>46029</v>
      </c>
      <c r="B505" s="75" t="s">
        <v>74</v>
      </c>
      <c r="C505" s="76" t="s">
        <v>75</v>
      </c>
      <c r="D505" s="75" t="s">
        <v>1</v>
      </c>
      <c r="E505" s="134">
        <v>1.9722222222222221</v>
      </c>
      <c r="F505" s="75" t="s">
        <v>42</v>
      </c>
      <c r="G505" s="77">
        <v>9</v>
      </c>
      <c r="H505" s="130">
        <v>827</v>
      </c>
      <c r="I505" s="2"/>
    </row>
    <row r="506" spans="1:9" ht="19.8" customHeight="1" x14ac:dyDescent="0.3">
      <c r="A506" s="133">
        <v>46029</v>
      </c>
      <c r="B506" s="75" t="s">
        <v>44</v>
      </c>
      <c r="C506" s="76" t="s">
        <v>53</v>
      </c>
      <c r="D506" s="75" t="s">
        <v>1</v>
      </c>
      <c r="E506" s="134">
        <v>1.836805555555556</v>
      </c>
      <c r="F506" s="75" t="s">
        <v>49</v>
      </c>
      <c r="G506" s="77">
        <v>9</v>
      </c>
      <c r="H506" s="130">
        <v>859</v>
      </c>
      <c r="I506" s="2"/>
    </row>
    <row r="507" spans="1:9" ht="19.8" customHeight="1" x14ac:dyDescent="0.3">
      <c r="A507" s="133">
        <v>46029</v>
      </c>
      <c r="B507" s="75" t="s">
        <v>35</v>
      </c>
      <c r="C507" s="76" t="s">
        <v>36</v>
      </c>
      <c r="D507" s="75" t="s">
        <v>1</v>
      </c>
      <c r="E507" s="134">
        <v>1.305555555555556</v>
      </c>
      <c r="F507" s="75" t="s">
        <v>42</v>
      </c>
      <c r="G507" s="77">
        <v>19</v>
      </c>
      <c r="H507" s="130">
        <v>899</v>
      </c>
      <c r="I507" s="2"/>
    </row>
    <row r="508" spans="1:9" ht="19.8" customHeight="1" x14ac:dyDescent="0.3">
      <c r="A508" s="133">
        <v>46029</v>
      </c>
      <c r="B508" s="75" t="s">
        <v>44</v>
      </c>
      <c r="C508" s="76" t="s">
        <v>53</v>
      </c>
      <c r="D508" s="75" t="s">
        <v>1</v>
      </c>
      <c r="E508" s="134">
        <v>1.836805555555556</v>
      </c>
      <c r="F508" s="75" t="s">
        <v>51</v>
      </c>
      <c r="G508" s="77">
        <v>9</v>
      </c>
      <c r="H508" s="130">
        <v>949</v>
      </c>
      <c r="I508" s="2"/>
    </row>
    <row r="509" spans="1:9" ht="19.8" customHeight="1" x14ac:dyDescent="0.3">
      <c r="A509" s="135">
        <v>46029</v>
      </c>
      <c r="B509" s="79" t="s">
        <v>69</v>
      </c>
      <c r="C509" s="80" t="s">
        <v>70</v>
      </c>
      <c r="D509" s="79" t="s">
        <v>1</v>
      </c>
      <c r="E509" s="136">
        <v>1.305555555555556</v>
      </c>
      <c r="F509" s="79" t="s">
        <v>71</v>
      </c>
      <c r="G509" s="81">
        <v>4</v>
      </c>
      <c r="H509" s="87" t="s">
        <v>175</v>
      </c>
      <c r="I509" s="2"/>
    </row>
    <row r="510" spans="1:9" ht="19.8" customHeight="1" x14ac:dyDescent="0.3">
      <c r="A510" s="133">
        <v>46030</v>
      </c>
      <c r="B510" s="75" t="s">
        <v>35</v>
      </c>
      <c r="C510" s="76" t="s">
        <v>36</v>
      </c>
      <c r="D510" s="75" t="s">
        <v>1</v>
      </c>
      <c r="E510" s="134">
        <v>1.305555555555556</v>
      </c>
      <c r="F510" s="75" t="s">
        <v>37</v>
      </c>
      <c r="G510" s="77">
        <v>18</v>
      </c>
      <c r="H510" s="130">
        <v>599</v>
      </c>
      <c r="I510" s="2"/>
    </row>
    <row r="511" spans="1:9" ht="19.8" customHeight="1" x14ac:dyDescent="0.3">
      <c r="A511" s="133">
        <v>46030</v>
      </c>
      <c r="B511" s="75" t="s">
        <v>44</v>
      </c>
      <c r="C511" s="76" t="s">
        <v>45</v>
      </c>
      <c r="D511" s="75" t="s">
        <v>1</v>
      </c>
      <c r="E511" s="134">
        <v>1.2013888888888891</v>
      </c>
      <c r="F511" s="75" t="s">
        <v>46</v>
      </c>
      <c r="G511" s="77">
        <v>3</v>
      </c>
      <c r="H511" s="130">
        <v>659</v>
      </c>
      <c r="I511" s="2"/>
    </row>
    <row r="512" spans="1:9" ht="19.8" customHeight="1" x14ac:dyDescent="0.3">
      <c r="A512" s="133">
        <v>46030</v>
      </c>
      <c r="B512" s="75" t="s">
        <v>31</v>
      </c>
      <c r="C512" s="76" t="s">
        <v>58</v>
      </c>
      <c r="D512" s="75" t="s">
        <v>1</v>
      </c>
      <c r="E512" s="134">
        <v>1.1701388888888891</v>
      </c>
      <c r="F512" s="75" t="s">
        <v>33</v>
      </c>
      <c r="G512" s="77">
        <v>9</v>
      </c>
      <c r="H512" s="130">
        <v>697</v>
      </c>
      <c r="I512" s="2"/>
    </row>
    <row r="513" spans="1:9" ht="19.8" customHeight="1" x14ac:dyDescent="0.3">
      <c r="A513" s="133">
        <v>46030</v>
      </c>
      <c r="B513" s="75" t="s">
        <v>35</v>
      </c>
      <c r="C513" s="76" t="s">
        <v>36</v>
      </c>
      <c r="D513" s="75" t="s">
        <v>1</v>
      </c>
      <c r="E513" s="134">
        <v>1.305555555555556</v>
      </c>
      <c r="F513" s="75" t="s">
        <v>40</v>
      </c>
      <c r="G513" s="77">
        <v>18</v>
      </c>
      <c r="H513" s="130">
        <v>749</v>
      </c>
      <c r="I513" s="2"/>
    </row>
    <row r="514" spans="1:9" ht="19.8" customHeight="1" x14ac:dyDescent="0.3">
      <c r="A514" s="133">
        <v>46030</v>
      </c>
      <c r="B514" s="75" t="s">
        <v>44</v>
      </c>
      <c r="C514" s="76" t="s">
        <v>45</v>
      </c>
      <c r="D514" s="75" t="s">
        <v>1</v>
      </c>
      <c r="E514" s="134">
        <v>1.2013888888888891</v>
      </c>
      <c r="F514" s="75" t="s">
        <v>49</v>
      </c>
      <c r="G514" s="77">
        <v>3</v>
      </c>
      <c r="H514" s="130">
        <v>759</v>
      </c>
      <c r="I514" s="2"/>
    </row>
    <row r="515" spans="1:9" ht="19.8" customHeight="1" x14ac:dyDescent="0.3">
      <c r="A515" s="133">
        <v>46030</v>
      </c>
      <c r="B515" s="75" t="s">
        <v>31</v>
      </c>
      <c r="C515" s="76" t="s">
        <v>62</v>
      </c>
      <c r="D515" s="75" t="s">
        <v>1</v>
      </c>
      <c r="E515" s="134">
        <v>1.5277777777777779</v>
      </c>
      <c r="F515" s="75" t="s">
        <v>33</v>
      </c>
      <c r="G515" s="77">
        <v>9</v>
      </c>
      <c r="H515" s="130">
        <v>817</v>
      </c>
      <c r="I515" s="2"/>
    </row>
    <row r="516" spans="1:9" ht="19.8" customHeight="1" x14ac:dyDescent="0.3">
      <c r="A516" s="133">
        <v>46030</v>
      </c>
      <c r="B516" s="75" t="s">
        <v>44</v>
      </c>
      <c r="C516" s="76" t="s">
        <v>45</v>
      </c>
      <c r="D516" s="75" t="s">
        <v>1</v>
      </c>
      <c r="E516" s="134">
        <v>1.2013888888888891</v>
      </c>
      <c r="F516" s="75" t="s">
        <v>51</v>
      </c>
      <c r="G516" s="77">
        <v>3</v>
      </c>
      <c r="H516" s="130">
        <v>849</v>
      </c>
      <c r="I516" s="2"/>
    </row>
    <row r="517" spans="1:9" ht="19.8" customHeight="1" x14ac:dyDescent="0.3">
      <c r="A517" s="133">
        <v>46030</v>
      </c>
      <c r="B517" s="75" t="s">
        <v>35</v>
      </c>
      <c r="C517" s="76" t="s">
        <v>36</v>
      </c>
      <c r="D517" s="75" t="s">
        <v>1</v>
      </c>
      <c r="E517" s="134">
        <v>1.305555555555556</v>
      </c>
      <c r="F517" s="75" t="s">
        <v>42</v>
      </c>
      <c r="G517" s="77">
        <v>18</v>
      </c>
      <c r="H517" s="130">
        <v>899</v>
      </c>
      <c r="I517" s="2"/>
    </row>
    <row r="518" spans="1:9" ht="19.8" customHeight="1" x14ac:dyDescent="0.3">
      <c r="A518" s="133">
        <v>46030</v>
      </c>
      <c r="B518" s="75" t="s">
        <v>26</v>
      </c>
      <c r="C518" s="76" t="s">
        <v>93</v>
      </c>
      <c r="D518" s="75" t="s">
        <v>1</v>
      </c>
      <c r="E518" s="134">
        <v>1.5625</v>
      </c>
      <c r="F518" s="75" t="s">
        <v>156</v>
      </c>
      <c r="G518" s="77">
        <v>1</v>
      </c>
      <c r="H518" s="130">
        <v>914</v>
      </c>
      <c r="I518" s="2"/>
    </row>
    <row r="519" spans="1:9" ht="19.8" customHeight="1" x14ac:dyDescent="0.3">
      <c r="A519" s="133">
        <v>46030</v>
      </c>
      <c r="B519" s="75" t="s">
        <v>26</v>
      </c>
      <c r="C519" s="76" t="s">
        <v>57</v>
      </c>
      <c r="D519" s="75" t="s">
        <v>1</v>
      </c>
      <c r="E519" s="134">
        <v>1.958333333333333</v>
      </c>
      <c r="F519" s="75" t="s">
        <v>156</v>
      </c>
      <c r="G519" s="77">
        <v>9</v>
      </c>
      <c r="H519" s="86" t="s">
        <v>197</v>
      </c>
      <c r="I519" s="2"/>
    </row>
    <row r="520" spans="1:9" ht="19.8" customHeight="1" x14ac:dyDescent="0.3">
      <c r="A520" s="133">
        <v>46030</v>
      </c>
      <c r="B520" s="75" t="s">
        <v>44</v>
      </c>
      <c r="C520" s="76" t="s">
        <v>53</v>
      </c>
      <c r="D520" s="75" t="s">
        <v>1</v>
      </c>
      <c r="E520" s="134">
        <v>1.836805555555556</v>
      </c>
      <c r="F520" s="75" t="s">
        <v>46</v>
      </c>
      <c r="G520" s="77">
        <v>6</v>
      </c>
      <c r="H520" s="86" t="s">
        <v>192</v>
      </c>
      <c r="I520" s="2"/>
    </row>
    <row r="521" spans="1:9" ht="19.8" customHeight="1" x14ac:dyDescent="0.3">
      <c r="A521" s="137">
        <v>46030</v>
      </c>
      <c r="B521" s="83" t="s">
        <v>63</v>
      </c>
      <c r="C521" s="84" t="s">
        <v>64</v>
      </c>
      <c r="D521" s="83" t="s">
        <v>1</v>
      </c>
      <c r="E521" s="138">
        <v>1.9236111111111109</v>
      </c>
      <c r="F521" s="83" t="s">
        <v>156</v>
      </c>
      <c r="G521" s="85">
        <v>9</v>
      </c>
      <c r="H521" s="91" t="s">
        <v>198</v>
      </c>
      <c r="I521" s="2"/>
    </row>
    <row r="522" spans="1:9" ht="19.8" customHeight="1" x14ac:dyDescent="0.3">
      <c r="A522" s="133">
        <v>46030</v>
      </c>
      <c r="B522" s="75" t="s">
        <v>44</v>
      </c>
      <c r="C522" s="76" t="s">
        <v>53</v>
      </c>
      <c r="D522" s="75" t="s">
        <v>1</v>
      </c>
      <c r="E522" s="134">
        <v>1.836805555555556</v>
      </c>
      <c r="F522" s="75" t="s">
        <v>49</v>
      </c>
      <c r="G522" s="77">
        <v>6</v>
      </c>
      <c r="H522" s="86" t="s">
        <v>193</v>
      </c>
      <c r="I522" s="2"/>
    </row>
    <row r="523" spans="1:9" ht="19.8" customHeight="1" x14ac:dyDescent="0.3">
      <c r="A523" s="133">
        <v>46030</v>
      </c>
      <c r="B523" s="75" t="s">
        <v>44</v>
      </c>
      <c r="C523" s="76" t="s">
        <v>53</v>
      </c>
      <c r="D523" s="75" t="s">
        <v>1</v>
      </c>
      <c r="E523" s="134">
        <v>1.836805555555556</v>
      </c>
      <c r="F523" s="75" t="s">
        <v>51</v>
      </c>
      <c r="G523" s="77">
        <v>6</v>
      </c>
      <c r="H523" s="86" t="s">
        <v>194</v>
      </c>
      <c r="I523" s="2"/>
    </row>
    <row r="524" spans="1:9" ht="19.8" customHeight="1" x14ac:dyDescent="0.3">
      <c r="A524" s="133">
        <v>46030</v>
      </c>
      <c r="B524" s="75" t="s">
        <v>31</v>
      </c>
      <c r="C524" s="76" t="s">
        <v>32</v>
      </c>
      <c r="D524" s="75" t="s">
        <v>1</v>
      </c>
      <c r="E524" s="134">
        <v>1.8784722222222221</v>
      </c>
      <c r="F524" s="75" t="s">
        <v>33</v>
      </c>
      <c r="G524" s="77">
        <v>9</v>
      </c>
      <c r="H524" s="86" t="s">
        <v>195</v>
      </c>
      <c r="I524" s="2"/>
    </row>
    <row r="525" spans="1:9" ht="19.8" customHeight="1" x14ac:dyDescent="0.3">
      <c r="A525" s="133">
        <v>46030</v>
      </c>
      <c r="B525" s="75" t="s">
        <v>79</v>
      </c>
      <c r="C525" s="76" t="s">
        <v>80</v>
      </c>
      <c r="D525" s="75" t="s">
        <v>1</v>
      </c>
      <c r="E525" s="134">
        <v>1.9652777777777779</v>
      </c>
      <c r="F525" s="75" t="s">
        <v>156</v>
      </c>
      <c r="G525" s="77">
        <v>5</v>
      </c>
      <c r="H525" s="86" t="s">
        <v>175</v>
      </c>
      <c r="I525" s="2"/>
    </row>
    <row r="526" spans="1:9" ht="19.8" customHeight="1" x14ac:dyDescent="0.3">
      <c r="A526" s="135">
        <v>46030</v>
      </c>
      <c r="B526" s="79" t="s">
        <v>69</v>
      </c>
      <c r="C526" s="80" t="s">
        <v>70</v>
      </c>
      <c r="D526" s="79" t="s">
        <v>1</v>
      </c>
      <c r="E526" s="136">
        <v>1.305555555555556</v>
      </c>
      <c r="F526" s="79" t="s">
        <v>71</v>
      </c>
      <c r="G526" s="81">
        <v>4</v>
      </c>
      <c r="H526" s="87" t="s">
        <v>201</v>
      </c>
      <c r="I526" s="2"/>
    </row>
    <row r="527" spans="1:9" ht="19.8" customHeight="1" x14ac:dyDescent="0.3">
      <c r="A527" s="133">
        <v>46031</v>
      </c>
      <c r="B527" s="75" t="s">
        <v>35</v>
      </c>
      <c r="C527" s="76" t="s">
        <v>36</v>
      </c>
      <c r="D527" s="75" t="s">
        <v>1</v>
      </c>
      <c r="E527" s="134">
        <v>1.305555555555556</v>
      </c>
      <c r="F527" s="75" t="s">
        <v>37</v>
      </c>
      <c r="G527" s="77">
        <v>14</v>
      </c>
      <c r="H527" s="130">
        <v>599</v>
      </c>
      <c r="I527" s="2"/>
    </row>
    <row r="528" spans="1:9" ht="19.8" customHeight="1" x14ac:dyDescent="0.3">
      <c r="A528" s="133">
        <v>46031</v>
      </c>
      <c r="B528" s="75" t="s">
        <v>35</v>
      </c>
      <c r="C528" s="76" t="s">
        <v>36</v>
      </c>
      <c r="D528" s="75" t="s">
        <v>1</v>
      </c>
      <c r="E528" s="134">
        <v>1.305555555555556</v>
      </c>
      <c r="F528" s="75" t="s">
        <v>40</v>
      </c>
      <c r="G528" s="77">
        <v>14</v>
      </c>
      <c r="H528" s="130">
        <v>749</v>
      </c>
      <c r="I528" s="2"/>
    </row>
    <row r="529" spans="1:9" ht="19.8" customHeight="1" x14ac:dyDescent="0.3">
      <c r="A529" s="133">
        <v>46031</v>
      </c>
      <c r="B529" s="75" t="s">
        <v>31</v>
      </c>
      <c r="C529" s="76" t="s">
        <v>32</v>
      </c>
      <c r="D529" s="75" t="s">
        <v>1</v>
      </c>
      <c r="E529" s="134">
        <v>1.864583333333333</v>
      </c>
      <c r="F529" s="75" t="s">
        <v>33</v>
      </c>
      <c r="G529" s="77">
        <v>9</v>
      </c>
      <c r="H529" s="130">
        <v>757</v>
      </c>
      <c r="I529" s="2"/>
    </row>
    <row r="530" spans="1:9" ht="19.8" customHeight="1" x14ac:dyDescent="0.3">
      <c r="A530" s="133">
        <v>46031</v>
      </c>
      <c r="B530" s="75" t="s">
        <v>26</v>
      </c>
      <c r="C530" s="76" t="s">
        <v>27</v>
      </c>
      <c r="D530" s="75" t="s">
        <v>1</v>
      </c>
      <c r="E530" s="134">
        <v>1.958333333333333</v>
      </c>
      <c r="F530" s="75" t="s">
        <v>156</v>
      </c>
      <c r="G530" s="77">
        <v>1</v>
      </c>
      <c r="H530" s="130">
        <v>811</v>
      </c>
      <c r="I530" s="2"/>
    </row>
    <row r="531" spans="1:9" ht="19.8" customHeight="1" x14ac:dyDescent="0.3">
      <c r="A531" s="133">
        <v>46031</v>
      </c>
      <c r="B531" s="75" t="s">
        <v>31</v>
      </c>
      <c r="C531" s="76" t="s">
        <v>58</v>
      </c>
      <c r="D531" s="75" t="s">
        <v>1</v>
      </c>
      <c r="E531" s="134">
        <v>1.1701388888888891</v>
      </c>
      <c r="F531" s="75" t="s">
        <v>33</v>
      </c>
      <c r="G531" s="77">
        <v>9</v>
      </c>
      <c r="H531" s="130">
        <v>817</v>
      </c>
      <c r="I531" s="2"/>
    </row>
    <row r="532" spans="1:9" ht="19.8" customHeight="1" x14ac:dyDescent="0.3">
      <c r="A532" s="133">
        <v>46031</v>
      </c>
      <c r="B532" s="75" t="s">
        <v>44</v>
      </c>
      <c r="C532" s="76" t="s">
        <v>53</v>
      </c>
      <c r="D532" s="75" t="s">
        <v>1</v>
      </c>
      <c r="E532" s="134">
        <v>1.836805555555556</v>
      </c>
      <c r="F532" s="75" t="s">
        <v>46</v>
      </c>
      <c r="G532" s="77">
        <v>9</v>
      </c>
      <c r="H532" s="130">
        <v>879</v>
      </c>
      <c r="I532" s="2"/>
    </row>
    <row r="533" spans="1:9" ht="19.8" customHeight="1" x14ac:dyDescent="0.3">
      <c r="A533" s="133">
        <v>46031</v>
      </c>
      <c r="B533" s="75" t="s">
        <v>44</v>
      </c>
      <c r="C533" s="76" t="s">
        <v>53</v>
      </c>
      <c r="D533" s="75" t="s">
        <v>1</v>
      </c>
      <c r="E533" s="134">
        <v>1.836805555555556</v>
      </c>
      <c r="F533" s="75" t="s">
        <v>49</v>
      </c>
      <c r="G533" s="77">
        <v>9</v>
      </c>
      <c r="H533" s="130">
        <v>979</v>
      </c>
      <c r="I533" s="2"/>
    </row>
    <row r="534" spans="1:9" ht="19.8" customHeight="1" x14ac:dyDescent="0.3">
      <c r="A534" s="137">
        <v>46031</v>
      </c>
      <c r="B534" s="83" t="s">
        <v>63</v>
      </c>
      <c r="C534" s="84" t="s">
        <v>64</v>
      </c>
      <c r="D534" s="83" t="s">
        <v>1</v>
      </c>
      <c r="E534" s="138">
        <v>1.5798611111111109</v>
      </c>
      <c r="F534" s="83" t="s">
        <v>156</v>
      </c>
      <c r="G534" s="85">
        <v>2</v>
      </c>
      <c r="H534" s="91" t="s">
        <v>206</v>
      </c>
      <c r="I534" s="2"/>
    </row>
    <row r="535" spans="1:9" ht="19.8" customHeight="1" x14ac:dyDescent="0.3">
      <c r="A535" s="133">
        <v>46031</v>
      </c>
      <c r="B535" s="75" t="s">
        <v>44</v>
      </c>
      <c r="C535" s="76" t="s">
        <v>53</v>
      </c>
      <c r="D535" s="75" t="s">
        <v>1</v>
      </c>
      <c r="E535" s="134">
        <v>1.836805555555556</v>
      </c>
      <c r="F535" s="75" t="s">
        <v>51</v>
      </c>
      <c r="G535" s="77">
        <v>9</v>
      </c>
      <c r="H535" s="86" t="s">
        <v>205</v>
      </c>
      <c r="I535" s="2"/>
    </row>
    <row r="536" spans="1:9" ht="19.8" customHeight="1" x14ac:dyDescent="0.3">
      <c r="A536" s="133">
        <v>46031</v>
      </c>
      <c r="B536" s="75" t="s">
        <v>35</v>
      </c>
      <c r="C536" s="76" t="s">
        <v>36</v>
      </c>
      <c r="D536" s="75" t="s">
        <v>1</v>
      </c>
      <c r="E536" s="134">
        <v>1.305555555555556</v>
      </c>
      <c r="F536" s="75" t="s">
        <v>42</v>
      </c>
      <c r="G536" s="77">
        <v>14</v>
      </c>
      <c r="H536" s="86" t="s">
        <v>43</v>
      </c>
      <c r="I536" s="2"/>
    </row>
    <row r="537" spans="1:9" ht="19.8" customHeight="1" x14ac:dyDescent="0.3">
      <c r="A537" s="133">
        <v>46031</v>
      </c>
      <c r="B537" s="75" t="s">
        <v>31</v>
      </c>
      <c r="C537" s="76" t="s">
        <v>62</v>
      </c>
      <c r="D537" s="75" t="s">
        <v>1</v>
      </c>
      <c r="E537" s="134">
        <v>1.5138888888888891</v>
      </c>
      <c r="F537" s="75" t="s">
        <v>33</v>
      </c>
      <c r="G537" s="77">
        <v>9</v>
      </c>
      <c r="H537" s="86" t="s">
        <v>136</v>
      </c>
      <c r="I537" s="2"/>
    </row>
    <row r="538" spans="1:9" ht="19.8" customHeight="1" x14ac:dyDescent="0.3">
      <c r="A538" s="133">
        <v>46031</v>
      </c>
      <c r="B538" s="75" t="s">
        <v>79</v>
      </c>
      <c r="C538" s="76" t="s">
        <v>119</v>
      </c>
      <c r="D538" s="75" t="s">
        <v>1</v>
      </c>
      <c r="E538" s="134">
        <v>1.2152777777777779</v>
      </c>
      <c r="F538" s="75" t="s">
        <v>156</v>
      </c>
      <c r="G538" s="77">
        <v>4</v>
      </c>
      <c r="H538" s="86" t="s">
        <v>175</v>
      </c>
      <c r="I538" s="2"/>
    </row>
    <row r="539" spans="1:9" ht="19.8" customHeight="1" x14ac:dyDescent="0.3">
      <c r="A539" s="135">
        <v>46031</v>
      </c>
      <c r="B539" s="79" t="s">
        <v>69</v>
      </c>
      <c r="C539" s="80" t="s">
        <v>70</v>
      </c>
      <c r="D539" s="79" t="s">
        <v>1</v>
      </c>
      <c r="E539" s="136">
        <v>1.305555555555556</v>
      </c>
      <c r="F539" s="79" t="s">
        <v>71</v>
      </c>
      <c r="G539" s="81">
        <v>4</v>
      </c>
      <c r="H539" s="87" t="s">
        <v>201</v>
      </c>
      <c r="I539" s="2"/>
    </row>
    <row r="540" spans="1:9" ht="19.8" customHeight="1" x14ac:dyDescent="0.3">
      <c r="A540" s="133">
        <v>46032</v>
      </c>
      <c r="B540" s="75" t="s">
        <v>35</v>
      </c>
      <c r="C540" s="76" t="s">
        <v>36</v>
      </c>
      <c r="D540" s="75" t="s">
        <v>1</v>
      </c>
      <c r="E540" s="134">
        <v>1.305555555555556</v>
      </c>
      <c r="F540" s="75" t="s">
        <v>37</v>
      </c>
      <c r="G540" s="77">
        <v>20</v>
      </c>
      <c r="H540" s="130">
        <v>549</v>
      </c>
      <c r="I540" s="2"/>
    </row>
    <row r="541" spans="1:9" ht="19.8" customHeight="1" x14ac:dyDescent="0.3">
      <c r="A541" s="133">
        <v>46032</v>
      </c>
      <c r="B541" s="75" t="s">
        <v>44</v>
      </c>
      <c r="C541" s="76" t="s">
        <v>53</v>
      </c>
      <c r="D541" s="75" t="s">
        <v>1</v>
      </c>
      <c r="E541" s="134">
        <v>1.836805555555556</v>
      </c>
      <c r="F541" s="75" t="s">
        <v>46</v>
      </c>
      <c r="G541" s="77">
        <v>1</v>
      </c>
      <c r="H541" s="130">
        <v>609</v>
      </c>
      <c r="I541" s="2"/>
    </row>
    <row r="542" spans="1:9" ht="19.8" customHeight="1" x14ac:dyDescent="0.3">
      <c r="A542" s="133">
        <v>46032</v>
      </c>
      <c r="B542" s="75" t="s">
        <v>44</v>
      </c>
      <c r="C542" s="76" t="s">
        <v>45</v>
      </c>
      <c r="D542" s="75" t="s">
        <v>1</v>
      </c>
      <c r="E542" s="134">
        <v>1.2013888888888891</v>
      </c>
      <c r="F542" s="75" t="s">
        <v>46</v>
      </c>
      <c r="G542" s="77">
        <v>1</v>
      </c>
      <c r="H542" s="130">
        <v>609</v>
      </c>
      <c r="I542" s="2"/>
    </row>
    <row r="543" spans="1:9" ht="19.8" customHeight="1" x14ac:dyDescent="0.3">
      <c r="A543" s="133">
        <v>46032</v>
      </c>
      <c r="B543" s="75" t="s">
        <v>74</v>
      </c>
      <c r="C543" s="76" t="s">
        <v>75</v>
      </c>
      <c r="D543" s="75" t="s">
        <v>1</v>
      </c>
      <c r="E543" s="134">
        <v>1.9722222222222221</v>
      </c>
      <c r="F543" s="75" t="s">
        <v>76</v>
      </c>
      <c r="G543" s="77">
        <v>9</v>
      </c>
      <c r="H543" s="130">
        <v>627</v>
      </c>
      <c r="I543" s="2"/>
    </row>
    <row r="544" spans="1:9" ht="19.8" customHeight="1" x14ac:dyDescent="0.3">
      <c r="A544" s="133">
        <v>46032</v>
      </c>
      <c r="B544" s="75" t="s">
        <v>35</v>
      </c>
      <c r="C544" s="76" t="s">
        <v>36</v>
      </c>
      <c r="D544" s="75" t="s">
        <v>1</v>
      </c>
      <c r="E544" s="134">
        <v>1.305555555555556</v>
      </c>
      <c r="F544" s="75" t="s">
        <v>40</v>
      </c>
      <c r="G544" s="77">
        <v>20</v>
      </c>
      <c r="H544" s="130">
        <v>699</v>
      </c>
      <c r="I544" s="2"/>
    </row>
    <row r="545" spans="1:9" ht="19.8" customHeight="1" x14ac:dyDescent="0.3">
      <c r="A545" s="133">
        <v>46032</v>
      </c>
      <c r="B545" s="75" t="s">
        <v>44</v>
      </c>
      <c r="C545" s="76" t="s">
        <v>53</v>
      </c>
      <c r="D545" s="75" t="s">
        <v>1</v>
      </c>
      <c r="E545" s="134">
        <v>1.836805555555556</v>
      </c>
      <c r="F545" s="75" t="s">
        <v>49</v>
      </c>
      <c r="G545" s="77">
        <v>1</v>
      </c>
      <c r="H545" s="130">
        <v>709</v>
      </c>
      <c r="I545" s="2"/>
    </row>
    <row r="546" spans="1:9" ht="19.8" customHeight="1" x14ac:dyDescent="0.3">
      <c r="A546" s="133">
        <v>46032</v>
      </c>
      <c r="B546" s="75" t="s">
        <v>44</v>
      </c>
      <c r="C546" s="76" t="s">
        <v>45</v>
      </c>
      <c r="D546" s="75" t="s">
        <v>1</v>
      </c>
      <c r="E546" s="134">
        <v>1.2013888888888891</v>
      </c>
      <c r="F546" s="75" t="s">
        <v>49</v>
      </c>
      <c r="G546" s="77">
        <v>1</v>
      </c>
      <c r="H546" s="130">
        <v>709</v>
      </c>
      <c r="I546" s="2"/>
    </row>
    <row r="547" spans="1:9" ht="19.8" customHeight="1" x14ac:dyDescent="0.3">
      <c r="A547" s="133">
        <v>46032</v>
      </c>
      <c r="B547" s="75" t="s">
        <v>26</v>
      </c>
      <c r="C547" s="76" t="s">
        <v>57</v>
      </c>
      <c r="D547" s="75" t="s">
        <v>1</v>
      </c>
      <c r="E547" s="134">
        <v>1.895833333333333</v>
      </c>
      <c r="F547" s="75" t="s">
        <v>156</v>
      </c>
      <c r="G547" s="77">
        <v>9</v>
      </c>
      <c r="H547" s="130">
        <v>723</v>
      </c>
      <c r="I547" s="2"/>
    </row>
    <row r="548" spans="1:9" ht="19.8" customHeight="1" x14ac:dyDescent="0.3">
      <c r="A548" s="133">
        <v>46032</v>
      </c>
      <c r="B548" s="75" t="s">
        <v>31</v>
      </c>
      <c r="C548" s="76" t="s">
        <v>32</v>
      </c>
      <c r="D548" s="75" t="s">
        <v>1</v>
      </c>
      <c r="E548" s="134">
        <v>1.864583333333333</v>
      </c>
      <c r="F548" s="75" t="s">
        <v>33</v>
      </c>
      <c r="G548" s="77">
        <v>9</v>
      </c>
      <c r="H548" s="130">
        <v>757</v>
      </c>
      <c r="I548" s="2"/>
    </row>
    <row r="549" spans="1:9" ht="19.8" customHeight="1" x14ac:dyDescent="0.3">
      <c r="A549" s="133">
        <v>46032</v>
      </c>
      <c r="B549" s="75" t="s">
        <v>31</v>
      </c>
      <c r="C549" s="76" t="s">
        <v>62</v>
      </c>
      <c r="D549" s="75" t="s">
        <v>1</v>
      </c>
      <c r="E549" s="134">
        <v>1.5277777777777779</v>
      </c>
      <c r="F549" s="75" t="s">
        <v>33</v>
      </c>
      <c r="G549" s="77">
        <v>9</v>
      </c>
      <c r="H549" s="130">
        <v>757</v>
      </c>
      <c r="I549" s="2"/>
    </row>
    <row r="550" spans="1:9" ht="19.8" customHeight="1" x14ac:dyDescent="0.3">
      <c r="A550" s="133">
        <v>46032</v>
      </c>
      <c r="B550" s="75" t="s">
        <v>31</v>
      </c>
      <c r="C550" s="76" t="s">
        <v>58</v>
      </c>
      <c r="D550" s="75" t="s">
        <v>1</v>
      </c>
      <c r="E550" s="134">
        <v>1.1701388888888891</v>
      </c>
      <c r="F550" s="75" t="s">
        <v>33</v>
      </c>
      <c r="G550" s="77">
        <v>9</v>
      </c>
      <c r="H550" s="130">
        <v>757</v>
      </c>
      <c r="I550" s="2"/>
    </row>
    <row r="551" spans="1:9" ht="19.8" customHeight="1" x14ac:dyDescent="0.3">
      <c r="A551" s="133">
        <v>46032</v>
      </c>
      <c r="B551" s="75" t="s">
        <v>44</v>
      </c>
      <c r="C551" s="76" t="s">
        <v>53</v>
      </c>
      <c r="D551" s="75" t="s">
        <v>1</v>
      </c>
      <c r="E551" s="134">
        <v>1.836805555555556</v>
      </c>
      <c r="F551" s="75" t="s">
        <v>51</v>
      </c>
      <c r="G551" s="77">
        <v>1</v>
      </c>
      <c r="H551" s="130">
        <v>799</v>
      </c>
      <c r="I551" s="2"/>
    </row>
    <row r="552" spans="1:9" ht="19.8" customHeight="1" x14ac:dyDescent="0.3">
      <c r="A552" s="133">
        <v>46032</v>
      </c>
      <c r="B552" s="75" t="s">
        <v>44</v>
      </c>
      <c r="C552" s="76" t="s">
        <v>45</v>
      </c>
      <c r="D552" s="75" t="s">
        <v>1</v>
      </c>
      <c r="E552" s="134">
        <v>1.2013888888888891</v>
      </c>
      <c r="F552" s="75" t="s">
        <v>51</v>
      </c>
      <c r="G552" s="77">
        <v>1</v>
      </c>
      <c r="H552" s="130">
        <v>799</v>
      </c>
      <c r="I552" s="2"/>
    </row>
    <row r="553" spans="1:9" ht="19.8" customHeight="1" x14ac:dyDescent="0.3">
      <c r="A553" s="133">
        <v>46032</v>
      </c>
      <c r="B553" s="75" t="s">
        <v>74</v>
      </c>
      <c r="C553" s="76" t="s">
        <v>75</v>
      </c>
      <c r="D553" s="75" t="s">
        <v>1</v>
      </c>
      <c r="E553" s="134">
        <v>1.9722222222222221</v>
      </c>
      <c r="F553" s="75" t="s">
        <v>42</v>
      </c>
      <c r="G553" s="77">
        <v>9</v>
      </c>
      <c r="H553" s="130">
        <v>833</v>
      </c>
      <c r="I553" s="2"/>
    </row>
    <row r="554" spans="1:9" ht="19.8" customHeight="1" x14ac:dyDescent="0.3">
      <c r="A554" s="137">
        <v>46032</v>
      </c>
      <c r="B554" s="83" t="s">
        <v>63</v>
      </c>
      <c r="C554" s="84" t="s">
        <v>64</v>
      </c>
      <c r="D554" s="83" t="s">
        <v>1</v>
      </c>
      <c r="E554" s="138">
        <v>1.9236111111111109</v>
      </c>
      <c r="F554" s="83" t="s">
        <v>156</v>
      </c>
      <c r="G554" s="85">
        <v>3</v>
      </c>
      <c r="H554" s="132">
        <v>896</v>
      </c>
      <c r="I554" s="2"/>
    </row>
    <row r="555" spans="1:9" ht="19.8" customHeight="1" x14ac:dyDescent="0.3">
      <c r="A555" s="133">
        <v>46032</v>
      </c>
      <c r="B555" s="75" t="s">
        <v>35</v>
      </c>
      <c r="C555" s="76" t="s">
        <v>36</v>
      </c>
      <c r="D555" s="75" t="s">
        <v>1</v>
      </c>
      <c r="E555" s="134">
        <v>1.305555555555556</v>
      </c>
      <c r="F555" s="75" t="s">
        <v>42</v>
      </c>
      <c r="G555" s="77">
        <v>20</v>
      </c>
      <c r="H555" s="130">
        <v>899</v>
      </c>
      <c r="I555" s="2"/>
    </row>
    <row r="556" spans="1:9" ht="19.8" customHeight="1" x14ac:dyDescent="0.3">
      <c r="A556" s="135">
        <v>46032</v>
      </c>
      <c r="B556" s="79" t="s">
        <v>69</v>
      </c>
      <c r="C556" s="80" t="s">
        <v>70</v>
      </c>
      <c r="D556" s="79" t="s">
        <v>1</v>
      </c>
      <c r="E556" s="136">
        <v>1.305555555555556</v>
      </c>
      <c r="F556" s="79" t="s">
        <v>71</v>
      </c>
      <c r="G556" s="81">
        <v>4</v>
      </c>
      <c r="H556" s="87" t="s">
        <v>201</v>
      </c>
      <c r="I556" s="2"/>
    </row>
    <row r="557" spans="1:9" ht="19.8" customHeight="1" x14ac:dyDescent="0.3">
      <c r="A557" s="133">
        <v>46033</v>
      </c>
      <c r="B557" s="75" t="s">
        <v>31</v>
      </c>
      <c r="C557" s="76" t="s">
        <v>58</v>
      </c>
      <c r="D557" s="75" t="s">
        <v>1</v>
      </c>
      <c r="E557" s="134">
        <v>1.1701388888888891</v>
      </c>
      <c r="F557" s="75" t="s">
        <v>94</v>
      </c>
      <c r="G557" s="77">
        <v>9</v>
      </c>
      <c r="H557" s="130">
        <v>487</v>
      </c>
      <c r="I557" s="2"/>
    </row>
    <row r="558" spans="1:9" ht="19.8" customHeight="1" x14ac:dyDescent="0.3">
      <c r="A558" s="133">
        <v>46033</v>
      </c>
      <c r="B558" s="75" t="s">
        <v>35</v>
      </c>
      <c r="C558" s="76" t="s">
        <v>36</v>
      </c>
      <c r="D558" s="75" t="s">
        <v>1</v>
      </c>
      <c r="E558" s="134">
        <v>1.305555555555556</v>
      </c>
      <c r="F558" s="75" t="s">
        <v>37</v>
      </c>
      <c r="G558" s="77">
        <v>20</v>
      </c>
      <c r="H558" s="130">
        <v>509</v>
      </c>
      <c r="I558" s="2"/>
    </row>
    <row r="559" spans="1:9" ht="19.8" customHeight="1" x14ac:dyDescent="0.3">
      <c r="A559" s="133">
        <v>46033</v>
      </c>
      <c r="B559" s="75" t="s">
        <v>31</v>
      </c>
      <c r="C559" s="76" t="s">
        <v>32</v>
      </c>
      <c r="D559" s="75" t="s">
        <v>1</v>
      </c>
      <c r="E559" s="134">
        <v>1.864583333333333</v>
      </c>
      <c r="F559" s="75" t="s">
        <v>94</v>
      </c>
      <c r="G559" s="77">
        <v>9</v>
      </c>
      <c r="H559" s="130">
        <v>517</v>
      </c>
      <c r="I559" s="2"/>
    </row>
    <row r="560" spans="1:9" ht="19.8" customHeight="1" x14ac:dyDescent="0.3">
      <c r="A560" s="133">
        <v>46033</v>
      </c>
      <c r="B560" s="75" t="s">
        <v>31</v>
      </c>
      <c r="C560" s="76" t="s">
        <v>62</v>
      </c>
      <c r="D560" s="75" t="s">
        <v>1</v>
      </c>
      <c r="E560" s="134">
        <v>1.5277777777777779</v>
      </c>
      <c r="F560" s="75" t="s">
        <v>94</v>
      </c>
      <c r="G560" s="77">
        <v>9</v>
      </c>
      <c r="H560" s="130">
        <v>517</v>
      </c>
      <c r="I560" s="2"/>
    </row>
    <row r="561" spans="1:9" ht="19.8" customHeight="1" x14ac:dyDescent="0.3">
      <c r="A561" s="133">
        <v>46033</v>
      </c>
      <c r="B561" s="75" t="s">
        <v>44</v>
      </c>
      <c r="C561" s="76" t="s">
        <v>53</v>
      </c>
      <c r="D561" s="75" t="s">
        <v>1</v>
      </c>
      <c r="E561" s="134">
        <v>1.836805555555556</v>
      </c>
      <c r="F561" s="75" t="s">
        <v>46</v>
      </c>
      <c r="G561" s="77">
        <v>4</v>
      </c>
      <c r="H561" s="130">
        <v>559</v>
      </c>
      <c r="I561" s="2"/>
    </row>
    <row r="562" spans="1:9" ht="19.8" customHeight="1" x14ac:dyDescent="0.3">
      <c r="A562" s="133">
        <v>46033</v>
      </c>
      <c r="B562" s="75" t="s">
        <v>79</v>
      </c>
      <c r="C562" s="76" t="s">
        <v>119</v>
      </c>
      <c r="D562" s="75" t="s">
        <v>1</v>
      </c>
      <c r="E562" s="134">
        <v>1.2152777777777779</v>
      </c>
      <c r="F562" s="75" t="s">
        <v>156</v>
      </c>
      <c r="G562" s="77">
        <v>7</v>
      </c>
      <c r="H562" s="130">
        <v>568</v>
      </c>
      <c r="I562" s="2"/>
    </row>
    <row r="563" spans="1:9" ht="19.8" customHeight="1" x14ac:dyDescent="0.3">
      <c r="A563" s="133">
        <v>46033</v>
      </c>
      <c r="B563" s="75" t="s">
        <v>26</v>
      </c>
      <c r="C563" s="76" t="s">
        <v>93</v>
      </c>
      <c r="D563" s="75" t="s">
        <v>1</v>
      </c>
      <c r="E563" s="134">
        <v>1.958333333333333</v>
      </c>
      <c r="F563" s="75" t="s">
        <v>156</v>
      </c>
      <c r="G563" s="77">
        <v>5</v>
      </c>
      <c r="H563" s="130">
        <v>629</v>
      </c>
      <c r="I563" s="2"/>
    </row>
    <row r="564" spans="1:9" ht="19.8" customHeight="1" x14ac:dyDescent="0.3">
      <c r="A564" s="133">
        <v>46033</v>
      </c>
      <c r="B564" s="75" t="s">
        <v>35</v>
      </c>
      <c r="C564" s="76" t="s">
        <v>36</v>
      </c>
      <c r="D564" s="75" t="s">
        <v>1</v>
      </c>
      <c r="E564" s="134">
        <v>1.305555555555556</v>
      </c>
      <c r="F564" s="75" t="s">
        <v>40</v>
      </c>
      <c r="G564" s="77">
        <v>20</v>
      </c>
      <c r="H564" s="130">
        <v>659</v>
      </c>
      <c r="I564" s="2"/>
    </row>
    <row r="565" spans="1:9" ht="19.8" customHeight="1" x14ac:dyDescent="0.3">
      <c r="A565" s="133">
        <v>46033</v>
      </c>
      <c r="B565" s="75" t="s">
        <v>44</v>
      </c>
      <c r="C565" s="76" t="s">
        <v>53</v>
      </c>
      <c r="D565" s="75" t="s">
        <v>1</v>
      </c>
      <c r="E565" s="134">
        <v>1.836805555555556</v>
      </c>
      <c r="F565" s="75" t="s">
        <v>49</v>
      </c>
      <c r="G565" s="77">
        <v>4</v>
      </c>
      <c r="H565" s="130">
        <v>659</v>
      </c>
      <c r="I565" s="2"/>
    </row>
    <row r="566" spans="1:9" ht="19.8" customHeight="1" x14ac:dyDescent="0.3">
      <c r="A566" s="133">
        <v>46033</v>
      </c>
      <c r="B566" s="75" t="s">
        <v>44</v>
      </c>
      <c r="C566" s="76" t="s">
        <v>53</v>
      </c>
      <c r="D566" s="75" t="s">
        <v>1</v>
      </c>
      <c r="E566" s="134">
        <v>1.836805555555556</v>
      </c>
      <c r="F566" s="75" t="s">
        <v>51</v>
      </c>
      <c r="G566" s="77">
        <v>4</v>
      </c>
      <c r="H566" s="130">
        <v>749</v>
      </c>
      <c r="I566" s="2"/>
    </row>
    <row r="567" spans="1:9" ht="19.8" customHeight="1" x14ac:dyDescent="0.3">
      <c r="A567" s="133">
        <v>46033</v>
      </c>
      <c r="B567" s="75" t="s">
        <v>35</v>
      </c>
      <c r="C567" s="76" t="s">
        <v>36</v>
      </c>
      <c r="D567" s="75" t="s">
        <v>1</v>
      </c>
      <c r="E567" s="134">
        <v>1.305555555555556</v>
      </c>
      <c r="F567" s="75" t="s">
        <v>42</v>
      </c>
      <c r="G567" s="77">
        <v>20</v>
      </c>
      <c r="H567" s="130">
        <v>899</v>
      </c>
      <c r="I567" s="2"/>
    </row>
    <row r="568" spans="1:9" ht="19.8" customHeight="1" x14ac:dyDescent="0.3">
      <c r="A568" s="135">
        <v>46033</v>
      </c>
      <c r="B568" s="79" t="s">
        <v>69</v>
      </c>
      <c r="C568" s="80" t="s">
        <v>70</v>
      </c>
      <c r="D568" s="79" t="s">
        <v>1</v>
      </c>
      <c r="E568" s="136">
        <v>1.305555555555556</v>
      </c>
      <c r="F568" s="79" t="s">
        <v>71</v>
      </c>
      <c r="G568" s="81">
        <v>4</v>
      </c>
      <c r="H568" s="87" t="s">
        <v>175</v>
      </c>
      <c r="I568" s="2"/>
    </row>
    <row r="569" spans="1:9" ht="19.8" customHeight="1" x14ac:dyDescent="0.3">
      <c r="A569" s="133">
        <v>46034</v>
      </c>
      <c r="B569" s="75" t="s">
        <v>31</v>
      </c>
      <c r="C569" s="76" t="s">
        <v>58</v>
      </c>
      <c r="D569" s="75" t="s">
        <v>1</v>
      </c>
      <c r="E569" s="134">
        <v>1.1701388888888891</v>
      </c>
      <c r="F569" s="75" t="s">
        <v>94</v>
      </c>
      <c r="G569" s="77">
        <v>9</v>
      </c>
      <c r="H569" s="130">
        <v>487</v>
      </c>
      <c r="I569" s="2"/>
    </row>
    <row r="570" spans="1:9" ht="19.8" customHeight="1" x14ac:dyDescent="0.3">
      <c r="A570" s="133">
        <v>46034</v>
      </c>
      <c r="B570" s="75" t="s">
        <v>79</v>
      </c>
      <c r="C570" s="76" t="s">
        <v>150</v>
      </c>
      <c r="D570" s="75" t="s">
        <v>1</v>
      </c>
      <c r="E570" s="134">
        <v>1.1284722222222221</v>
      </c>
      <c r="F570" s="75" t="s">
        <v>156</v>
      </c>
      <c r="G570" s="77">
        <v>7</v>
      </c>
      <c r="H570" s="130">
        <v>500</v>
      </c>
      <c r="I570" s="2"/>
    </row>
    <row r="571" spans="1:9" ht="19.8" customHeight="1" x14ac:dyDescent="0.3">
      <c r="A571" s="133">
        <v>46034</v>
      </c>
      <c r="B571" s="75" t="s">
        <v>35</v>
      </c>
      <c r="C571" s="76" t="s">
        <v>36</v>
      </c>
      <c r="D571" s="75" t="s">
        <v>1</v>
      </c>
      <c r="E571" s="134">
        <v>1.305555555555556</v>
      </c>
      <c r="F571" s="75" t="s">
        <v>37</v>
      </c>
      <c r="G571" s="77">
        <v>20</v>
      </c>
      <c r="H571" s="130">
        <v>509</v>
      </c>
      <c r="I571" s="2"/>
    </row>
    <row r="572" spans="1:9" ht="19.8" customHeight="1" x14ac:dyDescent="0.3">
      <c r="A572" s="133">
        <v>46034</v>
      </c>
      <c r="B572" s="75" t="s">
        <v>31</v>
      </c>
      <c r="C572" s="76" t="s">
        <v>32</v>
      </c>
      <c r="D572" s="75" t="s">
        <v>1</v>
      </c>
      <c r="E572" s="134">
        <v>1.864583333333333</v>
      </c>
      <c r="F572" s="75" t="s">
        <v>94</v>
      </c>
      <c r="G572" s="77">
        <v>9</v>
      </c>
      <c r="H572" s="130">
        <v>517</v>
      </c>
      <c r="I572" s="2"/>
    </row>
    <row r="573" spans="1:9" ht="19.8" customHeight="1" x14ac:dyDescent="0.3">
      <c r="A573" s="133">
        <v>46034</v>
      </c>
      <c r="B573" s="75" t="s">
        <v>31</v>
      </c>
      <c r="C573" s="76" t="s">
        <v>62</v>
      </c>
      <c r="D573" s="75" t="s">
        <v>1</v>
      </c>
      <c r="E573" s="134">
        <v>1.5277777777777779</v>
      </c>
      <c r="F573" s="75" t="s">
        <v>94</v>
      </c>
      <c r="G573" s="77">
        <v>9</v>
      </c>
      <c r="H573" s="130">
        <v>517</v>
      </c>
      <c r="I573" s="2"/>
    </row>
    <row r="574" spans="1:9" ht="19.8" customHeight="1" x14ac:dyDescent="0.3">
      <c r="A574" s="133">
        <v>46034</v>
      </c>
      <c r="B574" s="75" t="s">
        <v>44</v>
      </c>
      <c r="C574" s="76" t="s">
        <v>53</v>
      </c>
      <c r="D574" s="75" t="s">
        <v>1</v>
      </c>
      <c r="E574" s="134">
        <v>1.836805555555556</v>
      </c>
      <c r="F574" s="75" t="s">
        <v>46</v>
      </c>
      <c r="G574" s="77">
        <v>5</v>
      </c>
      <c r="H574" s="130">
        <v>559</v>
      </c>
      <c r="I574" s="2"/>
    </row>
    <row r="575" spans="1:9" ht="19.8" customHeight="1" x14ac:dyDescent="0.3">
      <c r="A575" s="133">
        <v>46034</v>
      </c>
      <c r="B575" s="75" t="s">
        <v>44</v>
      </c>
      <c r="C575" s="76" t="s">
        <v>45</v>
      </c>
      <c r="D575" s="75" t="s">
        <v>1</v>
      </c>
      <c r="E575" s="134">
        <v>1.2013888888888891</v>
      </c>
      <c r="F575" s="75" t="s">
        <v>46</v>
      </c>
      <c r="G575" s="77">
        <v>5</v>
      </c>
      <c r="H575" s="130">
        <v>559</v>
      </c>
      <c r="I575" s="2"/>
    </row>
    <row r="576" spans="1:9" ht="19.8" customHeight="1" x14ac:dyDescent="0.3">
      <c r="A576" s="133">
        <v>46034</v>
      </c>
      <c r="B576" s="75" t="s">
        <v>26</v>
      </c>
      <c r="C576" s="76" t="s">
        <v>27</v>
      </c>
      <c r="D576" s="75" t="s">
        <v>1</v>
      </c>
      <c r="E576" s="134">
        <v>1.958333333333333</v>
      </c>
      <c r="F576" s="75" t="s">
        <v>156</v>
      </c>
      <c r="G576" s="77">
        <v>1</v>
      </c>
      <c r="H576" s="130">
        <v>563</v>
      </c>
      <c r="I576" s="2"/>
    </row>
    <row r="577" spans="1:9" ht="19.8" customHeight="1" x14ac:dyDescent="0.3">
      <c r="A577" s="133">
        <v>46034</v>
      </c>
      <c r="B577" s="75" t="s">
        <v>35</v>
      </c>
      <c r="C577" s="76" t="s">
        <v>36</v>
      </c>
      <c r="D577" s="75" t="s">
        <v>1</v>
      </c>
      <c r="E577" s="134">
        <v>1.305555555555556</v>
      </c>
      <c r="F577" s="75" t="s">
        <v>40</v>
      </c>
      <c r="G577" s="77">
        <v>20</v>
      </c>
      <c r="H577" s="130">
        <v>659</v>
      </c>
      <c r="I577" s="2"/>
    </row>
    <row r="578" spans="1:9" ht="19.8" customHeight="1" x14ac:dyDescent="0.3">
      <c r="A578" s="133">
        <v>46034</v>
      </c>
      <c r="B578" s="75" t="s">
        <v>44</v>
      </c>
      <c r="C578" s="76" t="s">
        <v>53</v>
      </c>
      <c r="D578" s="75" t="s">
        <v>1</v>
      </c>
      <c r="E578" s="134">
        <v>1.836805555555556</v>
      </c>
      <c r="F578" s="75" t="s">
        <v>49</v>
      </c>
      <c r="G578" s="77">
        <v>5</v>
      </c>
      <c r="H578" s="130">
        <v>659</v>
      </c>
      <c r="I578" s="2"/>
    </row>
    <row r="579" spans="1:9" ht="19.8" customHeight="1" x14ac:dyDescent="0.3">
      <c r="A579" s="133">
        <v>46034</v>
      </c>
      <c r="B579" s="75" t="s">
        <v>44</v>
      </c>
      <c r="C579" s="76" t="s">
        <v>45</v>
      </c>
      <c r="D579" s="75" t="s">
        <v>1</v>
      </c>
      <c r="E579" s="134">
        <v>1.2013888888888891</v>
      </c>
      <c r="F579" s="75" t="s">
        <v>49</v>
      </c>
      <c r="G579" s="77">
        <v>5</v>
      </c>
      <c r="H579" s="130">
        <v>659</v>
      </c>
      <c r="I579" s="2"/>
    </row>
    <row r="580" spans="1:9" ht="19.8" customHeight="1" x14ac:dyDescent="0.3">
      <c r="A580" s="133">
        <v>46034</v>
      </c>
      <c r="B580" s="75" t="s">
        <v>44</v>
      </c>
      <c r="C580" s="76" t="s">
        <v>53</v>
      </c>
      <c r="D580" s="75" t="s">
        <v>1</v>
      </c>
      <c r="E580" s="134">
        <v>1.836805555555556</v>
      </c>
      <c r="F580" s="75" t="s">
        <v>51</v>
      </c>
      <c r="G580" s="77">
        <v>5</v>
      </c>
      <c r="H580" s="130">
        <v>749</v>
      </c>
      <c r="I580" s="2"/>
    </row>
    <row r="581" spans="1:9" ht="19.8" customHeight="1" x14ac:dyDescent="0.3">
      <c r="A581" s="133">
        <v>46034</v>
      </c>
      <c r="B581" s="75" t="s">
        <v>44</v>
      </c>
      <c r="C581" s="76" t="s">
        <v>45</v>
      </c>
      <c r="D581" s="75" t="s">
        <v>1</v>
      </c>
      <c r="E581" s="134">
        <v>1.2013888888888891</v>
      </c>
      <c r="F581" s="75" t="s">
        <v>51</v>
      </c>
      <c r="G581" s="77">
        <v>5</v>
      </c>
      <c r="H581" s="130">
        <v>749</v>
      </c>
      <c r="I581" s="2"/>
    </row>
    <row r="582" spans="1:9" ht="19.8" customHeight="1" x14ac:dyDescent="0.3">
      <c r="A582" s="133">
        <v>46034</v>
      </c>
      <c r="B582" s="75" t="s">
        <v>35</v>
      </c>
      <c r="C582" s="76" t="s">
        <v>36</v>
      </c>
      <c r="D582" s="75" t="s">
        <v>1</v>
      </c>
      <c r="E582" s="134">
        <v>1.305555555555556</v>
      </c>
      <c r="F582" s="75" t="s">
        <v>42</v>
      </c>
      <c r="G582" s="77">
        <v>20</v>
      </c>
      <c r="H582" s="130">
        <v>899</v>
      </c>
      <c r="I582" s="2"/>
    </row>
    <row r="583" spans="1:9" ht="19.8" customHeight="1" x14ac:dyDescent="0.3">
      <c r="A583" s="135">
        <v>46034</v>
      </c>
      <c r="B583" s="79" t="s">
        <v>69</v>
      </c>
      <c r="C583" s="80" t="s">
        <v>70</v>
      </c>
      <c r="D583" s="79" t="s">
        <v>1</v>
      </c>
      <c r="E583" s="136">
        <v>1.305555555555556</v>
      </c>
      <c r="F583" s="79" t="s">
        <v>71</v>
      </c>
      <c r="G583" s="81">
        <v>4</v>
      </c>
      <c r="H583" s="87" t="s">
        <v>175</v>
      </c>
      <c r="I583" s="2"/>
    </row>
    <row r="584" spans="1:9" ht="19.8" customHeight="1" x14ac:dyDescent="0.3">
      <c r="A584" s="133">
        <v>46035</v>
      </c>
      <c r="B584" s="75" t="s">
        <v>31</v>
      </c>
      <c r="C584" s="76" t="s">
        <v>58</v>
      </c>
      <c r="D584" s="75" t="s">
        <v>1</v>
      </c>
      <c r="E584" s="134">
        <v>1.1701388888888891</v>
      </c>
      <c r="F584" s="75" t="s">
        <v>94</v>
      </c>
      <c r="G584" s="77">
        <v>9</v>
      </c>
      <c r="H584" s="130">
        <v>487</v>
      </c>
      <c r="I584" s="2"/>
    </row>
    <row r="585" spans="1:9" ht="19.8" customHeight="1" x14ac:dyDescent="0.3">
      <c r="A585" s="133">
        <v>46035</v>
      </c>
      <c r="B585" s="75" t="s">
        <v>79</v>
      </c>
      <c r="C585" s="76" t="s">
        <v>119</v>
      </c>
      <c r="D585" s="75" t="s">
        <v>1</v>
      </c>
      <c r="E585" s="134">
        <v>1.2152777777777779</v>
      </c>
      <c r="F585" s="75" t="s">
        <v>156</v>
      </c>
      <c r="G585" s="77">
        <v>6</v>
      </c>
      <c r="H585" s="130">
        <v>500</v>
      </c>
      <c r="I585" s="2"/>
    </row>
    <row r="586" spans="1:9" ht="19.8" customHeight="1" x14ac:dyDescent="0.3">
      <c r="A586" s="137">
        <v>46035</v>
      </c>
      <c r="B586" s="83" t="s">
        <v>63</v>
      </c>
      <c r="C586" s="84" t="s">
        <v>64</v>
      </c>
      <c r="D586" s="83" t="s">
        <v>1</v>
      </c>
      <c r="E586" s="138">
        <v>1.270833333333333</v>
      </c>
      <c r="F586" s="83" t="s">
        <v>156</v>
      </c>
      <c r="G586" s="85">
        <v>2</v>
      </c>
      <c r="H586" s="132">
        <v>506</v>
      </c>
      <c r="I586" s="2"/>
    </row>
    <row r="587" spans="1:9" ht="19.8" customHeight="1" x14ac:dyDescent="0.3">
      <c r="A587" s="133">
        <v>46035</v>
      </c>
      <c r="B587" s="75" t="s">
        <v>35</v>
      </c>
      <c r="C587" s="76" t="s">
        <v>36</v>
      </c>
      <c r="D587" s="75" t="s">
        <v>1</v>
      </c>
      <c r="E587" s="134">
        <v>1.305555555555556</v>
      </c>
      <c r="F587" s="75" t="s">
        <v>37</v>
      </c>
      <c r="G587" s="77">
        <v>20</v>
      </c>
      <c r="H587" s="130">
        <v>509</v>
      </c>
      <c r="I587" s="2"/>
    </row>
    <row r="588" spans="1:9" ht="19.8" customHeight="1" x14ac:dyDescent="0.3">
      <c r="A588" s="133">
        <v>46035</v>
      </c>
      <c r="B588" s="75" t="s">
        <v>31</v>
      </c>
      <c r="C588" s="76" t="s">
        <v>32</v>
      </c>
      <c r="D588" s="75" t="s">
        <v>1</v>
      </c>
      <c r="E588" s="134">
        <v>1.864583333333333</v>
      </c>
      <c r="F588" s="75" t="s">
        <v>94</v>
      </c>
      <c r="G588" s="77">
        <v>9</v>
      </c>
      <c r="H588" s="130">
        <v>517</v>
      </c>
      <c r="I588" s="2"/>
    </row>
    <row r="589" spans="1:9" ht="19.8" customHeight="1" x14ac:dyDescent="0.3">
      <c r="A589" s="133">
        <v>46035</v>
      </c>
      <c r="B589" s="75" t="s">
        <v>31</v>
      </c>
      <c r="C589" s="76" t="s">
        <v>62</v>
      </c>
      <c r="D589" s="75" t="s">
        <v>1</v>
      </c>
      <c r="E589" s="134">
        <v>1.5277777777777779</v>
      </c>
      <c r="F589" s="75" t="s">
        <v>94</v>
      </c>
      <c r="G589" s="77">
        <v>9</v>
      </c>
      <c r="H589" s="130">
        <v>517</v>
      </c>
      <c r="I589" s="2"/>
    </row>
    <row r="590" spans="1:9" ht="19.8" customHeight="1" x14ac:dyDescent="0.3">
      <c r="A590" s="133">
        <v>46035</v>
      </c>
      <c r="B590" s="75" t="s">
        <v>44</v>
      </c>
      <c r="C590" s="76" t="s">
        <v>45</v>
      </c>
      <c r="D590" s="75" t="s">
        <v>1</v>
      </c>
      <c r="E590" s="134">
        <v>1.2013888888888891</v>
      </c>
      <c r="F590" s="75" t="s">
        <v>46</v>
      </c>
      <c r="G590" s="77">
        <v>5</v>
      </c>
      <c r="H590" s="130">
        <v>559</v>
      </c>
      <c r="I590" s="2"/>
    </row>
    <row r="591" spans="1:9" ht="19.8" customHeight="1" x14ac:dyDescent="0.3">
      <c r="A591" s="133">
        <v>46035</v>
      </c>
      <c r="B591" s="75" t="s">
        <v>26</v>
      </c>
      <c r="C591" s="76" t="s">
        <v>57</v>
      </c>
      <c r="D591" s="75" t="s">
        <v>1</v>
      </c>
      <c r="E591" s="134">
        <v>1.958333333333333</v>
      </c>
      <c r="F591" s="75" t="s">
        <v>156</v>
      </c>
      <c r="G591" s="77">
        <v>7</v>
      </c>
      <c r="H591" s="130">
        <v>563</v>
      </c>
      <c r="I591" s="2"/>
    </row>
    <row r="592" spans="1:9" ht="19.8" customHeight="1" x14ac:dyDescent="0.3">
      <c r="A592" s="133">
        <v>46035</v>
      </c>
      <c r="B592" s="75" t="s">
        <v>44</v>
      </c>
      <c r="C592" s="76" t="s">
        <v>53</v>
      </c>
      <c r="D592" s="75" t="s">
        <v>1</v>
      </c>
      <c r="E592" s="134">
        <v>1.836805555555556</v>
      </c>
      <c r="F592" s="75" t="s">
        <v>46</v>
      </c>
      <c r="G592" s="77">
        <v>2</v>
      </c>
      <c r="H592" s="130">
        <v>609</v>
      </c>
      <c r="I592" s="2"/>
    </row>
    <row r="593" spans="1:9" ht="19.8" customHeight="1" x14ac:dyDescent="0.3">
      <c r="A593" s="133">
        <v>46035</v>
      </c>
      <c r="B593" s="75" t="s">
        <v>35</v>
      </c>
      <c r="C593" s="76" t="s">
        <v>36</v>
      </c>
      <c r="D593" s="75" t="s">
        <v>1</v>
      </c>
      <c r="E593" s="134">
        <v>1.305555555555556</v>
      </c>
      <c r="F593" s="75" t="s">
        <v>40</v>
      </c>
      <c r="G593" s="77">
        <v>20</v>
      </c>
      <c r="H593" s="130">
        <v>659</v>
      </c>
      <c r="I593" s="2"/>
    </row>
    <row r="594" spans="1:9" ht="19.8" customHeight="1" x14ac:dyDescent="0.3">
      <c r="A594" s="133">
        <v>46035</v>
      </c>
      <c r="B594" s="75" t="s">
        <v>44</v>
      </c>
      <c r="C594" s="76" t="s">
        <v>45</v>
      </c>
      <c r="D594" s="75" t="s">
        <v>1</v>
      </c>
      <c r="E594" s="134">
        <v>1.2013888888888891</v>
      </c>
      <c r="F594" s="75" t="s">
        <v>49</v>
      </c>
      <c r="G594" s="77">
        <v>5</v>
      </c>
      <c r="H594" s="130">
        <v>659</v>
      </c>
      <c r="I594" s="2"/>
    </row>
    <row r="595" spans="1:9" ht="19.8" customHeight="1" x14ac:dyDescent="0.3">
      <c r="A595" s="133">
        <v>46035</v>
      </c>
      <c r="B595" s="75" t="s">
        <v>44</v>
      </c>
      <c r="C595" s="76" t="s">
        <v>53</v>
      </c>
      <c r="D595" s="75" t="s">
        <v>1</v>
      </c>
      <c r="E595" s="134">
        <v>1.836805555555556</v>
      </c>
      <c r="F595" s="75" t="s">
        <v>49</v>
      </c>
      <c r="G595" s="77">
        <v>2</v>
      </c>
      <c r="H595" s="130">
        <v>709</v>
      </c>
      <c r="I595" s="2"/>
    </row>
    <row r="596" spans="1:9" ht="19.8" customHeight="1" x14ac:dyDescent="0.3">
      <c r="A596" s="133">
        <v>46035</v>
      </c>
      <c r="B596" s="75" t="s">
        <v>44</v>
      </c>
      <c r="C596" s="76" t="s">
        <v>45</v>
      </c>
      <c r="D596" s="75" t="s">
        <v>1</v>
      </c>
      <c r="E596" s="134">
        <v>1.2013888888888891</v>
      </c>
      <c r="F596" s="75" t="s">
        <v>51</v>
      </c>
      <c r="G596" s="77">
        <v>5</v>
      </c>
      <c r="H596" s="130">
        <v>749</v>
      </c>
      <c r="I596" s="2"/>
    </row>
    <row r="597" spans="1:9" ht="19.8" customHeight="1" x14ac:dyDescent="0.3">
      <c r="A597" s="133">
        <v>46035</v>
      </c>
      <c r="B597" s="75" t="s">
        <v>44</v>
      </c>
      <c r="C597" s="76" t="s">
        <v>53</v>
      </c>
      <c r="D597" s="75" t="s">
        <v>1</v>
      </c>
      <c r="E597" s="134">
        <v>1.836805555555556</v>
      </c>
      <c r="F597" s="75" t="s">
        <v>51</v>
      </c>
      <c r="G597" s="77">
        <v>2</v>
      </c>
      <c r="H597" s="130">
        <v>799</v>
      </c>
      <c r="I597" s="2"/>
    </row>
    <row r="598" spans="1:9" ht="19.8" customHeight="1" x14ac:dyDescent="0.3">
      <c r="A598" s="133">
        <v>46035</v>
      </c>
      <c r="B598" s="75" t="s">
        <v>35</v>
      </c>
      <c r="C598" s="76" t="s">
        <v>36</v>
      </c>
      <c r="D598" s="75" t="s">
        <v>1</v>
      </c>
      <c r="E598" s="134">
        <v>1.305555555555556</v>
      </c>
      <c r="F598" s="75" t="s">
        <v>42</v>
      </c>
      <c r="G598" s="77">
        <v>20</v>
      </c>
      <c r="H598" s="130">
        <v>899</v>
      </c>
      <c r="I598" s="2"/>
    </row>
    <row r="599" spans="1:9" ht="19.8" customHeight="1" x14ac:dyDescent="0.3">
      <c r="A599" s="135">
        <v>46035</v>
      </c>
      <c r="B599" s="79" t="s">
        <v>69</v>
      </c>
      <c r="C599" s="80" t="s">
        <v>70</v>
      </c>
      <c r="D599" s="79" t="s">
        <v>1</v>
      </c>
      <c r="E599" s="136">
        <v>1.305555555555556</v>
      </c>
      <c r="F599" s="79" t="s">
        <v>71</v>
      </c>
      <c r="G599" s="81">
        <v>4</v>
      </c>
      <c r="H599" s="87" t="s">
        <v>175</v>
      </c>
      <c r="I599" s="2"/>
    </row>
    <row r="600" spans="1:9" ht="19.8" customHeight="1" x14ac:dyDescent="0.3">
      <c r="A600" s="133">
        <v>46036</v>
      </c>
      <c r="B600" s="75" t="s">
        <v>31</v>
      </c>
      <c r="C600" s="76" t="s">
        <v>58</v>
      </c>
      <c r="D600" s="75" t="s">
        <v>1</v>
      </c>
      <c r="E600" s="134">
        <v>1.1701388888888891</v>
      </c>
      <c r="F600" s="75" t="s">
        <v>94</v>
      </c>
      <c r="G600" s="77">
        <v>9</v>
      </c>
      <c r="H600" s="130">
        <v>487</v>
      </c>
      <c r="I600" s="2"/>
    </row>
    <row r="601" spans="1:9" ht="19.8" customHeight="1" x14ac:dyDescent="0.3">
      <c r="A601" s="133">
        <v>46036</v>
      </c>
      <c r="B601" s="75" t="s">
        <v>79</v>
      </c>
      <c r="C601" s="76" t="s">
        <v>80</v>
      </c>
      <c r="D601" s="75" t="s">
        <v>1</v>
      </c>
      <c r="E601" s="134">
        <v>1.0902777777777779</v>
      </c>
      <c r="F601" s="75" t="s">
        <v>156</v>
      </c>
      <c r="G601" s="77">
        <v>3</v>
      </c>
      <c r="H601" s="130">
        <v>500</v>
      </c>
      <c r="I601" s="2"/>
    </row>
    <row r="602" spans="1:9" ht="19.8" customHeight="1" x14ac:dyDescent="0.3">
      <c r="A602" s="133">
        <v>46036</v>
      </c>
      <c r="B602" s="75" t="s">
        <v>74</v>
      </c>
      <c r="C602" s="76" t="s">
        <v>75</v>
      </c>
      <c r="D602" s="75" t="s">
        <v>1</v>
      </c>
      <c r="E602" s="134">
        <v>1.9722222222222221</v>
      </c>
      <c r="F602" s="75" t="s">
        <v>76</v>
      </c>
      <c r="G602" s="77">
        <v>9</v>
      </c>
      <c r="H602" s="130">
        <v>505</v>
      </c>
      <c r="I602" s="2"/>
    </row>
    <row r="603" spans="1:9" ht="19.8" customHeight="1" x14ac:dyDescent="0.3">
      <c r="A603" s="133">
        <v>46036</v>
      </c>
      <c r="B603" s="75" t="s">
        <v>35</v>
      </c>
      <c r="C603" s="76" t="s">
        <v>36</v>
      </c>
      <c r="D603" s="75" t="s">
        <v>1</v>
      </c>
      <c r="E603" s="134">
        <v>1.305555555555556</v>
      </c>
      <c r="F603" s="75" t="s">
        <v>37</v>
      </c>
      <c r="G603" s="77">
        <v>20</v>
      </c>
      <c r="H603" s="130">
        <v>509</v>
      </c>
      <c r="I603" s="2"/>
    </row>
    <row r="604" spans="1:9" ht="19.8" customHeight="1" x14ac:dyDescent="0.3">
      <c r="A604" s="133">
        <v>46036</v>
      </c>
      <c r="B604" s="75" t="s">
        <v>31</v>
      </c>
      <c r="C604" s="76" t="s">
        <v>32</v>
      </c>
      <c r="D604" s="75" t="s">
        <v>1</v>
      </c>
      <c r="E604" s="134">
        <v>1.864583333333333</v>
      </c>
      <c r="F604" s="75" t="s">
        <v>94</v>
      </c>
      <c r="G604" s="77">
        <v>9</v>
      </c>
      <c r="H604" s="130">
        <v>517</v>
      </c>
      <c r="I604" s="2"/>
    </row>
    <row r="605" spans="1:9" ht="19.8" customHeight="1" x14ac:dyDescent="0.3">
      <c r="A605" s="133">
        <v>46036</v>
      </c>
      <c r="B605" s="75" t="s">
        <v>31</v>
      </c>
      <c r="C605" s="76" t="s">
        <v>62</v>
      </c>
      <c r="D605" s="75" t="s">
        <v>1</v>
      </c>
      <c r="E605" s="134">
        <v>1.5277777777777779</v>
      </c>
      <c r="F605" s="75" t="s">
        <v>94</v>
      </c>
      <c r="G605" s="77">
        <v>9</v>
      </c>
      <c r="H605" s="130">
        <v>517</v>
      </c>
      <c r="I605" s="2"/>
    </row>
    <row r="606" spans="1:9" ht="19.8" customHeight="1" x14ac:dyDescent="0.3">
      <c r="A606" s="133">
        <v>46036</v>
      </c>
      <c r="B606" s="75" t="s">
        <v>26</v>
      </c>
      <c r="C606" s="76" t="s">
        <v>27</v>
      </c>
      <c r="D606" s="75" t="s">
        <v>1</v>
      </c>
      <c r="E606" s="134">
        <v>1.895833333333333</v>
      </c>
      <c r="F606" s="75" t="s">
        <v>156</v>
      </c>
      <c r="G606" s="77">
        <v>2</v>
      </c>
      <c r="H606" s="130">
        <v>563</v>
      </c>
      <c r="I606" s="2"/>
    </row>
    <row r="607" spans="1:9" ht="19.8" customHeight="1" x14ac:dyDescent="0.3">
      <c r="A607" s="133">
        <v>46036</v>
      </c>
      <c r="B607" s="75" t="s">
        <v>44</v>
      </c>
      <c r="C607" s="76" t="s">
        <v>53</v>
      </c>
      <c r="D607" s="75" t="s">
        <v>1</v>
      </c>
      <c r="E607" s="134">
        <v>1.836805555555556</v>
      </c>
      <c r="F607" s="75" t="s">
        <v>46</v>
      </c>
      <c r="G607" s="77">
        <v>4</v>
      </c>
      <c r="H607" s="130">
        <v>609</v>
      </c>
      <c r="I607" s="2"/>
    </row>
    <row r="608" spans="1:9" ht="19.8" customHeight="1" x14ac:dyDescent="0.3">
      <c r="A608" s="133">
        <v>46036</v>
      </c>
      <c r="B608" s="75" t="s">
        <v>35</v>
      </c>
      <c r="C608" s="76" t="s">
        <v>36</v>
      </c>
      <c r="D608" s="75" t="s">
        <v>1</v>
      </c>
      <c r="E608" s="134">
        <v>1.305555555555556</v>
      </c>
      <c r="F608" s="75" t="s">
        <v>40</v>
      </c>
      <c r="G608" s="77">
        <v>20</v>
      </c>
      <c r="H608" s="130">
        <v>659</v>
      </c>
      <c r="I608" s="2"/>
    </row>
    <row r="609" spans="1:9" ht="19.8" customHeight="1" x14ac:dyDescent="0.3">
      <c r="A609" s="133">
        <v>46036</v>
      </c>
      <c r="B609" s="75" t="s">
        <v>44</v>
      </c>
      <c r="C609" s="76" t="s">
        <v>53</v>
      </c>
      <c r="D609" s="75" t="s">
        <v>1</v>
      </c>
      <c r="E609" s="134">
        <v>1.836805555555556</v>
      </c>
      <c r="F609" s="75" t="s">
        <v>49</v>
      </c>
      <c r="G609" s="77">
        <v>4</v>
      </c>
      <c r="H609" s="130">
        <v>709</v>
      </c>
      <c r="I609" s="2"/>
    </row>
    <row r="610" spans="1:9" ht="19.8" customHeight="1" x14ac:dyDescent="0.3">
      <c r="A610" s="133">
        <v>46036</v>
      </c>
      <c r="B610" s="75" t="s">
        <v>74</v>
      </c>
      <c r="C610" s="76" t="s">
        <v>75</v>
      </c>
      <c r="D610" s="75" t="s">
        <v>1</v>
      </c>
      <c r="E610" s="134">
        <v>1.9722222222222221</v>
      </c>
      <c r="F610" s="75" t="s">
        <v>42</v>
      </c>
      <c r="G610" s="77">
        <v>9</v>
      </c>
      <c r="H610" s="130">
        <v>711</v>
      </c>
      <c r="I610" s="2"/>
    </row>
    <row r="611" spans="1:9" ht="19.8" customHeight="1" x14ac:dyDescent="0.3">
      <c r="A611" s="133">
        <v>46036</v>
      </c>
      <c r="B611" s="75" t="s">
        <v>44</v>
      </c>
      <c r="C611" s="76" t="s">
        <v>53</v>
      </c>
      <c r="D611" s="75" t="s">
        <v>1</v>
      </c>
      <c r="E611" s="134">
        <v>1.836805555555556</v>
      </c>
      <c r="F611" s="75" t="s">
        <v>51</v>
      </c>
      <c r="G611" s="77">
        <v>4</v>
      </c>
      <c r="H611" s="130">
        <v>799</v>
      </c>
      <c r="I611" s="2"/>
    </row>
    <row r="612" spans="1:9" ht="19.8" customHeight="1" x14ac:dyDescent="0.3">
      <c r="A612" s="133">
        <v>46036</v>
      </c>
      <c r="B612" s="75" t="s">
        <v>35</v>
      </c>
      <c r="C612" s="76" t="s">
        <v>36</v>
      </c>
      <c r="D612" s="75" t="s">
        <v>1</v>
      </c>
      <c r="E612" s="134">
        <v>1.305555555555556</v>
      </c>
      <c r="F612" s="75" t="s">
        <v>42</v>
      </c>
      <c r="G612" s="77">
        <v>20</v>
      </c>
      <c r="H612" s="130">
        <v>899</v>
      </c>
      <c r="I612" s="2"/>
    </row>
    <row r="613" spans="1:9" ht="19.8" customHeight="1" x14ac:dyDescent="0.3">
      <c r="A613" s="135">
        <v>46036</v>
      </c>
      <c r="B613" s="79" t="s">
        <v>69</v>
      </c>
      <c r="C613" s="80" t="s">
        <v>70</v>
      </c>
      <c r="D613" s="79" t="s">
        <v>1</v>
      </c>
      <c r="E613" s="136">
        <v>1.305555555555556</v>
      </c>
      <c r="F613" s="79" t="s">
        <v>71</v>
      </c>
      <c r="G613" s="81">
        <v>4</v>
      </c>
      <c r="H613" s="87" t="s">
        <v>175</v>
      </c>
      <c r="I613" s="2"/>
    </row>
    <row r="614" spans="1:9" ht="19.8" customHeight="1" x14ac:dyDescent="0.3">
      <c r="A614" s="133">
        <v>46037</v>
      </c>
      <c r="B614" s="75" t="s">
        <v>31</v>
      </c>
      <c r="C614" s="76" t="s">
        <v>58</v>
      </c>
      <c r="D614" s="75" t="s">
        <v>1</v>
      </c>
      <c r="E614" s="134">
        <v>1.1701388888888891</v>
      </c>
      <c r="F614" s="75" t="s">
        <v>94</v>
      </c>
      <c r="G614" s="77">
        <v>9</v>
      </c>
      <c r="H614" s="130">
        <v>487</v>
      </c>
      <c r="I614" s="2"/>
    </row>
    <row r="615" spans="1:9" ht="19.8" customHeight="1" x14ac:dyDescent="0.3">
      <c r="A615" s="133">
        <v>46037</v>
      </c>
      <c r="B615" s="75" t="s">
        <v>35</v>
      </c>
      <c r="C615" s="76" t="s">
        <v>36</v>
      </c>
      <c r="D615" s="75" t="s">
        <v>1</v>
      </c>
      <c r="E615" s="134">
        <v>1.305555555555556</v>
      </c>
      <c r="F615" s="75" t="s">
        <v>37</v>
      </c>
      <c r="G615" s="77">
        <v>20</v>
      </c>
      <c r="H615" s="130">
        <v>509</v>
      </c>
      <c r="I615" s="2"/>
    </row>
    <row r="616" spans="1:9" ht="19.8" customHeight="1" x14ac:dyDescent="0.3">
      <c r="A616" s="133">
        <v>46037</v>
      </c>
      <c r="B616" s="75" t="s">
        <v>31</v>
      </c>
      <c r="C616" s="76" t="s">
        <v>62</v>
      </c>
      <c r="D616" s="75" t="s">
        <v>1</v>
      </c>
      <c r="E616" s="134">
        <v>1.5277777777777779</v>
      </c>
      <c r="F616" s="75" t="s">
        <v>94</v>
      </c>
      <c r="G616" s="77">
        <v>9</v>
      </c>
      <c r="H616" s="130">
        <v>517</v>
      </c>
      <c r="I616" s="2"/>
    </row>
    <row r="617" spans="1:9" ht="19.8" customHeight="1" x14ac:dyDescent="0.3">
      <c r="A617" s="133">
        <v>46037</v>
      </c>
      <c r="B617" s="75" t="s">
        <v>31</v>
      </c>
      <c r="C617" s="76" t="s">
        <v>32</v>
      </c>
      <c r="D617" s="75" t="s">
        <v>1</v>
      </c>
      <c r="E617" s="134">
        <v>1.864583333333333</v>
      </c>
      <c r="F617" s="75" t="s">
        <v>33</v>
      </c>
      <c r="G617" s="77">
        <v>9</v>
      </c>
      <c r="H617" s="130">
        <v>547</v>
      </c>
      <c r="I617" s="2"/>
    </row>
    <row r="618" spans="1:9" ht="19.8" customHeight="1" x14ac:dyDescent="0.3">
      <c r="A618" s="133">
        <v>46037</v>
      </c>
      <c r="B618" s="75" t="s">
        <v>44</v>
      </c>
      <c r="C618" s="76" t="s">
        <v>45</v>
      </c>
      <c r="D618" s="75" t="s">
        <v>1</v>
      </c>
      <c r="E618" s="134">
        <v>1.2013888888888891</v>
      </c>
      <c r="F618" s="75" t="s">
        <v>46</v>
      </c>
      <c r="G618" s="77">
        <v>4</v>
      </c>
      <c r="H618" s="130">
        <v>559</v>
      </c>
      <c r="I618" s="2"/>
    </row>
    <row r="619" spans="1:9" ht="19.8" customHeight="1" x14ac:dyDescent="0.3">
      <c r="A619" s="133">
        <v>46037</v>
      </c>
      <c r="B619" s="75" t="s">
        <v>26</v>
      </c>
      <c r="C619" s="76" t="s">
        <v>57</v>
      </c>
      <c r="D619" s="75" t="s">
        <v>1</v>
      </c>
      <c r="E619" s="134">
        <v>1.958333333333333</v>
      </c>
      <c r="F619" s="75" t="s">
        <v>156</v>
      </c>
      <c r="G619" s="77">
        <v>5</v>
      </c>
      <c r="H619" s="130">
        <v>563</v>
      </c>
      <c r="I619" s="2"/>
    </row>
    <row r="620" spans="1:9" ht="19.8" customHeight="1" x14ac:dyDescent="0.3">
      <c r="A620" s="133">
        <v>46037</v>
      </c>
      <c r="B620" s="75" t="s">
        <v>79</v>
      </c>
      <c r="C620" s="76" t="s">
        <v>80</v>
      </c>
      <c r="D620" s="75" t="s">
        <v>1</v>
      </c>
      <c r="E620" s="134">
        <v>1.9652777777777779</v>
      </c>
      <c r="F620" s="75" t="s">
        <v>156</v>
      </c>
      <c r="G620" s="77">
        <v>6</v>
      </c>
      <c r="H620" s="130">
        <v>568</v>
      </c>
      <c r="I620" s="2"/>
    </row>
    <row r="621" spans="1:9" ht="19.8" customHeight="1" x14ac:dyDescent="0.3">
      <c r="A621" s="137">
        <v>46037</v>
      </c>
      <c r="B621" s="83" t="s">
        <v>63</v>
      </c>
      <c r="C621" s="84" t="s">
        <v>64</v>
      </c>
      <c r="D621" s="83" t="s">
        <v>1</v>
      </c>
      <c r="E621" s="138">
        <v>1.9236111111111109</v>
      </c>
      <c r="F621" s="83" t="s">
        <v>156</v>
      </c>
      <c r="G621" s="85">
        <v>6</v>
      </c>
      <c r="H621" s="132">
        <v>626</v>
      </c>
      <c r="I621" s="2"/>
    </row>
    <row r="622" spans="1:9" ht="19.8" customHeight="1" x14ac:dyDescent="0.3">
      <c r="A622" s="133">
        <v>46037</v>
      </c>
      <c r="B622" s="75" t="s">
        <v>26</v>
      </c>
      <c r="C622" s="76" t="s">
        <v>93</v>
      </c>
      <c r="D622" s="75" t="s">
        <v>1</v>
      </c>
      <c r="E622" s="134">
        <v>1.5625</v>
      </c>
      <c r="F622" s="75" t="s">
        <v>156</v>
      </c>
      <c r="G622" s="77">
        <v>4</v>
      </c>
      <c r="H622" s="130">
        <v>629</v>
      </c>
      <c r="I622" s="2"/>
    </row>
    <row r="623" spans="1:9" ht="19.8" customHeight="1" x14ac:dyDescent="0.3">
      <c r="A623" s="133">
        <v>46037</v>
      </c>
      <c r="B623" s="75" t="s">
        <v>35</v>
      </c>
      <c r="C623" s="76" t="s">
        <v>36</v>
      </c>
      <c r="D623" s="75" t="s">
        <v>1</v>
      </c>
      <c r="E623" s="134">
        <v>1.305555555555556</v>
      </c>
      <c r="F623" s="75" t="s">
        <v>40</v>
      </c>
      <c r="G623" s="77">
        <v>20</v>
      </c>
      <c r="H623" s="130">
        <v>659</v>
      </c>
      <c r="I623" s="2"/>
    </row>
    <row r="624" spans="1:9" ht="19.8" customHeight="1" x14ac:dyDescent="0.3">
      <c r="A624" s="133">
        <v>46037</v>
      </c>
      <c r="B624" s="75" t="s">
        <v>44</v>
      </c>
      <c r="C624" s="76" t="s">
        <v>53</v>
      </c>
      <c r="D624" s="75" t="s">
        <v>1</v>
      </c>
      <c r="E624" s="134">
        <v>1.836805555555556</v>
      </c>
      <c r="F624" s="75" t="s">
        <v>46</v>
      </c>
      <c r="G624" s="77">
        <v>9</v>
      </c>
      <c r="H624" s="130">
        <v>659</v>
      </c>
      <c r="I624" s="2"/>
    </row>
    <row r="625" spans="1:9" ht="19.8" customHeight="1" x14ac:dyDescent="0.3">
      <c r="A625" s="133">
        <v>46037</v>
      </c>
      <c r="B625" s="75" t="s">
        <v>44</v>
      </c>
      <c r="C625" s="76" t="s">
        <v>45</v>
      </c>
      <c r="D625" s="75" t="s">
        <v>1</v>
      </c>
      <c r="E625" s="134">
        <v>1.2013888888888891</v>
      </c>
      <c r="F625" s="75" t="s">
        <v>49</v>
      </c>
      <c r="G625" s="77">
        <v>4</v>
      </c>
      <c r="H625" s="130">
        <v>659</v>
      </c>
      <c r="I625" s="2"/>
    </row>
    <row r="626" spans="1:9" ht="19.8" customHeight="1" x14ac:dyDescent="0.3">
      <c r="A626" s="133">
        <v>46037</v>
      </c>
      <c r="B626" s="75" t="s">
        <v>44</v>
      </c>
      <c r="C626" s="76" t="s">
        <v>45</v>
      </c>
      <c r="D626" s="75" t="s">
        <v>1</v>
      </c>
      <c r="E626" s="134">
        <v>1.2013888888888891</v>
      </c>
      <c r="F626" s="75" t="s">
        <v>51</v>
      </c>
      <c r="G626" s="77">
        <v>4</v>
      </c>
      <c r="H626" s="130">
        <v>749</v>
      </c>
      <c r="I626" s="2"/>
    </row>
    <row r="627" spans="1:9" ht="19.8" customHeight="1" x14ac:dyDescent="0.3">
      <c r="A627" s="133">
        <v>46037</v>
      </c>
      <c r="B627" s="75" t="s">
        <v>44</v>
      </c>
      <c r="C627" s="76" t="s">
        <v>53</v>
      </c>
      <c r="D627" s="75" t="s">
        <v>1</v>
      </c>
      <c r="E627" s="134">
        <v>1.836805555555556</v>
      </c>
      <c r="F627" s="75" t="s">
        <v>49</v>
      </c>
      <c r="G627" s="77">
        <v>9</v>
      </c>
      <c r="H627" s="130">
        <v>759</v>
      </c>
      <c r="I627" s="2"/>
    </row>
    <row r="628" spans="1:9" ht="19.8" customHeight="1" x14ac:dyDescent="0.3">
      <c r="A628" s="133">
        <v>46037</v>
      </c>
      <c r="B628" s="75" t="s">
        <v>44</v>
      </c>
      <c r="C628" s="76" t="s">
        <v>53</v>
      </c>
      <c r="D628" s="75" t="s">
        <v>1</v>
      </c>
      <c r="E628" s="134">
        <v>1.836805555555556</v>
      </c>
      <c r="F628" s="75" t="s">
        <v>51</v>
      </c>
      <c r="G628" s="77">
        <v>9</v>
      </c>
      <c r="H628" s="130">
        <v>849</v>
      </c>
      <c r="I628" s="2"/>
    </row>
    <row r="629" spans="1:9" ht="19.8" customHeight="1" x14ac:dyDescent="0.3">
      <c r="A629" s="133">
        <v>46037</v>
      </c>
      <c r="B629" s="75" t="s">
        <v>35</v>
      </c>
      <c r="C629" s="76" t="s">
        <v>36</v>
      </c>
      <c r="D629" s="75" t="s">
        <v>1</v>
      </c>
      <c r="E629" s="134">
        <v>1.305555555555556</v>
      </c>
      <c r="F629" s="75" t="s">
        <v>42</v>
      </c>
      <c r="G629" s="77">
        <v>20</v>
      </c>
      <c r="H629" s="130">
        <v>899</v>
      </c>
      <c r="I629" s="2"/>
    </row>
    <row r="630" spans="1:9" ht="19.8" customHeight="1" x14ac:dyDescent="0.3">
      <c r="A630" s="135">
        <v>46037</v>
      </c>
      <c r="B630" s="79" t="s">
        <v>69</v>
      </c>
      <c r="C630" s="80" t="s">
        <v>70</v>
      </c>
      <c r="D630" s="79" t="s">
        <v>1</v>
      </c>
      <c r="E630" s="136">
        <v>1.305555555555556</v>
      </c>
      <c r="F630" s="79" t="s">
        <v>71</v>
      </c>
      <c r="G630" s="81">
        <v>4</v>
      </c>
      <c r="H630" s="87" t="s">
        <v>175</v>
      </c>
      <c r="I630" s="2"/>
    </row>
    <row r="631" spans="1:9" ht="19.8" customHeight="1" x14ac:dyDescent="0.3">
      <c r="A631" s="133">
        <v>46038</v>
      </c>
      <c r="B631" s="75" t="s">
        <v>31</v>
      </c>
      <c r="C631" s="76" t="s">
        <v>58</v>
      </c>
      <c r="D631" s="75" t="s">
        <v>1</v>
      </c>
      <c r="E631" s="134">
        <v>1.1701388888888891</v>
      </c>
      <c r="F631" s="75" t="s">
        <v>94</v>
      </c>
      <c r="G631" s="77">
        <v>9</v>
      </c>
      <c r="H631" s="130">
        <v>487</v>
      </c>
      <c r="I631" s="2"/>
    </row>
    <row r="632" spans="1:9" ht="19.8" customHeight="1" x14ac:dyDescent="0.3">
      <c r="A632" s="133">
        <v>46038</v>
      </c>
      <c r="B632" s="75" t="s">
        <v>79</v>
      </c>
      <c r="C632" s="76" t="s">
        <v>119</v>
      </c>
      <c r="D632" s="75" t="s">
        <v>1</v>
      </c>
      <c r="E632" s="134">
        <v>1.2152777777777779</v>
      </c>
      <c r="F632" s="75" t="s">
        <v>156</v>
      </c>
      <c r="G632" s="77">
        <v>5</v>
      </c>
      <c r="H632" s="130">
        <v>500</v>
      </c>
      <c r="I632" s="2"/>
    </row>
    <row r="633" spans="1:9" ht="19.8" customHeight="1" x14ac:dyDescent="0.3">
      <c r="A633" s="133">
        <v>46038</v>
      </c>
      <c r="B633" s="75" t="s">
        <v>35</v>
      </c>
      <c r="C633" s="76" t="s">
        <v>36</v>
      </c>
      <c r="D633" s="75" t="s">
        <v>1</v>
      </c>
      <c r="E633" s="134">
        <v>1.305555555555556</v>
      </c>
      <c r="F633" s="75" t="s">
        <v>37</v>
      </c>
      <c r="G633" s="77">
        <v>20</v>
      </c>
      <c r="H633" s="130">
        <v>509</v>
      </c>
      <c r="I633" s="2"/>
    </row>
    <row r="634" spans="1:9" ht="19.8" customHeight="1" x14ac:dyDescent="0.3">
      <c r="A634" s="133">
        <v>46038</v>
      </c>
      <c r="B634" s="75" t="s">
        <v>31</v>
      </c>
      <c r="C634" s="76" t="s">
        <v>32</v>
      </c>
      <c r="D634" s="75" t="s">
        <v>1</v>
      </c>
      <c r="E634" s="134">
        <v>1.864583333333333</v>
      </c>
      <c r="F634" s="75" t="s">
        <v>94</v>
      </c>
      <c r="G634" s="77">
        <v>9</v>
      </c>
      <c r="H634" s="130">
        <v>517</v>
      </c>
      <c r="I634" s="2"/>
    </row>
    <row r="635" spans="1:9" ht="19.8" customHeight="1" x14ac:dyDescent="0.3">
      <c r="A635" s="133">
        <v>46038</v>
      </c>
      <c r="B635" s="75" t="s">
        <v>31</v>
      </c>
      <c r="C635" s="76" t="s">
        <v>62</v>
      </c>
      <c r="D635" s="75" t="s">
        <v>1</v>
      </c>
      <c r="E635" s="134">
        <v>1.5277777777777779</v>
      </c>
      <c r="F635" s="75" t="s">
        <v>94</v>
      </c>
      <c r="G635" s="77">
        <v>9</v>
      </c>
      <c r="H635" s="130">
        <v>521</v>
      </c>
      <c r="I635" s="2"/>
    </row>
    <row r="636" spans="1:9" ht="19.8" customHeight="1" x14ac:dyDescent="0.3">
      <c r="A636" s="133">
        <v>46038</v>
      </c>
      <c r="B636" s="75" t="s">
        <v>44</v>
      </c>
      <c r="C636" s="76" t="s">
        <v>53</v>
      </c>
      <c r="D636" s="75" t="s">
        <v>1</v>
      </c>
      <c r="E636" s="134">
        <v>1.836805555555556</v>
      </c>
      <c r="F636" s="75" t="s">
        <v>46</v>
      </c>
      <c r="G636" s="77">
        <v>5</v>
      </c>
      <c r="H636" s="130">
        <v>559</v>
      </c>
      <c r="I636" s="2"/>
    </row>
    <row r="637" spans="1:9" ht="19.8" customHeight="1" x14ac:dyDescent="0.3">
      <c r="A637" s="133">
        <v>46038</v>
      </c>
      <c r="B637" s="75" t="s">
        <v>26</v>
      </c>
      <c r="C637" s="76" t="s">
        <v>27</v>
      </c>
      <c r="D637" s="75" t="s">
        <v>1</v>
      </c>
      <c r="E637" s="134">
        <v>1.958333333333333</v>
      </c>
      <c r="F637" s="75" t="s">
        <v>156</v>
      </c>
      <c r="G637" s="77">
        <v>2</v>
      </c>
      <c r="H637" s="130">
        <v>563</v>
      </c>
      <c r="I637" s="2"/>
    </row>
    <row r="638" spans="1:9" ht="19.8" customHeight="1" x14ac:dyDescent="0.3">
      <c r="A638" s="137">
        <v>46038</v>
      </c>
      <c r="B638" s="83" t="s">
        <v>63</v>
      </c>
      <c r="C638" s="84" t="s">
        <v>64</v>
      </c>
      <c r="D638" s="83" t="s">
        <v>1</v>
      </c>
      <c r="E638" s="138">
        <v>1.5798611111111109</v>
      </c>
      <c r="F638" s="83" t="s">
        <v>156</v>
      </c>
      <c r="G638" s="85">
        <v>7</v>
      </c>
      <c r="H638" s="132">
        <v>626</v>
      </c>
      <c r="I638" s="2"/>
    </row>
    <row r="639" spans="1:9" ht="19.8" customHeight="1" x14ac:dyDescent="0.3">
      <c r="A639" s="133">
        <v>46038</v>
      </c>
      <c r="B639" s="75" t="s">
        <v>35</v>
      </c>
      <c r="C639" s="76" t="s">
        <v>36</v>
      </c>
      <c r="D639" s="75" t="s">
        <v>1</v>
      </c>
      <c r="E639" s="134">
        <v>1.305555555555556</v>
      </c>
      <c r="F639" s="75" t="s">
        <v>40</v>
      </c>
      <c r="G639" s="77">
        <v>20</v>
      </c>
      <c r="H639" s="130">
        <v>659</v>
      </c>
      <c r="I639" s="2"/>
    </row>
    <row r="640" spans="1:9" ht="19.8" customHeight="1" x14ac:dyDescent="0.3">
      <c r="A640" s="133">
        <v>46038</v>
      </c>
      <c r="B640" s="75" t="s">
        <v>44</v>
      </c>
      <c r="C640" s="76" t="s">
        <v>53</v>
      </c>
      <c r="D640" s="75" t="s">
        <v>1</v>
      </c>
      <c r="E640" s="134">
        <v>1.836805555555556</v>
      </c>
      <c r="F640" s="75" t="s">
        <v>49</v>
      </c>
      <c r="G640" s="77">
        <v>5</v>
      </c>
      <c r="H640" s="130">
        <v>659</v>
      </c>
      <c r="I640" s="2"/>
    </row>
    <row r="641" spans="1:9" ht="19.8" customHeight="1" x14ac:dyDescent="0.3">
      <c r="A641" s="133">
        <v>46038</v>
      </c>
      <c r="B641" s="75" t="s">
        <v>44</v>
      </c>
      <c r="C641" s="76" t="s">
        <v>53</v>
      </c>
      <c r="D641" s="75" t="s">
        <v>1</v>
      </c>
      <c r="E641" s="134">
        <v>1.836805555555556</v>
      </c>
      <c r="F641" s="75" t="s">
        <v>51</v>
      </c>
      <c r="G641" s="77">
        <v>5</v>
      </c>
      <c r="H641" s="130">
        <v>749</v>
      </c>
      <c r="I641" s="2"/>
    </row>
    <row r="642" spans="1:9" ht="19.8" customHeight="1" x14ac:dyDescent="0.3">
      <c r="A642" s="133">
        <v>46038</v>
      </c>
      <c r="B642" s="75" t="s">
        <v>35</v>
      </c>
      <c r="C642" s="76" t="s">
        <v>36</v>
      </c>
      <c r="D642" s="75" t="s">
        <v>1</v>
      </c>
      <c r="E642" s="134">
        <v>1.305555555555556</v>
      </c>
      <c r="F642" s="75" t="s">
        <v>42</v>
      </c>
      <c r="G642" s="77">
        <v>20</v>
      </c>
      <c r="H642" s="130">
        <v>899</v>
      </c>
      <c r="I642" s="2"/>
    </row>
    <row r="643" spans="1:9" ht="19.8" customHeight="1" x14ac:dyDescent="0.3">
      <c r="A643" s="135">
        <v>46038</v>
      </c>
      <c r="B643" s="79" t="s">
        <v>69</v>
      </c>
      <c r="C643" s="80" t="s">
        <v>70</v>
      </c>
      <c r="D643" s="79" t="s">
        <v>1</v>
      </c>
      <c r="E643" s="136">
        <v>1.305555555555556</v>
      </c>
      <c r="F643" s="79" t="s">
        <v>71</v>
      </c>
      <c r="G643" s="81">
        <v>4</v>
      </c>
      <c r="H643" s="87" t="s">
        <v>175</v>
      </c>
      <c r="I643" s="2"/>
    </row>
    <row r="644" spans="1:9" ht="19.8" customHeight="1" x14ac:dyDescent="0.3">
      <c r="A644" s="133">
        <v>46039</v>
      </c>
      <c r="B644" s="75" t="s">
        <v>31</v>
      </c>
      <c r="C644" s="76" t="s">
        <v>58</v>
      </c>
      <c r="D644" s="75" t="s">
        <v>1</v>
      </c>
      <c r="E644" s="134">
        <v>1.1701388888888891</v>
      </c>
      <c r="F644" s="75" t="s">
        <v>94</v>
      </c>
      <c r="G644" s="77">
        <v>9</v>
      </c>
      <c r="H644" s="130">
        <v>487</v>
      </c>
      <c r="I644" s="2"/>
    </row>
    <row r="645" spans="1:9" ht="19.8" customHeight="1" x14ac:dyDescent="0.3">
      <c r="A645" s="133">
        <v>46039</v>
      </c>
      <c r="B645" s="75" t="s">
        <v>79</v>
      </c>
      <c r="C645" s="76" t="s">
        <v>80</v>
      </c>
      <c r="D645" s="75" t="s">
        <v>1</v>
      </c>
      <c r="E645" s="134">
        <v>1.5486111111111109</v>
      </c>
      <c r="F645" s="75" t="s">
        <v>156</v>
      </c>
      <c r="G645" s="77">
        <v>3</v>
      </c>
      <c r="H645" s="130">
        <v>500</v>
      </c>
      <c r="I645" s="2"/>
    </row>
    <row r="646" spans="1:9" ht="19.8" customHeight="1" x14ac:dyDescent="0.3">
      <c r="A646" s="133">
        <v>46039</v>
      </c>
      <c r="B646" s="75" t="s">
        <v>35</v>
      </c>
      <c r="C646" s="76" t="s">
        <v>36</v>
      </c>
      <c r="D646" s="75" t="s">
        <v>1</v>
      </c>
      <c r="E646" s="134">
        <v>1.305555555555556</v>
      </c>
      <c r="F646" s="75" t="s">
        <v>37</v>
      </c>
      <c r="G646" s="77">
        <v>20</v>
      </c>
      <c r="H646" s="130">
        <v>509</v>
      </c>
      <c r="I646" s="2"/>
    </row>
    <row r="647" spans="1:9" ht="19.8" customHeight="1" x14ac:dyDescent="0.3">
      <c r="A647" s="133">
        <v>46039</v>
      </c>
      <c r="B647" s="75" t="s">
        <v>74</v>
      </c>
      <c r="C647" s="76" t="s">
        <v>75</v>
      </c>
      <c r="D647" s="75" t="s">
        <v>1</v>
      </c>
      <c r="E647" s="134">
        <v>1.9722222222222221</v>
      </c>
      <c r="F647" s="75" t="s">
        <v>76</v>
      </c>
      <c r="G647" s="77">
        <v>9</v>
      </c>
      <c r="H647" s="130">
        <v>511</v>
      </c>
      <c r="I647" s="2"/>
    </row>
    <row r="648" spans="1:9" ht="19.8" customHeight="1" x14ac:dyDescent="0.3">
      <c r="A648" s="133">
        <v>46039</v>
      </c>
      <c r="B648" s="75" t="s">
        <v>31</v>
      </c>
      <c r="C648" s="76" t="s">
        <v>32</v>
      </c>
      <c r="D648" s="75" t="s">
        <v>1</v>
      </c>
      <c r="E648" s="134">
        <v>1.864583333333333</v>
      </c>
      <c r="F648" s="75" t="s">
        <v>94</v>
      </c>
      <c r="G648" s="77">
        <v>9</v>
      </c>
      <c r="H648" s="130">
        <v>517</v>
      </c>
      <c r="I648" s="2"/>
    </row>
    <row r="649" spans="1:9" ht="19.8" customHeight="1" x14ac:dyDescent="0.3">
      <c r="A649" s="133">
        <v>46039</v>
      </c>
      <c r="B649" s="75" t="s">
        <v>31</v>
      </c>
      <c r="C649" s="76" t="s">
        <v>62</v>
      </c>
      <c r="D649" s="75" t="s">
        <v>1</v>
      </c>
      <c r="E649" s="134">
        <v>1.5277777777777779</v>
      </c>
      <c r="F649" s="75" t="s">
        <v>94</v>
      </c>
      <c r="G649" s="77">
        <v>9</v>
      </c>
      <c r="H649" s="130">
        <v>517</v>
      </c>
      <c r="I649" s="2"/>
    </row>
    <row r="650" spans="1:9" ht="19.8" customHeight="1" x14ac:dyDescent="0.3">
      <c r="A650" s="133">
        <v>46039</v>
      </c>
      <c r="B650" s="75" t="s">
        <v>44</v>
      </c>
      <c r="C650" s="76" t="s">
        <v>53</v>
      </c>
      <c r="D650" s="75" t="s">
        <v>1</v>
      </c>
      <c r="E650" s="134">
        <v>1.836805555555556</v>
      </c>
      <c r="F650" s="75" t="s">
        <v>46</v>
      </c>
      <c r="G650" s="77">
        <v>4</v>
      </c>
      <c r="H650" s="130">
        <v>559</v>
      </c>
      <c r="I650" s="2"/>
    </row>
    <row r="651" spans="1:9" ht="19.8" customHeight="1" x14ac:dyDescent="0.3">
      <c r="A651" s="133">
        <v>46039</v>
      </c>
      <c r="B651" s="75" t="s">
        <v>44</v>
      </c>
      <c r="C651" s="76" t="s">
        <v>45</v>
      </c>
      <c r="D651" s="75" t="s">
        <v>1</v>
      </c>
      <c r="E651" s="134">
        <v>1.2013888888888891</v>
      </c>
      <c r="F651" s="75" t="s">
        <v>46</v>
      </c>
      <c r="G651" s="77">
        <v>5</v>
      </c>
      <c r="H651" s="130">
        <v>559</v>
      </c>
      <c r="I651" s="2"/>
    </row>
    <row r="652" spans="1:9" ht="19.8" customHeight="1" x14ac:dyDescent="0.3">
      <c r="A652" s="133">
        <v>46039</v>
      </c>
      <c r="B652" s="75" t="s">
        <v>26</v>
      </c>
      <c r="C652" s="76" t="s">
        <v>57</v>
      </c>
      <c r="D652" s="75" t="s">
        <v>1</v>
      </c>
      <c r="E652" s="134">
        <v>1.895833333333333</v>
      </c>
      <c r="F652" s="75" t="s">
        <v>156</v>
      </c>
      <c r="G652" s="77">
        <v>7</v>
      </c>
      <c r="H652" s="130">
        <v>563</v>
      </c>
      <c r="I652" s="2"/>
    </row>
    <row r="653" spans="1:9" ht="19.8" customHeight="1" x14ac:dyDescent="0.3">
      <c r="A653" s="137">
        <v>46039</v>
      </c>
      <c r="B653" s="83" t="s">
        <v>63</v>
      </c>
      <c r="C653" s="84" t="s">
        <v>64</v>
      </c>
      <c r="D653" s="83" t="s">
        <v>1</v>
      </c>
      <c r="E653" s="138">
        <v>1.9236111111111109</v>
      </c>
      <c r="F653" s="83" t="s">
        <v>156</v>
      </c>
      <c r="G653" s="85">
        <v>6</v>
      </c>
      <c r="H653" s="132">
        <v>566</v>
      </c>
      <c r="I653" s="2"/>
    </row>
    <row r="654" spans="1:9" ht="19.8" customHeight="1" x14ac:dyDescent="0.3">
      <c r="A654" s="133">
        <v>46039</v>
      </c>
      <c r="B654" s="75" t="s">
        <v>35</v>
      </c>
      <c r="C654" s="76" t="s">
        <v>36</v>
      </c>
      <c r="D654" s="75" t="s">
        <v>1</v>
      </c>
      <c r="E654" s="134">
        <v>1.305555555555556</v>
      </c>
      <c r="F654" s="75" t="s">
        <v>40</v>
      </c>
      <c r="G654" s="77">
        <v>20</v>
      </c>
      <c r="H654" s="130">
        <v>659</v>
      </c>
      <c r="I654" s="2"/>
    </row>
    <row r="655" spans="1:9" ht="19.8" customHeight="1" x14ac:dyDescent="0.3">
      <c r="A655" s="133">
        <v>46039</v>
      </c>
      <c r="B655" s="75" t="s">
        <v>44</v>
      </c>
      <c r="C655" s="76" t="s">
        <v>53</v>
      </c>
      <c r="D655" s="75" t="s">
        <v>1</v>
      </c>
      <c r="E655" s="134">
        <v>1.836805555555556</v>
      </c>
      <c r="F655" s="75" t="s">
        <v>49</v>
      </c>
      <c r="G655" s="77">
        <v>4</v>
      </c>
      <c r="H655" s="130">
        <v>659</v>
      </c>
      <c r="I655" s="2"/>
    </row>
    <row r="656" spans="1:9" ht="19.8" customHeight="1" x14ac:dyDescent="0.3">
      <c r="A656" s="133">
        <v>46039</v>
      </c>
      <c r="B656" s="75" t="s">
        <v>44</v>
      </c>
      <c r="C656" s="76" t="s">
        <v>45</v>
      </c>
      <c r="D656" s="75" t="s">
        <v>1</v>
      </c>
      <c r="E656" s="134">
        <v>1.2013888888888891</v>
      </c>
      <c r="F656" s="75" t="s">
        <v>49</v>
      </c>
      <c r="G656" s="77">
        <v>5</v>
      </c>
      <c r="H656" s="130">
        <v>659</v>
      </c>
      <c r="I656" s="2"/>
    </row>
    <row r="657" spans="1:9" ht="19.8" customHeight="1" x14ac:dyDescent="0.3">
      <c r="A657" s="133">
        <v>46039</v>
      </c>
      <c r="B657" s="75" t="s">
        <v>74</v>
      </c>
      <c r="C657" s="76" t="s">
        <v>75</v>
      </c>
      <c r="D657" s="75" t="s">
        <v>1</v>
      </c>
      <c r="E657" s="134">
        <v>1.9722222222222221</v>
      </c>
      <c r="F657" s="75" t="s">
        <v>42</v>
      </c>
      <c r="G657" s="77">
        <v>9</v>
      </c>
      <c r="H657" s="130">
        <v>717</v>
      </c>
      <c r="I657" s="2"/>
    </row>
    <row r="658" spans="1:9" ht="19.8" customHeight="1" x14ac:dyDescent="0.3">
      <c r="A658" s="133">
        <v>46039</v>
      </c>
      <c r="B658" s="75" t="s">
        <v>44</v>
      </c>
      <c r="C658" s="76" t="s">
        <v>53</v>
      </c>
      <c r="D658" s="75" t="s">
        <v>1</v>
      </c>
      <c r="E658" s="134">
        <v>1.836805555555556</v>
      </c>
      <c r="F658" s="75" t="s">
        <v>51</v>
      </c>
      <c r="G658" s="77">
        <v>4</v>
      </c>
      <c r="H658" s="130">
        <v>749</v>
      </c>
      <c r="I658" s="2"/>
    </row>
    <row r="659" spans="1:9" ht="19.8" customHeight="1" x14ac:dyDescent="0.3">
      <c r="A659" s="133">
        <v>46039</v>
      </c>
      <c r="B659" s="75" t="s">
        <v>44</v>
      </c>
      <c r="C659" s="76" t="s">
        <v>45</v>
      </c>
      <c r="D659" s="75" t="s">
        <v>1</v>
      </c>
      <c r="E659" s="134">
        <v>1.2013888888888891</v>
      </c>
      <c r="F659" s="75" t="s">
        <v>51</v>
      </c>
      <c r="G659" s="77">
        <v>5</v>
      </c>
      <c r="H659" s="130">
        <v>749</v>
      </c>
      <c r="I659" s="2"/>
    </row>
    <row r="660" spans="1:9" ht="19.8" customHeight="1" x14ac:dyDescent="0.3">
      <c r="A660" s="133">
        <v>46039</v>
      </c>
      <c r="B660" s="75" t="s">
        <v>35</v>
      </c>
      <c r="C660" s="76" t="s">
        <v>36</v>
      </c>
      <c r="D660" s="75" t="s">
        <v>1</v>
      </c>
      <c r="E660" s="134">
        <v>1.305555555555556</v>
      </c>
      <c r="F660" s="75" t="s">
        <v>42</v>
      </c>
      <c r="G660" s="77">
        <v>20</v>
      </c>
      <c r="H660" s="130">
        <v>899</v>
      </c>
      <c r="I660" s="2"/>
    </row>
    <row r="661" spans="1:9" ht="19.8" customHeight="1" x14ac:dyDescent="0.3">
      <c r="A661" s="135">
        <v>46039</v>
      </c>
      <c r="B661" s="79" t="s">
        <v>69</v>
      </c>
      <c r="C661" s="80" t="s">
        <v>70</v>
      </c>
      <c r="D661" s="79" t="s">
        <v>1</v>
      </c>
      <c r="E661" s="136">
        <v>1.305555555555556</v>
      </c>
      <c r="F661" s="79" t="s">
        <v>71</v>
      </c>
      <c r="G661" s="81">
        <v>4</v>
      </c>
      <c r="H661" s="87" t="s">
        <v>175</v>
      </c>
      <c r="I661" s="2"/>
    </row>
    <row r="662" spans="1:9" ht="19.8" customHeight="1" x14ac:dyDescent="0.3">
      <c r="A662" s="133">
        <v>46040</v>
      </c>
      <c r="B662" s="75" t="s">
        <v>31</v>
      </c>
      <c r="C662" s="76" t="s">
        <v>58</v>
      </c>
      <c r="D662" s="75" t="s">
        <v>1</v>
      </c>
      <c r="E662" s="134">
        <v>1.1701388888888891</v>
      </c>
      <c r="F662" s="75" t="s">
        <v>94</v>
      </c>
      <c r="G662" s="77">
        <v>9</v>
      </c>
      <c r="H662" s="130">
        <v>487</v>
      </c>
      <c r="I662" s="2"/>
    </row>
    <row r="663" spans="1:9" ht="19.8" customHeight="1" x14ac:dyDescent="0.3">
      <c r="A663" s="133">
        <v>46040</v>
      </c>
      <c r="B663" s="75" t="s">
        <v>79</v>
      </c>
      <c r="C663" s="76" t="s">
        <v>119</v>
      </c>
      <c r="D663" s="75" t="s">
        <v>1</v>
      </c>
      <c r="E663" s="134">
        <v>1.2152777777777779</v>
      </c>
      <c r="F663" s="75" t="s">
        <v>156</v>
      </c>
      <c r="G663" s="77">
        <v>7</v>
      </c>
      <c r="H663" s="130">
        <v>500</v>
      </c>
      <c r="I663" s="2"/>
    </row>
    <row r="664" spans="1:9" ht="19.8" customHeight="1" x14ac:dyDescent="0.3">
      <c r="A664" s="133">
        <v>46040</v>
      </c>
      <c r="B664" s="75" t="s">
        <v>35</v>
      </c>
      <c r="C664" s="76" t="s">
        <v>36</v>
      </c>
      <c r="D664" s="75" t="s">
        <v>1</v>
      </c>
      <c r="E664" s="134">
        <v>1.305555555555556</v>
      </c>
      <c r="F664" s="75" t="s">
        <v>37</v>
      </c>
      <c r="G664" s="77">
        <v>20</v>
      </c>
      <c r="H664" s="130">
        <v>509</v>
      </c>
      <c r="I664" s="2"/>
    </row>
    <row r="665" spans="1:9" ht="19.8" customHeight="1" x14ac:dyDescent="0.3">
      <c r="A665" s="133">
        <v>46040</v>
      </c>
      <c r="B665" s="75" t="s">
        <v>31</v>
      </c>
      <c r="C665" s="76" t="s">
        <v>32</v>
      </c>
      <c r="D665" s="75" t="s">
        <v>1</v>
      </c>
      <c r="E665" s="134">
        <v>1.864583333333333</v>
      </c>
      <c r="F665" s="75" t="s">
        <v>94</v>
      </c>
      <c r="G665" s="77">
        <v>9</v>
      </c>
      <c r="H665" s="130">
        <v>517</v>
      </c>
      <c r="I665" s="2"/>
    </row>
    <row r="666" spans="1:9" ht="19.8" customHeight="1" x14ac:dyDescent="0.3">
      <c r="A666" s="133">
        <v>46040</v>
      </c>
      <c r="B666" s="75" t="s">
        <v>31</v>
      </c>
      <c r="C666" s="76" t="s">
        <v>62</v>
      </c>
      <c r="D666" s="75" t="s">
        <v>1</v>
      </c>
      <c r="E666" s="134">
        <v>1.5277777777777779</v>
      </c>
      <c r="F666" s="75" t="s">
        <v>94</v>
      </c>
      <c r="G666" s="77">
        <v>9</v>
      </c>
      <c r="H666" s="130">
        <v>517</v>
      </c>
      <c r="I666" s="2"/>
    </row>
    <row r="667" spans="1:9" ht="19.8" customHeight="1" x14ac:dyDescent="0.3">
      <c r="A667" s="133">
        <v>46040</v>
      </c>
      <c r="B667" s="75" t="s">
        <v>44</v>
      </c>
      <c r="C667" s="76" t="s">
        <v>53</v>
      </c>
      <c r="D667" s="75" t="s">
        <v>1</v>
      </c>
      <c r="E667" s="134">
        <v>1.836805555555556</v>
      </c>
      <c r="F667" s="75" t="s">
        <v>46</v>
      </c>
      <c r="G667" s="77">
        <v>3</v>
      </c>
      <c r="H667" s="130">
        <v>559</v>
      </c>
      <c r="I667" s="2"/>
    </row>
    <row r="668" spans="1:9" ht="19.8" customHeight="1" x14ac:dyDescent="0.3">
      <c r="A668" s="133">
        <v>46040</v>
      </c>
      <c r="B668" s="75" t="s">
        <v>26</v>
      </c>
      <c r="C668" s="76" t="s">
        <v>93</v>
      </c>
      <c r="D668" s="75" t="s">
        <v>1</v>
      </c>
      <c r="E668" s="134">
        <v>1.958333333333333</v>
      </c>
      <c r="F668" s="75" t="s">
        <v>156</v>
      </c>
      <c r="G668" s="77">
        <v>3</v>
      </c>
      <c r="H668" s="130">
        <v>563</v>
      </c>
      <c r="I668" s="2"/>
    </row>
    <row r="669" spans="1:9" ht="19.8" customHeight="1" x14ac:dyDescent="0.3">
      <c r="A669" s="133">
        <v>46040</v>
      </c>
      <c r="B669" s="75" t="s">
        <v>35</v>
      </c>
      <c r="C669" s="76" t="s">
        <v>36</v>
      </c>
      <c r="D669" s="75" t="s">
        <v>1</v>
      </c>
      <c r="E669" s="134">
        <v>1.305555555555556</v>
      </c>
      <c r="F669" s="75" t="s">
        <v>40</v>
      </c>
      <c r="G669" s="77">
        <v>20</v>
      </c>
      <c r="H669" s="130">
        <v>659</v>
      </c>
      <c r="I669" s="2"/>
    </row>
    <row r="670" spans="1:9" ht="19.8" customHeight="1" x14ac:dyDescent="0.3">
      <c r="A670" s="133">
        <v>46040</v>
      </c>
      <c r="B670" s="75" t="s">
        <v>44</v>
      </c>
      <c r="C670" s="76" t="s">
        <v>53</v>
      </c>
      <c r="D670" s="75" t="s">
        <v>1</v>
      </c>
      <c r="E670" s="134">
        <v>1.836805555555556</v>
      </c>
      <c r="F670" s="75" t="s">
        <v>49</v>
      </c>
      <c r="G670" s="77">
        <v>3</v>
      </c>
      <c r="H670" s="130">
        <v>659</v>
      </c>
      <c r="I670" s="2"/>
    </row>
    <row r="671" spans="1:9" ht="19.8" customHeight="1" x14ac:dyDescent="0.3">
      <c r="A671" s="133">
        <v>46040</v>
      </c>
      <c r="B671" s="75" t="s">
        <v>44</v>
      </c>
      <c r="C671" s="76" t="s">
        <v>53</v>
      </c>
      <c r="D671" s="75" t="s">
        <v>1</v>
      </c>
      <c r="E671" s="134">
        <v>1.836805555555556</v>
      </c>
      <c r="F671" s="75" t="s">
        <v>51</v>
      </c>
      <c r="G671" s="77">
        <v>3</v>
      </c>
      <c r="H671" s="130">
        <v>749</v>
      </c>
      <c r="I671" s="2"/>
    </row>
    <row r="672" spans="1:9" ht="19.8" customHeight="1" x14ac:dyDescent="0.3">
      <c r="A672" s="133">
        <v>46040</v>
      </c>
      <c r="B672" s="75" t="s">
        <v>35</v>
      </c>
      <c r="C672" s="76" t="s">
        <v>36</v>
      </c>
      <c r="D672" s="75" t="s">
        <v>1</v>
      </c>
      <c r="E672" s="134">
        <v>1.305555555555556</v>
      </c>
      <c r="F672" s="75" t="s">
        <v>42</v>
      </c>
      <c r="G672" s="77">
        <v>20</v>
      </c>
      <c r="H672" s="130">
        <v>899</v>
      </c>
      <c r="I672" s="2"/>
    </row>
    <row r="673" spans="1:9" ht="19.8" customHeight="1" x14ac:dyDescent="0.3">
      <c r="A673" s="135">
        <v>46040</v>
      </c>
      <c r="B673" s="79" t="s">
        <v>69</v>
      </c>
      <c r="C673" s="80" t="s">
        <v>70</v>
      </c>
      <c r="D673" s="79" t="s">
        <v>1</v>
      </c>
      <c r="E673" s="136">
        <v>1.305555555555556</v>
      </c>
      <c r="F673" s="79" t="s">
        <v>71</v>
      </c>
      <c r="G673" s="81">
        <v>4</v>
      </c>
      <c r="H673" s="87" t="s">
        <v>175</v>
      </c>
      <c r="I673" s="2"/>
    </row>
    <row r="674" spans="1:9" ht="19.8" customHeight="1" x14ac:dyDescent="0.3">
      <c r="A674" s="133">
        <v>46041</v>
      </c>
      <c r="B674" s="75" t="s">
        <v>31</v>
      </c>
      <c r="C674" s="76" t="s">
        <v>58</v>
      </c>
      <c r="D674" s="75" t="s">
        <v>1</v>
      </c>
      <c r="E674" s="134">
        <v>1.1701388888888891</v>
      </c>
      <c r="F674" s="75" t="s">
        <v>94</v>
      </c>
      <c r="G674" s="77">
        <v>9</v>
      </c>
      <c r="H674" s="130">
        <v>487</v>
      </c>
      <c r="I674" s="2"/>
    </row>
    <row r="675" spans="1:9" ht="19.8" customHeight="1" x14ac:dyDescent="0.3">
      <c r="A675" s="133">
        <v>46041</v>
      </c>
      <c r="B675" s="75" t="s">
        <v>79</v>
      </c>
      <c r="C675" s="76" t="s">
        <v>150</v>
      </c>
      <c r="D675" s="75" t="s">
        <v>1</v>
      </c>
      <c r="E675" s="134">
        <v>1.1284722222222221</v>
      </c>
      <c r="F675" s="75" t="s">
        <v>156</v>
      </c>
      <c r="G675" s="77">
        <v>2</v>
      </c>
      <c r="H675" s="130">
        <v>500</v>
      </c>
      <c r="I675" s="2"/>
    </row>
    <row r="676" spans="1:9" ht="19.8" customHeight="1" x14ac:dyDescent="0.3">
      <c r="A676" s="133">
        <v>46041</v>
      </c>
      <c r="B676" s="75" t="s">
        <v>35</v>
      </c>
      <c r="C676" s="76" t="s">
        <v>36</v>
      </c>
      <c r="D676" s="75" t="s">
        <v>1</v>
      </c>
      <c r="E676" s="134">
        <v>1.305555555555556</v>
      </c>
      <c r="F676" s="75" t="s">
        <v>37</v>
      </c>
      <c r="G676" s="77">
        <v>20</v>
      </c>
      <c r="H676" s="130">
        <v>509</v>
      </c>
      <c r="I676" s="2"/>
    </row>
    <row r="677" spans="1:9" ht="19.8" customHeight="1" x14ac:dyDescent="0.3">
      <c r="A677" s="133">
        <v>46041</v>
      </c>
      <c r="B677" s="75" t="s">
        <v>31</v>
      </c>
      <c r="C677" s="76" t="s">
        <v>32</v>
      </c>
      <c r="D677" s="75" t="s">
        <v>1</v>
      </c>
      <c r="E677" s="134">
        <v>1.864583333333333</v>
      </c>
      <c r="F677" s="75" t="s">
        <v>94</v>
      </c>
      <c r="G677" s="77">
        <v>9</v>
      </c>
      <c r="H677" s="130">
        <v>517</v>
      </c>
      <c r="I677" s="2"/>
    </row>
    <row r="678" spans="1:9" ht="19.8" customHeight="1" x14ac:dyDescent="0.3">
      <c r="A678" s="133">
        <v>46041</v>
      </c>
      <c r="B678" s="75" t="s">
        <v>31</v>
      </c>
      <c r="C678" s="76" t="s">
        <v>62</v>
      </c>
      <c r="D678" s="75" t="s">
        <v>1</v>
      </c>
      <c r="E678" s="134">
        <v>1.5277777777777779</v>
      </c>
      <c r="F678" s="75" t="s">
        <v>94</v>
      </c>
      <c r="G678" s="77">
        <v>9</v>
      </c>
      <c r="H678" s="130">
        <v>517</v>
      </c>
      <c r="I678" s="2"/>
    </row>
    <row r="679" spans="1:9" ht="19.8" customHeight="1" x14ac:dyDescent="0.3">
      <c r="A679" s="133">
        <v>46041</v>
      </c>
      <c r="B679" s="75" t="s">
        <v>44</v>
      </c>
      <c r="C679" s="76" t="s">
        <v>53</v>
      </c>
      <c r="D679" s="75" t="s">
        <v>1</v>
      </c>
      <c r="E679" s="134">
        <v>1.836805555555556</v>
      </c>
      <c r="F679" s="75" t="s">
        <v>46</v>
      </c>
      <c r="G679" s="77">
        <v>5</v>
      </c>
      <c r="H679" s="130">
        <v>559</v>
      </c>
      <c r="I679" s="2"/>
    </row>
    <row r="680" spans="1:9" ht="19.8" customHeight="1" x14ac:dyDescent="0.3">
      <c r="A680" s="133">
        <v>46041</v>
      </c>
      <c r="B680" s="75" t="s">
        <v>44</v>
      </c>
      <c r="C680" s="76" t="s">
        <v>45</v>
      </c>
      <c r="D680" s="75" t="s">
        <v>1</v>
      </c>
      <c r="E680" s="134">
        <v>1.2013888888888891</v>
      </c>
      <c r="F680" s="75" t="s">
        <v>46</v>
      </c>
      <c r="G680" s="77">
        <v>5</v>
      </c>
      <c r="H680" s="130">
        <v>559</v>
      </c>
      <c r="I680" s="2"/>
    </row>
    <row r="681" spans="1:9" ht="19.8" customHeight="1" x14ac:dyDescent="0.3">
      <c r="A681" s="133">
        <v>46041</v>
      </c>
      <c r="B681" s="75" t="s">
        <v>26</v>
      </c>
      <c r="C681" s="76" t="s">
        <v>27</v>
      </c>
      <c r="D681" s="75" t="s">
        <v>1</v>
      </c>
      <c r="E681" s="134">
        <v>1.958333333333333</v>
      </c>
      <c r="F681" s="75" t="s">
        <v>156</v>
      </c>
      <c r="G681" s="77">
        <v>3</v>
      </c>
      <c r="H681" s="130">
        <v>563</v>
      </c>
      <c r="I681" s="2"/>
    </row>
    <row r="682" spans="1:9" ht="19.8" customHeight="1" x14ac:dyDescent="0.3">
      <c r="A682" s="133">
        <v>46041</v>
      </c>
      <c r="B682" s="75" t="s">
        <v>35</v>
      </c>
      <c r="C682" s="76" t="s">
        <v>36</v>
      </c>
      <c r="D682" s="75" t="s">
        <v>1</v>
      </c>
      <c r="E682" s="134">
        <v>1.305555555555556</v>
      </c>
      <c r="F682" s="75" t="s">
        <v>40</v>
      </c>
      <c r="G682" s="77">
        <v>20</v>
      </c>
      <c r="H682" s="130">
        <v>659</v>
      </c>
      <c r="I682" s="2"/>
    </row>
    <row r="683" spans="1:9" ht="19.8" customHeight="1" x14ac:dyDescent="0.3">
      <c r="A683" s="133">
        <v>46041</v>
      </c>
      <c r="B683" s="75" t="s">
        <v>44</v>
      </c>
      <c r="C683" s="76" t="s">
        <v>53</v>
      </c>
      <c r="D683" s="75" t="s">
        <v>1</v>
      </c>
      <c r="E683" s="134">
        <v>1.836805555555556</v>
      </c>
      <c r="F683" s="75" t="s">
        <v>49</v>
      </c>
      <c r="G683" s="77">
        <v>5</v>
      </c>
      <c r="H683" s="130">
        <v>659</v>
      </c>
      <c r="I683" s="2"/>
    </row>
    <row r="684" spans="1:9" ht="19.8" customHeight="1" x14ac:dyDescent="0.3">
      <c r="A684" s="133">
        <v>46041</v>
      </c>
      <c r="B684" s="75" t="s">
        <v>44</v>
      </c>
      <c r="C684" s="76" t="s">
        <v>45</v>
      </c>
      <c r="D684" s="75" t="s">
        <v>1</v>
      </c>
      <c r="E684" s="134">
        <v>1.2013888888888891</v>
      </c>
      <c r="F684" s="75" t="s">
        <v>49</v>
      </c>
      <c r="G684" s="77">
        <v>5</v>
      </c>
      <c r="H684" s="130">
        <v>659</v>
      </c>
      <c r="I684" s="2"/>
    </row>
    <row r="685" spans="1:9" ht="19.8" customHeight="1" x14ac:dyDescent="0.3">
      <c r="A685" s="133">
        <v>46041</v>
      </c>
      <c r="B685" s="75" t="s">
        <v>44</v>
      </c>
      <c r="C685" s="76" t="s">
        <v>53</v>
      </c>
      <c r="D685" s="75" t="s">
        <v>1</v>
      </c>
      <c r="E685" s="134">
        <v>1.836805555555556</v>
      </c>
      <c r="F685" s="75" t="s">
        <v>51</v>
      </c>
      <c r="G685" s="77">
        <v>5</v>
      </c>
      <c r="H685" s="130">
        <v>749</v>
      </c>
      <c r="I685" s="2"/>
    </row>
    <row r="686" spans="1:9" ht="19.8" customHeight="1" x14ac:dyDescent="0.3">
      <c r="A686" s="133">
        <v>46041</v>
      </c>
      <c r="B686" s="75" t="s">
        <v>44</v>
      </c>
      <c r="C686" s="76" t="s">
        <v>45</v>
      </c>
      <c r="D686" s="75" t="s">
        <v>1</v>
      </c>
      <c r="E686" s="134">
        <v>1.2013888888888891</v>
      </c>
      <c r="F686" s="75" t="s">
        <v>51</v>
      </c>
      <c r="G686" s="77">
        <v>5</v>
      </c>
      <c r="H686" s="130">
        <v>749</v>
      </c>
      <c r="I686" s="2"/>
    </row>
    <row r="687" spans="1:9" ht="19.8" customHeight="1" x14ac:dyDescent="0.3">
      <c r="A687" s="133">
        <v>46041</v>
      </c>
      <c r="B687" s="75" t="s">
        <v>35</v>
      </c>
      <c r="C687" s="76" t="s">
        <v>36</v>
      </c>
      <c r="D687" s="75" t="s">
        <v>1</v>
      </c>
      <c r="E687" s="134">
        <v>1.305555555555556</v>
      </c>
      <c r="F687" s="75" t="s">
        <v>42</v>
      </c>
      <c r="G687" s="77">
        <v>20</v>
      </c>
      <c r="H687" s="130">
        <v>899</v>
      </c>
      <c r="I687" s="2"/>
    </row>
    <row r="688" spans="1:9" ht="19.8" customHeight="1" x14ac:dyDescent="0.3">
      <c r="A688" s="135">
        <v>46041</v>
      </c>
      <c r="B688" s="79" t="s">
        <v>69</v>
      </c>
      <c r="C688" s="80" t="s">
        <v>70</v>
      </c>
      <c r="D688" s="79" t="s">
        <v>1</v>
      </c>
      <c r="E688" s="136">
        <v>1.305555555555556</v>
      </c>
      <c r="F688" s="79" t="s">
        <v>71</v>
      </c>
      <c r="G688" s="81">
        <v>4</v>
      </c>
      <c r="H688" s="87" t="s">
        <v>175</v>
      </c>
      <c r="I688" s="2"/>
    </row>
    <row r="689" spans="1:9" ht="19.8" customHeight="1" x14ac:dyDescent="0.3">
      <c r="A689" s="133">
        <v>46042</v>
      </c>
      <c r="B689" s="75" t="s">
        <v>31</v>
      </c>
      <c r="C689" s="76" t="s">
        <v>58</v>
      </c>
      <c r="D689" s="75" t="s">
        <v>1</v>
      </c>
      <c r="E689" s="134">
        <v>1.1701388888888891</v>
      </c>
      <c r="F689" s="75" t="s">
        <v>94</v>
      </c>
      <c r="G689" s="77">
        <v>9</v>
      </c>
      <c r="H689" s="130">
        <v>487</v>
      </c>
      <c r="I689" s="2"/>
    </row>
    <row r="690" spans="1:9" ht="19.8" customHeight="1" x14ac:dyDescent="0.3">
      <c r="A690" s="133">
        <v>46042</v>
      </c>
      <c r="B690" s="75" t="s">
        <v>35</v>
      </c>
      <c r="C690" s="76" t="s">
        <v>36</v>
      </c>
      <c r="D690" s="75" t="s">
        <v>1</v>
      </c>
      <c r="E690" s="134">
        <v>1.305555555555556</v>
      </c>
      <c r="F690" s="75" t="s">
        <v>37</v>
      </c>
      <c r="G690" s="77">
        <v>20</v>
      </c>
      <c r="H690" s="130">
        <v>509</v>
      </c>
      <c r="I690" s="2"/>
    </row>
    <row r="691" spans="1:9" ht="19.8" customHeight="1" x14ac:dyDescent="0.3">
      <c r="A691" s="133">
        <v>46042</v>
      </c>
      <c r="B691" s="75" t="s">
        <v>31</v>
      </c>
      <c r="C691" s="76" t="s">
        <v>32</v>
      </c>
      <c r="D691" s="75" t="s">
        <v>1</v>
      </c>
      <c r="E691" s="134">
        <v>1.864583333333333</v>
      </c>
      <c r="F691" s="75" t="s">
        <v>94</v>
      </c>
      <c r="G691" s="77">
        <v>9</v>
      </c>
      <c r="H691" s="130">
        <v>517</v>
      </c>
      <c r="I691" s="2"/>
    </row>
    <row r="692" spans="1:9" ht="19.8" customHeight="1" x14ac:dyDescent="0.3">
      <c r="A692" s="133">
        <v>46042</v>
      </c>
      <c r="B692" s="75" t="s">
        <v>31</v>
      </c>
      <c r="C692" s="76" t="s">
        <v>62</v>
      </c>
      <c r="D692" s="75" t="s">
        <v>1</v>
      </c>
      <c r="E692" s="134">
        <v>1.5277777777777779</v>
      </c>
      <c r="F692" s="75" t="s">
        <v>94</v>
      </c>
      <c r="G692" s="77">
        <v>9</v>
      </c>
      <c r="H692" s="130">
        <v>517</v>
      </c>
      <c r="I692" s="2"/>
    </row>
    <row r="693" spans="1:9" ht="19.8" customHeight="1" x14ac:dyDescent="0.3">
      <c r="A693" s="133">
        <v>46042</v>
      </c>
      <c r="B693" s="75" t="s">
        <v>44</v>
      </c>
      <c r="C693" s="76" t="s">
        <v>53</v>
      </c>
      <c r="D693" s="75" t="s">
        <v>1</v>
      </c>
      <c r="E693" s="134">
        <v>1.836805555555556</v>
      </c>
      <c r="F693" s="75" t="s">
        <v>46</v>
      </c>
      <c r="G693" s="77">
        <v>2</v>
      </c>
      <c r="H693" s="130">
        <v>559</v>
      </c>
      <c r="I693" s="2"/>
    </row>
    <row r="694" spans="1:9" ht="19.8" customHeight="1" x14ac:dyDescent="0.3">
      <c r="A694" s="133">
        <v>46042</v>
      </c>
      <c r="B694" s="75" t="s">
        <v>44</v>
      </c>
      <c r="C694" s="76" t="s">
        <v>45</v>
      </c>
      <c r="D694" s="75" t="s">
        <v>1</v>
      </c>
      <c r="E694" s="134">
        <v>1.2013888888888891</v>
      </c>
      <c r="F694" s="75" t="s">
        <v>46</v>
      </c>
      <c r="G694" s="77">
        <v>1</v>
      </c>
      <c r="H694" s="130">
        <v>559</v>
      </c>
      <c r="I694" s="2"/>
    </row>
    <row r="695" spans="1:9" ht="19.8" customHeight="1" x14ac:dyDescent="0.3">
      <c r="A695" s="133">
        <v>46042</v>
      </c>
      <c r="B695" s="75" t="s">
        <v>26</v>
      </c>
      <c r="C695" s="76" t="s">
        <v>57</v>
      </c>
      <c r="D695" s="75" t="s">
        <v>1</v>
      </c>
      <c r="E695" s="134">
        <v>1.958333333333333</v>
      </c>
      <c r="F695" s="75" t="s">
        <v>156</v>
      </c>
      <c r="G695" s="77">
        <v>5</v>
      </c>
      <c r="H695" s="130">
        <v>563</v>
      </c>
      <c r="I695" s="2"/>
    </row>
    <row r="696" spans="1:9" ht="19.8" customHeight="1" x14ac:dyDescent="0.3">
      <c r="A696" s="137">
        <v>46042</v>
      </c>
      <c r="B696" s="83" t="s">
        <v>63</v>
      </c>
      <c r="C696" s="84" t="s">
        <v>64</v>
      </c>
      <c r="D696" s="83" t="s">
        <v>1</v>
      </c>
      <c r="E696" s="138">
        <v>1.270833333333333</v>
      </c>
      <c r="F696" s="83" t="s">
        <v>156</v>
      </c>
      <c r="G696" s="85">
        <v>2</v>
      </c>
      <c r="H696" s="132">
        <v>566</v>
      </c>
      <c r="I696" s="2"/>
    </row>
    <row r="697" spans="1:9" ht="19.8" customHeight="1" x14ac:dyDescent="0.3">
      <c r="A697" s="133">
        <v>46042</v>
      </c>
      <c r="B697" s="75" t="s">
        <v>79</v>
      </c>
      <c r="C697" s="76" t="s">
        <v>119</v>
      </c>
      <c r="D697" s="75" t="s">
        <v>1</v>
      </c>
      <c r="E697" s="134">
        <v>1.2152777777777779</v>
      </c>
      <c r="F697" s="75" t="s">
        <v>156</v>
      </c>
      <c r="G697" s="77">
        <v>4</v>
      </c>
      <c r="H697" s="130">
        <v>568</v>
      </c>
      <c r="I697" s="2"/>
    </row>
    <row r="698" spans="1:9" ht="19.8" customHeight="1" x14ac:dyDescent="0.3">
      <c r="A698" s="133">
        <v>46042</v>
      </c>
      <c r="B698" s="75" t="s">
        <v>35</v>
      </c>
      <c r="C698" s="76" t="s">
        <v>36</v>
      </c>
      <c r="D698" s="75" t="s">
        <v>1</v>
      </c>
      <c r="E698" s="134">
        <v>1.305555555555556</v>
      </c>
      <c r="F698" s="75" t="s">
        <v>40</v>
      </c>
      <c r="G698" s="77">
        <v>20</v>
      </c>
      <c r="H698" s="130">
        <v>659</v>
      </c>
      <c r="I698" s="2"/>
    </row>
    <row r="699" spans="1:9" ht="19.8" customHeight="1" x14ac:dyDescent="0.3">
      <c r="A699" s="133">
        <v>46042</v>
      </c>
      <c r="B699" s="75" t="s">
        <v>44</v>
      </c>
      <c r="C699" s="76" t="s">
        <v>53</v>
      </c>
      <c r="D699" s="75" t="s">
        <v>1</v>
      </c>
      <c r="E699" s="134">
        <v>1.836805555555556</v>
      </c>
      <c r="F699" s="75" t="s">
        <v>49</v>
      </c>
      <c r="G699" s="77">
        <v>2</v>
      </c>
      <c r="H699" s="130">
        <v>659</v>
      </c>
      <c r="I699" s="2"/>
    </row>
    <row r="700" spans="1:9" ht="19.8" customHeight="1" x14ac:dyDescent="0.3">
      <c r="A700" s="133">
        <v>46042</v>
      </c>
      <c r="B700" s="75" t="s">
        <v>44</v>
      </c>
      <c r="C700" s="76" t="s">
        <v>45</v>
      </c>
      <c r="D700" s="75" t="s">
        <v>1</v>
      </c>
      <c r="E700" s="134">
        <v>1.2013888888888891</v>
      </c>
      <c r="F700" s="75" t="s">
        <v>49</v>
      </c>
      <c r="G700" s="77">
        <v>1</v>
      </c>
      <c r="H700" s="130">
        <v>659</v>
      </c>
      <c r="I700" s="2"/>
    </row>
    <row r="701" spans="1:9" ht="19.8" customHeight="1" x14ac:dyDescent="0.3">
      <c r="A701" s="133">
        <v>46042</v>
      </c>
      <c r="B701" s="75" t="s">
        <v>44</v>
      </c>
      <c r="C701" s="76" t="s">
        <v>53</v>
      </c>
      <c r="D701" s="75" t="s">
        <v>1</v>
      </c>
      <c r="E701" s="134">
        <v>1.836805555555556</v>
      </c>
      <c r="F701" s="75" t="s">
        <v>51</v>
      </c>
      <c r="G701" s="77">
        <v>2</v>
      </c>
      <c r="H701" s="130">
        <v>749</v>
      </c>
      <c r="I701" s="2"/>
    </row>
    <row r="702" spans="1:9" ht="19.8" customHeight="1" x14ac:dyDescent="0.3">
      <c r="A702" s="133">
        <v>46042</v>
      </c>
      <c r="B702" s="75" t="s">
        <v>44</v>
      </c>
      <c r="C702" s="76" t="s">
        <v>45</v>
      </c>
      <c r="D702" s="75" t="s">
        <v>1</v>
      </c>
      <c r="E702" s="134">
        <v>1.2013888888888891</v>
      </c>
      <c r="F702" s="75" t="s">
        <v>51</v>
      </c>
      <c r="G702" s="77">
        <v>1</v>
      </c>
      <c r="H702" s="130">
        <v>749</v>
      </c>
      <c r="I702" s="2"/>
    </row>
    <row r="703" spans="1:9" ht="19.8" customHeight="1" x14ac:dyDescent="0.3">
      <c r="A703" s="133">
        <v>46042</v>
      </c>
      <c r="B703" s="75" t="s">
        <v>35</v>
      </c>
      <c r="C703" s="76" t="s">
        <v>36</v>
      </c>
      <c r="D703" s="75" t="s">
        <v>1</v>
      </c>
      <c r="E703" s="134">
        <v>1.305555555555556</v>
      </c>
      <c r="F703" s="75" t="s">
        <v>42</v>
      </c>
      <c r="G703" s="77">
        <v>20</v>
      </c>
      <c r="H703" s="130">
        <v>899</v>
      </c>
      <c r="I703" s="2"/>
    </row>
    <row r="704" spans="1:9" ht="19.8" customHeight="1" x14ac:dyDescent="0.3">
      <c r="A704" s="135">
        <v>46042</v>
      </c>
      <c r="B704" s="79" t="s">
        <v>69</v>
      </c>
      <c r="C704" s="80" t="s">
        <v>70</v>
      </c>
      <c r="D704" s="79" t="s">
        <v>1</v>
      </c>
      <c r="E704" s="136">
        <v>1.305555555555556</v>
      </c>
      <c r="F704" s="79" t="s">
        <v>71</v>
      </c>
      <c r="G704" s="81">
        <v>4</v>
      </c>
      <c r="H704" s="87" t="s">
        <v>175</v>
      </c>
      <c r="I704" s="2"/>
    </row>
    <row r="705" spans="1:9" ht="19.8" customHeight="1" x14ac:dyDescent="0.3">
      <c r="A705" s="133">
        <v>46043</v>
      </c>
      <c r="B705" s="75" t="s">
        <v>31</v>
      </c>
      <c r="C705" s="76" t="s">
        <v>58</v>
      </c>
      <c r="D705" s="75" t="s">
        <v>1</v>
      </c>
      <c r="E705" s="134">
        <v>1.1701388888888891</v>
      </c>
      <c r="F705" s="75" t="s">
        <v>94</v>
      </c>
      <c r="G705" s="77">
        <v>9</v>
      </c>
      <c r="H705" s="130">
        <v>487</v>
      </c>
      <c r="I705" s="2"/>
    </row>
    <row r="706" spans="1:9" ht="19.8" customHeight="1" x14ac:dyDescent="0.3">
      <c r="A706" s="133">
        <v>46043</v>
      </c>
      <c r="B706" s="75" t="s">
        <v>79</v>
      </c>
      <c r="C706" s="76" t="s">
        <v>80</v>
      </c>
      <c r="D706" s="75" t="s">
        <v>1</v>
      </c>
      <c r="E706" s="134">
        <v>1.0902777777777779</v>
      </c>
      <c r="F706" s="75" t="s">
        <v>156</v>
      </c>
      <c r="G706" s="77">
        <v>4</v>
      </c>
      <c r="H706" s="130">
        <v>500</v>
      </c>
      <c r="I706" s="2"/>
    </row>
    <row r="707" spans="1:9" ht="19.8" customHeight="1" x14ac:dyDescent="0.3">
      <c r="A707" s="133">
        <v>46043</v>
      </c>
      <c r="B707" s="75" t="s">
        <v>35</v>
      </c>
      <c r="C707" s="76" t="s">
        <v>36</v>
      </c>
      <c r="D707" s="75" t="s">
        <v>1</v>
      </c>
      <c r="E707" s="134">
        <v>1.305555555555556</v>
      </c>
      <c r="F707" s="75" t="s">
        <v>37</v>
      </c>
      <c r="G707" s="77">
        <v>20</v>
      </c>
      <c r="H707" s="130">
        <v>509</v>
      </c>
      <c r="I707" s="2"/>
    </row>
    <row r="708" spans="1:9" ht="19.8" customHeight="1" x14ac:dyDescent="0.3">
      <c r="A708" s="133">
        <v>46043</v>
      </c>
      <c r="B708" s="75" t="s">
        <v>31</v>
      </c>
      <c r="C708" s="76" t="s">
        <v>32</v>
      </c>
      <c r="D708" s="75" t="s">
        <v>1</v>
      </c>
      <c r="E708" s="134">
        <v>1.864583333333333</v>
      </c>
      <c r="F708" s="75" t="s">
        <v>94</v>
      </c>
      <c r="G708" s="77">
        <v>9</v>
      </c>
      <c r="H708" s="130">
        <v>517</v>
      </c>
      <c r="I708" s="2"/>
    </row>
    <row r="709" spans="1:9" ht="19.8" customHeight="1" x14ac:dyDescent="0.3">
      <c r="A709" s="133">
        <v>46043</v>
      </c>
      <c r="B709" s="75" t="s">
        <v>31</v>
      </c>
      <c r="C709" s="76" t="s">
        <v>62</v>
      </c>
      <c r="D709" s="75" t="s">
        <v>1</v>
      </c>
      <c r="E709" s="134">
        <v>1.5277777777777779</v>
      </c>
      <c r="F709" s="75" t="s">
        <v>94</v>
      </c>
      <c r="G709" s="77">
        <v>9</v>
      </c>
      <c r="H709" s="130">
        <v>517</v>
      </c>
      <c r="I709" s="2"/>
    </row>
    <row r="710" spans="1:9" ht="19.8" customHeight="1" x14ac:dyDescent="0.3">
      <c r="A710" s="133">
        <v>46043</v>
      </c>
      <c r="B710" s="75" t="s">
        <v>74</v>
      </c>
      <c r="C710" s="76" t="s">
        <v>75</v>
      </c>
      <c r="D710" s="75" t="s">
        <v>1</v>
      </c>
      <c r="E710" s="134">
        <v>1.9722222222222221</v>
      </c>
      <c r="F710" s="75" t="s">
        <v>76</v>
      </c>
      <c r="G710" s="77">
        <v>9</v>
      </c>
      <c r="H710" s="130">
        <v>547</v>
      </c>
      <c r="I710" s="2"/>
    </row>
    <row r="711" spans="1:9" ht="19.8" customHeight="1" x14ac:dyDescent="0.3">
      <c r="A711" s="133">
        <v>46043</v>
      </c>
      <c r="B711" s="75" t="s">
        <v>44</v>
      </c>
      <c r="C711" s="76" t="s">
        <v>53</v>
      </c>
      <c r="D711" s="75" t="s">
        <v>1</v>
      </c>
      <c r="E711" s="134">
        <v>1.836805555555556</v>
      </c>
      <c r="F711" s="75" t="s">
        <v>46</v>
      </c>
      <c r="G711" s="77">
        <v>2</v>
      </c>
      <c r="H711" s="130">
        <v>559</v>
      </c>
      <c r="I711" s="2"/>
    </row>
    <row r="712" spans="1:9" ht="19.8" customHeight="1" x14ac:dyDescent="0.3">
      <c r="A712" s="133">
        <v>46043</v>
      </c>
      <c r="B712" s="75" t="s">
        <v>26</v>
      </c>
      <c r="C712" s="76" t="s">
        <v>27</v>
      </c>
      <c r="D712" s="75" t="s">
        <v>1</v>
      </c>
      <c r="E712" s="134">
        <v>1.895833333333333</v>
      </c>
      <c r="F712" s="75" t="s">
        <v>156</v>
      </c>
      <c r="G712" s="77">
        <v>9</v>
      </c>
      <c r="H712" s="130">
        <v>563</v>
      </c>
      <c r="I712" s="2"/>
    </row>
    <row r="713" spans="1:9" ht="19.8" customHeight="1" x14ac:dyDescent="0.3">
      <c r="A713" s="133">
        <v>46043</v>
      </c>
      <c r="B713" s="75" t="s">
        <v>35</v>
      </c>
      <c r="C713" s="76" t="s">
        <v>36</v>
      </c>
      <c r="D713" s="75" t="s">
        <v>1</v>
      </c>
      <c r="E713" s="134">
        <v>1.305555555555556</v>
      </c>
      <c r="F713" s="75" t="s">
        <v>40</v>
      </c>
      <c r="G713" s="77">
        <v>20</v>
      </c>
      <c r="H713" s="130">
        <v>659</v>
      </c>
      <c r="I713" s="2"/>
    </row>
    <row r="714" spans="1:9" ht="19.8" customHeight="1" x14ac:dyDescent="0.3">
      <c r="A714" s="133">
        <v>46043</v>
      </c>
      <c r="B714" s="75" t="s">
        <v>44</v>
      </c>
      <c r="C714" s="76" t="s">
        <v>53</v>
      </c>
      <c r="D714" s="75" t="s">
        <v>1</v>
      </c>
      <c r="E714" s="134">
        <v>1.836805555555556</v>
      </c>
      <c r="F714" s="75" t="s">
        <v>49</v>
      </c>
      <c r="G714" s="77">
        <v>2</v>
      </c>
      <c r="H714" s="130">
        <v>659</v>
      </c>
      <c r="I714" s="2"/>
    </row>
    <row r="715" spans="1:9" ht="19.8" customHeight="1" x14ac:dyDescent="0.3">
      <c r="A715" s="133">
        <v>46043</v>
      </c>
      <c r="B715" s="75" t="s">
        <v>44</v>
      </c>
      <c r="C715" s="76" t="s">
        <v>53</v>
      </c>
      <c r="D715" s="75" t="s">
        <v>1</v>
      </c>
      <c r="E715" s="134">
        <v>1.836805555555556</v>
      </c>
      <c r="F715" s="75" t="s">
        <v>51</v>
      </c>
      <c r="G715" s="77">
        <v>2</v>
      </c>
      <c r="H715" s="130">
        <v>749</v>
      </c>
      <c r="I715" s="2"/>
    </row>
    <row r="716" spans="1:9" ht="19.8" customHeight="1" x14ac:dyDescent="0.3">
      <c r="A716" s="133">
        <v>46043</v>
      </c>
      <c r="B716" s="75" t="s">
        <v>74</v>
      </c>
      <c r="C716" s="76" t="s">
        <v>75</v>
      </c>
      <c r="D716" s="75" t="s">
        <v>1</v>
      </c>
      <c r="E716" s="134">
        <v>1.9722222222222221</v>
      </c>
      <c r="F716" s="75" t="s">
        <v>42</v>
      </c>
      <c r="G716" s="77">
        <v>9</v>
      </c>
      <c r="H716" s="130">
        <v>752</v>
      </c>
      <c r="I716" s="2"/>
    </row>
    <row r="717" spans="1:9" ht="19.8" customHeight="1" x14ac:dyDescent="0.3">
      <c r="A717" s="133">
        <v>46043</v>
      </c>
      <c r="B717" s="75" t="s">
        <v>35</v>
      </c>
      <c r="C717" s="76" t="s">
        <v>36</v>
      </c>
      <c r="D717" s="75" t="s">
        <v>1</v>
      </c>
      <c r="E717" s="134">
        <v>1.305555555555556</v>
      </c>
      <c r="F717" s="75" t="s">
        <v>42</v>
      </c>
      <c r="G717" s="77">
        <v>20</v>
      </c>
      <c r="H717" s="130">
        <v>899</v>
      </c>
      <c r="I717" s="2"/>
    </row>
    <row r="718" spans="1:9" ht="19.8" customHeight="1" x14ac:dyDescent="0.3">
      <c r="A718" s="135">
        <v>46043</v>
      </c>
      <c r="B718" s="79" t="s">
        <v>69</v>
      </c>
      <c r="C718" s="80" t="s">
        <v>70</v>
      </c>
      <c r="D718" s="79" t="s">
        <v>1</v>
      </c>
      <c r="E718" s="136">
        <v>1.305555555555556</v>
      </c>
      <c r="F718" s="79" t="s">
        <v>71</v>
      </c>
      <c r="G718" s="81">
        <v>4</v>
      </c>
      <c r="H718" s="87" t="s">
        <v>175</v>
      </c>
      <c r="I718" s="2"/>
    </row>
    <row r="719" spans="1:9" ht="19.8" customHeight="1" x14ac:dyDescent="0.3">
      <c r="A719" s="133">
        <v>46044</v>
      </c>
      <c r="B719" s="75" t="s">
        <v>31</v>
      </c>
      <c r="C719" s="76" t="s">
        <v>58</v>
      </c>
      <c r="D719" s="75" t="s">
        <v>1</v>
      </c>
      <c r="E719" s="134">
        <v>1.1701388888888891</v>
      </c>
      <c r="F719" s="75" t="s">
        <v>94</v>
      </c>
      <c r="G719" s="77">
        <v>9</v>
      </c>
      <c r="H719" s="130">
        <v>487</v>
      </c>
      <c r="I719" s="2"/>
    </row>
    <row r="720" spans="1:9" ht="19.8" customHeight="1" x14ac:dyDescent="0.3">
      <c r="A720" s="133">
        <v>46044</v>
      </c>
      <c r="B720" s="75" t="s">
        <v>79</v>
      </c>
      <c r="C720" s="76" t="s">
        <v>80</v>
      </c>
      <c r="D720" s="75" t="s">
        <v>1</v>
      </c>
      <c r="E720" s="134">
        <v>1.9652777777777779</v>
      </c>
      <c r="F720" s="75" t="s">
        <v>156</v>
      </c>
      <c r="G720" s="77">
        <v>3</v>
      </c>
      <c r="H720" s="130">
        <v>500</v>
      </c>
      <c r="I720" s="2"/>
    </row>
    <row r="721" spans="1:9" ht="19.8" customHeight="1" x14ac:dyDescent="0.3">
      <c r="A721" s="133">
        <v>46044</v>
      </c>
      <c r="B721" s="75" t="s">
        <v>35</v>
      </c>
      <c r="C721" s="76" t="s">
        <v>36</v>
      </c>
      <c r="D721" s="75" t="s">
        <v>1</v>
      </c>
      <c r="E721" s="134">
        <v>1.305555555555556</v>
      </c>
      <c r="F721" s="75" t="s">
        <v>37</v>
      </c>
      <c r="G721" s="77">
        <v>20</v>
      </c>
      <c r="H721" s="130">
        <v>509</v>
      </c>
      <c r="I721" s="2"/>
    </row>
    <row r="722" spans="1:9" ht="19.8" customHeight="1" x14ac:dyDescent="0.3">
      <c r="A722" s="133">
        <v>46044</v>
      </c>
      <c r="B722" s="75" t="s">
        <v>31</v>
      </c>
      <c r="C722" s="76" t="s">
        <v>32</v>
      </c>
      <c r="D722" s="75" t="s">
        <v>1</v>
      </c>
      <c r="E722" s="134">
        <v>1.864583333333333</v>
      </c>
      <c r="F722" s="75" t="s">
        <v>94</v>
      </c>
      <c r="G722" s="77">
        <v>9</v>
      </c>
      <c r="H722" s="130">
        <v>517</v>
      </c>
      <c r="I722" s="2"/>
    </row>
    <row r="723" spans="1:9" ht="19.8" customHeight="1" x14ac:dyDescent="0.3">
      <c r="A723" s="133">
        <v>46044</v>
      </c>
      <c r="B723" s="75" t="s">
        <v>31</v>
      </c>
      <c r="C723" s="76" t="s">
        <v>62</v>
      </c>
      <c r="D723" s="75" t="s">
        <v>1</v>
      </c>
      <c r="E723" s="134">
        <v>1.5277777777777779</v>
      </c>
      <c r="F723" s="75" t="s">
        <v>94</v>
      </c>
      <c r="G723" s="77">
        <v>9</v>
      </c>
      <c r="H723" s="130">
        <v>517</v>
      </c>
      <c r="I723" s="2"/>
    </row>
    <row r="724" spans="1:9" ht="19.8" customHeight="1" x14ac:dyDescent="0.3">
      <c r="A724" s="133">
        <v>46044</v>
      </c>
      <c r="B724" s="75" t="s">
        <v>44</v>
      </c>
      <c r="C724" s="76" t="s">
        <v>45</v>
      </c>
      <c r="D724" s="75" t="s">
        <v>1</v>
      </c>
      <c r="E724" s="134">
        <v>1.2013888888888891</v>
      </c>
      <c r="F724" s="75" t="s">
        <v>46</v>
      </c>
      <c r="G724" s="77">
        <v>5</v>
      </c>
      <c r="H724" s="130">
        <v>559</v>
      </c>
      <c r="I724" s="2"/>
    </row>
    <row r="725" spans="1:9" ht="19.8" customHeight="1" x14ac:dyDescent="0.3">
      <c r="A725" s="133">
        <v>46044</v>
      </c>
      <c r="B725" s="75" t="s">
        <v>26</v>
      </c>
      <c r="C725" s="76" t="s">
        <v>93</v>
      </c>
      <c r="D725" s="75" t="s">
        <v>1</v>
      </c>
      <c r="E725" s="134">
        <v>1.5625</v>
      </c>
      <c r="F725" s="75" t="s">
        <v>156</v>
      </c>
      <c r="G725" s="77">
        <v>5</v>
      </c>
      <c r="H725" s="130">
        <v>563</v>
      </c>
      <c r="I725" s="2"/>
    </row>
    <row r="726" spans="1:9" ht="19.8" customHeight="1" x14ac:dyDescent="0.3">
      <c r="A726" s="133">
        <v>46044</v>
      </c>
      <c r="B726" s="75" t="s">
        <v>26</v>
      </c>
      <c r="C726" s="76" t="s">
        <v>57</v>
      </c>
      <c r="D726" s="75" t="s">
        <v>1</v>
      </c>
      <c r="E726" s="134">
        <v>1.958333333333333</v>
      </c>
      <c r="F726" s="75" t="s">
        <v>156</v>
      </c>
      <c r="G726" s="77">
        <v>6</v>
      </c>
      <c r="H726" s="130">
        <v>563</v>
      </c>
      <c r="I726" s="2"/>
    </row>
    <row r="727" spans="1:9" ht="19.8" customHeight="1" x14ac:dyDescent="0.3">
      <c r="A727" s="137">
        <v>46044</v>
      </c>
      <c r="B727" s="83" t="s">
        <v>63</v>
      </c>
      <c r="C727" s="84" t="s">
        <v>64</v>
      </c>
      <c r="D727" s="83" t="s">
        <v>1</v>
      </c>
      <c r="E727" s="138">
        <v>1.9236111111111109</v>
      </c>
      <c r="F727" s="83" t="s">
        <v>156</v>
      </c>
      <c r="G727" s="85">
        <v>2</v>
      </c>
      <c r="H727" s="132">
        <v>566</v>
      </c>
      <c r="I727" s="2"/>
    </row>
    <row r="728" spans="1:9" ht="19.8" customHeight="1" x14ac:dyDescent="0.3">
      <c r="A728" s="133">
        <v>46044</v>
      </c>
      <c r="B728" s="75" t="s">
        <v>44</v>
      </c>
      <c r="C728" s="76" t="s">
        <v>53</v>
      </c>
      <c r="D728" s="75" t="s">
        <v>1</v>
      </c>
      <c r="E728" s="134">
        <v>1.836805555555556</v>
      </c>
      <c r="F728" s="75" t="s">
        <v>46</v>
      </c>
      <c r="G728" s="77">
        <v>4</v>
      </c>
      <c r="H728" s="130">
        <v>609</v>
      </c>
      <c r="I728" s="2"/>
    </row>
    <row r="729" spans="1:9" ht="19.8" customHeight="1" x14ac:dyDescent="0.3">
      <c r="A729" s="133">
        <v>46044</v>
      </c>
      <c r="B729" s="75" t="s">
        <v>35</v>
      </c>
      <c r="C729" s="76" t="s">
        <v>36</v>
      </c>
      <c r="D729" s="75" t="s">
        <v>1</v>
      </c>
      <c r="E729" s="134">
        <v>1.305555555555556</v>
      </c>
      <c r="F729" s="75" t="s">
        <v>40</v>
      </c>
      <c r="G729" s="77">
        <v>20</v>
      </c>
      <c r="H729" s="130">
        <v>659</v>
      </c>
      <c r="I729" s="2"/>
    </row>
    <row r="730" spans="1:9" ht="19.8" customHeight="1" x14ac:dyDescent="0.3">
      <c r="A730" s="133">
        <v>46044</v>
      </c>
      <c r="B730" s="75" t="s">
        <v>44</v>
      </c>
      <c r="C730" s="76" t="s">
        <v>45</v>
      </c>
      <c r="D730" s="75" t="s">
        <v>1</v>
      </c>
      <c r="E730" s="134">
        <v>1.2013888888888891</v>
      </c>
      <c r="F730" s="75" t="s">
        <v>49</v>
      </c>
      <c r="G730" s="77">
        <v>5</v>
      </c>
      <c r="H730" s="130">
        <v>659</v>
      </c>
      <c r="I730" s="2"/>
    </row>
    <row r="731" spans="1:9" ht="19.8" customHeight="1" x14ac:dyDescent="0.3">
      <c r="A731" s="133">
        <v>46044</v>
      </c>
      <c r="B731" s="75" t="s">
        <v>44</v>
      </c>
      <c r="C731" s="76" t="s">
        <v>53</v>
      </c>
      <c r="D731" s="75" t="s">
        <v>1</v>
      </c>
      <c r="E731" s="134">
        <v>1.836805555555556</v>
      </c>
      <c r="F731" s="75" t="s">
        <v>49</v>
      </c>
      <c r="G731" s="77">
        <v>4</v>
      </c>
      <c r="H731" s="130">
        <v>709</v>
      </c>
      <c r="I731" s="2"/>
    </row>
    <row r="732" spans="1:9" ht="19.8" customHeight="1" x14ac:dyDescent="0.3">
      <c r="A732" s="133">
        <v>46044</v>
      </c>
      <c r="B732" s="75" t="s">
        <v>44</v>
      </c>
      <c r="C732" s="76" t="s">
        <v>45</v>
      </c>
      <c r="D732" s="75" t="s">
        <v>1</v>
      </c>
      <c r="E732" s="134">
        <v>1.2013888888888891</v>
      </c>
      <c r="F732" s="75" t="s">
        <v>51</v>
      </c>
      <c r="G732" s="77">
        <v>5</v>
      </c>
      <c r="H732" s="130">
        <v>749</v>
      </c>
      <c r="I732" s="2"/>
    </row>
    <row r="733" spans="1:9" ht="19.8" customHeight="1" x14ac:dyDescent="0.3">
      <c r="A733" s="133">
        <v>46044</v>
      </c>
      <c r="B733" s="75" t="s">
        <v>44</v>
      </c>
      <c r="C733" s="76" t="s">
        <v>53</v>
      </c>
      <c r="D733" s="75" t="s">
        <v>1</v>
      </c>
      <c r="E733" s="134">
        <v>1.836805555555556</v>
      </c>
      <c r="F733" s="75" t="s">
        <v>51</v>
      </c>
      <c r="G733" s="77">
        <v>4</v>
      </c>
      <c r="H733" s="130">
        <v>799</v>
      </c>
      <c r="I733" s="2"/>
    </row>
    <row r="734" spans="1:9" ht="19.8" customHeight="1" x14ac:dyDescent="0.3">
      <c r="A734" s="133">
        <v>46044</v>
      </c>
      <c r="B734" s="75" t="s">
        <v>35</v>
      </c>
      <c r="C734" s="76" t="s">
        <v>36</v>
      </c>
      <c r="D734" s="75" t="s">
        <v>1</v>
      </c>
      <c r="E734" s="134">
        <v>1.305555555555556</v>
      </c>
      <c r="F734" s="75" t="s">
        <v>42</v>
      </c>
      <c r="G734" s="77">
        <v>20</v>
      </c>
      <c r="H734" s="130">
        <v>899</v>
      </c>
      <c r="I734" s="2"/>
    </row>
    <row r="735" spans="1:9" ht="19.8" customHeight="1" x14ac:dyDescent="0.3">
      <c r="A735" s="135">
        <v>46044</v>
      </c>
      <c r="B735" s="79" t="s">
        <v>69</v>
      </c>
      <c r="C735" s="80" t="s">
        <v>70</v>
      </c>
      <c r="D735" s="79" t="s">
        <v>1</v>
      </c>
      <c r="E735" s="136">
        <v>1.305555555555556</v>
      </c>
      <c r="F735" s="79" t="s">
        <v>71</v>
      </c>
      <c r="G735" s="81">
        <v>4</v>
      </c>
      <c r="H735" s="87" t="s">
        <v>175</v>
      </c>
      <c r="I735" s="2"/>
    </row>
    <row r="736" spans="1:9" ht="19.8" customHeight="1" x14ac:dyDescent="0.3">
      <c r="A736" s="133">
        <v>46045</v>
      </c>
      <c r="B736" s="75" t="s">
        <v>31</v>
      </c>
      <c r="C736" s="76" t="s">
        <v>58</v>
      </c>
      <c r="D736" s="75" t="s">
        <v>1</v>
      </c>
      <c r="E736" s="134">
        <v>1.1701388888888891</v>
      </c>
      <c r="F736" s="75" t="s">
        <v>94</v>
      </c>
      <c r="G736" s="77">
        <v>9</v>
      </c>
      <c r="H736" s="130">
        <v>487</v>
      </c>
      <c r="I736" s="2"/>
    </row>
    <row r="737" spans="1:9" ht="19.8" customHeight="1" x14ac:dyDescent="0.3">
      <c r="A737" s="133">
        <v>46045</v>
      </c>
      <c r="B737" s="75" t="s">
        <v>79</v>
      </c>
      <c r="C737" s="76" t="s">
        <v>119</v>
      </c>
      <c r="D737" s="75" t="s">
        <v>1</v>
      </c>
      <c r="E737" s="134">
        <v>1.2152777777777779</v>
      </c>
      <c r="F737" s="75" t="s">
        <v>156</v>
      </c>
      <c r="G737" s="77">
        <v>5</v>
      </c>
      <c r="H737" s="130">
        <v>500</v>
      </c>
      <c r="I737" s="2"/>
    </row>
    <row r="738" spans="1:9" ht="19.8" customHeight="1" x14ac:dyDescent="0.3">
      <c r="A738" s="133">
        <v>46045</v>
      </c>
      <c r="B738" s="75" t="s">
        <v>35</v>
      </c>
      <c r="C738" s="76" t="s">
        <v>36</v>
      </c>
      <c r="D738" s="75" t="s">
        <v>1</v>
      </c>
      <c r="E738" s="134">
        <v>1.305555555555556</v>
      </c>
      <c r="F738" s="75" t="s">
        <v>37</v>
      </c>
      <c r="G738" s="77">
        <v>20</v>
      </c>
      <c r="H738" s="130">
        <v>509</v>
      </c>
      <c r="I738" s="2"/>
    </row>
    <row r="739" spans="1:9" ht="19.8" customHeight="1" x14ac:dyDescent="0.3">
      <c r="A739" s="133">
        <v>46045</v>
      </c>
      <c r="B739" s="75" t="s">
        <v>31</v>
      </c>
      <c r="C739" s="76" t="s">
        <v>32</v>
      </c>
      <c r="D739" s="75" t="s">
        <v>1</v>
      </c>
      <c r="E739" s="134">
        <v>1.864583333333333</v>
      </c>
      <c r="F739" s="75" t="s">
        <v>94</v>
      </c>
      <c r="G739" s="77">
        <v>9</v>
      </c>
      <c r="H739" s="130">
        <v>517</v>
      </c>
      <c r="I739" s="2"/>
    </row>
    <row r="740" spans="1:9" ht="19.8" customHeight="1" x14ac:dyDescent="0.3">
      <c r="A740" s="133">
        <v>46045</v>
      </c>
      <c r="B740" s="75" t="s">
        <v>31</v>
      </c>
      <c r="C740" s="76" t="s">
        <v>62</v>
      </c>
      <c r="D740" s="75" t="s">
        <v>1</v>
      </c>
      <c r="E740" s="134">
        <v>1.5277777777777779</v>
      </c>
      <c r="F740" s="75" t="s">
        <v>94</v>
      </c>
      <c r="G740" s="77">
        <v>9</v>
      </c>
      <c r="H740" s="130">
        <v>521</v>
      </c>
      <c r="I740" s="2"/>
    </row>
    <row r="741" spans="1:9" ht="19.8" customHeight="1" x14ac:dyDescent="0.3">
      <c r="A741" s="133">
        <v>46045</v>
      </c>
      <c r="B741" s="75" t="s">
        <v>26</v>
      </c>
      <c r="C741" s="76" t="s">
        <v>27</v>
      </c>
      <c r="D741" s="75" t="s">
        <v>1</v>
      </c>
      <c r="E741" s="134">
        <v>1.958333333333333</v>
      </c>
      <c r="F741" s="75" t="s">
        <v>156</v>
      </c>
      <c r="G741" s="77">
        <v>7</v>
      </c>
      <c r="H741" s="130">
        <v>563</v>
      </c>
      <c r="I741" s="2"/>
    </row>
    <row r="742" spans="1:9" ht="19.8" customHeight="1" x14ac:dyDescent="0.3">
      <c r="A742" s="137">
        <v>46045</v>
      </c>
      <c r="B742" s="83" t="s">
        <v>63</v>
      </c>
      <c r="C742" s="84" t="s">
        <v>64</v>
      </c>
      <c r="D742" s="83" t="s">
        <v>1</v>
      </c>
      <c r="E742" s="138">
        <v>1.5798611111111109</v>
      </c>
      <c r="F742" s="83" t="s">
        <v>156</v>
      </c>
      <c r="G742" s="85">
        <v>8</v>
      </c>
      <c r="H742" s="132">
        <v>566</v>
      </c>
      <c r="I742" s="2"/>
    </row>
    <row r="743" spans="1:9" ht="19.8" customHeight="1" x14ac:dyDescent="0.3">
      <c r="A743" s="133">
        <v>46045</v>
      </c>
      <c r="B743" s="75" t="s">
        <v>44</v>
      </c>
      <c r="C743" s="76" t="s">
        <v>53</v>
      </c>
      <c r="D743" s="75" t="s">
        <v>1</v>
      </c>
      <c r="E743" s="134">
        <v>1.836805555555556</v>
      </c>
      <c r="F743" s="75" t="s">
        <v>46</v>
      </c>
      <c r="G743" s="77">
        <v>5</v>
      </c>
      <c r="H743" s="130">
        <v>609</v>
      </c>
      <c r="I743" s="2"/>
    </row>
    <row r="744" spans="1:9" ht="19.8" customHeight="1" x14ac:dyDescent="0.3">
      <c r="A744" s="133">
        <v>46045</v>
      </c>
      <c r="B744" s="75" t="s">
        <v>35</v>
      </c>
      <c r="C744" s="76" t="s">
        <v>36</v>
      </c>
      <c r="D744" s="75" t="s">
        <v>1</v>
      </c>
      <c r="E744" s="134">
        <v>1.305555555555556</v>
      </c>
      <c r="F744" s="75" t="s">
        <v>40</v>
      </c>
      <c r="G744" s="77">
        <v>20</v>
      </c>
      <c r="H744" s="130">
        <v>659</v>
      </c>
      <c r="I744" s="2"/>
    </row>
    <row r="745" spans="1:9" ht="19.8" customHeight="1" x14ac:dyDescent="0.3">
      <c r="A745" s="133">
        <v>46045</v>
      </c>
      <c r="B745" s="75" t="s">
        <v>44</v>
      </c>
      <c r="C745" s="76" t="s">
        <v>53</v>
      </c>
      <c r="D745" s="75" t="s">
        <v>1</v>
      </c>
      <c r="E745" s="134">
        <v>1.836805555555556</v>
      </c>
      <c r="F745" s="75" t="s">
        <v>49</v>
      </c>
      <c r="G745" s="77">
        <v>5</v>
      </c>
      <c r="H745" s="130">
        <v>709</v>
      </c>
      <c r="I745" s="2"/>
    </row>
    <row r="746" spans="1:9" ht="19.8" customHeight="1" x14ac:dyDescent="0.3">
      <c r="A746" s="133">
        <v>46045</v>
      </c>
      <c r="B746" s="75" t="s">
        <v>44</v>
      </c>
      <c r="C746" s="76" t="s">
        <v>53</v>
      </c>
      <c r="D746" s="75" t="s">
        <v>1</v>
      </c>
      <c r="E746" s="134">
        <v>1.836805555555556</v>
      </c>
      <c r="F746" s="75" t="s">
        <v>51</v>
      </c>
      <c r="G746" s="77">
        <v>5</v>
      </c>
      <c r="H746" s="130">
        <v>799</v>
      </c>
      <c r="I746" s="2"/>
    </row>
    <row r="747" spans="1:9" ht="19.8" customHeight="1" x14ac:dyDescent="0.3">
      <c r="A747" s="133">
        <v>46045</v>
      </c>
      <c r="B747" s="75" t="s">
        <v>35</v>
      </c>
      <c r="C747" s="76" t="s">
        <v>36</v>
      </c>
      <c r="D747" s="75" t="s">
        <v>1</v>
      </c>
      <c r="E747" s="134">
        <v>1.305555555555556</v>
      </c>
      <c r="F747" s="75" t="s">
        <v>42</v>
      </c>
      <c r="G747" s="77">
        <v>20</v>
      </c>
      <c r="H747" s="130">
        <v>899</v>
      </c>
      <c r="I747" s="2"/>
    </row>
    <row r="748" spans="1:9" ht="19.8" customHeight="1" x14ac:dyDescent="0.3">
      <c r="A748" s="135">
        <v>46045</v>
      </c>
      <c r="B748" s="79" t="s">
        <v>69</v>
      </c>
      <c r="C748" s="80" t="s">
        <v>70</v>
      </c>
      <c r="D748" s="79" t="s">
        <v>1</v>
      </c>
      <c r="E748" s="136">
        <v>1.305555555555556</v>
      </c>
      <c r="F748" s="79" t="s">
        <v>71</v>
      </c>
      <c r="G748" s="81">
        <v>4</v>
      </c>
      <c r="H748" s="87" t="s">
        <v>175</v>
      </c>
      <c r="I748" s="2"/>
    </row>
    <row r="749" spans="1:9" ht="19.8" customHeight="1" x14ac:dyDescent="0.3">
      <c r="A749" s="133">
        <v>46046</v>
      </c>
      <c r="B749" s="75" t="s">
        <v>31</v>
      </c>
      <c r="C749" s="76" t="s">
        <v>58</v>
      </c>
      <c r="D749" s="75" t="s">
        <v>1</v>
      </c>
      <c r="E749" s="134">
        <v>1.1701388888888891</v>
      </c>
      <c r="F749" s="75" t="s">
        <v>94</v>
      </c>
      <c r="G749" s="77">
        <v>9</v>
      </c>
      <c r="H749" s="130">
        <v>487</v>
      </c>
      <c r="I749" s="2"/>
    </row>
    <row r="750" spans="1:9" ht="19.8" customHeight="1" x14ac:dyDescent="0.3">
      <c r="A750" s="133">
        <v>46046</v>
      </c>
      <c r="B750" s="75" t="s">
        <v>35</v>
      </c>
      <c r="C750" s="76" t="s">
        <v>36</v>
      </c>
      <c r="D750" s="75" t="s">
        <v>1</v>
      </c>
      <c r="E750" s="134">
        <v>1.305555555555556</v>
      </c>
      <c r="F750" s="75" t="s">
        <v>37</v>
      </c>
      <c r="G750" s="77">
        <v>20</v>
      </c>
      <c r="H750" s="130">
        <v>509</v>
      </c>
      <c r="I750" s="2"/>
    </row>
    <row r="751" spans="1:9" ht="19.8" customHeight="1" x14ac:dyDescent="0.3">
      <c r="A751" s="133">
        <v>46046</v>
      </c>
      <c r="B751" s="75" t="s">
        <v>31</v>
      </c>
      <c r="C751" s="76" t="s">
        <v>32</v>
      </c>
      <c r="D751" s="75" t="s">
        <v>1</v>
      </c>
      <c r="E751" s="134">
        <v>1.864583333333333</v>
      </c>
      <c r="F751" s="75" t="s">
        <v>94</v>
      </c>
      <c r="G751" s="77">
        <v>9</v>
      </c>
      <c r="H751" s="130">
        <v>517</v>
      </c>
      <c r="I751" s="2"/>
    </row>
    <row r="752" spans="1:9" ht="19.8" customHeight="1" x14ac:dyDescent="0.3">
      <c r="A752" s="133">
        <v>46046</v>
      </c>
      <c r="B752" s="75" t="s">
        <v>31</v>
      </c>
      <c r="C752" s="76" t="s">
        <v>62</v>
      </c>
      <c r="D752" s="75" t="s">
        <v>1</v>
      </c>
      <c r="E752" s="134">
        <v>1.5277777777777779</v>
      </c>
      <c r="F752" s="75" t="s">
        <v>94</v>
      </c>
      <c r="G752" s="77">
        <v>9</v>
      </c>
      <c r="H752" s="130">
        <v>517</v>
      </c>
      <c r="I752" s="2"/>
    </row>
    <row r="753" spans="1:9" ht="19.8" customHeight="1" x14ac:dyDescent="0.3">
      <c r="A753" s="133">
        <v>46046</v>
      </c>
      <c r="B753" s="75" t="s">
        <v>44</v>
      </c>
      <c r="C753" s="76" t="s">
        <v>53</v>
      </c>
      <c r="D753" s="75" t="s">
        <v>1</v>
      </c>
      <c r="E753" s="134">
        <v>1.836805555555556</v>
      </c>
      <c r="F753" s="75" t="s">
        <v>46</v>
      </c>
      <c r="G753" s="77">
        <v>4</v>
      </c>
      <c r="H753" s="130">
        <v>559</v>
      </c>
      <c r="I753" s="2"/>
    </row>
    <row r="754" spans="1:9" ht="19.8" customHeight="1" x14ac:dyDescent="0.3">
      <c r="A754" s="133">
        <v>46046</v>
      </c>
      <c r="B754" s="75" t="s">
        <v>44</v>
      </c>
      <c r="C754" s="76" t="s">
        <v>45</v>
      </c>
      <c r="D754" s="75" t="s">
        <v>1</v>
      </c>
      <c r="E754" s="134">
        <v>1.2013888888888891</v>
      </c>
      <c r="F754" s="75" t="s">
        <v>46</v>
      </c>
      <c r="G754" s="77">
        <v>4</v>
      </c>
      <c r="H754" s="130">
        <v>559</v>
      </c>
      <c r="I754" s="2"/>
    </row>
    <row r="755" spans="1:9" ht="19.8" customHeight="1" x14ac:dyDescent="0.3">
      <c r="A755" s="133">
        <v>46046</v>
      </c>
      <c r="B755" s="75" t="s">
        <v>26</v>
      </c>
      <c r="C755" s="76" t="s">
        <v>57</v>
      </c>
      <c r="D755" s="75" t="s">
        <v>1</v>
      </c>
      <c r="E755" s="134">
        <v>1.895833333333333</v>
      </c>
      <c r="F755" s="75" t="s">
        <v>156</v>
      </c>
      <c r="G755" s="77">
        <v>7</v>
      </c>
      <c r="H755" s="130">
        <v>563</v>
      </c>
      <c r="I755" s="2"/>
    </row>
    <row r="756" spans="1:9" ht="19.8" customHeight="1" x14ac:dyDescent="0.3">
      <c r="A756" s="137">
        <v>46046</v>
      </c>
      <c r="B756" s="83" t="s">
        <v>63</v>
      </c>
      <c r="C756" s="84" t="s">
        <v>64</v>
      </c>
      <c r="D756" s="83" t="s">
        <v>1</v>
      </c>
      <c r="E756" s="138">
        <v>1.9236111111111109</v>
      </c>
      <c r="F756" s="83" t="s">
        <v>156</v>
      </c>
      <c r="G756" s="85">
        <v>7</v>
      </c>
      <c r="H756" s="132">
        <v>566</v>
      </c>
      <c r="I756" s="2"/>
    </row>
    <row r="757" spans="1:9" ht="19.8" customHeight="1" x14ac:dyDescent="0.3">
      <c r="A757" s="133">
        <v>46046</v>
      </c>
      <c r="B757" s="75" t="s">
        <v>79</v>
      </c>
      <c r="C757" s="76" t="s">
        <v>80</v>
      </c>
      <c r="D757" s="75" t="s">
        <v>1</v>
      </c>
      <c r="E757" s="134">
        <v>1.5486111111111109</v>
      </c>
      <c r="F757" s="75" t="s">
        <v>156</v>
      </c>
      <c r="G757" s="77">
        <v>9</v>
      </c>
      <c r="H757" s="130">
        <v>568</v>
      </c>
      <c r="I757" s="2"/>
    </row>
    <row r="758" spans="1:9" ht="19.8" customHeight="1" x14ac:dyDescent="0.3">
      <c r="A758" s="133">
        <v>46046</v>
      </c>
      <c r="B758" s="75" t="s">
        <v>74</v>
      </c>
      <c r="C758" s="76" t="s">
        <v>75</v>
      </c>
      <c r="D758" s="75" t="s">
        <v>1</v>
      </c>
      <c r="E758" s="134">
        <v>1.9722222222222221</v>
      </c>
      <c r="F758" s="75" t="s">
        <v>76</v>
      </c>
      <c r="G758" s="77">
        <v>9</v>
      </c>
      <c r="H758" s="130">
        <v>590</v>
      </c>
      <c r="I758" s="2"/>
    </row>
    <row r="759" spans="1:9" ht="19.8" customHeight="1" x14ac:dyDescent="0.3">
      <c r="A759" s="133">
        <v>46046</v>
      </c>
      <c r="B759" s="75" t="s">
        <v>35</v>
      </c>
      <c r="C759" s="76" t="s">
        <v>36</v>
      </c>
      <c r="D759" s="75" t="s">
        <v>1</v>
      </c>
      <c r="E759" s="134">
        <v>1.305555555555556</v>
      </c>
      <c r="F759" s="75" t="s">
        <v>40</v>
      </c>
      <c r="G759" s="77">
        <v>20</v>
      </c>
      <c r="H759" s="130">
        <v>659</v>
      </c>
      <c r="I759" s="2"/>
    </row>
    <row r="760" spans="1:9" ht="19.8" customHeight="1" x14ac:dyDescent="0.3">
      <c r="A760" s="133">
        <v>46046</v>
      </c>
      <c r="B760" s="75" t="s">
        <v>44</v>
      </c>
      <c r="C760" s="76" t="s">
        <v>53</v>
      </c>
      <c r="D760" s="75" t="s">
        <v>1</v>
      </c>
      <c r="E760" s="134">
        <v>1.836805555555556</v>
      </c>
      <c r="F760" s="75" t="s">
        <v>49</v>
      </c>
      <c r="G760" s="77">
        <v>4</v>
      </c>
      <c r="H760" s="130">
        <v>659</v>
      </c>
      <c r="I760" s="2"/>
    </row>
    <row r="761" spans="1:9" ht="19.8" customHeight="1" x14ac:dyDescent="0.3">
      <c r="A761" s="133">
        <v>46046</v>
      </c>
      <c r="B761" s="75" t="s">
        <v>44</v>
      </c>
      <c r="C761" s="76" t="s">
        <v>45</v>
      </c>
      <c r="D761" s="75" t="s">
        <v>1</v>
      </c>
      <c r="E761" s="134">
        <v>1.2013888888888891</v>
      </c>
      <c r="F761" s="75" t="s">
        <v>49</v>
      </c>
      <c r="G761" s="77">
        <v>4</v>
      </c>
      <c r="H761" s="130">
        <v>659</v>
      </c>
      <c r="I761" s="2"/>
    </row>
    <row r="762" spans="1:9" ht="19.8" customHeight="1" x14ac:dyDescent="0.3">
      <c r="A762" s="133">
        <v>46046</v>
      </c>
      <c r="B762" s="75" t="s">
        <v>44</v>
      </c>
      <c r="C762" s="76" t="s">
        <v>53</v>
      </c>
      <c r="D762" s="75" t="s">
        <v>1</v>
      </c>
      <c r="E762" s="134">
        <v>1.836805555555556</v>
      </c>
      <c r="F762" s="75" t="s">
        <v>51</v>
      </c>
      <c r="G762" s="77">
        <v>4</v>
      </c>
      <c r="H762" s="130">
        <v>749</v>
      </c>
      <c r="I762" s="2"/>
    </row>
    <row r="763" spans="1:9" ht="19.8" customHeight="1" x14ac:dyDescent="0.3">
      <c r="A763" s="133">
        <v>46046</v>
      </c>
      <c r="B763" s="75" t="s">
        <v>44</v>
      </c>
      <c r="C763" s="76" t="s">
        <v>45</v>
      </c>
      <c r="D763" s="75" t="s">
        <v>1</v>
      </c>
      <c r="E763" s="134">
        <v>1.2013888888888891</v>
      </c>
      <c r="F763" s="75" t="s">
        <v>51</v>
      </c>
      <c r="G763" s="77">
        <v>4</v>
      </c>
      <c r="H763" s="130">
        <v>749</v>
      </c>
      <c r="I763" s="2"/>
    </row>
    <row r="764" spans="1:9" ht="19.8" customHeight="1" x14ac:dyDescent="0.3">
      <c r="A764" s="133">
        <v>46046</v>
      </c>
      <c r="B764" s="75" t="s">
        <v>74</v>
      </c>
      <c r="C764" s="76" t="s">
        <v>75</v>
      </c>
      <c r="D764" s="75" t="s">
        <v>1</v>
      </c>
      <c r="E764" s="134">
        <v>1.9722222222222221</v>
      </c>
      <c r="F764" s="75" t="s">
        <v>42</v>
      </c>
      <c r="G764" s="77">
        <v>9</v>
      </c>
      <c r="H764" s="130">
        <v>795</v>
      </c>
      <c r="I764" s="2"/>
    </row>
    <row r="765" spans="1:9" ht="19.8" customHeight="1" x14ac:dyDescent="0.3">
      <c r="A765" s="133">
        <v>46046</v>
      </c>
      <c r="B765" s="75" t="s">
        <v>35</v>
      </c>
      <c r="C765" s="76" t="s">
        <v>36</v>
      </c>
      <c r="D765" s="75" t="s">
        <v>1</v>
      </c>
      <c r="E765" s="134">
        <v>1.305555555555556</v>
      </c>
      <c r="F765" s="75" t="s">
        <v>42</v>
      </c>
      <c r="G765" s="77">
        <v>20</v>
      </c>
      <c r="H765" s="130">
        <v>899</v>
      </c>
      <c r="I765" s="2"/>
    </row>
    <row r="766" spans="1:9" ht="19.8" customHeight="1" x14ac:dyDescent="0.3">
      <c r="A766" s="135">
        <v>46046</v>
      </c>
      <c r="B766" s="79" t="s">
        <v>69</v>
      </c>
      <c r="C766" s="80" t="s">
        <v>70</v>
      </c>
      <c r="D766" s="79" t="s">
        <v>1</v>
      </c>
      <c r="E766" s="136">
        <v>1.305555555555556</v>
      </c>
      <c r="F766" s="79" t="s">
        <v>71</v>
      </c>
      <c r="G766" s="81">
        <v>4</v>
      </c>
      <c r="H766" s="87" t="s">
        <v>175</v>
      </c>
      <c r="I766" s="2"/>
    </row>
    <row r="767" spans="1:9" ht="19.8" customHeight="1" x14ac:dyDescent="0.3">
      <c r="A767" s="133">
        <v>46047</v>
      </c>
      <c r="B767" s="75" t="s">
        <v>31</v>
      </c>
      <c r="C767" s="76" t="s">
        <v>58</v>
      </c>
      <c r="D767" s="75" t="s">
        <v>1</v>
      </c>
      <c r="E767" s="134">
        <v>1.1701388888888891</v>
      </c>
      <c r="F767" s="75" t="s">
        <v>94</v>
      </c>
      <c r="G767" s="77">
        <v>9</v>
      </c>
      <c r="H767" s="130">
        <v>487</v>
      </c>
      <c r="I767" s="2"/>
    </row>
    <row r="768" spans="1:9" ht="19.8" customHeight="1" x14ac:dyDescent="0.3">
      <c r="A768" s="133">
        <v>46047</v>
      </c>
      <c r="B768" s="75" t="s">
        <v>79</v>
      </c>
      <c r="C768" s="76" t="s">
        <v>119</v>
      </c>
      <c r="D768" s="75" t="s">
        <v>1</v>
      </c>
      <c r="E768" s="134">
        <v>1.2152777777777779</v>
      </c>
      <c r="F768" s="75" t="s">
        <v>156</v>
      </c>
      <c r="G768" s="77">
        <v>2</v>
      </c>
      <c r="H768" s="130">
        <v>500</v>
      </c>
      <c r="I768" s="2"/>
    </row>
    <row r="769" spans="1:9" ht="19.8" customHeight="1" x14ac:dyDescent="0.3">
      <c r="A769" s="133">
        <v>46047</v>
      </c>
      <c r="B769" s="75" t="s">
        <v>35</v>
      </c>
      <c r="C769" s="76" t="s">
        <v>36</v>
      </c>
      <c r="D769" s="75" t="s">
        <v>1</v>
      </c>
      <c r="E769" s="134">
        <v>1.305555555555556</v>
      </c>
      <c r="F769" s="75" t="s">
        <v>37</v>
      </c>
      <c r="G769" s="77">
        <v>20</v>
      </c>
      <c r="H769" s="130">
        <v>509</v>
      </c>
      <c r="I769" s="2"/>
    </row>
    <row r="770" spans="1:9" ht="19.8" customHeight="1" x14ac:dyDescent="0.3">
      <c r="A770" s="133">
        <v>46047</v>
      </c>
      <c r="B770" s="75" t="s">
        <v>31</v>
      </c>
      <c r="C770" s="76" t="s">
        <v>32</v>
      </c>
      <c r="D770" s="75" t="s">
        <v>1</v>
      </c>
      <c r="E770" s="134">
        <v>1.864583333333333</v>
      </c>
      <c r="F770" s="75" t="s">
        <v>94</v>
      </c>
      <c r="G770" s="77">
        <v>9</v>
      </c>
      <c r="H770" s="130">
        <v>517</v>
      </c>
      <c r="I770" s="2"/>
    </row>
    <row r="771" spans="1:9" ht="19.8" customHeight="1" x14ac:dyDescent="0.3">
      <c r="A771" s="133">
        <v>46047</v>
      </c>
      <c r="B771" s="75" t="s">
        <v>31</v>
      </c>
      <c r="C771" s="76" t="s">
        <v>62</v>
      </c>
      <c r="D771" s="75" t="s">
        <v>1</v>
      </c>
      <c r="E771" s="134">
        <v>1.5277777777777779</v>
      </c>
      <c r="F771" s="75" t="s">
        <v>94</v>
      </c>
      <c r="G771" s="77">
        <v>9</v>
      </c>
      <c r="H771" s="130">
        <v>517</v>
      </c>
      <c r="I771" s="2"/>
    </row>
    <row r="772" spans="1:9" ht="19.8" customHeight="1" x14ac:dyDescent="0.3">
      <c r="A772" s="133">
        <v>46047</v>
      </c>
      <c r="B772" s="75" t="s">
        <v>44</v>
      </c>
      <c r="C772" s="76" t="s">
        <v>53</v>
      </c>
      <c r="D772" s="75" t="s">
        <v>1</v>
      </c>
      <c r="E772" s="134">
        <v>1.836805555555556</v>
      </c>
      <c r="F772" s="75" t="s">
        <v>46</v>
      </c>
      <c r="G772" s="77">
        <v>2</v>
      </c>
      <c r="H772" s="130">
        <v>559</v>
      </c>
      <c r="I772" s="2"/>
    </row>
    <row r="773" spans="1:9" ht="19.8" customHeight="1" x14ac:dyDescent="0.3">
      <c r="A773" s="133">
        <v>46047</v>
      </c>
      <c r="B773" s="75" t="s">
        <v>26</v>
      </c>
      <c r="C773" s="76" t="s">
        <v>93</v>
      </c>
      <c r="D773" s="75" t="s">
        <v>1</v>
      </c>
      <c r="E773" s="134">
        <v>1.958333333333333</v>
      </c>
      <c r="F773" s="75" t="s">
        <v>156</v>
      </c>
      <c r="G773" s="77">
        <v>1</v>
      </c>
      <c r="H773" s="130">
        <v>563</v>
      </c>
      <c r="I773" s="2"/>
    </row>
    <row r="774" spans="1:9" ht="19.8" customHeight="1" x14ac:dyDescent="0.3">
      <c r="A774" s="133">
        <v>46047</v>
      </c>
      <c r="B774" s="75" t="s">
        <v>35</v>
      </c>
      <c r="C774" s="76" t="s">
        <v>36</v>
      </c>
      <c r="D774" s="75" t="s">
        <v>1</v>
      </c>
      <c r="E774" s="134">
        <v>1.305555555555556</v>
      </c>
      <c r="F774" s="75" t="s">
        <v>40</v>
      </c>
      <c r="G774" s="77">
        <v>20</v>
      </c>
      <c r="H774" s="130">
        <v>659</v>
      </c>
      <c r="I774" s="2"/>
    </row>
    <row r="775" spans="1:9" ht="19.8" customHeight="1" x14ac:dyDescent="0.3">
      <c r="A775" s="133">
        <v>46047</v>
      </c>
      <c r="B775" s="75" t="s">
        <v>44</v>
      </c>
      <c r="C775" s="76" t="s">
        <v>53</v>
      </c>
      <c r="D775" s="75" t="s">
        <v>1</v>
      </c>
      <c r="E775" s="134">
        <v>1.836805555555556</v>
      </c>
      <c r="F775" s="75" t="s">
        <v>49</v>
      </c>
      <c r="G775" s="77">
        <v>2</v>
      </c>
      <c r="H775" s="130">
        <v>659</v>
      </c>
      <c r="I775" s="2"/>
    </row>
    <row r="776" spans="1:9" ht="19.8" customHeight="1" x14ac:dyDescent="0.3">
      <c r="A776" s="133">
        <v>46047</v>
      </c>
      <c r="B776" s="75" t="s">
        <v>44</v>
      </c>
      <c r="C776" s="76" t="s">
        <v>53</v>
      </c>
      <c r="D776" s="75" t="s">
        <v>1</v>
      </c>
      <c r="E776" s="134">
        <v>1.836805555555556</v>
      </c>
      <c r="F776" s="75" t="s">
        <v>51</v>
      </c>
      <c r="G776" s="77">
        <v>2</v>
      </c>
      <c r="H776" s="130">
        <v>749</v>
      </c>
      <c r="I776" s="2"/>
    </row>
    <row r="777" spans="1:9" ht="19.8" customHeight="1" x14ac:dyDescent="0.3">
      <c r="A777" s="133">
        <v>46047</v>
      </c>
      <c r="B777" s="75" t="s">
        <v>35</v>
      </c>
      <c r="C777" s="76" t="s">
        <v>36</v>
      </c>
      <c r="D777" s="75" t="s">
        <v>1</v>
      </c>
      <c r="E777" s="134">
        <v>1.305555555555556</v>
      </c>
      <c r="F777" s="75" t="s">
        <v>42</v>
      </c>
      <c r="G777" s="77">
        <v>20</v>
      </c>
      <c r="H777" s="130">
        <v>899</v>
      </c>
      <c r="I777" s="2"/>
    </row>
    <row r="778" spans="1:9" ht="19.8" customHeight="1" x14ac:dyDescent="0.3">
      <c r="A778" s="135">
        <v>46047</v>
      </c>
      <c r="B778" s="79" t="s">
        <v>69</v>
      </c>
      <c r="C778" s="80" t="s">
        <v>70</v>
      </c>
      <c r="D778" s="79" t="s">
        <v>1</v>
      </c>
      <c r="E778" s="136">
        <v>1.305555555555556</v>
      </c>
      <c r="F778" s="79" t="s">
        <v>71</v>
      </c>
      <c r="G778" s="81">
        <v>4</v>
      </c>
      <c r="H778" s="87" t="s">
        <v>175</v>
      </c>
      <c r="I778" s="2"/>
    </row>
    <row r="779" spans="1:9" ht="19.8" customHeight="1" x14ac:dyDescent="0.3">
      <c r="A779" s="133">
        <v>46048</v>
      </c>
      <c r="B779" s="75" t="s">
        <v>31</v>
      </c>
      <c r="C779" s="76" t="s">
        <v>58</v>
      </c>
      <c r="D779" s="75" t="s">
        <v>1</v>
      </c>
      <c r="E779" s="134">
        <v>1.1701388888888891</v>
      </c>
      <c r="F779" s="75" t="s">
        <v>94</v>
      </c>
      <c r="G779" s="77">
        <v>9</v>
      </c>
      <c r="H779" s="130">
        <v>487</v>
      </c>
      <c r="I779" s="2"/>
    </row>
    <row r="780" spans="1:9" ht="19.8" customHeight="1" x14ac:dyDescent="0.3">
      <c r="A780" s="133">
        <v>46048</v>
      </c>
      <c r="B780" s="75" t="s">
        <v>79</v>
      </c>
      <c r="C780" s="76" t="s">
        <v>150</v>
      </c>
      <c r="D780" s="75" t="s">
        <v>1</v>
      </c>
      <c r="E780" s="134">
        <v>1.1284722222222221</v>
      </c>
      <c r="F780" s="75" t="s">
        <v>156</v>
      </c>
      <c r="G780" s="77">
        <v>9</v>
      </c>
      <c r="H780" s="130">
        <v>500</v>
      </c>
      <c r="I780" s="2"/>
    </row>
    <row r="781" spans="1:9" ht="19.8" customHeight="1" x14ac:dyDescent="0.3">
      <c r="A781" s="133">
        <v>46048</v>
      </c>
      <c r="B781" s="75" t="s">
        <v>35</v>
      </c>
      <c r="C781" s="76" t="s">
        <v>36</v>
      </c>
      <c r="D781" s="75" t="s">
        <v>1</v>
      </c>
      <c r="E781" s="134">
        <v>1.305555555555556</v>
      </c>
      <c r="F781" s="75" t="s">
        <v>37</v>
      </c>
      <c r="G781" s="77">
        <v>20</v>
      </c>
      <c r="H781" s="130">
        <v>509</v>
      </c>
      <c r="I781" s="2"/>
    </row>
    <row r="782" spans="1:9" ht="19.8" customHeight="1" x14ac:dyDescent="0.3">
      <c r="A782" s="133">
        <v>46048</v>
      </c>
      <c r="B782" s="75" t="s">
        <v>31</v>
      </c>
      <c r="C782" s="76" t="s">
        <v>32</v>
      </c>
      <c r="D782" s="75" t="s">
        <v>1</v>
      </c>
      <c r="E782" s="134">
        <v>1.864583333333333</v>
      </c>
      <c r="F782" s="75" t="s">
        <v>94</v>
      </c>
      <c r="G782" s="77">
        <v>9</v>
      </c>
      <c r="H782" s="130">
        <v>517</v>
      </c>
      <c r="I782" s="2"/>
    </row>
    <row r="783" spans="1:9" ht="19.8" customHeight="1" x14ac:dyDescent="0.3">
      <c r="A783" s="133">
        <v>46048</v>
      </c>
      <c r="B783" s="75" t="s">
        <v>31</v>
      </c>
      <c r="C783" s="76" t="s">
        <v>62</v>
      </c>
      <c r="D783" s="75" t="s">
        <v>1</v>
      </c>
      <c r="E783" s="134">
        <v>1.5277777777777779</v>
      </c>
      <c r="F783" s="75" t="s">
        <v>94</v>
      </c>
      <c r="G783" s="77">
        <v>9</v>
      </c>
      <c r="H783" s="130">
        <v>517</v>
      </c>
      <c r="I783" s="2"/>
    </row>
    <row r="784" spans="1:9" ht="19.8" customHeight="1" x14ac:dyDescent="0.3">
      <c r="A784" s="133">
        <v>46048</v>
      </c>
      <c r="B784" s="75" t="s">
        <v>44</v>
      </c>
      <c r="C784" s="76" t="s">
        <v>53</v>
      </c>
      <c r="D784" s="75" t="s">
        <v>1</v>
      </c>
      <c r="E784" s="134">
        <v>1.836805555555556</v>
      </c>
      <c r="F784" s="75" t="s">
        <v>46</v>
      </c>
      <c r="G784" s="77">
        <v>5</v>
      </c>
      <c r="H784" s="130">
        <v>559</v>
      </c>
      <c r="I784" s="2"/>
    </row>
    <row r="785" spans="1:9" ht="19.8" customHeight="1" x14ac:dyDescent="0.3">
      <c r="A785" s="133">
        <v>46048</v>
      </c>
      <c r="B785" s="75" t="s">
        <v>44</v>
      </c>
      <c r="C785" s="76" t="s">
        <v>45</v>
      </c>
      <c r="D785" s="75" t="s">
        <v>1</v>
      </c>
      <c r="E785" s="134">
        <v>1.2013888888888891</v>
      </c>
      <c r="F785" s="75" t="s">
        <v>46</v>
      </c>
      <c r="G785" s="77">
        <v>1</v>
      </c>
      <c r="H785" s="130">
        <v>559</v>
      </c>
      <c r="I785" s="2"/>
    </row>
    <row r="786" spans="1:9" ht="19.8" customHeight="1" x14ac:dyDescent="0.3">
      <c r="A786" s="133">
        <v>46048</v>
      </c>
      <c r="B786" s="75" t="s">
        <v>26</v>
      </c>
      <c r="C786" s="76" t="s">
        <v>27</v>
      </c>
      <c r="D786" s="75" t="s">
        <v>1</v>
      </c>
      <c r="E786" s="134">
        <v>1.958333333333333</v>
      </c>
      <c r="F786" s="75" t="s">
        <v>156</v>
      </c>
      <c r="G786" s="77">
        <v>8</v>
      </c>
      <c r="H786" s="130">
        <v>563</v>
      </c>
      <c r="I786" s="2"/>
    </row>
    <row r="787" spans="1:9" ht="19.8" customHeight="1" x14ac:dyDescent="0.3">
      <c r="A787" s="133">
        <v>46048</v>
      </c>
      <c r="B787" s="75" t="s">
        <v>35</v>
      </c>
      <c r="C787" s="76" t="s">
        <v>36</v>
      </c>
      <c r="D787" s="75" t="s">
        <v>1</v>
      </c>
      <c r="E787" s="134">
        <v>1.305555555555556</v>
      </c>
      <c r="F787" s="75" t="s">
        <v>40</v>
      </c>
      <c r="G787" s="77">
        <v>20</v>
      </c>
      <c r="H787" s="130">
        <v>659</v>
      </c>
      <c r="I787" s="2"/>
    </row>
    <row r="788" spans="1:9" ht="19.8" customHeight="1" x14ac:dyDescent="0.3">
      <c r="A788" s="133">
        <v>46048</v>
      </c>
      <c r="B788" s="75" t="s">
        <v>44</v>
      </c>
      <c r="C788" s="76" t="s">
        <v>53</v>
      </c>
      <c r="D788" s="75" t="s">
        <v>1</v>
      </c>
      <c r="E788" s="134">
        <v>1.836805555555556</v>
      </c>
      <c r="F788" s="75" t="s">
        <v>49</v>
      </c>
      <c r="G788" s="77">
        <v>5</v>
      </c>
      <c r="H788" s="130">
        <v>659</v>
      </c>
      <c r="I788" s="2"/>
    </row>
    <row r="789" spans="1:9" ht="19.8" customHeight="1" x14ac:dyDescent="0.3">
      <c r="A789" s="133">
        <v>46048</v>
      </c>
      <c r="B789" s="75" t="s">
        <v>44</v>
      </c>
      <c r="C789" s="76" t="s">
        <v>45</v>
      </c>
      <c r="D789" s="75" t="s">
        <v>1</v>
      </c>
      <c r="E789" s="134">
        <v>1.2013888888888891</v>
      </c>
      <c r="F789" s="75" t="s">
        <v>49</v>
      </c>
      <c r="G789" s="77">
        <v>1</v>
      </c>
      <c r="H789" s="130">
        <v>659</v>
      </c>
      <c r="I789" s="2"/>
    </row>
    <row r="790" spans="1:9" ht="19.8" customHeight="1" x14ac:dyDescent="0.3">
      <c r="A790" s="133">
        <v>46048</v>
      </c>
      <c r="B790" s="75" t="s">
        <v>44</v>
      </c>
      <c r="C790" s="76" t="s">
        <v>53</v>
      </c>
      <c r="D790" s="75" t="s">
        <v>1</v>
      </c>
      <c r="E790" s="134">
        <v>1.836805555555556</v>
      </c>
      <c r="F790" s="75" t="s">
        <v>51</v>
      </c>
      <c r="G790" s="77">
        <v>5</v>
      </c>
      <c r="H790" s="130">
        <v>749</v>
      </c>
      <c r="I790" s="2"/>
    </row>
    <row r="791" spans="1:9" ht="19.8" customHeight="1" x14ac:dyDescent="0.3">
      <c r="A791" s="133">
        <v>46048</v>
      </c>
      <c r="B791" s="75" t="s">
        <v>44</v>
      </c>
      <c r="C791" s="76" t="s">
        <v>45</v>
      </c>
      <c r="D791" s="75" t="s">
        <v>1</v>
      </c>
      <c r="E791" s="134">
        <v>1.2013888888888891</v>
      </c>
      <c r="F791" s="75" t="s">
        <v>51</v>
      </c>
      <c r="G791" s="77">
        <v>1</v>
      </c>
      <c r="H791" s="130">
        <v>749</v>
      </c>
      <c r="I791" s="2"/>
    </row>
    <row r="792" spans="1:9" ht="19.8" customHeight="1" x14ac:dyDescent="0.3">
      <c r="A792" s="133">
        <v>46048</v>
      </c>
      <c r="B792" s="75" t="s">
        <v>35</v>
      </c>
      <c r="C792" s="76" t="s">
        <v>36</v>
      </c>
      <c r="D792" s="75" t="s">
        <v>1</v>
      </c>
      <c r="E792" s="134">
        <v>1.305555555555556</v>
      </c>
      <c r="F792" s="75" t="s">
        <v>42</v>
      </c>
      <c r="G792" s="77">
        <v>20</v>
      </c>
      <c r="H792" s="130">
        <v>899</v>
      </c>
      <c r="I792" s="2"/>
    </row>
    <row r="793" spans="1:9" ht="19.8" customHeight="1" x14ac:dyDescent="0.3">
      <c r="A793" s="135">
        <v>46048</v>
      </c>
      <c r="B793" s="79" t="s">
        <v>69</v>
      </c>
      <c r="C793" s="80" t="s">
        <v>70</v>
      </c>
      <c r="D793" s="79" t="s">
        <v>1</v>
      </c>
      <c r="E793" s="136">
        <v>1.305555555555556</v>
      </c>
      <c r="F793" s="79" t="s">
        <v>71</v>
      </c>
      <c r="G793" s="81">
        <v>4</v>
      </c>
      <c r="H793" s="87" t="s">
        <v>175</v>
      </c>
      <c r="I793" s="2"/>
    </row>
    <row r="794" spans="1:9" ht="19.8" customHeight="1" x14ac:dyDescent="0.3">
      <c r="A794" s="133">
        <v>46049</v>
      </c>
      <c r="B794" s="75" t="s">
        <v>31</v>
      </c>
      <c r="C794" s="76" t="s">
        <v>58</v>
      </c>
      <c r="D794" s="75" t="s">
        <v>1</v>
      </c>
      <c r="E794" s="134">
        <v>1.1701388888888891</v>
      </c>
      <c r="F794" s="75" t="s">
        <v>94</v>
      </c>
      <c r="G794" s="77">
        <v>9</v>
      </c>
      <c r="H794" s="130">
        <v>487</v>
      </c>
      <c r="I794" s="2"/>
    </row>
    <row r="795" spans="1:9" ht="19.8" customHeight="1" x14ac:dyDescent="0.3">
      <c r="A795" s="133">
        <v>46049</v>
      </c>
      <c r="B795" s="75" t="s">
        <v>79</v>
      </c>
      <c r="C795" s="76" t="s">
        <v>119</v>
      </c>
      <c r="D795" s="75" t="s">
        <v>1</v>
      </c>
      <c r="E795" s="134">
        <v>1.2152777777777779</v>
      </c>
      <c r="F795" s="75" t="s">
        <v>156</v>
      </c>
      <c r="G795" s="77">
        <v>4</v>
      </c>
      <c r="H795" s="130">
        <v>500</v>
      </c>
      <c r="I795" s="2"/>
    </row>
    <row r="796" spans="1:9" ht="19.8" customHeight="1" x14ac:dyDescent="0.3">
      <c r="A796" s="137">
        <v>46049</v>
      </c>
      <c r="B796" s="83" t="s">
        <v>63</v>
      </c>
      <c r="C796" s="84" t="s">
        <v>64</v>
      </c>
      <c r="D796" s="83" t="s">
        <v>1</v>
      </c>
      <c r="E796" s="138">
        <v>1.270833333333333</v>
      </c>
      <c r="F796" s="83" t="s">
        <v>156</v>
      </c>
      <c r="G796" s="85">
        <v>1</v>
      </c>
      <c r="H796" s="132">
        <v>506</v>
      </c>
      <c r="I796" s="2"/>
    </row>
    <row r="797" spans="1:9" ht="19.8" customHeight="1" x14ac:dyDescent="0.3">
      <c r="A797" s="133">
        <v>46049</v>
      </c>
      <c r="B797" s="75" t="s">
        <v>35</v>
      </c>
      <c r="C797" s="76" t="s">
        <v>36</v>
      </c>
      <c r="D797" s="75" t="s">
        <v>1</v>
      </c>
      <c r="E797" s="134">
        <v>1.305555555555556</v>
      </c>
      <c r="F797" s="75" t="s">
        <v>37</v>
      </c>
      <c r="G797" s="77">
        <v>20</v>
      </c>
      <c r="H797" s="130">
        <v>509</v>
      </c>
      <c r="I797" s="2"/>
    </row>
    <row r="798" spans="1:9" ht="19.8" customHeight="1" x14ac:dyDescent="0.3">
      <c r="A798" s="133">
        <v>46049</v>
      </c>
      <c r="B798" s="75" t="s">
        <v>31</v>
      </c>
      <c r="C798" s="76" t="s">
        <v>32</v>
      </c>
      <c r="D798" s="75" t="s">
        <v>1</v>
      </c>
      <c r="E798" s="134">
        <v>1.864583333333333</v>
      </c>
      <c r="F798" s="75" t="s">
        <v>94</v>
      </c>
      <c r="G798" s="77">
        <v>9</v>
      </c>
      <c r="H798" s="130">
        <v>517</v>
      </c>
      <c r="I798" s="2"/>
    </row>
    <row r="799" spans="1:9" ht="19.8" customHeight="1" x14ac:dyDescent="0.3">
      <c r="A799" s="133">
        <v>46049</v>
      </c>
      <c r="B799" s="75" t="s">
        <v>31</v>
      </c>
      <c r="C799" s="76" t="s">
        <v>62</v>
      </c>
      <c r="D799" s="75" t="s">
        <v>1</v>
      </c>
      <c r="E799" s="134">
        <v>1.5277777777777779</v>
      </c>
      <c r="F799" s="75" t="s">
        <v>94</v>
      </c>
      <c r="G799" s="77">
        <v>9</v>
      </c>
      <c r="H799" s="130">
        <v>517</v>
      </c>
      <c r="I799" s="2"/>
    </row>
    <row r="800" spans="1:9" ht="19.8" customHeight="1" x14ac:dyDescent="0.3">
      <c r="A800" s="133">
        <v>46049</v>
      </c>
      <c r="B800" s="75" t="s">
        <v>44</v>
      </c>
      <c r="C800" s="76" t="s">
        <v>53</v>
      </c>
      <c r="D800" s="75" t="s">
        <v>1</v>
      </c>
      <c r="E800" s="134">
        <v>1.836805555555556</v>
      </c>
      <c r="F800" s="75" t="s">
        <v>46</v>
      </c>
      <c r="G800" s="77">
        <v>2</v>
      </c>
      <c r="H800" s="130">
        <v>559</v>
      </c>
      <c r="I800" s="2"/>
    </row>
    <row r="801" spans="1:9" ht="19.8" customHeight="1" x14ac:dyDescent="0.3">
      <c r="A801" s="133">
        <v>46049</v>
      </c>
      <c r="B801" s="75" t="s">
        <v>44</v>
      </c>
      <c r="C801" s="76" t="s">
        <v>45</v>
      </c>
      <c r="D801" s="75" t="s">
        <v>1</v>
      </c>
      <c r="E801" s="134">
        <v>1.2013888888888891</v>
      </c>
      <c r="F801" s="75" t="s">
        <v>46</v>
      </c>
      <c r="G801" s="77">
        <v>3</v>
      </c>
      <c r="H801" s="130">
        <v>559</v>
      </c>
      <c r="I801" s="2"/>
    </row>
    <row r="802" spans="1:9" ht="19.8" customHeight="1" x14ac:dyDescent="0.3">
      <c r="A802" s="133">
        <v>46049</v>
      </c>
      <c r="B802" s="75" t="s">
        <v>26</v>
      </c>
      <c r="C802" s="76" t="s">
        <v>57</v>
      </c>
      <c r="D802" s="75" t="s">
        <v>1</v>
      </c>
      <c r="E802" s="134">
        <v>1.958333333333333</v>
      </c>
      <c r="F802" s="75" t="s">
        <v>156</v>
      </c>
      <c r="G802" s="77">
        <v>4</v>
      </c>
      <c r="H802" s="130">
        <v>563</v>
      </c>
      <c r="I802" s="2"/>
    </row>
    <row r="803" spans="1:9" ht="19.8" customHeight="1" x14ac:dyDescent="0.3">
      <c r="A803" s="133">
        <v>46049</v>
      </c>
      <c r="B803" s="75" t="s">
        <v>35</v>
      </c>
      <c r="C803" s="76" t="s">
        <v>36</v>
      </c>
      <c r="D803" s="75" t="s">
        <v>1</v>
      </c>
      <c r="E803" s="134">
        <v>1.305555555555556</v>
      </c>
      <c r="F803" s="75" t="s">
        <v>40</v>
      </c>
      <c r="G803" s="77">
        <v>20</v>
      </c>
      <c r="H803" s="130">
        <v>659</v>
      </c>
      <c r="I803" s="2"/>
    </row>
    <row r="804" spans="1:9" ht="19.8" customHeight="1" x14ac:dyDescent="0.3">
      <c r="A804" s="133">
        <v>46049</v>
      </c>
      <c r="B804" s="75" t="s">
        <v>44</v>
      </c>
      <c r="C804" s="76" t="s">
        <v>53</v>
      </c>
      <c r="D804" s="75" t="s">
        <v>1</v>
      </c>
      <c r="E804" s="134">
        <v>1.836805555555556</v>
      </c>
      <c r="F804" s="75" t="s">
        <v>49</v>
      </c>
      <c r="G804" s="77">
        <v>2</v>
      </c>
      <c r="H804" s="130">
        <v>659</v>
      </c>
      <c r="I804" s="2"/>
    </row>
    <row r="805" spans="1:9" ht="19.8" customHeight="1" x14ac:dyDescent="0.3">
      <c r="A805" s="133">
        <v>46049</v>
      </c>
      <c r="B805" s="75" t="s">
        <v>44</v>
      </c>
      <c r="C805" s="76" t="s">
        <v>45</v>
      </c>
      <c r="D805" s="75" t="s">
        <v>1</v>
      </c>
      <c r="E805" s="134">
        <v>1.2013888888888891</v>
      </c>
      <c r="F805" s="75" t="s">
        <v>49</v>
      </c>
      <c r="G805" s="77">
        <v>3</v>
      </c>
      <c r="H805" s="130">
        <v>659</v>
      </c>
      <c r="I805" s="2"/>
    </row>
    <row r="806" spans="1:9" ht="19.8" customHeight="1" x14ac:dyDescent="0.3">
      <c r="A806" s="133">
        <v>46049</v>
      </c>
      <c r="B806" s="75" t="s">
        <v>44</v>
      </c>
      <c r="C806" s="76" t="s">
        <v>53</v>
      </c>
      <c r="D806" s="75" t="s">
        <v>1</v>
      </c>
      <c r="E806" s="134">
        <v>1.836805555555556</v>
      </c>
      <c r="F806" s="75" t="s">
        <v>51</v>
      </c>
      <c r="G806" s="77">
        <v>2</v>
      </c>
      <c r="H806" s="130">
        <v>749</v>
      </c>
      <c r="I806" s="2"/>
    </row>
    <row r="807" spans="1:9" ht="19.8" customHeight="1" x14ac:dyDescent="0.3">
      <c r="A807" s="133">
        <v>46049</v>
      </c>
      <c r="B807" s="75" t="s">
        <v>44</v>
      </c>
      <c r="C807" s="76" t="s">
        <v>45</v>
      </c>
      <c r="D807" s="75" t="s">
        <v>1</v>
      </c>
      <c r="E807" s="134">
        <v>1.2013888888888891</v>
      </c>
      <c r="F807" s="75" t="s">
        <v>51</v>
      </c>
      <c r="G807" s="77">
        <v>3</v>
      </c>
      <c r="H807" s="130">
        <v>749</v>
      </c>
      <c r="I807" s="2"/>
    </row>
    <row r="808" spans="1:9" ht="19.8" customHeight="1" x14ac:dyDescent="0.3">
      <c r="A808" s="133">
        <v>46049</v>
      </c>
      <c r="B808" s="75" t="s">
        <v>35</v>
      </c>
      <c r="C808" s="76" t="s">
        <v>36</v>
      </c>
      <c r="D808" s="75" t="s">
        <v>1</v>
      </c>
      <c r="E808" s="134">
        <v>1.305555555555556</v>
      </c>
      <c r="F808" s="75" t="s">
        <v>42</v>
      </c>
      <c r="G808" s="77">
        <v>20</v>
      </c>
      <c r="H808" s="130">
        <v>899</v>
      </c>
      <c r="I808" s="2"/>
    </row>
    <row r="809" spans="1:9" ht="19.8" customHeight="1" x14ac:dyDescent="0.3">
      <c r="A809" s="135">
        <v>46049</v>
      </c>
      <c r="B809" s="79" t="s">
        <v>69</v>
      </c>
      <c r="C809" s="80" t="s">
        <v>70</v>
      </c>
      <c r="D809" s="79" t="s">
        <v>1</v>
      </c>
      <c r="E809" s="136">
        <v>1.305555555555556</v>
      </c>
      <c r="F809" s="79" t="s">
        <v>71</v>
      </c>
      <c r="G809" s="81">
        <v>4</v>
      </c>
      <c r="H809" s="87" t="s">
        <v>175</v>
      </c>
      <c r="I809" s="2"/>
    </row>
    <row r="810" spans="1:9" ht="19.8" customHeight="1" x14ac:dyDescent="0.3">
      <c r="A810" s="133">
        <v>46050</v>
      </c>
      <c r="B810" s="75" t="s">
        <v>31</v>
      </c>
      <c r="C810" s="76" t="s">
        <v>58</v>
      </c>
      <c r="D810" s="75" t="s">
        <v>1</v>
      </c>
      <c r="E810" s="134">
        <v>1.1701388888888891</v>
      </c>
      <c r="F810" s="75" t="s">
        <v>94</v>
      </c>
      <c r="G810" s="77">
        <v>9</v>
      </c>
      <c r="H810" s="130">
        <v>487</v>
      </c>
      <c r="I810" s="2"/>
    </row>
    <row r="811" spans="1:9" ht="19.8" customHeight="1" x14ac:dyDescent="0.3">
      <c r="A811" s="133">
        <v>46050</v>
      </c>
      <c r="B811" s="75" t="s">
        <v>79</v>
      </c>
      <c r="C811" s="76" t="s">
        <v>80</v>
      </c>
      <c r="D811" s="75" t="s">
        <v>1</v>
      </c>
      <c r="E811" s="134">
        <v>1.0902777777777779</v>
      </c>
      <c r="F811" s="75" t="s">
        <v>156</v>
      </c>
      <c r="G811" s="77">
        <v>3</v>
      </c>
      <c r="H811" s="130">
        <v>500</v>
      </c>
      <c r="I811" s="2"/>
    </row>
    <row r="812" spans="1:9" ht="19.8" customHeight="1" x14ac:dyDescent="0.3">
      <c r="A812" s="133">
        <v>46050</v>
      </c>
      <c r="B812" s="75" t="s">
        <v>74</v>
      </c>
      <c r="C812" s="76" t="s">
        <v>75</v>
      </c>
      <c r="D812" s="75" t="s">
        <v>1</v>
      </c>
      <c r="E812" s="134">
        <v>1.9722222222222221</v>
      </c>
      <c r="F812" s="75" t="s">
        <v>76</v>
      </c>
      <c r="G812" s="77">
        <v>9</v>
      </c>
      <c r="H812" s="130">
        <v>505</v>
      </c>
      <c r="I812" s="2"/>
    </row>
    <row r="813" spans="1:9" ht="19.8" customHeight="1" x14ac:dyDescent="0.3">
      <c r="A813" s="133">
        <v>46050</v>
      </c>
      <c r="B813" s="75" t="s">
        <v>35</v>
      </c>
      <c r="C813" s="76" t="s">
        <v>36</v>
      </c>
      <c r="D813" s="75" t="s">
        <v>1</v>
      </c>
      <c r="E813" s="134">
        <v>1.305555555555556</v>
      </c>
      <c r="F813" s="75" t="s">
        <v>37</v>
      </c>
      <c r="G813" s="77">
        <v>20</v>
      </c>
      <c r="H813" s="130">
        <v>509</v>
      </c>
      <c r="I813" s="2"/>
    </row>
    <row r="814" spans="1:9" ht="19.8" customHeight="1" x14ac:dyDescent="0.3">
      <c r="A814" s="133">
        <v>46050</v>
      </c>
      <c r="B814" s="75" t="s">
        <v>31</v>
      </c>
      <c r="C814" s="76" t="s">
        <v>32</v>
      </c>
      <c r="D814" s="75" t="s">
        <v>1</v>
      </c>
      <c r="E814" s="134">
        <v>1.864583333333333</v>
      </c>
      <c r="F814" s="75" t="s">
        <v>94</v>
      </c>
      <c r="G814" s="77">
        <v>9</v>
      </c>
      <c r="H814" s="130">
        <v>517</v>
      </c>
      <c r="I814" s="2"/>
    </row>
    <row r="815" spans="1:9" ht="19.8" customHeight="1" x14ac:dyDescent="0.3">
      <c r="A815" s="133">
        <v>46050</v>
      </c>
      <c r="B815" s="75" t="s">
        <v>31</v>
      </c>
      <c r="C815" s="76" t="s">
        <v>62</v>
      </c>
      <c r="D815" s="75" t="s">
        <v>1</v>
      </c>
      <c r="E815" s="134">
        <v>1.5277777777777779</v>
      </c>
      <c r="F815" s="75" t="s">
        <v>94</v>
      </c>
      <c r="G815" s="77">
        <v>9</v>
      </c>
      <c r="H815" s="130">
        <v>517</v>
      </c>
      <c r="I815" s="2"/>
    </row>
    <row r="816" spans="1:9" ht="19.8" customHeight="1" x14ac:dyDescent="0.3">
      <c r="A816" s="133">
        <v>46050</v>
      </c>
      <c r="B816" s="75" t="s">
        <v>44</v>
      </c>
      <c r="C816" s="76" t="s">
        <v>53</v>
      </c>
      <c r="D816" s="75" t="s">
        <v>1</v>
      </c>
      <c r="E816" s="134">
        <v>1.836805555555556</v>
      </c>
      <c r="F816" s="75" t="s">
        <v>46</v>
      </c>
      <c r="G816" s="77">
        <v>2</v>
      </c>
      <c r="H816" s="130">
        <v>559</v>
      </c>
      <c r="I816" s="2"/>
    </row>
    <row r="817" spans="1:9" ht="19.8" customHeight="1" x14ac:dyDescent="0.3">
      <c r="A817" s="133">
        <v>46050</v>
      </c>
      <c r="B817" s="75" t="s">
        <v>26</v>
      </c>
      <c r="C817" s="76" t="s">
        <v>27</v>
      </c>
      <c r="D817" s="75" t="s">
        <v>1</v>
      </c>
      <c r="E817" s="134">
        <v>1.895833333333333</v>
      </c>
      <c r="F817" s="75" t="s">
        <v>156</v>
      </c>
      <c r="G817" s="77">
        <v>3</v>
      </c>
      <c r="H817" s="130">
        <v>563</v>
      </c>
      <c r="I817" s="2"/>
    </row>
    <row r="818" spans="1:9" ht="19.8" customHeight="1" x14ac:dyDescent="0.3">
      <c r="A818" s="133">
        <v>46050</v>
      </c>
      <c r="B818" s="75" t="s">
        <v>44</v>
      </c>
      <c r="C818" s="76" t="s">
        <v>53</v>
      </c>
      <c r="D818" s="75" t="s">
        <v>1</v>
      </c>
      <c r="E818" s="134">
        <v>1.836805555555556</v>
      </c>
      <c r="F818" s="75" t="s">
        <v>49</v>
      </c>
      <c r="G818" s="77">
        <v>2</v>
      </c>
      <c r="H818" s="130">
        <v>659</v>
      </c>
      <c r="I818" s="2"/>
    </row>
    <row r="819" spans="1:9" ht="19.8" customHeight="1" x14ac:dyDescent="0.3">
      <c r="A819" s="133">
        <v>46050</v>
      </c>
      <c r="B819" s="75" t="s">
        <v>35</v>
      </c>
      <c r="C819" s="76" t="s">
        <v>36</v>
      </c>
      <c r="D819" s="75" t="s">
        <v>1</v>
      </c>
      <c r="E819" s="134">
        <v>1.305555555555556</v>
      </c>
      <c r="F819" s="75" t="s">
        <v>40</v>
      </c>
      <c r="G819" s="77">
        <v>20</v>
      </c>
      <c r="H819" s="130">
        <v>659</v>
      </c>
      <c r="I819" s="2"/>
    </row>
    <row r="820" spans="1:9" ht="19.8" customHeight="1" x14ac:dyDescent="0.3">
      <c r="A820" s="133">
        <v>46050</v>
      </c>
      <c r="B820" s="75" t="s">
        <v>74</v>
      </c>
      <c r="C820" s="76" t="s">
        <v>75</v>
      </c>
      <c r="D820" s="75" t="s">
        <v>1</v>
      </c>
      <c r="E820" s="134">
        <v>1.9722222222222221</v>
      </c>
      <c r="F820" s="75" t="s">
        <v>42</v>
      </c>
      <c r="G820" s="77">
        <v>9</v>
      </c>
      <c r="H820" s="130">
        <v>711</v>
      </c>
      <c r="I820" s="2"/>
    </row>
    <row r="821" spans="1:9" ht="19.8" customHeight="1" x14ac:dyDescent="0.3">
      <c r="A821" s="133">
        <v>46050</v>
      </c>
      <c r="B821" s="75" t="s">
        <v>44</v>
      </c>
      <c r="C821" s="76" t="s">
        <v>53</v>
      </c>
      <c r="D821" s="75" t="s">
        <v>1</v>
      </c>
      <c r="E821" s="134">
        <v>1.836805555555556</v>
      </c>
      <c r="F821" s="75" t="s">
        <v>51</v>
      </c>
      <c r="G821" s="77">
        <v>2</v>
      </c>
      <c r="H821" s="130">
        <v>749</v>
      </c>
      <c r="I821" s="2"/>
    </row>
    <row r="822" spans="1:9" ht="19.8" customHeight="1" x14ac:dyDescent="0.3">
      <c r="A822" s="133">
        <v>46050</v>
      </c>
      <c r="B822" s="75" t="s">
        <v>35</v>
      </c>
      <c r="C822" s="76" t="s">
        <v>36</v>
      </c>
      <c r="D822" s="75" t="s">
        <v>1</v>
      </c>
      <c r="E822" s="134">
        <v>1.305555555555556</v>
      </c>
      <c r="F822" s="75" t="s">
        <v>42</v>
      </c>
      <c r="G822" s="77">
        <v>20</v>
      </c>
      <c r="H822" s="130">
        <v>899</v>
      </c>
      <c r="I822" s="2"/>
    </row>
    <row r="823" spans="1:9" ht="19.8" customHeight="1" x14ac:dyDescent="0.3">
      <c r="A823" s="135">
        <v>46050</v>
      </c>
      <c r="B823" s="79" t="s">
        <v>69</v>
      </c>
      <c r="C823" s="80" t="s">
        <v>70</v>
      </c>
      <c r="D823" s="79" t="s">
        <v>1</v>
      </c>
      <c r="E823" s="136">
        <v>1.305555555555556</v>
      </c>
      <c r="F823" s="79" t="s">
        <v>71</v>
      </c>
      <c r="G823" s="81">
        <v>4</v>
      </c>
      <c r="H823" s="87" t="s">
        <v>175</v>
      </c>
      <c r="I823" s="2"/>
    </row>
    <row r="824" spans="1:9" ht="19.8" customHeight="1" x14ac:dyDescent="0.3">
      <c r="A824" s="133">
        <v>46051</v>
      </c>
      <c r="B824" s="75" t="s">
        <v>31</v>
      </c>
      <c r="C824" s="76" t="s">
        <v>58</v>
      </c>
      <c r="D824" s="75" t="s">
        <v>1</v>
      </c>
      <c r="E824" s="134">
        <v>1.1701388888888891</v>
      </c>
      <c r="F824" s="75" t="s">
        <v>94</v>
      </c>
      <c r="G824" s="77">
        <v>9</v>
      </c>
      <c r="H824" s="130">
        <v>487</v>
      </c>
      <c r="I824" s="2"/>
    </row>
    <row r="825" spans="1:9" ht="19.8" customHeight="1" x14ac:dyDescent="0.3">
      <c r="A825" s="133">
        <v>46051</v>
      </c>
      <c r="B825" s="75" t="s">
        <v>79</v>
      </c>
      <c r="C825" s="76" t="s">
        <v>80</v>
      </c>
      <c r="D825" s="75" t="s">
        <v>1</v>
      </c>
      <c r="E825" s="134">
        <v>1.9652777777777779</v>
      </c>
      <c r="F825" s="75" t="s">
        <v>156</v>
      </c>
      <c r="G825" s="77">
        <v>1</v>
      </c>
      <c r="H825" s="130">
        <v>500</v>
      </c>
      <c r="I825" s="2"/>
    </row>
    <row r="826" spans="1:9" ht="19.8" customHeight="1" x14ac:dyDescent="0.3">
      <c r="A826" s="133">
        <v>46051</v>
      </c>
      <c r="B826" s="75" t="s">
        <v>35</v>
      </c>
      <c r="C826" s="76" t="s">
        <v>36</v>
      </c>
      <c r="D826" s="75" t="s">
        <v>1</v>
      </c>
      <c r="E826" s="134">
        <v>1.305555555555556</v>
      </c>
      <c r="F826" s="75" t="s">
        <v>37</v>
      </c>
      <c r="G826" s="77">
        <v>19</v>
      </c>
      <c r="H826" s="130">
        <v>509</v>
      </c>
      <c r="I826" s="2"/>
    </row>
    <row r="827" spans="1:9" ht="19.8" customHeight="1" x14ac:dyDescent="0.3">
      <c r="A827" s="133">
        <v>46051</v>
      </c>
      <c r="B827" s="75" t="s">
        <v>31</v>
      </c>
      <c r="C827" s="76" t="s">
        <v>32</v>
      </c>
      <c r="D827" s="75" t="s">
        <v>1</v>
      </c>
      <c r="E827" s="134">
        <v>1.864583333333333</v>
      </c>
      <c r="F827" s="75" t="s">
        <v>94</v>
      </c>
      <c r="G827" s="77">
        <v>9</v>
      </c>
      <c r="H827" s="130">
        <v>517</v>
      </c>
      <c r="I827" s="2"/>
    </row>
    <row r="828" spans="1:9" ht="19.8" customHeight="1" x14ac:dyDescent="0.3">
      <c r="A828" s="133">
        <v>46051</v>
      </c>
      <c r="B828" s="75" t="s">
        <v>31</v>
      </c>
      <c r="C828" s="76" t="s">
        <v>62</v>
      </c>
      <c r="D828" s="75" t="s">
        <v>1</v>
      </c>
      <c r="E828" s="134">
        <v>1.5277777777777779</v>
      </c>
      <c r="F828" s="75" t="s">
        <v>94</v>
      </c>
      <c r="G828" s="77">
        <v>9</v>
      </c>
      <c r="H828" s="130">
        <v>517</v>
      </c>
      <c r="I828" s="2"/>
    </row>
    <row r="829" spans="1:9" ht="19.8" customHeight="1" x14ac:dyDescent="0.3">
      <c r="A829" s="133">
        <v>46051</v>
      </c>
      <c r="B829" s="75" t="s">
        <v>44</v>
      </c>
      <c r="C829" s="76" t="s">
        <v>45</v>
      </c>
      <c r="D829" s="75" t="s">
        <v>1</v>
      </c>
      <c r="E829" s="134">
        <v>1.2013888888888891</v>
      </c>
      <c r="F829" s="75" t="s">
        <v>46</v>
      </c>
      <c r="G829" s="77">
        <v>5</v>
      </c>
      <c r="H829" s="130">
        <v>559</v>
      </c>
      <c r="I829" s="2"/>
    </row>
    <row r="830" spans="1:9" ht="19.8" customHeight="1" x14ac:dyDescent="0.3">
      <c r="A830" s="133">
        <v>46051</v>
      </c>
      <c r="B830" s="75" t="s">
        <v>26</v>
      </c>
      <c r="C830" s="76" t="s">
        <v>93</v>
      </c>
      <c r="D830" s="75" t="s">
        <v>1</v>
      </c>
      <c r="E830" s="134">
        <v>1.5625</v>
      </c>
      <c r="F830" s="75" t="s">
        <v>156</v>
      </c>
      <c r="G830" s="77">
        <v>4</v>
      </c>
      <c r="H830" s="130">
        <v>563</v>
      </c>
      <c r="I830" s="2"/>
    </row>
    <row r="831" spans="1:9" ht="19.8" customHeight="1" x14ac:dyDescent="0.3">
      <c r="A831" s="133">
        <v>46051</v>
      </c>
      <c r="B831" s="75" t="s">
        <v>26</v>
      </c>
      <c r="C831" s="76" t="s">
        <v>57</v>
      </c>
      <c r="D831" s="75" t="s">
        <v>1</v>
      </c>
      <c r="E831" s="134">
        <v>1.958333333333333</v>
      </c>
      <c r="F831" s="75" t="s">
        <v>156</v>
      </c>
      <c r="G831" s="77">
        <v>9</v>
      </c>
      <c r="H831" s="130">
        <v>563</v>
      </c>
      <c r="I831" s="2"/>
    </row>
    <row r="832" spans="1:9" ht="19.8" customHeight="1" x14ac:dyDescent="0.3">
      <c r="A832" s="137">
        <v>46051</v>
      </c>
      <c r="B832" s="83" t="s">
        <v>63</v>
      </c>
      <c r="C832" s="84" t="s">
        <v>64</v>
      </c>
      <c r="D832" s="83" t="s">
        <v>1</v>
      </c>
      <c r="E832" s="138">
        <v>1.9236111111111109</v>
      </c>
      <c r="F832" s="83" t="s">
        <v>156</v>
      </c>
      <c r="G832" s="85">
        <v>5</v>
      </c>
      <c r="H832" s="132">
        <v>566</v>
      </c>
      <c r="I832" s="2"/>
    </row>
    <row r="833" spans="1:9" ht="19.8" customHeight="1" x14ac:dyDescent="0.3">
      <c r="A833" s="133">
        <v>46051</v>
      </c>
      <c r="B833" s="75" t="s">
        <v>44</v>
      </c>
      <c r="C833" s="76" t="s">
        <v>53</v>
      </c>
      <c r="D833" s="75" t="s">
        <v>1</v>
      </c>
      <c r="E833" s="134">
        <v>1.836805555555556</v>
      </c>
      <c r="F833" s="75" t="s">
        <v>46</v>
      </c>
      <c r="G833" s="77">
        <v>5</v>
      </c>
      <c r="H833" s="130">
        <v>609</v>
      </c>
      <c r="I833" s="2"/>
    </row>
    <row r="834" spans="1:9" ht="19.8" customHeight="1" x14ac:dyDescent="0.3">
      <c r="A834" s="133">
        <v>46051</v>
      </c>
      <c r="B834" s="75" t="s">
        <v>35</v>
      </c>
      <c r="C834" s="76" t="s">
        <v>36</v>
      </c>
      <c r="D834" s="75" t="s">
        <v>1</v>
      </c>
      <c r="E834" s="134">
        <v>1.305555555555556</v>
      </c>
      <c r="F834" s="75" t="s">
        <v>40</v>
      </c>
      <c r="G834" s="77">
        <v>19</v>
      </c>
      <c r="H834" s="130">
        <v>659</v>
      </c>
      <c r="I834" s="2"/>
    </row>
    <row r="835" spans="1:9" ht="19.8" customHeight="1" x14ac:dyDescent="0.3">
      <c r="A835" s="133">
        <v>46051</v>
      </c>
      <c r="B835" s="75" t="s">
        <v>44</v>
      </c>
      <c r="C835" s="76" t="s">
        <v>45</v>
      </c>
      <c r="D835" s="75" t="s">
        <v>1</v>
      </c>
      <c r="E835" s="134">
        <v>1.2013888888888891</v>
      </c>
      <c r="F835" s="75" t="s">
        <v>49</v>
      </c>
      <c r="G835" s="77">
        <v>5</v>
      </c>
      <c r="H835" s="130">
        <v>659</v>
      </c>
      <c r="I835" s="2"/>
    </row>
    <row r="836" spans="1:9" ht="19.8" customHeight="1" x14ac:dyDescent="0.3">
      <c r="A836" s="133">
        <v>46051</v>
      </c>
      <c r="B836" s="75" t="s">
        <v>44</v>
      </c>
      <c r="C836" s="76" t="s">
        <v>53</v>
      </c>
      <c r="D836" s="75" t="s">
        <v>1</v>
      </c>
      <c r="E836" s="134">
        <v>1.836805555555556</v>
      </c>
      <c r="F836" s="75" t="s">
        <v>49</v>
      </c>
      <c r="G836" s="77">
        <v>5</v>
      </c>
      <c r="H836" s="130">
        <v>709</v>
      </c>
      <c r="I836" s="2"/>
    </row>
    <row r="837" spans="1:9" ht="19.8" customHeight="1" x14ac:dyDescent="0.3">
      <c r="A837" s="133">
        <v>46051</v>
      </c>
      <c r="B837" s="75" t="s">
        <v>44</v>
      </c>
      <c r="C837" s="76" t="s">
        <v>45</v>
      </c>
      <c r="D837" s="75" t="s">
        <v>1</v>
      </c>
      <c r="E837" s="134">
        <v>1.2013888888888891</v>
      </c>
      <c r="F837" s="75" t="s">
        <v>51</v>
      </c>
      <c r="G837" s="77">
        <v>5</v>
      </c>
      <c r="H837" s="130">
        <v>749</v>
      </c>
      <c r="I837" s="2"/>
    </row>
    <row r="838" spans="1:9" ht="19.8" customHeight="1" x14ac:dyDescent="0.3">
      <c r="A838" s="133">
        <v>46051</v>
      </c>
      <c r="B838" s="75" t="s">
        <v>44</v>
      </c>
      <c r="C838" s="76" t="s">
        <v>53</v>
      </c>
      <c r="D838" s="75" t="s">
        <v>1</v>
      </c>
      <c r="E838" s="134">
        <v>1.836805555555556</v>
      </c>
      <c r="F838" s="75" t="s">
        <v>51</v>
      </c>
      <c r="G838" s="77">
        <v>5</v>
      </c>
      <c r="H838" s="130">
        <v>799</v>
      </c>
      <c r="I838" s="2"/>
    </row>
    <row r="839" spans="1:9" ht="19.8" customHeight="1" x14ac:dyDescent="0.3">
      <c r="A839" s="133">
        <v>46051</v>
      </c>
      <c r="B839" s="75" t="s">
        <v>35</v>
      </c>
      <c r="C839" s="76" t="s">
        <v>36</v>
      </c>
      <c r="D839" s="75" t="s">
        <v>1</v>
      </c>
      <c r="E839" s="134">
        <v>1.305555555555556</v>
      </c>
      <c r="F839" s="75" t="s">
        <v>42</v>
      </c>
      <c r="G839" s="77">
        <v>19</v>
      </c>
      <c r="H839" s="130">
        <v>899</v>
      </c>
      <c r="I839" s="2"/>
    </row>
    <row r="840" spans="1:9" ht="19.8" customHeight="1" x14ac:dyDescent="0.3">
      <c r="A840" s="135">
        <v>46051</v>
      </c>
      <c r="B840" s="79" t="s">
        <v>69</v>
      </c>
      <c r="C840" s="80" t="s">
        <v>70</v>
      </c>
      <c r="D840" s="79" t="s">
        <v>1</v>
      </c>
      <c r="E840" s="136">
        <v>1.305555555555556</v>
      </c>
      <c r="F840" s="79" t="s">
        <v>71</v>
      </c>
      <c r="G840" s="81">
        <v>4</v>
      </c>
      <c r="H840" s="87" t="s">
        <v>175</v>
      </c>
      <c r="I840" s="2"/>
    </row>
    <row r="841" spans="1:9" ht="19.8" customHeight="1" x14ac:dyDescent="0.3">
      <c r="A841" s="133">
        <v>46052</v>
      </c>
      <c r="B841" s="75" t="s">
        <v>35</v>
      </c>
      <c r="C841" s="76" t="s">
        <v>36</v>
      </c>
      <c r="D841" s="75" t="s">
        <v>1</v>
      </c>
      <c r="E841" s="134">
        <v>1.305555555555556</v>
      </c>
      <c r="F841" s="75" t="s">
        <v>37</v>
      </c>
      <c r="G841" s="77">
        <v>10</v>
      </c>
      <c r="H841" s="130">
        <v>469</v>
      </c>
      <c r="I841" s="2"/>
    </row>
    <row r="842" spans="1:9" ht="19.8" customHeight="1" x14ac:dyDescent="0.3">
      <c r="A842" s="133">
        <v>46052</v>
      </c>
      <c r="B842" s="75" t="s">
        <v>31</v>
      </c>
      <c r="C842" s="76" t="s">
        <v>58</v>
      </c>
      <c r="D842" s="75" t="s">
        <v>1</v>
      </c>
      <c r="E842" s="134">
        <v>1.1701388888888891</v>
      </c>
      <c r="F842" s="75" t="s">
        <v>94</v>
      </c>
      <c r="G842" s="77">
        <v>9</v>
      </c>
      <c r="H842" s="130">
        <v>487</v>
      </c>
      <c r="I842" s="2"/>
    </row>
    <row r="843" spans="1:9" ht="19.8" customHeight="1" x14ac:dyDescent="0.3">
      <c r="A843" s="133">
        <v>46052</v>
      </c>
      <c r="B843" s="75" t="s">
        <v>79</v>
      </c>
      <c r="C843" s="76" t="s">
        <v>119</v>
      </c>
      <c r="D843" s="75" t="s">
        <v>1</v>
      </c>
      <c r="E843" s="134">
        <v>1.2152777777777779</v>
      </c>
      <c r="F843" s="75" t="s">
        <v>156</v>
      </c>
      <c r="G843" s="77">
        <v>4</v>
      </c>
      <c r="H843" s="130">
        <v>500</v>
      </c>
      <c r="I843" s="2"/>
    </row>
    <row r="844" spans="1:9" ht="19.8" customHeight="1" x14ac:dyDescent="0.3">
      <c r="A844" s="133">
        <v>46052</v>
      </c>
      <c r="B844" s="75" t="s">
        <v>31</v>
      </c>
      <c r="C844" s="76" t="s">
        <v>32</v>
      </c>
      <c r="D844" s="75" t="s">
        <v>1</v>
      </c>
      <c r="E844" s="134">
        <v>1.864583333333333</v>
      </c>
      <c r="F844" s="75" t="s">
        <v>94</v>
      </c>
      <c r="G844" s="77">
        <v>9</v>
      </c>
      <c r="H844" s="130">
        <v>517</v>
      </c>
      <c r="I844" s="2"/>
    </row>
    <row r="845" spans="1:9" ht="19.8" customHeight="1" x14ac:dyDescent="0.3">
      <c r="A845" s="133">
        <v>46052</v>
      </c>
      <c r="B845" s="75" t="s">
        <v>31</v>
      </c>
      <c r="C845" s="76" t="s">
        <v>62</v>
      </c>
      <c r="D845" s="75" t="s">
        <v>1</v>
      </c>
      <c r="E845" s="134">
        <v>1.5277777777777779</v>
      </c>
      <c r="F845" s="75" t="s">
        <v>94</v>
      </c>
      <c r="G845" s="77">
        <v>9</v>
      </c>
      <c r="H845" s="130">
        <v>521</v>
      </c>
      <c r="I845" s="2"/>
    </row>
    <row r="846" spans="1:9" ht="19.8" customHeight="1" x14ac:dyDescent="0.3">
      <c r="A846" s="133">
        <v>46052</v>
      </c>
      <c r="B846" s="75" t="s">
        <v>44</v>
      </c>
      <c r="C846" s="76" t="s">
        <v>53</v>
      </c>
      <c r="D846" s="75" t="s">
        <v>1</v>
      </c>
      <c r="E846" s="134">
        <v>1.836805555555556</v>
      </c>
      <c r="F846" s="75" t="s">
        <v>46</v>
      </c>
      <c r="G846" s="77">
        <v>2</v>
      </c>
      <c r="H846" s="130">
        <v>559</v>
      </c>
      <c r="I846" s="2"/>
    </row>
    <row r="847" spans="1:9" ht="19.8" customHeight="1" x14ac:dyDescent="0.3">
      <c r="A847" s="133">
        <v>46052</v>
      </c>
      <c r="B847" s="75" t="s">
        <v>26</v>
      </c>
      <c r="C847" s="76" t="s">
        <v>27</v>
      </c>
      <c r="D847" s="75" t="s">
        <v>1</v>
      </c>
      <c r="E847" s="134">
        <v>1.958333333333333</v>
      </c>
      <c r="F847" s="75" t="s">
        <v>156</v>
      </c>
      <c r="G847" s="77">
        <v>6</v>
      </c>
      <c r="H847" s="130">
        <v>563</v>
      </c>
      <c r="I847" s="2"/>
    </row>
    <row r="848" spans="1:9" ht="19.8" customHeight="1" x14ac:dyDescent="0.3">
      <c r="A848" s="137">
        <v>46052</v>
      </c>
      <c r="B848" s="83" t="s">
        <v>63</v>
      </c>
      <c r="C848" s="84" t="s">
        <v>64</v>
      </c>
      <c r="D848" s="83" t="s">
        <v>1</v>
      </c>
      <c r="E848" s="138">
        <v>1.5798611111111109</v>
      </c>
      <c r="F848" s="83" t="s">
        <v>156</v>
      </c>
      <c r="G848" s="85">
        <v>8</v>
      </c>
      <c r="H848" s="132">
        <v>566</v>
      </c>
      <c r="I848" s="2"/>
    </row>
    <row r="849" spans="1:9" ht="19.8" customHeight="1" x14ac:dyDescent="0.3">
      <c r="A849" s="133">
        <v>46052</v>
      </c>
      <c r="B849" s="75" t="s">
        <v>35</v>
      </c>
      <c r="C849" s="76" t="s">
        <v>36</v>
      </c>
      <c r="D849" s="75" t="s">
        <v>1</v>
      </c>
      <c r="E849" s="134">
        <v>1.305555555555556</v>
      </c>
      <c r="F849" s="75" t="s">
        <v>40</v>
      </c>
      <c r="G849" s="77">
        <v>10</v>
      </c>
      <c r="H849" s="130">
        <v>619</v>
      </c>
      <c r="I849" s="2"/>
    </row>
    <row r="850" spans="1:9" ht="19.8" customHeight="1" x14ac:dyDescent="0.3">
      <c r="A850" s="133">
        <v>46052</v>
      </c>
      <c r="B850" s="75" t="s">
        <v>44</v>
      </c>
      <c r="C850" s="76" t="s">
        <v>53</v>
      </c>
      <c r="D850" s="75" t="s">
        <v>1</v>
      </c>
      <c r="E850" s="134">
        <v>1.836805555555556</v>
      </c>
      <c r="F850" s="75" t="s">
        <v>49</v>
      </c>
      <c r="G850" s="77">
        <v>2</v>
      </c>
      <c r="H850" s="130">
        <v>659</v>
      </c>
      <c r="I850" s="2"/>
    </row>
    <row r="851" spans="1:9" ht="19.8" customHeight="1" x14ac:dyDescent="0.3">
      <c r="A851" s="133">
        <v>46052</v>
      </c>
      <c r="B851" s="75" t="s">
        <v>44</v>
      </c>
      <c r="C851" s="76" t="s">
        <v>53</v>
      </c>
      <c r="D851" s="75" t="s">
        <v>1</v>
      </c>
      <c r="E851" s="134">
        <v>1.836805555555556</v>
      </c>
      <c r="F851" s="75" t="s">
        <v>51</v>
      </c>
      <c r="G851" s="77">
        <v>2</v>
      </c>
      <c r="H851" s="130">
        <v>749</v>
      </c>
      <c r="I851" s="2"/>
    </row>
    <row r="852" spans="1:9" ht="19.8" customHeight="1" x14ac:dyDescent="0.3">
      <c r="A852" s="133">
        <v>46052</v>
      </c>
      <c r="B852" s="75" t="s">
        <v>35</v>
      </c>
      <c r="C852" s="76" t="s">
        <v>36</v>
      </c>
      <c r="D852" s="75" t="s">
        <v>1</v>
      </c>
      <c r="E852" s="134">
        <v>1.305555555555556</v>
      </c>
      <c r="F852" s="75" t="s">
        <v>42</v>
      </c>
      <c r="G852" s="77">
        <v>10</v>
      </c>
      <c r="H852" s="130">
        <v>899</v>
      </c>
      <c r="I852" s="2"/>
    </row>
    <row r="853" spans="1:9" ht="19.8" customHeight="1" x14ac:dyDescent="0.3">
      <c r="A853" s="135">
        <v>46052</v>
      </c>
      <c r="B853" s="79" t="s">
        <v>69</v>
      </c>
      <c r="C853" s="80" t="s">
        <v>70</v>
      </c>
      <c r="D853" s="79" t="s">
        <v>1</v>
      </c>
      <c r="E853" s="136">
        <v>1.305555555555556</v>
      </c>
      <c r="F853" s="79" t="s">
        <v>71</v>
      </c>
      <c r="G853" s="81">
        <v>4</v>
      </c>
      <c r="H853" s="87" t="s">
        <v>175</v>
      </c>
      <c r="I853" s="2"/>
    </row>
    <row r="854" spans="1:9" ht="19.8" customHeight="1" x14ac:dyDescent="0.3">
      <c r="A854" s="133">
        <v>46053</v>
      </c>
      <c r="B854" s="75" t="s">
        <v>35</v>
      </c>
      <c r="C854" s="76" t="s">
        <v>36</v>
      </c>
      <c r="D854" s="75" t="s">
        <v>1</v>
      </c>
      <c r="E854" s="134">
        <v>1.305555555555556</v>
      </c>
      <c r="F854" s="75" t="s">
        <v>37</v>
      </c>
      <c r="G854" s="77">
        <v>10</v>
      </c>
      <c r="H854" s="130">
        <v>469</v>
      </c>
      <c r="I854" s="2"/>
    </row>
    <row r="855" spans="1:9" ht="19.8" customHeight="1" x14ac:dyDescent="0.3">
      <c r="A855" s="133">
        <v>46053</v>
      </c>
      <c r="B855" s="75" t="s">
        <v>31</v>
      </c>
      <c r="C855" s="76" t="s">
        <v>58</v>
      </c>
      <c r="D855" s="75" t="s">
        <v>1</v>
      </c>
      <c r="E855" s="134">
        <v>1.1701388888888891</v>
      </c>
      <c r="F855" s="75" t="s">
        <v>94</v>
      </c>
      <c r="G855" s="77">
        <v>9</v>
      </c>
      <c r="H855" s="130">
        <v>487</v>
      </c>
      <c r="I855" s="2"/>
    </row>
    <row r="856" spans="1:9" ht="19.8" customHeight="1" x14ac:dyDescent="0.3">
      <c r="A856" s="133">
        <v>46053</v>
      </c>
      <c r="B856" s="75" t="s">
        <v>74</v>
      </c>
      <c r="C856" s="76" t="s">
        <v>75</v>
      </c>
      <c r="D856" s="75" t="s">
        <v>1</v>
      </c>
      <c r="E856" s="134">
        <v>1.9722222222222221</v>
      </c>
      <c r="F856" s="75" t="s">
        <v>76</v>
      </c>
      <c r="G856" s="77">
        <v>9</v>
      </c>
      <c r="H856" s="130">
        <v>511</v>
      </c>
      <c r="I856" s="2"/>
    </row>
    <row r="857" spans="1:9" ht="19.8" customHeight="1" x14ac:dyDescent="0.3">
      <c r="A857" s="133">
        <v>46053</v>
      </c>
      <c r="B857" s="75" t="s">
        <v>31</v>
      </c>
      <c r="C857" s="76" t="s">
        <v>32</v>
      </c>
      <c r="D857" s="75" t="s">
        <v>1</v>
      </c>
      <c r="E857" s="134">
        <v>1.864583333333333</v>
      </c>
      <c r="F857" s="75" t="s">
        <v>94</v>
      </c>
      <c r="G857" s="77">
        <v>9</v>
      </c>
      <c r="H857" s="130">
        <v>517</v>
      </c>
      <c r="I857" s="2"/>
    </row>
    <row r="858" spans="1:9" ht="19.8" customHeight="1" x14ac:dyDescent="0.3">
      <c r="A858" s="133">
        <v>46053</v>
      </c>
      <c r="B858" s="75" t="s">
        <v>31</v>
      </c>
      <c r="C858" s="76" t="s">
        <v>62</v>
      </c>
      <c r="D858" s="75" t="s">
        <v>1</v>
      </c>
      <c r="E858" s="134">
        <v>1.5277777777777779</v>
      </c>
      <c r="F858" s="75" t="s">
        <v>94</v>
      </c>
      <c r="G858" s="77">
        <v>9</v>
      </c>
      <c r="H858" s="130">
        <v>517</v>
      </c>
      <c r="I858" s="2"/>
    </row>
    <row r="859" spans="1:9" ht="19.8" customHeight="1" x14ac:dyDescent="0.3">
      <c r="A859" s="133">
        <v>46053</v>
      </c>
      <c r="B859" s="75" t="s">
        <v>44</v>
      </c>
      <c r="C859" s="76" t="s">
        <v>53</v>
      </c>
      <c r="D859" s="75" t="s">
        <v>1</v>
      </c>
      <c r="E859" s="134">
        <v>1.836805555555556</v>
      </c>
      <c r="F859" s="75" t="s">
        <v>46</v>
      </c>
      <c r="G859" s="77">
        <v>3</v>
      </c>
      <c r="H859" s="130">
        <v>559</v>
      </c>
      <c r="I859" s="2"/>
    </row>
    <row r="860" spans="1:9" ht="19.8" customHeight="1" x14ac:dyDescent="0.3">
      <c r="A860" s="133">
        <v>46053</v>
      </c>
      <c r="B860" s="75" t="s">
        <v>44</v>
      </c>
      <c r="C860" s="76" t="s">
        <v>45</v>
      </c>
      <c r="D860" s="75" t="s">
        <v>1</v>
      </c>
      <c r="E860" s="134">
        <v>1.2013888888888891</v>
      </c>
      <c r="F860" s="75" t="s">
        <v>46</v>
      </c>
      <c r="G860" s="77">
        <v>5</v>
      </c>
      <c r="H860" s="130">
        <v>559</v>
      </c>
      <c r="I860" s="2"/>
    </row>
    <row r="861" spans="1:9" ht="19.8" customHeight="1" x14ac:dyDescent="0.3">
      <c r="A861" s="133">
        <v>46053</v>
      </c>
      <c r="B861" s="75" t="s">
        <v>26</v>
      </c>
      <c r="C861" s="76" t="s">
        <v>57</v>
      </c>
      <c r="D861" s="75" t="s">
        <v>1</v>
      </c>
      <c r="E861" s="134">
        <v>1.895833333333333</v>
      </c>
      <c r="F861" s="75" t="s">
        <v>156</v>
      </c>
      <c r="G861" s="77">
        <v>2</v>
      </c>
      <c r="H861" s="130">
        <v>563</v>
      </c>
      <c r="I861" s="2"/>
    </row>
    <row r="862" spans="1:9" ht="19.8" customHeight="1" x14ac:dyDescent="0.3">
      <c r="A862" s="137">
        <v>46053</v>
      </c>
      <c r="B862" s="83" t="s">
        <v>63</v>
      </c>
      <c r="C862" s="84" t="s">
        <v>64</v>
      </c>
      <c r="D862" s="83" t="s">
        <v>1</v>
      </c>
      <c r="E862" s="138">
        <v>1.9236111111111109</v>
      </c>
      <c r="F862" s="83" t="s">
        <v>156</v>
      </c>
      <c r="G862" s="85">
        <v>2</v>
      </c>
      <c r="H862" s="132">
        <v>566</v>
      </c>
      <c r="I862" s="2"/>
    </row>
    <row r="863" spans="1:9" ht="19.8" customHeight="1" x14ac:dyDescent="0.3">
      <c r="A863" s="133">
        <v>46053</v>
      </c>
      <c r="B863" s="75" t="s">
        <v>79</v>
      </c>
      <c r="C863" s="76" t="s">
        <v>80</v>
      </c>
      <c r="D863" s="75" t="s">
        <v>1</v>
      </c>
      <c r="E863" s="134">
        <v>1.5486111111111109</v>
      </c>
      <c r="F863" s="75" t="s">
        <v>156</v>
      </c>
      <c r="G863" s="77">
        <v>9</v>
      </c>
      <c r="H863" s="130">
        <v>568</v>
      </c>
      <c r="I863" s="2"/>
    </row>
    <row r="864" spans="1:9" ht="19.8" customHeight="1" x14ac:dyDescent="0.3">
      <c r="A864" s="133">
        <v>46053</v>
      </c>
      <c r="B864" s="75" t="s">
        <v>35</v>
      </c>
      <c r="C864" s="76" t="s">
        <v>36</v>
      </c>
      <c r="D864" s="75" t="s">
        <v>1</v>
      </c>
      <c r="E864" s="134">
        <v>1.305555555555556</v>
      </c>
      <c r="F864" s="75" t="s">
        <v>40</v>
      </c>
      <c r="G864" s="77">
        <v>10</v>
      </c>
      <c r="H864" s="130">
        <v>619</v>
      </c>
      <c r="I864" s="2"/>
    </row>
    <row r="865" spans="1:9" ht="19.8" customHeight="1" x14ac:dyDescent="0.3">
      <c r="A865" s="133">
        <v>46053</v>
      </c>
      <c r="B865" s="75" t="s">
        <v>44</v>
      </c>
      <c r="C865" s="76" t="s">
        <v>53</v>
      </c>
      <c r="D865" s="75" t="s">
        <v>1</v>
      </c>
      <c r="E865" s="134">
        <v>1.836805555555556</v>
      </c>
      <c r="F865" s="75" t="s">
        <v>49</v>
      </c>
      <c r="G865" s="77">
        <v>3</v>
      </c>
      <c r="H865" s="130">
        <v>659</v>
      </c>
      <c r="I865" s="2"/>
    </row>
    <row r="866" spans="1:9" ht="19.8" customHeight="1" x14ac:dyDescent="0.3">
      <c r="A866" s="133">
        <v>46053</v>
      </c>
      <c r="B866" s="75" t="s">
        <v>44</v>
      </c>
      <c r="C866" s="76" t="s">
        <v>45</v>
      </c>
      <c r="D866" s="75" t="s">
        <v>1</v>
      </c>
      <c r="E866" s="134">
        <v>1.2013888888888891</v>
      </c>
      <c r="F866" s="75" t="s">
        <v>49</v>
      </c>
      <c r="G866" s="77">
        <v>5</v>
      </c>
      <c r="H866" s="130">
        <v>659</v>
      </c>
      <c r="I866" s="2"/>
    </row>
    <row r="867" spans="1:9" ht="19.8" customHeight="1" x14ac:dyDescent="0.3">
      <c r="A867" s="133">
        <v>46053</v>
      </c>
      <c r="B867" s="75" t="s">
        <v>74</v>
      </c>
      <c r="C867" s="76" t="s">
        <v>75</v>
      </c>
      <c r="D867" s="75" t="s">
        <v>1</v>
      </c>
      <c r="E867" s="134">
        <v>1.9722222222222221</v>
      </c>
      <c r="F867" s="75" t="s">
        <v>42</v>
      </c>
      <c r="G867" s="77">
        <v>9</v>
      </c>
      <c r="H867" s="130">
        <v>717</v>
      </c>
      <c r="I867" s="2"/>
    </row>
    <row r="868" spans="1:9" ht="19.8" customHeight="1" x14ac:dyDescent="0.3">
      <c r="A868" s="133">
        <v>46053</v>
      </c>
      <c r="B868" s="75" t="s">
        <v>44</v>
      </c>
      <c r="C868" s="76" t="s">
        <v>53</v>
      </c>
      <c r="D868" s="75" t="s">
        <v>1</v>
      </c>
      <c r="E868" s="134">
        <v>1.836805555555556</v>
      </c>
      <c r="F868" s="75" t="s">
        <v>51</v>
      </c>
      <c r="G868" s="77">
        <v>3</v>
      </c>
      <c r="H868" s="130">
        <v>749</v>
      </c>
      <c r="I868" s="2"/>
    </row>
    <row r="869" spans="1:9" ht="19.8" customHeight="1" x14ac:dyDescent="0.3">
      <c r="A869" s="133">
        <v>46053</v>
      </c>
      <c r="B869" s="75" t="s">
        <v>44</v>
      </c>
      <c r="C869" s="76" t="s">
        <v>45</v>
      </c>
      <c r="D869" s="75" t="s">
        <v>1</v>
      </c>
      <c r="E869" s="134">
        <v>1.2013888888888891</v>
      </c>
      <c r="F869" s="75" t="s">
        <v>51</v>
      </c>
      <c r="G869" s="77">
        <v>5</v>
      </c>
      <c r="H869" s="130">
        <v>749</v>
      </c>
      <c r="I869" s="2"/>
    </row>
    <row r="870" spans="1:9" ht="19.8" customHeight="1" x14ac:dyDescent="0.3">
      <c r="A870" s="133">
        <v>46053</v>
      </c>
      <c r="B870" s="75" t="s">
        <v>35</v>
      </c>
      <c r="C870" s="76" t="s">
        <v>36</v>
      </c>
      <c r="D870" s="75" t="s">
        <v>1</v>
      </c>
      <c r="E870" s="134">
        <v>1.305555555555556</v>
      </c>
      <c r="F870" s="75" t="s">
        <v>42</v>
      </c>
      <c r="G870" s="77">
        <v>10</v>
      </c>
      <c r="H870" s="130">
        <v>899</v>
      </c>
      <c r="I870" s="2"/>
    </row>
    <row r="871" spans="1:9" ht="19.8" customHeight="1" x14ac:dyDescent="0.3">
      <c r="A871" s="135">
        <v>46053</v>
      </c>
      <c r="B871" s="79" t="s">
        <v>69</v>
      </c>
      <c r="C871" s="80" t="s">
        <v>70</v>
      </c>
      <c r="D871" s="79" t="s">
        <v>1</v>
      </c>
      <c r="E871" s="136">
        <v>1.305555555555556</v>
      </c>
      <c r="F871" s="79" t="s">
        <v>71</v>
      </c>
      <c r="G871" s="81">
        <v>4</v>
      </c>
      <c r="H871" s="87" t="s">
        <v>175</v>
      </c>
      <c r="I871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68"/>
  <sheetViews>
    <sheetView workbookViewId="0"/>
  </sheetViews>
  <sheetFormatPr defaultRowHeight="14.4" x14ac:dyDescent="0.3"/>
  <cols>
    <col min="1" max="1" width="11.88671875" bestFit="1" customWidth="1"/>
    <col min="2" max="2" width="15.554687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29.21875" bestFit="1" customWidth="1"/>
    <col min="7" max="7" width="19.664062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2" t="s">
        <v>343</v>
      </c>
      <c r="B1" s="92" t="s">
        <v>8</v>
      </c>
      <c r="C1" s="92" t="s">
        <v>9</v>
      </c>
      <c r="D1" s="92" t="s">
        <v>344</v>
      </c>
      <c r="E1" s="92" t="s">
        <v>10</v>
      </c>
      <c r="F1" s="92" t="s">
        <v>11</v>
      </c>
      <c r="G1" s="92" t="s">
        <v>12</v>
      </c>
      <c r="H1" s="92" t="s">
        <v>13</v>
      </c>
      <c r="I1" s="92" t="s">
        <v>354</v>
      </c>
    </row>
    <row r="2" spans="1:9" ht="15.6" x14ac:dyDescent="0.3">
      <c r="A2" s="93" t="s">
        <v>348</v>
      </c>
      <c r="B2" s="93" t="s">
        <v>63</v>
      </c>
      <c r="C2" s="93" t="s">
        <v>64</v>
      </c>
      <c r="D2" s="93" t="s">
        <v>1</v>
      </c>
      <c r="E2" s="93" t="s">
        <v>274</v>
      </c>
      <c r="F2" s="93" t="s">
        <v>28</v>
      </c>
      <c r="G2" s="93" t="s">
        <v>29</v>
      </c>
      <c r="H2" s="93" t="s">
        <v>65</v>
      </c>
      <c r="I2" s="94" t="s">
        <v>355</v>
      </c>
    </row>
    <row r="3" spans="1:9" ht="15.6" x14ac:dyDescent="0.3">
      <c r="A3" s="95" t="s">
        <v>348</v>
      </c>
      <c r="B3" s="95" t="s">
        <v>44</v>
      </c>
      <c r="C3" s="95" t="s">
        <v>45</v>
      </c>
      <c r="D3" s="95" t="s">
        <v>1</v>
      </c>
      <c r="E3" s="95" t="s">
        <v>350</v>
      </c>
      <c r="F3" s="95" t="s">
        <v>46</v>
      </c>
      <c r="G3" s="95" t="s">
        <v>47</v>
      </c>
      <c r="H3" s="95" t="s">
        <v>48</v>
      </c>
      <c r="I3" s="96" t="s">
        <v>356</v>
      </c>
    </row>
    <row r="4" spans="1:9" ht="15.6" x14ac:dyDescent="0.3">
      <c r="A4" s="95" t="s">
        <v>348</v>
      </c>
      <c r="B4" s="95" t="s">
        <v>26</v>
      </c>
      <c r="C4" s="95" t="s">
        <v>57</v>
      </c>
      <c r="D4" s="95" t="s">
        <v>1</v>
      </c>
      <c r="E4" s="95" t="s">
        <v>346</v>
      </c>
      <c r="F4" s="95" t="s">
        <v>28</v>
      </c>
      <c r="G4" s="95" t="s">
        <v>29</v>
      </c>
      <c r="H4" s="95" t="s">
        <v>30</v>
      </c>
      <c r="I4" s="97" t="s">
        <v>357</v>
      </c>
    </row>
    <row r="5" spans="1:9" ht="15.6" x14ac:dyDescent="0.3">
      <c r="A5" s="95" t="s">
        <v>348</v>
      </c>
      <c r="B5" s="95" t="s">
        <v>44</v>
      </c>
      <c r="C5" s="95" t="s">
        <v>45</v>
      </c>
      <c r="D5" s="95" t="s">
        <v>1</v>
      </c>
      <c r="E5" s="95" t="s">
        <v>350</v>
      </c>
      <c r="F5" s="95" t="s">
        <v>49</v>
      </c>
      <c r="G5" s="95" t="s">
        <v>47</v>
      </c>
      <c r="H5" s="95" t="s">
        <v>50</v>
      </c>
      <c r="I5" s="96" t="s">
        <v>358</v>
      </c>
    </row>
    <row r="6" spans="1:9" ht="15.6" x14ac:dyDescent="0.3">
      <c r="A6" s="95" t="s">
        <v>348</v>
      </c>
      <c r="B6" s="95" t="s">
        <v>44</v>
      </c>
      <c r="C6" s="95" t="s">
        <v>53</v>
      </c>
      <c r="D6" s="95" t="s">
        <v>1</v>
      </c>
      <c r="E6" s="95" t="s">
        <v>351</v>
      </c>
      <c r="F6" s="95" t="s">
        <v>49</v>
      </c>
      <c r="G6" s="95" t="s">
        <v>47</v>
      </c>
      <c r="H6" s="95" t="s">
        <v>55</v>
      </c>
      <c r="I6" s="96" t="s">
        <v>359</v>
      </c>
    </row>
    <row r="7" spans="1:9" ht="15.6" x14ac:dyDescent="0.3">
      <c r="A7" s="95" t="s">
        <v>348</v>
      </c>
      <c r="B7" s="95" t="s">
        <v>44</v>
      </c>
      <c r="C7" s="95" t="s">
        <v>45</v>
      </c>
      <c r="D7" s="95" t="s">
        <v>1</v>
      </c>
      <c r="E7" s="95" t="s">
        <v>350</v>
      </c>
      <c r="F7" s="95" t="s">
        <v>51</v>
      </c>
      <c r="G7" s="95" t="s">
        <v>47</v>
      </c>
      <c r="H7" s="95" t="s">
        <v>52</v>
      </c>
      <c r="I7" s="97" t="s">
        <v>360</v>
      </c>
    </row>
    <row r="8" spans="1:9" ht="15.6" x14ac:dyDescent="0.3">
      <c r="A8" s="95" t="s">
        <v>348</v>
      </c>
      <c r="B8" s="95" t="s">
        <v>44</v>
      </c>
      <c r="C8" s="95" t="s">
        <v>53</v>
      </c>
      <c r="D8" s="95" t="s">
        <v>1</v>
      </c>
      <c r="E8" s="95" t="s">
        <v>351</v>
      </c>
      <c r="F8" s="95" t="s">
        <v>51</v>
      </c>
      <c r="G8" s="95" t="s">
        <v>47</v>
      </c>
      <c r="H8" s="95" t="s">
        <v>56</v>
      </c>
      <c r="I8" s="97" t="s">
        <v>361</v>
      </c>
    </row>
    <row r="9" spans="1:9" ht="15.6" x14ac:dyDescent="0.3">
      <c r="A9" s="95" t="s">
        <v>348</v>
      </c>
      <c r="B9" s="95" t="s">
        <v>31</v>
      </c>
      <c r="C9" s="95" t="s">
        <v>32</v>
      </c>
      <c r="D9" s="95" t="s">
        <v>1</v>
      </c>
      <c r="E9" s="95" t="s">
        <v>347</v>
      </c>
      <c r="F9" s="95" t="s">
        <v>33</v>
      </c>
      <c r="G9" s="95" t="s">
        <v>29</v>
      </c>
      <c r="H9" s="95" t="s">
        <v>34</v>
      </c>
      <c r="I9" s="96" t="s">
        <v>362</v>
      </c>
    </row>
    <row r="10" spans="1:9" ht="15.6" x14ac:dyDescent="0.3">
      <c r="A10" s="95" t="s">
        <v>348</v>
      </c>
      <c r="B10" s="95" t="s">
        <v>31</v>
      </c>
      <c r="C10" s="95" t="s">
        <v>62</v>
      </c>
      <c r="D10" s="95" t="s">
        <v>1</v>
      </c>
      <c r="E10" s="95" t="s">
        <v>363</v>
      </c>
      <c r="F10" s="95" t="s">
        <v>33</v>
      </c>
      <c r="G10" s="95" t="s">
        <v>29</v>
      </c>
      <c r="H10" s="95" t="s">
        <v>34</v>
      </c>
      <c r="I10" s="96" t="s">
        <v>362</v>
      </c>
    </row>
    <row r="11" spans="1:9" ht="15.6" x14ac:dyDescent="0.3">
      <c r="A11" s="95" t="s">
        <v>348</v>
      </c>
      <c r="B11" s="95" t="s">
        <v>69</v>
      </c>
      <c r="C11" s="95" t="s">
        <v>70</v>
      </c>
      <c r="D11" s="95" t="s">
        <v>1</v>
      </c>
      <c r="E11" s="95" t="s">
        <v>349</v>
      </c>
      <c r="F11" s="95" t="s">
        <v>71</v>
      </c>
      <c r="G11" s="95" t="s">
        <v>72</v>
      </c>
      <c r="H11" s="95" t="s">
        <v>73</v>
      </c>
      <c r="I11" s="97" t="s">
        <v>364</v>
      </c>
    </row>
    <row r="12" spans="1:9" ht="15.6" x14ac:dyDescent="0.3">
      <c r="A12" s="95" t="s">
        <v>348</v>
      </c>
      <c r="B12" s="95" t="s">
        <v>35</v>
      </c>
      <c r="C12" s="95" t="s">
        <v>36</v>
      </c>
      <c r="D12" s="95" t="s">
        <v>1</v>
      </c>
      <c r="E12" s="95" t="s">
        <v>349</v>
      </c>
      <c r="F12" s="95" t="s">
        <v>42</v>
      </c>
      <c r="G12" s="95" t="s">
        <v>38</v>
      </c>
      <c r="H12" s="95" t="s">
        <v>43</v>
      </c>
      <c r="I12" s="96" t="s">
        <v>356</v>
      </c>
    </row>
    <row r="13" spans="1:9" ht="15.6" x14ac:dyDescent="0.3">
      <c r="A13" s="95" t="s">
        <v>365</v>
      </c>
      <c r="B13" s="95" t="s">
        <v>79</v>
      </c>
      <c r="C13" s="95" t="s">
        <v>80</v>
      </c>
      <c r="D13" s="95" t="s">
        <v>1</v>
      </c>
      <c r="E13" s="95" t="s">
        <v>366</v>
      </c>
      <c r="F13" s="95" t="s">
        <v>28</v>
      </c>
      <c r="G13" s="95" t="s">
        <v>29</v>
      </c>
      <c r="H13" s="95" t="s">
        <v>81</v>
      </c>
      <c r="I13" s="97" t="s">
        <v>367</v>
      </c>
    </row>
    <row r="14" spans="1:9" ht="15.6" x14ac:dyDescent="0.3">
      <c r="A14" s="93" t="s">
        <v>368</v>
      </c>
      <c r="B14" s="93" t="s">
        <v>63</v>
      </c>
      <c r="C14" s="93" t="s">
        <v>64</v>
      </c>
      <c r="D14" s="93" t="s">
        <v>1</v>
      </c>
      <c r="E14" s="93" t="s">
        <v>284</v>
      </c>
      <c r="F14" s="93" t="s">
        <v>28</v>
      </c>
      <c r="G14" s="93" t="s">
        <v>29</v>
      </c>
      <c r="H14" s="93" t="s">
        <v>65</v>
      </c>
      <c r="I14" s="94" t="s">
        <v>355</v>
      </c>
    </row>
    <row r="15" spans="1:9" ht="15.6" x14ac:dyDescent="0.3">
      <c r="A15" s="95" t="s">
        <v>368</v>
      </c>
      <c r="B15" s="95" t="s">
        <v>44</v>
      </c>
      <c r="C15" s="95" t="s">
        <v>45</v>
      </c>
      <c r="D15" s="95" t="s">
        <v>1</v>
      </c>
      <c r="E15" s="95" t="s">
        <v>350</v>
      </c>
      <c r="F15" s="95" t="s">
        <v>46</v>
      </c>
      <c r="G15" s="95" t="s">
        <v>47</v>
      </c>
      <c r="H15" s="95" t="s">
        <v>48</v>
      </c>
      <c r="I15" s="96" t="s">
        <v>356</v>
      </c>
    </row>
    <row r="16" spans="1:9" ht="15.6" x14ac:dyDescent="0.3">
      <c r="A16" s="95" t="s">
        <v>368</v>
      </c>
      <c r="B16" s="95" t="s">
        <v>79</v>
      </c>
      <c r="C16" s="95" t="s">
        <v>80</v>
      </c>
      <c r="D16" s="95" t="s">
        <v>1</v>
      </c>
      <c r="E16" s="95" t="s">
        <v>369</v>
      </c>
      <c r="F16" s="95" t="s">
        <v>28</v>
      </c>
      <c r="G16" s="95" t="s">
        <v>29</v>
      </c>
      <c r="H16" s="95" t="s">
        <v>81</v>
      </c>
      <c r="I16" s="97" t="s">
        <v>367</v>
      </c>
    </row>
    <row r="17" spans="1:9" ht="15.6" x14ac:dyDescent="0.3">
      <c r="A17" s="95" t="s">
        <v>368</v>
      </c>
      <c r="B17" s="95" t="s">
        <v>26</v>
      </c>
      <c r="C17" s="95" t="s">
        <v>93</v>
      </c>
      <c r="D17" s="95" t="s">
        <v>1</v>
      </c>
      <c r="E17" s="95" t="s">
        <v>370</v>
      </c>
      <c r="F17" s="95" t="s">
        <v>28</v>
      </c>
      <c r="G17" s="95" t="s">
        <v>29</v>
      </c>
      <c r="H17" s="95" t="s">
        <v>30</v>
      </c>
      <c r="I17" s="97" t="s">
        <v>357</v>
      </c>
    </row>
    <row r="18" spans="1:9" ht="15.6" x14ac:dyDescent="0.3">
      <c r="A18" s="95" t="s">
        <v>368</v>
      </c>
      <c r="B18" s="95" t="s">
        <v>26</v>
      </c>
      <c r="C18" s="95" t="s">
        <v>57</v>
      </c>
      <c r="D18" s="95" t="s">
        <v>1</v>
      </c>
      <c r="E18" s="95" t="s">
        <v>346</v>
      </c>
      <c r="F18" s="95" t="s">
        <v>28</v>
      </c>
      <c r="G18" s="95" t="s">
        <v>29</v>
      </c>
      <c r="H18" s="95" t="s">
        <v>30</v>
      </c>
      <c r="I18" s="97" t="s">
        <v>357</v>
      </c>
    </row>
    <row r="19" spans="1:9" ht="15.6" x14ac:dyDescent="0.3">
      <c r="A19" s="95" t="s">
        <v>368</v>
      </c>
      <c r="B19" s="95" t="s">
        <v>44</v>
      </c>
      <c r="C19" s="95" t="s">
        <v>45</v>
      </c>
      <c r="D19" s="95" t="s">
        <v>1</v>
      </c>
      <c r="E19" s="95" t="s">
        <v>350</v>
      </c>
      <c r="F19" s="95" t="s">
        <v>49</v>
      </c>
      <c r="G19" s="95" t="s">
        <v>47</v>
      </c>
      <c r="H19" s="95" t="s">
        <v>50</v>
      </c>
      <c r="I19" s="96" t="s">
        <v>358</v>
      </c>
    </row>
    <row r="20" spans="1:9" ht="15.6" x14ac:dyDescent="0.3">
      <c r="A20" s="95" t="s">
        <v>368</v>
      </c>
      <c r="B20" s="95" t="s">
        <v>44</v>
      </c>
      <c r="C20" s="95" t="s">
        <v>45</v>
      </c>
      <c r="D20" s="95" t="s">
        <v>1</v>
      </c>
      <c r="E20" s="95" t="s">
        <v>350</v>
      </c>
      <c r="F20" s="95" t="s">
        <v>51</v>
      </c>
      <c r="G20" s="95" t="s">
        <v>47</v>
      </c>
      <c r="H20" s="95" t="s">
        <v>52</v>
      </c>
      <c r="I20" s="97" t="s">
        <v>360</v>
      </c>
    </row>
    <row r="21" spans="1:9" ht="15.6" x14ac:dyDescent="0.3">
      <c r="A21" s="95" t="s">
        <v>368</v>
      </c>
      <c r="B21" s="95" t="s">
        <v>44</v>
      </c>
      <c r="C21" s="95" t="s">
        <v>53</v>
      </c>
      <c r="D21" s="95" t="s">
        <v>1</v>
      </c>
      <c r="E21" s="95" t="s">
        <v>351</v>
      </c>
      <c r="F21" s="95" t="s">
        <v>51</v>
      </c>
      <c r="G21" s="95" t="s">
        <v>92</v>
      </c>
      <c r="H21" s="95" t="s">
        <v>90</v>
      </c>
      <c r="I21" s="97" t="s">
        <v>371</v>
      </c>
    </row>
    <row r="22" spans="1:9" ht="15.6" x14ac:dyDescent="0.3">
      <c r="A22" s="95" t="s">
        <v>368</v>
      </c>
      <c r="B22" s="95" t="s">
        <v>35</v>
      </c>
      <c r="C22" s="95" t="s">
        <v>36</v>
      </c>
      <c r="D22" s="95" t="s">
        <v>1</v>
      </c>
      <c r="E22" s="95" t="s">
        <v>349</v>
      </c>
      <c r="F22" s="95" t="s">
        <v>42</v>
      </c>
      <c r="G22" s="95" t="s">
        <v>82</v>
      </c>
      <c r="H22" s="95" t="s">
        <v>85</v>
      </c>
      <c r="I22" s="97" t="s">
        <v>372</v>
      </c>
    </row>
    <row r="23" spans="1:9" ht="15.6" x14ac:dyDescent="0.3">
      <c r="A23" s="95" t="s">
        <v>368</v>
      </c>
      <c r="B23" s="95" t="s">
        <v>69</v>
      </c>
      <c r="C23" s="95" t="s">
        <v>70</v>
      </c>
      <c r="D23" s="95" t="s">
        <v>1</v>
      </c>
      <c r="E23" s="95" t="s">
        <v>349</v>
      </c>
      <c r="F23" s="95" t="s">
        <v>71</v>
      </c>
      <c r="G23" s="95" t="s">
        <v>72</v>
      </c>
      <c r="H23" s="95" t="s">
        <v>73</v>
      </c>
      <c r="I23" s="97" t="s">
        <v>364</v>
      </c>
    </row>
    <row r="24" spans="1:9" ht="15.6" x14ac:dyDescent="0.3">
      <c r="A24" s="93" t="s">
        <v>373</v>
      </c>
      <c r="B24" s="93" t="s">
        <v>63</v>
      </c>
      <c r="C24" s="93" t="s">
        <v>64</v>
      </c>
      <c r="D24" s="93" t="s">
        <v>1</v>
      </c>
      <c r="E24" s="93" t="s">
        <v>291</v>
      </c>
      <c r="F24" s="93" t="s">
        <v>28</v>
      </c>
      <c r="G24" s="93" t="s">
        <v>29</v>
      </c>
      <c r="H24" s="93" t="s">
        <v>106</v>
      </c>
      <c r="I24" s="94" t="s">
        <v>355</v>
      </c>
    </row>
    <row r="25" spans="1:9" ht="15.6" x14ac:dyDescent="0.3">
      <c r="A25" s="95" t="s">
        <v>373</v>
      </c>
      <c r="B25" s="95" t="s">
        <v>44</v>
      </c>
      <c r="C25" s="95" t="s">
        <v>53</v>
      </c>
      <c r="D25" s="95" t="s">
        <v>1</v>
      </c>
      <c r="E25" s="95" t="s">
        <v>374</v>
      </c>
      <c r="F25" s="95" t="s">
        <v>46</v>
      </c>
      <c r="G25" s="95" t="s">
        <v>92</v>
      </c>
      <c r="H25" s="95" t="s">
        <v>30</v>
      </c>
      <c r="I25" s="96" t="s">
        <v>375</v>
      </c>
    </row>
    <row r="26" spans="1:9" ht="15.6" x14ac:dyDescent="0.3">
      <c r="A26" s="95" t="s">
        <v>373</v>
      </c>
      <c r="B26" s="95" t="s">
        <v>26</v>
      </c>
      <c r="C26" s="95" t="s">
        <v>27</v>
      </c>
      <c r="D26" s="95" t="s">
        <v>1</v>
      </c>
      <c r="E26" s="95" t="s">
        <v>346</v>
      </c>
      <c r="F26" s="95" t="s">
        <v>28</v>
      </c>
      <c r="G26" s="95" t="s">
        <v>29</v>
      </c>
      <c r="H26" s="95" t="s">
        <v>30</v>
      </c>
      <c r="I26" s="97" t="s">
        <v>376</v>
      </c>
    </row>
    <row r="27" spans="1:9" ht="15.6" x14ac:dyDescent="0.3">
      <c r="A27" s="95" t="s">
        <v>373</v>
      </c>
      <c r="B27" s="95" t="s">
        <v>44</v>
      </c>
      <c r="C27" s="95" t="s">
        <v>53</v>
      </c>
      <c r="D27" s="95" t="s">
        <v>1</v>
      </c>
      <c r="E27" s="95" t="s">
        <v>374</v>
      </c>
      <c r="F27" s="95" t="s">
        <v>49</v>
      </c>
      <c r="G27" s="95" t="s">
        <v>92</v>
      </c>
      <c r="H27" s="95" t="s">
        <v>88</v>
      </c>
      <c r="I27" s="96" t="s">
        <v>377</v>
      </c>
    </row>
    <row r="28" spans="1:9" ht="15.6" x14ac:dyDescent="0.3">
      <c r="A28" s="95" t="s">
        <v>373</v>
      </c>
      <c r="B28" s="95" t="s">
        <v>31</v>
      </c>
      <c r="C28" s="95" t="s">
        <v>32</v>
      </c>
      <c r="D28" s="95" t="s">
        <v>1</v>
      </c>
      <c r="E28" s="95" t="s">
        <v>347</v>
      </c>
      <c r="F28" s="95" t="s">
        <v>33</v>
      </c>
      <c r="G28" s="95" t="s">
        <v>29</v>
      </c>
      <c r="H28" s="95" t="s">
        <v>103</v>
      </c>
      <c r="I28" s="97" t="s">
        <v>378</v>
      </c>
    </row>
    <row r="29" spans="1:9" ht="15.6" x14ac:dyDescent="0.3">
      <c r="A29" s="95" t="s">
        <v>373</v>
      </c>
      <c r="B29" s="95" t="s">
        <v>44</v>
      </c>
      <c r="C29" s="95" t="s">
        <v>53</v>
      </c>
      <c r="D29" s="95" t="s">
        <v>1</v>
      </c>
      <c r="E29" s="95" t="s">
        <v>374</v>
      </c>
      <c r="F29" s="95" t="s">
        <v>51</v>
      </c>
      <c r="G29" s="95" t="s">
        <v>92</v>
      </c>
      <c r="H29" s="95" t="s">
        <v>102</v>
      </c>
      <c r="I29" s="97" t="s">
        <v>379</v>
      </c>
    </row>
    <row r="30" spans="1:9" ht="15.6" x14ac:dyDescent="0.3">
      <c r="A30" s="95" t="s">
        <v>373</v>
      </c>
      <c r="B30" s="95" t="s">
        <v>31</v>
      </c>
      <c r="C30" s="95" t="s">
        <v>58</v>
      </c>
      <c r="D30" s="95" t="s">
        <v>1</v>
      </c>
      <c r="E30" s="95" t="s">
        <v>352</v>
      </c>
      <c r="F30" s="95" t="s">
        <v>33</v>
      </c>
      <c r="G30" s="95" t="s">
        <v>29</v>
      </c>
      <c r="H30" s="95" t="s">
        <v>104</v>
      </c>
      <c r="I30" s="98" t="s">
        <v>380</v>
      </c>
    </row>
    <row r="31" spans="1:9" ht="15.6" x14ac:dyDescent="0.3">
      <c r="A31" s="95" t="s">
        <v>373</v>
      </c>
      <c r="B31" s="95" t="s">
        <v>35</v>
      </c>
      <c r="C31" s="95" t="s">
        <v>36</v>
      </c>
      <c r="D31" s="95" t="s">
        <v>1</v>
      </c>
      <c r="E31" s="95" t="s">
        <v>349</v>
      </c>
      <c r="F31" s="95" t="s">
        <v>42</v>
      </c>
      <c r="G31" s="95" t="s">
        <v>99</v>
      </c>
      <c r="H31" s="95" t="s">
        <v>85</v>
      </c>
      <c r="I31" s="97" t="s">
        <v>381</v>
      </c>
    </row>
    <row r="32" spans="1:9" ht="15.6" x14ac:dyDescent="0.3">
      <c r="A32" s="95" t="s">
        <v>373</v>
      </c>
      <c r="B32" s="95" t="s">
        <v>69</v>
      </c>
      <c r="C32" s="95" t="s">
        <v>70</v>
      </c>
      <c r="D32" s="95" t="s">
        <v>1</v>
      </c>
      <c r="E32" s="95" t="s">
        <v>349</v>
      </c>
      <c r="F32" s="95" t="s">
        <v>71</v>
      </c>
      <c r="G32" s="95" t="s">
        <v>72</v>
      </c>
      <c r="H32" s="95" t="s">
        <v>109</v>
      </c>
      <c r="I32" s="97" t="s">
        <v>364</v>
      </c>
    </row>
    <row r="33" spans="1:9" ht="15.6" x14ac:dyDescent="0.3">
      <c r="A33" s="93" t="s">
        <v>382</v>
      </c>
      <c r="B33" s="93" t="s">
        <v>63</v>
      </c>
      <c r="C33" s="93" t="s">
        <v>64</v>
      </c>
      <c r="D33" s="93" t="s">
        <v>1</v>
      </c>
      <c r="E33" s="93" t="s">
        <v>284</v>
      </c>
      <c r="F33" s="93" t="s">
        <v>28</v>
      </c>
      <c r="G33" s="93" t="s">
        <v>29</v>
      </c>
      <c r="H33" s="93" t="s">
        <v>65</v>
      </c>
      <c r="I33" s="94" t="s">
        <v>355</v>
      </c>
    </row>
    <row r="34" spans="1:9" ht="15.6" x14ac:dyDescent="0.3">
      <c r="A34" s="95" t="s">
        <v>382</v>
      </c>
      <c r="B34" s="95" t="s">
        <v>44</v>
      </c>
      <c r="C34" s="95" t="s">
        <v>45</v>
      </c>
      <c r="D34" s="95" t="s">
        <v>1</v>
      </c>
      <c r="E34" s="95" t="s">
        <v>383</v>
      </c>
      <c r="F34" s="95" t="s">
        <v>46</v>
      </c>
      <c r="G34" s="95" t="s">
        <v>47</v>
      </c>
      <c r="H34" s="95" t="s">
        <v>48</v>
      </c>
      <c r="I34" s="96" t="s">
        <v>384</v>
      </c>
    </row>
    <row r="35" spans="1:9" ht="15.6" x14ac:dyDescent="0.3">
      <c r="A35" s="95" t="s">
        <v>382</v>
      </c>
      <c r="B35" s="95" t="s">
        <v>74</v>
      </c>
      <c r="C35" s="95" t="s">
        <v>75</v>
      </c>
      <c r="D35" s="95" t="s">
        <v>1</v>
      </c>
      <c r="E35" s="95" t="s">
        <v>385</v>
      </c>
      <c r="F35" s="95" t="s">
        <v>76</v>
      </c>
      <c r="G35" s="95" t="s">
        <v>47</v>
      </c>
      <c r="H35" s="95" t="s">
        <v>113</v>
      </c>
      <c r="I35" s="98" t="s">
        <v>380</v>
      </c>
    </row>
    <row r="36" spans="1:9" ht="15.6" x14ac:dyDescent="0.3">
      <c r="A36" s="95" t="s">
        <v>382</v>
      </c>
      <c r="B36" s="95" t="s">
        <v>26</v>
      </c>
      <c r="C36" s="95" t="s">
        <v>57</v>
      </c>
      <c r="D36" s="95" t="s">
        <v>1</v>
      </c>
      <c r="E36" s="95" t="s">
        <v>386</v>
      </c>
      <c r="F36" s="95" t="s">
        <v>28</v>
      </c>
      <c r="G36" s="95" t="s">
        <v>29</v>
      </c>
      <c r="H36" s="95" t="s">
        <v>30</v>
      </c>
      <c r="I36" s="97" t="s">
        <v>357</v>
      </c>
    </row>
    <row r="37" spans="1:9" ht="15.6" x14ac:dyDescent="0.3">
      <c r="A37" s="95" t="s">
        <v>382</v>
      </c>
      <c r="B37" s="95" t="s">
        <v>44</v>
      </c>
      <c r="C37" s="95" t="s">
        <v>45</v>
      </c>
      <c r="D37" s="95" t="s">
        <v>1</v>
      </c>
      <c r="E37" s="95" t="s">
        <v>383</v>
      </c>
      <c r="F37" s="95" t="s">
        <v>49</v>
      </c>
      <c r="G37" s="95" t="s">
        <v>47</v>
      </c>
      <c r="H37" s="95" t="s">
        <v>50</v>
      </c>
      <c r="I37" s="98" t="s">
        <v>387</v>
      </c>
    </row>
    <row r="38" spans="1:9" ht="15.6" x14ac:dyDescent="0.3">
      <c r="A38" s="95" t="s">
        <v>382</v>
      </c>
      <c r="B38" s="95" t="s">
        <v>74</v>
      </c>
      <c r="C38" s="95" t="s">
        <v>75</v>
      </c>
      <c r="D38" s="95" t="s">
        <v>1</v>
      </c>
      <c r="E38" s="95" t="s">
        <v>385</v>
      </c>
      <c r="F38" s="95" t="s">
        <v>42</v>
      </c>
      <c r="G38" s="95" t="s">
        <v>47</v>
      </c>
      <c r="H38" s="95" t="s">
        <v>114</v>
      </c>
      <c r="I38" s="97" t="s">
        <v>388</v>
      </c>
    </row>
    <row r="39" spans="1:9" ht="15.6" x14ac:dyDescent="0.3">
      <c r="A39" s="95" t="s">
        <v>382</v>
      </c>
      <c r="B39" s="95" t="s">
        <v>44</v>
      </c>
      <c r="C39" s="95" t="s">
        <v>53</v>
      </c>
      <c r="D39" s="95" t="s">
        <v>1</v>
      </c>
      <c r="E39" s="95" t="s">
        <v>374</v>
      </c>
      <c r="F39" s="95" t="s">
        <v>49</v>
      </c>
      <c r="G39" s="95" t="s">
        <v>47</v>
      </c>
      <c r="H39" s="95" t="s">
        <v>88</v>
      </c>
      <c r="I39" s="96" t="s">
        <v>389</v>
      </c>
    </row>
    <row r="40" spans="1:9" ht="15.6" x14ac:dyDescent="0.3">
      <c r="A40" s="95" t="s">
        <v>382</v>
      </c>
      <c r="B40" s="95" t="s">
        <v>44</v>
      </c>
      <c r="C40" s="95" t="s">
        <v>45</v>
      </c>
      <c r="D40" s="95" t="s">
        <v>1</v>
      </c>
      <c r="E40" s="95" t="s">
        <v>383</v>
      </c>
      <c r="F40" s="95" t="s">
        <v>51</v>
      </c>
      <c r="G40" s="95" t="s">
        <v>47</v>
      </c>
      <c r="H40" s="95" t="s">
        <v>52</v>
      </c>
      <c r="I40" s="97" t="s">
        <v>388</v>
      </c>
    </row>
    <row r="41" spans="1:9" ht="15.6" x14ac:dyDescent="0.3">
      <c r="A41" s="95" t="s">
        <v>382</v>
      </c>
      <c r="B41" s="95" t="s">
        <v>31</v>
      </c>
      <c r="C41" s="95" t="s">
        <v>62</v>
      </c>
      <c r="D41" s="95" t="s">
        <v>1</v>
      </c>
      <c r="E41" s="95" t="s">
        <v>363</v>
      </c>
      <c r="F41" s="95" t="s">
        <v>33</v>
      </c>
      <c r="G41" s="95" t="s">
        <v>29</v>
      </c>
      <c r="H41" s="95" t="s">
        <v>103</v>
      </c>
      <c r="I41" s="97" t="s">
        <v>390</v>
      </c>
    </row>
    <row r="42" spans="1:9" ht="15.6" x14ac:dyDescent="0.3">
      <c r="A42" s="95" t="s">
        <v>382</v>
      </c>
      <c r="B42" s="95" t="s">
        <v>44</v>
      </c>
      <c r="C42" s="95" t="s">
        <v>53</v>
      </c>
      <c r="D42" s="95" t="s">
        <v>1</v>
      </c>
      <c r="E42" s="95" t="s">
        <v>374</v>
      </c>
      <c r="F42" s="95" t="s">
        <v>51</v>
      </c>
      <c r="G42" s="95" t="s">
        <v>47</v>
      </c>
      <c r="H42" s="95" t="s">
        <v>102</v>
      </c>
      <c r="I42" s="97" t="s">
        <v>391</v>
      </c>
    </row>
    <row r="43" spans="1:9" ht="15.6" x14ac:dyDescent="0.3">
      <c r="A43" s="95" t="s">
        <v>382</v>
      </c>
      <c r="B43" s="95" t="s">
        <v>35</v>
      </c>
      <c r="C43" s="95" t="s">
        <v>36</v>
      </c>
      <c r="D43" s="95" t="s">
        <v>1</v>
      </c>
      <c r="E43" s="95" t="s">
        <v>349</v>
      </c>
      <c r="F43" s="95" t="s">
        <v>42</v>
      </c>
      <c r="G43" s="95" t="s">
        <v>110</v>
      </c>
      <c r="H43" s="95" t="s">
        <v>85</v>
      </c>
      <c r="I43" s="97" t="s">
        <v>372</v>
      </c>
    </row>
    <row r="44" spans="1:9" ht="15.6" x14ac:dyDescent="0.3">
      <c r="A44" s="95" t="s">
        <v>382</v>
      </c>
      <c r="B44" s="95" t="s">
        <v>69</v>
      </c>
      <c r="C44" s="95" t="s">
        <v>70</v>
      </c>
      <c r="D44" s="95" t="s">
        <v>1</v>
      </c>
      <c r="E44" s="95" t="s">
        <v>349</v>
      </c>
      <c r="F44" s="95" t="s">
        <v>71</v>
      </c>
      <c r="G44" s="95" t="s">
        <v>72</v>
      </c>
      <c r="H44" s="95" t="s">
        <v>117</v>
      </c>
      <c r="I44" s="97" t="s">
        <v>392</v>
      </c>
    </row>
    <row r="45" spans="1:9" ht="15.6" x14ac:dyDescent="0.3">
      <c r="A45" s="95" t="s">
        <v>393</v>
      </c>
      <c r="B45" s="95" t="s">
        <v>44</v>
      </c>
      <c r="C45" s="95" t="s">
        <v>53</v>
      </c>
      <c r="D45" s="95" t="s">
        <v>1</v>
      </c>
      <c r="E45" s="95" t="s">
        <v>374</v>
      </c>
      <c r="F45" s="95" t="s">
        <v>46</v>
      </c>
      <c r="G45" s="95" t="s">
        <v>47</v>
      </c>
      <c r="H45" s="95" t="s">
        <v>48</v>
      </c>
      <c r="I45" s="96" t="s">
        <v>356</v>
      </c>
    </row>
    <row r="46" spans="1:9" ht="15.6" x14ac:dyDescent="0.3">
      <c r="A46" s="95" t="s">
        <v>393</v>
      </c>
      <c r="B46" s="95" t="s">
        <v>79</v>
      </c>
      <c r="C46" s="95" t="s">
        <v>119</v>
      </c>
      <c r="D46" s="95" t="s">
        <v>1</v>
      </c>
      <c r="E46" s="95" t="s">
        <v>394</v>
      </c>
      <c r="F46" s="95" t="s">
        <v>28</v>
      </c>
      <c r="G46" s="95" t="s">
        <v>29</v>
      </c>
      <c r="H46" s="95" t="s">
        <v>81</v>
      </c>
      <c r="I46" s="97" t="s">
        <v>367</v>
      </c>
    </row>
    <row r="47" spans="1:9" ht="15.6" x14ac:dyDescent="0.3">
      <c r="A47" s="95" t="s">
        <v>393</v>
      </c>
      <c r="B47" s="95" t="s">
        <v>44</v>
      </c>
      <c r="C47" s="95" t="s">
        <v>53</v>
      </c>
      <c r="D47" s="95" t="s">
        <v>1</v>
      </c>
      <c r="E47" s="95" t="s">
        <v>374</v>
      </c>
      <c r="F47" s="95" t="s">
        <v>49</v>
      </c>
      <c r="G47" s="95" t="s">
        <v>47</v>
      </c>
      <c r="H47" s="95" t="s">
        <v>50</v>
      </c>
      <c r="I47" s="96" t="s">
        <v>358</v>
      </c>
    </row>
    <row r="48" spans="1:9" ht="15.6" x14ac:dyDescent="0.3">
      <c r="A48" s="95" t="s">
        <v>393</v>
      </c>
      <c r="B48" s="95" t="s">
        <v>44</v>
      </c>
      <c r="C48" s="95" t="s">
        <v>53</v>
      </c>
      <c r="D48" s="95" t="s">
        <v>1</v>
      </c>
      <c r="E48" s="95" t="s">
        <v>374</v>
      </c>
      <c r="F48" s="95" t="s">
        <v>51</v>
      </c>
      <c r="G48" s="95" t="s">
        <v>47</v>
      </c>
      <c r="H48" s="95" t="s">
        <v>52</v>
      </c>
      <c r="I48" s="97" t="s">
        <v>360</v>
      </c>
    </row>
    <row r="49" spans="1:9" ht="15.6" x14ac:dyDescent="0.3">
      <c r="A49" s="95" t="s">
        <v>393</v>
      </c>
      <c r="B49" s="95" t="s">
        <v>69</v>
      </c>
      <c r="C49" s="95" t="s">
        <v>70</v>
      </c>
      <c r="D49" s="95" t="s">
        <v>1</v>
      </c>
      <c r="E49" s="95" t="s">
        <v>349</v>
      </c>
      <c r="F49" s="95" t="s">
        <v>71</v>
      </c>
      <c r="G49" s="95" t="s">
        <v>72</v>
      </c>
      <c r="H49" s="95" t="s">
        <v>117</v>
      </c>
      <c r="I49" s="97" t="s">
        <v>392</v>
      </c>
    </row>
    <row r="50" spans="1:9" ht="15.6" x14ac:dyDescent="0.3">
      <c r="A50" s="95" t="s">
        <v>393</v>
      </c>
      <c r="B50" s="95" t="s">
        <v>35</v>
      </c>
      <c r="C50" s="95" t="s">
        <v>36</v>
      </c>
      <c r="D50" s="95" t="s">
        <v>1</v>
      </c>
      <c r="E50" s="95" t="s">
        <v>349</v>
      </c>
      <c r="F50" s="95" t="s">
        <v>42</v>
      </c>
      <c r="G50" s="95" t="s">
        <v>118</v>
      </c>
      <c r="H50" s="95" t="s">
        <v>43</v>
      </c>
      <c r="I50" s="96" t="s">
        <v>356</v>
      </c>
    </row>
    <row r="51" spans="1:9" ht="15.6" x14ac:dyDescent="0.3">
      <c r="A51" s="93" t="s">
        <v>395</v>
      </c>
      <c r="B51" s="93" t="s">
        <v>63</v>
      </c>
      <c r="C51" s="93" t="s">
        <v>64</v>
      </c>
      <c r="D51" s="93" t="s">
        <v>1</v>
      </c>
      <c r="E51" s="93" t="s">
        <v>274</v>
      </c>
      <c r="F51" s="93" t="s">
        <v>28</v>
      </c>
      <c r="G51" s="93" t="s">
        <v>29</v>
      </c>
      <c r="H51" s="93" t="s">
        <v>65</v>
      </c>
      <c r="I51" s="94" t="s">
        <v>355</v>
      </c>
    </row>
    <row r="52" spans="1:9" ht="15.6" x14ac:dyDescent="0.3">
      <c r="A52" s="95" t="s">
        <v>395</v>
      </c>
      <c r="B52" s="95" t="s">
        <v>44</v>
      </c>
      <c r="C52" s="95" t="s">
        <v>53</v>
      </c>
      <c r="D52" s="95" t="s">
        <v>1</v>
      </c>
      <c r="E52" s="95" t="s">
        <v>374</v>
      </c>
      <c r="F52" s="95" t="s">
        <v>46</v>
      </c>
      <c r="G52" s="95" t="s">
        <v>47</v>
      </c>
      <c r="H52" s="95" t="s">
        <v>48</v>
      </c>
      <c r="I52" s="96" t="s">
        <v>356</v>
      </c>
    </row>
    <row r="53" spans="1:9" ht="15.6" x14ac:dyDescent="0.3">
      <c r="A53" s="95" t="s">
        <v>395</v>
      </c>
      <c r="B53" s="95" t="s">
        <v>44</v>
      </c>
      <c r="C53" s="95" t="s">
        <v>45</v>
      </c>
      <c r="D53" s="95" t="s">
        <v>1</v>
      </c>
      <c r="E53" s="95" t="s">
        <v>383</v>
      </c>
      <c r="F53" s="95" t="s">
        <v>46</v>
      </c>
      <c r="G53" s="95" t="s">
        <v>47</v>
      </c>
      <c r="H53" s="95" t="s">
        <v>48</v>
      </c>
      <c r="I53" s="96" t="s">
        <v>356</v>
      </c>
    </row>
    <row r="54" spans="1:9" ht="15.6" x14ac:dyDescent="0.3">
      <c r="A54" s="95" t="s">
        <v>395</v>
      </c>
      <c r="B54" s="95" t="s">
        <v>26</v>
      </c>
      <c r="C54" s="95" t="s">
        <v>57</v>
      </c>
      <c r="D54" s="95" t="s">
        <v>1</v>
      </c>
      <c r="E54" s="95" t="s">
        <v>346</v>
      </c>
      <c r="F54" s="95" t="s">
        <v>28</v>
      </c>
      <c r="G54" s="95" t="s">
        <v>121</v>
      </c>
      <c r="H54" s="95" t="s">
        <v>30</v>
      </c>
      <c r="I54" s="97" t="s">
        <v>357</v>
      </c>
    </row>
    <row r="55" spans="1:9" ht="15.6" x14ac:dyDescent="0.3">
      <c r="A55" s="95" t="s">
        <v>395</v>
      </c>
      <c r="B55" s="95" t="s">
        <v>44</v>
      </c>
      <c r="C55" s="95" t="s">
        <v>53</v>
      </c>
      <c r="D55" s="95" t="s">
        <v>1</v>
      </c>
      <c r="E55" s="95" t="s">
        <v>374</v>
      </c>
      <c r="F55" s="95" t="s">
        <v>49</v>
      </c>
      <c r="G55" s="95" t="s">
        <v>47</v>
      </c>
      <c r="H55" s="95" t="s">
        <v>50</v>
      </c>
      <c r="I55" s="96" t="s">
        <v>358</v>
      </c>
    </row>
    <row r="56" spans="1:9" ht="15.6" x14ac:dyDescent="0.3">
      <c r="A56" s="95" t="s">
        <v>395</v>
      </c>
      <c r="B56" s="95" t="s">
        <v>44</v>
      </c>
      <c r="C56" s="95" t="s">
        <v>45</v>
      </c>
      <c r="D56" s="95" t="s">
        <v>1</v>
      </c>
      <c r="E56" s="95" t="s">
        <v>383</v>
      </c>
      <c r="F56" s="95" t="s">
        <v>49</v>
      </c>
      <c r="G56" s="95" t="s">
        <v>47</v>
      </c>
      <c r="H56" s="95" t="s">
        <v>50</v>
      </c>
      <c r="I56" s="96" t="s">
        <v>358</v>
      </c>
    </row>
    <row r="57" spans="1:9" ht="15.6" x14ac:dyDescent="0.3">
      <c r="A57" s="95" t="s">
        <v>395</v>
      </c>
      <c r="B57" s="95" t="s">
        <v>44</v>
      </c>
      <c r="C57" s="95" t="s">
        <v>53</v>
      </c>
      <c r="D57" s="95" t="s">
        <v>1</v>
      </c>
      <c r="E57" s="95" t="s">
        <v>374</v>
      </c>
      <c r="F57" s="95" t="s">
        <v>51</v>
      </c>
      <c r="G57" s="95" t="s">
        <v>47</v>
      </c>
      <c r="H57" s="95" t="s">
        <v>52</v>
      </c>
      <c r="I57" s="97" t="s">
        <v>360</v>
      </c>
    </row>
    <row r="58" spans="1:9" ht="15.6" x14ac:dyDescent="0.3">
      <c r="A58" s="95" t="s">
        <v>395</v>
      </c>
      <c r="B58" s="95" t="s">
        <v>44</v>
      </c>
      <c r="C58" s="95" t="s">
        <v>45</v>
      </c>
      <c r="D58" s="95" t="s">
        <v>1</v>
      </c>
      <c r="E58" s="95" t="s">
        <v>383</v>
      </c>
      <c r="F58" s="95" t="s">
        <v>51</v>
      </c>
      <c r="G58" s="95" t="s">
        <v>47</v>
      </c>
      <c r="H58" s="95" t="s">
        <v>52</v>
      </c>
      <c r="I58" s="97" t="s">
        <v>360</v>
      </c>
    </row>
    <row r="59" spans="1:9" ht="15.6" x14ac:dyDescent="0.3">
      <c r="A59" s="95" t="s">
        <v>395</v>
      </c>
      <c r="B59" s="95" t="s">
        <v>35</v>
      </c>
      <c r="C59" s="95" t="s">
        <v>36</v>
      </c>
      <c r="D59" s="95" t="s">
        <v>1</v>
      </c>
      <c r="E59" s="95" t="s">
        <v>349</v>
      </c>
      <c r="F59" s="95" t="s">
        <v>42</v>
      </c>
      <c r="G59" s="95" t="s">
        <v>118</v>
      </c>
      <c r="H59" s="95" t="s">
        <v>85</v>
      </c>
      <c r="I59" s="97" t="s">
        <v>372</v>
      </c>
    </row>
    <row r="60" spans="1:9" ht="15.6" x14ac:dyDescent="0.3">
      <c r="A60" s="95" t="s">
        <v>395</v>
      </c>
      <c r="B60" s="95" t="s">
        <v>69</v>
      </c>
      <c r="C60" s="95" t="s">
        <v>70</v>
      </c>
      <c r="D60" s="95" t="s">
        <v>1</v>
      </c>
      <c r="E60" s="95" t="s">
        <v>349</v>
      </c>
      <c r="F60" s="95" t="s">
        <v>71</v>
      </c>
      <c r="G60" s="95" t="s">
        <v>72</v>
      </c>
      <c r="H60" s="95" t="s">
        <v>117</v>
      </c>
      <c r="I60" s="97" t="s">
        <v>392</v>
      </c>
    </row>
    <row r="61" spans="1:9" ht="15.6" x14ac:dyDescent="0.3">
      <c r="A61" s="95" t="s">
        <v>396</v>
      </c>
      <c r="B61" s="95" t="s">
        <v>79</v>
      </c>
      <c r="C61" s="95" t="s">
        <v>80</v>
      </c>
      <c r="D61" s="95" t="s">
        <v>1</v>
      </c>
      <c r="E61" s="95" t="s">
        <v>366</v>
      </c>
      <c r="F61" s="95" t="s">
        <v>28</v>
      </c>
      <c r="G61" s="95" t="s">
        <v>29</v>
      </c>
      <c r="H61" s="95" t="s">
        <v>81</v>
      </c>
      <c r="I61" s="97" t="s">
        <v>367</v>
      </c>
    </row>
    <row r="62" spans="1:9" ht="15.6" x14ac:dyDescent="0.3">
      <c r="A62" s="93" t="s">
        <v>397</v>
      </c>
      <c r="B62" s="93" t="s">
        <v>63</v>
      </c>
      <c r="C62" s="93" t="s">
        <v>64</v>
      </c>
      <c r="D62" s="93" t="s">
        <v>1</v>
      </c>
      <c r="E62" s="93" t="s">
        <v>284</v>
      </c>
      <c r="F62" s="93" t="s">
        <v>28</v>
      </c>
      <c r="G62" s="93" t="s">
        <v>29</v>
      </c>
      <c r="H62" s="93" t="s">
        <v>106</v>
      </c>
      <c r="I62" s="94" t="s">
        <v>355</v>
      </c>
    </row>
    <row r="63" spans="1:9" ht="15.6" x14ac:dyDescent="0.3">
      <c r="A63" s="95" t="s">
        <v>397</v>
      </c>
      <c r="B63" s="95" t="s">
        <v>79</v>
      </c>
      <c r="C63" s="95" t="s">
        <v>80</v>
      </c>
      <c r="D63" s="95" t="s">
        <v>1</v>
      </c>
      <c r="E63" s="95" t="s">
        <v>369</v>
      </c>
      <c r="F63" s="95" t="s">
        <v>28</v>
      </c>
      <c r="G63" s="95" t="s">
        <v>95</v>
      </c>
      <c r="H63" s="95" t="s">
        <v>81</v>
      </c>
      <c r="I63" s="97" t="s">
        <v>376</v>
      </c>
    </row>
    <row r="64" spans="1:9" ht="15.6" x14ac:dyDescent="0.3">
      <c r="A64" s="95" t="s">
        <v>397</v>
      </c>
      <c r="B64" s="95" t="s">
        <v>44</v>
      </c>
      <c r="C64" s="95" t="s">
        <v>45</v>
      </c>
      <c r="D64" s="95" t="s">
        <v>1</v>
      </c>
      <c r="E64" s="95" t="s">
        <v>383</v>
      </c>
      <c r="F64" s="95" t="s">
        <v>131</v>
      </c>
      <c r="G64" s="95" t="s">
        <v>121</v>
      </c>
      <c r="H64" s="95" t="s">
        <v>83</v>
      </c>
      <c r="I64" s="96" t="s">
        <v>398</v>
      </c>
    </row>
    <row r="65" spans="1:9" ht="15.6" x14ac:dyDescent="0.3">
      <c r="A65" s="95" t="s">
        <v>397</v>
      </c>
      <c r="B65" s="95" t="s">
        <v>26</v>
      </c>
      <c r="C65" s="95" t="s">
        <v>57</v>
      </c>
      <c r="D65" s="95" t="s">
        <v>1</v>
      </c>
      <c r="E65" s="95" t="s">
        <v>346</v>
      </c>
      <c r="F65" s="95" t="s">
        <v>28</v>
      </c>
      <c r="G65" s="95" t="s">
        <v>29</v>
      </c>
      <c r="H65" s="95" t="s">
        <v>133</v>
      </c>
      <c r="I65" s="97" t="s">
        <v>357</v>
      </c>
    </row>
    <row r="66" spans="1:9" ht="15.6" x14ac:dyDescent="0.3">
      <c r="A66" s="95" t="s">
        <v>397</v>
      </c>
      <c r="B66" s="95" t="s">
        <v>31</v>
      </c>
      <c r="C66" s="95" t="s">
        <v>32</v>
      </c>
      <c r="D66" s="95" t="s">
        <v>1</v>
      </c>
      <c r="E66" s="95" t="s">
        <v>347</v>
      </c>
      <c r="F66" s="95" t="s">
        <v>33</v>
      </c>
      <c r="G66" s="95" t="s">
        <v>29</v>
      </c>
      <c r="H66" s="95" t="s">
        <v>103</v>
      </c>
      <c r="I66" s="97" t="s">
        <v>378</v>
      </c>
    </row>
    <row r="67" spans="1:9" ht="15.6" x14ac:dyDescent="0.3">
      <c r="A67" s="95" t="s">
        <v>397</v>
      </c>
      <c r="B67" s="95" t="s">
        <v>31</v>
      </c>
      <c r="C67" s="95" t="s">
        <v>62</v>
      </c>
      <c r="D67" s="95" t="s">
        <v>1</v>
      </c>
      <c r="E67" s="95" t="s">
        <v>363</v>
      </c>
      <c r="F67" s="95" t="s">
        <v>33</v>
      </c>
      <c r="G67" s="95" t="s">
        <v>29</v>
      </c>
      <c r="H67" s="95" t="s">
        <v>103</v>
      </c>
      <c r="I67" s="97" t="s">
        <v>378</v>
      </c>
    </row>
    <row r="68" spans="1:9" ht="15.6" x14ac:dyDescent="0.3">
      <c r="A68" s="95" t="s">
        <v>397</v>
      </c>
      <c r="B68" s="95" t="s">
        <v>69</v>
      </c>
      <c r="C68" s="95" t="s">
        <v>70</v>
      </c>
      <c r="D68" s="95" t="s">
        <v>1</v>
      </c>
      <c r="E68" s="95" t="s">
        <v>349</v>
      </c>
      <c r="F68" s="95" t="s">
        <v>71</v>
      </c>
      <c r="G68" s="95" t="s">
        <v>72</v>
      </c>
      <c r="H68" s="95" t="s">
        <v>109</v>
      </c>
      <c r="I68" s="97" t="s">
        <v>364</v>
      </c>
    </row>
    <row r="69" spans="1:9" ht="15.6" x14ac:dyDescent="0.3">
      <c r="A69" s="93" t="s">
        <v>399</v>
      </c>
      <c r="B69" s="93" t="s">
        <v>63</v>
      </c>
      <c r="C69" s="93" t="s">
        <v>64</v>
      </c>
      <c r="D69" s="93" t="s">
        <v>1</v>
      </c>
      <c r="E69" s="93" t="s">
        <v>291</v>
      </c>
      <c r="F69" s="93" t="s">
        <v>28</v>
      </c>
      <c r="G69" s="93" t="s">
        <v>95</v>
      </c>
      <c r="H69" s="93" t="s">
        <v>65</v>
      </c>
      <c r="I69" s="94" t="s">
        <v>355</v>
      </c>
    </row>
    <row r="70" spans="1:9" ht="15.6" x14ac:dyDescent="0.3">
      <c r="A70" s="95" t="s">
        <v>399</v>
      </c>
      <c r="B70" s="95" t="s">
        <v>44</v>
      </c>
      <c r="C70" s="95" t="s">
        <v>53</v>
      </c>
      <c r="D70" s="95" t="s">
        <v>1</v>
      </c>
      <c r="E70" s="95" t="s">
        <v>374</v>
      </c>
      <c r="F70" s="95" t="s">
        <v>46</v>
      </c>
      <c r="G70" s="95" t="s">
        <v>135</v>
      </c>
      <c r="H70" s="95" t="s">
        <v>48</v>
      </c>
      <c r="I70" s="96" t="s">
        <v>356</v>
      </c>
    </row>
    <row r="71" spans="1:9" ht="15.6" x14ac:dyDescent="0.3">
      <c r="A71" s="95" t="s">
        <v>399</v>
      </c>
      <c r="B71" s="95" t="s">
        <v>26</v>
      </c>
      <c r="C71" s="95" t="s">
        <v>27</v>
      </c>
      <c r="D71" s="95" t="s">
        <v>1</v>
      </c>
      <c r="E71" s="95" t="s">
        <v>346</v>
      </c>
      <c r="F71" s="95" t="s">
        <v>28</v>
      </c>
      <c r="G71" s="95" t="s">
        <v>29</v>
      </c>
      <c r="H71" s="95" t="s">
        <v>133</v>
      </c>
      <c r="I71" s="97" t="s">
        <v>400</v>
      </c>
    </row>
    <row r="72" spans="1:9" ht="15.6" x14ac:dyDescent="0.3">
      <c r="A72" s="95" t="s">
        <v>399</v>
      </c>
      <c r="B72" s="95" t="s">
        <v>44</v>
      </c>
      <c r="C72" s="95" t="s">
        <v>53</v>
      </c>
      <c r="D72" s="95" t="s">
        <v>1</v>
      </c>
      <c r="E72" s="95" t="s">
        <v>374</v>
      </c>
      <c r="F72" s="95" t="s">
        <v>49</v>
      </c>
      <c r="G72" s="95" t="s">
        <v>135</v>
      </c>
      <c r="H72" s="95" t="s">
        <v>50</v>
      </c>
      <c r="I72" s="96" t="s">
        <v>358</v>
      </c>
    </row>
    <row r="73" spans="1:9" ht="15.6" x14ac:dyDescent="0.3">
      <c r="A73" s="95" t="s">
        <v>399</v>
      </c>
      <c r="B73" s="95" t="s">
        <v>44</v>
      </c>
      <c r="C73" s="95" t="s">
        <v>53</v>
      </c>
      <c r="D73" s="95" t="s">
        <v>1</v>
      </c>
      <c r="E73" s="95" t="s">
        <v>374</v>
      </c>
      <c r="F73" s="95" t="s">
        <v>51</v>
      </c>
      <c r="G73" s="95" t="s">
        <v>135</v>
      </c>
      <c r="H73" s="95" t="s">
        <v>52</v>
      </c>
      <c r="I73" s="97" t="s">
        <v>360</v>
      </c>
    </row>
    <row r="74" spans="1:9" ht="15.6" x14ac:dyDescent="0.3">
      <c r="A74" s="95" t="s">
        <v>399</v>
      </c>
      <c r="B74" s="95" t="s">
        <v>69</v>
      </c>
      <c r="C74" s="95" t="s">
        <v>70</v>
      </c>
      <c r="D74" s="95" t="s">
        <v>1</v>
      </c>
      <c r="E74" s="95" t="s">
        <v>349</v>
      </c>
      <c r="F74" s="95" t="s">
        <v>71</v>
      </c>
      <c r="G74" s="95" t="s">
        <v>72</v>
      </c>
      <c r="H74" s="95" t="s">
        <v>73</v>
      </c>
      <c r="I74" s="97" t="s">
        <v>364</v>
      </c>
    </row>
    <row r="75" spans="1:9" ht="15.6" x14ac:dyDescent="0.3">
      <c r="A75" s="95" t="s">
        <v>399</v>
      </c>
      <c r="B75" s="95" t="s">
        <v>35</v>
      </c>
      <c r="C75" s="95" t="s">
        <v>36</v>
      </c>
      <c r="D75" s="95" t="s">
        <v>1</v>
      </c>
      <c r="E75" s="95" t="s">
        <v>349</v>
      </c>
      <c r="F75" s="95" t="s">
        <v>42</v>
      </c>
      <c r="G75" s="95" t="s">
        <v>60</v>
      </c>
      <c r="H75" s="95" t="s">
        <v>43</v>
      </c>
      <c r="I75" s="96" t="s">
        <v>356</v>
      </c>
    </row>
    <row r="76" spans="1:9" ht="15.6" x14ac:dyDescent="0.3">
      <c r="A76" s="93" t="s">
        <v>401</v>
      </c>
      <c r="B76" s="93" t="s">
        <v>63</v>
      </c>
      <c r="C76" s="93" t="s">
        <v>64</v>
      </c>
      <c r="D76" s="93" t="s">
        <v>1</v>
      </c>
      <c r="E76" s="93" t="s">
        <v>284</v>
      </c>
      <c r="F76" s="93" t="s">
        <v>28</v>
      </c>
      <c r="G76" s="93" t="s">
        <v>29</v>
      </c>
      <c r="H76" s="93" t="s">
        <v>65</v>
      </c>
      <c r="I76" s="94" t="s">
        <v>355</v>
      </c>
    </row>
    <row r="77" spans="1:9" ht="15.6" x14ac:dyDescent="0.3">
      <c r="A77" s="95" t="s">
        <v>401</v>
      </c>
      <c r="B77" s="95" t="s">
        <v>44</v>
      </c>
      <c r="C77" s="95" t="s">
        <v>45</v>
      </c>
      <c r="D77" s="95" t="s">
        <v>1</v>
      </c>
      <c r="E77" s="95" t="s">
        <v>383</v>
      </c>
      <c r="F77" s="95" t="s">
        <v>46</v>
      </c>
      <c r="G77" s="95" t="s">
        <v>47</v>
      </c>
      <c r="H77" s="95" t="s">
        <v>48</v>
      </c>
      <c r="I77" s="96" t="s">
        <v>356</v>
      </c>
    </row>
    <row r="78" spans="1:9" ht="15.6" x14ac:dyDescent="0.3">
      <c r="A78" s="95" t="s">
        <v>401</v>
      </c>
      <c r="B78" s="95" t="s">
        <v>74</v>
      </c>
      <c r="C78" s="95" t="s">
        <v>75</v>
      </c>
      <c r="D78" s="95" t="s">
        <v>1</v>
      </c>
      <c r="E78" s="95" t="s">
        <v>385</v>
      </c>
      <c r="F78" s="95" t="s">
        <v>76</v>
      </c>
      <c r="G78" s="95" t="s">
        <v>47</v>
      </c>
      <c r="H78" s="95" t="s">
        <v>113</v>
      </c>
      <c r="I78" s="98" t="s">
        <v>380</v>
      </c>
    </row>
    <row r="79" spans="1:9" ht="15.6" x14ac:dyDescent="0.3">
      <c r="A79" s="95" t="s">
        <v>401</v>
      </c>
      <c r="B79" s="95" t="s">
        <v>26</v>
      </c>
      <c r="C79" s="95" t="s">
        <v>57</v>
      </c>
      <c r="D79" s="95" t="s">
        <v>1</v>
      </c>
      <c r="E79" s="95" t="s">
        <v>386</v>
      </c>
      <c r="F79" s="95" t="s">
        <v>28</v>
      </c>
      <c r="G79" s="95" t="s">
        <v>29</v>
      </c>
      <c r="H79" s="95" t="s">
        <v>30</v>
      </c>
      <c r="I79" s="97" t="s">
        <v>357</v>
      </c>
    </row>
    <row r="80" spans="1:9" ht="15.6" x14ac:dyDescent="0.3">
      <c r="A80" s="95" t="s">
        <v>401</v>
      </c>
      <c r="B80" s="95" t="s">
        <v>44</v>
      </c>
      <c r="C80" s="95" t="s">
        <v>45</v>
      </c>
      <c r="D80" s="95" t="s">
        <v>1</v>
      </c>
      <c r="E80" s="95" t="s">
        <v>383</v>
      </c>
      <c r="F80" s="95" t="s">
        <v>49</v>
      </c>
      <c r="G80" s="95" t="s">
        <v>47</v>
      </c>
      <c r="H80" s="95" t="s">
        <v>50</v>
      </c>
      <c r="I80" s="96" t="s">
        <v>358</v>
      </c>
    </row>
    <row r="81" spans="1:9" ht="15.6" x14ac:dyDescent="0.3">
      <c r="A81" s="95" t="s">
        <v>401</v>
      </c>
      <c r="B81" s="95" t="s">
        <v>74</v>
      </c>
      <c r="C81" s="95" t="s">
        <v>75</v>
      </c>
      <c r="D81" s="95" t="s">
        <v>1</v>
      </c>
      <c r="E81" s="95" t="s">
        <v>385</v>
      </c>
      <c r="F81" s="95" t="s">
        <v>42</v>
      </c>
      <c r="G81" s="95" t="s">
        <v>47</v>
      </c>
      <c r="H81" s="95" t="s">
        <v>114</v>
      </c>
      <c r="I81" s="97" t="s">
        <v>388</v>
      </c>
    </row>
    <row r="82" spans="1:9" ht="15.6" x14ac:dyDescent="0.3">
      <c r="A82" s="95" t="s">
        <v>401</v>
      </c>
      <c r="B82" s="95" t="s">
        <v>44</v>
      </c>
      <c r="C82" s="95" t="s">
        <v>53</v>
      </c>
      <c r="D82" s="95" t="s">
        <v>1</v>
      </c>
      <c r="E82" s="95" t="s">
        <v>374</v>
      </c>
      <c r="F82" s="95" t="s">
        <v>49</v>
      </c>
      <c r="G82" s="95" t="s">
        <v>47</v>
      </c>
      <c r="H82" s="95" t="s">
        <v>88</v>
      </c>
      <c r="I82" s="96" t="s">
        <v>389</v>
      </c>
    </row>
    <row r="83" spans="1:9" ht="15.6" x14ac:dyDescent="0.3">
      <c r="A83" s="95" t="s">
        <v>401</v>
      </c>
      <c r="B83" s="95" t="s">
        <v>44</v>
      </c>
      <c r="C83" s="95" t="s">
        <v>45</v>
      </c>
      <c r="D83" s="95" t="s">
        <v>1</v>
      </c>
      <c r="E83" s="95" t="s">
        <v>383</v>
      </c>
      <c r="F83" s="95" t="s">
        <v>51</v>
      </c>
      <c r="G83" s="95" t="s">
        <v>47</v>
      </c>
      <c r="H83" s="95" t="s">
        <v>52</v>
      </c>
      <c r="I83" s="97" t="s">
        <v>360</v>
      </c>
    </row>
    <row r="84" spans="1:9" ht="15.6" x14ac:dyDescent="0.3">
      <c r="A84" s="95" t="s">
        <v>401</v>
      </c>
      <c r="B84" s="95" t="s">
        <v>44</v>
      </c>
      <c r="C84" s="95" t="s">
        <v>53</v>
      </c>
      <c r="D84" s="95" t="s">
        <v>1</v>
      </c>
      <c r="E84" s="95" t="s">
        <v>374</v>
      </c>
      <c r="F84" s="95" t="s">
        <v>51</v>
      </c>
      <c r="G84" s="95" t="s">
        <v>47</v>
      </c>
      <c r="H84" s="95" t="s">
        <v>102</v>
      </c>
      <c r="I84" s="97" t="s">
        <v>391</v>
      </c>
    </row>
    <row r="85" spans="1:9" ht="15.6" x14ac:dyDescent="0.3">
      <c r="A85" s="95" t="s">
        <v>401</v>
      </c>
      <c r="B85" s="95" t="s">
        <v>35</v>
      </c>
      <c r="C85" s="95" t="s">
        <v>36</v>
      </c>
      <c r="D85" s="95" t="s">
        <v>1</v>
      </c>
      <c r="E85" s="95" t="s">
        <v>349</v>
      </c>
      <c r="F85" s="95" t="s">
        <v>42</v>
      </c>
      <c r="G85" s="95" t="s">
        <v>139</v>
      </c>
      <c r="H85" s="95" t="s">
        <v>85</v>
      </c>
      <c r="I85" s="97" t="s">
        <v>372</v>
      </c>
    </row>
    <row r="86" spans="1:9" ht="15.6" x14ac:dyDescent="0.3">
      <c r="A86" s="95" t="s">
        <v>401</v>
      </c>
      <c r="B86" s="95" t="s">
        <v>69</v>
      </c>
      <c r="C86" s="95" t="s">
        <v>70</v>
      </c>
      <c r="D86" s="95" t="s">
        <v>1</v>
      </c>
      <c r="E86" s="95" t="s">
        <v>349</v>
      </c>
      <c r="F86" s="95" t="s">
        <v>71</v>
      </c>
      <c r="G86" s="95" t="s">
        <v>72</v>
      </c>
      <c r="H86" s="95" t="s">
        <v>117</v>
      </c>
      <c r="I86" s="97" t="s">
        <v>392</v>
      </c>
    </row>
    <row r="87" spans="1:9" ht="15.6" x14ac:dyDescent="0.3">
      <c r="A87" s="95" t="s">
        <v>402</v>
      </c>
      <c r="B87" s="95" t="s">
        <v>44</v>
      </c>
      <c r="C87" s="95" t="s">
        <v>53</v>
      </c>
      <c r="D87" s="95" t="s">
        <v>1</v>
      </c>
      <c r="E87" s="95" t="s">
        <v>403</v>
      </c>
      <c r="F87" s="95" t="s">
        <v>46</v>
      </c>
      <c r="G87" s="95" t="s">
        <v>121</v>
      </c>
      <c r="H87" s="95" t="s">
        <v>48</v>
      </c>
      <c r="I87" s="96" t="s">
        <v>356</v>
      </c>
    </row>
    <row r="88" spans="1:9" ht="15.6" x14ac:dyDescent="0.3">
      <c r="A88" s="95" t="s">
        <v>402</v>
      </c>
      <c r="B88" s="95" t="s">
        <v>79</v>
      </c>
      <c r="C88" s="95" t="s">
        <v>119</v>
      </c>
      <c r="D88" s="95" t="s">
        <v>1</v>
      </c>
      <c r="E88" s="95" t="s">
        <v>394</v>
      </c>
      <c r="F88" s="95" t="s">
        <v>28</v>
      </c>
      <c r="G88" s="95" t="s">
        <v>95</v>
      </c>
      <c r="H88" s="95" t="s">
        <v>81</v>
      </c>
      <c r="I88" s="97" t="s">
        <v>367</v>
      </c>
    </row>
    <row r="89" spans="1:9" ht="15.6" x14ac:dyDescent="0.3">
      <c r="A89" s="95" t="s">
        <v>402</v>
      </c>
      <c r="B89" s="95" t="s">
        <v>44</v>
      </c>
      <c r="C89" s="95" t="s">
        <v>53</v>
      </c>
      <c r="D89" s="95" t="s">
        <v>1</v>
      </c>
      <c r="E89" s="95" t="s">
        <v>403</v>
      </c>
      <c r="F89" s="95" t="s">
        <v>49</v>
      </c>
      <c r="G89" s="95" t="s">
        <v>121</v>
      </c>
      <c r="H89" s="95" t="s">
        <v>50</v>
      </c>
      <c r="I89" s="96" t="s">
        <v>358</v>
      </c>
    </row>
    <row r="90" spans="1:9" ht="15.6" x14ac:dyDescent="0.3">
      <c r="A90" s="95" t="s">
        <v>402</v>
      </c>
      <c r="B90" s="95" t="s">
        <v>44</v>
      </c>
      <c r="C90" s="95" t="s">
        <v>53</v>
      </c>
      <c r="D90" s="95" t="s">
        <v>1</v>
      </c>
      <c r="E90" s="95" t="s">
        <v>403</v>
      </c>
      <c r="F90" s="95" t="s">
        <v>51</v>
      </c>
      <c r="G90" s="95" t="s">
        <v>121</v>
      </c>
      <c r="H90" s="95" t="s">
        <v>52</v>
      </c>
      <c r="I90" s="97" t="s">
        <v>360</v>
      </c>
    </row>
    <row r="91" spans="1:9" ht="15.6" x14ac:dyDescent="0.3">
      <c r="A91" s="95" t="s">
        <v>402</v>
      </c>
      <c r="B91" s="95" t="s">
        <v>35</v>
      </c>
      <c r="C91" s="95" t="s">
        <v>36</v>
      </c>
      <c r="D91" s="95" t="s">
        <v>1</v>
      </c>
      <c r="E91" s="95" t="s">
        <v>349</v>
      </c>
      <c r="F91" s="95" t="s">
        <v>42</v>
      </c>
      <c r="G91" s="95" t="s">
        <v>141</v>
      </c>
      <c r="H91" s="95" t="s">
        <v>85</v>
      </c>
      <c r="I91" s="97" t="s">
        <v>372</v>
      </c>
    </row>
    <row r="92" spans="1:9" ht="15.6" x14ac:dyDescent="0.3">
      <c r="A92" s="95" t="s">
        <v>402</v>
      </c>
      <c r="B92" s="95" t="s">
        <v>69</v>
      </c>
      <c r="C92" s="95" t="s">
        <v>70</v>
      </c>
      <c r="D92" s="95" t="s">
        <v>1</v>
      </c>
      <c r="E92" s="95" t="s">
        <v>349</v>
      </c>
      <c r="F92" s="95" t="s">
        <v>71</v>
      </c>
      <c r="G92" s="95" t="s">
        <v>72</v>
      </c>
      <c r="H92" s="95" t="s">
        <v>117</v>
      </c>
      <c r="I92" s="97" t="s">
        <v>392</v>
      </c>
    </row>
    <row r="93" spans="1:9" ht="15.6" x14ac:dyDescent="0.3">
      <c r="A93" s="93" t="s">
        <v>404</v>
      </c>
      <c r="B93" s="93" t="s">
        <v>63</v>
      </c>
      <c r="C93" s="93" t="s">
        <v>64</v>
      </c>
      <c r="D93" s="93" t="s">
        <v>1</v>
      </c>
      <c r="E93" s="93" t="s">
        <v>274</v>
      </c>
      <c r="F93" s="93" t="s">
        <v>28</v>
      </c>
      <c r="G93" s="93" t="s">
        <v>29</v>
      </c>
      <c r="H93" s="93" t="s">
        <v>65</v>
      </c>
      <c r="I93" s="94" t="s">
        <v>355</v>
      </c>
    </row>
    <row r="94" spans="1:9" ht="15.6" x14ac:dyDescent="0.3">
      <c r="A94" s="95" t="s">
        <v>404</v>
      </c>
      <c r="B94" s="95" t="s">
        <v>44</v>
      </c>
      <c r="C94" s="95" t="s">
        <v>45</v>
      </c>
      <c r="D94" s="95" t="s">
        <v>1</v>
      </c>
      <c r="E94" s="95" t="s">
        <v>383</v>
      </c>
      <c r="F94" s="95" t="s">
        <v>46</v>
      </c>
      <c r="G94" s="95" t="s">
        <v>47</v>
      </c>
      <c r="H94" s="95" t="s">
        <v>48</v>
      </c>
      <c r="I94" s="96" t="s">
        <v>356</v>
      </c>
    </row>
    <row r="95" spans="1:9" ht="15.6" x14ac:dyDescent="0.3">
      <c r="A95" s="95" t="s">
        <v>404</v>
      </c>
      <c r="B95" s="95" t="s">
        <v>26</v>
      </c>
      <c r="C95" s="95" t="s">
        <v>57</v>
      </c>
      <c r="D95" s="95" t="s">
        <v>1</v>
      </c>
      <c r="E95" s="95" t="s">
        <v>346</v>
      </c>
      <c r="F95" s="95" t="s">
        <v>28</v>
      </c>
      <c r="G95" s="95" t="s">
        <v>121</v>
      </c>
      <c r="H95" s="95" t="s">
        <v>30</v>
      </c>
      <c r="I95" s="97" t="s">
        <v>357</v>
      </c>
    </row>
    <row r="96" spans="1:9" ht="15.6" x14ac:dyDescent="0.3">
      <c r="A96" s="95" t="s">
        <v>404</v>
      </c>
      <c r="B96" s="95" t="s">
        <v>44</v>
      </c>
      <c r="C96" s="95" t="s">
        <v>45</v>
      </c>
      <c r="D96" s="95" t="s">
        <v>1</v>
      </c>
      <c r="E96" s="95" t="s">
        <v>383</v>
      </c>
      <c r="F96" s="95" t="s">
        <v>49</v>
      </c>
      <c r="G96" s="95" t="s">
        <v>47</v>
      </c>
      <c r="H96" s="95" t="s">
        <v>50</v>
      </c>
      <c r="I96" s="96" t="s">
        <v>358</v>
      </c>
    </row>
    <row r="97" spans="1:9" ht="15.6" x14ac:dyDescent="0.3">
      <c r="A97" s="95" t="s">
        <v>404</v>
      </c>
      <c r="B97" s="95" t="s">
        <v>44</v>
      </c>
      <c r="C97" s="95" t="s">
        <v>53</v>
      </c>
      <c r="D97" s="95" t="s">
        <v>1</v>
      </c>
      <c r="E97" s="95" t="s">
        <v>374</v>
      </c>
      <c r="F97" s="95" t="s">
        <v>49</v>
      </c>
      <c r="G97" s="95" t="s">
        <v>87</v>
      </c>
      <c r="H97" s="95" t="s">
        <v>88</v>
      </c>
      <c r="I97" s="96" t="s">
        <v>389</v>
      </c>
    </row>
    <row r="98" spans="1:9" ht="15.6" x14ac:dyDescent="0.3">
      <c r="A98" s="95" t="s">
        <v>404</v>
      </c>
      <c r="B98" s="95" t="s">
        <v>44</v>
      </c>
      <c r="C98" s="95" t="s">
        <v>45</v>
      </c>
      <c r="D98" s="95" t="s">
        <v>1</v>
      </c>
      <c r="E98" s="95" t="s">
        <v>383</v>
      </c>
      <c r="F98" s="95" t="s">
        <v>51</v>
      </c>
      <c r="G98" s="95" t="s">
        <v>47</v>
      </c>
      <c r="H98" s="95" t="s">
        <v>52</v>
      </c>
      <c r="I98" s="97" t="s">
        <v>360</v>
      </c>
    </row>
    <row r="99" spans="1:9" ht="15.6" x14ac:dyDescent="0.3">
      <c r="A99" s="95" t="s">
        <v>404</v>
      </c>
      <c r="B99" s="95" t="s">
        <v>44</v>
      </c>
      <c r="C99" s="95" t="s">
        <v>53</v>
      </c>
      <c r="D99" s="95" t="s">
        <v>1</v>
      </c>
      <c r="E99" s="95" t="s">
        <v>374</v>
      </c>
      <c r="F99" s="95" t="s">
        <v>51</v>
      </c>
      <c r="G99" s="95" t="s">
        <v>87</v>
      </c>
      <c r="H99" s="95" t="s">
        <v>102</v>
      </c>
      <c r="I99" s="97" t="s">
        <v>391</v>
      </c>
    </row>
    <row r="100" spans="1:9" ht="15.6" x14ac:dyDescent="0.3">
      <c r="A100" s="95" t="s">
        <v>404</v>
      </c>
      <c r="B100" s="95" t="s">
        <v>35</v>
      </c>
      <c r="C100" s="95" t="s">
        <v>36</v>
      </c>
      <c r="D100" s="95" t="s">
        <v>1</v>
      </c>
      <c r="E100" s="95" t="s">
        <v>349</v>
      </c>
      <c r="F100" s="95" t="s">
        <v>42</v>
      </c>
      <c r="G100" s="95" t="s">
        <v>118</v>
      </c>
      <c r="H100" s="95" t="s">
        <v>85</v>
      </c>
      <c r="I100" s="97" t="s">
        <v>372</v>
      </c>
    </row>
    <row r="101" spans="1:9" ht="15.6" x14ac:dyDescent="0.3">
      <c r="A101" s="95" t="s">
        <v>404</v>
      </c>
      <c r="B101" s="95" t="s">
        <v>69</v>
      </c>
      <c r="C101" s="95" t="s">
        <v>70</v>
      </c>
      <c r="D101" s="95" t="s">
        <v>1</v>
      </c>
      <c r="E101" s="95" t="s">
        <v>349</v>
      </c>
      <c r="F101" s="95" t="s">
        <v>71</v>
      </c>
      <c r="G101" s="95" t="s">
        <v>72</v>
      </c>
      <c r="H101" s="95" t="s">
        <v>117</v>
      </c>
      <c r="I101" s="97" t="s">
        <v>392</v>
      </c>
    </row>
    <row r="102" spans="1:9" ht="15.6" x14ac:dyDescent="0.3">
      <c r="A102" s="95" t="s">
        <v>405</v>
      </c>
      <c r="B102" s="95" t="s">
        <v>79</v>
      </c>
      <c r="C102" s="95" t="s">
        <v>80</v>
      </c>
      <c r="D102" s="95" t="s">
        <v>1</v>
      </c>
      <c r="E102" s="95" t="s">
        <v>366</v>
      </c>
      <c r="F102" s="95" t="s">
        <v>28</v>
      </c>
      <c r="G102" s="95" t="s">
        <v>95</v>
      </c>
      <c r="H102" s="95" t="s">
        <v>81</v>
      </c>
      <c r="I102" s="97" t="s">
        <v>367</v>
      </c>
    </row>
    <row r="103" spans="1:9" ht="15.6" x14ac:dyDescent="0.3">
      <c r="A103" s="93" t="s">
        <v>406</v>
      </c>
      <c r="B103" s="93" t="s">
        <v>63</v>
      </c>
      <c r="C103" s="93" t="s">
        <v>64</v>
      </c>
      <c r="D103" s="93" t="s">
        <v>1</v>
      </c>
      <c r="E103" s="93" t="s">
        <v>284</v>
      </c>
      <c r="F103" s="93" t="s">
        <v>28</v>
      </c>
      <c r="G103" s="93" t="s">
        <v>29</v>
      </c>
      <c r="H103" s="93" t="s">
        <v>65</v>
      </c>
      <c r="I103" s="94" t="s">
        <v>355</v>
      </c>
    </row>
    <row r="104" spans="1:9" ht="15.6" x14ac:dyDescent="0.3">
      <c r="A104" s="95" t="s">
        <v>406</v>
      </c>
      <c r="B104" s="95" t="s">
        <v>44</v>
      </c>
      <c r="C104" s="95" t="s">
        <v>45</v>
      </c>
      <c r="D104" s="95" t="s">
        <v>1</v>
      </c>
      <c r="E104" s="95" t="s">
        <v>383</v>
      </c>
      <c r="F104" s="95" t="s">
        <v>46</v>
      </c>
      <c r="G104" s="95" t="s">
        <v>47</v>
      </c>
      <c r="H104" s="95" t="s">
        <v>48</v>
      </c>
      <c r="I104" s="96" t="s">
        <v>356</v>
      </c>
    </row>
    <row r="105" spans="1:9" ht="15.6" x14ac:dyDescent="0.3">
      <c r="A105" s="95" t="s">
        <v>406</v>
      </c>
      <c r="B105" s="95" t="s">
        <v>79</v>
      </c>
      <c r="C105" s="95" t="s">
        <v>80</v>
      </c>
      <c r="D105" s="95" t="s">
        <v>1</v>
      </c>
      <c r="E105" s="95" t="s">
        <v>407</v>
      </c>
      <c r="F105" s="95" t="s">
        <v>28</v>
      </c>
      <c r="G105" s="95" t="s">
        <v>87</v>
      </c>
      <c r="H105" s="95" t="s">
        <v>145</v>
      </c>
      <c r="I105" s="97" t="s">
        <v>408</v>
      </c>
    </row>
    <row r="106" spans="1:9" ht="15.6" x14ac:dyDescent="0.3">
      <c r="A106" s="95" t="s">
        <v>406</v>
      </c>
      <c r="B106" s="95" t="s">
        <v>26</v>
      </c>
      <c r="C106" s="95" t="s">
        <v>57</v>
      </c>
      <c r="D106" s="95" t="s">
        <v>1</v>
      </c>
      <c r="E106" s="95" t="s">
        <v>346</v>
      </c>
      <c r="F106" s="95" t="s">
        <v>28</v>
      </c>
      <c r="G106" s="95" t="s">
        <v>29</v>
      </c>
      <c r="H106" s="95" t="s">
        <v>133</v>
      </c>
      <c r="I106" s="97" t="s">
        <v>400</v>
      </c>
    </row>
    <row r="107" spans="1:9" ht="15.6" x14ac:dyDescent="0.3">
      <c r="A107" s="95" t="s">
        <v>406</v>
      </c>
      <c r="B107" s="95" t="s">
        <v>44</v>
      </c>
      <c r="C107" s="95" t="s">
        <v>45</v>
      </c>
      <c r="D107" s="95" t="s">
        <v>1</v>
      </c>
      <c r="E107" s="95" t="s">
        <v>383</v>
      </c>
      <c r="F107" s="95" t="s">
        <v>49</v>
      </c>
      <c r="G107" s="95" t="s">
        <v>47</v>
      </c>
      <c r="H107" s="95" t="s">
        <v>50</v>
      </c>
      <c r="I107" s="96" t="s">
        <v>358</v>
      </c>
    </row>
    <row r="108" spans="1:9" ht="15.6" x14ac:dyDescent="0.3">
      <c r="A108" s="95" t="s">
        <v>406</v>
      </c>
      <c r="B108" s="95" t="s">
        <v>44</v>
      </c>
      <c r="C108" s="95" t="s">
        <v>45</v>
      </c>
      <c r="D108" s="95" t="s">
        <v>1</v>
      </c>
      <c r="E108" s="95" t="s">
        <v>383</v>
      </c>
      <c r="F108" s="95" t="s">
        <v>51</v>
      </c>
      <c r="G108" s="95" t="s">
        <v>47</v>
      </c>
      <c r="H108" s="95" t="s">
        <v>52</v>
      </c>
      <c r="I108" s="97" t="s">
        <v>360</v>
      </c>
    </row>
    <row r="109" spans="1:9" ht="15.6" x14ac:dyDescent="0.3">
      <c r="A109" s="95" t="s">
        <v>406</v>
      </c>
      <c r="B109" s="95" t="s">
        <v>31</v>
      </c>
      <c r="C109" s="95" t="s">
        <v>32</v>
      </c>
      <c r="D109" s="95" t="s">
        <v>1</v>
      </c>
      <c r="E109" s="95" t="s">
        <v>347</v>
      </c>
      <c r="F109" s="95" t="s">
        <v>33</v>
      </c>
      <c r="G109" s="95" t="s">
        <v>29</v>
      </c>
      <c r="H109" s="95" t="s">
        <v>125</v>
      </c>
      <c r="I109" s="98" t="s">
        <v>380</v>
      </c>
    </row>
    <row r="110" spans="1:9" ht="15.6" x14ac:dyDescent="0.3">
      <c r="A110" s="95" t="s">
        <v>406</v>
      </c>
      <c r="B110" s="95" t="s">
        <v>44</v>
      </c>
      <c r="C110" s="95" t="s">
        <v>53</v>
      </c>
      <c r="D110" s="95" t="s">
        <v>1</v>
      </c>
      <c r="E110" s="95" t="s">
        <v>374</v>
      </c>
      <c r="F110" s="95" t="s">
        <v>51</v>
      </c>
      <c r="G110" s="95" t="s">
        <v>135</v>
      </c>
      <c r="H110" s="95" t="s">
        <v>90</v>
      </c>
      <c r="I110" s="97" t="s">
        <v>371</v>
      </c>
    </row>
    <row r="111" spans="1:9" ht="15.6" x14ac:dyDescent="0.3">
      <c r="A111" s="95" t="s">
        <v>406</v>
      </c>
      <c r="B111" s="95" t="s">
        <v>35</v>
      </c>
      <c r="C111" s="95" t="s">
        <v>36</v>
      </c>
      <c r="D111" s="95" t="s">
        <v>1</v>
      </c>
      <c r="E111" s="95" t="s">
        <v>349</v>
      </c>
      <c r="F111" s="95" t="s">
        <v>42</v>
      </c>
      <c r="G111" s="95" t="s">
        <v>144</v>
      </c>
      <c r="H111" s="95" t="s">
        <v>85</v>
      </c>
      <c r="I111" s="97" t="s">
        <v>372</v>
      </c>
    </row>
    <row r="112" spans="1:9" ht="15.6" x14ac:dyDescent="0.3">
      <c r="A112" s="95" t="s">
        <v>406</v>
      </c>
      <c r="B112" s="95" t="s">
        <v>69</v>
      </c>
      <c r="C112" s="95" t="s">
        <v>70</v>
      </c>
      <c r="D112" s="95" t="s">
        <v>1</v>
      </c>
      <c r="E112" s="95" t="s">
        <v>349</v>
      </c>
      <c r="F112" s="95" t="s">
        <v>71</v>
      </c>
      <c r="G112" s="95" t="s">
        <v>72</v>
      </c>
      <c r="H112" s="95" t="s">
        <v>73</v>
      </c>
      <c r="I112" s="97" t="s">
        <v>364</v>
      </c>
    </row>
    <row r="113" spans="1:9" ht="15.6" x14ac:dyDescent="0.3">
      <c r="A113" s="93" t="s">
        <v>409</v>
      </c>
      <c r="B113" s="93" t="s">
        <v>63</v>
      </c>
      <c r="C113" s="93" t="s">
        <v>64</v>
      </c>
      <c r="D113" s="93" t="s">
        <v>1</v>
      </c>
      <c r="E113" s="93" t="s">
        <v>291</v>
      </c>
      <c r="F113" s="93" t="s">
        <v>28</v>
      </c>
      <c r="G113" s="93" t="s">
        <v>29</v>
      </c>
      <c r="H113" s="93" t="s">
        <v>106</v>
      </c>
      <c r="I113" s="94" t="s">
        <v>355</v>
      </c>
    </row>
    <row r="114" spans="1:9" ht="15.6" x14ac:dyDescent="0.3">
      <c r="A114" s="95" t="s">
        <v>409</v>
      </c>
      <c r="B114" s="95" t="s">
        <v>35</v>
      </c>
      <c r="C114" s="95" t="s">
        <v>36</v>
      </c>
      <c r="D114" s="95" t="s">
        <v>1</v>
      </c>
      <c r="E114" s="95" t="s">
        <v>349</v>
      </c>
      <c r="F114" s="95" t="s">
        <v>37</v>
      </c>
      <c r="G114" s="95" t="s">
        <v>99</v>
      </c>
      <c r="H114" s="95" t="s">
        <v>111</v>
      </c>
      <c r="I114" s="96" t="s">
        <v>389</v>
      </c>
    </row>
    <row r="115" spans="1:9" ht="15.6" x14ac:dyDescent="0.3">
      <c r="A115" s="95" t="s">
        <v>409</v>
      </c>
      <c r="B115" s="95" t="s">
        <v>44</v>
      </c>
      <c r="C115" s="95" t="s">
        <v>53</v>
      </c>
      <c r="D115" s="95" t="s">
        <v>1</v>
      </c>
      <c r="E115" s="95" t="s">
        <v>374</v>
      </c>
      <c r="F115" s="95" t="s">
        <v>46</v>
      </c>
      <c r="G115" s="95" t="s">
        <v>87</v>
      </c>
      <c r="H115" s="95" t="s">
        <v>48</v>
      </c>
      <c r="I115" s="96" t="s">
        <v>384</v>
      </c>
    </row>
    <row r="116" spans="1:9" ht="15.6" x14ac:dyDescent="0.3">
      <c r="A116" s="95" t="s">
        <v>409</v>
      </c>
      <c r="B116" s="95" t="s">
        <v>26</v>
      </c>
      <c r="C116" s="95" t="s">
        <v>27</v>
      </c>
      <c r="D116" s="95" t="s">
        <v>1</v>
      </c>
      <c r="E116" s="95" t="s">
        <v>346</v>
      </c>
      <c r="F116" s="95" t="s">
        <v>28</v>
      </c>
      <c r="G116" s="95" t="s">
        <v>121</v>
      </c>
      <c r="H116" s="95" t="s">
        <v>133</v>
      </c>
      <c r="I116" s="97" t="s">
        <v>357</v>
      </c>
    </row>
    <row r="117" spans="1:9" ht="15.6" x14ac:dyDescent="0.3">
      <c r="A117" s="95" t="s">
        <v>409</v>
      </c>
      <c r="B117" s="95" t="s">
        <v>44</v>
      </c>
      <c r="C117" s="95" t="s">
        <v>53</v>
      </c>
      <c r="D117" s="95" t="s">
        <v>1</v>
      </c>
      <c r="E117" s="95" t="s">
        <v>374</v>
      </c>
      <c r="F117" s="95" t="s">
        <v>49</v>
      </c>
      <c r="G117" s="95" t="s">
        <v>87</v>
      </c>
      <c r="H117" s="95" t="s">
        <v>50</v>
      </c>
      <c r="I117" s="98" t="s">
        <v>387</v>
      </c>
    </row>
    <row r="118" spans="1:9" ht="15.6" x14ac:dyDescent="0.3">
      <c r="A118" s="95" t="s">
        <v>409</v>
      </c>
      <c r="B118" s="95" t="s">
        <v>35</v>
      </c>
      <c r="C118" s="95" t="s">
        <v>36</v>
      </c>
      <c r="D118" s="95" t="s">
        <v>1</v>
      </c>
      <c r="E118" s="95" t="s">
        <v>349</v>
      </c>
      <c r="F118" s="95" t="s">
        <v>40</v>
      </c>
      <c r="G118" s="95" t="s">
        <v>99</v>
      </c>
      <c r="H118" s="95" t="s">
        <v>112</v>
      </c>
      <c r="I118" s="96" t="s">
        <v>389</v>
      </c>
    </row>
    <row r="119" spans="1:9" ht="15.6" x14ac:dyDescent="0.3">
      <c r="A119" s="95" t="s">
        <v>409</v>
      </c>
      <c r="B119" s="95" t="s">
        <v>44</v>
      </c>
      <c r="C119" s="95" t="s">
        <v>53</v>
      </c>
      <c r="D119" s="95" t="s">
        <v>1</v>
      </c>
      <c r="E119" s="95" t="s">
        <v>374</v>
      </c>
      <c r="F119" s="95" t="s">
        <v>51</v>
      </c>
      <c r="G119" s="95" t="s">
        <v>87</v>
      </c>
      <c r="H119" s="95" t="s">
        <v>52</v>
      </c>
      <c r="I119" s="97" t="s">
        <v>388</v>
      </c>
    </row>
    <row r="120" spans="1:9" ht="15.6" x14ac:dyDescent="0.3">
      <c r="A120" s="95" t="s">
        <v>409</v>
      </c>
      <c r="B120" s="95" t="s">
        <v>31</v>
      </c>
      <c r="C120" s="95" t="s">
        <v>62</v>
      </c>
      <c r="D120" s="95" t="s">
        <v>1</v>
      </c>
      <c r="E120" s="95" t="s">
        <v>363</v>
      </c>
      <c r="F120" s="95" t="s">
        <v>33</v>
      </c>
      <c r="G120" s="95" t="s">
        <v>29</v>
      </c>
      <c r="H120" s="95" t="s">
        <v>147</v>
      </c>
      <c r="I120" s="97" t="s">
        <v>410</v>
      </c>
    </row>
    <row r="121" spans="1:9" ht="15.6" x14ac:dyDescent="0.3">
      <c r="A121" s="95" t="s">
        <v>409</v>
      </c>
      <c r="B121" s="95" t="s">
        <v>69</v>
      </c>
      <c r="C121" s="95" t="s">
        <v>70</v>
      </c>
      <c r="D121" s="95" t="s">
        <v>1</v>
      </c>
      <c r="E121" s="95" t="s">
        <v>349</v>
      </c>
      <c r="F121" s="95" t="s">
        <v>71</v>
      </c>
      <c r="G121" s="95" t="s">
        <v>72</v>
      </c>
      <c r="H121" s="95" t="s">
        <v>117</v>
      </c>
      <c r="I121" s="97" t="s">
        <v>411</v>
      </c>
    </row>
    <row r="122" spans="1:9" ht="15.6" x14ac:dyDescent="0.3">
      <c r="A122" s="95" t="s">
        <v>409</v>
      </c>
      <c r="B122" s="95" t="s">
        <v>35</v>
      </c>
      <c r="C122" s="95" t="s">
        <v>36</v>
      </c>
      <c r="D122" s="95" t="s">
        <v>1</v>
      </c>
      <c r="E122" s="95" t="s">
        <v>349</v>
      </c>
      <c r="F122" s="95" t="s">
        <v>42</v>
      </c>
      <c r="G122" s="95" t="s">
        <v>99</v>
      </c>
      <c r="H122" s="95" t="s">
        <v>43</v>
      </c>
      <c r="I122" s="96" t="s">
        <v>384</v>
      </c>
    </row>
    <row r="123" spans="1:9" ht="15.6" x14ac:dyDescent="0.3">
      <c r="A123" s="93" t="s">
        <v>412</v>
      </c>
      <c r="B123" s="93" t="s">
        <v>63</v>
      </c>
      <c r="C123" s="93" t="s">
        <v>64</v>
      </c>
      <c r="D123" s="93" t="s">
        <v>1</v>
      </c>
      <c r="E123" s="93" t="s">
        <v>284</v>
      </c>
      <c r="F123" s="93" t="s">
        <v>28</v>
      </c>
      <c r="G123" s="93" t="s">
        <v>29</v>
      </c>
      <c r="H123" s="93" t="s">
        <v>65</v>
      </c>
      <c r="I123" s="94" t="s">
        <v>355</v>
      </c>
    </row>
    <row r="124" spans="1:9" ht="15.6" x14ac:dyDescent="0.3">
      <c r="A124" s="95" t="s">
        <v>412</v>
      </c>
      <c r="B124" s="95" t="s">
        <v>44</v>
      </c>
      <c r="C124" s="95" t="s">
        <v>53</v>
      </c>
      <c r="D124" s="95" t="s">
        <v>1</v>
      </c>
      <c r="E124" s="95" t="s">
        <v>374</v>
      </c>
      <c r="F124" s="95" t="s">
        <v>46</v>
      </c>
      <c r="G124" s="95" t="s">
        <v>47</v>
      </c>
      <c r="H124" s="95" t="s">
        <v>48</v>
      </c>
      <c r="I124" s="96" t="s">
        <v>356</v>
      </c>
    </row>
    <row r="125" spans="1:9" ht="15.6" x14ac:dyDescent="0.3">
      <c r="A125" s="95" t="s">
        <v>412</v>
      </c>
      <c r="B125" s="95" t="s">
        <v>44</v>
      </c>
      <c r="C125" s="95" t="s">
        <v>45</v>
      </c>
      <c r="D125" s="95" t="s">
        <v>1</v>
      </c>
      <c r="E125" s="95" t="s">
        <v>383</v>
      </c>
      <c r="F125" s="95" t="s">
        <v>46</v>
      </c>
      <c r="G125" s="95" t="s">
        <v>47</v>
      </c>
      <c r="H125" s="95" t="s">
        <v>48</v>
      </c>
      <c r="I125" s="96" t="s">
        <v>384</v>
      </c>
    </row>
    <row r="126" spans="1:9" ht="15.6" x14ac:dyDescent="0.3">
      <c r="A126" s="95" t="s">
        <v>412</v>
      </c>
      <c r="B126" s="95" t="s">
        <v>74</v>
      </c>
      <c r="C126" s="95" t="s">
        <v>75</v>
      </c>
      <c r="D126" s="95" t="s">
        <v>1</v>
      </c>
      <c r="E126" s="95" t="s">
        <v>385</v>
      </c>
      <c r="F126" s="95" t="s">
        <v>76</v>
      </c>
      <c r="G126" s="95" t="s">
        <v>47</v>
      </c>
      <c r="H126" s="95" t="s">
        <v>113</v>
      </c>
      <c r="I126" s="98" t="s">
        <v>380</v>
      </c>
    </row>
    <row r="127" spans="1:9" ht="15.6" x14ac:dyDescent="0.3">
      <c r="A127" s="95" t="s">
        <v>412</v>
      </c>
      <c r="B127" s="95" t="s">
        <v>26</v>
      </c>
      <c r="C127" s="95" t="s">
        <v>57</v>
      </c>
      <c r="D127" s="95" t="s">
        <v>1</v>
      </c>
      <c r="E127" s="95" t="s">
        <v>386</v>
      </c>
      <c r="F127" s="95" t="s">
        <v>28</v>
      </c>
      <c r="G127" s="95" t="s">
        <v>29</v>
      </c>
      <c r="H127" s="95" t="s">
        <v>133</v>
      </c>
      <c r="I127" s="97" t="s">
        <v>400</v>
      </c>
    </row>
    <row r="128" spans="1:9" ht="15.6" x14ac:dyDescent="0.3">
      <c r="A128" s="95" t="s">
        <v>412</v>
      </c>
      <c r="B128" s="95" t="s">
        <v>44</v>
      </c>
      <c r="C128" s="95" t="s">
        <v>53</v>
      </c>
      <c r="D128" s="95" t="s">
        <v>1</v>
      </c>
      <c r="E128" s="95" t="s">
        <v>374</v>
      </c>
      <c r="F128" s="95" t="s">
        <v>49</v>
      </c>
      <c r="G128" s="95" t="s">
        <v>47</v>
      </c>
      <c r="H128" s="95" t="s">
        <v>50</v>
      </c>
      <c r="I128" s="96" t="s">
        <v>358</v>
      </c>
    </row>
    <row r="129" spans="1:9" ht="15.6" x14ac:dyDescent="0.3">
      <c r="A129" s="95" t="s">
        <v>412</v>
      </c>
      <c r="B129" s="95" t="s">
        <v>44</v>
      </c>
      <c r="C129" s="95" t="s">
        <v>45</v>
      </c>
      <c r="D129" s="95" t="s">
        <v>1</v>
      </c>
      <c r="E129" s="95" t="s">
        <v>383</v>
      </c>
      <c r="F129" s="95" t="s">
        <v>49</v>
      </c>
      <c r="G129" s="95" t="s">
        <v>47</v>
      </c>
      <c r="H129" s="95" t="s">
        <v>50</v>
      </c>
      <c r="I129" s="98" t="s">
        <v>387</v>
      </c>
    </row>
    <row r="130" spans="1:9" ht="15.6" x14ac:dyDescent="0.3">
      <c r="A130" s="95" t="s">
        <v>412</v>
      </c>
      <c r="B130" s="95" t="s">
        <v>74</v>
      </c>
      <c r="C130" s="95" t="s">
        <v>75</v>
      </c>
      <c r="D130" s="95" t="s">
        <v>1</v>
      </c>
      <c r="E130" s="95" t="s">
        <v>385</v>
      </c>
      <c r="F130" s="95" t="s">
        <v>42</v>
      </c>
      <c r="G130" s="95" t="s">
        <v>47</v>
      </c>
      <c r="H130" s="95" t="s">
        <v>114</v>
      </c>
      <c r="I130" s="97" t="s">
        <v>388</v>
      </c>
    </row>
    <row r="131" spans="1:9" ht="15.6" x14ac:dyDescent="0.3">
      <c r="A131" s="95" t="s">
        <v>412</v>
      </c>
      <c r="B131" s="95" t="s">
        <v>44</v>
      </c>
      <c r="C131" s="95" t="s">
        <v>53</v>
      </c>
      <c r="D131" s="95" t="s">
        <v>1</v>
      </c>
      <c r="E131" s="95" t="s">
        <v>374</v>
      </c>
      <c r="F131" s="95" t="s">
        <v>51</v>
      </c>
      <c r="G131" s="95" t="s">
        <v>47</v>
      </c>
      <c r="H131" s="95" t="s">
        <v>52</v>
      </c>
      <c r="I131" s="97" t="s">
        <v>360</v>
      </c>
    </row>
    <row r="132" spans="1:9" ht="15.6" x14ac:dyDescent="0.3">
      <c r="A132" s="95" t="s">
        <v>412</v>
      </c>
      <c r="B132" s="95" t="s">
        <v>44</v>
      </c>
      <c r="C132" s="95" t="s">
        <v>45</v>
      </c>
      <c r="D132" s="95" t="s">
        <v>1</v>
      </c>
      <c r="E132" s="95" t="s">
        <v>383</v>
      </c>
      <c r="F132" s="95" t="s">
        <v>51</v>
      </c>
      <c r="G132" s="95" t="s">
        <v>47</v>
      </c>
      <c r="H132" s="95" t="s">
        <v>52</v>
      </c>
      <c r="I132" s="97" t="s">
        <v>388</v>
      </c>
    </row>
    <row r="133" spans="1:9" ht="15.6" x14ac:dyDescent="0.3">
      <c r="A133" s="95" t="s">
        <v>412</v>
      </c>
      <c r="B133" s="95" t="s">
        <v>69</v>
      </c>
      <c r="C133" s="95" t="s">
        <v>70</v>
      </c>
      <c r="D133" s="95" t="s">
        <v>1</v>
      </c>
      <c r="E133" s="95" t="s">
        <v>349</v>
      </c>
      <c r="F133" s="95" t="s">
        <v>71</v>
      </c>
      <c r="G133" s="95" t="s">
        <v>72</v>
      </c>
      <c r="H133" s="95" t="s">
        <v>117</v>
      </c>
      <c r="I133" s="97" t="s">
        <v>392</v>
      </c>
    </row>
    <row r="134" spans="1:9" ht="15.6" x14ac:dyDescent="0.3">
      <c r="A134" s="95" t="s">
        <v>412</v>
      </c>
      <c r="B134" s="95" t="s">
        <v>35</v>
      </c>
      <c r="C134" s="95" t="s">
        <v>36</v>
      </c>
      <c r="D134" s="95" t="s">
        <v>1</v>
      </c>
      <c r="E134" s="95" t="s">
        <v>349</v>
      </c>
      <c r="F134" s="95" t="s">
        <v>42</v>
      </c>
      <c r="G134" s="95" t="s">
        <v>118</v>
      </c>
      <c r="H134" s="95" t="s">
        <v>43</v>
      </c>
      <c r="I134" s="96" t="s">
        <v>356</v>
      </c>
    </row>
    <row r="135" spans="1:9" ht="15.6" x14ac:dyDescent="0.3">
      <c r="A135" s="95" t="s">
        <v>413</v>
      </c>
      <c r="B135" s="95" t="s">
        <v>44</v>
      </c>
      <c r="C135" s="95" t="s">
        <v>53</v>
      </c>
      <c r="D135" s="95" t="s">
        <v>1</v>
      </c>
      <c r="E135" s="95" t="s">
        <v>403</v>
      </c>
      <c r="F135" s="95" t="s">
        <v>46</v>
      </c>
      <c r="G135" s="95" t="s">
        <v>47</v>
      </c>
      <c r="H135" s="95" t="s">
        <v>48</v>
      </c>
      <c r="I135" s="96" t="s">
        <v>356</v>
      </c>
    </row>
    <row r="136" spans="1:9" ht="15.6" x14ac:dyDescent="0.3">
      <c r="A136" s="95" t="s">
        <v>413</v>
      </c>
      <c r="B136" s="95" t="s">
        <v>44</v>
      </c>
      <c r="C136" s="95" t="s">
        <v>53</v>
      </c>
      <c r="D136" s="95" t="s">
        <v>1</v>
      </c>
      <c r="E136" s="95" t="s">
        <v>403</v>
      </c>
      <c r="F136" s="95" t="s">
        <v>49</v>
      </c>
      <c r="G136" s="95" t="s">
        <v>47</v>
      </c>
      <c r="H136" s="95" t="s">
        <v>50</v>
      </c>
      <c r="I136" s="96" t="s">
        <v>358</v>
      </c>
    </row>
    <row r="137" spans="1:9" ht="15.6" x14ac:dyDescent="0.3">
      <c r="A137" s="95" t="s">
        <v>413</v>
      </c>
      <c r="B137" s="95" t="s">
        <v>44</v>
      </c>
      <c r="C137" s="95" t="s">
        <v>53</v>
      </c>
      <c r="D137" s="95" t="s">
        <v>1</v>
      </c>
      <c r="E137" s="95" t="s">
        <v>403</v>
      </c>
      <c r="F137" s="95" t="s">
        <v>51</v>
      </c>
      <c r="G137" s="95" t="s">
        <v>47</v>
      </c>
      <c r="H137" s="95" t="s">
        <v>52</v>
      </c>
      <c r="I137" s="97" t="s">
        <v>360</v>
      </c>
    </row>
    <row r="138" spans="1:9" ht="15.6" x14ac:dyDescent="0.3">
      <c r="A138" s="95" t="s">
        <v>413</v>
      </c>
      <c r="B138" s="95" t="s">
        <v>35</v>
      </c>
      <c r="C138" s="95" t="s">
        <v>36</v>
      </c>
      <c r="D138" s="95" t="s">
        <v>1</v>
      </c>
      <c r="E138" s="95" t="s">
        <v>349</v>
      </c>
      <c r="F138" s="95" t="s">
        <v>42</v>
      </c>
      <c r="G138" s="95" t="s">
        <v>139</v>
      </c>
      <c r="H138" s="95" t="s">
        <v>85</v>
      </c>
      <c r="I138" s="97" t="s">
        <v>372</v>
      </c>
    </row>
    <row r="139" spans="1:9" ht="15.6" x14ac:dyDescent="0.3">
      <c r="A139" s="95" t="s">
        <v>413</v>
      </c>
      <c r="B139" s="95" t="s">
        <v>69</v>
      </c>
      <c r="C139" s="95" t="s">
        <v>70</v>
      </c>
      <c r="D139" s="95" t="s">
        <v>1</v>
      </c>
      <c r="E139" s="95" t="s">
        <v>349</v>
      </c>
      <c r="F139" s="95" t="s">
        <v>71</v>
      </c>
      <c r="G139" s="95" t="s">
        <v>72</v>
      </c>
      <c r="H139" s="95" t="s">
        <v>117</v>
      </c>
      <c r="I139" s="97" t="s">
        <v>392</v>
      </c>
    </row>
    <row r="140" spans="1:9" ht="15.6" x14ac:dyDescent="0.3">
      <c r="A140" s="93" t="s">
        <v>414</v>
      </c>
      <c r="B140" s="93" t="s">
        <v>63</v>
      </c>
      <c r="C140" s="93" t="s">
        <v>64</v>
      </c>
      <c r="D140" s="93" t="s">
        <v>1</v>
      </c>
      <c r="E140" s="93" t="s">
        <v>274</v>
      </c>
      <c r="F140" s="93" t="s">
        <v>28</v>
      </c>
      <c r="G140" s="93" t="s">
        <v>29</v>
      </c>
      <c r="H140" s="93" t="s">
        <v>65</v>
      </c>
      <c r="I140" s="94" t="s">
        <v>355</v>
      </c>
    </row>
    <row r="141" spans="1:9" ht="15.6" x14ac:dyDescent="0.3">
      <c r="A141" s="95" t="s">
        <v>414</v>
      </c>
      <c r="B141" s="95" t="s">
        <v>44</v>
      </c>
      <c r="C141" s="95" t="s">
        <v>53</v>
      </c>
      <c r="D141" s="95" t="s">
        <v>1</v>
      </c>
      <c r="E141" s="95" t="s">
        <v>374</v>
      </c>
      <c r="F141" s="95" t="s">
        <v>131</v>
      </c>
      <c r="G141" s="95" t="s">
        <v>47</v>
      </c>
      <c r="H141" s="95" t="s">
        <v>48</v>
      </c>
      <c r="I141" s="96" t="s">
        <v>356</v>
      </c>
    </row>
    <row r="142" spans="1:9" ht="15.6" x14ac:dyDescent="0.3">
      <c r="A142" s="95" t="s">
        <v>414</v>
      </c>
      <c r="B142" s="95" t="s">
        <v>26</v>
      </c>
      <c r="C142" s="95" t="s">
        <v>57</v>
      </c>
      <c r="D142" s="95" t="s">
        <v>1</v>
      </c>
      <c r="E142" s="95" t="s">
        <v>346</v>
      </c>
      <c r="F142" s="95" t="s">
        <v>28</v>
      </c>
      <c r="G142" s="95" t="s">
        <v>87</v>
      </c>
      <c r="H142" s="95" t="s">
        <v>133</v>
      </c>
      <c r="I142" s="97" t="s">
        <v>400</v>
      </c>
    </row>
    <row r="143" spans="1:9" ht="15.6" x14ac:dyDescent="0.3">
      <c r="A143" s="95" t="s">
        <v>414</v>
      </c>
      <c r="B143" s="95" t="s">
        <v>69</v>
      </c>
      <c r="C143" s="95" t="s">
        <v>70</v>
      </c>
      <c r="D143" s="95" t="s">
        <v>1</v>
      </c>
      <c r="E143" s="95" t="s">
        <v>349</v>
      </c>
      <c r="F143" s="95" t="s">
        <v>71</v>
      </c>
      <c r="G143" s="95" t="s">
        <v>72</v>
      </c>
      <c r="H143" s="95" t="s">
        <v>117</v>
      </c>
      <c r="I143" s="97" t="s">
        <v>392</v>
      </c>
    </row>
    <row r="144" spans="1:9" ht="15.6" x14ac:dyDescent="0.3">
      <c r="A144" s="95" t="s">
        <v>415</v>
      </c>
      <c r="B144" s="95" t="s">
        <v>79</v>
      </c>
      <c r="C144" s="95" t="s">
        <v>80</v>
      </c>
      <c r="D144" s="95" t="s">
        <v>1</v>
      </c>
      <c r="E144" s="95" t="s">
        <v>366</v>
      </c>
      <c r="F144" s="95" t="s">
        <v>28</v>
      </c>
      <c r="G144" s="95" t="s">
        <v>87</v>
      </c>
      <c r="H144" s="95" t="s">
        <v>154</v>
      </c>
      <c r="I144" s="98" t="s">
        <v>416</v>
      </c>
    </row>
    <row r="145" spans="1:9" ht="15.6" x14ac:dyDescent="0.3">
      <c r="A145" s="93" t="s">
        <v>417</v>
      </c>
      <c r="B145" s="93" t="s">
        <v>63</v>
      </c>
      <c r="C145" s="93" t="s">
        <v>64</v>
      </c>
      <c r="D145" s="93" t="s">
        <v>1</v>
      </c>
      <c r="E145" s="93" t="s">
        <v>284</v>
      </c>
      <c r="F145" s="93" t="s">
        <v>28</v>
      </c>
      <c r="G145" s="93" t="s">
        <v>29</v>
      </c>
      <c r="H145" s="93" t="s">
        <v>106</v>
      </c>
      <c r="I145" s="94" t="s">
        <v>355</v>
      </c>
    </row>
    <row r="146" spans="1:9" ht="15.6" x14ac:dyDescent="0.3">
      <c r="A146" s="95" t="s">
        <v>417</v>
      </c>
      <c r="B146" s="95" t="s">
        <v>35</v>
      </c>
      <c r="C146" s="95" t="s">
        <v>36</v>
      </c>
      <c r="D146" s="95" t="s">
        <v>1</v>
      </c>
      <c r="E146" s="95" t="s">
        <v>349</v>
      </c>
      <c r="F146" s="95" t="s">
        <v>37</v>
      </c>
      <c r="G146" s="95" t="s">
        <v>118</v>
      </c>
      <c r="H146" s="95" t="s">
        <v>39</v>
      </c>
      <c r="I146" s="96" t="s">
        <v>359</v>
      </c>
    </row>
    <row r="147" spans="1:9" ht="15.6" x14ac:dyDescent="0.3">
      <c r="A147" s="95" t="s">
        <v>417</v>
      </c>
      <c r="B147" s="95" t="s">
        <v>44</v>
      </c>
      <c r="C147" s="95" t="s">
        <v>45</v>
      </c>
      <c r="D147" s="95" t="s">
        <v>1</v>
      </c>
      <c r="E147" s="95" t="s">
        <v>383</v>
      </c>
      <c r="F147" s="95" t="s">
        <v>46</v>
      </c>
      <c r="G147" s="95" t="s">
        <v>135</v>
      </c>
      <c r="H147" s="95" t="s">
        <v>30</v>
      </c>
      <c r="I147" s="96" t="s">
        <v>375</v>
      </c>
    </row>
    <row r="148" spans="1:9" ht="15.6" x14ac:dyDescent="0.3">
      <c r="A148" s="95" t="s">
        <v>417</v>
      </c>
      <c r="B148" s="95" t="s">
        <v>44</v>
      </c>
      <c r="C148" s="95" t="s">
        <v>53</v>
      </c>
      <c r="D148" s="95" t="s">
        <v>1</v>
      </c>
      <c r="E148" s="95" t="s">
        <v>374</v>
      </c>
      <c r="F148" s="95" t="s">
        <v>46</v>
      </c>
      <c r="G148" s="95" t="s">
        <v>92</v>
      </c>
      <c r="H148" s="95" t="s">
        <v>54</v>
      </c>
      <c r="I148" s="96" t="s">
        <v>356</v>
      </c>
    </row>
    <row r="149" spans="1:9" ht="15.6" x14ac:dyDescent="0.3">
      <c r="A149" s="95" t="s">
        <v>417</v>
      </c>
      <c r="B149" s="95" t="s">
        <v>44</v>
      </c>
      <c r="C149" s="95" t="s">
        <v>45</v>
      </c>
      <c r="D149" s="95" t="s">
        <v>1</v>
      </c>
      <c r="E149" s="95" t="s">
        <v>383</v>
      </c>
      <c r="F149" s="95" t="s">
        <v>49</v>
      </c>
      <c r="G149" s="95" t="s">
        <v>135</v>
      </c>
      <c r="H149" s="95" t="s">
        <v>88</v>
      </c>
      <c r="I149" s="96" t="s">
        <v>377</v>
      </c>
    </row>
    <row r="150" spans="1:9" ht="15.6" x14ac:dyDescent="0.3">
      <c r="A150" s="95" t="s">
        <v>417</v>
      </c>
      <c r="B150" s="95" t="s">
        <v>35</v>
      </c>
      <c r="C150" s="95" t="s">
        <v>36</v>
      </c>
      <c r="D150" s="95" t="s">
        <v>1</v>
      </c>
      <c r="E150" s="95" t="s">
        <v>349</v>
      </c>
      <c r="F150" s="95" t="s">
        <v>40</v>
      </c>
      <c r="G150" s="95" t="s">
        <v>118</v>
      </c>
      <c r="H150" s="95" t="s">
        <v>41</v>
      </c>
      <c r="I150" s="96" t="s">
        <v>359</v>
      </c>
    </row>
    <row r="151" spans="1:9" ht="15.6" x14ac:dyDescent="0.3">
      <c r="A151" s="95" t="s">
        <v>417</v>
      </c>
      <c r="B151" s="95" t="s">
        <v>79</v>
      </c>
      <c r="C151" s="95" t="s">
        <v>80</v>
      </c>
      <c r="D151" s="95" t="s">
        <v>1</v>
      </c>
      <c r="E151" s="95" t="s">
        <v>369</v>
      </c>
      <c r="F151" s="95" t="s">
        <v>156</v>
      </c>
      <c r="G151" s="95" t="s">
        <v>157</v>
      </c>
      <c r="H151" s="95" t="s">
        <v>154</v>
      </c>
      <c r="I151" s="96" t="s">
        <v>384</v>
      </c>
    </row>
    <row r="152" spans="1:9" ht="15.6" x14ac:dyDescent="0.3">
      <c r="A152" s="95" t="s">
        <v>417</v>
      </c>
      <c r="B152" s="95" t="s">
        <v>44</v>
      </c>
      <c r="C152" s="95" t="s">
        <v>53</v>
      </c>
      <c r="D152" s="95" t="s">
        <v>1</v>
      </c>
      <c r="E152" s="95" t="s">
        <v>374</v>
      </c>
      <c r="F152" s="95" t="s">
        <v>49</v>
      </c>
      <c r="G152" s="95" t="s">
        <v>92</v>
      </c>
      <c r="H152" s="95" t="s">
        <v>55</v>
      </c>
      <c r="I152" s="96" t="s">
        <v>358</v>
      </c>
    </row>
    <row r="153" spans="1:9" ht="15.6" x14ac:dyDescent="0.3">
      <c r="A153" s="95" t="s">
        <v>417</v>
      </c>
      <c r="B153" s="95" t="s">
        <v>26</v>
      </c>
      <c r="C153" s="95" t="s">
        <v>57</v>
      </c>
      <c r="D153" s="95" t="s">
        <v>1</v>
      </c>
      <c r="E153" s="95" t="s">
        <v>346</v>
      </c>
      <c r="F153" s="95" t="s">
        <v>28</v>
      </c>
      <c r="G153" s="95" t="s">
        <v>29</v>
      </c>
      <c r="H153" s="95" t="s">
        <v>126</v>
      </c>
      <c r="I153" s="98" t="s">
        <v>380</v>
      </c>
    </row>
    <row r="154" spans="1:9" ht="15.6" x14ac:dyDescent="0.3">
      <c r="A154" s="95" t="s">
        <v>417</v>
      </c>
      <c r="B154" s="95" t="s">
        <v>44</v>
      </c>
      <c r="C154" s="95" t="s">
        <v>45</v>
      </c>
      <c r="D154" s="95" t="s">
        <v>1</v>
      </c>
      <c r="E154" s="95" t="s">
        <v>383</v>
      </c>
      <c r="F154" s="95" t="s">
        <v>51</v>
      </c>
      <c r="G154" s="95" t="s">
        <v>135</v>
      </c>
      <c r="H154" s="95" t="s">
        <v>102</v>
      </c>
      <c r="I154" s="97" t="s">
        <v>379</v>
      </c>
    </row>
    <row r="155" spans="1:9" ht="15.6" x14ac:dyDescent="0.3">
      <c r="A155" s="95" t="s">
        <v>417</v>
      </c>
      <c r="B155" s="95" t="s">
        <v>44</v>
      </c>
      <c r="C155" s="95" t="s">
        <v>53</v>
      </c>
      <c r="D155" s="95" t="s">
        <v>1</v>
      </c>
      <c r="E155" s="95" t="s">
        <v>374</v>
      </c>
      <c r="F155" s="95" t="s">
        <v>51</v>
      </c>
      <c r="G155" s="95" t="s">
        <v>92</v>
      </c>
      <c r="H155" s="95" t="s">
        <v>56</v>
      </c>
      <c r="I155" s="97" t="s">
        <v>360</v>
      </c>
    </row>
    <row r="156" spans="1:9" ht="15.6" x14ac:dyDescent="0.3">
      <c r="A156" s="95" t="s">
        <v>417</v>
      </c>
      <c r="B156" s="95" t="s">
        <v>31</v>
      </c>
      <c r="C156" s="95" t="s">
        <v>32</v>
      </c>
      <c r="D156" s="95" t="s">
        <v>1</v>
      </c>
      <c r="E156" s="95" t="s">
        <v>347</v>
      </c>
      <c r="F156" s="95" t="s">
        <v>33</v>
      </c>
      <c r="G156" s="95" t="s">
        <v>29</v>
      </c>
      <c r="H156" s="95" t="s">
        <v>34</v>
      </c>
      <c r="I156" s="98" t="s">
        <v>418</v>
      </c>
    </row>
    <row r="157" spans="1:9" ht="15.6" x14ac:dyDescent="0.3">
      <c r="A157" s="95" t="s">
        <v>417</v>
      </c>
      <c r="B157" s="95" t="s">
        <v>31</v>
      </c>
      <c r="C157" s="95" t="s">
        <v>62</v>
      </c>
      <c r="D157" s="95" t="s">
        <v>1</v>
      </c>
      <c r="E157" s="95" t="s">
        <v>363</v>
      </c>
      <c r="F157" s="95" t="s">
        <v>33</v>
      </c>
      <c r="G157" s="95" t="s">
        <v>29</v>
      </c>
      <c r="H157" s="95" t="s">
        <v>155</v>
      </c>
      <c r="I157" s="98" t="s">
        <v>419</v>
      </c>
    </row>
    <row r="158" spans="1:9" ht="15.6" x14ac:dyDescent="0.3">
      <c r="A158" s="95" t="s">
        <v>417</v>
      </c>
      <c r="B158" s="95" t="s">
        <v>35</v>
      </c>
      <c r="C158" s="95" t="s">
        <v>36</v>
      </c>
      <c r="D158" s="95" t="s">
        <v>1</v>
      </c>
      <c r="E158" s="95" t="s">
        <v>349</v>
      </c>
      <c r="F158" s="95" t="s">
        <v>42</v>
      </c>
      <c r="G158" s="95" t="s">
        <v>118</v>
      </c>
      <c r="H158" s="95" t="s">
        <v>85</v>
      </c>
      <c r="I158" s="97" t="s">
        <v>381</v>
      </c>
    </row>
    <row r="159" spans="1:9" ht="15.6" x14ac:dyDescent="0.3">
      <c r="A159" s="95" t="s">
        <v>417</v>
      </c>
      <c r="B159" s="95" t="s">
        <v>69</v>
      </c>
      <c r="C159" s="95" t="s">
        <v>70</v>
      </c>
      <c r="D159" s="95" t="s">
        <v>1</v>
      </c>
      <c r="E159" s="95" t="s">
        <v>349</v>
      </c>
      <c r="F159" s="95" t="s">
        <v>71</v>
      </c>
      <c r="G159" s="95" t="s">
        <v>72</v>
      </c>
      <c r="H159" s="95" t="s">
        <v>73</v>
      </c>
      <c r="I159" s="97" t="s">
        <v>420</v>
      </c>
    </row>
    <row r="160" spans="1:9" ht="15.6" x14ac:dyDescent="0.3">
      <c r="A160" s="95" t="s">
        <v>421</v>
      </c>
      <c r="B160" s="95" t="s">
        <v>44</v>
      </c>
      <c r="C160" s="95" t="s">
        <v>53</v>
      </c>
      <c r="D160" s="95" t="s">
        <v>1</v>
      </c>
      <c r="E160" s="95" t="s">
        <v>374</v>
      </c>
      <c r="F160" s="95" t="s">
        <v>46</v>
      </c>
      <c r="G160" s="95" t="s">
        <v>60</v>
      </c>
      <c r="H160" s="95" t="s">
        <v>48</v>
      </c>
      <c r="I160" s="96" t="s">
        <v>384</v>
      </c>
    </row>
    <row r="161" spans="1:9" ht="15.6" x14ac:dyDescent="0.3">
      <c r="A161" s="95" t="s">
        <v>421</v>
      </c>
      <c r="B161" s="95" t="s">
        <v>44</v>
      </c>
      <c r="C161" s="95" t="s">
        <v>53</v>
      </c>
      <c r="D161" s="95" t="s">
        <v>1</v>
      </c>
      <c r="E161" s="95" t="s">
        <v>374</v>
      </c>
      <c r="F161" s="95" t="s">
        <v>49</v>
      </c>
      <c r="G161" s="95" t="s">
        <v>60</v>
      </c>
      <c r="H161" s="95" t="s">
        <v>50</v>
      </c>
      <c r="I161" s="98" t="s">
        <v>387</v>
      </c>
    </row>
    <row r="162" spans="1:9" ht="15.6" x14ac:dyDescent="0.3">
      <c r="A162" s="95" t="s">
        <v>421</v>
      </c>
      <c r="B162" s="95" t="s">
        <v>44</v>
      </c>
      <c r="C162" s="95" t="s">
        <v>53</v>
      </c>
      <c r="D162" s="95" t="s">
        <v>1</v>
      </c>
      <c r="E162" s="95" t="s">
        <v>374</v>
      </c>
      <c r="F162" s="95" t="s">
        <v>51</v>
      </c>
      <c r="G162" s="95" t="s">
        <v>60</v>
      </c>
      <c r="H162" s="95" t="s">
        <v>52</v>
      </c>
      <c r="I162" s="97" t="s">
        <v>388</v>
      </c>
    </row>
    <row r="163" spans="1:9" ht="15.6" x14ac:dyDescent="0.3">
      <c r="A163" s="93" t="s">
        <v>422</v>
      </c>
      <c r="B163" s="93" t="s">
        <v>63</v>
      </c>
      <c r="C163" s="93" t="s">
        <v>64</v>
      </c>
      <c r="D163" s="93" t="s">
        <v>1</v>
      </c>
      <c r="E163" s="93" t="s">
        <v>284</v>
      </c>
      <c r="F163" s="93" t="s">
        <v>28</v>
      </c>
      <c r="G163" s="93" t="s">
        <v>29</v>
      </c>
      <c r="H163" s="93" t="s">
        <v>65</v>
      </c>
      <c r="I163" s="94" t="s">
        <v>355</v>
      </c>
    </row>
    <row r="164" spans="1:9" ht="15.6" x14ac:dyDescent="0.3">
      <c r="A164" s="95" t="s">
        <v>422</v>
      </c>
      <c r="B164" s="95" t="s">
        <v>44</v>
      </c>
      <c r="C164" s="95" t="s">
        <v>53</v>
      </c>
      <c r="D164" s="95" t="s">
        <v>1</v>
      </c>
      <c r="E164" s="95" t="s">
        <v>374</v>
      </c>
      <c r="F164" s="95" t="s">
        <v>46</v>
      </c>
      <c r="G164" s="95" t="s">
        <v>47</v>
      </c>
      <c r="H164" s="95" t="s">
        <v>48</v>
      </c>
      <c r="I164" s="96" t="s">
        <v>356</v>
      </c>
    </row>
    <row r="165" spans="1:9" ht="15.6" x14ac:dyDescent="0.3">
      <c r="A165" s="95" t="s">
        <v>422</v>
      </c>
      <c r="B165" s="95" t="s">
        <v>44</v>
      </c>
      <c r="C165" s="95" t="s">
        <v>45</v>
      </c>
      <c r="D165" s="95" t="s">
        <v>1</v>
      </c>
      <c r="E165" s="95" t="s">
        <v>383</v>
      </c>
      <c r="F165" s="95" t="s">
        <v>46</v>
      </c>
      <c r="G165" s="95" t="s">
        <v>47</v>
      </c>
      <c r="H165" s="95" t="s">
        <v>48</v>
      </c>
      <c r="I165" s="96" t="s">
        <v>356</v>
      </c>
    </row>
    <row r="166" spans="1:9" ht="15.6" x14ac:dyDescent="0.3">
      <c r="A166" s="95" t="s">
        <v>422</v>
      </c>
      <c r="B166" s="95" t="s">
        <v>74</v>
      </c>
      <c r="C166" s="95" t="s">
        <v>75</v>
      </c>
      <c r="D166" s="95" t="s">
        <v>1</v>
      </c>
      <c r="E166" s="95" t="s">
        <v>385</v>
      </c>
      <c r="F166" s="95" t="s">
        <v>76</v>
      </c>
      <c r="G166" s="95" t="s">
        <v>47</v>
      </c>
      <c r="H166" s="95" t="s">
        <v>113</v>
      </c>
      <c r="I166" s="98" t="s">
        <v>380</v>
      </c>
    </row>
    <row r="167" spans="1:9" ht="15.6" x14ac:dyDescent="0.3">
      <c r="A167" s="95" t="s">
        <v>422</v>
      </c>
      <c r="B167" s="95" t="s">
        <v>26</v>
      </c>
      <c r="C167" s="95" t="s">
        <v>57</v>
      </c>
      <c r="D167" s="95" t="s">
        <v>1</v>
      </c>
      <c r="E167" s="95" t="s">
        <v>423</v>
      </c>
      <c r="F167" s="95" t="s">
        <v>156</v>
      </c>
      <c r="G167" s="95" t="s">
        <v>29</v>
      </c>
      <c r="H167" s="95" t="s">
        <v>133</v>
      </c>
      <c r="I167" s="96" t="s">
        <v>384</v>
      </c>
    </row>
    <row r="168" spans="1:9" ht="15.6" x14ac:dyDescent="0.3">
      <c r="A168" s="95" t="s">
        <v>422</v>
      </c>
      <c r="B168" s="95" t="s">
        <v>44</v>
      </c>
      <c r="C168" s="95" t="s">
        <v>53</v>
      </c>
      <c r="D168" s="95" t="s">
        <v>1</v>
      </c>
      <c r="E168" s="95" t="s">
        <v>374</v>
      </c>
      <c r="F168" s="95" t="s">
        <v>49</v>
      </c>
      <c r="G168" s="95" t="s">
        <v>47</v>
      </c>
      <c r="H168" s="95" t="s">
        <v>50</v>
      </c>
      <c r="I168" s="96" t="s">
        <v>358</v>
      </c>
    </row>
    <row r="169" spans="1:9" ht="15.6" x14ac:dyDescent="0.3">
      <c r="A169" s="95" t="s">
        <v>422</v>
      </c>
      <c r="B169" s="95" t="s">
        <v>44</v>
      </c>
      <c r="C169" s="95" t="s">
        <v>45</v>
      </c>
      <c r="D169" s="95" t="s">
        <v>1</v>
      </c>
      <c r="E169" s="95" t="s">
        <v>383</v>
      </c>
      <c r="F169" s="95" t="s">
        <v>49</v>
      </c>
      <c r="G169" s="95" t="s">
        <v>47</v>
      </c>
      <c r="H169" s="95" t="s">
        <v>50</v>
      </c>
      <c r="I169" s="96" t="s">
        <v>358</v>
      </c>
    </row>
    <row r="170" spans="1:9" ht="15.6" x14ac:dyDescent="0.3">
      <c r="A170" s="95" t="s">
        <v>422</v>
      </c>
      <c r="B170" s="95" t="s">
        <v>44</v>
      </c>
      <c r="C170" s="95" t="s">
        <v>53</v>
      </c>
      <c r="D170" s="95" t="s">
        <v>1</v>
      </c>
      <c r="E170" s="95" t="s">
        <v>374</v>
      </c>
      <c r="F170" s="95" t="s">
        <v>51</v>
      </c>
      <c r="G170" s="95" t="s">
        <v>47</v>
      </c>
      <c r="H170" s="95" t="s">
        <v>52</v>
      </c>
      <c r="I170" s="97" t="s">
        <v>360</v>
      </c>
    </row>
    <row r="171" spans="1:9" ht="15.6" x14ac:dyDescent="0.3">
      <c r="A171" s="95" t="s">
        <v>422</v>
      </c>
      <c r="B171" s="95" t="s">
        <v>44</v>
      </c>
      <c r="C171" s="95" t="s">
        <v>45</v>
      </c>
      <c r="D171" s="95" t="s">
        <v>1</v>
      </c>
      <c r="E171" s="95" t="s">
        <v>383</v>
      </c>
      <c r="F171" s="95" t="s">
        <v>51</v>
      </c>
      <c r="G171" s="95" t="s">
        <v>47</v>
      </c>
      <c r="H171" s="95" t="s">
        <v>52</v>
      </c>
      <c r="I171" s="97" t="s">
        <v>360</v>
      </c>
    </row>
    <row r="172" spans="1:9" ht="15.6" x14ac:dyDescent="0.3">
      <c r="A172" s="95" t="s">
        <v>422</v>
      </c>
      <c r="B172" s="95" t="s">
        <v>74</v>
      </c>
      <c r="C172" s="95" t="s">
        <v>75</v>
      </c>
      <c r="D172" s="95" t="s">
        <v>1</v>
      </c>
      <c r="E172" s="95" t="s">
        <v>385</v>
      </c>
      <c r="F172" s="95" t="s">
        <v>42</v>
      </c>
      <c r="G172" s="95" t="s">
        <v>47</v>
      </c>
      <c r="H172" s="95" t="s">
        <v>159</v>
      </c>
      <c r="I172" s="97" t="s">
        <v>424</v>
      </c>
    </row>
    <row r="173" spans="1:9" ht="15.6" x14ac:dyDescent="0.3">
      <c r="A173" s="95" t="s">
        <v>422</v>
      </c>
      <c r="B173" s="95" t="s">
        <v>35</v>
      </c>
      <c r="C173" s="95" t="s">
        <v>36</v>
      </c>
      <c r="D173" s="95" t="s">
        <v>1</v>
      </c>
      <c r="E173" s="95" t="s">
        <v>349</v>
      </c>
      <c r="F173" s="95" t="s">
        <v>42</v>
      </c>
      <c r="G173" s="95" t="s">
        <v>141</v>
      </c>
      <c r="H173" s="95" t="s">
        <v>85</v>
      </c>
      <c r="I173" s="97" t="s">
        <v>372</v>
      </c>
    </row>
    <row r="174" spans="1:9" ht="15.6" x14ac:dyDescent="0.3">
      <c r="A174" s="95" t="s">
        <v>422</v>
      </c>
      <c r="B174" s="95" t="s">
        <v>69</v>
      </c>
      <c r="C174" s="95" t="s">
        <v>70</v>
      </c>
      <c r="D174" s="95" t="s">
        <v>1</v>
      </c>
      <c r="E174" s="95" t="s">
        <v>349</v>
      </c>
      <c r="F174" s="95" t="s">
        <v>71</v>
      </c>
      <c r="G174" s="95" t="s">
        <v>72</v>
      </c>
      <c r="H174" s="95" t="s">
        <v>117</v>
      </c>
      <c r="I174" s="97" t="s">
        <v>392</v>
      </c>
    </row>
    <row r="175" spans="1:9" ht="15.6" x14ac:dyDescent="0.3">
      <c r="A175" s="95" t="s">
        <v>425</v>
      </c>
      <c r="B175" s="95" t="s">
        <v>44</v>
      </c>
      <c r="C175" s="95" t="s">
        <v>53</v>
      </c>
      <c r="D175" s="95" t="s">
        <v>1</v>
      </c>
      <c r="E175" s="95" t="s">
        <v>403</v>
      </c>
      <c r="F175" s="95" t="s">
        <v>46</v>
      </c>
      <c r="G175" s="95" t="s">
        <v>60</v>
      </c>
      <c r="H175" s="95" t="s">
        <v>48</v>
      </c>
      <c r="I175" s="96" t="s">
        <v>356</v>
      </c>
    </row>
    <row r="176" spans="1:9" ht="15.6" x14ac:dyDescent="0.3">
      <c r="A176" s="95" t="s">
        <v>425</v>
      </c>
      <c r="B176" s="95" t="s">
        <v>44</v>
      </c>
      <c r="C176" s="95" t="s">
        <v>53</v>
      </c>
      <c r="D176" s="95" t="s">
        <v>1</v>
      </c>
      <c r="E176" s="95" t="s">
        <v>403</v>
      </c>
      <c r="F176" s="95" t="s">
        <v>49</v>
      </c>
      <c r="G176" s="95" t="s">
        <v>60</v>
      </c>
      <c r="H176" s="95" t="s">
        <v>50</v>
      </c>
      <c r="I176" s="96" t="s">
        <v>358</v>
      </c>
    </row>
    <row r="177" spans="1:9" ht="15.6" x14ac:dyDescent="0.3">
      <c r="A177" s="95" t="s">
        <v>425</v>
      </c>
      <c r="B177" s="95" t="s">
        <v>44</v>
      </c>
      <c r="C177" s="95" t="s">
        <v>53</v>
      </c>
      <c r="D177" s="95" t="s">
        <v>1</v>
      </c>
      <c r="E177" s="95" t="s">
        <v>403</v>
      </c>
      <c r="F177" s="95" t="s">
        <v>51</v>
      </c>
      <c r="G177" s="95" t="s">
        <v>60</v>
      </c>
      <c r="H177" s="95" t="s">
        <v>52</v>
      </c>
      <c r="I177" s="97" t="s">
        <v>360</v>
      </c>
    </row>
    <row r="178" spans="1:9" ht="15.6" x14ac:dyDescent="0.3">
      <c r="A178" s="95" t="s">
        <v>425</v>
      </c>
      <c r="B178" s="95" t="s">
        <v>35</v>
      </c>
      <c r="C178" s="95" t="s">
        <v>36</v>
      </c>
      <c r="D178" s="95" t="s">
        <v>1</v>
      </c>
      <c r="E178" s="95" t="s">
        <v>349</v>
      </c>
      <c r="F178" s="95" t="s">
        <v>42</v>
      </c>
      <c r="G178" s="95" t="s">
        <v>139</v>
      </c>
      <c r="H178" s="95" t="s">
        <v>85</v>
      </c>
      <c r="I178" s="97" t="s">
        <v>372</v>
      </c>
    </row>
    <row r="179" spans="1:9" ht="15.6" x14ac:dyDescent="0.3">
      <c r="A179" s="95" t="s">
        <v>425</v>
      </c>
      <c r="B179" s="95" t="s">
        <v>69</v>
      </c>
      <c r="C179" s="95" t="s">
        <v>70</v>
      </c>
      <c r="D179" s="95" t="s">
        <v>1</v>
      </c>
      <c r="E179" s="95" t="s">
        <v>349</v>
      </c>
      <c r="F179" s="95" t="s">
        <v>71</v>
      </c>
      <c r="G179" s="95" t="s">
        <v>72</v>
      </c>
      <c r="H179" s="95" t="s">
        <v>117</v>
      </c>
      <c r="I179" s="97" t="s">
        <v>392</v>
      </c>
    </row>
    <row r="180" spans="1:9" ht="15.6" x14ac:dyDescent="0.3">
      <c r="A180" s="93" t="s">
        <v>426</v>
      </c>
      <c r="B180" s="93" t="s">
        <v>63</v>
      </c>
      <c r="C180" s="93" t="s">
        <v>64</v>
      </c>
      <c r="D180" s="93" t="s">
        <v>1</v>
      </c>
      <c r="E180" s="93" t="s">
        <v>274</v>
      </c>
      <c r="F180" s="93" t="s">
        <v>28</v>
      </c>
      <c r="G180" s="93" t="s">
        <v>29</v>
      </c>
      <c r="H180" s="93" t="s">
        <v>162</v>
      </c>
      <c r="I180" s="94" t="s">
        <v>355</v>
      </c>
    </row>
    <row r="181" spans="1:9" ht="15.6" x14ac:dyDescent="0.3">
      <c r="A181" s="95" t="s">
        <v>426</v>
      </c>
      <c r="B181" s="95" t="s">
        <v>35</v>
      </c>
      <c r="C181" s="95" t="s">
        <v>36</v>
      </c>
      <c r="D181" s="95" t="s">
        <v>1</v>
      </c>
      <c r="E181" s="95" t="s">
        <v>349</v>
      </c>
      <c r="F181" s="95" t="s">
        <v>37</v>
      </c>
      <c r="G181" s="95" t="s">
        <v>144</v>
      </c>
      <c r="H181" s="95" t="s">
        <v>111</v>
      </c>
      <c r="I181" s="98" t="s">
        <v>387</v>
      </c>
    </row>
    <row r="182" spans="1:9" ht="15.6" x14ac:dyDescent="0.3">
      <c r="A182" s="95" t="s">
        <v>426</v>
      </c>
      <c r="B182" s="95" t="s">
        <v>44</v>
      </c>
      <c r="C182" s="95" t="s">
        <v>45</v>
      </c>
      <c r="D182" s="95" t="s">
        <v>1</v>
      </c>
      <c r="E182" s="95" t="s">
        <v>383</v>
      </c>
      <c r="F182" s="95" t="s">
        <v>46</v>
      </c>
      <c r="G182" s="95" t="s">
        <v>135</v>
      </c>
      <c r="H182" s="95" t="s">
        <v>48</v>
      </c>
      <c r="I182" s="98" t="s">
        <v>416</v>
      </c>
    </row>
    <row r="183" spans="1:9" ht="15.6" x14ac:dyDescent="0.3">
      <c r="A183" s="95" t="s">
        <v>426</v>
      </c>
      <c r="B183" s="95" t="s">
        <v>44</v>
      </c>
      <c r="C183" s="95" t="s">
        <v>53</v>
      </c>
      <c r="D183" s="95" t="s">
        <v>1</v>
      </c>
      <c r="E183" s="95" t="s">
        <v>374</v>
      </c>
      <c r="F183" s="95" t="s">
        <v>46</v>
      </c>
      <c r="G183" s="95" t="s">
        <v>60</v>
      </c>
      <c r="H183" s="95" t="s">
        <v>54</v>
      </c>
      <c r="I183" s="98" t="s">
        <v>419</v>
      </c>
    </row>
    <row r="184" spans="1:9" ht="15.6" x14ac:dyDescent="0.3">
      <c r="A184" s="95" t="s">
        <v>426</v>
      </c>
      <c r="B184" s="95" t="s">
        <v>26</v>
      </c>
      <c r="C184" s="95" t="s">
        <v>57</v>
      </c>
      <c r="D184" s="95" t="s">
        <v>1</v>
      </c>
      <c r="E184" s="95" t="s">
        <v>346</v>
      </c>
      <c r="F184" s="95" t="s">
        <v>156</v>
      </c>
      <c r="G184" s="95" t="s">
        <v>29</v>
      </c>
      <c r="H184" s="95" t="s">
        <v>133</v>
      </c>
      <c r="I184" s="97" t="s">
        <v>400</v>
      </c>
    </row>
    <row r="185" spans="1:9" ht="15.6" x14ac:dyDescent="0.3">
      <c r="A185" s="95" t="s">
        <v>426</v>
      </c>
      <c r="B185" s="95" t="s">
        <v>44</v>
      </c>
      <c r="C185" s="95" t="s">
        <v>45</v>
      </c>
      <c r="D185" s="95" t="s">
        <v>1</v>
      </c>
      <c r="E185" s="95" t="s">
        <v>383</v>
      </c>
      <c r="F185" s="95" t="s">
        <v>49</v>
      </c>
      <c r="G185" s="95" t="s">
        <v>135</v>
      </c>
      <c r="H185" s="95" t="s">
        <v>50</v>
      </c>
      <c r="I185" s="97" t="s">
        <v>427</v>
      </c>
    </row>
    <row r="186" spans="1:9" ht="15.6" x14ac:dyDescent="0.3">
      <c r="A186" s="95" t="s">
        <v>426</v>
      </c>
      <c r="B186" s="95" t="s">
        <v>35</v>
      </c>
      <c r="C186" s="95" t="s">
        <v>36</v>
      </c>
      <c r="D186" s="95" t="s">
        <v>1</v>
      </c>
      <c r="E186" s="95" t="s">
        <v>349</v>
      </c>
      <c r="F186" s="95" t="s">
        <v>40</v>
      </c>
      <c r="G186" s="95" t="s">
        <v>144</v>
      </c>
      <c r="H186" s="95" t="s">
        <v>112</v>
      </c>
      <c r="I186" s="98" t="s">
        <v>387</v>
      </c>
    </row>
    <row r="187" spans="1:9" ht="15.6" x14ac:dyDescent="0.3">
      <c r="A187" s="95" t="s">
        <v>426</v>
      </c>
      <c r="B187" s="95" t="s">
        <v>44</v>
      </c>
      <c r="C187" s="95" t="s">
        <v>53</v>
      </c>
      <c r="D187" s="95" t="s">
        <v>1</v>
      </c>
      <c r="E187" s="95" t="s">
        <v>374</v>
      </c>
      <c r="F187" s="95" t="s">
        <v>49</v>
      </c>
      <c r="G187" s="95" t="s">
        <v>60</v>
      </c>
      <c r="H187" s="95" t="s">
        <v>55</v>
      </c>
      <c r="I187" s="98" t="s">
        <v>380</v>
      </c>
    </row>
    <row r="188" spans="1:9" ht="15.6" x14ac:dyDescent="0.3">
      <c r="A188" s="95" t="s">
        <v>426</v>
      </c>
      <c r="B188" s="95" t="s">
        <v>44</v>
      </c>
      <c r="C188" s="95" t="s">
        <v>45</v>
      </c>
      <c r="D188" s="95" t="s">
        <v>1</v>
      </c>
      <c r="E188" s="95" t="s">
        <v>383</v>
      </c>
      <c r="F188" s="95" t="s">
        <v>51</v>
      </c>
      <c r="G188" s="95" t="s">
        <v>135</v>
      </c>
      <c r="H188" s="95" t="s">
        <v>52</v>
      </c>
      <c r="I188" s="97" t="s">
        <v>428</v>
      </c>
    </row>
    <row r="189" spans="1:9" ht="15.6" x14ac:dyDescent="0.3">
      <c r="A189" s="95" t="s">
        <v>426</v>
      </c>
      <c r="B189" s="95" t="s">
        <v>44</v>
      </c>
      <c r="C189" s="95" t="s">
        <v>53</v>
      </c>
      <c r="D189" s="95" t="s">
        <v>1</v>
      </c>
      <c r="E189" s="95" t="s">
        <v>374</v>
      </c>
      <c r="F189" s="95" t="s">
        <v>51</v>
      </c>
      <c r="G189" s="95" t="s">
        <v>60</v>
      </c>
      <c r="H189" s="95" t="s">
        <v>56</v>
      </c>
      <c r="I189" s="97" t="s">
        <v>429</v>
      </c>
    </row>
    <row r="190" spans="1:9" ht="15.6" x14ac:dyDescent="0.3">
      <c r="A190" s="95" t="s">
        <v>426</v>
      </c>
      <c r="B190" s="95" t="s">
        <v>35</v>
      </c>
      <c r="C190" s="95" t="s">
        <v>36</v>
      </c>
      <c r="D190" s="95" t="s">
        <v>1</v>
      </c>
      <c r="E190" s="95" t="s">
        <v>349</v>
      </c>
      <c r="F190" s="95" t="s">
        <v>42</v>
      </c>
      <c r="G190" s="95" t="s">
        <v>144</v>
      </c>
      <c r="H190" s="95" t="s">
        <v>85</v>
      </c>
      <c r="I190" s="97" t="s">
        <v>430</v>
      </c>
    </row>
    <row r="191" spans="1:9" ht="15.6" x14ac:dyDescent="0.3">
      <c r="A191" s="95" t="s">
        <v>426</v>
      </c>
      <c r="B191" s="95" t="s">
        <v>69</v>
      </c>
      <c r="C191" s="95" t="s">
        <v>70</v>
      </c>
      <c r="D191" s="95" t="s">
        <v>1</v>
      </c>
      <c r="E191" s="95" t="s">
        <v>349</v>
      </c>
      <c r="F191" s="95" t="s">
        <v>71</v>
      </c>
      <c r="G191" s="95" t="s">
        <v>72</v>
      </c>
      <c r="H191" s="95" t="s">
        <v>117</v>
      </c>
      <c r="I191" s="97" t="s">
        <v>431</v>
      </c>
    </row>
    <row r="192" spans="1:9" ht="15.6" x14ac:dyDescent="0.3">
      <c r="A192" s="95" t="s">
        <v>432</v>
      </c>
      <c r="B192" s="95" t="s">
        <v>79</v>
      </c>
      <c r="C192" s="95" t="s">
        <v>80</v>
      </c>
      <c r="D192" s="95" t="s">
        <v>1</v>
      </c>
      <c r="E192" s="95" t="s">
        <v>366</v>
      </c>
      <c r="F192" s="95" t="s">
        <v>156</v>
      </c>
      <c r="G192" s="95" t="s">
        <v>87</v>
      </c>
      <c r="H192" s="95" t="s">
        <v>154</v>
      </c>
      <c r="I192" s="98" t="s">
        <v>416</v>
      </c>
    </row>
    <row r="193" spans="1:9" ht="15.6" x14ac:dyDescent="0.3">
      <c r="A193" s="93" t="s">
        <v>433</v>
      </c>
      <c r="B193" s="93" t="s">
        <v>63</v>
      </c>
      <c r="C193" s="93" t="s">
        <v>64</v>
      </c>
      <c r="D193" s="93" t="s">
        <v>1</v>
      </c>
      <c r="E193" s="93" t="s">
        <v>284</v>
      </c>
      <c r="F193" s="93" t="s">
        <v>156</v>
      </c>
      <c r="G193" s="93" t="s">
        <v>157</v>
      </c>
      <c r="H193" s="93" t="s">
        <v>65</v>
      </c>
      <c r="I193" s="94" t="s">
        <v>355</v>
      </c>
    </row>
    <row r="194" spans="1:9" ht="15.6" x14ac:dyDescent="0.3">
      <c r="A194" s="95" t="s">
        <v>433</v>
      </c>
      <c r="B194" s="95" t="s">
        <v>35</v>
      </c>
      <c r="C194" s="95" t="s">
        <v>36</v>
      </c>
      <c r="D194" s="95" t="s">
        <v>1</v>
      </c>
      <c r="E194" s="95" t="s">
        <v>349</v>
      </c>
      <c r="F194" s="95" t="s">
        <v>37</v>
      </c>
      <c r="G194" s="95" t="s">
        <v>141</v>
      </c>
      <c r="H194" s="95" t="s">
        <v>100</v>
      </c>
      <c r="I194" s="96" t="s">
        <v>358</v>
      </c>
    </row>
    <row r="195" spans="1:9" ht="15.6" x14ac:dyDescent="0.3">
      <c r="A195" s="95" t="s">
        <v>433</v>
      </c>
      <c r="B195" s="95" t="s">
        <v>44</v>
      </c>
      <c r="C195" s="95" t="s">
        <v>45</v>
      </c>
      <c r="D195" s="95" t="s">
        <v>1</v>
      </c>
      <c r="E195" s="95" t="s">
        <v>383</v>
      </c>
      <c r="F195" s="95" t="s">
        <v>46</v>
      </c>
      <c r="G195" s="95" t="s">
        <v>47</v>
      </c>
      <c r="H195" s="95" t="s">
        <v>88</v>
      </c>
      <c r="I195" s="96" t="s">
        <v>389</v>
      </c>
    </row>
    <row r="196" spans="1:9" ht="15.6" x14ac:dyDescent="0.3">
      <c r="A196" s="95" t="s">
        <v>433</v>
      </c>
      <c r="B196" s="95" t="s">
        <v>31</v>
      </c>
      <c r="C196" s="95" t="s">
        <v>58</v>
      </c>
      <c r="D196" s="95" t="s">
        <v>1</v>
      </c>
      <c r="E196" s="95" t="s">
        <v>352</v>
      </c>
      <c r="F196" s="95" t="s">
        <v>94</v>
      </c>
      <c r="G196" s="95" t="s">
        <v>29</v>
      </c>
      <c r="H196" s="95" t="s">
        <v>168</v>
      </c>
      <c r="I196" s="96" t="s">
        <v>358</v>
      </c>
    </row>
    <row r="197" spans="1:9" ht="15.6" x14ac:dyDescent="0.3">
      <c r="A197" s="95" t="s">
        <v>433</v>
      </c>
      <c r="B197" s="95" t="s">
        <v>79</v>
      </c>
      <c r="C197" s="95" t="s">
        <v>80</v>
      </c>
      <c r="D197" s="95" t="s">
        <v>1</v>
      </c>
      <c r="E197" s="95" t="s">
        <v>369</v>
      </c>
      <c r="F197" s="95" t="s">
        <v>156</v>
      </c>
      <c r="G197" s="95" t="s">
        <v>92</v>
      </c>
      <c r="H197" s="95" t="s">
        <v>154</v>
      </c>
      <c r="I197" s="98" t="s">
        <v>416</v>
      </c>
    </row>
    <row r="198" spans="1:9" ht="15.6" x14ac:dyDescent="0.3">
      <c r="A198" s="95" t="s">
        <v>433</v>
      </c>
      <c r="B198" s="95" t="s">
        <v>31</v>
      </c>
      <c r="C198" s="95" t="s">
        <v>62</v>
      </c>
      <c r="D198" s="95" t="s">
        <v>1</v>
      </c>
      <c r="E198" s="95" t="s">
        <v>363</v>
      </c>
      <c r="F198" s="95" t="s">
        <v>94</v>
      </c>
      <c r="G198" s="95" t="s">
        <v>29</v>
      </c>
      <c r="H198" s="95" t="s">
        <v>169</v>
      </c>
      <c r="I198" s="96" t="s">
        <v>389</v>
      </c>
    </row>
    <row r="199" spans="1:9" ht="15.6" x14ac:dyDescent="0.3">
      <c r="A199" s="95" t="s">
        <v>433</v>
      </c>
      <c r="B199" s="95" t="s">
        <v>35</v>
      </c>
      <c r="C199" s="95" t="s">
        <v>36</v>
      </c>
      <c r="D199" s="95" t="s">
        <v>1</v>
      </c>
      <c r="E199" s="95" t="s">
        <v>349</v>
      </c>
      <c r="F199" s="95" t="s">
        <v>40</v>
      </c>
      <c r="G199" s="95" t="s">
        <v>141</v>
      </c>
      <c r="H199" s="95" t="s">
        <v>101</v>
      </c>
      <c r="I199" s="96" t="s">
        <v>358</v>
      </c>
    </row>
    <row r="200" spans="1:9" ht="15.6" x14ac:dyDescent="0.3">
      <c r="A200" s="95" t="s">
        <v>433</v>
      </c>
      <c r="B200" s="95" t="s">
        <v>26</v>
      </c>
      <c r="C200" s="95" t="s">
        <v>93</v>
      </c>
      <c r="D200" s="95" t="s">
        <v>1</v>
      </c>
      <c r="E200" s="95" t="s">
        <v>370</v>
      </c>
      <c r="F200" s="95" t="s">
        <v>156</v>
      </c>
      <c r="G200" s="95" t="s">
        <v>92</v>
      </c>
      <c r="H200" s="95" t="s">
        <v>126</v>
      </c>
      <c r="I200" s="98" t="s">
        <v>434</v>
      </c>
    </row>
    <row r="201" spans="1:9" ht="15.6" x14ac:dyDescent="0.3">
      <c r="A201" s="95" t="s">
        <v>433</v>
      </c>
      <c r="B201" s="95" t="s">
        <v>44</v>
      </c>
      <c r="C201" s="95" t="s">
        <v>45</v>
      </c>
      <c r="D201" s="95" t="s">
        <v>1</v>
      </c>
      <c r="E201" s="95" t="s">
        <v>383</v>
      </c>
      <c r="F201" s="95" t="s">
        <v>49</v>
      </c>
      <c r="G201" s="95" t="s">
        <v>47</v>
      </c>
      <c r="H201" s="95" t="s">
        <v>89</v>
      </c>
      <c r="I201" s="96" t="s">
        <v>435</v>
      </c>
    </row>
    <row r="202" spans="1:9" ht="15.6" x14ac:dyDescent="0.3">
      <c r="A202" s="95" t="s">
        <v>433</v>
      </c>
      <c r="B202" s="95" t="s">
        <v>31</v>
      </c>
      <c r="C202" s="95" t="s">
        <v>32</v>
      </c>
      <c r="D202" s="95" t="s">
        <v>1</v>
      </c>
      <c r="E202" s="95" t="s">
        <v>347</v>
      </c>
      <c r="F202" s="95" t="s">
        <v>33</v>
      </c>
      <c r="G202" s="95" t="s">
        <v>29</v>
      </c>
      <c r="H202" s="95" t="s">
        <v>125</v>
      </c>
      <c r="I202" s="97" t="s">
        <v>436</v>
      </c>
    </row>
    <row r="203" spans="1:9" ht="15.6" x14ac:dyDescent="0.3">
      <c r="A203" s="95" t="s">
        <v>433</v>
      </c>
      <c r="B203" s="95" t="s">
        <v>44</v>
      </c>
      <c r="C203" s="95" t="s">
        <v>53</v>
      </c>
      <c r="D203" s="95" t="s">
        <v>1</v>
      </c>
      <c r="E203" s="95" t="s">
        <v>374</v>
      </c>
      <c r="F203" s="95" t="s">
        <v>49</v>
      </c>
      <c r="G203" s="95" t="s">
        <v>157</v>
      </c>
      <c r="H203" s="95" t="s">
        <v>166</v>
      </c>
      <c r="I203" s="96" t="s">
        <v>375</v>
      </c>
    </row>
    <row r="204" spans="1:9" ht="15.6" x14ac:dyDescent="0.3">
      <c r="A204" s="95" t="s">
        <v>433</v>
      </c>
      <c r="B204" s="95" t="s">
        <v>26</v>
      </c>
      <c r="C204" s="95" t="s">
        <v>57</v>
      </c>
      <c r="D204" s="95" t="s">
        <v>1</v>
      </c>
      <c r="E204" s="95" t="s">
        <v>346</v>
      </c>
      <c r="F204" s="95" t="s">
        <v>156</v>
      </c>
      <c r="G204" s="95" t="s">
        <v>72</v>
      </c>
      <c r="H204" s="95" t="s">
        <v>165</v>
      </c>
      <c r="I204" s="96" t="s">
        <v>389</v>
      </c>
    </row>
    <row r="205" spans="1:9" ht="15.6" x14ac:dyDescent="0.3">
      <c r="A205" s="95" t="s">
        <v>433</v>
      </c>
      <c r="B205" s="95" t="s">
        <v>44</v>
      </c>
      <c r="C205" s="95" t="s">
        <v>45</v>
      </c>
      <c r="D205" s="95" t="s">
        <v>1</v>
      </c>
      <c r="E205" s="95" t="s">
        <v>383</v>
      </c>
      <c r="F205" s="95" t="s">
        <v>51</v>
      </c>
      <c r="G205" s="95" t="s">
        <v>47</v>
      </c>
      <c r="H205" s="95" t="s">
        <v>90</v>
      </c>
      <c r="I205" s="97" t="s">
        <v>437</v>
      </c>
    </row>
    <row r="206" spans="1:9" ht="15.6" x14ac:dyDescent="0.3">
      <c r="A206" s="95" t="s">
        <v>433</v>
      </c>
      <c r="B206" s="95" t="s">
        <v>44</v>
      </c>
      <c r="C206" s="95" t="s">
        <v>53</v>
      </c>
      <c r="D206" s="95" t="s">
        <v>1</v>
      </c>
      <c r="E206" s="95" t="s">
        <v>374</v>
      </c>
      <c r="F206" s="95" t="s">
        <v>51</v>
      </c>
      <c r="G206" s="95" t="s">
        <v>157</v>
      </c>
      <c r="H206" s="95" t="s">
        <v>167</v>
      </c>
      <c r="I206" s="97" t="s">
        <v>424</v>
      </c>
    </row>
    <row r="207" spans="1:9" ht="15.6" x14ac:dyDescent="0.3">
      <c r="A207" s="95" t="s">
        <v>433</v>
      </c>
      <c r="B207" s="95" t="s">
        <v>35</v>
      </c>
      <c r="C207" s="95" t="s">
        <v>36</v>
      </c>
      <c r="D207" s="95" t="s">
        <v>1</v>
      </c>
      <c r="E207" s="95" t="s">
        <v>349</v>
      </c>
      <c r="F207" s="95" t="s">
        <v>42</v>
      </c>
      <c r="G207" s="95" t="s">
        <v>141</v>
      </c>
      <c r="H207" s="95" t="s">
        <v>85</v>
      </c>
      <c r="I207" s="97" t="s">
        <v>430</v>
      </c>
    </row>
    <row r="208" spans="1:9" ht="15.6" x14ac:dyDescent="0.3">
      <c r="A208" s="95" t="s">
        <v>433</v>
      </c>
      <c r="B208" s="95" t="s">
        <v>69</v>
      </c>
      <c r="C208" s="95" t="s">
        <v>70</v>
      </c>
      <c r="D208" s="95" t="s">
        <v>1</v>
      </c>
      <c r="E208" s="95" t="s">
        <v>349</v>
      </c>
      <c r="F208" s="95" t="s">
        <v>71</v>
      </c>
      <c r="G208" s="95" t="s">
        <v>72</v>
      </c>
      <c r="H208" s="95" t="s">
        <v>109</v>
      </c>
      <c r="I208" s="97" t="s">
        <v>438</v>
      </c>
    </row>
    <row r="209" spans="1:9" ht="15.6" x14ac:dyDescent="0.3">
      <c r="A209" s="93" t="s">
        <v>439</v>
      </c>
      <c r="B209" s="93" t="s">
        <v>63</v>
      </c>
      <c r="C209" s="93" t="s">
        <v>64</v>
      </c>
      <c r="D209" s="93" t="s">
        <v>1</v>
      </c>
      <c r="E209" s="93" t="s">
        <v>291</v>
      </c>
      <c r="F209" s="93" t="s">
        <v>156</v>
      </c>
      <c r="G209" s="93" t="s">
        <v>72</v>
      </c>
      <c r="H209" s="93" t="s">
        <v>106</v>
      </c>
      <c r="I209" s="94" t="s">
        <v>355</v>
      </c>
    </row>
    <row r="210" spans="1:9" ht="15.6" x14ac:dyDescent="0.3">
      <c r="A210" s="95" t="s">
        <v>439</v>
      </c>
      <c r="B210" s="95" t="s">
        <v>31</v>
      </c>
      <c r="C210" s="95" t="s">
        <v>58</v>
      </c>
      <c r="D210" s="95" t="s">
        <v>1</v>
      </c>
      <c r="E210" s="95" t="s">
        <v>352</v>
      </c>
      <c r="F210" s="95" t="s">
        <v>94</v>
      </c>
      <c r="G210" s="95" t="s">
        <v>29</v>
      </c>
      <c r="H210" s="95" t="s">
        <v>168</v>
      </c>
      <c r="I210" s="96" t="s">
        <v>358</v>
      </c>
    </row>
    <row r="211" spans="1:9" ht="15.6" x14ac:dyDescent="0.3">
      <c r="A211" s="95" t="s">
        <v>439</v>
      </c>
      <c r="B211" s="95" t="s">
        <v>31</v>
      </c>
      <c r="C211" s="95" t="s">
        <v>32</v>
      </c>
      <c r="D211" s="95" t="s">
        <v>1</v>
      </c>
      <c r="E211" s="95" t="s">
        <v>347</v>
      </c>
      <c r="F211" s="95" t="s">
        <v>33</v>
      </c>
      <c r="G211" s="95" t="s">
        <v>29</v>
      </c>
      <c r="H211" s="95" t="s">
        <v>103</v>
      </c>
      <c r="I211" s="97" t="s">
        <v>411</v>
      </c>
    </row>
    <row r="212" spans="1:9" ht="15.6" x14ac:dyDescent="0.3">
      <c r="A212" s="95" t="s">
        <v>439</v>
      </c>
      <c r="B212" s="95" t="s">
        <v>26</v>
      </c>
      <c r="C212" s="95" t="s">
        <v>27</v>
      </c>
      <c r="D212" s="95" t="s">
        <v>1</v>
      </c>
      <c r="E212" s="95" t="s">
        <v>346</v>
      </c>
      <c r="F212" s="95" t="s">
        <v>156</v>
      </c>
      <c r="G212" s="95" t="s">
        <v>135</v>
      </c>
      <c r="H212" s="95" t="s">
        <v>126</v>
      </c>
      <c r="I212" s="98" t="s">
        <v>380</v>
      </c>
    </row>
    <row r="213" spans="1:9" ht="15.6" x14ac:dyDescent="0.3">
      <c r="A213" s="95" t="s">
        <v>439</v>
      </c>
      <c r="B213" s="95" t="s">
        <v>79</v>
      </c>
      <c r="C213" s="95" t="s">
        <v>119</v>
      </c>
      <c r="D213" s="95" t="s">
        <v>1</v>
      </c>
      <c r="E213" s="95" t="s">
        <v>440</v>
      </c>
      <c r="F213" s="95" t="s">
        <v>156</v>
      </c>
      <c r="G213" s="95" t="s">
        <v>29</v>
      </c>
      <c r="H213" s="95" t="s">
        <v>172</v>
      </c>
      <c r="I213" s="96" t="s">
        <v>377</v>
      </c>
    </row>
    <row r="214" spans="1:9" ht="15.6" x14ac:dyDescent="0.3">
      <c r="A214" s="95" t="s">
        <v>439</v>
      </c>
      <c r="B214" s="95" t="s">
        <v>31</v>
      </c>
      <c r="C214" s="95" t="s">
        <v>62</v>
      </c>
      <c r="D214" s="95" t="s">
        <v>1</v>
      </c>
      <c r="E214" s="95" t="s">
        <v>363</v>
      </c>
      <c r="F214" s="95" t="s">
        <v>33</v>
      </c>
      <c r="G214" s="95" t="s">
        <v>29</v>
      </c>
      <c r="H214" s="95" t="s">
        <v>104</v>
      </c>
      <c r="I214" s="97" t="s">
        <v>372</v>
      </c>
    </row>
    <row r="215" spans="1:9" ht="15.6" x14ac:dyDescent="0.3">
      <c r="A215" s="95" t="s">
        <v>439</v>
      </c>
      <c r="B215" s="95" t="s">
        <v>69</v>
      </c>
      <c r="C215" s="95" t="s">
        <v>70</v>
      </c>
      <c r="D215" s="95" t="s">
        <v>1</v>
      </c>
      <c r="E215" s="95" t="s">
        <v>349</v>
      </c>
      <c r="F215" s="95" t="s">
        <v>71</v>
      </c>
      <c r="G215" s="95" t="s">
        <v>72</v>
      </c>
      <c r="H215" s="95" t="s">
        <v>175</v>
      </c>
      <c r="I215" s="97" t="s">
        <v>400</v>
      </c>
    </row>
    <row r="216" spans="1:9" ht="15.6" x14ac:dyDescent="0.3">
      <c r="A216" s="93" t="s">
        <v>441</v>
      </c>
      <c r="B216" s="93" t="s">
        <v>63</v>
      </c>
      <c r="C216" s="93" t="s">
        <v>64</v>
      </c>
      <c r="D216" s="93" t="s">
        <v>1</v>
      </c>
      <c r="E216" s="93" t="s">
        <v>284</v>
      </c>
      <c r="F216" s="93" t="s">
        <v>156</v>
      </c>
      <c r="G216" s="93" t="s">
        <v>60</v>
      </c>
      <c r="H216" s="93" t="s">
        <v>106</v>
      </c>
      <c r="I216" s="94" t="s">
        <v>355</v>
      </c>
    </row>
    <row r="217" spans="1:9" ht="15.6" x14ac:dyDescent="0.3">
      <c r="A217" s="95" t="s">
        <v>441</v>
      </c>
      <c r="B217" s="95" t="s">
        <v>35</v>
      </c>
      <c r="C217" s="95" t="s">
        <v>36</v>
      </c>
      <c r="D217" s="95" t="s">
        <v>1</v>
      </c>
      <c r="E217" s="95" t="s">
        <v>349</v>
      </c>
      <c r="F217" s="95" t="s">
        <v>37</v>
      </c>
      <c r="G217" s="95" t="s">
        <v>118</v>
      </c>
      <c r="H217" s="95" t="s">
        <v>176</v>
      </c>
      <c r="I217" s="96" t="s">
        <v>398</v>
      </c>
    </row>
    <row r="218" spans="1:9" ht="15.6" x14ac:dyDescent="0.3">
      <c r="A218" s="95" t="s">
        <v>441</v>
      </c>
      <c r="B218" s="95" t="s">
        <v>74</v>
      </c>
      <c r="C218" s="95" t="s">
        <v>75</v>
      </c>
      <c r="D218" s="95" t="s">
        <v>1</v>
      </c>
      <c r="E218" s="95" t="s">
        <v>385</v>
      </c>
      <c r="F218" s="95" t="s">
        <v>76</v>
      </c>
      <c r="G218" s="95" t="s">
        <v>47</v>
      </c>
      <c r="H218" s="95" t="s">
        <v>177</v>
      </c>
      <c r="I218" s="97" t="s">
        <v>442</v>
      </c>
    </row>
    <row r="219" spans="1:9" ht="15.6" x14ac:dyDescent="0.3">
      <c r="A219" s="95" t="s">
        <v>441</v>
      </c>
      <c r="B219" s="95" t="s">
        <v>31</v>
      </c>
      <c r="C219" s="95" t="s">
        <v>58</v>
      </c>
      <c r="D219" s="95" t="s">
        <v>1</v>
      </c>
      <c r="E219" s="95" t="s">
        <v>352</v>
      </c>
      <c r="F219" s="95" t="s">
        <v>94</v>
      </c>
      <c r="G219" s="95" t="s">
        <v>29</v>
      </c>
      <c r="H219" s="95" t="s">
        <v>168</v>
      </c>
      <c r="I219" s="98" t="s">
        <v>387</v>
      </c>
    </row>
    <row r="220" spans="1:9" ht="15.6" x14ac:dyDescent="0.3">
      <c r="A220" s="95" t="s">
        <v>441</v>
      </c>
      <c r="B220" s="95" t="s">
        <v>31</v>
      </c>
      <c r="C220" s="95" t="s">
        <v>32</v>
      </c>
      <c r="D220" s="95" t="s">
        <v>1</v>
      </c>
      <c r="E220" s="95" t="s">
        <v>347</v>
      </c>
      <c r="F220" s="95" t="s">
        <v>94</v>
      </c>
      <c r="G220" s="95" t="s">
        <v>29</v>
      </c>
      <c r="H220" s="95" t="s">
        <v>169</v>
      </c>
      <c r="I220" s="98" t="s">
        <v>434</v>
      </c>
    </row>
    <row r="221" spans="1:9" ht="15.6" x14ac:dyDescent="0.3">
      <c r="A221" s="95" t="s">
        <v>441</v>
      </c>
      <c r="B221" s="95" t="s">
        <v>31</v>
      </c>
      <c r="C221" s="95" t="s">
        <v>62</v>
      </c>
      <c r="D221" s="95" t="s">
        <v>1</v>
      </c>
      <c r="E221" s="95" t="s">
        <v>363</v>
      </c>
      <c r="F221" s="95" t="s">
        <v>94</v>
      </c>
      <c r="G221" s="95" t="s">
        <v>29</v>
      </c>
      <c r="H221" s="95" t="s">
        <v>169</v>
      </c>
      <c r="I221" s="98" t="s">
        <v>434</v>
      </c>
    </row>
    <row r="222" spans="1:9" ht="15.6" x14ac:dyDescent="0.3">
      <c r="A222" s="95" t="s">
        <v>441</v>
      </c>
      <c r="B222" s="95" t="s">
        <v>44</v>
      </c>
      <c r="C222" s="95" t="s">
        <v>53</v>
      </c>
      <c r="D222" s="95" t="s">
        <v>1</v>
      </c>
      <c r="E222" s="95" t="s">
        <v>374</v>
      </c>
      <c r="F222" s="95" t="s">
        <v>46</v>
      </c>
      <c r="G222" s="95" t="s">
        <v>92</v>
      </c>
      <c r="H222" s="95" t="s">
        <v>101</v>
      </c>
      <c r="I222" s="96" t="s">
        <v>362</v>
      </c>
    </row>
    <row r="223" spans="1:9" ht="15.6" x14ac:dyDescent="0.3">
      <c r="A223" s="95" t="s">
        <v>441</v>
      </c>
      <c r="B223" s="95" t="s">
        <v>44</v>
      </c>
      <c r="C223" s="95" t="s">
        <v>45</v>
      </c>
      <c r="D223" s="95" t="s">
        <v>1</v>
      </c>
      <c r="E223" s="95" t="s">
        <v>383</v>
      </c>
      <c r="F223" s="95" t="s">
        <v>46</v>
      </c>
      <c r="G223" s="95" t="s">
        <v>135</v>
      </c>
      <c r="H223" s="95" t="s">
        <v>178</v>
      </c>
      <c r="I223" s="96" t="s">
        <v>356</v>
      </c>
    </row>
    <row r="224" spans="1:9" ht="15.6" x14ac:dyDescent="0.3">
      <c r="A224" s="95" t="s">
        <v>441</v>
      </c>
      <c r="B224" s="95" t="s">
        <v>35</v>
      </c>
      <c r="C224" s="95" t="s">
        <v>36</v>
      </c>
      <c r="D224" s="95" t="s">
        <v>1</v>
      </c>
      <c r="E224" s="95" t="s">
        <v>349</v>
      </c>
      <c r="F224" s="95" t="s">
        <v>40</v>
      </c>
      <c r="G224" s="95" t="s">
        <v>118</v>
      </c>
      <c r="H224" s="95" t="s">
        <v>166</v>
      </c>
      <c r="I224" s="96" t="s">
        <v>398</v>
      </c>
    </row>
    <row r="225" spans="1:9" ht="15.6" x14ac:dyDescent="0.3">
      <c r="A225" s="95" t="s">
        <v>441</v>
      </c>
      <c r="B225" s="95" t="s">
        <v>44</v>
      </c>
      <c r="C225" s="95" t="s">
        <v>53</v>
      </c>
      <c r="D225" s="95" t="s">
        <v>1</v>
      </c>
      <c r="E225" s="95" t="s">
        <v>374</v>
      </c>
      <c r="F225" s="95" t="s">
        <v>49</v>
      </c>
      <c r="G225" s="95" t="s">
        <v>92</v>
      </c>
      <c r="H225" s="95" t="s">
        <v>166</v>
      </c>
      <c r="I225" s="98" t="s">
        <v>419</v>
      </c>
    </row>
    <row r="226" spans="1:9" ht="15.6" x14ac:dyDescent="0.3">
      <c r="A226" s="95" t="s">
        <v>441</v>
      </c>
      <c r="B226" s="95" t="s">
        <v>26</v>
      </c>
      <c r="C226" s="95" t="s">
        <v>57</v>
      </c>
      <c r="D226" s="95" t="s">
        <v>1</v>
      </c>
      <c r="E226" s="95" t="s">
        <v>386</v>
      </c>
      <c r="F226" s="95" t="s">
        <v>156</v>
      </c>
      <c r="G226" s="95" t="s">
        <v>135</v>
      </c>
      <c r="H226" s="95" t="s">
        <v>165</v>
      </c>
      <c r="I226" s="96" t="s">
        <v>377</v>
      </c>
    </row>
    <row r="227" spans="1:9" ht="15.6" x14ac:dyDescent="0.3">
      <c r="A227" s="95" t="s">
        <v>441</v>
      </c>
      <c r="B227" s="95" t="s">
        <v>44</v>
      </c>
      <c r="C227" s="95" t="s">
        <v>45</v>
      </c>
      <c r="D227" s="95" t="s">
        <v>1</v>
      </c>
      <c r="E227" s="95" t="s">
        <v>383</v>
      </c>
      <c r="F227" s="95" t="s">
        <v>49</v>
      </c>
      <c r="G227" s="95" t="s">
        <v>135</v>
      </c>
      <c r="H227" s="95" t="s">
        <v>179</v>
      </c>
      <c r="I227" s="96" t="s">
        <v>358</v>
      </c>
    </row>
    <row r="228" spans="1:9" ht="15.6" x14ac:dyDescent="0.3">
      <c r="A228" s="95" t="s">
        <v>441</v>
      </c>
      <c r="B228" s="95" t="s">
        <v>74</v>
      </c>
      <c r="C228" s="95" t="s">
        <v>75</v>
      </c>
      <c r="D228" s="95" t="s">
        <v>1</v>
      </c>
      <c r="E228" s="95" t="s">
        <v>385</v>
      </c>
      <c r="F228" s="95" t="s">
        <v>42</v>
      </c>
      <c r="G228" s="95" t="s">
        <v>47</v>
      </c>
      <c r="H228" s="95" t="s">
        <v>127</v>
      </c>
      <c r="I228" s="97" t="s">
        <v>443</v>
      </c>
    </row>
    <row r="229" spans="1:9" ht="15.6" x14ac:dyDescent="0.3">
      <c r="A229" s="95" t="s">
        <v>441</v>
      </c>
      <c r="B229" s="95" t="s">
        <v>44</v>
      </c>
      <c r="C229" s="95" t="s">
        <v>53</v>
      </c>
      <c r="D229" s="95" t="s">
        <v>1</v>
      </c>
      <c r="E229" s="95" t="s">
        <v>374</v>
      </c>
      <c r="F229" s="95" t="s">
        <v>51</v>
      </c>
      <c r="G229" s="95" t="s">
        <v>92</v>
      </c>
      <c r="H229" s="95" t="s">
        <v>167</v>
      </c>
      <c r="I229" s="97" t="s">
        <v>444</v>
      </c>
    </row>
    <row r="230" spans="1:9" ht="15.6" x14ac:dyDescent="0.3">
      <c r="A230" s="95" t="s">
        <v>441</v>
      </c>
      <c r="B230" s="95" t="s">
        <v>44</v>
      </c>
      <c r="C230" s="95" t="s">
        <v>45</v>
      </c>
      <c r="D230" s="95" t="s">
        <v>1</v>
      </c>
      <c r="E230" s="95" t="s">
        <v>383</v>
      </c>
      <c r="F230" s="95" t="s">
        <v>51</v>
      </c>
      <c r="G230" s="95" t="s">
        <v>135</v>
      </c>
      <c r="H230" s="95" t="s">
        <v>180</v>
      </c>
      <c r="I230" s="97" t="s">
        <v>360</v>
      </c>
    </row>
    <row r="231" spans="1:9" ht="15.6" x14ac:dyDescent="0.3">
      <c r="A231" s="95" t="s">
        <v>441</v>
      </c>
      <c r="B231" s="95" t="s">
        <v>35</v>
      </c>
      <c r="C231" s="95" t="s">
        <v>36</v>
      </c>
      <c r="D231" s="95" t="s">
        <v>1</v>
      </c>
      <c r="E231" s="95" t="s">
        <v>349</v>
      </c>
      <c r="F231" s="95" t="s">
        <v>42</v>
      </c>
      <c r="G231" s="95" t="s">
        <v>118</v>
      </c>
      <c r="H231" s="95" t="s">
        <v>85</v>
      </c>
      <c r="I231" s="97" t="s">
        <v>445</v>
      </c>
    </row>
    <row r="232" spans="1:9" ht="15.6" x14ac:dyDescent="0.3">
      <c r="A232" s="95" t="s">
        <v>441</v>
      </c>
      <c r="B232" s="95" t="s">
        <v>69</v>
      </c>
      <c r="C232" s="95" t="s">
        <v>70</v>
      </c>
      <c r="D232" s="95" t="s">
        <v>1</v>
      </c>
      <c r="E232" s="95" t="s">
        <v>349</v>
      </c>
      <c r="F232" s="95" t="s">
        <v>71</v>
      </c>
      <c r="G232" s="95" t="s">
        <v>72</v>
      </c>
      <c r="H232" s="95" t="s">
        <v>175</v>
      </c>
      <c r="I232" s="97" t="s">
        <v>400</v>
      </c>
    </row>
    <row r="233" spans="1:9" ht="15.6" x14ac:dyDescent="0.3">
      <c r="A233" s="95" t="s">
        <v>446</v>
      </c>
      <c r="B233" s="95" t="s">
        <v>35</v>
      </c>
      <c r="C233" s="95" t="s">
        <v>36</v>
      </c>
      <c r="D233" s="95" t="s">
        <v>1</v>
      </c>
      <c r="E233" s="95" t="s">
        <v>349</v>
      </c>
      <c r="F233" s="95" t="s">
        <v>37</v>
      </c>
      <c r="G233" s="95" t="s">
        <v>118</v>
      </c>
      <c r="H233" s="95" t="s">
        <v>176</v>
      </c>
      <c r="I233" s="96" t="s">
        <v>398</v>
      </c>
    </row>
    <row r="234" spans="1:9" ht="15.6" x14ac:dyDescent="0.3">
      <c r="A234" s="95" t="s">
        <v>446</v>
      </c>
      <c r="B234" s="95" t="s">
        <v>31</v>
      </c>
      <c r="C234" s="95" t="s">
        <v>58</v>
      </c>
      <c r="D234" s="95" t="s">
        <v>1</v>
      </c>
      <c r="E234" s="95" t="s">
        <v>352</v>
      </c>
      <c r="F234" s="95" t="s">
        <v>94</v>
      </c>
      <c r="G234" s="95" t="s">
        <v>29</v>
      </c>
      <c r="H234" s="95" t="s">
        <v>168</v>
      </c>
      <c r="I234" s="98" t="s">
        <v>387</v>
      </c>
    </row>
    <row r="235" spans="1:9" ht="15.6" x14ac:dyDescent="0.3">
      <c r="A235" s="95" t="s">
        <v>446</v>
      </c>
      <c r="B235" s="95" t="s">
        <v>79</v>
      </c>
      <c r="C235" s="95" t="s">
        <v>119</v>
      </c>
      <c r="D235" s="95" t="s">
        <v>1</v>
      </c>
      <c r="E235" s="95" t="s">
        <v>440</v>
      </c>
      <c r="F235" s="95" t="s">
        <v>156</v>
      </c>
      <c r="G235" s="95" t="s">
        <v>135</v>
      </c>
      <c r="H235" s="95" t="s">
        <v>154</v>
      </c>
      <c r="I235" s="97" t="s">
        <v>400</v>
      </c>
    </row>
    <row r="236" spans="1:9" ht="15.6" x14ac:dyDescent="0.3">
      <c r="A236" s="95" t="s">
        <v>446</v>
      </c>
      <c r="B236" s="95" t="s">
        <v>31</v>
      </c>
      <c r="C236" s="95" t="s">
        <v>32</v>
      </c>
      <c r="D236" s="95" t="s">
        <v>1</v>
      </c>
      <c r="E236" s="95" t="s">
        <v>347</v>
      </c>
      <c r="F236" s="95" t="s">
        <v>94</v>
      </c>
      <c r="G236" s="95" t="s">
        <v>29</v>
      </c>
      <c r="H236" s="95" t="s">
        <v>169</v>
      </c>
      <c r="I236" s="98" t="s">
        <v>434</v>
      </c>
    </row>
    <row r="237" spans="1:9" ht="15.6" x14ac:dyDescent="0.3">
      <c r="A237" s="95" t="s">
        <v>446</v>
      </c>
      <c r="B237" s="95" t="s">
        <v>31</v>
      </c>
      <c r="C237" s="95" t="s">
        <v>62</v>
      </c>
      <c r="D237" s="95" t="s">
        <v>1</v>
      </c>
      <c r="E237" s="95" t="s">
        <v>363</v>
      </c>
      <c r="F237" s="95" t="s">
        <v>94</v>
      </c>
      <c r="G237" s="95" t="s">
        <v>29</v>
      </c>
      <c r="H237" s="95" t="s">
        <v>169</v>
      </c>
      <c r="I237" s="98" t="s">
        <v>434</v>
      </c>
    </row>
    <row r="238" spans="1:9" ht="15.6" x14ac:dyDescent="0.3">
      <c r="A238" s="95" t="s">
        <v>446</v>
      </c>
      <c r="B238" s="95" t="s">
        <v>44</v>
      </c>
      <c r="C238" s="95" t="s">
        <v>53</v>
      </c>
      <c r="D238" s="95" t="s">
        <v>1</v>
      </c>
      <c r="E238" s="95" t="s">
        <v>374</v>
      </c>
      <c r="F238" s="95" t="s">
        <v>46</v>
      </c>
      <c r="G238" s="95" t="s">
        <v>95</v>
      </c>
      <c r="H238" s="95" t="s">
        <v>178</v>
      </c>
      <c r="I238" s="96" t="s">
        <v>356</v>
      </c>
    </row>
    <row r="239" spans="1:9" ht="15.6" x14ac:dyDescent="0.3">
      <c r="A239" s="95" t="s">
        <v>446</v>
      </c>
      <c r="B239" s="95" t="s">
        <v>35</v>
      </c>
      <c r="C239" s="95" t="s">
        <v>36</v>
      </c>
      <c r="D239" s="95" t="s">
        <v>1</v>
      </c>
      <c r="E239" s="95" t="s">
        <v>349</v>
      </c>
      <c r="F239" s="95" t="s">
        <v>40</v>
      </c>
      <c r="G239" s="95" t="s">
        <v>118</v>
      </c>
      <c r="H239" s="95" t="s">
        <v>166</v>
      </c>
      <c r="I239" s="96" t="s">
        <v>398</v>
      </c>
    </row>
    <row r="240" spans="1:9" ht="15.6" x14ac:dyDescent="0.3">
      <c r="A240" s="95" t="s">
        <v>446</v>
      </c>
      <c r="B240" s="95" t="s">
        <v>44</v>
      </c>
      <c r="C240" s="95" t="s">
        <v>53</v>
      </c>
      <c r="D240" s="95" t="s">
        <v>1</v>
      </c>
      <c r="E240" s="95" t="s">
        <v>374</v>
      </c>
      <c r="F240" s="95" t="s">
        <v>49</v>
      </c>
      <c r="G240" s="95" t="s">
        <v>95</v>
      </c>
      <c r="H240" s="95" t="s">
        <v>179</v>
      </c>
      <c r="I240" s="96" t="s">
        <v>358</v>
      </c>
    </row>
    <row r="241" spans="1:9" ht="15.6" x14ac:dyDescent="0.3">
      <c r="A241" s="95" t="s">
        <v>446</v>
      </c>
      <c r="B241" s="95" t="s">
        <v>44</v>
      </c>
      <c r="C241" s="95" t="s">
        <v>53</v>
      </c>
      <c r="D241" s="95" t="s">
        <v>1</v>
      </c>
      <c r="E241" s="95" t="s">
        <v>374</v>
      </c>
      <c r="F241" s="95" t="s">
        <v>51</v>
      </c>
      <c r="G241" s="95" t="s">
        <v>95</v>
      </c>
      <c r="H241" s="95" t="s">
        <v>180</v>
      </c>
      <c r="I241" s="97" t="s">
        <v>360</v>
      </c>
    </row>
    <row r="242" spans="1:9" ht="15.6" x14ac:dyDescent="0.3">
      <c r="A242" s="95" t="s">
        <v>446</v>
      </c>
      <c r="B242" s="95" t="s">
        <v>35</v>
      </c>
      <c r="C242" s="95" t="s">
        <v>36</v>
      </c>
      <c r="D242" s="95" t="s">
        <v>1</v>
      </c>
      <c r="E242" s="95" t="s">
        <v>349</v>
      </c>
      <c r="F242" s="95" t="s">
        <v>42</v>
      </c>
      <c r="G242" s="95" t="s">
        <v>118</v>
      </c>
      <c r="H242" s="95" t="s">
        <v>85</v>
      </c>
      <c r="I242" s="97" t="s">
        <v>445</v>
      </c>
    </row>
    <row r="243" spans="1:9" ht="15.6" x14ac:dyDescent="0.3">
      <c r="A243" s="95" t="s">
        <v>446</v>
      </c>
      <c r="B243" s="95" t="s">
        <v>69</v>
      </c>
      <c r="C243" s="95" t="s">
        <v>70</v>
      </c>
      <c r="D243" s="95" t="s">
        <v>1</v>
      </c>
      <c r="E243" s="95" t="s">
        <v>349</v>
      </c>
      <c r="F243" s="95" t="s">
        <v>71</v>
      </c>
      <c r="G243" s="95" t="s">
        <v>72</v>
      </c>
      <c r="H243" s="95" t="s">
        <v>175</v>
      </c>
      <c r="I243" s="97" t="s">
        <v>400</v>
      </c>
    </row>
    <row r="244" spans="1:9" ht="15.6" x14ac:dyDescent="0.3">
      <c r="A244" s="93" t="s">
        <v>447</v>
      </c>
      <c r="B244" s="93" t="s">
        <v>63</v>
      </c>
      <c r="C244" s="93" t="s">
        <v>64</v>
      </c>
      <c r="D244" s="93" t="s">
        <v>1</v>
      </c>
      <c r="E244" s="93" t="s">
        <v>274</v>
      </c>
      <c r="F244" s="93" t="s">
        <v>156</v>
      </c>
      <c r="G244" s="93" t="s">
        <v>157</v>
      </c>
      <c r="H244" s="93" t="s">
        <v>183</v>
      </c>
      <c r="I244" s="94" t="s">
        <v>355</v>
      </c>
    </row>
    <row r="245" spans="1:9" ht="15.6" x14ac:dyDescent="0.3">
      <c r="A245" s="95" t="s">
        <v>447</v>
      </c>
      <c r="B245" s="95" t="s">
        <v>31</v>
      </c>
      <c r="C245" s="95" t="s">
        <v>58</v>
      </c>
      <c r="D245" s="95" t="s">
        <v>1</v>
      </c>
      <c r="E245" s="95" t="s">
        <v>352</v>
      </c>
      <c r="F245" s="95" t="s">
        <v>94</v>
      </c>
      <c r="G245" s="95" t="s">
        <v>29</v>
      </c>
      <c r="H245" s="95" t="s">
        <v>168</v>
      </c>
      <c r="I245" s="96" t="s">
        <v>359</v>
      </c>
    </row>
    <row r="246" spans="1:9" ht="15.6" x14ac:dyDescent="0.3">
      <c r="A246" s="95" t="s">
        <v>447</v>
      </c>
      <c r="B246" s="95" t="s">
        <v>79</v>
      </c>
      <c r="C246" s="95" t="s">
        <v>119</v>
      </c>
      <c r="D246" s="95" t="s">
        <v>1</v>
      </c>
      <c r="E246" s="95" t="s">
        <v>440</v>
      </c>
      <c r="F246" s="95" t="s">
        <v>156</v>
      </c>
      <c r="G246" s="95" t="s">
        <v>92</v>
      </c>
      <c r="H246" s="95" t="s">
        <v>154</v>
      </c>
      <c r="I246" s="98" t="s">
        <v>419</v>
      </c>
    </row>
    <row r="247" spans="1:9" ht="15.6" x14ac:dyDescent="0.3">
      <c r="A247" s="95" t="s">
        <v>447</v>
      </c>
      <c r="B247" s="95" t="s">
        <v>31</v>
      </c>
      <c r="C247" s="95" t="s">
        <v>32</v>
      </c>
      <c r="D247" s="95" t="s">
        <v>1</v>
      </c>
      <c r="E247" s="95" t="s">
        <v>347</v>
      </c>
      <c r="F247" s="95" t="s">
        <v>33</v>
      </c>
      <c r="G247" s="95" t="s">
        <v>29</v>
      </c>
      <c r="H247" s="95" t="s">
        <v>103</v>
      </c>
      <c r="I247" s="97" t="s">
        <v>367</v>
      </c>
    </row>
    <row r="248" spans="1:9" ht="15.6" x14ac:dyDescent="0.3">
      <c r="A248" s="95" t="s">
        <v>447</v>
      </c>
      <c r="B248" s="95" t="s">
        <v>31</v>
      </c>
      <c r="C248" s="95" t="s">
        <v>62</v>
      </c>
      <c r="D248" s="95" t="s">
        <v>1</v>
      </c>
      <c r="E248" s="95" t="s">
        <v>363</v>
      </c>
      <c r="F248" s="95" t="s">
        <v>33</v>
      </c>
      <c r="G248" s="95" t="s">
        <v>29</v>
      </c>
      <c r="H248" s="95" t="s">
        <v>103</v>
      </c>
      <c r="I248" s="97" t="s">
        <v>367</v>
      </c>
    </row>
    <row r="249" spans="1:9" ht="15.6" x14ac:dyDescent="0.3">
      <c r="A249" s="95" t="s">
        <v>447</v>
      </c>
      <c r="B249" s="95" t="s">
        <v>44</v>
      </c>
      <c r="C249" s="95" t="s">
        <v>53</v>
      </c>
      <c r="D249" s="95" t="s">
        <v>1</v>
      </c>
      <c r="E249" s="95" t="s">
        <v>374</v>
      </c>
      <c r="F249" s="95" t="s">
        <v>51</v>
      </c>
      <c r="G249" s="95" t="s">
        <v>87</v>
      </c>
      <c r="H249" s="95" t="s">
        <v>180</v>
      </c>
      <c r="I249" s="97" t="s">
        <v>448</v>
      </c>
    </row>
    <row r="250" spans="1:9" ht="15.6" x14ac:dyDescent="0.3">
      <c r="A250" s="95" t="s">
        <v>447</v>
      </c>
      <c r="B250" s="95" t="s">
        <v>44</v>
      </c>
      <c r="C250" s="95" t="s">
        <v>45</v>
      </c>
      <c r="D250" s="95" t="s">
        <v>1</v>
      </c>
      <c r="E250" s="95" t="s">
        <v>383</v>
      </c>
      <c r="F250" s="95" t="s">
        <v>51</v>
      </c>
      <c r="G250" s="95" t="s">
        <v>72</v>
      </c>
      <c r="H250" s="95" t="s">
        <v>180</v>
      </c>
      <c r="I250" s="97" t="s">
        <v>448</v>
      </c>
    </row>
    <row r="251" spans="1:9" ht="15.6" x14ac:dyDescent="0.3">
      <c r="A251" s="95" t="s">
        <v>447</v>
      </c>
      <c r="B251" s="95" t="s">
        <v>35</v>
      </c>
      <c r="C251" s="95" t="s">
        <v>36</v>
      </c>
      <c r="D251" s="95" t="s">
        <v>1</v>
      </c>
      <c r="E251" s="95" t="s">
        <v>349</v>
      </c>
      <c r="F251" s="95" t="s">
        <v>42</v>
      </c>
      <c r="G251" s="95" t="s">
        <v>118</v>
      </c>
      <c r="H251" s="95" t="s">
        <v>43</v>
      </c>
      <c r="I251" s="98" t="s">
        <v>419</v>
      </c>
    </row>
    <row r="252" spans="1:9" ht="15.6" x14ac:dyDescent="0.3">
      <c r="A252" s="95" t="s">
        <v>447</v>
      </c>
      <c r="B252" s="95" t="s">
        <v>69</v>
      </c>
      <c r="C252" s="95" t="s">
        <v>70</v>
      </c>
      <c r="D252" s="95" t="s">
        <v>1</v>
      </c>
      <c r="E252" s="95" t="s">
        <v>349</v>
      </c>
      <c r="F252" s="95" t="s">
        <v>71</v>
      </c>
      <c r="G252" s="95" t="s">
        <v>72</v>
      </c>
      <c r="H252" s="95" t="s">
        <v>91</v>
      </c>
      <c r="I252" s="97" t="s">
        <v>408</v>
      </c>
    </row>
    <row r="253" spans="1:9" ht="15.6" x14ac:dyDescent="0.3">
      <c r="A253" s="95" t="s">
        <v>449</v>
      </c>
      <c r="B253" s="95" t="s">
        <v>79</v>
      </c>
      <c r="C253" s="95" t="s">
        <v>80</v>
      </c>
      <c r="D253" s="95" t="s">
        <v>1</v>
      </c>
      <c r="E253" s="95" t="s">
        <v>366</v>
      </c>
      <c r="F253" s="95" t="s">
        <v>156</v>
      </c>
      <c r="G253" s="95" t="s">
        <v>157</v>
      </c>
      <c r="H253" s="95" t="s">
        <v>172</v>
      </c>
      <c r="I253" s="96" t="s">
        <v>389</v>
      </c>
    </row>
    <row r="254" spans="1:9" ht="15.6" x14ac:dyDescent="0.3">
      <c r="A254" s="95" t="s">
        <v>449</v>
      </c>
      <c r="B254" s="95" t="s">
        <v>31</v>
      </c>
      <c r="C254" s="95" t="s">
        <v>58</v>
      </c>
      <c r="D254" s="95" t="s">
        <v>1</v>
      </c>
      <c r="E254" s="95" t="s">
        <v>352</v>
      </c>
      <c r="F254" s="95" t="s">
        <v>33</v>
      </c>
      <c r="G254" s="95" t="s">
        <v>29</v>
      </c>
      <c r="H254" s="95" t="s">
        <v>34</v>
      </c>
      <c r="I254" s="98" t="s">
        <v>450</v>
      </c>
    </row>
    <row r="255" spans="1:9" ht="15.6" x14ac:dyDescent="0.3">
      <c r="A255" s="93" t="s">
        <v>451</v>
      </c>
      <c r="B255" s="93" t="s">
        <v>63</v>
      </c>
      <c r="C255" s="93" t="s">
        <v>64</v>
      </c>
      <c r="D255" s="93" t="s">
        <v>1</v>
      </c>
      <c r="E255" s="93" t="s">
        <v>284</v>
      </c>
      <c r="F255" s="93" t="s">
        <v>156</v>
      </c>
      <c r="G255" s="93" t="s">
        <v>29</v>
      </c>
      <c r="H255" s="93" t="s">
        <v>198</v>
      </c>
      <c r="I255" s="94" t="s">
        <v>355</v>
      </c>
    </row>
    <row r="256" spans="1:9" ht="15.6" x14ac:dyDescent="0.3">
      <c r="A256" s="95" t="s">
        <v>451</v>
      </c>
      <c r="B256" s="95" t="s">
        <v>35</v>
      </c>
      <c r="C256" s="95" t="s">
        <v>36</v>
      </c>
      <c r="D256" s="95" t="s">
        <v>1</v>
      </c>
      <c r="E256" s="95" t="s">
        <v>349</v>
      </c>
      <c r="F256" s="95" t="s">
        <v>37</v>
      </c>
      <c r="G256" s="95" t="s">
        <v>141</v>
      </c>
      <c r="H256" s="95" t="s">
        <v>56</v>
      </c>
      <c r="I256" s="97" t="s">
        <v>438</v>
      </c>
    </row>
    <row r="257" spans="1:9" ht="15.6" x14ac:dyDescent="0.3">
      <c r="A257" s="95" t="s">
        <v>451</v>
      </c>
      <c r="B257" s="95" t="s">
        <v>44</v>
      </c>
      <c r="C257" s="95" t="s">
        <v>45</v>
      </c>
      <c r="D257" s="95" t="s">
        <v>1</v>
      </c>
      <c r="E257" s="95" t="s">
        <v>383</v>
      </c>
      <c r="F257" s="95" t="s">
        <v>46</v>
      </c>
      <c r="G257" s="95" t="s">
        <v>135</v>
      </c>
      <c r="H257" s="95" t="s">
        <v>179</v>
      </c>
      <c r="I257" s="97" t="s">
        <v>381</v>
      </c>
    </row>
    <row r="258" spans="1:9" ht="15.6" x14ac:dyDescent="0.3">
      <c r="A258" s="95" t="s">
        <v>451</v>
      </c>
      <c r="B258" s="95" t="s">
        <v>31</v>
      </c>
      <c r="C258" s="95" t="s">
        <v>58</v>
      </c>
      <c r="D258" s="95" t="s">
        <v>1</v>
      </c>
      <c r="E258" s="95" t="s">
        <v>352</v>
      </c>
      <c r="F258" s="95" t="s">
        <v>33</v>
      </c>
      <c r="G258" s="95" t="s">
        <v>29</v>
      </c>
      <c r="H258" s="95" t="s">
        <v>34</v>
      </c>
      <c r="I258" s="97" t="s">
        <v>452</v>
      </c>
    </row>
    <row r="259" spans="1:9" ht="15.6" x14ac:dyDescent="0.3">
      <c r="A259" s="95" t="s">
        <v>451</v>
      </c>
      <c r="B259" s="95" t="s">
        <v>35</v>
      </c>
      <c r="C259" s="95" t="s">
        <v>36</v>
      </c>
      <c r="D259" s="95" t="s">
        <v>1</v>
      </c>
      <c r="E259" s="95" t="s">
        <v>349</v>
      </c>
      <c r="F259" s="95" t="s">
        <v>40</v>
      </c>
      <c r="G259" s="95" t="s">
        <v>141</v>
      </c>
      <c r="H259" s="95" t="s">
        <v>180</v>
      </c>
      <c r="I259" s="97" t="s">
        <v>438</v>
      </c>
    </row>
    <row r="260" spans="1:9" ht="15.6" x14ac:dyDescent="0.3">
      <c r="A260" s="95" t="s">
        <v>451</v>
      </c>
      <c r="B260" s="95" t="s">
        <v>44</v>
      </c>
      <c r="C260" s="95" t="s">
        <v>45</v>
      </c>
      <c r="D260" s="95" t="s">
        <v>1</v>
      </c>
      <c r="E260" s="95" t="s">
        <v>383</v>
      </c>
      <c r="F260" s="95" t="s">
        <v>49</v>
      </c>
      <c r="G260" s="95" t="s">
        <v>135</v>
      </c>
      <c r="H260" s="95" t="s">
        <v>188</v>
      </c>
      <c r="I260" s="97" t="s">
        <v>453</v>
      </c>
    </row>
    <row r="261" spans="1:9" ht="15.6" x14ac:dyDescent="0.3">
      <c r="A261" s="95" t="s">
        <v>451</v>
      </c>
      <c r="B261" s="95" t="s">
        <v>31</v>
      </c>
      <c r="C261" s="95" t="s">
        <v>62</v>
      </c>
      <c r="D261" s="95" t="s">
        <v>1</v>
      </c>
      <c r="E261" s="95" t="s">
        <v>363</v>
      </c>
      <c r="F261" s="95" t="s">
        <v>33</v>
      </c>
      <c r="G261" s="95" t="s">
        <v>29</v>
      </c>
      <c r="H261" s="95" t="s">
        <v>105</v>
      </c>
      <c r="I261" s="97" t="s">
        <v>454</v>
      </c>
    </row>
    <row r="262" spans="1:9" ht="15.6" x14ac:dyDescent="0.3">
      <c r="A262" s="95" t="s">
        <v>451</v>
      </c>
      <c r="B262" s="95" t="s">
        <v>44</v>
      </c>
      <c r="C262" s="95" t="s">
        <v>45</v>
      </c>
      <c r="D262" s="95" t="s">
        <v>1</v>
      </c>
      <c r="E262" s="95" t="s">
        <v>383</v>
      </c>
      <c r="F262" s="95" t="s">
        <v>51</v>
      </c>
      <c r="G262" s="95" t="s">
        <v>135</v>
      </c>
      <c r="H262" s="95" t="s">
        <v>191</v>
      </c>
      <c r="I262" s="97" t="s">
        <v>455</v>
      </c>
    </row>
    <row r="263" spans="1:9" ht="15.6" x14ac:dyDescent="0.3">
      <c r="A263" s="95" t="s">
        <v>451</v>
      </c>
      <c r="B263" s="95" t="s">
        <v>35</v>
      </c>
      <c r="C263" s="95" t="s">
        <v>36</v>
      </c>
      <c r="D263" s="95" t="s">
        <v>1</v>
      </c>
      <c r="E263" s="95" t="s">
        <v>349</v>
      </c>
      <c r="F263" s="95" t="s">
        <v>42</v>
      </c>
      <c r="G263" s="95" t="s">
        <v>141</v>
      </c>
      <c r="H263" s="95" t="s">
        <v>85</v>
      </c>
      <c r="I263" s="97" t="s">
        <v>456</v>
      </c>
    </row>
    <row r="264" spans="1:9" ht="15.6" x14ac:dyDescent="0.3">
      <c r="A264" s="95" t="s">
        <v>451</v>
      </c>
      <c r="B264" s="95" t="s">
        <v>26</v>
      </c>
      <c r="C264" s="95" t="s">
        <v>93</v>
      </c>
      <c r="D264" s="95" t="s">
        <v>1</v>
      </c>
      <c r="E264" s="95" t="s">
        <v>370</v>
      </c>
      <c r="F264" s="95" t="s">
        <v>156</v>
      </c>
      <c r="G264" s="95" t="s">
        <v>92</v>
      </c>
      <c r="H264" s="95" t="s">
        <v>196</v>
      </c>
      <c r="I264" s="97" t="s">
        <v>364</v>
      </c>
    </row>
    <row r="265" spans="1:9" ht="15.6" x14ac:dyDescent="0.3">
      <c r="A265" s="95" t="s">
        <v>451</v>
      </c>
      <c r="B265" s="95" t="s">
        <v>26</v>
      </c>
      <c r="C265" s="95" t="s">
        <v>57</v>
      </c>
      <c r="D265" s="95" t="s">
        <v>1</v>
      </c>
      <c r="E265" s="95" t="s">
        <v>346</v>
      </c>
      <c r="F265" s="95" t="s">
        <v>156</v>
      </c>
      <c r="G265" s="95" t="s">
        <v>29</v>
      </c>
      <c r="H265" s="95" t="s">
        <v>197</v>
      </c>
      <c r="I265" s="97" t="s">
        <v>390</v>
      </c>
    </row>
    <row r="266" spans="1:9" ht="15.6" x14ac:dyDescent="0.3">
      <c r="A266" s="95" t="s">
        <v>451</v>
      </c>
      <c r="B266" s="95" t="s">
        <v>44</v>
      </c>
      <c r="C266" s="95" t="s">
        <v>53</v>
      </c>
      <c r="D266" s="95" t="s">
        <v>1</v>
      </c>
      <c r="E266" s="95" t="s">
        <v>374</v>
      </c>
      <c r="F266" s="95" t="s">
        <v>49</v>
      </c>
      <c r="G266" s="95" t="s">
        <v>121</v>
      </c>
      <c r="H266" s="95" t="s">
        <v>193</v>
      </c>
      <c r="I266" s="96" t="s">
        <v>398</v>
      </c>
    </row>
    <row r="267" spans="1:9" ht="15.6" x14ac:dyDescent="0.3">
      <c r="A267" s="95" t="s">
        <v>451</v>
      </c>
      <c r="B267" s="95" t="s">
        <v>44</v>
      </c>
      <c r="C267" s="95" t="s">
        <v>53</v>
      </c>
      <c r="D267" s="95" t="s">
        <v>1</v>
      </c>
      <c r="E267" s="95" t="s">
        <v>374</v>
      </c>
      <c r="F267" s="95" t="s">
        <v>51</v>
      </c>
      <c r="G267" s="95" t="s">
        <v>121</v>
      </c>
      <c r="H267" s="95" t="s">
        <v>194</v>
      </c>
      <c r="I267" s="97" t="s">
        <v>457</v>
      </c>
    </row>
    <row r="268" spans="1:9" ht="15.6" x14ac:dyDescent="0.3">
      <c r="A268" s="95" t="s">
        <v>451</v>
      </c>
      <c r="B268" s="95" t="s">
        <v>31</v>
      </c>
      <c r="C268" s="95" t="s">
        <v>32</v>
      </c>
      <c r="D268" s="95" t="s">
        <v>1</v>
      </c>
      <c r="E268" s="95" t="s">
        <v>458</v>
      </c>
      <c r="F268" s="95" t="s">
        <v>33</v>
      </c>
      <c r="G268" s="95" t="s">
        <v>29</v>
      </c>
      <c r="H268" s="95" t="s">
        <v>195</v>
      </c>
      <c r="I268" s="96" t="s">
        <v>435</v>
      </c>
    </row>
    <row r="269" spans="1:9" ht="15.6" x14ac:dyDescent="0.3">
      <c r="A269" s="95" t="s">
        <v>451</v>
      </c>
      <c r="B269" s="95" t="s">
        <v>69</v>
      </c>
      <c r="C269" s="95" t="s">
        <v>70</v>
      </c>
      <c r="D269" s="95" t="s">
        <v>1</v>
      </c>
      <c r="E269" s="95" t="s">
        <v>349</v>
      </c>
      <c r="F269" s="95" t="s">
        <v>71</v>
      </c>
      <c r="G269" s="95" t="s">
        <v>72</v>
      </c>
      <c r="H269" s="95" t="s">
        <v>201</v>
      </c>
      <c r="I269" s="97" t="s">
        <v>459</v>
      </c>
    </row>
    <row r="270" spans="1:9" ht="15.6" x14ac:dyDescent="0.3">
      <c r="A270" s="93" t="s">
        <v>460</v>
      </c>
      <c r="B270" s="93" t="s">
        <v>63</v>
      </c>
      <c r="C270" s="93" t="s">
        <v>64</v>
      </c>
      <c r="D270" s="93" t="s">
        <v>1</v>
      </c>
      <c r="E270" s="93" t="s">
        <v>291</v>
      </c>
      <c r="F270" s="93" t="s">
        <v>156</v>
      </c>
      <c r="G270" s="93" t="s">
        <v>157</v>
      </c>
      <c r="H270" s="93" t="s">
        <v>206</v>
      </c>
      <c r="I270" s="94" t="s">
        <v>355</v>
      </c>
    </row>
    <row r="271" spans="1:9" ht="15.6" x14ac:dyDescent="0.3">
      <c r="A271" s="95" t="s">
        <v>460</v>
      </c>
      <c r="B271" s="95" t="s">
        <v>35</v>
      </c>
      <c r="C271" s="95" t="s">
        <v>36</v>
      </c>
      <c r="D271" s="95" t="s">
        <v>1</v>
      </c>
      <c r="E271" s="95" t="s">
        <v>349</v>
      </c>
      <c r="F271" s="95" t="s">
        <v>37</v>
      </c>
      <c r="G271" s="95" t="s">
        <v>142</v>
      </c>
      <c r="H271" s="95" t="s">
        <v>56</v>
      </c>
      <c r="I271" s="97" t="s">
        <v>357</v>
      </c>
    </row>
    <row r="272" spans="1:9" ht="15.6" x14ac:dyDescent="0.3">
      <c r="A272" s="95" t="s">
        <v>460</v>
      </c>
      <c r="B272" s="95" t="s">
        <v>35</v>
      </c>
      <c r="C272" s="95" t="s">
        <v>36</v>
      </c>
      <c r="D272" s="95" t="s">
        <v>1</v>
      </c>
      <c r="E272" s="95" t="s">
        <v>349</v>
      </c>
      <c r="F272" s="95" t="s">
        <v>40</v>
      </c>
      <c r="G272" s="95" t="s">
        <v>142</v>
      </c>
      <c r="H272" s="95" t="s">
        <v>180</v>
      </c>
      <c r="I272" s="97" t="s">
        <v>357</v>
      </c>
    </row>
    <row r="273" spans="1:9" ht="15.6" x14ac:dyDescent="0.3">
      <c r="A273" s="95" t="s">
        <v>460</v>
      </c>
      <c r="B273" s="95" t="s">
        <v>31</v>
      </c>
      <c r="C273" s="95" t="s">
        <v>32</v>
      </c>
      <c r="D273" s="95" t="s">
        <v>1</v>
      </c>
      <c r="E273" s="95" t="s">
        <v>347</v>
      </c>
      <c r="F273" s="95" t="s">
        <v>33</v>
      </c>
      <c r="G273" s="95" t="s">
        <v>29</v>
      </c>
      <c r="H273" s="95" t="s">
        <v>86</v>
      </c>
      <c r="I273" s="97" t="s">
        <v>371</v>
      </c>
    </row>
    <row r="274" spans="1:9" ht="15.6" x14ac:dyDescent="0.3">
      <c r="A274" s="95" t="s">
        <v>460</v>
      </c>
      <c r="B274" s="95" t="s">
        <v>26</v>
      </c>
      <c r="C274" s="95" t="s">
        <v>27</v>
      </c>
      <c r="D274" s="95" t="s">
        <v>1</v>
      </c>
      <c r="E274" s="95" t="s">
        <v>346</v>
      </c>
      <c r="F274" s="95" t="s">
        <v>156</v>
      </c>
      <c r="G274" s="95" t="s">
        <v>92</v>
      </c>
      <c r="H274" s="95" t="s">
        <v>202</v>
      </c>
      <c r="I274" s="97" t="s">
        <v>436</v>
      </c>
    </row>
    <row r="275" spans="1:9" ht="15.6" x14ac:dyDescent="0.3">
      <c r="A275" s="95" t="s">
        <v>460</v>
      </c>
      <c r="B275" s="95" t="s">
        <v>31</v>
      </c>
      <c r="C275" s="95" t="s">
        <v>58</v>
      </c>
      <c r="D275" s="95" t="s">
        <v>1</v>
      </c>
      <c r="E275" s="95" t="s">
        <v>352</v>
      </c>
      <c r="F275" s="95" t="s">
        <v>33</v>
      </c>
      <c r="G275" s="95" t="s">
        <v>29</v>
      </c>
      <c r="H275" s="95" t="s">
        <v>105</v>
      </c>
      <c r="I275" s="97" t="s">
        <v>454</v>
      </c>
    </row>
    <row r="276" spans="1:9" ht="15.6" x14ac:dyDescent="0.3">
      <c r="A276" s="95" t="s">
        <v>460</v>
      </c>
      <c r="B276" s="95" t="s">
        <v>44</v>
      </c>
      <c r="C276" s="95" t="s">
        <v>53</v>
      </c>
      <c r="D276" s="95" t="s">
        <v>1</v>
      </c>
      <c r="E276" s="95" t="s">
        <v>374</v>
      </c>
      <c r="F276" s="95" t="s">
        <v>46</v>
      </c>
      <c r="G276" s="95" t="s">
        <v>47</v>
      </c>
      <c r="H276" s="95" t="s">
        <v>203</v>
      </c>
      <c r="I276" s="96" t="s">
        <v>435</v>
      </c>
    </row>
    <row r="277" spans="1:9" ht="15.6" x14ac:dyDescent="0.3">
      <c r="A277" s="95" t="s">
        <v>460</v>
      </c>
      <c r="B277" s="95" t="s">
        <v>44</v>
      </c>
      <c r="C277" s="95" t="s">
        <v>53</v>
      </c>
      <c r="D277" s="95" t="s">
        <v>1</v>
      </c>
      <c r="E277" s="95" t="s">
        <v>374</v>
      </c>
      <c r="F277" s="95" t="s">
        <v>49</v>
      </c>
      <c r="G277" s="95" t="s">
        <v>47</v>
      </c>
      <c r="H277" s="95" t="s">
        <v>204</v>
      </c>
      <c r="I277" s="98" t="s">
        <v>461</v>
      </c>
    </row>
    <row r="278" spans="1:9" ht="15.6" x14ac:dyDescent="0.3">
      <c r="A278" s="95" t="s">
        <v>460</v>
      </c>
      <c r="B278" s="95" t="s">
        <v>44</v>
      </c>
      <c r="C278" s="95" t="s">
        <v>53</v>
      </c>
      <c r="D278" s="95" t="s">
        <v>1</v>
      </c>
      <c r="E278" s="95" t="s">
        <v>374</v>
      </c>
      <c r="F278" s="95" t="s">
        <v>51</v>
      </c>
      <c r="G278" s="95" t="s">
        <v>47</v>
      </c>
      <c r="H278" s="95" t="s">
        <v>205</v>
      </c>
      <c r="I278" s="97" t="s">
        <v>443</v>
      </c>
    </row>
    <row r="279" spans="1:9" ht="15.6" x14ac:dyDescent="0.3">
      <c r="A279" s="95" t="s">
        <v>460</v>
      </c>
      <c r="B279" s="95" t="s">
        <v>35</v>
      </c>
      <c r="C279" s="95" t="s">
        <v>36</v>
      </c>
      <c r="D279" s="95" t="s">
        <v>1</v>
      </c>
      <c r="E279" s="95" t="s">
        <v>349</v>
      </c>
      <c r="F279" s="95" t="s">
        <v>42</v>
      </c>
      <c r="G279" s="95" t="s">
        <v>142</v>
      </c>
      <c r="H279" s="95" t="s">
        <v>43</v>
      </c>
      <c r="I279" s="97" t="s">
        <v>462</v>
      </c>
    </row>
    <row r="280" spans="1:9" ht="15.6" x14ac:dyDescent="0.3">
      <c r="A280" s="95" t="s">
        <v>460</v>
      </c>
      <c r="B280" s="95" t="s">
        <v>69</v>
      </c>
      <c r="C280" s="95" t="s">
        <v>70</v>
      </c>
      <c r="D280" s="95" t="s">
        <v>1</v>
      </c>
      <c r="E280" s="95" t="s">
        <v>349</v>
      </c>
      <c r="F280" s="95" t="s">
        <v>71</v>
      </c>
      <c r="G280" s="95" t="s">
        <v>72</v>
      </c>
      <c r="H280" s="95" t="s">
        <v>201</v>
      </c>
      <c r="I280" s="97" t="s">
        <v>463</v>
      </c>
    </row>
    <row r="281" spans="1:9" ht="15.6" x14ac:dyDescent="0.3">
      <c r="A281" s="93" t="s">
        <v>464</v>
      </c>
      <c r="B281" s="93" t="s">
        <v>63</v>
      </c>
      <c r="C281" s="93" t="s">
        <v>64</v>
      </c>
      <c r="D281" s="93" t="s">
        <v>1</v>
      </c>
      <c r="E281" s="93" t="s">
        <v>284</v>
      </c>
      <c r="F281" s="93" t="s">
        <v>156</v>
      </c>
      <c r="G281" s="93" t="s">
        <v>135</v>
      </c>
      <c r="H281" s="93" t="s">
        <v>215</v>
      </c>
      <c r="I281" s="94" t="s">
        <v>355</v>
      </c>
    </row>
    <row r="282" spans="1:9" ht="15.6" x14ac:dyDescent="0.3">
      <c r="A282" s="95" t="s">
        <v>464</v>
      </c>
      <c r="B282" s="95" t="s">
        <v>35</v>
      </c>
      <c r="C282" s="95" t="s">
        <v>36</v>
      </c>
      <c r="D282" s="95" t="s">
        <v>1</v>
      </c>
      <c r="E282" s="95" t="s">
        <v>349</v>
      </c>
      <c r="F282" s="95" t="s">
        <v>37</v>
      </c>
      <c r="G282" s="95" t="s">
        <v>118</v>
      </c>
      <c r="H282" s="95" t="s">
        <v>84</v>
      </c>
      <c r="I282" s="97" t="s">
        <v>427</v>
      </c>
    </row>
    <row r="283" spans="1:9" ht="15.6" x14ac:dyDescent="0.3">
      <c r="A283" s="95" t="s">
        <v>464</v>
      </c>
      <c r="B283" s="95" t="s">
        <v>44</v>
      </c>
      <c r="C283" s="95" t="s">
        <v>53</v>
      </c>
      <c r="D283" s="95" t="s">
        <v>1</v>
      </c>
      <c r="E283" s="95" t="s">
        <v>374</v>
      </c>
      <c r="F283" s="95" t="s">
        <v>46</v>
      </c>
      <c r="G283" s="95" t="s">
        <v>92</v>
      </c>
      <c r="H283" s="95" t="s">
        <v>210</v>
      </c>
      <c r="I283" s="97" t="s">
        <v>408</v>
      </c>
    </row>
    <row r="284" spans="1:9" ht="15.6" x14ac:dyDescent="0.3">
      <c r="A284" s="95" t="s">
        <v>464</v>
      </c>
      <c r="B284" s="95" t="s">
        <v>44</v>
      </c>
      <c r="C284" s="95" t="s">
        <v>45</v>
      </c>
      <c r="D284" s="95" t="s">
        <v>1</v>
      </c>
      <c r="E284" s="95" t="s">
        <v>383</v>
      </c>
      <c r="F284" s="95" t="s">
        <v>46</v>
      </c>
      <c r="G284" s="95" t="s">
        <v>92</v>
      </c>
      <c r="H284" s="95" t="s">
        <v>210</v>
      </c>
      <c r="I284" s="97" t="s">
        <v>392</v>
      </c>
    </row>
    <row r="285" spans="1:9" ht="15.6" x14ac:dyDescent="0.3">
      <c r="A285" s="95" t="s">
        <v>464</v>
      </c>
      <c r="B285" s="95" t="s">
        <v>74</v>
      </c>
      <c r="C285" s="95" t="s">
        <v>75</v>
      </c>
      <c r="D285" s="95" t="s">
        <v>1</v>
      </c>
      <c r="E285" s="95" t="s">
        <v>385</v>
      </c>
      <c r="F285" s="95" t="s">
        <v>76</v>
      </c>
      <c r="G285" s="95" t="s">
        <v>47</v>
      </c>
      <c r="H285" s="95" t="s">
        <v>212</v>
      </c>
      <c r="I285" s="97" t="s">
        <v>372</v>
      </c>
    </row>
    <row r="286" spans="1:9" ht="15.6" x14ac:dyDescent="0.3">
      <c r="A286" s="95" t="s">
        <v>464</v>
      </c>
      <c r="B286" s="95" t="s">
        <v>35</v>
      </c>
      <c r="C286" s="95" t="s">
        <v>36</v>
      </c>
      <c r="D286" s="95" t="s">
        <v>1</v>
      </c>
      <c r="E286" s="95" t="s">
        <v>349</v>
      </c>
      <c r="F286" s="95" t="s">
        <v>40</v>
      </c>
      <c r="G286" s="95" t="s">
        <v>118</v>
      </c>
      <c r="H286" s="95" t="s">
        <v>209</v>
      </c>
      <c r="I286" s="97" t="s">
        <v>427</v>
      </c>
    </row>
    <row r="287" spans="1:9" ht="15.6" x14ac:dyDescent="0.3">
      <c r="A287" s="95" t="s">
        <v>464</v>
      </c>
      <c r="B287" s="95" t="s">
        <v>44</v>
      </c>
      <c r="C287" s="95" t="s">
        <v>53</v>
      </c>
      <c r="D287" s="95" t="s">
        <v>1</v>
      </c>
      <c r="E287" s="95" t="s">
        <v>374</v>
      </c>
      <c r="F287" s="95" t="s">
        <v>49</v>
      </c>
      <c r="G287" s="95" t="s">
        <v>92</v>
      </c>
      <c r="H287" s="95" t="s">
        <v>167</v>
      </c>
      <c r="I287" s="97" t="s">
        <v>357</v>
      </c>
    </row>
    <row r="288" spans="1:9" ht="15.6" x14ac:dyDescent="0.3">
      <c r="A288" s="95" t="s">
        <v>464</v>
      </c>
      <c r="B288" s="95" t="s">
        <v>44</v>
      </c>
      <c r="C288" s="95" t="s">
        <v>45</v>
      </c>
      <c r="D288" s="95" t="s">
        <v>1</v>
      </c>
      <c r="E288" s="95" t="s">
        <v>383</v>
      </c>
      <c r="F288" s="95" t="s">
        <v>49</v>
      </c>
      <c r="G288" s="95" t="s">
        <v>92</v>
      </c>
      <c r="H288" s="95" t="s">
        <v>167</v>
      </c>
      <c r="I288" s="97" t="s">
        <v>438</v>
      </c>
    </row>
    <row r="289" spans="1:9" ht="15.6" x14ac:dyDescent="0.3">
      <c r="A289" s="95" t="s">
        <v>464</v>
      </c>
      <c r="B289" s="95" t="s">
        <v>26</v>
      </c>
      <c r="C289" s="95" t="s">
        <v>57</v>
      </c>
      <c r="D289" s="95" t="s">
        <v>1</v>
      </c>
      <c r="E289" s="95" t="s">
        <v>386</v>
      </c>
      <c r="F289" s="95" t="s">
        <v>156</v>
      </c>
      <c r="G289" s="95" t="s">
        <v>29</v>
      </c>
      <c r="H289" s="95" t="s">
        <v>214</v>
      </c>
      <c r="I289" s="97" t="s">
        <v>378</v>
      </c>
    </row>
    <row r="290" spans="1:9" ht="15.6" x14ac:dyDescent="0.3">
      <c r="A290" s="95" t="s">
        <v>464</v>
      </c>
      <c r="B290" s="95" t="s">
        <v>31</v>
      </c>
      <c r="C290" s="95" t="s">
        <v>32</v>
      </c>
      <c r="D290" s="95" t="s">
        <v>1</v>
      </c>
      <c r="E290" s="95" t="s">
        <v>347</v>
      </c>
      <c r="F290" s="95" t="s">
        <v>33</v>
      </c>
      <c r="G290" s="95" t="s">
        <v>29</v>
      </c>
      <c r="H290" s="95" t="s">
        <v>86</v>
      </c>
      <c r="I290" s="97" t="s">
        <v>453</v>
      </c>
    </row>
    <row r="291" spans="1:9" ht="15.6" x14ac:dyDescent="0.3">
      <c r="A291" s="95" t="s">
        <v>464</v>
      </c>
      <c r="B291" s="95" t="s">
        <v>31</v>
      </c>
      <c r="C291" s="95" t="s">
        <v>62</v>
      </c>
      <c r="D291" s="95" t="s">
        <v>1</v>
      </c>
      <c r="E291" s="95" t="s">
        <v>363</v>
      </c>
      <c r="F291" s="95" t="s">
        <v>33</v>
      </c>
      <c r="G291" s="95" t="s">
        <v>29</v>
      </c>
      <c r="H291" s="95" t="s">
        <v>86</v>
      </c>
      <c r="I291" s="97" t="s">
        <v>453</v>
      </c>
    </row>
    <row r="292" spans="1:9" ht="15.6" x14ac:dyDescent="0.3">
      <c r="A292" s="95" t="s">
        <v>464</v>
      </c>
      <c r="B292" s="95" t="s">
        <v>31</v>
      </c>
      <c r="C292" s="95" t="s">
        <v>58</v>
      </c>
      <c r="D292" s="95" t="s">
        <v>1</v>
      </c>
      <c r="E292" s="95" t="s">
        <v>352</v>
      </c>
      <c r="F292" s="95" t="s">
        <v>33</v>
      </c>
      <c r="G292" s="95" t="s">
        <v>29</v>
      </c>
      <c r="H292" s="95" t="s">
        <v>86</v>
      </c>
      <c r="I292" s="97" t="s">
        <v>371</v>
      </c>
    </row>
    <row r="293" spans="1:9" ht="15.6" x14ac:dyDescent="0.3">
      <c r="A293" s="95" t="s">
        <v>464</v>
      </c>
      <c r="B293" s="95" t="s">
        <v>44</v>
      </c>
      <c r="C293" s="95" t="s">
        <v>53</v>
      </c>
      <c r="D293" s="95" t="s">
        <v>1</v>
      </c>
      <c r="E293" s="95" t="s">
        <v>374</v>
      </c>
      <c r="F293" s="95" t="s">
        <v>51</v>
      </c>
      <c r="G293" s="95" t="s">
        <v>92</v>
      </c>
      <c r="H293" s="95" t="s">
        <v>211</v>
      </c>
      <c r="I293" s="97" t="s">
        <v>465</v>
      </c>
    </row>
    <row r="294" spans="1:9" ht="15.6" x14ac:dyDescent="0.3">
      <c r="A294" s="95" t="s">
        <v>464</v>
      </c>
      <c r="B294" s="95" t="s">
        <v>44</v>
      </c>
      <c r="C294" s="95" t="s">
        <v>45</v>
      </c>
      <c r="D294" s="95" t="s">
        <v>1</v>
      </c>
      <c r="E294" s="95" t="s">
        <v>383</v>
      </c>
      <c r="F294" s="95" t="s">
        <v>51</v>
      </c>
      <c r="G294" s="95" t="s">
        <v>92</v>
      </c>
      <c r="H294" s="95" t="s">
        <v>211</v>
      </c>
      <c r="I294" s="97" t="s">
        <v>466</v>
      </c>
    </row>
    <row r="295" spans="1:9" ht="15.6" x14ac:dyDescent="0.3">
      <c r="A295" s="95" t="s">
        <v>464</v>
      </c>
      <c r="B295" s="95" t="s">
        <v>74</v>
      </c>
      <c r="C295" s="95" t="s">
        <v>75</v>
      </c>
      <c r="D295" s="95" t="s">
        <v>1</v>
      </c>
      <c r="E295" s="95" t="s">
        <v>385</v>
      </c>
      <c r="F295" s="95" t="s">
        <v>42</v>
      </c>
      <c r="G295" s="95" t="s">
        <v>47</v>
      </c>
      <c r="H295" s="95" t="s">
        <v>213</v>
      </c>
      <c r="I295" s="97" t="s">
        <v>467</v>
      </c>
    </row>
    <row r="296" spans="1:9" ht="15.6" x14ac:dyDescent="0.3">
      <c r="A296" s="95" t="s">
        <v>464</v>
      </c>
      <c r="B296" s="95" t="s">
        <v>35</v>
      </c>
      <c r="C296" s="95" t="s">
        <v>36</v>
      </c>
      <c r="D296" s="95" t="s">
        <v>1</v>
      </c>
      <c r="E296" s="95" t="s">
        <v>349</v>
      </c>
      <c r="F296" s="95" t="s">
        <v>42</v>
      </c>
      <c r="G296" s="95" t="s">
        <v>118</v>
      </c>
      <c r="H296" s="95" t="s">
        <v>85</v>
      </c>
      <c r="I296" s="97" t="s">
        <v>468</v>
      </c>
    </row>
    <row r="297" spans="1:9" ht="15.6" x14ac:dyDescent="0.3">
      <c r="A297" s="95" t="s">
        <v>464</v>
      </c>
      <c r="B297" s="95" t="s">
        <v>69</v>
      </c>
      <c r="C297" s="95" t="s">
        <v>70</v>
      </c>
      <c r="D297" s="95" t="s">
        <v>1</v>
      </c>
      <c r="E297" s="95" t="s">
        <v>349</v>
      </c>
      <c r="F297" s="95" t="s">
        <v>71</v>
      </c>
      <c r="G297" s="95" t="s">
        <v>72</v>
      </c>
      <c r="H297" s="95" t="s">
        <v>201</v>
      </c>
      <c r="I297" s="97" t="s">
        <v>364</v>
      </c>
    </row>
    <row r="298" spans="1:9" ht="15.6" x14ac:dyDescent="0.3">
      <c r="A298" s="95" t="s">
        <v>469</v>
      </c>
      <c r="B298" s="95" t="s">
        <v>31</v>
      </c>
      <c r="C298" s="95" t="s">
        <v>58</v>
      </c>
      <c r="D298" s="95" t="s">
        <v>1</v>
      </c>
      <c r="E298" s="95" t="s">
        <v>352</v>
      </c>
      <c r="F298" s="95" t="s">
        <v>94</v>
      </c>
      <c r="G298" s="95" t="s">
        <v>29</v>
      </c>
      <c r="H298" s="95" t="s">
        <v>168</v>
      </c>
      <c r="I298" s="97" t="s">
        <v>470</v>
      </c>
    </row>
    <row r="299" spans="1:9" ht="15.6" x14ac:dyDescent="0.3">
      <c r="A299" s="95" t="s">
        <v>469</v>
      </c>
      <c r="B299" s="95" t="s">
        <v>35</v>
      </c>
      <c r="C299" s="95" t="s">
        <v>36</v>
      </c>
      <c r="D299" s="95" t="s">
        <v>1</v>
      </c>
      <c r="E299" s="95" t="s">
        <v>349</v>
      </c>
      <c r="F299" s="95" t="s">
        <v>37</v>
      </c>
      <c r="G299" s="95" t="s">
        <v>118</v>
      </c>
      <c r="H299" s="95" t="s">
        <v>55</v>
      </c>
      <c r="I299" s="97" t="s">
        <v>410</v>
      </c>
    </row>
    <row r="300" spans="1:9" ht="15.6" x14ac:dyDescent="0.3">
      <c r="A300" s="95" t="s">
        <v>469</v>
      </c>
      <c r="B300" s="95" t="s">
        <v>31</v>
      </c>
      <c r="C300" s="95" t="s">
        <v>32</v>
      </c>
      <c r="D300" s="95" t="s">
        <v>1</v>
      </c>
      <c r="E300" s="95" t="s">
        <v>347</v>
      </c>
      <c r="F300" s="95" t="s">
        <v>94</v>
      </c>
      <c r="G300" s="95" t="s">
        <v>29</v>
      </c>
      <c r="H300" s="95" t="s">
        <v>169</v>
      </c>
      <c r="I300" s="97" t="s">
        <v>372</v>
      </c>
    </row>
    <row r="301" spans="1:9" ht="15.6" x14ac:dyDescent="0.3">
      <c r="A301" s="95" t="s">
        <v>469</v>
      </c>
      <c r="B301" s="95" t="s">
        <v>31</v>
      </c>
      <c r="C301" s="95" t="s">
        <v>62</v>
      </c>
      <c r="D301" s="95" t="s">
        <v>1</v>
      </c>
      <c r="E301" s="95" t="s">
        <v>363</v>
      </c>
      <c r="F301" s="95" t="s">
        <v>94</v>
      </c>
      <c r="G301" s="95" t="s">
        <v>29</v>
      </c>
      <c r="H301" s="95" t="s">
        <v>169</v>
      </c>
      <c r="I301" s="97" t="s">
        <v>372</v>
      </c>
    </row>
    <row r="302" spans="1:9" ht="15.6" x14ac:dyDescent="0.3">
      <c r="A302" s="95" t="s">
        <v>469</v>
      </c>
      <c r="B302" s="95" t="s">
        <v>44</v>
      </c>
      <c r="C302" s="95" t="s">
        <v>53</v>
      </c>
      <c r="D302" s="95" t="s">
        <v>1</v>
      </c>
      <c r="E302" s="95" t="s">
        <v>374</v>
      </c>
      <c r="F302" s="95" t="s">
        <v>46</v>
      </c>
      <c r="G302" s="95" t="s">
        <v>72</v>
      </c>
      <c r="H302" s="95" t="s">
        <v>178</v>
      </c>
      <c r="I302" s="97" t="s">
        <v>357</v>
      </c>
    </row>
    <row r="303" spans="1:9" ht="15.6" x14ac:dyDescent="0.3">
      <c r="A303" s="95" t="s">
        <v>469</v>
      </c>
      <c r="B303" s="95" t="s">
        <v>79</v>
      </c>
      <c r="C303" s="95" t="s">
        <v>119</v>
      </c>
      <c r="D303" s="95" t="s">
        <v>1</v>
      </c>
      <c r="E303" s="95" t="s">
        <v>440</v>
      </c>
      <c r="F303" s="95" t="s">
        <v>156</v>
      </c>
      <c r="G303" s="95" t="s">
        <v>60</v>
      </c>
      <c r="H303" s="95" t="s">
        <v>172</v>
      </c>
      <c r="I303" s="97" t="s">
        <v>381</v>
      </c>
    </row>
    <row r="304" spans="1:9" ht="15.6" x14ac:dyDescent="0.3">
      <c r="A304" s="95" t="s">
        <v>469</v>
      </c>
      <c r="B304" s="95" t="s">
        <v>35</v>
      </c>
      <c r="C304" s="95" t="s">
        <v>36</v>
      </c>
      <c r="D304" s="95" t="s">
        <v>1</v>
      </c>
      <c r="E304" s="95" t="s">
        <v>349</v>
      </c>
      <c r="F304" s="95" t="s">
        <v>40</v>
      </c>
      <c r="G304" s="95" t="s">
        <v>118</v>
      </c>
      <c r="H304" s="95" t="s">
        <v>179</v>
      </c>
      <c r="I304" s="97" t="s">
        <v>410</v>
      </c>
    </row>
    <row r="305" spans="1:9" ht="15.6" x14ac:dyDescent="0.3">
      <c r="A305" s="95" t="s">
        <v>469</v>
      </c>
      <c r="B305" s="95" t="s">
        <v>44</v>
      </c>
      <c r="C305" s="95" t="s">
        <v>53</v>
      </c>
      <c r="D305" s="95" t="s">
        <v>1</v>
      </c>
      <c r="E305" s="95" t="s">
        <v>374</v>
      </c>
      <c r="F305" s="95" t="s">
        <v>49</v>
      </c>
      <c r="G305" s="95" t="s">
        <v>72</v>
      </c>
      <c r="H305" s="95" t="s">
        <v>179</v>
      </c>
      <c r="I305" s="97" t="s">
        <v>471</v>
      </c>
    </row>
    <row r="306" spans="1:9" ht="15.6" x14ac:dyDescent="0.3">
      <c r="A306" s="95" t="s">
        <v>469</v>
      </c>
      <c r="B306" s="95" t="s">
        <v>44</v>
      </c>
      <c r="C306" s="95" t="s">
        <v>53</v>
      </c>
      <c r="D306" s="95" t="s">
        <v>1</v>
      </c>
      <c r="E306" s="95" t="s">
        <v>374</v>
      </c>
      <c r="F306" s="95" t="s">
        <v>51</v>
      </c>
      <c r="G306" s="95" t="s">
        <v>72</v>
      </c>
      <c r="H306" s="95" t="s">
        <v>180</v>
      </c>
      <c r="I306" s="97" t="s">
        <v>472</v>
      </c>
    </row>
    <row r="307" spans="1:9" ht="15.6" x14ac:dyDescent="0.3">
      <c r="A307" s="95" t="s">
        <v>469</v>
      </c>
      <c r="B307" s="95" t="s">
        <v>35</v>
      </c>
      <c r="C307" s="95" t="s">
        <v>36</v>
      </c>
      <c r="D307" s="95" t="s">
        <v>1</v>
      </c>
      <c r="E307" s="95" t="s">
        <v>349</v>
      </c>
      <c r="F307" s="95" t="s">
        <v>42</v>
      </c>
      <c r="G307" s="95" t="s">
        <v>118</v>
      </c>
      <c r="H307" s="95" t="s">
        <v>85</v>
      </c>
      <c r="I307" s="97" t="s">
        <v>468</v>
      </c>
    </row>
    <row r="308" spans="1:9" ht="15.6" x14ac:dyDescent="0.3">
      <c r="A308" s="95" t="s">
        <v>469</v>
      </c>
      <c r="B308" s="95" t="s">
        <v>69</v>
      </c>
      <c r="C308" s="95" t="s">
        <v>70</v>
      </c>
      <c r="D308" s="95" t="s">
        <v>1</v>
      </c>
      <c r="E308" s="95" t="s">
        <v>349</v>
      </c>
      <c r="F308" s="95" t="s">
        <v>71</v>
      </c>
      <c r="G308" s="95" t="s">
        <v>72</v>
      </c>
      <c r="H308" s="95" t="s">
        <v>175</v>
      </c>
      <c r="I308" s="97" t="s">
        <v>473</v>
      </c>
    </row>
    <row r="309" spans="1:9" ht="15.6" x14ac:dyDescent="0.3">
      <c r="A309" s="93" t="s">
        <v>474</v>
      </c>
      <c r="B309" s="93" t="s">
        <v>63</v>
      </c>
      <c r="C309" s="93" t="s">
        <v>64</v>
      </c>
      <c r="D309" s="93" t="s">
        <v>1</v>
      </c>
      <c r="E309" s="93" t="s">
        <v>274</v>
      </c>
      <c r="F309" s="93" t="s">
        <v>156</v>
      </c>
      <c r="G309" s="93" t="s">
        <v>157</v>
      </c>
      <c r="H309" s="93" t="s">
        <v>183</v>
      </c>
      <c r="I309" s="94" t="s">
        <v>355</v>
      </c>
    </row>
    <row r="310" spans="1:9" ht="15.6" x14ac:dyDescent="0.3">
      <c r="A310" s="95" t="s">
        <v>474</v>
      </c>
      <c r="B310" s="95" t="s">
        <v>31</v>
      </c>
      <c r="C310" s="95" t="s">
        <v>58</v>
      </c>
      <c r="D310" s="95" t="s">
        <v>1</v>
      </c>
      <c r="E310" s="95" t="s">
        <v>352</v>
      </c>
      <c r="F310" s="95" t="s">
        <v>94</v>
      </c>
      <c r="G310" s="95" t="s">
        <v>29</v>
      </c>
      <c r="H310" s="95" t="s">
        <v>168</v>
      </c>
      <c r="I310" s="96" t="s">
        <v>359</v>
      </c>
    </row>
    <row r="311" spans="1:9" ht="15.6" x14ac:dyDescent="0.3">
      <c r="A311" s="95" t="s">
        <v>474</v>
      </c>
      <c r="B311" s="95" t="s">
        <v>79</v>
      </c>
      <c r="C311" s="95" t="s">
        <v>119</v>
      </c>
      <c r="D311" s="95" t="s">
        <v>1</v>
      </c>
      <c r="E311" s="95" t="s">
        <v>440</v>
      </c>
      <c r="F311" s="95" t="s">
        <v>156</v>
      </c>
      <c r="G311" s="95" t="s">
        <v>121</v>
      </c>
      <c r="H311" s="95" t="s">
        <v>154</v>
      </c>
      <c r="I311" s="98" t="s">
        <v>419</v>
      </c>
    </row>
    <row r="312" spans="1:9" ht="15.6" x14ac:dyDescent="0.3">
      <c r="A312" s="95" t="s">
        <v>474</v>
      </c>
      <c r="B312" s="95" t="s">
        <v>26</v>
      </c>
      <c r="C312" s="95" t="s">
        <v>57</v>
      </c>
      <c r="D312" s="95" t="s">
        <v>1</v>
      </c>
      <c r="E312" s="95" t="s">
        <v>346</v>
      </c>
      <c r="F312" s="95" t="s">
        <v>156</v>
      </c>
      <c r="G312" s="95" t="s">
        <v>60</v>
      </c>
      <c r="H312" s="95" t="s">
        <v>126</v>
      </c>
      <c r="I312" s="96" t="s">
        <v>389</v>
      </c>
    </row>
    <row r="313" spans="1:9" ht="15.6" x14ac:dyDescent="0.3">
      <c r="A313" s="95" t="s">
        <v>474</v>
      </c>
      <c r="B313" s="95" t="s">
        <v>44</v>
      </c>
      <c r="C313" s="95" t="s">
        <v>45</v>
      </c>
      <c r="D313" s="95" t="s">
        <v>1</v>
      </c>
      <c r="E313" s="95" t="s">
        <v>383</v>
      </c>
      <c r="F313" s="95" t="s">
        <v>51</v>
      </c>
      <c r="G313" s="95" t="s">
        <v>95</v>
      </c>
      <c r="H313" s="95" t="s">
        <v>180</v>
      </c>
      <c r="I313" s="97" t="s">
        <v>448</v>
      </c>
    </row>
    <row r="314" spans="1:9" ht="15.6" x14ac:dyDescent="0.3">
      <c r="A314" s="95" t="s">
        <v>474</v>
      </c>
      <c r="B314" s="95" t="s">
        <v>44</v>
      </c>
      <c r="C314" s="95" t="s">
        <v>53</v>
      </c>
      <c r="D314" s="95" t="s">
        <v>1</v>
      </c>
      <c r="E314" s="95" t="s">
        <v>374</v>
      </c>
      <c r="F314" s="95" t="s">
        <v>51</v>
      </c>
      <c r="G314" s="95" t="s">
        <v>157</v>
      </c>
      <c r="H314" s="95" t="s">
        <v>211</v>
      </c>
      <c r="I314" s="97" t="s">
        <v>459</v>
      </c>
    </row>
    <row r="315" spans="1:9" ht="15.6" x14ac:dyDescent="0.3">
      <c r="A315" s="95" t="s">
        <v>474</v>
      </c>
      <c r="B315" s="95" t="s">
        <v>35</v>
      </c>
      <c r="C315" s="95" t="s">
        <v>36</v>
      </c>
      <c r="D315" s="95" t="s">
        <v>1</v>
      </c>
      <c r="E315" s="95" t="s">
        <v>349</v>
      </c>
      <c r="F315" s="95" t="s">
        <v>42</v>
      </c>
      <c r="G315" s="95" t="s">
        <v>118</v>
      </c>
      <c r="H315" s="95" t="s">
        <v>85</v>
      </c>
      <c r="I315" s="97" t="s">
        <v>475</v>
      </c>
    </row>
    <row r="316" spans="1:9" ht="15.6" x14ac:dyDescent="0.3">
      <c r="A316" s="95" t="s">
        <v>474</v>
      </c>
      <c r="B316" s="95" t="s">
        <v>69</v>
      </c>
      <c r="C316" s="95" t="s">
        <v>70</v>
      </c>
      <c r="D316" s="95" t="s">
        <v>1</v>
      </c>
      <c r="E316" s="95" t="s">
        <v>349</v>
      </c>
      <c r="F316" s="95" t="s">
        <v>71</v>
      </c>
      <c r="G316" s="95" t="s">
        <v>72</v>
      </c>
      <c r="H316" s="95" t="s">
        <v>175</v>
      </c>
      <c r="I316" s="98" t="s">
        <v>419</v>
      </c>
    </row>
    <row r="317" spans="1:9" ht="15.6" x14ac:dyDescent="0.3">
      <c r="A317" s="95" t="s">
        <v>476</v>
      </c>
      <c r="B317" s="95" t="s">
        <v>31</v>
      </c>
      <c r="C317" s="95" t="s">
        <v>58</v>
      </c>
      <c r="D317" s="95" t="s">
        <v>1</v>
      </c>
      <c r="E317" s="95" t="s">
        <v>352</v>
      </c>
      <c r="F317" s="95" t="s">
        <v>94</v>
      </c>
      <c r="G317" s="95" t="s">
        <v>29</v>
      </c>
      <c r="H317" s="95" t="s">
        <v>168</v>
      </c>
      <c r="I317" s="96" t="s">
        <v>359</v>
      </c>
    </row>
    <row r="318" spans="1:9" ht="15.6" x14ac:dyDescent="0.3">
      <c r="A318" s="95" t="s">
        <v>476</v>
      </c>
      <c r="B318" s="95" t="s">
        <v>79</v>
      </c>
      <c r="C318" s="95" t="s">
        <v>80</v>
      </c>
      <c r="D318" s="95" t="s">
        <v>1</v>
      </c>
      <c r="E318" s="95" t="s">
        <v>366</v>
      </c>
      <c r="F318" s="95" t="s">
        <v>156</v>
      </c>
      <c r="G318" s="95" t="s">
        <v>135</v>
      </c>
      <c r="H318" s="95" t="s">
        <v>154</v>
      </c>
      <c r="I318" s="98" t="s">
        <v>419</v>
      </c>
    </row>
    <row r="319" spans="1:9" ht="15.6" x14ac:dyDescent="0.3">
      <c r="A319" s="93" t="s">
        <v>477</v>
      </c>
      <c r="B319" s="93" t="s">
        <v>63</v>
      </c>
      <c r="C319" s="93" t="s">
        <v>64</v>
      </c>
      <c r="D319" s="93" t="s">
        <v>1</v>
      </c>
      <c r="E319" s="93" t="s">
        <v>284</v>
      </c>
      <c r="F319" s="93" t="s">
        <v>156</v>
      </c>
      <c r="G319" s="93" t="s">
        <v>121</v>
      </c>
      <c r="H319" s="93" t="s">
        <v>106</v>
      </c>
      <c r="I319" s="94" t="s">
        <v>355</v>
      </c>
    </row>
    <row r="320" spans="1:9" ht="15.6" x14ac:dyDescent="0.3">
      <c r="A320" s="95" t="s">
        <v>477</v>
      </c>
      <c r="B320" s="95" t="s">
        <v>31</v>
      </c>
      <c r="C320" s="95" t="s">
        <v>58</v>
      </c>
      <c r="D320" s="95" t="s">
        <v>1</v>
      </c>
      <c r="E320" s="95" t="s">
        <v>352</v>
      </c>
      <c r="F320" s="95" t="s">
        <v>94</v>
      </c>
      <c r="G320" s="95" t="s">
        <v>29</v>
      </c>
      <c r="H320" s="95" t="s">
        <v>168</v>
      </c>
      <c r="I320" s="98" t="s">
        <v>387</v>
      </c>
    </row>
    <row r="321" spans="1:9" ht="15.6" x14ac:dyDescent="0.3">
      <c r="A321" s="95" t="s">
        <v>477</v>
      </c>
      <c r="B321" s="95" t="s">
        <v>31</v>
      </c>
      <c r="C321" s="95" t="s">
        <v>62</v>
      </c>
      <c r="D321" s="95" t="s">
        <v>1</v>
      </c>
      <c r="E321" s="95" t="s">
        <v>363</v>
      </c>
      <c r="F321" s="95" t="s">
        <v>94</v>
      </c>
      <c r="G321" s="95" t="s">
        <v>29</v>
      </c>
      <c r="H321" s="95" t="s">
        <v>169</v>
      </c>
      <c r="I321" s="98" t="s">
        <v>434</v>
      </c>
    </row>
    <row r="322" spans="1:9" ht="15.6" x14ac:dyDescent="0.3">
      <c r="A322" s="95" t="s">
        <v>477</v>
      </c>
      <c r="B322" s="95" t="s">
        <v>31</v>
      </c>
      <c r="C322" s="95" t="s">
        <v>32</v>
      </c>
      <c r="D322" s="95" t="s">
        <v>1</v>
      </c>
      <c r="E322" s="95" t="s">
        <v>347</v>
      </c>
      <c r="F322" s="95" t="s">
        <v>33</v>
      </c>
      <c r="G322" s="95" t="s">
        <v>29</v>
      </c>
      <c r="H322" s="95" t="s">
        <v>103</v>
      </c>
      <c r="I322" s="97" t="s">
        <v>411</v>
      </c>
    </row>
    <row r="323" spans="1:9" ht="15.6" x14ac:dyDescent="0.3">
      <c r="A323" s="95" t="s">
        <v>477</v>
      </c>
      <c r="B323" s="95" t="s">
        <v>44</v>
      </c>
      <c r="C323" s="95" t="s">
        <v>45</v>
      </c>
      <c r="D323" s="95" t="s">
        <v>1</v>
      </c>
      <c r="E323" s="95" t="s">
        <v>383</v>
      </c>
      <c r="F323" s="95" t="s">
        <v>46</v>
      </c>
      <c r="G323" s="95" t="s">
        <v>72</v>
      </c>
      <c r="H323" s="95" t="s">
        <v>178</v>
      </c>
      <c r="I323" s="96" t="s">
        <v>356</v>
      </c>
    </row>
    <row r="324" spans="1:9" ht="15.6" x14ac:dyDescent="0.3">
      <c r="A324" s="95" t="s">
        <v>477</v>
      </c>
      <c r="B324" s="95" t="s">
        <v>26</v>
      </c>
      <c r="C324" s="95" t="s">
        <v>57</v>
      </c>
      <c r="D324" s="95" t="s">
        <v>1</v>
      </c>
      <c r="E324" s="95" t="s">
        <v>346</v>
      </c>
      <c r="F324" s="95" t="s">
        <v>156</v>
      </c>
      <c r="G324" s="95" t="s">
        <v>95</v>
      </c>
      <c r="H324" s="95" t="s">
        <v>126</v>
      </c>
      <c r="I324" s="98" t="s">
        <v>380</v>
      </c>
    </row>
    <row r="325" spans="1:9" ht="15.6" x14ac:dyDescent="0.3">
      <c r="A325" s="95" t="s">
        <v>477</v>
      </c>
      <c r="B325" s="95" t="s">
        <v>79</v>
      </c>
      <c r="C325" s="95" t="s">
        <v>80</v>
      </c>
      <c r="D325" s="95" t="s">
        <v>1</v>
      </c>
      <c r="E325" s="95" t="s">
        <v>478</v>
      </c>
      <c r="F325" s="95" t="s">
        <v>156</v>
      </c>
      <c r="G325" s="95" t="s">
        <v>121</v>
      </c>
      <c r="H325" s="95" t="s">
        <v>172</v>
      </c>
      <c r="I325" s="98" t="s">
        <v>380</v>
      </c>
    </row>
    <row r="326" spans="1:9" ht="15.6" x14ac:dyDescent="0.3">
      <c r="A326" s="95" t="s">
        <v>477</v>
      </c>
      <c r="B326" s="95" t="s">
        <v>26</v>
      </c>
      <c r="C326" s="95" t="s">
        <v>93</v>
      </c>
      <c r="D326" s="95" t="s">
        <v>1</v>
      </c>
      <c r="E326" s="95" t="s">
        <v>370</v>
      </c>
      <c r="F326" s="95" t="s">
        <v>156</v>
      </c>
      <c r="G326" s="95" t="s">
        <v>72</v>
      </c>
      <c r="H326" s="95" t="s">
        <v>165</v>
      </c>
      <c r="I326" s="96" t="s">
        <v>377</v>
      </c>
    </row>
    <row r="327" spans="1:9" ht="15.6" x14ac:dyDescent="0.3">
      <c r="A327" s="95" t="s">
        <v>477</v>
      </c>
      <c r="B327" s="95" t="s">
        <v>44</v>
      </c>
      <c r="C327" s="95" t="s">
        <v>45</v>
      </c>
      <c r="D327" s="95" t="s">
        <v>1</v>
      </c>
      <c r="E327" s="95" t="s">
        <v>383</v>
      </c>
      <c r="F327" s="95" t="s">
        <v>49</v>
      </c>
      <c r="G327" s="95" t="s">
        <v>72</v>
      </c>
      <c r="H327" s="95" t="s">
        <v>179</v>
      </c>
      <c r="I327" s="96" t="s">
        <v>358</v>
      </c>
    </row>
    <row r="328" spans="1:9" ht="15.6" x14ac:dyDescent="0.3">
      <c r="A328" s="95" t="s">
        <v>477</v>
      </c>
      <c r="B328" s="95" t="s">
        <v>44</v>
      </c>
      <c r="C328" s="95" t="s">
        <v>45</v>
      </c>
      <c r="D328" s="95" t="s">
        <v>1</v>
      </c>
      <c r="E328" s="95" t="s">
        <v>383</v>
      </c>
      <c r="F328" s="95" t="s">
        <v>51</v>
      </c>
      <c r="G328" s="95" t="s">
        <v>72</v>
      </c>
      <c r="H328" s="95" t="s">
        <v>180</v>
      </c>
      <c r="I328" s="97" t="s">
        <v>360</v>
      </c>
    </row>
    <row r="329" spans="1:9" ht="15.6" x14ac:dyDescent="0.3">
      <c r="A329" s="95" t="s">
        <v>477</v>
      </c>
      <c r="B329" s="95" t="s">
        <v>44</v>
      </c>
      <c r="C329" s="95" t="s">
        <v>53</v>
      </c>
      <c r="D329" s="95" t="s">
        <v>1</v>
      </c>
      <c r="E329" s="95" t="s">
        <v>374</v>
      </c>
      <c r="F329" s="95" t="s">
        <v>51</v>
      </c>
      <c r="G329" s="95" t="s">
        <v>47</v>
      </c>
      <c r="H329" s="95" t="s">
        <v>191</v>
      </c>
      <c r="I329" s="97" t="s">
        <v>479</v>
      </c>
    </row>
    <row r="330" spans="1:9" ht="15.6" x14ac:dyDescent="0.3">
      <c r="A330" s="95" t="s">
        <v>477</v>
      </c>
      <c r="B330" s="95" t="s">
        <v>35</v>
      </c>
      <c r="C330" s="95" t="s">
        <v>36</v>
      </c>
      <c r="D330" s="95" t="s">
        <v>1</v>
      </c>
      <c r="E330" s="95" t="s">
        <v>349</v>
      </c>
      <c r="F330" s="95" t="s">
        <v>42</v>
      </c>
      <c r="G330" s="95" t="s">
        <v>118</v>
      </c>
      <c r="H330" s="95" t="s">
        <v>85</v>
      </c>
      <c r="I330" s="97" t="s">
        <v>445</v>
      </c>
    </row>
    <row r="331" spans="1:9" ht="15.6" x14ac:dyDescent="0.3">
      <c r="A331" s="95" t="s">
        <v>477</v>
      </c>
      <c r="B331" s="95" t="s">
        <v>69</v>
      </c>
      <c r="C331" s="95" t="s">
        <v>70</v>
      </c>
      <c r="D331" s="95" t="s">
        <v>1</v>
      </c>
      <c r="E331" s="95" t="s">
        <v>349</v>
      </c>
      <c r="F331" s="95" t="s">
        <v>71</v>
      </c>
      <c r="G331" s="95" t="s">
        <v>72</v>
      </c>
      <c r="H331" s="95" t="s">
        <v>175</v>
      </c>
      <c r="I331" s="97" t="s">
        <v>400</v>
      </c>
    </row>
    <row r="332" spans="1:9" ht="15.6" x14ac:dyDescent="0.3">
      <c r="A332" s="93" t="s">
        <v>480</v>
      </c>
      <c r="B332" s="93" t="s">
        <v>63</v>
      </c>
      <c r="C332" s="93" t="s">
        <v>64</v>
      </c>
      <c r="D332" s="93" t="s">
        <v>1</v>
      </c>
      <c r="E332" s="93" t="s">
        <v>291</v>
      </c>
      <c r="F332" s="93" t="s">
        <v>156</v>
      </c>
      <c r="G332" s="93" t="s">
        <v>60</v>
      </c>
      <c r="H332" s="93" t="s">
        <v>106</v>
      </c>
      <c r="I332" s="94" t="s">
        <v>355</v>
      </c>
    </row>
    <row r="333" spans="1:9" ht="15.6" x14ac:dyDescent="0.3">
      <c r="A333" s="95" t="s">
        <v>480</v>
      </c>
      <c r="B333" s="95" t="s">
        <v>31</v>
      </c>
      <c r="C333" s="95" t="s">
        <v>58</v>
      </c>
      <c r="D333" s="95" t="s">
        <v>1</v>
      </c>
      <c r="E333" s="95" t="s">
        <v>352</v>
      </c>
      <c r="F333" s="95" t="s">
        <v>94</v>
      </c>
      <c r="G333" s="95" t="s">
        <v>29</v>
      </c>
      <c r="H333" s="95" t="s">
        <v>168</v>
      </c>
      <c r="I333" s="98" t="s">
        <v>387</v>
      </c>
    </row>
    <row r="334" spans="1:9" ht="15.6" x14ac:dyDescent="0.3">
      <c r="A334" s="95" t="s">
        <v>480</v>
      </c>
      <c r="B334" s="95" t="s">
        <v>79</v>
      </c>
      <c r="C334" s="95" t="s">
        <v>119</v>
      </c>
      <c r="D334" s="95" t="s">
        <v>1</v>
      </c>
      <c r="E334" s="95" t="s">
        <v>440</v>
      </c>
      <c r="F334" s="95" t="s">
        <v>156</v>
      </c>
      <c r="G334" s="95" t="s">
        <v>95</v>
      </c>
      <c r="H334" s="95" t="s">
        <v>154</v>
      </c>
      <c r="I334" s="97" t="s">
        <v>400</v>
      </c>
    </row>
    <row r="335" spans="1:9" ht="15.6" x14ac:dyDescent="0.3">
      <c r="A335" s="95" t="s">
        <v>480</v>
      </c>
      <c r="B335" s="95" t="s">
        <v>31</v>
      </c>
      <c r="C335" s="95" t="s">
        <v>32</v>
      </c>
      <c r="D335" s="95" t="s">
        <v>1</v>
      </c>
      <c r="E335" s="95" t="s">
        <v>347</v>
      </c>
      <c r="F335" s="95" t="s">
        <v>94</v>
      </c>
      <c r="G335" s="95" t="s">
        <v>29</v>
      </c>
      <c r="H335" s="95" t="s">
        <v>169</v>
      </c>
      <c r="I335" s="98" t="s">
        <v>434</v>
      </c>
    </row>
    <row r="336" spans="1:9" ht="15.6" x14ac:dyDescent="0.3">
      <c r="A336" s="95" t="s">
        <v>480</v>
      </c>
      <c r="B336" s="95" t="s">
        <v>31</v>
      </c>
      <c r="C336" s="95" t="s">
        <v>62</v>
      </c>
      <c r="D336" s="95" t="s">
        <v>1</v>
      </c>
      <c r="E336" s="95" t="s">
        <v>363</v>
      </c>
      <c r="F336" s="95" t="s">
        <v>94</v>
      </c>
      <c r="G336" s="95" t="s">
        <v>29</v>
      </c>
      <c r="H336" s="95" t="s">
        <v>223</v>
      </c>
      <c r="I336" s="96" t="s">
        <v>377</v>
      </c>
    </row>
    <row r="337" spans="1:9" ht="15.6" x14ac:dyDescent="0.3">
      <c r="A337" s="95" t="s">
        <v>480</v>
      </c>
      <c r="B337" s="95" t="s">
        <v>44</v>
      </c>
      <c r="C337" s="95" t="s">
        <v>53</v>
      </c>
      <c r="D337" s="95" t="s">
        <v>1</v>
      </c>
      <c r="E337" s="95" t="s">
        <v>374</v>
      </c>
      <c r="F337" s="95" t="s">
        <v>46</v>
      </c>
      <c r="G337" s="95" t="s">
        <v>95</v>
      </c>
      <c r="H337" s="95" t="s">
        <v>178</v>
      </c>
      <c r="I337" s="96" t="s">
        <v>356</v>
      </c>
    </row>
    <row r="338" spans="1:9" ht="15.6" x14ac:dyDescent="0.3">
      <c r="A338" s="95" t="s">
        <v>480</v>
      </c>
      <c r="B338" s="95" t="s">
        <v>26</v>
      </c>
      <c r="C338" s="95" t="s">
        <v>27</v>
      </c>
      <c r="D338" s="95" t="s">
        <v>1</v>
      </c>
      <c r="E338" s="95" t="s">
        <v>346</v>
      </c>
      <c r="F338" s="95" t="s">
        <v>156</v>
      </c>
      <c r="G338" s="95" t="s">
        <v>157</v>
      </c>
      <c r="H338" s="95" t="s">
        <v>126</v>
      </c>
      <c r="I338" s="98" t="s">
        <v>380</v>
      </c>
    </row>
    <row r="339" spans="1:9" ht="15.6" x14ac:dyDescent="0.3">
      <c r="A339" s="95" t="s">
        <v>480</v>
      </c>
      <c r="B339" s="95" t="s">
        <v>44</v>
      </c>
      <c r="C339" s="95" t="s">
        <v>53</v>
      </c>
      <c r="D339" s="95" t="s">
        <v>1</v>
      </c>
      <c r="E339" s="95" t="s">
        <v>374</v>
      </c>
      <c r="F339" s="95" t="s">
        <v>49</v>
      </c>
      <c r="G339" s="95" t="s">
        <v>95</v>
      </c>
      <c r="H339" s="95" t="s">
        <v>179</v>
      </c>
      <c r="I339" s="96" t="s">
        <v>358</v>
      </c>
    </row>
    <row r="340" spans="1:9" ht="15.6" x14ac:dyDescent="0.3">
      <c r="A340" s="95" t="s">
        <v>480</v>
      </c>
      <c r="B340" s="95" t="s">
        <v>44</v>
      </c>
      <c r="C340" s="95" t="s">
        <v>53</v>
      </c>
      <c r="D340" s="95" t="s">
        <v>1</v>
      </c>
      <c r="E340" s="95" t="s">
        <v>374</v>
      </c>
      <c r="F340" s="95" t="s">
        <v>51</v>
      </c>
      <c r="G340" s="95" t="s">
        <v>95</v>
      </c>
      <c r="H340" s="95" t="s">
        <v>180</v>
      </c>
      <c r="I340" s="97" t="s">
        <v>360</v>
      </c>
    </row>
    <row r="341" spans="1:9" ht="15.6" x14ac:dyDescent="0.3">
      <c r="A341" s="95" t="s">
        <v>480</v>
      </c>
      <c r="B341" s="95" t="s">
        <v>35</v>
      </c>
      <c r="C341" s="95" t="s">
        <v>36</v>
      </c>
      <c r="D341" s="95" t="s">
        <v>1</v>
      </c>
      <c r="E341" s="95" t="s">
        <v>349</v>
      </c>
      <c r="F341" s="95" t="s">
        <v>42</v>
      </c>
      <c r="G341" s="95" t="s">
        <v>118</v>
      </c>
      <c r="H341" s="95" t="s">
        <v>85</v>
      </c>
      <c r="I341" s="97" t="s">
        <v>445</v>
      </c>
    </row>
    <row r="342" spans="1:9" ht="15.6" x14ac:dyDescent="0.3">
      <c r="A342" s="95" t="s">
        <v>480</v>
      </c>
      <c r="B342" s="95" t="s">
        <v>69</v>
      </c>
      <c r="C342" s="95" t="s">
        <v>70</v>
      </c>
      <c r="D342" s="95" t="s">
        <v>1</v>
      </c>
      <c r="E342" s="95" t="s">
        <v>349</v>
      </c>
      <c r="F342" s="95" t="s">
        <v>71</v>
      </c>
      <c r="G342" s="95" t="s">
        <v>72</v>
      </c>
      <c r="H342" s="95" t="s">
        <v>175</v>
      </c>
      <c r="I342" s="97" t="s">
        <v>400</v>
      </c>
    </row>
    <row r="343" spans="1:9" ht="15.6" x14ac:dyDescent="0.3">
      <c r="A343" s="93" t="s">
        <v>481</v>
      </c>
      <c r="B343" s="93" t="s">
        <v>63</v>
      </c>
      <c r="C343" s="93" t="s">
        <v>64</v>
      </c>
      <c r="D343" s="93" t="s">
        <v>1</v>
      </c>
      <c r="E343" s="93" t="s">
        <v>284</v>
      </c>
      <c r="F343" s="93" t="s">
        <v>156</v>
      </c>
      <c r="G343" s="93" t="s">
        <v>121</v>
      </c>
      <c r="H343" s="93" t="s">
        <v>65</v>
      </c>
      <c r="I343" s="94" t="s">
        <v>355</v>
      </c>
    </row>
    <row r="344" spans="1:9" ht="15.6" x14ac:dyDescent="0.3">
      <c r="A344" s="95" t="s">
        <v>481</v>
      </c>
      <c r="B344" s="95" t="s">
        <v>31</v>
      </c>
      <c r="C344" s="95" t="s">
        <v>58</v>
      </c>
      <c r="D344" s="95" t="s">
        <v>1</v>
      </c>
      <c r="E344" s="95" t="s">
        <v>352</v>
      </c>
      <c r="F344" s="95" t="s">
        <v>94</v>
      </c>
      <c r="G344" s="95" t="s">
        <v>29</v>
      </c>
      <c r="H344" s="95" t="s">
        <v>168</v>
      </c>
      <c r="I344" s="98" t="s">
        <v>387</v>
      </c>
    </row>
    <row r="345" spans="1:9" ht="15.6" x14ac:dyDescent="0.3">
      <c r="A345" s="95" t="s">
        <v>481</v>
      </c>
      <c r="B345" s="95" t="s">
        <v>79</v>
      </c>
      <c r="C345" s="95" t="s">
        <v>80</v>
      </c>
      <c r="D345" s="95" t="s">
        <v>1</v>
      </c>
      <c r="E345" s="95" t="s">
        <v>482</v>
      </c>
      <c r="F345" s="95" t="s">
        <v>156</v>
      </c>
      <c r="G345" s="95" t="s">
        <v>135</v>
      </c>
      <c r="H345" s="95" t="s">
        <v>154</v>
      </c>
      <c r="I345" s="98" t="s">
        <v>416</v>
      </c>
    </row>
    <row r="346" spans="1:9" ht="15.6" x14ac:dyDescent="0.3">
      <c r="A346" s="95" t="s">
        <v>481</v>
      </c>
      <c r="B346" s="95" t="s">
        <v>74</v>
      </c>
      <c r="C346" s="95" t="s">
        <v>75</v>
      </c>
      <c r="D346" s="95" t="s">
        <v>1</v>
      </c>
      <c r="E346" s="95" t="s">
        <v>385</v>
      </c>
      <c r="F346" s="95" t="s">
        <v>76</v>
      </c>
      <c r="G346" s="95" t="s">
        <v>47</v>
      </c>
      <c r="H346" s="95" t="s">
        <v>225</v>
      </c>
      <c r="I346" s="98" t="s">
        <v>450</v>
      </c>
    </row>
    <row r="347" spans="1:9" ht="15.6" x14ac:dyDescent="0.3">
      <c r="A347" s="95" t="s">
        <v>481</v>
      </c>
      <c r="B347" s="95" t="s">
        <v>31</v>
      </c>
      <c r="C347" s="95" t="s">
        <v>32</v>
      </c>
      <c r="D347" s="95" t="s">
        <v>1</v>
      </c>
      <c r="E347" s="95" t="s">
        <v>347</v>
      </c>
      <c r="F347" s="95" t="s">
        <v>94</v>
      </c>
      <c r="G347" s="95" t="s">
        <v>29</v>
      </c>
      <c r="H347" s="95" t="s">
        <v>169</v>
      </c>
      <c r="I347" s="96" t="s">
        <v>389</v>
      </c>
    </row>
    <row r="348" spans="1:9" ht="15.6" x14ac:dyDescent="0.3">
      <c r="A348" s="95" t="s">
        <v>481</v>
      </c>
      <c r="B348" s="95" t="s">
        <v>31</v>
      </c>
      <c r="C348" s="95" t="s">
        <v>62</v>
      </c>
      <c r="D348" s="95" t="s">
        <v>1</v>
      </c>
      <c r="E348" s="95" t="s">
        <v>363</v>
      </c>
      <c r="F348" s="95" t="s">
        <v>94</v>
      </c>
      <c r="G348" s="95" t="s">
        <v>29</v>
      </c>
      <c r="H348" s="95" t="s">
        <v>169</v>
      </c>
      <c r="I348" s="96" t="s">
        <v>389</v>
      </c>
    </row>
    <row r="349" spans="1:9" ht="15.6" x14ac:dyDescent="0.3">
      <c r="A349" s="95" t="s">
        <v>481</v>
      </c>
      <c r="B349" s="95" t="s">
        <v>44</v>
      </c>
      <c r="C349" s="95" t="s">
        <v>45</v>
      </c>
      <c r="D349" s="95" t="s">
        <v>1</v>
      </c>
      <c r="E349" s="95" t="s">
        <v>383</v>
      </c>
      <c r="F349" s="95" t="s">
        <v>46</v>
      </c>
      <c r="G349" s="95" t="s">
        <v>95</v>
      </c>
      <c r="H349" s="95" t="s">
        <v>178</v>
      </c>
      <c r="I349" s="96" t="s">
        <v>356</v>
      </c>
    </row>
    <row r="350" spans="1:9" ht="15.6" x14ac:dyDescent="0.3">
      <c r="A350" s="95" t="s">
        <v>481</v>
      </c>
      <c r="B350" s="95" t="s">
        <v>26</v>
      </c>
      <c r="C350" s="95" t="s">
        <v>57</v>
      </c>
      <c r="D350" s="95" t="s">
        <v>1</v>
      </c>
      <c r="E350" s="95" t="s">
        <v>386</v>
      </c>
      <c r="F350" s="95" t="s">
        <v>156</v>
      </c>
      <c r="G350" s="95" t="s">
        <v>60</v>
      </c>
      <c r="H350" s="95" t="s">
        <v>126</v>
      </c>
      <c r="I350" s="98" t="s">
        <v>434</v>
      </c>
    </row>
    <row r="351" spans="1:9" ht="15.6" x14ac:dyDescent="0.3">
      <c r="A351" s="95" t="s">
        <v>481</v>
      </c>
      <c r="B351" s="95" t="s">
        <v>44</v>
      </c>
      <c r="C351" s="95" t="s">
        <v>53</v>
      </c>
      <c r="D351" s="95" t="s">
        <v>1</v>
      </c>
      <c r="E351" s="95" t="s">
        <v>374</v>
      </c>
      <c r="F351" s="95" t="s">
        <v>49</v>
      </c>
      <c r="G351" s="95" t="s">
        <v>72</v>
      </c>
      <c r="H351" s="95" t="s">
        <v>179</v>
      </c>
      <c r="I351" s="96" t="s">
        <v>359</v>
      </c>
    </row>
    <row r="352" spans="1:9" ht="15.6" x14ac:dyDescent="0.3">
      <c r="A352" s="95" t="s">
        <v>481</v>
      </c>
      <c r="B352" s="95" t="s">
        <v>44</v>
      </c>
      <c r="C352" s="95" t="s">
        <v>45</v>
      </c>
      <c r="D352" s="95" t="s">
        <v>1</v>
      </c>
      <c r="E352" s="95" t="s">
        <v>383</v>
      </c>
      <c r="F352" s="95" t="s">
        <v>49</v>
      </c>
      <c r="G352" s="95" t="s">
        <v>95</v>
      </c>
      <c r="H352" s="95" t="s">
        <v>179</v>
      </c>
      <c r="I352" s="96" t="s">
        <v>358</v>
      </c>
    </row>
    <row r="353" spans="1:9" ht="15.6" x14ac:dyDescent="0.3">
      <c r="A353" s="95" t="s">
        <v>481</v>
      </c>
      <c r="B353" s="95" t="s">
        <v>74</v>
      </c>
      <c r="C353" s="95" t="s">
        <v>75</v>
      </c>
      <c r="D353" s="95" t="s">
        <v>1</v>
      </c>
      <c r="E353" s="95" t="s">
        <v>385</v>
      </c>
      <c r="F353" s="95" t="s">
        <v>42</v>
      </c>
      <c r="G353" s="95" t="s">
        <v>47</v>
      </c>
      <c r="H353" s="95" t="s">
        <v>226</v>
      </c>
      <c r="I353" s="97" t="s">
        <v>391</v>
      </c>
    </row>
    <row r="354" spans="1:9" ht="15.6" x14ac:dyDescent="0.3">
      <c r="A354" s="95" t="s">
        <v>481</v>
      </c>
      <c r="B354" s="95" t="s">
        <v>44</v>
      </c>
      <c r="C354" s="95" t="s">
        <v>53</v>
      </c>
      <c r="D354" s="95" t="s">
        <v>1</v>
      </c>
      <c r="E354" s="95" t="s">
        <v>374</v>
      </c>
      <c r="F354" s="95" t="s">
        <v>51</v>
      </c>
      <c r="G354" s="95" t="s">
        <v>72</v>
      </c>
      <c r="H354" s="95" t="s">
        <v>180</v>
      </c>
      <c r="I354" s="97" t="s">
        <v>361</v>
      </c>
    </row>
    <row r="355" spans="1:9" ht="15.6" x14ac:dyDescent="0.3">
      <c r="A355" s="95" t="s">
        <v>481</v>
      </c>
      <c r="B355" s="95" t="s">
        <v>44</v>
      </c>
      <c r="C355" s="95" t="s">
        <v>45</v>
      </c>
      <c r="D355" s="95" t="s">
        <v>1</v>
      </c>
      <c r="E355" s="95" t="s">
        <v>383</v>
      </c>
      <c r="F355" s="95" t="s">
        <v>51</v>
      </c>
      <c r="G355" s="95" t="s">
        <v>95</v>
      </c>
      <c r="H355" s="95" t="s">
        <v>180</v>
      </c>
      <c r="I355" s="97" t="s">
        <v>360</v>
      </c>
    </row>
    <row r="356" spans="1:9" ht="15.6" x14ac:dyDescent="0.3">
      <c r="A356" s="95" t="s">
        <v>481</v>
      </c>
      <c r="B356" s="95" t="s">
        <v>35</v>
      </c>
      <c r="C356" s="95" t="s">
        <v>36</v>
      </c>
      <c r="D356" s="95" t="s">
        <v>1</v>
      </c>
      <c r="E356" s="95" t="s">
        <v>349</v>
      </c>
      <c r="F356" s="95" t="s">
        <v>42</v>
      </c>
      <c r="G356" s="95" t="s">
        <v>118</v>
      </c>
      <c r="H356" s="95" t="s">
        <v>85</v>
      </c>
      <c r="I356" s="97" t="s">
        <v>430</v>
      </c>
    </row>
    <row r="357" spans="1:9" ht="15.6" x14ac:dyDescent="0.3">
      <c r="A357" s="95" t="s">
        <v>481</v>
      </c>
      <c r="B357" s="95" t="s">
        <v>69</v>
      </c>
      <c r="C357" s="95" t="s">
        <v>70</v>
      </c>
      <c r="D357" s="95" t="s">
        <v>1</v>
      </c>
      <c r="E357" s="95" t="s">
        <v>349</v>
      </c>
      <c r="F357" s="95" t="s">
        <v>71</v>
      </c>
      <c r="G357" s="95" t="s">
        <v>72</v>
      </c>
      <c r="H357" s="95" t="s">
        <v>175</v>
      </c>
      <c r="I357" s="98" t="s">
        <v>416</v>
      </c>
    </row>
    <row r="358" spans="1:9" ht="15.6" x14ac:dyDescent="0.3">
      <c r="A358" s="95" t="s">
        <v>483</v>
      </c>
      <c r="B358" s="95" t="s">
        <v>31</v>
      </c>
      <c r="C358" s="95" t="s">
        <v>58</v>
      </c>
      <c r="D358" s="95" t="s">
        <v>1</v>
      </c>
      <c r="E358" s="95" t="s">
        <v>352</v>
      </c>
      <c r="F358" s="95" t="s">
        <v>94</v>
      </c>
      <c r="G358" s="95" t="s">
        <v>29</v>
      </c>
      <c r="H358" s="95" t="s">
        <v>168</v>
      </c>
      <c r="I358" s="96" t="s">
        <v>358</v>
      </c>
    </row>
    <row r="359" spans="1:9" ht="15.6" x14ac:dyDescent="0.3">
      <c r="A359" s="95" t="s">
        <v>483</v>
      </c>
      <c r="B359" s="95" t="s">
        <v>79</v>
      </c>
      <c r="C359" s="95" t="s">
        <v>119</v>
      </c>
      <c r="D359" s="95" t="s">
        <v>1</v>
      </c>
      <c r="E359" s="95" t="s">
        <v>440</v>
      </c>
      <c r="F359" s="95" t="s">
        <v>156</v>
      </c>
      <c r="G359" s="95" t="s">
        <v>60</v>
      </c>
      <c r="H359" s="95" t="s">
        <v>154</v>
      </c>
      <c r="I359" s="98" t="s">
        <v>416</v>
      </c>
    </row>
    <row r="360" spans="1:9" ht="15.6" x14ac:dyDescent="0.3">
      <c r="A360" s="95" t="s">
        <v>483</v>
      </c>
      <c r="B360" s="95" t="s">
        <v>31</v>
      </c>
      <c r="C360" s="95" t="s">
        <v>32</v>
      </c>
      <c r="D360" s="95" t="s">
        <v>1</v>
      </c>
      <c r="E360" s="95" t="s">
        <v>347</v>
      </c>
      <c r="F360" s="95" t="s">
        <v>94</v>
      </c>
      <c r="G360" s="95" t="s">
        <v>29</v>
      </c>
      <c r="H360" s="95" t="s">
        <v>169</v>
      </c>
      <c r="I360" s="96" t="s">
        <v>389</v>
      </c>
    </row>
    <row r="361" spans="1:9" ht="15.6" x14ac:dyDescent="0.3">
      <c r="A361" s="95" t="s">
        <v>483</v>
      </c>
      <c r="B361" s="95" t="s">
        <v>31</v>
      </c>
      <c r="C361" s="95" t="s">
        <v>62</v>
      </c>
      <c r="D361" s="95" t="s">
        <v>1</v>
      </c>
      <c r="E361" s="95" t="s">
        <v>363</v>
      </c>
      <c r="F361" s="95" t="s">
        <v>94</v>
      </c>
      <c r="G361" s="95" t="s">
        <v>29</v>
      </c>
      <c r="H361" s="95" t="s">
        <v>169</v>
      </c>
      <c r="I361" s="96" t="s">
        <v>389</v>
      </c>
    </row>
    <row r="362" spans="1:9" ht="15.6" x14ac:dyDescent="0.3">
      <c r="A362" s="95" t="s">
        <v>483</v>
      </c>
      <c r="B362" s="95" t="s">
        <v>44</v>
      </c>
      <c r="C362" s="95" t="s">
        <v>53</v>
      </c>
      <c r="D362" s="95" t="s">
        <v>1</v>
      </c>
      <c r="E362" s="95" t="s">
        <v>374</v>
      </c>
      <c r="F362" s="95" t="s">
        <v>49</v>
      </c>
      <c r="G362" s="95" t="s">
        <v>135</v>
      </c>
      <c r="H362" s="95" t="s">
        <v>179</v>
      </c>
      <c r="I362" s="96" t="s">
        <v>359</v>
      </c>
    </row>
    <row r="363" spans="1:9" ht="15.6" x14ac:dyDescent="0.3">
      <c r="A363" s="95" t="s">
        <v>483</v>
      </c>
      <c r="B363" s="95" t="s">
        <v>44</v>
      </c>
      <c r="C363" s="95" t="s">
        <v>53</v>
      </c>
      <c r="D363" s="95" t="s">
        <v>1</v>
      </c>
      <c r="E363" s="95" t="s">
        <v>374</v>
      </c>
      <c r="F363" s="95" t="s">
        <v>51</v>
      </c>
      <c r="G363" s="95" t="s">
        <v>135</v>
      </c>
      <c r="H363" s="95" t="s">
        <v>180</v>
      </c>
      <c r="I363" s="97" t="s">
        <v>361</v>
      </c>
    </row>
    <row r="364" spans="1:9" ht="15.6" x14ac:dyDescent="0.3">
      <c r="A364" s="95" t="s">
        <v>483</v>
      </c>
      <c r="B364" s="95" t="s">
        <v>35</v>
      </c>
      <c r="C364" s="95" t="s">
        <v>36</v>
      </c>
      <c r="D364" s="95" t="s">
        <v>1</v>
      </c>
      <c r="E364" s="95" t="s">
        <v>349</v>
      </c>
      <c r="F364" s="95" t="s">
        <v>42</v>
      </c>
      <c r="G364" s="95" t="s">
        <v>118</v>
      </c>
      <c r="H364" s="95" t="s">
        <v>85</v>
      </c>
      <c r="I364" s="97" t="s">
        <v>430</v>
      </c>
    </row>
    <row r="365" spans="1:9" ht="15.6" x14ac:dyDescent="0.3">
      <c r="A365" s="95" t="s">
        <v>483</v>
      </c>
      <c r="B365" s="95" t="s">
        <v>69</v>
      </c>
      <c r="C365" s="95" t="s">
        <v>70</v>
      </c>
      <c r="D365" s="95" t="s">
        <v>1</v>
      </c>
      <c r="E365" s="95" t="s">
        <v>349</v>
      </c>
      <c r="F365" s="95" t="s">
        <v>71</v>
      </c>
      <c r="G365" s="95" t="s">
        <v>72</v>
      </c>
      <c r="H365" s="95" t="s">
        <v>175</v>
      </c>
      <c r="I365" s="98" t="s">
        <v>416</v>
      </c>
    </row>
    <row r="366" spans="1:9" ht="15.6" x14ac:dyDescent="0.3">
      <c r="A366" s="93" t="s">
        <v>484</v>
      </c>
      <c r="B366" s="93" t="s">
        <v>63</v>
      </c>
      <c r="C366" s="93" t="s">
        <v>64</v>
      </c>
      <c r="D366" s="93" t="s">
        <v>1</v>
      </c>
      <c r="E366" s="93" t="s">
        <v>274</v>
      </c>
      <c r="F366" s="93" t="s">
        <v>156</v>
      </c>
      <c r="G366" s="93" t="s">
        <v>157</v>
      </c>
      <c r="H366" s="93" t="s">
        <v>65</v>
      </c>
      <c r="I366" s="94" t="s">
        <v>355</v>
      </c>
    </row>
    <row r="367" spans="1:9" ht="15.6" x14ac:dyDescent="0.3">
      <c r="A367" s="95" t="s">
        <v>484</v>
      </c>
      <c r="B367" s="95" t="s">
        <v>31</v>
      </c>
      <c r="C367" s="95" t="s">
        <v>58</v>
      </c>
      <c r="D367" s="95" t="s">
        <v>1</v>
      </c>
      <c r="E367" s="95" t="s">
        <v>352</v>
      </c>
      <c r="F367" s="95" t="s">
        <v>94</v>
      </c>
      <c r="G367" s="95" t="s">
        <v>29</v>
      </c>
      <c r="H367" s="95" t="s">
        <v>168</v>
      </c>
      <c r="I367" s="96" t="s">
        <v>358</v>
      </c>
    </row>
    <row r="368" spans="1:9" ht="15.6" x14ac:dyDescent="0.3">
      <c r="A368" s="95" t="s">
        <v>484</v>
      </c>
      <c r="B368" s="95" t="s">
        <v>31</v>
      </c>
      <c r="C368" s="95" t="s">
        <v>32</v>
      </c>
      <c r="D368" s="95" t="s">
        <v>1</v>
      </c>
      <c r="E368" s="95" t="s">
        <v>347</v>
      </c>
      <c r="F368" s="95" t="s">
        <v>94</v>
      </c>
      <c r="G368" s="95" t="s">
        <v>29</v>
      </c>
      <c r="H368" s="95" t="s">
        <v>169</v>
      </c>
      <c r="I368" s="96" t="s">
        <v>389</v>
      </c>
    </row>
    <row r="369" spans="1:9" ht="15.6" x14ac:dyDescent="0.3">
      <c r="A369" s="95" t="s">
        <v>484</v>
      </c>
      <c r="B369" s="95" t="s">
        <v>31</v>
      </c>
      <c r="C369" s="95" t="s">
        <v>62</v>
      </c>
      <c r="D369" s="95" t="s">
        <v>1</v>
      </c>
      <c r="E369" s="95" t="s">
        <v>363</v>
      </c>
      <c r="F369" s="95" t="s">
        <v>94</v>
      </c>
      <c r="G369" s="95" t="s">
        <v>29</v>
      </c>
      <c r="H369" s="95" t="s">
        <v>169</v>
      </c>
      <c r="I369" s="96" t="s">
        <v>389</v>
      </c>
    </row>
    <row r="370" spans="1:9" ht="15.6" x14ac:dyDescent="0.3">
      <c r="A370" s="95" t="s">
        <v>484</v>
      </c>
      <c r="B370" s="95" t="s">
        <v>26</v>
      </c>
      <c r="C370" s="95" t="s">
        <v>57</v>
      </c>
      <c r="D370" s="95" t="s">
        <v>1</v>
      </c>
      <c r="E370" s="95" t="s">
        <v>346</v>
      </c>
      <c r="F370" s="95" t="s">
        <v>156</v>
      </c>
      <c r="G370" s="95" t="s">
        <v>95</v>
      </c>
      <c r="H370" s="95" t="s">
        <v>126</v>
      </c>
      <c r="I370" s="98" t="s">
        <v>434</v>
      </c>
    </row>
    <row r="371" spans="1:9" ht="15.6" x14ac:dyDescent="0.3">
      <c r="A371" s="95" t="s">
        <v>484</v>
      </c>
      <c r="B371" s="95" t="s">
        <v>79</v>
      </c>
      <c r="C371" s="95" t="s">
        <v>119</v>
      </c>
      <c r="D371" s="95" t="s">
        <v>1</v>
      </c>
      <c r="E371" s="95" t="s">
        <v>440</v>
      </c>
      <c r="F371" s="95" t="s">
        <v>156</v>
      </c>
      <c r="G371" s="95" t="s">
        <v>72</v>
      </c>
      <c r="H371" s="95" t="s">
        <v>172</v>
      </c>
      <c r="I371" s="96" t="s">
        <v>377</v>
      </c>
    </row>
    <row r="372" spans="1:9" ht="15.6" x14ac:dyDescent="0.3">
      <c r="A372" s="95" t="s">
        <v>484</v>
      </c>
      <c r="B372" s="95" t="s">
        <v>44</v>
      </c>
      <c r="C372" s="95" t="s">
        <v>53</v>
      </c>
      <c r="D372" s="95" t="s">
        <v>1</v>
      </c>
      <c r="E372" s="95" t="s">
        <v>374</v>
      </c>
      <c r="F372" s="95" t="s">
        <v>49</v>
      </c>
      <c r="G372" s="95" t="s">
        <v>157</v>
      </c>
      <c r="H372" s="95" t="s">
        <v>179</v>
      </c>
      <c r="I372" s="96" t="s">
        <v>359</v>
      </c>
    </row>
    <row r="373" spans="1:9" ht="15.6" x14ac:dyDescent="0.3">
      <c r="A373" s="95" t="s">
        <v>484</v>
      </c>
      <c r="B373" s="95" t="s">
        <v>44</v>
      </c>
      <c r="C373" s="95" t="s">
        <v>45</v>
      </c>
      <c r="D373" s="95" t="s">
        <v>1</v>
      </c>
      <c r="E373" s="95" t="s">
        <v>383</v>
      </c>
      <c r="F373" s="95" t="s">
        <v>49</v>
      </c>
      <c r="G373" s="95" t="s">
        <v>92</v>
      </c>
      <c r="H373" s="95" t="s">
        <v>179</v>
      </c>
      <c r="I373" s="96" t="s">
        <v>359</v>
      </c>
    </row>
    <row r="374" spans="1:9" ht="15.6" x14ac:dyDescent="0.3">
      <c r="A374" s="95" t="s">
        <v>484</v>
      </c>
      <c r="B374" s="95" t="s">
        <v>44</v>
      </c>
      <c r="C374" s="95" t="s">
        <v>53</v>
      </c>
      <c r="D374" s="95" t="s">
        <v>1</v>
      </c>
      <c r="E374" s="95" t="s">
        <v>374</v>
      </c>
      <c r="F374" s="95" t="s">
        <v>51</v>
      </c>
      <c r="G374" s="95" t="s">
        <v>157</v>
      </c>
      <c r="H374" s="95" t="s">
        <v>180</v>
      </c>
      <c r="I374" s="97" t="s">
        <v>361</v>
      </c>
    </row>
    <row r="375" spans="1:9" ht="15.6" x14ac:dyDescent="0.3">
      <c r="A375" s="95" t="s">
        <v>484</v>
      </c>
      <c r="B375" s="95" t="s">
        <v>44</v>
      </c>
      <c r="C375" s="95" t="s">
        <v>45</v>
      </c>
      <c r="D375" s="95" t="s">
        <v>1</v>
      </c>
      <c r="E375" s="95" t="s">
        <v>383</v>
      </c>
      <c r="F375" s="95" t="s">
        <v>51</v>
      </c>
      <c r="G375" s="95" t="s">
        <v>92</v>
      </c>
      <c r="H375" s="95" t="s">
        <v>180</v>
      </c>
      <c r="I375" s="97" t="s">
        <v>361</v>
      </c>
    </row>
    <row r="376" spans="1:9" ht="15.6" x14ac:dyDescent="0.3">
      <c r="A376" s="95" t="s">
        <v>484</v>
      </c>
      <c r="B376" s="95" t="s">
        <v>35</v>
      </c>
      <c r="C376" s="95" t="s">
        <v>36</v>
      </c>
      <c r="D376" s="95" t="s">
        <v>1</v>
      </c>
      <c r="E376" s="95" t="s">
        <v>349</v>
      </c>
      <c r="F376" s="95" t="s">
        <v>42</v>
      </c>
      <c r="G376" s="95" t="s">
        <v>118</v>
      </c>
      <c r="H376" s="95" t="s">
        <v>85</v>
      </c>
      <c r="I376" s="97" t="s">
        <v>430</v>
      </c>
    </row>
    <row r="377" spans="1:9" ht="15.6" x14ac:dyDescent="0.3">
      <c r="A377" s="95" t="s">
        <v>484</v>
      </c>
      <c r="B377" s="95" t="s">
        <v>69</v>
      </c>
      <c r="C377" s="95" t="s">
        <v>70</v>
      </c>
      <c r="D377" s="95" t="s">
        <v>1</v>
      </c>
      <c r="E377" s="95" t="s">
        <v>349</v>
      </c>
      <c r="F377" s="95" t="s">
        <v>71</v>
      </c>
      <c r="G377" s="95" t="s">
        <v>72</v>
      </c>
      <c r="H377" s="95" t="s">
        <v>175</v>
      </c>
      <c r="I377" s="98" t="s">
        <v>416</v>
      </c>
    </row>
    <row r="378" spans="1:9" ht="15.6" x14ac:dyDescent="0.3">
      <c r="A378" s="95" t="s">
        <v>485</v>
      </c>
      <c r="B378" s="95" t="s">
        <v>31</v>
      </c>
      <c r="C378" s="95" t="s">
        <v>58</v>
      </c>
      <c r="D378" s="95" t="s">
        <v>1</v>
      </c>
      <c r="E378" s="95" t="s">
        <v>352</v>
      </c>
      <c r="F378" s="95" t="s">
        <v>94</v>
      </c>
      <c r="G378" s="95" t="s">
        <v>29</v>
      </c>
      <c r="H378" s="95" t="s">
        <v>168</v>
      </c>
      <c r="I378" s="96" t="s">
        <v>358</v>
      </c>
    </row>
    <row r="379" spans="1:9" ht="15.6" x14ac:dyDescent="0.3">
      <c r="A379" s="95" t="s">
        <v>485</v>
      </c>
      <c r="B379" s="95" t="s">
        <v>79</v>
      </c>
      <c r="C379" s="95" t="s">
        <v>80</v>
      </c>
      <c r="D379" s="95" t="s">
        <v>1</v>
      </c>
      <c r="E379" s="95" t="s">
        <v>366</v>
      </c>
      <c r="F379" s="95" t="s">
        <v>156</v>
      </c>
      <c r="G379" s="95" t="s">
        <v>72</v>
      </c>
      <c r="H379" s="95" t="s">
        <v>154</v>
      </c>
      <c r="I379" s="98" t="s">
        <v>416</v>
      </c>
    </row>
    <row r="380" spans="1:9" ht="15.6" x14ac:dyDescent="0.3">
      <c r="A380" s="93" t="s">
        <v>486</v>
      </c>
      <c r="B380" s="93" t="s">
        <v>63</v>
      </c>
      <c r="C380" s="93" t="s">
        <v>64</v>
      </c>
      <c r="D380" s="93" t="s">
        <v>1</v>
      </c>
      <c r="E380" s="93" t="s">
        <v>284</v>
      </c>
      <c r="F380" s="93" t="s">
        <v>156</v>
      </c>
      <c r="G380" s="93" t="s">
        <v>157</v>
      </c>
      <c r="H380" s="93" t="s">
        <v>65</v>
      </c>
      <c r="I380" s="94" t="s">
        <v>355</v>
      </c>
    </row>
    <row r="381" spans="1:9" ht="15.6" x14ac:dyDescent="0.3">
      <c r="A381" s="95" t="s">
        <v>486</v>
      </c>
      <c r="B381" s="95" t="s">
        <v>31</v>
      </c>
      <c r="C381" s="95" t="s">
        <v>58</v>
      </c>
      <c r="D381" s="95" t="s">
        <v>1</v>
      </c>
      <c r="E381" s="95" t="s">
        <v>352</v>
      </c>
      <c r="F381" s="95" t="s">
        <v>94</v>
      </c>
      <c r="G381" s="95" t="s">
        <v>29</v>
      </c>
      <c r="H381" s="95" t="s">
        <v>168</v>
      </c>
      <c r="I381" s="96" t="s">
        <v>358</v>
      </c>
    </row>
    <row r="382" spans="1:9" ht="15.6" x14ac:dyDescent="0.3">
      <c r="A382" s="95" t="s">
        <v>486</v>
      </c>
      <c r="B382" s="95" t="s">
        <v>79</v>
      </c>
      <c r="C382" s="95" t="s">
        <v>80</v>
      </c>
      <c r="D382" s="95" t="s">
        <v>1</v>
      </c>
      <c r="E382" s="95" t="s">
        <v>478</v>
      </c>
      <c r="F382" s="95" t="s">
        <v>156</v>
      </c>
      <c r="G382" s="95" t="s">
        <v>135</v>
      </c>
      <c r="H382" s="95" t="s">
        <v>154</v>
      </c>
      <c r="I382" s="98" t="s">
        <v>416</v>
      </c>
    </row>
    <row r="383" spans="1:9" ht="15.6" x14ac:dyDescent="0.3">
      <c r="A383" s="95" t="s">
        <v>486</v>
      </c>
      <c r="B383" s="95" t="s">
        <v>31</v>
      </c>
      <c r="C383" s="95" t="s">
        <v>32</v>
      </c>
      <c r="D383" s="95" t="s">
        <v>1</v>
      </c>
      <c r="E383" s="95" t="s">
        <v>347</v>
      </c>
      <c r="F383" s="95" t="s">
        <v>94</v>
      </c>
      <c r="G383" s="95" t="s">
        <v>29</v>
      </c>
      <c r="H383" s="95" t="s">
        <v>169</v>
      </c>
      <c r="I383" s="96" t="s">
        <v>389</v>
      </c>
    </row>
    <row r="384" spans="1:9" ht="15.6" x14ac:dyDescent="0.3">
      <c r="A384" s="95" t="s">
        <v>486</v>
      </c>
      <c r="B384" s="95" t="s">
        <v>31</v>
      </c>
      <c r="C384" s="95" t="s">
        <v>62</v>
      </c>
      <c r="D384" s="95" t="s">
        <v>1</v>
      </c>
      <c r="E384" s="95" t="s">
        <v>363</v>
      </c>
      <c r="F384" s="95" t="s">
        <v>94</v>
      </c>
      <c r="G384" s="95" t="s">
        <v>29</v>
      </c>
      <c r="H384" s="95" t="s">
        <v>169</v>
      </c>
      <c r="I384" s="96" t="s">
        <v>389</v>
      </c>
    </row>
    <row r="385" spans="1:9" ht="15.6" x14ac:dyDescent="0.3">
      <c r="A385" s="95" t="s">
        <v>486</v>
      </c>
      <c r="B385" s="95" t="s">
        <v>26</v>
      </c>
      <c r="C385" s="95" t="s">
        <v>93</v>
      </c>
      <c r="D385" s="95" t="s">
        <v>1</v>
      </c>
      <c r="E385" s="95" t="s">
        <v>370</v>
      </c>
      <c r="F385" s="95" t="s">
        <v>156</v>
      </c>
      <c r="G385" s="95" t="s">
        <v>95</v>
      </c>
      <c r="H385" s="95" t="s">
        <v>126</v>
      </c>
      <c r="I385" s="98" t="s">
        <v>434</v>
      </c>
    </row>
    <row r="386" spans="1:9" ht="15.6" x14ac:dyDescent="0.3">
      <c r="A386" s="95" t="s">
        <v>486</v>
      </c>
      <c r="B386" s="95" t="s">
        <v>26</v>
      </c>
      <c r="C386" s="95" t="s">
        <v>57</v>
      </c>
      <c r="D386" s="95" t="s">
        <v>1</v>
      </c>
      <c r="E386" s="95" t="s">
        <v>346</v>
      </c>
      <c r="F386" s="95" t="s">
        <v>156</v>
      </c>
      <c r="G386" s="95" t="s">
        <v>121</v>
      </c>
      <c r="H386" s="95" t="s">
        <v>126</v>
      </c>
      <c r="I386" s="98" t="s">
        <v>434</v>
      </c>
    </row>
    <row r="387" spans="1:9" ht="15.6" x14ac:dyDescent="0.3">
      <c r="A387" s="95" t="s">
        <v>486</v>
      </c>
      <c r="B387" s="95" t="s">
        <v>44</v>
      </c>
      <c r="C387" s="95" t="s">
        <v>45</v>
      </c>
      <c r="D387" s="95" t="s">
        <v>1</v>
      </c>
      <c r="E387" s="95" t="s">
        <v>383</v>
      </c>
      <c r="F387" s="95" t="s">
        <v>49</v>
      </c>
      <c r="G387" s="95" t="s">
        <v>95</v>
      </c>
      <c r="H387" s="95" t="s">
        <v>179</v>
      </c>
      <c r="I387" s="96" t="s">
        <v>359</v>
      </c>
    </row>
    <row r="388" spans="1:9" ht="15.6" x14ac:dyDescent="0.3">
      <c r="A388" s="95" t="s">
        <v>486</v>
      </c>
      <c r="B388" s="95" t="s">
        <v>44</v>
      </c>
      <c r="C388" s="95" t="s">
        <v>45</v>
      </c>
      <c r="D388" s="95" t="s">
        <v>1</v>
      </c>
      <c r="E388" s="95" t="s">
        <v>383</v>
      </c>
      <c r="F388" s="95" t="s">
        <v>51</v>
      </c>
      <c r="G388" s="95" t="s">
        <v>95</v>
      </c>
      <c r="H388" s="95" t="s">
        <v>180</v>
      </c>
      <c r="I388" s="97" t="s">
        <v>361</v>
      </c>
    </row>
    <row r="389" spans="1:9" ht="15.6" x14ac:dyDescent="0.3">
      <c r="A389" s="95" t="s">
        <v>486</v>
      </c>
      <c r="B389" s="95" t="s">
        <v>44</v>
      </c>
      <c r="C389" s="95" t="s">
        <v>53</v>
      </c>
      <c r="D389" s="95" t="s">
        <v>1</v>
      </c>
      <c r="E389" s="95" t="s">
        <v>374</v>
      </c>
      <c r="F389" s="95" t="s">
        <v>51</v>
      </c>
      <c r="G389" s="95" t="s">
        <v>72</v>
      </c>
      <c r="H389" s="95" t="s">
        <v>211</v>
      </c>
      <c r="I389" s="97" t="s">
        <v>462</v>
      </c>
    </row>
    <row r="390" spans="1:9" ht="15.6" x14ac:dyDescent="0.3">
      <c r="A390" s="95" t="s">
        <v>486</v>
      </c>
      <c r="B390" s="95" t="s">
        <v>35</v>
      </c>
      <c r="C390" s="95" t="s">
        <v>36</v>
      </c>
      <c r="D390" s="95" t="s">
        <v>1</v>
      </c>
      <c r="E390" s="95" t="s">
        <v>349</v>
      </c>
      <c r="F390" s="95" t="s">
        <v>42</v>
      </c>
      <c r="G390" s="95" t="s">
        <v>118</v>
      </c>
      <c r="H390" s="95" t="s">
        <v>85</v>
      </c>
      <c r="I390" s="97" t="s">
        <v>430</v>
      </c>
    </row>
    <row r="391" spans="1:9" ht="15.6" x14ac:dyDescent="0.3">
      <c r="A391" s="95" t="s">
        <v>486</v>
      </c>
      <c r="B391" s="95" t="s">
        <v>69</v>
      </c>
      <c r="C391" s="95" t="s">
        <v>70</v>
      </c>
      <c r="D391" s="95" t="s">
        <v>1</v>
      </c>
      <c r="E391" s="95" t="s">
        <v>349</v>
      </c>
      <c r="F391" s="95" t="s">
        <v>71</v>
      </c>
      <c r="G391" s="95" t="s">
        <v>72</v>
      </c>
      <c r="H391" s="95" t="s">
        <v>175</v>
      </c>
      <c r="I391" s="98" t="s">
        <v>416</v>
      </c>
    </row>
    <row r="392" spans="1:9" ht="15.6" x14ac:dyDescent="0.3">
      <c r="A392" s="93" t="s">
        <v>487</v>
      </c>
      <c r="B392" s="93" t="s">
        <v>63</v>
      </c>
      <c r="C392" s="93" t="s">
        <v>64</v>
      </c>
      <c r="D392" s="93" t="s">
        <v>1</v>
      </c>
      <c r="E392" s="93" t="s">
        <v>291</v>
      </c>
      <c r="F392" s="93" t="s">
        <v>156</v>
      </c>
      <c r="G392" s="93" t="s">
        <v>87</v>
      </c>
      <c r="H392" s="93" t="s">
        <v>65</v>
      </c>
      <c r="I392" s="94" t="s">
        <v>355</v>
      </c>
    </row>
    <row r="393" spans="1:9" ht="15.6" x14ac:dyDescent="0.3">
      <c r="A393" s="95" t="s">
        <v>487</v>
      </c>
      <c r="B393" s="95" t="s">
        <v>31</v>
      </c>
      <c r="C393" s="95" t="s">
        <v>58</v>
      </c>
      <c r="D393" s="95" t="s">
        <v>1</v>
      </c>
      <c r="E393" s="95" t="s">
        <v>352</v>
      </c>
      <c r="F393" s="95" t="s">
        <v>94</v>
      </c>
      <c r="G393" s="95" t="s">
        <v>29</v>
      </c>
      <c r="H393" s="95" t="s">
        <v>168</v>
      </c>
      <c r="I393" s="96" t="s">
        <v>358</v>
      </c>
    </row>
    <row r="394" spans="1:9" ht="15.6" x14ac:dyDescent="0.3">
      <c r="A394" s="95" t="s">
        <v>487</v>
      </c>
      <c r="B394" s="95" t="s">
        <v>79</v>
      </c>
      <c r="C394" s="95" t="s">
        <v>119</v>
      </c>
      <c r="D394" s="95" t="s">
        <v>1</v>
      </c>
      <c r="E394" s="95" t="s">
        <v>440</v>
      </c>
      <c r="F394" s="95" t="s">
        <v>156</v>
      </c>
      <c r="G394" s="95" t="s">
        <v>95</v>
      </c>
      <c r="H394" s="95" t="s">
        <v>154</v>
      </c>
      <c r="I394" s="98" t="s">
        <v>416</v>
      </c>
    </row>
    <row r="395" spans="1:9" ht="15.6" x14ac:dyDescent="0.3">
      <c r="A395" s="95" t="s">
        <v>487</v>
      </c>
      <c r="B395" s="95" t="s">
        <v>31</v>
      </c>
      <c r="C395" s="95" t="s">
        <v>32</v>
      </c>
      <c r="D395" s="95" t="s">
        <v>1</v>
      </c>
      <c r="E395" s="95" t="s">
        <v>347</v>
      </c>
      <c r="F395" s="95" t="s">
        <v>94</v>
      </c>
      <c r="G395" s="95" t="s">
        <v>29</v>
      </c>
      <c r="H395" s="95" t="s">
        <v>169</v>
      </c>
      <c r="I395" s="96" t="s">
        <v>389</v>
      </c>
    </row>
    <row r="396" spans="1:9" ht="15.6" x14ac:dyDescent="0.3">
      <c r="A396" s="95" t="s">
        <v>487</v>
      </c>
      <c r="B396" s="95" t="s">
        <v>31</v>
      </c>
      <c r="C396" s="95" t="s">
        <v>62</v>
      </c>
      <c r="D396" s="95" t="s">
        <v>1</v>
      </c>
      <c r="E396" s="95" t="s">
        <v>363</v>
      </c>
      <c r="F396" s="95" t="s">
        <v>94</v>
      </c>
      <c r="G396" s="95" t="s">
        <v>29</v>
      </c>
      <c r="H396" s="95" t="s">
        <v>223</v>
      </c>
      <c r="I396" s="96" t="s">
        <v>389</v>
      </c>
    </row>
    <row r="397" spans="1:9" ht="15.6" x14ac:dyDescent="0.3">
      <c r="A397" s="95" t="s">
        <v>487</v>
      </c>
      <c r="B397" s="95" t="s">
        <v>26</v>
      </c>
      <c r="C397" s="95" t="s">
        <v>27</v>
      </c>
      <c r="D397" s="95" t="s">
        <v>1</v>
      </c>
      <c r="E397" s="95" t="s">
        <v>346</v>
      </c>
      <c r="F397" s="95" t="s">
        <v>156</v>
      </c>
      <c r="G397" s="95" t="s">
        <v>60</v>
      </c>
      <c r="H397" s="95" t="s">
        <v>126</v>
      </c>
      <c r="I397" s="98" t="s">
        <v>434</v>
      </c>
    </row>
    <row r="398" spans="1:9" ht="15.6" x14ac:dyDescent="0.3">
      <c r="A398" s="95" t="s">
        <v>487</v>
      </c>
      <c r="B398" s="95" t="s">
        <v>44</v>
      </c>
      <c r="C398" s="95" t="s">
        <v>53</v>
      </c>
      <c r="D398" s="95" t="s">
        <v>1</v>
      </c>
      <c r="E398" s="95" t="s">
        <v>374</v>
      </c>
      <c r="F398" s="95" t="s">
        <v>51</v>
      </c>
      <c r="G398" s="95" t="s">
        <v>95</v>
      </c>
      <c r="H398" s="95" t="s">
        <v>211</v>
      </c>
      <c r="I398" s="97" t="s">
        <v>462</v>
      </c>
    </row>
    <row r="399" spans="1:9" ht="15.6" x14ac:dyDescent="0.3">
      <c r="A399" s="95" t="s">
        <v>487</v>
      </c>
      <c r="B399" s="95" t="s">
        <v>35</v>
      </c>
      <c r="C399" s="95" t="s">
        <v>36</v>
      </c>
      <c r="D399" s="95" t="s">
        <v>1</v>
      </c>
      <c r="E399" s="95" t="s">
        <v>349</v>
      </c>
      <c r="F399" s="95" t="s">
        <v>42</v>
      </c>
      <c r="G399" s="95" t="s">
        <v>118</v>
      </c>
      <c r="H399" s="95" t="s">
        <v>85</v>
      </c>
      <c r="I399" s="97" t="s">
        <v>430</v>
      </c>
    </row>
    <row r="400" spans="1:9" ht="15.6" x14ac:dyDescent="0.3">
      <c r="A400" s="95" t="s">
        <v>487</v>
      </c>
      <c r="B400" s="95" t="s">
        <v>69</v>
      </c>
      <c r="C400" s="95" t="s">
        <v>70</v>
      </c>
      <c r="D400" s="95" t="s">
        <v>1</v>
      </c>
      <c r="E400" s="95" t="s">
        <v>349</v>
      </c>
      <c r="F400" s="95" t="s">
        <v>71</v>
      </c>
      <c r="G400" s="95" t="s">
        <v>72</v>
      </c>
      <c r="H400" s="95" t="s">
        <v>175</v>
      </c>
      <c r="I400" s="98" t="s">
        <v>416</v>
      </c>
    </row>
    <row r="401" spans="1:9" ht="15.6" x14ac:dyDescent="0.3">
      <c r="A401" s="93" t="s">
        <v>488</v>
      </c>
      <c r="B401" s="93" t="s">
        <v>63</v>
      </c>
      <c r="C401" s="93" t="s">
        <v>64</v>
      </c>
      <c r="D401" s="93" t="s">
        <v>1</v>
      </c>
      <c r="E401" s="93" t="s">
        <v>284</v>
      </c>
      <c r="F401" s="93" t="s">
        <v>156</v>
      </c>
      <c r="G401" s="93" t="s">
        <v>60</v>
      </c>
      <c r="H401" s="93" t="s">
        <v>65</v>
      </c>
      <c r="I401" s="94" t="s">
        <v>355</v>
      </c>
    </row>
    <row r="402" spans="1:9" ht="15.6" x14ac:dyDescent="0.3">
      <c r="A402" s="95" t="s">
        <v>488</v>
      </c>
      <c r="B402" s="95" t="s">
        <v>31</v>
      </c>
      <c r="C402" s="95" t="s">
        <v>58</v>
      </c>
      <c r="D402" s="95" t="s">
        <v>1</v>
      </c>
      <c r="E402" s="95" t="s">
        <v>352</v>
      </c>
      <c r="F402" s="95" t="s">
        <v>94</v>
      </c>
      <c r="G402" s="95" t="s">
        <v>29</v>
      </c>
      <c r="H402" s="95" t="s">
        <v>168</v>
      </c>
      <c r="I402" s="96" t="s">
        <v>358</v>
      </c>
    </row>
    <row r="403" spans="1:9" ht="15.6" x14ac:dyDescent="0.3">
      <c r="A403" s="95" t="s">
        <v>488</v>
      </c>
      <c r="B403" s="95" t="s">
        <v>31</v>
      </c>
      <c r="C403" s="95" t="s">
        <v>32</v>
      </c>
      <c r="D403" s="95" t="s">
        <v>1</v>
      </c>
      <c r="E403" s="95" t="s">
        <v>347</v>
      </c>
      <c r="F403" s="95" t="s">
        <v>94</v>
      </c>
      <c r="G403" s="95" t="s">
        <v>29</v>
      </c>
      <c r="H403" s="95" t="s">
        <v>169</v>
      </c>
      <c r="I403" s="96" t="s">
        <v>389</v>
      </c>
    </row>
    <row r="404" spans="1:9" ht="15.6" x14ac:dyDescent="0.3">
      <c r="A404" s="95" t="s">
        <v>488</v>
      </c>
      <c r="B404" s="95" t="s">
        <v>31</v>
      </c>
      <c r="C404" s="95" t="s">
        <v>62</v>
      </c>
      <c r="D404" s="95" t="s">
        <v>1</v>
      </c>
      <c r="E404" s="95" t="s">
        <v>363</v>
      </c>
      <c r="F404" s="95" t="s">
        <v>94</v>
      </c>
      <c r="G404" s="95" t="s">
        <v>29</v>
      </c>
      <c r="H404" s="95" t="s">
        <v>169</v>
      </c>
      <c r="I404" s="96" t="s">
        <v>389</v>
      </c>
    </row>
    <row r="405" spans="1:9" ht="15.6" x14ac:dyDescent="0.3">
      <c r="A405" s="95" t="s">
        <v>488</v>
      </c>
      <c r="B405" s="95" t="s">
        <v>26</v>
      </c>
      <c r="C405" s="95" t="s">
        <v>57</v>
      </c>
      <c r="D405" s="95" t="s">
        <v>1</v>
      </c>
      <c r="E405" s="95" t="s">
        <v>386</v>
      </c>
      <c r="F405" s="95" t="s">
        <v>156</v>
      </c>
      <c r="G405" s="95" t="s">
        <v>60</v>
      </c>
      <c r="H405" s="95" t="s">
        <v>126</v>
      </c>
      <c r="I405" s="98" t="s">
        <v>434</v>
      </c>
    </row>
    <row r="406" spans="1:9" ht="15.6" x14ac:dyDescent="0.3">
      <c r="A406" s="95" t="s">
        <v>488</v>
      </c>
      <c r="B406" s="95" t="s">
        <v>79</v>
      </c>
      <c r="C406" s="95" t="s">
        <v>80</v>
      </c>
      <c r="D406" s="95" t="s">
        <v>1</v>
      </c>
      <c r="E406" s="95" t="s">
        <v>482</v>
      </c>
      <c r="F406" s="95" t="s">
        <v>156</v>
      </c>
      <c r="G406" s="95" t="s">
        <v>29</v>
      </c>
      <c r="H406" s="95" t="s">
        <v>172</v>
      </c>
      <c r="I406" s="96" t="s">
        <v>377</v>
      </c>
    </row>
    <row r="407" spans="1:9" ht="15.6" x14ac:dyDescent="0.3">
      <c r="A407" s="95" t="s">
        <v>488</v>
      </c>
      <c r="B407" s="95" t="s">
        <v>74</v>
      </c>
      <c r="C407" s="95" t="s">
        <v>75</v>
      </c>
      <c r="D407" s="95" t="s">
        <v>1</v>
      </c>
      <c r="E407" s="95" t="s">
        <v>385</v>
      </c>
      <c r="F407" s="95" t="s">
        <v>76</v>
      </c>
      <c r="G407" s="95" t="s">
        <v>47</v>
      </c>
      <c r="H407" s="95" t="s">
        <v>236</v>
      </c>
      <c r="I407" s="96" t="s">
        <v>384</v>
      </c>
    </row>
    <row r="408" spans="1:9" ht="15.6" x14ac:dyDescent="0.3">
      <c r="A408" s="95" t="s">
        <v>488</v>
      </c>
      <c r="B408" s="95" t="s">
        <v>44</v>
      </c>
      <c r="C408" s="95" t="s">
        <v>53</v>
      </c>
      <c r="D408" s="95" t="s">
        <v>1</v>
      </c>
      <c r="E408" s="95" t="s">
        <v>374</v>
      </c>
      <c r="F408" s="95" t="s">
        <v>49</v>
      </c>
      <c r="G408" s="95" t="s">
        <v>72</v>
      </c>
      <c r="H408" s="95" t="s">
        <v>179</v>
      </c>
      <c r="I408" s="96" t="s">
        <v>359</v>
      </c>
    </row>
    <row r="409" spans="1:9" ht="15.6" x14ac:dyDescent="0.3">
      <c r="A409" s="95" t="s">
        <v>488</v>
      </c>
      <c r="B409" s="95" t="s">
        <v>44</v>
      </c>
      <c r="C409" s="95" t="s">
        <v>45</v>
      </c>
      <c r="D409" s="95" t="s">
        <v>1</v>
      </c>
      <c r="E409" s="95" t="s">
        <v>383</v>
      </c>
      <c r="F409" s="95" t="s">
        <v>49</v>
      </c>
      <c r="G409" s="95" t="s">
        <v>72</v>
      </c>
      <c r="H409" s="95" t="s">
        <v>179</v>
      </c>
      <c r="I409" s="96" t="s">
        <v>359</v>
      </c>
    </row>
    <row r="410" spans="1:9" ht="15.6" x14ac:dyDescent="0.3">
      <c r="A410" s="95" t="s">
        <v>488</v>
      </c>
      <c r="B410" s="95" t="s">
        <v>44</v>
      </c>
      <c r="C410" s="95" t="s">
        <v>53</v>
      </c>
      <c r="D410" s="95" t="s">
        <v>1</v>
      </c>
      <c r="E410" s="95" t="s">
        <v>374</v>
      </c>
      <c r="F410" s="95" t="s">
        <v>51</v>
      </c>
      <c r="G410" s="95" t="s">
        <v>72</v>
      </c>
      <c r="H410" s="95" t="s">
        <v>180</v>
      </c>
      <c r="I410" s="97" t="s">
        <v>361</v>
      </c>
    </row>
    <row r="411" spans="1:9" ht="15.6" x14ac:dyDescent="0.3">
      <c r="A411" s="95" t="s">
        <v>488</v>
      </c>
      <c r="B411" s="95" t="s">
        <v>44</v>
      </c>
      <c r="C411" s="95" t="s">
        <v>45</v>
      </c>
      <c r="D411" s="95" t="s">
        <v>1</v>
      </c>
      <c r="E411" s="95" t="s">
        <v>383</v>
      </c>
      <c r="F411" s="95" t="s">
        <v>51</v>
      </c>
      <c r="G411" s="95" t="s">
        <v>72</v>
      </c>
      <c r="H411" s="95" t="s">
        <v>180</v>
      </c>
      <c r="I411" s="97" t="s">
        <v>361</v>
      </c>
    </row>
    <row r="412" spans="1:9" ht="15.6" x14ac:dyDescent="0.3">
      <c r="A412" s="95" t="s">
        <v>488</v>
      </c>
      <c r="B412" s="95" t="s">
        <v>74</v>
      </c>
      <c r="C412" s="95" t="s">
        <v>75</v>
      </c>
      <c r="D412" s="95" t="s">
        <v>1</v>
      </c>
      <c r="E412" s="95" t="s">
        <v>385</v>
      </c>
      <c r="F412" s="95" t="s">
        <v>42</v>
      </c>
      <c r="G412" s="95" t="s">
        <v>47</v>
      </c>
      <c r="H412" s="95" t="s">
        <v>237</v>
      </c>
      <c r="I412" s="97" t="s">
        <v>462</v>
      </c>
    </row>
    <row r="413" spans="1:9" ht="15.6" x14ac:dyDescent="0.3">
      <c r="A413" s="95" t="s">
        <v>488</v>
      </c>
      <c r="B413" s="95" t="s">
        <v>35</v>
      </c>
      <c r="C413" s="95" t="s">
        <v>36</v>
      </c>
      <c r="D413" s="95" t="s">
        <v>1</v>
      </c>
      <c r="E413" s="95" t="s">
        <v>349</v>
      </c>
      <c r="F413" s="95" t="s">
        <v>42</v>
      </c>
      <c r="G413" s="95" t="s">
        <v>118</v>
      </c>
      <c r="H413" s="95" t="s">
        <v>85</v>
      </c>
      <c r="I413" s="97" t="s">
        <v>430</v>
      </c>
    </row>
    <row r="414" spans="1:9" ht="15.6" x14ac:dyDescent="0.3">
      <c r="A414" s="95" t="s">
        <v>488</v>
      </c>
      <c r="B414" s="95" t="s">
        <v>69</v>
      </c>
      <c r="C414" s="95" t="s">
        <v>70</v>
      </c>
      <c r="D414" s="95" t="s">
        <v>1</v>
      </c>
      <c r="E414" s="95" t="s">
        <v>349</v>
      </c>
      <c r="F414" s="95" t="s">
        <v>71</v>
      </c>
      <c r="G414" s="95" t="s">
        <v>72</v>
      </c>
      <c r="H414" s="95" t="s">
        <v>175</v>
      </c>
      <c r="I414" s="98" t="s">
        <v>416</v>
      </c>
    </row>
    <row r="415" spans="1:9" ht="15.6" x14ac:dyDescent="0.3">
      <c r="A415" s="95" t="s">
        <v>489</v>
      </c>
      <c r="B415" s="95" t="s">
        <v>31</v>
      </c>
      <c r="C415" s="95" t="s">
        <v>58</v>
      </c>
      <c r="D415" s="95" t="s">
        <v>1</v>
      </c>
      <c r="E415" s="95" t="s">
        <v>352</v>
      </c>
      <c r="F415" s="95" t="s">
        <v>94</v>
      </c>
      <c r="G415" s="95" t="s">
        <v>29</v>
      </c>
      <c r="H415" s="95" t="s">
        <v>168</v>
      </c>
      <c r="I415" s="96" t="s">
        <v>358</v>
      </c>
    </row>
    <row r="416" spans="1:9" ht="15.6" x14ac:dyDescent="0.3">
      <c r="A416" s="95" t="s">
        <v>489</v>
      </c>
      <c r="B416" s="95" t="s">
        <v>79</v>
      </c>
      <c r="C416" s="95" t="s">
        <v>119</v>
      </c>
      <c r="D416" s="95" t="s">
        <v>1</v>
      </c>
      <c r="E416" s="95" t="s">
        <v>440</v>
      </c>
      <c r="F416" s="95" t="s">
        <v>156</v>
      </c>
      <c r="G416" s="95" t="s">
        <v>157</v>
      </c>
      <c r="H416" s="95" t="s">
        <v>154</v>
      </c>
      <c r="I416" s="98" t="s">
        <v>416</v>
      </c>
    </row>
    <row r="417" spans="1:9" ht="15.6" x14ac:dyDescent="0.3">
      <c r="A417" s="95" t="s">
        <v>489</v>
      </c>
      <c r="B417" s="95" t="s">
        <v>31</v>
      </c>
      <c r="C417" s="95" t="s">
        <v>32</v>
      </c>
      <c r="D417" s="95" t="s">
        <v>1</v>
      </c>
      <c r="E417" s="95" t="s">
        <v>347</v>
      </c>
      <c r="F417" s="95" t="s">
        <v>94</v>
      </c>
      <c r="G417" s="95" t="s">
        <v>29</v>
      </c>
      <c r="H417" s="95" t="s">
        <v>169</v>
      </c>
      <c r="I417" s="96" t="s">
        <v>389</v>
      </c>
    </row>
    <row r="418" spans="1:9" ht="15.6" x14ac:dyDescent="0.3">
      <c r="A418" s="95" t="s">
        <v>489</v>
      </c>
      <c r="B418" s="95" t="s">
        <v>31</v>
      </c>
      <c r="C418" s="95" t="s">
        <v>62</v>
      </c>
      <c r="D418" s="95" t="s">
        <v>1</v>
      </c>
      <c r="E418" s="95" t="s">
        <v>363</v>
      </c>
      <c r="F418" s="95" t="s">
        <v>94</v>
      </c>
      <c r="G418" s="95" t="s">
        <v>29</v>
      </c>
      <c r="H418" s="95" t="s">
        <v>169</v>
      </c>
      <c r="I418" s="96" t="s">
        <v>389</v>
      </c>
    </row>
    <row r="419" spans="1:9" ht="15.6" x14ac:dyDescent="0.3">
      <c r="A419" s="95" t="s">
        <v>489</v>
      </c>
      <c r="B419" s="95" t="s">
        <v>44</v>
      </c>
      <c r="C419" s="95" t="s">
        <v>53</v>
      </c>
      <c r="D419" s="95" t="s">
        <v>1</v>
      </c>
      <c r="E419" s="95" t="s">
        <v>374</v>
      </c>
      <c r="F419" s="95" t="s">
        <v>49</v>
      </c>
      <c r="G419" s="95" t="s">
        <v>157</v>
      </c>
      <c r="H419" s="95" t="s">
        <v>179</v>
      </c>
      <c r="I419" s="96" t="s">
        <v>359</v>
      </c>
    </row>
    <row r="420" spans="1:9" ht="15.6" x14ac:dyDescent="0.3">
      <c r="A420" s="95" t="s">
        <v>489</v>
      </c>
      <c r="B420" s="95" t="s">
        <v>44</v>
      </c>
      <c r="C420" s="95" t="s">
        <v>53</v>
      </c>
      <c r="D420" s="95" t="s">
        <v>1</v>
      </c>
      <c r="E420" s="95" t="s">
        <v>374</v>
      </c>
      <c r="F420" s="95" t="s">
        <v>51</v>
      </c>
      <c r="G420" s="95" t="s">
        <v>157</v>
      </c>
      <c r="H420" s="95" t="s">
        <v>180</v>
      </c>
      <c r="I420" s="97" t="s">
        <v>361</v>
      </c>
    </row>
    <row r="421" spans="1:9" ht="15.6" x14ac:dyDescent="0.3">
      <c r="A421" s="95" t="s">
        <v>489</v>
      </c>
      <c r="B421" s="95" t="s">
        <v>35</v>
      </c>
      <c r="C421" s="95" t="s">
        <v>36</v>
      </c>
      <c r="D421" s="95" t="s">
        <v>1</v>
      </c>
      <c r="E421" s="95" t="s">
        <v>349</v>
      </c>
      <c r="F421" s="95" t="s">
        <v>42</v>
      </c>
      <c r="G421" s="95" t="s">
        <v>118</v>
      </c>
      <c r="H421" s="95" t="s">
        <v>85</v>
      </c>
      <c r="I421" s="97" t="s">
        <v>430</v>
      </c>
    </row>
    <row r="422" spans="1:9" ht="15.6" x14ac:dyDescent="0.3">
      <c r="A422" s="95" t="s">
        <v>489</v>
      </c>
      <c r="B422" s="95" t="s">
        <v>69</v>
      </c>
      <c r="C422" s="95" t="s">
        <v>70</v>
      </c>
      <c r="D422" s="95" t="s">
        <v>1</v>
      </c>
      <c r="E422" s="95" t="s">
        <v>349</v>
      </c>
      <c r="F422" s="95" t="s">
        <v>71</v>
      </c>
      <c r="G422" s="95" t="s">
        <v>72</v>
      </c>
      <c r="H422" s="95" t="s">
        <v>175</v>
      </c>
      <c r="I422" s="98" t="s">
        <v>416</v>
      </c>
    </row>
    <row r="423" spans="1:9" ht="15.6" x14ac:dyDescent="0.3">
      <c r="A423" s="93" t="s">
        <v>490</v>
      </c>
      <c r="B423" s="93" t="s">
        <v>63</v>
      </c>
      <c r="C423" s="93" t="s">
        <v>64</v>
      </c>
      <c r="D423" s="93" t="s">
        <v>1</v>
      </c>
      <c r="E423" s="93" t="s">
        <v>274</v>
      </c>
      <c r="F423" s="93" t="s">
        <v>156</v>
      </c>
      <c r="G423" s="93" t="s">
        <v>92</v>
      </c>
      <c r="H423" s="93" t="s">
        <v>183</v>
      </c>
      <c r="I423" s="94" t="s">
        <v>355</v>
      </c>
    </row>
    <row r="424" spans="1:9" ht="15.6" x14ac:dyDescent="0.3">
      <c r="A424" s="95" t="s">
        <v>490</v>
      </c>
      <c r="B424" s="95" t="s">
        <v>31</v>
      </c>
      <c r="C424" s="95" t="s">
        <v>58</v>
      </c>
      <c r="D424" s="95" t="s">
        <v>1</v>
      </c>
      <c r="E424" s="95" t="s">
        <v>352</v>
      </c>
      <c r="F424" s="95" t="s">
        <v>94</v>
      </c>
      <c r="G424" s="95" t="s">
        <v>29</v>
      </c>
      <c r="H424" s="95" t="s">
        <v>168</v>
      </c>
      <c r="I424" s="96" t="s">
        <v>359</v>
      </c>
    </row>
    <row r="425" spans="1:9" ht="15.6" x14ac:dyDescent="0.3">
      <c r="A425" s="95" t="s">
        <v>490</v>
      </c>
      <c r="B425" s="95" t="s">
        <v>79</v>
      </c>
      <c r="C425" s="95" t="s">
        <v>119</v>
      </c>
      <c r="D425" s="95" t="s">
        <v>1</v>
      </c>
      <c r="E425" s="95" t="s">
        <v>440</v>
      </c>
      <c r="F425" s="95" t="s">
        <v>156</v>
      </c>
      <c r="G425" s="95" t="s">
        <v>72</v>
      </c>
      <c r="H425" s="95" t="s">
        <v>154</v>
      </c>
      <c r="I425" s="98" t="s">
        <v>419</v>
      </c>
    </row>
    <row r="426" spans="1:9" ht="15.6" x14ac:dyDescent="0.3">
      <c r="A426" s="95" t="s">
        <v>490</v>
      </c>
      <c r="B426" s="95" t="s">
        <v>26</v>
      </c>
      <c r="C426" s="95" t="s">
        <v>57</v>
      </c>
      <c r="D426" s="95" t="s">
        <v>1</v>
      </c>
      <c r="E426" s="95" t="s">
        <v>346</v>
      </c>
      <c r="F426" s="95" t="s">
        <v>156</v>
      </c>
      <c r="G426" s="95" t="s">
        <v>72</v>
      </c>
      <c r="H426" s="95" t="s">
        <v>126</v>
      </c>
      <c r="I426" s="96" t="s">
        <v>389</v>
      </c>
    </row>
    <row r="427" spans="1:9" ht="15.6" x14ac:dyDescent="0.3">
      <c r="A427" s="95" t="s">
        <v>490</v>
      </c>
      <c r="B427" s="95" t="s">
        <v>44</v>
      </c>
      <c r="C427" s="95" t="s">
        <v>53</v>
      </c>
      <c r="D427" s="95" t="s">
        <v>1</v>
      </c>
      <c r="E427" s="95" t="s">
        <v>374</v>
      </c>
      <c r="F427" s="95" t="s">
        <v>51</v>
      </c>
      <c r="G427" s="95" t="s">
        <v>157</v>
      </c>
      <c r="H427" s="95" t="s">
        <v>180</v>
      </c>
      <c r="I427" s="97" t="s">
        <v>448</v>
      </c>
    </row>
    <row r="428" spans="1:9" ht="15.6" x14ac:dyDescent="0.3">
      <c r="A428" s="95" t="s">
        <v>490</v>
      </c>
      <c r="B428" s="95" t="s">
        <v>44</v>
      </c>
      <c r="C428" s="95" t="s">
        <v>45</v>
      </c>
      <c r="D428" s="95" t="s">
        <v>1</v>
      </c>
      <c r="E428" s="95" t="s">
        <v>383</v>
      </c>
      <c r="F428" s="95" t="s">
        <v>51</v>
      </c>
      <c r="G428" s="95" t="s">
        <v>135</v>
      </c>
      <c r="H428" s="95" t="s">
        <v>180</v>
      </c>
      <c r="I428" s="97" t="s">
        <v>448</v>
      </c>
    </row>
    <row r="429" spans="1:9" ht="15.6" x14ac:dyDescent="0.3">
      <c r="A429" s="95" t="s">
        <v>490</v>
      </c>
      <c r="B429" s="95" t="s">
        <v>35</v>
      </c>
      <c r="C429" s="95" t="s">
        <v>36</v>
      </c>
      <c r="D429" s="95" t="s">
        <v>1</v>
      </c>
      <c r="E429" s="95" t="s">
        <v>349</v>
      </c>
      <c r="F429" s="95" t="s">
        <v>42</v>
      </c>
      <c r="G429" s="95" t="s">
        <v>118</v>
      </c>
      <c r="H429" s="95" t="s">
        <v>85</v>
      </c>
      <c r="I429" s="97" t="s">
        <v>475</v>
      </c>
    </row>
    <row r="430" spans="1:9" ht="15.6" x14ac:dyDescent="0.3">
      <c r="A430" s="95" t="s">
        <v>490</v>
      </c>
      <c r="B430" s="95" t="s">
        <v>69</v>
      </c>
      <c r="C430" s="95" t="s">
        <v>70</v>
      </c>
      <c r="D430" s="95" t="s">
        <v>1</v>
      </c>
      <c r="E430" s="95" t="s">
        <v>349</v>
      </c>
      <c r="F430" s="95" t="s">
        <v>71</v>
      </c>
      <c r="G430" s="95" t="s">
        <v>72</v>
      </c>
      <c r="H430" s="95" t="s">
        <v>175</v>
      </c>
      <c r="I430" s="98" t="s">
        <v>419</v>
      </c>
    </row>
    <row r="431" spans="1:9" ht="15.6" x14ac:dyDescent="0.3">
      <c r="A431" s="95" t="s">
        <v>491</v>
      </c>
      <c r="B431" s="95" t="s">
        <v>31</v>
      </c>
      <c r="C431" s="95" t="s">
        <v>58</v>
      </c>
      <c r="D431" s="95" t="s">
        <v>1</v>
      </c>
      <c r="E431" s="95" t="s">
        <v>352</v>
      </c>
      <c r="F431" s="95" t="s">
        <v>94</v>
      </c>
      <c r="G431" s="95" t="s">
        <v>29</v>
      </c>
      <c r="H431" s="95" t="s">
        <v>168</v>
      </c>
      <c r="I431" s="96" t="s">
        <v>359</v>
      </c>
    </row>
    <row r="432" spans="1:9" ht="15.6" x14ac:dyDescent="0.3">
      <c r="A432" s="95" t="s">
        <v>491</v>
      </c>
      <c r="B432" s="95" t="s">
        <v>79</v>
      </c>
      <c r="C432" s="95" t="s">
        <v>80</v>
      </c>
      <c r="D432" s="95" t="s">
        <v>1</v>
      </c>
      <c r="E432" s="95" t="s">
        <v>366</v>
      </c>
      <c r="F432" s="95" t="s">
        <v>156</v>
      </c>
      <c r="G432" s="95" t="s">
        <v>135</v>
      </c>
      <c r="H432" s="95" t="s">
        <v>154</v>
      </c>
      <c r="I432" s="98" t="s">
        <v>419</v>
      </c>
    </row>
    <row r="433" spans="1:9" ht="15.6" x14ac:dyDescent="0.3">
      <c r="A433" s="93" t="s">
        <v>492</v>
      </c>
      <c r="B433" s="93" t="s">
        <v>63</v>
      </c>
      <c r="C433" s="93" t="s">
        <v>64</v>
      </c>
      <c r="D433" s="93" t="s">
        <v>1</v>
      </c>
      <c r="E433" s="93" t="s">
        <v>284</v>
      </c>
      <c r="F433" s="93" t="s">
        <v>156</v>
      </c>
      <c r="G433" s="93" t="s">
        <v>95</v>
      </c>
      <c r="H433" s="93" t="s">
        <v>65</v>
      </c>
      <c r="I433" s="94" t="s">
        <v>355</v>
      </c>
    </row>
    <row r="434" spans="1:9" ht="15.6" x14ac:dyDescent="0.3">
      <c r="A434" s="95" t="s">
        <v>492</v>
      </c>
      <c r="B434" s="95" t="s">
        <v>31</v>
      </c>
      <c r="C434" s="95" t="s">
        <v>58</v>
      </c>
      <c r="D434" s="95" t="s">
        <v>1</v>
      </c>
      <c r="E434" s="95" t="s">
        <v>352</v>
      </c>
      <c r="F434" s="95" t="s">
        <v>94</v>
      </c>
      <c r="G434" s="95" t="s">
        <v>29</v>
      </c>
      <c r="H434" s="95" t="s">
        <v>168</v>
      </c>
      <c r="I434" s="96" t="s">
        <v>358</v>
      </c>
    </row>
    <row r="435" spans="1:9" ht="15.6" x14ac:dyDescent="0.3">
      <c r="A435" s="95" t="s">
        <v>492</v>
      </c>
      <c r="B435" s="95" t="s">
        <v>79</v>
      </c>
      <c r="C435" s="95" t="s">
        <v>80</v>
      </c>
      <c r="D435" s="95" t="s">
        <v>1</v>
      </c>
      <c r="E435" s="95" t="s">
        <v>478</v>
      </c>
      <c r="F435" s="95" t="s">
        <v>156</v>
      </c>
      <c r="G435" s="95" t="s">
        <v>92</v>
      </c>
      <c r="H435" s="95" t="s">
        <v>154</v>
      </c>
      <c r="I435" s="98" t="s">
        <v>416</v>
      </c>
    </row>
    <row r="436" spans="1:9" ht="15.6" x14ac:dyDescent="0.3">
      <c r="A436" s="95" t="s">
        <v>492</v>
      </c>
      <c r="B436" s="95" t="s">
        <v>31</v>
      </c>
      <c r="C436" s="95" t="s">
        <v>32</v>
      </c>
      <c r="D436" s="95" t="s">
        <v>1</v>
      </c>
      <c r="E436" s="95" t="s">
        <v>347</v>
      </c>
      <c r="F436" s="95" t="s">
        <v>94</v>
      </c>
      <c r="G436" s="95" t="s">
        <v>29</v>
      </c>
      <c r="H436" s="95" t="s">
        <v>169</v>
      </c>
      <c r="I436" s="96" t="s">
        <v>389</v>
      </c>
    </row>
    <row r="437" spans="1:9" ht="15.6" x14ac:dyDescent="0.3">
      <c r="A437" s="95" t="s">
        <v>492</v>
      </c>
      <c r="B437" s="95" t="s">
        <v>31</v>
      </c>
      <c r="C437" s="95" t="s">
        <v>62</v>
      </c>
      <c r="D437" s="95" t="s">
        <v>1</v>
      </c>
      <c r="E437" s="95" t="s">
        <v>363</v>
      </c>
      <c r="F437" s="95" t="s">
        <v>94</v>
      </c>
      <c r="G437" s="95" t="s">
        <v>29</v>
      </c>
      <c r="H437" s="95" t="s">
        <v>169</v>
      </c>
      <c r="I437" s="96" t="s">
        <v>389</v>
      </c>
    </row>
    <row r="438" spans="1:9" ht="15.6" x14ac:dyDescent="0.3">
      <c r="A438" s="95" t="s">
        <v>492</v>
      </c>
      <c r="B438" s="95" t="s">
        <v>26</v>
      </c>
      <c r="C438" s="95" t="s">
        <v>93</v>
      </c>
      <c r="D438" s="95" t="s">
        <v>1</v>
      </c>
      <c r="E438" s="95" t="s">
        <v>370</v>
      </c>
      <c r="F438" s="95" t="s">
        <v>156</v>
      </c>
      <c r="G438" s="95" t="s">
        <v>72</v>
      </c>
      <c r="H438" s="95" t="s">
        <v>126</v>
      </c>
      <c r="I438" s="98" t="s">
        <v>434</v>
      </c>
    </row>
    <row r="439" spans="1:9" ht="15.6" x14ac:dyDescent="0.3">
      <c r="A439" s="95" t="s">
        <v>492</v>
      </c>
      <c r="B439" s="95" t="s">
        <v>26</v>
      </c>
      <c r="C439" s="95" t="s">
        <v>57</v>
      </c>
      <c r="D439" s="95" t="s">
        <v>1</v>
      </c>
      <c r="E439" s="95" t="s">
        <v>346</v>
      </c>
      <c r="F439" s="95" t="s">
        <v>156</v>
      </c>
      <c r="G439" s="95" t="s">
        <v>29</v>
      </c>
      <c r="H439" s="95" t="s">
        <v>126</v>
      </c>
      <c r="I439" s="98" t="s">
        <v>434</v>
      </c>
    </row>
    <row r="440" spans="1:9" ht="15.6" x14ac:dyDescent="0.3">
      <c r="A440" s="95" t="s">
        <v>492</v>
      </c>
      <c r="B440" s="95" t="s">
        <v>44</v>
      </c>
      <c r="C440" s="95" t="s">
        <v>45</v>
      </c>
      <c r="D440" s="95" t="s">
        <v>1</v>
      </c>
      <c r="E440" s="95" t="s">
        <v>383</v>
      </c>
      <c r="F440" s="95" t="s">
        <v>49</v>
      </c>
      <c r="G440" s="95" t="s">
        <v>95</v>
      </c>
      <c r="H440" s="95" t="s">
        <v>179</v>
      </c>
      <c r="I440" s="96" t="s">
        <v>359</v>
      </c>
    </row>
    <row r="441" spans="1:9" ht="15.6" x14ac:dyDescent="0.3">
      <c r="A441" s="95" t="s">
        <v>492</v>
      </c>
      <c r="B441" s="95" t="s">
        <v>44</v>
      </c>
      <c r="C441" s="95" t="s">
        <v>45</v>
      </c>
      <c r="D441" s="95" t="s">
        <v>1</v>
      </c>
      <c r="E441" s="95" t="s">
        <v>383</v>
      </c>
      <c r="F441" s="95" t="s">
        <v>51</v>
      </c>
      <c r="G441" s="95" t="s">
        <v>95</v>
      </c>
      <c r="H441" s="95" t="s">
        <v>180</v>
      </c>
      <c r="I441" s="97" t="s">
        <v>361</v>
      </c>
    </row>
    <row r="442" spans="1:9" ht="15.6" x14ac:dyDescent="0.3">
      <c r="A442" s="95" t="s">
        <v>492</v>
      </c>
      <c r="B442" s="95" t="s">
        <v>44</v>
      </c>
      <c r="C442" s="95" t="s">
        <v>53</v>
      </c>
      <c r="D442" s="95" t="s">
        <v>1</v>
      </c>
      <c r="E442" s="95" t="s">
        <v>374</v>
      </c>
      <c r="F442" s="95" t="s">
        <v>51</v>
      </c>
      <c r="G442" s="95" t="s">
        <v>95</v>
      </c>
      <c r="H442" s="95" t="s">
        <v>211</v>
      </c>
      <c r="I442" s="97" t="s">
        <v>462</v>
      </c>
    </row>
    <row r="443" spans="1:9" ht="15.6" x14ac:dyDescent="0.3">
      <c r="A443" s="95" t="s">
        <v>492</v>
      </c>
      <c r="B443" s="95" t="s">
        <v>35</v>
      </c>
      <c r="C443" s="95" t="s">
        <v>36</v>
      </c>
      <c r="D443" s="95" t="s">
        <v>1</v>
      </c>
      <c r="E443" s="95" t="s">
        <v>349</v>
      </c>
      <c r="F443" s="95" t="s">
        <v>42</v>
      </c>
      <c r="G443" s="95" t="s">
        <v>139</v>
      </c>
      <c r="H443" s="95" t="s">
        <v>85</v>
      </c>
      <c r="I443" s="97" t="s">
        <v>430</v>
      </c>
    </row>
    <row r="444" spans="1:9" ht="15.6" x14ac:dyDescent="0.3">
      <c r="A444" s="95" t="s">
        <v>492</v>
      </c>
      <c r="B444" s="95" t="s">
        <v>69</v>
      </c>
      <c r="C444" s="95" t="s">
        <v>70</v>
      </c>
      <c r="D444" s="95" t="s">
        <v>1</v>
      </c>
      <c r="E444" s="95" t="s">
        <v>349</v>
      </c>
      <c r="F444" s="95" t="s">
        <v>71</v>
      </c>
      <c r="G444" s="95" t="s">
        <v>72</v>
      </c>
      <c r="H444" s="95" t="s">
        <v>175</v>
      </c>
      <c r="I444" s="98" t="s">
        <v>416</v>
      </c>
    </row>
    <row r="445" spans="1:9" ht="15.6" x14ac:dyDescent="0.3">
      <c r="A445" s="93" t="s">
        <v>493</v>
      </c>
      <c r="B445" s="93" t="s">
        <v>63</v>
      </c>
      <c r="C445" s="93" t="s">
        <v>64</v>
      </c>
      <c r="D445" s="93" t="s">
        <v>1</v>
      </c>
      <c r="E445" s="93" t="s">
        <v>291</v>
      </c>
      <c r="F445" s="93" t="s">
        <v>156</v>
      </c>
      <c r="G445" s="93" t="s">
        <v>87</v>
      </c>
      <c r="H445" s="93" t="s">
        <v>65</v>
      </c>
      <c r="I445" s="94" t="s">
        <v>355</v>
      </c>
    </row>
    <row r="446" spans="1:9" ht="15.6" x14ac:dyDescent="0.3">
      <c r="A446" s="95" t="s">
        <v>493</v>
      </c>
      <c r="B446" s="95" t="s">
        <v>31</v>
      </c>
      <c r="C446" s="95" t="s">
        <v>58</v>
      </c>
      <c r="D446" s="95" t="s">
        <v>1</v>
      </c>
      <c r="E446" s="95" t="s">
        <v>352</v>
      </c>
      <c r="F446" s="95" t="s">
        <v>94</v>
      </c>
      <c r="G446" s="95" t="s">
        <v>29</v>
      </c>
      <c r="H446" s="95" t="s">
        <v>168</v>
      </c>
      <c r="I446" s="96" t="s">
        <v>358</v>
      </c>
    </row>
    <row r="447" spans="1:9" ht="15.6" x14ac:dyDescent="0.3">
      <c r="A447" s="95" t="s">
        <v>493</v>
      </c>
      <c r="B447" s="95" t="s">
        <v>79</v>
      </c>
      <c r="C447" s="95" t="s">
        <v>119</v>
      </c>
      <c r="D447" s="95" t="s">
        <v>1</v>
      </c>
      <c r="E447" s="95" t="s">
        <v>440</v>
      </c>
      <c r="F447" s="95" t="s">
        <v>156</v>
      </c>
      <c r="G447" s="95" t="s">
        <v>72</v>
      </c>
      <c r="H447" s="95" t="s">
        <v>154</v>
      </c>
      <c r="I447" s="98" t="s">
        <v>416</v>
      </c>
    </row>
    <row r="448" spans="1:9" ht="15.6" x14ac:dyDescent="0.3">
      <c r="A448" s="95" t="s">
        <v>493</v>
      </c>
      <c r="B448" s="95" t="s">
        <v>31</v>
      </c>
      <c r="C448" s="95" t="s">
        <v>32</v>
      </c>
      <c r="D448" s="95" t="s">
        <v>1</v>
      </c>
      <c r="E448" s="95" t="s">
        <v>347</v>
      </c>
      <c r="F448" s="95" t="s">
        <v>94</v>
      </c>
      <c r="G448" s="95" t="s">
        <v>29</v>
      </c>
      <c r="H448" s="95" t="s">
        <v>169</v>
      </c>
      <c r="I448" s="96" t="s">
        <v>389</v>
      </c>
    </row>
    <row r="449" spans="1:9" ht="15.6" x14ac:dyDescent="0.3">
      <c r="A449" s="95" t="s">
        <v>493</v>
      </c>
      <c r="B449" s="95" t="s">
        <v>31</v>
      </c>
      <c r="C449" s="95" t="s">
        <v>62</v>
      </c>
      <c r="D449" s="95" t="s">
        <v>1</v>
      </c>
      <c r="E449" s="95" t="s">
        <v>363</v>
      </c>
      <c r="F449" s="95" t="s">
        <v>94</v>
      </c>
      <c r="G449" s="95" t="s">
        <v>29</v>
      </c>
      <c r="H449" s="95" t="s">
        <v>223</v>
      </c>
      <c r="I449" s="96" t="s">
        <v>389</v>
      </c>
    </row>
    <row r="450" spans="1:9" ht="15.6" x14ac:dyDescent="0.3">
      <c r="A450" s="95" t="s">
        <v>493</v>
      </c>
      <c r="B450" s="95" t="s">
        <v>26</v>
      </c>
      <c r="C450" s="95" t="s">
        <v>27</v>
      </c>
      <c r="D450" s="95" t="s">
        <v>1</v>
      </c>
      <c r="E450" s="95" t="s">
        <v>346</v>
      </c>
      <c r="F450" s="95" t="s">
        <v>156</v>
      </c>
      <c r="G450" s="95" t="s">
        <v>121</v>
      </c>
      <c r="H450" s="95" t="s">
        <v>126</v>
      </c>
      <c r="I450" s="98" t="s">
        <v>434</v>
      </c>
    </row>
    <row r="451" spans="1:9" ht="15.6" x14ac:dyDescent="0.3">
      <c r="A451" s="95" t="s">
        <v>493</v>
      </c>
      <c r="B451" s="95" t="s">
        <v>44</v>
      </c>
      <c r="C451" s="95" t="s">
        <v>53</v>
      </c>
      <c r="D451" s="95" t="s">
        <v>1</v>
      </c>
      <c r="E451" s="95" t="s">
        <v>374</v>
      </c>
      <c r="F451" s="95" t="s">
        <v>49</v>
      </c>
      <c r="G451" s="95" t="s">
        <v>157</v>
      </c>
      <c r="H451" s="95" t="s">
        <v>179</v>
      </c>
      <c r="I451" s="96" t="s">
        <v>359</v>
      </c>
    </row>
    <row r="452" spans="1:9" ht="15.6" x14ac:dyDescent="0.3">
      <c r="A452" s="95" t="s">
        <v>493</v>
      </c>
      <c r="B452" s="95" t="s">
        <v>44</v>
      </c>
      <c r="C452" s="95" t="s">
        <v>53</v>
      </c>
      <c r="D452" s="95" t="s">
        <v>1</v>
      </c>
      <c r="E452" s="95" t="s">
        <v>374</v>
      </c>
      <c r="F452" s="95" t="s">
        <v>51</v>
      </c>
      <c r="G452" s="95" t="s">
        <v>157</v>
      </c>
      <c r="H452" s="95" t="s">
        <v>180</v>
      </c>
      <c r="I452" s="97" t="s">
        <v>361</v>
      </c>
    </row>
    <row r="453" spans="1:9" ht="15.6" x14ac:dyDescent="0.3">
      <c r="A453" s="95" t="s">
        <v>493</v>
      </c>
      <c r="B453" s="95" t="s">
        <v>35</v>
      </c>
      <c r="C453" s="95" t="s">
        <v>36</v>
      </c>
      <c r="D453" s="95" t="s">
        <v>1</v>
      </c>
      <c r="E453" s="95" t="s">
        <v>349</v>
      </c>
      <c r="F453" s="95" t="s">
        <v>42</v>
      </c>
      <c r="G453" s="95" t="s">
        <v>241</v>
      </c>
      <c r="H453" s="95" t="s">
        <v>85</v>
      </c>
      <c r="I453" s="97" t="s">
        <v>430</v>
      </c>
    </row>
    <row r="454" spans="1:9" ht="15.6" x14ac:dyDescent="0.3">
      <c r="A454" s="95" t="s">
        <v>493</v>
      </c>
      <c r="B454" s="95" t="s">
        <v>69</v>
      </c>
      <c r="C454" s="95" t="s">
        <v>70</v>
      </c>
      <c r="D454" s="95" t="s">
        <v>1</v>
      </c>
      <c r="E454" s="95" t="s">
        <v>349</v>
      </c>
      <c r="F454" s="95" t="s">
        <v>71</v>
      </c>
      <c r="G454" s="95" t="s">
        <v>72</v>
      </c>
      <c r="H454" s="95" t="s">
        <v>175</v>
      </c>
      <c r="I454" s="98" t="s">
        <v>416</v>
      </c>
    </row>
    <row r="455" spans="1:9" ht="15.6" x14ac:dyDescent="0.3">
      <c r="A455" s="93" t="s">
        <v>494</v>
      </c>
      <c r="B455" s="93" t="s">
        <v>63</v>
      </c>
      <c r="C455" s="93" t="s">
        <v>64</v>
      </c>
      <c r="D455" s="93" t="s">
        <v>1</v>
      </c>
      <c r="E455" s="93" t="s">
        <v>284</v>
      </c>
      <c r="F455" s="93" t="s">
        <v>156</v>
      </c>
      <c r="G455" s="93" t="s">
        <v>157</v>
      </c>
      <c r="H455" s="93" t="s">
        <v>65</v>
      </c>
      <c r="I455" s="94" t="s">
        <v>355</v>
      </c>
    </row>
    <row r="456" spans="1:9" ht="15.6" x14ac:dyDescent="0.3">
      <c r="A456" s="95" t="s">
        <v>494</v>
      </c>
      <c r="B456" s="95" t="s">
        <v>31</v>
      </c>
      <c r="C456" s="95" t="s">
        <v>58</v>
      </c>
      <c r="D456" s="95" t="s">
        <v>1</v>
      </c>
      <c r="E456" s="95" t="s">
        <v>352</v>
      </c>
      <c r="F456" s="95" t="s">
        <v>94</v>
      </c>
      <c r="G456" s="95" t="s">
        <v>29</v>
      </c>
      <c r="H456" s="95" t="s">
        <v>168</v>
      </c>
      <c r="I456" s="96" t="s">
        <v>358</v>
      </c>
    </row>
    <row r="457" spans="1:9" ht="15.6" x14ac:dyDescent="0.3">
      <c r="A457" s="95" t="s">
        <v>494</v>
      </c>
      <c r="B457" s="95" t="s">
        <v>74</v>
      </c>
      <c r="C457" s="95" t="s">
        <v>75</v>
      </c>
      <c r="D457" s="95" t="s">
        <v>1</v>
      </c>
      <c r="E457" s="95" t="s">
        <v>385</v>
      </c>
      <c r="F457" s="95" t="s">
        <v>76</v>
      </c>
      <c r="G457" s="95" t="s">
        <v>47</v>
      </c>
      <c r="H457" s="95" t="s">
        <v>225</v>
      </c>
      <c r="I457" s="98" t="s">
        <v>450</v>
      </c>
    </row>
    <row r="458" spans="1:9" ht="15.6" x14ac:dyDescent="0.3">
      <c r="A458" s="95" t="s">
        <v>494</v>
      </c>
      <c r="B458" s="95" t="s">
        <v>31</v>
      </c>
      <c r="C458" s="95" t="s">
        <v>32</v>
      </c>
      <c r="D458" s="95" t="s">
        <v>1</v>
      </c>
      <c r="E458" s="95" t="s">
        <v>347</v>
      </c>
      <c r="F458" s="95" t="s">
        <v>94</v>
      </c>
      <c r="G458" s="95" t="s">
        <v>29</v>
      </c>
      <c r="H458" s="95" t="s">
        <v>169</v>
      </c>
      <c r="I458" s="96" t="s">
        <v>389</v>
      </c>
    </row>
    <row r="459" spans="1:9" ht="15.6" x14ac:dyDescent="0.3">
      <c r="A459" s="95" t="s">
        <v>494</v>
      </c>
      <c r="B459" s="95" t="s">
        <v>31</v>
      </c>
      <c r="C459" s="95" t="s">
        <v>62</v>
      </c>
      <c r="D459" s="95" t="s">
        <v>1</v>
      </c>
      <c r="E459" s="95" t="s">
        <v>363</v>
      </c>
      <c r="F459" s="95" t="s">
        <v>94</v>
      </c>
      <c r="G459" s="95" t="s">
        <v>29</v>
      </c>
      <c r="H459" s="95" t="s">
        <v>169</v>
      </c>
      <c r="I459" s="96" t="s">
        <v>389</v>
      </c>
    </row>
    <row r="460" spans="1:9" ht="15.6" x14ac:dyDescent="0.3">
      <c r="A460" s="95" t="s">
        <v>494</v>
      </c>
      <c r="B460" s="95" t="s">
        <v>26</v>
      </c>
      <c r="C460" s="95" t="s">
        <v>57</v>
      </c>
      <c r="D460" s="95" t="s">
        <v>1</v>
      </c>
      <c r="E460" s="95" t="s">
        <v>386</v>
      </c>
      <c r="F460" s="95" t="s">
        <v>156</v>
      </c>
      <c r="G460" s="95" t="s">
        <v>157</v>
      </c>
      <c r="H460" s="95" t="s">
        <v>126</v>
      </c>
      <c r="I460" s="98" t="s">
        <v>434</v>
      </c>
    </row>
    <row r="461" spans="1:9" ht="15.6" x14ac:dyDescent="0.3">
      <c r="A461" s="95" t="s">
        <v>494</v>
      </c>
      <c r="B461" s="95" t="s">
        <v>79</v>
      </c>
      <c r="C461" s="95" t="s">
        <v>80</v>
      </c>
      <c r="D461" s="95" t="s">
        <v>1</v>
      </c>
      <c r="E461" s="95" t="s">
        <v>482</v>
      </c>
      <c r="F461" s="95" t="s">
        <v>156</v>
      </c>
      <c r="G461" s="95" t="s">
        <v>29</v>
      </c>
      <c r="H461" s="95" t="s">
        <v>172</v>
      </c>
      <c r="I461" s="96" t="s">
        <v>377</v>
      </c>
    </row>
    <row r="462" spans="1:9" ht="15.6" x14ac:dyDescent="0.3">
      <c r="A462" s="95" t="s">
        <v>494</v>
      </c>
      <c r="B462" s="95" t="s">
        <v>44</v>
      </c>
      <c r="C462" s="95" t="s">
        <v>53</v>
      </c>
      <c r="D462" s="95" t="s">
        <v>1</v>
      </c>
      <c r="E462" s="95" t="s">
        <v>374</v>
      </c>
      <c r="F462" s="95" t="s">
        <v>49</v>
      </c>
      <c r="G462" s="95" t="s">
        <v>135</v>
      </c>
      <c r="H462" s="95" t="s">
        <v>179</v>
      </c>
      <c r="I462" s="96" t="s">
        <v>359</v>
      </c>
    </row>
    <row r="463" spans="1:9" ht="15.6" x14ac:dyDescent="0.3">
      <c r="A463" s="95" t="s">
        <v>494</v>
      </c>
      <c r="B463" s="95" t="s">
        <v>44</v>
      </c>
      <c r="C463" s="95" t="s">
        <v>45</v>
      </c>
      <c r="D463" s="95" t="s">
        <v>1</v>
      </c>
      <c r="E463" s="95" t="s">
        <v>383</v>
      </c>
      <c r="F463" s="95" t="s">
        <v>49</v>
      </c>
      <c r="G463" s="95" t="s">
        <v>95</v>
      </c>
      <c r="H463" s="95" t="s">
        <v>179</v>
      </c>
      <c r="I463" s="96" t="s">
        <v>359</v>
      </c>
    </row>
    <row r="464" spans="1:9" ht="15.6" x14ac:dyDescent="0.3">
      <c r="A464" s="95" t="s">
        <v>494</v>
      </c>
      <c r="B464" s="95" t="s">
        <v>74</v>
      </c>
      <c r="C464" s="95" t="s">
        <v>75</v>
      </c>
      <c r="D464" s="95" t="s">
        <v>1</v>
      </c>
      <c r="E464" s="95" t="s">
        <v>385</v>
      </c>
      <c r="F464" s="95" t="s">
        <v>42</v>
      </c>
      <c r="G464" s="95" t="s">
        <v>47</v>
      </c>
      <c r="H464" s="95" t="s">
        <v>226</v>
      </c>
      <c r="I464" s="97" t="s">
        <v>391</v>
      </c>
    </row>
    <row r="465" spans="1:9" ht="15.6" x14ac:dyDescent="0.3">
      <c r="A465" s="95" t="s">
        <v>494</v>
      </c>
      <c r="B465" s="95" t="s">
        <v>44</v>
      </c>
      <c r="C465" s="95" t="s">
        <v>53</v>
      </c>
      <c r="D465" s="95" t="s">
        <v>1</v>
      </c>
      <c r="E465" s="95" t="s">
        <v>374</v>
      </c>
      <c r="F465" s="95" t="s">
        <v>51</v>
      </c>
      <c r="G465" s="95" t="s">
        <v>135</v>
      </c>
      <c r="H465" s="95" t="s">
        <v>180</v>
      </c>
      <c r="I465" s="97" t="s">
        <v>361</v>
      </c>
    </row>
    <row r="466" spans="1:9" ht="15.6" x14ac:dyDescent="0.3">
      <c r="A466" s="95" t="s">
        <v>494</v>
      </c>
      <c r="B466" s="95" t="s">
        <v>44</v>
      </c>
      <c r="C466" s="95" t="s">
        <v>45</v>
      </c>
      <c r="D466" s="95" t="s">
        <v>1</v>
      </c>
      <c r="E466" s="95" t="s">
        <v>383</v>
      </c>
      <c r="F466" s="95" t="s">
        <v>51</v>
      </c>
      <c r="G466" s="95" t="s">
        <v>95</v>
      </c>
      <c r="H466" s="95" t="s">
        <v>180</v>
      </c>
      <c r="I466" s="97" t="s">
        <v>361</v>
      </c>
    </row>
    <row r="467" spans="1:9" ht="15.6" x14ac:dyDescent="0.3">
      <c r="A467" s="95" t="s">
        <v>494</v>
      </c>
      <c r="B467" s="95" t="s">
        <v>35</v>
      </c>
      <c r="C467" s="95" t="s">
        <v>36</v>
      </c>
      <c r="D467" s="95" t="s">
        <v>1</v>
      </c>
      <c r="E467" s="95" t="s">
        <v>349</v>
      </c>
      <c r="F467" s="95" t="s">
        <v>42</v>
      </c>
      <c r="G467" s="95" t="s">
        <v>241</v>
      </c>
      <c r="H467" s="95" t="s">
        <v>85</v>
      </c>
      <c r="I467" s="97" t="s">
        <v>430</v>
      </c>
    </row>
    <row r="468" spans="1:9" ht="15.6" x14ac:dyDescent="0.3">
      <c r="A468" s="95" t="s">
        <v>494</v>
      </c>
      <c r="B468" s="95" t="s">
        <v>69</v>
      </c>
      <c r="C468" s="95" t="s">
        <v>70</v>
      </c>
      <c r="D468" s="95" t="s">
        <v>1</v>
      </c>
      <c r="E468" s="95" t="s">
        <v>349</v>
      </c>
      <c r="F468" s="95" t="s">
        <v>71</v>
      </c>
      <c r="G468" s="95" t="s">
        <v>72</v>
      </c>
      <c r="H468" s="95" t="s">
        <v>175</v>
      </c>
      <c r="I468" s="98" t="s">
        <v>416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DMM-CAI</vt:lpstr>
      <vt:lpstr>DMM-CAI LF LEGACY</vt:lpstr>
      <vt:lpstr>DMM-CAI - FOCUS MODE</vt:lpstr>
      <vt:lpstr>DMM-CAI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2025-12-01T09:55:12Z</dcterms:created>
  <dcterms:modified xsi:type="dcterms:W3CDTF">2025-12-01T10:30:10Z</dcterms:modified>
</cp:coreProperties>
</file>