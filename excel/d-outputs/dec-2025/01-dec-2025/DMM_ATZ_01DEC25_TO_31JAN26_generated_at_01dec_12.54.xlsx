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66099A2-677C-44AA-AC81-ABC6031003C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MM-ATZ" sheetId="1" r:id="rId1"/>
    <sheet name="DMM-ATZ LF LEGACY" sheetId="2" r:id="rId2"/>
    <sheet name="DMM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2" l="1"/>
  <c r="E20" i="2"/>
  <c r="G20" i="2"/>
  <c r="H20" i="2"/>
  <c r="I20" i="2"/>
  <c r="J20" i="2"/>
  <c r="M20" i="2"/>
  <c r="N20" i="2"/>
  <c r="O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7228FA88-6DA8-4205-9E82-0EA6976801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L4 &amp; S2 &amp; W15 &amp; T15 &amp; X14 &amp; U30 &amp; O15 &amp; I15</t>
        </r>
      </text>
    </comment>
    <comment ref="F58" authorId="0" shapeId="0" xr:uid="{08059C38-0D8B-472B-832F-980A55B06C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G9 &amp; S3 &amp; T3 &amp; X15 &amp; U37 &amp; O3</t>
        </r>
      </text>
    </comment>
    <comment ref="F97" authorId="0" shapeId="0" xr:uid="{06CFAA26-5A44-4F59-8F97-ED20ABDBE2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X7 &amp; U20 &amp; O25 &amp; I15</t>
        </r>
      </text>
    </comment>
    <comment ref="F137" authorId="0" shapeId="0" xr:uid="{DDF32BEE-8D25-426F-BB59-7CF67FD51F1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W8 &amp; X2 &amp; U18</t>
        </r>
      </text>
    </comment>
    <comment ref="F181" authorId="0" shapeId="0" xr:uid="{03128D13-AA97-4E58-8ECB-09E9C22836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W4 &amp; X3 &amp; U29</t>
        </r>
      </text>
    </comment>
    <comment ref="F245" authorId="0" shapeId="0" xr:uid="{8D20FAEC-91C1-4716-8C15-EDD76695545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S1 &amp; T2 &amp; X7 &amp; U7 &amp; O5</t>
        </r>
      </text>
    </comment>
    <comment ref="F289" authorId="0" shapeId="0" xr:uid="{E6AC670A-69C2-436E-B49A-4FFCB96A890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S4 &amp; T2 &amp; X3 &amp; U5 &amp; O3</t>
        </r>
      </text>
    </comment>
    <comment ref="F347" authorId="0" shapeId="0" xr:uid="{C74EFFA4-BCBA-4D3B-8F38-55C366F794D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T4 &amp; X7 &amp; U6</t>
        </r>
      </text>
    </comment>
    <comment ref="F391" authorId="0" shapeId="0" xr:uid="{8563ED72-4884-495E-9F4E-C5FC2FBE5E8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K9]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S5 &amp; W1 &amp; T5 &amp; X4 &amp; U3 &amp; O3</t>
        </r>
      </text>
    </comment>
    <comment ref="F457" authorId="0" shapeId="0" xr:uid="{FF448A3D-1275-408F-A5C1-923F0AAF3B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</t>
        </r>
      </text>
    </comment>
    <comment ref="F503" authorId="0" shapeId="0" xr:uid="{1D01B06C-AD99-4806-8E4E-0656DDD5F48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</t>
        </r>
      </text>
    </comment>
    <comment ref="F570" authorId="0" shapeId="0" xr:uid="{5934DCDB-447C-4B86-A066-B61FC603C8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W6</t>
        </r>
      </text>
    </comment>
    <comment ref="F616" authorId="0" shapeId="0" xr:uid="{7CC2D0E6-8B69-43AA-82DC-478608E249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U6 &amp; O4</t>
        </r>
      </text>
    </comment>
    <comment ref="F683" authorId="0" shapeId="0" xr:uid="{3B67A895-37D2-4CF6-A21E-F81B4D24005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T3 &amp; U6 &amp; O5</t>
        </r>
      </text>
    </comment>
    <comment ref="F730" authorId="0" shapeId="0" xr:uid="{99CA0455-FE02-47DD-BDB8-5B206DB7CB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O3</t>
        </r>
      </text>
    </comment>
    <comment ref="F797" authorId="0" shapeId="0" xr:uid="{E0F26899-26B0-46C9-87BC-CBB3408D783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U3 &amp; O3</t>
        </r>
      </text>
    </comment>
    <comment ref="F844" authorId="0" shapeId="0" xr:uid="{9CBCAA93-7F60-4FE0-AF55-BEB69A6EE8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T1 &amp; X3 &amp; U4 &amp; O1</t>
        </r>
      </text>
    </comment>
    <comment ref="F911" authorId="0" shapeId="0" xr:uid="{30B1EF45-5DAB-46AC-97E9-5F4322282F0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T4 &amp; X5 &amp; U5 &amp; O5</t>
        </r>
      </text>
    </comment>
  </commentList>
</comments>
</file>

<file path=xl/sharedStrings.xml><?xml version="1.0" encoding="utf-8"?>
<sst xmlns="http://schemas.openxmlformats.org/spreadsheetml/2006/main" count="5748" uniqueCount="278">
  <si>
    <t>COMPREHENSIVE REPORT</t>
  </si>
  <si>
    <t>DMM-ATZ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</si>
  <si>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</si>
  <si>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</si>
  <si>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</si>
  <si>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</si>
  <si>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</si>
  <si>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</si>
  <si>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</si>
  <si>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</si>
  <si>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</si>
  <si>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</si>
  <si>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</si>
  <si>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</si>
  <si>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</si>
  <si>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</si>
  <si>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</si>
  <si>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</si>
  <si>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</si>
  <si>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</si>
  <si>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</si>
  <si>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</si>
  <si>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</si>
  <si>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</si>
  <si>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</si>
  <si>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</si>
  <si>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</si>
  <si>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SM-438</t>
  </si>
  <si>
    <t>[LF] FULLY BOOKED</t>
  </si>
  <si>
    <t>SM438</t>
  </si>
  <si>
    <t>CLOSED</t>
  </si>
  <si>
    <t>Indirect competition route DMM – CAI - diversion ratio &amp; passenger leakage</t>
  </si>
  <si>
    <t>flynas</t>
  </si>
  <si>
    <t>XY-894</t>
  </si>
  <si>
    <t>Cabin: 7 KG / Check-in: 20 KG</t>
  </si>
  <si>
    <t>4 FOR SAME CLASS</t>
  </si>
  <si>
    <t>479 SAR</t>
  </si>
  <si>
    <t>Cabin: 7 KG / Check-in: 30 KG</t>
  </si>
  <si>
    <t>579 SAR</t>
  </si>
  <si>
    <t>Cabin: 7 KG / Check-in: 2 x 40 KG</t>
  </si>
  <si>
    <t>669 SAR</t>
  </si>
  <si>
    <t>EgyptAir</t>
  </si>
  <si>
    <t>MS-688</t>
  </si>
  <si>
    <t>20:45</t>
  </si>
  <si>
    <t>Cabin: 7 KG | Check-in: 2 PIECE</t>
  </si>
  <si>
    <t>+9 FOR SAME CLASS</t>
  </si>
  <si>
    <t>Nile Air</t>
  </si>
  <si>
    <t>NP-232</t>
  </si>
  <si>
    <t>23:00</t>
  </si>
  <si>
    <t>Cabin: 7 KG | Check-in: 40 KG</t>
  </si>
  <si>
    <t>379 SAR</t>
  </si>
  <si>
    <t>826 SAR</t>
  </si>
  <si>
    <t>G9</t>
  </si>
  <si>
    <t>G9 &amp; S3 &amp; T3 &amp; X15 &amp; U37 &amp; O3</t>
  </si>
  <si>
    <t>20:05</t>
  </si>
  <si>
    <t>1 FOR SAME CLASS</t>
  </si>
  <si>
    <t>569 SAR</t>
  </si>
  <si>
    <t>flyadeal</t>
  </si>
  <si>
    <t>F3-911</t>
  </si>
  <si>
    <t>07:20</t>
  </si>
  <si>
    <t>Check-in: 15 KG</t>
  </si>
  <si>
    <t>16 FOR SAME CLASS</t>
  </si>
  <si>
    <t>369 SAR</t>
  </si>
  <si>
    <t>Cabin: 10 KG / Check-in: 25 KG</t>
  </si>
  <si>
    <t>519 SAR</t>
  </si>
  <si>
    <t>Cabin: 10 KG / Check-in: 2 x 40 KG</t>
  </si>
  <si>
    <t>899 SAR</t>
  </si>
  <si>
    <t>547 SAR</t>
  </si>
  <si>
    <t>MS-682</t>
  </si>
  <si>
    <t>12:40</t>
  </si>
  <si>
    <t>817 SAR</t>
  </si>
  <si>
    <t>MS-684</t>
  </si>
  <si>
    <t>04:05</t>
  </si>
  <si>
    <t>596 SAR</t>
  </si>
  <si>
    <t>SM-434</t>
  </si>
  <si>
    <t>13:55</t>
  </si>
  <si>
    <t>626 SAR</t>
  </si>
  <si>
    <t>Saudia</t>
  </si>
  <si>
    <t>SV-6446</t>
  </si>
  <si>
    <t>Cabin: 7 KG / Check-in: 2 x 46 KG</t>
  </si>
  <si>
    <t>1,183 SAR</t>
  </si>
  <si>
    <t>741 SAR</t>
  </si>
  <si>
    <t>S9</t>
  </si>
  <si>
    <t>S7 &amp; X7 &amp; U20 &amp; O25 &amp; I15</t>
  </si>
  <si>
    <t>Cabin: 7 KG</t>
  </si>
  <si>
    <t>411 SAR</t>
  </si>
  <si>
    <t>Cabin: 7 KG | Check-in: 1 PIECE</t>
  </si>
  <si>
    <t>437 SAR</t>
  </si>
  <si>
    <t>1,085 SAR</t>
  </si>
  <si>
    <t>686 SAR</t>
  </si>
  <si>
    <t>W9</t>
  </si>
  <si>
    <t>S6 &amp; W8 &amp; X2 &amp; U18</t>
  </si>
  <si>
    <t>7 FOR SAME CLASS</t>
  </si>
  <si>
    <t>339 SAR</t>
  </si>
  <si>
    <t>489 SAR</t>
  </si>
  <si>
    <t>1,249 SAR</t>
  </si>
  <si>
    <t>3 FOR SAME CLASS</t>
  </si>
  <si>
    <t>349 SAR</t>
  </si>
  <si>
    <t>449 SAR</t>
  </si>
  <si>
    <t>539 SAR</t>
  </si>
  <si>
    <t>1,391 SAR</t>
  </si>
  <si>
    <t>439 SAR</t>
  </si>
  <si>
    <t>5 FOR SAME CLASS</t>
  </si>
  <si>
    <t>566 SAR</t>
  </si>
  <si>
    <t>1,126 SAR</t>
  </si>
  <si>
    <t>S2 &amp; W4 &amp; X3 &amp; U29</t>
  </si>
  <si>
    <t>14 FOR SAME CLASS</t>
  </si>
  <si>
    <t>309 SAR</t>
  </si>
  <si>
    <t>459 SAR</t>
  </si>
  <si>
    <t>9 FOR SAME CLASS</t>
  </si>
  <si>
    <t>409 SAR</t>
  </si>
  <si>
    <t>509 SAR</t>
  </si>
  <si>
    <t>599 SAR</t>
  </si>
  <si>
    <t>XY-854</t>
  </si>
  <si>
    <t>04:50</t>
  </si>
  <si>
    <t>G2 &amp; S1 &amp; T2 &amp; X7 &amp; U7 &amp; O5</t>
  </si>
  <si>
    <t>8 FOR SAME CLASS</t>
  </si>
  <si>
    <t>551 SAR</t>
  </si>
  <si>
    <t>6 FOR SAME CLASS</t>
  </si>
  <si>
    <t>G2 &amp; S4 &amp; T2 &amp; X3 &amp; U5 &amp; O3</t>
  </si>
  <si>
    <t>19 FOR SAME CLASS</t>
  </si>
  <si>
    <t>Nesma Airlines</t>
  </si>
  <si>
    <t>NE-153</t>
  </si>
  <si>
    <t>02:55</t>
  </si>
  <si>
    <t>425 SAR</t>
  </si>
  <si>
    <t>S4 &amp; W6 &amp; T4 &amp; X7 &amp; U6</t>
  </si>
  <si>
    <t>12 FOR SAME CLASS</t>
  </si>
  <si>
    <t>415 SAR</t>
  </si>
  <si>
    <t>Cabin: 7 KG | Check-in: 30 KG</t>
  </si>
  <si>
    <t>K9</t>
  </si>
  <si>
    <t>G1 &amp; S5 &amp; W1 &amp; T5 &amp; X4 &amp; U3 &amp; O3</t>
  </si>
  <si>
    <t>03:05</t>
  </si>
  <si>
    <t>15 FOR SAME CLASS</t>
  </si>
  <si>
    <t>S7</t>
  </si>
  <si>
    <t>18 FOR SAME CLASS</t>
  </si>
  <si>
    <t>469 SAR</t>
  </si>
  <si>
    <t>619 SAR</t>
  </si>
  <si>
    <t>709 SAR</t>
  </si>
  <si>
    <t>487 SAR</t>
  </si>
  <si>
    <t>563 SAR</t>
  </si>
  <si>
    <t>NE-151</t>
  </si>
  <si>
    <t>05:10</t>
  </si>
  <si>
    <t>568 SAR</t>
  </si>
  <si>
    <t>1,429 SAR</t>
  </si>
  <si>
    <t>S8</t>
  </si>
  <si>
    <t>20 FOR SAME CLASS</t>
  </si>
  <si>
    <t>429 SAR</t>
  </si>
  <si>
    <t>517 SAR</t>
  </si>
  <si>
    <t>679 SAR</t>
  </si>
  <si>
    <t>1,291 SAR</t>
  </si>
  <si>
    <t>S2 &amp; W6</t>
  </si>
  <si>
    <t>749 SAR</t>
  </si>
  <si>
    <t>879 SAR</t>
  </si>
  <si>
    <t>979 SAR</t>
  </si>
  <si>
    <t>1,069 SAR</t>
  </si>
  <si>
    <t>757 SAR</t>
  </si>
  <si>
    <t>12:20</t>
  </si>
  <si>
    <t>811 SAR</t>
  </si>
  <si>
    <t>2 FOR SAME CLASS</t>
  </si>
  <si>
    <t>1,016 SAR</t>
  </si>
  <si>
    <t>1,604 SAR</t>
  </si>
  <si>
    <t>X7</t>
  </si>
  <si>
    <t>S1 &amp; U6 &amp; O4</t>
  </si>
  <si>
    <t>659 SAR</t>
  </si>
  <si>
    <t>559 SAR</t>
  </si>
  <si>
    <t>500 SAR</t>
  </si>
  <si>
    <t>G1 &amp; T3 &amp; U6 &amp; O5</t>
  </si>
  <si>
    <t>521 SAR</t>
  </si>
  <si>
    <t>X3</t>
  </si>
  <si>
    <t>X1 &amp; U3 &amp; O3</t>
  </si>
  <si>
    <t>636 SAR</t>
  </si>
  <si>
    <t>T3</t>
  </si>
  <si>
    <t>X4 &amp; U3 &amp; O3</t>
  </si>
  <si>
    <t>609 SAR</t>
  </si>
  <si>
    <t>799 SAR</t>
  </si>
  <si>
    <t>T2</t>
  </si>
  <si>
    <t>G1 &amp; T1 &amp; X3 &amp; U4 &amp; O1</t>
  </si>
  <si>
    <t>T1</t>
  </si>
  <si>
    <t>T4 &amp; X5 &amp; U5 &amp; O5</t>
  </si>
  <si>
    <t>10 FOR SAME CLASS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</si>
  <si>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</si>
  <si>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</si>
  <si>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</si>
  <si>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</si>
  <si>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</si>
  <si>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</si>
  <si>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</si>
  <si>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</si>
  <si>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</si>
  <si>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</si>
  <si>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</si>
  <si>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</si>
  <si>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</si>
  <si>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</si>
  <si>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</si>
  <si>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</si>
  <si>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</si>
  <si>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</si>
  <si>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</si>
  <si>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</si>
  <si>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</si>
  <si>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</si>
  <si>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</si>
  <si>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</si>
  <si>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</si>
  <si>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</si>
  <si>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</si>
  <si>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</si>
  <si>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</si>
  <si>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</si>
  <si>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12:15</t>
  </si>
  <si>
    <t>320</t>
  </si>
  <si>
    <t>DEPARTED</t>
  </si>
  <si>
    <t>L4</t>
  </si>
  <si>
    <t>S2</t>
  </si>
  <si>
    <t>W15</t>
  </si>
  <si>
    <t>T15</t>
  </si>
  <si>
    <t>X14</t>
  </si>
  <si>
    <t>U30</t>
  </si>
  <si>
    <t>O15</t>
  </si>
  <si>
    <t>I15</t>
  </si>
  <si>
    <t>FRIDAY</t>
  </si>
  <si>
    <t>07:00</t>
  </si>
  <si>
    <t>UPCOMING</t>
  </si>
  <si>
    <t>S3</t>
  </si>
  <si>
    <t>X15</t>
  </si>
  <si>
    <t>U37</t>
  </si>
  <si>
    <t>O3</t>
  </si>
  <si>
    <t>U20</t>
  </si>
  <si>
    <t>O25</t>
  </si>
  <si>
    <t>S6</t>
  </si>
  <si>
    <t>W8</t>
  </si>
  <si>
    <t>X2</t>
  </si>
  <si>
    <t>U18</t>
  </si>
  <si>
    <t>W4</t>
  </si>
  <si>
    <t>U29</t>
  </si>
  <si>
    <t>G2</t>
  </si>
  <si>
    <t>S1</t>
  </si>
  <si>
    <t>U7</t>
  </si>
  <si>
    <t>O5</t>
  </si>
  <si>
    <t>S4</t>
  </si>
  <si>
    <t>U5</t>
  </si>
  <si>
    <t>W6</t>
  </si>
  <si>
    <t>T4</t>
  </si>
  <si>
    <t>U6</t>
  </si>
  <si>
    <t>G1</t>
  </si>
  <si>
    <t>S5</t>
  </si>
  <si>
    <t>W1</t>
  </si>
  <si>
    <t>T5</t>
  </si>
  <si>
    <t>X4</t>
  </si>
  <si>
    <t>U3</t>
  </si>
  <si>
    <t>O4</t>
  </si>
  <si>
    <t>X1</t>
  </si>
  <si>
    <t>U4</t>
  </si>
  <si>
    <t>O1</t>
  </si>
  <si>
    <t>X5</t>
  </si>
  <si>
    <t>DATE</t>
  </si>
  <si>
    <t>ROUTE</t>
  </si>
  <si>
    <t>2025-12-01</t>
  </si>
  <si>
    <t>DMM-CAI AS ALTERNATIVE ROUTE</t>
  </si>
  <si>
    <t>DMM-CAI</t>
  </si>
  <si>
    <t>NP-132</t>
  </si>
  <si>
    <t>Air Arabia Egypt</t>
  </si>
  <si>
    <t>E5-316</t>
  </si>
  <si>
    <t>Cabin: 10 KG / Check-in: 30 KG</t>
  </si>
  <si>
    <t>NE-155</t>
  </si>
  <si>
    <t>NP-332</t>
  </si>
  <si>
    <t>1,567 SAR</t>
  </si>
  <si>
    <t>1,231 SAR</t>
  </si>
  <si>
    <t>Cabin: 0 KG | Check-in: 15 KG</t>
  </si>
  <si>
    <t>Cabin: 7 KG | Check-in: 20 KG</t>
  </si>
  <si>
    <t>1,023 SAR</t>
  </si>
  <si>
    <t>1,109 SAR</t>
  </si>
  <si>
    <t>1,136 SAR</t>
  </si>
  <si>
    <t>1,209 SAR</t>
  </si>
  <si>
    <t>1,299 SAR</t>
  </si>
  <si>
    <t>1,387 SAR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</si>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</sst>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dd\-mmm\-yy"/>
    <numFmt numFmtId="170" formatCode="hh:mm"/>
    <numFmt numFmtId="171" formatCode="#,##0\ &quot;SAR&quot;"/>
    <numFmt numFmtId="173" formatCode="[$-409]d\-mmm;@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10" fillId="8" borderId="2" xfId="0" applyNumberFormat="1" applyFont="1" applyFill="1" applyBorder="1" applyAlignment="1">
      <alignment horizontal="center" vertical="center"/>
    </xf>
    <xf numFmtId="49" fontId="11" fillId="8" borderId="4" xfId="0" applyNumberFormat="1" applyFont="1" applyFill="1" applyBorder="1" applyAlignment="1">
      <alignment horizontal="center" vertical="center"/>
    </xf>
    <xf numFmtId="1" fontId="11" fillId="8" borderId="5" xfId="0" applyNumberFormat="1" applyFont="1" applyFill="1" applyBorder="1" applyAlignment="1">
      <alignment horizontal="center" vertical="center"/>
    </xf>
    <xf numFmtId="16" fontId="11" fillId="8" borderId="5" xfId="0" applyNumberFormat="1" applyFont="1" applyFill="1" applyBorder="1" applyAlignment="1">
      <alignment horizontal="center" vertical="center"/>
    </xf>
    <xf numFmtId="49" fontId="12" fillId="8" borderId="5" xfId="0" applyNumberFormat="1" applyFont="1" applyFill="1" applyBorder="1" applyAlignment="1">
      <alignment horizontal="center" vertical="center"/>
    </xf>
    <xf numFmtId="49" fontId="11" fillId="8" borderId="6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49" fontId="17" fillId="0" borderId="9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7" borderId="3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16" fontId="8" fillId="6" borderId="2" xfId="0" applyNumberFormat="1" applyFont="1" applyFill="1" applyBorder="1" applyAlignment="1">
      <alignment horizontal="center" vertical="center"/>
    </xf>
    <xf numFmtId="49" fontId="10" fillId="10" borderId="2" xfId="0" applyNumberFormat="1" applyFont="1" applyFill="1" applyBorder="1" applyAlignment="1">
      <alignment horizontal="center" vertical="center"/>
    </xf>
    <xf numFmtId="49" fontId="11" fillId="10" borderId="4" xfId="0" applyNumberFormat="1" applyFont="1" applyFill="1" applyBorder="1" applyAlignment="1">
      <alignment horizontal="center" vertical="center"/>
    </xf>
    <xf numFmtId="1" fontId="11" fillId="10" borderId="5" xfId="0" applyNumberFormat="1" applyFont="1" applyFill="1" applyBorder="1" applyAlignment="1">
      <alignment horizontal="center" vertical="center"/>
    </xf>
    <xf numFmtId="16" fontId="11" fillId="10" borderId="5" xfId="0" applyNumberFormat="1" applyFont="1" applyFill="1" applyBorder="1" applyAlignment="1">
      <alignment horizontal="center" vertical="center"/>
    </xf>
    <xf numFmtId="49" fontId="12" fillId="10" borderId="5" xfId="0" applyNumberFormat="1" applyFont="1" applyFill="1" applyBorder="1" applyAlignment="1">
      <alignment horizontal="center" vertical="center"/>
    </xf>
    <xf numFmtId="49" fontId="11" fillId="10" borderId="6" xfId="0" applyNumberFormat="1" applyFont="1" applyFill="1" applyBorder="1" applyAlignment="1">
      <alignment horizontal="center" vertical="center"/>
    </xf>
    <xf numFmtId="49" fontId="10" fillId="11" borderId="2" xfId="0" applyNumberFormat="1" applyFont="1" applyFill="1" applyBorder="1" applyAlignment="1">
      <alignment horizontal="center" vertical="center"/>
    </xf>
    <xf numFmtId="49" fontId="11" fillId="11" borderId="4" xfId="0" applyNumberFormat="1" applyFont="1" applyFill="1" applyBorder="1" applyAlignment="1">
      <alignment horizontal="center" vertical="center"/>
    </xf>
    <xf numFmtId="1" fontId="11" fillId="11" borderId="5" xfId="0" applyNumberFormat="1" applyFont="1" applyFill="1" applyBorder="1" applyAlignment="1">
      <alignment horizontal="center" vertical="center"/>
    </xf>
    <xf numFmtId="16" fontId="11" fillId="11" borderId="5" xfId="0" applyNumberFormat="1" applyFont="1" applyFill="1" applyBorder="1" applyAlignment="1">
      <alignment horizontal="center" vertical="center"/>
    </xf>
    <xf numFmtId="49" fontId="12" fillId="11" borderId="5" xfId="0" applyNumberFormat="1" applyFont="1" applyFill="1" applyBorder="1" applyAlignment="1">
      <alignment horizontal="center" vertical="center"/>
    </xf>
    <xf numFmtId="49" fontId="11" fillId="11" borderId="6" xfId="0" applyNumberFormat="1" applyFont="1" applyFill="1" applyBorder="1" applyAlignment="1">
      <alignment horizontal="center" vertical="center"/>
    </xf>
    <xf numFmtId="49" fontId="10" fillId="12" borderId="2" xfId="0" applyNumberFormat="1" applyFont="1" applyFill="1" applyBorder="1" applyAlignment="1">
      <alignment horizontal="center" vertical="center"/>
    </xf>
    <xf numFmtId="49" fontId="11" fillId="12" borderId="4" xfId="0" applyNumberFormat="1" applyFont="1" applyFill="1" applyBorder="1" applyAlignment="1">
      <alignment horizontal="center" vertical="center"/>
    </xf>
    <xf numFmtId="1" fontId="11" fillId="12" borderId="5" xfId="0" applyNumberFormat="1" applyFont="1" applyFill="1" applyBorder="1" applyAlignment="1">
      <alignment horizontal="center" vertical="center"/>
    </xf>
    <xf numFmtId="16" fontId="11" fillId="12" borderId="5" xfId="0" applyNumberFormat="1" applyFont="1" applyFill="1" applyBorder="1" applyAlignment="1">
      <alignment horizontal="center" vertical="center"/>
    </xf>
    <xf numFmtId="49" fontId="12" fillId="12" borderId="5" xfId="0" applyNumberFormat="1" applyFont="1" applyFill="1" applyBorder="1" applyAlignment="1">
      <alignment horizontal="center" vertical="center"/>
    </xf>
    <xf numFmtId="49" fontId="11" fillId="12" borderId="6" xfId="0" applyNumberFormat="1" applyFont="1" applyFill="1" applyBorder="1" applyAlignment="1">
      <alignment horizontal="center" vertical="center"/>
    </xf>
    <xf numFmtId="49" fontId="10" fillId="13" borderId="2" xfId="0" applyNumberFormat="1" applyFont="1" applyFill="1" applyBorder="1" applyAlignment="1">
      <alignment horizontal="center" vertical="center"/>
    </xf>
    <xf numFmtId="49" fontId="11" fillId="13" borderId="4" xfId="0" applyNumberFormat="1" applyFont="1" applyFill="1" applyBorder="1" applyAlignment="1">
      <alignment horizontal="center" vertical="center"/>
    </xf>
    <xf numFmtId="1" fontId="11" fillId="13" borderId="5" xfId="0" applyNumberFormat="1" applyFont="1" applyFill="1" applyBorder="1" applyAlignment="1">
      <alignment horizontal="center" vertical="center"/>
    </xf>
    <xf numFmtId="16" fontId="11" fillId="13" borderId="5" xfId="0" applyNumberFormat="1" applyFont="1" applyFill="1" applyBorder="1" applyAlignment="1">
      <alignment horizontal="center" vertical="center"/>
    </xf>
    <xf numFmtId="49" fontId="12" fillId="13" borderId="5" xfId="0" applyNumberFormat="1" applyFont="1" applyFill="1" applyBorder="1" applyAlignment="1">
      <alignment horizontal="center" vertical="center"/>
    </xf>
    <xf numFmtId="49" fontId="11" fillId="13" borderId="6" xfId="0" applyNumberFormat="1" applyFont="1" applyFill="1" applyBorder="1" applyAlignment="1">
      <alignment horizontal="center" vertical="center"/>
    </xf>
    <xf numFmtId="49" fontId="10" fillId="14" borderId="2" xfId="0" applyNumberFormat="1" applyFont="1" applyFill="1" applyBorder="1" applyAlignment="1">
      <alignment horizontal="center" vertical="center"/>
    </xf>
    <xf numFmtId="49" fontId="11" fillId="14" borderId="4" xfId="0" applyNumberFormat="1" applyFont="1" applyFill="1" applyBorder="1" applyAlignment="1">
      <alignment horizontal="center" vertical="center"/>
    </xf>
    <xf numFmtId="1" fontId="11" fillId="14" borderId="5" xfId="0" applyNumberFormat="1" applyFont="1" applyFill="1" applyBorder="1" applyAlignment="1">
      <alignment horizontal="center" vertical="center"/>
    </xf>
    <xf numFmtId="16" fontId="11" fillId="14" borderId="5" xfId="0" applyNumberFormat="1" applyFont="1" applyFill="1" applyBorder="1" applyAlignment="1">
      <alignment horizontal="center" vertical="center"/>
    </xf>
    <xf numFmtId="49" fontId="12" fillId="14" borderId="5" xfId="0" applyNumberFormat="1" applyFont="1" applyFill="1" applyBorder="1" applyAlignment="1">
      <alignment horizontal="center" vertical="center"/>
    </xf>
    <xf numFmtId="49" fontId="11" fillId="14" borderId="6" xfId="0" applyNumberFormat="1" applyFont="1" applyFill="1" applyBorder="1" applyAlignment="1">
      <alignment horizontal="center" vertical="center"/>
    </xf>
    <xf numFmtId="49" fontId="10" fillId="15" borderId="2" xfId="0" applyNumberFormat="1" applyFont="1" applyFill="1" applyBorder="1" applyAlignment="1">
      <alignment horizontal="center" vertical="center"/>
    </xf>
    <xf numFmtId="49" fontId="11" fillId="15" borderId="4" xfId="0" applyNumberFormat="1" applyFont="1" applyFill="1" applyBorder="1" applyAlignment="1">
      <alignment horizontal="center" vertical="center"/>
    </xf>
    <xf numFmtId="1" fontId="11" fillId="15" borderId="5" xfId="0" applyNumberFormat="1" applyFont="1" applyFill="1" applyBorder="1" applyAlignment="1">
      <alignment horizontal="center" vertical="center"/>
    </xf>
    <xf numFmtId="16" fontId="11" fillId="15" borderId="5" xfId="0" applyNumberFormat="1" applyFont="1" applyFill="1" applyBorder="1" applyAlignment="1">
      <alignment horizontal="center" vertical="center"/>
    </xf>
    <xf numFmtId="49" fontId="12" fillId="15" borderId="5" xfId="0" applyNumberFormat="1" applyFont="1" applyFill="1" applyBorder="1" applyAlignment="1">
      <alignment horizontal="center" vertical="center"/>
    </xf>
    <xf numFmtId="49" fontId="11" fillId="15" borderId="6" xfId="0" applyNumberFormat="1" applyFont="1" applyFill="1" applyBorder="1" applyAlignment="1">
      <alignment horizontal="center" vertical="center"/>
    </xf>
    <xf numFmtId="49" fontId="10" fillId="16" borderId="2" xfId="0" applyNumberFormat="1" applyFont="1" applyFill="1" applyBorder="1" applyAlignment="1">
      <alignment horizontal="center" vertical="center"/>
    </xf>
    <xf numFmtId="49" fontId="11" fillId="16" borderId="4" xfId="0" applyNumberFormat="1" applyFont="1" applyFill="1" applyBorder="1" applyAlignment="1">
      <alignment horizontal="center" vertical="center"/>
    </xf>
    <xf numFmtId="1" fontId="11" fillId="16" borderId="5" xfId="0" applyNumberFormat="1" applyFont="1" applyFill="1" applyBorder="1" applyAlignment="1">
      <alignment horizontal="center" vertical="center"/>
    </xf>
    <xf numFmtId="16" fontId="11" fillId="16" borderId="5" xfId="0" applyNumberFormat="1" applyFont="1" applyFill="1" applyBorder="1" applyAlignment="1">
      <alignment horizontal="center" vertical="center"/>
    </xf>
    <xf numFmtId="49" fontId="12" fillId="16" borderId="5" xfId="0" applyNumberFormat="1" applyFont="1" applyFill="1" applyBorder="1" applyAlignment="1">
      <alignment horizontal="center" vertical="center"/>
    </xf>
    <xf numFmtId="49" fontId="11" fillId="16" borderId="6" xfId="0" applyNumberFormat="1" applyFont="1" applyFill="1" applyBorder="1" applyAlignment="1">
      <alignment horizontal="center" vertical="center"/>
    </xf>
    <xf numFmtId="0" fontId="20" fillId="17" borderId="18" xfId="0" applyFont="1" applyFill="1" applyBorder="1" applyAlignment="1">
      <alignment horizontal="center" vertical="center"/>
    </xf>
    <xf numFmtId="0" fontId="20" fillId="17" borderId="19" xfId="0" applyFont="1" applyFill="1" applyBorder="1" applyAlignment="1">
      <alignment horizontal="center" vertical="center"/>
    </xf>
    <xf numFmtId="0" fontId="20" fillId="17" borderId="20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49" fontId="22" fillId="0" borderId="22" xfId="0" applyNumberFormat="1" applyFont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" fontId="21" fillId="0" borderId="22" xfId="0" applyNumberFormat="1" applyFont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6" fontId="11" fillId="8" borderId="5" xfId="0" applyNumberFormat="1" applyFont="1" applyFill="1" applyBorder="1" applyAlignment="1">
      <alignment horizontal="center" vertical="center"/>
    </xf>
    <xf numFmtId="166" fontId="17" fillId="0" borderId="8" xfId="0" applyNumberFormat="1" applyFont="1" applyBorder="1" applyAlignment="1">
      <alignment horizontal="center" vertical="center"/>
    </xf>
    <xf numFmtId="166" fontId="17" fillId="0" borderId="9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7" fontId="8" fillId="6" borderId="2" xfId="0" applyNumberFormat="1" applyFont="1" applyFill="1" applyBorder="1" applyAlignment="1">
      <alignment horizontal="center" vertical="center"/>
    </xf>
    <xf numFmtId="166" fontId="10" fillId="10" borderId="2" xfId="0" applyNumberFormat="1" applyFont="1" applyFill="1" applyBorder="1" applyAlignment="1">
      <alignment horizontal="center" vertical="center"/>
    </xf>
    <xf numFmtId="167" fontId="18" fillId="10" borderId="5" xfId="0" applyNumberFormat="1" applyFont="1" applyFill="1" applyBorder="1" applyAlignment="1">
      <alignment horizontal="center" vertical="center"/>
    </xf>
    <xf numFmtId="166" fontId="11" fillId="10" borderId="5" xfId="0" applyNumberFormat="1" applyFont="1" applyFill="1" applyBorder="1" applyAlignment="1">
      <alignment horizontal="center" vertical="center"/>
    </xf>
    <xf numFmtId="167" fontId="18" fillId="8" borderId="5" xfId="0" applyNumberFormat="1" applyFont="1" applyFill="1" applyBorder="1" applyAlignment="1">
      <alignment horizontal="center" vertical="center"/>
    </xf>
    <xf numFmtId="166" fontId="10" fillId="11" borderId="2" xfId="0" applyNumberFormat="1" applyFont="1" applyFill="1" applyBorder="1" applyAlignment="1">
      <alignment horizontal="center" vertical="center"/>
    </xf>
    <xf numFmtId="167" fontId="18" fillId="11" borderId="5" xfId="0" applyNumberFormat="1" applyFont="1" applyFill="1" applyBorder="1" applyAlignment="1">
      <alignment horizontal="center" vertical="center"/>
    </xf>
    <xf numFmtId="166" fontId="11" fillId="11" borderId="5" xfId="0" applyNumberFormat="1" applyFont="1" applyFill="1" applyBorder="1" applyAlignment="1">
      <alignment horizontal="center" vertical="center"/>
    </xf>
    <xf numFmtId="166" fontId="10" fillId="12" borderId="2" xfId="0" applyNumberFormat="1" applyFont="1" applyFill="1" applyBorder="1" applyAlignment="1">
      <alignment horizontal="center" vertical="center"/>
    </xf>
    <xf numFmtId="167" fontId="18" fillId="12" borderId="5" xfId="0" applyNumberFormat="1" applyFont="1" applyFill="1" applyBorder="1" applyAlignment="1">
      <alignment horizontal="center" vertical="center"/>
    </xf>
    <xf numFmtId="166" fontId="11" fillId="12" borderId="5" xfId="0" applyNumberFormat="1" applyFont="1" applyFill="1" applyBorder="1" applyAlignment="1">
      <alignment horizontal="center" vertical="center"/>
    </xf>
    <xf numFmtId="166" fontId="10" fillId="13" borderId="2" xfId="0" applyNumberFormat="1" applyFont="1" applyFill="1" applyBorder="1" applyAlignment="1">
      <alignment horizontal="center" vertical="center"/>
    </xf>
    <xf numFmtId="167" fontId="18" fillId="13" borderId="5" xfId="0" applyNumberFormat="1" applyFont="1" applyFill="1" applyBorder="1" applyAlignment="1">
      <alignment horizontal="center" vertical="center"/>
    </xf>
    <xf numFmtId="166" fontId="11" fillId="13" borderId="5" xfId="0" applyNumberFormat="1" applyFont="1" applyFill="1" applyBorder="1" applyAlignment="1">
      <alignment horizontal="center" vertical="center"/>
    </xf>
    <xf numFmtId="166" fontId="10" fillId="14" borderId="2" xfId="0" applyNumberFormat="1" applyFont="1" applyFill="1" applyBorder="1" applyAlignment="1">
      <alignment horizontal="center" vertical="center"/>
    </xf>
    <xf numFmtId="167" fontId="18" fillId="14" borderId="5" xfId="0" applyNumberFormat="1" applyFont="1" applyFill="1" applyBorder="1" applyAlignment="1">
      <alignment horizontal="center" vertical="center"/>
    </xf>
    <xf numFmtId="166" fontId="11" fillId="14" borderId="5" xfId="0" applyNumberFormat="1" applyFont="1" applyFill="1" applyBorder="1" applyAlignment="1">
      <alignment horizontal="center" vertical="center"/>
    </xf>
    <xf numFmtId="166" fontId="10" fillId="15" borderId="2" xfId="0" applyNumberFormat="1" applyFont="1" applyFill="1" applyBorder="1" applyAlignment="1">
      <alignment horizontal="center" vertical="center"/>
    </xf>
    <xf numFmtId="167" fontId="18" fillId="15" borderId="5" xfId="0" applyNumberFormat="1" applyFont="1" applyFill="1" applyBorder="1" applyAlignment="1">
      <alignment horizontal="center" vertical="center"/>
    </xf>
    <xf numFmtId="166" fontId="11" fillId="15" borderId="5" xfId="0" applyNumberFormat="1" applyFont="1" applyFill="1" applyBorder="1" applyAlignment="1">
      <alignment horizontal="center" vertical="center"/>
    </xf>
    <xf numFmtId="166" fontId="10" fillId="16" borderId="2" xfId="0" applyNumberFormat="1" applyFont="1" applyFill="1" applyBorder="1" applyAlignment="1">
      <alignment horizontal="center" vertical="center"/>
    </xf>
    <xf numFmtId="167" fontId="18" fillId="16" borderId="5" xfId="0" applyNumberFormat="1" applyFont="1" applyFill="1" applyBorder="1" applyAlignment="1">
      <alignment horizontal="center" vertical="center"/>
    </xf>
    <xf numFmtId="166" fontId="11" fillId="16" borderId="5" xfId="0" applyNumberFormat="1" applyFont="1" applyFill="1" applyBorder="1" applyAlignment="1">
      <alignment horizontal="center" vertical="center"/>
    </xf>
    <xf numFmtId="169" fontId="22" fillId="0" borderId="21" xfId="0" applyNumberFormat="1" applyFont="1" applyBorder="1" applyAlignment="1">
      <alignment horizontal="center" vertical="center"/>
    </xf>
    <xf numFmtId="170" fontId="22" fillId="0" borderId="22" xfId="0" applyNumberFormat="1" applyFont="1" applyBorder="1" applyAlignment="1">
      <alignment horizontal="center" vertical="center"/>
    </xf>
    <xf numFmtId="171" fontId="22" fillId="0" borderId="23" xfId="0" applyNumberFormat="1" applyFont="1" applyBorder="1" applyAlignment="1">
      <alignment horizontal="center" vertical="center"/>
    </xf>
    <xf numFmtId="169" fontId="22" fillId="0" borderId="24" xfId="0" applyNumberFormat="1" applyFont="1" applyBorder="1" applyAlignment="1">
      <alignment horizontal="center" vertical="center"/>
    </xf>
    <xf numFmtId="170" fontId="22" fillId="0" borderId="25" xfId="0" applyNumberFormat="1" applyFont="1" applyBorder="1" applyAlignment="1">
      <alignment horizontal="center" vertical="center"/>
    </xf>
    <xf numFmtId="171" fontId="22" fillId="0" borderId="26" xfId="0" applyNumberFormat="1" applyFont="1" applyBorder="1" applyAlignment="1">
      <alignment horizontal="center" vertical="center"/>
    </xf>
    <xf numFmtId="169" fontId="21" fillId="0" borderId="21" xfId="0" applyNumberFormat="1" applyFont="1" applyBorder="1" applyAlignment="1">
      <alignment horizontal="center" vertical="center"/>
    </xf>
    <xf numFmtId="170" fontId="21" fillId="0" borderId="22" xfId="0" applyNumberFormat="1" applyFont="1" applyBorder="1" applyAlignment="1">
      <alignment horizontal="center" vertical="center"/>
    </xf>
    <xf numFmtId="171" fontId="21" fillId="0" borderId="23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168" fontId="23" fillId="0" borderId="0" xfId="0" applyNumberFormat="1" applyFont="1" applyAlignment="1">
      <alignment horizontal="center" vertical="center"/>
    </xf>
    <xf numFmtId="15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6" fontId="23" fillId="0" borderId="0" xfId="0" applyNumberFormat="1" applyFont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15" fontId="24" fillId="18" borderId="0" xfId="0" applyNumberFormat="1" applyFont="1" applyFill="1" applyAlignment="1">
      <alignment horizontal="center" vertical="center"/>
    </xf>
    <xf numFmtId="167" fontId="24" fillId="18" borderId="0" xfId="0" applyNumberFormat="1" applyFont="1" applyFill="1" applyAlignment="1">
      <alignment horizontal="center" vertical="center"/>
    </xf>
    <xf numFmtId="1" fontId="24" fillId="18" borderId="0" xfId="0" applyNumberFormat="1" applyFont="1" applyFill="1" applyAlignment="1">
      <alignment horizontal="center" vertical="center"/>
    </xf>
    <xf numFmtId="0" fontId="24" fillId="18" borderId="0" xfId="0" applyNumberFormat="1" applyFont="1" applyFill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4" fillId="9" borderId="27" xfId="0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horizontal="center" vertical="center"/>
    </xf>
    <xf numFmtId="0" fontId="14" fillId="9" borderId="29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9" fillId="0" borderId="13" xfId="0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73" fontId="11" fillId="1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ATZ_LF_LEGACY" displayName="DMM_ATZ_LF_LEGACY" ref="A1:AJ20" totalsRowCount="1" headerRowDxfId="74" dataDxfId="73" totalsRowDxfId="72">
  <tableColumns count="36">
    <tableColumn id="1" xr3:uid="{00000000-0010-0000-0000-000001000000}" name="Day" totalsRowLabel="TOTAL" dataDxfId="71" totalsRowDxfId="35"/>
    <tableColumn id="2" xr3:uid="{00000000-0010-0000-0000-000002000000}" name="Flt Dt" dataDxfId="70" totalsRowDxfId="34"/>
    <tableColumn id="3" xr3:uid="{00000000-0010-0000-0000-000003000000}" name="Flt" totalsRowFunction="count" dataDxfId="69" totalsRowDxfId="33"/>
    <tableColumn id="4" xr3:uid="{00000000-0010-0000-0000-000004000000}" name="DEP" dataDxfId="68" totalsRowDxfId="32"/>
    <tableColumn id="5" xr3:uid="{00000000-0010-0000-0000-000005000000}" name="Brd-Off" totalsRowFunction="count" dataDxfId="67" totalsRowDxfId="31"/>
    <tableColumn id="6" xr3:uid="{00000000-0010-0000-0000-000006000000}" name="Eqp" dataDxfId="66" totalsRowDxfId="30"/>
    <tableColumn id="7" xr3:uid="{00000000-0010-0000-0000-000007000000}" name="LF%" totalsRowFunction="average" dataDxfId="65" totalsRowDxfId="29"/>
    <tableColumn id="8" xr3:uid="{00000000-0010-0000-0000-000008000000}" name="CAP" totalsRowFunction="sum" dataDxfId="64" totalsRowDxfId="28"/>
    <tableColumn id="9" xr3:uid="{00000000-0010-0000-0000-000009000000}" name="BKG(Y)" totalsRowFunction="sum" dataDxfId="63" totalsRowDxfId="27"/>
    <tableColumn id="10" xr3:uid="{00000000-0010-0000-0000-00000A000000}" name="GRP(Y)" totalsRowFunction="sum" dataDxfId="62" totalsRowDxfId="26"/>
    <tableColumn id="11" xr3:uid="{00000000-0010-0000-0000-00000B000000}" name="FLT ST" dataDxfId="61" totalsRowDxfId="25"/>
    <tableColumn id="12" xr3:uid="{00000000-0010-0000-0000-00000C000000}" name="LST-SOLD" dataDxfId="60" totalsRowDxfId="24"/>
    <tableColumn id="13" xr3:uid="{00000000-0010-0000-0000-00000D000000}" name="TO-DAY" totalsRowFunction="sum" dataDxfId="59" totalsRowDxfId="23"/>
    <tableColumn id="14" xr3:uid="{00000000-0010-0000-0000-00000E000000}" name="Y-DAY" totalsRowFunction="sum" dataDxfId="58" totalsRowDxfId="22"/>
    <tableColumn id="15" xr3:uid="{00000000-0010-0000-0000-00000F000000}" name="WEEKLY" totalsRowFunction="sum" dataDxfId="57" totalsRowDxfId="21"/>
    <tableColumn id="16" xr3:uid="{00000000-0010-0000-0000-000010000000}" name="LOWEST AVAIL" dataDxfId="56" totalsRowDxfId="20"/>
    <tableColumn id="17" xr3:uid="{00000000-0010-0000-0000-000011000000}" name="Y" totalsRowFunction="sum" dataDxfId="55" totalsRowDxfId="19"/>
    <tableColumn id="18" xr3:uid="{00000000-0010-0000-0000-000012000000}" name="B" totalsRowFunction="sum" dataDxfId="54" totalsRowDxfId="18"/>
    <tableColumn id="19" xr3:uid="{00000000-0010-0000-0000-000013000000}" name="M" totalsRowFunction="sum" dataDxfId="53" totalsRowDxfId="17"/>
    <tableColumn id="20" xr3:uid="{00000000-0010-0000-0000-000014000000}" name="H" totalsRowFunction="sum" dataDxfId="52" totalsRowDxfId="16"/>
    <tableColumn id="21" xr3:uid="{00000000-0010-0000-0000-000015000000}" name="Q" totalsRowFunction="sum" dataDxfId="51" totalsRowDxfId="15"/>
    <tableColumn id="22" xr3:uid="{00000000-0010-0000-0000-000016000000}" name="K" totalsRowFunction="sum" dataDxfId="50" totalsRowDxfId="14"/>
    <tableColumn id="23" xr3:uid="{00000000-0010-0000-0000-000017000000}" name="V" totalsRowFunction="sum" dataDxfId="49" totalsRowDxfId="13"/>
    <tableColumn id="24" xr3:uid="{00000000-0010-0000-0000-000018000000}" name="L" totalsRowFunction="sum" dataDxfId="48" totalsRowDxfId="12"/>
    <tableColumn id="25" xr3:uid="{00000000-0010-0000-0000-000019000000}" name="G" totalsRowFunction="sum" dataDxfId="47" totalsRowDxfId="11"/>
    <tableColumn id="26" xr3:uid="{00000000-0010-0000-0000-00001A000000}" name="S" totalsRowFunction="sum" dataDxfId="46" totalsRowDxfId="10"/>
    <tableColumn id="27" xr3:uid="{00000000-0010-0000-0000-00001B000000}" name="W" totalsRowFunction="sum" dataDxfId="45" totalsRowDxfId="9"/>
    <tableColumn id="28" xr3:uid="{00000000-0010-0000-0000-00001C000000}" name="T" totalsRowFunction="sum" dataDxfId="44" totalsRowDxfId="8"/>
    <tableColumn id="29" xr3:uid="{00000000-0010-0000-0000-00001D000000}" name="X" totalsRowFunction="sum" dataDxfId="43" totalsRowDxfId="7"/>
    <tableColumn id="30" xr3:uid="{00000000-0010-0000-0000-00001E000000}" name="U" totalsRowFunction="sum" dataDxfId="42" totalsRowDxfId="6"/>
    <tableColumn id="31" xr3:uid="{00000000-0010-0000-0000-00001F000000}" name="O" totalsRowFunction="sum" dataDxfId="41" totalsRowDxfId="5"/>
    <tableColumn id="32" xr3:uid="{00000000-0010-0000-0000-000020000000}" name="I" totalsRowFunction="sum" dataDxfId="40" totalsRowDxfId="4"/>
    <tableColumn id="33" xr3:uid="{00000000-0010-0000-0000-000021000000}" name="E" totalsRowFunction="sum" dataDxfId="39" totalsRowDxfId="3"/>
    <tableColumn id="34" xr3:uid="{00000000-0010-0000-0000-000022000000}" name="A" totalsRowFunction="sum" dataDxfId="38" totalsRowDxfId="2"/>
    <tableColumn id="35" xr3:uid="{00000000-0010-0000-0000-000023000000}" name="P" totalsRowFunction="sum" dataDxfId="37" totalsRowDxfId="1"/>
    <tableColumn id="36" xr3:uid="{00000000-0010-0000-0000-000024000000}" name="N" totalsRowFunction="count" dataDxfId="36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ATZ" displayName="FocusMode_DMM_ATZ" ref="A1:H944" totalsRowShown="0">
  <autoFilter ref="A1:H94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11"/>
  <sheetViews>
    <sheetView topLeftCell="A267" workbookViewId="0">
      <selection activeCell="G295" sqref="G295:G309"/>
    </sheetView>
  </sheetViews>
  <sheetFormatPr defaultRowHeight="14.4" x14ac:dyDescent="0.3"/>
  <cols>
    <col min="1" max="1" width="15.777343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1.109375" bestFit="1" customWidth="1"/>
    <col min="19" max="92" width="8" customWidth="1"/>
  </cols>
  <sheetData>
    <row r="1" spans="1:92" ht="28.8" customHeight="1" x14ac:dyDescent="0.3">
      <c r="A1" s="149" t="s">
        <v>0</v>
      </c>
      <c r="B1" s="148"/>
      <c r="C1" s="148"/>
      <c r="D1" s="148"/>
      <c r="E1" s="148"/>
      <c r="F1" s="1" t="s">
        <v>1</v>
      </c>
      <c r="G1" s="1" t="s">
        <v>2</v>
      </c>
      <c r="H1" s="147">
        <v>45992</v>
      </c>
      <c r="I1" s="148"/>
      <c r="J1" s="148"/>
      <c r="K1" s="148"/>
      <c r="L1" s="148"/>
      <c r="M1" s="1" t="s">
        <v>3</v>
      </c>
      <c r="N1" s="157">
        <v>46053</v>
      </c>
      <c r="O1" s="148"/>
      <c r="P1" s="148"/>
      <c r="Q1" s="148"/>
      <c r="R1" s="14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54" t="s">
        <v>4</v>
      </c>
      <c r="B2" s="148"/>
      <c r="C2" s="148"/>
      <c r="D2" s="148"/>
      <c r="E2" s="148"/>
      <c r="F2" s="148"/>
      <c r="G2" s="155">
        <v>45992.537970752317</v>
      </c>
      <c r="H2" s="148"/>
      <c r="I2" s="148"/>
      <c r="J2" s="148"/>
      <c r="K2" s="158">
        <v>45992.537970752317</v>
      </c>
      <c r="L2" s="148"/>
      <c r="M2" s="148"/>
      <c r="N2" s="148"/>
      <c r="O2" s="148"/>
      <c r="P2" s="148"/>
      <c r="Q2" s="148"/>
      <c r="R2" s="14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thickBot="1" x14ac:dyDescent="0.35">
      <c r="A3" s="156" t="s">
        <v>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thickBot="1" x14ac:dyDescent="0.35">
      <c r="A4" s="143" t="s">
        <v>6</v>
      </c>
      <c r="B4" s="138"/>
      <c r="C4" s="138"/>
      <c r="D4" s="138"/>
      <c r="E4" s="138"/>
      <c r="F4" s="139"/>
      <c r="G4" s="89">
        <v>45996</v>
      </c>
      <c r="H4" s="137" t="s">
        <v>7</v>
      </c>
      <c r="I4" s="138"/>
      <c r="J4" s="138"/>
      <c r="K4" s="138"/>
      <c r="L4" s="138"/>
      <c r="M4" s="138"/>
      <c r="N4" s="138"/>
      <c r="O4" s="138"/>
      <c r="P4" s="138"/>
      <c r="Q4" s="138"/>
      <c r="R4" s="139"/>
    </row>
    <row r="5" spans="1:92" ht="24" customHeight="1" x14ac:dyDescent="0.3">
      <c r="A5" s="18" t="s">
        <v>8</v>
      </c>
      <c r="B5" s="18" t="s">
        <v>9</v>
      </c>
      <c r="C5" s="90" t="s">
        <v>10</v>
      </c>
      <c r="D5" s="18" t="s">
        <v>11</v>
      </c>
      <c r="E5" s="18" t="s">
        <v>12</v>
      </c>
      <c r="F5" s="19" t="s">
        <v>13</v>
      </c>
      <c r="G5" s="20" t="s">
        <v>14</v>
      </c>
      <c r="H5" s="18" t="s">
        <v>15</v>
      </c>
      <c r="I5" s="91" t="s">
        <v>16</v>
      </c>
      <c r="J5" s="21" t="s">
        <v>17</v>
      </c>
      <c r="K5" s="22" t="s">
        <v>18</v>
      </c>
      <c r="L5" s="21" t="s">
        <v>19</v>
      </c>
      <c r="M5" s="21" t="s">
        <v>20</v>
      </c>
      <c r="N5" s="21" t="s">
        <v>21</v>
      </c>
      <c r="O5" s="18" t="s">
        <v>22</v>
      </c>
      <c r="P5" s="90" t="s">
        <v>23</v>
      </c>
      <c r="Q5" s="21" t="s">
        <v>24</v>
      </c>
      <c r="R5" s="18" t="s">
        <v>25</v>
      </c>
    </row>
    <row r="6" spans="1:92" ht="15" customHeight="1" x14ac:dyDescent="0.3">
      <c r="A6" s="23" t="s">
        <v>26</v>
      </c>
      <c r="B6" s="23" t="s">
        <v>27</v>
      </c>
      <c r="C6" s="92">
        <v>0.29166666666666669</v>
      </c>
      <c r="D6" s="23" t="s">
        <v>49</v>
      </c>
      <c r="E6" s="23" t="s">
        <v>45</v>
      </c>
      <c r="F6" s="23" t="s">
        <v>51</v>
      </c>
      <c r="G6" s="144"/>
      <c r="H6" s="24" t="s">
        <v>29</v>
      </c>
      <c r="I6" s="93">
        <v>0.41670000000000001</v>
      </c>
      <c r="J6" s="25">
        <v>70</v>
      </c>
      <c r="K6" s="159">
        <v>45992</v>
      </c>
      <c r="L6" s="25">
        <v>27</v>
      </c>
      <c r="M6" s="25">
        <v>1</v>
      </c>
      <c r="N6" s="25">
        <v>5</v>
      </c>
      <c r="O6" s="27" t="s">
        <v>52</v>
      </c>
      <c r="P6" s="94">
        <v>0.29166666666666669</v>
      </c>
      <c r="Q6" s="25">
        <v>168</v>
      </c>
      <c r="R6" s="28" t="s">
        <v>53</v>
      </c>
    </row>
    <row r="7" spans="1:92" ht="18" x14ac:dyDescent="0.3">
      <c r="A7" s="150" t="s">
        <v>31</v>
      </c>
      <c r="B7" s="151"/>
      <c r="C7" s="151"/>
      <c r="D7" s="151"/>
      <c r="E7" s="151"/>
      <c r="F7" s="152"/>
      <c r="G7" s="145"/>
      <c r="H7" s="11"/>
      <c r="I7" s="11"/>
      <c r="J7" s="11"/>
      <c r="K7" s="11"/>
      <c r="L7" s="11"/>
      <c r="M7" s="11"/>
      <c r="N7" s="11"/>
      <c r="O7" s="12"/>
      <c r="P7" s="11"/>
      <c r="Q7" s="2"/>
      <c r="R7" s="2"/>
    </row>
    <row r="8" spans="1:92" ht="15" customHeight="1" x14ac:dyDescent="0.3">
      <c r="A8" s="13" t="s">
        <v>32</v>
      </c>
      <c r="B8" s="13" t="s">
        <v>33</v>
      </c>
      <c r="C8" s="87" t="s">
        <v>54</v>
      </c>
      <c r="D8" s="13" t="s">
        <v>34</v>
      </c>
      <c r="E8" s="13" t="s">
        <v>55</v>
      </c>
      <c r="F8" s="13" t="s">
        <v>50</v>
      </c>
      <c r="G8" s="145"/>
      <c r="H8" s="11"/>
      <c r="I8" s="11"/>
      <c r="J8" s="11"/>
      <c r="K8" s="11"/>
      <c r="L8" s="11"/>
      <c r="M8" s="11"/>
      <c r="N8" s="11"/>
      <c r="O8" s="12"/>
      <c r="P8" s="11"/>
      <c r="Q8" s="2"/>
      <c r="R8" s="2"/>
    </row>
    <row r="9" spans="1:92" ht="15" customHeight="1" x14ac:dyDescent="0.3">
      <c r="A9" s="13" t="s">
        <v>32</v>
      </c>
      <c r="B9" s="13" t="s">
        <v>33</v>
      </c>
      <c r="C9" s="87" t="s">
        <v>54</v>
      </c>
      <c r="D9" s="13" t="s">
        <v>37</v>
      </c>
      <c r="E9" s="13" t="s">
        <v>55</v>
      </c>
      <c r="F9" s="13" t="s">
        <v>36</v>
      </c>
      <c r="G9" s="145"/>
      <c r="H9" s="11"/>
      <c r="I9" s="11"/>
      <c r="J9" s="11"/>
      <c r="K9" s="11"/>
      <c r="L9" s="11"/>
      <c r="M9" s="11"/>
      <c r="N9" s="11"/>
      <c r="O9" s="12"/>
      <c r="P9" s="11"/>
      <c r="Q9" s="2"/>
      <c r="R9" s="2"/>
    </row>
    <row r="10" spans="1:92" ht="15" customHeight="1" x14ac:dyDescent="0.3">
      <c r="A10" s="13" t="s">
        <v>32</v>
      </c>
      <c r="B10" s="13" t="s">
        <v>33</v>
      </c>
      <c r="C10" s="87" t="s">
        <v>54</v>
      </c>
      <c r="D10" s="13" t="s">
        <v>39</v>
      </c>
      <c r="E10" s="13" t="s">
        <v>55</v>
      </c>
      <c r="F10" s="13" t="s">
        <v>56</v>
      </c>
      <c r="G10" s="145"/>
      <c r="H10" s="11"/>
      <c r="I10" s="11"/>
      <c r="J10" s="11"/>
      <c r="K10" s="11"/>
      <c r="L10" s="11"/>
      <c r="M10" s="11"/>
      <c r="N10" s="11"/>
      <c r="O10" s="12"/>
      <c r="P10" s="11"/>
      <c r="Q10" s="2"/>
      <c r="R10" s="2"/>
    </row>
    <row r="11" spans="1:92" ht="15" customHeight="1" x14ac:dyDescent="0.3">
      <c r="A11" s="13" t="s">
        <v>57</v>
      </c>
      <c r="B11" s="13" t="s">
        <v>58</v>
      </c>
      <c r="C11" s="87" t="s">
        <v>59</v>
      </c>
      <c r="D11" s="13" t="s">
        <v>60</v>
      </c>
      <c r="E11" s="13" t="s">
        <v>61</v>
      </c>
      <c r="F11" s="13" t="s">
        <v>62</v>
      </c>
      <c r="G11" s="145"/>
      <c r="H11" s="11"/>
      <c r="I11" s="11"/>
      <c r="J11" s="11"/>
      <c r="K11" s="11"/>
      <c r="L11" s="11"/>
      <c r="M11" s="11"/>
      <c r="N11" s="11"/>
      <c r="O11" s="12"/>
      <c r="P11" s="11"/>
      <c r="Q11" s="2"/>
      <c r="R11" s="2"/>
    </row>
    <row r="12" spans="1:92" ht="15" customHeight="1" x14ac:dyDescent="0.3">
      <c r="A12" s="13" t="s">
        <v>57</v>
      </c>
      <c r="B12" s="13" t="s">
        <v>58</v>
      </c>
      <c r="C12" s="87" t="s">
        <v>59</v>
      </c>
      <c r="D12" s="13" t="s">
        <v>63</v>
      </c>
      <c r="E12" s="13" t="s">
        <v>61</v>
      </c>
      <c r="F12" s="13" t="s">
        <v>64</v>
      </c>
      <c r="G12" s="145"/>
      <c r="H12" s="11"/>
      <c r="I12" s="11"/>
      <c r="J12" s="11"/>
      <c r="K12" s="11"/>
      <c r="L12" s="11"/>
      <c r="M12" s="11"/>
      <c r="N12" s="11"/>
      <c r="O12" s="12"/>
      <c r="P12" s="11"/>
      <c r="Q12" s="2"/>
      <c r="R12" s="2"/>
    </row>
    <row r="13" spans="1:92" ht="15" customHeight="1" x14ac:dyDescent="0.3">
      <c r="A13" s="13" t="s">
        <v>57</v>
      </c>
      <c r="B13" s="13" t="s">
        <v>58</v>
      </c>
      <c r="C13" s="87" t="s">
        <v>59</v>
      </c>
      <c r="D13" s="13" t="s">
        <v>65</v>
      </c>
      <c r="E13" s="13" t="s">
        <v>61</v>
      </c>
      <c r="F13" s="13" t="s">
        <v>66</v>
      </c>
      <c r="G13" s="145"/>
      <c r="H13" s="11"/>
      <c r="I13" s="11"/>
      <c r="J13" s="11"/>
      <c r="K13" s="11"/>
      <c r="L13" s="11"/>
      <c r="M13" s="11"/>
      <c r="N13" s="11"/>
      <c r="O13" s="12"/>
      <c r="P13" s="11"/>
      <c r="Q13" s="2"/>
      <c r="R13" s="2"/>
    </row>
    <row r="14" spans="1:92" ht="15" customHeight="1" x14ac:dyDescent="0.3">
      <c r="A14" s="13" t="s">
        <v>41</v>
      </c>
      <c r="B14" s="13" t="s">
        <v>42</v>
      </c>
      <c r="C14" s="87" t="s">
        <v>43</v>
      </c>
      <c r="D14" s="13" t="s">
        <v>44</v>
      </c>
      <c r="E14" s="13" t="s">
        <v>45</v>
      </c>
      <c r="F14" s="13" t="s">
        <v>67</v>
      </c>
      <c r="G14" s="145"/>
      <c r="H14" s="11"/>
      <c r="I14" s="11"/>
      <c r="J14" s="11"/>
      <c r="K14" s="11"/>
      <c r="L14" s="11"/>
      <c r="M14" s="11"/>
      <c r="N14" s="11"/>
      <c r="O14" s="12"/>
      <c r="P14" s="11"/>
      <c r="Q14" s="2"/>
      <c r="R14" s="2"/>
    </row>
    <row r="15" spans="1:92" ht="15" customHeight="1" x14ac:dyDescent="0.3">
      <c r="A15" s="13" t="s">
        <v>41</v>
      </c>
      <c r="B15" s="13" t="s">
        <v>68</v>
      </c>
      <c r="C15" s="87" t="s">
        <v>69</v>
      </c>
      <c r="D15" s="13" t="s">
        <v>44</v>
      </c>
      <c r="E15" s="13" t="s">
        <v>45</v>
      </c>
      <c r="F15" s="13" t="s">
        <v>70</v>
      </c>
      <c r="G15" s="145"/>
      <c r="H15" s="11"/>
      <c r="I15" s="11"/>
      <c r="J15" s="11"/>
      <c r="K15" s="11"/>
      <c r="L15" s="11"/>
      <c r="M15" s="11"/>
      <c r="N15" s="11"/>
      <c r="O15" s="12"/>
      <c r="P15" s="11"/>
      <c r="Q15" s="2"/>
      <c r="R15" s="2"/>
    </row>
    <row r="16" spans="1:92" ht="15" customHeight="1" x14ac:dyDescent="0.3">
      <c r="A16" s="13" t="s">
        <v>41</v>
      </c>
      <c r="B16" s="13" t="s">
        <v>71</v>
      </c>
      <c r="C16" s="87" t="s">
        <v>72</v>
      </c>
      <c r="D16" s="13" t="s">
        <v>44</v>
      </c>
      <c r="E16" s="13" t="s">
        <v>45</v>
      </c>
      <c r="F16" s="13" t="s">
        <v>73</v>
      </c>
      <c r="G16" s="145"/>
      <c r="H16" s="11"/>
      <c r="I16" s="11"/>
      <c r="J16" s="11"/>
      <c r="K16" s="11"/>
      <c r="L16" s="11"/>
      <c r="M16" s="11"/>
      <c r="N16" s="11"/>
      <c r="O16" s="12"/>
      <c r="P16" s="11"/>
      <c r="Q16" s="2"/>
      <c r="R16" s="2"/>
    </row>
    <row r="17" spans="1:18" ht="15" customHeight="1" x14ac:dyDescent="0.3">
      <c r="A17" s="13" t="s">
        <v>46</v>
      </c>
      <c r="B17" s="13" t="s">
        <v>47</v>
      </c>
      <c r="C17" s="87" t="s">
        <v>48</v>
      </c>
      <c r="D17" s="13" t="s">
        <v>49</v>
      </c>
      <c r="E17" s="13" t="s">
        <v>45</v>
      </c>
      <c r="F17" s="13" t="s">
        <v>50</v>
      </c>
      <c r="G17" s="145"/>
      <c r="H17" s="11"/>
      <c r="I17" s="11"/>
      <c r="J17" s="11"/>
      <c r="K17" s="11"/>
      <c r="L17" s="11"/>
      <c r="M17" s="11"/>
      <c r="N17" s="11"/>
      <c r="O17" s="12"/>
      <c r="P17" s="11"/>
      <c r="Q17" s="2"/>
      <c r="R17" s="2"/>
    </row>
    <row r="18" spans="1:18" ht="15" customHeight="1" x14ac:dyDescent="0.3">
      <c r="A18" s="13" t="s">
        <v>26</v>
      </c>
      <c r="B18" s="13" t="s">
        <v>74</v>
      </c>
      <c r="C18" s="87" t="s">
        <v>75</v>
      </c>
      <c r="D18" s="13" t="s">
        <v>49</v>
      </c>
      <c r="E18" s="13" t="s">
        <v>45</v>
      </c>
      <c r="F18" s="13" t="s">
        <v>76</v>
      </c>
      <c r="G18" s="145"/>
      <c r="H18" s="11"/>
      <c r="I18" s="11"/>
      <c r="J18" s="11"/>
      <c r="K18" s="11"/>
      <c r="L18" s="11"/>
      <c r="M18" s="11"/>
      <c r="N18" s="11"/>
      <c r="O18" s="12"/>
      <c r="P18" s="11"/>
      <c r="Q18" s="2"/>
      <c r="R18" s="2"/>
    </row>
    <row r="19" spans="1:18" ht="15" customHeight="1" thickBot="1" x14ac:dyDescent="0.35">
      <c r="A19" s="14" t="s">
        <v>77</v>
      </c>
      <c r="B19" s="14" t="s">
        <v>78</v>
      </c>
      <c r="C19" s="88" t="s">
        <v>59</v>
      </c>
      <c r="D19" s="14" t="s">
        <v>79</v>
      </c>
      <c r="E19" s="14" t="s">
        <v>35</v>
      </c>
      <c r="F19" s="14" t="s">
        <v>80</v>
      </c>
      <c r="G19" s="146"/>
      <c r="H19" s="15"/>
      <c r="I19" s="15"/>
      <c r="J19" s="15"/>
      <c r="K19" s="15"/>
      <c r="L19" s="15"/>
      <c r="M19" s="15"/>
      <c r="N19" s="15"/>
      <c r="O19" s="16"/>
      <c r="P19" s="15"/>
      <c r="Q19" s="17"/>
      <c r="R19" s="17"/>
    </row>
    <row r="20" spans="1:18" ht="17.399999999999999" customHeight="1" thickBot="1" x14ac:dyDescent="0.35">
      <c r="A20" s="140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2"/>
    </row>
    <row r="21" spans="1:18" ht="22.05" customHeight="1" thickTop="1" thickBot="1" x14ac:dyDescent="0.35">
      <c r="A21" s="143" t="s">
        <v>6</v>
      </c>
      <c r="B21" s="138"/>
      <c r="C21" s="138"/>
      <c r="D21" s="138"/>
      <c r="E21" s="138"/>
      <c r="F21" s="139"/>
      <c r="G21" s="89">
        <v>45999</v>
      </c>
      <c r="H21" s="137" t="s">
        <v>7</v>
      </c>
      <c r="I21" s="138"/>
      <c r="J21" s="138"/>
      <c r="K21" s="138"/>
      <c r="L21" s="138"/>
      <c r="M21" s="138"/>
      <c r="N21" s="138"/>
      <c r="O21" s="138"/>
      <c r="P21" s="138"/>
      <c r="Q21" s="138"/>
      <c r="R21" s="139"/>
    </row>
    <row r="22" spans="1:18" ht="24" customHeight="1" x14ac:dyDescent="0.3">
      <c r="A22" s="18" t="s">
        <v>8</v>
      </c>
      <c r="B22" s="18" t="s">
        <v>9</v>
      </c>
      <c r="C22" s="90" t="s">
        <v>10</v>
      </c>
      <c r="D22" s="18" t="s">
        <v>11</v>
      </c>
      <c r="E22" s="18" t="s">
        <v>12</v>
      </c>
      <c r="F22" s="19" t="s">
        <v>13</v>
      </c>
      <c r="G22" s="20" t="s">
        <v>14</v>
      </c>
      <c r="H22" s="18" t="s">
        <v>15</v>
      </c>
      <c r="I22" s="91" t="s">
        <v>16</v>
      </c>
      <c r="J22" s="21" t="s">
        <v>17</v>
      </c>
      <c r="K22" s="22" t="s">
        <v>18</v>
      </c>
      <c r="L22" s="21" t="s">
        <v>19</v>
      </c>
      <c r="M22" s="21" t="s">
        <v>20</v>
      </c>
      <c r="N22" s="21" t="s">
        <v>21</v>
      </c>
      <c r="O22" s="18" t="s">
        <v>22</v>
      </c>
      <c r="P22" s="90" t="s">
        <v>23</v>
      </c>
      <c r="Q22" s="21" t="s">
        <v>24</v>
      </c>
      <c r="R22" s="18" t="s">
        <v>25</v>
      </c>
    </row>
    <row r="23" spans="1:18" ht="15" customHeight="1" x14ac:dyDescent="0.3">
      <c r="A23" s="5" t="s">
        <v>26</v>
      </c>
      <c r="B23" s="5" t="s">
        <v>27</v>
      </c>
      <c r="C23" s="85">
        <v>0.51041666666666663</v>
      </c>
      <c r="D23" s="5" t="s">
        <v>49</v>
      </c>
      <c r="E23" s="5" t="s">
        <v>45</v>
      </c>
      <c r="F23" s="5" t="s">
        <v>81</v>
      </c>
      <c r="G23" s="144"/>
      <c r="H23" s="6" t="s">
        <v>29</v>
      </c>
      <c r="I23" s="95">
        <v>0.4405</v>
      </c>
      <c r="J23" s="7">
        <v>74</v>
      </c>
      <c r="K23" s="8">
        <v>45991</v>
      </c>
      <c r="L23" s="7">
        <v>26</v>
      </c>
      <c r="M23" s="7">
        <v>0</v>
      </c>
      <c r="N23" s="7">
        <v>3</v>
      </c>
      <c r="O23" s="9" t="s">
        <v>82</v>
      </c>
      <c r="P23" s="86">
        <v>0.51041666666666663</v>
      </c>
      <c r="Q23" s="7">
        <v>168</v>
      </c>
      <c r="R23" s="10" t="s">
        <v>83</v>
      </c>
    </row>
    <row r="24" spans="1:18" ht="18" x14ac:dyDescent="0.3">
      <c r="A24" s="150" t="s">
        <v>31</v>
      </c>
      <c r="B24" s="151"/>
      <c r="C24" s="151"/>
      <c r="D24" s="151"/>
      <c r="E24" s="151"/>
      <c r="F24" s="152"/>
      <c r="G24" s="145"/>
      <c r="H24" s="11"/>
      <c r="I24" s="11"/>
      <c r="J24" s="11"/>
      <c r="K24" s="11"/>
      <c r="L24" s="11"/>
      <c r="M24" s="11"/>
      <c r="N24" s="11"/>
      <c r="O24" s="12"/>
      <c r="P24" s="11"/>
      <c r="Q24" s="2"/>
      <c r="R24" s="2"/>
    </row>
    <row r="25" spans="1:18" ht="15" customHeight="1" x14ac:dyDescent="0.3">
      <c r="A25" s="13" t="s">
        <v>41</v>
      </c>
      <c r="B25" s="13" t="s">
        <v>42</v>
      </c>
      <c r="C25" s="87" t="s">
        <v>43</v>
      </c>
      <c r="D25" s="13" t="s">
        <v>84</v>
      </c>
      <c r="E25" s="13" t="s">
        <v>45</v>
      </c>
      <c r="F25" s="13" t="s">
        <v>85</v>
      </c>
      <c r="G25" s="145"/>
      <c r="H25" s="11"/>
      <c r="I25" s="11"/>
      <c r="J25" s="11"/>
      <c r="K25" s="11"/>
      <c r="L25" s="11"/>
      <c r="M25" s="11"/>
      <c r="N25" s="11"/>
      <c r="O25" s="12"/>
      <c r="P25" s="11"/>
      <c r="Q25" s="2"/>
      <c r="R25" s="2"/>
    </row>
    <row r="26" spans="1:18" ht="15" customHeight="1" x14ac:dyDescent="0.3">
      <c r="A26" s="13" t="s">
        <v>41</v>
      </c>
      <c r="B26" s="13" t="s">
        <v>68</v>
      </c>
      <c r="C26" s="87" t="s">
        <v>69</v>
      </c>
      <c r="D26" s="13" t="s">
        <v>86</v>
      </c>
      <c r="E26" s="13" t="s">
        <v>45</v>
      </c>
      <c r="F26" s="13" t="s">
        <v>87</v>
      </c>
      <c r="G26" s="145"/>
      <c r="H26" s="11"/>
      <c r="I26" s="11"/>
      <c r="J26" s="11"/>
      <c r="K26" s="11"/>
      <c r="L26" s="11"/>
      <c r="M26" s="11"/>
      <c r="N26" s="11"/>
      <c r="O26" s="12"/>
      <c r="P26" s="11"/>
      <c r="Q26" s="2"/>
      <c r="R26" s="2"/>
    </row>
    <row r="27" spans="1:18" ht="15" customHeight="1" x14ac:dyDescent="0.3">
      <c r="A27" s="13" t="s">
        <v>41</v>
      </c>
      <c r="B27" s="13" t="s">
        <v>71</v>
      </c>
      <c r="C27" s="87" t="s">
        <v>72</v>
      </c>
      <c r="D27" s="13" t="s">
        <v>84</v>
      </c>
      <c r="E27" s="13" t="s">
        <v>45</v>
      </c>
      <c r="F27" s="13" t="s">
        <v>85</v>
      </c>
      <c r="G27" s="145"/>
      <c r="H27" s="11"/>
      <c r="I27" s="11"/>
      <c r="J27" s="11"/>
      <c r="K27" s="11"/>
      <c r="L27" s="11"/>
      <c r="M27" s="11"/>
      <c r="N27" s="11"/>
      <c r="O27" s="12"/>
      <c r="P27" s="11"/>
      <c r="Q27" s="2"/>
      <c r="R27" s="2"/>
    </row>
    <row r="28" spans="1:18" ht="15" customHeight="1" x14ac:dyDescent="0.3">
      <c r="A28" s="13" t="s">
        <v>46</v>
      </c>
      <c r="B28" s="13" t="s">
        <v>47</v>
      </c>
      <c r="C28" s="87" t="s">
        <v>48</v>
      </c>
      <c r="D28" s="13" t="s">
        <v>49</v>
      </c>
      <c r="E28" s="13" t="s">
        <v>45</v>
      </c>
      <c r="F28" s="13" t="s">
        <v>50</v>
      </c>
      <c r="G28" s="145"/>
      <c r="H28" s="11"/>
      <c r="I28" s="11"/>
      <c r="J28" s="11"/>
      <c r="K28" s="11"/>
      <c r="L28" s="11"/>
      <c r="M28" s="11"/>
      <c r="N28" s="11"/>
      <c r="O28" s="12"/>
      <c r="P28" s="11"/>
      <c r="Q28" s="2"/>
      <c r="R28" s="2"/>
    </row>
    <row r="29" spans="1:18" ht="15" customHeight="1" thickBot="1" x14ac:dyDescent="0.35">
      <c r="A29" s="14" t="s">
        <v>77</v>
      </c>
      <c r="B29" s="14" t="s">
        <v>78</v>
      </c>
      <c r="C29" s="88" t="s">
        <v>59</v>
      </c>
      <c r="D29" s="14" t="s">
        <v>79</v>
      </c>
      <c r="E29" s="14" t="s">
        <v>35</v>
      </c>
      <c r="F29" s="14" t="s">
        <v>88</v>
      </c>
      <c r="G29" s="146"/>
      <c r="H29" s="15"/>
      <c r="I29" s="15"/>
      <c r="J29" s="15"/>
      <c r="K29" s="15"/>
      <c r="L29" s="15"/>
      <c r="M29" s="15"/>
      <c r="N29" s="15"/>
      <c r="O29" s="16"/>
      <c r="P29" s="15"/>
      <c r="Q29" s="17"/>
      <c r="R29" s="17"/>
    </row>
    <row r="30" spans="1:18" ht="17.399999999999999" customHeight="1" thickBot="1" x14ac:dyDescent="0.35">
      <c r="A30" s="140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2"/>
    </row>
    <row r="31" spans="1:18" ht="22.05" customHeight="1" thickTop="1" thickBot="1" x14ac:dyDescent="0.35">
      <c r="A31" s="143" t="s">
        <v>6</v>
      </c>
      <c r="B31" s="138"/>
      <c r="C31" s="138"/>
      <c r="D31" s="138"/>
      <c r="E31" s="138"/>
      <c r="F31" s="139"/>
      <c r="G31" s="89">
        <v>46003</v>
      </c>
      <c r="H31" s="137" t="s">
        <v>7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9"/>
    </row>
    <row r="32" spans="1:18" ht="24" customHeight="1" x14ac:dyDescent="0.3">
      <c r="A32" s="18" t="s">
        <v>8</v>
      </c>
      <c r="B32" s="18" t="s">
        <v>9</v>
      </c>
      <c r="C32" s="90" t="s">
        <v>10</v>
      </c>
      <c r="D32" s="18" t="s">
        <v>11</v>
      </c>
      <c r="E32" s="18" t="s">
        <v>12</v>
      </c>
      <c r="F32" s="19" t="s">
        <v>13</v>
      </c>
      <c r="G32" s="20" t="s">
        <v>14</v>
      </c>
      <c r="H32" s="18" t="s">
        <v>15</v>
      </c>
      <c r="I32" s="91" t="s">
        <v>16</v>
      </c>
      <c r="J32" s="21" t="s">
        <v>17</v>
      </c>
      <c r="K32" s="22" t="s">
        <v>18</v>
      </c>
      <c r="L32" s="21" t="s">
        <v>19</v>
      </c>
      <c r="M32" s="21" t="s">
        <v>20</v>
      </c>
      <c r="N32" s="21" t="s">
        <v>21</v>
      </c>
      <c r="O32" s="18" t="s">
        <v>22</v>
      </c>
      <c r="P32" s="90" t="s">
        <v>23</v>
      </c>
      <c r="Q32" s="21" t="s">
        <v>24</v>
      </c>
      <c r="R32" s="18" t="s">
        <v>25</v>
      </c>
    </row>
    <row r="33" spans="1:18" ht="15" customHeight="1" x14ac:dyDescent="0.3">
      <c r="A33" s="29" t="s">
        <v>26</v>
      </c>
      <c r="B33" s="29" t="s">
        <v>27</v>
      </c>
      <c r="C33" s="96">
        <v>0.29166666666666669</v>
      </c>
      <c r="D33" s="29" t="s">
        <v>49</v>
      </c>
      <c r="E33" s="29" t="s">
        <v>45</v>
      </c>
      <c r="F33" s="29" t="s">
        <v>89</v>
      </c>
      <c r="G33" s="144"/>
      <c r="H33" s="30" t="s">
        <v>29</v>
      </c>
      <c r="I33" s="97">
        <v>0.2024</v>
      </c>
      <c r="J33" s="31">
        <v>34</v>
      </c>
      <c r="K33" s="32">
        <v>45991</v>
      </c>
      <c r="L33" s="31">
        <v>11</v>
      </c>
      <c r="M33" s="31">
        <v>0</v>
      </c>
      <c r="N33" s="31">
        <v>4</v>
      </c>
      <c r="O33" s="33" t="s">
        <v>90</v>
      </c>
      <c r="P33" s="98">
        <v>0.29166666666666669</v>
      </c>
      <c r="Q33" s="31">
        <v>168</v>
      </c>
      <c r="R33" s="34" t="s">
        <v>91</v>
      </c>
    </row>
    <row r="34" spans="1:18" ht="18" x14ac:dyDescent="0.3">
      <c r="A34" s="150" t="s">
        <v>31</v>
      </c>
      <c r="B34" s="151"/>
      <c r="C34" s="151"/>
      <c r="D34" s="151"/>
      <c r="E34" s="151"/>
      <c r="F34" s="152"/>
      <c r="G34" s="145"/>
      <c r="H34" s="11"/>
      <c r="I34" s="11"/>
      <c r="J34" s="11"/>
      <c r="K34" s="11"/>
      <c r="L34" s="11"/>
      <c r="M34" s="11"/>
      <c r="N34" s="11"/>
      <c r="O34" s="12"/>
      <c r="P34" s="11"/>
      <c r="Q34" s="2"/>
      <c r="R34" s="2"/>
    </row>
    <row r="35" spans="1:18" ht="15" customHeight="1" x14ac:dyDescent="0.3">
      <c r="A35" s="13" t="s">
        <v>57</v>
      </c>
      <c r="B35" s="13" t="s">
        <v>58</v>
      </c>
      <c r="C35" s="87" t="s">
        <v>59</v>
      </c>
      <c r="D35" s="13" t="s">
        <v>60</v>
      </c>
      <c r="E35" s="13" t="s">
        <v>92</v>
      </c>
      <c r="F35" s="13" t="s">
        <v>93</v>
      </c>
      <c r="G35" s="145"/>
      <c r="H35" s="11"/>
      <c r="I35" s="11"/>
      <c r="J35" s="11"/>
      <c r="K35" s="11"/>
      <c r="L35" s="11"/>
      <c r="M35" s="11"/>
      <c r="N35" s="11"/>
      <c r="O35" s="12"/>
      <c r="P35" s="11"/>
      <c r="Q35" s="2"/>
      <c r="R35" s="2"/>
    </row>
    <row r="36" spans="1:18" ht="15" customHeight="1" x14ac:dyDescent="0.3">
      <c r="A36" s="13" t="s">
        <v>57</v>
      </c>
      <c r="B36" s="13" t="s">
        <v>58</v>
      </c>
      <c r="C36" s="87" t="s">
        <v>59</v>
      </c>
      <c r="D36" s="13" t="s">
        <v>63</v>
      </c>
      <c r="E36" s="13" t="s">
        <v>92</v>
      </c>
      <c r="F36" s="13" t="s">
        <v>94</v>
      </c>
      <c r="G36" s="145"/>
      <c r="H36" s="11"/>
      <c r="I36" s="11"/>
      <c r="J36" s="11"/>
      <c r="K36" s="11"/>
      <c r="L36" s="11"/>
      <c r="M36" s="11"/>
      <c r="N36" s="11"/>
      <c r="O36" s="12"/>
      <c r="P36" s="11"/>
      <c r="Q36" s="2"/>
      <c r="R36" s="2"/>
    </row>
    <row r="37" spans="1:18" ht="15" customHeight="1" x14ac:dyDescent="0.3">
      <c r="A37" s="13" t="s">
        <v>57</v>
      </c>
      <c r="B37" s="13" t="s">
        <v>58</v>
      </c>
      <c r="C37" s="87" t="s">
        <v>59</v>
      </c>
      <c r="D37" s="13" t="s">
        <v>65</v>
      </c>
      <c r="E37" s="13" t="s">
        <v>92</v>
      </c>
      <c r="F37" s="13" t="s">
        <v>95</v>
      </c>
      <c r="G37" s="145"/>
      <c r="H37" s="11"/>
      <c r="I37" s="11"/>
      <c r="J37" s="11"/>
      <c r="K37" s="11"/>
      <c r="L37" s="11"/>
      <c r="M37" s="11"/>
      <c r="N37" s="11"/>
      <c r="O37" s="12"/>
      <c r="P37" s="11"/>
      <c r="Q37" s="2"/>
      <c r="R37" s="2"/>
    </row>
    <row r="38" spans="1:18" ht="15" customHeight="1" x14ac:dyDescent="0.3">
      <c r="A38" s="13" t="s">
        <v>32</v>
      </c>
      <c r="B38" s="13" t="s">
        <v>33</v>
      </c>
      <c r="C38" s="87" t="s">
        <v>54</v>
      </c>
      <c r="D38" s="13" t="s">
        <v>34</v>
      </c>
      <c r="E38" s="13" t="s">
        <v>96</v>
      </c>
      <c r="F38" s="13" t="s">
        <v>97</v>
      </c>
      <c r="G38" s="145"/>
      <c r="H38" s="11"/>
      <c r="I38" s="11"/>
      <c r="J38" s="11"/>
      <c r="K38" s="11"/>
      <c r="L38" s="11"/>
      <c r="M38" s="11"/>
      <c r="N38" s="11"/>
      <c r="O38" s="12"/>
      <c r="P38" s="11"/>
      <c r="Q38" s="2"/>
      <c r="R38" s="2"/>
    </row>
    <row r="39" spans="1:18" ht="15" customHeight="1" x14ac:dyDescent="0.3">
      <c r="A39" s="13" t="s">
        <v>32</v>
      </c>
      <c r="B39" s="13" t="s">
        <v>33</v>
      </c>
      <c r="C39" s="87" t="s">
        <v>54</v>
      </c>
      <c r="D39" s="13" t="s">
        <v>37</v>
      </c>
      <c r="E39" s="13" t="s">
        <v>96</v>
      </c>
      <c r="F39" s="13" t="s">
        <v>98</v>
      </c>
      <c r="G39" s="145"/>
      <c r="H39" s="11"/>
      <c r="I39" s="11"/>
      <c r="J39" s="11"/>
      <c r="K39" s="11"/>
      <c r="L39" s="11"/>
      <c r="M39" s="11"/>
      <c r="N39" s="11"/>
      <c r="O39" s="12"/>
      <c r="P39" s="11"/>
      <c r="Q39" s="2"/>
      <c r="R39" s="2"/>
    </row>
    <row r="40" spans="1:18" ht="15" customHeight="1" x14ac:dyDescent="0.3">
      <c r="A40" s="13" t="s">
        <v>32</v>
      </c>
      <c r="B40" s="13" t="s">
        <v>33</v>
      </c>
      <c r="C40" s="87" t="s">
        <v>54</v>
      </c>
      <c r="D40" s="13" t="s">
        <v>39</v>
      </c>
      <c r="E40" s="13" t="s">
        <v>96</v>
      </c>
      <c r="F40" s="13" t="s">
        <v>99</v>
      </c>
      <c r="G40" s="145"/>
      <c r="H40" s="11"/>
      <c r="I40" s="11"/>
      <c r="J40" s="11"/>
      <c r="K40" s="11"/>
      <c r="L40" s="11"/>
      <c r="M40" s="11"/>
      <c r="N40" s="11"/>
      <c r="O40" s="12"/>
      <c r="P40" s="11"/>
      <c r="Q40" s="2"/>
      <c r="R40" s="2"/>
    </row>
    <row r="41" spans="1:18" ht="15" customHeight="1" x14ac:dyDescent="0.3">
      <c r="A41" s="13" t="s">
        <v>41</v>
      </c>
      <c r="B41" s="13" t="s">
        <v>42</v>
      </c>
      <c r="C41" s="87" t="s">
        <v>43</v>
      </c>
      <c r="D41" s="13" t="s">
        <v>84</v>
      </c>
      <c r="E41" s="13" t="s">
        <v>55</v>
      </c>
      <c r="F41" s="13" t="s">
        <v>85</v>
      </c>
      <c r="G41" s="145"/>
      <c r="H41" s="11"/>
      <c r="I41" s="11"/>
      <c r="J41" s="11"/>
      <c r="K41" s="11"/>
      <c r="L41" s="11"/>
      <c r="M41" s="11"/>
      <c r="N41" s="11"/>
      <c r="O41" s="12"/>
      <c r="P41" s="11"/>
      <c r="Q41" s="2"/>
      <c r="R41" s="2"/>
    </row>
    <row r="42" spans="1:18" ht="15" customHeight="1" x14ac:dyDescent="0.3">
      <c r="A42" s="13" t="s">
        <v>41</v>
      </c>
      <c r="B42" s="13" t="s">
        <v>68</v>
      </c>
      <c r="C42" s="87" t="s">
        <v>69</v>
      </c>
      <c r="D42" s="13" t="s">
        <v>44</v>
      </c>
      <c r="E42" s="13" t="s">
        <v>45</v>
      </c>
      <c r="F42" s="13" t="s">
        <v>100</v>
      </c>
      <c r="G42" s="145"/>
      <c r="H42" s="11"/>
      <c r="I42" s="11"/>
      <c r="J42" s="11"/>
      <c r="K42" s="11"/>
      <c r="L42" s="11"/>
      <c r="M42" s="11"/>
      <c r="N42" s="11"/>
      <c r="O42" s="12"/>
      <c r="P42" s="11"/>
      <c r="Q42" s="2"/>
      <c r="R42" s="2"/>
    </row>
    <row r="43" spans="1:18" ht="15" customHeight="1" x14ac:dyDescent="0.3">
      <c r="A43" s="13" t="s">
        <v>41</v>
      </c>
      <c r="B43" s="13" t="s">
        <v>71</v>
      </c>
      <c r="C43" s="87" t="s">
        <v>72</v>
      </c>
      <c r="D43" s="13" t="s">
        <v>84</v>
      </c>
      <c r="E43" s="13" t="s">
        <v>45</v>
      </c>
      <c r="F43" s="13" t="s">
        <v>85</v>
      </c>
      <c r="G43" s="145"/>
      <c r="H43" s="11"/>
      <c r="I43" s="11"/>
      <c r="J43" s="11"/>
      <c r="K43" s="11"/>
      <c r="L43" s="11"/>
      <c r="M43" s="11"/>
      <c r="N43" s="11"/>
      <c r="O43" s="12"/>
      <c r="P43" s="11"/>
      <c r="Q43" s="2"/>
      <c r="R43" s="2"/>
    </row>
    <row r="44" spans="1:18" ht="15" customHeight="1" x14ac:dyDescent="0.3">
      <c r="A44" s="13" t="s">
        <v>46</v>
      </c>
      <c r="B44" s="13" t="s">
        <v>47</v>
      </c>
      <c r="C44" s="87" t="s">
        <v>48</v>
      </c>
      <c r="D44" s="13" t="s">
        <v>49</v>
      </c>
      <c r="E44" s="13" t="s">
        <v>45</v>
      </c>
      <c r="F44" s="13" t="s">
        <v>101</v>
      </c>
      <c r="G44" s="145"/>
      <c r="H44" s="11"/>
      <c r="I44" s="11"/>
      <c r="J44" s="11"/>
      <c r="K44" s="11"/>
      <c r="L44" s="11"/>
      <c r="M44" s="11"/>
      <c r="N44" s="11"/>
      <c r="O44" s="12"/>
      <c r="P44" s="11"/>
      <c r="Q44" s="2"/>
      <c r="R44" s="2"/>
    </row>
    <row r="45" spans="1:18" ht="15" customHeight="1" x14ac:dyDescent="0.3">
      <c r="A45" s="13" t="s">
        <v>26</v>
      </c>
      <c r="B45" s="13" t="s">
        <v>74</v>
      </c>
      <c r="C45" s="87" t="s">
        <v>75</v>
      </c>
      <c r="D45" s="13" t="s">
        <v>49</v>
      </c>
      <c r="E45" s="13" t="s">
        <v>102</v>
      </c>
      <c r="F45" s="13" t="s">
        <v>103</v>
      </c>
      <c r="G45" s="145"/>
      <c r="H45" s="11"/>
      <c r="I45" s="11"/>
      <c r="J45" s="11"/>
      <c r="K45" s="11"/>
      <c r="L45" s="11"/>
      <c r="M45" s="11"/>
      <c r="N45" s="11"/>
      <c r="O45" s="12"/>
      <c r="P45" s="11"/>
      <c r="Q45" s="2"/>
      <c r="R45" s="2"/>
    </row>
    <row r="46" spans="1:18" ht="15" customHeight="1" thickBot="1" x14ac:dyDescent="0.35">
      <c r="A46" s="14" t="s">
        <v>77</v>
      </c>
      <c r="B46" s="14" t="s">
        <v>78</v>
      </c>
      <c r="C46" s="88" t="s">
        <v>59</v>
      </c>
      <c r="D46" s="14" t="s">
        <v>79</v>
      </c>
      <c r="E46" s="14" t="s">
        <v>35</v>
      </c>
      <c r="F46" s="14" t="s">
        <v>104</v>
      </c>
      <c r="G46" s="146"/>
      <c r="H46" s="15"/>
      <c r="I46" s="15"/>
      <c r="J46" s="15"/>
      <c r="K46" s="15"/>
      <c r="L46" s="15"/>
      <c r="M46" s="15"/>
      <c r="N46" s="15"/>
      <c r="O46" s="16"/>
      <c r="P46" s="15"/>
      <c r="Q46" s="17"/>
      <c r="R46" s="17"/>
    </row>
    <row r="47" spans="1:18" ht="17.399999999999999" customHeight="1" thickBot="1" x14ac:dyDescent="0.3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2"/>
    </row>
    <row r="48" spans="1:18" ht="22.05" customHeight="1" thickTop="1" thickBot="1" x14ac:dyDescent="0.35">
      <c r="A48" s="143" t="s">
        <v>6</v>
      </c>
      <c r="B48" s="138"/>
      <c r="C48" s="138"/>
      <c r="D48" s="138"/>
      <c r="E48" s="138"/>
      <c r="F48" s="139"/>
      <c r="G48" s="89">
        <v>46006</v>
      </c>
      <c r="H48" s="137" t="s">
        <v>7</v>
      </c>
      <c r="I48" s="138"/>
      <c r="J48" s="138"/>
      <c r="K48" s="138"/>
      <c r="L48" s="138"/>
      <c r="M48" s="138"/>
      <c r="N48" s="138"/>
      <c r="O48" s="138"/>
      <c r="P48" s="138"/>
      <c r="Q48" s="138"/>
      <c r="R48" s="139"/>
    </row>
    <row r="49" spans="1:18" ht="24" customHeight="1" x14ac:dyDescent="0.3">
      <c r="A49" s="18" t="s">
        <v>8</v>
      </c>
      <c r="B49" s="18" t="s">
        <v>9</v>
      </c>
      <c r="C49" s="90" t="s">
        <v>10</v>
      </c>
      <c r="D49" s="18" t="s">
        <v>11</v>
      </c>
      <c r="E49" s="18" t="s">
        <v>12</v>
      </c>
      <c r="F49" s="19" t="s">
        <v>13</v>
      </c>
      <c r="G49" s="20" t="s">
        <v>14</v>
      </c>
      <c r="H49" s="18" t="s">
        <v>15</v>
      </c>
      <c r="I49" s="91" t="s">
        <v>16</v>
      </c>
      <c r="J49" s="21" t="s">
        <v>17</v>
      </c>
      <c r="K49" s="22" t="s">
        <v>18</v>
      </c>
      <c r="L49" s="21" t="s">
        <v>19</v>
      </c>
      <c r="M49" s="21" t="s">
        <v>20</v>
      </c>
      <c r="N49" s="21" t="s">
        <v>21</v>
      </c>
      <c r="O49" s="18" t="s">
        <v>22</v>
      </c>
      <c r="P49" s="90" t="s">
        <v>23</v>
      </c>
      <c r="Q49" s="21" t="s">
        <v>24</v>
      </c>
      <c r="R49" s="18" t="s">
        <v>25</v>
      </c>
    </row>
    <row r="50" spans="1:18" ht="15" customHeight="1" x14ac:dyDescent="0.3">
      <c r="A50" s="5" t="s">
        <v>26</v>
      </c>
      <c r="B50" s="5" t="s">
        <v>27</v>
      </c>
      <c r="C50" s="85">
        <v>0.51041666666666663</v>
      </c>
      <c r="D50" s="5" t="s">
        <v>49</v>
      </c>
      <c r="E50" s="5" t="s">
        <v>45</v>
      </c>
      <c r="F50" s="5" t="s">
        <v>89</v>
      </c>
      <c r="G50" s="144"/>
      <c r="H50" s="6" t="s">
        <v>29</v>
      </c>
      <c r="I50" s="95">
        <v>0.22620000000000001</v>
      </c>
      <c r="J50" s="7">
        <v>38</v>
      </c>
      <c r="K50" s="8">
        <v>45992</v>
      </c>
      <c r="L50" s="7">
        <v>15</v>
      </c>
      <c r="M50" s="7">
        <v>1</v>
      </c>
      <c r="N50" s="7">
        <v>1</v>
      </c>
      <c r="O50" s="9" t="s">
        <v>90</v>
      </c>
      <c r="P50" s="86">
        <v>0.51041666666666663</v>
      </c>
      <c r="Q50" s="7">
        <v>168</v>
      </c>
      <c r="R50" s="10" t="s">
        <v>105</v>
      </c>
    </row>
    <row r="51" spans="1:18" ht="18" x14ac:dyDescent="0.3">
      <c r="A51" s="150" t="s">
        <v>31</v>
      </c>
      <c r="B51" s="151"/>
      <c r="C51" s="151"/>
      <c r="D51" s="151"/>
      <c r="E51" s="151"/>
      <c r="F51" s="152"/>
      <c r="G51" s="145"/>
      <c r="H51" s="11"/>
      <c r="I51" s="11"/>
      <c r="J51" s="11"/>
      <c r="K51" s="11"/>
      <c r="L51" s="11"/>
      <c r="M51" s="11"/>
      <c r="N51" s="11"/>
      <c r="O51" s="12"/>
      <c r="P51" s="11"/>
      <c r="Q51" s="2"/>
      <c r="R51" s="2"/>
    </row>
    <row r="52" spans="1:18" ht="15" customHeight="1" x14ac:dyDescent="0.3">
      <c r="A52" s="13" t="s">
        <v>57</v>
      </c>
      <c r="B52" s="13" t="s">
        <v>58</v>
      </c>
      <c r="C52" s="87" t="s">
        <v>59</v>
      </c>
      <c r="D52" s="13" t="s">
        <v>60</v>
      </c>
      <c r="E52" s="13" t="s">
        <v>106</v>
      </c>
      <c r="F52" s="13" t="s">
        <v>107</v>
      </c>
      <c r="G52" s="145"/>
      <c r="H52" s="11"/>
      <c r="I52" s="11"/>
      <c r="J52" s="11"/>
      <c r="K52" s="11"/>
      <c r="L52" s="11"/>
      <c r="M52" s="11"/>
      <c r="N52" s="11"/>
      <c r="O52" s="12"/>
      <c r="P52" s="11"/>
      <c r="Q52" s="2"/>
      <c r="R52" s="2"/>
    </row>
    <row r="53" spans="1:18" ht="15" customHeight="1" x14ac:dyDescent="0.3">
      <c r="A53" s="13" t="s">
        <v>57</v>
      </c>
      <c r="B53" s="13" t="s">
        <v>58</v>
      </c>
      <c r="C53" s="87" t="s">
        <v>59</v>
      </c>
      <c r="D53" s="13" t="s">
        <v>63</v>
      </c>
      <c r="E53" s="13" t="s">
        <v>106</v>
      </c>
      <c r="F53" s="13" t="s">
        <v>108</v>
      </c>
      <c r="G53" s="145"/>
      <c r="H53" s="11"/>
      <c r="I53" s="11"/>
      <c r="J53" s="11"/>
      <c r="K53" s="11"/>
      <c r="L53" s="11"/>
      <c r="M53" s="11"/>
      <c r="N53" s="11"/>
      <c r="O53" s="12"/>
      <c r="P53" s="11"/>
      <c r="Q53" s="2"/>
      <c r="R53" s="2"/>
    </row>
    <row r="54" spans="1:18" ht="15" customHeight="1" x14ac:dyDescent="0.3">
      <c r="A54" s="13" t="s">
        <v>57</v>
      </c>
      <c r="B54" s="13" t="s">
        <v>58</v>
      </c>
      <c r="C54" s="87" t="s">
        <v>59</v>
      </c>
      <c r="D54" s="13" t="s">
        <v>65</v>
      </c>
      <c r="E54" s="13" t="s">
        <v>106</v>
      </c>
      <c r="F54" s="13" t="s">
        <v>66</v>
      </c>
      <c r="G54" s="145"/>
      <c r="H54" s="11"/>
      <c r="I54" s="11"/>
      <c r="J54" s="11"/>
      <c r="K54" s="11"/>
      <c r="L54" s="11"/>
      <c r="M54" s="11"/>
      <c r="N54" s="11"/>
      <c r="O54" s="12"/>
      <c r="P54" s="11"/>
      <c r="Q54" s="2"/>
      <c r="R54" s="2"/>
    </row>
    <row r="55" spans="1:18" ht="15" customHeight="1" x14ac:dyDescent="0.3">
      <c r="A55" s="13" t="s">
        <v>32</v>
      </c>
      <c r="B55" s="13" t="s">
        <v>33</v>
      </c>
      <c r="C55" s="87" t="s">
        <v>54</v>
      </c>
      <c r="D55" s="13" t="s">
        <v>34</v>
      </c>
      <c r="E55" s="13" t="s">
        <v>109</v>
      </c>
      <c r="F55" s="13" t="s">
        <v>110</v>
      </c>
      <c r="G55" s="145"/>
      <c r="H55" s="11"/>
      <c r="I55" s="11"/>
      <c r="J55" s="11"/>
      <c r="K55" s="11"/>
      <c r="L55" s="11"/>
      <c r="M55" s="11"/>
      <c r="N55" s="11"/>
      <c r="O55" s="12"/>
      <c r="P55" s="11"/>
      <c r="Q55" s="2"/>
      <c r="R55" s="2"/>
    </row>
    <row r="56" spans="1:18" ht="15" customHeight="1" x14ac:dyDescent="0.3">
      <c r="A56" s="13" t="s">
        <v>32</v>
      </c>
      <c r="B56" s="13" t="s">
        <v>33</v>
      </c>
      <c r="C56" s="87" t="s">
        <v>54</v>
      </c>
      <c r="D56" s="13" t="s">
        <v>37</v>
      </c>
      <c r="E56" s="13" t="s">
        <v>109</v>
      </c>
      <c r="F56" s="13" t="s">
        <v>111</v>
      </c>
      <c r="G56" s="145"/>
      <c r="H56" s="11"/>
      <c r="I56" s="11"/>
      <c r="J56" s="11"/>
      <c r="K56" s="11"/>
      <c r="L56" s="11"/>
      <c r="M56" s="11"/>
      <c r="N56" s="11"/>
      <c r="O56" s="12"/>
      <c r="P56" s="11"/>
      <c r="Q56" s="2"/>
      <c r="R56" s="2"/>
    </row>
    <row r="57" spans="1:18" ht="15" customHeight="1" x14ac:dyDescent="0.3">
      <c r="A57" s="13" t="s">
        <v>32</v>
      </c>
      <c r="B57" s="13" t="s">
        <v>33</v>
      </c>
      <c r="C57" s="87" t="s">
        <v>54</v>
      </c>
      <c r="D57" s="13" t="s">
        <v>39</v>
      </c>
      <c r="E57" s="13" t="s">
        <v>109</v>
      </c>
      <c r="F57" s="13" t="s">
        <v>112</v>
      </c>
      <c r="G57" s="145"/>
      <c r="H57" s="11"/>
      <c r="I57" s="11"/>
      <c r="J57" s="11"/>
      <c r="K57" s="11"/>
      <c r="L57" s="11"/>
      <c r="M57" s="11"/>
      <c r="N57" s="11"/>
      <c r="O57" s="12"/>
      <c r="P57" s="11"/>
      <c r="Q57" s="2"/>
      <c r="R57" s="2"/>
    </row>
    <row r="58" spans="1:18" ht="15" customHeight="1" x14ac:dyDescent="0.3">
      <c r="A58" s="13" t="s">
        <v>32</v>
      </c>
      <c r="B58" s="13" t="s">
        <v>113</v>
      </c>
      <c r="C58" s="87" t="s">
        <v>114</v>
      </c>
      <c r="D58" s="13" t="s">
        <v>34</v>
      </c>
      <c r="E58" s="13" t="s">
        <v>109</v>
      </c>
      <c r="F58" s="13" t="s">
        <v>97</v>
      </c>
      <c r="G58" s="145"/>
      <c r="H58" s="11"/>
      <c r="I58" s="11"/>
      <c r="J58" s="11"/>
      <c r="K58" s="11"/>
      <c r="L58" s="11"/>
      <c r="M58" s="11"/>
      <c r="N58" s="11"/>
      <c r="O58" s="12"/>
      <c r="P58" s="11"/>
      <c r="Q58" s="2"/>
      <c r="R58" s="2"/>
    </row>
    <row r="59" spans="1:18" ht="15" customHeight="1" x14ac:dyDescent="0.3">
      <c r="A59" s="13" t="s">
        <v>32</v>
      </c>
      <c r="B59" s="13" t="s">
        <v>113</v>
      </c>
      <c r="C59" s="87" t="s">
        <v>114</v>
      </c>
      <c r="D59" s="13" t="s">
        <v>37</v>
      </c>
      <c r="E59" s="13" t="s">
        <v>109</v>
      </c>
      <c r="F59" s="13" t="s">
        <v>98</v>
      </c>
      <c r="G59" s="145"/>
      <c r="H59" s="11"/>
      <c r="I59" s="11"/>
      <c r="J59" s="11"/>
      <c r="K59" s="11"/>
      <c r="L59" s="11"/>
      <c r="M59" s="11"/>
      <c r="N59" s="11"/>
      <c r="O59" s="12"/>
      <c r="P59" s="11"/>
      <c r="Q59" s="2"/>
      <c r="R59" s="2"/>
    </row>
    <row r="60" spans="1:18" ht="15" customHeight="1" x14ac:dyDescent="0.3">
      <c r="A60" s="13" t="s">
        <v>32</v>
      </c>
      <c r="B60" s="13" t="s">
        <v>113</v>
      </c>
      <c r="C60" s="87" t="s">
        <v>114</v>
      </c>
      <c r="D60" s="13" t="s">
        <v>39</v>
      </c>
      <c r="E60" s="13" t="s">
        <v>109</v>
      </c>
      <c r="F60" s="13" t="s">
        <v>99</v>
      </c>
      <c r="G60" s="145"/>
      <c r="H60" s="11"/>
      <c r="I60" s="11"/>
      <c r="J60" s="11"/>
      <c r="K60" s="11"/>
      <c r="L60" s="11"/>
      <c r="M60" s="11"/>
      <c r="N60" s="11"/>
      <c r="O60" s="12"/>
      <c r="P60" s="11"/>
      <c r="Q60" s="2"/>
      <c r="R60" s="2"/>
    </row>
    <row r="61" spans="1:18" ht="15" customHeight="1" x14ac:dyDescent="0.3">
      <c r="A61" s="13" t="s">
        <v>41</v>
      </c>
      <c r="B61" s="13" t="s">
        <v>42</v>
      </c>
      <c r="C61" s="87" t="s">
        <v>43</v>
      </c>
      <c r="D61" s="13" t="s">
        <v>84</v>
      </c>
      <c r="E61" s="13" t="s">
        <v>45</v>
      </c>
      <c r="F61" s="13" t="s">
        <v>85</v>
      </c>
      <c r="G61" s="145"/>
      <c r="H61" s="11"/>
      <c r="I61" s="11"/>
      <c r="J61" s="11"/>
      <c r="K61" s="11"/>
      <c r="L61" s="11"/>
      <c r="M61" s="11"/>
      <c r="N61" s="11"/>
      <c r="O61" s="12"/>
      <c r="P61" s="11"/>
      <c r="Q61" s="2"/>
      <c r="R61" s="2"/>
    </row>
    <row r="62" spans="1:18" ht="15" customHeight="1" x14ac:dyDescent="0.3">
      <c r="A62" s="13" t="s">
        <v>41</v>
      </c>
      <c r="B62" s="13" t="s">
        <v>68</v>
      </c>
      <c r="C62" s="87" t="s">
        <v>69</v>
      </c>
      <c r="D62" s="13" t="s">
        <v>86</v>
      </c>
      <c r="E62" s="13" t="s">
        <v>45</v>
      </c>
      <c r="F62" s="13" t="s">
        <v>87</v>
      </c>
      <c r="G62" s="145"/>
      <c r="H62" s="11"/>
      <c r="I62" s="11"/>
      <c r="J62" s="11"/>
      <c r="K62" s="11"/>
      <c r="L62" s="11"/>
      <c r="M62" s="11"/>
      <c r="N62" s="11"/>
      <c r="O62" s="12"/>
      <c r="P62" s="11"/>
      <c r="Q62" s="2"/>
      <c r="R62" s="2"/>
    </row>
    <row r="63" spans="1:18" ht="15" customHeight="1" x14ac:dyDescent="0.3">
      <c r="A63" s="13" t="s">
        <v>41</v>
      </c>
      <c r="B63" s="13" t="s">
        <v>71</v>
      </c>
      <c r="C63" s="87" t="s">
        <v>72</v>
      </c>
      <c r="D63" s="13" t="s">
        <v>84</v>
      </c>
      <c r="E63" s="13" t="s">
        <v>45</v>
      </c>
      <c r="F63" s="13" t="s">
        <v>85</v>
      </c>
      <c r="G63" s="145"/>
      <c r="H63" s="11"/>
      <c r="I63" s="11"/>
      <c r="J63" s="11"/>
      <c r="K63" s="11"/>
      <c r="L63" s="11"/>
      <c r="M63" s="11"/>
      <c r="N63" s="11"/>
      <c r="O63" s="12"/>
      <c r="P63" s="11"/>
      <c r="Q63" s="2"/>
      <c r="R63" s="2"/>
    </row>
    <row r="64" spans="1:18" ht="15" customHeight="1" x14ac:dyDescent="0.3">
      <c r="A64" s="13" t="s">
        <v>46</v>
      </c>
      <c r="B64" s="13" t="s">
        <v>47</v>
      </c>
      <c r="C64" s="87" t="s">
        <v>48</v>
      </c>
      <c r="D64" s="13" t="s">
        <v>49</v>
      </c>
      <c r="E64" s="13" t="s">
        <v>45</v>
      </c>
      <c r="F64" s="13" t="s">
        <v>101</v>
      </c>
      <c r="G64" s="145"/>
      <c r="H64" s="11"/>
      <c r="I64" s="11"/>
      <c r="J64" s="11"/>
      <c r="K64" s="11"/>
      <c r="L64" s="11"/>
      <c r="M64" s="11"/>
      <c r="N64" s="11"/>
      <c r="O64" s="12"/>
      <c r="P64" s="11"/>
      <c r="Q64" s="2"/>
      <c r="R64" s="2"/>
    </row>
    <row r="65" spans="1:18" ht="15" customHeight="1" thickBot="1" x14ac:dyDescent="0.35">
      <c r="A65" s="14" t="s">
        <v>77</v>
      </c>
      <c r="B65" s="14" t="s">
        <v>78</v>
      </c>
      <c r="C65" s="88" t="s">
        <v>59</v>
      </c>
      <c r="D65" s="14" t="s">
        <v>79</v>
      </c>
      <c r="E65" s="14" t="s">
        <v>35</v>
      </c>
      <c r="F65" s="14" t="s">
        <v>88</v>
      </c>
      <c r="G65" s="146"/>
      <c r="H65" s="15"/>
      <c r="I65" s="15"/>
      <c r="J65" s="15"/>
      <c r="K65" s="15"/>
      <c r="L65" s="15"/>
      <c r="M65" s="15"/>
      <c r="N65" s="15"/>
      <c r="O65" s="16"/>
      <c r="P65" s="15"/>
      <c r="Q65" s="17"/>
      <c r="R65" s="17"/>
    </row>
    <row r="66" spans="1:18" ht="17.399999999999999" customHeight="1" thickBot="1" x14ac:dyDescent="0.35">
      <c r="A66" s="140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2"/>
    </row>
    <row r="67" spans="1:18" ht="22.05" customHeight="1" thickTop="1" thickBot="1" x14ac:dyDescent="0.35">
      <c r="A67" s="143" t="s">
        <v>6</v>
      </c>
      <c r="B67" s="138"/>
      <c r="C67" s="138"/>
      <c r="D67" s="138"/>
      <c r="E67" s="138"/>
      <c r="F67" s="139"/>
      <c r="G67" s="89">
        <v>46010</v>
      </c>
      <c r="H67" s="137" t="s">
        <v>7</v>
      </c>
      <c r="I67" s="138"/>
      <c r="J67" s="138"/>
      <c r="K67" s="138"/>
      <c r="L67" s="138"/>
      <c r="M67" s="138"/>
      <c r="N67" s="138"/>
      <c r="O67" s="138"/>
      <c r="P67" s="138"/>
      <c r="Q67" s="138"/>
      <c r="R67" s="139"/>
    </row>
    <row r="68" spans="1:18" ht="24" customHeight="1" x14ac:dyDescent="0.3">
      <c r="A68" s="18" t="s">
        <v>8</v>
      </c>
      <c r="B68" s="18" t="s">
        <v>9</v>
      </c>
      <c r="C68" s="90" t="s">
        <v>10</v>
      </c>
      <c r="D68" s="18" t="s">
        <v>11</v>
      </c>
      <c r="E68" s="18" t="s">
        <v>12</v>
      </c>
      <c r="F68" s="19" t="s">
        <v>13</v>
      </c>
      <c r="G68" s="20" t="s">
        <v>14</v>
      </c>
      <c r="H68" s="18" t="s">
        <v>15</v>
      </c>
      <c r="I68" s="91" t="s">
        <v>16</v>
      </c>
      <c r="J68" s="21" t="s">
        <v>17</v>
      </c>
      <c r="K68" s="22" t="s">
        <v>18</v>
      </c>
      <c r="L68" s="21" t="s">
        <v>19</v>
      </c>
      <c r="M68" s="21" t="s">
        <v>20</v>
      </c>
      <c r="N68" s="21" t="s">
        <v>21</v>
      </c>
      <c r="O68" s="18" t="s">
        <v>22</v>
      </c>
      <c r="P68" s="90" t="s">
        <v>23</v>
      </c>
      <c r="Q68" s="21" t="s">
        <v>24</v>
      </c>
      <c r="R68" s="18" t="s">
        <v>25</v>
      </c>
    </row>
    <row r="69" spans="1:18" ht="15" customHeight="1" x14ac:dyDescent="0.3">
      <c r="A69" s="35" t="s">
        <v>26</v>
      </c>
      <c r="B69" s="35" t="s">
        <v>27</v>
      </c>
      <c r="C69" s="99">
        <v>0.29166666666666669</v>
      </c>
      <c r="D69" s="35" t="s">
        <v>49</v>
      </c>
      <c r="E69" s="35" t="s">
        <v>45</v>
      </c>
      <c r="F69" s="35" t="s">
        <v>51</v>
      </c>
      <c r="G69" s="144"/>
      <c r="H69" s="36" t="s">
        <v>29</v>
      </c>
      <c r="I69" s="100">
        <v>0.1429</v>
      </c>
      <c r="J69" s="37">
        <v>24</v>
      </c>
      <c r="K69" s="38">
        <v>45990</v>
      </c>
      <c r="L69" s="37">
        <v>7</v>
      </c>
      <c r="M69" s="37">
        <v>0</v>
      </c>
      <c r="N69" s="37">
        <v>0</v>
      </c>
      <c r="O69" s="39" t="s">
        <v>52</v>
      </c>
      <c r="P69" s="101">
        <v>0.29166666666666669</v>
      </c>
      <c r="Q69" s="37">
        <v>168</v>
      </c>
      <c r="R69" s="40" t="s">
        <v>115</v>
      </c>
    </row>
    <row r="70" spans="1:18" ht="18" x14ac:dyDescent="0.3">
      <c r="A70" s="150" t="s">
        <v>31</v>
      </c>
      <c r="B70" s="151"/>
      <c r="C70" s="151"/>
      <c r="D70" s="151"/>
      <c r="E70" s="151"/>
      <c r="F70" s="152"/>
      <c r="G70" s="145"/>
      <c r="H70" s="11"/>
      <c r="I70" s="11"/>
      <c r="J70" s="11"/>
      <c r="K70" s="11"/>
      <c r="L70" s="11"/>
      <c r="M70" s="11"/>
      <c r="N70" s="11"/>
      <c r="O70" s="12"/>
      <c r="P70" s="11"/>
      <c r="Q70" s="2"/>
      <c r="R70" s="2"/>
    </row>
    <row r="71" spans="1:18" ht="15" customHeight="1" x14ac:dyDescent="0.3">
      <c r="A71" s="13" t="s">
        <v>57</v>
      </c>
      <c r="B71" s="13" t="s">
        <v>58</v>
      </c>
      <c r="C71" s="87" t="s">
        <v>59</v>
      </c>
      <c r="D71" s="13" t="s">
        <v>60</v>
      </c>
      <c r="E71" s="13" t="s">
        <v>61</v>
      </c>
      <c r="F71" s="13" t="s">
        <v>107</v>
      </c>
      <c r="G71" s="145"/>
      <c r="H71" s="11"/>
      <c r="I71" s="11"/>
      <c r="J71" s="11"/>
      <c r="K71" s="11"/>
      <c r="L71" s="11"/>
      <c r="M71" s="11"/>
      <c r="N71" s="11"/>
      <c r="O71" s="12"/>
      <c r="P71" s="11"/>
      <c r="Q71" s="2"/>
      <c r="R71" s="2"/>
    </row>
    <row r="72" spans="1:18" ht="15" customHeight="1" x14ac:dyDescent="0.3">
      <c r="A72" s="13" t="s">
        <v>57</v>
      </c>
      <c r="B72" s="13" t="s">
        <v>58</v>
      </c>
      <c r="C72" s="87" t="s">
        <v>59</v>
      </c>
      <c r="D72" s="13" t="s">
        <v>63</v>
      </c>
      <c r="E72" s="13" t="s">
        <v>61</v>
      </c>
      <c r="F72" s="13" t="s">
        <v>108</v>
      </c>
      <c r="G72" s="145"/>
      <c r="H72" s="11"/>
      <c r="I72" s="11"/>
      <c r="J72" s="11"/>
      <c r="K72" s="11"/>
      <c r="L72" s="11"/>
      <c r="M72" s="11"/>
      <c r="N72" s="11"/>
      <c r="O72" s="12"/>
      <c r="P72" s="11"/>
      <c r="Q72" s="2"/>
      <c r="R72" s="2"/>
    </row>
    <row r="73" spans="1:18" ht="15" customHeight="1" x14ac:dyDescent="0.3">
      <c r="A73" s="13" t="s">
        <v>57</v>
      </c>
      <c r="B73" s="13" t="s">
        <v>58</v>
      </c>
      <c r="C73" s="87" t="s">
        <v>59</v>
      </c>
      <c r="D73" s="13" t="s">
        <v>65</v>
      </c>
      <c r="E73" s="13" t="s">
        <v>61</v>
      </c>
      <c r="F73" s="13" t="s">
        <v>95</v>
      </c>
      <c r="G73" s="145"/>
      <c r="H73" s="11"/>
      <c r="I73" s="11"/>
      <c r="J73" s="11"/>
      <c r="K73" s="11"/>
      <c r="L73" s="11"/>
      <c r="M73" s="11"/>
      <c r="N73" s="11"/>
      <c r="O73" s="12"/>
      <c r="P73" s="11"/>
      <c r="Q73" s="2"/>
      <c r="R73" s="2"/>
    </row>
    <row r="74" spans="1:18" ht="15" customHeight="1" x14ac:dyDescent="0.3">
      <c r="A74" s="13" t="s">
        <v>32</v>
      </c>
      <c r="B74" s="13" t="s">
        <v>33</v>
      </c>
      <c r="C74" s="87" t="s">
        <v>54</v>
      </c>
      <c r="D74" s="13" t="s">
        <v>34</v>
      </c>
      <c r="E74" s="13" t="s">
        <v>116</v>
      </c>
      <c r="F74" s="13" t="s">
        <v>97</v>
      </c>
      <c r="G74" s="145"/>
      <c r="H74" s="11"/>
      <c r="I74" s="11"/>
      <c r="J74" s="11"/>
      <c r="K74" s="11"/>
      <c r="L74" s="11"/>
      <c r="M74" s="11"/>
      <c r="N74" s="11"/>
      <c r="O74" s="12"/>
      <c r="P74" s="11"/>
      <c r="Q74" s="2"/>
      <c r="R74" s="2"/>
    </row>
    <row r="75" spans="1:18" ht="15" customHeight="1" x14ac:dyDescent="0.3">
      <c r="A75" s="13" t="s">
        <v>32</v>
      </c>
      <c r="B75" s="13" t="s">
        <v>33</v>
      </c>
      <c r="C75" s="87" t="s">
        <v>54</v>
      </c>
      <c r="D75" s="13" t="s">
        <v>37</v>
      </c>
      <c r="E75" s="13" t="s">
        <v>116</v>
      </c>
      <c r="F75" s="13" t="s">
        <v>98</v>
      </c>
      <c r="G75" s="145"/>
      <c r="H75" s="11"/>
      <c r="I75" s="11"/>
      <c r="J75" s="11"/>
      <c r="K75" s="11"/>
      <c r="L75" s="11"/>
      <c r="M75" s="11"/>
      <c r="N75" s="11"/>
      <c r="O75" s="12"/>
      <c r="P75" s="11"/>
      <c r="Q75" s="2"/>
      <c r="R75" s="2"/>
    </row>
    <row r="76" spans="1:18" ht="15" customHeight="1" x14ac:dyDescent="0.3">
      <c r="A76" s="13" t="s">
        <v>32</v>
      </c>
      <c r="B76" s="13" t="s">
        <v>33</v>
      </c>
      <c r="C76" s="87" t="s">
        <v>54</v>
      </c>
      <c r="D76" s="13" t="s">
        <v>39</v>
      </c>
      <c r="E76" s="13" t="s">
        <v>116</v>
      </c>
      <c r="F76" s="13" t="s">
        <v>99</v>
      </c>
      <c r="G76" s="145"/>
      <c r="H76" s="11"/>
      <c r="I76" s="11"/>
      <c r="J76" s="11"/>
      <c r="K76" s="11"/>
      <c r="L76" s="11"/>
      <c r="M76" s="11"/>
      <c r="N76" s="11"/>
      <c r="O76" s="12"/>
      <c r="P76" s="11"/>
      <c r="Q76" s="2"/>
      <c r="R76" s="2"/>
    </row>
    <row r="77" spans="1:18" ht="15" customHeight="1" x14ac:dyDescent="0.3">
      <c r="A77" s="13" t="s">
        <v>41</v>
      </c>
      <c r="B77" s="13" t="s">
        <v>42</v>
      </c>
      <c r="C77" s="87" t="s">
        <v>43</v>
      </c>
      <c r="D77" s="13" t="s">
        <v>84</v>
      </c>
      <c r="E77" s="13" t="s">
        <v>45</v>
      </c>
      <c r="F77" s="13" t="s">
        <v>85</v>
      </c>
      <c r="G77" s="145"/>
      <c r="H77" s="11"/>
      <c r="I77" s="11"/>
      <c r="J77" s="11"/>
      <c r="K77" s="11"/>
      <c r="L77" s="11"/>
      <c r="M77" s="11"/>
      <c r="N77" s="11"/>
      <c r="O77" s="12"/>
      <c r="P77" s="11"/>
      <c r="Q77" s="2"/>
      <c r="R77" s="2"/>
    </row>
    <row r="78" spans="1:18" ht="15" customHeight="1" x14ac:dyDescent="0.3">
      <c r="A78" s="13" t="s">
        <v>41</v>
      </c>
      <c r="B78" s="13" t="s">
        <v>68</v>
      </c>
      <c r="C78" s="87" t="s">
        <v>69</v>
      </c>
      <c r="D78" s="13" t="s">
        <v>44</v>
      </c>
      <c r="E78" s="13" t="s">
        <v>45</v>
      </c>
      <c r="F78" s="13" t="s">
        <v>117</v>
      </c>
      <c r="G78" s="145"/>
      <c r="H78" s="11"/>
      <c r="I78" s="11"/>
      <c r="J78" s="11"/>
      <c r="K78" s="11"/>
      <c r="L78" s="11"/>
      <c r="M78" s="11"/>
      <c r="N78" s="11"/>
      <c r="O78" s="12"/>
      <c r="P78" s="11"/>
      <c r="Q78" s="2"/>
      <c r="R78" s="2"/>
    </row>
    <row r="79" spans="1:18" ht="15" customHeight="1" x14ac:dyDescent="0.3">
      <c r="A79" s="13" t="s">
        <v>41</v>
      </c>
      <c r="B79" s="13" t="s">
        <v>71</v>
      </c>
      <c r="C79" s="87" t="s">
        <v>72</v>
      </c>
      <c r="D79" s="13" t="s">
        <v>84</v>
      </c>
      <c r="E79" s="13" t="s">
        <v>45</v>
      </c>
      <c r="F79" s="13" t="s">
        <v>85</v>
      </c>
      <c r="G79" s="145"/>
      <c r="H79" s="11"/>
      <c r="I79" s="11"/>
      <c r="J79" s="11"/>
      <c r="K79" s="11"/>
      <c r="L79" s="11"/>
      <c r="M79" s="11"/>
      <c r="N79" s="11"/>
      <c r="O79" s="12"/>
      <c r="P79" s="11"/>
      <c r="Q79" s="2"/>
      <c r="R79" s="2"/>
    </row>
    <row r="80" spans="1:18" ht="15" customHeight="1" x14ac:dyDescent="0.3">
      <c r="A80" s="13" t="s">
        <v>46</v>
      </c>
      <c r="B80" s="13" t="s">
        <v>47</v>
      </c>
      <c r="C80" s="87" t="s">
        <v>48</v>
      </c>
      <c r="D80" s="13" t="s">
        <v>49</v>
      </c>
      <c r="E80" s="13" t="s">
        <v>118</v>
      </c>
      <c r="F80" s="13" t="s">
        <v>101</v>
      </c>
      <c r="G80" s="145"/>
      <c r="H80" s="11"/>
      <c r="I80" s="11"/>
      <c r="J80" s="11"/>
      <c r="K80" s="11"/>
      <c r="L80" s="11"/>
      <c r="M80" s="11"/>
      <c r="N80" s="11"/>
      <c r="O80" s="12"/>
      <c r="P80" s="11"/>
      <c r="Q80" s="2"/>
      <c r="R80" s="2"/>
    </row>
    <row r="81" spans="1:18" ht="15" customHeight="1" x14ac:dyDescent="0.3">
      <c r="A81" s="13" t="s">
        <v>26</v>
      </c>
      <c r="B81" s="13" t="s">
        <v>74</v>
      </c>
      <c r="C81" s="87" t="s">
        <v>75</v>
      </c>
      <c r="D81" s="13" t="s">
        <v>49</v>
      </c>
      <c r="E81" s="13" t="s">
        <v>45</v>
      </c>
      <c r="F81" s="13" t="s">
        <v>76</v>
      </c>
      <c r="G81" s="145"/>
      <c r="H81" s="11"/>
      <c r="I81" s="11"/>
      <c r="J81" s="11"/>
      <c r="K81" s="11"/>
      <c r="L81" s="11"/>
      <c r="M81" s="11"/>
      <c r="N81" s="11"/>
      <c r="O81" s="12"/>
      <c r="P81" s="11"/>
      <c r="Q81" s="2"/>
      <c r="R81" s="2"/>
    </row>
    <row r="82" spans="1:18" ht="15" customHeight="1" thickBot="1" x14ac:dyDescent="0.35">
      <c r="A82" s="14" t="s">
        <v>77</v>
      </c>
      <c r="B82" s="14" t="s">
        <v>78</v>
      </c>
      <c r="C82" s="88" t="s">
        <v>59</v>
      </c>
      <c r="D82" s="14" t="s">
        <v>79</v>
      </c>
      <c r="E82" s="14" t="s">
        <v>35</v>
      </c>
      <c r="F82" s="14" t="s">
        <v>88</v>
      </c>
      <c r="G82" s="146"/>
      <c r="H82" s="15"/>
      <c r="I82" s="15"/>
      <c r="J82" s="15"/>
      <c r="K82" s="15"/>
      <c r="L82" s="15"/>
      <c r="M82" s="15"/>
      <c r="N82" s="15"/>
      <c r="O82" s="16"/>
      <c r="P82" s="15"/>
      <c r="Q82" s="17"/>
      <c r="R82" s="17"/>
    </row>
    <row r="83" spans="1:18" ht="17.399999999999999" customHeight="1" thickBot="1" x14ac:dyDescent="0.35">
      <c r="A83" s="140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2"/>
    </row>
    <row r="84" spans="1:18" ht="22.05" customHeight="1" thickTop="1" thickBot="1" x14ac:dyDescent="0.35">
      <c r="A84" s="143" t="s">
        <v>6</v>
      </c>
      <c r="B84" s="138"/>
      <c r="C84" s="138"/>
      <c r="D84" s="138"/>
      <c r="E84" s="138"/>
      <c r="F84" s="139"/>
      <c r="G84" s="89">
        <v>46013</v>
      </c>
      <c r="H84" s="137" t="s">
        <v>7</v>
      </c>
      <c r="I84" s="138"/>
      <c r="J84" s="138"/>
      <c r="K84" s="138"/>
      <c r="L84" s="138"/>
      <c r="M84" s="138"/>
      <c r="N84" s="138"/>
      <c r="O84" s="138"/>
      <c r="P84" s="138"/>
      <c r="Q84" s="138"/>
      <c r="R84" s="139"/>
    </row>
    <row r="85" spans="1:18" ht="24" customHeight="1" x14ac:dyDescent="0.3">
      <c r="A85" s="18" t="s">
        <v>8</v>
      </c>
      <c r="B85" s="18" t="s">
        <v>9</v>
      </c>
      <c r="C85" s="90" t="s">
        <v>10</v>
      </c>
      <c r="D85" s="18" t="s">
        <v>11</v>
      </c>
      <c r="E85" s="18" t="s">
        <v>12</v>
      </c>
      <c r="F85" s="19" t="s">
        <v>13</v>
      </c>
      <c r="G85" s="20" t="s">
        <v>14</v>
      </c>
      <c r="H85" s="18" t="s">
        <v>15</v>
      </c>
      <c r="I85" s="91" t="s">
        <v>16</v>
      </c>
      <c r="J85" s="21" t="s">
        <v>17</v>
      </c>
      <c r="K85" s="22" t="s">
        <v>18</v>
      </c>
      <c r="L85" s="21" t="s">
        <v>19</v>
      </c>
      <c r="M85" s="21" t="s">
        <v>20</v>
      </c>
      <c r="N85" s="21" t="s">
        <v>21</v>
      </c>
      <c r="O85" s="18" t="s">
        <v>22</v>
      </c>
      <c r="P85" s="90" t="s">
        <v>23</v>
      </c>
      <c r="Q85" s="21" t="s">
        <v>24</v>
      </c>
      <c r="R85" s="18" t="s">
        <v>25</v>
      </c>
    </row>
    <row r="86" spans="1:18" ht="15" customHeight="1" x14ac:dyDescent="0.3">
      <c r="A86" s="41" t="s">
        <v>26</v>
      </c>
      <c r="B86" s="41" t="s">
        <v>27</v>
      </c>
      <c r="C86" s="102">
        <v>0.51041666666666663</v>
      </c>
      <c r="D86" s="41" t="s">
        <v>49</v>
      </c>
      <c r="E86" s="41" t="s">
        <v>45</v>
      </c>
      <c r="F86" s="41" t="s">
        <v>51</v>
      </c>
      <c r="G86" s="144"/>
      <c r="H86" s="42" t="s">
        <v>29</v>
      </c>
      <c r="I86" s="103">
        <v>0.11310000000000001</v>
      </c>
      <c r="J86" s="43">
        <v>19</v>
      </c>
      <c r="K86" s="44">
        <v>45991</v>
      </c>
      <c r="L86" s="43">
        <v>4</v>
      </c>
      <c r="M86" s="43">
        <v>0</v>
      </c>
      <c r="N86" s="43">
        <v>1</v>
      </c>
      <c r="O86" s="45" t="s">
        <v>52</v>
      </c>
      <c r="P86" s="104">
        <v>0.51041666666666663</v>
      </c>
      <c r="Q86" s="43">
        <v>168</v>
      </c>
      <c r="R86" s="46" t="s">
        <v>119</v>
      </c>
    </row>
    <row r="87" spans="1:18" ht="18" x14ac:dyDescent="0.3">
      <c r="A87" s="150" t="s">
        <v>31</v>
      </c>
      <c r="B87" s="151"/>
      <c r="C87" s="151"/>
      <c r="D87" s="151"/>
      <c r="E87" s="151"/>
      <c r="F87" s="152"/>
      <c r="G87" s="145"/>
      <c r="H87" s="11"/>
      <c r="I87" s="11"/>
      <c r="J87" s="11"/>
      <c r="K87" s="11"/>
      <c r="L87" s="11"/>
      <c r="M87" s="11"/>
      <c r="N87" s="11"/>
      <c r="O87" s="12"/>
      <c r="P87" s="11"/>
      <c r="Q87" s="2"/>
      <c r="R87" s="2"/>
    </row>
    <row r="88" spans="1:18" ht="15" customHeight="1" x14ac:dyDescent="0.3">
      <c r="A88" s="13" t="s">
        <v>32</v>
      </c>
      <c r="B88" s="13" t="s">
        <v>33</v>
      </c>
      <c r="C88" s="87" t="s">
        <v>54</v>
      </c>
      <c r="D88" s="13" t="s">
        <v>34</v>
      </c>
      <c r="E88" s="13" t="s">
        <v>109</v>
      </c>
      <c r="F88" s="13" t="s">
        <v>97</v>
      </c>
      <c r="G88" s="145"/>
      <c r="H88" s="11"/>
      <c r="I88" s="11"/>
      <c r="J88" s="11"/>
      <c r="K88" s="11"/>
      <c r="L88" s="11"/>
      <c r="M88" s="11"/>
      <c r="N88" s="11"/>
      <c r="O88" s="12"/>
      <c r="P88" s="11"/>
      <c r="Q88" s="2"/>
      <c r="R88" s="2"/>
    </row>
    <row r="89" spans="1:18" ht="15" customHeight="1" x14ac:dyDescent="0.3">
      <c r="A89" s="13" t="s">
        <v>32</v>
      </c>
      <c r="B89" s="13" t="s">
        <v>33</v>
      </c>
      <c r="C89" s="87" t="s">
        <v>54</v>
      </c>
      <c r="D89" s="13" t="s">
        <v>37</v>
      </c>
      <c r="E89" s="13" t="s">
        <v>109</v>
      </c>
      <c r="F89" s="13" t="s">
        <v>98</v>
      </c>
      <c r="G89" s="145"/>
      <c r="H89" s="11"/>
      <c r="I89" s="11"/>
      <c r="J89" s="11"/>
      <c r="K89" s="11"/>
      <c r="L89" s="11"/>
      <c r="M89" s="11"/>
      <c r="N89" s="11"/>
      <c r="O89" s="12"/>
      <c r="P89" s="11"/>
      <c r="Q89" s="2"/>
      <c r="R89" s="2"/>
    </row>
    <row r="90" spans="1:18" ht="15" customHeight="1" x14ac:dyDescent="0.3">
      <c r="A90" s="13" t="s">
        <v>32</v>
      </c>
      <c r="B90" s="13" t="s">
        <v>33</v>
      </c>
      <c r="C90" s="87" t="s">
        <v>54</v>
      </c>
      <c r="D90" s="13" t="s">
        <v>39</v>
      </c>
      <c r="E90" s="13" t="s">
        <v>109</v>
      </c>
      <c r="F90" s="13" t="s">
        <v>99</v>
      </c>
      <c r="G90" s="145"/>
      <c r="H90" s="11"/>
      <c r="I90" s="11"/>
      <c r="J90" s="11"/>
      <c r="K90" s="11"/>
      <c r="L90" s="11"/>
      <c r="M90" s="11"/>
      <c r="N90" s="11"/>
      <c r="O90" s="12"/>
      <c r="P90" s="11"/>
      <c r="Q90" s="2"/>
      <c r="R90" s="2"/>
    </row>
    <row r="91" spans="1:18" ht="15" customHeight="1" x14ac:dyDescent="0.3">
      <c r="A91" s="13" t="s">
        <v>32</v>
      </c>
      <c r="B91" s="13" t="s">
        <v>113</v>
      </c>
      <c r="C91" s="87" t="s">
        <v>114</v>
      </c>
      <c r="D91" s="13" t="s">
        <v>34</v>
      </c>
      <c r="E91" s="13" t="s">
        <v>109</v>
      </c>
      <c r="F91" s="13" t="s">
        <v>97</v>
      </c>
      <c r="G91" s="145"/>
      <c r="H91" s="11"/>
      <c r="I91" s="11"/>
      <c r="J91" s="11"/>
      <c r="K91" s="11"/>
      <c r="L91" s="11"/>
      <c r="M91" s="11"/>
      <c r="N91" s="11"/>
      <c r="O91" s="12"/>
      <c r="P91" s="11"/>
      <c r="Q91" s="2"/>
      <c r="R91" s="2"/>
    </row>
    <row r="92" spans="1:18" ht="15" customHeight="1" x14ac:dyDescent="0.3">
      <c r="A92" s="13" t="s">
        <v>32</v>
      </c>
      <c r="B92" s="13" t="s">
        <v>113</v>
      </c>
      <c r="C92" s="87" t="s">
        <v>114</v>
      </c>
      <c r="D92" s="13" t="s">
        <v>37</v>
      </c>
      <c r="E92" s="13" t="s">
        <v>109</v>
      </c>
      <c r="F92" s="13" t="s">
        <v>98</v>
      </c>
      <c r="G92" s="145"/>
      <c r="H92" s="11"/>
      <c r="I92" s="11"/>
      <c r="J92" s="11"/>
      <c r="K92" s="11"/>
      <c r="L92" s="11"/>
      <c r="M92" s="11"/>
      <c r="N92" s="11"/>
      <c r="O92" s="12"/>
      <c r="P92" s="11"/>
      <c r="Q92" s="2"/>
      <c r="R92" s="2"/>
    </row>
    <row r="93" spans="1:18" ht="15" customHeight="1" x14ac:dyDescent="0.3">
      <c r="A93" s="13" t="s">
        <v>32</v>
      </c>
      <c r="B93" s="13" t="s">
        <v>113</v>
      </c>
      <c r="C93" s="87" t="s">
        <v>114</v>
      </c>
      <c r="D93" s="13" t="s">
        <v>39</v>
      </c>
      <c r="E93" s="13" t="s">
        <v>109</v>
      </c>
      <c r="F93" s="13" t="s">
        <v>99</v>
      </c>
      <c r="G93" s="145"/>
      <c r="H93" s="11"/>
      <c r="I93" s="11"/>
      <c r="J93" s="11"/>
      <c r="K93" s="11"/>
      <c r="L93" s="11"/>
      <c r="M93" s="11"/>
      <c r="N93" s="11"/>
      <c r="O93" s="12"/>
      <c r="P93" s="11"/>
      <c r="Q93" s="2"/>
      <c r="R93" s="2"/>
    </row>
    <row r="94" spans="1:18" ht="15" customHeight="1" x14ac:dyDescent="0.3">
      <c r="A94" s="13" t="s">
        <v>57</v>
      </c>
      <c r="B94" s="13" t="s">
        <v>58</v>
      </c>
      <c r="C94" s="87" t="s">
        <v>59</v>
      </c>
      <c r="D94" s="13" t="s">
        <v>60</v>
      </c>
      <c r="E94" s="13" t="s">
        <v>120</v>
      </c>
      <c r="F94" s="13" t="s">
        <v>107</v>
      </c>
      <c r="G94" s="145"/>
      <c r="H94" s="11"/>
      <c r="I94" s="11"/>
      <c r="J94" s="11"/>
      <c r="K94" s="11"/>
      <c r="L94" s="11"/>
      <c r="M94" s="11"/>
      <c r="N94" s="11"/>
      <c r="O94" s="12"/>
      <c r="P94" s="11"/>
      <c r="Q94" s="2"/>
      <c r="R94" s="2"/>
    </row>
    <row r="95" spans="1:18" ht="15" customHeight="1" x14ac:dyDescent="0.3">
      <c r="A95" s="13" t="s">
        <v>57</v>
      </c>
      <c r="B95" s="13" t="s">
        <v>58</v>
      </c>
      <c r="C95" s="87" t="s">
        <v>59</v>
      </c>
      <c r="D95" s="13" t="s">
        <v>63</v>
      </c>
      <c r="E95" s="13" t="s">
        <v>120</v>
      </c>
      <c r="F95" s="13" t="s">
        <v>108</v>
      </c>
      <c r="G95" s="145"/>
      <c r="H95" s="11"/>
      <c r="I95" s="11"/>
      <c r="J95" s="11"/>
      <c r="K95" s="11"/>
      <c r="L95" s="11"/>
      <c r="M95" s="11"/>
      <c r="N95" s="11"/>
      <c r="O95" s="12"/>
      <c r="P95" s="11"/>
      <c r="Q95" s="2"/>
      <c r="R95" s="2"/>
    </row>
    <row r="96" spans="1:18" ht="15" customHeight="1" x14ac:dyDescent="0.3">
      <c r="A96" s="13" t="s">
        <v>57</v>
      </c>
      <c r="B96" s="13" t="s">
        <v>58</v>
      </c>
      <c r="C96" s="87" t="s">
        <v>59</v>
      </c>
      <c r="D96" s="13" t="s">
        <v>65</v>
      </c>
      <c r="E96" s="13" t="s">
        <v>120</v>
      </c>
      <c r="F96" s="13" t="s">
        <v>66</v>
      </c>
      <c r="G96" s="145"/>
      <c r="H96" s="11"/>
      <c r="I96" s="11"/>
      <c r="J96" s="11"/>
      <c r="K96" s="11"/>
      <c r="L96" s="11"/>
      <c r="M96" s="11"/>
      <c r="N96" s="11"/>
      <c r="O96" s="12"/>
      <c r="P96" s="11"/>
      <c r="Q96" s="2"/>
      <c r="R96" s="2"/>
    </row>
    <row r="97" spans="1:18" ht="15" customHeight="1" x14ac:dyDescent="0.3">
      <c r="A97" s="13" t="s">
        <v>41</v>
      </c>
      <c r="B97" s="13" t="s">
        <v>42</v>
      </c>
      <c r="C97" s="87" t="s">
        <v>43</v>
      </c>
      <c r="D97" s="13" t="s">
        <v>84</v>
      </c>
      <c r="E97" s="13" t="s">
        <v>45</v>
      </c>
      <c r="F97" s="13" t="s">
        <v>85</v>
      </c>
      <c r="G97" s="145"/>
      <c r="H97" s="11"/>
      <c r="I97" s="11"/>
      <c r="J97" s="11"/>
      <c r="K97" s="11"/>
      <c r="L97" s="11"/>
      <c r="M97" s="11"/>
      <c r="N97" s="11"/>
      <c r="O97" s="12"/>
      <c r="P97" s="11"/>
      <c r="Q97" s="2"/>
      <c r="R97" s="2"/>
    </row>
    <row r="98" spans="1:18" ht="15" customHeight="1" x14ac:dyDescent="0.3">
      <c r="A98" s="13" t="s">
        <v>41</v>
      </c>
      <c r="B98" s="13" t="s">
        <v>68</v>
      </c>
      <c r="C98" s="87" t="s">
        <v>69</v>
      </c>
      <c r="D98" s="13" t="s">
        <v>84</v>
      </c>
      <c r="E98" s="13" t="s">
        <v>45</v>
      </c>
      <c r="F98" s="13" t="s">
        <v>85</v>
      </c>
      <c r="G98" s="145"/>
      <c r="H98" s="11"/>
      <c r="I98" s="11"/>
      <c r="J98" s="11"/>
      <c r="K98" s="11"/>
      <c r="L98" s="11"/>
      <c r="M98" s="11"/>
      <c r="N98" s="11"/>
      <c r="O98" s="12"/>
      <c r="P98" s="11"/>
      <c r="Q98" s="2"/>
      <c r="R98" s="2"/>
    </row>
    <row r="99" spans="1:18" ht="15" customHeight="1" x14ac:dyDescent="0.3">
      <c r="A99" s="13" t="s">
        <v>41</v>
      </c>
      <c r="B99" s="13" t="s">
        <v>71</v>
      </c>
      <c r="C99" s="87" t="s">
        <v>72</v>
      </c>
      <c r="D99" s="13" t="s">
        <v>84</v>
      </c>
      <c r="E99" s="13" t="s">
        <v>45</v>
      </c>
      <c r="F99" s="13" t="s">
        <v>85</v>
      </c>
      <c r="G99" s="145"/>
      <c r="H99" s="11"/>
      <c r="I99" s="11"/>
      <c r="J99" s="11"/>
      <c r="K99" s="11"/>
      <c r="L99" s="11"/>
      <c r="M99" s="11"/>
      <c r="N99" s="11"/>
      <c r="O99" s="12"/>
      <c r="P99" s="11"/>
      <c r="Q99" s="2"/>
      <c r="R99" s="2"/>
    </row>
    <row r="100" spans="1:18" ht="15" customHeight="1" x14ac:dyDescent="0.3">
      <c r="A100" s="13" t="s">
        <v>46</v>
      </c>
      <c r="B100" s="13" t="s">
        <v>47</v>
      </c>
      <c r="C100" s="87" t="s">
        <v>48</v>
      </c>
      <c r="D100" s="13" t="s">
        <v>49</v>
      </c>
      <c r="E100" s="13" t="s">
        <v>45</v>
      </c>
      <c r="F100" s="13" t="s">
        <v>101</v>
      </c>
      <c r="G100" s="145"/>
      <c r="H100" s="11"/>
      <c r="I100" s="11"/>
      <c r="J100" s="11"/>
      <c r="K100" s="11"/>
      <c r="L100" s="11"/>
      <c r="M100" s="11"/>
      <c r="N100" s="11"/>
      <c r="O100" s="12"/>
      <c r="P100" s="11"/>
      <c r="Q100" s="2"/>
      <c r="R100" s="2"/>
    </row>
    <row r="101" spans="1:18" ht="15" customHeight="1" x14ac:dyDescent="0.3">
      <c r="A101" s="13" t="s">
        <v>121</v>
      </c>
      <c r="B101" s="13" t="s">
        <v>122</v>
      </c>
      <c r="C101" s="87" t="s">
        <v>123</v>
      </c>
      <c r="D101" s="13" t="s">
        <v>49</v>
      </c>
      <c r="E101" s="13" t="s">
        <v>55</v>
      </c>
      <c r="F101" s="13" t="s">
        <v>124</v>
      </c>
      <c r="G101" s="145"/>
      <c r="H101" s="11"/>
      <c r="I101" s="11"/>
      <c r="J101" s="11"/>
      <c r="K101" s="11"/>
      <c r="L101" s="11"/>
      <c r="M101" s="11"/>
      <c r="N101" s="11"/>
      <c r="O101" s="12"/>
      <c r="P101" s="11"/>
      <c r="Q101" s="2"/>
      <c r="R101" s="2"/>
    </row>
    <row r="102" spans="1:18" ht="15" customHeight="1" thickBot="1" x14ac:dyDescent="0.35">
      <c r="A102" s="14" t="s">
        <v>77</v>
      </c>
      <c r="B102" s="14" t="s">
        <v>78</v>
      </c>
      <c r="C102" s="88" t="s">
        <v>59</v>
      </c>
      <c r="D102" s="14" t="s">
        <v>79</v>
      </c>
      <c r="E102" s="14" t="s">
        <v>35</v>
      </c>
      <c r="F102" s="14" t="s">
        <v>88</v>
      </c>
      <c r="G102" s="146"/>
      <c r="H102" s="15"/>
      <c r="I102" s="15"/>
      <c r="J102" s="15"/>
      <c r="K102" s="15"/>
      <c r="L102" s="15"/>
      <c r="M102" s="15"/>
      <c r="N102" s="15"/>
      <c r="O102" s="16"/>
      <c r="P102" s="15"/>
      <c r="Q102" s="17"/>
      <c r="R102" s="17"/>
    </row>
    <row r="103" spans="1:18" ht="17.399999999999999" customHeight="1" thickBot="1" x14ac:dyDescent="0.35">
      <c r="A103" s="140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2"/>
    </row>
    <row r="104" spans="1:18" ht="22.05" customHeight="1" thickTop="1" thickBot="1" x14ac:dyDescent="0.35">
      <c r="A104" s="143" t="s">
        <v>6</v>
      </c>
      <c r="B104" s="138"/>
      <c r="C104" s="138"/>
      <c r="D104" s="138"/>
      <c r="E104" s="138"/>
      <c r="F104" s="139"/>
      <c r="G104" s="89">
        <v>46017</v>
      </c>
      <c r="H104" s="137" t="s">
        <v>7</v>
      </c>
      <c r="I104" s="138"/>
      <c r="J104" s="138"/>
      <c r="K104" s="138"/>
      <c r="L104" s="138"/>
      <c r="M104" s="138"/>
      <c r="N104" s="138"/>
      <c r="O104" s="138"/>
      <c r="P104" s="138"/>
      <c r="Q104" s="138"/>
      <c r="R104" s="139"/>
    </row>
    <row r="105" spans="1:18" ht="24" customHeight="1" x14ac:dyDescent="0.3">
      <c r="A105" s="18" t="s">
        <v>8</v>
      </c>
      <c r="B105" s="18" t="s">
        <v>9</v>
      </c>
      <c r="C105" s="90" t="s">
        <v>10</v>
      </c>
      <c r="D105" s="18" t="s">
        <v>11</v>
      </c>
      <c r="E105" s="18" t="s">
        <v>12</v>
      </c>
      <c r="F105" s="19" t="s">
        <v>13</v>
      </c>
      <c r="G105" s="20" t="s">
        <v>14</v>
      </c>
      <c r="H105" s="18" t="s">
        <v>15</v>
      </c>
      <c r="I105" s="91" t="s">
        <v>16</v>
      </c>
      <c r="J105" s="21" t="s">
        <v>17</v>
      </c>
      <c r="K105" s="22" t="s">
        <v>18</v>
      </c>
      <c r="L105" s="21" t="s">
        <v>19</v>
      </c>
      <c r="M105" s="21" t="s">
        <v>20</v>
      </c>
      <c r="N105" s="21" t="s">
        <v>21</v>
      </c>
      <c r="O105" s="18" t="s">
        <v>22</v>
      </c>
      <c r="P105" s="90" t="s">
        <v>23</v>
      </c>
      <c r="Q105" s="21" t="s">
        <v>24</v>
      </c>
      <c r="R105" s="18" t="s">
        <v>25</v>
      </c>
    </row>
    <row r="106" spans="1:18" ht="15" customHeight="1" x14ac:dyDescent="0.3">
      <c r="A106" s="35" t="s">
        <v>26</v>
      </c>
      <c r="B106" s="35" t="s">
        <v>27</v>
      </c>
      <c r="C106" s="99">
        <v>0.29166666666666669</v>
      </c>
      <c r="D106" s="35" t="s">
        <v>49</v>
      </c>
      <c r="E106" s="35" t="s">
        <v>45</v>
      </c>
      <c r="F106" s="35" t="s">
        <v>51</v>
      </c>
      <c r="G106" s="144"/>
      <c r="H106" s="36" t="s">
        <v>29</v>
      </c>
      <c r="I106" s="100">
        <v>0.16070000000000001</v>
      </c>
      <c r="J106" s="37">
        <v>27</v>
      </c>
      <c r="K106" s="38">
        <v>45989</v>
      </c>
      <c r="L106" s="37">
        <v>8</v>
      </c>
      <c r="M106" s="37">
        <v>0</v>
      </c>
      <c r="N106" s="37">
        <v>0</v>
      </c>
      <c r="O106" s="39" t="s">
        <v>52</v>
      </c>
      <c r="P106" s="101">
        <v>0.29166666666666669</v>
      </c>
      <c r="Q106" s="37">
        <v>168</v>
      </c>
      <c r="R106" s="40" t="s">
        <v>125</v>
      </c>
    </row>
    <row r="107" spans="1:18" ht="18" x14ac:dyDescent="0.3">
      <c r="A107" s="150" t="s">
        <v>31</v>
      </c>
      <c r="B107" s="151"/>
      <c r="C107" s="151"/>
      <c r="D107" s="151"/>
      <c r="E107" s="151"/>
      <c r="F107" s="152"/>
      <c r="G107" s="145"/>
      <c r="H107" s="11"/>
      <c r="I107" s="11"/>
      <c r="J107" s="11"/>
      <c r="K107" s="11"/>
      <c r="L107" s="11"/>
      <c r="M107" s="11"/>
      <c r="N107" s="11"/>
      <c r="O107" s="12"/>
      <c r="P107" s="11"/>
      <c r="Q107" s="2"/>
      <c r="R107" s="2"/>
    </row>
    <row r="108" spans="1:18" ht="15" customHeight="1" x14ac:dyDescent="0.3">
      <c r="A108" s="13" t="s">
        <v>57</v>
      </c>
      <c r="B108" s="13" t="s">
        <v>58</v>
      </c>
      <c r="C108" s="87" t="s">
        <v>59</v>
      </c>
      <c r="D108" s="13" t="s">
        <v>60</v>
      </c>
      <c r="E108" s="13" t="s">
        <v>126</v>
      </c>
      <c r="F108" s="13" t="s">
        <v>107</v>
      </c>
      <c r="G108" s="145"/>
      <c r="H108" s="11"/>
      <c r="I108" s="11"/>
      <c r="J108" s="11"/>
      <c r="K108" s="11"/>
      <c r="L108" s="11"/>
      <c r="M108" s="11"/>
      <c r="N108" s="11"/>
      <c r="O108" s="12"/>
      <c r="P108" s="11"/>
      <c r="Q108" s="2"/>
      <c r="R108" s="2"/>
    </row>
    <row r="109" spans="1:18" ht="15" customHeight="1" x14ac:dyDescent="0.3">
      <c r="A109" s="13" t="s">
        <v>57</v>
      </c>
      <c r="B109" s="13" t="s">
        <v>58</v>
      </c>
      <c r="C109" s="87" t="s">
        <v>59</v>
      </c>
      <c r="D109" s="13" t="s">
        <v>63</v>
      </c>
      <c r="E109" s="13" t="s">
        <v>126</v>
      </c>
      <c r="F109" s="13" t="s">
        <v>108</v>
      </c>
      <c r="G109" s="145"/>
      <c r="H109" s="11"/>
      <c r="I109" s="11"/>
      <c r="J109" s="11"/>
      <c r="K109" s="11"/>
      <c r="L109" s="11"/>
      <c r="M109" s="11"/>
      <c r="N109" s="11"/>
      <c r="O109" s="12"/>
      <c r="P109" s="11"/>
      <c r="Q109" s="2"/>
      <c r="R109" s="2"/>
    </row>
    <row r="110" spans="1:18" ht="15" customHeight="1" x14ac:dyDescent="0.3">
      <c r="A110" s="13" t="s">
        <v>57</v>
      </c>
      <c r="B110" s="13" t="s">
        <v>58</v>
      </c>
      <c r="C110" s="87" t="s">
        <v>59</v>
      </c>
      <c r="D110" s="13" t="s">
        <v>65</v>
      </c>
      <c r="E110" s="13" t="s">
        <v>126</v>
      </c>
      <c r="F110" s="13" t="s">
        <v>66</v>
      </c>
      <c r="G110" s="145"/>
      <c r="H110" s="11"/>
      <c r="I110" s="11"/>
      <c r="J110" s="11"/>
      <c r="K110" s="11"/>
      <c r="L110" s="11"/>
      <c r="M110" s="11"/>
      <c r="N110" s="11"/>
      <c r="O110" s="12"/>
      <c r="P110" s="11"/>
      <c r="Q110" s="2"/>
      <c r="R110" s="2"/>
    </row>
    <row r="111" spans="1:18" ht="15" customHeight="1" x14ac:dyDescent="0.3">
      <c r="A111" s="13" t="s">
        <v>32</v>
      </c>
      <c r="B111" s="13" t="s">
        <v>33</v>
      </c>
      <c r="C111" s="87" t="s">
        <v>54</v>
      </c>
      <c r="D111" s="13" t="s">
        <v>34</v>
      </c>
      <c r="E111" s="13" t="s">
        <v>92</v>
      </c>
      <c r="F111" s="13" t="s">
        <v>97</v>
      </c>
      <c r="G111" s="145"/>
      <c r="H111" s="11"/>
      <c r="I111" s="11"/>
      <c r="J111" s="11"/>
      <c r="K111" s="11"/>
      <c r="L111" s="11"/>
      <c r="M111" s="11"/>
      <c r="N111" s="11"/>
      <c r="O111" s="12"/>
      <c r="P111" s="11"/>
      <c r="Q111" s="2"/>
      <c r="R111" s="2"/>
    </row>
    <row r="112" spans="1:18" ht="15" customHeight="1" x14ac:dyDescent="0.3">
      <c r="A112" s="13" t="s">
        <v>32</v>
      </c>
      <c r="B112" s="13" t="s">
        <v>33</v>
      </c>
      <c r="C112" s="87" t="s">
        <v>54</v>
      </c>
      <c r="D112" s="13" t="s">
        <v>37</v>
      </c>
      <c r="E112" s="13" t="s">
        <v>92</v>
      </c>
      <c r="F112" s="13" t="s">
        <v>98</v>
      </c>
      <c r="G112" s="145"/>
      <c r="H112" s="11"/>
      <c r="I112" s="11"/>
      <c r="J112" s="11"/>
      <c r="K112" s="11"/>
      <c r="L112" s="11"/>
      <c r="M112" s="11"/>
      <c r="N112" s="11"/>
      <c r="O112" s="12"/>
      <c r="P112" s="11"/>
      <c r="Q112" s="2"/>
      <c r="R112" s="2"/>
    </row>
    <row r="113" spans="1:18" ht="15" customHeight="1" x14ac:dyDescent="0.3">
      <c r="A113" s="13" t="s">
        <v>32</v>
      </c>
      <c r="B113" s="13" t="s">
        <v>33</v>
      </c>
      <c r="C113" s="87" t="s">
        <v>54</v>
      </c>
      <c r="D113" s="13" t="s">
        <v>39</v>
      </c>
      <c r="E113" s="13" t="s">
        <v>92</v>
      </c>
      <c r="F113" s="13" t="s">
        <v>99</v>
      </c>
      <c r="G113" s="145"/>
      <c r="H113" s="11"/>
      <c r="I113" s="11"/>
      <c r="J113" s="11"/>
      <c r="K113" s="11"/>
      <c r="L113" s="11"/>
      <c r="M113" s="11"/>
      <c r="N113" s="11"/>
      <c r="O113" s="12"/>
      <c r="P113" s="11"/>
      <c r="Q113" s="2"/>
      <c r="R113" s="2"/>
    </row>
    <row r="114" spans="1:18" ht="15" customHeight="1" x14ac:dyDescent="0.3">
      <c r="A114" s="13" t="s">
        <v>41</v>
      </c>
      <c r="B114" s="13" t="s">
        <v>42</v>
      </c>
      <c r="C114" s="87" t="s">
        <v>43</v>
      </c>
      <c r="D114" s="13" t="s">
        <v>84</v>
      </c>
      <c r="E114" s="13" t="s">
        <v>45</v>
      </c>
      <c r="F114" s="13" t="s">
        <v>85</v>
      </c>
      <c r="G114" s="145"/>
      <c r="H114" s="11"/>
      <c r="I114" s="11"/>
      <c r="J114" s="11"/>
      <c r="K114" s="11"/>
      <c r="L114" s="11"/>
      <c r="M114" s="11"/>
      <c r="N114" s="11"/>
      <c r="O114" s="12"/>
      <c r="P114" s="11"/>
      <c r="Q114" s="2"/>
      <c r="R114" s="2"/>
    </row>
    <row r="115" spans="1:18" ht="15" customHeight="1" x14ac:dyDescent="0.3">
      <c r="A115" s="13" t="s">
        <v>41</v>
      </c>
      <c r="B115" s="13" t="s">
        <v>68</v>
      </c>
      <c r="C115" s="87" t="s">
        <v>69</v>
      </c>
      <c r="D115" s="13" t="s">
        <v>84</v>
      </c>
      <c r="E115" s="13" t="s">
        <v>45</v>
      </c>
      <c r="F115" s="13" t="s">
        <v>127</v>
      </c>
      <c r="G115" s="145"/>
      <c r="H115" s="11"/>
      <c r="I115" s="11"/>
      <c r="J115" s="11"/>
      <c r="K115" s="11"/>
      <c r="L115" s="11"/>
      <c r="M115" s="11"/>
      <c r="N115" s="11"/>
      <c r="O115" s="12"/>
      <c r="P115" s="11"/>
      <c r="Q115" s="2"/>
      <c r="R115" s="2"/>
    </row>
    <row r="116" spans="1:18" ht="15" customHeight="1" x14ac:dyDescent="0.3">
      <c r="A116" s="13" t="s">
        <v>41</v>
      </c>
      <c r="B116" s="13" t="s">
        <v>71</v>
      </c>
      <c r="C116" s="87" t="s">
        <v>72</v>
      </c>
      <c r="D116" s="13" t="s">
        <v>84</v>
      </c>
      <c r="E116" s="13" t="s">
        <v>45</v>
      </c>
      <c r="F116" s="13" t="s">
        <v>85</v>
      </c>
      <c r="G116" s="145"/>
      <c r="H116" s="11"/>
      <c r="I116" s="11"/>
      <c r="J116" s="11"/>
      <c r="K116" s="11"/>
      <c r="L116" s="11"/>
      <c r="M116" s="11"/>
      <c r="N116" s="11"/>
      <c r="O116" s="12"/>
      <c r="P116" s="11"/>
      <c r="Q116" s="2"/>
      <c r="R116" s="2"/>
    </row>
    <row r="117" spans="1:18" ht="15" customHeight="1" x14ac:dyDescent="0.3">
      <c r="A117" s="13" t="s">
        <v>46</v>
      </c>
      <c r="B117" s="13" t="s">
        <v>47</v>
      </c>
      <c r="C117" s="87" t="s">
        <v>48</v>
      </c>
      <c r="D117" s="13" t="s">
        <v>128</v>
      </c>
      <c r="E117" s="13" t="s">
        <v>45</v>
      </c>
      <c r="F117" s="13" t="s">
        <v>101</v>
      </c>
      <c r="G117" s="145"/>
      <c r="H117" s="11"/>
      <c r="I117" s="11"/>
      <c r="J117" s="11"/>
      <c r="K117" s="11"/>
      <c r="L117" s="11"/>
      <c r="M117" s="11"/>
      <c r="N117" s="11"/>
      <c r="O117" s="12"/>
      <c r="P117" s="11"/>
      <c r="Q117" s="2"/>
      <c r="R117" s="2"/>
    </row>
    <row r="118" spans="1:18" ht="15" customHeight="1" x14ac:dyDescent="0.3">
      <c r="A118" s="13" t="s">
        <v>26</v>
      </c>
      <c r="B118" s="13" t="s">
        <v>74</v>
      </c>
      <c r="C118" s="87" t="s">
        <v>75</v>
      </c>
      <c r="D118" s="13" t="s">
        <v>49</v>
      </c>
      <c r="E118" s="13" t="s">
        <v>45</v>
      </c>
      <c r="F118" s="13" t="s">
        <v>76</v>
      </c>
      <c r="G118" s="145"/>
      <c r="H118" s="11"/>
      <c r="I118" s="11"/>
      <c r="J118" s="11"/>
      <c r="K118" s="11"/>
      <c r="L118" s="11"/>
      <c r="M118" s="11"/>
      <c r="N118" s="11"/>
      <c r="O118" s="12"/>
      <c r="P118" s="11"/>
      <c r="Q118" s="2"/>
      <c r="R118" s="2"/>
    </row>
    <row r="119" spans="1:18" ht="15" customHeight="1" thickBot="1" x14ac:dyDescent="0.35">
      <c r="A119" s="14" t="s">
        <v>77</v>
      </c>
      <c r="B119" s="14" t="s">
        <v>78</v>
      </c>
      <c r="C119" s="88" t="s">
        <v>59</v>
      </c>
      <c r="D119" s="14" t="s">
        <v>79</v>
      </c>
      <c r="E119" s="14" t="s">
        <v>35</v>
      </c>
      <c r="F119" s="14" t="s">
        <v>88</v>
      </c>
      <c r="G119" s="146"/>
      <c r="H119" s="15"/>
      <c r="I119" s="15"/>
      <c r="J119" s="15"/>
      <c r="K119" s="15"/>
      <c r="L119" s="15"/>
      <c r="M119" s="15"/>
      <c r="N119" s="15"/>
      <c r="O119" s="16"/>
      <c r="P119" s="15"/>
      <c r="Q119" s="17"/>
      <c r="R119" s="17"/>
    </row>
    <row r="120" spans="1:18" ht="17.399999999999999" customHeight="1" thickBot="1" x14ac:dyDescent="0.35">
      <c r="A120" s="140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2"/>
    </row>
    <row r="121" spans="1:18" ht="22.05" customHeight="1" thickTop="1" thickBot="1" x14ac:dyDescent="0.35">
      <c r="A121" s="143" t="s">
        <v>6</v>
      </c>
      <c r="B121" s="138"/>
      <c r="C121" s="138"/>
      <c r="D121" s="138"/>
      <c r="E121" s="138"/>
      <c r="F121" s="139"/>
      <c r="G121" s="89">
        <v>46020</v>
      </c>
      <c r="H121" s="137" t="s">
        <v>7</v>
      </c>
      <c r="I121" s="138"/>
      <c r="J121" s="138"/>
      <c r="K121" s="138"/>
      <c r="L121" s="138"/>
      <c r="M121" s="138"/>
      <c r="N121" s="138"/>
      <c r="O121" s="138"/>
      <c r="P121" s="138"/>
      <c r="Q121" s="138"/>
      <c r="R121" s="139"/>
    </row>
    <row r="122" spans="1:18" ht="24" customHeight="1" x14ac:dyDescent="0.3">
      <c r="A122" s="18" t="s">
        <v>8</v>
      </c>
      <c r="B122" s="18" t="s">
        <v>9</v>
      </c>
      <c r="C122" s="90" t="s">
        <v>10</v>
      </c>
      <c r="D122" s="18" t="s">
        <v>11</v>
      </c>
      <c r="E122" s="18" t="s">
        <v>12</v>
      </c>
      <c r="F122" s="19" t="s">
        <v>13</v>
      </c>
      <c r="G122" s="20" t="s">
        <v>14</v>
      </c>
      <c r="H122" s="18" t="s">
        <v>15</v>
      </c>
      <c r="I122" s="91" t="s">
        <v>16</v>
      </c>
      <c r="J122" s="21" t="s">
        <v>17</v>
      </c>
      <c r="K122" s="22" t="s">
        <v>18</v>
      </c>
      <c r="L122" s="21" t="s">
        <v>19</v>
      </c>
      <c r="M122" s="21" t="s">
        <v>20</v>
      </c>
      <c r="N122" s="21" t="s">
        <v>21</v>
      </c>
      <c r="O122" s="18" t="s">
        <v>22</v>
      </c>
      <c r="P122" s="90" t="s">
        <v>23</v>
      </c>
      <c r="Q122" s="21" t="s">
        <v>24</v>
      </c>
      <c r="R122" s="18" t="s">
        <v>25</v>
      </c>
    </row>
    <row r="123" spans="1:18" ht="15" customHeight="1" x14ac:dyDescent="0.3">
      <c r="A123" s="47" t="s">
        <v>26</v>
      </c>
      <c r="B123" s="47" t="s">
        <v>27</v>
      </c>
      <c r="C123" s="105">
        <v>0.51041666666666663</v>
      </c>
      <c r="D123" s="47" t="s">
        <v>49</v>
      </c>
      <c r="E123" s="47" t="s">
        <v>45</v>
      </c>
      <c r="F123" s="47" t="s">
        <v>104</v>
      </c>
      <c r="G123" s="144"/>
      <c r="H123" s="48" t="s">
        <v>29</v>
      </c>
      <c r="I123" s="106">
        <v>0.13100000000000001</v>
      </c>
      <c r="J123" s="49">
        <v>22</v>
      </c>
      <c r="K123" s="50">
        <v>45989</v>
      </c>
      <c r="L123" s="49">
        <v>3</v>
      </c>
      <c r="M123" s="49">
        <v>0</v>
      </c>
      <c r="N123" s="49">
        <v>0</v>
      </c>
      <c r="O123" s="51" t="s">
        <v>129</v>
      </c>
      <c r="P123" s="107">
        <v>0.51041666666666663</v>
      </c>
      <c r="Q123" s="49">
        <v>168</v>
      </c>
      <c r="R123" s="52" t="s">
        <v>130</v>
      </c>
    </row>
    <row r="124" spans="1:18" ht="18" x14ac:dyDescent="0.3">
      <c r="A124" s="150" t="s">
        <v>31</v>
      </c>
      <c r="B124" s="151"/>
      <c r="C124" s="151"/>
      <c r="D124" s="151"/>
      <c r="E124" s="151"/>
      <c r="F124" s="152"/>
      <c r="G124" s="145"/>
      <c r="H124" s="11"/>
      <c r="I124" s="11"/>
      <c r="J124" s="11"/>
      <c r="K124" s="11"/>
      <c r="L124" s="11"/>
      <c r="M124" s="11"/>
      <c r="N124" s="11"/>
      <c r="O124" s="12"/>
      <c r="P124" s="11"/>
      <c r="Q124" s="2"/>
      <c r="R124" s="2"/>
    </row>
    <row r="125" spans="1:18" ht="15" customHeight="1" x14ac:dyDescent="0.3">
      <c r="A125" s="13" t="s">
        <v>32</v>
      </c>
      <c r="B125" s="13" t="s">
        <v>33</v>
      </c>
      <c r="C125" s="87" t="s">
        <v>54</v>
      </c>
      <c r="D125" s="13" t="s">
        <v>34</v>
      </c>
      <c r="E125" s="13" t="s">
        <v>109</v>
      </c>
      <c r="F125" s="13" t="s">
        <v>97</v>
      </c>
      <c r="G125" s="145"/>
      <c r="H125" s="11"/>
      <c r="I125" s="11"/>
      <c r="J125" s="11"/>
      <c r="K125" s="11"/>
      <c r="L125" s="11"/>
      <c r="M125" s="11"/>
      <c r="N125" s="11"/>
      <c r="O125" s="12"/>
      <c r="P125" s="11"/>
      <c r="Q125" s="2"/>
      <c r="R125" s="2"/>
    </row>
    <row r="126" spans="1:18" ht="15" customHeight="1" x14ac:dyDescent="0.3">
      <c r="A126" s="13" t="s">
        <v>32</v>
      </c>
      <c r="B126" s="13" t="s">
        <v>33</v>
      </c>
      <c r="C126" s="87" t="s">
        <v>54</v>
      </c>
      <c r="D126" s="13" t="s">
        <v>37</v>
      </c>
      <c r="E126" s="13" t="s">
        <v>109</v>
      </c>
      <c r="F126" s="13" t="s">
        <v>98</v>
      </c>
      <c r="G126" s="145"/>
      <c r="H126" s="11"/>
      <c r="I126" s="11"/>
      <c r="J126" s="11"/>
      <c r="K126" s="11"/>
      <c r="L126" s="11"/>
      <c r="M126" s="11"/>
      <c r="N126" s="11"/>
      <c r="O126" s="12"/>
      <c r="P126" s="11"/>
      <c r="Q126" s="2"/>
      <c r="R126" s="2"/>
    </row>
    <row r="127" spans="1:18" ht="15" customHeight="1" x14ac:dyDescent="0.3">
      <c r="A127" s="13" t="s">
        <v>32</v>
      </c>
      <c r="B127" s="13" t="s">
        <v>33</v>
      </c>
      <c r="C127" s="87" t="s">
        <v>54</v>
      </c>
      <c r="D127" s="13" t="s">
        <v>39</v>
      </c>
      <c r="E127" s="13" t="s">
        <v>109</v>
      </c>
      <c r="F127" s="13" t="s">
        <v>99</v>
      </c>
      <c r="G127" s="145"/>
      <c r="H127" s="11"/>
      <c r="I127" s="11"/>
      <c r="J127" s="11"/>
      <c r="K127" s="11"/>
      <c r="L127" s="11"/>
      <c r="M127" s="11"/>
      <c r="N127" s="11"/>
      <c r="O127" s="12"/>
      <c r="P127" s="11"/>
      <c r="Q127" s="2"/>
      <c r="R127" s="2"/>
    </row>
    <row r="128" spans="1:18" ht="15" customHeight="1" x14ac:dyDescent="0.3">
      <c r="A128" s="13" t="s">
        <v>32</v>
      </c>
      <c r="B128" s="13" t="s">
        <v>113</v>
      </c>
      <c r="C128" s="87" t="s">
        <v>114</v>
      </c>
      <c r="D128" s="13" t="s">
        <v>34</v>
      </c>
      <c r="E128" s="13" t="s">
        <v>109</v>
      </c>
      <c r="F128" s="13" t="s">
        <v>97</v>
      </c>
      <c r="G128" s="145"/>
      <c r="H128" s="11"/>
      <c r="I128" s="11"/>
      <c r="J128" s="11"/>
      <c r="K128" s="11"/>
      <c r="L128" s="11"/>
      <c r="M128" s="11"/>
      <c r="N128" s="11"/>
      <c r="O128" s="12"/>
      <c r="P128" s="11"/>
      <c r="Q128" s="2"/>
      <c r="R128" s="2"/>
    </row>
    <row r="129" spans="1:18" ht="15" customHeight="1" x14ac:dyDescent="0.3">
      <c r="A129" s="13" t="s">
        <v>32</v>
      </c>
      <c r="B129" s="13" t="s">
        <v>113</v>
      </c>
      <c r="C129" s="87" t="s">
        <v>114</v>
      </c>
      <c r="D129" s="13" t="s">
        <v>37</v>
      </c>
      <c r="E129" s="13" t="s">
        <v>109</v>
      </c>
      <c r="F129" s="13" t="s">
        <v>98</v>
      </c>
      <c r="G129" s="145"/>
      <c r="H129" s="11"/>
      <c r="I129" s="11"/>
      <c r="J129" s="11"/>
      <c r="K129" s="11"/>
      <c r="L129" s="11"/>
      <c r="M129" s="11"/>
      <c r="N129" s="11"/>
      <c r="O129" s="12"/>
      <c r="P129" s="11"/>
      <c r="Q129" s="2"/>
      <c r="R129" s="2"/>
    </row>
    <row r="130" spans="1:18" ht="15" customHeight="1" x14ac:dyDescent="0.3">
      <c r="A130" s="13" t="s">
        <v>32</v>
      </c>
      <c r="B130" s="13" t="s">
        <v>113</v>
      </c>
      <c r="C130" s="87" t="s">
        <v>114</v>
      </c>
      <c r="D130" s="13" t="s">
        <v>39</v>
      </c>
      <c r="E130" s="13" t="s">
        <v>109</v>
      </c>
      <c r="F130" s="13" t="s">
        <v>99</v>
      </c>
      <c r="G130" s="145"/>
      <c r="H130" s="11"/>
      <c r="I130" s="11"/>
      <c r="J130" s="11"/>
      <c r="K130" s="11"/>
      <c r="L130" s="11"/>
      <c r="M130" s="11"/>
      <c r="N130" s="11"/>
      <c r="O130" s="12"/>
      <c r="P130" s="11"/>
      <c r="Q130" s="2"/>
      <c r="R130" s="2"/>
    </row>
    <row r="131" spans="1:18" ht="15" customHeight="1" x14ac:dyDescent="0.3">
      <c r="A131" s="13" t="s">
        <v>41</v>
      </c>
      <c r="B131" s="13" t="s">
        <v>42</v>
      </c>
      <c r="C131" s="87" t="s">
        <v>43</v>
      </c>
      <c r="D131" s="13" t="s">
        <v>84</v>
      </c>
      <c r="E131" s="13" t="s">
        <v>45</v>
      </c>
      <c r="F131" s="13" t="s">
        <v>85</v>
      </c>
      <c r="G131" s="145"/>
      <c r="H131" s="11"/>
      <c r="I131" s="11"/>
      <c r="J131" s="11"/>
      <c r="K131" s="11"/>
      <c r="L131" s="11"/>
      <c r="M131" s="11"/>
      <c r="N131" s="11"/>
      <c r="O131" s="12"/>
      <c r="P131" s="11"/>
      <c r="Q131" s="2"/>
      <c r="R131" s="2"/>
    </row>
    <row r="132" spans="1:18" ht="15" customHeight="1" x14ac:dyDescent="0.3">
      <c r="A132" s="13" t="s">
        <v>41</v>
      </c>
      <c r="B132" s="13" t="s">
        <v>68</v>
      </c>
      <c r="C132" s="87" t="s">
        <v>69</v>
      </c>
      <c r="D132" s="13" t="s">
        <v>84</v>
      </c>
      <c r="E132" s="13" t="s">
        <v>45</v>
      </c>
      <c r="F132" s="13" t="s">
        <v>85</v>
      </c>
      <c r="G132" s="145"/>
      <c r="H132" s="11"/>
      <c r="I132" s="11"/>
      <c r="J132" s="11"/>
      <c r="K132" s="11"/>
      <c r="L132" s="11"/>
      <c r="M132" s="11"/>
      <c r="N132" s="11"/>
      <c r="O132" s="12"/>
      <c r="P132" s="11"/>
      <c r="Q132" s="2"/>
      <c r="R132" s="2"/>
    </row>
    <row r="133" spans="1:18" ht="15" customHeight="1" x14ac:dyDescent="0.3">
      <c r="A133" s="13" t="s">
        <v>41</v>
      </c>
      <c r="B133" s="13" t="s">
        <v>71</v>
      </c>
      <c r="C133" s="87" t="s">
        <v>72</v>
      </c>
      <c r="D133" s="13" t="s">
        <v>84</v>
      </c>
      <c r="E133" s="13" t="s">
        <v>45</v>
      </c>
      <c r="F133" s="13" t="s">
        <v>85</v>
      </c>
      <c r="G133" s="145"/>
      <c r="H133" s="11"/>
      <c r="I133" s="11"/>
      <c r="J133" s="11"/>
      <c r="K133" s="11"/>
      <c r="L133" s="11"/>
      <c r="M133" s="11"/>
      <c r="N133" s="11"/>
      <c r="O133" s="12"/>
      <c r="P133" s="11"/>
      <c r="Q133" s="2"/>
      <c r="R133" s="2"/>
    </row>
    <row r="134" spans="1:18" ht="15" customHeight="1" x14ac:dyDescent="0.3">
      <c r="A134" s="13" t="s">
        <v>46</v>
      </c>
      <c r="B134" s="13" t="s">
        <v>47</v>
      </c>
      <c r="C134" s="87" t="s">
        <v>48</v>
      </c>
      <c r="D134" s="13" t="s">
        <v>128</v>
      </c>
      <c r="E134" s="13" t="s">
        <v>45</v>
      </c>
      <c r="F134" s="13" t="s">
        <v>101</v>
      </c>
      <c r="G134" s="145"/>
      <c r="H134" s="11"/>
      <c r="I134" s="11"/>
      <c r="J134" s="11"/>
      <c r="K134" s="11"/>
      <c r="L134" s="11"/>
      <c r="M134" s="11"/>
      <c r="N134" s="11"/>
      <c r="O134" s="12"/>
      <c r="P134" s="11"/>
      <c r="Q134" s="2"/>
      <c r="R134" s="2"/>
    </row>
    <row r="135" spans="1:18" ht="15" customHeight="1" x14ac:dyDescent="0.3">
      <c r="A135" s="13" t="s">
        <v>121</v>
      </c>
      <c r="B135" s="13" t="s">
        <v>122</v>
      </c>
      <c r="C135" s="87" t="s">
        <v>131</v>
      </c>
      <c r="D135" s="13" t="s">
        <v>128</v>
      </c>
      <c r="E135" s="13" t="s">
        <v>96</v>
      </c>
      <c r="F135" s="13" t="s">
        <v>124</v>
      </c>
      <c r="G135" s="145"/>
      <c r="H135" s="11"/>
      <c r="I135" s="11"/>
      <c r="J135" s="11"/>
      <c r="K135" s="11"/>
      <c r="L135" s="11"/>
      <c r="M135" s="11"/>
      <c r="N135" s="11"/>
      <c r="O135" s="12"/>
      <c r="P135" s="11"/>
      <c r="Q135" s="2"/>
      <c r="R135" s="2"/>
    </row>
    <row r="136" spans="1:18" ht="15" customHeight="1" x14ac:dyDescent="0.3">
      <c r="A136" s="13" t="s">
        <v>77</v>
      </c>
      <c r="B136" s="13" t="s">
        <v>78</v>
      </c>
      <c r="C136" s="87" t="s">
        <v>59</v>
      </c>
      <c r="D136" s="13" t="s">
        <v>79</v>
      </c>
      <c r="E136" s="13" t="s">
        <v>35</v>
      </c>
      <c r="F136" s="13" t="s">
        <v>88</v>
      </c>
      <c r="G136" s="145"/>
      <c r="H136" s="11"/>
      <c r="I136" s="11"/>
      <c r="J136" s="11"/>
      <c r="K136" s="11"/>
      <c r="L136" s="11"/>
      <c r="M136" s="11"/>
      <c r="N136" s="11"/>
      <c r="O136" s="12"/>
      <c r="P136" s="11"/>
      <c r="Q136" s="2"/>
      <c r="R136" s="2"/>
    </row>
    <row r="137" spans="1:18" ht="15" customHeight="1" x14ac:dyDescent="0.3">
      <c r="A137" s="13" t="s">
        <v>57</v>
      </c>
      <c r="B137" s="13" t="s">
        <v>58</v>
      </c>
      <c r="C137" s="87" t="s">
        <v>59</v>
      </c>
      <c r="D137" s="13" t="s">
        <v>60</v>
      </c>
      <c r="E137" s="13" t="s">
        <v>132</v>
      </c>
      <c r="F137" s="13" t="s">
        <v>107</v>
      </c>
      <c r="G137" s="145"/>
      <c r="H137" s="11"/>
      <c r="I137" s="11"/>
      <c r="J137" s="11"/>
      <c r="K137" s="11"/>
      <c r="L137" s="11"/>
      <c r="M137" s="11"/>
      <c r="N137" s="11"/>
      <c r="O137" s="12"/>
      <c r="P137" s="11"/>
      <c r="Q137" s="2"/>
      <c r="R137" s="2"/>
    </row>
    <row r="138" spans="1:18" ht="15" customHeight="1" x14ac:dyDescent="0.3">
      <c r="A138" s="13" t="s">
        <v>57</v>
      </c>
      <c r="B138" s="13" t="s">
        <v>58</v>
      </c>
      <c r="C138" s="87" t="s">
        <v>59</v>
      </c>
      <c r="D138" s="13" t="s">
        <v>63</v>
      </c>
      <c r="E138" s="13" t="s">
        <v>132</v>
      </c>
      <c r="F138" s="13" t="s">
        <v>108</v>
      </c>
      <c r="G138" s="145"/>
      <c r="H138" s="11"/>
      <c r="I138" s="11"/>
      <c r="J138" s="11"/>
      <c r="K138" s="11"/>
      <c r="L138" s="11"/>
      <c r="M138" s="11"/>
      <c r="N138" s="11"/>
      <c r="O138" s="12"/>
      <c r="P138" s="11"/>
      <c r="Q138" s="2"/>
      <c r="R138" s="2"/>
    </row>
    <row r="139" spans="1:18" ht="15" customHeight="1" thickBot="1" x14ac:dyDescent="0.35">
      <c r="A139" s="14" t="s">
        <v>57</v>
      </c>
      <c r="B139" s="14" t="s">
        <v>58</v>
      </c>
      <c r="C139" s="88" t="s">
        <v>59</v>
      </c>
      <c r="D139" s="14" t="s">
        <v>65</v>
      </c>
      <c r="E139" s="14" t="s">
        <v>132</v>
      </c>
      <c r="F139" s="14" t="s">
        <v>66</v>
      </c>
      <c r="G139" s="146"/>
      <c r="H139" s="15"/>
      <c r="I139" s="15"/>
      <c r="J139" s="15"/>
      <c r="K139" s="15"/>
      <c r="L139" s="15"/>
      <c r="M139" s="15"/>
      <c r="N139" s="15"/>
      <c r="O139" s="16"/>
      <c r="P139" s="15"/>
      <c r="Q139" s="17"/>
      <c r="R139" s="17"/>
    </row>
    <row r="140" spans="1:18" ht="17.399999999999999" customHeight="1" thickBot="1" x14ac:dyDescent="0.35">
      <c r="A140" s="140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2"/>
    </row>
    <row r="141" spans="1:18" ht="22.05" customHeight="1" thickTop="1" thickBot="1" x14ac:dyDescent="0.35">
      <c r="A141" s="143" t="s">
        <v>6</v>
      </c>
      <c r="B141" s="138"/>
      <c r="C141" s="138"/>
      <c r="D141" s="138"/>
      <c r="E141" s="138"/>
      <c r="F141" s="139"/>
      <c r="G141" s="89">
        <v>46024</v>
      </c>
      <c r="H141" s="137" t="s">
        <v>7</v>
      </c>
      <c r="I141" s="138"/>
      <c r="J141" s="138"/>
      <c r="K141" s="138"/>
      <c r="L141" s="138"/>
      <c r="M141" s="138"/>
      <c r="N141" s="138"/>
      <c r="O141" s="138"/>
      <c r="P141" s="138"/>
      <c r="Q141" s="138"/>
      <c r="R141" s="139"/>
    </row>
    <row r="142" spans="1:18" ht="24" customHeight="1" x14ac:dyDescent="0.3">
      <c r="A142" s="18" t="s">
        <v>8</v>
      </c>
      <c r="B142" s="18" t="s">
        <v>9</v>
      </c>
      <c r="C142" s="90" t="s">
        <v>10</v>
      </c>
      <c r="D142" s="18" t="s">
        <v>11</v>
      </c>
      <c r="E142" s="18" t="s">
        <v>12</v>
      </c>
      <c r="F142" s="19" t="s">
        <v>13</v>
      </c>
      <c r="G142" s="20" t="s">
        <v>14</v>
      </c>
      <c r="H142" s="18" t="s">
        <v>15</v>
      </c>
      <c r="I142" s="91" t="s">
        <v>16</v>
      </c>
      <c r="J142" s="21" t="s">
        <v>17</v>
      </c>
      <c r="K142" s="22" t="s">
        <v>18</v>
      </c>
      <c r="L142" s="21" t="s">
        <v>19</v>
      </c>
      <c r="M142" s="21" t="s">
        <v>20</v>
      </c>
      <c r="N142" s="21" t="s">
        <v>21</v>
      </c>
      <c r="O142" s="18" t="s">
        <v>22</v>
      </c>
      <c r="P142" s="90" t="s">
        <v>23</v>
      </c>
      <c r="Q142" s="21" t="s">
        <v>24</v>
      </c>
      <c r="R142" s="18" t="s">
        <v>25</v>
      </c>
    </row>
    <row r="143" spans="1:18" ht="15" customHeight="1" x14ac:dyDescent="0.3">
      <c r="A143" s="53" t="s">
        <v>26</v>
      </c>
      <c r="B143" s="53" t="s">
        <v>27</v>
      </c>
      <c r="C143" s="108">
        <v>0.29166666666666669</v>
      </c>
      <c r="D143" s="53" t="s">
        <v>128</v>
      </c>
      <c r="E143" s="53" t="s">
        <v>45</v>
      </c>
      <c r="F143" s="53" t="s">
        <v>81</v>
      </c>
      <c r="G143" s="144"/>
      <c r="H143" s="54" t="s">
        <v>29</v>
      </c>
      <c r="I143" s="109">
        <v>4.1700000000000001E-2</v>
      </c>
      <c r="J143" s="55">
        <v>7</v>
      </c>
      <c r="K143" s="56">
        <v>46356</v>
      </c>
      <c r="L143" s="55">
        <v>7</v>
      </c>
      <c r="M143" s="55">
        <v>0</v>
      </c>
      <c r="N143" s="55">
        <v>0</v>
      </c>
      <c r="O143" s="57" t="s">
        <v>82</v>
      </c>
      <c r="P143" s="110">
        <v>0.29166666666666669</v>
      </c>
      <c r="Q143" s="55">
        <v>168</v>
      </c>
      <c r="R143" s="58" t="s">
        <v>133</v>
      </c>
    </row>
    <row r="144" spans="1:18" ht="18" x14ac:dyDescent="0.3">
      <c r="A144" s="150" t="s">
        <v>31</v>
      </c>
      <c r="B144" s="151"/>
      <c r="C144" s="151"/>
      <c r="D144" s="151"/>
      <c r="E144" s="151"/>
      <c r="F144" s="152"/>
      <c r="G144" s="145"/>
      <c r="H144" s="11"/>
      <c r="I144" s="11"/>
      <c r="J144" s="11"/>
      <c r="K144" s="11"/>
      <c r="L144" s="11"/>
      <c r="M144" s="11"/>
      <c r="N144" s="11"/>
      <c r="O144" s="12"/>
      <c r="P144" s="11"/>
      <c r="Q144" s="2"/>
      <c r="R144" s="2"/>
    </row>
    <row r="145" spans="1:18" ht="15" customHeight="1" x14ac:dyDescent="0.3">
      <c r="A145" s="13" t="s">
        <v>57</v>
      </c>
      <c r="B145" s="13" t="s">
        <v>58</v>
      </c>
      <c r="C145" s="87" t="s">
        <v>59</v>
      </c>
      <c r="D145" s="13" t="s">
        <v>60</v>
      </c>
      <c r="E145" s="13" t="s">
        <v>134</v>
      </c>
      <c r="F145" s="13" t="s">
        <v>135</v>
      </c>
      <c r="G145" s="145"/>
      <c r="H145" s="11"/>
      <c r="I145" s="11"/>
      <c r="J145" s="11"/>
      <c r="K145" s="11"/>
      <c r="L145" s="11"/>
      <c r="M145" s="11"/>
      <c r="N145" s="11"/>
      <c r="O145" s="12"/>
      <c r="P145" s="11"/>
      <c r="Q145" s="2"/>
      <c r="R145" s="2"/>
    </row>
    <row r="146" spans="1:18" ht="15" customHeight="1" x14ac:dyDescent="0.3">
      <c r="A146" s="13" t="s">
        <v>57</v>
      </c>
      <c r="B146" s="13" t="s">
        <v>58</v>
      </c>
      <c r="C146" s="87" t="s">
        <v>59</v>
      </c>
      <c r="D146" s="13" t="s">
        <v>63</v>
      </c>
      <c r="E146" s="13" t="s">
        <v>134</v>
      </c>
      <c r="F146" s="13" t="s">
        <v>136</v>
      </c>
      <c r="G146" s="145"/>
      <c r="H146" s="11"/>
      <c r="I146" s="11"/>
      <c r="J146" s="11"/>
      <c r="K146" s="11"/>
      <c r="L146" s="11"/>
      <c r="M146" s="11"/>
      <c r="N146" s="11"/>
      <c r="O146" s="12"/>
      <c r="P146" s="11"/>
      <c r="Q146" s="2"/>
      <c r="R146" s="2"/>
    </row>
    <row r="147" spans="1:18" ht="15" customHeight="1" x14ac:dyDescent="0.3">
      <c r="A147" s="13" t="s">
        <v>57</v>
      </c>
      <c r="B147" s="13" t="s">
        <v>58</v>
      </c>
      <c r="C147" s="87" t="s">
        <v>59</v>
      </c>
      <c r="D147" s="13" t="s">
        <v>65</v>
      </c>
      <c r="E147" s="13" t="s">
        <v>134</v>
      </c>
      <c r="F147" s="13" t="s">
        <v>66</v>
      </c>
      <c r="G147" s="145"/>
      <c r="H147" s="11"/>
      <c r="I147" s="11"/>
      <c r="J147" s="11"/>
      <c r="K147" s="11"/>
      <c r="L147" s="11"/>
      <c r="M147" s="11"/>
      <c r="N147" s="11"/>
      <c r="O147" s="12"/>
      <c r="P147" s="11"/>
      <c r="Q147" s="2"/>
      <c r="R147" s="2"/>
    </row>
    <row r="148" spans="1:18" ht="15" customHeight="1" x14ac:dyDescent="0.3">
      <c r="A148" s="13" t="s">
        <v>32</v>
      </c>
      <c r="B148" s="13" t="s">
        <v>33</v>
      </c>
      <c r="C148" s="87" t="s">
        <v>54</v>
      </c>
      <c r="D148" s="13" t="s">
        <v>34</v>
      </c>
      <c r="E148" s="13" t="s">
        <v>55</v>
      </c>
      <c r="F148" s="13" t="s">
        <v>64</v>
      </c>
      <c r="G148" s="145"/>
      <c r="H148" s="11"/>
      <c r="I148" s="11"/>
      <c r="J148" s="11"/>
      <c r="K148" s="11"/>
      <c r="L148" s="11"/>
      <c r="M148" s="11"/>
      <c r="N148" s="11"/>
      <c r="O148" s="12"/>
      <c r="P148" s="11"/>
      <c r="Q148" s="2"/>
      <c r="R148" s="2"/>
    </row>
    <row r="149" spans="1:18" ht="15" customHeight="1" x14ac:dyDescent="0.3">
      <c r="A149" s="13" t="s">
        <v>32</v>
      </c>
      <c r="B149" s="13" t="s">
        <v>33</v>
      </c>
      <c r="C149" s="87" t="s">
        <v>54</v>
      </c>
      <c r="D149" s="13" t="s">
        <v>37</v>
      </c>
      <c r="E149" s="13" t="s">
        <v>55</v>
      </c>
      <c r="F149" s="13" t="s">
        <v>136</v>
      </c>
      <c r="G149" s="145"/>
      <c r="H149" s="11"/>
      <c r="I149" s="11"/>
      <c r="J149" s="11"/>
      <c r="K149" s="11"/>
      <c r="L149" s="11"/>
      <c r="M149" s="11"/>
      <c r="N149" s="11"/>
      <c r="O149" s="12"/>
      <c r="P149" s="11"/>
      <c r="Q149" s="2"/>
      <c r="R149" s="2"/>
    </row>
    <row r="150" spans="1:18" ht="15" customHeight="1" x14ac:dyDescent="0.3">
      <c r="A150" s="13" t="s">
        <v>32</v>
      </c>
      <c r="B150" s="13" t="s">
        <v>33</v>
      </c>
      <c r="C150" s="87" t="s">
        <v>54</v>
      </c>
      <c r="D150" s="13" t="s">
        <v>39</v>
      </c>
      <c r="E150" s="13" t="s">
        <v>55</v>
      </c>
      <c r="F150" s="13" t="s">
        <v>137</v>
      </c>
      <c r="G150" s="145"/>
      <c r="H150" s="11"/>
      <c r="I150" s="11"/>
      <c r="J150" s="11"/>
      <c r="K150" s="11"/>
      <c r="L150" s="11"/>
      <c r="M150" s="11"/>
      <c r="N150" s="11"/>
      <c r="O150" s="12"/>
      <c r="P150" s="11"/>
      <c r="Q150" s="2"/>
      <c r="R150" s="2"/>
    </row>
    <row r="151" spans="1:18" ht="15" customHeight="1" x14ac:dyDescent="0.3">
      <c r="A151" s="13" t="s">
        <v>41</v>
      </c>
      <c r="B151" s="13" t="s">
        <v>42</v>
      </c>
      <c r="C151" s="87" t="s">
        <v>43</v>
      </c>
      <c r="D151" s="13" t="s">
        <v>44</v>
      </c>
      <c r="E151" s="13" t="s">
        <v>45</v>
      </c>
      <c r="F151" s="13" t="s">
        <v>67</v>
      </c>
      <c r="G151" s="145"/>
      <c r="H151" s="11"/>
      <c r="I151" s="11"/>
      <c r="J151" s="11"/>
      <c r="K151" s="11"/>
      <c r="L151" s="11"/>
      <c r="M151" s="11"/>
      <c r="N151" s="11"/>
      <c r="O151" s="12"/>
      <c r="P151" s="11"/>
      <c r="Q151" s="2"/>
      <c r="R151" s="2"/>
    </row>
    <row r="152" spans="1:18" ht="15" customHeight="1" x14ac:dyDescent="0.3">
      <c r="A152" s="13" t="s">
        <v>41</v>
      </c>
      <c r="B152" s="13" t="s">
        <v>68</v>
      </c>
      <c r="C152" s="87" t="s">
        <v>69</v>
      </c>
      <c r="D152" s="13" t="s">
        <v>44</v>
      </c>
      <c r="E152" s="13" t="s">
        <v>45</v>
      </c>
      <c r="F152" s="13" t="s">
        <v>73</v>
      </c>
      <c r="G152" s="145"/>
      <c r="H152" s="11"/>
      <c r="I152" s="11"/>
      <c r="J152" s="11"/>
      <c r="K152" s="11"/>
      <c r="L152" s="11"/>
      <c r="M152" s="11"/>
      <c r="N152" s="11"/>
      <c r="O152" s="12"/>
      <c r="P152" s="11"/>
      <c r="Q152" s="2"/>
      <c r="R152" s="2"/>
    </row>
    <row r="153" spans="1:18" ht="15" customHeight="1" x14ac:dyDescent="0.3">
      <c r="A153" s="13" t="s">
        <v>41</v>
      </c>
      <c r="B153" s="13" t="s">
        <v>71</v>
      </c>
      <c r="C153" s="87" t="s">
        <v>72</v>
      </c>
      <c r="D153" s="13" t="s">
        <v>86</v>
      </c>
      <c r="E153" s="13" t="s">
        <v>45</v>
      </c>
      <c r="F153" s="13" t="s">
        <v>138</v>
      </c>
      <c r="G153" s="145"/>
      <c r="H153" s="11"/>
      <c r="I153" s="11"/>
      <c r="J153" s="11"/>
      <c r="K153" s="11"/>
      <c r="L153" s="11"/>
      <c r="M153" s="11"/>
      <c r="N153" s="11"/>
      <c r="O153" s="12"/>
      <c r="P153" s="11"/>
      <c r="Q153" s="2"/>
      <c r="R153" s="2"/>
    </row>
    <row r="154" spans="1:18" ht="15" customHeight="1" x14ac:dyDescent="0.3">
      <c r="A154" s="13" t="s">
        <v>46</v>
      </c>
      <c r="B154" s="13" t="s">
        <v>47</v>
      </c>
      <c r="C154" s="87" t="s">
        <v>48</v>
      </c>
      <c r="D154" s="13" t="s">
        <v>128</v>
      </c>
      <c r="E154" s="13" t="s">
        <v>96</v>
      </c>
      <c r="F154" s="13" t="s">
        <v>139</v>
      </c>
      <c r="G154" s="145"/>
      <c r="H154" s="11"/>
      <c r="I154" s="11"/>
      <c r="J154" s="11"/>
      <c r="K154" s="11"/>
      <c r="L154" s="11"/>
      <c r="M154" s="11"/>
      <c r="N154" s="11"/>
      <c r="O154" s="12"/>
      <c r="P154" s="11"/>
      <c r="Q154" s="2"/>
      <c r="R154" s="2"/>
    </row>
    <row r="155" spans="1:18" ht="15" customHeight="1" x14ac:dyDescent="0.3">
      <c r="A155" s="13" t="s">
        <v>26</v>
      </c>
      <c r="B155" s="13" t="s">
        <v>74</v>
      </c>
      <c r="C155" s="87" t="s">
        <v>75</v>
      </c>
      <c r="D155" s="13" t="s">
        <v>128</v>
      </c>
      <c r="E155" s="13" t="s">
        <v>35</v>
      </c>
      <c r="F155" s="13" t="s">
        <v>76</v>
      </c>
      <c r="G155" s="145"/>
      <c r="H155" s="11"/>
      <c r="I155" s="11"/>
      <c r="J155" s="11"/>
      <c r="K155" s="11"/>
      <c r="L155" s="11"/>
      <c r="M155" s="11"/>
      <c r="N155" s="11"/>
      <c r="O155" s="12"/>
      <c r="P155" s="11"/>
      <c r="Q155" s="2"/>
      <c r="R155" s="2"/>
    </row>
    <row r="156" spans="1:18" ht="15" customHeight="1" x14ac:dyDescent="0.3">
      <c r="A156" s="13" t="s">
        <v>121</v>
      </c>
      <c r="B156" s="13" t="s">
        <v>140</v>
      </c>
      <c r="C156" s="87" t="s">
        <v>141</v>
      </c>
      <c r="D156" s="13" t="s">
        <v>128</v>
      </c>
      <c r="E156" s="13" t="s">
        <v>45</v>
      </c>
      <c r="F156" s="13" t="s">
        <v>142</v>
      </c>
      <c r="G156" s="145"/>
      <c r="H156" s="11"/>
      <c r="I156" s="11"/>
      <c r="J156" s="11"/>
      <c r="K156" s="11"/>
      <c r="L156" s="11"/>
      <c r="M156" s="11"/>
      <c r="N156" s="11"/>
      <c r="O156" s="12"/>
      <c r="P156" s="11"/>
      <c r="Q156" s="2"/>
      <c r="R156" s="2"/>
    </row>
    <row r="157" spans="1:18" ht="15" customHeight="1" thickBot="1" x14ac:dyDescent="0.35">
      <c r="A157" s="14" t="s">
        <v>77</v>
      </c>
      <c r="B157" s="14" t="s">
        <v>78</v>
      </c>
      <c r="C157" s="88" t="s">
        <v>59</v>
      </c>
      <c r="D157" s="14" t="s">
        <v>79</v>
      </c>
      <c r="E157" s="14" t="s">
        <v>35</v>
      </c>
      <c r="F157" s="14" t="s">
        <v>143</v>
      </c>
      <c r="G157" s="146"/>
      <c r="H157" s="15"/>
      <c r="I157" s="15"/>
      <c r="J157" s="15"/>
      <c r="K157" s="15"/>
      <c r="L157" s="15"/>
      <c r="M157" s="15"/>
      <c r="N157" s="15"/>
      <c r="O157" s="16"/>
      <c r="P157" s="15"/>
      <c r="Q157" s="17"/>
      <c r="R157" s="17"/>
    </row>
    <row r="158" spans="1:18" ht="17.399999999999999" customHeight="1" thickBot="1" x14ac:dyDescent="0.35">
      <c r="A158" s="140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2"/>
    </row>
    <row r="159" spans="1:18" ht="22.05" customHeight="1" thickTop="1" thickBot="1" x14ac:dyDescent="0.35">
      <c r="A159" s="143" t="s">
        <v>6</v>
      </c>
      <c r="B159" s="138"/>
      <c r="C159" s="138"/>
      <c r="D159" s="138"/>
      <c r="E159" s="138"/>
      <c r="F159" s="139"/>
      <c r="G159" s="89">
        <v>46027</v>
      </c>
      <c r="H159" s="137" t="s">
        <v>7</v>
      </c>
      <c r="I159" s="138"/>
      <c r="J159" s="138"/>
      <c r="K159" s="138"/>
      <c r="L159" s="138"/>
      <c r="M159" s="138"/>
      <c r="N159" s="138"/>
      <c r="O159" s="138"/>
      <c r="P159" s="138"/>
      <c r="Q159" s="138"/>
      <c r="R159" s="139"/>
    </row>
    <row r="160" spans="1:18" ht="24" customHeight="1" x14ac:dyDescent="0.3">
      <c r="A160" s="18" t="s">
        <v>8</v>
      </c>
      <c r="B160" s="18" t="s">
        <v>9</v>
      </c>
      <c r="C160" s="90" t="s">
        <v>10</v>
      </c>
      <c r="D160" s="18" t="s">
        <v>11</v>
      </c>
      <c r="E160" s="18" t="s">
        <v>12</v>
      </c>
      <c r="F160" s="19" t="s">
        <v>13</v>
      </c>
      <c r="G160" s="20" t="s">
        <v>14</v>
      </c>
      <c r="H160" s="18" t="s">
        <v>15</v>
      </c>
      <c r="I160" s="91" t="s">
        <v>16</v>
      </c>
      <c r="J160" s="21" t="s">
        <v>17</v>
      </c>
      <c r="K160" s="22" t="s">
        <v>18</v>
      </c>
      <c r="L160" s="21" t="s">
        <v>19</v>
      </c>
      <c r="M160" s="21" t="s">
        <v>20</v>
      </c>
      <c r="N160" s="21" t="s">
        <v>21</v>
      </c>
      <c r="O160" s="18" t="s">
        <v>22</v>
      </c>
      <c r="P160" s="90" t="s">
        <v>23</v>
      </c>
      <c r="Q160" s="21" t="s">
        <v>24</v>
      </c>
      <c r="R160" s="18" t="s">
        <v>25</v>
      </c>
    </row>
    <row r="161" spans="1:18" ht="15" customHeight="1" x14ac:dyDescent="0.3">
      <c r="A161" s="53" t="s">
        <v>26</v>
      </c>
      <c r="B161" s="53" t="s">
        <v>27</v>
      </c>
      <c r="C161" s="108">
        <v>0.51041666666666663</v>
      </c>
      <c r="D161" s="53" t="s">
        <v>128</v>
      </c>
      <c r="E161" s="53" t="s">
        <v>116</v>
      </c>
      <c r="F161" s="53" t="s">
        <v>81</v>
      </c>
      <c r="G161" s="153"/>
      <c r="H161" s="54" t="s">
        <v>29</v>
      </c>
      <c r="I161" s="109">
        <v>4.1700000000000001E-2</v>
      </c>
      <c r="J161" s="55">
        <v>7</v>
      </c>
      <c r="K161" s="56">
        <v>46356</v>
      </c>
      <c r="L161" s="55">
        <v>7</v>
      </c>
      <c r="M161" s="55">
        <v>0</v>
      </c>
      <c r="N161" s="55">
        <v>0</v>
      </c>
      <c r="O161" s="57" t="s">
        <v>144</v>
      </c>
      <c r="P161" s="110">
        <v>0.51041666666666663</v>
      </c>
      <c r="Q161" s="55">
        <v>168</v>
      </c>
      <c r="R161" s="58" t="s">
        <v>133</v>
      </c>
    </row>
    <row r="162" spans="1:18" ht="18" x14ac:dyDescent="0.3">
      <c r="A162" s="150" t="s">
        <v>31</v>
      </c>
      <c r="B162" s="151"/>
      <c r="C162" s="151"/>
      <c r="D162" s="151"/>
      <c r="E162" s="151"/>
      <c r="F162" s="152"/>
      <c r="G162" s="145"/>
      <c r="H162" s="11"/>
      <c r="I162" s="11"/>
      <c r="J162" s="11"/>
      <c r="K162" s="11"/>
      <c r="L162" s="11"/>
      <c r="M162" s="11"/>
      <c r="N162" s="11"/>
      <c r="O162" s="12"/>
      <c r="P162" s="11"/>
      <c r="Q162" s="2"/>
      <c r="R162" s="2"/>
    </row>
    <row r="163" spans="1:18" ht="15" customHeight="1" x14ac:dyDescent="0.3">
      <c r="A163" s="13" t="s">
        <v>57</v>
      </c>
      <c r="B163" s="13" t="s">
        <v>58</v>
      </c>
      <c r="C163" s="87" t="s">
        <v>59</v>
      </c>
      <c r="D163" s="13" t="s">
        <v>60</v>
      </c>
      <c r="E163" s="13" t="s">
        <v>145</v>
      </c>
      <c r="F163" s="13" t="s">
        <v>146</v>
      </c>
      <c r="G163" s="145"/>
      <c r="H163" s="11"/>
      <c r="I163" s="11"/>
      <c r="J163" s="11"/>
      <c r="K163" s="11"/>
      <c r="L163" s="11"/>
      <c r="M163" s="11"/>
      <c r="N163" s="11"/>
      <c r="O163" s="12"/>
      <c r="P163" s="11"/>
      <c r="Q163" s="2"/>
      <c r="R163" s="2"/>
    </row>
    <row r="164" spans="1:18" ht="15" customHeight="1" x14ac:dyDescent="0.3">
      <c r="A164" s="13" t="s">
        <v>57</v>
      </c>
      <c r="B164" s="13" t="s">
        <v>58</v>
      </c>
      <c r="C164" s="87" t="s">
        <v>59</v>
      </c>
      <c r="D164" s="13" t="s">
        <v>63</v>
      </c>
      <c r="E164" s="13" t="s">
        <v>145</v>
      </c>
      <c r="F164" s="13" t="s">
        <v>38</v>
      </c>
      <c r="G164" s="145"/>
      <c r="H164" s="11"/>
      <c r="I164" s="11"/>
      <c r="J164" s="11"/>
      <c r="K164" s="11"/>
      <c r="L164" s="11"/>
      <c r="M164" s="11"/>
      <c r="N164" s="11"/>
      <c r="O164" s="12"/>
      <c r="P164" s="11"/>
      <c r="Q164" s="2"/>
      <c r="R164" s="2"/>
    </row>
    <row r="165" spans="1:18" ht="15" customHeight="1" x14ac:dyDescent="0.3">
      <c r="A165" s="13" t="s">
        <v>57</v>
      </c>
      <c r="B165" s="13" t="s">
        <v>58</v>
      </c>
      <c r="C165" s="87" t="s">
        <v>59</v>
      </c>
      <c r="D165" s="13" t="s">
        <v>65</v>
      </c>
      <c r="E165" s="13" t="s">
        <v>145</v>
      </c>
      <c r="F165" s="13" t="s">
        <v>66</v>
      </c>
      <c r="G165" s="145"/>
      <c r="H165" s="11"/>
      <c r="I165" s="11"/>
      <c r="J165" s="11"/>
      <c r="K165" s="11"/>
      <c r="L165" s="11"/>
      <c r="M165" s="11"/>
      <c r="N165" s="11"/>
      <c r="O165" s="12"/>
      <c r="P165" s="11"/>
      <c r="Q165" s="2"/>
      <c r="R165" s="2"/>
    </row>
    <row r="166" spans="1:18" ht="15" customHeight="1" x14ac:dyDescent="0.3">
      <c r="A166" s="13" t="s">
        <v>32</v>
      </c>
      <c r="B166" s="13" t="s">
        <v>33</v>
      </c>
      <c r="C166" s="87" t="s">
        <v>54</v>
      </c>
      <c r="D166" s="13" t="s">
        <v>34</v>
      </c>
      <c r="E166" s="13" t="s">
        <v>102</v>
      </c>
      <c r="F166" s="13" t="s">
        <v>36</v>
      </c>
      <c r="G166" s="145"/>
      <c r="H166" s="11"/>
      <c r="I166" s="11"/>
      <c r="J166" s="11"/>
      <c r="K166" s="11"/>
      <c r="L166" s="11"/>
      <c r="M166" s="11"/>
      <c r="N166" s="11"/>
      <c r="O166" s="12"/>
      <c r="P166" s="11"/>
      <c r="Q166" s="2"/>
      <c r="R166" s="2"/>
    </row>
    <row r="167" spans="1:18" ht="15" customHeight="1" x14ac:dyDescent="0.3">
      <c r="A167" s="13" t="s">
        <v>32</v>
      </c>
      <c r="B167" s="13" t="s">
        <v>33</v>
      </c>
      <c r="C167" s="87" t="s">
        <v>54</v>
      </c>
      <c r="D167" s="13" t="s">
        <v>37</v>
      </c>
      <c r="E167" s="13" t="s">
        <v>102</v>
      </c>
      <c r="F167" s="13" t="s">
        <v>38</v>
      </c>
      <c r="G167" s="145"/>
      <c r="H167" s="11"/>
      <c r="I167" s="11"/>
      <c r="J167" s="11"/>
      <c r="K167" s="11"/>
      <c r="L167" s="11"/>
      <c r="M167" s="11"/>
      <c r="N167" s="11"/>
      <c r="O167" s="12"/>
      <c r="P167" s="11"/>
      <c r="Q167" s="2"/>
      <c r="R167" s="2"/>
    </row>
    <row r="168" spans="1:18" ht="15" customHeight="1" x14ac:dyDescent="0.3">
      <c r="A168" s="13" t="s">
        <v>32</v>
      </c>
      <c r="B168" s="13" t="s">
        <v>33</v>
      </c>
      <c r="C168" s="87" t="s">
        <v>54</v>
      </c>
      <c r="D168" s="13" t="s">
        <v>39</v>
      </c>
      <c r="E168" s="13" t="s">
        <v>102</v>
      </c>
      <c r="F168" s="13" t="s">
        <v>40</v>
      </c>
      <c r="G168" s="145"/>
      <c r="H168" s="11"/>
      <c r="I168" s="11"/>
      <c r="J168" s="11"/>
      <c r="K168" s="11"/>
      <c r="L168" s="11"/>
      <c r="M168" s="11"/>
      <c r="N168" s="11"/>
      <c r="O168" s="12"/>
      <c r="P168" s="11"/>
      <c r="Q168" s="2"/>
      <c r="R168" s="2"/>
    </row>
    <row r="169" spans="1:18" ht="15" customHeight="1" x14ac:dyDescent="0.3">
      <c r="A169" s="13" t="s">
        <v>32</v>
      </c>
      <c r="B169" s="13" t="s">
        <v>113</v>
      </c>
      <c r="C169" s="87" t="s">
        <v>114</v>
      </c>
      <c r="D169" s="13" t="s">
        <v>34</v>
      </c>
      <c r="E169" s="13" t="s">
        <v>102</v>
      </c>
      <c r="F169" s="13" t="s">
        <v>64</v>
      </c>
      <c r="G169" s="145"/>
      <c r="H169" s="11"/>
      <c r="I169" s="11"/>
      <c r="J169" s="11"/>
      <c r="K169" s="11"/>
      <c r="L169" s="11"/>
      <c r="M169" s="11"/>
      <c r="N169" s="11"/>
      <c r="O169" s="12"/>
      <c r="P169" s="11"/>
      <c r="Q169" s="2"/>
      <c r="R169" s="2"/>
    </row>
    <row r="170" spans="1:18" ht="15" customHeight="1" x14ac:dyDescent="0.3">
      <c r="A170" s="13" t="s">
        <v>32</v>
      </c>
      <c r="B170" s="13" t="s">
        <v>113</v>
      </c>
      <c r="C170" s="87" t="s">
        <v>114</v>
      </c>
      <c r="D170" s="13" t="s">
        <v>37</v>
      </c>
      <c r="E170" s="13" t="s">
        <v>102</v>
      </c>
      <c r="F170" s="13" t="s">
        <v>136</v>
      </c>
      <c r="G170" s="145"/>
      <c r="H170" s="11"/>
      <c r="I170" s="11"/>
      <c r="J170" s="11"/>
      <c r="K170" s="11"/>
      <c r="L170" s="11"/>
      <c r="M170" s="11"/>
      <c r="N170" s="11"/>
      <c r="O170" s="12"/>
      <c r="P170" s="11"/>
      <c r="Q170" s="2"/>
      <c r="R170" s="2"/>
    </row>
    <row r="171" spans="1:18" ht="15" customHeight="1" x14ac:dyDescent="0.3">
      <c r="A171" s="13" t="s">
        <v>32</v>
      </c>
      <c r="B171" s="13" t="s">
        <v>113</v>
      </c>
      <c r="C171" s="87" t="s">
        <v>114</v>
      </c>
      <c r="D171" s="13" t="s">
        <v>39</v>
      </c>
      <c r="E171" s="13" t="s">
        <v>102</v>
      </c>
      <c r="F171" s="13" t="s">
        <v>137</v>
      </c>
      <c r="G171" s="145"/>
      <c r="H171" s="11"/>
      <c r="I171" s="11"/>
      <c r="J171" s="11"/>
      <c r="K171" s="11"/>
      <c r="L171" s="11"/>
      <c r="M171" s="11"/>
      <c r="N171" s="11"/>
      <c r="O171" s="12"/>
      <c r="P171" s="11"/>
      <c r="Q171" s="2"/>
      <c r="R171" s="2"/>
    </row>
    <row r="172" spans="1:18" ht="15" customHeight="1" x14ac:dyDescent="0.3">
      <c r="A172" s="13" t="s">
        <v>41</v>
      </c>
      <c r="B172" s="13" t="s">
        <v>42</v>
      </c>
      <c r="C172" s="87" t="s">
        <v>43</v>
      </c>
      <c r="D172" s="13" t="s">
        <v>86</v>
      </c>
      <c r="E172" s="13" t="s">
        <v>45</v>
      </c>
      <c r="F172" s="13" t="s">
        <v>147</v>
      </c>
      <c r="G172" s="145"/>
      <c r="H172" s="11"/>
      <c r="I172" s="11"/>
      <c r="J172" s="11"/>
      <c r="K172" s="11"/>
      <c r="L172" s="11"/>
      <c r="M172" s="11"/>
      <c r="N172" s="11"/>
      <c r="O172" s="12"/>
      <c r="P172" s="11"/>
      <c r="Q172" s="2"/>
      <c r="R172" s="2"/>
    </row>
    <row r="173" spans="1:18" ht="15" customHeight="1" x14ac:dyDescent="0.3">
      <c r="A173" s="13" t="s">
        <v>41</v>
      </c>
      <c r="B173" s="13" t="s">
        <v>68</v>
      </c>
      <c r="C173" s="87" t="s">
        <v>69</v>
      </c>
      <c r="D173" s="13" t="s">
        <v>86</v>
      </c>
      <c r="E173" s="13" t="s">
        <v>45</v>
      </c>
      <c r="F173" s="13" t="s">
        <v>147</v>
      </c>
      <c r="G173" s="145"/>
      <c r="H173" s="11"/>
      <c r="I173" s="11"/>
      <c r="J173" s="11"/>
      <c r="K173" s="11"/>
      <c r="L173" s="11"/>
      <c r="M173" s="11"/>
      <c r="N173" s="11"/>
      <c r="O173" s="12"/>
      <c r="P173" s="11"/>
      <c r="Q173" s="2"/>
      <c r="R173" s="2"/>
    </row>
    <row r="174" spans="1:18" ht="15" customHeight="1" x14ac:dyDescent="0.3">
      <c r="A174" s="13" t="s">
        <v>41</v>
      </c>
      <c r="B174" s="13" t="s">
        <v>71</v>
      </c>
      <c r="C174" s="87" t="s">
        <v>72</v>
      </c>
      <c r="D174" s="13" t="s">
        <v>86</v>
      </c>
      <c r="E174" s="13" t="s">
        <v>45</v>
      </c>
      <c r="F174" s="13" t="s">
        <v>138</v>
      </c>
      <c r="G174" s="145"/>
      <c r="H174" s="11"/>
      <c r="I174" s="11"/>
      <c r="J174" s="11"/>
      <c r="K174" s="11"/>
      <c r="L174" s="11"/>
      <c r="M174" s="11"/>
      <c r="N174" s="11"/>
      <c r="O174" s="12"/>
      <c r="P174" s="11"/>
      <c r="Q174" s="2"/>
      <c r="R174" s="2"/>
    </row>
    <row r="175" spans="1:18" ht="15" customHeight="1" x14ac:dyDescent="0.3">
      <c r="A175" s="13" t="s">
        <v>46</v>
      </c>
      <c r="B175" s="13" t="s">
        <v>47</v>
      </c>
      <c r="C175" s="87" t="s">
        <v>48</v>
      </c>
      <c r="D175" s="13" t="s">
        <v>128</v>
      </c>
      <c r="E175" s="13" t="s">
        <v>45</v>
      </c>
      <c r="F175" s="13" t="s">
        <v>148</v>
      </c>
      <c r="G175" s="145"/>
      <c r="H175" s="11"/>
      <c r="I175" s="11"/>
      <c r="J175" s="11"/>
      <c r="K175" s="11"/>
      <c r="L175" s="11"/>
      <c r="M175" s="11"/>
      <c r="N175" s="11"/>
      <c r="O175" s="12"/>
      <c r="P175" s="11"/>
      <c r="Q175" s="2"/>
      <c r="R175" s="2"/>
    </row>
    <row r="176" spans="1:18" ht="15" customHeight="1" x14ac:dyDescent="0.3">
      <c r="A176" s="13" t="s">
        <v>121</v>
      </c>
      <c r="B176" s="13" t="s">
        <v>122</v>
      </c>
      <c r="C176" s="87" t="s">
        <v>131</v>
      </c>
      <c r="D176" s="13" t="s">
        <v>128</v>
      </c>
      <c r="E176" s="13" t="s">
        <v>45</v>
      </c>
      <c r="F176" s="13" t="s">
        <v>142</v>
      </c>
      <c r="G176" s="145"/>
      <c r="H176" s="11"/>
      <c r="I176" s="11"/>
      <c r="J176" s="11"/>
      <c r="K176" s="11"/>
      <c r="L176" s="11"/>
      <c r="M176" s="11"/>
      <c r="N176" s="11"/>
      <c r="O176" s="12"/>
      <c r="P176" s="11"/>
      <c r="Q176" s="2"/>
      <c r="R176" s="2"/>
    </row>
    <row r="177" spans="1:18" ht="15" customHeight="1" thickBot="1" x14ac:dyDescent="0.35">
      <c r="A177" s="14" t="s">
        <v>77</v>
      </c>
      <c r="B177" s="14" t="s">
        <v>78</v>
      </c>
      <c r="C177" s="88" t="s">
        <v>59</v>
      </c>
      <c r="D177" s="14" t="s">
        <v>79</v>
      </c>
      <c r="E177" s="14" t="s">
        <v>35</v>
      </c>
      <c r="F177" s="14" t="s">
        <v>149</v>
      </c>
      <c r="G177" s="146"/>
      <c r="H177" s="15"/>
      <c r="I177" s="15"/>
      <c r="J177" s="15"/>
      <c r="K177" s="15"/>
      <c r="L177" s="15"/>
      <c r="M177" s="15"/>
      <c r="N177" s="15"/>
      <c r="O177" s="16"/>
      <c r="P177" s="15"/>
      <c r="Q177" s="17"/>
      <c r="R177" s="17"/>
    </row>
    <row r="178" spans="1:18" ht="17.399999999999999" customHeight="1" thickBot="1" x14ac:dyDescent="0.35">
      <c r="A178" s="140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2"/>
    </row>
    <row r="179" spans="1:18" ht="22.05" customHeight="1" thickTop="1" thickBot="1" x14ac:dyDescent="0.35">
      <c r="A179" s="143" t="s">
        <v>6</v>
      </c>
      <c r="B179" s="138"/>
      <c r="C179" s="138"/>
      <c r="D179" s="138"/>
      <c r="E179" s="138"/>
      <c r="F179" s="139"/>
      <c r="G179" s="89">
        <v>46031</v>
      </c>
      <c r="H179" s="137" t="s">
        <v>7</v>
      </c>
      <c r="I179" s="138"/>
      <c r="J179" s="138"/>
      <c r="K179" s="138"/>
      <c r="L179" s="138"/>
      <c r="M179" s="138"/>
      <c r="N179" s="138"/>
      <c r="O179" s="138"/>
      <c r="P179" s="138"/>
      <c r="Q179" s="138"/>
      <c r="R179" s="139"/>
    </row>
    <row r="180" spans="1:18" ht="24" customHeight="1" x14ac:dyDescent="0.3">
      <c r="A180" s="18" t="s">
        <v>8</v>
      </c>
      <c r="B180" s="18" t="s">
        <v>9</v>
      </c>
      <c r="C180" s="90" t="s">
        <v>10</v>
      </c>
      <c r="D180" s="18" t="s">
        <v>11</v>
      </c>
      <c r="E180" s="18" t="s">
        <v>12</v>
      </c>
      <c r="F180" s="19" t="s">
        <v>13</v>
      </c>
      <c r="G180" s="20" t="s">
        <v>14</v>
      </c>
      <c r="H180" s="18" t="s">
        <v>15</v>
      </c>
      <c r="I180" s="91" t="s">
        <v>16</v>
      </c>
      <c r="J180" s="21" t="s">
        <v>17</v>
      </c>
      <c r="K180" s="22" t="s">
        <v>18</v>
      </c>
      <c r="L180" s="21" t="s">
        <v>19</v>
      </c>
      <c r="M180" s="21" t="s">
        <v>20</v>
      </c>
      <c r="N180" s="21" t="s">
        <v>21</v>
      </c>
      <c r="O180" s="18" t="s">
        <v>22</v>
      </c>
      <c r="P180" s="90" t="s">
        <v>23</v>
      </c>
      <c r="Q180" s="21" t="s">
        <v>24</v>
      </c>
      <c r="R180" s="18" t="s">
        <v>25</v>
      </c>
    </row>
    <row r="181" spans="1:18" ht="15" customHeight="1" x14ac:dyDescent="0.3">
      <c r="A181" s="23" t="s">
        <v>26</v>
      </c>
      <c r="B181" s="23" t="s">
        <v>27</v>
      </c>
      <c r="C181" s="92">
        <v>0.29166666666666669</v>
      </c>
      <c r="D181" s="23" t="s">
        <v>128</v>
      </c>
      <c r="E181" s="23" t="s">
        <v>116</v>
      </c>
      <c r="F181" s="23" t="s">
        <v>81</v>
      </c>
      <c r="G181" s="153"/>
      <c r="H181" s="24" t="s">
        <v>29</v>
      </c>
      <c r="I181" s="93">
        <v>4.7600000000000003E-2</v>
      </c>
      <c r="J181" s="25">
        <v>8</v>
      </c>
      <c r="K181" s="26">
        <v>46340</v>
      </c>
      <c r="L181" s="25">
        <v>8</v>
      </c>
      <c r="M181" s="25">
        <v>0</v>
      </c>
      <c r="N181" s="25">
        <v>0</v>
      </c>
      <c r="O181" s="27" t="s">
        <v>144</v>
      </c>
      <c r="P181" s="94">
        <v>0.29166666666666669</v>
      </c>
      <c r="Q181" s="25">
        <v>168</v>
      </c>
      <c r="R181" s="28" t="s">
        <v>150</v>
      </c>
    </row>
    <row r="182" spans="1:18" ht="18" x14ac:dyDescent="0.3">
      <c r="A182" s="150" t="s">
        <v>31</v>
      </c>
      <c r="B182" s="151"/>
      <c r="C182" s="151"/>
      <c r="D182" s="151"/>
      <c r="E182" s="151"/>
      <c r="F182" s="152"/>
      <c r="G182" s="145"/>
      <c r="H182" s="11"/>
      <c r="I182" s="11"/>
      <c r="J182" s="11"/>
      <c r="K182" s="11"/>
      <c r="L182" s="11"/>
      <c r="M182" s="11"/>
      <c r="N182" s="11"/>
      <c r="O182" s="12"/>
      <c r="P182" s="11"/>
      <c r="Q182" s="2"/>
      <c r="R182" s="2"/>
    </row>
    <row r="183" spans="1:18" ht="15" customHeight="1" x14ac:dyDescent="0.3">
      <c r="A183" s="13" t="s">
        <v>57</v>
      </c>
      <c r="B183" s="13" t="s">
        <v>58</v>
      </c>
      <c r="C183" s="87" t="s">
        <v>59</v>
      </c>
      <c r="D183" s="13" t="s">
        <v>60</v>
      </c>
      <c r="E183" s="13" t="s">
        <v>106</v>
      </c>
      <c r="F183" s="13" t="s">
        <v>112</v>
      </c>
      <c r="G183" s="145"/>
      <c r="H183" s="11"/>
      <c r="I183" s="11"/>
      <c r="J183" s="11"/>
      <c r="K183" s="11"/>
      <c r="L183" s="11"/>
      <c r="M183" s="11"/>
      <c r="N183" s="11"/>
      <c r="O183" s="12"/>
      <c r="P183" s="11"/>
      <c r="Q183" s="2"/>
      <c r="R183" s="2"/>
    </row>
    <row r="184" spans="1:18" ht="15" customHeight="1" x14ac:dyDescent="0.3">
      <c r="A184" s="13" t="s">
        <v>57</v>
      </c>
      <c r="B184" s="13" t="s">
        <v>58</v>
      </c>
      <c r="C184" s="87" t="s">
        <v>59</v>
      </c>
      <c r="D184" s="13" t="s">
        <v>63</v>
      </c>
      <c r="E184" s="13" t="s">
        <v>106</v>
      </c>
      <c r="F184" s="13" t="s">
        <v>151</v>
      </c>
      <c r="G184" s="145"/>
      <c r="H184" s="11"/>
      <c r="I184" s="11"/>
      <c r="J184" s="11"/>
      <c r="K184" s="11"/>
      <c r="L184" s="11"/>
      <c r="M184" s="11"/>
      <c r="N184" s="11"/>
      <c r="O184" s="12"/>
      <c r="P184" s="11"/>
      <c r="Q184" s="2"/>
      <c r="R184" s="2"/>
    </row>
    <row r="185" spans="1:18" ht="15" customHeight="1" x14ac:dyDescent="0.3">
      <c r="A185" s="13" t="s">
        <v>57</v>
      </c>
      <c r="B185" s="13" t="s">
        <v>58</v>
      </c>
      <c r="C185" s="87" t="s">
        <v>59</v>
      </c>
      <c r="D185" s="13" t="s">
        <v>65</v>
      </c>
      <c r="E185" s="13" t="s">
        <v>106</v>
      </c>
      <c r="F185" s="13" t="s">
        <v>95</v>
      </c>
      <c r="G185" s="145"/>
      <c r="H185" s="11"/>
      <c r="I185" s="11"/>
      <c r="J185" s="11"/>
      <c r="K185" s="11"/>
      <c r="L185" s="11"/>
      <c r="M185" s="11"/>
      <c r="N185" s="11"/>
      <c r="O185" s="12"/>
      <c r="P185" s="11"/>
      <c r="Q185" s="2"/>
      <c r="R185" s="2"/>
    </row>
    <row r="186" spans="1:18" ht="15" customHeight="1" x14ac:dyDescent="0.3">
      <c r="A186" s="13" t="s">
        <v>32</v>
      </c>
      <c r="B186" s="13" t="s">
        <v>33</v>
      </c>
      <c r="C186" s="87" t="s">
        <v>54</v>
      </c>
      <c r="D186" s="13" t="s">
        <v>34</v>
      </c>
      <c r="E186" s="13" t="s">
        <v>109</v>
      </c>
      <c r="F186" s="13" t="s">
        <v>152</v>
      </c>
      <c r="G186" s="145"/>
      <c r="H186" s="11"/>
      <c r="I186" s="11"/>
      <c r="J186" s="11"/>
      <c r="K186" s="11"/>
      <c r="L186" s="11"/>
      <c r="M186" s="11"/>
      <c r="N186" s="11"/>
      <c r="O186" s="12"/>
      <c r="P186" s="11"/>
      <c r="Q186" s="2"/>
      <c r="R186" s="2"/>
    </row>
    <row r="187" spans="1:18" ht="15" customHeight="1" x14ac:dyDescent="0.3">
      <c r="A187" s="13" t="s">
        <v>32</v>
      </c>
      <c r="B187" s="13" t="s">
        <v>33</v>
      </c>
      <c r="C187" s="87" t="s">
        <v>54</v>
      </c>
      <c r="D187" s="13" t="s">
        <v>37</v>
      </c>
      <c r="E187" s="13" t="s">
        <v>109</v>
      </c>
      <c r="F187" s="13" t="s">
        <v>153</v>
      </c>
      <c r="G187" s="145"/>
      <c r="H187" s="11"/>
      <c r="I187" s="11"/>
      <c r="J187" s="11"/>
      <c r="K187" s="11"/>
      <c r="L187" s="11"/>
      <c r="M187" s="11"/>
      <c r="N187" s="11"/>
      <c r="O187" s="12"/>
      <c r="P187" s="11"/>
      <c r="Q187" s="2"/>
      <c r="R187" s="2"/>
    </row>
    <row r="188" spans="1:18" ht="15" customHeight="1" x14ac:dyDescent="0.3">
      <c r="A188" s="13" t="s">
        <v>32</v>
      </c>
      <c r="B188" s="13" t="s">
        <v>33</v>
      </c>
      <c r="C188" s="87" t="s">
        <v>54</v>
      </c>
      <c r="D188" s="13" t="s">
        <v>39</v>
      </c>
      <c r="E188" s="13" t="s">
        <v>109</v>
      </c>
      <c r="F188" s="13" t="s">
        <v>154</v>
      </c>
      <c r="G188" s="145"/>
      <c r="H188" s="11"/>
      <c r="I188" s="11"/>
      <c r="J188" s="11"/>
      <c r="K188" s="11"/>
      <c r="L188" s="11"/>
      <c r="M188" s="11"/>
      <c r="N188" s="11"/>
      <c r="O188" s="12"/>
      <c r="P188" s="11"/>
      <c r="Q188" s="2"/>
      <c r="R188" s="2"/>
    </row>
    <row r="189" spans="1:18" ht="15" customHeight="1" x14ac:dyDescent="0.3">
      <c r="A189" s="13" t="s">
        <v>41</v>
      </c>
      <c r="B189" s="13" t="s">
        <v>42</v>
      </c>
      <c r="C189" s="87" t="s">
        <v>43</v>
      </c>
      <c r="D189" s="13" t="s">
        <v>44</v>
      </c>
      <c r="E189" s="13" t="s">
        <v>45</v>
      </c>
      <c r="F189" s="13" t="s">
        <v>155</v>
      </c>
      <c r="G189" s="145"/>
      <c r="H189" s="11"/>
      <c r="I189" s="11"/>
      <c r="J189" s="11"/>
      <c r="K189" s="11"/>
      <c r="L189" s="11"/>
      <c r="M189" s="11"/>
      <c r="N189" s="11"/>
      <c r="O189" s="12"/>
      <c r="P189" s="11"/>
      <c r="Q189" s="2"/>
      <c r="R189" s="2"/>
    </row>
    <row r="190" spans="1:18" ht="15" customHeight="1" x14ac:dyDescent="0.3">
      <c r="A190" s="13" t="s">
        <v>41</v>
      </c>
      <c r="B190" s="13" t="s">
        <v>68</v>
      </c>
      <c r="C190" s="87" t="s">
        <v>156</v>
      </c>
      <c r="D190" s="13" t="s">
        <v>44</v>
      </c>
      <c r="E190" s="13" t="s">
        <v>45</v>
      </c>
      <c r="F190" s="13" t="s">
        <v>100</v>
      </c>
      <c r="G190" s="145"/>
      <c r="H190" s="11"/>
      <c r="I190" s="11"/>
      <c r="J190" s="11"/>
      <c r="K190" s="11"/>
      <c r="L190" s="11"/>
      <c r="M190" s="11"/>
      <c r="N190" s="11"/>
      <c r="O190" s="12"/>
      <c r="P190" s="11"/>
      <c r="Q190" s="2"/>
      <c r="R190" s="2"/>
    </row>
    <row r="191" spans="1:18" ht="15" customHeight="1" x14ac:dyDescent="0.3">
      <c r="A191" s="13" t="s">
        <v>41</v>
      </c>
      <c r="B191" s="13" t="s">
        <v>71</v>
      </c>
      <c r="C191" s="87" t="s">
        <v>72</v>
      </c>
      <c r="D191" s="13" t="s">
        <v>44</v>
      </c>
      <c r="E191" s="13" t="s">
        <v>45</v>
      </c>
      <c r="F191" s="13" t="s">
        <v>70</v>
      </c>
      <c r="G191" s="145"/>
      <c r="H191" s="11"/>
      <c r="I191" s="11"/>
      <c r="J191" s="11"/>
      <c r="K191" s="11"/>
      <c r="L191" s="11"/>
      <c r="M191" s="11"/>
      <c r="N191" s="11"/>
      <c r="O191" s="12"/>
      <c r="P191" s="11"/>
      <c r="Q191" s="2"/>
      <c r="R191" s="2"/>
    </row>
    <row r="192" spans="1:18" ht="15" customHeight="1" x14ac:dyDescent="0.3">
      <c r="A192" s="13" t="s">
        <v>46</v>
      </c>
      <c r="B192" s="13" t="s">
        <v>47</v>
      </c>
      <c r="C192" s="87" t="s">
        <v>48</v>
      </c>
      <c r="D192" s="13" t="s">
        <v>128</v>
      </c>
      <c r="E192" s="13" t="s">
        <v>55</v>
      </c>
      <c r="F192" s="13" t="s">
        <v>157</v>
      </c>
      <c r="G192" s="145"/>
      <c r="H192" s="11"/>
      <c r="I192" s="11"/>
      <c r="J192" s="11"/>
      <c r="K192" s="11"/>
      <c r="L192" s="11"/>
      <c r="M192" s="11"/>
      <c r="N192" s="11"/>
      <c r="O192" s="12"/>
      <c r="P192" s="11"/>
      <c r="Q192" s="2"/>
      <c r="R192" s="2"/>
    </row>
    <row r="193" spans="1:18" ht="15" customHeight="1" x14ac:dyDescent="0.3">
      <c r="A193" s="13" t="s">
        <v>26</v>
      </c>
      <c r="B193" s="13" t="s">
        <v>74</v>
      </c>
      <c r="C193" s="87" t="s">
        <v>75</v>
      </c>
      <c r="D193" s="13" t="s">
        <v>128</v>
      </c>
      <c r="E193" s="13" t="s">
        <v>158</v>
      </c>
      <c r="F193" s="13" t="s">
        <v>159</v>
      </c>
      <c r="G193" s="145"/>
      <c r="H193" s="11"/>
      <c r="I193" s="11"/>
      <c r="J193" s="11"/>
      <c r="K193" s="11"/>
      <c r="L193" s="11"/>
      <c r="M193" s="11"/>
      <c r="N193" s="11"/>
      <c r="O193" s="12"/>
      <c r="P193" s="11"/>
      <c r="Q193" s="2"/>
      <c r="R193" s="2"/>
    </row>
    <row r="194" spans="1:18" ht="15" customHeight="1" x14ac:dyDescent="0.3">
      <c r="A194" s="13" t="s">
        <v>121</v>
      </c>
      <c r="B194" s="13" t="s">
        <v>140</v>
      </c>
      <c r="C194" s="87" t="s">
        <v>141</v>
      </c>
      <c r="D194" s="13" t="s">
        <v>128</v>
      </c>
      <c r="E194" s="13" t="s">
        <v>35</v>
      </c>
      <c r="F194" s="13" t="s">
        <v>143</v>
      </c>
      <c r="G194" s="145"/>
      <c r="H194" s="11"/>
      <c r="I194" s="11"/>
      <c r="J194" s="11"/>
      <c r="K194" s="11"/>
      <c r="L194" s="11"/>
      <c r="M194" s="11"/>
      <c r="N194" s="11"/>
      <c r="O194" s="12"/>
      <c r="P194" s="11"/>
      <c r="Q194" s="2"/>
      <c r="R194" s="2"/>
    </row>
    <row r="195" spans="1:18" ht="15" customHeight="1" thickBot="1" x14ac:dyDescent="0.35">
      <c r="A195" s="14" t="s">
        <v>77</v>
      </c>
      <c r="B195" s="14" t="s">
        <v>78</v>
      </c>
      <c r="C195" s="88" t="s">
        <v>59</v>
      </c>
      <c r="D195" s="14" t="s">
        <v>79</v>
      </c>
      <c r="E195" s="14" t="s">
        <v>35</v>
      </c>
      <c r="F195" s="14" t="s">
        <v>160</v>
      </c>
      <c r="G195" s="146"/>
      <c r="H195" s="15"/>
      <c r="I195" s="15"/>
      <c r="J195" s="15"/>
      <c r="K195" s="15"/>
      <c r="L195" s="15"/>
      <c r="M195" s="15"/>
      <c r="N195" s="15"/>
      <c r="O195" s="16"/>
      <c r="P195" s="15"/>
      <c r="Q195" s="17"/>
      <c r="R195" s="17"/>
    </row>
    <row r="196" spans="1:18" ht="17.399999999999999" customHeight="1" thickBot="1" x14ac:dyDescent="0.35">
      <c r="A196" s="140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2"/>
    </row>
    <row r="197" spans="1:18" ht="22.05" customHeight="1" thickTop="1" thickBot="1" x14ac:dyDescent="0.35">
      <c r="A197" s="143" t="s">
        <v>6</v>
      </c>
      <c r="B197" s="138"/>
      <c r="C197" s="138"/>
      <c r="D197" s="138"/>
      <c r="E197" s="138"/>
      <c r="F197" s="139"/>
      <c r="G197" s="89">
        <v>46034</v>
      </c>
      <c r="H197" s="137" t="s">
        <v>7</v>
      </c>
      <c r="I197" s="138"/>
      <c r="J197" s="138"/>
      <c r="K197" s="138"/>
      <c r="L197" s="138"/>
      <c r="M197" s="138"/>
      <c r="N197" s="138"/>
      <c r="O197" s="138"/>
      <c r="P197" s="138"/>
      <c r="Q197" s="138"/>
      <c r="R197" s="139"/>
    </row>
    <row r="198" spans="1:18" ht="24" customHeight="1" x14ac:dyDescent="0.3">
      <c r="A198" s="18" t="s">
        <v>8</v>
      </c>
      <c r="B198" s="18" t="s">
        <v>9</v>
      </c>
      <c r="C198" s="90" t="s">
        <v>10</v>
      </c>
      <c r="D198" s="18" t="s">
        <v>11</v>
      </c>
      <c r="E198" s="18" t="s">
        <v>12</v>
      </c>
      <c r="F198" s="19" t="s">
        <v>13</v>
      </c>
      <c r="G198" s="20" t="s">
        <v>14</v>
      </c>
      <c r="H198" s="18" t="s">
        <v>15</v>
      </c>
      <c r="I198" s="91" t="s">
        <v>16</v>
      </c>
      <c r="J198" s="21" t="s">
        <v>17</v>
      </c>
      <c r="K198" s="22" t="s">
        <v>18</v>
      </c>
      <c r="L198" s="21" t="s">
        <v>19</v>
      </c>
      <c r="M198" s="21" t="s">
        <v>20</v>
      </c>
      <c r="N198" s="21" t="s">
        <v>21</v>
      </c>
      <c r="O198" s="18" t="s">
        <v>22</v>
      </c>
      <c r="P198" s="90" t="s">
        <v>23</v>
      </c>
      <c r="Q198" s="21" t="s">
        <v>24</v>
      </c>
      <c r="R198" s="18" t="s">
        <v>25</v>
      </c>
    </row>
    <row r="199" spans="1:18" ht="15" customHeight="1" x14ac:dyDescent="0.3">
      <c r="A199" s="35" t="s">
        <v>26</v>
      </c>
      <c r="B199" s="35" t="s">
        <v>27</v>
      </c>
      <c r="C199" s="99">
        <v>0.51041666666666663</v>
      </c>
      <c r="D199" s="35" t="s">
        <v>128</v>
      </c>
      <c r="E199" s="35" t="s">
        <v>92</v>
      </c>
      <c r="F199" s="35" t="s">
        <v>73</v>
      </c>
      <c r="G199" s="144"/>
      <c r="H199" s="36" t="s">
        <v>29</v>
      </c>
      <c r="I199" s="100">
        <v>6.5500000000000003E-2</v>
      </c>
      <c r="J199" s="37">
        <v>11</v>
      </c>
      <c r="K199" s="38">
        <v>46356</v>
      </c>
      <c r="L199" s="37">
        <v>11</v>
      </c>
      <c r="M199" s="37">
        <v>0</v>
      </c>
      <c r="N199" s="37">
        <v>0</v>
      </c>
      <c r="O199" s="39" t="s">
        <v>161</v>
      </c>
      <c r="P199" s="101">
        <v>0.51041666666666663</v>
      </c>
      <c r="Q199" s="37">
        <v>168</v>
      </c>
      <c r="R199" s="40" t="s">
        <v>162</v>
      </c>
    </row>
    <row r="200" spans="1:18" ht="18" x14ac:dyDescent="0.3">
      <c r="A200" s="150" t="s">
        <v>31</v>
      </c>
      <c r="B200" s="151"/>
      <c r="C200" s="151"/>
      <c r="D200" s="151"/>
      <c r="E200" s="151"/>
      <c r="F200" s="152"/>
      <c r="G200" s="145"/>
      <c r="H200" s="11"/>
      <c r="I200" s="11"/>
      <c r="J200" s="11"/>
      <c r="K200" s="11"/>
      <c r="L200" s="11"/>
      <c r="M200" s="11"/>
      <c r="N200" s="11"/>
      <c r="O200" s="12"/>
      <c r="P200" s="11"/>
      <c r="Q200" s="2"/>
      <c r="R200" s="2"/>
    </row>
    <row r="201" spans="1:18" ht="15" customHeight="1" x14ac:dyDescent="0.3">
      <c r="A201" s="13" t="s">
        <v>57</v>
      </c>
      <c r="B201" s="13" t="s">
        <v>58</v>
      </c>
      <c r="C201" s="87" t="s">
        <v>59</v>
      </c>
      <c r="D201" s="13" t="s">
        <v>60</v>
      </c>
      <c r="E201" s="13" t="s">
        <v>145</v>
      </c>
      <c r="F201" s="13" t="s">
        <v>111</v>
      </c>
      <c r="G201" s="145"/>
      <c r="H201" s="11"/>
      <c r="I201" s="11"/>
      <c r="J201" s="11"/>
      <c r="K201" s="11"/>
      <c r="L201" s="11"/>
      <c r="M201" s="11"/>
      <c r="N201" s="11"/>
      <c r="O201" s="12"/>
      <c r="P201" s="11"/>
      <c r="Q201" s="2"/>
      <c r="R201" s="2"/>
    </row>
    <row r="202" spans="1:18" ht="15" customHeight="1" x14ac:dyDescent="0.3">
      <c r="A202" s="13" t="s">
        <v>57</v>
      </c>
      <c r="B202" s="13" t="s">
        <v>58</v>
      </c>
      <c r="C202" s="87" t="s">
        <v>59</v>
      </c>
      <c r="D202" s="13" t="s">
        <v>63</v>
      </c>
      <c r="E202" s="13" t="s">
        <v>145</v>
      </c>
      <c r="F202" s="13" t="s">
        <v>163</v>
      </c>
      <c r="G202" s="145"/>
      <c r="H202" s="11"/>
      <c r="I202" s="11"/>
      <c r="J202" s="11"/>
      <c r="K202" s="11"/>
      <c r="L202" s="11"/>
      <c r="M202" s="11"/>
      <c r="N202" s="11"/>
      <c r="O202" s="12"/>
      <c r="P202" s="11"/>
      <c r="Q202" s="2"/>
      <c r="R202" s="2"/>
    </row>
    <row r="203" spans="1:18" ht="15" customHeight="1" x14ac:dyDescent="0.3">
      <c r="A203" s="13" t="s">
        <v>57</v>
      </c>
      <c r="B203" s="13" t="s">
        <v>58</v>
      </c>
      <c r="C203" s="87" t="s">
        <v>59</v>
      </c>
      <c r="D203" s="13" t="s">
        <v>65</v>
      </c>
      <c r="E203" s="13" t="s">
        <v>145</v>
      </c>
      <c r="F203" s="13" t="s">
        <v>66</v>
      </c>
      <c r="G203" s="145"/>
      <c r="H203" s="11"/>
      <c r="I203" s="11"/>
      <c r="J203" s="11"/>
      <c r="K203" s="11"/>
      <c r="L203" s="11"/>
      <c r="M203" s="11"/>
      <c r="N203" s="11"/>
      <c r="O203" s="12"/>
      <c r="P203" s="11"/>
      <c r="Q203" s="2"/>
      <c r="R203" s="2"/>
    </row>
    <row r="204" spans="1:18" ht="15" customHeight="1" x14ac:dyDescent="0.3">
      <c r="A204" s="13" t="s">
        <v>32</v>
      </c>
      <c r="B204" s="13" t="s">
        <v>33</v>
      </c>
      <c r="C204" s="87" t="s">
        <v>54</v>
      </c>
      <c r="D204" s="13" t="s">
        <v>34</v>
      </c>
      <c r="E204" s="13" t="s">
        <v>102</v>
      </c>
      <c r="F204" s="13" t="s">
        <v>164</v>
      </c>
      <c r="G204" s="145"/>
      <c r="H204" s="11"/>
      <c r="I204" s="11"/>
      <c r="J204" s="11"/>
      <c r="K204" s="11"/>
      <c r="L204" s="11"/>
      <c r="M204" s="11"/>
      <c r="N204" s="11"/>
      <c r="O204" s="12"/>
      <c r="P204" s="11"/>
      <c r="Q204" s="2"/>
      <c r="R204" s="2"/>
    </row>
    <row r="205" spans="1:18" ht="15" customHeight="1" x14ac:dyDescent="0.3">
      <c r="A205" s="13" t="s">
        <v>32</v>
      </c>
      <c r="B205" s="13" t="s">
        <v>33</v>
      </c>
      <c r="C205" s="87" t="s">
        <v>54</v>
      </c>
      <c r="D205" s="13" t="s">
        <v>37</v>
      </c>
      <c r="E205" s="13" t="s">
        <v>102</v>
      </c>
      <c r="F205" s="13" t="s">
        <v>163</v>
      </c>
      <c r="G205" s="145"/>
      <c r="H205" s="11"/>
      <c r="I205" s="11"/>
      <c r="J205" s="11"/>
      <c r="K205" s="11"/>
      <c r="L205" s="11"/>
      <c r="M205" s="11"/>
      <c r="N205" s="11"/>
      <c r="O205" s="12"/>
      <c r="P205" s="11"/>
      <c r="Q205" s="2"/>
      <c r="R205" s="2"/>
    </row>
    <row r="206" spans="1:18" ht="15" customHeight="1" x14ac:dyDescent="0.3">
      <c r="A206" s="13" t="s">
        <v>32</v>
      </c>
      <c r="B206" s="13" t="s">
        <v>33</v>
      </c>
      <c r="C206" s="87" t="s">
        <v>54</v>
      </c>
      <c r="D206" s="13" t="s">
        <v>39</v>
      </c>
      <c r="E206" s="13" t="s">
        <v>102</v>
      </c>
      <c r="F206" s="13" t="s">
        <v>151</v>
      </c>
      <c r="G206" s="145"/>
      <c r="H206" s="11"/>
      <c r="I206" s="11"/>
      <c r="J206" s="11"/>
      <c r="K206" s="11"/>
      <c r="L206" s="11"/>
      <c r="M206" s="11"/>
      <c r="N206" s="11"/>
      <c r="O206" s="12"/>
      <c r="P206" s="11"/>
      <c r="Q206" s="2"/>
      <c r="R206" s="2"/>
    </row>
    <row r="207" spans="1:18" ht="15" customHeight="1" x14ac:dyDescent="0.3">
      <c r="A207" s="13" t="s">
        <v>32</v>
      </c>
      <c r="B207" s="13" t="s">
        <v>113</v>
      </c>
      <c r="C207" s="87" t="s">
        <v>114</v>
      </c>
      <c r="D207" s="13" t="s">
        <v>34</v>
      </c>
      <c r="E207" s="13" t="s">
        <v>102</v>
      </c>
      <c r="F207" s="13" t="s">
        <v>164</v>
      </c>
      <c r="G207" s="145"/>
      <c r="H207" s="11"/>
      <c r="I207" s="11"/>
      <c r="J207" s="11"/>
      <c r="K207" s="11"/>
      <c r="L207" s="11"/>
      <c r="M207" s="11"/>
      <c r="N207" s="11"/>
      <c r="O207" s="12"/>
      <c r="P207" s="11"/>
      <c r="Q207" s="2"/>
      <c r="R207" s="2"/>
    </row>
    <row r="208" spans="1:18" ht="15" customHeight="1" x14ac:dyDescent="0.3">
      <c r="A208" s="13" t="s">
        <v>32</v>
      </c>
      <c r="B208" s="13" t="s">
        <v>113</v>
      </c>
      <c r="C208" s="87" t="s">
        <v>114</v>
      </c>
      <c r="D208" s="13" t="s">
        <v>37</v>
      </c>
      <c r="E208" s="13" t="s">
        <v>102</v>
      </c>
      <c r="F208" s="13" t="s">
        <v>163</v>
      </c>
      <c r="G208" s="145"/>
      <c r="H208" s="11"/>
      <c r="I208" s="11"/>
      <c r="J208" s="11"/>
      <c r="K208" s="11"/>
      <c r="L208" s="11"/>
      <c r="M208" s="11"/>
      <c r="N208" s="11"/>
      <c r="O208" s="12"/>
      <c r="P208" s="11"/>
      <c r="Q208" s="2"/>
      <c r="R208" s="2"/>
    </row>
    <row r="209" spans="1:18" ht="15" customHeight="1" x14ac:dyDescent="0.3">
      <c r="A209" s="13" t="s">
        <v>32</v>
      </c>
      <c r="B209" s="13" t="s">
        <v>113</v>
      </c>
      <c r="C209" s="87" t="s">
        <v>114</v>
      </c>
      <c r="D209" s="13" t="s">
        <v>39</v>
      </c>
      <c r="E209" s="13" t="s">
        <v>102</v>
      </c>
      <c r="F209" s="13" t="s">
        <v>151</v>
      </c>
      <c r="G209" s="145"/>
      <c r="H209" s="11"/>
      <c r="I209" s="11"/>
      <c r="J209" s="11"/>
      <c r="K209" s="11"/>
      <c r="L209" s="11"/>
      <c r="M209" s="11"/>
      <c r="N209" s="11"/>
      <c r="O209" s="12"/>
      <c r="P209" s="11"/>
      <c r="Q209" s="2"/>
      <c r="R209" s="2"/>
    </row>
    <row r="210" spans="1:18" ht="15" customHeight="1" x14ac:dyDescent="0.3">
      <c r="A210" s="13" t="s">
        <v>41</v>
      </c>
      <c r="B210" s="13" t="s">
        <v>42</v>
      </c>
      <c r="C210" s="87" t="s">
        <v>43</v>
      </c>
      <c r="D210" s="13" t="s">
        <v>86</v>
      </c>
      <c r="E210" s="13" t="s">
        <v>45</v>
      </c>
      <c r="F210" s="13" t="s">
        <v>147</v>
      </c>
      <c r="G210" s="145"/>
      <c r="H210" s="11"/>
      <c r="I210" s="11"/>
      <c r="J210" s="11"/>
      <c r="K210" s="11"/>
      <c r="L210" s="11"/>
      <c r="M210" s="11"/>
      <c r="N210" s="11"/>
      <c r="O210" s="12"/>
      <c r="P210" s="11"/>
      <c r="Q210" s="2"/>
      <c r="R210" s="2"/>
    </row>
    <row r="211" spans="1:18" ht="15" customHeight="1" x14ac:dyDescent="0.3">
      <c r="A211" s="13" t="s">
        <v>41</v>
      </c>
      <c r="B211" s="13" t="s">
        <v>68</v>
      </c>
      <c r="C211" s="87" t="s">
        <v>69</v>
      </c>
      <c r="D211" s="13" t="s">
        <v>86</v>
      </c>
      <c r="E211" s="13" t="s">
        <v>45</v>
      </c>
      <c r="F211" s="13" t="s">
        <v>147</v>
      </c>
      <c r="G211" s="145"/>
      <c r="H211" s="11"/>
      <c r="I211" s="11"/>
      <c r="J211" s="11"/>
      <c r="K211" s="11"/>
      <c r="L211" s="11"/>
      <c r="M211" s="11"/>
      <c r="N211" s="11"/>
      <c r="O211" s="12"/>
      <c r="P211" s="11"/>
      <c r="Q211" s="2"/>
      <c r="R211" s="2"/>
    </row>
    <row r="212" spans="1:18" ht="15" customHeight="1" x14ac:dyDescent="0.3">
      <c r="A212" s="13" t="s">
        <v>41</v>
      </c>
      <c r="B212" s="13" t="s">
        <v>71</v>
      </c>
      <c r="C212" s="87" t="s">
        <v>72</v>
      </c>
      <c r="D212" s="13" t="s">
        <v>86</v>
      </c>
      <c r="E212" s="13" t="s">
        <v>45</v>
      </c>
      <c r="F212" s="13" t="s">
        <v>138</v>
      </c>
      <c r="G212" s="145"/>
      <c r="H212" s="11"/>
      <c r="I212" s="11"/>
      <c r="J212" s="11"/>
      <c r="K212" s="11"/>
      <c r="L212" s="11"/>
      <c r="M212" s="11"/>
      <c r="N212" s="11"/>
      <c r="O212" s="12"/>
      <c r="P212" s="11"/>
      <c r="Q212" s="2"/>
      <c r="R212" s="2"/>
    </row>
    <row r="213" spans="1:18" ht="15" customHeight="1" x14ac:dyDescent="0.3">
      <c r="A213" s="13" t="s">
        <v>46</v>
      </c>
      <c r="B213" s="13" t="s">
        <v>47</v>
      </c>
      <c r="C213" s="87" t="s">
        <v>48</v>
      </c>
      <c r="D213" s="13" t="s">
        <v>128</v>
      </c>
      <c r="E213" s="13" t="s">
        <v>55</v>
      </c>
      <c r="F213" s="13" t="s">
        <v>139</v>
      </c>
      <c r="G213" s="145"/>
      <c r="H213" s="11"/>
      <c r="I213" s="11"/>
      <c r="J213" s="11"/>
      <c r="K213" s="11"/>
      <c r="L213" s="11"/>
      <c r="M213" s="11"/>
      <c r="N213" s="11"/>
      <c r="O213" s="12"/>
      <c r="P213" s="11"/>
      <c r="Q213" s="2"/>
      <c r="R213" s="2"/>
    </row>
    <row r="214" spans="1:18" ht="15" customHeight="1" x14ac:dyDescent="0.3">
      <c r="A214" s="13" t="s">
        <v>121</v>
      </c>
      <c r="B214" s="13" t="s">
        <v>122</v>
      </c>
      <c r="C214" s="87" t="s">
        <v>131</v>
      </c>
      <c r="D214" s="13" t="s">
        <v>128</v>
      </c>
      <c r="E214" s="13" t="s">
        <v>92</v>
      </c>
      <c r="F214" s="13" t="s">
        <v>165</v>
      </c>
      <c r="G214" s="145"/>
      <c r="H214" s="11"/>
      <c r="I214" s="11"/>
      <c r="J214" s="11"/>
      <c r="K214" s="11"/>
      <c r="L214" s="11"/>
      <c r="M214" s="11"/>
      <c r="N214" s="11"/>
      <c r="O214" s="12"/>
      <c r="P214" s="11"/>
      <c r="Q214" s="2"/>
      <c r="R214" s="2"/>
    </row>
    <row r="215" spans="1:18" ht="15" customHeight="1" thickBot="1" x14ac:dyDescent="0.35">
      <c r="A215" s="14" t="s">
        <v>77</v>
      </c>
      <c r="B215" s="14" t="s">
        <v>78</v>
      </c>
      <c r="C215" s="88" t="s">
        <v>59</v>
      </c>
      <c r="D215" s="14" t="s">
        <v>79</v>
      </c>
      <c r="E215" s="14" t="s">
        <v>35</v>
      </c>
      <c r="F215" s="14" t="s">
        <v>143</v>
      </c>
      <c r="G215" s="146"/>
      <c r="H215" s="15"/>
      <c r="I215" s="15"/>
      <c r="J215" s="15"/>
      <c r="K215" s="15"/>
      <c r="L215" s="15"/>
      <c r="M215" s="15"/>
      <c r="N215" s="15"/>
      <c r="O215" s="16"/>
      <c r="P215" s="15"/>
      <c r="Q215" s="17"/>
      <c r="R215" s="17"/>
    </row>
    <row r="216" spans="1:18" ht="17.399999999999999" customHeight="1" thickBot="1" x14ac:dyDescent="0.35">
      <c r="A216" s="140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2"/>
    </row>
    <row r="217" spans="1:18" ht="22.05" customHeight="1" thickTop="1" thickBot="1" x14ac:dyDescent="0.35">
      <c r="A217" s="143" t="s">
        <v>6</v>
      </c>
      <c r="B217" s="138"/>
      <c r="C217" s="138"/>
      <c r="D217" s="138"/>
      <c r="E217" s="138"/>
      <c r="F217" s="139"/>
      <c r="G217" s="89">
        <v>46038</v>
      </c>
      <c r="H217" s="137" t="s">
        <v>7</v>
      </c>
      <c r="I217" s="138"/>
      <c r="J217" s="138"/>
      <c r="K217" s="138"/>
      <c r="L217" s="138"/>
      <c r="M217" s="138"/>
      <c r="N217" s="138"/>
      <c r="O217" s="138"/>
      <c r="P217" s="138"/>
      <c r="Q217" s="138"/>
      <c r="R217" s="139"/>
    </row>
    <row r="218" spans="1:18" ht="24" customHeight="1" x14ac:dyDescent="0.3">
      <c r="A218" s="18" t="s">
        <v>8</v>
      </c>
      <c r="B218" s="18" t="s">
        <v>9</v>
      </c>
      <c r="C218" s="90" t="s">
        <v>10</v>
      </c>
      <c r="D218" s="18" t="s">
        <v>11</v>
      </c>
      <c r="E218" s="18" t="s">
        <v>12</v>
      </c>
      <c r="F218" s="19" t="s">
        <v>13</v>
      </c>
      <c r="G218" s="20" t="s">
        <v>14</v>
      </c>
      <c r="H218" s="18" t="s">
        <v>15</v>
      </c>
      <c r="I218" s="91" t="s">
        <v>16</v>
      </c>
      <c r="J218" s="21" t="s">
        <v>17</v>
      </c>
      <c r="K218" s="22" t="s">
        <v>18</v>
      </c>
      <c r="L218" s="21" t="s">
        <v>19</v>
      </c>
      <c r="M218" s="21" t="s">
        <v>20</v>
      </c>
      <c r="N218" s="21" t="s">
        <v>21</v>
      </c>
      <c r="O218" s="18" t="s">
        <v>22</v>
      </c>
      <c r="P218" s="90" t="s">
        <v>23</v>
      </c>
      <c r="Q218" s="21" t="s">
        <v>24</v>
      </c>
      <c r="R218" s="18" t="s">
        <v>25</v>
      </c>
    </row>
    <row r="219" spans="1:18" ht="15" customHeight="1" x14ac:dyDescent="0.3">
      <c r="A219" s="29" t="s">
        <v>26</v>
      </c>
      <c r="B219" s="29" t="s">
        <v>27</v>
      </c>
      <c r="C219" s="96">
        <v>0.29166666666666669</v>
      </c>
      <c r="D219" s="29" t="s">
        <v>128</v>
      </c>
      <c r="E219" s="29" t="s">
        <v>92</v>
      </c>
      <c r="F219" s="29" t="s">
        <v>73</v>
      </c>
      <c r="G219" s="144"/>
      <c r="H219" s="30" t="s">
        <v>29</v>
      </c>
      <c r="I219" s="97">
        <v>8.9300000000000004E-2</v>
      </c>
      <c r="J219" s="31">
        <v>15</v>
      </c>
      <c r="K219" s="32">
        <v>46357</v>
      </c>
      <c r="L219" s="31">
        <v>15</v>
      </c>
      <c r="M219" s="31">
        <v>0</v>
      </c>
      <c r="N219" s="31">
        <v>0</v>
      </c>
      <c r="O219" s="33" t="s">
        <v>161</v>
      </c>
      <c r="P219" s="98">
        <v>0.29166666666666669</v>
      </c>
      <c r="Q219" s="31">
        <v>168</v>
      </c>
      <c r="R219" s="34" t="s">
        <v>166</v>
      </c>
    </row>
    <row r="220" spans="1:18" ht="18" x14ac:dyDescent="0.3">
      <c r="A220" s="150" t="s">
        <v>31</v>
      </c>
      <c r="B220" s="151"/>
      <c r="C220" s="151"/>
      <c r="D220" s="151"/>
      <c r="E220" s="151"/>
      <c r="F220" s="152"/>
      <c r="G220" s="145"/>
      <c r="H220" s="11"/>
      <c r="I220" s="11"/>
      <c r="J220" s="11"/>
      <c r="K220" s="11"/>
      <c r="L220" s="11"/>
      <c r="M220" s="11"/>
      <c r="N220" s="11"/>
      <c r="O220" s="12"/>
      <c r="P220" s="11"/>
      <c r="Q220" s="2"/>
      <c r="R220" s="2"/>
    </row>
    <row r="221" spans="1:18" ht="15" customHeight="1" x14ac:dyDescent="0.3">
      <c r="A221" s="13" t="s">
        <v>57</v>
      </c>
      <c r="B221" s="13" t="s">
        <v>58</v>
      </c>
      <c r="C221" s="87" t="s">
        <v>59</v>
      </c>
      <c r="D221" s="13" t="s">
        <v>60</v>
      </c>
      <c r="E221" s="13" t="s">
        <v>145</v>
      </c>
      <c r="F221" s="13" t="s">
        <v>111</v>
      </c>
      <c r="G221" s="145"/>
      <c r="H221" s="11"/>
      <c r="I221" s="11"/>
      <c r="J221" s="11"/>
      <c r="K221" s="11"/>
      <c r="L221" s="11"/>
      <c r="M221" s="11"/>
      <c r="N221" s="11"/>
      <c r="O221" s="12"/>
      <c r="P221" s="11"/>
      <c r="Q221" s="2"/>
      <c r="R221" s="2"/>
    </row>
    <row r="222" spans="1:18" ht="15" customHeight="1" x14ac:dyDescent="0.3">
      <c r="A222" s="13" t="s">
        <v>57</v>
      </c>
      <c r="B222" s="13" t="s">
        <v>58</v>
      </c>
      <c r="C222" s="87" t="s">
        <v>59</v>
      </c>
      <c r="D222" s="13" t="s">
        <v>63</v>
      </c>
      <c r="E222" s="13" t="s">
        <v>145</v>
      </c>
      <c r="F222" s="13" t="s">
        <v>163</v>
      </c>
      <c r="G222" s="145"/>
      <c r="H222" s="11"/>
      <c r="I222" s="11"/>
      <c r="J222" s="11"/>
      <c r="K222" s="11"/>
      <c r="L222" s="11"/>
      <c r="M222" s="11"/>
      <c r="N222" s="11"/>
      <c r="O222" s="12"/>
      <c r="P222" s="11"/>
      <c r="Q222" s="2"/>
      <c r="R222" s="2"/>
    </row>
    <row r="223" spans="1:18" ht="15" customHeight="1" x14ac:dyDescent="0.3">
      <c r="A223" s="13" t="s">
        <v>57</v>
      </c>
      <c r="B223" s="13" t="s">
        <v>58</v>
      </c>
      <c r="C223" s="87" t="s">
        <v>59</v>
      </c>
      <c r="D223" s="13" t="s">
        <v>65</v>
      </c>
      <c r="E223" s="13" t="s">
        <v>145</v>
      </c>
      <c r="F223" s="13" t="s">
        <v>66</v>
      </c>
      <c r="G223" s="145"/>
      <c r="H223" s="11"/>
      <c r="I223" s="11"/>
      <c r="J223" s="11"/>
      <c r="K223" s="11"/>
      <c r="L223" s="11"/>
      <c r="M223" s="11"/>
      <c r="N223" s="11"/>
      <c r="O223" s="12"/>
      <c r="P223" s="11"/>
      <c r="Q223" s="2"/>
      <c r="R223" s="2"/>
    </row>
    <row r="224" spans="1:18" ht="15" customHeight="1" x14ac:dyDescent="0.3">
      <c r="A224" s="13" t="s">
        <v>32</v>
      </c>
      <c r="B224" s="13" t="s">
        <v>33</v>
      </c>
      <c r="C224" s="87" t="s">
        <v>54</v>
      </c>
      <c r="D224" s="13" t="s">
        <v>34</v>
      </c>
      <c r="E224" s="13" t="s">
        <v>102</v>
      </c>
      <c r="F224" s="13" t="s">
        <v>164</v>
      </c>
      <c r="G224" s="145"/>
      <c r="H224" s="11"/>
      <c r="I224" s="11"/>
      <c r="J224" s="11"/>
      <c r="K224" s="11"/>
      <c r="L224" s="11"/>
      <c r="M224" s="11"/>
      <c r="N224" s="11"/>
      <c r="O224" s="12"/>
      <c r="P224" s="11"/>
      <c r="Q224" s="2"/>
      <c r="R224" s="2"/>
    </row>
    <row r="225" spans="1:18" ht="15" customHeight="1" x14ac:dyDescent="0.3">
      <c r="A225" s="13" t="s">
        <v>32</v>
      </c>
      <c r="B225" s="13" t="s">
        <v>33</v>
      </c>
      <c r="C225" s="87" t="s">
        <v>54</v>
      </c>
      <c r="D225" s="13" t="s">
        <v>37</v>
      </c>
      <c r="E225" s="13" t="s">
        <v>102</v>
      </c>
      <c r="F225" s="13" t="s">
        <v>163</v>
      </c>
      <c r="G225" s="145"/>
      <c r="H225" s="11"/>
      <c r="I225" s="11"/>
      <c r="J225" s="11"/>
      <c r="K225" s="11"/>
      <c r="L225" s="11"/>
      <c r="M225" s="11"/>
      <c r="N225" s="11"/>
      <c r="O225" s="12"/>
      <c r="P225" s="11"/>
      <c r="Q225" s="2"/>
      <c r="R225" s="2"/>
    </row>
    <row r="226" spans="1:18" ht="15" customHeight="1" x14ac:dyDescent="0.3">
      <c r="A226" s="13" t="s">
        <v>32</v>
      </c>
      <c r="B226" s="13" t="s">
        <v>33</v>
      </c>
      <c r="C226" s="87" t="s">
        <v>54</v>
      </c>
      <c r="D226" s="13" t="s">
        <v>39</v>
      </c>
      <c r="E226" s="13" t="s">
        <v>102</v>
      </c>
      <c r="F226" s="13" t="s">
        <v>151</v>
      </c>
      <c r="G226" s="145"/>
      <c r="H226" s="11"/>
      <c r="I226" s="11"/>
      <c r="J226" s="11"/>
      <c r="K226" s="11"/>
      <c r="L226" s="11"/>
      <c r="M226" s="11"/>
      <c r="N226" s="11"/>
      <c r="O226" s="12"/>
      <c r="P226" s="11"/>
      <c r="Q226" s="2"/>
      <c r="R226" s="2"/>
    </row>
    <row r="227" spans="1:18" ht="15" customHeight="1" x14ac:dyDescent="0.3">
      <c r="A227" s="13" t="s">
        <v>41</v>
      </c>
      <c r="B227" s="13" t="s">
        <v>42</v>
      </c>
      <c r="C227" s="87" t="s">
        <v>43</v>
      </c>
      <c r="D227" s="13" t="s">
        <v>86</v>
      </c>
      <c r="E227" s="13" t="s">
        <v>45</v>
      </c>
      <c r="F227" s="13" t="s">
        <v>147</v>
      </c>
      <c r="G227" s="145"/>
      <c r="H227" s="11"/>
      <c r="I227" s="11"/>
      <c r="J227" s="11"/>
      <c r="K227" s="11"/>
      <c r="L227" s="11"/>
      <c r="M227" s="11"/>
      <c r="N227" s="11"/>
      <c r="O227" s="12"/>
      <c r="P227" s="11"/>
      <c r="Q227" s="2"/>
      <c r="R227" s="2"/>
    </row>
    <row r="228" spans="1:18" ht="15" customHeight="1" x14ac:dyDescent="0.3">
      <c r="A228" s="13" t="s">
        <v>41</v>
      </c>
      <c r="B228" s="13" t="s">
        <v>68</v>
      </c>
      <c r="C228" s="87" t="s">
        <v>69</v>
      </c>
      <c r="D228" s="13" t="s">
        <v>86</v>
      </c>
      <c r="E228" s="13" t="s">
        <v>45</v>
      </c>
      <c r="F228" s="13" t="s">
        <v>167</v>
      </c>
      <c r="G228" s="145"/>
      <c r="H228" s="11"/>
      <c r="I228" s="11"/>
      <c r="J228" s="11"/>
      <c r="K228" s="11"/>
      <c r="L228" s="11"/>
      <c r="M228" s="11"/>
      <c r="N228" s="11"/>
      <c r="O228" s="12"/>
      <c r="P228" s="11"/>
      <c r="Q228" s="2"/>
      <c r="R228" s="2"/>
    </row>
    <row r="229" spans="1:18" ht="15" customHeight="1" x14ac:dyDescent="0.3">
      <c r="A229" s="13" t="s">
        <v>41</v>
      </c>
      <c r="B229" s="13" t="s">
        <v>71</v>
      </c>
      <c r="C229" s="87" t="s">
        <v>72</v>
      </c>
      <c r="D229" s="13" t="s">
        <v>86</v>
      </c>
      <c r="E229" s="13" t="s">
        <v>45</v>
      </c>
      <c r="F229" s="13" t="s">
        <v>138</v>
      </c>
      <c r="G229" s="145"/>
      <c r="H229" s="11"/>
      <c r="I229" s="11"/>
      <c r="J229" s="11"/>
      <c r="K229" s="11"/>
      <c r="L229" s="11"/>
      <c r="M229" s="11"/>
      <c r="N229" s="11"/>
      <c r="O229" s="12"/>
      <c r="P229" s="11"/>
      <c r="Q229" s="2"/>
      <c r="R229" s="2"/>
    </row>
    <row r="230" spans="1:18" ht="15" customHeight="1" x14ac:dyDescent="0.3">
      <c r="A230" s="13" t="s">
        <v>46</v>
      </c>
      <c r="B230" s="13" t="s">
        <v>47</v>
      </c>
      <c r="C230" s="87" t="s">
        <v>48</v>
      </c>
      <c r="D230" s="13" t="s">
        <v>128</v>
      </c>
      <c r="E230" s="13" t="s">
        <v>158</v>
      </c>
      <c r="F230" s="13" t="s">
        <v>139</v>
      </c>
      <c r="G230" s="145"/>
      <c r="H230" s="11"/>
      <c r="I230" s="11"/>
      <c r="J230" s="11"/>
      <c r="K230" s="11"/>
      <c r="L230" s="11"/>
      <c r="M230" s="11"/>
      <c r="N230" s="11"/>
      <c r="O230" s="12"/>
      <c r="P230" s="11"/>
      <c r="Q230" s="2"/>
      <c r="R230" s="2"/>
    </row>
    <row r="231" spans="1:18" ht="15" customHeight="1" x14ac:dyDescent="0.3">
      <c r="A231" s="13" t="s">
        <v>26</v>
      </c>
      <c r="B231" s="13" t="s">
        <v>74</v>
      </c>
      <c r="C231" s="87" t="s">
        <v>75</v>
      </c>
      <c r="D231" s="13" t="s">
        <v>128</v>
      </c>
      <c r="E231" s="13" t="s">
        <v>92</v>
      </c>
      <c r="F231" s="13" t="s">
        <v>76</v>
      </c>
      <c r="G231" s="145"/>
      <c r="H231" s="11"/>
      <c r="I231" s="11"/>
      <c r="J231" s="11"/>
      <c r="K231" s="11"/>
      <c r="L231" s="11"/>
      <c r="M231" s="11"/>
      <c r="N231" s="11"/>
      <c r="O231" s="12"/>
      <c r="P231" s="11"/>
      <c r="Q231" s="2"/>
      <c r="R231" s="2"/>
    </row>
    <row r="232" spans="1:18" ht="15" customHeight="1" x14ac:dyDescent="0.3">
      <c r="A232" s="13" t="s">
        <v>121</v>
      </c>
      <c r="B232" s="13" t="s">
        <v>140</v>
      </c>
      <c r="C232" s="87" t="s">
        <v>141</v>
      </c>
      <c r="D232" s="13" t="s">
        <v>128</v>
      </c>
      <c r="E232" s="13" t="s">
        <v>102</v>
      </c>
      <c r="F232" s="13" t="s">
        <v>165</v>
      </c>
      <c r="G232" s="145"/>
      <c r="H232" s="11"/>
      <c r="I232" s="11"/>
      <c r="J232" s="11"/>
      <c r="K232" s="11"/>
      <c r="L232" s="11"/>
      <c r="M232" s="11"/>
      <c r="N232" s="11"/>
      <c r="O232" s="12"/>
      <c r="P232" s="11"/>
      <c r="Q232" s="2"/>
      <c r="R232" s="2"/>
    </row>
    <row r="233" spans="1:18" ht="15" customHeight="1" thickBot="1" x14ac:dyDescent="0.35">
      <c r="A233" s="14" t="s">
        <v>77</v>
      </c>
      <c r="B233" s="14" t="s">
        <v>78</v>
      </c>
      <c r="C233" s="88" t="s">
        <v>59</v>
      </c>
      <c r="D233" s="14" t="s">
        <v>79</v>
      </c>
      <c r="E233" s="14" t="s">
        <v>35</v>
      </c>
      <c r="F233" s="14" t="s">
        <v>143</v>
      </c>
      <c r="G233" s="146"/>
      <c r="H233" s="15"/>
      <c r="I233" s="15"/>
      <c r="J233" s="15"/>
      <c r="K233" s="15"/>
      <c r="L233" s="15"/>
      <c r="M233" s="15"/>
      <c r="N233" s="15"/>
      <c r="O233" s="16"/>
      <c r="P233" s="15"/>
      <c r="Q233" s="17"/>
      <c r="R233" s="17"/>
    </row>
    <row r="234" spans="1:18" ht="17.399999999999999" customHeight="1" thickBot="1" x14ac:dyDescent="0.35">
      <c r="A234" s="140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2"/>
    </row>
    <row r="235" spans="1:18" ht="22.05" customHeight="1" thickTop="1" thickBot="1" x14ac:dyDescent="0.35">
      <c r="A235" s="143" t="s">
        <v>6</v>
      </c>
      <c r="B235" s="138"/>
      <c r="C235" s="138"/>
      <c r="D235" s="138"/>
      <c r="E235" s="138"/>
      <c r="F235" s="139"/>
      <c r="G235" s="89">
        <v>46041</v>
      </c>
      <c r="H235" s="137" t="s">
        <v>7</v>
      </c>
      <c r="I235" s="138"/>
      <c r="J235" s="138"/>
      <c r="K235" s="138"/>
      <c r="L235" s="138"/>
      <c r="M235" s="138"/>
      <c r="N235" s="138"/>
      <c r="O235" s="138"/>
      <c r="P235" s="138"/>
      <c r="Q235" s="138"/>
      <c r="R235" s="139"/>
    </row>
    <row r="236" spans="1:18" ht="24" customHeight="1" x14ac:dyDescent="0.3">
      <c r="A236" s="18" t="s">
        <v>8</v>
      </c>
      <c r="B236" s="18" t="s">
        <v>9</v>
      </c>
      <c r="C236" s="90" t="s">
        <v>10</v>
      </c>
      <c r="D236" s="18" t="s">
        <v>11</v>
      </c>
      <c r="E236" s="18" t="s">
        <v>12</v>
      </c>
      <c r="F236" s="19" t="s">
        <v>13</v>
      </c>
      <c r="G236" s="20" t="s">
        <v>14</v>
      </c>
      <c r="H236" s="18" t="s">
        <v>15</v>
      </c>
      <c r="I236" s="91" t="s">
        <v>16</v>
      </c>
      <c r="J236" s="21" t="s">
        <v>17</v>
      </c>
      <c r="K236" s="22" t="s">
        <v>18</v>
      </c>
      <c r="L236" s="21" t="s">
        <v>19</v>
      </c>
      <c r="M236" s="21" t="s">
        <v>20</v>
      </c>
      <c r="N236" s="21" t="s">
        <v>21</v>
      </c>
      <c r="O236" s="18" t="s">
        <v>22</v>
      </c>
      <c r="P236" s="90" t="s">
        <v>23</v>
      </c>
      <c r="Q236" s="21" t="s">
        <v>24</v>
      </c>
      <c r="R236" s="18" t="s">
        <v>25</v>
      </c>
    </row>
    <row r="237" spans="1:18" ht="15" customHeight="1" x14ac:dyDescent="0.3">
      <c r="A237" s="53" t="s">
        <v>26</v>
      </c>
      <c r="B237" s="53" t="s">
        <v>27</v>
      </c>
      <c r="C237" s="108">
        <v>0.51041666666666663</v>
      </c>
      <c r="D237" s="53" t="s">
        <v>128</v>
      </c>
      <c r="E237" s="53" t="s">
        <v>96</v>
      </c>
      <c r="F237" s="53" t="s">
        <v>73</v>
      </c>
      <c r="G237" s="144"/>
      <c r="H237" s="54" t="s">
        <v>29</v>
      </c>
      <c r="I237" s="109">
        <v>4.1700000000000001E-2</v>
      </c>
      <c r="J237" s="55">
        <v>7</v>
      </c>
      <c r="K237" s="56">
        <v>46337</v>
      </c>
      <c r="L237" s="55">
        <v>7</v>
      </c>
      <c r="M237" s="55">
        <v>0</v>
      </c>
      <c r="N237" s="55">
        <v>0</v>
      </c>
      <c r="O237" s="57" t="s">
        <v>168</v>
      </c>
      <c r="P237" s="110">
        <v>0.51041666666666663</v>
      </c>
      <c r="Q237" s="55">
        <v>168</v>
      </c>
      <c r="R237" s="58" t="s">
        <v>169</v>
      </c>
    </row>
    <row r="238" spans="1:18" ht="18" x14ac:dyDescent="0.3">
      <c r="A238" s="150" t="s">
        <v>31</v>
      </c>
      <c r="B238" s="151"/>
      <c r="C238" s="151"/>
      <c r="D238" s="151"/>
      <c r="E238" s="151"/>
      <c r="F238" s="152"/>
      <c r="G238" s="145"/>
      <c r="H238" s="11"/>
      <c r="I238" s="11"/>
      <c r="J238" s="11"/>
      <c r="K238" s="11"/>
      <c r="L238" s="11"/>
      <c r="M238" s="11"/>
      <c r="N238" s="11"/>
      <c r="O238" s="12"/>
      <c r="P238" s="11"/>
      <c r="Q238" s="2"/>
      <c r="R238" s="2"/>
    </row>
    <row r="239" spans="1:18" ht="15" customHeight="1" x14ac:dyDescent="0.3">
      <c r="A239" s="13" t="s">
        <v>57</v>
      </c>
      <c r="B239" s="13" t="s">
        <v>58</v>
      </c>
      <c r="C239" s="87" t="s">
        <v>59</v>
      </c>
      <c r="D239" s="13" t="s">
        <v>60</v>
      </c>
      <c r="E239" s="13" t="s">
        <v>145</v>
      </c>
      <c r="F239" s="13" t="s">
        <v>111</v>
      </c>
      <c r="G239" s="145"/>
      <c r="H239" s="11"/>
      <c r="I239" s="11"/>
      <c r="J239" s="11"/>
      <c r="K239" s="11"/>
      <c r="L239" s="11"/>
      <c r="M239" s="11"/>
      <c r="N239" s="11"/>
      <c r="O239" s="12"/>
      <c r="P239" s="11"/>
      <c r="Q239" s="2"/>
      <c r="R239" s="2"/>
    </row>
    <row r="240" spans="1:18" ht="15" customHeight="1" x14ac:dyDescent="0.3">
      <c r="A240" s="13" t="s">
        <v>57</v>
      </c>
      <c r="B240" s="13" t="s">
        <v>58</v>
      </c>
      <c r="C240" s="87" t="s">
        <v>59</v>
      </c>
      <c r="D240" s="13" t="s">
        <v>63</v>
      </c>
      <c r="E240" s="13" t="s">
        <v>145</v>
      </c>
      <c r="F240" s="13" t="s">
        <v>163</v>
      </c>
      <c r="G240" s="145"/>
      <c r="H240" s="11"/>
      <c r="I240" s="11"/>
      <c r="J240" s="11"/>
      <c r="K240" s="11"/>
      <c r="L240" s="11"/>
      <c r="M240" s="11"/>
      <c r="N240" s="11"/>
      <c r="O240" s="12"/>
      <c r="P240" s="11"/>
      <c r="Q240" s="2"/>
      <c r="R240" s="2"/>
    </row>
    <row r="241" spans="1:18" ht="15" customHeight="1" x14ac:dyDescent="0.3">
      <c r="A241" s="13" t="s">
        <v>57</v>
      </c>
      <c r="B241" s="13" t="s">
        <v>58</v>
      </c>
      <c r="C241" s="87" t="s">
        <v>59</v>
      </c>
      <c r="D241" s="13" t="s">
        <v>65</v>
      </c>
      <c r="E241" s="13" t="s">
        <v>145</v>
      </c>
      <c r="F241" s="13" t="s">
        <v>66</v>
      </c>
      <c r="G241" s="145"/>
      <c r="H241" s="11"/>
      <c r="I241" s="11"/>
      <c r="J241" s="11"/>
      <c r="K241" s="11"/>
      <c r="L241" s="11"/>
      <c r="M241" s="11"/>
      <c r="N241" s="11"/>
      <c r="O241" s="12"/>
      <c r="P241" s="11"/>
      <c r="Q241" s="2"/>
      <c r="R241" s="2"/>
    </row>
    <row r="242" spans="1:18" ht="15" customHeight="1" x14ac:dyDescent="0.3">
      <c r="A242" s="13" t="s">
        <v>32</v>
      </c>
      <c r="B242" s="13" t="s">
        <v>33</v>
      </c>
      <c r="C242" s="87" t="s">
        <v>54</v>
      </c>
      <c r="D242" s="13" t="s">
        <v>34</v>
      </c>
      <c r="E242" s="13" t="s">
        <v>102</v>
      </c>
      <c r="F242" s="13" t="s">
        <v>164</v>
      </c>
      <c r="G242" s="145"/>
      <c r="H242" s="11"/>
      <c r="I242" s="11"/>
      <c r="J242" s="11"/>
      <c r="K242" s="11"/>
      <c r="L242" s="11"/>
      <c r="M242" s="11"/>
      <c r="N242" s="11"/>
      <c r="O242" s="12"/>
      <c r="P242" s="11"/>
      <c r="Q242" s="2"/>
      <c r="R242" s="2"/>
    </row>
    <row r="243" spans="1:18" ht="15" customHeight="1" x14ac:dyDescent="0.3">
      <c r="A243" s="13" t="s">
        <v>32</v>
      </c>
      <c r="B243" s="13" t="s">
        <v>33</v>
      </c>
      <c r="C243" s="87" t="s">
        <v>54</v>
      </c>
      <c r="D243" s="13" t="s">
        <v>37</v>
      </c>
      <c r="E243" s="13" t="s">
        <v>102</v>
      </c>
      <c r="F243" s="13" t="s">
        <v>163</v>
      </c>
      <c r="G243" s="145"/>
      <c r="H243" s="11"/>
      <c r="I243" s="11"/>
      <c r="J243" s="11"/>
      <c r="K243" s="11"/>
      <c r="L243" s="11"/>
      <c r="M243" s="11"/>
      <c r="N243" s="11"/>
      <c r="O243" s="12"/>
      <c r="P243" s="11"/>
      <c r="Q243" s="2"/>
      <c r="R243" s="2"/>
    </row>
    <row r="244" spans="1:18" ht="15" customHeight="1" x14ac:dyDescent="0.3">
      <c r="A244" s="13" t="s">
        <v>32</v>
      </c>
      <c r="B244" s="13" t="s">
        <v>33</v>
      </c>
      <c r="C244" s="87" t="s">
        <v>54</v>
      </c>
      <c r="D244" s="13" t="s">
        <v>39</v>
      </c>
      <c r="E244" s="13" t="s">
        <v>102</v>
      </c>
      <c r="F244" s="13" t="s">
        <v>151</v>
      </c>
      <c r="G244" s="145"/>
      <c r="H244" s="11"/>
      <c r="I244" s="11"/>
      <c r="J244" s="11"/>
      <c r="K244" s="11"/>
      <c r="L244" s="11"/>
      <c r="M244" s="11"/>
      <c r="N244" s="11"/>
      <c r="O244" s="12"/>
      <c r="P244" s="11"/>
      <c r="Q244" s="2"/>
      <c r="R244" s="2"/>
    </row>
    <row r="245" spans="1:18" ht="15" customHeight="1" x14ac:dyDescent="0.3">
      <c r="A245" s="13" t="s">
        <v>32</v>
      </c>
      <c r="B245" s="13" t="s">
        <v>113</v>
      </c>
      <c r="C245" s="87" t="s">
        <v>114</v>
      </c>
      <c r="D245" s="13" t="s">
        <v>34</v>
      </c>
      <c r="E245" s="13" t="s">
        <v>102</v>
      </c>
      <c r="F245" s="13" t="s">
        <v>164</v>
      </c>
      <c r="G245" s="145"/>
      <c r="H245" s="11"/>
      <c r="I245" s="11"/>
      <c r="J245" s="11"/>
      <c r="K245" s="11"/>
      <c r="L245" s="11"/>
      <c r="M245" s="11"/>
      <c r="N245" s="11"/>
      <c r="O245" s="12"/>
      <c r="P245" s="11"/>
      <c r="Q245" s="2"/>
      <c r="R245" s="2"/>
    </row>
    <row r="246" spans="1:18" ht="15" customHeight="1" x14ac:dyDescent="0.3">
      <c r="A246" s="13" t="s">
        <v>32</v>
      </c>
      <c r="B246" s="13" t="s">
        <v>113</v>
      </c>
      <c r="C246" s="87" t="s">
        <v>114</v>
      </c>
      <c r="D246" s="13" t="s">
        <v>37</v>
      </c>
      <c r="E246" s="13" t="s">
        <v>102</v>
      </c>
      <c r="F246" s="13" t="s">
        <v>163</v>
      </c>
      <c r="G246" s="145"/>
      <c r="H246" s="11"/>
      <c r="I246" s="11"/>
      <c r="J246" s="11"/>
      <c r="K246" s="11"/>
      <c r="L246" s="11"/>
      <c r="M246" s="11"/>
      <c r="N246" s="11"/>
      <c r="O246" s="12"/>
      <c r="P246" s="11"/>
      <c r="Q246" s="2"/>
      <c r="R246" s="2"/>
    </row>
    <row r="247" spans="1:18" ht="15" customHeight="1" x14ac:dyDescent="0.3">
      <c r="A247" s="13" t="s">
        <v>32</v>
      </c>
      <c r="B247" s="13" t="s">
        <v>113</v>
      </c>
      <c r="C247" s="87" t="s">
        <v>114</v>
      </c>
      <c r="D247" s="13" t="s">
        <v>39</v>
      </c>
      <c r="E247" s="13" t="s">
        <v>102</v>
      </c>
      <c r="F247" s="13" t="s">
        <v>151</v>
      </c>
      <c r="G247" s="145"/>
      <c r="H247" s="11"/>
      <c r="I247" s="11"/>
      <c r="J247" s="11"/>
      <c r="K247" s="11"/>
      <c r="L247" s="11"/>
      <c r="M247" s="11"/>
      <c r="N247" s="11"/>
      <c r="O247" s="12"/>
      <c r="P247" s="11"/>
      <c r="Q247" s="2"/>
      <c r="R247" s="2"/>
    </row>
    <row r="248" spans="1:18" ht="15" customHeight="1" x14ac:dyDescent="0.3">
      <c r="A248" s="13" t="s">
        <v>41</v>
      </c>
      <c r="B248" s="13" t="s">
        <v>42</v>
      </c>
      <c r="C248" s="87" t="s">
        <v>43</v>
      </c>
      <c r="D248" s="13" t="s">
        <v>86</v>
      </c>
      <c r="E248" s="13" t="s">
        <v>45</v>
      </c>
      <c r="F248" s="13" t="s">
        <v>147</v>
      </c>
      <c r="G248" s="145"/>
      <c r="H248" s="11"/>
      <c r="I248" s="11"/>
      <c r="J248" s="11"/>
      <c r="K248" s="11"/>
      <c r="L248" s="11"/>
      <c r="M248" s="11"/>
      <c r="N248" s="11"/>
      <c r="O248" s="12"/>
      <c r="P248" s="11"/>
      <c r="Q248" s="2"/>
      <c r="R248" s="2"/>
    </row>
    <row r="249" spans="1:18" ht="15" customHeight="1" x14ac:dyDescent="0.3">
      <c r="A249" s="13" t="s">
        <v>41</v>
      </c>
      <c r="B249" s="13" t="s">
        <v>68</v>
      </c>
      <c r="C249" s="87" t="s">
        <v>69</v>
      </c>
      <c r="D249" s="13" t="s">
        <v>86</v>
      </c>
      <c r="E249" s="13" t="s">
        <v>45</v>
      </c>
      <c r="F249" s="13" t="s">
        <v>147</v>
      </c>
      <c r="G249" s="145"/>
      <c r="H249" s="11"/>
      <c r="I249" s="11"/>
      <c r="J249" s="11"/>
      <c r="K249" s="11"/>
      <c r="L249" s="11"/>
      <c r="M249" s="11"/>
      <c r="N249" s="11"/>
      <c r="O249" s="12"/>
      <c r="P249" s="11"/>
      <c r="Q249" s="2"/>
      <c r="R249" s="2"/>
    </row>
    <row r="250" spans="1:18" ht="15" customHeight="1" x14ac:dyDescent="0.3">
      <c r="A250" s="13" t="s">
        <v>41</v>
      </c>
      <c r="B250" s="13" t="s">
        <v>71</v>
      </c>
      <c r="C250" s="87" t="s">
        <v>72</v>
      </c>
      <c r="D250" s="13" t="s">
        <v>86</v>
      </c>
      <c r="E250" s="13" t="s">
        <v>45</v>
      </c>
      <c r="F250" s="13" t="s">
        <v>138</v>
      </c>
      <c r="G250" s="145"/>
      <c r="H250" s="11"/>
      <c r="I250" s="11"/>
      <c r="J250" s="11"/>
      <c r="K250" s="11"/>
      <c r="L250" s="11"/>
      <c r="M250" s="11"/>
      <c r="N250" s="11"/>
      <c r="O250" s="12"/>
      <c r="P250" s="11"/>
      <c r="Q250" s="2"/>
      <c r="R250" s="2"/>
    </row>
    <row r="251" spans="1:18" ht="15" customHeight="1" x14ac:dyDescent="0.3">
      <c r="A251" s="13" t="s">
        <v>46</v>
      </c>
      <c r="B251" s="13" t="s">
        <v>47</v>
      </c>
      <c r="C251" s="87" t="s">
        <v>48</v>
      </c>
      <c r="D251" s="13" t="s">
        <v>128</v>
      </c>
      <c r="E251" s="13" t="s">
        <v>96</v>
      </c>
      <c r="F251" s="13" t="s">
        <v>139</v>
      </c>
      <c r="G251" s="145"/>
      <c r="H251" s="11"/>
      <c r="I251" s="11"/>
      <c r="J251" s="11"/>
      <c r="K251" s="11"/>
      <c r="L251" s="11"/>
      <c r="M251" s="11"/>
      <c r="N251" s="11"/>
      <c r="O251" s="12"/>
      <c r="P251" s="11"/>
      <c r="Q251" s="2"/>
      <c r="R251" s="2"/>
    </row>
    <row r="252" spans="1:18" ht="15" customHeight="1" x14ac:dyDescent="0.3">
      <c r="A252" s="13" t="s">
        <v>121</v>
      </c>
      <c r="B252" s="13" t="s">
        <v>122</v>
      </c>
      <c r="C252" s="87" t="s">
        <v>131</v>
      </c>
      <c r="D252" s="13" t="s">
        <v>128</v>
      </c>
      <c r="E252" s="13" t="s">
        <v>158</v>
      </c>
      <c r="F252" s="13" t="s">
        <v>165</v>
      </c>
      <c r="G252" s="145"/>
      <c r="H252" s="11"/>
      <c r="I252" s="11"/>
      <c r="J252" s="11"/>
      <c r="K252" s="11"/>
      <c r="L252" s="11"/>
      <c r="M252" s="11"/>
      <c r="N252" s="11"/>
      <c r="O252" s="12"/>
      <c r="P252" s="11"/>
      <c r="Q252" s="2"/>
      <c r="R252" s="2"/>
    </row>
    <row r="253" spans="1:18" ht="15" customHeight="1" thickBot="1" x14ac:dyDescent="0.35">
      <c r="A253" s="14" t="s">
        <v>77</v>
      </c>
      <c r="B253" s="14" t="s">
        <v>78</v>
      </c>
      <c r="C253" s="88" t="s">
        <v>59</v>
      </c>
      <c r="D253" s="14" t="s">
        <v>79</v>
      </c>
      <c r="E253" s="14" t="s">
        <v>35</v>
      </c>
      <c r="F253" s="14" t="s">
        <v>143</v>
      </c>
      <c r="G253" s="146"/>
      <c r="H253" s="15"/>
      <c r="I253" s="15"/>
      <c r="J253" s="15"/>
      <c r="K253" s="15"/>
      <c r="L253" s="15"/>
      <c r="M253" s="15"/>
      <c r="N253" s="15"/>
      <c r="O253" s="16"/>
      <c r="P253" s="15"/>
      <c r="Q253" s="17"/>
      <c r="R253" s="17"/>
    </row>
    <row r="254" spans="1:18" ht="17.399999999999999" customHeight="1" thickBot="1" x14ac:dyDescent="0.35">
      <c r="A254" s="140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2"/>
    </row>
    <row r="255" spans="1:18" ht="22.05" customHeight="1" thickTop="1" thickBot="1" x14ac:dyDescent="0.35">
      <c r="A255" s="143" t="s">
        <v>6</v>
      </c>
      <c r="B255" s="138"/>
      <c r="C255" s="138"/>
      <c r="D255" s="138"/>
      <c r="E255" s="138"/>
      <c r="F255" s="139"/>
      <c r="G255" s="89">
        <v>46045</v>
      </c>
      <c r="H255" s="137" t="s">
        <v>7</v>
      </c>
      <c r="I255" s="138"/>
      <c r="J255" s="138"/>
      <c r="K255" s="138"/>
      <c r="L255" s="138"/>
      <c r="M255" s="138"/>
      <c r="N255" s="138"/>
      <c r="O255" s="138"/>
      <c r="P255" s="138"/>
      <c r="Q255" s="138"/>
      <c r="R255" s="139"/>
    </row>
    <row r="256" spans="1:18" ht="24" customHeight="1" x14ac:dyDescent="0.3">
      <c r="A256" s="18" t="s">
        <v>8</v>
      </c>
      <c r="B256" s="18" t="s">
        <v>9</v>
      </c>
      <c r="C256" s="90" t="s">
        <v>10</v>
      </c>
      <c r="D256" s="18" t="s">
        <v>11</v>
      </c>
      <c r="E256" s="18" t="s">
        <v>12</v>
      </c>
      <c r="F256" s="19" t="s">
        <v>13</v>
      </c>
      <c r="G256" s="20" t="s">
        <v>14</v>
      </c>
      <c r="H256" s="18" t="s">
        <v>15</v>
      </c>
      <c r="I256" s="91" t="s">
        <v>16</v>
      </c>
      <c r="J256" s="21" t="s">
        <v>17</v>
      </c>
      <c r="K256" s="22" t="s">
        <v>18</v>
      </c>
      <c r="L256" s="21" t="s">
        <v>19</v>
      </c>
      <c r="M256" s="21" t="s">
        <v>20</v>
      </c>
      <c r="N256" s="21" t="s">
        <v>21</v>
      </c>
      <c r="O256" s="18" t="s">
        <v>22</v>
      </c>
      <c r="P256" s="90" t="s">
        <v>23</v>
      </c>
      <c r="Q256" s="21" t="s">
        <v>24</v>
      </c>
      <c r="R256" s="18" t="s">
        <v>25</v>
      </c>
    </row>
    <row r="257" spans="1:18" ht="15" customHeight="1" x14ac:dyDescent="0.3">
      <c r="A257" s="59" t="s">
        <v>26</v>
      </c>
      <c r="B257" s="59" t="s">
        <v>27</v>
      </c>
      <c r="C257" s="111">
        <v>0.29166666666666669</v>
      </c>
      <c r="D257" s="59" t="s">
        <v>128</v>
      </c>
      <c r="E257" s="59" t="s">
        <v>96</v>
      </c>
      <c r="F257" s="59" t="s">
        <v>170</v>
      </c>
      <c r="G257" s="153"/>
      <c r="H257" s="60" t="s">
        <v>29</v>
      </c>
      <c r="I257" s="112">
        <v>5.9499999999999997E-2</v>
      </c>
      <c r="J257" s="61">
        <v>10</v>
      </c>
      <c r="K257" s="62">
        <v>46356</v>
      </c>
      <c r="L257" s="61">
        <v>10</v>
      </c>
      <c r="M257" s="61">
        <v>0</v>
      </c>
      <c r="N257" s="61">
        <v>0</v>
      </c>
      <c r="O257" s="63" t="s">
        <v>171</v>
      </c>
      <c r="P257" s="113">
        <v>0.29166666666666669</v>
      </c>
      <c r="Q257" s="61">
        <v>168</v>
      </c>
      <c r="R257" s="64" t="s">
        <v>172</v>
      </c>
    </row>
    <row r="258" spans="1:18" ht="18" x14ac:dyDescent="0.3">
      <c r="A258" s="150" t="s">
        <v>31</v>
      </c>
      <c r="B258" s="151"/>
      <c r="C258" s="151"/>
      <c r="D258" s="151"/>
      <c r="E258" s="151"/>
      <c r="F258" s="152"/>
      <c r="G258" s="145"/>
      <c r="H258" s="11"/>
      <c r="I258" s="11"/>
      <c r="J258" s="11"/>
      <c r="K258" s="11"/>
      <c r="L258" s="11"/>
      <c r="M258" s="11"/>
      <c r="N258" s="11"/>
      <c r="O258" s="12"/>
      <c r="P258" s="11"/>
      <c r="Q258" s="2"/>
      <c r="R258" s="2"/>
    </row>
    <row r="259" spans="1:18" ht="15" customHeight="1" x14ac:dyDescent="0.3">
      <c r="A259" s="13" t="s">
        <v>57</v>
      </c>
      <c r="B259" s="13" t="s">
        <v>58</v>
      </c>
      <c r="C259" s="87" t="s">
        <v>59</v>
      </c>
      <c r="D259" s="13" t="s">
        <v>60</v>
      </c>
      <c r="E259" s="13" t="s">
        <v>145</v>
      </c>
      <c r="F259" s="13" t="s">
        <v>111</v>
      </c>
      <c r="G259" s="145"/>
      <c r="H259" s="11"/>
      <c r="I259" s="11"/>
      <c r="J259" s="11"/>
      <c r="K259" s="11"/>
      <c r="L259" s="11"/>
      <c r="M259" s="11"/>
      <c r="N259" s="11"/>
      <c r="O259" s="12"/>
      <c r="P259" s="11"/>
      <c r="Q259" s="2"/>
      <c r="R259" s="2"/>
    </row>
    <row r="260" spans="1:18" ht="15" customHeight="1" x14ac:dyDescent="0.3">
      <c r="A260" s="13" t="s">
        <v>57</v>
      </c>
      <c r="B260" s="13" t="s">
        <v>58</v>
      </c>
      <c r="C260" s="87" t="s">
        <v>59</v>
      </c>
      <c r="D260" s="13" t="s">
        <v>63</v>
      </c>
      <c r="E260" s="13" t="s">
        <v>145</v>
      </c>
      <c r="F260" s="13" t="s">
        <v>163</v>
      </c>
      <c r="G260" s="145"/>
      <c r="H260" s="11"/>
      <c r="I260" s="11"/>
      <c r="J260" s="11"/>
      <c r="K260" s="11"/>
      <c r="L260" s="11"/>
      <c r="M260" s="11"/>
      <c r="N260" s="11"/>
      <c r="O260" s="12"/>
      <c r="P260" s="11"/>
      <c r="Q260" s="2"/>
      <c r="R260" s="2"/>
    </row>
    <row r="261" spans="1:18" ht="15" customHeight="1" x14ac:dyDescent="0.3">
      <c r="A261" s="13" t="s">
        <v>57</v>
      </c>
      <c r="B261" s="13" t="s">
        <v>58</v>
      </c>
      <c r="C261" s="87" t="s">
        <v>59</v>
      </c>
      <c r="D261" s="13" t="s">
        <v>65</v>
      </c>
      <c r="E261" s="13" t="s">
        <v>145</v>
      </c>
      <c r="F261" s="13" t="s">
        <v>66</v>
      </c>
      <c r="G261" s="145"/>
      <c r="H261" s="11"/>
      <c r="I261" s="11"/>
      <c r="J261" s="11"/>
      <c r="K261" s="11"/>
      <c r="L261" s="11"/>
      <c r="M261" s="11"/>
      <c r="N261" s="11"/>
      <c r="O261" s="12"/>
      <c r="P261" s="11"/>
      <c r="Q261" s="2"/>
      <c r="R261" s="2"/>
    </row>
    <row r="262" spans="1:18" ht="15" customHeight="1" x14ac:dyDescent="0.3">
      <c r="A262" s="13" t="s">
        <v>32</v>
      </c>
      <c r="B262" s="13" t="s">
        <v>33</v>
      </c>
      <c r="C262" s="87" t="s">
        <v>54</v>
      </c>
      <c r="D262" s="13" t="s">
        <v>34</v>
      </c>
      <c r="E262" s="13" t="s">
        <v>102</v>
      </c>
      <c r="F262" s="13" t="s">
        <v>173</v>
      </c>
      <c r="G262" s="145"/>
      <c r="H262" s="11"/>
      <c r="I262" s="11"/>
      <c r="J262" s="11"/>
      <c r="K262" s="11"/>
      <c r="L262" s="11"/>
      <c r="M262" s="11"/>
      <c r="N262" s="11"/>
      <c r="O262" s="12"/>
      <c r="P262" s="11"/>
      <c r="Q262" s="2"/>
      <c r="R262" s="2"/>
    </row>
    <row r="263" spans="1:18" ht="15" customHeight="1" x14ac:dyDescent="0.3">
      <c r="A263" s="13" t="s">
        <v>32</v>
      </c>
      <c r="B263" s="13" t="s">
        <v>33</v>
      </c>
      <c r="C263" s="87" t="s">
        <v>54</v>
      </c>
      <c r="D263" s="13" t="s">
        <v>37</v>
      </c>
      <c r="E263" s="13" t="s">
        <v>102</v>
      </c>
      <c r="F263" s="13" t="s">
        <v>137</v>
      </c>
      <c r="G263" s="145"/>
      <c r="H263" s="11"/>
      <c r="I263" s="11"/>
      <c r="J263" s="11"/>
      <c r="K263" s="11"/>
      <c r="L263" s="11"/>
      <c r="M263" s="11"/>
      <c r="N263" s="11"/>
      <c r="O263" s="12"/>
      <c r="P263" s="11"/>
      <c r="Q263" s="2"/>
      <c r="R263" s="2"/>
    </row>
    <row r="264" spans="1:18" ht="15" customHeight="1" x14ac:dyDescent="0.3">
      <c r="A264" s="13" t="s">
        <v>32</v>
      </c>
      <c r="B264" s="13" t="s">
        <v>33</v>
      </c>
      <c r="C264" s="87" t="s">
        <v>54</v>
      </c>
      <c r="D264" s="13" t="s">
        <v>39</v>
      </c>
      <c r="E264" s="13" t="s">
        <v>102</v>
      </c>
      <c r="F264" s="13" t="s">
        <v>174</v>
      </c>
      <c r="G264" s="145"/>
      <c r="H264" s="11"/>
      <c r="I264" s="11"/>
      <c r="J264" s="11"/>
      <c r="K264" s="11"/>
      <c r="L264" s="11"/>
      <c r="M264" s="11"/>
      <c r="N264" s="11"/>
      <c r="O264" s="12"/>
      <c r="P264" s="11"/>
      <c r="Q264" s="2"/>
      <c r="R264" s="2"/>
    </row>
    <row r="265" spans="1:18" ht="15" customHeight="1" x14ac:dyDescent="0.3">
      <c r="A265" s="13" t="s">
        <v>41</v>
      </c>
      <c r="B265" s="13" t="s">
        <v>42</v>
      </c>
      <c r="C265" s="87" t="s">
        <v>43</v>
      </c>
      <c r="D265" s="13" t="s">
        <v>86</v>
      </c>
      <c r="E265" s="13" t="s">
        <v>45</v>
      </c>
      <c r="F265" s="13" t="s">
        <v>147</v>
      </c>
      <c r="G265" s="145"/>
      <c r="H265" s="11"/>
      <c r="I265" s="11"/>
      <c r="J265" s="11"/>
      <c r="K265" s="11"/>
      <c r="L265" s="11"/>
      <c r="M265" s="11"/>
      <c r="N265" s="11"/>
      <c r="O265" s="12"/>
      <c r="P265" s="11"/>
      <c r="Q265" s="2"/>
      <c r="R265" s="2"/>
    </row>
    <row r="266" spans="1:18" ht="15" customHeight="1" x14ac:dyDescent="0.3">
      <c r="A266" s="13" t="s">
        <v>41</v>
      </c>
      <c r="B266" s="13" t="s">
        <v>68</v>
      </c>
      <c r="C266" s="87" t="s">
        <v>69</v>
      </c>
      <c r="D266" s="13" t="s">
        <v>86</v>
      </c>
      <c r="E266" s="13" t="s">
        <v>45</v>
      </c>
      <c r="F266" s="13" t="s">
        <v>167</v>
      </c>
      <c r="G266" s="145"/>
      <c r="H266" s="11"/>
      <c r="I266" s="11"/>
      <c r="J266" s="11"/>
      <c r="K266" s="11"/>
      <c r="L266" s="11"/>
      <c r="M266" s="11"/>
      <c r="N266" s="11"/>
      <c r="O266" s="12"/>
      <c r="P266" s="11"/>
      <c r="Q266" s="2"/>
      <c r="R266" s="2"/>
    </row>
    <row r="267" spans="1:18" ht="15" customHeight="1" x14ac:dyDescent="0.3">
      <c r="A267" s="13" t="s">
        <v>41</v>
      </c>
      <c r="B267" s="13" t="s">
        <v>71</v>
      </c>
      <c r="C267" s="87" t="s">
        <v>72</v>
      </c>
      <c r="D267" s="13" t="s">
        <v>86</v>
      </c>
      <c r="E267" s="13" t="s">
        <v>45</v>
      </c>
      <c r="F267" s="13" t="s">
        <v>138</v>
      </c>
      <c r="G267" s="145"/>
      <c r="H267" s="11"/>
      <c r="I267" s="11"/>
      <c r="J267" s="11"/>
      <c r="K267" s="11"/>
      <c r="L267" s="11"/>
      <c r="M267" s="11"/>
      <c r="N267" s="11"/>
      <c r="O267" s="12"/>
      <c r="P267" s="11"/>
      <c r="Q267" s="2"/>
      <c r="R267" s="2"/>
    </row>
    <row r="268" spans="1:18" ht="15" customHeight="1" x14ac:dyDescent="0.3">
      <c r="A268" s="13" t="s">
        <v>46</v>
      </c>
      <c r="B268" s="13" t="s">
        <v>47</v>
      </c>
      <c r="C268" s="87" t="s">
        <v>48</v>
      </c>
      <c r="D268" s="13" t="s">
        <v>128</v>
      </c>
      <c r="E268" s="13" t="s">
        <v>92</v>
      </c>
      <c r="F268" s="13" t="s">
        <v>139</v>
      </c>
      <c r="G268" s="145"/>
      <c r="H268" s="11"/>
      <c r="I268" s="11"/>
      <c r="J268" s="11"/>
      <c r="K268" s="11"/>
      <c r="L268" s="11"/>
      <c r="M268" s="11"/>
      <c r="N268" s="11"/>
      <c r="O268" s="12"/>
      <c r="P268" s="11"/>
      <c r="Q268" s="2"/>
      <c r="R268" s="2"/>
    </row>
    <row r="269" spans="1:18" ht="15" customHeight="1" x14ac:dyDescent="0.3">
      <c r="A269" s="13" t="s">
        <v>26</v>
      </c>
      <c r="B269" s="13" t="s">
        <v>74</v>
      </c>
      <c r="C269" s="87" t="s">
        <v>75</v>
      </c>
      <c r="D269" s="13" t="s">
        <v>128</v>
      </c>
      <c r="E269" s="13" t="s">
        <v>116</v>
      </c>
      <c r="F269" s="13" t="s">
        <v>103</v>
      </c>
      <c r="G269" s="145"/>
      <c r="H269" s="11"/>
      <c r="I269" s="11"/>
      <c r="J269" s="11"/>
      <c r="K269" s="11"/>
      <c r="L269" s="11"/>
      <c r="M269" s="11"/>
      <c r="N269" s="11"/>
      <c r="O269" s="12"/>
      <c r="P269" s="11"/>
      <c r="Q269" s="2"/>
      <c r="R269" s="2"/>
    </row>
    <row r="270" spans="1:18" ht="15" customHeight="1" x14ac:dyDescent="0.3">
      <c r="A270" s="13" t="s">
        <v>121</v>
      </c>
      <c r="B270" s="13" t="s">
        <v>140</v>
      </c>
      <c r="C270" s="87" t="s">
        <v>141</v>
      </c>
      <c r="D270" s="13" t="s">
        <v>128</v>
      </c>
      <c r="E270" s="13" t="s">
        <v>102</v>
      </c>
      <c r="F270" s="13" t="s">
        <v>165</v>
      </c>
      <c r="G270" s="145"/>
      <c r="H270" s="11"/>
      <c r="I270" s="11"/>
      <c r="J270" s="11"/>
      <c r="K270" s="11"/>
      <c r="L270" s="11"/>
      <c r="M270" s="11"/>
      <c r="N270" s="11"/>
      <c r="O270" s="12"/>
      <c r="P270" s="11"/>
      <c r="Q270" s="2"/>
      <c r="R270" s="2"/>
    </row>
    <row r="271" spans="1:18" ht="15" customHeight="1" thickBot="1" x14ac:dyDescent="0.35">
      <c r="A271" s="14" t="s">
        <v>77</v>
      </c>
      <c r="B271" s="14" t="s">
        <v>78</v>
      </c>
      <c r="C271" s="88" t="s">
        <v>59</v>
      </c>
      <c r="D271" s="14" t="s">
        <v>79</v>
      </c>
      <c r="E271" s="14" t="s">
        <v>35</v>
      </c>
      <c r="F271" s="14" t="s">
        <v>143</v>
      </c>
      <c r="G271" s="146"/>
      <c r="H271" s="15"/>
      <c r="I271" s="15"/>
      <c r="J271" s="15"/>
      <c r="K271" s="15"/>
      <c r="L271" s="15"/>
      <c r="M271" s="15"/>
      <c r="N271" s="15"/>
      <c r="O271" s="16"/>
      <c r="P271" s="15"/>
      <c r="Q271" s="17"/>
      <c r="R271" s="17"/>
    </row>
    <row r="272" spans="1:18" ht="17.399999999999999" customHeight="1" thickBot="1" x14ac:dyDescent="0.35">
      <c r="A272" s="140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2"/>
    </row>
    <row r="273" spans="1:18" ht="22.05" customHeight="1" thickTop="1" thickBot="1" x14ac:dyDescent="0.35">
      <c r="A273" s="143" t="s">
        <v>6</v>
      </c>
      <c r="B273" s="138"/>
      <c r="C273" s="138"/>
      <c r="D273" s="138"/>
      <c r="E273" s="138"/>
      <c r="F273" s="139"/>
      <c r="G273" s="89">
        <v>46048</v>
      </c>
      <c r="H273" s="137" t="s">
        <v>7</v>
      </c>
      <c r="I273" s="138"/>
      <c r="J273" s="138"/>
      <c r="K273" s="138"/>
      <c r="L273" s="138"/>
      <c r="M273" s="138"/>
      <c r="N273" s="138"/>
      <c r="O273" s="138"/>
      <c r="P273" s="138"/>
      <c r="Q273" s="138"/>
      <c r="R273" s="139"/>
    </row>
    <row r="274" spans="1:18" ht="24" customHeight="1" x14ac:dyDescent="0.3">
      <c r="A274" s="18" t="s">
        <v>8</v>
      </c>
      <c r="B274" s="18" t="s">
        <v>9</v>
      </c>
      <c r="C274" s="90" t="s">
        <v>10</v>
      </c>
      <c r="D274" s="18" t="s">
        <v>11</v>
      </c>
      <c r="E274" s="18" t="s">
        <v>12</v>
      </c>
      <c r="F274" s="19" t="s">
        <v>13</v>
      </c>
      <c r="G274" s="20" t="s">
        <v>14</v>
      </c>
      <c r="H274" s="18" t="s">
        <v>15</v>
      </c>
      <c r="I274" s="91" t="s">
        <v>16</v>
      </c>
      <c r="J274" s="21" t="s">
        <v>17</v>
      </c>
      <c r="K274" s="22" t="s">
        <v>18</v>
      </c>
      <c r="L274" s="21" t="s">
        <v>19</v>
      </c>
      <c r="M274" s="21" t="s">
        <v>20</v>
      </c>
      <c r="N274" s="21" t="s">
        <v>21</v>
      </c>
      <c r="O274" s="18" t="s">
        <v>22</v>
      </c>
      <c r="P274" s="90" t="s">
        <v>23</v>
      </c>
      <c r="Q274" s="21" t="s">
        <v>24</v>
      </c>
      <c r="R274" s="18" t="s">
        <v>25</v>
      </c>
    </row>
    <row r="275" spans="1:18" ht="15" customHeight="1" x14ac:dyDescent="0.3">
      <c r="A275" s="29" t="s">
        <v>26</v>
      </c>
      <c r="B275" s="29" t="s">
        <v>27</v>
      </c>
      <c r="C275" s="96">
        <v>0.51041666666666663</v>
      </c>
      <c r="D275" s="29" t="s">
        <v>128</v>
      </c>
      <c r="E275" s="29" t="s">
        <v>158</v>
      </c>
      <c r="F275" s="29" t="s">
        <v>170</v>
      </c>
      <c r="G275" s="153"/>
      <c r="H275" s="30" t="s">
        <v>29</v>
      </c>
      <c r="I275" s="97">
        <v>5.9499999999999997E-2</v>
      </c>
      <c r="J275" s="31">
        <v>10</v>
      </c>
      <c r="K275" s="32">
        <v>46356</v>
      </c>
      <c r="L275" s="31">
        <v>10</v>
      </c>
      <c r="M275" s="31">
        <v>0</v>
      </c>
      <c r="N275" s="31">
        <v>0</v>
      </c>
      <c r="O275" s="33" t="s">
        <v>175</v>
      </c>
      <c r="P275" s="98">
        <v>0.51041666666666663</v>
      </c>
      <c r="Q275" s="31">
        <v>168</v>
      </c>
      <c r="R275" s="34" t="s">
        <v>176</v>
      </c>
    </row>
    <row r="276" spans="1:18" ht="18" x14ac:dyDescent="0.3">
      <c r="A276" s="150" t="s">
        <v>31</v>
      </c>
      <c r="B276" s="151"/>
      <c r="C276" s="151"/>
      <c r="D276" s="151"/>
      <c r="E276" s="151"/>
      <c r="F276" s="152"/>
      <c r="G276" s="145"/>
      <c r="H276" s="11"/>
      <c r="I276" s="11"/>
      <c r="J276" s="11"/>
      <c r="K276" s="11"/>
      <c r="L276" s="11"/>
      <c r="M276" s="11"/>
      <c r="N276" s="11"/>
      <c r="O276" s="12"/>
      <c r="P276" s="11"/>
      <c r="Q276" s="2"/>
      <c r="R276" s="2"/>
    </row>
    <row r="277" spans="1:18" ht="15" customHeight="1" x14ac:dyDescent="0.3">
      <c r="A277" s="13" t="s">
        <v>57</v>
      </c>
      <c r="B277" s="13" t="s">
        <v>58</v>
      </c>
      <c r="C277" s="87" t="s">
        <v>59</v>
      </c>
      <c r="D277" s="13" t="s">
        <v>60</v>
      </c>
      <c r="E277" s="13" t="s">
        <v>145</v>
      </c>
      <c r="F277" s="13" t="s">
        <v>111</v>
      </c>
      <c r="G277" s="145"/>
      <c r="H277" s="11"/>
      <c r="I277" s="11"/>
      <c r="J277" s="11"/>
      <c r="K277" s="11"/>
      <c r="L277" s="11"/>
      <c r="M277" s="11"/>
      <c r="N277" s="11"/>
      <c r="O277" s="12"/>
      <c r="P277" s="11"/>
      <c r="Q277" s="2"/>
      <c r="R277" s="2"/>
    </row>
    <row r="278" spans="1:18" ht="15" customHeight="1" x14ac:dyDescent="0.3">
      <c r="A278" s="13" t="s">
        <v>57</v>
      </c>
      <c r="B278" s="13" t="s">
        <v>58</v>
      </c>
      <c r="C278" s="87" t="s">
        <v>59</v>
      </c>
      <c r="D278" s="13" t="s">
        <v>63</v>
      </c>
      <c r="E278" s="13" t="s">
        <v>145</v>
      </c>
      <c r="F278" s="13" t="s">
        <v>163</v>
      </c>
      <c r="G278" s="145"/>
      <c r="H278" s="11"/>
      <c r="I278" s="11"/>
      <c r="J278" s="11"/>
      <c r="K278" s="11"/>
      <c r="L278" s="11"/>
      <c r="M278" s="11"/>
      <c r="N278" s="11"/>
      <c r="O278" s="12"/>
      <c r="P278" s="11"/>
      <c r="Q278" s="2"/>
      <c r="R278" s="2"/>
    </row>
    <row r="279" spans="1:18" ht="15" customHeight="1" x14ac:dyDescent="0.3">
      <c r="A279" s="13" t="s">
        <v>57</v>
      </c>
      <c r="B279" s="13" t="s">
        <v>58</v>
      </c>
      <c r="C279" s="87" t="s">
        <v>59</v>
      </c>
      <c r="D279" s="13" t="s">
        <v>65</v>
      </c>
      <c r="E279" s="13" t="s">
        <v>145</v>
      </c>
      <c r="F279" s="13" t="s">
        <v>66</v>
      </c>
      <c r="G279" s="145"/>
      <c r="H279" s="11"/>
      <c r="I279" s="11"/>
      <c r="J279" s="11"/>
      <c r="K279" s="11"/>
      <c r="L279" s="11"/>
      <c r="M279" s="11"/>
      <c r="N279" s="11"/>
      <c r="O279" s="12"/>
      <c r="P279" s="11"/>
      <c r="Q279" s="2"/>
      <c r="R279" s="2"/>
    </row>
    <row r="280" spans="1:18" ht="15" customHeight="1" x14ac:dyDescent="0.3">
      <c r="A280" s="13" t="s">
        <v>32</v>
      </c>
      <c r="B280" s="13" t="s">
        <v>33</v>
      </c>
      <c r="C280" s="87" t="s">
        <v>54</v>
      </c>
      <c r="D280" s="13" t="s">
        <v>34</v>
      </c>
      <c r="E280" s="13" t="s">
        <v>102</v>
      </c>
      <c r="F280" s="13" t="s">
        <v>164</v>
      </c>
      <c r="G280" s="145"/>
      <c r="H280" s="11"/>
      <c r="I280" s="11"/>
      <c r="J280" s="11"/>
      <c r="K280" s="11"/>
      <c r="L280" s="11"/>
      <c r="M280" s="11"/>
      <c r="N280" s="11"/>
      <c r="O280" s="12"/>
      <c r="P280" s="11"/>
      <c r="Q280" s="2"/>
      <c r="R280" s="2"/>
    </row>
    <row r="281" spans="1:18" ht="15" customHeight="1" x14ac:dyDescent="0.3">
      <c r="A281" s="13" t="s">
        <v>32</v>
      </c>
      <c r="B281" s="13" t="s">
        <v>33</v>
      </c>
      <c r="C281" s="87" t="s">
        <v>54</v>
      </c>
      <c r="D281" s="13" t="s">
        <v>37</v>
      </c>
      <c r="E281" s="13" t="s">
        <v>102</v>
      </c>
      <c r="F281" s="13" t="s">
        <v>163</v>
      </c>
      <c r="G281" s="145"/>
      <c r="H281" s="11"/>
      <c r="I281" s="11"/>
      <c r="J281" s="11"/>
      <c r="K281" s="11"/>
      <c r="L281" s="11"/>
      <c r="M281" s="11"/>
      <c r="N281" s="11"/>
      <c r="O281" s="12"/>
      <c r="P281" s="11"/>
      <c r="Q281" s="2"/>
      <c r="R281" s="2"/>
    </row>
    <row r="282" spans="1:18" ht="15" customHeight="1" x14ac:dyDescent="0.3">
      <c r="A282" s="13" t="s">
        <v>32</v>
      </c>
      <c r="B282" s="13" t="s">
        <v>33</v>
      </c>
      <c r="C282" s="87" t="s">
        <v>54</v>
      </c>
      <c r="D282" s="13" t="s">
        <v>39</v>
      </c>
      <c r="E282" s="13" t="s">
        <v>102</v>
      </c>
      <c r="F282" s="13" t="s">
        <v>151</v>
      </c>
      <c r="G282" s="145"/>
      <c r="H282" s="11"/>
      <c r="I282" s="11"/>
      <c r="J282" s="11"/>
      <c r="K282" s="11"/>
      <c r="L282" s="11"/>
      <c r="M282" s="11"/>
      <c r="N282" s="11"/>
      <c r="O282" s="12"/>
      <c r="P282" s="11"/>
      <c r="Q282" s="2"/>
      <c r="R282" s="2"/>
    </row>
    <row r="283" spans="1:18" ht="15" customHeight="1" x14ac:dyDescent="0.3">
      <c r="A283" s="13" t="s">
        <v>32</v>
      </c>
      <c r="B283" s="13" t="s">
        <v>113</v>
      </c>
      <c r="C283" s="87" t="s">
        <v>114</v>
      </c>
      <c r="D283" s="13" t="s">
        <v>34</v>
      </c>
      <c r="E283" s="13" t="s">
        <v>55</v>
      </c>
      <c r="F283" s="13" t="s">
        <v>164</v>
      </c>
      <c r="G283" s="145"/>
      <c r="H283" s="11"/>
      <c r="I283" s="11"/>
      <c r="J283" s="11"/>
      <c r="K283" s="11"/>
      <c r="L283" s="11"/>
      <c r="M283" s="11"/>
      <c r="N283" s="11"/>
      <c r="O283" s="12"/>
      <c r="P283" s="11"/>
      <c r="Q283" s="2"/>
      <c r="R283" s="2"/>
    </row>
    <row r="284" spans="1:18" ht="15" customHeight="1" x14ac:dyDescent="0.3">
      <c r="A284" s="13" t="s">
        <v>32</v>
      </c>
      <c r="B284" s="13" t="s">
        <v>113</v>
      </c>
      <c r="C284" s="87" t="s">
        <v>114</v>
      </c>
      <c r="D284" s="13" t="s">
        <v>37</v>
      </c>
      <c r="E284" s="13" t="s">
        <v>55</v>
      </c>
      <c r="F284" s="13" t="s">
        <v>163</v>
      </c>
      <c r="G284" s="145"/>
      <c r="H284" s="11"/>
      <c r="I284" s="11"/>
      <c r="J284" s="11"/>
      <c r="K284" s="11"/>
      <c r="L284" s="11"/>
      <c r="M284" s="11"/>
      <c r="N284" s="11"/>
      <c r="O284" s="12"/>
      <c r="P284" s="11"/>
      <c r="Q284" s="2"/>
      <c r="R284" s="2"/>
    </row>
    <row r="285" spans="1:18" ht="15" customHeight="1" x14ac:dyDescent="0.3">
      <c r="A285" s="13" t="s">
        <v>32</v>
      </c>
      <c r="B285" s="13" t="s">
        <v>113</v>
      </c>
      <c r="C285" s="87" t="s">
        <v>114</v>
      </c>
      <c r="D285" s="13" t="s">
        <v>39</v>
      </c>
      <c r="E285" s="13" t="s">
        <v>55</v>
      </c>
      <c r="F285" s="13" t="s">
        <v>151</v>
      </c>
      <c r="G285" s="145"/>
      <c r="H285" s="11"/>
      <c r="I285" s="11"/>
      <c r="J285" s="11"/>
      <c r="K285" s="11"/>
      <c r="L285" s="11"/>
      <c r="M285" s="11"/>
      <c r="N285" s="11"/>
      <c r="O285" s="12"/>
      <c r="P285" s="11"/>
      <c r="Q285" s="2"/>
      <c r="R285" s="2"/>
    </row>
    <row r="286" spans="1:18" ht="15" customHeight="1" x14ac:dyDescent="0.3">
      <c r="A286" s="13" t="s">
        <v>41</v>
      </c>
      <c r="B286" s="13" t="s">
        <v>42</v>
      </c>
      <c r="C286" s="87" t="s">
        <v>43</v>
      </c>
      <c r="D286" s="13" t="s">
        <v>86</v>
      </c>
      <c r="E286" s="13" t="s">
        <v>45</v>
      </c>
      <c r="F286" s="13" t="s">
        <v>147</v>
      </c>
      <c r="G286" s="145"/>
      <c r="H286" s="11"/>
      <c r="I286" s="11"/>
      <c r="J286" s="11"/>
      <c r="K286" s="11"/>
      <c r="L286" s="11"/>
      <c r="M286" s="11"/>
      <c r="N286" s="11"/>
      <c r="O286" s="12"/>
      <c r="P286" s="11"/>
      <c r="Q286" s="2"/>
      <c r="R286" s="2"/>
    </row>
    <row r="287" spans="1:18" ht="15" customHeight="1" x14ac:dyDescent="0.3">
      <c r="A287" s="13" t="s">
        <v>41</v>
      </c>
      <c r="B287" s="13" t="s">
        <v>68</v>
      </c>
      <c r="C287" s="87" t="s">
        <v>69</v>
      </c>
      <c r="D287" s="13" t="s">
        <v>86</v>
      </c>
      <c r="E287" s="13" t="s">
        <v>45</v>
      </c>
      <c r="F287" s="13" t="s">
        <v>147</v>
      </c>
      <c r="G287" s="145"/>
      <c r="H287" s="11"/>
      <c r="I287" s="11"/>
      <c r="J287" s="11"/>
      <c r="K287" s="11"/>
      <c r="L287" s="11"/>
      <c r="M287" s="11"/>
      <c r="N287" s="11"/>
      <c r="O287" s="12"/>
      <c r="P287" s="11"/>
      <c r="Q287" s="2"/>
      <c r="R287" s="2"/>
    </row>
    <row r="288" spans="1:18" ht="15" customHeight="1" x14ac:dyDescent="0.3">
      <c r="A288" s="13" t="s">
        <v>41</v>
      </c>
      <c r="B288" s="13" t="s">
        <v>71</v>
      </c>
      <c r="C288" s="87" t="s">
        <v>72</v>
      </c>
      <c r="D288" s="13" t="s">
        <v>86</v>
      </c>
      <c r="E288" s="13" t="s">
        <v>45</v>
      </c>
      <c r="F288" s="13" t="s">
        <v>138</v>
      </c>
      <c r="G288" s="145"/>
      <c r="H288" s="11"/>
      <c r="I288" s="11"/>
      <c r="J288" s="11"/>
      <c r="K288" s="11"/>
      <c r="L288" s="11"/>
      <c r="M288" s="11"/>
      <c r="N288" s="11"/>
      <c r="O288" s="12"/>
      <c r="P288" s="11"/>
      <c r="Q288" s="2"/>
      <c r="R288" s="2"/>
    </row>
    <row r="289" spans="1:18" ht="15" customHeight="1" x14ac:dyDescent="0.3">
      <c r="A289" s="13" t="s">
        <v>46</v>
      </c>
      <c r="B289" s="13" t="s">
        <v>47</v>
      </c>
      <c r="C289" s="87" t="s">
        <v>48</v>
      </c>
      <c r="D289" s="13" t="s">
        <v>128</v>
      </c>
      <c r="E289" s="13" t="s">
        <v>116</v>
      </c>
      <c r="F289" s="13" t="s">
        <v>139</v>
      </c>
      <c r="G289" s="145"/>
      <c r="H289" s="11"/>
      <c r="I289" s="11"/>
      <c r="J289" s="11"/>
      <c r="K289" s="11"/>
      <c r="L289" s="11"/>
      <c r="M289" s="11"/>
      <c r="N289" s="11"/>
      <c r="O289" s="12"/>
      <c r="P289" s="11"/>
      <c r="Q289" s="2"/>
      <c r="R289" s="2"/>
    </row>
    <row r="290" spans="1:18" ht="15" customHeight="1" x14ac:dyDescent="0.3">
      <c r="A290" s="13" t="s">
        <v>121</v>
      </c>
      <c r="B290" s="13" t="s">
        <v>122</v>
      </c>
      <c r="C290" s="87" t="s">
        <v>131</v>
      </c>
      <c r="D290" s="13" t="s">
        <v>128</v>
      </c>
      <c r="E290" s="13" t="s">
        <v>45</v>
      </c>
      <c r="F290" s="13" t="s">
        <v>165</v>
      </c>
      <c r="G290" s="145"/>
      <c r="H290" s="11"/>
      <c r="I290" s="11"/>
      <c r="J290" s="11"/>
      <c r="K290" s="11"/>
      <c r="L290" s="11"/>
      <c r="M290" s="11"/>
      <c r="N290" s="11"/>
      <c r="O290" s="12"/>
      <c r="P290" s="11"/>
      <c r="Q290" s="2"/>
      <c r="R290" s="2"/>
    </row>
    <row r="291" spans="1:18" ht="15" customHeight="1" thickBot="1" x14ac:dyDescent="0.35">
      <c r="A291" s="14" t="s">
        <v>77</v>
      </c>
      <c r="B291" s="14" t="s">
        <v>78</v>
      </c>
      <c r="C291" s="88" t="s">
        <v>59</v>
      </c>
      <c r="D291" s="14" t="s">
        <v>79</v>
      </c>
      <c r="E291" s="14" t="s">
        <v>35</v>
      </c>
      <c r="F291" s="14" t="s">
        <v>143</v>
      </c>
      <c r="G291" s="146"/>
      <c r="H291" s="15"/>
      <c r="I291" s="15"/>
      <c r="J291" s="15"/>
      <c r="K291" s="15"/>
      <c r="L291" s="15"/>
      <c r="M291" s="15"/>
      <c r="N291" s="15"/>
      <c r="O291" s="16"/>
      <c r="P291" s="15"/>
      <c r="Q291" s="17"/>
      <c r="R291" s="17"/>
    </row>
    <row r="292" spans="1:18" ht="17.399999999999999" customHeight="1" thickBot="1" x14ac:dyDescent="0.35">
      <c r="A292" s="140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2"/>
    </row>
    <row r="293" spans="1:18" ht="22.05" customHeight="1" thickTop="1" thickBot="1" x14ac:dyDescent="0.35">
      <c r="A293" s="143" t="s">
        <v>6</v>
      </c>
      <c r="B293" s="138"/>
      <c r="C293" s="138"/>
      <c r="D293" s="138"/>
      <c r="E293" s="138"/>
      <c r="F293" s="139"/>
      <c r="G293" s="89">
        <v>46052</v>
      </c>
      <c r="H293" s="137" t="s">
        <v>7</v>
      </c>
      <c r="I293" s="138"/>
      <c r="J293" s="138"/>
      <c r="K293" s="138"/>
      <c r="L293" s="138"/>
      <c r="M293" s="138"/>
      <c r="N293" s="138"/>
      <c r="O293" s="138"/>
      <c r="P293" s="138"/>
      <c r="Q293" s="138"/>
      <c r="R293" s="139"/>
    </row>
    <row r="294" spans="1:18" ht="24" customHeight="1" x14ac:dyDescent="0.3">
      <c r="A294" s="18" t="s">
        <v>8</v>
      </c>
      <c r="B294" s="18" t="s">
        <v>9</v>
      </c>
      <c r="C294" s="90" t="s">
        <v>10</v>
      </c>
      <c r="D294" s="18" t="s">
        <v>11</v>
      </c>
      <c r="E294" s="18" t="s">
        <v>12</v>
      </c>
      <c r="F294" s="19" t="s">
        <v>13</v>
      </c>
      <c r="G294" s="20" t="s">
        <v>14</v>
      </c>
      <c r="H294" s="18" t="s">
        <v>15</v>
      </c>
      <c r="I294" s="91" t="s">
        <v>16</v>
      </c>
      <c r="J294" s="21" t="s">
        <v>17</v>
      </c>
      <c r="K294" s="22" t="s">
        <v>18</v>
      </c>
      <c r="L294" s="21" t="s">
        <v>19</v>
      </c>
      <c r="M294" s="21" t="s">
        <v>20</v>
      </c>
      <c r="N294" s="21" t="s">
        <v>21</v>
      </c>
      <c r="O294" s="18" t="s">
        <v>22</v>
      </c>
      <c r="P294" s="90" t="s">
        <v>23</v>
      </c>
      <c r="Q294" s="21" t="s">
        <v>24</v>
      </c>
      <c r="R294" s="18" t="s">
        <v>25</v>
      </c>
    </row>
    <row r="295" spans="1:18" ht="15" customHeight="1" x14ac:dyDescent="0.3">
      <c r="A295" s="23" t="s">
        <v>26</v>
      </c>
      <c r="B295" s="23" t="s">
        <v>27</v>
      </c>
      <c r="C295" s="92">
        <v>0.29166666666666669</v>
      </c>
      <c r="D295" s="23" t="s">
        <v>128</v>
      </c>
      <c r="E295" s="23" t="s">
        <v>55</v>
      </c>
      <c r="F295" s="23" t="s">
        <v>170</v>
      </c>
      <c r="G295" s="153"/>
      <c r="H295" s="24" t="s">
        <v>29</v>
      </c>
      <c r="I295" s="93">
        <v>0.11310000000000001</v>
      </c>
      <c r="J295" s="25">
        <v>19</v>
      </c>
      <c r="K295" s="26">
        <v>46355</v>
      </c>
      <c r="L295" s="25">
        <v>19</v>
      </c>
      <c r="M295" s="25">
        <v>0</v>
      </c>
      <c r="N295" s="25">
        <v>0</v>
      </c>
      <c r="O295" s="27" t="s">
        <v>177</v>
      </c>
      <c r="P295" s="94">
        <v>0.29166666666666669</v>
      </c>
      <c r="Q295" s="25">
        <v>168</v>
      </c>
      <c r="R295" s="28" t="s">
        <v>178</v>
      </c>
    </row>
    <row r="296" spans="1:18" ht="18" x14ac:dyDescent="0.3">
      <c r="A296" s="150" t="s">
        <v>31</v>
      </c>
      <c r="B296" s="151"/>
      <c r="C296" s="151"/>
      <c r="D296" s="151"/>
      <c r="E296" s="151"/>
      <c r="F296" s="152"/>
      <c r="G296" s="145"/>
      <c r="H296" s="11"/>
      <c r="I296" s="11"/>
      <c r="J296" s="11"/>
      <c r="K296" s="11"/>
      <c r="L296" s="11"/>
      <c r="M296" s="11"/>
      <c r="N296" s="11"/>
      <c r="O296" s="12"/>
      <c r="P296" s="11"/>
      <c r="Q296" s="2"/>
      <c r="R296" s="2"/>
    </row>
    <row r="297" spans="1:18" ht="15" customHeight="1" x14ac:dyDescent="0.3">
      <c r="A297" s="13" t="s">
        <v>57</v>
      </c>
      <c r="B297" s="13" t="s">
        <v>58</v>
      </c>
      <c r="C297" s="87" t="s">
        <v>59</v>
      </c>
      <c r="D297" s="13" t="s">
        <v>60</v>
      </c>
      <c r="E297" s="13" t="s">
        <v>179</v>
      </c>
      <c r="F297" s="13" t="s">
        <v>135</v>
      </c>
      <c r="G297" s="145"/>
      <c r="H297" s="11"/>
      <c r="I297" s="11"/>
      <c r="J297" s="11"/>
      <c r="K297" s="11"/>
      <c r="L297" s="11"/>
      <c r="M297" s="11"/>
      <c r="N297" s="11"/>
      <c r="O297" s="12"/>
      <c r="P297" s="11"/>
      <c r="Q297" s="2"/>
      <c r="R297" s="2"/>
    </row>
    <row r="298" spans="1:18" ht="15" customHeight="1" x14ac:dyDescent="0.3">
      <c r="A298" s="13" t="s">
        <v>57</v>
      </c>
      <c r="B298" s="13" t="s">
        <v>58</v>
      </c>
      <c r="C298" s="87" t="s">
        <v>59</v>
      </c>
      <c r="D298" s="13" t="s">
        <v>63</v>
      </c>
      <c r="E298" s="13" t="s">
        <v>179</v>
      </c>
      <c r="F298" s="13" t="s">
        <v>136</v>
      </c>
      <c r="G298" s="145"/>
      <c r="H298" s="11"/>
      <c r="I298" s="11"/>
      <c r="J298" s="11"/>
      <c r="K298" s="11"/>
      <c r="L298" s="11"/>
      <c r="M298" s="11"/>
      <c r="N298" s="11"/>
      <c r="O298" s="12"/>
      <c r="P298" s="11"/>
      <c r="Q298" s="2"/>
      <c r="R298" s="2"/>
    </row>
    <row r="299" spans="1:18" ht="15" customHeight="1" x14ac:dyDescent="0.3">
      <c r="A299" s="13" t="s">
        <v>57</v>
      </c>
      <c r="B299" s="13" t="s">
        <v>58</v>
      </c>
      <c r="C299" s="87" t="s">
        <v>59</v>
      </c>
      <c r="D299" s="13" t="s">
        <v>65</v>
      </c>
      <c r="E299" s="13" t="s">
        <v>179</v>
      </c>
      <c r="F299" s="13" t="s">
        <v>66</v>
      </c>
      <c r="G299" s="145"/>
      <c r="H299" s="11"/>
      <c r="I299" s="11"/>
      <c r="J299" s="11"/>
      <c r="K299" s="11"/>
      <c r="L299" s="11"/>
      <c r="M299" s="11"/>
      <c r="N299" s="11"/>
      <c r="O299" s="12"/>
      <c r="P299" s="11"/>
      <c r="Q299" s="2"/>
      <c r="R299" s="2"/>
    </row>
    <row r="300" spans="1:18" ht="15" customHeight="1" x14ac:dyDescent="0.3">
      <c r="A300" s="13" t="s">
        <v>41</v>
      </c>
      <c r="B300" s="13" t="s">
        <v>42</v>
      </c>
      <c r="C300" s="87" t="s">
        <v>43</v>
      </c>
      <c r="D300" s="13" t="s">
        <v>86</v>
      </c>
      <c r="E300" s="13" t="s">
        <v>45</v>
      </c>
      <c r="F300" s="13" t="s">
        <v>147</v>
      </c>
      <c r="G300" s="145"/>
      <c r="H300" s="11"/>
      <c r="I300" s="11"/>
      <c r="J300" s="11"/>
      <c r="K300" s="11"/>
      <c r="L300" s="11"/>
      <c r="M300" s="11"/>
      <c r="N300" s="11"/>
      <c r="O300" s="12"/>
      <c r="P300" s="11"/>
      <c r="Q300" s="2"/>
      <c r="R300" s="2"/>
    </row>
    <row r="301" spans="1:18" ht="15" customHeight="1" x14ac:dyDescent="0.3">
      <c r="A301" s="13" t="s">
        <v>41</v>
      </c>
      <c r="B301" s="13" t="s">
        <v>68</v>
      </c>
      <c r="C301" s="87" t="s">
        <v>69</v>
      </c>
      <c r="D301" s="13" t="s">
        <v>86</v>
      </c>
      <c r="E301" s="13" t="s">
        <v>45</v>
      </c>
      <c r="F301" s="13" t="s">
        <v>167</v>
      </c>
      <c r="G301" s="145"/>
      <c r="H301" s="11"/>
      <c r="I301" s="11"/>
      <c r="J301" s="11"/>
      <c r="K301" s="11"/>
      <c r="L301" s="11"/>
      <c r="M301" s="11"/>
      <c r="N301" s="11"/>
      <c r="O301" s="12"/>
      <c r="P301" s="11"/>
      <c r="Q301" s="2"/>
      <c r="R301" s="2"/>
    </row>
    <row r="302" spans="1:18" ht="15" customHeight="1" x14ac:dyDescent="0.3">
      <c r="A302" s="13" t="s">
        <v>41</v>
      </c>
      <c r="B302" s="13" t="s">
        <v>71</v>
      </c>
      <c r="C302" s="87" t="s">
        <v>72</v>
      </c>
      <c r="D302" s="13" t="s">
        <v>86</v>
      </c>
      <c r="E302" s="13" t="s">
        <v>45</v>
      </c>
      <c r="F302" s="13" t="s">
        <v>138</v>
      </c>
      <c r="G302" s="145"/>
      <c r="H302" s="11"/>
      <c r="I302" s="11"/>
      <c r="J302" s="11"/>
      <c r="K302" s="11"/>
      <c r="L302" s="11"/>
      <c r="M302" s="11"/>
      <c r="N302" s="11"/>
      <c r="O302" s="12"/>
      <c r="P302" s="11"/>
      <c r="Q302" s="2"/>
      <c r="R302" s="2"/>
    </row>
    <row r="303" spans="1:18" ht="15" customHeight="1" x14ac:dyDescent="0.3">
      <c r="A303" s="13" t="s">
        <v>46</v>
      </c>
      <c r="B303" s="13" t="s">
        <v>47</v>
      </c>
      <c r="C303" s="87" t="s">
        <v>48</v>
      </c>
      <c r="D303" s="13" t="s">
        <v>128</v>
      </c>
      <c r="E303" s="13" t="s">
        <v>118</v>
      </c>
      <c r="F303" s="13" t="s">
        <v>139</v>
      </c>
      <c r="G303" s="145"/>
      <c r="H303" s="11"/>
      <c r="I303" s="11"/>
      <c r="J303" s="11"/>
      <c r="K303" s="11"/>
      <c r="L303" s="11"/>
      <c r="M303" s="11"/>
      <c r="N303" s="11"/>
      <c r="O303" s="12"/>
      <c r="P303" s="11"/>
      <c r="Q303" s="2"/>
      <c r="R303" s="2"/>
    </row>
    <row r="304" spans="1:18" ht="15" customHeight="1" x14ac:dyDescent="0.3">
      <c r="A304" s="13" t="s">
        <v>26</v>
      </c>
      <c r="B304" s="13" t="s">
        <v>74</v>
      </c>
      <c r="C304" s="87" t="s">
        <v>75</v>
      </c>
      <c r="D304" s="13" t="s">
        <v>128</v>
      </c>
      <c r="E304" s="13" t="s">
        <v>116</v>
      </c>
      <c r="F304" s="13" t="s">
        <v>103</v>
      </c>
      <c r="G304" s="145"/>
      <c r="H304" s="11"/>
      <c r="I304" s="11"/>
      <c r="J304" s="11"/>
      <c r="K304" s="11"/>
      <c r="L304" s="11"/>
      <c r="M304" s="11"/>
      <c r="N304" s="11"/>
      <c r="O304" s="12"/>
      <c r="P304" s="11"/>
      <c r="Q304" s="2"/>
      <c r="R304" s="2"/>
    </row>
    <row r="305" spans="1:18" ht="15" customHeight="1" x14ac:dyDescent="0.3">
      <c r="A305" s="13" t="s">
        <v>121</v>
      </c>
      <c r="B305" s="13" t="s">
        <v>140</v>
      </c>
      <c r="C305" s="87" t="s">
        <v>141</v>
      </c>
      <c r="D305" s="13" t="s">
        <v>128</v>
      </c>
      <c r="E305" s="13" t="s">
        <v>35</v>
      </c>
      <c r="F305" s="13" t="s">
        <v>165</v>
      </c>
      <c r="G305" s="145"/>
      <c r="H305" s="11"/>
      <c r="I305" s="11"/>
      <c r="J305" s="11"/>
      <c r="K305" s="11"/>
      <c r="L305" s="11"/>
      <c r="M305" s="11"/>
      <c r="N305" s="11"/>
      <c r="O305" s="12"/>
      <c r="P305" s="11"/>
      <c r="Q305" s="2"/>
      <c r="R305" s="2"/>
    </row>
    <row r="306" spans="1:18" ht="15" customHeight="1" x14ac:dyDescent="0.3">
      <c r="A306" s="13" t="s">
        <v>77</v>
      </c>
      <c r="B306" s="13" t="s">
        <v>78</v>
      </c>
      <c r="C306" s="87" t="s">
        <v>59</v>
      </c>
      <c r="D306" s="13" t="s">
        <v>79</v>
      </c>
      <c r="E306" s="13" t="s">
        <v>35</v>
      </c>
      <c r="F306" s="13" t="s">
        <v>143</v>
      </c>
      <c r="G306" s="145"/>
      <c r="H306" s="11"/>
      <c r="I306" s="11"/>
      <c r="J306" s="11"/>
      <c r="K306" s="11"/>
      <c r="L306" s="11"/>
      <c r="M306" s="11"/>
      <c r="N306" s="11"/>
      <c r="O306" s="12"/>
      <c r="P306" s="11"/>
      <c r="Q306" s="2"/>
      <c r="R306" s="2"/>
    </row>
    <row r="307" spans="1:18" ht="15" customHeight="1" x14ac:dyDescent="0.3">
      <c r="A307" s="13" t="s">
        <v>32</v>
      </c>
      <c r="B307" s="13" t="s">
        <v>33</v>
      </c>
      <c r="C307" s="87" t="s">
        <v>54</v>
      </c>
      <c r="D307" s="13" t="s">
        <v>34</v>
      </c>
      <c r="E307" s="13" t="s">
        <v>158</v>
      </c>
      <c r="F307" s="13" t="s">
        <v>164</v>
      </c>
      <c r="G307" s="145"/>
      <c r="H307" s="11"/>
      <c r="I307" s="11"/>
      <c r="J307" s="11"/>
      <c r="K307" s="11"/>
      <c r="L307" s="11"/>
      <c r="M307" s="11"/>
      <c r="N307" s="11"/>
      <c r="O307" s="12"/>
      <c r="P307" s="11"/>
      <c r="Q307" s="2"/>
      <c r="R307" s="2"/>
    </row>
    <row r="308" spans="1:18" ht="15" customHeight="1" x14ac:dyDescent="0.3">
      <c r="A308" s="13" t="s">
        <v>32</v>
      </c>
      <c r="B308" s="13" t="s">
        <v>33</v>
      </c>
      <c r="C308" s="87" t="s">
        <v>54</v>
      </c>
      <c r="D308" s="13" t="s">
        <v>37</v>
      </c>
      <c r="E308" s="13" t="s">
        <v>158</v>
      </c>
      <c r="F308" s="13" t="s">
        <v>163</v>
      </c>
      <c r="G308" s="145"/>
      <c r="H308" s="11"/>
      <c r="I308" s="11"/>
      <c r="J308" s="11"/>
      <c r="K308" s="11"/>
      <c r="L308" s="11"/>
      <c r="M308" s="11"/>
      <c r="N308" s="11"/>
      <c r="O308" s="12"/>
      <c r="P308" s="11"/>
      <c r="Q308" s="2"/>
      <c r="R308" s="2"/>
    </row>
    <row r="309" spans="1:18" ht="15" customHeight="1" thickBot="1" x14ac:dyDescent="0.35">
      <c r="A309" s="14" t="s">
        <v>32</v>
      </c>
      <c r="B309" s="14" t="s">
        <v>33</v>
      </c>
      <c r="C309" s="88" t="s">
        <v>54</v>
      </c>
      <c r="D309" s="14" t="s">
        <v>39</v>
      </c>
      <c r="E309" s="14" t="s">
        <v>158</v>
      </c>
      <c r="F309" s="14" t="s">
        <v>151</v>
      </c>
      <c r="G309" s="146"/>
      <c r="H309" s="15"/>
      <c r="I309" s="15"/>
      <c r="J309" s="15"/>
      <c r="K309" s="15"/>
      <c r="L309" s="15"/>
      <c r="M309" s="15"/>
      <c r="N309" s="15"/>
      <c r="O309" s="16"/>
      <c r="P309" s="15"/>
      <c r="Q309" s="17"/>
      <c r="R309" s="17"/>
    </row>
    <row r="310" spans="1:18" ht="17.399999999999999" customHeight="1" thickBot="1" x14ac:dyDescent="0.35">
      <c r="A310" s="140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2"/>
    </row>
    <row r="311" spans="1:18" ht="15" thickTop="1" x14ac:dyDescent="0.3"/>
  </sheetData>
  <mergeCells count="92">
    <mergeCell ref="H273:R273"/>
    <mergeCell ref="A310:R310"/>
    <mergeCell ref="A67:F67"/>
    <mergeCell ref="A30:R30"/>
    <mergeCell ref="H121:R121"/>
    <mergeCell ref="G295:G309"/>
    <mergeCell ref="H235:R235"/>
    <mergeCell ref="A216:R216"/>
    <mergeCell ref="H179:R179"/>
    <mergeCell ref="H48:R48"/>
    <mergeCell ref="A47:R47"/>
    <mergeCell ref="A103:R103"/>
    <mergeCell ref="A292:R292"/>
    <mergeCell ref="A258:F258"/>
    <mergeCell ref="A200:F200"/>
    <mergeCell ref="A235:F235"/>
    <mergeCell ref="G123:G139"/>
    <mergeCell ref="A120:R120"/>
    <mergeCell ref="G143:G157"/>
    <mergeCell ref="A197:F197"/>
    <mergeCell ref="H141:R141"/>
    <mergeCell ref="A182:F182"/>
    <mergeCell ref="A144:F144"/>
    <mergeCell ref="N1:R1"/>
    <mergeCell ref="A107:F107"/>
    <mergeCell ref="K2:R2"/>
    <mergeCell ref="A24:F24"/>
    <mergeCell ref="H67:R67"/>
    <mergeCell ref="A84:F84"/>
    <mergeCell ref="G86:G102"/>
    <mergeCell ref="A70:F70"/>
    <mergeCell ref="A158:R158"/>
    <mergeCell ref="G2:J2"/>
    <mergeCell ref="A7:F7"/>
    <mergeCell ref="A121:F121"/>
    <mergeCell ref="H255:R255"/>
    <mergeCell ref="A238:F238"/>
    <mergeCell ref="A3:R3"/>
    <mergeCell ref="H21:R21"/>
    <mergeCell ref="H104:R104"/>
    <mergeCell ref="A4:F4"/>
    <mergeCell ref="G50:G65"/>
    <mergeCell ref="A140:R140"/>
    <mergeCell ref="A217:F217"/>
    <mergeCell ref="A254:R254"/>
    <mergeCell ref="H217:R217"/>
    <mergeCell ref="A276:F276"/>
    <mergeCell ref="G237:G253"/>
    <mergeCell ref="A296:F296"/>
    <mergeCell ref="G199:G215"/>
    <mergeCell ref="A2:F2"/>
    <mergeCell ref="A141:F141"/>
    <mergeCell ref="G181:G195"/>
    <mergeCell ref="A66:R66"/>
    <mergeCell ref="H197:R197"/>
    <mergeCell ref="A234:R234"/>
    <mergeCell ref="H84:R84"/>
    <mergeCell ref="A220:F220"/>
    <mergeCell ref="A83:R83"/>
    <mergeCell ref="A104:F104"/>
    <mergeCell ref="A159:F159"/>
    <mergeCell ref="A51:F51"/>
    <mergeCell ref="H31:R31"/>
    <mergeCell ref="H293:R293"/>
    <mergeCell ref="G257:G271"/>
    <mergeCell ref="A293:F293"/>
    <mergeCell ref="A87:F87"/>
    <mergeCell ref="A178:R178"/>
    <mergeCell ref="H159:R159"/>
    <mergeCell ref="A124:F124"/>
    <mergeCell ref="G219:G233"/>
    <mergeCell ref="A196:R196"/>
    <mergeCell ref="A255:F255"/>
    <mergeCell ref="G161:G177"/>
    <mergeCell ref="G275:G291"/>
    <mergeCell ref="G106:G119"/>
    <mergeCell ref="A162:F162"/>
    <mergeCell ref="A273:F273"/>
    <mergeCell ref="H4:R4"/>
    <mergeCell ref="A272:R272"/>
    <mergeCell ref="A179:F179"/>
    <mergeCell ref="H1:L1"/>
    <mergeCell ref="A1:E1"/>
    <mergeCell ref="G6:G19"/>
    <mergeCell ref="G33:G46"/>
    <mergeCell ref="A34:F34"/>
    <mergeCell ref="A21:F21"/>
    <mergeCell ref="A48:F48"/>
    <mergeCell ref="A20:R20"/>
    <mergeCell ref="A31:F31"/>
    <mergeCell ref="G69:G82"/>
    <mergeCell ref="G23:G29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"/>
  <sheetViews>
    <sheetView workbookViewId="0">
      <selection activeCell="H11" sqref="H11"/>
    </sheetView>
  </sheetViews>
  <sheetFormatPr defaultRowHeight="15.6" outlineLevelCol="2" x14ac:dyDescent="0.3"/>
  <cols>
    <col min="1" max="1" width="10.33203125" style="124" bestFit="1" customWidth="1"/>
    <col min="2" max="2" width="10.88671875" style="124" bestFit="1" customWidth="1"/>
    <col min="3" max="3" width="7.88671875" style="124" bestFit="1" customWidth="1"/>
    <col min="4" max="4" width="6.77734375" style="124" bestFit="1" customWidth="1"/>
    <col min="5" max="5" width="11.109375" style="124" bestFit="1" customWidth="1"/>
    <col min="6" max="6" width="5.21875" style="124" bestFit="1" customWidth="1"/>
    <col min="7" max="7" width="10" style="124" bestFit="1" customWidth="1"/>
    <col min="8" max="8" width="8.5546875" style="124" bestFit="1" customWidth="1"/>
    <col min="9" max="10" width="8" style="124" bestFit="1" customWidth="1"/>
    <col min="11" max="11" width="12.21875" style="124" bestFit="1" customWidth="1"/>
    <col min="12" max="12" width="20.6640625" style="124" bestFit="1" customWidth="1"/>
    <col min="13" max="13" width="8.77734375" style="124" bestFit="1" customWidth="1" outlineLevel="2"/>
    <col min="14" max="14" width="7.33203125" style="124" bestFit="1" customWidth="1" outlineLevel="2"/>
    <col min="15" max="15" width="9.109375" style="124" bestFit="1" customWidth="1" outlineLevel="2"/>
    <col min="16" max="16" width="15.33203125" style="124" bestFit="1" customWidth="1"/>
    <col min="17" max="24" width="3.88671875" style="124" bestFit="1" customWidth="1"/>
    <col min="25" max="25" width="4.21875" style="124" bestFit="1" customWidth="1"/>
    <col min="26" max="26" width="3.88671875" style="124" bestFit="1" customWidth="1"/>
    <col min="27" max="27" width="5.88671875" style="124" bestFit="1" customWidth="1"/>
    <col min="28" max="28" width="5" style="124" bestFit="1" customWidth="1"/>
    <col min="29" max="29" width="5.109375" style="124" bestFit="1" customWidth="1"/>
    <col min="30" max="31" width="5.33203125" style="124" bestFit="1" customWidth="1"/>
    <col min="32" max="32" width="4.44140625" style="124" bestFit="1" customWidth="1"/>
    <col min="33" max="36" width="3.88671875" style="124" bestFit="1" customWidth="1"/>
    <col min="37" max="16384" width="8.88671875" style="124"/>
  </cols>
  <sheetData>
    <row r="1" spans="1:36" x14ac:dyDescent="0.3">
      <c r="A1" s="123" t="s">
        <v>180</v>
      </c>
      <c r="B1" s="123" t="s">
        <v>181</v>
      </c>
      <c r="C1" s="123" t="s">
        <v>182</v>
      </c>
      <c r="D1" s="123" t="s">
        <v>23</v>
      </c>
      <c r="E1" s="123" t="s">
        <v>183</v>
      </c>
      <c r="F1" s="123" t="s">
        <v>184</v>
      </c>
      <c r="G1" s="123" t="s">
        <v>16</v>
      </c>
      <c r="H1" s="123" t="s">
        <v>185</v>
      </c>
      <c r="I1" s="123" t="s">
        <v>186</v>
      </c>
      <c r="J1" s="123" t="s">
        <v>187</v>
      </c>
      <c r="K1" s="123" t="s">
        <v>188</v>
      </c>
      <c r="L1" s="123" t="s">
        <v>18</v>
      </c>
      <c r="M1" s="123" t="s">
        <v>20</v>
      </c>
      <c r="N1" s="123" t="s">
        <v>21</v>
      </c>
      <c r="O1" s="123" t="s">
        <v>19</v>
      </c>
      <c r="P1" s="123" t="s">
        <v>22</v>
      </c>
      <c r="Q1" s="123" t="s">
        <v>189</v>
      </c>
      <c r="R1" s="123" t="s">
        <v>190</v>
      </c>
      <c r="S1" s="123" t="s">
        <v>191</v>
      </c>
      <c r="T1" s="123" t="s">
        <v>192</v>
      </c>
      <c r="U1" s="123" t="s">
        <v>193</v>
      </c>
      <c r="V1" s="123" t="s">
        <v>194</v>
      </c>
      <c r="W1" s="123" t="s">
        <v>195</v>
      </c>
      <c r="X1" s="123" t="s">
        <v>196</v>
      </c>
      <c r="Y1" s="123" t="s">
        <v>197</v>
      </c>
      <c r="Z1" s="123" t="s">
        <v>198</v>
      </c>
      <c r="AA1" s="123" t="s">
        <v>199</v>
      </c>
      <c r="AB1" s="123" t="s">
        <v>200</v>
      </c>
      <c r="AC1" s="123" t="s">
        <v>201</v>
      </c>
      <c r="AD1" s="123" t="s">
        <v>202</v>
      </c>
      <c r="AE1" s="123" t="s">
        <v>203</v>
      </c>
      <c r="AF1" s="123" t="s">
        <v>204</v>
      </c>
      <c r="AG1" s="123" t="s">
        <v>205</v>
      </c>
      <c r="AH1" s="123" t="s">
        <v>206</v>
      </c>
      <c r="AI1" s="123" t="s">
        <v>207</v>
      </c>
      <c r="AJ1" s="123" t="s">
        <v>208</v>
      </c>
    </row>
    <row r="2" spans="1:36" x14ac:dyDescent="0.3">
      <c r="A2" s="125" t="s">
        <v>209</v>
      </c>
      <c r="B2" s="126">
        <v>45992</v>
      </c>
      <c r="C2" s="127" t="s">
        <v>29</v>
      </c>
      <c r="D2" s="128" t="s">
        <v>210</v>
      </c>
      <c r="E2" s="127" t="s">
        <v>1</v>
      </c>
      <c r="F2" s="127" t="s">
        <v>211</v>
      </c>
      <c r="G2" s="129">
        <v>0.65480000000000005</v>
      </c>
      <c r="H2" s="130">
        <v>168</v>
      </c>
      <c r="I2" s="130">
        <v>110</v>
      </c>
      <c r="J2" s="130">
        <v>0</v>
      </c>
      <c r="K2" s="127" t="s">
        <v>212</v>
      </c>
      <c r="L2" s="131">
        <v>45990</v>
      </c>
      <c r="M2" s="130">
        <v>0</v>
      </c>
      <c r="N2" s="130">
        <v>0</v>
      </c>
      <c r="O2" s="130">
        <v>30</v>
      </c>
      <c r="P2" s="127" t="s">
        <v>30</v>
      </c>
      <c r="Q2" s="123"/>
      <c r="R2" s="123"/>
      <c r="S2" s="123"/>
      <c r="T2" s="123"/>
      <c r="U2" s="123"/>
      <c r="V2" s="123"/>
      <c r="W2" s="123"/>
      <c r="X2" s="130" t="s">
        <v>213</v>
      </c>
      <c r="Y2" s="123"/>
      <c r="Z2" s="130" t="s">
        <v>214</v>
      </c>
      <c r="AA2" s="130" t="s">
        <v>215</v>
      </c>
      <c r="AB2" s="130" t="s">
        <v>216</v>
      </c>
      <c r="AC2" s="130" t="s">
        <v>217</v>
      </c>
      <c r="AD2" s="130" t="s">
        <v>218</v>
      </c>
      <c r="AE2" s="130" t="s">
        <v>219</v>
      </c>
      <c r="AF2" s="130" t="s">
        <v>220</v>
      </c>
      <c r="AG2" s="123"/>
      <c r="AH2" s="123"/>
      <c r="AI2" s="123"/>
      <c r="AJ2" s="123"/>
    </row>
    <row r="3" spans="1:36" x14ac:dyDescent="0.3">
      <c r="A3" s="125" t="s">
        <v>221</v>
      </c>
      <c r="B3" s="126">
        <v>45996</v>
      </c>
      <c r="C3" s="127" t="s">
        <v>29</v>
      </c>
      <c r="D3" s="128" t="s">
        <v>222</v>
      </c>
      <c r="E3" s="127" t="s">
        <v>1</v>
      </c>
      <c r="F3" s="127" t="s">
        <v>211</v>
      </c>
      <c r="G3" s="129">
        <v>0.41670000000000001</v>
      </c>
      <c r="H3" s="130">
        <v>168</v>
      </c>
      <c r="I3" s="130">
        <v>70</v>
      </c>
      <c r="J3" s="130">
        <v>0</v>
      </c>
      <c r="K3" s="127" t="s">
        <v>223</v>
      </c>
      <c r="L3" s="131">
        <v>45992</v>
      </c>
      <c r="M3" s="130">
        <v>1</v>
      </c>
      <c r="N3" s="130">
        <v>5</v>
      </c>
      <c r="O3" s="130">
        <v>27</v>
      </c>
      <c r="P3" s="127" t="s">
        <v>52</v>
      </c>
      <c r="Q3" s="123"/>
      <c r="R3" s="123"/>
      <c r="S3" s="123"/>
      <c r="T3" s="123"/>
      <c r="U3" s="123"/>
      <c r="V3" s="123"/>
      <c r="W3" s="123"/>
      <c r="X3" s="123"/>
      <c r="Y3" s="130" t="s">
        <v>52</v>
      </c>
      <c r="Z3" s="130" t="s">
        <v>224</v>
      </c>
      <c r="AA3" s="123"/>
      <c r="AB3" s="130" t="s">
        <v>171</v>
      </c>
      <c r="AC3" s="130" t="s">
        <v>225</v>
      </c>
      <c r="AD3" s="130" t="s">
        <v>226</v>
      </c>
      <c r="AE3" s="130" t="s">
        <v>227</v>
      </c>
      <c r="AF3" s="123"/>
      <c r="AG3" s="123"/>
      <c r="AH3" s="123"/>
      <c r="AI3" s="123"/>
      <c r="AJ3" s="123"/>
    </row>
    <row r="4" spans="1:36" x14ac:dyDescent="0.3">
      <c r="A4" s="125" t="s">
        <v>209</v>
      </c>
      <c r="B4" s="126">
        <v>45999</v>
      </c>
      <c r="C4" s="127" t="s">
        <v>29</v>
      </c>
      <c r="D4" s="128" t="s">
        <v>210</v>
      </c>
      <c r="E4" s="127" t="s">
        <v>1</v>
      </c>
      <c r="F4" s="127" t="s">
        <v>211</v>
      </c>
      <c r="G4" s="129">
        <v>0.4405</v>
      </c>
      <c r="H4" s="130">
        <v>168</v>
      </c>
      <c r="I4" s="130">
        <v>74</v>
      </c>
      <c r="J4" s="130">
        <v>0</v>
      </c>
      <c r="K4" s="127" t="s">
        <v>223</v>
      </c>
      <c r="L4" s="131">
        <v>45991</v>
      </c>
      <c r="M4" s="130">
        <v>0</v>
      </c>
      <c r="N4" s="130">
        <v>3</v>
      </c>
      <c r="O4" s="130">
        <v>26</v>
      </c>
      <c r="P4" s="127" t="s">
        <v>82</v>
      </c>
      <c r="Q4" s="123"/>
      <c r="R4" s="123"/>
      <c r="S4" s="123"/>
      <c r="T4" s="123"/>
      <c r="U4" s="123"/>
      <c r="V4" s="123"/>
      <c r="W4" s="123"/>
      <c r="X4" s="123"/>
      <c r="Y4" s="123"/>
      <c r="Z4" s="130" t="s">
        <v>133</v>
      </c>
      <c r="AA4" s="123"/>
      <c r="AB4" s="123"/>
      <c r="AC4" s="130" t="s">
        <v>161</v>
      </c>
      <c r="AD4" s="130" t="s">
        <v>228</v>
      </c>
      <c r="AE4" s="130" t="s">
        <v>229</v>
      </c>
      <c r="AF4" s="130" t="s">
        <v>220</v>
      </c>
      <c r="AG4" s="123"/>
      <c r="AH4" s="123"/>
      <c r="AI4" s="123"/>
      <c r="AJ4" s="123"/>
    </row>
    <row r="5" spans="1:36" x14ac:dyDescent="0.3">
      <c r="A5" s="125" t="s">
        <v>221</v>
      </c>
      <c r="B5" s="126">
        <v>46003</v>
      </c>
      <c r="C5" s="127" t="s">
        <v>29</v>
      </c>
      <c r="D5" s="128" t="s">
        <v>222</v>
      </c>
      <c r="E5" s="127" t="s">
        <v>1</v>
      </c>
      <c r="F5" s="127" t="s">
        <v>211</v>
      </c>
      <c r="G5" s="129">
        <v>0.2024</v>
      </c>
      <c r="H5" s="130">
        <v>168</v>
      </c>
      <c r="I5" s="130">
        <v>34</v>
      </c>
      <c r="J5" s="130">
        <v>0</v>
      </c>
      <c r="K5" s="127" t="s">
        <v>223</v>
      </c>
      <c r="L5" s="131">
        <v>45991</v>
      </c>
      <c r="M5" s="130">
        <v>0</v>
      </c>
      <c r="N5" s="130">
        <v>4</v>
      </c>
      <c r="O5" s="130">
        <v>11</v>
      </c>
      <c r="P5" s="127" t="s">
        <v>90</v>
      </c>
      <c r="Q5" s="123"/>
      <c r="R5" s="123"/>
      <c r="S5" s="123"/>
      <c r="T5" s="123"/>
      <c r="U5" s="123"/>
      <c r="V5" s="123"/>
      <c r="W5" s="123"/>
      <c r="X5" s="123"/>
      <c r="Y5" s="123"/>
      <c r="Z5" s="130" t="s">
        <v>230</v>
      </c>
      <c r="AA5" s="130" t="s">
        <v>231</v>
      </c>
      <c r="AB5" s="123"/>
      <c r="AC5" s="130" t="s">
        <v>232</v>
      </c>
      <c r="AD5" s="130" t="s">
        <v>233</v>
      </c>
      <c r="AE5" s="123"/>
      <c r="AF5" s="123"/>
      <c r="AG5" s="123"/>
      <c r="AH5" s="123"/>
      <c r="AI5" s="123"/>
      <c r="AJ5" s="123"/>
    </row>
    <row r="6" spans="1:36" x14ac:dyDescent="0.3">
      <c r="A6" s="125" t="s">
        <v>209</v>
      </c>
      <c r="B6" s="126">
        <v>46006</v>
      </c>
      <c r="C6" s="127" t="s">
        <v>29</v>
      </c>
      <c r="D6" s="128" t="s">
        <v>210</v>
      </c>
      <c r="E6" s="127" t="s">
        <v>1</v>
      </c>
      <c r="F6" s="127" t="s">
        <v>211</v>
      </c>
      <c r="G6" s="129">
        <v>0.22620000000000001</v>
      </c>
      <c r="H6" s="130">
        <v>168</v>
      </c>
      <c r="I6" s="130">
        <v>38</v>
      </c>
      <c r="J6" s="130">
        <v>0</v>
      </c>
      <c r="K6" s="127" t="s">
        <v>223</v>
      </c>
      <c r="L6" s="131">
        <v>45992</v>
      </c>
      <c r="M6" s="130">
        <v>1</v>
      </c>
      <c r="N6" s="130">
        <v>1</v>
      </c>
      <c r="O6" s="130">
        <v>15</v>
      </c>
      <c r="P6" s="127" t="s">
        <v>90</v>
      </c>
      <c r="Q6" s="123"/>
      <c r="R6" s="123"/>
      <c r="S6" s="123"/>
      <c r="T6" s="123"/>
      <c r="U6" s="123"/>
      <c r="V6" s="123"/>
      <c r="W6" s="123"/>
      <c r="X6" s="123"/>
      <c r="Y6" s="123"/>
      <c r="Z6" s="130" t="s">
        <v>214</v>
      </c>
      <c r="AA6" s="130" t="s">
        <v>234</v>
      </c>
      <c r="AB6" s="123"/>
      <c r="AC6" s="130" t="s">
        <v>168</v>
      </c>
      <c r="AD6" s="130" t="s">
        <v>235</v>
      </c>
      <c r="AE6" s="123"/>
      <c r="AF6" s="123"/>
      <c r="AG6" s="123"/>
      <c r="AH6" s="123"/>
      <c r="AI6" s="123"/>
      <c r="AJ6" s="123"/>
    </row>
    <row r="7" spans="1:36" x14ac:dyDescent="0.3">
      <c r="A7" s="125" t="s">
        <v>221</v>
      </c>
      <c r="B7" s="126">
        <v>46010</v>
      </c>
      <c r="C7" s="127" t="s">
        <v>29</v>
      </c>
      <c r="D7" s="128" t="s">
        <v>222</v>
      </c>
      <c r="E7" s="127" t="s">
        <v>1</v>
      </c>
      <c r="F7" s="127" t="s">
        <v>211</v>
      </c>
      <c r="G7" s="129">
        <v>0.1429</v>
      </c>
      <c r="H7" s="130">
        <v>168</v>
      </c>
      <c r="I7" s="130">
        <v>24</v>
      </c>
      <c r="J7" s="130">
        <v>0</v>
      </c>
      <c r="K7" s="127" t="s">
        <v>223</v>
      </c>
      <c r="L7" s="131">
        <v>45990</v>
      </c>
      <c r="M7" s="130">
        <v>0</v>
      </c>
      <c r="N7" s="130">
        <v>0</v>
      </c>
      <c r="O7" s="130">
        <v>7</v>
      </c>
      <c r="P7" s="127" t="s">
        <v>52</v>
      </c>
      <c r="Q7" s="123"/>
      <c r="R7" s="123"/>
      <c r="S7" s="123"/>
      <c r="T7" s="123"/>
      <c r="U7" s="123"/>
      <c r="V7" s="123"/>
      <c r="W7" s="123"/>
      <c r="X7" s="123"/>
      <c r="Y7" s="130" t="s">
        <v>236</v>
      </c>
      <c r="Z7" s="130" t="s">
        <v>237</v>
      </c>
      <c r="AA7" s="123"/>
      <c r="AB7" s="130" t="s">
        <v>175</v>
      </c>
      <c r="AC7" s="130" t="s">
        <v>161</v>
      </c>
      <c r="AD7" s="130" t="s">
        <v>238</v>
      </c>
      <c r="AE7" s="130" t="s">
        <v>239</v>
      </c>
      <c r="AF7" s="123"/>
      <c r="AG7" s="123"/>
      <c r="AH7" s="123"/>
      <c r="AI7" s="123"/>
      <c r="AJ7" s="123"/>
    </row>
    <row r="8" spans="1:36" x14ac:dyDescent="0.3">
      <c r="A8" s="125" t="s">
        <v>209</v>
      </c>
      <c r="B8" s="126">
        <v>46013</v>
      </c>
      <c r="C8" s="127" t="s">
        <v>29</v>
      </c>
      <c r="D8" s="128" t="s">
        <v>210</v>
      </c>
      <c r="E8" s="127" t="s">
        <v>1</v>
      </c>
      <c r="F8" s="127" t="s">
        <v>211</v>
      </c>
      <c r="G8" s="129">
        <v>0.11310000000000001</v>
      </c>
      <c r="H8" s="130">
        <v>168</v>
      </c>
      <c r="I8" s="130">
        <v>19</v>
      </c>
      <c r="J8" s="130">
        <v>0</v>
      </c>
      <c r="K8" s="127" t="s">
        <v>223</v>
      </c>
      <c r="L8" s="131">
        <v>45991</v>
      </c>
      <c r="M8" s="130">
        <v>0</v>
      </c>
      <c r="N8" s="130">
        <v>1</v>
      </c>
      <c r="O8" s="130">
        <v>4</v>
      </c>
      <c r="P8" s="127" t="s">
        <v>52</v>
      </c>
      <c r="Q8" s="123"/>
      <c r="R8" s="123"/>
      <c r="S8" s="123"/>
      <c r="T8" s="123"/>
      <c r="U8" s="123"/>
      <c r="V8" s="123"/>
      <c r="W8" s="123"/>
      <c r="X8" s="123"/>
      <c r="Y8" s="130" t="s">
        <v>236</v>
      </c>
      <c r="Z8" s="130" t="s">
        <v>240</v>
      </c>
      <c r="AA8" s="123"/>
      <c r="AB8" s="130" t="s">
        <v>175</v>
      </c>
      <c r="AC8" s="130" t="s">
        <v>168</v>
      </c>
      <c r="AD8" s="130" t="s">
        <v>241</v>
      </c>
      <c r="AE8" s="130" t="s">
        <v>227</v>
      </c>
      <c r="AF8" s="123"/>
      <c r="AG8" s="123"/>
      <c r="AH8" s="123"/>
      <c r="AI8" s="123"/>
      <c r="AJ8" s="123"/>
    </row>
    <row r="9" spans="1:36" x14ac:dyDescent="0.3">
      <c r="A9" s="125" t="s">
        <v>221</v>
      </c>
      <c r="B9" s="126">
        <v>46017</v>
      </c>
      <c r="C9" s="127" t="s">
        <v>29</v>
      </c>
      <c r="D9" s="128" t="s">
        <v>222</v>
      </c>
      <c r="E9" s="127" t="s">
        <v>1</v>
      </c>
      <c r="F9" s="127" t="s">
        <v>211</v>
      </c>
      <c r="G9" s="129">
        <v>0.16070000000000001</v>
      </c>
      <c r="H9" s="130">
        <v>168</v>
      </c>
      <c r="I9" s="130">
        <v>27</v>
      </c>
      <c r="J9" s="130">
        <v>0</v>
      </c>
      <c r="K9" s="127" t="s">
        <v>223</v>
      </c>
      <c r="L9" s="131">
        <v>45989</v>
      </c>
      <c r="M9" s="130">
        <v>0</v>
      </c>
      <c r="N9" s="130">
        <v>0</v>
      </c>
      <c r="O9" s="130">
        <v>8</v>
      </c>
      <c r="P9" s="127" t="s">
        <v>52</v>
      </c>
      <c r="Q9" s="123"/>
      <c r="R9" s="123"/>
      <c r="S9" s="123"/>
      <c r="T9" s="123"/>
      <c r="U9" s="123"/>
      <c r="V9" s="123"/>
      <c r="W9" s="123"/>
      <c r="X9" s="123"/>
      <c r="Y9" s="123"/>
      <c r="Z9" s="130" t="s">
        <v>240</v>
      </c>
      <c r="AA9" s="130" t="s">
        <v>242</v>
      </c>
      <c r="AB9" s="130" t="s">
        <v>243</v>
      </c>
      <c r="AC9" s="130" t="s">
        <v>161</v>
      </c>
      <c r="AD9" s="130" t="s">
        <v>244</v>
      </c>
      <c r="AE9" s="123"/>
      <c r="AF9" s="123"/>
      <c r="AG9" s="123"/>
      <c r="AH9" s="123"/>
      <c r="AI9" s="123"/>
      <c r="AJ9" s="123"/>
    </row>
    <row r="10" spans="1:36" x14ac:dyDescent="0.3">
      <c r="A10" s="125" t="s">
        <v>209</v>
      </c>
      <c r="B10" s="126">
        <v>46020</v>
      </c>
      <c r="C10" s="127" t="s">
        <v>29</v>
      </c>
      <c r="D10" s="128" t="s">
        <v>210</v>
      </c>
      <c r="E10" s="127" t="s">
        <v>1</v>
      </c>
      <c r="F10" s="127" t="s">
        <v>211</v>
      </c>
      <c r="G10" s="129">
        <v>0.13100000000000001</v>
      </c>
      <c r="H10" s="130">
        <v>168</v>
      </c>
      <c r="I10" s="130">
        <v>22</v>
      </c>
      <c r="J10" s="130">
        <v>0</v>
      </c>
      <c r="K10" s="127" t="s">
        <v>223</v>
      </c>
      <c r="L10" s="131">
        <v>45989</v>
      </c>
      <c r="M10" s="130">
        <v>0</v>
      </c>
      <c r="N10" s="130">
        <v>0</v>
      </c>
      <c r="O10" s="130">
        <v>3</v>
      </c>
      <c r="P10" s="127" t="s">
        <v>129</v>
      </c>
      <c r="Q10" s="123"/>
      <c r="R10" s="123"/>
      <c r="S10" s="123"/>
      <c r="T10" s="123"/>
      <c r="U10" s="123"/>
      <c r="V10" s="123"/>
      <c r="W10" s="123"/>
      <c r="X10" s="123"/>
      <c r="Y10" s="130" t="s">
        <v>245</v>
      </c>
      <c r="Z10" s="130" t="s">
        <v>246</v>
      </c>
      <c r="AA10" s="130" t="s">
        <v>247</v>
      </c>
      <c r="AB10" s="130" t="s">
        <v>248</v>
      </c>
      <c r="AC10" s="130" t="s">
        <v>249</v>
      </c>
      <c r="AD10" s="130" t="s">
        <v>250</v>
      </c>
      <c r="AE10" s="130" t="s">
        <v>227</v>
      </c>
      <c r="AF10" s="123"/>
      <c r="AG10" s="123"/>
      <c r="AH10" s="123"/>
      <c r="AI10" s="123"/>
      <c r="AJ10" s="123"/>
    </row>
    <row r="11" spans="1:36" x14ac:dyDescent="0.3">
      <c r="A11" s="125" t="s">
        <v>221</v>
      </c>
      <c r="B11" s="126">
        <v>46024</v>
      </c>
      <c r="C11" s="127" t="s">
        <v>29</v>
      </c>
      <c r="D11" s="128" t="s">
        <v>222</v>
      </c>
      <c r="E11" s="127" t="s">
        <v>1</v>
      </c>
      <c r="F11" s="127" t="s">
        <v>211</v>
      </c>
      <c r="G11" s="129">
        <v>4.1700000000000001E-2</v>
      </c>
      <c r="H11" s="130">
        <v>168</v>
      </c>
      <c r="I11" s="130">
        <v>7</v>
      </c>
      <c r="J11" s="130">
        <v>0</v>
      </c>
      <c r="K11" s="127" t="s">
        <v>223</v>
      </c>
      <c r="L11" s="131">
        <v>46356</v>
      </c>
      <c r="M11" s="130">
        <v>0</v>
      </c>
      <c r="N11" s="130">
        <v>0</v>
      </c>
      <c r="O11" s="130">
        <v>7</v>
      </c>
      <c r="P11" s="127" t="s">
        <v>82</v>
      </c>
      <c r="Q11" s="123"/>
      <c r="R11" s="123"/>
      <c r="S11" s="123"/>
      <c r="T11" s="123"/>
      <c r="U11" s="123"/>
      <c r="V11" s="123"/>
      <c r="W11" s="123"/>
      <c r="X11" s="123"/>
      <c r="Y11" s="123"/>
      <c r="Z11" s="130" t="s">
        <v>133</v>
      </c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</row>
    <row r="12" spans="1:36" x14ac:dyDescent="0.3">
      <c r="A12" s="125" t="s">
        <v>209</v>
      </c>
      <c r="B12" s="126">
        <v>46027</v>
      </c>
      <c r="C12" s="127" t="s">
        <v>29</v>
      </c>
      <c r="D12" s="128" t="s">
        <v>210</v>
      </c>
      <c r="E12" s="127" t="s">
        <v>1</v>
      </c>
      <c r="F12" s="127" t="s">
        <v>211</v>
      </c>
      <c r="G12" s="129">
        <v>4.1700000000000001E-2</v>
      </c>
      <c r="H12" s="130">
        <v>168</v>
      </c>
      <c r="I12" s="130">
        <v>7</v>
      </c>
      <c r="J12" s="130">
        <v>0</v>
      </c>
      <c r="K12" s="127" t="s">
        <v>223</v>
      </c>
      <c r="L12" s="131">
        <v>46356</v>
      </c>
      <c r="M12" s="130">
        <v>0</v>
      </c>
      <c r="N12" s="130">
        <v>0</v>
      </c>
      <c r="O12" s="130">
        <v>7</v>
      </c>
      <c r="P12" s="127" t="s">
        <v>144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30" t="s">
        <v>133</v>
      </c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</row>
    <row r="13" spans="1:36" x14ac:dyDescent="0.3">
      <c r="A13" s="125" t="s">
        <v>221</v>
      </c>
      <c r="B13" s="126">
        <v>46031</v>
      </c>
      <c r="C13" s="127" t="s">
        <v>29</v>
      </c>
      <c r="D13" s="128" t="s">
        <v>222</v>
      </c>
      <c r="E13" s="127" t="s">
        <v>1</v>
      </c>
      <c r="F13" s="127" t="s">
        <v>211</v>
      </c>
      <c r="G13" s="129">
        <v>4.7600000000000003E-2</v>
      </c>
      <c r="H13" s="130">
        <v>168</v>
      </c>
      <c r="I13" s="130">
        <v>8</v>
      </c>
      <c r="J13" s="130">
        <v>0</v>
      </c>
      <c r="K13" s="127" t="s">
        <v>223</v>
      </c>
      <c r="L13" s="131">
        <v>46340</v>
      </c>
      <c r="M13" s="130">
        <v>0</v>
      </c>
      <c r="N13" s="130">
        <v>0</v>
      </c>
      <c r="O13" s="130">
        <v>8</v>
      </c>
      <c r="P13" s="127" t="s">
        <v>144</v>
      </c>
      <c r="Q13" s="123"/>
      <c r="R13" s="123"/>
      <c r="S13" s="123"/>
      <c r="T13" s="123"/>
      <c r="U13" s="123"/>
      <c r="V13" s="123"/>
      <c r="W13" s="123"/>
      <c r="X13" s="123"/>
      <c r="Y13" s="123"/>
      <c r="Z13" s="130" t="s">
        <v>214</v>
      </c>
      <c r="AA13" s="130" t="s">
        <v>242</v>
      </c>
      <c r="AB13" s="123"/>
      <c r="AC13" s="123"/>
      <c r="AD13" s="123"/>
      <c r="AE13" s="123"/>
      <c r="AF13" s="123"/>
      <c r="AG13" s="123"/>
      <c r="AH13" s="123"/>
      <c r="AI13" s="123"/>
      <c r="AJ13" s="123"/>
    </row>
    <row r="14" spans="1:36" x14ac:dyDescent="0.3">
      <c r="A14" s="125" t="s">
        <v>209</v>
      </c>
      <c r="B14" s="126">
        <v>46034</v>
      </c>
      <c r="C14" s="127" t="s">
        <v>29</v>
      </c>
      <c r="D14" s="128" t="s">
        <v>210</v>
      </c>
      <c r="E14" s="127" t="s">
        <v>1</v>
      </c>
      <c r="F14" s="127" t="s">
        <v>211</v>
      </c>
      <c r="G14" s="129">
        <v>6.5500000000000003E-2</v>
      </c>
      <c r="H14" s="130">
        <v>168</v>
      </c>
      <c r="I14" s="130">
        <v>11</v>
      </c>
      <c r="J14" s="130">
        <v>0</v>
      </c>
      <c r="K14" s="127" t="s">
        <v>223</v>
      </c>
      <c r="L14" s="131">
        <v>46356</v>
      </c>
      <c r="M14" s="130">
        <v>0</v>
      </c>
      <c r="N14" s="130">
        <v>0</v>
      </c>
      <c r="O14" s="130">
        <v>11</v>
      </c>
      <c r="P14" s="127" t="s">
        <v>161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30" t="s">
        <v>237</v>
      </c>
      <c r="AA14" s="123"/>
      <c r="AB14" s="123"/>
      <c r="AC14" s="123"/>
      <c r="AD14" s="130" t="s">
        <v>244</v>
      </c>
      <c r="AE14" s="130" t="s">
        <v>251</v>
      </c>
      <c r="AF14" s="123"/>
      <c r="AG14" s="123"/>
      <c r="AH14" s="123"/>
      <c r="AI14" s="123"/>
      <c r="AJ14" s="123"/>
    </row>
    <row r="15" spans="1:36" x14ac:dyDescent="0.3">
      <c r="A15" s="125" t="s">
        <v>221</v>
      </c>
      <c r="B15" s="126">
        <v>46038</v>
      </c>
      <c r="C15" s="127" t="s">
        <v>29</v>
      </c>
      <c r="D15" s="128" t="s">
        <v>222</v>
      </c>
      <c r="E15" s="127" t="s">
        <v>1</v>
      </c>
      <c r="F15" s="127" t="s">
        <v>211</v>
      </c>
      <c r="G15" s="129">
        <v>8.9300000000000004E-2</v>
      </c>
      <c r="H15" s="130">
        <v>168</v>
      </c>
      <c r="I15" s="130">
        <v>15</v>
      </c>
      <c r="J15" s="130">
        <v>0</v>
      </c>
      <c r="K15" s="127" t="s">
        <v>223</v>
      </c>
      <c r="L15" s="131">
        <v>46357</v>
      </c>
      <c r="M15" s="130">
        <v>0</v>
      </c>
      <c r="N15" s="130">
        <v>0</v>
      </c>
      <c r="O15" s="130">
        <v>15</v>
      </c>
      <c r="P15" s="127" t="s">
        <v>161</v>
      </c>
      <c r="Q15" s="123"/>
      <c r="R15" s="123"/>
      <c r="S15" s="123"/>
      <c r="T15" s="123"/>
      <c r="U15" s="123"/>
      <c r="V15" s="123"/>
      <c r="W15" s="123"/>
      <c r="X15" s="123"/>
      <c r="Y15" s="130" t="s">
        <v>245</v>
      </c>
      <c r="Z15" s="123"/>
      <c r="AA15" s="123"/>
      <c r="AB15" s="130" t="s">
        <v>171</v>
      </c>
      <c r="AC15" s="123"/>
      <c r="AD15" s="130" t="s">
        <v>244</v>
      </c>
      <c r="AE15" s="130" t="s">
        <v>239</v>
      </c>
      <c r="AF15" s="123"/>
      <c r="AG15" s="123"/>
      <c r="AH15" s="123"/>
      <c r="AI15" s="123"/>
      <c r="AJ15" s="123"/>
    </row>
    <row r="16" spans="1:36" x14ac:dyDescent="0.3">
      <c r="A16" s="125" t="s">
        <v>209</v>
      </c>
      <c r="B16" s="126">
        <v>46041</v>
      </c>
      <c r="C16" s="127" t="s">
        <v>29</v>
      </c>
      <c r="D16" s="128" t="s">
        <v>210</v>
      </c>
      <c r="E16" s="127" t="s">
        <v>1</v>
      </c>
      <c r="F16" s="127" t="s">
        <v>211</v>
      </c>
      <c r="G16" s="129">
        <v>4.1700000000000001E-2</v>
      </c>
      <c r="H16" s="130">
        <v>168</v>
      </c>
      <c r="I16" s="130">
        <v>7</v>
      </c>
      <c r="J16" s="130">
        <v>0</v>
      </c>
      <c r="K16" s="127" t="s">
        <v>223</v>
      </c>
      <c r="L16" s="131">
        <v>46337</v>
      </c>
      <c r="M16" s="130">
        <v>0</v>
      </c>
      <c r="N16" s="130">
        <v>0</v>
      </c>
      <c r="O16" s="130">
        <v>7</v>
      </c>
      <c r="P16" s="127" t="s">
        <v>168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30" t="s">
        <v>252</v>
      </c>
      <c r="AD16" s="130" t="s">
        <v>250</v>
      </c>
      <c r="AE16" s="130" t="s">
        <v>227</v>
      </c>
      <c r="AF16" s="123"/>
      <c r="AG16" s="123"/>
      <c r="AH16" s="123"/>
      <c r="AI16" s="123"/>
      <c r="AJ16" s="123"/>
    </row>
    <row r="17" spans="1:36" x14ac:dyDescent="0.3">
      <c r="A17" s="125" t="s">
        <v>221</v>
      </c>
      <c r="B17" s="126">
        <v>46045</v>
      </c>
      <c r="C17" s="127" t="s">
        <v>29</v>
      </c>
      <c r="D17" s="128" t="s">
        <v>222</v>
      </c>
      <c r="E17" s="127" t="s">
        <v>1</v>
      </c>
      <c r="F17" s="127" t="s">
        <v>211</v>
      </c>
      <c r="G17" s="129">
        <v>5.9499999999999997E-2</v>
      </c>
      <c r="H17" s="130">
        <v>168</v>
      </c>
      <c r="I17" s="130">
        <v>10</v>
      </c>
      <c r="J17" s="130">
        <v>0</v>
      </c>
      <c r="K17" s="127" t="s">
        <v>223</v>
      </c>
      <c r="L17" s="131">
        <v>46356</v>
      </c>
      <c r="M17" s="130">
        <v>0</v>
      </c>
      <c r="N17" s="130">
        <v>0</v>
      </c>
      <c r="O17" s="130">
        <v>10</v>
      </c>
      <c r="P17" s="127" t="s">
        <v>171</v>
      </c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30" t="s">
        <v>249</v>
      </c>
      <c r="AD17" s="130" t="s">
        <v>250</v>
      </c>
      <c r="AE17" s="130" t="s">
        <v>227</v>
      </c>
      <c r="AF17" s="123"/>
      <c r="AG17" s="123"/>
      <c r="AH17" s="123"/>
      <c r="AI17" s="123"/>
      <c r="AJ17" s="123"/>
    </row>
    <row r="18" spans="1:36" x14ac:dyDescent="0.3">
      <c r="A18" s="125" t="s">
        <v>209</v>
      </c>
      <c r="B18" s="126">
        <v>46048</v>
      </c>
      <c r="C18" s="127" t="s">
        <v>29</v>
      </c>
      <c r="D18" s="128" t="s">
        <v>210</v>
      </c>
      <c r="E18" s="127" t="s">
        <v>1</v>
      </c>
      <c r="F18" s="127" t="s">
        <v>211</v>
      </c>
      <c r="G18" s="129">
        <v>5.9499999999999997E-2</v>
      </c>
      <c r="H18" s="130">
        <v>168</v>
      </c>
      <c r="I18" s="130">
        <v>10</v>
      </c>
      <c r="J18" s="130">
        <v>0</v>
      </c>
      <c r="K18" s="127" t="s">
        <v>223</v>
      </c>
      <c r="L18" s="131">
        <v>46356</v>
      </c>
      <c r="M18" s="130">
        <v>0</v>
      </c>
      <c r="N18" s="130">
        <v>0</v>
      </c>
      <c r="O18" s="130">
        <v>10</v>
      </c>
      <c r="P18" s="127" t="s">
        <v>175</v>
      </c>
      <c r="Q18" s="123"/>
      <c r="R18" s="123"/>
      <c r="S18" s="123"/>
      <c r="T18" s="123"/>
      <c r="U18" s="123"/>
      <c r="V18" s="123"/>
      <c r="W18" s="123"/>
      <c r="X18" s="123"/>
      <c r="Y18" s="130" t="s">
        <v>245</v>
      </c>
      <c r="Z18" s="123"/>
      <c r="AA18" s="123"/>
      <c r="AB18" s="130" t="s">
        <v>177</v>
      </c>
      <c r="AC18" s="130" t="s">
        <v>168</v>
      </c>
      <c r="AD18" s="130" t="s">
        <v>253</v>
      </c>
      <c r="AE18" s="130" t="s">
        <v>254</v>
      </c>
      <c r="AF18" s="123"/>
      <c r="AG18" s="123"/>
      <c r="AH18" s="123"/>
      <c r="AI18" s="123"/>
      <c r="AJ18" s="123"/>
    </row>
    <row r="19" spans="1:36" x14ac:dyDescent="0.3">
      <c r="A19" s="125" t="s">
        <v>221</v>
      </c>
      <c r="B19" s="126">
        <v>46052</v>
      </c>
      <c r="C19" s="127" t="s">
        <v>29</v>
      </c>
      <c r="D19" s="128" t="s">
        <v>222</v>
      </c>
      <c r="E19" s="127" t="s">
        <v>1</v>
      </c>
      <c r="F19" s="127" t="s">
        <v>211</v>
      </c>
      <c r="G19" s="129">
        <v>0.11310000000000001</v>
      </c>
      <c r="H19" s="130">
        <v>168</v>
      </c>
      <c r="I19" s="130">
        <v>19</v>
      </c>
      <c r="J19" s="130">
        <v>0</v>
      </c>
      <c r="K19" s="127" t="s">
        <v>223</v>
      </c>
      <c r="L19" s="131">
        <v>46355</v>
      </c>
      <c r="M19" s="130">
        <v>0</v>
      </c>
      <c r="N19" s="130">
        <v>0</v>
      </c>
      <c r="O19" s="130">
        <v>19</v>
      </c>
      <c r="P19" s="127" t="s">
        <v>177</v>
      </c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30" t="s">
        <v>243</v>
      </c>
      <c r="AC19" s="130" t="s">
        <v>255</v>
      </c>
      <c r="AD19" s="130" t="s">
        <v>241</v>
      </c>
      <c r="AE19" s="130" t="s">
        <v>239</v>
      </c>
      <c r="AF19" s="123"/>
      <c r="AG19" s="123"/>
      <c r="AH19" s="123"/>
      <c r="AI19" s="123"/>
      <c r="AJ19" s="123"/>
    </row>
    <row r="20" spans="1:36" ht="21" x14ac:dyDescent="0.3">
      <c r="A20" s="132" t="s">
        <v>277</v>
      </c>
      <c r="B20" s="133"/>
      <c r="C20" s="132">
        <f>SUBTOTAL(103,DMM_ATZ_LF_LEGACY[Flt])</f>
        <v>18</v>
      </c>
      <c r="D20" s="132"/>
      <c r="E20" s="132">
        <f>SUBTOTAL(103,DMM_ATZ_LF_LEGACY[Brd-Off])</f>
        <v>18</v>
      </c>
      <c r="F20" s="132"/>
      <c r="G20" s="134">
        <f>SUBTOTAL(101,DMM_ATZ_LF_LEGACY[LF%])</f>
        <v>0.1693277777777778</v>
      </c>
      <c r="H20" s="135">
        <f>SUBTOTAL(109,DMM_ATZ_LF_LEGACY[CAP])</f>
        <v>3024</v>
      </c>
      <c r="I20" s="135">
        <f>SUBTOTAL(109,DMM_ATZ_LF_LEGACY[BKG(Y)])</f>
        <v>512</v>
      </c>
      <c r="J20" s="135">
        <f>SUBTOTAL(109,DMM_ATZ_LF_LEGACY[GRP(Y)])</f>
        <v>0</v>
      </c>
      <c r="K20" s="132"/>
      <c r="L20" s="133"/>
      <c r="M20" s="135">
        <f>SUBTOTAL(109,DMM_ATZ_LF_LEGACY[TO-DAY])</f>
        <v>2</v>
      </c>
      <c r="N20" s="135">
        <f>SUBTOTAL(109,DMM_ATZ_LF_LEGACY[Y-DAY])</f>
        <v>14</v>
      </c>
      <c r="O20" s="135">
        <f>SUBTOTAL(109,DMM_ATZ_LF_LEGACY[WEEKLY])</f>
        <v>225</v>
      </c>
      <c r="P20" s="136"/>
      <c r="Q20" s="135">
        <f>SUBTOTAL(109,DMM_ATZ_LF_LEGACY[Y])</f>
        <v>0</v>
      </c>
      <c r="R20" s="135">
        <f>SUBTOTAL(109,DMM_ATZ_LF_LEGACY[B])</f>
        <v>0</v>
      </c>
      <c r="S20" s="135">
        <f>SUBTOTAL(109,DMM_ATZ_LF_LEGACY[M])</f>
        <v>0</v>
      </c>
      <c r="T20" s="135">
        <f>SUBTOTAL(109,DMM_ATZ_LF_LEGACY[H])</f>
        <v>0</v>
      </c>
      <c r="U20" s="135">
        <f>SUBTOTAL(109,DMM_ATZ_LF_LEGACY[Q])</f>
        <v>0</v>
      </c>
      <c r="V20" s="135">
        <f>SUBTOTAL(109,DMM_ATZ_LF_LEGACY[K])</f>
        <v>0</v>
      </c>
      <c r="W20" s="135">
        <f>SUBTOTAL(109,DMM_ATZ_LF_LEGACY[V])</f>
        <v>0</v>
      </c>
      <c r="X20" s="135">
        <f>SUBTOTAL(109,DMM_ATZ_LF_LEGACY[L])</f>
        <v>0</v>
      </c>
      <c r="Y20" s="135">
        <f>SUBTOTAL(109,DMM_ATZ_LF_LEGACY[G])</f>
        <v>0</v>
      </c>
      <c r="Z20" s="135">
        <f>SUBTOTAL(109,DMM_ATZ_LF_LEGACY[S])</f>
        <v>0</v>
      </c>
      <c r="AA20" s="135">
        <f>SUBTOTAL(109,DMM_ATZ_LF_LEGACY[W])</f>
        <v>0</v>
      </c>
      <c r="AB20" s="135">
        <f>SUBTOTAL(109,DMM_ATZ_LF_LEGACY[T])</f>
        <v>0</v>
      </c>
      <c r="AC20" s="135">
        <f>SUBTOTAL(109,DMM_ATZ_LF_LEGACY[X])</f>
        <v>0</v>
      </c>
      <c r="AD20" s="135">
        <f>SUBTOTAL(109,DMM_ATZ_LF_LEGACY[U])</f>
        <v>0</v>
      </c>
      <c r="AE20" s="135">
        <f>SUBTOTAL(109,DMM_ATZ_LF_LEGACY[O])</f>
        <v>0</v>
      </c>
      <c r="AF20" s="135">
        <f>SUBTOTAL(109,DMM_ATZ_LF_LEGACY[I])</f>
        <v>0</v>
      </c>
      <c r="AG20" s="135">
        <f>SUBTOTAL(109,DMM_ATZ_LF_LEGACY[E])</f>
        <v>0</v>
      </c>
      <c r="AH20" s="135">
        <f>SUBTOTAL(109,DMM_ATZ_LF_LEGACY[A])</f>
        <v>0</v>
      </c>
      <c r="AI20" s="135">
        <f>SUBTOTAL(109,DMM_ATZ_LF_LEGACY[P])</f>
        <v>0</v>
      </c>
      <c r="AJ20" s="135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4"/>
  <sheetViews>
    <sheetView tabSelected="1" workbookViewId="0">
      <selection activeCell="F5" sqref="F5"/>
    </sheetView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  <col min="9" max="9" width="193.109375" hidden="1" customWidth="1"/>
  </cols>
  <sheetData>
    <row r="1" spans="1:9" ht="18" x14ac:dyDescent="0.3">
      <c r="A1" s="65" t="s">
        <v>256</v>
      </c>
      <c r="B1" s="66" t="s">
        <v>8</v>
      </c>
      <c r="C1" s="66" t="s">
        <v>9</v>
      </c>
      <c r="D1" s="66" t="s">
        <v>257</v>
      </c>
      <c r="E1" s="66" t="s">
        <v>10</v>
      </c>
      <c r="F1" s="66" t="s">
        <v>11</v>
      </c>
      <c r="G1" s="66" t="s">
        <v>12</v>
      </c>
      <c r="H1" s="67" t="s">
        <v>13</v>
      </c>
      <c r="I1" s="2"/>
    </row>
    <row r="2" spans="1:9" ht="19.8" customHeight="1" x14ac:dyDescent="0.3">
      <c r="A2" s="68" t="s">
        <v>258</v>
      </c>
      <c r="B2" s="69" t="s">
        <v>26</v>
      </c>
      <c r="C2" s="70" t="s">
        <v>27</v>
      </c>
      <c r="D2" s="69" t="s">
        <v>1</v>
      </c>
      <c r="E2" s="69" t="s">
        <v>210</v>
      </c>
      <c r="F2" s="69"/>
      <c r="G2" s="69"/>
      <c r="H2" s="71" t="s">
        <v>28</v>
      </c>
      <c r="I2" s="2"/>
    </row>
    <row r="3" spans="1:9" ht="19.8" customHeight="1" x14ac:dyDescent="0.3">
      <c r="A3" s="72"/>
      <c r="B3" s="73"/>
      <c r="C3" s="73"/>
      <c r="D3" s="73"/>
      <c r="E3" s="73"/>
      <c r="F3" s="74" t="s">
        <v>259</v>
      </c>
      <c r="G3" s="73"/>
      <c r="H3" s="75"/>
      <c r="I3" s="2"/>
    </row>
    <row r="4" spans="1:9" ht="19.8" customHeight="1" x14ac:dyDescent="0.3">
      <c r="A4" s="114">
        <v>45992</v>
      </c>
      <c r="B4" s="76" t="s">
        <v>46</v>
      </c>
      <c r="C4" s="77" t="s">
        <v>47</v>
      </c>
      <c r="D4" s="76" t="s">
        <v>260</v>
      </c>
      <c r="E4" s="115">
        <v>1.958333333333333</v>
      </c>
      <c r="F4" s="76" t="s">
        <v>49</v>
      </c>
      <c r="G4" s="78">
        <v>9</v>
      </c>
      <c r="H4" s="116">
        <v>379</v>
      </c>
      <c r="I4" s="2"/>
    </row>
    <row r="5" spans="1:9" ht="19.8" customHeight="1" x14ac:dyDescent="0.3">
      <c r="A5" s="114">
        <v>45992</v>
      </c>
      <c r="B5" s="76" t="s">
        <v>32</v>
      </c>
      <c r="C5" s="77" t="s">
        <v>33</v>
      </c>
      <c r="D5" s="76" t="s">
        <v>260</v>
      </c>
      <c r="E5" s="115">
        <v>1.833333333333333</v>
      </c>
      <c r="F5" s="76" t="s">
        <v>34</v>
      </c>
      <c r="G5" s="78">
        <v>4</v>
      </c>
      <c r="H5" s="116">
        <v>479</v>
      </c>
      <c r="I5" s="2"/>
    </row>
    <row r="6" spans="1:9" ht="19.8" customHeight="1" x14ac:dyDescent="0.3">
      <c r="A6" s="114">
        <v>45992</v>
      </c>
      <c r="B6" s="76" t="s">
        <v>32</v>
      </c>
      <c r="C6" s="77" t="s">
        <v>33</v>
      </c>
      <c r="D6" s="76" t="s">
        <v>260</v>
      </c>
      <c r="E6" s="115">
        <v>1.833333333333333</v>
      </c>
      <c r="F6" s="76" t="s">
        <v>37</v>
      </c>
      <c r="G6" s="78">
        <v>4</v>
      </c>
      <c r="H6" s="116">
        <v>579</v>
      </c>
      <c r="I6" s="2"/>
    </row>
    <row r="7" spans="1:9" ht="19.8" customHeight="1" x14ac:dyDescent="0.3">
      <c r="A7" s="114">
        <v>45992</v>
      </c>
      <c r="B7" s="76" t="s">
        <v>32</v>
      </c>
      <c r="C7" s="77" t="s">
        <v>33</v>
      </c>
      <c r="D7" s="76" t="s">
        <v>260</v>
      </c>
      <c r="E7" s="115">
        <v>1.833333333333333</v>
      </c>
      <c r="F7" s="76" t="s">
        <v>39</v>
      </c>
      <c r="G7" s="78">
        <v>4</v>
      </c>
      <c r="H7" s="116">
        <v>669</v>
      </c>
      <c r="I7" s="2"/>
    </row>
    <row r="8" spans="1:9" ht="19.8" customHeight="1" x14ac:dyDescent="0.3">
      <c r="A8" s="117">
        <v>45992</v>
      </c>
      <c r="B8" s="79" t="s">
        <v>41</v>
      </c>
      <c r="C8" s="80" t="s">
        <v>42</v>
      </c>
      <c r="D8" s="79" t="s">
        <v>260</v>
      </c>
      <c r="E8" s="118">
        <v>1.864583333333333</v>
      </c>
      <c r="F8" s="79" t="s">
        <v>44</v>
      </c>
      <c r="G8" s="81">
        <v>9</v>
      </c>
      <c r="H8" s="119">
        <v>697</v>
      </c>
      <c r="I8" s="2"/>
    </row>
    <row r="9" spans="1:9" ht="19.8" customHeight="1" x14ac:dyDescent="0.3">
      <c r="A9" s="72"/>
      <c r="B9" s="73"/>
      <c r="C9" s="73"/>
      <c r="D9" s="73"/>
      <c r="E9" s="73"/>
      <c r="F9" s="74" t="s">
        <v>259</v>
      </c>
      <c r="G9" s="73"/>
      <c r="H9" s="75"/>
      <c r="I9" s="2"/>
    </row>
    <row r="10" spans="1:9" ht="19.8" customHeight="1" x14ac:dyDescent="0.3">
      <c r="A10" s="114">
        <v>45993</v>
      </c>
      <c r="B10" s="76" t="s">
        <v>57</v>
      </c>
      <c r="C10" s="77" t="s">
        <v>58</v>
      </c>
      <c r="D10" s="76" t="s">
        <v>260</v>
      </c>
      <c r="E10" s="115">
        <v>1.305555555555556</v>
      </c>
      <c r="F10" s="76" t="s">
        <v>60</v>
      </c>
      <c r="G10" s="78">
        <v>29</v>
      </c>
      <c r="H10" s="116">
        <v>339</v>
      </c>
      <c r="I10" s="2"/>
    </row>
    <row r="11" spans="1:9" ht="19.8" customHeight="1" x14ac:dyDescent="0.3">
      <c r="A11" s="114">
        <v>45993</v>
      </c>
      <c r="B11" s="76" t="s">
        <v>32</v>
      </c>
      <c r="C11" s="77" t="s">
        <v>113</v>
      </c>
      <c r="D11" s="76" t="s">
        <v>260</v>
      </c>
      <c r="E11" s="115">
        <v>1.197916666666667</v>
      </c>
      <c r="F11" s="76" t="s">
        <v>34</v>
      </c>
      <c r="G11" s="78">
        <v>9</v>
      </c>
      <c r="H11" s="116">
        <v>349</v>
      </c>
      <c r="I11" s="2"/>
    </row>
    <row r="12" spans="1:9" ht="19.8" customHeight="1" x14ac:dyDescent="0.3">
      <c r="A12" s="114">
        <v>45993</v>
      </c>
      <c r="B12" s="76" t="s">
        <v>46</v>
      </c>
      <c r="C12" s="77" t="s">
        <v>261</v>
      </c>
      <c r="D12" s="76" t="s">
        <v>260</v>
      </c>
      <c r="E12" s="115">
        <v>1.958333333333333</v>
      </c>
      <c r="F12" s="76" t="s">
        <v>49</v>
      </c>
      <c r="G12" s="78">
        <v>9</v>
      </c>
      <c r="H12" s="116">
        <v>379</v>
      </c>
      <c r="I12" s="2"/>
    </row>
    <row r="13" spans="1:9" ht="19.8" customHeight="1" x14ac:dyDescent="0.3">
      <c r="A13" s="114">
        <v>45993</v>
      </c>
      <c r="B13" s="76" t="s">
        <v>32</v>
      </c>
      <c r="C13" s="77" t="s">
        <v>33</v>
      </c>
      <c r="D13" s="76" t="s">
        <v>260</v>
      </c>
      <c r="E13" s="115">
        <v>1.833333333333333</v>
      </c>
      <c r="F13" s="76" t="s">
        <v>34</v>
      </c>
      <c r="G13" s="78">
        <v>9</v>
      </c>
      <c r="H13" s="116">
        <v>409</v>
      </c>
      <c r="I13" s="2"/>
    </row>
    <row r="14" spans="1:9" ht="19.8" customHeight="1" x14ac:dyDescent="0.3">
      <c r="A14" s="114">
        <v>45993</v>
      </c>
      <c r="B14" s="76" t="s">
        <v>41</v>
      </c>
      <c r="C14" s="77" t="s">
        <v>71</v>
      </c>
      <c r="D14" s="76" t="s">
        <v>260</v>
      </c>
      <c r="E14" s="115">
        <v>1.1701388888888891</v>
      </c>
      <c r="F14" s="76" t="s">
        <v>84</v>
      </c>
      <c r="G14" s="78">
        <v>7</v>
      </c>
      <c r="H14" s="116">
        <v>411</v>
      </c>
      <c r="I14" s="2"/>
    </row>
    <row r="15" spans="1:9" ht="19.8" customHeight="1" x14ac:dyDescent="0.3">
      <c r="A15" s="114">
        <v>45993</v>
      </c>
      <c r="B15" s="76" t="s">
        <v>32</v>
      </c>
      <c r="C15" s="77" t="s">
        <v>113</v>
      </c>
      <c r="D15" s="76" t="s">
        <v>260</v>
      </c>
      <c r="E15" s="115">
        <v>1.197916666666667</v>
      </c>
      <c r="F15" s="76" t="s">
        <v>37</v>
      </c>
      <c r="G15" s="78">
        <v>9</v>
      </c>
      <c r="H15" s="116">
        <v>449</v>
      </c>
      <c r="I15" s="2"/>
    </row>
    <row r="16" spans="1:9" ht="19.8" customHeight="1" x14ac:dyDescent="0.3">
      <c r="A16" s="114">
        <v>45993</v>
      </c>
      <c r="B16" s="76" t="s">
        <v>57</v>
      </c>
      <c r="C16" s="77" t="s">
        <v>58</v>
      </c>
      <c r="D16" s="76" t="s">
        <v>260</v>
      </c>
      <c r="E16" s="115">
        <v>1.305555555555556</v>
      </c>
      <c r="F16" s="76" t="s">
        <v>63</v>
      </c>
      <c r="G16" s="78">
        <v>29</v>
      </c>
      <c r="H16" s="116">
        <v>489</v>
      </c>
      <c r="I16" s="2"/>
    </row>
    <row r="17" spans="1:9" ht="19.8" customHeight="1" x14ac:dyDescent="0.3">
      <c r="A17" s="114">
        <v>45993</v>
      </c>
      <c r="B17" s="76" t="s">
        <v>32</v>
      </c>
      <c r="C17" s="77" t="s">
        <v>33</v>
      </c>
      <c r="D17" s="76" t="s">
        <v>260</v>
      </c>
      <c r="E17" s="115">
        <v>1.833333333333333</v>
      </c>
      <c r="F17" s="76" t="s">
        <v>37</v>
      </c>
      <c r="G17" s="78">
        <v>9</v>
      </c>
      <c r="H17" s="116">
        <v>509</v>
      </c>
      <c r="I17" s="2"/>
    </row>
    <row r="18" spans="1:9" ht="19.8" customHeight="1" x14ac:dyDescent="0.3">
      <c r="A18" s="114">
        <v>45993</v>
      </c>
      <c r="B18" s="76" t="s">
        <v>32</v>
      </c>
      <c r="C18" s="77" t="s">
        <v>113</v>
      </c>
      <c r="D18" s="76" t="s">
        <v>260</v>
      </c>
      <c r="E18" s="115">
        <v>1.197916666666667</v>
      </c>
      <c r="F18" s="76" t="s">
        <v>39</v>
      </c>
      <c r="G18" s="78">
        <v>9</v>
      </c>
      <c r="H18" s="116">
        <v>539</v>
      </c>
      <c r="I18" s="2"/>
    </row>
    <row r="19" spans="1:9" ht="19.8" customHeight="1" x14ac:dyDescent="0.3">
      <c r="A19" s="114">
        <v>45993</v>
      </c>
      <c r="B19" s="76" t="s">
        <v>26</v>
      </c>
      <c r="C19" s="77" t="s">
        <v>74</v>
      </c>
      <c r="D19" s="76" t="s">
        <v>260</v>
      </c>
      <c r="E19" s="115">
        <v>1.270833333333333</v>
      </c>
      <c r="F19" s="76" t="s">
        <v>49</v>
      </c>
      <c r="G19" s="78">
        <v>9</v>
      </c>
      <c r="H19" s="116">
        <v>566</v>
      </c>
      <c r="I19" s="2"/>
    </row>
    <row r="20" spans="1:9" ht="19.8" customHeight="1" x14ac:dyDescent="0.3">
      <c r="A20" s="114">
        <v>45993</v>
      </c>
      <c r="B20" s="76" t="s">
        <v>32</v>
      </c>
      <c r="C20" s="77" t="s">
        <v>33</v>
      </c>
      <c r="D20" s="76" t="s">
        <v>260</v>
      </c>
      <c r="E20" s="115">
        <v>1.833333333333333</v>
      </c>
      <c r="F20" s="76" t="s">
        <v>39</v>
      </c>
      <c r="G20" s="78">
        <v>9</v>
      </c>
      <c r="H20" s="116">
        <v>599</v>
      </c>
      <c r="I20" s="2"/>
    </row>
    <row r="21" spans="1:9" ht="19.8" customHeight="1" x14ac:dyDescent="0.3">
      <c r="A21" s="114">
        <v>45993</v>
      </c>
      <c r="B21" s="76" t="s">
        <v>41</v>
      </c>
      <c r="C21" s="77" t="s">
        <v>42</v>
      </c>
      <c r="D21" s="76" t="s">
        <v>260</v>
      </c>
      <c r="E21" s="115">
        <v>1.864583333333333</v>
      </c>
      <c r="F21" s="76" t="s">
        <v>44</v>
      </c>
      <c r="G21" s="78">
        <v>9</v>
      </c>
      <c r="H21" s="116">
        <v>697</v>
      </c>
      <c r="I21" s="2"/>
    </row>
    <row r="22" spans="1:9" ht="19.8" customHeight="1" x14ac:dyDescent="0.3">
      <c r="A22" s="114">
        <v>45993</v>
      </c>
      <c r="B22" s="76" t="s">
        <v>41</v>
      </c>
      <c r="C22" s="77" t="s">
        <v>68</v>
      </c>
      <c r="D22" s="76" t="s">
        <v>260</v>
      </c>
      <c r="E22" s="115">
        <v>1.5277777777777779</v>
      </c>
      <c r="F22" s="76" t="s">
        <v>44</v>
      </c>
      <c r="G22" s="78">
        <v>9</v>
      </c>
      <c r="H22" s="116">
        <v>697</v>
      </c>
      <c r="I22" s="2"/>
    </row>
    <row r="23" spans="1:9" ht="19.8" customHeight="1" x14ac:dyDescent="0.3">
      <c r="A23" s="114">
        <v>45993</v>
      </c>
      <c r="B23" s="76" t="s">
        <v>77</v>
      </c>
      <c r="C23" s="77" t="s">
        <v>78</v>
      </c>
      <c r="D23" s="76" t="s">
        <v>260</v>
      </c>
      <c r="E23" s="115">
        <v>1.305555555555556</v>
      </c>
      <c r="F23" s="76" t="s">
        <v>79</v>
      </c>
      <c r="G23" s="78">
        <v>4</v>
      </c>
      <c r="H23" s="82" t="s">
        <v>104</v>
      </c>
      <c r="I23" s="2"/>
    </row>
    <row r="24" spans="1:9" ht="19.8" customHeight="1" x14ac:dyDescent="0.3">
      <c r="A24" s="117">
        <v>45993</v>
      </c>
      <c r="B24" s="79" t="s">
        <v>57</v>
      </c>
      <c r="C24" s="80" t="s">
        <v>58</v>
      </c>
      <c r="D24" s="79" t="s">
        <v>260</v>
      </c>
      <c r="E24" s="118">
        <v>1.305555555555556</v>
      </c>
      <c r="F24" s="79" t="s">
        <v>65</v>
      </c>
      <c r="G24" s="81">
        <v>29</v>
      </c>
      <c r="H24" s="83" t="s">
        <v>95</v>
      </c>
      <c r="I24" s="2"/>
    </row>
    <row r="25" spans="1:9" ht="19.8" customHeight="1" x14ac:dyDescent="0.3">
      <c r="A25" s="72"/>
      <c r="B25" s="73"/>
      <c r="C25" s="73"/>
      <c r="D25" s="73"/>
      <c r="E25" s="73"/>
      <c r="F25" s="74" t="s">
        <v>259</v>
      </c>
      <c r="G25" s="73"/>
      <c r="H25" s="75"/>
      <c r="I25" s="2"/>
    </row>
    <row r="26" spans="1:9" ht="19.8" customHeight="1" x14ac:dyDescent="0.3">
      <c r="A26" s="114">
        <v>45994</v>
      </c>
      <c r="B26" s="76" t="s">
        <v>262</v>
      </c>
      <c r="C26" s="77" t="s">
        <v>263</v>
      </c>
      <c r="D26" s="76" t="s">
        <v>260</v>
      </c>
      <c r="E26" s="115">
        <v>1.9722222222222221</v>
      </c>
      <c r="F26" s="76" t="s">
        <v>264</v>
      </c>
      <c r="G26" s="78">
        <v>9</v>
      </c>
      <c r="H26" s="116">
        <v>348</v>
      </c>
      <c r="I26" s="2"/>
    </row>
    <row r="27" spans="1:9" ht="19.8" customHeight="1" x14ac:dyDescent="0.3">
      <c r="A27" s="114">
        <v>45994</v>
      </c>
      <c r="B27" s="76" t="s">
        <v>121</v>
      </c>
      <c r="C27" s="77" t="s">
        <v>265</v>
      </c>
      <c r="D27" s="76" t="s">
        <v>260</v>
      </c>
      <c r="E27" s="115">
        <v>1.0902777777777779</v>
      </c>
      <c r="F27" s="76" t="s">
        <v>49</v>
      </c>
      <c r="G27" s="78">
        <v>9</v>
      </c>
      <c r="H27" s="116">
        <v>371</v>
      </c>
      <c r="I27" s="2"/>
    </row>
    <row r="28" spans="1:9" ht="19.8" customHeight="1" x14ac:dyDescent="0.3">
      <c r="A28" s="114">
        <v>45994</v>
      </c>
      <c r="B28" s="76" t="s">
        <v>46</v>
      </c>
      <c r="C28" s="77" t="s">
        <v>47</v>
      </c>
      <c r="D28" s="76" t="s">
        <v>260</v>
      </c>
      <c r="E28" s="115">
        <v>1.895833333333333</v>
      </c>
      <c r="F28" s="76" t="s">
        <v>49</v>
      </c>
      <c r="G28" s="78">
        <v>9</v>
      </c>
      <c r="H28" s="116">
        <v>379</v>
      </c>
      <c r="I28" s="2"/>
    </row>
    <row r="29" spans="1:9" ht="19.8" customHeight="1" x14ac:dyDescent="0.3">
      <c r="A29" s="114">
        <v>45994</v>
      </c>
      <c r="B29" s="76" t="s">
        <v>57</v>
      </c>
      <c r="C29" s="77" t="s">
        <v>58</v>
      </c>
      <c r="D29" s="76" t="s">
        <v>260</v>
      </c>
      <c r="E29" s="115">
        <v>1.305555555555556</v>
      </c>
      <c r="F29" s="76" t="s">
        <v>60</v>
      </c>
      <c r="G29" s="78">
        <v>13</v>
      </c>
      <c r="H29" s="116">
        <v>399</v>
      </c>
      <c r="I29" s="2"/>
    </row>
    <row r="30" spans="1:9" ht="19.8" customHeight="1" x14ac:dyDescent="0.3">
      <c r="A30" s="114">
        <v>45994</v>
      </c>
      <c r="B30" s="76" t="s">
        <v>41</v>
      </c>
      <c r="C30" s="77" t="s">
        <v>71</v>
      </c>
      <c r="D30" s="76" t="s">
        <v>260</v>
      </c>
      <c r="E30" s="115">
        <v>1.1701388888888891</v>
      </c>
      <c r="F30" s="76" t="s">
        <v>84</v>
      </c>
      <c r="G30" s="78">
        <v>7</v>
      </c>
      <c r="H30" s="116">
        <v>411</v>
      </c>
      <c r="I30" s="2"/>
    </row>
    <row r="31" spans="1:9" ht="19.8" customHeight="1" x14ac:dyDescent="0.3">
      <c r="A31" s="114">
        <v>45994</v>
      </c>
      <c r="B31" s="76" t="s">
        <v>262</v>
      </c>
      <c r="C31" s="77" t="s">
        <v>263</v>
      </c>
      <c r="D31" s="76" t="s">
        <v>260</v>
      </c>
      <c r="E31" s="115">
        <v>1.9722222222222221</v>
      </c>
      <c r="F31" s="76" t="s">
        <v>65</v>
      </c>
      <c r="G31" s="78">
        <v>9</v>
      </c>
      <c r="H31" s="116">
        <v>472</v>
      </c>
      <c r="I31" s="2"/>
    </row>
    <row r="32" spans="1:9" ht="19.8" customHeight="1" x14ac:dyDescent="0.3">
      <c r="A32" s="114">
        <v>45994</v>
      </c>
      <c r="B32" s="76" t="s">
        <v>32</v>
      </c>
      <c r="C32" s="77" t="s">
        <v>33</v>
      </c>
      <c r="D32" s="76" t="s">
        <v>260</v>
      </c>
      <c r="E32" s="115">
        <v>1.833333333333333</v>
      </c>
      <c r="F32" s="76" t="s">
        <v>34</v>
      </c>
      <c r="G32" s="78">
        <v>8</v>
      </c>
      <c r="H32" s="116">
        <v>479</v>
      </c>
      <c r="I32" s="2"/>
    </row>
    <row r="33" spans="1:9" ht="19.8" customHeight="1" x14ac:dyDescent="0.3">
      <c r="A33" s="114">
        <v>45994</v>
      </c>
      <c r="B33" s="76" t="s">
        <v>57</v>
      </c>
      <c r="C33" s="77" t="s">
        <v>58</v>
      </c>
      <c r="D33" s="76" t="s">
        <v>260</v>
      </c>
      <c r="E33" s="115">
        <v>1.305555555555556</v>
      </c>
      <c r="F33" s="76" t="s">
        <v>63</v>
      </c>
      <c r="G33" s="78">
        <v>13</v>
      </c>
      <c r="H33" s="116">
        <v>549</v>
      </c>
      <c r="I33" s="2"/>
    </row>
    <row r="34" spans="1:9" ht="19.8" customHeight="1" x14ac:dyDescent="0.3">
      <c r="A34" s="114">
        <v>45994</v>
      </c>
      <c r="B34" s="76" t="s">
        <v>32</v>
      </c>
      <c r="C34" s="77" t="s">
        <v>33</v>
      </c>
      <c r="D34" s="76" t="s">
        <v>260</v>
      </c>
      <c r="E34" s="115">
        <v>1.833333333333333</v>
      </c>
      <c r="F34" s="76" t="s">
        <v>37</v>
      </c>
      <c r="G34" s="78">
        <v>8</v>
      </c>
      <c r="H34" s="116">
        <v>579</v>
      </c>
      <c r="I34" s="2"/>
    </row>
    <row r="35" spans="1:9" ht="19.8" customHeight="1" x14ac:dyDescent="0.3">
      <c r="A35" s="114">
        <v>45994</v>
      </c>
      <c r="B35" s="76" t="s">
        <v>32</v>
      </c>
      <c r="C35" s="77" t="s">
        <v>33</v>
      </c>
      <c r="D35" s="76" t="s">
        <v>260</v>
      </c>
      <c r="E35" s="115">
        <v>1.833333333333333</v>
      </c>
      <c r="F35" s="76" t="s">
        <v>39</v>
      </c>
      <c r="G35" s="78">
        <v>8</v>
      </c>
      <c r="H35" s="116">
        <v>669</v>
      </c>
      <c r="I35" s="2"/>
    </row>
    <row r="36" spans="1:9" ht="19.8" customHeight="1" x14ac:dyDescent="0.3">
      <c r="A36" s="114">
        <v>45994</v>
      </c>
      <c r="B36" s="76" t="s">
        <v>41</v>
      </c>
      <c r="C36" s="77" t="s">
        <v>42</v>
      </c>
      <c r="D36" s="76" t="s">
        <v>260</v>
      </c>
      <c r="E36" s="115">
        <v>1.864583333333333</v>
      </c>
      <c r="F36" s="76" t="s">
        <v>44</v>
      </c>
      <c r="G36" s="78">
        <v>9</v>
      </c>
      <c r="H36" s="116">
        <v>697</v>
      </c>
      <c r="I36" s="2"/>
    </row>
    <row r="37" spans="1:9" ht="19.8" customHeight="1" x14ac:dyDescent="0.3">
      <c r="A37" s="114">
        <v>45994</v>
      </c>
      <c r="B37" s="76" t="s">
        <v>41</v>
      </c>
      <c r="C37" s="77" t="s">
        <v>68</v>
      </c>
      <c r="D37" s="76" t="s">
        <v>260</v>
      </c>
      <c r="E37" s="115">
        <v>1.5277777777777779</v>
      </c>
      <c r="F37" s="76" t="s">
        <v>44</v>
      </c>
      <c r="G37" s="78">
        <v>9</v>
      </c>
      <c r="H37" s="116">
        <v>757</v>
      </c>
      <c r="I37" s="2"/>
    </row>
    <row r="38" spans="1:9" ht="19.8" customHeight="1" x14ac:dyDescent="0.3">
      <c r="A38" s="114">
        <v>45994</v>
      </c>
      <c r="B38" s="76" t="s">
        <v>57</v>
      </c>
      <c r="C38" s="77" t="s">
        <v>58</v>
      </c>
      <c r="D38" s="76" t="s">
        <v>260</v>
      </c>
      <c r="E38" s="115">
        <v>1.305555555555556</v>
      </c>
      <c r="F38" s="76" t="s">
        <v>65</v>
      </c>
      <c r="G38" s="78">
        <v>13</v>
      </c>
      <c r="H38" s="116">
        <v>899</v>
      </c>
      <c r="I38" s="2"/>
    </row>
    <row r="39" spans="1:9" ht="19.8" customHeight="1" x14ac:dyDescent="0.3">
      <c r="A39" s="117">
        <v>45994</v>
      </c>
      <c r="B39" s="79" t="s">
        <v>77</v>
      </c>
      <c r="C39" s="80" t="s">
        <v>78</v>
      </c>
      <c r="D39" s="79" t="s">
        <v>260</v>
      </c>
      <c r="E39" s="118">
        <v>1.305555555555556</v>
      </c>
      <c r="F39" s="79" t="s">
        <v>79</v>
      </c>
      <c r="G39" s="81">
        <v>4</v>
      </c>
      <c r="H39" s="83" t="s">
        <v>149</v>
      </c>
      <c r="I39" s="2"/>
    </row>
    <row r="40" spans="1:9" ht="19.8" customHeight="1" x14ac:dyDescent="0.3">
      <c r="A40" s="72"/>
      <c r="B40" s="73"/>
      <c r="C40" s="73"/>
      <c r="D40" s="73"/>
      <c r="E40" s="73"/>
      <c r="F40" s="74" t="s">
        <v>259</v>
      </c>
      <c r="G40" s="73"/>
      <c r="H40" s="75"/>
      <c r="I40" s="2"/>
    </row>
    <row r="41" spans="1:9" ht="19.8" customHeight="1" x14ac:dyDescent="0.3">
      <c r="A41" s="114">
        <v>45995</v>
      </c>
      <c r="B41" s="76" t="s">
        <v>57</v>
      </c>
      <c r="C41" s="77" t="s">
        <v>58</v>
      </c>
      <c r="D41" s="76" t="s">
        <v>260</v>
      </c>
      <c r="E41" s="115">
        <v>1.305555555555556</v>
      </c>
      <c r="F41" s="76" t="s">
        <v>60</v>
      </c>
      <c r="G41" s="78">
        <v>13</v>
      </c>
      <c r="H41" s="116">
        <v>339</v>
      </c>
      <c r="I41" s="2"/>
    </row>
    <row r="42" spans="1:9" ht="19.8" customHeight="1" x14ac:dyDescent="0.3">
      <c r="A42" s="114">
        <v>45995</v>
      </c>
      <c r="B42" s="76" t="s">
        <v>32</v>
      </c>
      <c r="C42" s="77" t="s">
        <v>113</v>
      </c>
      <c r="D42" s="76" t="s">
        <v>260</v>
      </c>
      <c r="E42" s="115">
        <v>1.197916666666667</v>
      </c>
      <c r="F42" s="76" t="s">
        <v>34</v>
      </c>
      <c r="G42" s="78">
        <v>9</v>
      </c>
      <c r="H42" s="116">
        <v>349</v>
      </c>
      <c r="I42" s="2"/>
    </row>
    <row r="43" spans="1:9" ht="19.8" customHeight="1" x14ac:dyDescent="0.3">
      <c r="A43" s="114">
        <v>45995</v>
      </c>
      <c r="B43" s="76" t="s">
        <v>121</v>
      </c>
      <c r="C43" s="77" t="s">
        <v>265</v>
      </c>
      <c r="D43" s="76" t="s">
        <v>260</v>
      </c>
      <c r="E43" s="115">
        <v>1.8888888888888891</v>
      </c>
      <c r="F43" s="76" t="s">
        <v>49</v>
      </c>
      <c r="G43" s="78">
        <v>9</v>
      </c>
      <c r="H43" s="116">
        <v>371</v>
      </c>
      <c r="I43" s="2"/>
    </row>
    <row r="44" spans="1:9" ht="19.8" customHeight="1" x14ac:dyDescent="0.3">
      <c r="A44" s="114">
        <v>45995</v>
      </c>
      <c r="B44" s="76" t="s">
        <v>46</v>
      </c>
      <c r="C44" s="77" t="s">
        <v>266</v>
      </c>
      <c r="D44" s="76" t="s">
        <v>260</v>
      </c>
      <c r="E44" s="115">
        <v>1.5625</v>
      </c>
      <c r="F44" s="76" t="s">
        <v>49</v>
      </c>
      <c r="G44" s="78">
        <v>9</v>
      </c>
      <c r="H44" s="116">
        <v>379</v>
      </c>
      <c r="I44" s="2"/>
    </row>
    <row r="45" spans="1:9" ht="19.8" customHeight="1" x14ac:dyDescent="0.3">
      <c r="A45" s="114">
        <v>45995</v>
      </c>
      <c r="B45" s="76" t="s">
        <v>46</v>
      </c>
      <c r="C45" s="77" t="s">
        <v>261</v>
      </c>
      <c r="D45" s="76" t="s">
        <v>260</v>
      </c>
      <c r="E45" s="115">
        <v>1.958333333333333</v>
      </c>
      <c r="F45" s="76" t="s">
        <v>49</v>
      </c>
      <c r="G45" s="78">
        <v>9</v>
      </c>
      <c r="H45" s="116">
        <v>379</v>
      </c>
      <c r="I45" s="2"/>
    </row>
    <row r="46" spans="1:9" ht="19.8" customHeight="1" x14ac:dyDescent="0.3">
      <c r="A46" s="114">
        <v>45995</v>
      </c>
      <c r="B46" s="76" t="s">
        <v>41</v>
      </c>
      <c r="C46" s="77" t="s">
        <v>71</v>
      </c>
      <c r="D46" s="76" t="s">
        <v>260</v>
      </c>
      <c r="E46" s="115">
        <v>1.1701388888888891</v>
      </c>
      <c r="F46" s="76" t="s">
        <v>84</v>
      </c>
      <c r="G46" s="78">
        <v>9</v>
      </c>
      <c r="H46" s="116">
        <v>411</v>
      </c>
      <c r="I46" s="2"/>
    </row>
    <row r="47" spans="1:9" ht="19.8" customHeight="1" x14ac:dyDescent="0.3">
      <c r="A47" s="114">
        <v>45995</v>
      </c>
      <c r="B47" s="76" t="s">
        <v>41</v>
      </c>
      <c r="C47" s="77" t="s">
        <v>68</v>
      </c>
      <c r="D47" s="76" t="s">
        <v>260</v>
      </c>
      <c r="E47" s="115">
        <v>1.5277777777777779</v>
      </c>
      <c r="F47" s="76" t="s">
        <v>86</v>
      </c>
      <c r="G47" s="78">
        <v>5</v>
      </c>
      <c r="H47" s="116">
        <v>437</v>
      </c>
      <c r="I47" s="2"/>
    </row>
    <row r="48" spans="1:9" ht="19.8" customHeight="1" x14ac:dyDescent="0.3">
      <c r="A48" s="114">
        <v>45995</v>
      </c>
      <c r="B48" s="76" t="s">
        <v>32</v>
      </c>
      <c r="C48" s="77" t="s">
        <v>113</v>
      </c>
      <c r="D48" s="76" t="s">
        <v>260</v>
      </c>
      <c r="E48" s="115">
        <v>1.197916666666667</v>
      </c>
      <c r="F48" s="76" t="s">
        <v>37</v>
      </c>
      <c r="G48" s="78">
        <v>9</v>
      </c>
      <c r="H48" s="116">
        <v>449</v>
      </c>
      <c r="I48" s="2"/>
    </row>
    <row r="49" spans="1:9" ht="19.8" customHeight="1" x14ac:dyDescent="0.3">
      <c r="A49" s="114">
        <v>45995</v>
      </c>
      <c r="B49" s="76" t="s">
        <v>32</v>
      </c>
      <c r="C49" s="77" t="s">
        <v>33</v>
      </c>
      <c r="D49" s="76" t="s">
        <v>260</v>
      </c>
      <c r="E49" s="115">
        <v>1.833333333333333</v>
      </c>
      <c r="F49" s="76" t="s">
        <v>34</v>
      </c>
      <c r="G49" s="78">
        <v>1</v>
      </c>
      <c r="H49" s="116">
        <v>479</v>
      </c>
      <c r="I49" s="2"/>
    </row>
    <row r="50" spans="1:9" ht="19.8" customHeight="1" x14ac:dyDescent="0.3">
      <c r="A50" s="114">
        <v>45995</v>
      </c>
      <c r="B50" s="76" t="s">
        <v>57</v>
      </c>
      <c r="C50" s="77" t="s">
        <v>58</v>
      </c>
      <c r="D50" s="76" t="s">
        <v>260</v>
      </c>
      <c r="E50" s="115">
        <v>1.305555555555556</v>
      </c>
      <c r="F50" s="76" t="s">
        <v>63</v>
      </c>
      <c r="G50" s="78">
        <v>13</v>
      </c>
      <c r="H50" s="116">
        <v>489</v>
      </c>
      <c r="I50" s="2"/>
    </row>
    <row r="51" spans="1:9" ht="19.8" customHeight="1" x14ac:dyDescent="0.3">
      <c r="A51" s="114">
        <v>45995</v>
      </c>
      <c r="B51" s="76" t="s">
        <v>32</v>
      </c>
      <c r="C51" s="77" t="s">
        <v>113</v>
      </c>
      <c r="D51" s="76" t="s">
        <v>260</v>
      </c>
      <c r="E51" s="115">
        <v>1.197916666666667</v>
      </c>
      <c r="F51" s="76" t="s">
        <v>39</v>
      </c>
      <c r="G51" s="78">
        <v>9</v>
      </c>
      <c r="H51" s="116">
        <v>539</v>
      </c>
      <c r="I51" s="2"/>
    </row>
    <row r="52" spans="1:9" ht="19.8" customHeight="1" x14ac:dyDescent="0.3">
      <c r="A52" s="114">
        <v>45995</v>
      </c>
      <c r="B52" s="76" t="s">
        <v>26</v>
      </c>
      <c r="C52" s="77" t="s">
        <v>74</v>
      </c>
      <c r="D52" s="76" t="s">
        <v>260</v>
      </c>
      <c r="E52" s="115">
        <v>1.9236111111111109</v>
      </c>
      <c r="F52" s="76" t="s">
        <v>49</v>
      </c>
      <c r="G52" s="78">
        <v>9</v>
      </c>
      <c r="H52" s="116">
        <v>566</v>
      </c>
      <c r="I52" s="2"/>
    </row>
    <row r="53" spans="1:9" ht="19.8" customHeight="1" x14ac:dyDescent="0.3">
      <c r="A53" s="114">
        <v>45995</v>
      </c>
      <c r="B53" s="76" t="s">
        <v>32</v>
      </c>
      <c r="C53" s="77" t="s">
        <v>33</v>
      </c>
      <c r="D53" s="76" t="s">
        <v>260</v>
      </c>
      <c r="E53" s="115">
        <v>1.833333333333333</v>
      </c>
      <c r="F53" s="76" t="s">
        <v>37</v>
      </c>
      <c r="G53" s="78">
        <v>1</v>
      </c>
      <c r="H53" s="116">
        <v>579</v>
      </c>
      <c r="I53" s="2"/>
    </row>
    <row r="54" spans="1:9" ht="19.8" customHeight="1" x14ac:dyDescent="0.3">
      <c r="A54" s="114">
        <v>45995</v>
      </c>
      <c r="B54" s="76" t="s">
        <v>32</v>
      </c>
      <c r="C54" s="77" t="s">
        <v>33</v>
      </c>
      <c r="D54" s="76" t="s">
        <v>260</v>
      </c>
      <c r="E54" s="115">
        <v>1.833333333333333</v>
      </c>
      <c r="F54" s="76" t="s">
        <v>39</v>
      </c>
      <c r="G54" s="78">
        <v>1</v>
      </c>
      <c r="H54" s="116">
        <v>669</v>
      </c>
      <c r="I54" s="2"/>
    </row>
    <row r="55" spans="1:9" ht="19.8" customHeight="1" x14ac:dyDescent="0.3">
      <c r="A55" s="114">
        <v>45995</v>
      </c>
      <c r="B55" s="76" t="s">
        <v>57</v>
      </c>
      <c r="C55" s="77" t="s">
        <v>58</v>
      </c>
      <c r="D55" s="76" t="s">
        <v>260</v>
      </c>
      <c r="E55" s="115">
        <v>1.305555555555556</v>
      </c>
      <c r="F55" s="76" t="s">
        <v>65</v>
      </c>
      <c r="G55" s="78">
        <v>13</v>
      </c>
      <c r="H55" s="116">
        <v>899</v>
      </c>
      <c r="I55" s="2"/>
    </row>
    <row r="56" spans="1:9" ht="19.8" customHeight="1" x14ac:dyDescent="0.3">
      <c r="A56" s="114">
        <v>45995</v>
      </c>
      <c r="B56" s="76" t="s">
        <v>77</v>
      </c>
      <c r="C56" s="77" t="s">
        <v>78</v>
      </c>
      <c r="D56" s="76" t="s">
        <v>260</v>
      </c>
      <c r="E56" s="115">
        <v>1.305555555555556</v>
      </c>
      <c r="F56" s="76" t="s">
        <v>79</v>
      </c>
      <c r="G56" s="78">
        <v>4</v>
      </c>
      <c r="H56" s="82" t="s">
        <v>104</v>
      </c>
      <c r="I56" s="2"/>
    </row>
    <row r="57" spans="1:9" ht="19.8" customHeight="1" x14ac:dyDescent="0.3">
      <c r="A57" s="117">
        <v>45995</v>
      </c>
      <c r="B57" s="79" t="s">
        <v>41</v>
      </c>
      <c r="C57" s="80" t="s">
        <v>42</v>
      </c>
      <c r="D57" s="79" t="s">
        <v>260</v>
      </c>
      <c r="E57" s="118">
        <v>1.864583333333333</v>
      </c>
      <c r="F57" s="79" t="s">
        <v>44</v>
      </c>
      <c r="G57" s="81">
        <v>9</v>
      </c>
      <c r="H57" s="83" t="s">
        <v>267</v>
      </c>
      <c r="I57" s="2"/>
    </row>
    <row r="58" spans="1:9" ht="19.8" customHeight="1" x14ac:dyDescent="0.3">
      <c r="A58" s="120">
        <v>45996</v>
      </c>
      <c r="B58" s="69" t="s">
        <v>26</v>
      </c>
      <c r="C58" s="70" t="s">
        <v>27</v>
      </c>
      <c r="D58" s="69" t="s">
        <v>1</v>
      </c>
      <c r="E58" s="121">
        <v>1.291666666666667</v>
      </c>
      <c r="F58" s="69" t="s">
        <v>49</v>
      </c>
      <c r="G58" s="84">
        <v>9</v>
      </c>
      <c r="H58" s="122">
        <v>826</v>
      </c>
      <c r="I58" s="2"/>
    </row>
    <row r="59" spans="1:9" ht="19.8" customHeight="1" x14ac:dyDescent="0.3">
      <c r="A59" s="72"/>
      <c r="B59" s="73"/>
      <c r="C59" s="73"/>
      <c r="D59" s="73"/>
      <c r="E59" s="73"/>
      <c r="F59" s="74" t="s">
        <v>259</v>
      </c>
      <c r="G59" s="73"/>
      <c r="H59" s="75"/>
      <c r="I59" s="2"/>
    </row>
    <row r="60" spans="1:9" ht="19.8" customHeight="1" x14ac:dyDescent="0.3">
      <c r="A60" s="114">
        <v>45996</v>
      </c>
      <c r="B60" s="76" t="s">
        <v>57</v>
      </c>
      <c r="C60" s="77" t="s">
        <v>58</v>
      </c>
      <c r="D60" s="76" t="s">
        <v>260</v>
      </c>
      <c r="E60" s="115">
        <v>1.305555555555556</v>
      </c>
      <c r="F60" s="76" t="s">
        <v>60</v>
      </c>
      <c r="G60" s="78">
        <v>16</v>
      </c>
      <c r="H60" s="116">
        <v>369</v>
      </c>
      <c r="I60" s="2"/>
    </row>
    <row r="61" spans="1:9" ht="19.8" customHeight="1" x14ac:dyDescent="0.3">
      <c r="A61" s="114">
        <v>45996</v>
      </c>
      <c r="B61" s="76" t="s">
        <v>32</v>
      </c>
      <c r="C61" s="77" t="s">
        <v>33</v>
      </c>
      <c r="D61" s="76" t="s">
        <v>260</v>
      </c>
      <c r="E61" s="115">
        <v>1.836805555555556</v>
      </c>
      <c r="F61" s="76" t="s">
        <v>34</v>
      </c>
      <c r="G61" s="78">
        <v>1</v>
      </c>
      <c r="H61" s="116">
        <v>379</v>
      </c>
      <c r="I61" s="2"/>
    </row>
    <row r="62" spans="1:9" ht="19.8" customHeight="1" x14ac:dyDescent="0.3">
      <c r="A62" s="114">
        <v>45996</v>
      </c>
      <c r="B62" s="76" t="s">
        <v>46</v>
      </c>
      <c r="C62" s="77" t="s">
        <v>47</v>
      </c>
      <c r="D62" s="76" t="s">
        <v>260</v>
      </c>
      <c r="E62" s="115">
        <v>1.958333333333333</v>
      </c>
      <c r="F62" s="76" t="s">
        <v>49</v>
      </c>
      <c r="G62" s="78">
        <v>9</v>
      </c>
      <c r="H62" s="116">
        <v>379</v>
      </c>
      <c r="I62" s="2"/>
    </row>
    <row r="63" spans="1:9" ht="19.8" customHeight="1" x14ac:dyDescent="0.3">
      <c r="A63" s="114">
        <v>45996</v>
      </c>
      <c r="B63" s="76" t="s">
        <v>32</v>
      </c>
      <c r="C63" s="77" t="s">
        <v>33</v>
      </c>
      <c r="D63" s="76" t="s">
        <v>260</v>
      </c>
      <c r="E63" s="115">
        <v>1.836805555555556</v>
      </c>
      <c r="F63" s="76" t="s">
        <v>37</v>
      </c>
      <c r="G63" s="78">
        <v>1</v>
      </c>
      <c r="H63" s="116">
        <v>479</v>
      </c>
      <c r="I63" s="2"/>
    </row>
    <row r="64" spans="1:9" ht="19.8" customHeight="1" x14ac:dyDescent="0.3">
      <c r="A64" s="114">
        <v>45996</v>
      </c>
      <c r="B64" s="76" t="s">
        <v>57</v>
      </c>
      <c r="C64" s="77" t="s">
        <v>58</v>
      </c>
      <c r="D64" s="76" t="s">
        <v>260</v>
      </c>
      <c r="E64" s="115">
        <v>1.305555555555556</v>
      </c>
      <c r="F64" s="76" t="s">
        <v>63</v>
      </c>
      <c r="G64" s="78">
        <v>16</v>
      </c>
      <c r="H64" s="116">
        <v>519</v>
      </c>
      <c r="I64" s="2"/>
    </row>
    <row r="65" spans="1:9" ht="19.8" customHeight="1" x14ac:dyDescent="0.3">
      <c r="A65" s="114">
        <v>45996</v>
      </c>
      <c r="B65" s="76" t="s">
        <v>41</v>
      </c>
      <c r="C65" s="77" t="s">
        <v>42</v>
      </c>
      <c r="D65" s="76" t="s">
        <v>260</v>
      </c>
      <c r="E65" s="115">
        <v>1.864583333333333</v>
      </c>
      <c r="F65" s="76" t="s">
        <v>44</v>
      </c>
      <c r="G65" s="78">
        <v>9</v>
      </c>
      <c r="H65" s="116">
        <v>547</v>
      </c>
      <c r="I65" s="2"/>
    </row>
    <row r="66" spans="1:9" ht="19.8" customHeight="1" x14ac:dyDescent="0.3">
      <c r="A66" s="114">
        <v>45996</v>
      </c>
      <c r="B66" s="76" t="s">
        <v>32</v>
      </c>
      <c r="C66" s="77" t="s">
        <v>33</v>
      </c>
      <c r="D66" s="76" t="s">
        <v>260</v>
      </c>
      <c r="E66" s="115">
        <v>1.836805555555556</v>
      </c>
      <c r="F66" s="76" t="s">
        <v>39</v>
      </c>
      <c r="G66" s="78">
        <v>1</v>
      </c>
      <c r="H66" s="116">
        <v>569</v>
      </c>
      <c r="I66" s="2"/>
    </row>
    <row r="67" spans="1:9" ht="19.8" customHeight="1" x14ac:dyDescent="0.3">
      <c r="A67" s="114">
        <v>45996</v>
      </c>
      <c r="B67" s="76" t="s">
        <v>41</v>
      </c>
      <c r="C67" s="77" t="s">
        <v>71</v>
      </c>
      <c r="D67" s="76" t="s">
        <v>260</v>
      </c>
      <c r="E67" s="115">
        <v>1.1701388888888891</v>
      </c>
      <c r="F67" s="76" t="s">
        <v>44</v>
      </c>
      <c r="G67" s="78">
        <v>9</v>
      </c>
      <c r="H67" s="116">
        <v>596</v>
      </c>
      <c r="I67" s="2"/>
    </row>
    <row r="68" spans="1:9" ht="19.8" customHeight="1" x14ac:dyDescent="0.3">
      <c r="A68" s="114">
        <v>45996</v>
      </c>
      <c r="B68" s="76" t="s">
        <v>26</v>
      </c>
      <c r="C68" s="77" t="s">
        <v>74</v>
      </c>
      <c r="D68" s="76" t="s">
        <v>260</v>
      </c>
      <c r="E68" s="115">
        <v>1.5798611111111109</v>
      </c>
      <c r="F68" s="76" t="s">
        <v>49</v>
      </c>
      <c r="G68" s="78">
        <v>9</v>
      </c>
      <c r="H68" s="116">
        <v>626</v>
      </c>
      <c r="I68" s="2"/>
    </row>
    <row r="69" spans="1:9" ht="19.8" customHeight="1" x14ac:dyDescent="0.3">
      <c r="A69" s="114">
        <v>45996</v>
      </c>
      <c r="B69" s="76" t="s">
        <v>41</v>
      </c>
      <c r="C69" s="77" t="s">
        <v>68</v>
      </c>
      <c r="D69" s="76" t="s">
        <v>260</v>
      </c>
      <c r="E69" s="115">
        <v>1.5277777777777779</v>
      </c>
      <c r="F69" s="76" t="s">
        <v>44</v>
      </c>
      <c r="G69" s="78">
        <v>9</v>
      </c>
      <c r="H69" s="116">
        <v>817</v>
      </c>
      <c r="I69" s="2"/>
    </row>
    <row r="70" spans="1:9" ht="19.8" customHeight="1" x14ac:dyDescent="0.3">
      <c r="A70" s="114">
        <v>45996</v>
      </c>
      <c r="B70" s="76" t="s">
        <v>57</v>
      </c>
      <c r="C70" s="77" t="s">
        <v>58</v>
      </c>
      <c r="D70" s="76" t="s">
        <v>260</v>
      </c>
      <c r="E70" s="115">
        <v>1.305555555555556</v>
      </c>
      <c r="F70" s="76" t="s">
        <v>65</v>
      </c>
      <c r="G70" s="78">
        <v>16</v>
      </c>
      <c r="H70" s="116">
        <v>899</v>
      </c>
      <c r="I70" s="2"/>
    </row>
    <row r="71" spans="1:9" ht="19.8" customHeight="1" x14ac:dyDescent="0.3">
      <c r="A71" s="117">
        <v>45996</v>
      </c>
      <c r="B71" s="79" t="s">
        <v>77</v>
      </c>
      <c r="C71" s="80" t="s">
        <v>78</v>
      </c>
      <c r="D71" s="79" t="s">
        <v>260</v>
      </c>
      <c r="E71" s="118">
        <v>1.305555555555556</v>
      </c>
      <c r="F71" s="79" t="s">
        <v>79</v>
      </c>
      <c r="G71" s="81">
        <v>4</v>
      </c>
      <c r="H71" s="83" t="s">
        <v>80</v>
      </c>
      <c r="I71" s="2"/>
    </row>
    <row r="72" spans="1:9" ht="19.8" customHeight="1" x14ac:dyDescent="0.3">
      <c r="A72" s="72"/>
      <c r="B72" s="73"/>
      <c r="C72" s="73"/>
      <c r="D72" s="73"/>
      <c r="E72" s="73"/>
      <c r="F72" s="74" t="s">
        <v>259</v>
      </c>
      <c r="G72" s="73"/>
      <c r="H72" s="75"/>
      <c r="I72" s="2"/>
    </row>
    <row r="73" spans="1:9" ht="19.8" customHeight="1" x14ac:dyDescent="0.3">
      <c r="A73" s="114">
        <v>45997</v>
      </c>
      <c r="B73" s="76" t="s">
        <v>57</v>
      </c>
      <c r="C73" s="77" t="s">
        <v>58</v>
      </c>
      <c r="D73" s="76" t="s">
        <v>260</v>
      </c>
      <c r="E73" s="115">
        <v>1.305555555555556</v>
      </c>
      <c r="F73" s="76" t="s">
        <v>60</v>
      </c>
      <c r="G73" s="78">
        <v>24</v>
      </c>
      <c r="H73" s="116">
        <v>309</v>
      </c>
      <c r="I73" s="2"/>
    </row>
    <row r="74" spans="1:9" ht="19.8" customHeight="1" x14ac:dyDescent="0.3">
      <c r="A74" s="114">
        <v>45997</v>
      </c>
      <c r="B74" s="76" t="s">
        <v>32</v>
      </c>
      <c r="C74" s="77" t="s">
        <v>113</v>
      </c>
      <c r="D74" s="76" t="s">
        <v>260</v>
      </c>
      <c r="E74" s="115">
        <v>1.2013888888888891</v>
      </c>
      <c r="F74" s="76" t="s">
        <v>34</v>
      </c>
      <c r="G74" s="78">
        <v>9</v>
      </c>
      <c r="H74" s="116">
        <v>349</v>
      </c>
      <c r="I74" s="2"/>
    </row>
    <row r="75" spans="1:9" ht="19.8" customHeight="1" x14ac:dyDescent="0.3">
      <c r="A75" s="114">
        <v>45997</v>
      </c>
      <c r="B75" s="76" t="s">
        <v>262</v>
      </c>
      <c r="C75" s="77" t="s">
        <v>263</v>
      </c>
      <c r="D75" s="76" t="s">
        <v>260</v>
      </c>
      <c r="E75" s="115">
        <v>1.9722222222222221</v>
      </c>
      <c r="F75" s="76" t="s">
        <v>264</v>
      </c>
      <c r="G75" s="78">
        <v>9</v>
      </c>
      <c r="H75" s="116">
        <v>354</v>
      </c>
      <c r="I75" s="2"/>
    </row>
    <row r="76" spans="1:9" ht="19.8" customHeight="1" x14ac:dyDescent="0.3">
      <c r="A76" s="114">
        <v>45997</v>
      </c>
      <c r="B76" s="76" t="s">
        <v>32</v>
      </c>
      <c r="C76" s="77" t="s">
        <v>33</v>
      </c>
      <c r="D76" s="76" t="s">
        <v>260</v>
      </c>
      <c r="E76" s="115">
        <v>1.836805555555556</v>
      </c>
      <c r="F76" s="76" t="s">
        <v>34</v>
      </c>
      <c r="G76" s="78">
        <v>9</v>
      </c>
      <c r="H76" s="116">
        <v>379</v>
      </c>
      <c r="I76" s="2"/>
    </row>
    <row r="77" spans="1:9" ht="19.8" customHeight="1" x14ac:dyDescent="0.3">
      <c r="A77" s="114">
        <v>45997</v>
      </c>
      <c r="B77" s="76" t="s">
        <v>46</v>
      </c>
      <c r="C77" s="77" t="s">
        <v>261</v>
      </c>
      <c r="D77" s="76" t="s">
        <v>260</v>
      </c>
      <c r="E77" s="115">
        <v>1.895833333333333</v>
      </c>
      <c r="F77" s="76" t="s">
        <v>49</v>
      </c>
      <c r="G77" s="78">
        <v>9</v>
      </c>
      <c r="H77" s="116">
        <v>379</v>
      </c>
      <c r="I77" s="2"/>
    </row>
    <row r="78" spans="1:9" ht="19.8" customHeight="1" x14ac:dyDescent="0.3">
      <c r="A78" s="114">
        <v>45997</v>
      </c>
      <c r="B78" s="76" t="s">
        <v>41</v>
      </c>
      <c r="C78" s="77" t="s">
        <v>42</v>
      </c>
      <c r="D78" s="76" t="s">
        <v>260</v>
      </c>
      <c r="E78" s="115">
        <v>1.864583333333333</v>
      </c>
      <c r="F78" s="76" t="s">
        <v>84</v>
      </c>
      <c r="G78" s="78">
        <v>9</v>
      </c>
      <c r="H78" s="116">
        <v>411</v>
      </c>
      <c r="I78" s="2"/>
    </row>
    <row r="79" spans="1:9" ht="19.8" customHeight="1" x14ac:dyDescent="0.3">
      <c r="A79" s="114">
        <v>45997</v>
      </c>
      <c r="B79" s="76" t="s">
        <v>41</v>
      </c>
      <c r="C79" s="77" t="s">
        <v>71</v>
      </c>
      <c r="D79" s="76" t="s">
        <v>260</v>
      </c>
      <c r="E79" s="115">
        <v>1.1701388888888891</v>
      </c>
      <c r="F79" s="76" t="s">
        <v>84</v>
      </c>
      <c r="G79" s="78">
        <v>9</v>
      </c>
      <c r="H79" s="116">
        <v>415</v>
      </c>
      <c r="I79" s="2"/>
    </row>
    <row r="80" spans="1:9" ht="19.8" customHeight="1" x14ac:dyDescent="0.3">
      <c r="A80" s="114">
        <v>45997</v>
      </c>
      <c r="B80" s="76" t="s">
        <v>32</v>
      </c>
      <c r="C80" s="77" t="s">
        <v>113</v>
      </c>
      <c r="D80" s="76" t="s">
        <v>260</v>
      </c>
      <c r="E80" s="115">
        <v>1.2013888888888891</v>
      </c>
      <c r="F80" s="76" t="s">
        <v>37</v>
      </c>
      <c r="G80" s="78">
        <v>9</v>
      </c>
      <c r="H80" s="116">
        <v>449</v>
      </c>
      <c r="I80" s="2"/>
    </row>
    <row r="81" spans="1:9" ht="19.8" customHeight="1" x14ac:dyDescent="0.3">
      <c r="A81" s="114">
        <v>45997</v>
      </c>
      <c r="B81" s="76" t="s">
        <v>57</v>
      </c>
      <c r="C81" s="77" t="s">
        <v>58</v>
      </c>
      <c r="D81" s="76" t="s">
        <v>260</v>
      </c>
      <c r="E81" s="115">
        <v>1.305555555555556</v>
      </c>
      <c r="F81" s="76" t="s">
        <v>63</v>
      </c>
      <c r="G81" s="78">
        <v>24</v>
      </c>
      <c r="H81" s="116">
        <v>459</v>
      </c>
      <c r="I81" s="2"/>
    </row>
    <row r="82" spans="1:9" ht="19.8" customHeight="1" x14ac:dyDescent="0.3">
      <c r="A82" s="114">
        <v>45997</v>
      </c>
      <c r="B82" s="76" t="s">
        <v>262</v>
      </c>
      <c r="C82" s="77" t="s">
        <v>263</v>
      </c>
      <c r="D82" s="76" t="s">
        <v>260</v>
      </c>
      <c r="E82" s="115">
        <v>1.9722222222222221</v>
      </c>
      <c r="F82" s="76" t="s">
        <v>65</v>
      </c>
      <c r="G82" s="78">
        <v>9</v>
      </c>
      <c r="H82" s="116">
        <v>477</v>
      </c>
      <c r="I82" s="2"/>
    </row>
    <row r="83" spans="1:9" ht="19.8" customHeight="1" x14ac:dyDescent="0.3">
      <c r="A83" s="114">
        <v>45997</v>
      </c>
      <c r="B83" s="76" t="s">
        <v>32</v>
      </c>
      <c r="C83" s="77" t="s">
        <v>33</v>
      </c>
      <c r="D83" s="76" t="s">
        <v>260</v>
      </c>
      <c r="E83" s="115">
        <v>1.836805555555556</v>
      </c>
      <c r="F83" s="76" t="s">
        <v>37</v>
      </c>
      <c r="G83" s="78">
        <v>9</v>
      </c>
      <c r="H83" s="116">
        <v>479</v>
      </c>
      <c r="I83" s="2"/>
    </row>
    <row r="84" spans="1:9" ht="19.8" customHeight="1" x14ac:dyDescent="0.3">
      <c r="A84" s="114">
        <v>45997</v>
      </c>
      <c r="B84" s="76" t="s">
        <v>32</v>
      </c>
      <c r="C84" s="77" t="s">
        <v>113</v>
      </c>
      <c r="D84" s="76" t="s">
        <v>260</v>
      </c>
      <c r="E84" s="115">
        <v>1.2013888888888891</v>
      </c>
      <c r="F84" s="76" t="s">
        <v>39</v>
      </c>
      <c r="G84" s="78">
        <v>9</v>
      </c>
      <c r="H84" s="116">
        <v>539</v>
      </c>
      <c r="I84" s="2"/>
    </row>
    <row r="85" spans="1:9" ht="19.8" customHeight="1" x14ac:dyDescent="0.3">
      <c r="A85" s="114">
        <v>45997</v>
      </c>
      <c r="B85" s="76" t="s">
        <v>41</v>
      </c>
      <c r="C85" s="77" t="s">
        <v>68</v>
      </c>
      <c r="D85" s="76" t="s">
        <v>260</v>
      </c>
      <c r="E85" s="115">
        <v>1.5277777777777779</v>
      </c>
      <c r="F85" s="76" t="s">
        <v>44</v>
      </c>
      <c r="G85" s="78">
        <v>9</v>
      </c>
      <c r="H85" s="116">
        <v>547</v>
      </c>
      <c r="I85" s="2"/>
    </row>
    <row r="86" spans="1:9" ht="19.8" customHeight="1" x14ac:dyDescent="0.3">
      <c r="A86" s="114">
        <v>45997</v>
      </c>
      <c r="B86" s="76" t="s">
        <v>26</v>
      </c>
      <c r="C86" s="77" t="s">
        <v>74</v>
      </c>
      <c r="D86" s="76" t="s">
        <v>260</v>
      </c>
      <c r="E86" s="115">
        <v>1.9236111111111109</v>
      </c>
      <c r="F86" s="76" t="s">
        <v>49</v>
      </c>
      <c r="G86" s="78">
        <v>9</v>
      </c>
      <c r="H86" s="116">
        <v>566</v>
      </c>
      <c r="I86" s="2"/>
    </row>
    <row r="87" spans="1:9" ht="19.8" customHeight="1" x14ac:dyDescent="0.3">
      <c r="A87" s="114">
        <v>45997</v>
      </c>
      <c r="B87" s="76" t="s">
        <v>32</v>
      </c>
      <c r="C87" s="77" t="s">
        <v>33</v>
      </c>
      <c r="D87" s="76" t="s">
        <v>260</v>
      </c>
      <c r="E87" s="115">
        <v>1.836805555555556</v>
      </c>
      <c r="F87" s="76" t="s">
        <v>39</v>
      </c>
      <c r="G87" s="78">
        <v>9</v>
      </c>
      <c r="H87" s="116">
        <v>569</v>
      </c>
      <c r="I87" s="2"/>
    </row>
    <row r="88" spans="1:9" ht="19.8" customHeight="1" x14ac:dyDescent="0.3">
      <c r="A88" s="114">
        <v>45997</v>
      </c>
      <c r="B88" s="76" t="s">
        <v>57</v>
      </c>
      <c r="C88" s="77" t="s">
        <v>58</v>
      </c>
      <c r="D88" s="76" t="s">
        <v>260</v>
      </c>
      <c r="E88" s="115">
        <v>1.305555555555556</v>
      </c>
      <c r="F88" s="76" t="s">
        <v>65</v>
      </c>
      <c r="G88" s="78">
        <v>24</v>
      </c>
      <c r="H88" s="116">
        <v>899</v>
      </c>
      <c r="I88" s="2"/>
    </row>
    <row r="89" spans="1:9" ht="19.8" customHeight="1" x14ac:dyDescent="0.3">
      <c r="A89" s="117">
        <v>45997</v>
      </c>
      <c r="B89" s="79" t="s">
        <v>77</v>
      </c>
      <c r="C89" s="80" t="s">
        <v>78</v>
      </c>
      <c r="D89" s="79" t="s">
        <v>260</v>
      </c>
      <c r="E89" s="118">
        <v>1.305555555555556</v>
      </c>
      <c r="F89" s="79" t="s">
        <v>79</v>
      </c>
      <c r="G89" s="81">
        <v>4</v>
      </c>
      <c r="H89" s="83" t="s">
        <v>88</v>
      </c>
      <c r="I89" s="2"/>
    </row>
    <row r="90" spans="1:9" ht="19.8" customHeight="1" x14ac:dyDescent="0.3">
      <c r="A90" s="72"/>
      <c r="B90" s="73"/>
      <c r="C90" s="73"/>
      <c r="D90" s="73"/>
      <c r="E90" s="73"/>
      <c r="F90" s="74" t="s">
        <v>259</v>
      </c>
      <c r="G90" s="73"/>
      <c r="H90" s="75"/>
      <c r="I90" s="2"/>
    </row>
    <row r="91" spans="1:9" ht="19.8" customHeight="1" x14ac:dyDescent="0.3">
      <c r="A91" s="114">
        <v>45998</v>
      </c>
      <c r="B91" s="76" t="s">
        <v>121</v>
      </c>
      <c r="C91" s="77" t="s">
        <v>140</v>
      </c>
      <c r="D91" s="76" t="s">
        <v>260</v>
      </c>
      <c r="E91" s="115">
        <v>1.2222222222222221</v>
      </c>
      <c r="F91" s="76" t="s">
        <v>49</v>
      </c>
      <c r="G91" s="78">
        <v>9</v>
      </c>
      <c r="H91" s="116">
        <v>371</v>
      </c>
      <c r="I91" s="2"/>
    </row>
    <row r="92" spans="1:9" ht="19.8" customHeight="1" x14ac:dyDescent="0.3">
      <c r="A92" s="114">
        <v>45998</v>
      </c>
      <c r="B92" s="76" t="s">
        <v>46</v>
      </c>
      <c r="C92" s="77" t="s">
        <v>266</v>
      </c>
      <c r="D92" s="76" t="s">
        <v>260</v>
      </c>
      <c r="E92" s="115">
        <v>1.958333333333333</v>
      </c>
      <c r="F92" s="76" t="s">
        <v>49</v>
      </c>
      <c r="G92" s="78">
        <v>9</v>
      </c>
      <c r="H92" s="116">
        <v>379</v>
      </c>
      <c r="I92" s="2"/>
    </row>
    <row r="93" spans="1:9" ht="19.8" customHeight="1" x14ac:dyDescent="0.3">
      <c r="A93" s="114">
        <v>45998</v>
      </c>
      <c r="B93" s="76" t="s">
        <v>41</v>
      </c>
      <c r="C93" s="77" t="s">
        <v>42</v>
      </c>
      <c r="D93" s="76" t="s">
        <v>260</v>
      </c>
      <c r="E93" s="115">
        <v>1.864583333333333</v>
      </c>
      <c r="F93" s="76" t="s">
        <v>84</v>
      </c>
      <c r="G93" s="78">
        <v>9</v>
      </c>
      <c r="H93" s="116">
        <v>411</v>
      </c>
      <c r="I93" s="2"/>
    </row>
    <row r="94" spans="1:9" ht="19.8" customHeight="1" x14ac:dyDescent="0.3">
      <c r="A94" s="114">
        <v>45998</v>
      </c>
      <c r="B94" s="76" t="s">
        <v>41</v>
      </c>
      <c r="C94" s="77" t="s">
        <v>68</v>
      </c>
      <c r="D94" s="76" t="s">
        <v>260</v>
      </c>
      <c r="E94" s="115">
        <v>1.5138888888888891</v>
      </c>
      <c r="F94" s="76" t="s">
        <v>84</v>
      </c>
      <c r="G94" s="78">
        <v>7</v>
      </c>
      <c r="H94" s="116">
        <v>411</v>
      </c>
      <c r="I94" s="2"/>
    </row>
    <row r="95" spans="1:9" ht="19.8" customHeight="1" x14ac:dyDescent="0.3">
      <c r="A95" s="114">
        <v>45998</v>
      </c>
      <c r="B95" s="76" t="s">
        <v>41</v>
      </c>
      <c r="C95" s="77" t="s">
        <v>71</v>
      </c>
      <c r="D95" s="76" t="s">
        <v>260</v>
      </c>
      <c r="E95" s="115">
        <v>1.1701388888888891</v>
      </c>
      <c r="F95" s="76" t="s">
        <v>84</v>
      </c>
      <c r="G95" s="78">
        <v>9</v>
      </c>
      <c r="H95" s="116">
        <v>411</v>
      </c>
      <c r="I95" s="2"/>
    </row>
    <row r="96" spans="1:9" ht="19.8" customHeight="1" x14ac:dyDescent="0.3">
      <c r="A96" s="117">
        <v>45998</v>
      </c>
      <c r="B96" s="79" t="s">
        <v>77</v>
      </c>
      <c r="C96" s="80" t="s">
        <v>78</v>
      </c>
      <c r="D96" s="79" t="s">
        <v>260</v>
      </c>
      <c r="E96" s="118">
        <v>1.305555555555556</v>
      </c>
      <c r="F96" s="79" t="s">
        <v>79</v>
      </c>
      <c r="G96" s="81">
        <v>4</v>
      </c>
      <c r="H96" s="83" t="s">
        <v>88</v>
      </c>
      <c r="I96" s="2"/>
    </row>
    <row r="97" spans="1:9" ht="19.8" customHeight="1" x14ac:dyDescent="0.3">
      <c r="A97" s="120">
        <v>45999</v>
      </c>
      <c r="B97" s="69" t="s">
        <v>26</v>
      </c>
      <c r="C97" s="70" t="s">
        <v>27</v>
      </c>
      <c r="D97" s="69" t="s">
        <v>1</v>
      </c>
      <c r="E97" s="121">
        <v>1.510416666666667</v>
      </c>
      <c r="F97" s="69" t="s">
        <v>49</v>
      </c>
      <c r="G97" s="84">
        <v>9</v>
      </c>
      <c r="H97" s="122">
        <v>741</v>
      </c>
      <c r="I97" s="2"/>
    </row>
    <row r="98" spans="1:9" ht="19.8" customHeight="1" x14ac:dyDescent="0.3">
      <c r="A98" s="72"/>
      <c r="B98" s="73"/>
      <c r="C98" s="73"/>
      <c r="D98" s="73"/>
      <c r="E98" s="73"/>
      <c r="F98" s="74" t="s">
        <v>259</v>
      </c>
      <c r="G98" s="73"/>
      <c r="H98" s="75"/>
      <c r="I98" s="2"/>
    </row>
    <row r="99" spans="1:9" ht="19.8" customHeight="1" x14ac:dyDescent="0.3">
      <c r="A99" s="114">
        <v>45999</v>
      </c>
      <c r="B99" s="76" t="s">
        <v>46</v>
      </c>
      <c r="C99" s="77" t="s">
        <v>47</v>
      </c>
      <c r="D99" s="76" t="s">
        <v>260</v>
      </c>
      <c r="E99" s="115">
        <v>1.958333333333333</v>
      </c>
      <c r="F99" s="76" t="s">
        <v>49</v>
      </c>
      <c r="G99" s="78">
        <v>9</v>
      </c>
      <c r="H99" s="116">
        <v>379</v>
      </c>
      <c r="I99" s="2"/>
    </row>
    <row r="100" spans="1:9" ht="19.8" customHeight="1" x14ac:dyDescent="0.3">
      <c r="A100" s="114">
        <v>45999</v>
      </c>
      <c r="B100" s="76" t="s">
        <v>41</v>
      </c>
      <c r="C100" s="77" t="s">
        <v>42</v>
      </c>
      <c r="D100" s="76" t="s">
        <v>260</v>
      </c>
      <c r="E100" s="115">
        <v>1.864583333333333</v>
      </c>
      <c r="F100" s="76" t="s">
        <v>84</v>
      </c>
      <c r="G100" s="78">
        <v>9</v>
      </c>
      <c r="H100" s="116">
        <v>411</v>
      </c>
      <c r="I100" s="2"/>
    </row>
    <row r="101" spans="1:9" ht="19.8" customHeight="1" x14ac:dyDescent="0.3">
      <c r="A101" s="114">
        <v>45999</v>
      </c>
      <c r="B101" s="76" t="s">
        <v>41</v>
      </c>
      <c r="C101" s="77" t="s">
        <v>71</v>
      </c>
      <c r="D101" s="76" t="s">
        <v>260</v>
      </c>
      <c r="E101" s="115">
        <v>1.1701388888888891</v>
      </c>
      <c r="F101" s="76" t="s">
        <v>84</v>
      </c>
      <c r="G101" s="78">
        <v>9</v>
      </c>
      <c r="H101" s="116">
        <v>411</v>
      </c>
      <c r="I101" s="2"/>
    </row>
    <row r="102" spans="1:9" ht="19.8" customHeight="1" x14ac:dyDescent="0.3">
      <c r="A102" s="114">
        <v>45999</v>
      </c>
      <c r="B102" s="76" t="s">
        <v>41</v>
      </c>
      <c r="C102" s="77" t="s">
        <v>68</v>
      </c>
      <c r="D102" s="76" t="s">
        <v>260</v>
      </c>
      <c r="E102" s="115">
        <v>1.5277777777777779</v>
      </c>
      <c r="F102" s="76" t="s">
        <v>86</v>
      </c>
      <c r="G102" s="78">
        <v>9</v>
      </c>
      <c r="H102" s="116">
        <v>437</v>
      </c>
      <c r="I102" s="2"/>
    </row>
    <row r="103" spans="1:9" ht="19.8" customHeight="1" x14ac:dyDescent="0.3">
      <c r="A103" s="117">
        <v>45999</v>
      </c>
      <c r="B103" s="79" t="s">
        <v>77</v>
      </c>
      <c r="C103" s="80" t="s">
        <v>78</v>
      </c>
      <c r="D103" s="79" t="s">
        <v>260</v>
      </c>
      <c r="E103" s="118">
        <v>1.305555555555556</v>
      </c>
      <c r="F103" s="79" t="s">
        <v>79</v>
      </c>
      <c r="G103" s="81">
        <v>4</v>
      </c>
      <c r="H103" s="83" t="s">
        <v>88</v>
      </c>
      <c r="I103" s="2"/>
    </row>
    <row r="104" spans="1:9" ht="19.8" customHeight="1" x14ac:dyDescent="0.3">
      <c r="A104" s="72"/>
      <c r="B104" s="73"/>
      <c r="C104" s="73"/>
      <c r="D104" s="73"/>
      <c r="E104" s="73"/>
      <c r="F104" s="74" t="s">
        <v>259</v>
      </c>
      <c r="G104" s="73"/>
      <c r="H104" s="75"/>
      <c r="I104" s="2"/>
    </row>
    <row r="105" spans="1:9" ht="19.8" customHeight="1" x14ac:dyDescent="0.3">
      <c r="A105" s="114">
        <v>46000</v>
      </c>
      <c r="B105" s="76" t="s">
        <v>46</v>
      </c>
      <c r="C105" s="77" t="s">
        <v>261</v>
      </c>
      <c r="D105" s="76" t="s">
        <v>260</v>
      </c>
      <c r="E105" s="115">
        <v>1.958333333333333</v>
      </c>
      <c r="F105" s="76" t="s">
        <v>49</v>
      </c>
      <c r="G105" s="78">
        <v>6</v>
      </c>
      <c r="H105" s="116">
        <v>379</v>
      </c>
      <c r="I105" s="2"/>
    </row>
    <row r="106" spans="1:9" ht="19.8" customHeight="1" x14ac:dyDescent="0.3">
      <c r="A106" s="114">
        <v>46000</v>
      </c>
      <c r="B106" s="76" t="s">
        <v>41</v>
      </c>
      <c r="C106" s="77" t="s">
        <v>42</v>
      </c>
      <c r="D106" s="76" t="s">
        <v>260</v>
      </c>
      <c r="E106" s="115">
        <v>1.864583333333333</v>
      </c>
      <c r="F106" s="76" t="s">
        <v>84</v>
      </c>
      <c r="G106" s="78">
        <v>8</v>
      </c>
      <c r="H106" s="116">
        <v>411</v>
      </c>
      <c r="I106" s="2"/>
    </row>
    <row r="107" spans="1:9" ht="19.8" customHeight="1" x14ac:dyDescent="0.3">
      <c r="A107" s="114">
        <v>46000</v>
      </c>
      <c r="B107" s="76" t="s">
        <v>41</v>
      </c>
      <c r="C107" s="77" t="s">
        <v>71</v>
      </c>
      <c r="D107" s="76" t="s">
        <v>260</v>
      </c>
      <c r="E107" s="115">
        <v>1.1701388888888891</v>
      </c>
      <c r="F107" s="76" t="s">
        <v>84</v>
      </c>
      <c r="G107" s="78">
        <v>8</v>
      </c>
      <c r="H107" s="116">
        <v>411</v>
      </c>
      <c r="I107" s="2"/>
    </row>
    <row r="108" spans="1:9" ht="19.8" customHeight="1" x14ac:dyDescent="0.3">
      <c r="A108" s="114">
        <v>46000</v>
      </c>
      <c r="B108" s="76" t="s">
        <v>41</v>
      </c>
      <c r="C108" s="77" t="s">
        <v>68</v>
      </c>
      <c r="D108" s="76" t="s">
        <v>260</v>
      </c>
      <c r="E108" s="115">
        <v>1.5277777777777779</v>
      </c>
      <c r="F108" s="76" t="s">
        <v>86</v>
      </c>
      <c r="G108" s="78">
        <v>9</v>
      </c>
      <c r="H108" s="116">
        <v>437</v>
      </c>
      <c r="I108" s="2"/>
    </row>
    <row r="109" spans="1:9" ht="19.8" customHeight="1" x14ac:dyDescent="0.3">
      <c r="A109" s="114">
        <v>46000</v>
      </c>
      <c r="B109" s="76" t="s">
        <v>26</v>
      </c>
      <c r="C109" s="77" t="s">
        <v>74</v>
      </c>
      <c r="D109" s="76" t="s">
        <v>260</v>
      </c>
      <c r="E109" s="115">
        <v>1.270833333333333</v>
      </c>
      <c r="F109" s="76" t="s">
        <v>49</v>
      </c>
      <c r="G109" s="78">
        <v>9</v>
      </c>
      <c r="H109" s="116">
        <v>566</v>
      </c>
      <c r="I109" s="2"/>
    </row>
    <row r="110" spans="1:9" ht="19.8" customHeight="1" x14ac:dyDescent="0.3">
      <c r="A110" s="117">
        <v>46000</v>
      </c>
      <c r="B110" s="79" t="s">
        <v>77</v>
      </c>
      <c r="C110" s="80" t="s">
        <v>78</v>
      </c>
      <c r="D110" s="79" t="s">
        <v>260</v>
      </c>
      <c r="E110" s="118">
        <v>1.305555555555556</v>
      </c>
      <c r="F110" s="79" t="s">
        <v>79</v>
      </c>
      <c r="G110" s="81">
        <v>4</v>
      </c>
      <c r="H110" s="83" t="s">
        <v>88</v>
      </c>
      <c r="I110" s="2"/>
    </row>
    <row r="111" spans="1:9" ht="19.8" customHeight="1" x14ac:dyDescent="0.3">
      <c r="A111" s="72"/>
      <c r="B111" s="73"/>
      <c r="C111" s="73"/>
      <c r="D111" s="73"/>
      <c r="E111" s="73"/>
      <c r="F111" s="74" t="s">
        <v>259</v>
      </c>
      <c r="G111" s="73"/>
      <c r="H111" s="75"/>
      <c r="I111" s="2"/>
    </row>
    <row r="112" spans="1:9" ht="19.8" customHeight="1" x14ac:dyDescent="0.3">
      <c r="A112" s="114">
        <v>46001</v>
      </c>
      <c r="B112" s="76" t="s">
        <v>262</v>
      </c>
      <c r="C112" s="77" t="s">
        <v>263</v>
      </c>
      <c r="D112" s="76" t="s">
        <v>260</v>
      </c>
      <c r="E112" s="115">
        <v>1.9722222222222221</v>
      </c>
      <c r="F112" s="76" t="s">
        <v>264</v>
      </c>
      <c r="G112" s="78">
        <v>9</v>
      </c>
      <c r="H112" s="116">
        <v>367</v>
      </c>
      <c r="I112" s="2"/>
    </row>
    <row r="113" spans="1:9" ht="19.8" customHeight="1" x14ac:dyDescent="0.3">
      <c r="A113" s="114">
        <v>46001</v>
      </c>
      <c r="B113" s="76" t="s">
        <v>121</v>
      </c>
      <c r="C113" s="77" t="s">
        <v>265</v>
      </c>
      <c r="D113" s="76" t="s">
        <v>260</v>
      </c>
      <c r="E113" s="115">
        <v>1.0902777777777779</v>
      </c>
      <c r="F113" s="76" t="s">
        <v>49</v>
      </c>
      <c r="G113" s="78">
        <v>9</v>
      </c>
      <c r="H113" s="116">
        <v>371</v>
      </c>
      <c r="I113" s="2"/>
    </row>
    <row r="114" spans="1:9" ht="19.8" customHeight="1" x14ac:dyDescent="0.3">
      <c r="A114" s="114">
        <v>46001</v>
      </c>
      <c r="B114" s="76" t="s">
        <v>57</v>
      </c>
      <c r="C114" s="77" t="s">
        <v>58</v>
      </c>
      <c r="D114" s="76" t="s">
        <v>260</v>
      </c>
      <c r="E114" s="115">
        <v>1.305555555555556</v>
      </c>
      <c r="F114" s="76" t="s">
        <v>60</v>
      </c>
      <c r="G114" s="78">
        <v>5</v>
      </c>
      <c r="H114" s="116">
        <v>399</v>
      </c>
      <c r="I114" s="2"/>
    </row>
    <row r="115" spans="1:9" ht="19.8" customHeight="1" x14ac:dyDescent="0.3">
      <c r="A115" s="114">
        <v>46001</v>
      </c>
      <c r="B115" s="76" t="s">
        <v>41</v>
      </c>
      <c r="C115" s="77" t="s">
        <v>71</v>
      </c>
      <c r="D115" s="76" t="s">
        <v>260</v>
      </c>
      <c r="E115" s="115">
        <v>1.1701388888888891</v>
      </c>
      <c r="F115" s="76" t="s">
        <v>84</v>
      </c>
      <c r="G115" s="78">
        <v>6</v>
      </c>
      <c r="H115" s="116">
        <v>411</v>
      </c>
      <c r="I115" s="2"/>
    </row>
    <row r="116" spans="1:9" ht="19.8" customHeight="1" x14ac:dyDescent="0.3">
      <c r="A116" s="114">
        <v>46001</v>
      </c>
      <c r="B116" s="76" t="s">
        <v>262</v>
      </c>
      <c r="C116" s="77" t="s">
        <v>263</v>
      </c>
      <c r="D116" s="76" t="s">
        <v>260</v>
      </c>
      <c r="E116" s="115">
        <v>1.9722222222222221</v>
      </c>
      <c r="F116" s="76" t="s">
        <v>65</v>
      </c>
      <c r="G116" s="78">
        <v>9</v>
      </c>
      <c r="H116" s="116">
        <v>490</v>
      </c>
      <c r="I116" s="2"/>
    </row>
    <row r="117" spans="1:9" ht="19.8" customHeight="1" x14ac:dyDescent="0.3">
      <c r="A117" s="114">
        <v>46001</v>
      </c>
      <c r="B117" s="76" t="s">
        <v>41</v>
      </c>
      <c r="C117" s="77" t="s">
        <v>68</v>
      </c>
      <c r="D117" s="76" t="s">
        <v>260</v>
      </c>
      <c r="E117" s="115">
        <v>1.5277777777777779</v>
      </c>
      <c r="F117" s="76" t="s">
        <v>44</v>
      </c>
      <c r="G117" s="78">
        <v>9</v>
      </c>
      <c r="H117" s="116">
        <v>547</v>
      </c>
      <c r="I117" s="2"/>
    </row>
    <row r="118" spans="1:9" ht="19.8" customHeight="1" x14ac:dyDescent="0.3">
      <c r="A118" s="114">
        <v>46001</v>
      </c>
      <c r="B118" s="76" t="s">
        <v>57</v>
      </c>
      <c r="C118" s="77" t="s">
        <v>58</v>
      </c>
      <c r="D118" s="76" t="s">
        <v>260</v>
      </c>
      <c r="E118" s="115">
        <v>1.305555555555556</v>
      </c>
      <c r="F118" s="76" t="s">
        <v>63</v>
      </c>
      <c r="G118" s="78">
        <v>5</v>
      </c>
      <c r="H118" s="116">
        <v>549</v>
      </c>
      <c r="I118" s="2"/>
    </row>
    <row r="119" spans="1:9" ht="19.8" customHeight="1" x14ac:dyDescent="0.3">
      <c r="A119" s="114">
        <v>46001</v>
      </c>
      <c r="B119" s="76" t="s">
        <v>46</v>
      </c>
      <c r="C119" s="77" t="s">
        <v>47</v>
      </c>
      <c r="D119" s="76" t="s">
        <v>260</v>
      </c>
      <c r="E119" s="115">
        <v>1.895833333333333</v>
      </c>
      <c r="F119" s="76" t="s">
        <v>49</v>
      </c>
      <c r="G119" s="78">
        <v>8</v>
      </c>
      <c r="H119" s="116">
        <v>563</v>
      </c>
      <c r="I119" s="2"/>
    </row>
    <row r="120" spans="1:9" ht="19.8" customHeight="1" x14ac:dyDescent="0.3">
      <c r="A120" s="114">
        <v>46001</v>
      </c>
      <c r="B120" s="76" t="s">
        <v>32</v>
      </c>
      <c r="C120" s="77" t="s">
        <v>33</v>
      </c>
      <c r="D120" s="76" t="s">
        <v>260</v>
      </c>
      <c r="E120" s="115">
        <v>1.836805555555556</v>
      </c>
      <c r="F120" s="76" t="s">
        <v>34</v>
      </c>
      <c r="G120" s="78">
        <v>4</v>
      </c>
      <c r="H120" s="116">
        <v>579</v>
      </c>
      <c r="I120" s="2"/>
    </row>
    <row r="121" spans="1:9" ht="19.8" customHeight="1" x14ac:dyDescent="0.3">
      <c r="A121" s="114">
        <v>46001</v>
      </c>
      <c r="B121" s="76" t="s">
        <v>41</v>
      </c>
      <c r="C121" s="77" t="s">
        <v>42</v>
      </c>
      <c r="D121" s="76" t="s">
        <v>260</v>
      </c>
      <c r="E121" s="115">
        <v>1.864583333333333</v>
      </c>
      <c r="F121" s="76" t="s">
        <v>44</v>
      </c>
      <c r="G121" s="78">
        <v>9</v>
      </c>
      <c r="H121" s="116">
        <v>592</v>
      </c>
      <c r="I121" s="2"/>
    </row>
    <row r="122" spans="1:9" ht="19.8" customHeight="1" x14ac:dyDescent="0.3">
      <c r="A122" s="114">
        <v>46001</v>
      </c>
      <c r="B122" s="76" t="s">
        <v>32</v>
      </c>
      <c r="C122" s="77" t="s">
        <v>33</v>
      </c>
      <c r="D122" s="76" t="s">
        <v>260</v>
      </c>
      <c r="E122" s="115">
        <v>1.836805555555556</v>
      </c>
      <c r="F122" s="76" t="s">
        <v>37</v>
      </c>
      <c r="G122" s="78">
        <v>4</v>
      </c>
      <c r="H122" s="116">
        <v>679</v>
      </c>
      <c r="I122" s="2"/>
    </row>
    <row r="123" spans="1:9" ht="19.8" customHeight="1" x14ac:dyDescent="0.3">
      <c r="A123" s="114">
        <v>46001</v>
      </c>
      <c r="B123" s="76" t="s">
        <v>32</v>
      </c>
      <c r="C123" s="77" t="s">
        <v>33</v>
      </c>
      <c r="D123" s="76" t="s">
        <v>260</v>
      </c>
      <c r="E123" s="115">
        <v>1.836805555555556</v>
      </c>
      <c r="F123" s="76" t="s">
        <v>39</v>
      </c>
      <c r="G123" s="78">
        <v>4</v>
      </c>
      <c r="H123" s="116">
        <v>769</v>
      </c>
      <c r="I123" s="2"/>
    </row>
    <row r="124" spans="1:9" ht="19.8" customHeight="1" x14ac:dyDescent="0.3">
      <c r="A124" s="114">
        <v>46001</v>
      </c>
      <c r="B124" s="76" t="s">
        <v>57</v>
      </c>
      <c r="C124" s="77" t="s">
        <v>58</v>
      </c>
      <c r="D124" s="76" t="s">
        <v>260</v>
      </c>
      <c r="E124" s="115">
        <v>1.305555555555556</v>
      </c>
      <c r="F124" s="76" t="s">
        <v>65</v>
      </c>
      <c r="G124" s="78">
        <v>5</v>
      </c>
      <c r="H124" s="116">
        <v>899</v>
      </c>
      <c r="I124" s="2"/>
    </row>
    <row r="125" spans="1:9" ht="19.8" customHeight="1" x14ac:dyDescent="0.3">
      <c r="A125" s="117">
        <v>46001</v>
      </c>
      <c r="B125" s="79" t="s">
        <v>77</v>
      </c>
      <c r="C125" s="80" t="s">
        <v>78</v>
      </c>
      <c r="D125" s="79" t="s">
        <v>260</v>
      </c>
      <c r="E125" s="118">
        <v>1.305555555555556</v>
      </c>
      <c r="F125" s="79" t="s">
        <v>79</v>
      </c>
      <c r="G125" s="81">
        <v>4</v>
      </c>
      <c r="H125" s="83" t="s">
        <v>268</v>
      </c>
      <c r="I125" s="2"/>
    </row>
    <row r="126" spans="1:9" ht="19.8" customHeight="1" x14ac:dyDescent="0.3">
      <c r="A126" s="72"/>
      <c r="B126" s="73"/>
      <c r="C126" s="73"/>
      <c r="D126" s="73"/>
      <c r="E126" s="73"/>
      <c r="F126" s="74" t="s">
        <v>259</v>
      </c>
      <c r="G126" s="73"/>
      <c r="H126" s="75"/>
      <c r="I126" s="2"/>
    </row>
    <row r="127" spans="1:9" ht="19.8" customHeight="1" x14ac:dyDescent="0.3">
      <c r="A127" s="114">
        <v>46002</v>
      </c>
      <c r="B127" s="76" t="s">
        <v>57</v>
      </c>
      <c r="C127" s="77" t="s">
        <v>58</v>
      </c>
      <c r="D127" s="76" t="s">
        <v>260</v>
      </c>
      <c r="E127" s="115">
        <v>1.305555555555556</v>
      </c>
      <c r="F127" s="76" t="s">
        <v>269</v>
      </c>
      <c r="G127" s="78">
        <v>24</v>
      </c>
      <c r="H127" s="116">
        <v>369</v>
      </c>
      <c r="I127" s="2"/>
    </row>
    <row r="128" spans="1:9" ht="19.8" customHeight="1" x14ac:dyDescent="0.3">
      <c r="A128" s="114">
        <v>46002</v>
      </c>
      <c r="B128" s="76" t="s">
        <v>121</v>
      </c>
      <c r="C128" s="77" t="s">
        <v>265</v>
      </c>
      <c r="D128" s="76" t="s">
        <v>260</v>
      </c>
      <c r="E128" s="115">
        <v>1.8888888888888891</v>
      </c>
      <c r="F128" s="76" t="s">
        <v>49</v>
      </c>
      <c r="G128" s="78">
        <v>5</v>
      </c>
      <c r="H128" s="116">
        <v>371</v>
      </c>
      <c r="I128" s="2"/>
    </row>
    <row r="129" spans="1:9" ht="19.8" customHeight="1" x14ac:dyDescent="0.3">
      <c r="A129" s="114">
        <v>46002</v>
      </c>
      <c r="B129" s="76" t="s">
        <v>32</v>
      </c>
      <c r="C129" s="77" t="s">
        <v>113</v>
      </c>
      <c r="D129" s="76" t="s">
        <v>260</v>
      </c>
      <c r="E129" s="115">
        <v>1.2013888888888891</v>
      </c>
      <c r="F129" s="76" t="s">
        <v>270</v>
      </c>
      <c r="G129" s="78">
        <v>6</v>
      </c>
      <c r="H129" s="116">
        <v>399</v>
      </c>
      <c r="I129" s="2"/>
    </row>
    <row r="130" spans="1:9" ht="19.8" customHeight="1" x14ac:dyDescent="0.3">
      <c r="A130" s="114">
        <v>46002</v>
      </c>
      <c r="B130" s="76" t="s">
        <v>41</v>
      </c>
      <c r="C130" s="77" t="s">
        <v>71</v>
      </c>
      <c r="D130" s="76" t="s">
        <v>260</v>
      </c>
      <c r="E130" s="115">
        <v>1.1701388888888891</v>
      </c>
      <c r="F130" s="76" t="s">
        <v>84</v>
      </c>
      <c r="G130" s="78">
        <v>6</v>
      </c>
      <c r="H130" s="116">
        <v>411</v>
      </c>
      <c r="I130" s="2"/>
    </row>
    <row r="131" spans="1:9" ht="19.8" customHeight="1" x14ac:dyDescent="0.3">
      <c r="A131" s="114">
        <v>46002</v>
      </c>
      <c r="B131" s="76" t="s">
        <v>32</v>
      </c>
      <c r="C131" s="77" t="s">
        <v>33</v>
      </c>
      <c r="D131" s="76" t="s">
        <v>260</v>
      </c>
      <c r="E131" s="115">
        <v>1.836805555555556</v>
      </c>
      <c r="F131" s="76" t="s">
        <v>270</v>
      </c>
      <c r="G131" s="78">
        <v>1</v>
      </c>
      <c r="H131" s="116">
        <v>429</v>
      </c>
      <c r="I131" s="2"/>
    </row>
    <row r="132" spans="1:9" ht="19.8" customHeight="1" x14ac:dyDescent="0.3">
      <c r="A132" s="114">
        <v>46002</v>
      </c>
      <c r="B132" s="76" t="s">
        <v>46</v>
      </c>
      <c r="C132" s="77" t="s">
        <v>261</v>
      </c>
      <c r="D132" s="76" t="s">
        <v>260</v>
      </c>
      <c r="E132" s="115">
        <v>1.958333333333333</v>
      </c>
      <c r="F132" s="76" t="s">
        <v>49</v>
      </c>
      <c r="G132" s="78">
        <v>9</v>
      </c>
      <c r="H132" s="116">
        <v>439</v>
      </c>
      <c r="I132" s="2"/>
    </row>
    <row r="133" spans="1:9" ht="19.8" customHeight="1" x14ac:dyDescent="0.3">
      <c r="A133" s="114">
        <v>46002</v>
      </c>
      <c r="B133" s="76" t="s">
        <v>41</v>
      </c>
      <c r="C133" s="77" t="s">
        <v>42</v>
      </c>
      <c r="D133" s="76" t="s">
        <v>260</v>
      </c>
      <c r="E133" s="115">
        <v>1.864583333333333</v>
      </c>
      <c r="F133" s="76" t="s">
        <v>44</v>
      </c>
      <c r="G133" s="78">
        <v>9</v>
      </c>
      <c r="H133" s="116">
        <v>547</v>
      </c>
      <c r="I133" s="2"/>
    </row>
    <row r="134" spans="1:9" ht="19.8" customHeight="1" x14ac:dyDescent="0.3">
      <c r="A134" s="114">
        <v>46002</v>
      </c>
      <c r="B134" s="76" t="s">
        <v>41</v>
      </c>
      <c r="C134" s="77" t="s">
        <v>68</v>
      </c>
      <c r="D134" s="76" t="s">
        <v>260</v>
      </c>
      <c r="E134" s="115">
        <v>1.5277777777777779</v>
      </c>
      <c r="F134" s="76" t="s">
        <v>44</v>
      </c>
      <c r="G134" s="78">
        <v>9</v>
      </c>
      <c r="H134" s="116">
        <v>547</v>
      </c>
      <c r="I134" s="2"/>
    </row>
    <row r="135" spans="1:9" ht="19.8" customHeight="1" x14ac:dyDescent="0.3">
      <c r="A135" s="114">
        <v>46002</v>
      </c>
      <c r="B135" s="76" t="s">
        <v>26</v>
      </c>
      <c r="C135" s="77" t="s">
        <v>74</v>
      </c>
      <c r="D135" s="76" t="s">
        <v>260</v>
      </c>
      <c r="E135" s="115">
        <v>1.9236111111111109</v>
      </c>
      <c r="F135" s="76" t="s">
        <v>49</v>
      </c>
      <c r="G135" s="78">
        <v>9</v>
      </c>
      <c r="H135" s="116">
        <v>626</v>
      </c>
      <c r="I135" s="2"/>
    </row>
    <row r="136" spans="1:9" ht="19.8" customHeight="1" x14ac:dyDescent="0.3">
      <c r="A136" s="117">
        <v>46002</v>
      </c>
      <c r="B136" s="79" t="s">
        <v>77</v>
      </c>
      <c r="C136" s="80" t="s">
        <v>78</v>
      </c>
      <c r="D136" s="79" t="s">
        <v>260</v>
      </c>
      <c r="E136" s="118">
        <v>1.305555555555556</v>
      </c>
      <c r="F136" s="79" t="s">
        <v>79</v>
      </c>
      <c r="G136" s="81">
        <v>4</v>
      </c>
      <c r="H136" s="83" t="s">
        <v>80</v>
      </c>
      <c r="I136" s="2"/>
    </row>
    <row r="137" spans="1:9" ht="19.8" customHeight="1" x14ac:dyDescent="0.3">
      <c r="A137" s="120">
        <v>46003</v>
      </c>
      <c r="B137" s="69" t="s">
        <v>26</v>
      </c>
      <c r="C137" s="70" t="s">
        <v>27</v>
      </c>
      <c r="D137" s="69" t="s">
        <v>1</v>
      </c>
      <c r="E137" s="121">
        <v>1.291666666666667</v>
      </c>
      <c r="F137" s="69" t="s">
        <v>49</v>
      </c>
      <c r="G137" s="84">
        <v>9</v>
      </c>
      <c r="H137" s="122">
        <v>686</v>
      </c>
      <c r="I137" s="2"/>
    </row>
    <row r="138" spans="1:9" ht="19.8" customHeight="1" x14ac:dyDescent="0.3">
      <c r="A138" s="72"/>
      <c r="B138" s="73"/>
      <c r="C138" s="73"/>
      <c r="D138" s="73"/>
      <c r="E138" s="73"/>
      <c r="F138" s="74" t="s">
        <v>259</v>
      </c>
      <c r="G138" s="73"/>
      <c r="H138" s="75"/>
      <c r="I138" s="2"/>
    </row>
    <row r="139" spans="1:9" ht="19.8" customHeight="1" x14ac:dyDescent="0.3">
      <c r="A139" s="114">
        <v>46003</v>
      </c>
      <c r="B139" s="76" t="s">
        <v>57</v>
      </c>
      <c r="C139" s="77" t="s">
        <v>58</v>
      </c>
      <c r="D139" s="76" t="s">
        <v>260</v>
      </c>
      <c r="E139" s="115">
        <v>1.305555555555556</v>
      </c>
      <c r="F139" s="76" t="s">
        <v>60</v>
      </c>
      <c r="G139" s="78">
        <v>7</v>
      </c>
      <c r="H139" s="116">
        <v>339</v>
      </c>
      <c r="I139" s="2"/>
    </row>
    <row r="140" spans="1:9" ht="19.8" customHeight="1" x14ac:dyDescent="0.3">
      <c r="A140" s="114">
        <v>46003</v>
      </c>
      <c r="B140" s="76" t="s">
        <v>32</v>
      </c>
      <c r="C140" s="77" t="s">
        <v>33</v>
      </c>
      <c r="D140" s="76" t="s">
        <v>260</v>
      </c>
      <c r="E140" s="115">
        <v>1.836805555555556</v>
      </c>
      <c r="F140" s="76" t="s">
        <v>34</v>
      </c>
      <c r="G140" s="78">
        <v>3</v>
      </c>
      <c r="H140" s="116">
        <v>349</v>
      </c>
      <c r="I140" s="2"/>
    </row>
    <row r="141" spans="1:9" ht="19.8" customHeight="1" x14ac:dyDescent="0.3">
      <c r="A141" s="114">
        <v>46003</v>
      </c>
      <c r="B141" s="76" t="s">
        <v>41</v>
      </c>
      <c r="C141" s="77" t="s">
        <v>42</v>
      </c>
      <c r="D141" s="76" t="s">
        <v>260</v>
      </c>
      <c r="E141" s="115">
        <v>1.864583333333333</v>
      </c>
      <c r="F141" s="76" t="s">
        <v>84</v>
      </c>
      <c r="G141" s="78">
        <v>1</v>
      </c>
      <c r="H141" s="116">
        <v>411</v>
      </c>
      <c r="I141" s="2"/>
    </row>
    <row r="142" spans="1:9" ht="19.8" customHeight="1" x14ac:dyDescent="0.3">
      <c r="A142" s="114">
        <v>46003</v>
      </c>
      <c r="B142" s="76" t="s">
        <v>41</v>
      </c>
      <c r="C142" s="77" t="s">
        <v>71</v>
      </c>
      <c r="D142" s="76" t="s">
        <v>260</v>
      </c>
      <c r="E142" s="115">
        <v>1.1701388888888891</v>
      </c>
      <c r="F142" s="76" t="s">
        <v>84</v>
      </c>
      <c r="G142" s="78">
        <v>9</v>
      </c>
      <c r="H142" s="116">
        <v>411</v>
      </c>
      <c r="I142" s="2"/>
    </row>
    <row r="143" spans="1:9" ht="19.8" customHeight="1" x14ac:dyDescent="0.3">
      <c r="A143" s="114">
        <v>46003</v>
      </c>
      <c r="B143" s="76" t="s">
        <v>46</v>
      </c>
      <c r="C143" s="77" t="s">
        <v>47</v>
      </c>
      <c r="D143" s="76" t="s">
        <v>260</v>
      </c>
      <c r="E143" s="115">
        <v>1.958333333333333</v>
      </c>
      <c r="F143" s="76" t="s">
        <v>49</v>
      </c>
      <c r="G143" s="78">
        <v>9</v>
      </c>
      <c r="H143" s="116">
        <v>439</v>
      </c>
      <c r="I143" s="2"/>
    </row>
    <row r="144" spans="1:9" ht="19.8" customHeight="1" x14ac:dyDescent="0.3">
      <c r="A144" s="114">
        <v>46003</v>
      </c>
      <c r="B144" s="76" t="s">
        <v>32</v>
      </c>
      <c r="C144" s="77" t="s">
        <v>33</v>
      </c>
      <c r="D144" s="76" t="s">
        <v>260</v>
      </c>
      <c r="E144" s="115">
        <v>1.836805555555556</v>
      </c>
      <c r="F144" s="76" t="s">
        <v>37</v>
      </c>
      <c r="G144" s="78">
        <v>3</v>
      </c>
      <c r="H144" s="116">
        <v>449</v>
      </c>
      <c r="I144" s="2"/>
    </row>
    <row r="145" spans="1:9" ht="19.8" customHeight="1" x14ac:dyDescent="0.3">
      <c r="A145" s="114">
        <v>46003</v>
      </c>
      <c r="B145" s="76" t="s">
        <v>57</v>
      </c>
      <c r="C145" s="77" t="s">
        <v>58</v>
      </c>
      <c r="D145" s="76" t="s">
        <v>260</v>
      </c>
      <c r="E145" s="115">
        <v>1.305555555555556</v>
      </c>
      <c r="F145" s="76" t="s">
        <v>63</v>
      </c>
      <c r="G145" s="78">
        <v>7</v>
      </c>
      <c r="H145" s="116">
        <v>489</v>
      </c>
      <c r="I145" s="2"/>
    </row>
    <row r="146" spans="1:9" ht="19.8" customHeight="1" x14ac:dyDescent="0.3">
      <c r="A146" s="114">
        <v>46003</v>
      </c>
      <c r="B146" s="76" t="s">
        <v>32</v>
      </c>
      <c r="C146" s="77" t="s">
        <v>33</v>
      </c>
      <c r="D146" s="76" t="s">
        <v>260</v>
      </c>
      <c r="E146" s="115">
        <v>1.836805555555556</v>
      </c>
      <c r="F146" s="76" t="s">
        <v>39</v>
      </c>
      <c r="G146" s="78">
        <v>3</v>
      </c>
      <c r="H146" s="116">
        <v>539</v>
      </c>
      <c r="I146" s="2"/>
    </row>
    <row r="147" spans="1:9" ht="19.8" customHeight="1" x14ac:dyDescent="0.3">
      <c r="A147" s="114">
        <v>46003</v>
      </c>
      <c r="B147" s="76" t="s">
        <v>26</v>
      </c>
      <c r="C147" s="77" t="s">
        <v>74</v>
      </c>
      <c r="D147" s="76" t="s">
        <v>260</v>
      </c>
      <c r="E147" s="115">
        <v>1.5798611111111109</v>
      </c>
      <c r="F147" s="76" t="s">
        <v>49</v>
      </c>
      <c r="G147" s="78">
        <v>5</v>
      </c>
      <c r="H147" s="116">
        <v>566</v>
      </c>
      <c r="I147" s="2"/>
    </row>
    <row r="148" spans="1:9" ht="19.8" customHeight="1" x14ac:dyDescent="0.3">
      <c r="A148" s="114">
        <v>46003</v>
      </c>
      <c r="B148" s="76" t="s">
        <v>77</v>
      </c>
      <c r="C148" s="77" t="s">
        <v>78</v>
      </c>
      <c r="D148" s="76" t="s">
        <v>260</v>
      </c>
      <c r="E148" s="115">
        <v>1.305555555555556</v>
      </c>
      <c r="F148" s="76" t="s">
        <v>79</v>
      </c>
      <c r="G148" s="78">
        <v>4</v>
      </c>
      <c r="H148" s="82" t="s">
        <v>104</v>
      </c>
      <c r="I148" s="2"/>
    </row>
    <row r="149" spans="1:9" ht="19.8" customHeight="1" x14ac:dyDescent="0.3">
      <c r="A149" s="114">
        <v>46003</v>
      </c>
      <c r="B149" s="76" t="s">
        <v>57</v>
      </c>
      <c r="C149" s="77" t="s">
        <v>58</v>
      </c>
      <c r="D149" s="76" t="s">
        <v>260</v>
      </c>
      <c r="E149" s="115">
        <v>1.305555555555556</v>
      </c>
      <c r="F149" s="76" t="s">
        <v>65</v>
      </c>
      <c r="G149" s="78">
        <v>7</v>
      </c>
      <c r="H149" s="82" t="s">
        <v>95</v>
      </c>
      <c r="I149" s="2"/>
    </row>
    <row r="150" spans="1:9" ht="19.8" customHeight="1" x14ac:dyDescent="0.3">
      <c r="A150" s="117">
        <v>46003</v>
      </c>
      <c r="B150" s="79" t="s">
        <v>41</v>
      </c>
      <c r="C150" s="80" t="s">
        <v>68</v>
      </c>
      <c r="D150" s="79" t="s">
        <v>260</v>
      </c>
      <c r="E150" s="118">
        <v>1.5277777777777779</v>
      </c>
      <c r="F150" s="79" t="s">
        <v>44</v>
      </c>
      <c r="G150" s="81">
        <v>9</v>
      </c>
      <c r="H150" s="83" t="s">
        <v>100</v>
      </c>
      <c r="I150" s="2"/>
    </row>
    <row r="151" spans="1:9" ht="19.8" customHeight="1" x14ac:dyDescent="0.3">
      <c r="A151" s="72"/>
      <c r="B151" s="73"/>
      <c r="C151" s="73"/>
      <c r="D151" s="73"/>
      <c r="E151" s="73"/>
      <c r="F151" s="74" t="s">
        <v>259</v>
      </c>
      <c r="G151" s="73"/>
      <c r="H151" s="75"/>
      <c r="I151" s="2"/>
    </row>
    <row r="152" spans="1:9" ht="19.8" customHeight="1" x14ac:dyDescent="0.3">
      <c r="A152" s="114">
        <v>46004</v>
      </c>
      <c r="B152" s="76" t="s">
        <v>57</v>
      </c>
      <c r="C152" s="77" t="s">
        <v>58</v>
      </c>
      <c r="D152" s="76" t="s">
        <v>260</v>
      </c>
      <c r="E152" s="115">
        <v>1.305555555555556</v>
      </c>
      <c r="F152" s="76" t="s">
        <v>60</v>
      </c>
      <c r="G152" s="78">
        <v>19</v>
      </c>
      <c r="H152" s="116">
        <v>309</v>
      </c>
      <c r="I152" s="2"/>
    </row>
    <row r="153" spans="1:9" ht="19.8" customHeight="1" x14ac:dyDescent="0.3">
      <c r="A153" s="114">
        <v>46004</v>
      </c>
      <c r="B153" s="76" t="s">
        <v>32</v>
      </c>
      <c r="C153" s="77" t="s">
        <v>113</v>
      </c>
      <c r="D153" s="76" t="s">
        <v>260</v>
      </c>
      <c r="E153" s="115">
        <v>1.2013888888888891</v>
      </c>
      <c r="F153" s="76" t="s">
        <v>34</v>
      </c>
      <c r="G153" s="78">
        <v>9</v>
      </c>
      <c r="H153" s="116">
        <v>349</v>
      </c>
      <c r="I153" s="2"/>
    </row>
    <row r="154" spans="1:9" ht="19.8" customHeight="1" x14ac:dyDescent="0.3">
      <c r="A154" s="114">
        <v>46004</v>
      </c>
      <c r="B154" s="76" t="s">
        <v>262</v>
      </c>
      <c r="C154" s="77" t="s">
        <v>263</v>
      </c>
      <c r="D154" s="76" t="s">
        <v>260</v>
      </c>
      <c r="E154" s="115">
        <v>1.9722222222222221</v>
      </c>
      <c r="F154" s="76" t="s">
        <v>264</v>
      </c>
      <c r="G154" s="78">
        <v>9</v>
      </c>
      <c r="H154" s="116">
        <v>354</v>
      </c>
      <c r="I154" s="2"/>
    </row>
    <row r="155" spans="1:9" ht="19.8" customHeight="1" x14ac:dyDescent="0.3">
      <c r="A155" s="114">
        <v>46004</v>
      </c>
      <c r="B155" s="76" t="s">
        <v>32</v>
      </c>
      <c r="C155" s="77" t="s">
        <v>33</v>
      </c>
      <c r="D155" s="76" t="s">
        <v>260</v>
      </c>
      <c r="E155" s="115">
        <v>1.836805555555556</v>
      </c>
      <c r="F155" s="76" t="s">
        <v>34</v>
      </c>
      <c r="G155" s="78">
        <v>9</v>
      </c>
      <c r="H155" s="116">
        <v>379</v>
      </c>
      <c r="I155" s="2"/>
    </row>
    <row r="156" spans="1:9" ht="19.8" customHeight="1" x14ac:dyDescent="0.3">
      <c r="A156" s="114">
        <v>46004</v>
      </c>
      <c r="B156" s="76" t="s">
        <v>46</v>
      </c>
      <c r="C156" s="77" t="s">
        <v>261</v>
      </c>
      <c r="D156" s="76" t="s">
        <v>260</v>
      </c>
      <c r="E156" s="115">
        <v>1.895833333333333</v>
      </c>
      <c r="F156" s="76" t="s">
        <v>49</v>
      </c>
      <c r="G156" s="78">
        <v>9</v>
      </c>
      <c r="H156" s="116">
        <v>379</v>
      </c>
      <c r="I156" s="2"/>
    </row>
    <row r="157" spans="1:9" ht="19.8" customHeight="1" x14ac:dyDescent="0.3">
      <c r="A157" s="114">
        <v>46004</v>
      </c>
      <c r="B157" s="76" t="s">
        <v>41</v>
      </c>
      <c r="C157" s="77" t="s">
        <v>42</v>
      </c>
      <c r="D157" s="76" t="s">
        <v>260</v>
      </c>
      <c r="E157" s="115">
        <v>1.864583333333333</v>
      </c>
      <c r="F157" s="76" t="s">
        <v>84</v>
      </c>
      <c r="G157" s="78">
        <v>9</v>
      </c>
      <c r="H157" s="116">
        <v>411</v>
      </c>
      <c r="I157" s="2"/>
    </row>
    <row r="158" spans="1:9" ht="19.8" customHeight="1" x14ac:dyDescent="0.3">
      <c r="A158" s="114">
        <v>46004</v>
      </c>
      <c r="B158" s="76" t="s">
        <v>41</v>
      </c>
      <c r="C158" s="77" t="s">
        <v>71</v>
      </c>
      <c r="D158" s="76" t="s">
        <v>260</v>
      </c>
      <c r="E158" s="115">
        <v>1.1701388888888891</v>
      </c>
      <c r="F158" s="76" t="s">
        <v>84</v>
      </c>
      <c r="G158" s="78">
        <v>8</v>
      </c>
      <c r="H158" s="116">
        <v>411</v>
      </c>
      <c r="I158" s="2"/>
    </row>
    <row r="159" spans="1:9" ht="19.8" customHeight="1" x14ac:dyDescent="0.3">
      <c r="A159" s="114">
        <v>46004</v>
      </c>
      <c r="B159" s="76" t="s">
        <v>41</v>
      </c>
      <c r="C159" s="77" t="s">
        <v>68</v>
      </c>
      <c r="D159" s="76" t="s">
        <v>260</v>
      </c>
      <c r="E159" s="115">
        <v>1.5277777777777779</v>
      </c>
      <c r="F159" s="76" t="s">
        <v>84</v>
      </c>
      <c r="G159" s="78">
        <v>6</v>
      </c>
      <c r="H159" s="116">
        <v>415</v>
      </c>
      <c r="I159" s="2"/>
    </row>
    <row r="160" spans="1:9" ht="19.8" customHeight="1" x14ac:dyDescent="0.3">
      <c r="A160" s="114">
        <v>46004</v>
      </c>
      <c r="B160" s="76" t="s">
        <v>32</v>
      </c>
      <c r="C160" s="77" t="s">
        <v>113</v>
      </c>
      <c r="D160" s="76" t="s">
        <v>260</v>
      </c>
      <c r="E160" s="115">
        <v>1.2013888888888891</v>
      </c>
      <c r="F160" s="76" t="s">
        <v>37</v>
      </c>
      <c r="G160" s="78">
        <v>9</v>
      </c>
      <c r="H160" s="116">
        <v>449</v>
      </c>
      <c r="I160" s="2"/>
    </row>
    <row r="161" spans="1:9" ht="19.8" customHeight="1" x14ac:dyDescent="0.3">
      <c r="A161" s="114">
        <v>46004</v>
      </c>
      <c r="B161" s="76" t="s">
        <v>57</v>
      </c>
      <c r="C161" s="77" t="s">
        <v>58</v>
      </c>
      <c r="D161" s="76" t="s">
        <v>260</v>
      </c>
      <c r="E161" s="115">
        <v>1.305555555555556</v>
      </c>
      <c r="F161" s="76" t="s">
        <v>63</v>
      </c>
      <c r="G161" s="78">
        <v>19</v>
      </c>
      <c r="H161" s="116">
        <v>459</v>
      </c>
      <c r="I161" s="2"/>
    </row>
    <row r="162" spans="1:9" ht="19.8" customHeight="1" x14ac:dyDescent="0.3">
      <c r="A162" s="114">
        <v>46004</v>
      </c>
      <c r="B162" s="76" t="s">
        <v>262</v>
      </c>
      <c r="C162" s="77" t="s">
        <v>263</v>
      </c>
      <c r="D162" s="76" t="s">
        <v>260</v>
      </c>
      <c r="E162" s="115">
        <v>1.9722222222222221</v>
      </c>
      <c r="F162" s="76" t="s">
        <v>65</v>
      </c>
      <c r="G162" s="78">
        <v>9</v>
      </c>
      <c r="H162" s="116">
        <v>477</v>
      </c>
      <c r="I162" s="2"/>
    </row>
    <row r="163" spans="1:9" ht="19.8" customHeight="1" x14ac:dyDescent="0.3">
      <c r="A163" s="114">
        <v>46004</v>
      </c>
      <c r="B163" s="76" t="s">
        <v>32</v>
      </c>
      <c r="C163" s="77" t="s">
        <v>33</v>
      </c>
      <c r="D163" s="76" t="s">
        <v>260</v>
      </c>
      <c r="E163" s="115">
        <v>1.836805555555556</v>
      </c>
      <c r="F163" s="76" t="s">
        <v>37</v>
      </c>
      <c r="G163" s="78">
        <v>9</v>
      </c>
      <c r="H163" s="116">
        <v>479</v>
      </c>
      <c r="I163" s="2"/>
    </row>
    <row r="164" spans="1:9" ht="19.8" customHeight="1" x14ac:dyDescent="0.3">
      <c r="A164" s="114">
        <v>46004</v>
      </c>
      <c r="B164" s="76" t="s">
        <v>32</v>
      </c>
      <c r="C164" s="77" t="s">
        <v>113</v>
      </c>
      <c r="D164" s="76" t="s">
        <v>260</v>
      </c>
      <c r="E164" s="115">
        <v>1.2013888888888891</v>
      </c>
      <c r="F164" s="76" t="s">
        <v>39</v>
      </c>
      <c r="G164" s="78">
        <v>9</v>
      </c>
      <c r="H164" s="116">
        <v>539</v>
      </c>
      <c r="I164" s="2"/>
    </row>
    <row r="165" spans="1:9" ht="19.8" customHeight="1" x14ac:dyDescent="0.3">
      <c r="A165" s="114">
        <v>46004</v>
      </c>
      <c r="B165" s="76" t="s">
        <v>26</v>
      </c>
      <c r="C165" s="77" t="s">
        <v>74</v>
      </c>
      <c r="D165" s="76" t="s">
        <v>260</v>
      </c>
      <c r="E165" s="115">
        <v>1.9236111111111109</v>
      </c>
      <c r="F165" s="76" t="s">
        <v>49</v>
      </c>
      <c r="G165" s="78">
        <v>9</v>
      </c>
      <c r="H165" s="116">
        <v>566</v>
      </c>
      <c r="I165" s="2"/>
    </row>
    <row r="166" spans="1:9" ht="19.8" customHeight="1" x14ac:dyDescent="0.3">
      <c r="A166" s="114">
        <v>46004</v>
      </c>
      <c r="B166" s="76" t="s">
        <v>32</v>
      </c>
      <c r="C166" s="77" t="s">
        <v>33</v>
      </c>
      <c r="D166" s="76" t="s">
        <v>260</v>
      </c>
      <c r="E166" s="115">
        <v>1.836805555555556</v>
      </c>
      <c r="F166" s="76" t="s">
        <v>39</v>
      </c>
      <c r="G166" s="78">
        <v>9</v>
      </c>
      <c r="H166" s="116">
        <v>569</v>
      </c>
      <c r="I166" s="2"/>
    </row>
    <row r="167" spans="1:9" ht="19.8" customHeight="1" x14ac:dyDescent="0.3">
      <c r="A167" s="114">
        <v>46004</v>
      </c>
      <c r="B167" s="76" t="s">
        <v>57</v>
      </c>
      <c r="C167" s="77" t="s">
        <v>58</v>
      </c>
      <c r="D167" s="76" t="s">
        <v>260</v>
      </c>
      <c r="E167" s="115">
        <v>1.305555555555556</v>
      </c>
      <c r="F167" s="76" t="s">
        <v>65</v>
      </c>
      <c r="G167" s="78">
        <v>19</v>
      </c>
      <c r="H167" s="116">
        <v>899</v>
      </c>
      <c r="I167" s="2"/>
    </row>
    <row r="168" spans="1:9" ht="19.8" customHeight="1" x14ac:dyDescent="0.3">
      <c r="A168" s="117">
        <v>46004</v>
      </c>
      <c r="B168" s="79" t="s">
        <v>77</v>
      </c>
      <c r="C168" s="80" t="s">
        <v>78</v>
      </c>
      <c r="D168" s="79" t="s">
        <v>260</v>
      </c>
      <c r="E168" s="118">
        <v>1.305555555555556</v>
      </c>
      <c r="F168" s="79" t="s">
        <v>79</v>
      </c>
      <c r="G168" s="81">
        <v>4</v>
      </c>
      <c r="H168" s="83" t="s">
        <v>88</v>
      </c>
      <c r="I168" s="2"/>
    </row>
    <row r="169" spans="1:9" ht="19.8" customHeight="1" x14ac:dyDescent="0.3">
      <c r="A169" s="72"/>
      <c r="B169" s="73"/>
      <c r="C169" s="73"/>
      <c r="D169" s="73"/>
      <c r="E169" s="73"/>
      <c r="F169" s="74" t="s">
        <v>259</v>
      </c>
      <c r="G169" s="73"/>
      <c r="H169" s="75"/>
      <c r="I169" s="2"/>
    </row>
    <row r="170" spans="1:9" ht="19.8" customHeight="1" x14ac:dyDescent="0.3">
      <c r="A170" s="114">
        <v>46005</v>
      </c>
      <c r="B170" s="76" t="s">
        <v>57</v>
      </c>
      <c r="C170" s="77" t="s">
        <v>58</v>
      </c>
      <c r="D170" s="76" t="s">
        <v>260</v>
      </c>
      <c r="E170" s="115">
        <v>1.305555555555556</v>
      </c>
      <c r="F170" s="76" t="s">
        <v>60</v>
      </c>
      <c r="G170" s="78">
        <v>18</v>
      </c>
      <c r="H170" s="116">
        <v>309</v>
      </c>
      <c r="I170" s="2"/>
    </row>
    <row r="171" spans="1:9" ht="19.8" customHeight="1" x14ac:dyDescent="0.3">
      <c r="A171" s="114">
        <v>46005</v>
      </c>
      <c r="B171" s="76" t="s">
        <v>32</v>
      </c>
      <c r="C171" s="77" t="s">
        <v>33</v>
      </c>
      <c r="D171" s="76" t="s">
        <v>260</v>
      </c>
      <c r="E171" s="115">
        <v>1.850694444444444</v>
      </c>
      <c r="F171" s="76" t="s">
        <v>34</v>
      </c>
      <c r="G171" s="78">
        <v>6</v>
      </c>
      <c r="H171" s="116">
        <v>349</v>
      </c>
      <c r="I171" s="2"/>
    </row>
    <row r="172" spans="1:9" ht="19.8" customHeight="1" x14ac:dyDescent="0.3">
      <c r="A172" s="114">
        <v>46005</v>
      </c>
      <c r="B172" s="76" t="s">
        <v>121</v>
      </c>
      <c r="C172" s="77" t="s">
        <v>140</v>
      </c>
      <c r="D172" s="76" t="s">
        <v>260</v>
      </c>
      <c r="E172" s="115">
        <v>1.2222222222222221</v>
      </c>
      <c r="F172" s="76" t="s">
        <v>49</v>
      </c>
      <c r="G172" s="78">
        <v>5</v>
      </c>
      <c r="H172" s="116">
        <v>371</v>
      </c>
      <c r="I172" s="2"/>
    </row>
    <row r="173" spans="1:9" ht="19.8" customHeight="1" x14ac:dyDescent="0.3">
      <c r="A173" s="114">
        <v>46005</v>
      </c>
      <c r="B173" s="76" t="s">
        <v>46</v>
      </c>
      <c r="C173" s="77" t="s">
        <v>266</v>
      </c>
      <c r="D173" s="76" t="s">
        <v>260</v>
      </c>
      <c r="E173" s="115">
        <v>1.958333333333333</v>
      </c>
      <c r="F173" s="76" t="s">
        <v>49</v>
      </c>
      <c r="G173" s="78">
        <v>9</v>
      </c>
      <c r="H173" s="116">
        <v>379</v>
      </c>
      <c r="I173" s="2"/>
    </row>
    <row r="174" spans="1:9" ht="19.8" customHeight="1" x14ac:dyDescent="0.3">
      <c r="A174" s="114">
        <v>46005</v>
      </c>
      <c r="B174" s="76" t="s">
        <v>41</v>
      </c>
      <c r="C174" s="77" t="s">
        <v>42</v>
      </c>
      <c r="D174" s="76" t="s">
        <v>260</v>
      </c>
      <c r="E174" s="115">
        <v>1.864583333333333</v>
      </c>
      <c r="F174" s="76" t="s">
        <v>84</v>
      </c>
      <c r="G174" s="78">
        <v>4</v>
      </c>
      <c r="H174" s="116">
        <v>411</v>
      </c>
      <c r="I174" s="2"/>
    </row>
    <row r="175" spans="1:9" ht="19.8" customHeight="1" x14ac:dyDescent="0.3">
      <c r="A175" s="114">
        <v>46005</v>
      </c>
      <c r="B175" s="76" t="s">
        <v>41</v>
      </c>
      <c r="C175" s="77" t="s">
        <v>71</v>
      </c>
      <c r="D175" s="76" t="s">
        <v>260</v>
      </c>
      <c r="E175" s="115">
        <v>1.1701388888888891</v>
      </c>
      <c r="F175" s="76" t="s">
        <v>84</v>
      </c>
      <c r="G175" s="78">
        <v>6</v>
      </c>
      <c r="H175" s="116">
        <v>411</v>
      </c>
      <c r="I175" s="2"/>
    </row>
    <row r="176" spans="1:9" ht="19.8" customHeight="1" x14ac:dyDescent="0.3">
      <c r="A176" s="114">
        <v>46005</v>
      </c>
      <c r="B176" s="76" t="s">
        <v>32</v>
      </c>
      <c r="C176" s="77" t="s">
        <v>33</v>
      </c>
      <c r="D176" s="76" t="s">
        <v>260</v>
      </c>
      <c r="E176" s="115">
        <v>1.850694444444444</v>
      </c>
      <c r="F176" s="76" t="s">
        <v>37</v>
      </c>
      <c r="G176" s="78">
        <v>6</v>
      </c>
      <c r="H176" s="116">
        <v>449</v>
      </c>
      <c r="I176" s="2"/>
    </row>
    <row r="177" spans="1:9" ht="19.8" customHeight="1" x14ac:dyDescent="0.3">
      <c r="A177" s="114">
        <v>46005</v>
      </c>
      <c r="B177" s="76" t="s">
        <v>57</v>
      </c>
      <c r="C177" s="77" t="s">
        <v>58</v>
      </c>
      <c r="D177" s="76" t="s">
        <v>260</v>
      </c>
      <c r="E177" s="115">
        <v>1.305555555555556</v>
      </c>
      <c r="F177" s="76" t="s">
        <v>63</v>
      </c>
      <c r="G177" s="78">
        <v>18</v>
      </c>
      <c r="H177" s="116">
        <v>459</v>
      </c>
      <c r="I177" s="2"/>
    </row>
    <row r="178" spans="1:9" ht="19.8" customHeight="1" x14ac:dyDescent="0.3">
      <c r="A178" s="114">
        <v>46005</v>
      </c>
      <c r="B178" s="76" t="s">
        <v>32</v>
      </c>
      <c r="C178" s="77" t="s">
        <v>33</v>
      </c>
      <c r="D178" s="76" t="s">
        <v>260</v>
      </c>
      <c r="E178" s="115">
        <v>1.850694444444444</v>
      </c>
      <c r="F178" s="76" t="s">
        <v>39</v>
      </c>
      <c r="G178" s="78">
        <v>6</v>
      </c>
      <c r="H178" s="116">
        <v>539</v>
      </c>
      <c r="I178" s="2"/>
    </row>
    <row r="179" spans="1:9" ht="19.8" customHeight="1" x14ac:dyDescent="0.3">
      <c r="A179" s="114">
        <v>46005</v>
      </c>
      <c r="B179" s="76" t="s">
        <v>57</v>
      </c>
      <c r="C179" s="77" t="s">
        <v>58</v>
      </c>
      <c r="D179" s="76" t="s">
        <v>260</v>
      </c>
      <c r="E179" s="115">
        <v>1.305555555555556</v>
      </c>
      <c r="F179" s="76" t="s">
        <v>65</v>
      </c>
      <c r="G179" s="78">
        <v>18</v>
      </c>
      <c r="H179" s="116">
        <v>899</v>
      </c>
      <c r="I179" s="2"/>
    </row>
    <row r="180" spans="1:9" ht="19.8" customHeight="1" x14ac:dyDescent="0.3">
      <c r="A180" s="117">
        <v>46005</v>
      </c>
      <c r="B180" s="79" t="s">
        <v>77</v>
      </c>
      <c r="C180" s="80" t="s">
        <v>78</v>
      </c>
      <c r="D180" s="79" t="s">
        <v>260</v>
      </c>
      <c r="E180" s="118">
        <v>1.305555555555556</v>
      </c>
      <c r="F180" s="79" t="s">
        <v>79</v>
      </c>
      <c r="G180" s="81">
        <v>4</v>
      </c>
      <c r="H180" s="83" t="s">
        <v>88</v>
      </c>
      <c r="I180" s="2"/>
    </row>
    <row r="181" spans="1:9" ht="19.8" customHeight="1" x14ac:dyDescent="0.3">
      <c r="A181" s="120">
        <v>46006</v>
      </c>
      <c r="B181" s="69" t="s">
        <v>26</v>
      </c>
      <c r="C181" s="70" t="s">
        <v>27</v>
      </c>
      <c r="D181" s="69" t="s">
        <v>1</v>
      </c>
      <c r="E181" s="121">
        <v>1.510416666666667</v>
      </c>
      <c r="F181" s="69" t="s">
        <v>49</v>
      </c>
      <c r="G181" s="84">
        <v>9</v>
      </c>
      <c r="H181" s="122">
        <v>686</v>
      </c>
      <c r="I181" s="2"/>
    </row>
    <row r="182" spans="1:9" ht="19.8" customHeight="1" x14ac:dyDescent="0.3">
      <c r="A182" s="72"/>
      <c r="B182" s="73"/>
      <c r="C182" s="73"/>
      <c r="D182" s="73"/>
      <c r="E182" s="73"/>
      <c r="F182" s="74" t="s">
        <v>259</v>
      </c>
      <c r="G182" s="73"/>
      <c r="H182" s="75"/>
      <c r="I182" s="2"/>
    </row>
    <row r="183" spans="1:9" ht="19.8" customHeight="1" x14ac:dyDescent="0.3">
      <c r="A183" s="114">
        <v>46006</v>
      </c>
      <c r="B183" s="76" t="s">
        <v>57</v>
      </c>
      <c r="C183" s="77" t="s">
        <v>58</v>
      </c>
      <c r="D183" s="76" t="s">
        <v>260</v>
      </c>
      <c r="E183" s="115">
        <v>1.305555555555556</v>
      </c>
      <c r="F183" s="76" t="s">
        <v>60</v>
      </c>
      <c r="G183" s="78">
        <v>14</v>
      </c>
      <c r="H183" s="116">
        <v>309</v>
      </c>
      <c r="I183" s="2"/>
    </row>
    <row r="184" spans="1:9" ht="19.8" customHeight="1" x14ac:dyDescent="0.3">
      <c r="A184" s="114">
        <v>46006</v>
      </c>
      <c r="B184" s="76" t="s">
        <v>32</v>
      </c>
      <c r="C184" s="77" t="s">
        <v>113</v>
      </c>
      <c r="D184" s="76" t="s">
        <v>260</v>
      </c>
      <c r="E184" s="115">
        <v>1.2013888888888891</v>
      </c>
      <c r="F184" s="76" t="s">
        <v>34</v>
      </c>
      <c r="G184" s="78">
        <v>9</v>
      </c>
      <c r="H184" s="116">
        <v>349</v>
      </c>
      <c r="I184" s="2"/>
    </row>
    <row r="185" spans="1:9" ht="19.8" customHeight="1" x14ac:dyDescent="0.3">
      <c r="A185" s="114">
        <v>46006</v>
      </c>
      <c r="B185" s="76" t="s">
        <v>32</v>
      </c>
      <c r="C185" s="77" t="s">
        <v>33</v>
      </c>
      <c r="D185" s="76" t="s">
        <v>260</v>
      </c>
      <c r="E185" s="115">
        <v>1.836805555555556</v>
      </c>
      <c r="F185" s="76" t="s">
        <v>34</v>
      </c>
      <c r="G185" s="78">
        <v>9</v>
      </c>
      <c r="H185" s="116">
        <v>409</v>
      </c>
      <c r="I185" s="2"/>
    </row>
    <row r="186" spans="1:9" ht="19.8" customHeight="1" x14ac:dyDescent="0.3">
      <c r="A186" s="114">
        <v>46006</v>
      </c>
      <c r="B186" s="76" t="s">
        <v>41</v>
      </c>
      <c r="C186" s="77" t="s">
        <v>42</v>
      </c>
      <c r="D186" s="76" t="s">
        <v>260</v>
      </c>
      <c r="E186" s="115">
        <v>1.864583333333333</v>
      </c>
      <c r="F186" s="76" t="s">
        <v>84</v>
      </c>
      <c r="G186" s="78">
        <v>9</v>
      </c>
      <c r="H186" s="116">
        <v>411</v>
      </c>
      <c r="I186" s="2"/>
    </row>
    <row r="187" spans="1:9" ht="19.8" customHeight="1" x14ac:dyDescent="0.3">
      <c r="A187" s="114">
        <v>46006</v>
      </c>
      <c r="B187" s="76" t="s">
        <v>41</v>
      </c>
      <c r="C187" s="77" t="s">
        <v>71</v>
      </c>
      <c r="D187" s="76" t="s">
        <v>260</v>
      </c>
      <c r="E187" s="115">
        <v>1.1701388888888891</v>
      </c>
      <c r="F187" s="76" t="s">
        <v>84</v>
      </c>
      <c r="G187" s="78">
        <v>9</v>
      </c>
      <c r="H187" s="116">
        <v>411</v>
      </c>
      <c r="I187" s="2"/>
    </row>
    <row r="188" spans="1:9" ht="19.8" customHeight="1" x14ac:dyDescent="0.3">
      <c r="A188" s="114">
        <v>46006</v>
      </c>
      <c r="B188" s="76" t="s">
        <v>41</v>
      </c>
      <c r="C188" s="77" t="s">
        <v>68</v>
      </c>
      <c r="D188" s="76" t="s">
        <v>260</v>
      </c>
      <c r="E188" s="115">
        <v>1.5277777777777779</v>
      </c>
      <c r="F188" s="76" t="s">
        <v>86</v>
      </c>
      <c r="G188" s="78">
        <v>9</v>
      </c>
      <c r="H188" s="116">
        <v>437</v>
      </c>
      <c r="I188" s="2"/>
    </row>
    <row r="189" spans="1:9" ht="19.8" customHeight="1" x14ac:dyDescent="0.3">
      <c r="A189" s="114">
        <v>46006</v>
      </c>
      <c r="B189" s="76" t="s">
        <v>46</v>
      </c>
      <c r="C189" s="77" t="s">
        <v>47</v>
      </c>
      <c r="D189" s="76" t="s">
        <v>260</v>
      </c>
      <c r="E189" s="115">
        <v>1.958333333333333</v>
      </c>
      <c r="F189" s="76" t="s">
        <v>49</v>
      </c>
      <c r="G189" s="78">
        <v>9</v>
      </c>
      <c r="H189" s="116">
        <v>439</v>
      </c>
      <c r="I189" s="2"/>
    </row>
    <row r="190" spans="1:9" ht="19.8" customHeight="1" x14ac:dyDescent="0.3">
      <c r="A190" s="114">
        <v>46006</v>
      </c>
      <c r="B190" s="76" t="s">
        <v>32</v>
      </c>
      <c r="C190" s="77" t="s">
        <v>113</v>
      </c>
      <c r="D190" s="76" t="s">
        <v>260</v>
      </c>
      <c r="E190" s="115">
        <v>1.2013888888888891</v>
      </c>
      <c r="F190" s="76" t="s">
        <v>37</v>
      </c>
      <c r="G190" s="78">
        <v>9</v>
      </c>
      <c r="H190" s="116">
        <v>449</v>
      </c>
      <c r="I190" s="2"/>
    </row>
    <row r="191" spans="1:9" ht="19.8" customHeight="1" x14ac:dyDescent="0.3">
      <c r="A191" s="114">
        <v>46006</v>
      </c>
      <c r="B191" s="76" t="s">
        <v>57</v>
      </c>
      <c r="C191" s="77" t="s">
        <v>58</v>
      </c>
      <c r="D191" s="76" t="s">
        <v>260</v>
      </c>
      <c r="E191" s="115">
        <v>1.305555555555556</v>
      </c>
      <c r="F191" s="76" t="s">
        <v>63</v>
      </c>
      <c r="G191" s="78">
        <v>14</v>
      </c>
      <c r="H191" s="116">
        <v>459</v>
      </c>
      <c r="I191" s="2"/>
    </row>
    <row r="192" spans="1:9" ht="19.8" customHeight="1" x14ac:dyDescent="0.3">
      <c r="A192" s="114">
        <v>46006</v>
      </c>
      <c r="B192" s="76" t="s">
        <v>32</v>
      </c>
      <c r="C192" s="77" t="s">
        <v>33</v>
      </c>
      <c r="D192" s="76" t="s">
        <v>260</v>
      </c>
      <c r="E192" s="115">
        <v>1.836805555555556</v>
      </c>
      <c r="F192" s="76" t="s">
        <v>37</v>
      </c>
      <c r="G192" s="78">
        <v>9</v>
      </c>
      <c r="H192" s="116">
        <v>509</v>
      </c>
      <c r="I192" s="2"/>
    </row>
    <row r="193" spans="1:9" ht="19.8" customHeight="1" x14ac:dyDescent="0.3">
      <c r="A193" s="114">
        <v>46006</v>
      </c>
      <c r="B193" s="76" t="s">
        <v>32</v>
      </c>
      <c r="C193" s="77" t="s">
        <v>113</v>
      </c>
      <c r="D193" s="76" t="s">
        <v>260</v>
      </c>
      <c r="E193" s="115">
        <v>1.2013888888888891</v>
      </c>
      <c r="F193" s="76" t="s">
        <v>39</v>
      </c>
      <c r="G193" s="78">
        <v>9</v>
      </c>
      <c r="H193" s="116">
        <v>539</v>
      </c>
      <c r="I193" s="2"/>
    </row>
    <row r="194" spans="1:9" ht="19.8" customHeight="1" x14ac:dyDescent="0.3">
      <c r="A194" s="114">
        <v>46006</v>
      </c>
      <c r="B194" s="76" t="s">
        <v>32</v>
      </c>
      <c r="C194" s="77" t="s">
        <v>33</v>
      </c>
      <c r="D194" s="76" t="s">
        <v>260</v>
      </c>
      <c r="E194" s="115">
        <v>1.836805555555556</v>
      </c>
      <c r="F194" s="76" t="s">
        <v>39</v>
      </c>
      <c r="G194" s="78">
        <v>9</v>
      </c>
      <c r="H194" s="116">
        <v>599</v>
      </c>
      <c r="I194" s="2"/>
    </row>
    <row r="195" spans="1:9" ht="19.8" customHeight="1" x14ac:dyDescent="0.3">
      <c r="A195" s="114">
        <v>46006</v>
      </c>
      <c r="B195" s="76" t="s">
        <v>57</v>
      </c>
      <c r="C195" s="77" t="s">
        <v>58</v>
      </c>
      <c r="D195" s="76" t="s">
        <v>260</v>
      </c>
      <c r="E195" s="115">
        <v>1.305555555555556</v>
      </c>
      <c r="F195" s="76" t="s">
        <v>65</v>
      </c>
      <c r="G195" s="78">
        <v>14</v>
      </c>
      <c r="H195" s="116">
        <v>899</v>
      </c>
      <c r="I195" s="2"/>
    </row>
    <row r="196" spans="1:9" ht="19.8" customHeight="1" x14ac:dyDescent="0.3">
      <c r="A196" s="117">
        <v>46006</v>
      </c>
      <c r="B196" s="79" t="s">
        <v>77</v>
      </c>
      <c r="C196" s="80" t="s">
        <v>78</v>
      </c>
      <c r="D196" s="79" t="s">
        <v>260</v>
      </c>
      <c r="E196" s="118">
        <v>1.305555555555556</v>
      </c>
      <c r="F196" s="79" t="s">
        <v>79</v>
      </c>
      <c r="G196" s="81">
        <v>4</v>
      </c>
      <c r="H196" s="83" t="s">
        <v>88</v>
      </c>
      <c r="I196" s="2"/>
    </row>
    <row r="197" spans="1:9" ht="19.8" customHeight="1" x14ac:dyDescent="0.3">
      <c r="A197" s="72"/>
      <c r="B197" s="73"/>
      <c r="C197" s="73"/>
      <c r="D197" s="73"/>
      <c r="E197" s="73"/>
      <c r="F197" s="74" t="s">
        <v>259</v>
      </c>
      <c r="G197" s="73"/>
      <c r="H197" s="75"/>
      <c r="I197" s="2"/>
    </row>
    <row r="198" spans="1:9" ht="19.8" customHeight="1" x14ac:dyDescent="0.3">
      <c r="A198" s="114">
        <v>46007</v>
      </c>
      <c r="B198" s="76" t="s">
        <v>57</v>
      </c>
      <c r="C198" s="77" t="s">
        <v>58</v>
      </c>
      <c r="D198" s="76" t="s">
        <v>260</v>
      </c>
      <c r="E198" s="115">
        <v>1.305555555555556</v>
      </c>
      <c r="F198" s="76" t="s">
        <v>60</v>
      </c>
      <c r="G198" s="78">
        <v>20</v>
      </c>
      <c r="H198" s="116">
        <v>309</v>
      </c>
      <c r="I198" s="2"/>
    </row>
    <row r="199" spans="1:9" ht="19.8" customHeight="1" x14ac:dyDescent="0.3">
      <c r="A199" s="114">
        <v>46007</v>
      </c>
      <c r="B199" s="76" t="s">
        <v>32</v>
      </c>
      <c r="C199" s="77" t="s">
        <v>113</v>
      </c>
      <c r="D199" s="76" t="s">
        <v>260</v>
      </c>
      <c r="E199" s="115">
        <v>1.2013888888888891</v>
      </c>
      <c r="F199" s="76" t="s">
        <v>34</v>
      </c>
      <c r="G199" s="78">
        <v>9</v>
      </c>
      <c r="H199" s="116">
        <v>349</v>
      </c>
      <c r="I199" s="2"/>
    </row>
    <row r="200" spans="1:9" ht="19.8" customHeight="1" x14ac:dyDescent="0.3">
      <c r="A200" s="114">
        <v>46007</v>
      </c>
      <c r="B200" s="76" t="s">
        <v>32</v>
      </c>
      <c r="C200" s="77" t="s">
        <v>33</v>
      </c>
      <c r="D200" s="76" t="s">
        <v>260</v>
      </c>
      <c r="E200" s="115">
        <v>1.836805555555556</v>
      </c>
      <c r="F200" s="76" t="s">
        <v>34</v>
      </c>
      <c r="G200" s="78">
        <v>8</v>
      </c>
      <c r="H200" s="116">
        <v>379</v>
      </c>
      <c r="I200" s="2"/>
    </row>
    <row r="201" spans="1:9" ht="19.8" customHeight="1" x14ac:dyDescent="0.3">
      <c r="A201" s="114">
        <v>46007</v>
      </c>
      <c r="B201" s="76" t="s">
        <v>46</v>
      </c>
      <c r="C201" s="77" t="s">
        <v>261</v>
      </c>
      <c r="D201" s="76" t="s">
        <v>260</v>
      </c>
      <c r="E201" s="115">
        <v>1.958333333333333</v>
      </c>
      <c r="F201" s="76" t="s">
        <v>49</v>
      </c>
      <c r="G201" s="78">
        <v>6</v>
      </c>
      <c r="H201" s="116">
        <v>379</v>
      </c>
      <c r="I201" s="2"/>
    </row>
    <row r="202" spans="1:9" ht="19.8" customHeight="1" x14ac:dyDescent="0.3">
      <c r="A202" s="114">
        <v>46007</v>
      </c>
      <c r="B202" s="76" t="s">
        <v>41</v>
      </c>
      <c r="C202" s="77" t="s">
        <v>42</v>
      </c>
      <c r="D202" s="76" t="s">
        <v>260</v>
      </c>
      <c r="E202" s="115">
        <v>1.864583333333333</v>
      </c>
      <c r="F202" s="76" t="s">
        <v>84</v>
      </c>
      <c r="G202" s="78">
        <v>9</v>
      </c>
      <c r="H202" s="116">
        <v>411</v>
      </c>
      <c r="I202" s="2"/>
    </row>
    <row r="203" spans="1:9" ht="19.8" customHeight="1" x14ac:dyDescent="0.3">
      <c r="A203" s="114">
        <v>46007</v>
      </c>
      <c r="B203" s="76" t="s">
        <v>41</v>
      </c>
      <c r="C203" s="77" t="s">
        <v>68</v>
      </c>
      <c r="D203" s="76" t="s">
        <v>260</v>
      </c>
      <c r="E203" s="115">
        <v>1.5277777777777779</v>
      </c>
      <c r="F203" s="76" t="s">
        <v>84</v>
      </c>
      <c r="G203" s="78">
        <v>9</v>
      </c>
      <c r="H203" s="116">
        <v>411</v>
      </c>
      <c r="I203" s="2"/>
    </row>
    <row r="204" spans="1:9" ht="19.8" customHeight="1" x14ac:dyDescent="0.3">
      <c r="A204" s="114">
        <v>46007</v>
      </c>
      <c r="B204" s="76" t="s">
        <v>41</v>
      </c>
      <c r="C204" s="77" t="s">
        <v>71</v>
      </c>
      <c r="D204" s="76" t="s">
        <v>260</v>
      </c>
      <c r="E204" s="115">
        <v>1.1701388888888891</v>
      </c>
      <c r="F204" s="76" t="s">
        <v>84</v>
      </c>
      <c r="G204" s="78">
        <v>9</v>
      </c>
      <c r="H204" s="116">
        <v>411</v>
      </c>
      <c r="I204" s="2"/>
    </row>
    <row r="205" spans="1:9" ht="19.8" customHeight="1" x14ac:dyDescent="0.3">
      <c r="A205" s="114">
        <v>46007</v>
      </c>
      <c r="B205" s="76" t="s">
        <v>32</v>
      </c>
      <c r="C205" s="77" t="s">
        <v>113</v>
      </c>
      <c r="D205" s="76" t="s">
        <v>260</v>
      </c>
      <c r="E205" s="115">
        <v>1.2013888888888891</v>
      </c>
      <c r="F205" s="76" t="s">
        <v>37</v>
      </c>
      <c r="G205" s="78">
        <v>9</v>
      </c>
      <c r="H205" s="116">
        <v>449</v>
      </c>
      <c r="I205" s="2"/>
    </row>
    <row r="206" spans="1:9" ht="19.8" customHeight="1" x14ac:dyDescent="0.3">
      <c r="A206" s="114">
        <v>46007</v>
      </c>
      <c r="B206" s="76" t="s">
        <v>57</v>
      </c>
      <c r="C206" s="77" t="s">
        <v>58</v>
      </c>
      <c r="D206" s="76" t="s">
        <v>260</v>
      </c>
      <c r="E206" s="115">
        <v>1.305555555555556</v>
      </c>
      <c r="F206" s="76" t="s">
        <v>63</v>
      </c>
      <c r="G206" s="78">
        <v>20</v>
      </c>
      <c r="H206" s="116">
        <v>459</v>
      </c>
      <c r="I206" s="2"/>
    </row>
    <row r="207" spans="1:9" ht="19.8" customHeight="1" x14ac:dyDescent="0.3">
      <c r="A207" s="114">
        <v>46007</v>
      </c>
      <c r="B207" s="76" t="s">
        <v>32</v>
      </c>
      <c r="C207" s="77" t="s">
        <v>33</v>
      </c>
      <c r="D207" s="76" t="s">
        <v>260</v>
      </c>
      <c r="E207" s="115">
        <v>1.836805555555556</v>
      </c>
      <c r="F207" s="76" t="s">
        <v>37</v>
      </c>
      <c r="G207" s="78">
        <v>8</v>
      </c>
      <c r="H207" s="116">
        <v>479</v>
      </c>
      <c r="I207" s="2"/>
    </row>
    <row r="208" spans="1:9" ht="19.8" customHeight="1" x14ac:dyDescent="0.3">
      <c r="A208" s="114">
        <v>46007</v>
      </c>
      <c r="B208" s="76" t="s">
        <v>32</v>
      </c>
      <c r="C208" s="77" t="s">
        <v>113</v>
      </c>
      <c r="D208" s="76" t="s">
        <v>260</v>
      </c>
      <c r="E208" s="115">
        <v>1.2013888888888891</v>
      </c>
      <c r="F208" s="76" t="s">
        <v>39</v>
      </c>
      <c r="G208" s="78">
        <v>9</v>
      </c>
      <c r="H208" s="116">
        <v>539</v>
      </c>
      <c r="I208" s="2"/>
    </row>
    <row r="209" spans="1:9" ht="19.8" customHeight="1" x14ac:dyDescent="0.3">
      <c r="A209" s="114">
        <v>46007</v>
      </c>
      <c r="B209" s="76" t="s">
        <v>26</v>
      </c>
      <c r="C209" s="77" t="s">
        <v>74</v>
      </c>
      <c r="D209" s="76" t="s">
        <v>260</v>
      </c>
      <c r="E209" s="115">
        <v>1.270833333333333</v>
      </c>
      <c r="F209" s="76" t="s">
        <v>49</v>
      </c>
      <c r="G209" s="78">
        <v>9</v>
      </c>
      <c r="H209" s="116">
        <v>566</v>
      </c>
      <c r="I209" s="2"/>
    </row>
    <row r="210" spans="1:9" ht="19.8" customHeight="1" x14ac:dyDescent="0.3">
      <c r="A210" s="114">
        <v>46007</v>
      </c>
      <c r="B210" s="76" t="s">
        <v>32</v>
      </c>
      <c r="C210" s="77" t="s">
        <v>33</v>
      </c>
      <c r="D210" s="76" t="s">
        <v>260</v>
      </c>
      <c r="E210" s="115">
        <v>1.836805555555556</v>
      </c>
      <c r="F210" s="76" t="s">
        <v>39</v>
      </c>
      <c r="G210" s="78">
        <v>8</v>
      </c>
      <c r="H210" s="116">
        <v>569</v>
      </c>
      <c r="I210" s="2"/>
    </row>
    <row r="211" spans="1:9" ht="19.8" customHeight="1" x14ac:dyDescent="0.3">
      <c r="A211" s="114">
        <v>46007</v>
      </c>
      <c r="B211" s="76" t="s">
        <v>57</v>
      </c>
      <c r="C211" s="77" t="s">
        <v>58</v>
      </c>
      <c r="D211" s="76" t="s">
        <v>260</v>
      </c>
      <c r="E211" s="115">
        <v>1.305555555555556</v>
      </c>
      <c r="F211" s="76" t="s">
        <v>65</v>
      </c>
      <c r="G211" s="78">
        <v>20</v>
      </c>
      <c r="H211" s="116">
        <v>899</v>
      </c>
      <c r="I211" s="2"/>
    </row>
    <row r="212" spans="1:9" ht="19.8" customHeight="1" x14ac:dyDescent="0.3">
      <c r="A212" s="117">
        <v>46007</v>
      </c>
      <c r="B212" s="79" t="s">
        <v>77</v>
      </c>
      <c r="C212" s="80" t="s">
        <v>78</v>
      </c>
      <c r="D212" s="79" t="s">
        <v>260</v>
      </c>
      <c r="E212" s="118">
        <v>1.305555555555556</v>
      </c>
      <c r="F212" s="79" t="s">
        <v>79</v>
      </c>
      <c r="G212" s="81">
        <v>4</v>
      </c>
      <c r="H212" s="83" t="s">
        <v>88</v>
      </c>
      <c r="I212" s="2"/>
    </row>
    <row r="213" spans="1:9" ht="19.8" customHeight="1" x14ac:dyDescent="0.3">
      <c r="A213" s="72"/>
      <c r="B213" s="73"/>
      <c r="C213" s="73"/>
      <c r="D213" s="73"/>
      <c r="E213" s="73"/>
      <c r="F213" s="74" t="s">
        <v>259</v>
      </c>
      <c r="G213" s="73"/>
      <c r="H213" s="75"/>
      <c r="I213" s="2"/>
    </row>
    <row r="214" spans="1:9" ht="19.8" customHeight="1" x14ac:dyDescent="0.3">
      <c r="A214" s="114">
        <v>46008</v>
      </c>
      <c r="B214" s="76" t="s">
        <v>57</v>
      </c>
      <c r="C214" s="77" t="s">
        <v>58</v>
      </c>
      <c r="D214" s="76" t="s">
        <v>260</v>
      </c>
      <c r="E214" s="115">
        <v>1.305555555555556</v>
      </c>
      <c r="F214" s="76" t="s">
        <v>60</v>
      </c>
      <c r="G214" s="78">
        <v>16</v>
      </c>
      <c r="H214" s="116">
        <v>309</v>
      </c>
      <c r="I214" s="2"/>
    </row>
    <row r="215" spans="1:9" ht="19.8" customHeight="1" x14ac:dyDescent="0.3">
      <c r="A215" s="114">
        <v>46008</v>
      </c>
      <c r="B215" s="76" t="s">
        <v>262</v>
      </c>
      <c r="C215" s="77" t="s">
        <v>263</v>
      </c>
      <c r="D215" s="76" t="s">
        <v>260</v>
      </c>
      <c r="E215" s="115">
        <v>1.9722222222222221</v>
      </c>
      <c r="F215" s="76" t="s">
        <v>264</v>
      </c>
      <c r="G215" s="78">
        <v>9</v>
      </c>
      <c r="H215" s="116">
        <v>348</v>
      </c>
      <c r="I215" s="2"/>
    </row>
    <row r="216" spans="1:9" ht="19.8" customHeight="1" x14ac:dyDescent="0.3">
      <c r="A216" s="114">
        <v>46008</v>
      </c>
      <c r="B216" s="76" t="s">
        <v>121</v>
      </c>
      <c r="C216" s="77" t="s">
        <v>265</v>
      </c>
      <c r="D216" s="76" t="s">
        <v>260</v>
      </c>
      <c r="E216" s="115">
        <v>1.0902777777777779</v>
      </c>
      <c r="F216" s="76" t="s">
        <v>49</v>
      </c>
      <c r="G216" s="78">
        <v>5</v>
      </c>
      <c r="H216" s="116">
        <v>371</v>
      </c>
      <c r="I216" s="2"/>
    </row>
    <row r="217" spans="1:9" ht="19.8" customHeight="1" x14ac:dyDescent="0.3">
      <c r="A217" s="114">
        <v>46008</v>
      </c>
      <c r="B217" s="76" t="s">
        <v>32</v>
      </c>
      <c r="C217" s="77" t="s">
        <v>33</v>
      </c>
      <c r="D217" s="76" t="s">
        <v>260</v>
      </c>
      <c r="E217" s="115">
        <v>1.850694444444444</v>
      </c>
      <c r="F217" s="76" t="s">
        <v>34</v>
      </c>
      <c r="G217" s="78">
        <v>7</v>
      </c>
      <c r="H217" s="116">
        <v>379</v>
      </c>
      <c r="I217" s="2"/>
    </row>
    <row r="218" spans="1:9" ht="19.8" customHeight="1" x14ac:dyDescent="0.3">
      <c r="A218" s="114">
        <v>46008</v>
      </c>
      <c r="B218" s="76" t="s">
        <v>46</v>
      </c>
      <c r="C218" s="77" t="s">
        <v>47</v>
      </c>
      <c r="D218" s="76" t="s">
        <v>260</v>
      </c>
      <c r="E218" s="115">
        <v>1.895833333333333</v>
      </c>
      <c r="F218" s="76" t="s">
        <v>49</v>
      </c>
      <c r="G218" s="78">
        <v>9</v>
      </c>
      <c r="H218" s="116">
        <v>379</v>
      </c>
      <c r="I218" s="2"/>
    </row>
    <row r="219" spans="1:9" ht="19.8" customHeight="1" x14ac:dyDescent="0.3">
      <c r="A219" s="114">
        <v>46008</v>
      </c>
      <c r="B219" s="76" t="s">
        <v>41</v>
      </c>
      <c r="C219" s="77" t="s">
        <v>68</v>
      </c>
      <c r="D219" s="76" t="s">
        <v>260</v>
      </c>
      <c r="E219" s="115">
        <v>1.5277777777777779</v>
      </c>
      <c r="F219" s="76" t="s">
        <v>84</v>
      </c>
      <c r="G219" s="78">
        <v>9</v>
      </c>
      <c r="H219" s="116">
        <v>411</v>
      </c>
      <c r="I219" s="2"/>
    </row>
    <row r="220" spans="1:9" ht="19.8" customHeight="1" x14ac:dyDescent="0.3">
      <c r="A220" s="114">
        <v>46008</v>
      </c>
      <c r="B220" s="76" t="s">
        <v>41</v>
      </c>
      <c r="C220" s="77" t="s">
        <v>71</v>
      </c>
      <c r="D220" s="76" t="s">
        <v>260</v>
      </c>
      <c r="E220" s="115">
        <v>1.1701388888888891</v>
      </c>
      <c r="F220" s="76" t="s">
        <v>84</v>
      </c>
      <c r="G220" s="78">
        <v>9</v>
      </c>
      <c r="H220" s="116">
        <v>411</v>
      </c>
      <c r="I220" s="2"/>
    </row>
    <row r="221" spans="1:9" ht="19.8" customHeight="1" x14ac:dyDescent="0.3">
      <c r="A221" s="114">
        <v>46008</v>
      </c>
      <c r="B221" s="76" t="s">
        <v>57</v>
      </c>
      <c r="C221" s="77" t="s">
        <v>58</v>
      </c>
      <c r="D221" s="76" t="s">
        <v>260</v>
      </c>
      <c r="E221" s="115">
        <v>1.305555555555556</v>
      </c>
      <c r="F221" s="76" t="s">
        <v>63</v>
      </c>
      <c r="G221" s="78">
        <v>16</v>
      </c>
      <c r="H221" s="116">
        <v>459</v>
      </c>
      <c r="I221" s="2"/>
    </row>
    <row r="222" spans="1:9" ht="19.8" customHeight="1" x14ac:dyDescent="0.3">
      <c r="A222" s="114">
        <v>46008</v>
      </c>
      <c r="B222" s="76" t="s">
        <v>262</v>
      </c>
      <c r="C222" s="77" t="s">
        <v>263</v>
      </c>
      <c r="D222" s="76" t="s">
        <v>260</v>
      </c>
      <c r="E222" s="115">
        <v>1.9722222222222221</v>
      </c>
      <c r="F222" s="76" t="s">
        <v>65</v>
      </c>
      <c r="G222" s="78">
        <v>9</v>
      </c>
      <c r="H222" s="116">
        <v>472</v>
      </c>
      <c r="I222" s="2"/>
    </row>
    <row r="223" spans="1:9" ht="19.8" customHeight="1" x14ac:dyDescent="0.3">
      <c r="A223" s="114">
        <v>46008</v>
      </c>
      <c r="B223" s="76" t="s">
        <v>32</v>
      </c>
      <c r="C223" s="77" t="s">
        <v>33</v>
      </c>
      <c r="D223" s="76" t="s">
        <v>260</v>
      </c>
      <c r="E223" s="115">
        <v>1.850694444444444</v>
      </c>
      <c r="F223" s="76" t="s">
        <v>37</v>
      </c>
      <c r="G223" s="78">
        <v>7</v>
      </c>
      <c r="H223" s="116">
        <v>479</v>
      </c>
      <c r="I223" s="2"/>
    </row>
    <row r="224" spans="1:9" ht="19.8" customHeight="1" x14ac:dyDescent="0.3">
      <c r="A224" s="114">
        <v>46008</v>
      </c>
      <c r="B224" s="76" t="s">
        <v>41</v>
      </c>
      <c r="C224" s="77" t="s">
        <v>42</v>
      </c>
      <c r="D224" s="76" t="s">
        <v>260</v>
      </c>
      <c r="E224" s="115">
        <v>1.864583333333333</v>
      </c>
      <c r="F224" s="76" t="s">
        <v>44</v>
      </c>
      <c r="G224" s="78">
        <v>9</v>
      </c>
      <c r="H224" s="116">
        <v>547</v>
      </c>
      <c r="I224" s="2"/>
    </row>
    <row r="225" spans="1:9" ht="19.8" customHeight="1" x14ac:dyDescent="0.3">
      <c r="A225" s="114">
        <v>46008</v>
      </c>
      <c r="B225" s="76" t="s">
        <v>32</v>
      </c>
      <c r="C225" s="77" t="s">
        <v>33</v>
      </c>
      <c r="D225" s="76" t="s">
        <v>260</v>
      </c>
      <c r="E225" s="115">
        <v>1.850694444444444</v>
      </c>
      <c r="F225" s="76" t="s">
        <v>39</v>
      </c>
      <c r="G225" s="78">
        <v>7</v>
      </c>
      <c r="H225" s="116">
        <v>569</v>
      </c>
      <c r="I225" s="2"/>
    </row>
    <row r="226" spans="1:9" ht="19.8" customHeight="1" x14ac:dyDescent="0.3">
      <c r="A226" s="114">
        <v>46008</v>
      </c>
      <c r="B226" s="76" t="s">
        <v>57</v>
      </c>
      <c r="C226" s="77" t="s">
        <v>58</v>
      </c>
      <c r="D226" s="76" t="s">
        <v>260</v>
      </c>
      <c r="E226" s="115">
        <v>1.305555555555556</v>
      </c>
      <c r="F226" s="76" t="s">
        <v>65</v>
      </c>
      <c r="G226" s="78">
        <v>16</v>
      </c>
      <c r="H226" s="116">
        <v>899</v>
      </c>
      <c r="I226" s="2"/>
    </row>
    <row r="227" spans="1:9" ht="19.8" customHeight="1" x14ac:dyDescent="0.3">
      <c r="A227" s="117">
        <v>46008</v>
      </c>
      <c r="B227" s="79" t="s">
        <v>77</v>
      </c>
      <c r="C227" s="80" t="s">
        <v>78</v>
      </c>
      <c r="D227" s="79" t="s">
        <v>260</v>
      </c>
      <c r="E227" s="118">
        <v>1.305555555555556</v>
      </c>
      <c r="F227" s="79" t="s">
        <v>79</v>
      </c>
      <c r="G227" s="81">
        <v>4</v>
      </c>
      <c r="H227" s="83" t="s">
        <v>88</v>
      </c>
      <c r="I227" s="2"/>
    </row>
    <row r="228" spans="1:9" ht="19.8" customHeight="1" x14ac:dyDescent="0.3">
      <c r="A228" s="72"/>
      <c r="B228" s="73"/>
      <c r="C228" s="73"/>
      <c r="D228" s="73"/>
      <c r="E228" s="73"/>
      <c r="F228" s="74" t="s">
        <v>259</v>
      </c>
      <c r="G228" s="73"/>
      <c r="H228" s="75"/>
      <c r="I228" s="2"/>
    </row>
    <row r="229" spans="1:9" ht="19.8" customHeight="1" x14ac:dyDescent="0.3">
      <c r="A229" s="114">
        <v>46009</v>
      </c>
      <c r="B229" s="76" t="s">
        <v>57</v>
      </c>
      <c r="C229" s="77" t="s">
        <v>58</v>
      </c>
      <c r="D229" s="76" t="s">
        <v>260</v>
      </c>
      <c r="E229" s="115">
        <v>1.305555555555556</v>
      </c>
      <c r="F229" s="76" t="s">
        <v>60</v>
      </c>
      <c r="G229" s="78">
        <v>11</v>
      </c>
      <c r="H229" s="116">
        <v>339</v>
      </c>
      <c r="I229" s="2"/>
    </row>
    <row r="230" spans="1:9" ht="19.8" customHeight="1" x14ac:dyDescent="0.3">
      <c r="A230" s="114">
        <v>46009</v>
      </c>
      <c r="B230" s="76" t="s">
        <v>32</v>
      </c>
      <c r="C230" s="77" t="s">
        <v>113</v>
      </c>
      <c r="D230" s="76" t="s">
        <v>260</v>
      </c>
      <c r="E230" s="115">
        <v>1.2013888888888891</v>
      </c>
      <c r="F230" s="76" t="s">
        <v>34</v>
      </c>
      <c r="G230" s="78">
        <v>9</v>
      </c>
      <c r="H230" s="116">
        <v>349</v>
      </c>
      <c r="I230" s="2"/>
    </row>
    <row r="231" spans="1:9" ht="19.8" customHeight="1" x14ac:dyDescent="0.3">
      <c r="A231" s="114">
        <v>46009</v>
      </c>
      <c r="B231" s="76" t="s">
        <v>41</v>
      </c>
      <c r="C231" s="77" t="s">
        <v>68</v>
      </c>
      <c r="D231" s="76" t="s">
        <v>260</v>
      </c>
      <c r="E231" s="115">
        <v>1.5277777777777779</v>
      </c>
      <c r="F231" s="76" t="s">
        <v>84</v>
      </c>
      <c r="G231" s="78">
        <v>8</v>
      </c>
      <c r="H231" s="116">
        <v>411</v>
      </c>
      <c r="I231" s="2"/>
    </row>
    <row r="232" spans="1:9" ht="19.8" customHeight="1" x14ac:dyDescent="0.3">
      <c r="A232" s="114">
        <v>46009</v>
      </c>
      <c r="B232" s="76" t="s">
        <v>41</v>
      </c>
      <c r="C232" s="77" t="s">
        <v>71</v>
      </c>
      <c r="D232" s="76" t="s">
        <v>260</v>
      </c>
      <c r="E232" s="115">
        <v>1.1701388888888891</v>
      </c>
      <c r="F232" s="76" t="s">
        <v>84</v>
      </c>
      <c r="G232" s="78">
        <v>9</v>
      </c>
      <c r="H232" s="116">
        <v>411</v>
      </c>
      <c r="I232" s="2"/>
    </row>
    <row r="233" spans="1:9" ht="19.8" customHeight="1" x14ac:dyDescent="0.3">
      <c r="A233" s="114">
        <v>46009</v>
      </c>
      <c r="B233" s="76" t="s">
        <v>121</v>
      </c>
      <c r="C233" s="77" t="s">
        <v>265</v>
      </c>
      <c r="D233" s="76" t="s">
        <v>260</v>
      </c>
      <c r="E233" s="115">
        <v>1.913194444444444</v>
      </c>
      <c r="F233" s="76" t="s">
        <v>49</v>
      </c>
      <c r="G233" s="78">
        <v>8</v>
      </c>
      <c r="H233" s="116">
        <v>425</v>
      </c>
      <c r="I233" s="2"/>
    </row>
    <row r="234" spans="1:9" ht="19.8" customHeight="1" x14ac:dyDescent="0.3">
      <c r="A234" s="114">
        <v>46009</v>
      </c>
      <c r="B234" s="76" t="s">
        <v>46</v>
      </c>
      <c r="C234" s="77" t="s">
        <v>261</v>
      </c>
      <c r="D234" s="76" t="s">
        <v>260</v>
      </c>
      <c r="E234" s="115">
        <v>1.958333333333333</v>
      </c>
      <c r="F234" s="76" t="s">
        <v>49</v>
      </c>
      <c r="G234" s="78">
        <v>9</v>
      </c>
      <c r="H234" s="116">
        <v>439</v>
      </c>
      <c r="I234" s="2"/>
    </row>
    <row r="235" spans="1:9" ht="19.8" customHeight="1" x14ac:dyDescent="0.3">
      <c r="A235" s="114">
        <v>46009</v>
      </c>
      <c r="B235" s="76" t="s">
        <v>32</v>
      </c>
      <c r="C235" s="77" t="s">
        <v>113</v>
      </c>
      <c r="D235" s="76" t="s">
        <v>260</v>
      </c>
      <c r="E235" s="115">
        <v>1.2013888888888891</v>
      </c>
      <c r="F235" s="76" t="s">
        <v>37</v>
      </c>
      <c r="G235" s="78">
        <v>9</v>
      </c>
      <c r="H235" s="116">
        <v>449</v>
      </c>
      <c r="I235" s="2"/>
    </row>
    <row r="236" spans="1:9" ht="19.8" customHeight="1" x14ac:dyDescent="0.3">
      <c r="A236" s="114">
        <v>46009</v>
      </c>
      <c r="B236" s="76" t="s">
        <v>32</v>
      </c>
      <c r="C236" s="77" t="s">
        <v>33</v>
      </c>
      <c r="D236" s="76" t="s">
        <v>260</v>
      </c>
      <c r="E236" s="115">
        <v>1.836805555555556</v>
      </c>
      <c r="F236" s="76" t="s">
        <v>34</v>
      </c>
      <c r="G236" s="78">
        <v>3</v>
      </c>
      <c r="H236" s="116">
        <v>479</v>
      </c>
      <c r="I236" s="2"/>
    </row>
    <row r="237" spans="1:9" ht="19.8" customHeight="1" x14ac:dyDescent="0.3">
      <c r="A237" s="114">
        <v>46009</v>
      </c>
      <c r="B237" s="76" t="s">
        <v>57</v>
      </c>
      <c r="C237" s="77" t="s">
        <v>58</v>
      </c>
      <c r="D237" s="76" t="s">
        <v>260</v>
      </c>
      <c r="E237" s="115">
        <v>1.305555555555556</v>
      </c>
      <c r="F237" s="76" t="s">
        <v>63</v>
      </c>
      <c r="G237" s="78">
        <v>11</v>
      </c>
      <c r="H237" s="116">
        <v>489</v>
      </c>
      <c r="I237" s="2"/>
    </row>
    <row r="238" spans="1:9" ht="19.8" customHeight="1" x14ac:dyDescent="0.3">
      <c r="A238" s="114">
        <v>46009</v>
      </c>
      <c r="B238" s="76" t="s">
        <v>32</v>
      </c>
      <c r="C238" s="77" t="s">
        <v>113</v>
      </c>
      <c r="D238" s="76" t="s">
        <v>260</v>
      </c>
      <c r="E238" s="115">
        <v>1.2013888888888891</v>
      </c>
      <c r="F238" s="76" t="s">
        <v>39</v>
      </c>
      <c r="G238" s="78">
        <v>9</v>
      </c>
      <c r="H238" s="116">
        <v>539</v>
      </c>
      <c r="I238" s="2"/>
    </row>
    <row r="239" spans="1:9" ht="19.8" customHeight="1" x14ac:dyDescent="0.3">
      <c r="A239" s="114">
        <v>46009</v>
      </c>
      <c r="B239" s="76" t="s">
        <v>26</v>
      </c>
      <c r="C239" s="77" t="s">
        <v>74</v>
      </c>
      <c r="D239" s="76" t="s">
        <v>260</v>
      </c>
      <c r="E239" s="115">
        <v>1.9236111111111109</v>
      </c>
      <c r="F239" s="76" t="s">
        <v>49</v>
      </c>
      <c r="G239" s="78">
        <v>9</v>
      </c>
      <c r="H239" s="116">
        <v>566</v>
      </c>
      <c r="I239" s="2"/>
    </row>
    <row r="240" spans="1:9" ht="19.8" customHeight="1" x14ac:dyDescent="0.3">
      <c r="A240" s="114">
        <v>46009</v>
      </c>
      <c r="B240" s="76" t="s">
        <v>32</v>
      </c>
      <c r="C240" s="77" t="s">
        <v>33</v>
      </c>
      <c r="D240" s="76" t="s">
        <v>260</v>
      </c>
      <c r="E240" s="115">
        <v>1.836805555555556</v>
      </c>
      <c r="F240" s="76" t="s">
        <v>37</v>
      </c>
      <c r="G240" s="78">
        <v>3</v>
      </c>
      <c r="H240" s="116">
        <v>579</v>
      </c>
      <c r="I240" s="2"/>
    </row>
    <row r="241" spans="1:9" ht="19.8" customHeight="1" x14ac:dyDescent="0.3">
      <c r="A241" s="114">
        <v>46009</v>
      </c>
      <c r="B241" s="76" t="s">
        <v>41</v>
      </c>
      <c r="C241" s="77" t="s">
        <v>42</v>
      </c>
      <c r="D241" s="76" t="s">
        <v>260</v>
      </c>
      <c r="E241" s="115">
        <v>1.864583333333333</v>
      </c>
      <c r="F241" s="76" t="s">
        <v>44</v>
      </c>
      <c r="G241" s="78">
        <v>9</v>
      </c>
      <c r="H241" s="116">
        <v>592</v>
      </c>
      <c r="I241" s="2"/>
    </row>
    <row r="242" spans="1:9" ht="19.8" customHeight="1" x14ac:dyDescent="0.3">
      <c r="A242" s="114">
        <v>46009</v>
      </c>
      <c r="B242" s="76" t="s">
        <v>32</v>
      </c>
      <c r="C242" s="77" t="s">
        <v>33</v>
      </c>
      <c r="D242" s="76" t="s">
        <v>260</v>
      </c>
      <c r="E242" s="115">
        <v>1.836805555555556</v>
      </c>
      <c r="F242" s="76" t="s">
        <v>39</v>
      </c>
      <c r="G242" s="78">
        <v>3</v>
      </c>
      <c r="H242" s="116">
        <v>669</v>
      </c>
      <c r="I242" s="2"/>
    </row>
    <row r="243" spans="1:9" ht="19.8" customHeight="1" x14ac:dyDescent="0.3">
      <c r="A243" s="114">
        <v>46009</v>
      </c>
      <c r="B243" s="76" t="s">
        <v>57</v>
      </c>
      <c r="C243" s="77" t="s">
        <v>58</v>
      </c>
      <c r="D243" s="76" t="s">
        <v>260</v>
      </c>
      <c r="E243" s="115">
        <v>1.305555555555556</v>
      </c>
      <c r="F243" s="76" t="s">
        <v>65</v>
      </c>
      <c r="G243" s="78">
        <v>11</v>
      </c>
      <c r="H243" s="116">
        <v>899</v>
      </c>
      <c r="I243" s="2"/>
    </row>
    <row r="244" spans="1:9" ht="19.8" customHeight="1" x14ac:dyDescent="0.3">
      <c r="A244" s="117">
        <v>46009</v>
      </c>
      <c r="B244" s="79" t="s">
        <v>77</v>
      </c>
      <c r="C244" s="80" t="s">
        <v>78</v>
      </c>
      <c r="D244" s="79" t="s">
        <v>260</v>
      </c>
      <c r="E244" s="118">
        <v>1.305555555555556</v>
      </c>
      <c r="F244" s="79" t="s">
        <v>79</v>
      </c>
      <c r="G244" s="81">
        <v>4</v>
      </c>
      <c r="H244" s="83" t="s">
        <v>104</v>
      </c>
      <c r="I244" s="2"/>
    </row>
    <row r="245" spans="1:9" ht="19.8" customHeight="1" x14ac:dyDescent="0.3">
      <c r="A245" s="120">
        <v>46010</v>
      </c>
      <c r="B245" s="69" t="s">
        <v>26</v>
      </c>
      <c r="C245" s="70" t="s">
        <v>27</v>
      </c>
      <c r="D245" s="69" t="s">
        <v>1</v>
      </c>
      <c r="E245" s="121">
        <v>1.291666666666667</v>
      </c>
      <c r="F245" s="69" t="s">
        <v>49</v>
      </c>
      <c r="G245" s="84">
        <v>9</v>
      </c>
      <c r="H245" s="122">
        <v>826</v>
      </c>
      <c r="I245" s="2"/>
    </row>
    <row r="246" spans="1:9" ht="19.8" customHeight="1" x14ac:dyDescent="0.3">
      <c r="A246" s="72"/>
      <c r="B246" s="73"/>
      <c r="C246" s="73"/>
      <c r="D246" s="73"/>
      <c r="E246" s="73"/>
      <c r="F246" s="74" t="s">
        <v>259</v>
      </c>
      <c r="G246" s="73"/>
      <c r="H246" s="75"/>
      <c r="I246" s="2"/>
    </row>
    <row r="247" spans="1:9" ht="19.8" customHeight="1" x14ac:dyDescent="0.3">
      <c r="A247" s="114">
        <v>46010</v>
      </c>
      <c r="B247" s="76" t="s">
        <v>57</v>
      </c>
      <c r="C247" s="77" t="s">
        <v>58</v>
      </c>
      <c r="D247" s="76" t="s">
        <v>260</v>
      </c>
      <c r="E247" s="115">
        <v>1.305555555555556</v>
      </c>
      <c r="F247" s="76" t="s">
        <v>60</v>
      </c>
      <c r="G247" s="78">
        <v>16</v>
      </c>
      <c r="H247" s="116">
        <v>309</v>
      </c>
      <c r="I247" s="2"/>
    </row>
    <row r="248" spans="1:9" ht="19.8" customHeight="1" x14ac:dyDescent="0.3">
      <c r="A248" s="114">
        <v>46010</v>
      </c>
      <c r="B248" s="76" t="s">
        <v>32</v>
      </c>
      <c r="C248" s="77" t="s">
        <v>33</v>
      </c>
      <c r="D248" s="76" t="s">
        <v>260</v>
      </c>
      <c r="E248" s="115">
        <v>1.836805555555556</v>
      </c>
      <c r="F248" s="76" t="s">
        <v>34</v>
      </c>
      <c r="G248" s="78">
        <v>8</v>
      </c>
      <c r="H248" s="116">
        <v>349</v>
      </c>
      <c r="I248" s="2"/>
    </row>
    <row r="249" spans="1:9" ht="19.8" customHeight="1" x14ac:dyDescent="0.3">
      <c r="A249" s="114">
        <v>46010</v>
      </c>
      <c r="B249" s="76" t="s">
        <v>41</v>
      </c>
      <c r="C249" s="77" t="s">
        <v>42</v>
      </c>
      <c r="D249" s="76" t="s">
        <v>260</v>
      </c>
      <c r="E249" s="115">
        <v>1.864583333333333</v>
      </c>
      <c r="F249" s="76" t="s">
        <v>84</v>
      </c>
      <c r="G249" s="78">
        <v>9</v>
      </c>
      <c r="H249" s="116">
        <v>411</v>
      </c>
      <c r="I249" s="2"/>
    </row>
    <row r="250" spans="1:9" ht="19.8" customHeight="1" x14ac:dyDescent="0.3">
      <c r="A250" s="114">
        <v>46010</v>
      </c>
      <c r="B250" s="76" t="s">
        <v>41</v>
      </c>
      <c r="C250" s="77" t="s">
        <v>71</v>
      </c>
      <c r="D250" s="76" t="s">
        <v>260</v>
      </c>
      <c r="E250" s="115">
        <v>1.1701388888888891</v>
      </c>
      <c r="F250" s="76" t="s">
        <v>84</v>
      </c>
      <c r="G250" s="78">
        <v>9</v>
      </c>
      <c r="H250" s="116">
        <v>411</v>
      </c>
      <c r="I250" s="2"/>
    </row>
    <row r="251" spans="1:9" ht="19.8" customHeight="1" x14ac:dyDescent="0.3">
      <c r="A251" s="114">
        <v>46010</v>
      </c>
      <c r="B251" s="76" t="s">
        <v>46</v>
      </c>
      <c r="C251" s="77" t="s">
        <v>47</v>
      </c>
      <c r="D251" s="76" t="s">
        <v>260</v>
      </c>
      <c r="E251" s="115">
        <v>1.958333333333333</v>
      </c>
      <c r="F251" s="76" t="s">
        <v>49</v>
      </c>
      <c r="G251" s="78">
        <v>6</v>
      </c>
      <c r="H251" s="116">
        <v>439</v>
      </c>
      <c r="I251" s="2"/>
    </row>
    <row r="252" spans="1:9" ht="19.8" customHeight="1" x14ac:dyDescent="0.3">
      <c r="A252" s="114">
        <v>46010</v>
      </c>
      <c r="B252" s="76" t="s">
        <v>32</v>
      </c>
      <c r="C252" s="77" t="s">
        <v>33</v>
      </c>
      <c r="D252" s="76" t="s">
        <v>260</v>
      </c>
      <c r="E252" s="115">
        <v>1.836805555555556</v>
      </c>
      <c r="F252" s="76" t="s">
        <v>37</v>
      </c>
      <c r="G252" s="78">
        <v>8</v>
      </c>
      <c r="H252" s="116">
        <v>449</v>
      </c>
      <c r="I252" s="2"/>
    </row>
    <row r="253" spans="1:9" ht="19.8" customHeight="1" x14ac:dyDescent="0.3">
      <c r="A253" s="114">
        <v>46010</v>
      </c>
      <c r="B253" s="76" t="s">
        <v>57</v>
      </c>
      <c r="C253" s="77" t="s">
        <v>58</v>
      </c>
      <c r="D253" s="76" t="s">
        <v>260</v>
      </c>
      <c r="E253" s="115">
        <v>1.305555555555556</v>
      </c>
      <c r="F253" s="76" t="s">
        <v>63</v>
      </c>
      <c r="G253" s="78">
        <v>16</v>
      </c>
      <c r="H253" s="116">
        <v>459</v>
      </c>
      <c r="I253" s="2"/>
    </row>
    <row r="254" spans="1:9" ht="19.8" customHeight="1" x14ac:dyDescent="0.3">
      <c r="A254" s="114">
        <v>46010</v>
      </c>
      <c r="B254" s="76" t="s">
        <v>32</v>
      </c>
      <c r="C254" s="77" t="s">
        <v>33</v>
      </c>
      <c r="D254" s="76" t="s">
        <v>260</v>
      </c>
      <c r="E254" s="115">
        <v>1.836805555555556</v>
      </c>
      <c r="F254" s="76" t="s">
        <v>39</v>
      </c>
      <c r="G254" s="78">
        <v>8</v>
      </c>
      <c r="H254" s="116">
        <v>539</v>
      </c>
      <c r="I254" s="2"/>
    </row>
    <row r="255" spans="1:9" ht="19.8" customHeight="1" x14ac:dyDescent="0.3">
      <c r="A255" s="114">
        <v>46010</v>
      </c>
      <c r="B255" s="76" t="s">
        <v>41</v>
      </c>
      <c r="C255" s="77" t="s">
        <v>68</v>
      </c>
      <c r="D255" s="76" t="s">
        <v>260</v>
      </c>
      <c r="E255" s="115">
        <v>1.5277777777777779</v>
      </c>
      <c r="F255" s="76" t="s">
        <v>44</v>
      </c>
      <c r="G255" s="78">
        <v>9</v>
      </c>
      <c r="H255" s="116">
        <v>551</v>
      </c>
      <c r="I255" s="2"/>
    </row>
    <row r="256" spans="1:9" ht="19.8" customHeight="1" x14ac:dyDescent="0.3">
      <c r="A256" s="114">
        <v>46010</v>
      </c>
      <c r="B256" s="76" t="s">
        <v>26</v>
      </c>
      <c r="C256" s="77" t="s">
        <v>74</v>
      </c>
      <c r="D256" s="76" t="s">
        <v>260</v>
      </c>
      <c r="E256" s="115">
        <v>1.5798611111111109</v>
      </c>
      <c r="F256" s="76" t="s">
        <v>49</v>
      </c>
      <c r="G256" s="78">
        <v>9</v>
      </c>
      <c r="H256" s="116">
        <v>626</v>
      </c>
      <c r="I256" s="2"/>
    </row>
    <row r="257" spans="1:9" ht="19.8" customHeight="1" x14ac:dyDescent="0.3">
      <c r="A257" s="114">
        <v>46010</v>
      </c>
      <c r="B257" s="76" t="s">
        <v>77</v>
      </c>
      <c r="C257" s="77" t="s">
        <v>78</v>
      </c>
      <c r="D257" s="76" t="s">
        <v>260</v>
      </c>
      <c r="E257" s="115">
        <v>1.305555555555556</v>
      </c>
      <c r="F257" s="76" t="s">
        <v>79</v>
      </c>
      <c r="G257" s="78">
        <v>4</v>
      </c>
      <c r="H257" s="82" t="s">
        <v>88</v>
      </c>
      <c r="I257" s="2"/>
    </row>
    <row r="258" spans="1:9" ht="19.8" customHeight="1" x14ac:dyDescent="0.3">
      <c r="A258" s="117">
        <v>46010</v>
      </c>
      <c r="B258" s="79" t="s">
        <v>57</v>
      </c>
      <c r="C258" s="80" t="s">
        <v>58</v>
      </c>
      <c r="D258" s="79" t="s">
        <v>260</v>
      </c>
      <c r="E258" s="118">
        <v>1.305555555555556</v>
      </c>
      <c r="F258" s="79" t="s">
        <v>65</v>
      </c>
      <c r="G258" s="81">
        <v>16</v>
      </c>
      <c r="H258" s="83" t="s">
        <v>95</v>
      </c>
      <c r="I258" s="2"/>
    </row>
    <row r="259" spans="1:9" ht="19.8" customHeight="1" x14ac:dyDescent="0.3">
      <c r="A259" s="72"/>
      <c r="B259" s="73"/>
      <c r="C259" s="73"/>
      <c r="D259" s="73"/>
      <c r="E259" s="73"/>
      <c r="F259" s="74" t="s">
        <v>259</v>
      </c>
      <c r="G259" s="73"/>
      <c r="H259" s="75"/>
      <c r="I259" s="2"/>
    </row>
    <row r="260" spans="1:9" ht="19.8" customHeight="1" x14ac:dyDescent="0.3">
      <c r="A260" s="114">
        <v>46011</v>
      </c>
      <c r="B260" s="76" t="s">
        <v>57</v>
      </c>
      <c r="C260" s="77" t="s">
        <v>58</v>
      </c>
      <c r="D260" s="76" t="s">
        <v>260</v>
      </c>
      <c r="E260" s="115">
        <v>1.305555555555556</v>
      </c>
      <c r="F260" s="76" t="s">
        <v>60</v>
      </c>
      <c r="G260" s="78">
        <v>20</v>
      </c>
      <c r="H260" s="116">
        <v>309</v>
      </c>
      <c r="I260" s="2"/>
    </row>
    <row r="261" spans="1:9" ht="19.8" customHeight="1" x14ac:dyDescent="0.3">
      <c r="A261" s="114">
        <v>46011</v>
      </c>
      <c r="B261" s="76" t="s">
        <v>32</v>
      </c>
      <c r="C261" s="77" t="s">
        <v>33</v>
      </c>
      <c r="D261" s="76" t="s">
        <v>260</v>
      </c>
      <c r="E261" s="115">
        <v>1.836805555555556</v>
      </c>
      <c r="F261" s="76" t="s">
        <v>34</v>
      </c>
      <c r="G261" s="78">
        <v>9</v>
      </c>
      <c r="H261" s="116">
        <v>349</v>
      </c>
      <c r="I261" s="2"/>
    </row>
    <row r="262" spans="1:9" ht="19.8" customHeight="1" x14ac:dyDescent="0.3">
      <c r="A262" s="114">
        <v>46011</v>
      </c>
      <c r="B262" s="76" t="s">
        <v>32</v>
      </c>
      <c r="C262" s="77" t="s">
        <v>113</v>
      </c>
      <c r="D262" s="76" t="s">
        <v>260</v>
      </c>
      <c r="E262" s="115">
        <v>1.2013888888888891</v>
      </c>
      <c r="F262" s="76" t="s">
        <v>34</v>
      </c>
      <c r="G262" s="78">
        <v>9</v>
      </c>
      <c r="H262" s="116">
        <v>349</v>
      </c>
      <c r="I262" s="2"/>
    </row>
    <row r="263" spans="1:9" ht="19.8" customHeight="1" x14ac:dyDescent="0.3">
      <c r="A263" s="114">
        <v>46011</v>
      </c>
      <c r="B263" s="76" t="s">
        <v>262</v>
      </c>
      <c r="C263" s="77" t="s">
        <v>263</v>
      </c>
      <c r="D263" s="76" t="s">
        <v>260</v>
      </c>
      <c r="E263" s="115">
        <v>1.9722222222222221</v>
      </c>
      <c r="F263" s="76" t="s">
        <v>264</v>
      </c>
      <c r="G263" s="78">
        <v>9</v>
      </c>
      <c r="H263" s="116">
        <v>354</v>
      </c>
      <c r="I263" s="2"/>
    </row>
    <row r="264" spans="1:9" ht="19.8" customHeight="1" x14ac:dyDescent="0.3">
      <c r="A264" s="114">
        <v>46011</v>
      </c>
      <c r="B264" s="76" t="s">
        <v>41</v>
      </c>
      <c r="C264" s="77" t="s">
        <v>42</v>
      </c>
      <c r="D264" s="76" t="s">
        <v>260</v>
      </c>
      <c r="E264" s="115">
        <v>1.864583333333333</v>
      </c>
      <c r="F264" s="76" t="s">
        <v>84</v>
      </c>
      <c r="G264" s="78">
        <v>9</v>
      </c>
      <c r="H264" s="116">
        <v>411</v>
      </c>
      <c r="I264" s="2"/>
    </row>
    <row r="265" spans="1:9" ht="19.8" customHeight="1" x14ac:dyDescent="0.3">
      <c r="A265" s="114">
        <v>46011</v>
      </c>
      <c r="B265" s="76" t="s">
        <v>41</v>
      </c>
      <c r="C265" s="77" t="s">
        <v>68</v>
      </c>
      <c r="D265" s="76" t="s">
        <v>260</v>
      </c>
      <c r="E265" s="115">
        <v>1.5277777777777779</v>
      </c>
      <c r="F265" s="76" t="s">
        <v>84</v>
      </c>
      <c r="G265" s="78">
        <v>9</v>
      </c>
      <c r="H265" s="116">
        <v>411</v>
      </c>
      <c r="I265" s="2"/>
    </row>
    <row r="266" spans="1:9" ht="19.8" customHeight="1" x14ac:dyDescent="0.3">
      <c r="A266" s="114">
        <v>46011</v>
      </c>
      <c r="B266" s="76" t="s">
        <v>41</v>
      </c>
      <c r="C266" s="77" t="s">
        <v>71</v>
      </c>
      <c r="D266" s="76" t="s">
        <v>260</v>
      </c>
      <c r="E266" s="115">
        <v>1.1701388888888891</v>
      </c>
      <c r="F266" s="76" t="s">
        <v>84</v>
      </c>
      <c r="G266" s="78">
        <v>9</v>
      </c>
      <c r="H266" s="116">
        <v>411</v>
      </c>
      <c r="I266" s="2"/>
    </row>
    <row r="267" spans="1:9" ht="19.8" customHeight="1" x14ac:dyDescent="0.3">
      <c r="A267" s="114">
        <v>46011</v>
      </c>
      <c r="B267" s="76" t="s">
        <v>46</v>
      </c>
      <c r="C267" s="77" t="s">
        <v>261</v>
      </c>
      <c r="D267" s="76" t="s">
        <v>260</v>
      </c>
      <c r="E267" s="115">
        <v>1.895833333333333</v>
      </c>
      <c r="F267" s="76" t="s">
        <v>49</v>
      </c>
      <c r="G267" s="78">
        <v>9</v>
      </c>
      <c r="H267" s="116">
        <v>439</v>
      </c>
      <c r="I267" s="2"/>
    </row>
    <row r="268" spans="1:9" ht="19.8" customHeight="1" x14ac:dyDescent="0.3">
      <c r="A268" s="114">
        <v>46011</v>
      </c>
      <c r="B268" s="76" t="s">
        <v>32</v>
      </c>
      <c r="C268" s="77" t="s">
        <v>33</v>
      </c>
      <c r="D268" s="76" t="s">
        <v>260</v>
      </c>
      <c r="E268" s="115">
        <v>1.836805555555556</v>
      </c>
      <c r="F268" s="76" t="s">
        <v>37</v>
      </c>
      <c r="G268" s="78">
        <v>9</v>
      </c>
      <c r="H268" s="116">
        <v>449</v>
      </c>
      <c r="I268" s="2"/>
    </row>
    <row r="269" spans="1:9" ht="19.8" customHeight="1" x14ac:dyDescent="0.3">
      <c r="A269" s="114">
        <v>46011</v>
      </c>
      <c r="B269" s="76" t="s">
        <v>32</v>
      </c>
      <c r="C269" s="77" t="s">
        <v>113</v>
      </c>
      <c r="D269" s="76" t="s">
        <v>260</v>
      </c>
      <c r="E269" s="115">
        <v>1.2013888888888891</v>
      </c>
      <c r="F269" s="76" t="s">
        <v>37</v>
      </c>
      <c r="G269" s="78">
        <v>9</v>
      </c>
      <c r="H269" s="116">
        <v>449</v>
      </c>
      <c r="I269" s="2"/>
    </row>
    <row r="270" spans="1:9" ht="19.8" customHeight="1" x14ac:dyDescent="0.3">
      <c r="A270" s="114">
        <v>46011</v>
      </c>
      <c r="B270" s="76" t="s">
        <v>57</v>
      </c>
      <c r="C270" s="77" t="s">
        <v>58</v>
      </c>
      <c r="D270" s="76" t="s">
        <v>260</v>
      </c>
      <c r="E270" s="115">
        <v>1.305555555555556</v>
      </c>
      <c r="F270" s="76" t="s">
        <v>63</v>
      </c>
      <c r="G270" s="78">
        <v>20</v>
      </c>
      <c r="H270" s="116">
        <v>459</v>
      </c>
      <c r="I270" s="2"/>
    </row>
    <row r="271" spans="1:9" ht="19.8" customHeight="1" x14ac:dyDescent="0.3">
      <c r="A271" s="114">
        <v>46011</v>
      </c>
      <c r="B271" s="76" t="s">
        <v>262</v>
      </c>
      <c r="C271" s="77" t="s">
        <v>263</v>
      </c>
      <c r="D271" s="76" t="s">
        <v>260</v>
      </c>
      <c r="E271" s="115">
        <v>1.9722222222222221</v>
      </c>
      <c r="F271" s="76" t="s">
        <v>65</v>
      </c>
      <c r="G271" s="78">
        <v>9</v>
      </c>
      <c r="H271" s="116">
        <v>477</v>
      </c>
      <c r="I271" s="2"/>
    </row>
    <row r="272" spans="1:9" ht="19.8" customHeight="1" x14ac:dyDescent="0.3">
      <c r="A272" s="114">
        <v>46011</v>
      </c>
      <c r="B272" s="76" t="s">
        <v>32</v>
      </c>
      <c r="C272" s="77" t="s">
        <v>33</v>
      </c>
      <c r="D272" s="76" t="s">
        <v>260</v>
      </c>
      <c r="E272" s="115">
        <v>1.836805555555556</v>
      </c>
      <c r="F272" s="76" t="s">
        <v>39</v>
      </c>
      <c r="G272" s="78">
        <v>9</v>
      </c>
      <c r="H272" s="116">
        <v>539</v>
      </c>
      <c r="I272" s="2"/>
    </row>
    <row r="273" spans="1:9" ht="19.8" customHeight="1" x14ac:dyDescent="0.3">
      <c r="A273" s="114">
        <v>46011</v>
      </c>
      <c r="B273" s="76" t="s">
        <v>32</v>
      </c>
      <c r="C273" s="77" t="s">
        <v>113</v>
      </c>
      <c r="D273" s="76" t="s">
        <v>260</v>
      </c>
      <c r="E273" s="115">
        <v>1.2013888888888891</v>
      </c>
      <c r="F273" s="76" t="s">
        <v>39</v>
      </c>
      <c r="G273" s="78">
        <v>9</v>
      </c>
      <c r="H273" s="116">
        <v>539</v>
      </c>
      <c r="I273" s="2"/>
    </row>
    <row r="274" spans="1:9" ht="19.8" customHeight="1" x14ac:dyDescent="0.3">
      <c r="A274" s="114">
        <v>46011</v>
      </c>
      <c r="B274" s="76" t="s">
        <v>26</v>
      </c>
      <c r="C274" s="77" t="s">
        <v>74</v>
      </c>
      <c r="D274" s="76" t="s">
        <v>260</v>
      </c>
      <c r="E274" s="115">
        <v>1.9236111111111109</v>
      </c>
      <c r="F274" s="76" t="s">
        <v>49</v>
      </c>
      <c r="G274" s="78">
        <v>9</v>
      </c>
      <c r="H274" s="116">
        <v>566</v>
      </c>
      <c r="I274" s="2"/>
    </row>
    <row r="275" spans="1:9" ht="19.8" customHeight="1" x14ac:dyDescent="0.3">
      <c r="A275" s="114">
        <v>46011</v>
      </c>
      <c r="B275" s="76" t="s">
        <v>77</v>
      </c>
      <c r="C275" s="77" t="s">
        <v>78</v>
      </c>
      <c r="D275" s="76" t="s">
        <v>260</v>
      </c>
      <c r="E275" s="115">
        <v>1.305555555555556</v>
      </c>
      <c r="F275" s="76" t="s">
        <v>79</v>
      </c>
      <c r="G275" s="78">
        <v>4</v>
      </c>
      <c r="H275" s="82" t="s">
        <v>88</v>
      </c>
      <c r="I275" s="2"/>
    </row>
    <row r="276" spans="1:9" ht="19.8" customHeight="1" x14ac:dyDescent="0.3">
      <c r="A276" s="117">
        <v>46011</v>
      </c>
      <c r="B276" s="79" t="s">
        <v>57</v>
      </c>
      <c r="C276" s="80" t="s">
        <v>58</v>
      </c>
      <c r="D276" s="79" t="s">
        <v>260</v>
      </c>
      <c r="E276" s="118">
        <v>1.305555555555556</v>
      </c>
      <c r="F276" s="79" t="s">
        <v>65</v>
      </c>
      <c r="G276" s="81">
        <v>20</v>
      </c>
      <c r="H276" s="83" t="s">
        <v>95</v>
      </c>
      <c r="I276" s="2"/>
    </row>
    <row r="277" spans="1:9" ht="19.8" customHeight="1" x14ac:dyDescent="0.3">
      <c r="A277" s="72"/>
      <c r="B277" s="73"/>
      <c r="C277" s="73"/>
      <c r="D277" s="73"/>
      <c r="E277" s="73"/>
      <c r="F277" s="74" t="s">
        <v>259</v>
      </c>
      <c r="G277" s="73"/>
      <c r="H277" s="75"/>
      <c r="I277" s="2"/>
    </row>
    <row r="278" spans="1:9" ht="19.8" customHeight="1" x14ac:dyDescent="0.3">
      <c r="A278" s="114">
        <v>46012</v>
      </c>
      <c r="B278" s="76" t="s">
        <v>57</v>
      </c>
      <c r="C278" s="77" t="s">
        <v>58</v>
      </c>
      <c r="D278" s="76" t="s">
        <v>260</v>
      </c>
      <c r="E278" s="115">
        <v>1.305555555555556</v>
      </c>
      <c r="F278" s="76" t="s">
        <v>60</v>
      </c>
      <c r="G278" s="78">
        <v>19</v>
      </c>
      <c r="H278" s="116">
        <v>309</v>
      </c>
      <c r="I278" s="2"/>
    </row>
    <row r="279" spans="1:9" ht="19.8" customHeight="1" x14ac:dyDescent="0.3">
      <c r="A279" s="114">
        <v>46012</v>
      </c>
      <c r="B279" s="76" t="s">
        <v>32</v>
      </c>
      <c r="C279" s="77" t="s">
        <v>33</v>
      </c>
      <c r="D279" s="76" t="s">
        <v>260</v>
      </c>
      <c r="E279" s="115">
        <v>1.850694444444444</v>
      </c>
      <c r="F279" s="76" t="s">
        <v>34</v>
      </c>
      <c r="G279" s="78">
        <v>9</v>
      </c>
      <c r="H279" s="116">
        <v>349</v>
      </c>
      <c r="I279" s="2"/>
    </row>
    <row r="280" spans="1:9" ht="19.8" customHeight="1" x14ac:dyDescent="0.3">
      <c r="A280" s="114">
        <v>46012</v>
      </c>
      <c r="B280" s="76" t="s">
        <v>41</v>
      </c>
      <c r="C280" s="77" t="s">
        <v>42</v>
      </c>
      <c r="D280" s="76" t="s">
        <v>260</v>
      </c>
      <c r="E280" s="115">
        <v>1.864583333333333</v>
      </c>
      <c r="F280" s="76" t="s">
        <v>84</v>
      </c>
      <c r="G280" s="78">
        <v>9</v>
      </c>
      <c r="H280" s="116">
        <v>411</v>
      </c>
      <c r="I280" s="2"/>
    </row>
    <row r="281" spans="1:9" ht="19.8" customHeight="1" x14ac:dyDescent="0.3">
      <c r="A281" s="114">
        <v>46012</v>
      </c>
      <c r="B281" s="76" t="s">
        <v>41</v>
      </c>
      <c r="C281" s="77" t="s">
        <v>68</v>
      </c>
      <c r="D281" s="76" t="s">
        <v>260</v>
      </c>
      <c r="E281" s="115">
        <v>1.5277777777777779</v>
      </c>
      <c r="F281" s="76" t="s">
        <v>84</v>
      </c>
      <c r="G281" s="78">
        <v>9</v>
      </c>
      <c r="H281" s="116">
        <v>411</v>
      </c>
      <c r="I281" s="2"/>
    </row>
    <row r="282" spans="1:9" ht="19.8" customHeight="1" x14ac:dyDescent="0.3">
      <c r="A282" s="114">
        <v>46012</v>
      </c>
      <c r="B282" s="76" t="s">
        <v>41</v>
      </c>
      <c r="C282" s="77" t="s">
        <v>71</v>
      </c>
      <c r="D282" s="76" t="s">
        <v>260</v>
      </c>
      <c r="E282" s="115">
        <v>1.1701388888888891</v>
      </c>
      <c r="F282" s="76" t="s">
        <v>84</v>
      </c>
      <c r="G282" s="78">
        <v>9</v>
      </c>
      <c r="H282" s="116">
        <v>411</v>
      </c>
      <c r="I282" s="2"/>
    </row>
    <row r="283" spans="1:9" ht="19.8" customHeight="1" x14ac:dyDescent="0.3">
      <c r="A283" s="114">
        <v>46012</v>
      </c>
      <c r="B283" s="76" t="s">
        <v>46</v>
      </c>
      <c r="C283" s="77" t="s">
        <v>266</v>
      </c>
      <c r="D283" s="76" t="s">
        <v>260</v>
      </c>
      <c r="E283" s="115">
        <v>1.958333333333333</v>
      </c>
      <c r="F283" s="76" t="s">
        <v>49</v>
      </c>
      <c r="G283" s="78">
        <v>9</v>
      </c>
      <c r="H283" s="116">
        <v>439</v>
      </c>
      <c r="I283" s="2"/>
    </row>
    <row r="284" spans="1:9" ht="19.8" customHeight="1" x14ac:dyDescent="0.3">
      <c r="A284" s="114">
        <v>46012</v>
      </c>
      <c r="B284" s="76" t="s">
        <v>32</v>
      </c>
      <c r="C284" s="77" t="s">
        <v>33</v>
      </c>
      <c r="D284" s="76" t="s">
        <v>260</v>
      </c>
      <c r="E284" s="115">
        <v>1.850694444444444</v>
      </c>
      <c r="F284" s="76" t="s">
        <v>37</v>
      </c>
      <c r="G284" s="78">
        <v>9</v>
      </c>
      <c r="H284" s="116">
        <v>449</v>
      </c>
      <c r="I284" s="2"/>
    </row>
    <row r="285" spans="1:9" ht="19.8" customHeight="1" x14ac:dyDescent="0.3">
      <c r="A285" s="114">
        <v>46012</v>
      </c>
      <c r="B285" s="76" t="s">
        <v>57</v>
      </c>
      <c r="C285" s="77" t="s">
        <v>58</v>
      </c>
      <c r="D285" s="76" t="s">
        <v>260</v>
      </c>
      <c r="E285" s="115">
        <v>1.305555555555556</v>
      </c>
      <c r="F285" s="76" t="s">
        <v>63</v>
      </c>
      <c r="G285" s="78">
        <v>19</v>
      </c>
      <c r="H285" s="116">
        <v>459</v>
      </c>
      <c r="I285" s="2"/>
    </row>
    <row r="286" spans="1:9" ht="19.8" customHeight="1" x14ac:dyDescent="0.3">
      <c r="A286" s="114">
        <v>46012</v>
      </c>
      <c r="B286" s="76" t="s">
        <v>32</v>
      </c>
      <c r="C286" s="77" t="s">
        <v>33</v>
      </c>
      <c r="D286" s="76" t="s">
        <v>260</v>
      </c>
      <c r="E286" s="115">
        <v>1.850694444444444</v>
      </c>
      <c r="F286" s="76" t="s">
        <v>39</v>
      </c>
      <c r="G286" s="78">
        <v>9</v>
      </c>
      <c r="H286" s="116">
        <v>539</v>
      </c>
      <c r="I286" s="2"/>
    </row>
    <row r="287" spans="1:9" ht="19.8" customHeight="1" x14ac:dyDescent="0.3">
      <c r="A287" s="114">
        <v>46012</v>
      </c>
      <c r="B287" s="76" t="s">
        <v>57</v>
      </c>
      <c r="C287" s="77" t="s">
        <v>58</v>
      </c>
      <c r="D287" s="76" t="s">
        <v>260</v>
      </c>
      <c r="E287" s="115">
        <v>1.305555555555556</v>
      </c>
      <c r="F287" s="76" t="s">
        <v>65</v>
      </c>
      <c r="G287" s="78">
        <v>19</v>
      </c>
      <c r="H287" s="116">
        <v>899</v>
      </c>
      <c r="I287" s="2"/>
    </row>
    <row r="288" spans="1:9" ht="19.8" customHeight="1" x14ac:dyDescent="0.3">
      <c r="A288" s="117">
        <v>46012</v>
      </c>
      <c r="B288" s="79" t="s">
        <v>77</v>
      </c>
      <c r="C288" s="80" t="s">
        <v>78</v>
      </c>
      <c r="D288" s="79" t="s">
        <v>260</v>
      </c>
      <c r="E288" s="118">
        <v>1.305555555555556</v>
      </c>
      <c r="F288" s="79" t="s">
        <v>79</v>
      </c>
      <c r="G288" s="81">
        <v>4</v>
      </c>
      <c r="H288" s="83" t="s">
        <v>88</v>
      </c>
      <c r="I288" s="2"/>
    </row>
    <row r="289" spans="1:9" ht="19.8" customHeight="1" x14ac:dyDescent="0.3">
      <c r="A289" s="120">
        <v>46013</v>
      </c>
      <c r="B289" s="69" t="s">
        <v>26</v>
      </c>
      <c r="C289" s="70" t="s">
        <v>27</v>
      </c>
      <c r="D289" s="69" t="s">
        <v>1</v>
      </c>
      <c r="E289" s="121">
        <v>1.510416666666667</v>
      </c>
      <c r="F289" s="69" t="s">
        <v>49</v>
      </c>
      <c r="G289" s="84">
        <v>9</v>
      </c>
      <c r="H289" s="122">
        <v>826</v>
      </c>
      <c r="I289" s="2"/>
    </row>
    <row r="290" spans="1:9" ht="19.8" customHeight="1" x14ac:dyDescent="0.3">
      <c r="A290" s="72"/>
      <c r="B290" s="73"/>
      <c r="C290" s="73"/>
      <c r="D290" s="73"/>
      <c r="E290" s="73"/>
      <c r="F290" s="74" t="s">
        <v>259</v>
      </c>
      <c r="G290" s="73"/>
      <c r="H290" s="75"/>
      <c r="I290" s="2"/>
    </row>
    <row r="291" spans="1:9" ht="19.8" customHeight="1" x14ac:dyDescent="0.3">
      <c r="A291" s="114">
        <v>46013</v>
      </c>
      <c r="B291" s="76" t="s">
        <v>57</v>
      </c>
      <c r="C291" s="77" t="s">
        <v>58</v>
      </c>
      <c r="D291" s="76" t="s">
        <v>260</v>
      </c>
      <c r="E291" s="115">
        <v>1.305555555555556</v>
      </c>
      <c r="F291" s="76" t="s">
        <v>60</v>
      </c>
      <c r="G291" s="78">
        <v>19</v>
      </c>
      <c r="H291" s="116">
        <v>309</v>
      </c>
      <c r="I291" s="2"/>
    </row>
    <row r="292" spans="1:9" ht="19.8" customHeight="1" x14ac:dyDescent="0.3">
      <c r="A292" s="114">
        <v>46013</v>
      </c>
      <c r="B292" s="76" t="s">
        <v>32</v>
      </c>
      <c r="C292" s="77" t="s">
        <v>33</v>
      </c>
      <c r="D292" s="76" t="s">
        <v>260</v>
      </c>
      <c r="E292" s="115">
        <v>1.836805555555556</v>
      </c>
      <c r="F292" s="76" t="s">
        <v>34</v>
      </c>
      <c r="G292" s="78">
        <v>9</v>
      </c>
      <c r="H292" s="116">
        <v>349</v>
      </c>
      <c r="I292" s="2"/>
    </row>
    <row r="293" spans="1:9" ht="19.8" customHeight="1" x14ac:dyDescent="0.3">
      <c r="A293" s="114">
        <v>46013</v>
      </c>
      <c r="B293" s="76" t="s">
        <v>32</v>
      </c>
      <c r="C293" s="77" t="s">
        <v>113</v>
      </c>
      <c r="D293" s="76" t="s">
        <v>260</v>
      </c>
      <c r="E293" s="115">
        <v>1.2013888888888891</v>
      </c>
      <c r="F293" s="76" t="s">
        <v>34</v>
      </c>
      <c r="G293" s="78">
        <v>9</v>
      </c>
      <c r="H293" s="116">
        <v>349</v>
      </c>
      <c r="I293" s="2"/>
    </row>
    <row r="294" spans="1:9" ht="19.8" customHeight="1" x14ac:dyDescent="0.3">
      <c r="A294" s="114">
        <v>46013</v>
      </c>
      <c r="B294" s="76" t="s">
        <v>41</v>
      </c>
      <c r="C294" s="77" t="s">
        <v>42</v>
      </c>
      <c r="D294" s="76" t="s">
        <v>260</v>
      </c>
      <c r="E294" s="115">
        <v>1.864583333333333</v>
      </c>
      <c r="F294" s="76" t="s">
        <v>84</v>
      </c>
      <c r="G294" s="78">
        <v>9</v>
      </c>
      <c r="H294" s="116">
        <v>411</v>
      </c>
      <c r="I294" s="2"/>
    </row>
    <row r="295" spans="1:9" ht="19.8" customHeight="1" x14ac:dyDescent="0.3">
      <c r="A295" s="114">
        <v>46013</v>
      </c>
      <c r="B295" s="76" t="s">
        <v>41</v>
      </c>
      <c r="C295" s="77" t="s">
        <v>68</v>
      </c>
      <c r="D295" s="76" t="s">
        <v>260</v>
      </c>
      <c r="E295" s="115">
        <v>1.5277777777777779</v>
      </c>
      <c r="F295" s="76" t="s">
        <v>84</v>
      </c>
      <c r="G295" s="78">
        <v>9</v>
      </c>
      <c r="H295" s="116">
        <v>411</v>
      </c>
      <c r="I295" s="2"/>
    </row>
    <row r="296" spans="1:9" ht="19.8" customHeight="1" x14ac:dyDescent="0.3">
      <c r="A296" s="114">
        <v>46013</v>
      </c>
      <c r="B296" s="76" t="s">
        <v>41</v>
      </c>
      <c r="C296" s="77" t="s">
        <v>71</v>
      </c>
      <c r="D296" s="76" t="s">
        <v>260</v>
      </c>
      <c r="E296" s="115">
        <v>1.1701388888888891</v>
      </c>
      <c r="F296" s="76" t="s">
        <v>84</v>
      </c>
      <c r="G296" s="78">
        <v>9</v>
      </c>
      <c r="H296" s="116">
        <v>411</v>
      </c>
      <c r="I296" s="2"/>
    </row>
    <row r="297" spans="1:9" ht="19.8" customHeight="1" x14ac:dyDescent="0.3">
      <c r="A297" s="114">
        <v>46013</v>
      </c>
      <c r="B297" s="76" t="s">
        <v>121</v>
      </c>
      <c r="C297" s="77" t="s">
        <v>122</v>
      </c>
      <c r="D297" s="76" t="s">
        <v>260</v>
      </c>
      <c r="E297" s="115">
        <v>1.1215277777777779</v>
      </c>
      <c r="F297" s="76" t="s">
        <v>49</v>
      </c>
      <c r="G297" s="78">
        <v>1</v>
      </c>
      <c r="H297" s="116">
        <v>425</v>
      </c>
      <c r="I297" s="2"/>
    </row>
    <row r="298" spans="1:9" ht="19.8" customHeight="1" x14ac:dyDescent="0.3">
      <c r="A298" s="114">
        <v>46013</v>
      </c>
      <c r="B298" s="76" t="s">
        <v>46</v>
      </c>
      <c r="C298" s="77" t="s">
        <v>47</v>
      </c>
      <c r="D298" s="76" t="s">
        <v>260</v>
      </c>
      <c r="E298" s="115">
        <v>1.958333333333333</v>
      </c>
      <c r="F298" s="76" t="s">
        <v>49</v>
      </c>
      <c r="G298" s="78">
        <v>9</v>
      </c>
      <c r="H298" s="116">
        <v>439</v>
      </c>
      <c r="I298" s="2"/>
    </row>
    <row r="299" spans="1:9" ht="19.8" customHeight="1" x14ac:dyDescent="0.3">
      <c r="A299" s="114">
        <v>46013</v>
      </c>
      <c r="B299" s="76" t="s">
        <v>32</v>
      </c>
      <c r="C299" s="77" t="s">
        <v>33</v>
      </c>
      <c r="D299" s="76" t="s">
        <v>260</v>
      </c>
      <c r="E299" s="115">
        <v>1.836805555555556</v>
      </c>
      <c r="F299" s="76" t="s">
        <v>37</v>
      </c>
      <c r="G299" s="78">
        <v>9</v>
      </c>
      <c r="H299" s="116">
        <v>449</v>
      </c>
      <c r="I299" s="2"/>
    </row>
    <row r="300" spans="1:9" ht="19.8" customHeight="1" x14ac:dyDescent="0.3">
      <c r="A300" s="114">
        <v>46013</v>
      </c>
      <c r="B300" s="76" t="s">
        <v>32</v>
      </c>
      <c r="C300" s="77" t="s">
        <v>113</v>
      </c>
      <c r="D300" s="76" t="s">
        <v>260</v>
      </c>
      <c r="E300" s="115">
        <v>1.2013888888888891</v>
      </c>
      <c r="F300" s="76" t="s">
        <v>37</v>
      </c>
      <c r="G300" s="78">
        <v>9</v>
      </c>
      <c r="H300" s="116">
        <v>449</v>
      </c>
      <c r="I300" s="2"/>
    </row>
    <row r="301" spans="1:9" ht="19.8" customHeight="1" x14ac:dyDescent="0.3">
      <c r="A301" s="114">
        <v>46013</v>
      </c>
      <c r="B301" s="76" t="s">
        <v>57</v>
      </c>
      <c r="C301" s="77" t="s">
        <v>58</v>
      </c>
      <c r="D301" s="76" t="s">
        <v>260</v>
      </c>
      <c r="E301" s="115">
        <v>1.305555555555556</v>
      </c>
      <c r="F301" s="76" t="s">
        <v>63</v>
      </c>
      <c r="G301" s="78">
        <v>19</v>
      </c>
      <c r="H301" s="116">
        <v>459</v>
      </c>
      <c r="I301" s="2"/>
    </row>
    <row r="302" spans="1:9" ht="19.8" customHeight="1" x14ac:dyDescent="0.3">
      <c r="A302" s="114">
        <v>46013</v>
      </c>
      <c r="B302" s="76" t="s">
        <v>32</v>
      </c>
      <c r="C302" s="77" t="s">
        <v>33</v>
      </c>
      <c r="D302" s="76" t="s">
        <v>260</v>
      </c>
      <c r="E302" s="115">
        <v>1.836805555555556</v>
      </c>
      <c r="F302" s="76" t="s">
        <v>39</v>
      </c>
      <c r="G302" s="78">
        <v>9</v>
      </c>
      <c r="H302" s="116">
        <v>539</v>
      </c>
      <c r="I302" s="2"/>
    </row>
    <row r="303" spans="1:9" ht="19.8" customHeight="1" x14ac:dyDescent="0.3">
      <c r="A303" s="114">
        <v>46013</v>
      </c>
      <c r="B303" s="76" t="s">
        <v>32</v>
      </c>
      <c r="C303" s="77" t="s">
        <v>113</v>
      </c>
      <c r="D303" s="76" t="s">
        <v>260</v>
      </c>
      <c r="E303" s="115">
        <v>1.2013888888888891</v>
      </c>
      <c r="F303" s="76" t="s">
        <v>39</v>
      </c>
      <c r="G303" s="78">
        <v>9</v>
      </c>
      <c r="H303" s="116">
        <v>539</v>
      </c>
      <c r="I303" s="2"/>
    </row>
    <row r="304" spans="1:9" ht="19.8" customHeight="1" x14ac:dyDescent="0.3">
      <c r="A304" s="114">
        <v>46013</v>
      </c>
      <c r="B304" s="76" t="s">
        <v>57</v>
      </c>
      <c r="C304" s="77" t="s">
        <v>58</v>
      </c>
      <c r="D304" s="76" t="s">
        <v>260</v>
      </c>
      <c r="E304" s="115">
        <v>1.305555555555556</v>
      </c>
      <c r="F304" s="76" t="s">
        <v>65</v>
      </c>
      <c r="G304" s="78">
        <v>19</v>
      </c>
      <c r="H304" s="116">
        <v>899</v>
      </c>
      <c r="I304" s="2"/>
    </row>
    <row r="305" spans="1:9" ht="19.8" customHeight="1" x14ac:dyDescent="0.3">
      <c r="A305" s="117">
        <v>46013</v>
      </c>
      <c r="B305" s="79" t="s">
        <v>77</v>
      </c>
      <c r="C305" s="80" t="s">
        <v>78</v>
      </c>
      <c r="D305" s="79" t="s">
        <v>260</v>
      </c>
      <c r="E305" s="118">
        <v>1.305555555555556</v>
      </c>
      <c r="F305" s="79" t="s">
        <v>79</v>
      </c>
      <c r="G305" s="81">
        <v>4</v>
      </c>
      <c r="H305" s="83" t="s">
        <v>88</v>
      </c>
      <c r="I305" s="2"/>
    </row>
    <row r="306" spans="1:9" ht="19.8" customHeight="1" x14ac:dyDescent="0.3">
      <c r="A306" s="72"/>
      <c r="B306" s="73"/>
      <c r="C306" s="73"/>
      <c r="D306" s="73"/>
      <c r="E306" s="73"/>
      <c r="F306" s="74" t="s">
        <v>259</v>
      </c>
      <c r="G306" s="73"/>
      <c r="H306" s="75"/>
      <c r="I306" s="2"/>
    </row>
    <row r="307" spans="1:9" ht="19.8" customHeight="1" x14ac:dyDescent="0.3">
      <c r="A307" s="114">
        <v>46014</v>
      </c>
      <c r="B307" s="76" t="s">
        <v>57</v>
      </c>
      <c r="C307" s="77" t="s">
        <v>58</v>
      </c>
      <c r="D307" s="76" t="s">
        <v>260</v>
      </c>
      <c r="E307" s="115">
        <v>1.305555555555556</v>
      </c>
      <c r="F307" s="76" t="s">
        <v>269</v>
      </c>
      <c r="G307" s="78">
        <v>19</v>
      </c>
      <c r="H307" s="116">
        <v>309</v>
      </c>
      <c r="I307" s="2"/>
    </row>
    <row r="308" spans="1:9" ht="19.8" customHeight="1" x14ac:dyDescent="0.3">
      <c r="A308" s="114">
        <v>46014</v>
      </c>
      <c r="B308" s="76" t="s">
        <v>32</v>
      </c>
      <c r="C308" s="77" t="s">
        <v>33</v>
      </c>
      <c r="D308" s="76" t="s">
        <v>260</v>
      </c>
      <c r="E308" s="115">
        <v>1.836805555555556</v>
      </c>
      <c r="F308" s="76" t="s">
        <v>270</v>
      </c>
      <c r="G308" s="78">
        <v>9</v>
      </c>
      <c r="H308" s="116">
        <v>349</v>
      </c>
      <c r="I308" s="2"/>
    </row>
    <row r="309" spans="1:9" ht="19.8" customHeight="1" x14ac:dyDescent="0.3">
      <c r="A309" s="114">
        <v>46014</v>
      </c>
      <c r="B309" s="76" t="s">
        <v>32</v>
      </c>
      <c r="C309" s="77" t="s">
        <v>113</v>
      </c>
      <c r="D309" s="76" t="s">
        <v>260</v>
      </c>
      <c r="E309" s="115">
        <v>1.2013888888888891</v>
      </c>
      <c r="F309" s="76" t="s">
        <v>270</v>
      </c>
      <c r="G309" s="78">
        <v>9</v>
      </c>
      <c r="H309" s="116">
        <v>379</v>
      </c>
      <c r="I309" s="2"/>
    </row>
    <row r="310" spans="1:9" ht="19.8" customHeight="1" x14ac:dyDescent="0.3">
      <c r="A310" s="114">
        <v>46014</v>
      </c>
      <c r="B310" s="76" t="s">
        <v>41</v>
      </c>
      <c r="C310" s="77" t="s">
        <v>42</v>
      </c>
      <c r="D310" s="76" t="s">
        <v>260</v>
      </c>
      <c r="E310" s="115">
        <v>1.864583333333333</v>
      </c>
      <c r="F310" s="76" t="s">
        <v>84</v>
      </c>
      <c r="G310" s="78">
        <v>9</v>
      </c>
      <c r="H310" s="116">
        <v>411</v>
      </c>
      <c r="I310" s="2"/>
    </row>
    <row r="311" spans="1:9" ht="19.8" customHeight="1" x14ac:dyDescent="0.3">
      <c r="A311" s="114">
        <v>46014</v>
      </c>
      <c r="B311" s="76" t="s">
        <v>41</v>
      </c>
      <c r="C311" s="77" t="s">
        <v>71</v>
      </c>
      <c r="D311" s="76" t="s">
        <v>260</v>
      </c>
      <c r="E311" s="115">
        <v>1.1701388888888891</v>
      </c>
      <c r="F311" s="76" t="s">
        <v>84</v>
      </c>
      <c r="G311" s="78">
        <v>9</v>
      </c>
      <c r="H311" s="116">
        <v>411</v>
      </c>
      <c r="I311" s="2"/>
    </row>
    <row r="312" spans="1:9" ht="19.8" customHeight="1" x14ac:dyDescent="0.3">
      <c r="A312" s="114">
        <v>46014</v>
      </c>
      <c r="B312" s="76" t="s">
        <v>46</v>
      </c>
      <c r="C312" s="77" t="s">
        <v>261</v>
      </c>
      <c r="D312" s="76" t="s">
        <v>260</v>
      </c>
      <c r="E312" s="115">
        <v>1.958333333333333</v>
      </c>
      <c r="F312" s="76" t="s">
        <v>49</v>
      </c>
      <c r="G312" s="78">
        <v>8</v>
      </c>
      <c r="H312" s="116">
        <v>439</v>
      </c>
      <c r="I312" s="2"/>
    </row>
    <row r="313" spans="1:9" ht="19.8" customHeight="1" x14ac:dyDescent="0.3">
      <c r="A313" s="114">
        <v>46014</v>
      </c>
      <c r="B313" s="76" t="s">
        <v>26</v>
      </c>
      <c r="C313" s="77" t="s">
        <v>74</v>
      </c>
      <c r="D313" s="76" t="s">
        <v>260</v>
      </c>
      <c r="E313" s="115">
        <v>1.270833333333333</v>
      </c>
      <c r="F313" s="76" t="s">
        <v>49</v>
      </c>
      <c r="G313" s="78">
        <v>9</v>
      </c>
      <c r="H313" s="116">
        <v>566</v>
      </c>
      <c r="I313" s="2"/>
    </row>
    <row r="314" spans="1:9" ht="19.8" customHeight="1" x14ac:dyDescent="0.3">
      <c r="A314" s="117">
        <v>46014</v>
      </c>
      <c r="B314" s="79" t="s">
        <v>77</v>
      </c>
      <c r="C314" s="80" t="s">
        <v>78</v>
      </c>
      <c r="D314" s="79" t="s">
        <v>260</v>
      </c>
      <c r="E314" s="118">
        <v>1.305555555555556</v>
      </c>
      <c r="F314" s="79" t="s">
        <v>79</v>
      </c>
      <c r="G314" s="81">
        <v>4</v>
      </c>
      <c r="H314" s="83" t="s">
        <v>88</v>
      </c>
      <c r="I314" s="2"/>
    </row>
    <row r="315" spans="1:9" ht="19.8" customHeight="1" x14ac:dyDescent="0.3">
      <c r="A315" s="72"/>
      <c r="B315" s="73"/>
      <c r="C315" s="73"/>
      <c r="D315" s="73"/>
      <c r="E315" s="73"/>
      <c r="F315" s="74" t="s">
        <v>259</v>
      </c>
      <c r="G315" s="73"/>
      <c r="H315" s="75"/>
      <c r="I315" s="2"/>
    </row>
    <row r="316" spans="1:9" ht="19.8" customHeight="1" x14ac:dyDescent="0.3">
      <c r="A316" s="114">
        <v>46015</v>
      </c>
      <c r="B316" s="76" t="s">
        <v>57</v>
      </c>
      <c r="C316" s="77" t="s">
        <v>58</v>
      </c>
      <c r="D316" s="76" t="s">
        <v>260</v>
      </c>
      <c r="E316" s="115">
        <v>1.305555555555556</v>
      </c>
      <c r="F316" s="76" t="s">
        <v>60</v>
      </c>
      <c r="G316" s="78">
        <v>12</v>
      </c>
      <c r="H316" s="116">
        <v>309</v>
      </c>
      <c r="I316" s="2"/>
    </row>
    <row r="317" spans="1:9" ht="19.8" customHeight="1" x14ac:dyDescent="0.3">
      <c r="A317" s="114">
        <v>46015</v>
      </c>
      <c r="B317" s="76" t="s">
        <v>262</v>
      </c>
      <c r="C317" s="77" t="s">
        <v>263</v>
      </c>
      <c r="D317" s="76" t="s">
        <v>260</v>
      </c>
      <c r="E317" s="115">
        <v>1.9722222222222221</v>
      </c>
      <c r="F317" s="76" t="s">
        <v>264</v>
      </c>
      <c r="G317" s="78">
        <v>9</v>
      </c>
      <c r="H317" s="116">
        <v>348</v>
      </c>
      <c r="I317" s="2"/>
    </row>
    <row r="318" spans="1:9" ht="19.8" customHeight="1" x14ac:dyDescent="0.3">
      <c r="A318" s="114">
        <v>46015</v>
      </c>
      <c r="B318" s="76" t="s">
        <v>32</v>
      </c>
      <c r="C318" s="77" t="s">
        <v>33</v>
      </c>
      <c r="D318" s="76" t="s">
        <v>260</v>
      </c>
      <c r="E318" s="115">
        <v>1.850694444444444</v>
      </c>
      <c r="F318" s="76" t="s">
        <v>34</v>
      </c>
      <c r="G318" s="78">
        <v>7</v>
      </c>
      <c r="H318" s="116">
        <v>349</v>
      </c>
      <c r="I318" s="2"/>
    </row>
    <row r="319" spans="1:9" ht="19.8" customHeight="1" x14ac:dyDescent="0.3">
      <c r="A319" s="114">
        <v>46015</v>
      </c>
      <c r="B319" s="76" t="s">
        <v>41</v>
      </c>
      <c r="C319" s="77" t="s">
        <v>42</v>
      </c>
      <c r="D319" s="76" t="s">
        <v>260</v>
      </c>
      <c r="E319" s="115">
        <v>1.864583333333333</v>
      </c>
      <c r="F319" s="76" t="s">
        <v>84</v>
      </c>
      <c r="G319" s="78">
        <v>9</v>
      </c>
      <c r="H319" s="116">
        <v>411</v>
      </c>
      <c r="I319" s="2"/>
    </row>
    <row r="320" spans="1:9" ht="19.8" customHeight="1" x14ac:dyDescent="0.3">
      <c r="A320" s="114">
        <v>46015</v>
      </c>
      <c r="B320" s="76" t="s">
        <v>41</v>
      </c>
      <c r="C320" s="77" t="s">
        <v>68</v>
      </c>
      <c r="D320" s="76" t="s">
        <v>260</v>
      </c>
      <c r="E320" s="115">
        <v>1.5277777777777779</v>
      </c>
      <c r="F320" s="76" t="s">
        <v>84</v>
      </c>
      <c r="G320" s="78">
        <v>9</v>
      </c>
      <c r="H320" s="116">
        <v>411</v>
      </c>
      <c r="I320" s="2"/>
    </row>
    <row r="321" spans="1:9" ht="19.8" customHeight="1" x14ac:dyDescent="0.3">
      <c r="A321" s="114">
        <v>46015</v>
      </c>
      <c r="B321" s="76" t="s">
        <v>41</v>
      </c>
      <c r="C321" s="77" t="s">
        <v>71</v>
      </c>
      <c r="D321" s="76" t="s">
        <v>260</v>
      </c>
      <c r="E321" s="115">
        <v>1.1701388888888891</v>
      </c>
      <c r="F321" s="76" t="s">
        <v>84</v>
      </c>
      <c r="G321" s="78">
        <v>9</v>
      </c>
      <c r="H321" s="116">
        <v>411</v>
      </c>
      <c r="I321" s="2"/>
    </row>
    <row r="322" spans="1:9" ht="19.8" customHeight="1" x14ac:dyDescent="0.3">
      <c r="A322" s="114">
        <v>46015</v>
      </c>
      <c r="B322" s="76" t="s">
        <v>46</v>
      </c>
      <c r="C322" s="77" t="s">
        <v>47</v>
      </c>
      <c r="D322" s="76" t="s">
        <v>260</v>
      </c>
      <c r="E322" s="115">
        <v>1.895833333333333</v>
      </c>
      <c r="F322" s="76" t="s">
        <v>49</v>
      </c>
      <c r="G322" s="78">
        <v>9</v>
      </c>
      <c r="H322" s="116">
        <v>439</v>
      </c>
      <c r="I322" s="2"/>
    </row>
    <row r="323" spans="1:9" ht="19.8" customHeight="1" x14ac:dyDescent="0.3">
      <c r="A323" s="114">
        <v>46015</v>
      </c>
      <c r="B323" s="76" t="s">
        <v>32</v>
      </c>
      <c r="C323" s="77" t="s">
        <v>33</v>
      </c>
      <c r="D323" s="76" t="s">
        <v>260</v>
      </c>
      <c r="E323" s="115">
        <v>1.850694444444444</v>
      </c>
      <c r="F323" s="76" t="s">
        <v>37</v>
      </c>
      <c r="G323" s="78">
        <v>7</v>
      </c>
      <c r="H323" s="116">
        <v>449</v>
      </c>
      <c r="I323" s="2"/>
    </row>
    <row r="324" spans="1:9" ht="19.8" customHeight="1" x14ac:dyDescent="0.3">
      <c r="A324" s="114">
        <v>46015</v>
      </c>
      <c r="B324" s="76" t="s">
        <v>57</v>
      </c>
      <c r="C324" s="77" t="s">
        <v>58</v>
      </c>
      <c r="D324" s="76" t="s">
        <v>260</v>
      </c>
      <c r="E324" s="115">
        <v>1.305555555555556</v>
      </c>
      <c r="F324" s="76" t="s">
        <v>63</v>
      </c>
      <c r="G324" s="78">
        <v>12</v>
      </c>
      <c r="H324" s="116">
        <v>459</v>
      </c>
      <c r="I324" s="2"/>
    </row>
    <row r="325" spans="1:9" ht="19.8" customHeight="1" x14ac:dyDescent="0.3">
      <c r="A325" s="114">
        <v>46015</v>
      </c>
      <c r="B325" s="76" t="s">
        <v>121</v>
      </c>
      <c r="C325" s="77" t="s">
        <v>265</v>
      </c>
      <c r="D325" s="76" t="s">
        <v>260</v>
      </c>
      <c r="E325" s="115">
        <v>1.0902777777777779</v>
      </c>
      <c r="F325" s="76" t="s">
        <v>49</v>
      </c>
      <c r="G325" s="78">
        <v>8</v>
      </c>
      <c r="H325" s="116">
        <v>500</v>
      </c>
      <c r="I325" s="2"/>
    </row>
    <row r="326" spans="1:9" ht="19.8" customHeight="1" x14ac:dyDescent="0.3">
      <c r="A326" s="114">
        <v>46015</v>
      </c>
      <c r="B326" s="76" t="s">
        <v>32</v>
      </c>
      <c r="C326" s="77" t="s">
        <v>33</v>
      </c>
      <c r="D326" s="76" t="s">
        <v>260</v>
      </c>
      <c r="E326" s="115">
        <v>1.850694444444444</v>
      </c>
      <c r="F326" s="76" t="s">
        <v>39</v>
      </c>
      <c r="G326" s="78">
        <v>7</v>
      </c>
      <c r="H326" s="116">
        <v>539</v>
      </c>
      <c r="I326" s="2"/>
    </row>
    <row r="327" spans="1:9" ht="19.8" customHeight="1" x14ac:dyDescent="0.3">
      <c r="A327" s="114">
        <v>46015</v>
      </c>
      <c r="B327" s="76" t="s">
        <v>262</v>
      </c>
      <c r="C327" s="77" t="s">
        <v>263</v>
      </c>
      <c r="D327" s="76" t="s">
        <v>260</v>
      </c>
      <c r="E327" s="115">
        <v>1.9722222222222221</v>
      </c>
      <c r="F327" s="76" t="s">
        <v>65</v>
      </c>
      <c r="G327" s="78">
        <v>9</v>
      </c>
      <c r="H327" s="116">
        <v>554</v>
      </c>
      <c r="I327" s="2"/>
    </row>
    <row r="328" spans="1:9" ht="19.8" customHeight="1" x14ac:dyDescent="0.3">
      <c r="A328" s="114">
        <v>46015</v>
      </c>
      <c r="B328" s="76" t="s">
        <v>57</v>
      </c>
      <c r="C328" s="77" t="s">
        <v>58</v>
      </c>
      <c r="D328" s="76" t="s">
        <v>260</v>
      </c>
      <c r="E328" s="115">
        <v>1.305555555555556</v>
      </c>
      <c r="F328" s="76" t="s">
        <v>65</v>
      </c>
      <c r="G328" s="78">
        <v>12</v>
      </c>
      <c r="H328" s="116">
        <v>899</v>
      </c>
      <c r="I328" s="2"/>
    </row>
    <row r="329" spans="1:9" ht="19.8" customHeight="1" x14ac:dyDescent="0.3">
      <c r="A329" s="117">
        <v>46015</v>
      </c>
      <c r="B329" s="79" t="s">
        <v>77</v>
      </c>
      <c r="C329" s="80" t="s">
        <v>78</v>
      </c>
      <c r="D329" s="79" t="s">
        <v>260</v>
      </c>
      <c r="E329" s="118">
        <v>1.305555555555556</v>
      </c>
      <c r="F329" s="79" t="s">
        <v>79</v>
      </c>
      <c r="G329" s="81">
        <v>4</v>
      </c>
      <c r="H329" s="83" t="s">
        <v>88</v>
      </c>
      <c r="I329" s="2"/>
    </row>
    <row r="330" spans="1:9" ht="19.8" customHeight="1" x14ac:dyDescent="0.3">
      <c r="A330" s="72"/>
      <c r="B330" s="73"/>
      <c r="C330" s="73"/>
      <c r="D330" s="73"/>
      <c r="E330" s="73"/>
      <c r="F330" s="74" t="s">
        <v>259</v>
      </c>
      <c r="G330" s="73"/>
      <c r="H330" s="75"/>
      <c r="I330" s="2"/>
    </row>
    <row r="331" spans="1:9" ht="19.8" customHeight="1" x14ac:dyDescent="0.3">
      <c r="A331" s="114">
        <v>46016</v>
      </c>
      <c r="B331" s="76" t="s">
        <v>57</v>
      </c>
      <c r="C331" s="77" t="s">
        <v>58</v>
      </c>
      <c r="D331" s="76" t="s">
        <v>260</v>
      </c>
      <c r="E331" s="115">
        <v>1.305555555555556</v>
      </c>
      <c r="F331" s="76" t="s">
        <v>60</v>
      </c>
      <c r="G331" s="78">
        <v>20</v>
      </c>
      <c r="H331" s="116">
        <v>339</v>
      </c>
      <c r="I331" s="2"/>
    </row>
    <row r="332" spans="1:9" ht="19.8" customHeight="1" x14ac:dyDescent="0.3">
      <c r="A332" s="114">
        <v>46016</v>
      </c>
      <c r="B332" s="76" t="s">
        <v>32</v>
      </c>
      <c r="C332" s="77" t="s">
        <v>113</v>
      </c>
      <c r="D332" s="76" t="s">
        <v>260</v>
      </c>
      <c r="E332" s="115">
        <v>1.2013888888888891</v>
      </c>
      <c r="F332" s="76" t="s">
        <v>34</v>
      </c>
      <c r="G332" s="78">
        <v>3</v>
      </c>
      <c r="H332" s="116">
        <v>379</v>
      </c>
      <c r="I332" s="2"/>
    </row>
    <row r="333" spans="1:9" ht="19.8" customHeight="1" x14ac:dyDescent="0.3">
      <c r="A333" s="114">
        <v>46016</v>
      </c>
      <c r="B333" s="76" t="s">
        <v>32</v>
      </c>
      <c r="C333" s="77" t="s">
        <v>33</v>
      </c>
      <c r="D333" s="76" t="s">
        <v>260</v>
      </c>
      <c r="E333" s="115">
        <v>1.836805555555556</v>
      </c>
      <c r="F333" s="76" t="s">
        <v>34</v>
      </c>
      <c r="G333" s="78">
        <v>1</v>
      </c>
      <c r="H333" s="116">
        <v>409</v>
      </c>
      <c r="I333" s="2"/>
    </row>
    <row r="334" spans="1:9" ht="19.8" customHeight="1" x14ac:dyDescent="0.3">
      <c r="A334" s="114">
        <v>46016</v>
      </c>
      <c r="B334" s="76" t="s">
        <v>41</v>
      </c>
      <c r="C334" s="77" t="s">
        <v>71</v>
      </c>
      <c r="D334" s="76" t="s">
        <v>260</v>
      </c>
      <c r="E334" s="115">
        <v>1.1701388888888891</v>
      </c>
      <c r="F334" s="76" t="s">
        <v>84</v>
      </c>
      <c r="G334" s="78">
        <v>9</v>
      </c>
      <c r="H334" s="116">
        <v>411</v>
      </c>
      <c r="I334" s="2"/>
    </row>
    <row r="335" spans="1:9" ht="19.8" customHeight="1" x14ac:dyDescent="0.3">
      <c r="A335" s="114">
        <v>46016</v>
      </c>
      <c r="B335" s="76" t="s">
        <v>32</v>
      </c>
      <c r="C335" s="77" t="s">
        <v>113</v>
      </c>
      <c r="D335" s="76" t="s">
        <v>260</v>
      </c>
      <c r="E335" s="115">
        <v>1.2013888888888891</v>
      </c>
      <c r="F335" s="76" t="s">
        <v>37</v>
      </c>
      <c r="G335" s="78">
        <v>3</v>
      </c>
      <c r="H335" s="116">
        <v>479</v>
      </c>
      <c r="I335" s="2"/>
    </row>
    <row r="336" spans="1:9" ht="19.8" customHeight="1" x14ac:dyDescent="0.3">
      <c r="A336" s="114">
        <v>46016</v>
      </c>
      <c r="B336" s="76" t="s">
        <v>57</v>
      </c>
      <c r="C336" s="77" t="s">
        <v>58</v>
      </c>
      <c r="D336" s="76" t="s">
        <v>260</v>
      </c>
      <c r="E336" s="115">
        <v>1.305555555555556</v>
      </c>
      <c r="F336" s="76" t="s">
        <v>63</v>
      </c>
      <c r="G336" s="78">
        <v>20</v>
      </c>
      <c r="H336" s="116">
        <v>489</v>
      </c>
      <c r="I336" s="2"/>
    </row>
    <row r="337" spans="1:9" ht="19.8" customHeight="1" x14ac:dyDescent="0.3">
      <c r="A337" s="114">
        <v>46016</v>
      </c>
      <c r="B337" s="76" t="s">
        <v>121</v>
      </c>
      <c r="C337" s="77" t="s">
        <v>265</v>
      </c>
      <c r="D337" s="76" t="s">
        <v>260</v>
      </c>
      <c r="E337" s="115">
        <v>1.8888888888888891</v>
      </c>
      <c r="F337" s="76" t="s">
        <v>128</v>
      </c>
      <c r="G337" s="78">
        <v>2</v>
      </c>
      <c r="H337" s="116">
        <v>500</v>
      </c>
      <c r="I337" s="2"/>
    </row>
    <row r="338" spans="1:9" ht="19.8" customHeight="1" x14ac:dyDescent="0.3">
      <c r="A338" s="114">
        <v>46016</v>
      </c>
      <c r="B338" s="76" t="s">
        <v>32</v>
      </c>
      <c r="C338" s="77" t="s">
        <v>33</v>
      </c>
      <c r="D338" s="76" t="s">
        <v>260</v>
      </c>
      <c r="E338" s="115">
        <v>1.836805555555556</v>
      </c>
      <c r="F338" s="76" t="s">
        <v>37</v>
      </c>
      <c r="G338" s="78">
        <v>1</v>
      </c>
      <c r="H338" s="116">
        <v>509</v>
      </c>
      <c r="I338" s="2"/>
    </row>
    <row r="339" spans="1:9" ht="19.8" customHeight="1" x14ac:dyDescent="0.3">
      <c r="A339" s="114">
        <v>46016</v>
      </c>
      <c r="B339" s="76" t="s">
        <v>46</v>
      </c>
      <c r="C339" s="77" t="s">
        <v>261</v>
      </c>
      <c r="D339" s="76" t="s">
        <v>260</v>
      </c>
      <c r="E339" s="115">
        <v>1.958333333333333</v>
      </c>
      <c r="F339" s="76" t="s">
        <v>49</v>
      </c>
      <c r="G339" s="78">
        <v>9</v>
      </c>
      <c r="H339" s="116">
        <v>563</v>
      </c>
      <c r="I339" s="2"/>
    </row>
    <row r="340" spans="1:9" ht="19.8" customHeight="1" x14ac:dyDescent="0.3">
      <c r="A340" s="114">
        <v>46016</v>
      </c>
      <c r="B340" s="76" t="s">
        <v>32</v>
      </c>
      <c r="C340" s="77" t="s">
        <v>113</v>
      </c>
      <c r="D340" s="76" t="s">
        <v>260</v>
      </c>
      <c r="E340" s="115">
        <v>1.2013888888888891</v>
      </c>
      <c r="F340" s="76" t="s">
        <v>39</v>
      </c>
      <c r="G340" s="78">
        <v>3</v>
      </c>
      <c r="H340" s="116">
        <v>569</v>
      </c>
      <c r="I340" s="2"/>
    </row>
    <row r="341" spans="1:9" ht="19.8" customHeight="1" x14ac:dyDescent="0.3">
      <c r="A341" s="114">
        <v>46016</v>
      </c>
      <c r="B341" s="76" t="s">
        <v>32</v>
      </c>
      <c r="C341" s="77" t="s">
        <v>33</v>
      </c>
      <c r="D341" s="76" t="s">
        <v>260</v>
      </c>
      <c r="E341" s="115">
        <v>1.836805555555556</v>
      </c>
      <c r="F341" s="76" t="s">
        <v>39</v>
      </c>
      <c r="G341" s="78">
        <v>1</v>
      </c>
      <c r="H341" s="116">
        <v>599</v>
      </c>
      <c r="I341" s="2"/>
    </row>
    <row r="342" spans="1:9" ht="19.8" customHeight="1" x14ac:dyDescent="0.3">
      <c r="A342" s="114">
        <v>46016</v>
      </c>
      <c r="B342" s="76" t="s">
        <v>26</v>
      </c>
      <c r="C342" s="77" t="s">
        <v>74</v>
      </c>
      <c r="D342" s="76" t="s">
        <v>260</v>
      </c>
      <c r="E342" s="115">
        <v>1.9236111111111109</v>
      </c>
      <c r="F342" s="76" t="s">
        <v>49</v>
      </c>
      <c r="G342" s="78">
        <v>9</v>
      </c>
      <c r="H342" s="116">
        <v>626</v>
      </c>
      <c r="I342" s="2"/>
    </row>
    <row r="343" spans="1:9" ht="19.8" customHeight="1" x14ac:dyDescent="0.3">
      <c r="A343" s="114">
        <v>46016</v>
      </c>
      <c r="B343" s="76" t="s">
        <v>41</v>
      </c>
      <c r="C343" s="77" t="s">
        <v>42</v>
      </c>
      <c r="D343" s="76" t="s">
        <v>260</v>
      </c>
      <c r="E343" s="115">
        <v>1.864583333333333</v>
      </c>
      <c r="F343" s="76" t="s">
        <v>44</v>
      </c>
      <c r="G343" s="78">
        <v>9</v>
      </c>
      <c r="H343" s="116">
        <v>697</v>
      </c>
      <c r="I343" s="2"/>
    </row>
    <row r="344" spans="1:9" ht="19.8" customHeight="1" x14ac:dyDescent="0.3">
      <c r="A344" s="114">
        <v>46016</v>
      </c>
      <c r="B344" s="76" t="s">
        <v>41</v>
      </c>
      <c r="C344" s="77" t="s">
        <v>68</v>
      </c>
      <c r="D344" s="76" t="s">
        <v>260</v>
      </c>
      <c r="E344" s="115">
        <v>1.5277777777777779</v>
      </c>
      <c r="F344" s="76" t="s">
        <v>44</v>
      </c>
      <c r="G344" s="78">
        <v>9</v>
      </c>
      <c r="H344" s="116">
        <v>701</v>
      </c>
      <c r="I344" s="2"/>
    </row>
    <row r="345" spans="1:9" ht="19.8" customHeight="1" x14ac:dyDescent="0.3">
      <c r="A345" s="114">
        <v>46016</v>
      </c>
      <c r="B345" s="76" t="s">
        <v>57</v>
      </c>
      <c r="C345" s="77" t="s">
        <v>58</v>
      </c>
      <c r="D345" s="76" t="s">
        <v>260</v>
      </c>
      <c r="E345" s="115">
        <v>1.305555555555556</v>
      </c>
      <c r="F345" s="76" t="s">
        <v>65</v>
      </c>
      <c r="G345" s="78">
        <v>20</v>
      </c>
      <c r="H345" s="116">
        <v>899</v>
      </c>
      <c r="I345" s="2"/>
    </row>
    <row r="346" spans="1:9" ht="19.8" customHeight="1" x14ac:dyDescent="0.3">
      <c r="A346" s="117">
        <v>46016</v>
      </c>
      <c r="B346" s="79" t="s">
        <v>77</v>
      </c>
      <c r="C346" s="80" t="s">
        <v>78</v>
      </c>
      <c r="D346" s="79" t="s">
        <v>260</v>
      </c>
      <c r="E346" s="118">
        <v>1.305555555555556</v>
      </c>
      <c r="F346" s="79" t="s">
        <v>79</v>
      </c>
      <c r="G346" s="81">
        <v>4</v>
      </c>
      <c r="H346" s="83" t="s">
        <v>104</v>
      </c>
      <c r="I346" s="2"/>
    </row>
    <row r="347" spans="1:9" ht="19.8" customHeight="1" x14ac:dyDescent="0.3">
      <c r="A347" s="120">
        <v>46017</v>
      </c>
      <c r="B347" s="69" t="s">
        <v>26</v>
      </c>
      <c r="C347" s="70" t="s">
        <v>27</v>
      </c>
      <c r="D347" s="69" t="s">
        <v>1</v>
      </c>
      <c r="E347" s="121">
        <v>1.291666666666667</v>
      </c>
      <c r="F347" s="69" t="s">
        <v>49</v>
      </c>
      <c r="G347" s="84">
        <v>9</v>
      </c>
      <c r="H347" s="122">
        <v>826</v>
      </c>
      <c r="I347" s="2"/>
    </row>
    <row r="348" spans="1:9" ht="19.8" customHeight="1" x14ac:dyDescent="0.3">
      <c r="A348" s="72"/>
      <c r="B348" s="73"/>
      <c r="C348" s="73"/>
      <c r="D348" s="73"/>
      <c r="E348" s="73"/>
      <c r="F348" s="74" t="s">
        <v>259</v>
      </c>
      <c r="G348" s="73"/>
      <c r="H348" s="75"/>
      <c r="I348" s="2"/>
    </row>
    <row r="349" spans="1:9" ht="19.8" customHeight="1" x14ac:dyDescent="0.3">
      <c r="A349" s="114">
        <v>46017</v>
      </c>
      <c r="B349" s="76" t="s">
        <v>57</v>
      </c>
      <c r="C349" s="77" t="s">
        <v>58</v>
      </c>
      <c r="D349" s="76" t="s">
        <v>260</v>
      </c>
      <c r="E349" s="115">
        <v>1.305555555555556</v>
      </c>
      <c r="F349" s="76" t="s">
        <v>60</v>
      </c>
      <c r="G349" s="78">
        <v>12</v>
      </c>
      <c r="H349" s="116">
        <v>309</v>
      </c>
      <c r="I349" s="2"/>
    </row>
    <row r="350" spans="1:9" ht="19.8" customHeight="1" x14ac:dyDescent="0.3">
      <c r="A350" s="114">
        <v>46017</v>
      </c>
      <c r="B350" s="76" t="s">
        <v>32</v>
      </c>
      <c r="C350" s="77" t="s">
        <v>33</v>
      </c>
      <c r="D350" s="76" t="s">
        <v>260</v>
      </c>
      <c r="E350" s="115">
        <v>1.836805555555556</v>
      </c>
      <c r="F350" s="76" t="s">
        <v>34</v>
      </c>
      <c r="G350" s="78">
        <v>7</v>
      </c>
      <c r="H350" s="116">
        <v>349</v>
      </c>
      <c r="I350" s="2"/>
    </row>
    <row r="351" spans="1:9" ht="19.8" customHeight="1" x14ac:dyDescent="0.3">
      <c r="A351" s="114">
        <v>46017</v>
      </c>
      <c r="B351" s="76" t="s">
        <v>41</v>
      </c>
      <c r="C351" s="77" t="s">
        <v>42</v>
      </c>
      <c r="D351" s="76" t="s">
        <v>260</v>
      </c>
      <c r="E351" s="115">
        <v>1.864583333333333</v>
      </c>
      <c r="F351" s="76" t="s">
        <v>84</v>
      </c>
      <c r="G351" s="78">
        <v>9</v>
      </c>
      <c r="H351" s="116">
        <v>411</v>
      </c>
      <c r="I351" s="2"/>
    </row>
    <row r="352" spans="1:9" ht="19.8" customHeight="1" x14ac:dyDescent="0.3">
      <c r="A352" s="114">
        <v>46017</v>
      </c>
      <c r="B352" s="76" t="s">
        <v>41</v>
      </c>
      <c r="C352" s="77" t="s">
        <v>71</v>
      </c>
      <c r="D352" s="76" t="s">
        <v>260</v>
      </c>
      <c r="E352" s="115">
        <v>1.1701388888888891</v>
      </c>
      <c r="F352" s="76" t="s">
        <v>84</v>
      </c>
      <c r="G352" s="78">
        <v>9</v>
      </c>
      <c r="H352" s="116">
        <v>411</v>
      </c>
      <c r="I352" s="2"/>
    </row>
    <row r="353" spans="1:9" ht="19.8" customHeight="1" x14ac:dyDescent="0.3">
      <c r="A353" s="114">
        <v>46017</v>
      </c>
      <c r="B353" s="76" t="s">
        <v>41</v>
      </c>
      <c r="C353" s="77" t="s">
        <v>68</v>
      </c>
      <c r="D353" s="76" t="s">
        <v>260</v>
      </c>
      <c r="E353" s="115">
        <v>1.5277777777777779</v>
      </c>
      <c r="F353" s="76" t="s">
        <v>84</v>
      </c>
      <c r="G353" s="78">
        <v>9</v>
      </c>
      <c r="H353" s="116">
        <v>415</v>
      </c>
      <c r="I353" s="2"/>
    </row>
    <row r="354" spans="1:9" ht="19.8" customHeight="1" x14ac:dyDescent="0.3">
      <c r="A354" s="114">
        <v>46017</v>
      </c>
      <c r="B354" s="76" t="s">
        <v>46</v>
      </c>
      <c r="C354" s="77" t="s">
        <v>47</v>
      </c>
      <c r="D354" s="76" t="s">
        <v>260</v>
      </c>
      <c r="E354" s="115">
        <v>1.958333333333333</v>
      </c>
      <c r="F354" s="76" t="s">
        <v>128</v>
      </c>
      <c r="G354" s="78">
        <v>9</v>
      </c>
      <c r="H354" s="116">
        <v>439</v>
      </c>
      <c r="I354" s="2"/>
    </row>
    <row r="355" spans="1:9" ht="19.8" customHeight="1" x14ac:dyDescent="0.3">
      <c r="A355" s="114">
        <v>46017</v>
      </c>
      <c r="B355" s="76" t="s">
        <v>32</v>
      </c>
      <c r="C355" s="77" t="s">
        <v>33</v>
      </c>
      <c r="D355" s="76" t="s">
        <v>260</v>
      </c>
      <c r="E355" s="115">
        <v>1.836805555555556</v>
      </c>
      <c r="F355" s="76" t="s">
        <v>37</v>
      </c>
      <c r="G355" s="78">
        <v>7</v>
      </c>
      <c r="H355" s="116">
        <v>449</v>
      </c>
      <c r="I355" s="2"/>
    </row>
    <row r="356" spans="1:9" ht="19.8" customHeight="1" x14ac:dyDescent="0.3">
      <c r="A356" s="114">
        <v>46017</v>
      </c>
      <c r="B356" s="76" t="s">
        <v>57</v>
      </c>
      <c r="C356" s="77" t="s">
        <v>58</v>
      </c>
      <c r="D356" s="76" t="s">
        <v>260</v>
      </c>
      <c r="E356" s="115">
        <v>1.305555555555556</v>
      </c>
      <c r="F356" s="76" t="s">
        <v>63</v>
      </c>
      <c r="G356" s="78">
        <v>12</v>
      </c>
      <c r="H356" s="116">
        <v>459</v>
      </c>
      <c r="I356" s="2"/>
    </row>
    <row r="357" spans="1:9" ht="19.8" customHeight="1" x14ac:dyDescent="0.3">
      <c r="A357" s="114">
        <v>46017</v>
      </c>
      <c r="B357" s="76" t="s">
        <v>32</v>
      </c>
      <c r="C357" s="77" t="s">
        <v>33</v>
      </c>
      <c r="D357" s="76" t="s">
        <v>260</v>
      </c>
      <c r="E357" s="115">
        <v>1.836805555555556</v>
      </c>
      <c r="F357" s="76" t="s">
        <v>39</v>
      </c>
      <c r="G357" s="78">
        <v>7</v>
      </c>
      <c r="H357" s="116">
        <v>539</v>
      </c>
      <c r="I357" s="2"/>
    </row>
    <row r="358" spans="1:9" ht="19.8" customHeight="1" x14ac:dyDescent="0.3">
      <c r="A358" s="114">
        <v>46017</v>
      </c>
      <c r="B358" s="76" t="s">
        <v>26</v>
      </c>
      <c r="C358" s="77" t="s">
        <v>74</v>
      </c>
      <c r="D358" s="76" t="s">
        <v>260</v>
      </c>
      <c r="E358" s="115">
        <v>1.5798611111111109</v>
      </c>
      <c r="F358" s="76" t="s">
        <v>49</v>
      </c>
      <c r="G358" s="78">
        <v>9</v>
      </c>
      <c r="H358" s="116">
        <v>626</v>
      </c>
      <c r="I358" s="2"/>
    </row>
    <row r="359" spans="1:9" ht="19.8" customHeight="1" x14ac:dyDescent="0.3">
      <c r="A359" s="114">
        <v>46017</v>
      </c>
      <c r="B359" s="76" t="s">
        <v>57</v>
      </c>
      <c r="C359" s="77" t="s">
        <v>58</v>
      </c>
      <c r="D359" s="76" t="s">
        <v>260</v>
      </c>
      <c r="E359" s="115">
        <v>1.305555555555556</v>
      </c>
      <c r="F359" s="76" t="s">
        <v>65</v>
      </c>
      <c r="G359" s="78">
        <v>12</v>
      </c>
      <c r="H359" s="116">
        <v>899</v>
      </c>
      <c r="I359" s="2"/>
    </row>
    <row r="360" spans="1:9" ht="19.8" customHeight="1" x14ac:dyDescent="0.3">
      <c r="A360" s="117">
        <v>46017</v>
      </c>
      <c r="B360" s="79" t="s">
        <v>77</v>
      </c>
      <c r="C360" s="80" t="s">
        <v>78</v>
      </c>
      <c r="D360" s="79" t="s">
        <v>260</v>
      </c>
      <c r="E360" s="118">
        <v>1.305555555555556</v>
      </c>
      <c r="F360" s="79" t="s">
        <v>79</v>
      </c>
      <c r="G360" s="81">
        <v>4</v>
      </c>
      <c r="H360" s="83" t="s">
        <v>88</v>
      </c>
      <c r="I360" s="2"/>
    </row>
    <row r="361" spans="1:9" ht="19.8" customHeight="1" x14ac:dyDescent="0.3">
      <c r="A361" s="72"/>
      <c r="B361" s="73"/>
      <c r="C361" s="73"/>
      <c r="D361" s="73"/>
      <c r="E361" s="73"/>
      <c r="F361" s="74" t="s">
        <v>259</v>
      </c>
      <c r="G361" s="73"/>
      <c r="H361" s="75"/>
      <c r="I361" s="2"/>
    </row>
    <row r="362" spans="1:9" ht="19.8" customHeight="1" x14ac:dyDescent="0.3">
      <c r="A362" s="114">
        <v>46018</v>
      </c>
      <c r="B362" s="76" t="s">
        <v>57</v>
      </c>
      <c r="C362" s="77" t="s">
        <v>58</v>
      </c>
      <c r="D362" s="76" t="s">
        <v>260</v>
      </c>
      <c r="E362" s="115">
        <v>1.305555555555556</v>
      </c>
      <c r="F362" s="76" t="s">
        <v>60</v>
      </c>
      <c r="G362" s="78">
        <v>18</v>
      </c>
      <c r="H362" s="116">
        <v>309</v>
      </c>
      <c r="I362" s="2"/>
    </row>
    <row r="363" spans="1:9" ht="19.8" customHeight="1" x14ac:dyDescent="0.3">
      <c r="A363" s="114">
        <v>46018</v>
      </c>
      <c r="B363" s="76" t="s">
        <v>32</v>
      </c>
      <c r="C363" s="77" t="s">
        <v>33</v>
      </c>
      <c r="D363" s="76" t="s">
        <v>260</v>
      </c>
      <c r="E363" s="115">
        <v>1.836805555555556</v>
      </c>
      <c r="F363" s="76" t="s">
        <v>34</v>
      </c>
      <c r="G363" s="78">
        <v>9</v>
      </c>
      <c r="H363" s="116">
        <v>349</v>
      </c>
      <c r="I363" s="2"/>
    </row>
    <row r="364" spans="1:9" ht="19.8" customHeight="1" x14ac:dyDescent="0.3">
      <c r="A364" s="114">
        <v>46018</v>
      </c>
      <c r="B364" s="76" t="s">
        <v>32</v>
      </c>
      <c r="C364" s="77" t="s">
        <v>113</v>
      </c>
      <c r="D364" s="76" t="s">
        <v>260</v>
      </c>
      <c r="E364" s="115">
        <v>1.2013888888888891</v>
      </c>
      <c r="F364" s="76" t="s">
        <v>34</v>
      </c>
      <c r="G364" s="78">
        <v>9</v>
      </c>
      <c r="H364" s="116">
        <v>349</v>
      </c>
      <c r="I364" s="2"/>
    </row>
    <row r="365" spans="1:9" ht="19.8" customHeight="1" x14ac:dyDescent="0.3">
      <c r="A365" s="114">
        <v>46018</v>
      </c>
      <c r="B365" s="76" t="s">
        <v>262</v>
      </c>
      <c r="C365" s="77" t="s">
        <v>263</v>
      </c>
      <c r="D365" s="76" t="s">
        <v>260</v>
      </c>
      <c r="E365" s="115">
        <v>1.9722222222222221</v>
      </c>
      <c r="F365" s="76" t="s">
        <v>264</v>
      </c>
      <c r="G365" s="78">
        <v>9</v>
      </c>
      <c r="H365" s="116">
        <v>354</v>
      </c>
      <c r="I365" s="2"/>
    </row>
    <row r="366" spans="1:9" ht="19.8" customHeight="1" x14ac:dyDescent="0.3">
      <c r="A366" s="114">
        <v>46018</v>
      </c>
      <c r="B366" s="76" t="s">
        <v>41</v>
      </c>
      <c r="C366" s="77" t="s">
        <v>42</v>
      </c>
      <c r="D366" s="76" t="s">
        <v>260</v>
      </c>
      <c r="E366" s="115">
        <v>1.868055555555556</v>
      </c>
      <c r="F366" s="76" t="s">
        <v>84</v>
      </c>
      <c r="G366" s="78">
        <v>9</v>
      </c>
      <c r="H366" s="116">
        <v>411</v>
      </c>
      <c r="I366" s="2"/>
    </row>
    <row r="367" spans="1:9" ht="19.8" customHeight="1" x14ac:dyDescent="0.3">
      <c r="A367" s="114">
        <v>46018</v>
      </c>
      <c r="B367" s="76" t="s">
        <v>41</v>
      </c>
      <c r="C367" s="77" t="s">
        <v>68</v>
      </c>
      <c r="D367" s="76" t="s">
        <v>260</v>
      </c>
      <c r="E367" s="115">
        <v>1.5277777777777779</v>
      </c>
      <c r="F367" s="76" t="s">
        <v>84</v>
      </c>
      <c r="G367" s="78">
        <v>9</v>
      </c>
      <c r="H367" s="116">
        <v>411</v>
      </c>
      <c r="I367" s="2"/>
    </row>
    <row r="368" spans="1:9" ht="19.8" customHeight="1" x14ac:dyDescent="0.3">
      <c r="A368" s="114">
        <v>46018</v>
      </c>
      <c r="B368" s="76" t="s">
        <v>41</v>
      </c>
      <c r="C368" s="77" t="s">
        <v>71</v>
      </c>
      <c r="D368" s="76" t="s">
        <v>260</v>
      </c>
      <c r="E368" s="115">
        <v>1.1701388888888891</v>
      </c>
      <c r="F368" s="76" t="s">
        <v>84</v>
      </c>
      <c r="G368" s="78">
        <v>9</v>
      </c>
      <c r="H368" s="116">
        <v>411</v>
      </c>
      <c r="I368" s="2"/>
    </row>
    <row r="369" spans="1:9" ht="19.8" customHeight="1" x14ac:dyDescent="0.3">
      <c r="A369" s="114">
        <v>46018</v>
      </c>
      <c r="B369" s="76" t="s">
        <v>46</v>
      </c>
      <c r="C369" s="77" t="s">
        <v>261</v>
      </c>
      <c r="D369" s="76" t="s">
        <v>260</v>
      </c>
      <c r="E369" s="115">
        <v>1.944444444444444</v>
      </c>
      <c r="F369" s="76" t="s">
        <v>128</v>
      </c>
      <c r="G369" s="78">
        <v>9</v>
      </c>
      <c r="H369" s="116">
        <v>439</v>
      </c>
      <c r="I369" s="2"/>
    </row>
    <row r="370" spans="1:9" ht="19.8" customHeight="1" x14ac:dyDescent="0.3">
      <c r="A370" s="114">
        <v>46018</v>
      </c>
      <c r="B370" s="76" t="s">
        <v>32</v>
      </c>
      <c r="C370" s="77" t="s">
        <v>33</v>
      </c>
      <c r="D370" s="76" t="s">
        <v>260</v>
      </c>
      <c r="E370" s="115">
        <v>1.836805555555556</v>
      </c>
      <c r="F370" s="76" t="s">
        <v>37</v>
      </c>
      <c r="G370" s="78">
        <v>9</v>
      </c>
      <c r="H370" s="116">
        <v>449</v>
      </c>
      <c r="I370" s="2"/>
    </row>
    <row r="371" spans="1:9" ht="19.8" customHeight="1" x14ac:dyDescent="0.3">
      <c r="A371" s="114">
        <v>46018</v>
      </c>
      <c r="B371" s="76" t="s">
        <v>32</v>
      </c>
      <c r="C371" s="77" t="s">
        <v>113</v>
      </c>
      <c r="D371" s="76" t="s">
        <v>260</v>
      </c>
      <c r="E371" s="115">
        <v>1.2013888888888891</v>
      </c>
      <c r="F371" s="76" t="s">
        <v>37</v>
      </c>
      <c r="G371" s="78">
        <v>9</v>
      </c>
      <c r="H371" s="116">
        <v>449</v>
      </c>
      <c r="I371" s="2"/>
    </row>
    <row r="372" spans="1:9" ht="19.8" customHeight="1" x14ac:dyDescent="0.3">
      <c r="A372" s="114">
        <v>46018</v>
      </c>
      <c r="B372" s="76" t="s">
        <v>57</v>
      </c>
      <c r="C372" s="77" t="s">
        <v>58</v>
      </c>
      <c r="D372" s="76" t="s">
        <v>260</v>
      </c>
      <c r="E372" s="115">
        <v>1.305555555555556</v>
      </c>
      <c r="F372" s="76" t="s">
        <v>63</v>
      </c>
      <c r="G372" s="78">
        <v>18</v>
      </c>
      <c r="H372" s="116">
        <v>459</v>
      </c>
      <c r="I372" s="2"/>
    </row>
    <row r="373" spans="1:9" ht="19.8" customHeight="1" x14ac:dyDescent="0.3">
      <c r="A373" s="114">
        <v>46018</v>
      </c>
      <c r="B373" s="76" t="s">
        <v>32</v>
      </c>
      <c r="C373" s="77" t="s">
        <v>33</v>
      </c>
      <c r="D373" s="76" t="s">
        <v>260</v>
      </c>
      <c r="E373" s="115">
        <v>1.836805555555556</v>
      </c>
      <c r="F373" s="76" t="s">
        <v>39</v>
      </c>
      <c r="G373" s="78">
        <v>9</v>
      </c>
      <c r="H373" s="116">
        <v>539</v>
      </c>
      <c r="I373" s="2"/>
    </row>
    <row r="374" spans="1:9" ht="19.8" customHeight="1" x14ac:dyDescent="0.3">
      <c r="A374" s="114">
        <v>46018</v>
      </c>
      <c r="B374" s="76" t="s">
        <v>32</v>
      </c>
      <c r="C374" s="77" t="s">
        <v>113</v>
      </c>
      <c r="D374" s="76" t="s">
        <v>260</v>
      </c>
      <c r="E374" s="115">
        <v>1.2013888888888891</v>
      </c>
      <c r="F374" s="76" t="s">
        <v>39</v>
      </c>
      <c r="G374" s="78">
        <v>9</v>
      </c>
      <c r="H374" s="116">
        <v>539</v>
      </c>
      <c r="I374" s="2"/>
    </row>
    <row r="375" spans="1:9" ht="19.8" customHeight="1" x14ac:dyDescent="0.3">
      <c r="A375" s="114">
        <v>46018</v>
      </c>
      <c r="B375" s="76" t="s">
        <v>262</v>
      </c>
      <c r="C375" s="77" t="s">
        <v>263</v>
      </c>
      <c r="D375" s="76" t="s">
        <v>260</v>
      </c>
      <c r="E375" s="115">
        <v>1.9722222222222221</v>
      </c>
      <c r="F375" s="76" t="s">
        <v>65</v>
      </c>
      <c r="G375" s="78">
        <v>9</v>
      </c>
      <c r="H375" s="116">
        <v>560</v>
      </c>
      <c r="I375" s="2"/>
    </row>
    <row r="376" spans="1:9" ht="19.8" customHeight="1" x14ac:dyDescent="0.3">
      <c r="A376" s="114">
        <v>46018</v>
      </c>
      <c r="B376" s="76" t="s">
        <v>26</v>
      </c>
      <c r="C376" s="77" t="s">
        <v>74</v>
      </c>
      <c r="D376" s="76" t="s">
        <v>260</v>
      </c>
      <c r="E376" s="115">
        <v>1.9236111111111109</v>
      </c>
      <c r="F376" s="76" t="s">
        <v>49</v>
      </c>
      <c r="G376" s="78">
        <v>9</v>
      </c>
      <c r="H376" s="116">
        <v>566</v>
      </c>
      <c r="I376" s="2"/>
    </row>
    <row r="377" spans="1:9" ht="19.8" customHeight="1" x14ac:dyDescent="0.3">
      <c r="A377" s="114">
        <v>46018</v>
      </c>
      <c r="B377" s="76" t="s">
        <v>57</v>
      </c>
      <c r="C377" s="77" t="s">
        <v>58</v>
      </c>
      <c r="D377" s="76" t="s">
        <v>260</v>
      </c>
      <c r="E377" s="115">
        <v>1.305555555555556</v>
      </c>
      <c r="F377" s="76" t="s">
        <v>65</v>
      </c>
      <c r="G377" s="78">
        <v>18</v>
      </c>
      <c r="H377" s="116">
        <v>899</v>
      </c>
      <c r="I377" s="2"/>
    </row>
    <row r="378" spans="1:9" ht="19.8" customHeight="1" x14ac:dyDescent="0.3">
      <c r="A378" s="117">
        <v>46018</v>
      </c>
      <c r="B378" s="79" t="s">
        <v>77</v>
      </c>
      <c r="C378" s="80" t="s">
        <v>78</v>
      </c>
      <c r="D378" s="79" t="s">
        <v>260</v>
      </c>
      <c r="E378" s="118">
        <v>1.305555555555556</v>
      </c>
      <c r="F378" s="79" t="s">
        <v>79</v>
      </c>
      <c r="G378" s="81">
        <v>4</v>
      </c>
      <c r="H378" s="83" t="s">
        <v>88</v>
      </c>
      <c r="I378" s="2"/>
    </row>
    <row r="379" spans="1:9" ht="19.8" customHeight="1" x14ac:dyDescent="0.3">
      <c r="A379" s="72"/>
      <c r="B379" s="73"/>
      <c r="C379" s="73"/>
      <c r="D379" s="73"/>
      <c r="E379" s="73"/>
      <c r="F379" s="74" t="s">
        <v>259</v>
      </c>
      <c r="G379" s="73"/>
      <c r="H379" s="75"/>
      <c r="I379" s="2"/>
    </row>
    <row r="380" spans="1:9" ht="19.8" customHeight="1" x14ac:dyDescent="0.3">
      <c r="A380" s="114">
        <v>46019</v>
      </c>
      <c r="B380" s="76" t="s">
        <v>57</v>
      </c>
      <c r="C380" s="77" t="s">
        <v>58</v>
      </c>
      <c r="D380" s="76" t="s">
        <v>260</v>
      </c>
      <c r="E380" s="115">
        <v>1.305555555555556</v>
      </c>
      <c r="F380" s="76" t="s">
        <v>60</v>
      </c>
      <c r="G380" s="78">
        <v>19</v>
      </c>
      <c r="H380" s="116">
        <v>309</v>
      </c>
      <c r="I380" s="2"/>
    </row>
    <row r="381" spans="1:9" ht="19.8" customHeight="1" x14ac:dyDescent="0.3">
      <c r="A381" s="114">
        <v>46019</v>
      </c>
      <c r="B381" s="76" t="s">
        <v>32</v>
      </c>
      <c r="C381" s="77" t="s">
        <v>33</v>
      </c>
      <c r="D381" s="76" t="s">
        <v>260</v>
      </c>
      <c r="E381" s="115">
        <v>1.850694444444444</v>
      </c>
      <c r="F381" s="76" t="s">
        <v>34</v>
      </c>
      <c r="G381" s="78">
        <v>7</v>
      </c>
      <c r="H381" s="116">
        <v>349</v>
      </c>
      <c r="I381" s="2"/>
    </row>
    <row r="382" spans="1:9" ht="19.8" customHeight="1" x14ac:dyDescent="0.3">
      <c r="A382" s="114">
        <v>46019</v>
      </c>
      <c r="B382" s="76" t="s">
        <v>41</v>
      </c>
      <c r="C382" s="77" t="s">
        <v>42</v>
      </c>
      <c r="D382" s="76" t="s">
        <v>260</v>
      </c>
      <c r="E382" s="115">
        <v>1.864583333333333</v>
      </c>
      <c r="F382" s="76" t="s">
        <v>84</v>
      </c>
      <c r="G382" s="78">
        <v>9</v>
      </c>
      <c r="H382" s="116">
        <v>411</v>
      </c>
      <c r="I382" s="2"/>
    </row>
    <row r="383" spans="1:9" ht="19.8" customHeight="1" x14ac:dyDescent="0.3">
      <c r="A383" s="114">
        <v>46019</v>
      </c>
      <c r="B383" s="76" t="s">
        <v>41</v>
      </c>
      <c r="C383" s="77" t="s">
        <v>68</v>
      </c>
      <c r="D383" s="76" t="s">
        <v>260</v>
      </c>
      <c r="E383" s="115">
        <v>1.5277777777777779</v>
      </c>
      <c r="F383" s="76" t="s">
        <v>84</v>
      </c>
      <c r="G383" s="78">
        <v>9</v>
      </c>
      <c r="H383" s="116">
        <v>411</v>
      </c>
      <c r="I383" s="2"/>
    </row>
    <row r="384" spans="1:9" ht="19.8" customHeight="1" x14ac:dyDescent="0.3">
      <c r="A384" s="114">
        <v>46019</v>
      </c>
      <c r="B384" s="76" t="s">
        <v>41</v>
      </c>
      <c r="C384" s="77" t="s">
        <v>71</v>
      </c>
      <c r="D384" s="76" t="s">
        <v>260</v>
      </c>
      <c r="E384" s="115">
        <v>1.1701388888888891</v>
      </c>
      <c r="F384" s="76" t="s">
        <v>84</v>
      </c>
      <c r="G384" s="78">
        <v>9</v>
      </c>
      <c r="H384" s="116">
        <v>411</v>
      </c>
      <c r="I384" s="2"/>
    </row>
    <row r="385" spans="1:9" ht="19.8" customHeight="1" x14ac:dyDescent="0.3">
      <c r="A385" s="114">
        <v>46019</v>
      </c>
      <c r="B385" s="76" t="s">
        <v>46</v>
      </c>
      <c r="C385" s="77" t="s">
        <v>266</v>
      </c>
      <c r="D385" s="76" t="s">
        <v>260</v>
      </c>
      <c r="E385" s="115">
        <v>1.958333333333333</v>
      </c>
      <c r="F385" s="76" t="s">
        <v>128</v>
      </c>
      <c r="G385" s="78">
        <v>9</v>
      </c>
      <c r="H385" s="116">
        <v>439</v>
      </c>
      <c r="I385" s="2"/>
    </row>
    <row r="386" spans="1:9" ht="19.8" customHeight="1" x14ac:dyDescent="0.3">
      <c r="A386" s="114">
        <v>46019</v>
      </c>
      <c r="B386" s="76" t="s">
        <v>32</v>
      </c>
      <c r="C386" s="77" t="s">
        <v>33</v>
      </c>
      <c r="D386" s="76" t="s">
        <v>260</v>
      </c>
      <c r="E386" s="115">
        <v>1.850694444444444</v>
      </c>
      <c r="F386" s="76" t="s">
        <v>37</v>
      </c>
      <c r="G386" s="78">
        <v>7</v>
      </c>
      <c r="H386" s="116">
        <v>449</v>
      </c>
      <c r="I386" s="2"/>
    </row>
    <row r="387" spans="1:9" ht="19.8" customHeight="1" x14ac:dyDescent="0.3">
      <c r="A387" s="114">
        <v>46019</v>
      </c>
      <c r="B387" s="76" t="s">
        <v>57</v>
      </c>
      <c r="C387" s="77" t="s">
        <v>58</v>
      </c>
      <c r="D387" s="76" t="s">
        <v>260</v>
      </c>
      <c r="E387" s="115">
        <v>1.305555555555556</v>
      </c>
      <c r="F387" s="76" t="s">
        <v>63</v>
      </c>
      <c r="G387" s="78">
        <v>19</v>
      </c>
      <c r="H387" s="116">
        <v>459</v>
      </c>
      <c r="I387" s="2"/>
    </row>
    <row r="388" spans="1:9" ht="19.8" customHeight="1" x14ac:dyDescent="0.3">
      <c r="A388" s="114">
        <v>46019</v>
      </c>
      <c r="B388" s="76" t="s">
        <v>32</v>
      </c>
      <c r="C388" s="77" t="s">
        <v>33</v>
      </c>
      <c r="D388" s="76" t="s">
        <v>260</v>
      </c>
      <c r="E388" s="115">
        <v>1.850694444444444</v>
      </c>
      <c r="F388" s="76" t="s">
        <v>39</v>
      </c>
      <c r="G388" s="78">
        <v>7</v>
      </c>
      <c r="H388" s="116">
        <v>539</v>
      </c>
      <c r="I388" s="2"/>
    </row>
    <row r="389" spans="1:9" ht="19.8" customHeight="1" x14ac:dyDescent="0.3">
      <c r="A389" s="114">
        <v>46019</v>
      </c>
      <c r="B389" s="76" t="s">
        <v>57</v>
      </c>
      <c r="C389" s="77" t="s">
        <v>58</v>
      </c>
      <c r="D389" s="76" t="s">
        <v>260</v>
      </c>
      <c r="E389" s="115">
        <v>1.305555555555556</v>
      </c>
      <c r="F389" s="76" t="s">
        <v>65</v>
      </c>
      <c r="G389" s="78">
        <v>19</v>
      </c>
      <c r="H389" s="116">
        <v>899</v>
      </c>
      <c r="I389" s="2"/>
    </row>
    <row r="390" spans="1:9" ht="19.8" customHeight="1" x14ac:dyDescent="0.3">
      <c r="A390" s="117">
        <v>46019</v>
      </c>
      <c r="B390" s="79" t="s">
        <v>77</v>
      </c>
      <c r="C390" s="80" t="s">
        <v>78</v>
      </c>
      <c r="D390" s="79" t="s">
        <v>260</v>
      </c>
      <c r="E390" s="118">
        <v>1.305555555555556</v>
      </c>
      <c r="F390" s="79" t="s">
        <v>79</v>
      </c>
      <c r="G390" s="81">
        <v>4</v>
      </c>
      <c r="H390" s="83" t="s">
        <v>88</v>
      </c>
      <c r="I390" s="2"/>
    </row>
    <row r="391" spans="1:9" ht="19.8" customHeight="1" x14ac:dyDescent="0.3">
      <c r="A391" s="120">
        <v>46020</v>
      </c>
      <c r="B391" s="69" t="s">
        <v>26</v>
      </c>
      <c r="C391" s="70" t="s">
        <v>27</v>
      </c>
      <c r="D391" s="69" t="s">
        <v>1</v>
      </c>
      <c r="E391" s="121">
        <v>1.510416666666667</v>
      </c>
      <c r="F391" s="69" t="s">
        <v>49</v>
      </c>
      <c r="G391" s="84">
        <v>9</v>
      </c>
      <c r="H391" s="71" t="s">
        <v>104</v>
      </c>
      <c r="I391" s="2"/>
    </row>
    <row r="392" spans="1:9" ht="19.8" customHeight="1" x14ac:dyDescent="0.3">
      <c r="A392" s="72"/>
      <c r="B392" s="73"/>
      <c r="C392" s="73"/>
      <c r="D392" s="73"/>
      <c r="E392" s="73"/>
      <c r="F392" s="74" t="s">
        <v>259</v>
      </c>
      <c r="G392" s="73"/>
      <c r="H392" s="75"/>
      <c r="I392" s="2"/>
    </row>
    <row r="393" spans="1:9" ht="19.8" customHeight="1" x14ac:dyDescent="0.3">
      <c r="A393" s="114">
        <v>46020</v>
      </c>
      <c r="B393" s="76" t="s">
        <v>57</v>
      </c>
      <c r="C393" s="77" t="s">
        <v>58</v>
      </c>
      <c r="D393" s="76" t="s">
        <v>260</v>
      </c>
      <c r="E393" s="115">
        <v>1.305555555555556</v>
      </c>
      <c r="F393" s="76" t="s">
        <v>60</v>
      </c>
      <c r="G393" s="78">
        <v>15</v>
      </c>
      <c r="H393" s="116">
        <v>309</v>
      </c>
      <c r="I393" s="2"/>
    </row>
    <row r="394" spans="1:9" ht="19.8" customHeight="1" x14ac:dyDescent="0.3">
      <c r="A394" s="114">
        <v>46020</v>
      </c>
      <c r="B394" s="76" t="s">
        <v>32</v>
      </c>
      <c r="C394" s="77" t="s">
        <v>33</v>
      </c>
      <c r="D394" s="76" t="s">
        <v>260</v>
      </c>
      <c r="E394" s="115">
        <v>1.836805555555556</v>
      </c>
      <c r="F394" s="76" t="s">
        <v>34</v>
      </c>
      <c r="G394" s="78">
        <v>9</v>
      </c>
      <c r="H394" s="116">
        <v>349</v>
      </c>
      <c r="I394" s="2"/>
    </row>
    <row r="395" spans="1:9" ht="19.8" customHeight="1" x14ac:dyDescent="0.3">
      <c r="A395" s="114">
        <v>46020</v>
      </c>
      <c r="B395" s="76" t="s">
        <v>32</v>
      </c>
      <c r="C395" s="77" t="s">
        <v>113</v>
      </c>
      <c r="D395" s="76" t="s">
        <v>260</v>
      </c>
      <c r="E395" s="115">
        <v>1.2013888888888891</v>
      </c>
      <c r="F395" s="76" t="s">
        <v>34</v>
      </c>
      <c r="G395" s="78">
        <v>9</v>
      </c>
      <c r="H395" s="116">
        <v>349</v>
      </c>
      <c r="I395" s="2"/>
    </row>
    <row r="396" spans="1:9" ht="19.8" customHeight="1" x14ac:dyDescent="0.3">
      <c r="A396" s="114">
        <v>46020</v>
      </c>
      <c r="B396" s="76" t="s">
        <v>41</v>
      </c>
      <c r="C396" s="77" t="s">
        <v>42</v>
      </c>
      <c r="D396" s="76" t="s">
        <v>260</v>
      </c>
      <c r="E396" s="115">
        <v>1.864583333333333</v>
      </c>
      <c r="F396" s="76" t="s">
        <v>84</v>
      </c>
      <c r="G396" s="78">
        <v>9</v>
      </c>
      <c r="H396" s="116">
        <v>411</v>
      </c>
      <c r="I396" s="2"/>
    </row>
    <row r="397" spans="1:9" ht="19.8" customHeight="1" x14ac:dyDescent="0.3">
      <c r="A397" s="114">
        <v>46020</v>
      </c>
      <c r="B397" s="76" t="s">
        <v>41</v>
      </c>
      <c r="C397" s="77" t="s">
        <v>68</v>
      </c>
      <c r="D397" s="76" t="s">
        <v>260</v>
      </c>
      <c r="E397" s="115">
        <v>1.5277777777777779</v>
      </c>
      <c r="F397" s="76" t="s">
        <v>84</v>
      </c>
      <c r="G397" s="78">
        <v>9</v>
      </c>
      <c r="H397" s="116">
        <v>411</v>
      </c>
      <c r="I397" s="2"/>
    </row>
    <row r="398" spans="1:9" ht="19.8" customHeight="1" x14ac:dyDescent="0.3">
      <c r="A398" s="114">
        <v>46020</v>
      </c>
      <c r="B398" s="76" t="s">
        <v>41</v>
      </c>
      <c r="C398" s="77" t="s">
        <v>71</v>
      </c>
      <c r="D398" s="76" t="s">
        <v>260</v>
      </c>
      <c r="E398" s="115">
        <v>1.1701388888888891</v>
      </c>
      <c r="F398" s="76" t="s">
        <v>84</v>
      </c>
      <c r="G398" s="78">
        <v>9</v>
      </c>
      <c r="H398" s="116">
        <v>411</v>
      </c>
      <c r="I398" s="2"/>
    </row>
    <row r="399" spans="1:9" ht="19.8" customHeight="1" x14ac:dyDescent="0.3">
      <c r="A399" s="114">
        <v>46020</v>
      </c>
      <c r="B399" s="76" t="s">
        <v>121</v>
      </c>
      <c r="C399" s="77" t="s">
        <v>122</v>
      </c>
      <c r="D399" s="76" t="s">
        <v>260</v>
      </c>
      <c r="E399" s="115">
        <v>1.1284722222222221</v>
      </c>
      <c r="F399" s="76" t="s">
        <v>128</v>
      </c>
      <c r="G399" s="78">
        <v>3</v>
      </c>
      <c r="H399" s="116">
        <v>425</v>
      </c>
      <c r="I399" s="2"/>
    </row>
    <row r="400" spans="1:9" ht="19.8" customHeight="1" x14ac:dyDescent="0.3">
      <c r="A400" s="114">
        <v>46020</v>
      </c>
      <c r="B400" s="76" t="s">
        <v>46</v>
      </c>
      <c r="C400" s="77" t="s">
        <v>47</v>
      </c>
      <c r="D400" s="76" t="s">
        <v>260</v>
      </c>
      <c r="E400" s="115">
        <v>1.958333333333333</v>
      </c>
      <c r="F400" s="76" t="s">
        <v>128</v>
      </c>
      <c r="G400" s="78">
        <v>9</v>
      </c>
      <c r="H400" s="116">
        <v>439</v>
      </c>
      <c r="I400" s="2"/>
    </row>
    <row r="401" spans="1:9" ht="19.8" customHeight="1" x14ac:dyDescent="0.3">
      <c r="A401" s="114">
        <v>46020</v>
      </c>
      <c r="B401" s="76" t="s">
        <v>32</v>
      </c>
      <c r="C401" s="77" t="s">
        <v>33</v>
      </c>
      <c r="D401" s="76" t="s">
        <v>260</v>
      </c>
      <c r="E401" s="115">
        <v>1.836805555555556</v>
      </c>
      <c r="F401" s="76" t="s">
        <v>37</v>
      </c>
      <c r="G401" s="78">
        <v>9</v>
      </c>
      <c r="H401" s="116">
        <v>449</v>
      </c>
      <c r="I401" s="2"/>
    </row>
    <row r="402" spans="1:9" ht="19.8" customHeight="1" x14ac:dyDescent="0.3">
      <c r="A402" s="114">
        <v>46020</v>
      </c>
      <c r="B402" s="76" t="s">
        <v>32</v>
      </c>
      <c r="C402" s="77" t="s">
        <v>113</v>
      </c>
      <c r="D402" s="76" t="s">
        <v>260</v>
      </c>
      <c r="E402" s="115">
        <v>1.2013888888888891</v>
      </c>
      <c r="F402" s="76" t="s">
        <v>37</v>
      </c>
      <c r="G402" s="78">
        <v>9</v>
      </c>
      <c r="H402" s="116">
        <v>449</v>
      </c>
      <c r="I402" s="2"/>
    </row>
    <row r="403" spans="1:9" ht="19.8" customHeight="1" x14ac:dyDescent="0.3">
      <c r="A403" s="114">
        <v>46020</v>
      </c>
      <c r="B403" s="76" t="s">
        <v>57</v>
      </c>
      <c r="C403" s="77" t="s">
        <v>58</v>
      </c>
      <c r="D403" s="76" t="s">
        <v>260</v>
      </c>
      <c r="E403" s="115">
        <v>1.305555555555556</v>
      </c>
      <c r="F403" s="76" t="s">
        <v>63</v>
      </c>
      <c r="G403" s="78">
        <v>15</v>
      </c>
      <c r="H403" s="116">
        <v>459</v>
      </c>
      <c r="I403" s="2"/>
    </row>
    <row r="404" spans="1:9" ht="19.8" customHeight="1" x14ac:dyDescent="0.3">
      <c r="A404" s="114">
        <v>46020</v>
      </c>
      <c r="B404" s="76" t="s">
        <v>32</v>
      </c>
      <c r="C404" s="77" t="s">
        <v>33</v>
      </c>
      <c r="D404" s="76" t="s">
        <v>260</v>
      </c>
      <c r="E404" s="115">
        <v>1.836805555555556</v>
      </c>
      <c r="F404" s="76" t="s">
        <v>39</v>
      </c>
      <c r="G404" s="78">
        <v>9</v>
      </c>
      <c r="H404" s="116">
        <v>539</v>
      </c>
      <c r="I404" s="2"/>
    </row>
    <row r="405" spans="1:9" ht="19.8" customHeight="1" x14ac:dyDescent="0.3">
      <c r="A405" s="114">
        <v>46020</v>
      </c>
      <c r="B405" s="76" t="s">
        <v>32</v>
      </c>
      <c r="C405" s="77" t="s">
        <v>113</v>
      </c>
      <c r="D405" s="76" t="s">
        <v>260</v>
      </c>
      <c r="E405" s="115">
        <v>1.2013888888888891</v>
      </c>
      <c r="F405" s="76" t="s">
        <v>39</v>
      </c>
      <c r="G405" s="78">
        <v>9</v>
      </c>
      <c r="H405" s="116">
        <v>539</v>
      </c>
      <c r="I405" s="2"/>
    </row>
    <row r="406" spans="1:9" ht="19.8" customHeight="1" x14ac:dyDescent="0.3">
      <c r="A406" s="114">
        <v>46020</v>
      </c>
      <c r="B406" s="76" t="s">
        <v>57</v>
      </c>
      <c r="C406" s="77" t="s">
        <v>58</v>
      </c>
      <c r="D406" s="76" t="s">
        <v>260</v>
      </c>
      <c r="E406" s="115">
        <v>1.305555555555556</v>
      </c>
      <c r="F406" s="76" t="s">
        <v>65</v>
      </c>
      <c r="G406" s="78">
        <v>15</v>
      </c>
      <c r="H406" s="116">
        <v>899</v>
      </c>
      <c r="I406" s="2"/>
    </row>
    <row r="407" spans="1:9" ht="19.8" customHeight="1" x14ac:dyDescent="0.3">
      <c r="A407" s="117">
        <v>46020</v>
      </c>
      <c r="B407" s="79" t="s">
        <v>77</v>
      </c>
      <c r="C407" s="80" t="s">
        <v>78</v>
      </c>
      <c r="D407" s="79" t="s">
        <v>260</v>
      </c>
      <c r="E407" s="118">
        <v>1.305555555555556</v>
      </c>
      <c r="F407" s="79" t="s">
        <v>79</v>
      </c>
      <c r="G407" s="81">
        <v>4</v>
      </c>
      <c r="H407" s="83" t="s">
        <v>88</v>
      </c>
      <c r="I407" s="2"/>
    </row>
    <row r="408" spans="1:9" ht="19.8" customHeight="1" x14ac:dyDescent="0.3">
      <c r="A408" s="72"/>
      <c r="B408" s="73"/>
      <c r="C408" s="73"/>
      <c r="D408" s="73"/>
      <c r="E408" s="73"/>
      <c r="F408" s="74" t="s">
        <v>259</v>
      </c>
      <c r="G408" s="73"/>
      <c r="H408" s="75"/>
      <c r="I408" s="2"/>
    </row>
    <row r="409" spans="1:9" ht="19.8" customHeight="1" x14ac:dyDescent="0.3">
      <c r="A409" s="114">
        <v>46021</v>
      </c>
      <c r="B409" s="76" t="s">
        <v>57</v>
      </c>
      <c r="C409" s="77" t="s">
        <v>58</v>
      </c>
      <c r="D409" s="76" t="s">
        <v>260</v>
      </c>
      <c r="E409" s="115">
        <v>1.305555555555556</v>
      </c>
      <c r="F409" s="76" t="s">
        <v>60</v>
      </c>
      <c r="G409" s="78">
        <v>11</v>
      </c>
      <c r="H409" s="116">
        <v>309</v>
      </c>
      <c r="I409" s="2"/>
    </row>
    <row r="410" spans="1:9" ht="19.8" customHeight="1" x14ac:dyDescent="0.3">
      <c r="A410" s="114">
        <v>46021</v>
      </c>
      <c r="B410" s="76" t="s">
        <v>32</v>
      </c>
      <c r="C410" s="77" t="s">
        <v>113</v>
      </c>
      <c r="D410" s="76" t="s">
        <v>260</v>
      </c>
      <c r="E410" s="115">
        <v>1.2013888888888891</v>
      </c>
      <c r="F410" s="76" t="s">
        <v>34</v>
      </c>
      <c r="G410" s="78">
        <v>3</v>
      </c>
      <c r="H410" s="116">
        <v>349</v>
      </c>
      <c r="I410" s="2"/>
    </row>
    <row r="411" spans="1:9" ht="19.8" customHeight="1" x14ac:dyDescent="0.3">
      <c r="A411" s="114">
        <v>46021</v>
      </c>
      <c r="B411" s="76" t="s">
        <v>32</v>
      </c>
      <c r="C411" s="77" t="s">
        <v>33</v>
      </c>
      <c r="D411" s="76" t="s">
        <v>260</v>
      </c>
      <c r="E411" s="115">
        <v>1.836805555555556</v>
      </c>
      <c r="F411" s="76" t="s">
        <v>34</v>
      </c>
      <c r="G411" s="78">
        <v>7</v>
      </c>
      <c r="H411" s="116">
        <v>409</v>
      </c>
      <c r="I411" s="2"/>
    </row>
    <row r="412" spans="1:9" ht="19.8" customHeight="1" x14ac:dyDescent="0.3">
      <c r="A412" s="114">
        <v>46021</v>
      </c>
      <c r="B412" s="76" t="s">
        <v>41</v>
      </c>
      <c r="C412" s="77" t="s">
        <v>42</v>
      </c>
      <c r="D412" s="76" t="s">
        <v>260</v>
      </c>
      <c r="E412" s="115">
        <v>1.864583333333333</v>
      </c>
      <c r="F412" s="76" t="s">
        <v>84</v>
      </c>
      <c r="G412" s="78">
        <v>9</v>
      </c>
      <c r="H412" s="116">
        <v>411</v>
      </c>
      <c r="I412" s="2"/>
    </row>
    <row r="413" spans="1:9" ht="19.8" customHeight="1" x14ac:dyDescent="0.3">
      <c r="A413" s="114">
        <v>46021</v>
      </c>
      <c r="B413" s="76" t="s">
        <v>41</v>
      </c>
      <c r="C413" s="77" t="s">
        <v>68</v>
      </c>
      <c r="D413" s="76" t="s">
        <v>260</v>
      </c>
      <c r="E413" s="115">
        <v>1.5277777777777779</v>
      </c>
      <c r="F413" s="76" t="s">
        <v>84</v>
      </c>
      <c r="G413" s="78">
        <v>9</v>
      </c>
      <c r="H413" s="116">
        <v>411</v>
      </c>
      <c r="I413" s="2"/>
    </row>
    <row r="414" spans="1:9" ht="19.8" customHeight="1" x14ac:dyDescent="0.3">
      <c r="A414" s="114">
        <v>46021</v>
      </c>
      <c r="B414" s="76" t="s">
        <v>41</v>
      </c>
      <c r="C414" s="77" t="s">
        <v>71</v>
      </c>
      <c r="D414" s="76" t="s">
        <v>260</v>
      </c>
      <c r="E414" s="115">
        <v>1.1701388888888891</v>
      </c>
      <c r="F414" s="76" t="s">
        <v>84</v>
      </c>
      <c r="G414" s="78">
        <v>9</v>
      </c>
      <c r="H414" s="116">
        <v>411</v>
      </c>
      <c r="I414" s="2"/>
    </row>
    <row r="415" spans="1:9" ht="19.8" customHeight="1" x14ac:dyDescent="0.3">
      <c r="A415" s="114">
        <v>46021</v>
      </c>
      <c r="B415" s="76" t="s">
        <v>46</v>
      </c>
      <c r="C415" s="77" t="s">
        <v>261</v>
      </c>
      <c r="D415" s="76" t="s">
        <v>260</v>
      </c>
      <c r="E415" s="115">
        <v>1.958333333333333</v>
      </c>
      <c r="F415" s="76" t="s">
        <v>128</v>
      </c>
      <c r="G415" s="78">
        <v>9</v>
      </c>
      <c r="H415" s="116">
        <v>439</v>
      </c>
      <c r="I415" s="2"/>
    </row>
    <row r="416" spans="1:9" ht="19.8" customHeight="1" x14ac:dyDescent="0.3">
      <c r="A416" s="114">
        <v>46021</v>
      </c>
      <c r="B416" s="76" t="s">
        <v>32</v>
      </c>
      <c r="C416" s="77" t="s">
        <v>113</v>
      </c>
      <c r="D416" s="76" t="s">
        <v>260</v>
      </c>
      <c r="E416" s="115">
        <v>1.2013888888888891</v>
      </c>
      <c r="F416" s="76" t="s">
        <v>37</v>
      </c>
      <c r="G416" s="78">
        <v>3</v>
      </c>
      <c r="H416" s="116">
        <v>449</v>
      </c>
      <c r="I416" s="2"/>
    </row>
    <row r="417" spans="1:9" ht="19.8" customHeight="1" x14ac:dyDescent="0.3">
      <c r="A417" s="114">
        <v>46021</v>
      </c>
      <c r="B417" s="76" t="s">
        <v>57</v>
      </c>
      <c r="C417" s="77" t="s">
        <v>58</v>
      </c>
      <c r="D417" s="76" t="s">
        <v>260</v>
      </c>
      <c r="E417" s="115">
        <v>1.305555555555556</v>
      </c>
      <c r="F417" s="76" t="s">
        <v>63</v>
      </c>
      <c r="G417" s="78">
        <v>11</v>
      </c>
      <c r="H417" s="116">
        <v>459</v>
      </c>
      <c r="I417" s="2"/>
    </row>
    <row r="418" spans="1:9" ht="19.8" customHeight="1" x14ac:dyDescent="0.3">
      <c r="A418" s="114">
        <v>46021</v>
      </c>
      <c r="B418" s="76" t="s">
        <v>32</v>
      </c>
      <c r="C418" s="77" t="s">
        <v>33</v>
      </c>
      <c r="D418" s="76" t="s">
        <v>260</v>
      </c>
      <c r="E418" s="115">
        <v>1.836805555555556</v>
      </c>
      <c r="F418" s="76" t="s">
        <v>37</v>
      </c>
      <c r="G418" s="78">
        <v>7</v>
      </c>
      <c r="H418" s="116">
        <v>509</v>
      </c>
      <c r="I418" s="2"/>
    </row>
    <row r="419" spans="1:9" ht="19.8" customHeight="1" x14ac:dyDescent="0.3">
      <c r="A419" s="114">
        <v>46021</v>
      </c>
      <c r="B419" s="76" t="s">
        <v>32</v>
      </c>
      <c r="C419" s="77" t="s">
        <v>113</v>
      </c>
      <c r="D419" s="76" t="s">
        <v>260</v>
      </c>
      <c r="E419" s="115">
        <v>1.2013888888888891</v>
      </c>
      <c r="F419" s="76" t="s">
        <v>39</v>
      </c>
      <c r="G419" s="78">
        <v>3</v>
      </c>
      <c r="H419" s="116">
        <v>539</v>
      </c>
      <c r="I419" s="2"/>
    </row>
    <row r="420" spans="1:9" ht="19.8" customHeight="1" x14ac:dyDescent="0.3">
      <c r="A420" s="114">
        <v>46021</v>
      </c>
      <c r="B420" s="76" t="s">
        <v>32</v>
      </c>
      <c r="C420" s="77" t="s">
        <v>33</v>
      </c>
      <c r="D420" s="76" t="s">
        <v>260</v>
      </c>
      <c r="E420" s="115">
        <v>1.836805555555556</v>
      </c>
      <c r="F420" s="76" t="s">
        <v>39</v>
      </c>
      <c r="G420" s="78">
        <v>7</v>
      </c>
      <c r="H420" s="116">
        <v>599</v>
      </c>
      <c r="I420" s="2"/>
    </row>
    <row r="421" spans="1:9" ht="19.8" customHeight="1" x14ac:dyDescent="0.3">
      <c r="A421" s="114">
        <v>46021</v>
      </c>
      <c r="B421" s="76" t="s">
        <v>26</v>
      </c>
      <c r="C421" s="77" t="s">
        <v>74</v>
      </c>
      <c r="D421" s="76" t="s">
        <v>260</v>
      </c>
      <c r="E421" s="115">
        <v>1.270833333333333</v>
      </c>
      <c r="F421" s="76" t="s">
        <v>49</v>
      </c>
      <c r="G421" s="78">
        <v>9</v>
      </c>
      <c r="H421" s="116">
        <v>716</v>
      </c>
      <c r="I421" s="2"/>
    </row>
    <row r="422" spans="1:9" ht="19.8" customHeight="1" x14ac:dyDescent="0.3">
      <c r="A422" s="114">
        <v>46021</v>
      </c>
      <c r="B422" s="76" t="s">
        <v>57</v>
      </c>
      <c r="C422" s="77" t="s">
        <v>58</v>
      </c>
      <c r="D422" s="76" t="s">
        <v>260</v>
      </c>
      <c r="E422" s="115">
        <v>1.305555555555556</v>
      </c>
      <c r="F422" s="76" t="s">
        <v>65</v>
      </c>
      <c r="G422" s="78">
        <v>11</v>
      </c>
      <c r="H422" s="116">
        <v>899</v>
      </c>
      <c r="I422" s="2"/>
    </row>
    <row r="423" spans="1:9" ht="19.8" customHeight="1" x14ac:dyDescent="0.3">
      <c r="A423" s="117">
        <v>46021</v>
      </c>
      <c r="B423" s="79" t="s">
        <v>77</v>
      </c>
      <c r="C423" s="80" t="s">
        <v>78</v>
      </c>
      <c r="D423" s="79" t="s">
        <v>260</v>
      </c>
      <c r="E423" s="118">
        <v>1.305555555555556</v>
      </c>
      <c r="F423" s="79" t="s">
        <v>79</v>
      </c>
      <c r="G423" s="81">
        <v>4</v>
      </c>
      <c r="H423" s="83" t="s">
        <v>88</v>
      </c>
      <c r="I423" s="2"/>
    </row>
    <row r="424" spans="1:9" ht="19.8" customHeight="1" x14ac:dyDescent="0.3">
      <c r="A424" s="72"/>
      <c r="B424" s="73"/>
      <c r="C424" s="73"/>
      <c r="D424" s="73"/>
      <c r="E424" s="73"/>
      <c r="F424" s="74" t="s">
        <v>259</v>
      </c>
      <c r="G424" s="73"/>
      <c r="H424" s="75"/>
      <c r="I424" s="2"/>
    </row>
    <row r="425" spans="1:9" ht="19.8" customHeight="1" x14ac:dyDescent="0.3">
      <c r="A425" s="114">
        <v>46022</v>
      </c>
      <c r="B425" s="76" t="s">
        <v>262</v>
      </c>
      <c r="C425" s="77" t="s">
        <v>263</v>
      </c>
      <c r="D425" s="76" t="s">
        <v>260</v>
      </c>
      <c r="E425" s="115">
        <v>1.9722222222222221</v>
      </c>
      <c r="F425" s="76" t="s">
        <v>264</v>
      </c>
      <c r="G425" s="78">
        <v>9</v>
      </c>
      <c r="H425" s="116">
        <v>348</v>
      </c>
      <c r="I425" s="2"/>
    </row>
    <row r="426" spans="1:9" ht="19.8" customHeight="1" x14ac:dyDescent="0.3">
      <c r="A426" s="114">
        <v>46022</v>
      </c>
      <c r="B426" s="76" t="s">
        <v>57</v>
      </c>
      <c r="C426" s="77" t="s">
        <v>58</v>
      </c>
      <c r="D426" s="76" t="s">
        <v>260</v>
      </c>
      <c r="E426" s="115">
        <v>1.305555555555556</v>
      </c>
      <c r="F426" s="76" t="s">
        <v>60</v>
      </c>
      <c r="G426" s="78">
        <v>20</v>
      </c>
      <c r="H426" s="116">
        <v>369</v>
      </c>
      <c r="I426" s="2"/>
    </row>
    <row r="427" spans="1:9" ht="19.8" customHeight="1" x14ac:dyDescent="0.3">
      <c r="A427" s="114">
        <v>46022</v>
      </c>
      <c r="B427" s="76" t="s">
        <v>41</v>
      </c>
      <c r="C427" s="77" t="s">
        <v>42</v>
      </c>
      <c r="D427" s="76" t="s">
        <v>260</v>
      </c>
      <c r="E427" s="115">
        <v>1.864583333333333</v>
      </c>
      <c r="F427" s="76" t="s">
        <v>84</v>
      </c>
      <c r="G427" s="78">
        <v>9</v>
      </c>
      <c r="H427" s="116">
        <v>411</v>
      </c>
      <c r="I427" s="2"/>
    </row>
    <row r="428" spans="1:9" ht="19.8" customHeight="1" x14ac:dyDescent="0.3">
      <c r="A428" s="114">
        <v>46022</v>
      </c>
      <c r="B428" s="76" t="s">
        <v>41</v>
      </c>
      <c r="C428" s="77" t="s">
        <v>68</v>
      </c>
      <c r="D428" s="76" t="s">
        <v>260</v>
      </c>
      <c r="E428" s="115">
        <v>1.5277777777777779</v>
      </c>
      <c r="F428" s="76" t="s">
        <v>84</v>
      </c>
      <c r="G428" s="78">
        <v>9</v>
      </c>
      <c r="H428" s="116">
        <v>411</v>
      </c>
      <c r="I428" s="2"/>
    </row>
    <row r="429" spans="1:9" ht="19.8" customHeight="1" x14ac:dyDescent="0.3">
      <c r="A429" s="114">
        <v>46022</v>
      </c>
      <c r="B429" s="76" t="s">
        <v>41</v>
      </c>
      <c r="C429" s="77" t="s">
        <v>71</v>
      </c>
      <c r="D429" s="76" t="s">
        <v>260</v>
      </c>
      <c r="E429" s="115">
        <v>1.1701388888888891</v>
      </c>
      <c r="F429" s="76" t="s">
        <v>84</v>
      </c>
      <c r="G429" s="78">
        <v>9</v>
      </c>
      <c r="H429" s="116">
        <v>411</v>
      </c>
      <c r="I429" s="2"/>
    </row>
    <row r="430" spans="1:9" ht="19.8" customHeight="1" x14ac:dyDescent="0.3">
      <c r="A430" s="114">
        <v>46022</v>
      </c>
      <c r="B430" s="76" t="s">
        <v>32</v>
      </c>
      <c r="C430" s="77" t="s">
        <v>33</v>
      </c>
      <c r="D430" s="76" t="s">
        <v>260</v>
      </c>
      <c r="E430" s="115">
        <v>1.850694444444444</v>
      </c>
      <c r="F430" s="76" t="s">
        <v>34</v>
      </c>
      <c r="G430" s="78">
        <v>6</v>
      </c>
      <c r="H430" s="116">
        <v>439</v>
      </c>
      <c r="I430" s="2"/>
    </row>
    <row r="431" spans="1:9" ht="19.8" customHeight="1" x14ac:dyDescent="0.3">
      <c r="A431" s="114">
        <v>46022</v>
      </c>
      <c r="B431" s="76" t="s">
        <v>46</v>
      </c>
      <c r="C431" s="77" t="s">
        <v>47</v>
      </c>
      <c r="D431" s="76" t="s">
        <v>260</v>
      </c>
      <c r="E431" s="115">
        <v>1.895833333333333</v>
      </c>
      <c r="F431" s="76" t="s">
        <v>128</v>
      </c>
      <c r="G431" s="78">
        <v>9</v>
      </c>
      <c r="H431" s="116">
        <v>439</v>
      </c>
      <c r="I431" s="2"/>
    </row>
    <row r="432" spans="1:9" ht="19.8" customHeight="1" x14ac:dyDescent="0.3">
      <c r="A432" s="114">
        <v>46022</v>
      </c>
      <c r="B432" s="76" t="s">
        <v>121</v>
      </c>
      <c r="C432" s="77" t="s">
        <v>265</v>
      </c>
      <c r="D432" s="76" t="s">
        <v>260</v>
      </c>
      <c r="E432" s="115">
        <v>1.0902777777777779</v>
      </c>
      <c r="F432" s="76" t="s">
        <v>128</v>
      </c>
      <c r="G432" s="78">
        <v>8</v>
      </c>
      <c r="H432" s="116">
        <v>500</v>
      </c>
      <c r="I432" s="2"/>
    </row>
    <row r="433" spans="1:9" ht="19.8" customHeight="1" x14ac:dyDescent="0.3">
      <c r="A433" s="114">
        <v>46022</v>
      </c>
      <c r="B433" s="76" t="s">
        <v>57</v>
      </c>
      <c r="C433" s="77" t="s">
        <v>58</v>
      </c>
      <c r="D433" s="76" t="s">
        <v>260</v>
      </c>
      <c r="E433" s="115">
        <v>1.305555555555556</v>
      </c>
      <c r="F433" s="76" t="s">
        <v>63</v>
      </c>
      <c r="G433" s="78">
        <v>20</v>
      </c>
      <c r="H433" s="116">
        <v>519</v>
      </c>
      <c r="I433" s="2"/>
    </row>
    <row r="434" spans="1:9" ht="19.8" customHeight="1" x14ac:dyDescent="0.3">
      <c r="A434" s="114">
        <v>46022</v>
      </c>
      <c r="B434" s="76" t="s">
        <v>32</v>
      </c>
      <c r="C434" s="77" t="s">
        <v>33</v>
      </c>
      <c r="D434" s="76" t="s">
        <v>260</v>
      </c>
      <c r="E434" s="115">
        <v>1.850694444444444</v>
      </c>
      <c r="F434" s="76" t="s">
        <v>37</v>
      </c>
      <c r="G434" s="78">
        <v>6</v>
      </c>
      <c r="H434" s="116">
        <v>539</v>
      </c>
      <c r="I434" s="2"/>
    </row>
    <row r="435" spans="1:9" ht="19.8" customHeight="1" x14ac:dyDescent="0.3">
      <c r="A435" s="114">
        <v>46022</v>
      </c>
      <c r="B435" s="76" t="s">
        <v>262</v>
      </c>
      <c r="C435" s="77" t="s">
        <v>263</v>
      </c>
      <c r="D435" s="76" t="s">
        <v>260</v>
      </c>
      <c r="E435" s="115">
        <v>1.9722222222222221</v>
      </c>
      <c r="F435" s="76" t="s">
        <v>65</v>
      </c>
      <c r="G435" s="78">
        <v>9</v>
      </c>
      <c r="H435" s="116">
        <v>554</v>
      </c>
      <c r="I435" s="2"/>
    </row>
    <row r="436" spans="1:9" ht="19.8" customHeight="1" x14ac:dyDescent="0.3">
      <c r="A436" s="114">
        <v>46022</v>
      </c>
      <c r="B436" s="76" t="s">
        <v>32</v>
      </c>
      <c r="C436" s="77" t="s">
        <v>33</v>
      </c>
      <c r="D436" s="76" t="s">
        <v>260</v>
      </c>
      <c r="E436" s="115">
        <v>1.850694444444444</v>
      </c>
      <c r="F436" s="76" t="s">
        <v>39</v>
      </c>
      <c r="G436" s="78">
        <v>6</v>
      </c>
      <c r="H436" s="116">
        <v>629</v>
      </c>
      <c r="I436" s="2"/>
    </row>
    <row r="437" spans="1:9" ht="19.8" customHeight="1" x14ac:dyDescent="0.3">
      <c r="A437" s="114">
        <v>46022</v>
      </c>
      <c r="B437" s="76" t="s">
        <v>57</v>
      </c>
      <c r="C437" s="77" t="s">
        <v>58</v>
      </c>
      <c r="D437" s="76" t="s">
        <v>260</v>
      </c>
      <c r="E437" s="115">
        <v>1.305555555555556</v>
      </c>
      <c r="F437" s="76" t="s">
        <v>65</v>
      </c>
      <c r="G437" s="78">
        <v>20</v>
      </c>
      <c r="H437" s="116">
        <v>899</v>
      </c>
      <c r="I437" s="2"/>
    </row>
    <row r="438" spans="1:9" ht="19.8" customHeight="1" x14ac:dyDescent="0.3">
      <c r="A438" s="117">
        <v>46022</v>
      </c>
      <c r="B438" s="79" t="s">
        <v>77</v>
      </c>
      <c r="C438" s="80" t="s">
        <v>78</v>
      </c>
      <c r="D438" s="79" t="s">
        <v>260</v>
      </c>
      <c r="E438" s="118">
        <v>1.305555555555556</v>
      </c>
      <c r="F438" s="79" t="s">
        <v>79</v>
      </c>
      <c r="G438" s="81">
        <v>4</v>
      </c>
      <c r="H438" s="83" t="s">
        <v>80</v>
      </c>
      <c r="I438" s="2"/>
    </row>
    <row r="439" spans="1:9" ht="19.8" customHeight="1" x14ac:dyDescent="0.3">
      <c r="A439" s="72"/>
      <c r="B439" s="73"/>
      <c r="C439" s="73"/>
      <c r="D439" s="73"/>
      <c r="E439" s="73"/>
      <c r="F439" s="74" t="s">
        <v>259</v>
      </c>
      <c r="G439" s="73"/>
      <c r="H439" s="75"/>
      <c r="I439" s="2"/>
    </row>
    <row r="440" spans="1:9" ht="19.8" customHeight="1" x14ac:dyDescent="0.3">
      <c r="A440" s="114">
        <v>46023</v>
      </c>
      <c r="B440" s="76" t="s">
        <v>57</v>
      </c>
      <c r="C440" s="77" t="s">
        <v>58</v>
      </c>
      <c r="D440" s="76" t="s">
        <v>260</v>
      </c>
      <c r="E440" s="115">
        <v>1.305555555555556</v>
      </c>
      <c r="F440" s="76" t="s">
        <v>60</v>
      </c>
      <c r="G440" s="78">
        <v>18</v>
      </c>
      <c r="H440" s="116">
        <v>369</v>
      </c>
      <c r="I440" s="2"/>
    </row>
    <row r="441" spans="1:9" ht="19.8" customHeight="1" x14ac:dyDescent="0.3">
      <c r="A441" s="114">
        <v>46023</v>
      </c>
      <c r="B441" s="76" t="s">
        <v>32</v>
      </c>
      <c r="C441" s="77" t="s">
        <v>113</v>
      </c>
      <c r="D441" s="76" t="s">
        <v>260</v>
      </c>
      <c r="E441" s="115">
        <v>1.2013888888888891</v>
      </c>
      <c r="F441" s="76" t="s">
        <v>34</v>
      </c>
      <c r="G441" s="78">
        <v>9</v>
      </c>
      <c r="H441" s="116">
        <v>479</v>
      </c>
      <c r="I441" s="2"/>
    </row>
    <row r="442" spans="1:9" ht="19.8" customHeight="1" x14ac:dyDescent="0.3">
      <c r="A442" s="114">
        <v>46023</v>
      </c>
      <c r="B442" s="76" t="s">
        <v>41</v>
      </c>
      <c r="C442" s="77" t="s">
        <v>71</v>
      </c>
      <c r="D442" s="76" t="s">
        <v>260</v>
      </c>
      <c r="E442" s="115">
        <v>1.1701388888888891</v>
      </c>
      <c r="F442" s="76" t="s">
        <v>86</v>
      </c>
      <c r="G442" s="78">
        <v>9</v>
      </c>
      <c r="H442" s="116">
        <v>487</v>
      </c>
      <c r="I442" s="2"/>
    </row>
    <row r="443" spans="1:9" ht="19.8" customHeight="1" x14ac:dyDescent="0.3">
      <c r="A443" s="114">
        <v>46023</v>
      </c>
      <c r="B443" s="76" t="s">
        <v>121</v>
      </c>
      <c r="C443" s="77" t="s">
        <v>265</v>
      </c>
      <c r="D443" s="76" t="s">
        <v>260</v>
      </c>
      <c r="E443" s="115">
        <v>1.8888888888888891</v>
      </c>
      <c r="F443" s="76" t="s">
        <v>128</v>
      </c>
      <c r="G443" s="78">
        <v>1</v>
      </c>
      <c r="H443" s="116">
        <v>500</v>
      </c>
      <c r="I443" s="2"/>
    </row>
    <row r="444" spans="1:9" ht="19.8" customHeight="1" x14ac:dyDescent="0.3">
      <c r="A444" s="114">
        <v>46023</v>
      </c>
      <c r="B444" s="76" t="s">
        <v>41</v>
      </c>
      <c r="C444" s="77" t="s">
        <v>68</v>
      </c>
      <c r="D444" s="76" t="s">
        <v>260</v>
      </c>
      <c r="E444" s="115">
        <v>1.5277777777777779</v>
      </c>
      <c r="F444" s="76" t="s">
        <v>86</v>
      </c>
      <c r="G444" s="78">
        <v>9</v>
      </c>
      <c r="H444" s="116">
        <v>517</v>
      </c>
      <c r="I444" s="2"/>
    </row>
    <row r="445" spans="1:9" ht="19.8" customHeight="1" x14ac:dyDescent="0.3">
      <c r="A445" s="114">
        <v>46023</v>
      </c>
      <c r="B445" s="76" t="s">
        <v>57</v>
      </c>
      <c r="C445" s="77" t="s">
        <v>58</v>
      </c>
      <c r="D445" s="76" t="s">
        <v>260</v>
      </c>
      <c r="E445" s="115">
        <v>1.305555555555556</v>
      </c>
      <c r="F445" s="76" t="s">
        <v>63</v>
      </c>
      <c r="G445" s="78">
        <v>18</v>
      </c>
      <c r="H445" s="116">
        <v>519</v>
      </c>
      <c r="I445" s="2"/>
    </row>
    <row r="446" spans="1:9" ht="19.8" customHeight="1" x14ac:dyDescent="0.3">
      <c r="A446" s="114">
        <v>46023</v>
      </c>
      <c r="B446" s="76" t="s">
        <v>32</v>
      </c>
      <c r="C446" s="77" t="s">
        <v>33</v>
      </c>
      <c r="D446" s="76" t="s">
        <v>260</v>
      </c>
      <c r="E446" s="115">
        <v>1.836805555555556</v>
      </c>
      <c r="F446" s="76" t="s">
        <v>34</v>
      </c>
      <c r="G446" s="78">
        <v>2</v>
      </c>
      <c r="H446" s="116">
        <v>519</v>
      </c>
      <c r="I446" s="2"/>
    </row>
    <row r="447" spans="1:9" ht="19.8" customHeight="1" x14ac:dyDescent="0.3">
      <c r="A447" s="114">
        <v>46023</v>
      </c>
      <c r="B447" s="76" t="s">
        <v>46</v>
      </c>
      <c r="C447" s="77" t="s">
        <v>266</v>
      </c>
      <c r="D447" s="76" t="s">
        <v>260</v>
      </c>
      <c r="E447" s="115">
        <v>1.5625</v>
      </c>
      <c r="F447" s="76" t="s">
        <v>128</v>
      </c>
      <c r="G447" s="78">
        <v>1</v>
      </c>
      <c r="H447" s="116">
        <v>563</v>
      </c>
      <c r="I447" s="2"/>
    </row>
    <row r="448" spans="1:9" ht="19.8" customHeight="1" x14ac:dyDescent="0.3">
      <c r="A448" s="114">
        <v>46023</v>
      </c>
      <c r="B448" s="76" t="s">
        <v>26</v>
      </c>
      <c r="C448" s="77" t="s">
        <v>74</v>
      </c>
      <c r="D448" s="76" t="s">
        <v>260</v>
      </c>
      <c r="E448" s="115">
        <v>1.9236111111111109</v>
      </c>
      <c r="F448" s="76" t="s">
        <v>128</v>
      </c>
      <c r="G448" s="78">
        <v>2</v>
      </c>
      <c r="H448" s="116">
        <v>566</v>
      </c>
      <c r="I448" s="2"/>
    </row>
    <row r="449" spans="1:9" ht="19.8" customHeight="1" x14ac:dyDescent="0.3">
      <c r="A449" s="114">
        <v>46023</v>
      </c>
      <c r="B449" s="76" t="s">
        <v>32</v>
      </c>
      <c r="C449" s="77" t="s">
        <v>113</v>
      </c>
      <c r="D449" s="76" t="s">
        <v>260</v>
      </c>
      <c r="E449" s="115">
        <v>1.2013888888888891</v>
      </c>
      <c r="F449" s="76" t="s">
        <v>37</v>
      </c>
      <c r="G449" s="78">
        <v>9</v>
      </c>
      <c r="H449" s="116">
        <v>579</v>
      </c>
      <c r="I449" s="2"/>
    </row>
    <row r="450" spans="1:9" ht="19.8" customHeight="1" x14ac:dyDescent="0.3">
      <c r="A450" s="114">
        <v>46023</v>
      </c>
      <c r="B450" s="76" t="s">
        <v>41</v>
      </c>
      <c r="C450" s="77" t="s">
        <v>42</v>
      </c>
      <c r="D450" s="76" t="s">
        <v>260</v>
      </c>
      <c r="E450" s="115">
        <v>1.864583333333333</v>
      </c>
      <c r="F450" s="76" t="s">
        <v>44</v>
      </c>
      <c r="G450" s="78">
        <v>9</v>
      </c>
      <c r="H450" s="116">
        <v>592</v>
      </c>
      <c r="I450" s="2"/>
    </row>
    <row r="451" spans="1:9" ht="19.8" customHeight="1" x14ac:dyDescent="0.3">
      <c r="A451" s="114">
        <v>46023</v>
      </c>
      <c r="B451" s="76" t="s">
        <v>32</v>
      </c>
      <c r="C451" s="77" t="s">
        <v>33</v>
      </c>
      <c r="D451" s="76" t="s">
        <v>260</v>
      </c>
      <c r="E451" s="115">
        <v>1.836805555555556</v>
      </c>
      <c r="F451" s="76" t="s">
        <v>37</v>
      </c>
      <c r="G451" s="78">
        <v>2</v>
      </c>
      <c r="H451" s="116">
        <v>619</v>
      </c>
      <c r="I451" s="2"/>
    </row>
    <row r="452" spans="1:9" ht="19.8" customHeight="1" x14ac:dyDescent="0.3">
      <c r="A452" s="114">
        <v>46023</v>
      </c>
      <c r="B452" s="76" t="s">
        <v>46</v>
      </c>
      <c r="C452" s="77" t="s">
        <v>261</v>
      </c>
      <c r="D452" s="76" t="s">
        <v>260</v>
      </c>
      <c r="E452" s="115">
        <v>1.958333333333333</v>
      </c>
      <c r="F452" s="76" t="s">
        <v>128</v>
      </c>
      <c r="G452" s="78">
        <v>4</v>
      </c>
      <c r="H452" s="116">
        <v>629</v>
      </c>
      <c r="I452" s="2"/>
    </row>
    <row r="453" spans="1:9" ht="19.8" customHeight="1" x14ac:dyDescent="0.3">
      <c r="A453" s="114">
        <v>46023</v>
      </c>
      <c r="B453" s="76" t="s">
        <v>32</v>
      </c>
      <c r="C453" s="77" t="s">
        <v>113</v>
      </c>
      <c r="D453" s="76" t="s">
        <v>260</v>
      </c>
      <c r="E453" s="115">
        <v>1.2013888888888891</v>
      </c>
      <c r="F453" s="76" t="s">
        <v>39</v>
      </c>
      <c r="G453" s="78">
        <v>9</v>
      </c>
      <c r="H453" s="116">
        <v>669</v>
      </c>
      <c r="I453" s="2"/>
    </row>
    <row r="454" spans="1:9" ht="19.8" customHeight="1" x14ac:dyDescent="0.3">
      <c r="A454" s="114">
        <v>46023</v>
      </c>
      <c r="B454" s="76" t="s">
        <v>32</v>
      </c>
      <c r="C454" s="77" t="s">
        <v>33</v>
      </c>
      <c r="D454" s="76" t="s">
        <v>260</v>
      </c>
      <c r="E454" s="115">
        <v>1.836805555555556</v>
      </c>
      <c r="F454" s="76" t="s">
        <v>39</v>
      </c>
      <c r="G454" s="78">
        <v>2</v>
      </c>
      <c r="H454" s="116">
        <v>709</v>
      </c>
      <c r="I454" s="2"/>
    </row>
    <row r="455" spans="1:9" ht="19.8" customHeight="1" x14ac:dyDescent="0.3">
      <c r="A455" s="114">
        <v>46023</v>
      </c>
      <c r="B455" s="76" t="s">
        <v>57</v>
      </c>
      <c r="C455" s="77" t="s">
        <v>58</v>
      </c>
      <c r="D455" s="76" t="s">
        <v>260</v>
      </c>
      <c r="E455" s="115">
        <v>1.305555555555556</v>
      </c>
      <c r="F455" s="76" t="s">
        <v>65</v>
      </c>
      <c r="G455" s="78">
        <v>18</v>
      </c>
      <c r="H455" s="116">
        <v>899</v>
      </c>
      <c r="I455" s="2"/>
    </row>
    <row r="456" spans="1:9" ht="19.8" customHeight="1" x14ac:dyDescent="0.3">
      <c r="A456" s="117">
        <v>46023</v>
      </c>
      <c r="B456" s="79" t="s">
        <v>77</v>
      </c>
      <c r="C456" s="80" t="s">
        <v>78</v>
      </c>
      <c r="D456" s="79" t="s">
        <v>260</v>
      </c>
      <c r="E456" s="118">
        <v>1.305555555555556</v>
      </c>
      <c r="F456" s="79" t="s">
        <v>79</v>
      </c>
      <c r="G456" s="81">
        <v>4</v>
      </c>
      <c r="H456" s="83" t="s">
        <v>80</v>
      </c>
      <c r="I456" s="2"/>
    </row>
    <row r="457" spans="1:9" ht="19.8" customHeight="1" x14ac:dyDescent="0.3">
      <c r="A457" s="120">
        <v>46024</v>
      </c>
      <c r="B457" s="69" t="s">
        <v>26</v>
      </c>
      <c r="C457" s="70" t="s">
        <v>27</v>
      </c>
      <c r="D457" s="69" t="s">
        <v>1</v>
      </c>
      <c r="E457" s="121">
        <v>1.291666666666667</v>
      </c>
      <c r="F457" s="69" t="s">
        <v>128</v>
      </c>
      <c r="G457" s="84">
        <v>9</v>
      </c>
      <c r="H457" s="122">
        <v>741</v>
      </c>
      <c r="I457" s="2"/>
    </row>
    <row r="458" spans="1:9" ht="19.8" customHeight="1" x14ac:dyDescent="0.3">
      <c r="A458" s="72"/>
      <c r="B458" s="73"/>
      <c r="C458" s="73"/>
      <c r="D458" s="73"/>
      <c r="E458" s="73"/>
      <c r="F458" s="74" t="s">
        <v>259</v>
      </c>
      <c r="G458" s="73"/>
      <c r="H458" s="75"/>
      <c r="I458" s="2"/>
    </row>
    <row r="459" spans="1:9" ht="19.8" customHeight="1" x14ac:dyDescent="0.3">
      <c r="A459" s="114">
        <v>46024</v>
      </c>
      <c r="B459" s="76" t="s">
        <v>57</v>
      </c>
      <c r="C459" s="77" t="s">
        <v>58</v>
      </c>
      <c r="D459" s="76" t="s">
        <v>260</v>
      </c>
      <c r="E459" s="115">
        <v>1.305555555555556</v>
      </c>
      <c r="F459" s="76" t="s">
        <v>60</v>
      </c>
      <c r="G459" s="78">
        <v>18</v>
      </c>
      <c r="H459" s="116">
        <v>469</v>
      </c>
      <c r="I459" s="2"/>
    </row>
    <row r="460" spans="1:9" ht="19.8" customHeight="1" x14ac:dyDescent="0.3">
      <c r="A460" s="114">
        <v>46024</v>
      </c>
      <c r="B460" s="76" t="s">
        <v>41</v>
      </c>
      <c r="C460" s="77" t="s">
        <v>71</v>
      </c>
      <c r="D460" s="76" t="s">
        <v>260</v>
      </c>
      <c r="E460" s="115">
        <v>1.1701388888888891</v>
      </c>
      <c r="F460" s="76" t="s">
        <v>86</v>
      </c>
      <c r="G460" s="78">
        <v>9</v>
      </c>
      <c r="H460" s="116">
        <v>487</v>
      </c>
      <c r="I460" s="2"/>
    </row>
    <row r="461" spans="1:9" ht="19.8" customHeight="1" x14ac:dyDescent="0.3">
      <c r="A461" s="114">
        <v>46024</v>
      </c>
      <c r="B461" s="76" t="s">
        <v>32</v>
      </c>
      <c r="C461" s="77" t="s">
        <v>33</v>
      </c>
      <c r="D461" s="76" t="s">
        <v>260</v>
      </c>
      <c r="E461" s="115">
        <v>1.836805555555556</v>
      </c>
      <c r="F461" s="76" t="s">
        <v>34</v>
      </c>
      <c r="G461" s="78">
        <v>1</v>
      </c>
      <c r="H461" s="116">
        <v>519</v>
      </c>
      <c r="I461" s="2"/>
    </row>
    <row r="462" spans="1:9" ht="19.8" customHeight="1" x14ac:dyDescent="0.3">
      <c r="A462" s="114">
        <v>46024</v>
      </c>
      <c r="B462" s="76" t="s">
        <v>41</v>
      </c>
      <c r="C462" s="77" t="s">
        <v>42</v>
      </c>
      <c r="D462" s="76" t="s">
        <v>260</v>
      </c>
      <c r="E462" s="115">
        <v>1.864583333333333</v>
      </c>
      <c r="F462" s="76" t="s">
        <v>44</v>
      </c>
      <c r="G462" s="78">
        <v>9</v>
      </c>
      <c r="H462" s="116">
        <v>547</v>
      </c>
      <c r="I462" s="2"/>
    </row>
    <row r="463" spans="1:9" ht="19.8" customHeight="1" x14ac:dyDescent="0.3">
      <c r="A463" s="114">
        <v>46024</v>
      </c>
      <c r="B463" s="76" t="s">
        <v>46</v>
      </c>
      <c r="C463" s="77" t="s">
        <v>47</v>
      </c>
      <c r="D463" s="76" t="s">
        <v>260</v>
      </c>
      <c r="E463" s="115">
        <v>1.958333333333333</v>
      </c>
      <c r="F463" s="76" t="s">
        <v>128</v>
      </c>
      <c r="G463" s="78">
        <v>3</v>
      </c>
      <c r="H463" s="116">
        <v>563</v>
      </c>
      <c r="I463" s="2"/>
    </row>
    <row r="464" spans="1:9" ht="19.8" customHeight="1" x14ac:dyDescent="0.3">
      <c r="A464" s="114">
        <v>46024</v>
      </c>
      <c r="B464" s="76" t="s">
        <v>121</v>
      </c>
      <c r="C464" s="77" t="s">
        <v>140</v>
      </c>
      <c r="D464" s="76" t="s">
        <v>260</v>
      </c>
      <c r="E464" s="115">
        <v>1.2152777777777779</v>
      </c>
      <c r="F464" s="76" t="s">
        <v>128</v>
      </c>
      <c r="G464" s="78">
        <v>9</v>
      </c>
      <c r="H464" s="116">
        <v>568</v>
      </c>
      <c r="I464" s="2"/>
    </row>
    <row r="465" spans="1:9" ht="19.8" customHeight="1" x14ac:dyDescent="0.3">
      <c r="A465" s="114">
        <v>46024</v>
      </c>
      <c r="B465" s="76" t="s">
        <v>41</v>
      </c>
      <c r="C465" s="77" t="s">
        <v>68</v>
      </c>
      <c r="D465" s="76" t="s">
        <v>260</v>
      </c>
      <c r="E465" s="115">
        <v>1.5277777777777779</v>
      </c>
      <c r="F465" s="76" t="s">
        <v>44</v>
      </c>
      <c r="G465" s="78">
        <v>9</v>
      </c>
      <c r="H465" s="116">
        <v>596</v>
      </c>
      <c r="I465" s="2"/>
    </row>
    <row r="466" spans="1:9" ht="19.8" customHeight="1" x14ac:dyDescent="0.3">
      <c r="A466" s="114">
        <v>46024</v>
      </c>
      <c r="B466" s="76" t="s">
        <v>57</v>
      </c>
      <c r="C466" s="77" t="s">
        <v>58</v>
      </c>
      <c r="D466" s="76" t="s">
        <v>260</v>
      </c>
      <c r="E466" s="115">
        <v>1.305555555555556</v>
      </c>
      <c r="F466" s="76" t="s">
        <v>63</v>
      </c>
      <c r="G466" s="78">
        <v>18</v>
      </c>
      <c r="H466" s="116">
        <v>619</v>
      </c>
      <c r="I466" s="2"/>
    </row>
    <row r="467" spans="1:9" ht="19.8" customHeight="1" x14ac:dyDescent="0.3">
      <c r="A467" s="114">
        <v>46024</v>
      </c>
      <c r="B467" s="76" t="s">
        <v>32</v>
      </c>
      <c r="C467" s="77" t="s">
        <v>33</v>
      </c>
      <c r="D467" s="76" t="s">
        <v>260</v>
      </c>
      <c r="E467" s="115">
        <v>1.836805555555556</v>
      </c>
      <c r="F467" s="76" t="s">
        <v>37</v>
      </c>
      <c r="G467" s="78">
        <v>1</v>
      </c>
      <c r="H467" s="116">
        <v>619</v>
      </c>
      <c r="I467" s="2"/>
    </row>
    <row r="468" spans="1:9" ht="19.8" customHeight="1" x14ac:dyDescent="0.3">
      <c r="A468" s="114">
        <v>46024</v>
      </c>
      <c r="B468" s="76" t="s">
        <v>26</v>
      </c>
      <c r="C468" s="77" t="s">
        <v>74</v>
      </c>
      <c r="D468" s="76" t="s">
        <v>260</v>
      </c>
      <c r="E468" s="115">
        <v>1.5798611111111109</v>
      </c>
      <c r="F468" s="76" t="s">
        <v>128</v>
      </c>
      <c r="G468" s="78">
        <v>4</v>
      </c>
      <c r="H468" s="116">
        <v>626</v>
      </c>
      <c r="I468" s="2"/>
    </row>
    <row r="469" spans="1:9" ht="19.8" customHeight="1" x14ac:dyDescent="0.3">
      <c r="A469" s="114">
        <v>46024</v>
      </c>
      <c r="B469" s="76" t="s">
        <v>32</v>
      </c>
      <c r="C469" s="77" t="s">
        <v>33</v>
      </c>
      <c r="D469" s="76" t="s">
        <v>260</v>
      </c>
      <c r="E469" s="115">
        <v>1.836805555555556</v>
      </c>
      <c r="F469" s="76" t="s">
        <v>39</v>
      </c>
      <c r="G469" s="78">
        <v>1</v>
      </c>
      <c r="H469" s="116">
        <v>709</v>
      </c>
      <c r="I469" s="2"/>
    </row>
    <row r="470" spans="1:9" ht="19.8" customHeight="1" x14ac:dyDescent="0.3">
      <c r="A470" s="114">
        <v>46024</v>
      </c>
      <c r="B470" s="76" t="s">
        <v>57</v>
      </c>
      <c r="C470" s="77" t="s">
        <v>58</v>
      </c>
      <c r="D470" s="76" t="s">
        <v>260</v>
      </c>
      <c r="E470" s="115">
        <v>1.305555555555556</v>
      </c>
      <c r="F470" s="76" t="s">
        <v>65</v>
      </c>
      <c r="G470" s="78">
        <v>18</v>
      </c>
      <c r="H470" s="116">
        <v>899</v>
      </c>
      <c r="I470" s="2"/>
    </row>
    <row r="471" spans="1:9" ht="19.8" customHeight="1" x14ac:dyDescent="0.3">
      <c r="A471" s="117">
        <v>46024</v>
      </c>
      <c r="B471" s="79" t="s">
        <v>77</v>
      </c>
      <c r="C471" s="80" t="s">
        <v>78</v>
      </c>
      <c r="D471" s="79" t="s">
        <v>260</v>
      </c>
      <c r="E471" s="118">
        <v>1.305555555555556</v>
      </c>
      <c r="F471" s="79" t="s">
        <v>79</v>
      </c>
      <c r="G471" s="81">
        <v>4</v>
      </c>
      <c r="H471" s="83" t="s">
        <v>143</v>
      </c>
      <c r="I471" s="2"/>
    </row>
    <row r="472" spans="1:9" ht="19.8" customHeight="1" x14ac:dyDescent="0.3">
      <c r="A472" s="72"/>
      <c r="B472" s="73"/>
      <c r="C472" s="73"/>
      <c r="D472" s="73"/>
      <c r="E472" s="73"/>
      <c r="F472" s="74" t="s">
        <v>259</v>
      </c>
      <c r="G472" s="73"/>
      <c r="H472" s="75"/>
      <c r="I472" s="2"/>
    </row>
    <row r="473" spans="1:9" ht="19.8" customHeight="1" x14ac:dyDescent="0.3">
      <c r="A473" s="114">
        <v>46025</v>
      </c>
      <c r="B473" s="76" t="s">
        <v>57</v>
      </c>
      <c r="C473" s="77" t="s">
        <v>58</v>
      </c>
      <c r="D473" s="76" t="s">
        <v>260</v>
      </c>
      <c r="E473" s="115">
        <v>1.305555555555556</v>
      </c>
      <c r="F473" s="76" t="s">
        <v>60</v>
      </c>
      <c r="G473" s="78">
        <v>20</v>
      </c>
      <c r="H473" s="116">
        <v>469</v>
      </c>
      <c r="I473" s="2"/>
    </row>
    <row r="474" spans="1:9" ht="19.8" customHeight="1" x14ac:dyDescent="0.3">
      <c r="A474" s="114">
        <v>46025</v>
      </c>
      <c r="B474" s="76" t="s">
        <v>262</v>
      </c>
      <c r="C474" s="77" t="s">
        <v>263</v>
      </c>
      <c r="D474" s="76" t="s">
        <v>260</v>
      </c>
      <c r="E474" s="115">
        <v>1.9722222222222221</v>
      </c>
      <c r="F474" s="76" t="s">
        <v>264</v>
      </c>
      <c r="G474" s="78">
        <v>9</v>
      </c>
      <c r="H474" s="116">
        <v>474</v>
      </c>
      <c r="I474" s="2"/>
    </row>
    <row r="475" spans="1:9" ht="19.8" customHeight="1" x14ac:dyDescent="0.3">
      <c r="A475" s="114">
        <v>46025</v>
      </c>
      <c r="B475" s="76" t="s">
        <v>41</v>
      </c>
      <c r="C475" s="77" t="s">
        <v>71</v>
      </c>
      <c r="D475" s="76" t="s">
        <v>260</v>
      </c>
      <c r="E475" s="115">
        <v>1.1701388888888891</v>
      </c>
      <c r="F475" s="76" t="s">
        <v>86</v>
      </c>
      <c r="G475" s="78">
        <v>9</v>
      </c>
      <c r="H475" s="116">
        <v>487</v>
      </c>
      <c r="I475" s="2"/>
    </row>
    <row r="476" spans="1:9" ht="19.8" customHeight="1" x14ac:dyDescent="0.3">
      <c r="A476" s="114">
        <v>46025</v>
      </c>
      <c r="B476" s="76" t="s">
        <v>41</v>
      </c>
      <c r="C476" s="77" t="s">
        <v>42</v>
      </c>
      <c r="D476" s="76" t="s">
        <v>260</v>
      </c>
      <c r="E476" s="115">
        <v>1.864583333333333</v>
      </c>
      <c r="F476" s="76" t="s">
        <v>86</v>
      </c>
      <c r="G476" s="78">
        <v>9</v>
      </c>
      <c r="H476" s="116">
        <v>517</v>
      </c>
      <c r="I476" s="2"/>
    </row>
    <row r="477" spans="1:9" ht="19.8" customHeight="1" x14ac:dyDescent="0.3">
      <c r="A477" s="114">
        <v>46025</v>
      </c>
      <c r="B477" s="76" t="s">
        <v>41</v>
      </c>
      <c r="C477" s="77" t="s">
        <v>68</v>
      </c>
      <c r="D477" s="76" t="s">
        <v>260</v>
      </c>
      <c r="E477" s="115">
        <v>1.5277777777777779</v>
      </c>
      <c r="F477" s="76" t="s">
        <v>86</v>
      </c>
      <c r="G477" s="78">
        <v>9</v>
      </c>
      <c r="H477" s="116">
        <v>517</v>
      </c>
      <c r="I477" s="2"/>
    </row>
    <row r="478" spans="1:9" ht="19.8" customHeight="1" x14ac:dyDescent="0.3">
      <c r="A478" s="114">
        <v>46025</v>
      </c>
      <c r="B478" s="76" t="s">
        <v>32</v>
      </c>
      <c r="C478" s="77" t="s">
        <v>33</v>
      </c>
      <c r="D478" s="76" t="s">
        <v>260</v>
      </c>
      <c r="E478" s="115">
        <v>1.836805555555556</v>
      </c>
      <c r="F478" s="76" t="s">
        <v>34</v>
      </c>
      <c r="G478" s="78">
        <v>1</v>
      </c>
      <c r="H478" s="116">
        <v>519</v>
      </c>
      <c r="I478" s="2"/>
    </row>
    <row r="479" spans="1:9" ht="19.8" customHeight="1" x14ac:dyDescent="0.3">
      <c r="A479" s="114">
        <v>46025</v>
      </c>
      <c r="B479" s="76" t="s">
        <v>32</v>
      </c>
      <c r="C479" s="77" t="s">
        <v>113</v>
      </c>
      <c r="D479" s="76" t="s">
        <v>260</v>
      </c>
      <c r="E479" s="115">
        <v>1.2013888888888891</v>
      </c>
      <c r="F479" s="76" t="s">
        <v>34</v>
      </c>
      <c r="G479" s="78">
        <v>3</v>
      </c>
      <c r="H479" s="116">
        <v>559</v>
      </c>
      <c r="I479" s="2"/>
    </row>
    <row r="480" spans="1:9" ht="19.8" customHeight="1" x14ac:dyDescent="0.3">
      <c r="A480" s="114">
        <v>46025</v>
      </c>
      <c r="B480" s="76" t="s">
        <v>57</v>
      </c>
      <c r="C480" s="77" t="s">
        <v>58</v>
      </c>
      <c r="D480" s="76" t="s">
        <v>260</v>
      </c>
      <c r="E480" s="115">
        <v>1.305555555555556</v>
      </c>
      <c r="F480" s="76" t="s">
        <v>63</v>
      </c>
      <c r="G480" s="78">
        <v>20</v>
      </c>
      <c r="H480" s="116">
        <v>619</v>
      </c>
      <c r="I480" s="2"/>
    </row>
    <row r="481" spans="1:9" ht="19.8" customHeight="1" x14ac:dyDescent="0.3">
      <c r="A481" s="114">
        <v>46025</v>
      </c>
      <c r="B481" s="76" t="s">
        <v>32</v>
      </c>
      <c r="C481" s="77" t="s">
        <v>33</v>
      </c>
      <c r="D481" s="76" t="s">
        <v>260</v>
      </c>
      <c r="E481" s="115">
        <v>1.836805555555556</v>
      </c>
      <c r="F481" s="76" t="s">
        <v>37</v>
      </c>
      <c r="G481" s="78">
        <v>1</v>
      </c>
      <c r="H481" s="116">
        <v>619</v>
      </c>
      <c r="I481" s="2"/>
    </row>
    <row r="482" spans="1:9" ht="19.8" customHeight="1" x14ac:dyDescent="0.3">
      <c r="A482" s="114">
        <v>46025</v>
      </c>
      <c r="B482" s="76" t="s">
        <v>26</v>
      </c>
      <c r="C482" s="77" t="s">
        <v>74</v>
      </c>
      <c r="D482" s="76" t="s">
        <v>260</v>
      </c>
      <c r="E482" s="115">
        <v>1.9236111111111109</v>
      </c>
      <c r="F482" s="76" t="s">
        <v>128</v>
      </c>
      <c r="G482" s="78">
        <v>7</v>
      </c>
      <c r="H482" s="116">
        <v>626</v>
      </c>
      <c r="I482" s="2"/>
    </row>
    <row r="483" spans="1:9" ht="19.8" customHeight="1" x14ac:dyDescent="0.3">
      <c r="A483" s="114">
        <v>46025</v>
      </c>
      <c r="B483" s="76" t="s">
        <v>46</v>
      </c>
      <c r="C483" s="77" t="s">
        <v>261</v>
      </c>
      <c r="D483" s="76" t="s">
        <v>260</v>
      </c>
      <c r="E483" s="115">
        <v>1.895833333333333</v>
      </c>
      <c r="F483" s="76" t="s">
        <v>128</v>
      </c>
      <c r="G483" s="78">
        <v>3</v>
      </c>
      <c r="H483" s="116">
        <v>629</v>
      </c>
      <c r="I483" s="2"/>
    </row>
    <row r="484" spans="1:9" ht="19.8" customHeight="1" x14ac:dyDescent="0.3">
      <c r="A484" s="114">
        <v>46025</v>
      </c>
      <c r="B484" s="76" t="s">
        <v>32</v>
      </c>
      <c r="C484" s="77" t="s">
        <v>113</v>
      </c>
      <c r="D484" s="76" t="s">
        <v>260</v>
      </c>
      <c r="E484" s="115">
        <v>1.2013888888888891</v>
      </c>
      <c r="F484" s="76" t="s">
        <v>37</v>
      </c>
      <c r="G484" s="78">
        <v>3</v>
      </c>
      <c r="H484" s="116">
        <v>659</v>
      </c>
      <c r="I484" s="2"/>
    </row>
    <row r="485" spans="1:9" ht="19.8" customHeight="1" x14ac:dyDescent="0.3">
      <c r="A485" s="114">
        <v>46025</v>
      </c>
      <c r="B485" s="76" t="s">
        <v>262</v>
      </c>
      <c r="C485" s="77" t="s">
        <v>263</v>
      </c>
      <c r="D485" s="76" t="s">
        <v>260</v>
      </c>
      <c r="E485" s="115">
        <v>1.9722222222222221</v>
      </c>
      <c r="F485" s="76" t="s">
        <v>65</v>
      </c>
      <c r="G485" s="78">
        <v>9</v>
      </c>
      <c r="H485" s="116">
        <v>679</v>
      </c>
      <c r="I485" s="2"/>
    </row>
    <row r="486" spans="1:9" ht="19.8" customHeight="1" x14ac:dyDescent="0.3">
      <c r="A486" s="114">
        <v>46025</v>
      </c>
      <c r="B486" s="76" t="s">
        <v>32</v>
      </c>
      <c r="C486" s="77" t="s">
        <v>33</v>
      </c>
      <c r="D486" s="76" t="s">
        <v>260</v>
      </c>
      <c r="E486" s="115">
        <v>1.836805555555556</v>
      </c>
      <c r="F486" s="76" t="s">
        <v>39</v>
      </c>
      <c r="G486" s="78">
        <v>1</v>
      </c>
      <c r="H486" s="116">
        <v>709</v>
      </c>
      <c r="I486" s="2"/>
    </row>
    <row r="487" spans="1:9" ht="19.8" customHeight="1" x14ac:dyDescent="0.3">
      <c r="A487" s="114">
        <v>46025</v>
      </c>
      <c r="B487" s="76" t="s">
        <v>32</v>
      </c>
      <c r="C487" s="77" t="s">
        <v>113</v>
      </c>
      <c r="D487" s="76" t="s">
        <v>260</v>
      </c>
      <c r="E487" s="115">
        <v>1.2013888888888891</v>
      </c>
      <c r="F487" s="76" t="s">
        <v>39</v>
      </c>
      <c r="G487" s="78">
        <v>3</v>
      </c>
      <c r="H487" s="116">
        <v>749</v>
      </c>
      <c r="I487" s="2"/>
    </row>
    <row r="488" spans="1:9" ht="19.8" customHeight="1" x14ac:dyDescent="0.3">
      <c r="A488" s="114">
        <v>46025</v>
      </c>
      <c r="B488" s="76" t="s">
        <v>57</v>
      </c>
      <c r="C488" s="77" t="s">
        <v>58</v>
      </c>
      <c r="D488" s="76" t="s">
        <v>260</v>
      </c>
      <c r="E488" s="115">
        <v>1.305555555555556</v>
      </c>
      <c r="F488" s="76" t="s">
        <v>65</v>
      </c>
      <c r="G488" s="78">
        <v>20</v>
      </c>
      <c r="H488" s="116">
        <v>899</v>
      </c>
      <c r="I488" s="2"/>
    </row>
    <row r="489" spans="1:9" ht="19.8" customHeight="1" x14ac:dyDescent="0.3">
      <c r="A489" s="117">
        <v>46025</v>
      </c>
      <c r="B489" s="79" t="s">
        <v>77</v>
      </c>
      <c r="C489" s="80" t="s">
        <v>78</v>
      </c>
      <c r="D489" s="79" t="s">
        <v>260</v>
      </c>
      <c r="E489" s="118">
        <v>1.305555555555556</v>
      </c>
      <c r="F489" s="79" t="s">
        <v>79</v>
      </c>
      <c r="G489" s="81">
        <v>4</v>
      </c>
      <c r="H489" s="83" t="s">
        <v>143</v>
      </c>
      <c r="I489" s="2"/>
    </row>
    <row r="490" spans="1:9" ht="19.8" customHeight="1" x14ac:dyDescent="0.3">
      <c r="A490" s="72"/>
      <c r="B490" s="73"/>
      <c r="C490" s="73"/>
      <c r="D490" s="73"/>
      <c r="E490" s="73"/>
      <c r="F490" s="74" t="s">
        <v>259</v>
      </c>
      <c r="G490" s="73"/>
      <c r="H490" s="75"/>
      <c r="I490" s="2"/>
    </row>
    <row r="491" spans="1:9" ht="19.8" customHeight="1" x14ac:dyDescent="0.3">
      <c r="A491" s="114">
        <v>46026</v>
      </c>
      <c r="B491" s="76" t="s">
        <v>57</v>
      </c>
      <c r="C491" s="77" t="s">
        <v>58</v>
      </c>
      <c r="D491" s="76" t="s">
        <v>260</v>
      </c>
      <c r="E491" s="115">
        <v>1.305555555555556</v>
      </c>
      <c r="F491" s="76" t="s">
        <v>60</v>
      </c>
      <c r="G491" s="78">
        <v>20</v>
      </c>
      <c r="H491" s="116">
        <v>469</v>
      </c>
      <c r="I491" s="2"/>
    </row>
    <row r="492" spans="1:9" ht="19.8" customHeight="1" x14ac:dyDescent="0.3">
      <c r="A492" s="114">
        <v>46026</v>
      </c>
      <c r="B492" s="76" t="s">
        <v>41</v>
      </c>
      <c r="C492" s="77" t="s">
        <v>71</v>
      </c>
      <c r="D492" s="76" t="s">
        <v>260</v>
      </c>
      <c r="E492" s="115">
        <v>1.1701388888888891</v>
      </c>
      <c r="F492" s="76" t="s">
        <v>86</v>
      </c>
      <c r="G492" s="78">
        <v>9</v>
      </c>
      <c r="H492" s="116">
        <v>487</v>
      </c>
      <c r="I492" s="2"/>
    </row>
    <row r="493" spans="1:9" ht="19.8" customHeight="1" x14ac:dyDescent="0.3">
      <c r="A493" s="114">
        <v>46026</v>
      </c>
      <c r="B493" s="76" t="s">
        <v>121</v>
      </c>
      <c r="C493" s="77" t="s">
        <v>140</v>
      </c>
      <c r="D493" s="76" t="s">
        <v>260</v>
      </c>
      <c r="E493" s="115">
        <v>1.2152777777777779</v>
      </c>
      <c r="F493" s="76" t="s">
        <v>128</v>
      </c>
      <c r="G493" s="78">
        <v>3</v>
      </c>
      <c r="H493" s="116">
        <v>500</v>
      </c>
      <c r="I493" s="2"/>
    </row>
    <row r="494" spans="1:9" ht="19.8" customHeight="1" x14ac:dyDescent="0.3">
      <c r="A494" s="114">
        <v>46026</v>
      </c>
      <c r="B494" s="76" t="s">
        <v>41</v>
      </c>
      <c r="C494" s="77" t="s">
        <v>42</v>
      </c>
      <c r="D494" s="76" t="s">
        <v>260</v>
      </c>
      <c r="E494" s="115">
        <v>1.864583333333333</v>
      </c>
      <c r="F494" s="76" t="s">
        <v>86</v>
      </c>
      <c r="G494" s="78">
        <v>9</v>
      </c>
      <c r="H494" s="116">
        <v>517</v>
      </c>
      <c r="I494" s="2"/>
    </row>
    <row r="495" spans="1:9" ht="19.8" customHeight="1" x14ac:dyDescent="0.3">
      <c r="A495" s="114">
        <v>46026</v>
      </c>
      <c r="B495" s="76" t="s">
        <v>41</v>
      </c>
      <c r="C495" s="77" t="s">
        <v>68</v>
      </c>
      <c r="D495" s="76" t="s">
        <v>260</v>
      </c>
      <c r="E495" s="115">
        <v>1.5277777777777779</v>
      </c>
      <c r="F495" s="76" t="s">
        <v>86</v>
      </c>
      <c r="G495" s="78">
        <v>9</v>
      </c>
      <c r="H495" s="116">
        <v>517</v>
      </c>
      <c r="I495" s="2"/>
    </row>
    <row r="496" spans="1:9" ht="19.8" customHeight="1" x14ac:dyDescent="0.3">
      <c r="A496" s="114">
        <v>46026</v>
      </c>
      <c r="B496" s="76" t="s">
        <v>32</v>
      </c>
      <c r="C496" s="77" t="s">
        <v>33</v>
      </c>
      <c r="D496" s="76" t="s">
        <v>260</v>
      </c>
      <c r="E496" s="115">
        <v>1.836805555555556</v>
      </c>
      <c r="F496" s="76" t="s">
        <v>34</v>
      </c>
      <c r="G496" s="78">
        <v>5</v>
      </c>
      <c r="H496" s="116">
        <v>559</v>
      </c>
      <c r="I496" s="2"/>
    </row>
    <row r="497" spans="1:9" ht="19.8" customHeight="1" x14ac:dyDescent="0.3">
      <c r="A497" s="114">
        <v>46026</v>
      </c>
      <c r="B497" s="76" t="s">
        <v>46</v>
      </c>
      <c r="C497" s="77" t="s">
        <v>266</v>
      </c>
      <c r="D497" s="76" t="s">
        <v>260</v>
      </c>
      <c r="E497" s="115">
        <v>1.958333333333333</v>
      </c>
      <c r="F497" s="76" t="s">
        <v>128</v>
      </c>
      <c r="G497" s="78">
        <v>3</v>
      </c>
      <c r="H497" s="116">
        <v>563</v>
      </c>
      <c r="I497" s="2"/>
    </row>
    <row r="498" spans="1:9" ht="19.8" customHeight="1" x14ac:dyDescent="0.3">
      <c r="A498" s="114">
        <v>46026</v>
      </c>
      <c r="B498" s="76" t="s">
        <v>57</v>
      </c>
      <c r="C498" s="77" t="s">
        <v>58</v>
      </c>
      <c r="D498" s="76" t="s">
        <v>260</v>
      </c>
      <c r="E498" s="115">
        <v>1.305555555555556</v>
      </c>
      <c r="F498" s="76" t="s">
        <v>63</v>
      </c>
      <c r="G498" s="78">
        <v>20</v>
      </c>
      <c r="H498" s="116">
        <v>619</v>
      </c>
      <c r="I498" s="2"/>
    </row>
    <row r="499" spans="1:9" ht="19.8" customHeight="1" x14ac:dyDescent="0.3">
      <c r="A499" s="114">
        <v>46026</v>
      </c>
      <c r="B499" s="76" t="s">
        <v>32</v>
      </c>
      <c r="C499" s="77" t="s">
        <v>33</v>
      </c>
      <c r="D499" s="76" t="s">
        <v>260</v>
      </c>
      <c r="E499" s="115">
        <v>1.836805555555556</v>
      </c>
      <c r="F499" s="76" t="s">
        <v>37</v>
      </c>
      <c r="G499" s="78">
        <v>5</v>
      </c>
      <c r="H499" s="116">
        <v>659</v>
      </c>
      <c r="I499" s="2"/>
    </row>
    <row r="500" spans="1:9" ht="19.8" customHeight="1" x14ac:dyDescent="0.3">
      <c r="A500" s="114">
        <v>46026</v>
      </c>
      <c r="B500" s="76" t="s">
        <v>32</v>
      </c>
      <c r="C500" s="77" t="s">
        <v>33</v>
      </c>
      <c r="D500" s="76" t="s">
        <v>260</v>
      </c>
      <c r="E500" s="115">
        <v>1.836805555555556</v>
      </c>
      <c r="F500" s="76" t="s">
        <v>39</v>
      </c>
      <c r="G500" s="78">
        <v>5</v>
      </c>
      <c r="H500" s="116">
        <v>749</v>
      </c>
      <c r="I500" s="2"/>
    </row>
    <row r="501" spans="1:9" ht="19.8" customHeight="1" x14ac:dyDescent="0.3">
      <c r="A501" s="114">
        <v>46026</v>
      </c>
      <c r="B501" s="76" t="s">
        <v>57</v>
      </c>
      <c r="C501" s="77" t="s">
        <v>58</v>
      </c>
      <c r="D501" s="76" t="s">
        <v>260</v>
      </c>
      <c r="E501" s="115">
        <v>1.305555555555556</v>
      </c>
      <c r="F501" s="76" t="s">
        <v>65</v>
      </c>
      <c r="G501" s="78">
        <v>20</v>
      </c>
      <c r="H501" s="116">
        <v>899</v>
      </c>
      <c r="I501" s="2"/>
    </row>
    <row r="502" spans="1:9" ht="19.8" customHeight="1" x14ac:dyDescent="0.3">
      <c r="A502" s="117">
        <v>46026</v>
      </c>
      <c r="B502" s="79" t="s">
        <v>77</v>
      </c>
      <c r="C502" s="80" t="s">
        <v>78</v>
      </c>
      <c r="D502" s="79" t="s">
        <v>260</v>
      </c>
      <c r="E502" s="118">
        <v>1.305555555555556</v>
      </c>
      <c r="F502" s="79" t="s">
        <v>79</v>
      </c>
      <c r="G502" s="81">
        <v>4</v>
      </c>
      <c r="H502" s="83" t="s">
        <v>143</v>
      </c>
      <c r="I502" s="2"/>
    </row>
    <row r="503" spans="1:9" ht="19.8" customHeight="1" x14ac:dyDescent="0.3">
      <c r="A503" s="120">
        <v>46027</v>
      </c>
      <c r="B503" s="69" t="s">
        <v>26</v>
      </c>
      <c r="C503" s="70" t="s">
        <v>27</v>
      </c>
      <c r="D503" s="69" t="s">
        <v>1</v>
      </c>
      <c r="E503" s="121">
        <v>1.510416666666667</v>
      </c>
      <c r="F503" s="69" t="s">
        <v>128</v>
      </c>
      <c r="G503" s="84">
        <v>8</v>
      </c>
      <c r="H503" s="122">
        <v>741</v>
      </c>
      <c r="I503" s="2"/>
    </row>
    <row r="504" spans="1:9" ht="19.8" customHeight="1" x14ac:dyDescent="0.3">
      <c r="A504" s="72"/>
      <c r="B504" s="73"/>
      <c r="C504" s="73"/>
      <c r="D504" s="73"/>
      <c r="E504" s="73"/>
      <c r="F504" s="74" t="s">
        <v>259</v>
      </c>
      <c r="G504" s="73"/>
      <c r="H504" s="75"/>
      <c r="I504" s="2"/>
    </row>
    <row r="505" spans="1:9" ht="19.8" customHeight="1" x14ac:dyDescent="0.3">
      <c r="A505" s="114">
        <v>46027</v>
      </c>
      <c r="B505" s="76" t="s">
        <v>57</v>
      </c>
      <c r="C505" s="77" t="s">
        <v>58</v>
      </c>
      <c r="D505" s="76" t="s">
        <v>260</v>
      </c>
      <c r="E505" s="115">
        <v>1.305555555555556</v>
      </c>
      <c r="F505" s="76" t="s">
        <v>60</v>
      </c>
      <c r="G505" s="78">
        <v>20</v>
      </c>
      <c r="H505" s="116">
        <v>429</v>
      </c>
      <c r="I505" s="2"/>
    </row>
    <row r="506" spans="1:9" ht="19.8" customHeight="1" x14ac:dyDescent="0.3">
      <c r="A506" s="114">
        <v>46027</v>
      </c>
      <c r="B506" s="76" t="s">
        <v>32</v>
      </c>
      <c r="C506" s="77" t="s">
        <v>33</v>
      </c>
      <c r="D506" s="76" t="s">
        <v>260</v>
      </c>
      <c r="E506" s="115">
        <v>1.836805555555556</v>
      </c>
      <c r="F506" s="76" t="s">
        <v>34</v>
      </c>
      <c r="G506" s="78">
        <v>5</v>
      </c>
      <c r="H506" s="116">
        <v>479</v>
      </c>
      <c r="I506" s="2"/>
    </row>
    <row r="507" spans="1:9" ht="19.8" customHeight="1" x14ac:dyDescent="0.3">
      <c r="A507" s="114">
        <v>46027</v>
      </c>
      <c r="B507" s="76" t="s">
        <v>41</v>
      </c>
      <c r="C507" s="77" t="s">
        <v>71</v>
      </c>
      <c r="D507" s="76" t="s">
        <v>260</v>
      </c>
      <c r="E507" s="115">
        <v>1.1701388888888891</v>
      </c>
      <c r="F507" s="76" t="s">
        <v>86</v>
      </c>
      <c r="G507" s="78">
        <v>9</v>
      </c>
      <c r="H507" s="116">
        <v>487</v>
      </c>
      <c r="I507" s="2"/>
    </row>
    <row r="508" spans="1:9" ht="19.8" customHeight="1" x14ac:dyDescent="0.3">
      <c r="A508" s="114">
        <v>46027</v>
      </c>
      <c r="B508" s="76" t="s">
        <v>41</v>
      </c>
      <c r="C508" s="77" t="s">
        <v>42</v>
      </c>
      <c r="D508" s="76" t="s">
        <v>260</v>
      </c>
      <c r="E508" s="115">
        <v>1.864583333333333</v>
      </c>
      <c r="F508" s="76" t="s">
        <v>86</v>
      </c>
      <c r="G508" s="78">
        <v>9</v>
      </c>
      <c r="H508" s="116">
        <v>517</v>
      </c>
      <c r="I508" s="2"/>
    </row>
    <row r="509" spans="1:9" ht="19.8" customHeight="1" x14ac:dyDescent="0.3">
      <c r="A509" s="114">
        <v>46027</v>
      </c>
      <c r="B509" s="76" t="s">
        <v>41</v>
      </c>
      <c r="C509" s="77" t="s">
        <v>68</v>
      </c>
      <c r="D509" s="76" t="s">
        <v>260</v>
      </c>
      <c r="E509" s="115">
        <v>1.5277777777777779</v>
      </c>
      <c r="F509" s="76" t="s">
        <v>86</v>
      </c>
      <c r="G509" s="78">
        <v>9</v>
      </c>
      <c r="H509" s="116">
        <v>517</v>
      </c>
      <c r="I509" s="2"/>
    </row>
    <row r="510" spans="1:9" ht="19.8" customHeight="1" x14ac:dyDescent="0.3">
      <c r="A510" s="114">
        <v>46027</v>
      </c>
      <c r="B510" s="76" t="s">
        <v>32</v>
      </c>
      <c r="C510" s="77" t="s">
        <v>113</v>
      </c>
      <c r="D510" s="76" t="s">
        <v>260</v>
      </c>
      <c r="E510" s="115">
        <v>1.2013888888888891</v>
      </c>
      <c r="F510" s="76" t="s">
        <v>34</v>
      </c>
      <c r="G510" s="78">
        <v>5</v>
      </c>
      <c r="H510" s="116">
        <v>519</v>
      </c>
      <c r="I510" s="2"/>
    </row>
    <row r="511" spans="1:9" ht="19.8" customHeight="1" x14ac:dyDescent="0.3">
      <c r="A511" s="114">
        <v>46027</v>
      </c>
      <c r="B511" s="76" t="s">
        <v>121</v>
      </c>
      <c r="C511" s="77" t="s">
        <v>122</v>
      </c>
      <c r="D511" s="76" t="s">
        <v>260</v>
      </c>
      <c r="E511" s="115">
        <v>1.1284722222222221</v>
      </c>
      <c r="F511" s="76" t="s">
        <v>128</v>
      </c>
      <c r="G511" s="78">
        <v>9</v>
      </c>
      <c r="H511" s="116">
        <v>568</v>
      </c>
      <c r="I511" s="2"/>
    </row>
    <row r="512" spans="1:9" ht="19.8" customHeight="1" x14ac:dyDescent="0.3">
      <c r="A512" s="114">
        <v>46027</v>
      </c>
      <c r="B512" s="76" t="s">
        <v>57</v>
      </c>
      <c r="C512" s="77" t="s">
        <v>58</v>
      </c>
      <c r="D512" s="76" t="s">
        <v>260</v>
      </c>
      <c r="E512" s="115">
        <v>1.305555555555556</v>
      </c>
      <c r="F512" s="76" t="s">
        <v>63</v>
      </c>
      <c r="G512" s="78">
        <v>20</v>
      </c>
      <c r="H512" s="116">
        <v>579</v>
      </c>
      <c r="I512" s="2"/>
    </row>
    <row r="513" spans="1:9" ht="19.8" customHeight="1" x14ac:dyDescent="0.3">
      <c r="A513" s="114">
        <v>46027</v>
      </c>
      <c r="B513" s="76" t="s">
        <v>32</v>
      </c>
      <c r="C513" s="77" t="s">
        <v>33</v>
      </c>
      <c r="D513" s="76" t="s">
        <v>260</v>
      </c>
      <c r="E513" s="115">
        <v>1.836805555555556</v>
      </c>
      <c r="F513" s="76" t="s">
        <v>37</v>
      </c>
      <c r="G513" s="78">
        <v>5</v>
      </c>
      <c r="H513" s="116">
        <v>579</v>
      </c>
      <c r="I513" s="2"/>
    </row>
    <row r="514" spans="1:9" ht="19.8" customHeight="1" x14ac:dyDescent="0.3">
      <c r="A514" s="114">
        <v>46027</v>
      </c>
      <c r="B514" s="76" t="s">
        <v>32</v>
      </c>
      <c r="C514" s="77" t="s">
        <v>113</v>
      </c>
      <c r="D514" s="76" t="s">
        <v>260</v>
      </c>
      <c r="E514" s="115">
        <v>1.2013888888888891</v>
      </c>
      <c r="F514" s="76" t="s">
        <v>37</v>
      </c>
      <c r="G514" s="78">
        <v>5</v>
      </c>
      <c r="H514" s="116">
        <v>619</v>
      </c>
      <c r="I514" s="2"/>
    </row>
    <row r="515" spans="1:9" ht="19.8" customHeight="1" x14ac:dyDescent="0.3">
      <c r="A515" s="114">
        <v>46027</v>
      </c>
      <c r="B515" s="76" t="s">
        <v>32</v>
      </c>
      <c r="C515" s="77" t="s">
        <v>33</v>
      </c>
      <c r="D515" s="76" t="s">
        <v>260</v>
      </c>
      <c r="E515" s="115">
        <v>1.836805555555556</v>
      </c>
      <c r="F515" s="76" t="s">
        <v>39</v>
      </c>
      <c r="G515" s="78">
        <v>5</v>
      </c>
      <c r="H515" s="116">
        <v>669</v>
      </c>
      <c r="I515" s="2"/>
    </row>
    <row r="516" spans="1:9" ht="19.8" customHeight="1" x14ac:dyDescent="0.3">
      <c r="A516" s="114">
        <v>46027</v>
      </c>
      <c r="B516" s="76" t="s">
        <v>46</v>
      </c>
      <c r="C516" s="77" t="s">
        <v>47</v>
      </c>
      <c r="D516" s="76" t="s">
        <v>260</v>
      </c>
      <c r="E516" s="115">
        <v>1.958333333333333</v>
      </c>
      <c r="F516" s="76" t="s">
        <v>128</v>
      </c>
      <c r="G516" s="78">
        <v>9</v>
      </c>
      <c r="H516" s="116">
        <v>679</v>
      </c>
      <c r="I516" s="2"/>
    </row>
    <row r="517" spans="1:9" ht="19.8" customHeight="1" x14ac:dyDescent="0.3">
      <c r="A517" s="114">
        <v>46027</v>
      </c>
      <c r="B517" s="76" t="s">
        <v>32</v>
      </c>
      <c r="C517" s="77" t="s">
        <v>113</v>
      </c>
      <c r="D517" s="76" t="s">
        <v>260</v>
      </c>
      <c r="E517" s="115">
        <v>1.2013888888888891</v>
      </c>
      <c r="F517" s="76" t="s">
        <v>39</v>
      </c>
      <c r="G517" s="78">
        <v>5</v>
      </c>
      <c r="H517" s="116">
        <v>709</v>
      </c>
      <c r="I517" s="2"/>
    </row>
    <row r="518" spans="1:9" ht="19.8" customHeight="1" x14ac:dyDescent="0.3">
      <c r="A518" s="114">
        <v>46027</v>
      </c>
      <c r="B518" s="76" t="s">
        <v>57</v>
      </c>
      <c r="C518" s="77" t="s">
        <v>58</v>
      </c>
      <c r="D518" s="76" t="s">
        <v>260</v>
      </c>
      <c r="E518" s="115">
        <v>1.305555555555556</v>
      </c>
      <c r="F518" s="76" t="s">
        <v>65</v>
      </c>
      <c r="G518" s="78">
        <v>20</v>
      </c>
      <c r="H518" s="116">
        <v>899</v>
      </c>
      <c r="I518" s="2"/>
    </row>
    <row r="519" spans="1:9" ht="19.8" customHeight="1" x14ac:dyDescent="0.3">
      <c r="A519" s="117">
        <v>46027</v>
      </c>
      <c r="B519" s="79" t="s">
        <v>77</v>
      </c>
      <c r="C519" s="80" t="s">
        <v>78</v>
      </c>
      <c r="D519" s="79" t="s">
        <v>260</v>
      </c>
      <c r="E519" s="118">
        <v>1.305555555555556</v>
      </c>
      <c r="F519" s="79" t="s">
        <v>79</v>
      </c>
      <c r="G519" s="81">
        <v>4</v>
      </c>
      <c r="H519" s="83" t="s">
        <v>149</v>
      </c>
      <c r="I519" s="2"/>
    </row>
    <row r="520" spans="1:9" ht="19.8" customHeight="1" x14ac:dyDescent="0.3">
      <c r="A520" s="72"/>
      <c r="B520" s="73"/>
      <c r="C520" s="73"/>
      <c r="D520" s="73"/>
      <c r="E520" s="73"/>
      <c r="F520" s="74" t="s">
        <v>259</v>
      </c>
      <c r="G520" s="73"/>
      <c r="H520" s="75"/>
      <c r="I520" s="2"/>
    </row>
    <row r="521" spans="1:9" ht="19.8" customHeight="1" x14ac:dyDescent="0.3">
      <c r="A521" s="114">
        <v>46028</v>
      </c>
      <c r="B521" s="76" t="s">
        <v>57</v>
      </c>
      <c r="C521" s="77" t="s">
        <v>58</v>
      </c>
      <c r="D521" s="76" t="s">
        <v>260</v>
      </c>
      <c r="E521" s="115">
        <v>1.305555555555556</v>
      </c>
      <c r="F521" s="76" t="s">
        <v>60</v>
      </c>
      <c r="G521" s="78">
        <v>20</v>
      </c>
      <c r="H521" s="116">
        <v>429</v>
      </c>
      <c r="I521" s="2"/>
    </row>
    <row r="522" spans="1:9" ht="19.8" customHeight="1" x14ac:dyDescent="0.3">
      <c r="A522" s="114">
        <v>46028</v>
      </c>
      <c r="B522" s="76" t="s">
        <v>41</v>
      </c>
      <c r="C522" s="77" t="s">
        <v>71</v>
      </c>
      <c r="D522" s="76" t="s">
        <v>260</v>
      </c>
      <c r="E522" s="115">
        <v>1.1701388888888891</v>
      </c>
      <c r="F522" s="76" t="s">
        <v>86</v>
      </c>
      <c r="G522" s="78">
        <v>9</v>
      </c>
      <c r="H522" s="116">
        <v>487</v>
      </c>
      <c r="I522" s="2"/>
    </row>
    <row r="523" spans="1:9" ht="19.8" customHeight="1" x14ac:dyDescent="0.3">
      <c r="A523" s="114">
        <v>46028</v>
      </c>
      <c r="B523" s="76" t="s">
        <v>121</v>
      </c>
      <c r="C523" s="77" t="s">
        <v>140</v>
      </c>
      <c r="D523" s="76" t="s">
        <v>260</v>
      </c>
      <c r="E523" s="115">
        <v>1.2152777777777779</v>
      </c>
      <c r="F523" s="76" t="s">
        <v>128</v>
      </c>
      <c r="G523" s="78">
        <v>1</v>
      </c>
      <c r="H523" s="116">
        <v>500</v>
      </c>
      <c r="I523" s="2"/>
    </row>
    <row r="524" spans="1:9" ht="19.8" customHeight="1" x14ac:dyDescent="0.3">
      <c r="A524" s="114">
        <v>46028</v>
      </c>
      <c r="B524" s="76" t="s">
        <v>26</v>
      </c>
      <c r="C524" s="77" t="s">
        <v>74</v>
      </c>
      <c r="D524" s="76" t="s">
        <v>260</v>
      </c>
      <c r="E524" s="115">
        <v>1.270833333333333</v>
      </c>
      <c r="F524" s="76" t="s">
        <v>128</v>
      </c>
      <c r="G524" s="78">
        <v>2</v>
      </c>
      <c r="H524" s="116">
        <v>506</v>
      </c>
      <c r="I524" s="2"/>
    </row>
    <row r="525" spans="1:9" ht="19.8" customHeight="1" x14ac:dyDescent="0.3">
      <c r="A525" s="114">
        <v>46028</v>
      </c>
      <c r="B525" s="76" t="s">
        <v>41</v>
      </c>
      <c r="C525" s="77" t="s">
        <v>42</v>
      </c>
      <c r="D525" s="76" t="s">
        <v>260</v>
      </c>
      <c r="E525" s="115">
        <v>1.864583333333333</v>
      </c>
      <c r="F525" s="76" t="s">
        <v>44</v>
      </c>
      <c r="G525" s="78">
        <v>9</v>
      </c>
      <c r="H525" s="116">
        <v>547</v>
      </c>
      <c r="I525" s="2"/>
    </row>
    <row r="526" spans="1:9" ht="19.8" customHeight="1" x14ac:dyDescent="0.3">
      <c r="A526" s="114">
        <v>46028</v>
      </c>
      <c r="B526" s="76" t="s">
        <v>41</v>
      </c>
      <c r="C526" s="77" t="s">
        <v>68</v>
      </c>
      <c r="D526" s="76" t="s">
        <v>260</v>
      </c>
      <c r="E526" s="115">
        <v>1.5277777777777779</v>
      </c>
      <c r="F526" s="76" t="s">
        <v>44</v>
      </c>
      <c r="G526" s="78">
        <v>9</v>
      </c>
      <c r="H526" s="116">
        <v>547</v>
      </c>
      <c r="I526" s="2"/>
    </row>
    <row r="527" spans="1:9" ht="19.8" customHeight="1" x14ac:dyDescent="0.3">
      <c r="A527" s="114">
        <v>46028</v>
      </c>
      <c r="B527" s="76" t="s">
        <v>32</v>
      </c>
      <c r="C527" s="77" t="s">
        <v>33</v>
      </c>
      <c r="D527" s="76" t="s">
        <v>260</v>
      </c>
      <c r="E527" s="115">
        <v>1.836805555555556</v>
      </c>
      <c r="F527" s="76" t="s">
        <v>34</v>
      </c>
      <c r="G527" s="78">
        <v>8</v>
      </c>
      <c r="H527" s="116">
        <v>559</v>
      </c>
      <c r="I527" s="2"/>
    </row>
    <row r="528" spans="1:9" ht="19.8" customHeight="1" x14ac:dyDescent="0.3">
      <c r="A528" s="114">
        <v>46028</v>
      </c>
      <c r="B528" s="76" t="s">
        <v>32</v>
      </c>
      <c r="C528" s="77" t="s">
        <v>113</v>
      </c>
      <c r="D528" s="76" t="s">
        <v>260</v>
      </c>
      <c r="E528" s="115">
        <v>1.2013888888888891</v>
      </c>
      <c r="F528" s="76" t="s">
        <v>34</v>
      </c>
      <c r="G528" s="78">
        <v>4</v>
      </c>
      <c r="H528" s="116">
        <v>559</v>
      </c>
      <c r="I528" s="2"/>
    </row>
    <row r="529" spans="1:9" ht="19.8" customHeight="1" x14ac:dyDescent="0.3">
      <c r="A529" s="114">
        <v>46028</v>
      </c>
      <c r="B529" s="76" t="s">
        <v>57</v>
      </c>
      <c r="C529" s="77" t="s">
        <v>58</v>
      </c>
      <c r="D529" s="76" t="s">
        <v>260</v>
      </c>
      <c r="E529" s="115">
        <v>1.305555555555556</v>
      </c>
      <c r="F529" s="76" t="s">
        <v>63</v>
      </c>
      <c r="G529" s="78">
        <v>20</v>
      </c>
      <c r="H529" s="116">
        <v>579</v>
      </c>
      <c r="I529" s="2"/>
    </row>
    <row r="530" spans="1:9" ht="19.8" customHeight="1" x14ac:dyDescent="0.3">
      <c r="A530" s="114">
        <v>46028</v>
      </c>
      <c r="B530" s="76" t="s">
        <v>46</v>
      </c>
      <c r="C530" s="77" t="s">
        <v>261</v>
      </c>
      <c r="D530" s="76" t="s">
        <v>260</v>
      </c>
      <c r="E530" s="115">
        <v>1.958333333333333</v>
      </c>
      <c r="F530" s="76" t="s">
        <v>128</v>
      </c>
      <c r="G530" s="78">
        <v>7</v>
      </c>
      <c r="H530" s="116">
        <v>629</v>
      </c>
      <c r="I530" s="2"/>
    </row>
    <row r="531" spans="1:9" ht="19.8" customHeight="1" x14ac:dyDescent="0.3">
      <c r="A531" s="114">
        <v>46028</v>
      </c>
      <c r="B531" s="76" t="s">
        <v>32</v>
      </c>
      <c r="C531" s="77" t="s">
        <v>33</v>
      </c>
      <c r="D531" s="76" t="s">
        <v>260</v>
      </c>
      <c r="E531" s="115">
        <v>1.836805555555556</v>
      </c>
      <c r="F531" s="76" t="s">
        <v>37</v>
      </c>
      <c r="G531" s="78">
        <v>8</v>
      </c>
      <c r="H531" s="116">
        <v>659</v>
      </c>
      <c r="I531" s="2"/>
    </row>
    <row r="532" spans="1:9" ht="19.8" customHeight="1" x14ac:dyDescent="0.3">
      <c r="A532" s="114">
        <v>46028</v>
      </c>
      <c r="B532" s="76" t="s">
        <v>32</v>
      </c>
      <c r="C532" s="77" t="s">
        <v>113</v>
      </c>
      <c r="D532" s="76" t="s">
        <v>260</v>
      </c>
      <c r="E532" s="115">
        <v>1.2013888888888891</v>
      </c>
      <c r="F532" s="76" t="s">
        <v>37</v>
      </c>
      <c r="G532" s="78">
        <v>4</v>
      </c>
      <c r="H532" s="116">
        <v>659</v>
      </c>
      <c r="I532" s="2"/>
    </row>
    <row r="533" spans="1:9" ht="19.8" customHeight="1" x14ac:dyDescent="0.3">
      <c r="A533" s="114">
        <v>46028</v>
      </c>
      <c r="B533" s="76" t="s">
        <v>32</v>
      </c>
      <c r="C533" s="77" t="s">
        <v>33</v>
      </c>
      <c r="D533" s="76" t="s">
        <v>260</v>
      </c>
      <c r="E533" s="115">
        <v>1.836805555555556</v>
      </c>
      <c r="F533" s="76" t="s">
        <v>39</v>
      </c>
      <c r="G533" s="78">
        <v>8</v>
      </c>
      <c r="H533" s="116">
        <v>749</v>
      </c>
      <c r="I533" s="2"/>
    </row>
    <row r="534" spans="1:9" ht="19.8" customHeight="1" x14ac:dyDescent="0.3">
      <c r="A534" s="114">
        <v>46028</v>
      </c>
      <c r="B534" s="76" t="s">
        <v>32</v>
      </c>
      <c r="C534" s="77" t="s">
        <v>113</v>
      </c>
      <c r="D534" s="76" t="s">
        <v>260</v>
      </c>
      <c r="E534" s="115">
        <v>1.2013888888888891</v>
      </c>
      <c r="F534" s="76" t="s">
        <v>39</v>
      </c>
      <c r="G534" s="78">
        <v>4</v>
      </c>
      <c r="H534" s="116">
        <v>749</v>
      </c>
      <c r="I534" s="2"/>
    </row>
    <row r="535" spans="1:9" ht="19.8" customHeight="1" x14ac:dyDescent="0.3">
      <c r="A535" s="114">
        <v>46028</v>
      </c>
      <c r="B535" s="76" t="s">
        <v>57</v>
      </c>
      <c r="C535" s="77" t="s">
        <v>58</v>
      </c>
      <c r="D535" s="76" t="s">
        <v>260</v>
      </c>
      <c r="E535" s="115">
        <v>1.305555555555556</v>
      </c>
      <c r="F535" s="76" t="s">
        <v>65</v>
      </c>
      <c r="G535" s="78">
        <v>20</v>
      </c>
      <c r="H535" s="82" t="s">
        <v>95</v>
      </c>
      <c r="I535" s="2"/>
    </row>
    <row r="536" spans="1:9" ht="19.8" customHeight="1" x14ac:dyDescent="0.3">
      <c r="A536" s="117">
        <v>46028</v>
      </c>
      <c r="B536" s="79" t="s">
        <v>77</v>
      </c>
      <c r="C536" s="80" t="s">
        <v>78</v>
      </c>
      <c r="D536" s="79" t="s">
        <v>260</v>
      </c>
      <c r="E536" s="118">
        <v>1.305555555555556</v>
      </c>
      <c r="F536" s="79" t="s">
        <v>79</v>
      </c>
      <c r="G536" s="81">
        <v>4</v>
      </c>
      <c r="H536" s="83" t="s">
        <v>149</v>
      </c>
      <c r="I536" s="2"/>
    </row>
    <row r="537" spans="1:9" ht="19.8" customHeight="1" x14ac:dyDescent="0.3">
      <c r="A537" s="72"/>
      <c r="B537" s="73"/>
      <c r="C537" s="73"/>
      <c r="D537" s="73"/>
      <c r="E537" s="73"/>
      <c r="F537" s="74" t="s">
        <v>259</v>
      </c>
      <c r="G537" s="73"/>
      <c r="H537" s="75"/>
      <c r="I537" s="2"/>
    </row>
    <row r="538" spans="1:9" ht="19.8" customHeight="1" x14ac:dyDescent="0.3">
      <c r="A538" s="114">
        <v>46029</v>
      </c>
      <c r="B538" s="76" t="s">
        <v>57</v>
      </c>
      <c r="C538" s="77" t="s">
        <v>58</v>
      </c>
      <c r="D538" s="76" t="s">
        <v>260</v>
      </c>
      <c r="E538" s="115">
        <v>1.305555555555556</v>
      </c>
      <c r="F538" s="76" t="s">
        <v>60</v>
      </c>
      <c r="G538" s="78">
        <v>19</v>
      </c>
      <c r="H538" s="116">
        <v>469</v>
      </c>
      <c r="I538" s="2"/>
    </row>
    <row r="539" spans="1:9" ht="19.8" customHeight="1" x14ac:dyDescent="0.3">
      <c r="A539" s="114">
        <v>46029</v>
      </c>
      <c r="B539" s="76" t="s">
        <v>121</v>
      </c>
      <c r="C539" s="77" t="s">
        <v>265</v>
      </c>
      <c r="D539" s="76" t="s">
        <v>260</v>
      </c>
      <c r="E539" s="115">
        <v>1.0902777777777779</v>
      </c>
      <c r="F539" s="76" t="s">
        <v>128</v>
      </c>
      <c r="G539" s="78">
        <v>2</v>
      </c>
      <c r="H539" s="116">
        <v>568</v>
      </c>
      <c r="I539" s="2"/>
    </row>
    <row r="540" spans="1:9" ht="19.8" customHeight="1" x14ac:dyDescent="0.3">
      <c r="A540" s="114">
        <v>46029</v>
      </c>
      <c r="B540" s="76" t="s">
        <v>57</v>
      </c>
      <c r="C540" s="77" t="s">
        <v>58</v>
      </c>
      <c r="D540" s="76" t="s">
        <v>260</v>
      </c>
      <c r="E540" s="115">
        <v>1.305555555555556</v>
      </c>
      <c r="F540" s="76" t="s">
        <v>63</v>
      </c>
      <c r="G540" s="78">
        <v>19</v>
      </c>
      <c r="H540" s="116">
        <v>619</v>
      </c>
      <c r="I540" s="2"/>
    </row>
    <row r="541" spans="1:9" ht="19.8" customHeight="1" x14ac:dyDescent="0.3">
      <c r="A541" s="114">
        <v>46029</v>
      </c>
      <c r="B541" s="76" t="s">
        <v>262</v>
      </c>
      <c r="C541" s="77" t="s">
        <v>263</v>
      </c>
      <c r="D541" s="76" t="s">
        <v>260</v>
      </c>
      <c r="E541" s="115">
        <v>1.9722222222222221</v>
      </c>
      <c r="F541" s="76" t="s">
        <v>264</v>
      </c>
      <c r="G541" s="78">
        <v>9</v>
      </c>
      <c r="H541" s="116">
        <v>621</v>
      </c>
      <c r="I541" s="2"/>
    </row>
    <row r="542" spans="1:9" ht="19.8" customHeight="1" x14ac:dyDescent="0.3">
      <c r="A542" s="114">
        <v>46029</v>
      </c>
      <c r="B542" s="76" t="s">
        <v>46</v>
      </c>
      <c r="C542" s="77" t="s">
        <v>47</v>
      </c>
      <c r="D542" s="76" t="s">
        <v>260</v>
      </c>
      <c r="E542" s="115">
        <v>1.895833333333333</v>
      </c>
      <c r="F542" s="76" t="s">
        <v>128</v>
      </c>
      <c r="G542" s="78">
        <v>1</v>
      </c>
      <c r="H542" s="116">
        <v>679</v>
      </c>
      <c r="I542" s="2"/>
    </row>
    <row r="543" spans="1:9" ht="19.8" customHeight="1" x14ac:dyDescent="0.3">
      <c r="A543" s="114">
        <v>46029</v>
      </c>
      <c r="B543" s="76" t="s">
        <v>41</v>
      </c>
      <c r="C543" s="77" t="s">
        <v>71</v>
      </c>
      <c r="D543" s="76" t="s">
        <v>260</v>
      </c>
      <c r="E543" s="115">
        <v>1.1701388888888891</v>
      </c>
      <c r="F543" s="76" t="s">
        <v>44</v>
      </c>
      <c r="G543" s="78">
        <v>9</v>
      </c>
      <c r="H543" s="116">
        <v>697</v>
      </c>
      <c r="I543" s="2"/>
    </row>
    <row r="544" spans="1:9" ht="19.8" customHeight="1" x14ac:dyDescent="0.3">
      <c r="A544" s="114">
        <v>46029</v>
      </c>
      <c r="B544" s="76" t="s">
        <v>41</v>
      </c>
      <c r="C544" s="77" t="s">
        <v>42</v>
      </c>
      <c r="D544" s="76" t="s">
        <v>260</v>
      </c>
      <c r="E544" s="115">
        <v>1.864583333333333</v>
      </c>
      <c r="F544" s="76" t="s">
        <v>44</v>
      </c>
      <c r="G544" s="78">
        <v>9</v>
      </c>
      <c r="H544" s="116">
        <v>757</v>
      </c>
      <c r="I544" s="2"/>
    </row>
    <row r="545" spans="1:9" ht="19.8" customHeight="1" x14ac:dyDescent="0.3">
      <c r="A545" s="114">
        <v>46029</v>
      </c>
      <c r="B545" s="76" t="s">
        <v>41</v>
      </c>
      <c r="C545" s="77" t="s">
        <v>68</v>
      </c>
      <c r="D545" s="76" t="s">
        <v>260</v>
      </c>
      <c r="E545" s="115">
        <v>1.5277777777777779</v>
      </c>
      <c r="F545" s="76" t="s">
        <v>44</v>
      </c>
      <c r="G545" s="78">
        <v>9</v>
      </c>
      <c r="H545" s="116">
        <v>757</v>
      </c>
      <c r="I545" s="2"/>
    </row>
    <row r="546" spans="1:9" ht="19.8" customHeight="1" x14ac:dyDescent="0.3">
      <c r="A546" s="114">
        <v>46029</v>
      </c>
      <c r="B546" s="76" t="s">
        <v>32</v>
      </c>
      <c r="C546" s="77" t="s">
        <v>33</v>
      </c>
      <c r="D546" s="76" t="s">
        <v>260</v>
      </c>
      <c r="E546" s="115">
        <v>1.836805555555556</v>
      </c>
      <c r="F546" s="76" t="s">
        <v>34</v>
      </c>
      <c r="G546" s="78">
        <v>9</v>
      </c>
      <c r="H546" s="116">
        <v>759</v>
      </c>
      <c r="I546" s="2"/>
    </row>
    <row r="547" spans="1:9" ht="19.8" customHeight="1" x14ac:dyDescent="0.3">
      <c r="A547" s="114">
        <v>46029</v>
      </c>
      <c r="B547" s="76" t="s">
        <v>262</v>
      </c>
      <c r="C547" s="77" t="s">
        <v>263</v>
      </c>
      <c r="D547" s="76" t="s">
        <v>260</v>
      </c>
      <c r="E547" s="115">
        <v>1.9722222222222221</v>
      </c>
      <c r="F547" s="76" t="s">
        <v>65</v>
      </c>
      <c r="G547" s="78">
        <v>9</v>
      </c>
      <c r="H547" s="116">
        <v>827</v>
      </c>
      <c r="I547" s="2"/>
    </row>
    <row r="548" spans="1:9" ht="19.8" customHeight="1" x14ac:dyDescent="0.3">
      <c r="A548" s="114">
        <v>46029</v>
      </c>
      <c r="B548" s="76" t="s">
        <v>32</v>
      </c>
      <c r="C548" s="77" t="s">
        <v>33</v>
      </c>
      <c r="D548" s="76" t="s">
        <v>260</v>
      </c>
      <c r="E548" s="115">
        <v>1.836805555555556</v>
      </c>
      <c r="F548" s="76" t="s">
        <v>37</v>
      </c>
      <c r="G548" s="78">
        <v>9</v>
      </c>
      <c r="H548" s="116">
        <v>859</v>
      </c>
      <c r="I548" s="2"/>
    </row>
    <row r="549" spans="1:9" ht="19.8" customHeight="1" x14ac:dyDescent="0.3">
      <c r="A549" s="114">
        <v>46029</v>
      </c>
      <c r="B549" s="76" t="s">
        <v>57</v>
      </c>
      <c r="C549" s="77" t="s">
        <v>58</v>
      </c>
      <c r="D549" s="76" t="s">
        <v>260</v>
      </c>
      <c r="E549" s="115">
        <v>1.305555555555556</v>
      </c>
      <c r="F549" s="76" t="s">
        <v>65</v>
      </c>
      <c r="G549" s="78">
        <v>19</v>
      </c>
      <c r="H549" s="116">
        <v>899</v>
      </c>
      <c r="I549" s="2"/>
    </row>
    <row r="550" spans="1:9" ht="19.8" customHeight="1" x14ac:dyDescent="0.3">
      <c r="A550" s="114">
        <v>46029</v>
      </c>
      <c r="B550" s="76" t="s">
        <v>32</v>
      </c>
      <c r="C550" s="77" t="s">
        <v>33</v>
      </c>
      <c r="D550" s="76" t="s">
        <v>260</v>
      </c>
      <c r="E550" s="115">
        <v>1.836805555555556</v>
      </c>
      <c r="F550" s="76" t="s">
        <v>39</v>
      </c>
      <c r="G550" s="78">
        <v>9</v>
      </c>
      <c r="H550" s="116">
        <v>949</v>
      </c>
      <c r="I550" s="2"/>
    </row>
    <row r="551" spans="1:9" ht="19.8" customHeight="1" x14ac:dyDescent="0.3">
      <c r="A551" s="117">
        <v>46029</v>
      </c>
      <c r="B551" s="79" t="s">
        <v>77</v>
      </c>
      <c r="C551" s="80" t="s">
        <v>78</v>
      </c>
      <c r="D551" s="79" t="s">
        <v>260</v>
      </c>
      <c r="E551" s="118">
        <v>1.305555555555556</v>
      </c>
      <c r="F551" s="79" t="s">
        <v>79</v>
      </c>
      <c r="G551" s="81">
        <v>4</v>
      </c>
      <c r="H551" s="83" t="s">
        <v>143</v>
      </c>
      <c r="I551" s="2"/>
    </row>
    <row r="552" spans="1:9" ht="19.8" customHeight="1" x14ac:dyDescent="0.3">
      <c r="A552" s="72"/>
      <c r="B552" s="73"/>
      <c r="C552" s="73"/>
      <c r="D552" s="73"/>
      <c r="E552" s="73"/>
      <c r="F552" s="74" t="s">
        <v>259</v>
      </c>
      <c r="G552" s="73"/>
      <c r="H552" s="75"/>
      <c r="I552" s="2"/>
    </row>
    <row r="553" spans="1:9" ht="19.8" customHeight="1" x14ac:dyDescent="0.3">
      <c r="A553" s="114">
        <v>46030</v>
      </c>
      <c r="B553" s="76" t="s">
        <v>57</v>
      </c>
      <c r="C553" s="77" t="s">
        <v>58</v>
      </c>
      <c r="D553" s="76" t="s">
        <v>260</v>
      </c>
      <c r="E553" s="115">
        <v>1.305555555555556</v>
      </c>
      <c r="F553" s="76" t="s">
        <v>60</v>
      </c>
      <c r="G553" s="78">
        <v>18</v>
      </c>
      <c r="H553" s="116">
        <v>599</v>
      </c>
      <c r="I553" s="2"/>
    </row>
    <row r="554" spans="1:9" ht="19.8" customHeight="1" x14ac:dyDescent="0.3">
      <c r="A554" s="114">
        <v>46030</v>
      </c>
      <c r="B554" s="76" t="s">
        <v>32</v>
      </c>
      <c r="C554" s="77" t="s">
        <v>113</v>
      </c>
      <c r="D554" s="76" t="s">
        <v>260</v>
      </c>
      <c r="E554" s="115">
        <v>1.2013888888888891</v>
      </c>
      <c r="F554" s="76" t="s">
        <v>34</v>
      </c>
      <c r="G554" s="78">
        <v>3</v>
      </c>
      <c r="H554" s="116">
        <v>659</v>
      </c>
      <c r="I554" s="2"/>
    </row>
    <row r="555" spans="1:9" ht="19.8" customHeight="1" x14ac:dyDescent="0.3">
      <c r="A555" s="114">
        <v>46030</v>
      </c>
      <c r="B555" s="76" t="s">
        <v>41</v>
      </c>
      <c r="C555" s="77" t="s">
        <v>71</v>
      </c>
      <c r="D555" s="76" t="s">
        <v>260</v>
      </c>
      <c r="E555" s="115">
        <v>1.1701388888888891</v>
      </c>
      <c r="F555" s="76" t="s">
        <v>44</v>
      </c>
      <c r="G555" s="78">
        <v>9</v>
      </c>
      <c r="H555" s="116">
        <v>697</v>
      </c>
      <c r="I555" s="2"/>
    </row>
    <row r="556" spans="1:9" ht="19.8" customHeight="1" x14ac:dyDescent="0.3">
      <c r="A556" s="114">
        <v>46030</v>
      </c>
      <c r="B556" s="76" t="s">
        <v>57</v>
      </c>
      <c r="C556" s="77" t="s">
        <v>58</v>
      </c>
      <c r="D556" s="76" t="s">
        <v>260</v>
      </c>
      <c r="E556" s="115">
        <v>1.305555555555556</v>
      </c>
      <c r="F556" s="76" t="s">
        <v>63</v>
      </c>
      <c r="G556" s="78">
        <v>18</v>
      </c>
      <c r="H556" s="116">
        <v>749</v>
      </c>
      <c r="I556" s="2"/>
    </row>
    <row r="557" spans="1:9" ht="19.8" customHeight="1" x14ac:dyDescent="0.3">
      <c r="A557" s="114">
        <v>46030</v>
      </c>
      <c r="B557" s="76" t="s">
        <v>32</v>
      </c>
      <c r="C557" s="77" t="s">
        <v>113</v>
      </c>
      <c r="D557" s="76" t="s">
        <v>260</v>
      </c>
      <c r="E557" s="115">
        <v>1.2013888888888891</v>
      </c>
      <c r="F557" s="76" t="s">
        <v>37</v>
      </c>
      <c r="G557" s="78">
        <v>3</v>
      </c>
      <c r="H557" s="116">
        <v>759</v>
      </c>
      <c r="I557" s="2"/>
    </row>
    <row r="558" spans="1:9" ht="19.8" customHeight="1" x14ac:dyDescent="0.3">
      <c r="A558" s="114">
        <v>46030</v>
      </c>
      <c r="B558" s="76" t="s">
        <v>41</v>
      </c>
      <c r="C558" s="77" t="s">
        <v>68</v>
      </c>
      <c r="D558" s="76" t="s">
        <v>260</v>
      </c>
      <c r="E558" s="115">
        <v>1.5277777777777779</v>
      </c>
      <c r="F558" s="76" t="s">
        <v>44</v>
      </c>
      <c r="G558" s="78">
        <v>9</v>
      </c>
      <c r="H558" s="116">
        <v>817</v>
      </c>
      <c r="I558" s="2"/>
    </row>
    <row r="559" spans="1:9" ht="19.8" customHeight="1" x14ac:dyDescent="0.3">
      <c r="A559" s="114">
        <v>46030</v>
      </c>
      <c r="B559" s="76" t="s">
        <v>32</v>
      </c>
      <c r="C559" s="77" t="s">
        <v>113</v>
      </c>
      <c r="D559" s="76" t="s">
        <v>260</v>
      </c>
      <c r="E559" s="115">
        <v>1.2013888888888891</v>
      </c>
      <c r="F559" s="76" t="s">
        <v>39</v>
      </c>
      <c r="G559" s="78">
        <v>3</v>
      </c>
      <c r="H559" s="116">
        <v>849</v>
      </c>
      <c r="I559" s="2"/>
    </row>
    <row r="560" spans="1:9" ht="19.8" customHeight="1" x14ac:dyDescent="0.3">
      <c r="A560" s="114">
        <v>46030</v>
      </c>
      <c r="B560" s="76" t="s">
        <v>57</v>
      </c>
      <c r="C560" s="77" t="s">
        <v>58</v>
      </c>
      <c r="D560" s="76" t="s">
        <v>260</v>
      </c>
      <c r="E560" s="115">
        <v>1.305555555555556</v>
      </c>
      <c r="F560" s="76" t="s">
        <v>65</v>
      </c>
      <c r="G560" s="78">
        <v>18</v>
      </c>
      <c r="H560" s="116">
        <v>899</v>
      </c>
      <c r="I560" s="2"/>
    </row>
    <row r="561" spans="1:9" ht="19.8" customHeight="1" x14ac:dyDescent="0.3">
      <c r="A561" s="114">
        <v>46030</v>
      </c>
      <c r="B561" s="76" t="s">
        <v>46</v>
      </c>
      <c r="C561" s="77" t="s">
        <v>266</v>
      </c>
      <c r="D561" s="76" t="s">
        <v>260</v>
      </c>
      <c r="E561" s="115">
        <v>1.5625</v>
      </c>
      <c r="F561" s="76" t="s">
        <v>128</v>
      </c>
      <c r="G561" s="78">
        <v>1</v>
      </c>
      <c r="H561" s="116">
        <v>914</v>
      </c>
      <c r="I561" s="2"/>
    </row>
    <row r="562" spans="1:9" ht="19.8" customHeight="1" x14ac:dyDescent="0.3">
      <c r="A562" s="114">
        <v>46030</v>
      </c>
      <c r="B562" s="76" t="s">
        <v>46</v>
      </c>
      <c r="C562" s="77" t="s">
        <v>261</v>
      </c>
      <c r="D562" s="76" t="s">
        <v>260</v>
      </c>
      <c r="E562" s="115">
        <v>1.958333333333333</v>
      </c>
      <c r="F562" s="76" t="s">
        <v>128</v>
      </c>
      <c r="G562" s="78">
        <v>9</v>
      </c>
      <c r="H562" s="82" t="s">
        <v>271</v>
      </c>
      <c r="I562" s="2"/>
    </row>
    <row r="563" spans="1:9" ht="19.8" customHeight="1" x14ac:dyDescent="0.3">
      <c r="A563" s="114">
        <v>46030</v>
      </c>
      <c r="B563" s="76" t="s">
        <v>32</v>
      </c>
      <c r="C563" s="77" t="s">
        <v>33</v>
      </c>
      <c r="D563" s="76" t="s">
        <v>260</v>
      </c>
      <c r="E563" s="115">
        <v>1.836805555555556</v>
      </c>
      <c r="F563" s="76" t="s">
        <v>34</v>
      </c>
      <c r="G563" s="78">
        <v>6</v>
      </c>
      <c r="H563" s="82" t="s">
        <v>272</v>
      </c>
      <c r="I563" s="2"/>
    </row>
    <row r="564" spans="1:9" ht="19.8" customHeight="1" x14ac:dyDescent="0.3">
      <c r="A564" s="114">
        <v>46030</v>
      </c>
      <c r="B564" s="76" t="s">
        <v>26</v>
      </c>
      <c r="C564" s="77" t="s">
        <v>74</v>
      </c>
      <c r="D564" s="76" t="s">
        <v>260</v>
      </c>
      <c r="E564" s="115">
        <v>1.9236111111111109</v>
      </c>
      <c r="F564" s="76" t="s">
        <v>128</v>
      </c>
      <c r="G564" s="78">
        <v>9</v>
      </c>
      <c r="H564" s="82" t="s">
        <v>273</v>
      </c>
      <c r="I564" s="2"/>
    </row>
    <row r="565" spans="1:9" ht="19.8" customHeight="1" x14ac:dyDescent="0.3">
      <c r="A565" s="114">
        <v>46030</v>
      </c>
      <c r="B565" s="76" t="s">
        <v>32</v>
      </c>
      <c r="C565" s="77" t="s">
        <v>33</v>
      </c>
      <c r="D565" s="76" t="s">
        <v>260</v>
      </c>
      <c r="E565" s="115">
        <v>1.836805555555556</v>
      </c>
      <c r="F565" s="76" t="s">
        <v>37</v>
      </c>
      <c r="G565" s="78">
        <v>6</v>
      </c>
      <c r="H565" s="82" t="s">
        <v>274</v>
      </c>
      <c r="I565" s="2"/>
    </row>
    <row r="566" spans="1:9" ht="19.8" customHeight="1" x14ac:dyDescent="0.3">
      <c r="A566" s="114">
        <v>46030</v>
      </c>
      <c r="B566" s="76" t="s">
        <v>32</v>
      </c>
      <c r="C566" s="77" t="s">
        <v>33</v>
      </c>
      <c r="D566" s="76" t="s">
        <v>260</v>
      </c>
      <c r="E566" s="115">
        <v>1.836805555555556</v>
      </c>
      <c r="F566" s="76" t="s">
        <v>39</v>
      </c>
      <c r="G566" s="78">
        <v>6</v>
      </c>
      <c r="H566" s="82" t="s">
        <v>275</v>
      </c>
      <c r="I566" s="2"/>
    </row>
    <row r="567" spans="1:9" ht="19.8" customHeight="1" x14ac:dyDescent="0.3">
      <c r="A567" s="114">
        <v>46030</v>
      </c>
      <c r="B567" s="76" t="s">
        <v>41</v>
      </c>
      <c r="C567" s="77" t="s">
        <v>42</v>
      </c>
      <c r="D567" s="76" t="s">
        <v>260</v>
      </c>
      <c r="E567" s="115">
        <v>1.8784722222222221</v>
      </c>
      <c r="F567" s="76" t="s">
        <v>44</v>
      </c>
      <c r="G567" s="78">
        <v>9</v>
      </c>
      <c r="H567" s="82" t="s">
        <v>276</v>
      </c>
      <c r="I567" s="2"/>
    </row>
    <row r="568" spans="1:9" ht="19.8" customHeight="1" x14ac:dyDescent="0.3">
      <c r="A568" s="114">
        <v>46030</v>
      </c>
      <c r="B568" s="76" t="s">
        <v>121</v>
      </c>
      <c r="C568" s="77" t="s">
        <v>265</v>
      </c>
      <c r="D568" s="76" t="s">
        <v>260</v>
      </c>
      <c r="E568" s="115">
        <v>1.9652777777777779</v>
      </c>
      <c r="F568" s="76" t="s">
        <v>128</v>
      </c>
      <c r="G568" s="78">
        <v>5</v>
      </c>
      <c r="H568" s="82" t="s">
        <v>143</v>
      </c>
      <c r="I568" s="2"/>
    </row>
    <row r="569" spans="1:9" ht="19.8" customHeight="1" x14ac:dyDescent="0.3">
      <c r="A569" s="117">
        <v>46030</v>
      </c>
      <c r="B569" s="79" t="s">
        <v>77</v>
      </c>
      <c r="C569" s="80" t="s">
        <v>78</v>
      </c>
      <c r="D569" s="79" t="s">
        <v>260</v>
      </c>
      <c r="E569" s="118">
        <v>1.305555555555556</v>
      </c>
      <c r="F569" s="79" t="s">
        <v>79</v>
      </c>
      <c r="G569" s="81">
        <v>4</v>
      </c>
      <c r="H569" s="83" t="s">
        <v>160</v>
      </c>
      <c r="I569" s="2"/>
    </row>
    <row r="570" spans="1:9" ht="19.8" customHeight="1" x14ac:dyDescent="0.3">
      <c r="A570" s="120">
        <v>46031</v>
      </c>
      <c r="B570" s="69" t="s">
        <v>26</v>
      </c>
      <c r="C570" s="70" t="s">
        <v>27</v>
      </c>
      <c r="D570" s="69" t="s">
        <v>1</v>
      </c>
      <c r="E570" s="121">
        <v>1.291666666666667</v>
      </c>
      <c r="F570" s="69" t="s">
        <v>128</v>
      </c>
      <c r="G570" s="84">
        <v>8</v>
      </c>
      <c r="H570" s="122">
        <v>741</v>
      </c>
      <c r="I570" s="2"/>
    </row>
    <row r="571" spans="1:9" ht="19.8" customHeight="1" x14ac:dyDescent="0.3">
      <c r="A571" s="72"/>
      <c r="B571" s="73"/>
      <c r="C571" s="73"/>
      <c r="D571" s="73"/>
      <c r="E571" s="73"/>
      <c r="F571" s="74" t="s">
        <v>259</v>
      </c>
      <c r="G571" s="73"/>
      <c r="H571" s="75"/>
      <c r="I571" s="2"/>
    </row>
    <row r="572" spans="1:9" ht="19.8" customHeight="1" x14ac:dyDescent="0.3">
      <c r="A572" s="114">
        <v>46031</v>
      </c>
      <c r="B572" s="76" t="s">
        <v>57</v>
      </c>
      <c r="C572" s="77" t="s">
        <v>58</v>
      </c>
      <c r="D572" s="76" t="s">
        <v>260</v>
      </c>
      <c r="E572" s="115">
        <v>1.305555555555556</v>
      </c>
      <c r="F572" s="76" t="s">
        <v>60</v>
      </c>
      <c r="G572" s="78">
        <v>14</v>
      </c>
      <c r="H572" s="116">
        <v>599</v>
      </c>
      <c r="I572" s="2"/>
    </row>
    <row r="573" spans="1:9" ht="19.8" customHeight="1" x14ac:dyDescent="0.3">
      <c r="A573" s="114">
        <v>46031</v>
      </c>
      <c r="B573" s="76" t="s">
        <v>57</v>
      </c>
      <c r="C573" s="77" t="s">
        <v>58</v>
      </c>
      <c r="D573" s="76" t="s">
        <v>260</v>
      </c>
      <c r="E573" s="115">
        <v>1.305555555555556</v>
      </c>
      <c r="F573" s="76" t="s">
        <v>63</v>
      </c>
      <c r="G573" s="78">
        <v>14</v>
      </c>
      <c r="H573" s="116">
        <v>749</v>
      </c>
      <c r="I573" s="2"/>
    </row>
    <row r="574" spans="1:9" ht="19.8" customHeight="1" x14ac:dyDescent="0.3">
      <c r="A574" s="114">
        <v>46031</v>
      </c>
      <c r="B574" s="76" t="s">
        <v>41</v>
      </c>
      <c r="C574" s="77" t="s">
        <v>42</v>
      </c>
      <c r="D574" s="76" t="s">
        <v>260</v>
      </c>
      <c r="E574" s="115">
        <v>1.864583333333333</v>
      </c>
      <c r="F574" s="76" t="s">
        <v>44</v>
      </c>
      <c r="G574" s="78">
        <v>9</v>
      </c>
      <c r="H574" s="116">
        <v>757</v>
      </c>
      <c r="I574" s="2"/>
    </row>
    <row r="575" spans="1:9" ht="19.8" customHeight="1" x14ac:dyDescent="0.3">
      <c r="A575" s="114">
        <v>46031</v>
      </c>
      <c r="B575" s="76" t="s">
        <v>46</v>
      </c>
      <c r="C575" s="77" t="s">
        <v>47</v>
      </c>
      <c r="D575" s="76" t="s">
        <v>260</v>
      </c>
      <c r="E575" s="115">
        <v>1.958333333333333</v>
      </c>
      <c r="F575" s="76" t="s">
        <v>128</v>
      </c>
      <c r="G575" s="78">
        <v>1</v>
      </c>
      <c r="H575" s="116">
        <v>811</v>
      </c>
      <c r="I575" s="2"/>
    </row>
    <row r="576" spans="1:9" ht="19.8" customHeight="1" x14ac:dyDescent="0.3">
      <c r="A576" s="114">
        <v>46031</v>
      </c>
      <c r="B576" s="76" t="s">
        <v>41</v>
      </c>
      <c r="C576" s="77" t="s">
        <v>71</v>
      </c>
      <c r="D576" s="76" t="s">
        <v>260</v>
      </c>
      <c r="E576" s="115">
        <v>1.1701388888888891</v>
      </c>
      <c r="F576" s="76" t="s">
        <v>44</v>
      </c>
      <c r="G576" s="78">
        <v>9</v>
      </c>
      <c r="H576" s="116">
        <v>817</v>
      </c>
      <c r="I576" s="2"/>
    </row>
    <row r="577" spans="1:9" ht="19.8" customHeight="1" x14ac:dyDescent="0.3">
      <c r="A577" s="114">
        <v>46031</v>
      </c>
      <c r="B577" s="76" t="s">
        <v>32</v>
      </c>
      <c r="C577" s="77" t="s">
        <v>33</v>
      </c>
      <c r="D577" s="76" t="s">
        <v>260</v>
      </c>
      <c r="E577" s="115">
        <v>1.836805555555556</v>
      </c>
      <c r="F577" s="76" t="s">
        <v>34</v>
      </c>
      <c r="G577" s="78">
        <v>9</v>
      </c>
      <c r="H577" s="116">
        <v>879</v>
      </c>
      <c r="I577" s="2"/>
    </row>
    <row r="578" spans="1:9" ht="19.8" customHeight="1" x14ac:dyDescent="0.3">
      <c r="A578" s="114">
        <v>46031</v>
      </c>
      <c r="B578" s="76" t="s">
        <v>32</v>
      </c>
      <c r="C578" s="77" t="s">
        <v>33</v>
      </c>
      <c r="D578" s="76" t="s">
        <v>260</v>
      </c>
      <c r="E578" s="115">
        <v>1.836805555555556</v>
      </c>
      <c r="F578" s="76" t="s">
        <v>37</v>
      </c>
      <c r="G578" s="78">
        <v>9</v>
      </c>
      <c r="H578" s="116">
        <v>979</v>
      </c>
      <c r="I578" s="2"/>
    </row>
    <row r="579" spans="1:9" ht="19.8" customHeight="1" x14ac:dyDescent="0.3">
      <c r="A579" s="114">
        <v>46031</v>
      </c>
      <c r="B579" s="76" t="s">
        <v>26</v>
      </c>
      <c r="C579" s="77" t="s">
        <v>74</v>
      </c>
      <c r="D579" s="76" t="s">
        <v>260</v>
      </c>
      <c r="E579" s="115">
        <v>1.5798611111111109</v>
      </c>
      <c r="F579" s="76" t="s">
        <v>128</v>
      </c>
      <c r="G579" s="78">
        <v>2</v>
      </c>
      <c r="H579" s="82" t="s">
        <v>159</v>
      </c>
      <c r="I579" s="2"/>
    </row>
    <row r="580" spans="1:9" ht="19.8" customHeight="1" x14ac:dyDescent="0.3">
      <c r="A580" s="114">
        <v>46031</v>
      </c>
      <c r="B580" s="76" t="s">
        <v>32</v>
      </c>
      <c r="C580" s="77" t="s">
        <v>33</v>
      </c>
      <c r="D580" s="76" t="s">
        <v>260</v>
      </c>
      <c r="E580" s="115">
        <v>1.836805555555556</v>
      </c>
      <c r="F580" s="76" t="s">
        <v>39</v>
      </c>
      <c r="G580" s="78">
        <v>9</v>
      </c>
      <c r="H580" s="82" t="s">
        <v>154</v>
      </c>
      <c r="I580" s="2"/>
    </row>
    <row r="581" spans="1:9" ht="19.8" customHeight="1" x14ac:dyDescent="0.3">
      <c r="A581" s="114">
        <v>46031</v>
      </c>
      <c r="B581" s="76" t="s">
        <v>57</v>
      </c>
      <c r="C581" s="77" t="s">
        <v>58</v>
      </c>
      <c r="D581" s="76" t="s">
        <v>260</v>
      </c>
      <c r="E581" s="115">
        <v>1.305555555555556</v>
      </c>
      <c r="F581" s="76" t="s">
        <v>65</v>
      </c>
      <c r="G581" s="78">
        <v>14</v>
      </c>
      <c r="H581" s="82" t="s">
        <v>95</v>
      </c>
      <c r="I581" s="2"/>
    </row>
    <row r="582" spans="1:9" ht="19.8" customHeight="1" x14ac:dyDescent="0.3">
      <c r="A582" s="114">
        <v>46031</v>
      </c>
      <c r="B582" s="76" t="s">
        <v>41</v>
      </c>
      <c r="C582" s="77" t="s">
        <v>68</v>
      </c>
      <c r="D582" s="76" t="s">
        <v>260</v>
      </c>
      <c r="E582" s="115">
        <v>1.5138888888888891</v>
      </c>
      <c r="F582" s="76" t="s">
        <v>44</v>
      </c>
      <c r="G582" s="78">
        <v>9</v>
      </c>
      <c r="H582" s="82" t="s">
        <v>100</v>
      </c>
      <c r="I582" s="2"/>
    </row>
    <row r="583" spans="1:9" ht="19.8" customHeight="1" x14ac:dyDescent="0.3">
      <c r="A583" s="114">
        <v>46031</v>
      </c>
      <c r="B583" s="76" t="s">
        <v>121</v>
      </c>
      <c r="C583" s="77" t="s">
        <v>140</v>
      </c>
      <c r="D583" s="76" t="s">
        <v>260</v>
      </c>
      <c r="E583" s="115">
        <v>1.2152777777777779</v>
      </c>
      <c r="F583" s="76" t="s">
        <v>128</v>
      </c>
      <c r="G583" s="78">
        <v>4</v>
      </c>
      <c r="H583" s="82" t="s">
        <v>143</v>
      </c>
      <c r="I583" s="2"/>
    </row>
    <row r="584" spans="1:9" ht="19.8" customHeight="1" x14ac:dyDescent="0.3">
      <c r="A584" s="117">
        <v>46031</v>
      </c>
      <c r="B584" s="79" t="s">
        <v>77</v>
      </c>
      <c r="C584" s="80" t="s">
        <v>78</v>
      </c>
      <c r="D584" s="79" t="s">
        <v>260</v>
      </c>
      <c r="E584" s="118">
        <v>1.305555555555556</v>
      </c>
      <c r="F584" s="79" t="s">
        <v>79</v>
      </c>
      <c r="G584" s="81">
        <v>4</v>
      </c>
      <c r="H584" s="83" t="s">
        <v>160</v>
      </c>
      <c r="I584" s="2"/>
    </row>
    <row r="585" spans="1:9" ht="19.8" customHeight="1" x14ac:dyDescent="0.3">
      <c r="A585" s="72"/>
      <c r="B585" s="73"/>
      <c r="C585" s="73"/>
      <c r="D585" s="73"/>
      <c r="E585" s="73"/>
      <c r="F585" s="74" t="s">
        <v>259</v>
      </c>
      <c r="G585" s="73"/>
      <c r="H585" s="75"/>
      <c r="I585" s="2"/>
    </row>
    <row r="586" spans="1:9" ht="19.8" customHeight="1" x14ac:dyDescent="0.3">
      <c r="A586" s="114">
        <v>46032</v>
      </c>
      <c r="B586" s="76" t="s">
        <v>57</v>
      </c>
      <c r="C586" s="77" t="s">
        <v>58</v>
      </c>
      <c r="D586" s="76" t="s">
        <v>260</v>
      </c>
      <c r="E586" s="115">
        <v>1.305555555555556</v>
      </c>
      <c r="F586" s="76" t="s">
        <v>60</v>
      </c>
      <c r="G586" s="78">
        <v>20</v>
      </c>
      <c r="H586" s="116">
        <v>549</v>
      </c>
      <c r="I586" s="2"/>
    </row>
    <row r="587" spans="1:9" ht="19.8" customHeight="1" x14ac:dyDescent="0.3">
      <c r="A587" s="114">
        <v>46032</v>
      </c>
      <c r="B587" s="76" t="s">
        <v>32</v>
      </c>
      <c r="C587" s="77" t="s">
        <v>33</v>
      </c>
      <c r="D587" s="76" t="s">
        <v>260</v>
      </c>
      <c r="E587" s="115">
        <v>1.836805555555556</v>
      </c>
      <c r="F587" s="76" t="s">
        <v>34</v>
      </c>
      <c r="G587" s="78">
        <v>1</v>
      </c>
      <c r="H587" s="116">
        <v>609</v>
      </c>
      <c r="I587" s="2"/>
    </row>
    <row r="588" spans="1:9" ht="19.8" customHeight="1" x14ac:dyDescent="0.3">
      <c r="A588" s="114">
        <v>46032</v>
      </c>
      <c r="B588" s="76" t="s">
        <v>32</v>
      </c>
      <c r="C588" s="77" t="s">
        <v>113</v>
      </c>
      <c r="D588" s="76" t="s">
        <v>260</v>
      </c>
      <c r="E588" s="115">
        <v>1.2013888888888891</v>
      </c>
      <c r="F588" s="76" t="s">
        <v>34</v>
      </c>
      <c r="G588" s="78">
        <v>1</v>
      </c>
      <c r="H588" s="116">
        <v>609</v>
      </c>
      <c r="I588" s="2"/>
    </row>
    <row r="589" spans="1:9" ht="19.8" customHeight="1" x14ac:dyDescent="0.3">
      <c r="A589" s="114">
        <v>46032</v>
      </c>
      <c r="B589" s="76" t="s">
        <v>262</v>
      </c>
      <c r="C589" s="77" t="s">
        <v>263</v>
      </c>
      <c r="D589" s="76" t="s">
        <v>260</v>
      </c>
      <c r="E589" s="115">
        <v>1.9722222222222221</v>
      </c>
      <c r="F589" s="76" t="s">
        <v>264</v>
      </c>
      <c r="G589" s="78">
        <v>9</v>
      </c>
      <c r="H589" s="116">
        <v>627</v>
      </c>
      <c r="I589" s="2"/>
    </row>
    <row r="590" spans="1:9" ht="19.8" customHeight="1" x14ac:dyDescent="0.3">
      <c r="A590" s="114">
        <v>46032</v>
      </c>
      <c r="B590" s="76" t="s">
        <v>57</v>
      </c>
      <c r="C590" s="77" t="s">
        <v>58</v>
      </c>
      <c r="D590" s="76" t="s">
        <v>260</v>
      </c>
      <c r="E590" s="115">
        <v>1.305555555555556</v>
      </c>
      <c r="F590" s="76" t="s">
        <v>63</v>
      </c>
      <c r="G590" s="78">
        <v>20</v>
      </c>
      <c r="H590" s="116">
        <v>699</v>
      </c>
      <c r="I590" s="2"/>
    </row>
    <row r="591" spans="1:9" ht="19.8" customHeight="1" x14ac:dyDescent="0.3">
      <c r="A591" s="114">
        <v>46032</v>
      </c>
      <c r="B591" s="76" t="s">
        <v>32</v>
      </c>
      <c r="C591" s="77" t="s">
        <v>33</v>
      </c>
      <c r="D591" s="76" t="s">
        <v>260</v>
      </c>
      <c r="E591" s="115">
        <v>1.836805555555556</v>
      </c>
      <c r="F591" s="76" t="s">
        <v>37</v>
      </c>
      <c r="G591" s="78">
        <v>1</v>
      </c>
      <c r="H591" s="116">
        <v>709</v>
      </c>
      <c r="I591" s="2"/>
    </row>
    <row r="592" spans="1:9" ht="19.8" customHeight="1" x14ac:dyDescent="0.3">
      <c r="A592" s="114">
        <v>46032</v>
      </c>
      <c r="B592" s="76" t="s">
        <v>32</v>
      </c>
      <c r="C592" s="77" t="s">
        <v>113</v>
      </c>
      <c r="D592" s="76" t="s">
        <v>260</v>
      </c>
      <c r="E592" s="115">
        <v>1.2013888888888891</v>
      </c>
      <c r="F592" s="76" t="s">
        <v>37</v>
      </c>
      <c r="G592" s="78">
        <v>1</v>
      </c>
      <c r="H592" s="116">
        <v>709</v>
      </c>
      <c r="I592" s="2"/>
    </row>
    <row r="593" spans="1:9" ht="19.8" customHeight="1" x14ac:dyDescent="0.3">
      <c r="A593" s="114">
        <v>46032</v>
      </c>
      <c r="B593" s="76" t="s">
        <v>46</v>
      </c>
      <c r="C593" s="77" t="s">
        <v>261</v>
      </c>
      <c r="D593" s="76" t="s">
        <v>260</v>
      </c>
      <c r="E593" s="115">
        <v>1.895833333333333</v>
      </c>
      <c r="F593" s="76" t="s">
        <v>128</v>
      </c>
      <c r="G593" s="78">
        <v>9</v>
      </c>
      <c r="H593" s="116">
        <v>723</v>
      </c>
      <c r="I593" s="2"/>
    </row>
    <row r="594" spans="1:9" ht="19.8" customHeight="1" x14ac:dyDescent="0.3">
      <c r="A594" s="114">
        <v>46032</v>
      </c>
      <c r="B594" s="76" t="s">
        <v>41</v>
      </c>
      <c r="C594" s="77" t="s">
        <v>42</v>
      </c>
      <c r="D594" s="76" t="s">
        <v>260</v>
      </c>
      <c r="E594" s="115">
        <v>1.864583333333333</v>
      </c>
      <c r="F594" s="76" t="s">
        <v>44</v>
      </c>
      <c r="G594" s="78">
        <v>9</v>
      </c>
      <c r="H594" s="116">
        <v>757</v>
      </c>
      <c r="I594" s="2"/>
    </row>
    <row r="595" spans="1:9" ht="19.8" customHeight="1" x14ac:dyDescent="0.3">
      <c r="A595" s="114">
        <v>46032</v>
      </c>
      <c r="B595" s="76" t="s">
        <v>41</v>
      </c>
      <c r="C595" s="77" t="s">
        <v>68</v>
      </c>
      <c r="D595" s="76" t="s">
        <v>260</v>
      </c>
      <c r="E595" s="115">
        <v>1.5277777777777779</v>
      </c>
      <c r="F595" s="76" t="s">
        <v>44</v>
      </c>
      <c r="G595" s="78">
        <v>9</v>
      </c>
      <c r="H595" s="116">
        <v>757</v>
      </c>
      <c r="I595" s="2"/>
    </row>
    <row r="596" spans="1:9" ht="19.8" customHeight="1" x14ac:dyDescent="0.3">
      <c r="A596" s="114">
        <v>46032</v>
      </c>
      <c r="B596" s="76" t="s">
        <v>41</v>
      </c>
      <c r="C596" s="77" t="s">
        <v>71</v>
      </c>
      <c r="D596" s="76" t="s">
        <v>260</v>
      </c>
      <c r="E596" s="115">
        <v>1.1701388888888891</v>
      </c>
      <c r="F596" s="76" t="s">
        <v>44</v>
      </c>
      <c r="G596" s="78">
        <v>9</v>
      </c>
      <c r="H596" s="116">
        <v>757</v>
      </c>
      <c r="I596" s="2"/>
    </row>
    <row r="597" spans="1:9" ht="19.8" customHeight="1" x14ac:dyDescent="0.3">
      <c r="A597" s="114">
        <v>46032</v>
      </c>
      <c r="B597" s="76" t="s">
        <v>32</v>
      </c>
      <c r="C597" s="77" t="s">
        <v>33</v>
      </c>
      <c r="D597" s="76" t="s">
        <v>260</v>
      </c>
      <c r="E597" s="115">
        <v>1.836805555555556</v>
      </c>
      <c r="F597" s="76" t="s">
        <v>39</v>
      </c>
      <c r="G597" s="78">
        <v>1</v>
      </c>
      <c r="H597" s="116">
        <v>799</v>
      </c>
      <c r="I597" s="2"/>
    </row>
    <row r="598" spans="1:9" ht="19.8" customHeight="1" x14ac:dyDescent="0.3">
      <c r="A598" s="114">
        <v>46032</v>
      </c>
      <c r="B598" s="76" t="s">
        <v>32</v>
      </c>
      <c r="C598" s="77" t="s">
        <v>113</v>
      </c>
      <c r="D598" s="76" t="s">
        <v>260</v>
      </c>
      <c r="E598" s="115">
        <v>1.2013888888888891</v>
      </c>
      <c r="F598" s="76" t="s">
        <v>39</v>
      </c>
      <c r="G598" s="78">
        <v>1</v>
      </c>
      <c r="H598" s="116">
        <v>799</v>
      </c>
      <c r="I598" s="2"/>
    </row>
    <row r="599" spans="1:9" ht="19.8" customHeight="1" x14ac:dyDescent="0.3">
      <c r="A599" s="114">
        <v>46032</v>
      </c>
      <c r="B599" s="76" t="s">
        <v>262</v>
      </c>
      <c r="C599" s="77" t="s">
        <v>263</v>
      </c>
      <c r="D599" s="76" t="s">
        <v>260</v>
      </c>
      <c r="E599" s="115">
        <v>1.9722222222222221</v>
      </c>
      <c r="F599" s="76" t="s">
        <v>65</v>
      </c>
      <c r="G599" s="78">
        <v>9</v>
      </c>
      <c r="H599" s="116">
        <v>833</v>
      </c>
      <c r="I599" s="2"/>
    </row>
    <row r="600" spans="1:9" ht="19.8" customHeight="1" x14ac:dyDescent="0.3">
      <c r="A600" s="114">
        <v>46032</v>
      </c>
      <c r="B600" s="76" t="s">
        <v>26</v>
      </c>
      <c r="C600" s="77" t="s">
        <v>74</v>
      </c>
      <c r="D600" s="76" t="s">
        <v>260</v>
      </c>
      <c r="E600" s="115">
        <v>1.9236111111111109</v>
      </c>
      <c r="F600" s="76" t="s">
        <v>128</v>
      </c>
      <c r="G600" s="78">
        <v>3</v>
      </c>
      <c r="H600" s="116">
        <v>896</v>
      </c>
      <c r="I600" s="2"/>
    </row>
    <row r="601" spans="1:9" ht="19.8" customHeight="1" x14ac:dyDescent="0.3">
      <c r="A601" s="114">
        <v>46032</v>
      </c>
      <c r="B601" s="76" t="s">
        <v>57</v>
      </c>
      <c r="C601" s="77" t="s">
        <v>58</v>
      </c>
      <c r="D601" s="76" t="s">
        <v>260</v>
      </c>
      <c r="E601" s="115">
        <v>1.305555555555556</v>
      </c>
      <c r="F601" s="76" t="s">
        <v>65</v>
      </c>
      <c r="G601" s="78">
        <v>20</v>
      </c>
      <c r="H601" s="116">
        <v>899</v>
      </c>
      <c r="I601" s="2"/>
    </row>
    <row r="602" spans="1:9" ht="19.8" customHeight="1" x14ac:dyDescent="0.3">
      <c r="A602" s="117">
        <v>46032</v>
      </c>
      <c r="B602" s="79" t="s">
        <v>77</v>
      </c>
      <c r="C602" s="80" t="s">
        <v>78</v>
      </c>
      <c r="D602" s="79" t="s">
        <v>260</v>
      </c>
      <c r="E602" s="118">
        <v>1.305555555555556</v>
      </c>
      <c r="F602" s="79" t="s">
        <v>79</v>
      </c>
      <c r="G602" s="81">
        <v>4</v>
      </c>
      <c r="H602" s="83" t="s">
        <v>160</v>
      </c>
      <c r="I602" s="2"/>
    </row>
    <row r="603" spans="1:9" ht="19.8" customHeight="1" x14ac:dyDescent="0.3">
      <c r="A603" s="72"/>
      <c r="B603" s="73"/>
      <c r="C603" s="73"/>
      <c r="D603" s="73"/>
      <c r="E603" s="73"/>
      <c r="F603" s="74" t="s">
        <v>259</v>
      </c>
      <c r="G603" s="73"/>
      <c r="H603" s="75"/>
      <c r="I603" s="2"/>
    </row>
    <row r="604" spans="1:9" ht="19.8" customHeight="1" x14ac:dyDescent="0.3">
      <c r="A604" s="114">
        <v>46033</v>
      </c>
      <c r="B604" s="76" t="s">
        <v>41</v>
      </c>
      <c r="C604" s="77" t="s">
        <v>71</v>
      </c>
      <c r="D604" s="76" t="s">
        <v>260</v>
      </c>
      <c r="E604" s="115">
        <v>1.1701388888888891</v>
      </c>
      <c r="F604" s="76" t="s">
        <v>86</v>
      </c>
      <c r="G604" s="78">
        <v>9</v>
      </c>
      <c r="H604" s="116">
        <v>487</v>
      </c>
      <c r="I604" s="2"/>
    </row>
    <row r="605" spans="1:9" ht="19.8" customHeight="1" x14ac:dyDescent="0.3">
      <c r="A605" s="114">
        <v>46033</v>
      </c>
      <c r="B605" s="76" t="s">
        <v>57</v>
      </c>
      <c r="C605" s="77" t="s">
        <v>58</v>
      </c>
      <c r="D605" s="76" t="s">
        <v>260</v>
      </c>
      <c r="E605" s="115">
        <v>1.305555555555556</v>
      </c>
      <c r="F605" s="76" t="s">
        <v>60</v>
      </c>
      <c r="G605" s="78">
        <v>20</v>
      </c>
      <c r="H605" s="116">
        <v>509</v>
      </c>
      <c r="I605" s="2"/>
    </row>
    <row r="606" spans="1:9" ht="19.8" customHeight="1" x14ac:dyDescent="0.3">
      <c r="A606" s="114">
        <v>46033</v>
      </c>
      <c r="B606" s="76" t="s">
        <v>41</v>
      </c>
      <c r="C606" s="77" t="s">
        <v>42</v>
      </c>
      <c r="D606" s="76" t="s">
        <v>260</v>
      </c>
      <c r="E606" s="115">
        <v>1.864583333333333</v>
      </c>
      <c r="F606" s="76" t="s">
        <v>86</v>
      </c>
      <c r="G606" s="78">
        <v>9</v>
      </c>
      <c r="H606" s="116">
        <v>517</v>
      </c>
      <c r="I606" s="2"/>
    </row>
    <row r="607" spans="1:9" ht="19.8" customHeight="1" x14ac:dyDescent="0.3">
      <c r="A607" s="114">
        <v>46033</v>
      </c>
      <c r="B607" s="76" t="s">
        <v>41</v>
      </c>
      <c r="C607" s="77" t="s">
        <v>68</v>
      </c>
      <c r="D607" s="76" t="s">
        <v>260</v>
      </c>
      <c r="E607" s="115">
        <v>1.5277777777777779</v>
      </c>
      <c r="F607" s="76" t="s">
        <v>86</v>
      </c>
      <c r="G607" s="78">
        <v>9</v>
      </c>
      <c r="H607" s="116">
        <v>517</v>
      </c>
      <c r="I607" s="2"/>
    </row>
    <row r="608" spans="1:9" ht="19.8" customHeight="1" x14ac:dyDescent="0.3">
      <c r="A608" s="114">
        <v>46033</v>
      </c>
      <c r="B608" s="76" t="s">
        <v>32</v>
      </c>
      <c r="C608" s="77" t="s">
        <v>33</v>
      </c>
      <c r="D608" s="76" t="s">
        <v>260</v>
      </c>
      <c r="E608" s="115">
        <v>1.836805555555556</v>
      </c>
      <c r="F608" s="76" t="s">
        <v>34</v>
      </c>
      <c r="G608" s="78">
        <v>4</v>
      </c>
      <c r="H608" s="116">
        <v>559</v>
      </c>
      <c r="I608" s="2"/>
    </row>
    <row r="609" spans="1:9" ht="19.8" customHeight="1" x14ac:dyDescent="0.3">
      <c r="A609" s="114">
        <v>46033</v>
      </c>
      <c r="B609" s="76" t="s">
        <v>121</v>
      </c>
      <c r="C609" s="77" t="s">
        <v>140</v>
      </c>
      <c r="D609" s="76" t="s">
        <v>260</v>
      </c>
      <c r="E609" s="115">
        <v>1.2152777777777779</v>
      </c>
      <c r="F609" s="76" t="s">
        <v>128</v>
      </c>
      <c r="G609" s="78">
        <v>7</v>
      </c>
      <c r="H609" s="116">
        <v>568</v>
      </c>
      <c r="I609" s="2"/>
    </row>
    <row r="610" spans="1:9" ht="19.8" customHeight="1" x14ac:dyDescent="0.3">
      <c r="A610" s="114">
        <v>46033</v>
      </c>
      <c r="B610" s="76" t="s">
        <v>46</v>
      </c>
      <c r="C610" s="77" t="s">
        <v>266</v>
      </c>
      <c r="D610" s="76" t="s">
        <v>260</v>
      </c>
      <c r="E610" s="115">
        <v>1.958333333333333</v>
      </c>
      <c r="F610" s="76" t="s">
        <v>128</v>
      </c>
      <c r="G610" s="78">
        <v>5</v>
      </c>
      <c r="H610" s="116">
        <v>629</v>
      </c>
      <c r="I610" s="2"/>
    </row>
    <row r="611" spans="1:9" ht="19.8" customHeight="1" x14ac:dyDescent="0.3">
      <c r="A611" s="114">
        <v>46033</v>
      </c>
      <c r="B611" s="76" t="s">
        <v>57</v>
      </c>
      <c r="C611" s="77" t="s">
        <v>58</v>
      </c>
      <c r="D611" s="76" t="s">
        <v>260</v>
      </c>
      <c r="E611" s="115">
        <v>1.305555555555556</v>
      </c>
      <c r="F611" s="76" t="s">
        <v>63</v>
      </c>
      <c r="G611" s="78">
        <v>20</v>
      </c>
      <c r="H611" s="116">
        <v>659</v>
      </c>
      <c r="I611" s="2"/>
    </row>
    <row r="612" spans="1:9" ht="19.8" customHeight="1" x14ac:dyDescent="0.3">
      <c r="A612" s="114">
        <v>46033</v>
      </c>
      <c r="B612" s="76" t="s">
        <v>32</v>
      </c>
      <c r="C612" s="77" t="s">
        <v>33</v>
      </c>
      <c r="D612" s="76" t="s">
        <v>260</v>
      </c>
      <c r="E612" s="115">
        <v>1.836805555555556</v>
      </c>
      <c r="F612" s="76" t="s">
        <v>37</v>
      </c>
      <c r="G612" s="78">
        <v>4</v>
      </c>
      <c r="H612" s="116">
        <v>659</v>
      </c>
      <c r="I612" s="2"/>
    </row>
    <row r="613" spans="1:9" ht="19.8" customHeight="1" x14ac:dyDescent="0.3">
      <c r="A613" s="114">
        <v>46033</v>
      </c>
      <c r="B613" s="76" t="s">
        <v>32</v>
      </c>
      <c r="C613" s="77" t="s">
        <v>33</v>
      </c>
      <c r="D613" s="76" t="s">
        <v>260</v>
      </c>
      <c r="E613" s="115">
        <v>1.836805555555556</v>
      </c>
      <c r="F613" s="76" t="s">
        <v>39</v>
      </c>
      <c r="G613" s="78">
        <v>4</v>
      </c>
      <c r="H613" s="116">
        <v>749</v>
      </c>
      <c r="I613" s="2"/>
    </row>
    <row r="614" spans="1:9" ht="19.8" customHeight="1" x14ac:dyDescent="0.3">
      <c r="A614" s="114">
        <v>46033</v>
      </c>
      <c r="B614" s="76" t="s">
        <v>57</v>
      </c>
      <c r="C614" s="77" t="s">
        <v>58</v>
      </c>
      <c r="D614" s="76" t="s">
        <v>260</v>
      </c>
      <c r="E614" s="115">
        <v>1.305555555555556</v>
      </c>
      <c r="F614" s="76" t="s">
        <v>65</v>
      </c>
      <c r="G614" s="78">
        <v>20</v>
      </c>
      <c r="H614" s="116">
        <v>899</v>
      </c>
      <c r="I614" s="2"/>
    </row>
    <row r="615" spans="1:9" ht="19.8" customHeight="1" x14ac:dyDescent="0.3">
      <c r="A615" s="117">
        <v>46033</v>
      </c>
      <c r="B615" s="79" t="s">
        <v>77</v>
      </c>
      <c r="C615" s="80" t="s">
        <v>78</v>
      </c>
      <c r="D615" s="79" t="s">
        <v>260</v>
      </c>
      <c r="E615" s="118">
        <v>1.305555555555556</v>
      </c>
      <c r="F615" s="79" t="s">
        <v>79</v>
      </c>
      <c r="G615" s="81">
        <v>4</v>
      </c>
      <c r="H615" s="83" t="s">
        <v>143</v>
      </c>
      <c r="I615" s="2"/>
    </row>
    <row r="616" spans="1:9" ht="19.8" customHeight="1" x14ac:dyDescent="0.3">
      <c r="A616" s="120">
        <v>46034</v>
      </c>
      <c r="B616" s="69" t="s">
        <v>26</v>
      </c>
      <c r="C616" s="70" t="s">
        <v>27</v>
      </c>
      <c r="D616" s="69" t="s">
        <v>1</v>
      </c>
      <c r="E616" s="121">
        <v>1.510416666666667</v>
      </c>
      <c r="F616" s="69" t="s">
        <v>128</v>
      </c>
      <c r="G616" s="84">
        <v>7</v>
      </c>
      <c r="H616" s="122">
        <v>596</v>
      </c>
      <c r="I616" s="2"/>
    </row>
    <row r="617" spans="1:9" ht="19.8" customHeight="1" x14ac:dyDescent="0.3">
      <c r="A617" s="72"/>
      <c r="B617" s="73"/>
      <c r="C617" s="73"/>
      <c r="D617" s="73"/>
      <c r="E617" s="73"/>
      <c r="F617" s="74" t="s">
        <v>259</v>
      </c>
      <c r="G617" s="73"/>
      <c r="H617" s="75"/>
      <c r="I617" s="2"/>
    </row>
    <row r="618" spans="1:9" ht="19.8" customHeight="1" x14ac:dyDescent="0.3">
      <c r="A618" s="114">
        <v>46034</v>
      </c>
      <c r="B618" s="76" t="s">
        <v>41</v>
      </c>
      <c r="C618" s="77" t="s">
        <v>71</v>
      </c>
      <c r="D618" s="76" t="s">
        <v>260</v>
      </c>
      <c r="E618" s="115">
        <v>1.1701388888888891</v>
      </c>
      <c r="F618" s="76" t="s">
        <v>86</v>
      </c>
      <c r="G618" s="78">
        <v>9</v>
      </c>
      <c r="H618" s="116">
        <v>487</v>
      </c>
      <c r="I618" s="2"/>
    </row>
    <row r="619" spans="1:9" ht="19.8" customHeight="1" x14ac:dyDescent="0.3">
      <c r="A619" s="114">
        <v>46034</v>
      </c>
      <c r="B619" s="76" t="s">
        <v>121</v>
      </c>
      <c r="C619" s="77" t="s">
        <v>122</v>
      </c>
      <c r="D619" s="76" t="s">
        <v>260</v>
      </c>
      <c r="E619" s="115">
        <v>1.1284722222222221</v>
      </c>
      <c r="F619" s="76" t="s">
        <v>128</v>
      </c>
      <c r="G619" s="78">
        <v>7</v>
      </c>
      <c r="H619" s="116">
        <v>500</v>
      </c>
      <c r="I619" s="2"/>
    </row>
    <row r="620" spans="1:9" ht="19.8" customHeight="1" x14ac:dyDescent="0.3">
      <c r="A620" s="114">
        <v>46034</v>
      </c>
      <c r="B620" s="76" t="s">
        <v>57</v>
      </c>
      <c r="C620" s="77" t="s">
        <v>58</v>
      </c>
      <c r="D620" s="76" t="s">
        <v>260</v>
      </c>
      <c r="E620" s="115">
        <v>1.305555555555556</v>
      </c>
      <c r="F620" s="76" t="s">
        <v>60</v>
      </c>
      <c r="G620" s="78">
        <v>20</v>
      </c>
      <c r="H620" s="116">
        <v>509</v>
      </c>
      <c r="I620" s="2"/>
    </row>
    <row r="621" spans="1:9" ht="19.8" customHeight="1" x14ac:dyDescent="0.3">
      <c r="A621" s="114">
        <v>46034</v>
      </c>
      <c r="B621" s="76" t="s">
        <v>41</v>
      </c>
      <c r="C621" s="77" t="s">
        <v>42</v>
      </c>
      <c r="D621" s="76" t="s">
        <v>260</v>
      </c>
      <c r="E621" s="115">
        <v>1.864583333333333</v>
      </c>
      <c r="F621" s="76" t="s">
        <v>86</v>
      </c>
      <c r="G621" s="78">
        <v>9</v>
      </c>
      <c r="H621" s="116">
        <v>517</v>
      </c>
      <c r="I621" s="2"/>
    </row>
    <row r="622" spans="1:9" ht="19.8" customHeight="1" x14ac:dyDescent="0.3">
      <c r="A622" s="114">
        <v>46034</v>
      </c>
      <c r="B622" s="76" t="s">
        <v>41</v>
      </c>
      <c r="C622" s="77" t="s">
        <v>68</v>
      </c>
      <c r="D622" s="76" t="s">
        <v>260</v>
      </c>
      <c r="E622" s="115">
        <v>1.5277777777777779</v>
      </c>
      <c r="F622" s="76" t="s">
        <v>86</v>
      </c>
      <c r="G622" s="78">
        <v>9</v>
      </c>
      <c r="H622" s="116">
        <v>517</v>
      </c>
      <c r="I622" s="2"/>
    </row>
    <row r="623" spans="1:9" ht="19.8" customHeight="1" x14ac:dyDescent="0.3">
      <c r="A623" s="114">
        <v>46034</v>
      </c>
      <c r="B623" s="76" t="s">
        <v>32</v>
      </c>
      <c r="C623" s="77" t="s">
        <v>33</v>
      </c>
      <c r="D623" s="76" t="s">
        <v>260</v>
      </c>
      <c r="E623" s="115">
        <v>1.836805555555556</v>
      </c>
      <c r="F623" s="76" t="s">
        <v>34</v>
      </c>
      <c r="G623" s="78">
        <v>5</v>
      </c>
      <c r="H623" s="116">
        <v>559</v>
      </c>
      <c r="I623" s="2"/>
    </row>
    <row r="624" spans="1:9" ht="19.8" customHeight="1" x14ac:dyDescent="0.3">
      <c r="A624" s="114">
        <v>46034</v>
      </c>
      <c r="B624" s="76" t="s">
        <v>32</v>
      </c>
      <c r="C624" s="77" t="s">
        <v>113</v>
      </c>
      <c r="D624" s="76" t="s">
        <v>260</v>
      </c>
      <c r="E624" s="115">
        <v>1.2013888888888891</v>
      </c>
      <c r="F624" s="76" t="s">
        <v>34</v>
      </c>
      <c r="G624" s="78">
        <v>5</v>
      </c>
      <c r="H624" s="116">
        <v>559</v>
      </c>
      <c r="I624" s="2"/>
    </row>
    <row r="625" spans="1:9" ht="19.8" customHeight="1" x14ac:dyDescent="0.3">
      <c r="A625" s="114">
        <v>46034</v>
      </c>
      <c r="B625" s="76" t="s">
        <v>46</v>
      </c>
      <c r="C625" s="77" t="s">
        <v>47</v>
      </c>
      <c r="D625" s="76" t="s">
        <v>260</v>
      </c>
      <c r="E625" s="115">
        <v>1.958333333333333</v>
      </c>
      <c r="F625" s="76" t="s">
        <v>128</v>
      </c>
      <c r="G625" s="78">
        <v>1</v>
      </c>
      <c r="H625" s="116">
        <v>563</v>
      </c>
      <c r="I625" s="2"/>
    </row>
    <row r="626" spans="1:9" ht="19.8" customHeight="1" x14ac:dyDescent="0.3">
      <c r="A626" s="114">
        <v>46034</v>
      </c>
      <c r="B626" s="76" t="s">
        <v>57</v>
      </c>
      <c r="C626" s="77" t="s">
        <v>58</v>
      </c>
      <c r="D626" s="76" t="s">
        <v>260</v>
      </c>
      <c r="E626" s="115">
        <v>1.305555555555556</v>
      </c>
      <c r="F626" s="76" t="s">
        <v>63</v>
      </c>
      <c r="G626" s="78">
        <v>20</v>
      </c>
      <c r="H626" s="116">
        <v>659</v>
      </c>
      <c r="I626" s="2"/>
    </row>
    <row r="627" spans="1:9" ht="19.8" customHeight="1" x14ac:dyDescent="0.3">
      <c r="A627" s="114">
        <v>46034</v>
      </c>
      <c r="B627" s="76" t="s">
        <v>32</v>
      </c>
      <c r="C627" s="77" t="s">
        <v>33</v>
      </c>
      <c r="D627" s="76" t="s">
        <v>260</v>
      </c>
      <c r="E627" s="115">
        <v>1.836805555555556</v>
      </c>
      <c r="F627" s="76" t="s">
        <v>37</v>
      </c>
      <c r="G627" s="78">
        <v>5</v>
      </c>
      <c r="H627" s="116">
        <v>659</v>
      </c>
      <c r="I627" s="2"/>
    </row>
    <row r="628" spans="1:9" ht="19.8" customHeight="1" x14ac:dyDescent="0.3">
      <c r="A628" s="114">
        <v>46034</v>
      </c>
      <c r="B628" s="76" t="s">
        <v>32</v>
      </c>
      <c r="C628" s="77" t="s">
        <v>113</v>
      </c>
      <c r="D628" s="76" t="s">
        <v>260</v>
      </c>
      <c r="E628" s="115">
        <v>1.2013888888888891</v>
      </c>
      <c r="F628" s="76" t="s">
        <v>37</v>
      </c>
      <c r="G628" s="78">
        <v>5</v>
      </c>
      <c r="H628" s="116">
        <v>659</v>
      </c>
      <c r="I628" s="2"/>
    </row>
    <row r="629" spans="1:9" ht="19.8" customHeight="1" x14ac:dyDescent="0.3">
      <c r="A629" s="114">
        <v>46034</v>
      </c>
      <c r="B629" s="76" t="s">
        <v>32</v>
      </c>
      <c r="C629" s="77" t="s">
        <v>33</v>
      </c>
      <c r="D629" s="76" t="s">
        <v>260</v>
      </c>
      <c r="E629" s="115">
        <v>1.836805555555556</v>
      </c>
      <c r="F629" s="76" t="s">
        <v>39</v>
      </c>
      <c r="G629" s="78">
        <v>5</v>
      </c>
      <c r="H629" s="116">
        <v>749</v>
      </c>
      <c r="I629" s="2"/>
    </row>
    <row r="630" spans="1:9" ht="19.8" customHeight="1" x14ac:dyDescent="0.3">
      <c r="A630" s="114">
        <v>46034</v>
      </c>
      <c r="B630" s="76" t="s">
        <v>32</v>
      </c>
      <c r="C630" s="77" t="s">
        <v>113</v>
      </c>
      <c r="D630" s="76" t="s">
        <v>260</v>
      </c>
      <c r="E630" s="115">
        <v>1.2013888888888891</v>
      </c>
      <c r="F630" s="76" t="s">
        <v>39</v>
      </c>
      <c r="G630" s="78">
        <v>5</v>
      </c>
      <c r="H630" s="116">
        <v>749</v>
      </c>
      <c r="I630" s="2"/>
    </row>
    <row r="631" spans="1:9" ht="19.8" customHeight="1" x14ac:dyDescent="0.3">
      <c r="A631" s="114">
        <v>46034</v>
      </c>
      <c r="B631" s="76" t="s">
        <v>57</v>
      </c>
      <c r="C631" s="77" t="s">
        <v>58</v>
      </c>
      <c r="D631" s="76" t="s">
        <v>260</v>
      </c>
      <c r="E631" s="115">
        <v>1.305555555555556</v>
      </c>
      <c r="F631" s="76" t="s">
        <v>65</v>
      </c>
      <c r="G631" s="78">
        <v>20</v>
      </c>
      <c r="H631" s="116">
        <v>899</v>
      </c>
      <c r="I631" s="2"/>
    </row>
    <row r="632" spans="1:9" ht="19.8" customHeight="1" x14ac:dyDescent="0.3">
      <c r="A632" s="117">
        <v>46034</v>
      </c>
      <c r="B632" s="79" t="s">
        <v>77</v>
      </c>
      <c r="C632" s="80" t="s">
        <v>78</v>
      </c>
      <c r="D632" s="79" t="s">
        <v>260</v>
      </c>
      <c r="E632" s="118">
        <v>1.305555555555556</v>
      </c>
      <c r="F632" s="79" t="s">
        <v>79</v>
      </c>
      <c r="G632" s="81">
        <v>4</v>
      </c>
      <c r="H632" s="83" t="s">
        <v>143</v>
      </c>
      <c r="I632" s="2"/>
    </row>
    <row r="633" spans="1:9" ht="19.8" customHeight="1" x14ac:dyDescent="0.3">
      <c r="A633" s="72"/>
      <c r="B633" s="73"/>
      <c r="C633" s="73"/>
      <c r="D633" s="73"/>
      <c r="E633" s="73"/>
      <c r="F633" s="74" t="s">
        <v>259</v>
      </c>
      <c r="G633" s="73"/>
      <c r="H633" s="75"/>
      <c r="I633" s="2"/>
    </row>
    <row r="634" spans="1:9" ht="19.8" customHeight="1" x14ac:dyDescent="0.3">
      <c r="A634" s="114">
        <v>46035</v>
      </c>
      <c r="B634" s="76" t="s">
        <v>41</v>
      </c>
      <c r="C634" s="77" t="s">
        <v>71</v>
      </c>
      <c r="D634" s="76" t="s">
        <v>260</v>
      </c>
      <c r="E634" s="115">
        <v>1.1701388888888891</v>
      </c>
      <c r="F634" s="76" t="s">
        <v>86</v>
      </c>
      <c r="G634" s="78">
        <v>9</v>
      </c>
      <c r="H634" s="116">
        <v>487</v>
      </c>
      <c r="I634" s="2"/>
    </row>
    <row r="635" spans="1:9" ht="19.8" customHeight="1" x14ac:dyDescent="0.3">
      <c r="A635" s="114">
        <v>46035</v>
      </c>
      <c r="B635" s="76" t="s">
        <v>121</v>
      </c>
      <c r="C635" s="77" t="s">
        <v>140</v>
      </c>
      <c r="D635" s="76" t="s">
        <v>260</v>
      </c>
      <c r="E635" s="115">
        <v>1.2152777777777779</v>
      </c>
      <c r="F635" s="76" t="s">
        <v>128</v>
      </c>
      <c r="G635" s="78">
        <v>6</v>
      </c>
      <c r="H635" s="116">
        <v>500</v>
      </c>
      <c r="I635" s="2"/>
    </row>
    <row r="636" spans="1:9" ht="19.8" customHeight="1" x14ac:dyDescent="0.3">
      <c r="A636" s="114">
        <v>46035</v>
      </c>
      <c r="B636" s="76" t="s">
        <v>26</v>
      </c>
      <c r="C636" s="77" t="s">
        <v>74</v>
      </c>
      <c r="D636" s="76" t="s">
        <v>260</v>
      </c>
      <c r="E636" s="115">
        <v>1.270833333333333</v>
      </c>
      <c r="F636" s="76" t="s">
        <v>128</v>
      </c>
      <c r="G636" s="78">
        <v>2</v>
      </c>
      <c r="H636" s="116">
        <v>506</v>
      </c>
      <c r="I636" s="2"/>
    </row>
    <row r="637" spans="1:9" ht="19.8" customHeight="1" x14ac:dyDescent="0.3">
      <c r="A637" s="114">
        <v>46035</v>
      </c>
      <c r="B637" s="76" t="s">
        <v>57</v>
      </c>
      <c r="C637" s="77" t="s">
        <v>58</v>
      </c>
      <c r="D637" s="76" t="s">
        <v>260</v>
      </c>
      <c r="E637" s="115">
        <v>1.305555555555556</v>
      </c>
      <c r="F637" s="76" t="s">
        <v>60</v>
      </c>
      <c r="G637" s="78">
        <v>20</v>
      </c>
      <c r="H637" s="116">
        <v>509</v>
      </c>
      <c r="I637" s="2"/>
    </row>
    <row r="638" spans="1:9" ht="19.8" customHeight="1" x14ac:dyDescent="0.3">
      <c r="A638" s="114">
        <v>46035</v>
      </c>
      <c r="B638" s="76" t="s">
        <v>41</v>
      </c>
      <c r="C638" s="77" t="s">
        <v>42</v>
      </c>
      <c r="D638" s="76" t="s">
        <v>260</v>
      </c>
      <c r="E638" s="115">
        <v>1.864583333333333</v>
      </c>
      <c r="F638" s="76" t="s">
        <v>86</v>
      </c>
      <c r="G638" s="78">
        <v>9</v>
      </c>
      <c r="H638" s="116">
        <v>517</v>
      </c>
      <c r="I638" s="2"/>
    </row>
    <row r="639" spans="1:9" ht="19.8" customHeight="1" x14ac:dyDescent="0.3">
      <c r="A639" s="114">
        <v>46035</v>
      </c>
      <c r="B639" s="76" t="s">
        <v>41</v>
      </c>
      <c r="C639" s="77" t="s">
        <v>68</v>
      </c>
      <c r="D639" s="76" t="s">
        <v>260</v>
      </c>
      <c r="E639" s="115">
        <v>1.5277777777777779</v>
      </c>
      <c r="F639" s="76" t="s">
        <v>86</v>
      </c>
      <c r="G639" s="78">
        <v>9</v>
      </c>
      <c r="H639" s="116">
        <v>517</v>
      </c>
      <c r="I639" s="2"/>
    </row>
    <row r="640" spans="1:9" ht="19.8" customHeight="1" x14ac:dyDescent="0.3">
      <c r="A640" s="114">
        <v>46035</v>
      </c>
      <c r="B640" s="76" t="s">
        <v>32</v>
      </c>
      <c r="C640" s="77" t="s">
        <v>113</v>
      </c>
      <c r="D640" s="76" t="s">
        <v>260</v>
      </c>
      <c r="E640" s="115">
        <v>1.2013888888888891</v>
      </c>
      <c r="F640" s="76" t="s">
        <v>34</v>
      </c>
      <c r="G640" s="78">
        <v>5</v>
      </c>
      <c r="H640" s="116">
        <v>559</v>
      </c>
      <c r="I640" s="2"/>
    </row>
    <row r="641" spans="1:9" ht="19.8" customHeight="1" x14ac:dyDescent="0.3">
      <c r="A641" s="114">
        <v>46035</v>
      </c>
      <c r="B641" s="76" t="s">
        <v>46</v>
      </c>
      <c r="C641" s="77" t="s">
        <v>261</v>
      </c>
      <c r="D641" s="76" t="s">
        <v>260</v>
      </c>
      <c r="E641" s="115">
        <v>1.958333333333333</v>
      </c>
      <c r="F641" s="76" t="s">
        <v>128</v>
      </c>
      <c r="G641" s="78">
        <v>7</v>
      </c>
      <c r="H641" s="116">
        <v>563</v>
      </c>
      <c r="I641" s="2"/>
    </row>
    <row r="642" spans="1:9" ht="19.8" customHeight="1" x14ac:dyDescent="0.3">
      <c r="A642" s="114">
        <v>46035</v>
      </c>
      <c r="B642" s="76" t="s">
        <v>32</v>
      </c>
      <c r="C642" s="77" t="s">
        <v>33</v>
      </c>
      <c r="D642" s="76" t="s">
        <v>260</v>
      </c>
      <c r="E642" s="115">
        <v>1.836805555555556</v>
      </c>
      <c r="F642" s="76" t="s">
        <v>34</v>
      </c>
      <c r="G642" s="78">
        <v>2</v>
      </c>
      <c r="H642" s="116">
        <v>609</v>
      </c>
      <c r="I642" s="2"/>
    </row>
    <row r="643" spans="1:9" ht="19.8" customHeight="1" x14ac:dyDescent="0.3">
      <c r="A643" s="114">
        <v>46035</v>
      </c>
      <c r="B643" s="76" t="s">
        <v>57</v>
      </c>
      <c r="C643" s="77" t="s">
        <v>58</v>
      </c>
      <c r="D643" s="76" t="s">
        <v>260</v>
      </c>
      <c r="E643" s="115">
        <v>1.305555555555556</v>
      </c>
      <c r="F643" s="76" t="s">
        <v>63</v>
      </c>
      <c r="G643" s="78">
        <v>20</v>
      </c>
      <c r="H643" s="116">
        <v>659</v>
      </c>
      <c r="I643" s="2"/>
    </row>
    <row r="644" spans="1:9" ht="19.8" customHeight="1" x14ac:dyDescent="0.3">
      <c r="A644" s="114">
        <v>46035</v>
      </c>
      <c r="B644" s="76" t="s">
        <v>32</v>
      </c>
      <c r="C644" s="77" t="s">
        <v>113</v>
      </c>
      <c r="D644" s="76" t="s">
        <v>260</v>
      </c>
      <c r="E644" s="115">
        <v>1.2013888888888891</v>
      </c>
      <c r="F644" s="76" t="s">
        <v>37</v>
      </c>
      <c r="G644" s="78">
        <v>5</v>
      </c>
      <c r="H644" s="116">
        <v>659</v>
      </c>
      <c r="I644" s="2"/>
    </row>
    <row r="645" spans="1:9" ht="19.8" customHeight="1" x14ac:dyDescent="0.3">
      <c r="A645" s="114">
        <v>46035</v>
      </c>
      <c r="B645" s="76" t="s">
        <v>32</v>
      </c>
      <c r="C645" s="77" t="s">
        <v>33</v>
      </c>
      <c r="D645" s="76" t="s">
        <v>260</v>
      </c>
      <c r="E645" s="115">
        <v>1.836805555555556</v>
      </c>
      <c r="F645" s="76" t="s">
        <v>37</v>
      </c>
      <c r="G645" s="78">
        <v>2</v>
      </c>
      <c r="H645" s="116">
        <v>709</v>
      </c>
      <c r="I645" s="2"/>
    </row>
    <row r="646" spans="1:9" ht="19.8" customHeight="1" x14ac:dyDescent="0.3">
      <c r="A646" s="114">
        <v>46035</v>
      </c>
      <c r="B646" s="76" t="s">
        <v>32</v>
      </c>
      <c r="C646" s="77" t="s">
        <v>113</v>
      </c>
      <c r="D646" s="76" t="s">
        <v>260</v>
      </c>
      <c r="E646" s="115">
        <v>1.2013888888888891</v>
      </c>
      <c r="F646" s="76" t="s">
        <v>39</v>
      </c>
      <c r="G646" s="78">
        <v>5</v>
      </c>
      <c r="H646" s="116">
        <v>749</v>
      </c>
      <c r="I646" s="2"/>
    </row>
    <row r="647" spans="1:9" ht="19.8" customHeight="1" x14ac:dyDescent="0.3">
      <c r="A647" s="114">
        <v>46035</v>
      </c>
      <c r="B647" s="76" t="s">
        <v>32</v>
      </c>
      <c r="C647" s="77" t="s">
        <v>33</v>
      </c>
      <c r="D647" s="76" t="s">
        <v>260</v>
      </c>
      <c r="E647" s="115">
        <v>1.836805555555556</v>
      </c>
      <c r="F647" s="76" t="s">
        <v>39</v>
      </c>
      <c r="G647" s="78">
        <v>2</v>
      </c>
      <c r="H647" s="116">
        <v>799</v>
      </c>
      <c r="I647" s="2"/>
    </row>
    <row r="648" spans="1:9" ht="19.8" customHeight="1" x14ac:dyDescent="0.3">
      <c r="A648" s="114">
        <v>46035</v>
      </c>
      <c r="B648" s="76" t="s">
        <v>57</v>
      </c>
      <c r="C648" s="77" t="s">
        <v>58</v>
      </c>
      <c r="D648" s="76" t="s">
        <v>260</v>
      </c>
      <c r="E648" s="115">
        <v>1.305555555555556</v>
      </c>
      <c r="F648" s="76" t="s">
        <v>65</v>
      </c>
      <c r="G648" s="78">
        <v>20</v>
      </c>
      <c r="H648" s="116">
        <v>899</v>
      </c>
      <c r="I648" s="2"/>
    </row>
    <row r="649" spans="1:9" ht="19.8" customHeight="1" x14ac:dyDescent="0.3">
      <c r="A649" s="117">
        <v>46035</v>
      </c>
      <c r="B649" s="79" t="s">
        <v>77</v>
      </c>
      <c r="C649" s="80" t="s">
        <v>78</v>
      </c>
      <c r="D649" s="79" t="s">
        <v>260</v>
      </c>
      <c r="E649" s="118">
        <v>1.305555555555556</v>
      </c>
      <c r="F649" s="79" t="s">
        <v>79</v>
      </c>
      <c r="G649" s="81">
        <v>4</v>
      </c>
      <c r="H649" s="83" t="s">
        <v>143</v>
      </c>
      <c r="I649" s="2"/>
    </row>
    <row r="650" spans="1:9" ht="19.8" customHeight="1" x14ac:dyDescent="0.3">
      <c r="A650" s="72"/>
      <c r="B650" s="73"/>
      <c r="C650" s="73"/>
      <c r="D650" s="73"/>
      <c r="E650" s="73"/>
      <c r="F650" s="74" t="s">
        <v>259</v>
      </c>
      <c r="G650" s="73"/>
      <c r="H650" s="75"/>
      <c r="I650" s="2"/>
    </row>
    <row r="651" spans="1:9" ht="19.8" customHeight="1" x14ac:dyDescent="0.3">
      <c r="A651" s="114">
        <v>46036</v>
      </c>
      <c r="B651" s="76" t="s">
        <v>41</v>
      </c>
      <c r="C651" s="77" t="s">
        <v>71</v>
      </c>
      <c r="D651" s="76" t="s">
        <v>260</v>
      </c>
      <c r="E651" s="115">
        <v>1.1701388888888891</v>
      </c>
      <c r="F651" s="76" t="s">
        <v>86</v>
      </c>
      <c r="G651" s="78">
        <v>9</v>
      </c>
      <c r="H651" s="116">
        <v>487</v>
      </c>
      <c r="I651" s="2"/>
    </row>
    <row r="652" spans="1:9" ht="19.8" customHeight="1" x14ac:dyDescent="0.3">
      <c r="A652" s="114">
        <v>46036</v>
      </c>
      <c r="B652" s="76" t="s">
        <v>121</v>
      </c>
      <c r="C652" s="77" t="s">
        <v>265</v>
      </c>
      <c r="D652" s="76" t="s">
        <v>260</v>
      </c>
      <c r="E652" s="115">
        <v>1.0902777777777779</v>
      </c>
      <c r="F652" s="76" t="s">
        <v>128</v>
      </c>
      <c r="G652" s="78">
        <v>3</v>
      </c>
      <c r="H652" s="116">
        <v>500</v>
      </c>
      <c r="I652" s="2"/>
    </row>
    <row r="653" spans="1:9" ht="19.8" customHeight="1" x14ac:dyDescent="0.3">
      <c r="A653" s="114">
        <v>46036</v>
      </c>
      <c r="B653" s="76" t="s">
        <v>262</v>
      </c>
      <c r="C653" s="77" t="s">
        <v>263</v>
      </c>
      <c r="D653" s="76" t="s">
        <v>260</v>
      </c>
      <c r="E653" s="115">
        <v>1.9722222222222221</v>
      </c>
      <c r="F653" s="76" t="s">
        <v>264</v>
      </c>
      <c r="G653" s="78">
        <v>9</v>
      </c>
      <c r="H653" s="116">
        <v>505</v>
      </c>
      <c r="I653" s="2"/>
    </row>
    <row r="654" spans="1:9" ht="19.8" customHeight="1" x14ac:dyDescent="0.3">
      <c r="A654" s="114">
        <v>46036</v>
      </c>
      <c r="B654" s="76" t="s">
        <v>57</v>
      </c>
      <c r="C654" s="77" t="s">
        <v>58</v>
      </c>
      <c r="D654" s="76" t="s">
        <v>260</v>
      </c>
      <c r="E654" s="115">
        <v>1.305555555555556</v>
      </c>
      <c r="F654" s="76" t="s">
        <v>60</v>
      </c>
      <c r="G654" s="78">
        <v>20</v>
      </c>
      <c r="H654" s="116">
        <v>509</v>
      </c>
      <c r="I654" s="2"/>
    </row>
    <row r="655" spans="1:9" ht="19.8" customHeight="1" x14ac:dyDescent="0.3">
      <c r="A655" s="114">
        <v>46036</v>
      </c>
      <c r="B655" s="76" t="s">
        <v>41</v>
      </c>
      <c r="C655" s="77" t="s">
        <v>42</v>
      </c>
      <c r="D655" s="76" t="s">
        <v>260</v>
      </c>
      <c r="E655" s="115">
        <v>1.864583333333333</v>
      </c>
      <c r="F655" s="76" t="s">
        <v>86</v>
      </c>
      <c r="G655" s="78">
        <v>9</v>
      </c>
      <c r="H655" s="116">
        <v>517</v>
      </c>
      <c r="I655" s="2"/>
    </row>
    <row r="656" spans="1:9" ht="19.8" customHeight="1" x14ac:dyDescent="0.3">
      <c r="A656" s="114">
        <v>46036</v>
      </c>
      <c r="B656" s="76" t="s">
        <v>41</v>
      </c>
      <c r="C656" s="77" t="s">
        <v>68</v>
      </c>
      <c r="D656" s="76" t="s">
        <v>260</v>
      </c>
      <c r="E656" s="115">
        <v>1.5277777777777779</v>
      </c>
      <c r="F656" s="76" t="s">
        <v>86</v>
      </c>
      <c r="G656" s="78">
        <v>9</v>
      </c>
      <c r="H656" s="116">
        <v>517</v>
      </c>
      <c r="I656" s="2"/>
    </row>
    <row r="657" spans="1:9" ht="19.8" customHeight="1" x14ac:dyDescent="0.3">
      <c r="A657" s="114">
        <v>46036</v>
      </c>
      <c r="B657" s="76" t="s">
        <v>46</v>
      </c>
      <c r="C657" s="77" t="s">
        <v>47</v>
      </c>
      <c r="D657" s="76" t="s">
        <v>260</v>
      </c>
      <c r="E657" s="115">
        <v>1.895833333333333</v>
      </c>
      <c r="F657" s="76" t="s">
        <v>128</v>
      </c>
      <c r="G657" s="78">
        <v>2</v>
      </c>
      <c r="H657" s="116">
        <v>563</v>
      </c>
      <c r="I657" s="2"/>
    </row>
    <row r="658" spans="1:9" ht="19.8" customHeight="1" x14ac:dyDescent="0.3">
      <c r="A658" s="114">
        <v>46036</v>
      </c>
      <c r="B658" s="76" t="s">
        <v>32</v>
      </c>
      <c r="C658" s="77" t="s">
        <v>33</v>
      </c>
      <c r="D658" s="76" t="s">
        <v>260</v>
      </c>
      <c r="E658" s="115">
        <v>1.836805555555556</v>
      </c>
      <c r="F658" s="76" t="s">
        <v>34</v>
      </c>
      <c r="G658" s="78">
        <v>4</v>
      </c>
      <c r="H658" s="116">
        <v>609</v>
      </c>
      <c r="I658" s="2"/>
    </row>
    <row r="659" spans="1:9" ht="19.8" customHeight="1" x14ac:dyDescent="0.3">
      <c r="A659" s="114">
        <v>46036</v>
      </c>
      <c r="B659" s="76" t="s">
        <v>57</v>
      </c>
      <c r="C659" s="77" t="s">
        <v>58</v>
      </c>
      <c r="D659" s="76" t="s">
        <v>260</v>
      </c>
      <c r="E659" s="115">
        <v>1.305555555555556</v>
      </c>
      <c r="F659" s="76" t="s">
        <v>63</v>
      </c>
      <c r="G659" s="78">
        <v>20</v>
      </c>
      <c r="H659" s="116">
        <v>659</v>
      </c>
      <c r="I659" s="2"/>
    </row>
    <row r="660" spans="1:9" ht="19.8" customHeight="1" x14ac:dyDescent="0.3">
      <c r="A660" s="114">
        <v>46036</v>
      </c>
      <c r="B660" s="76" t="s">
        <v>32</v>
      </c>
      <c r="C660" s="77" t="s">
        <v>33</v>
      </c>
      <c r="D660" s="76" t="s">
        <v>260</v>
      </c>
      <c r="E660" s="115">
        <v>1.836805555555556</v>
      </c>
      <c r="F660" s="76" t="s">
        <v>37</v>
      </c>
      <c r="G660" s="78">
        <v>4</v>
      </c>
      <c r="H660" s="116">
        <v>709</v>
      </c>
      <c r="I660" s="2"/>
    </row>
    <row r="661" spans="1:9" ht="19.8" customHeight="1" x14ac:dyDescent="0.3">
      <c r="A661" s="114">
        <v>46036</v>
      </c>
      <c r="B661" s="76" t="s">
        <v>262</v>
      </c>
      <c r="C661" s="77" t="s">
        <v>263</v>
      </c>
      <c r="D661" s="76" t="s">
        <v>260</v>
      </c>
      <c r="E661" s="115">
        <v>1.9722222222222221</v>
      </c>
      <c r="F661" s="76" t="s">
        <v>65</v>
      </c>
      <c r="G661" s="78">
        <v>9</v>
      </c>
      <c r="H661" s="116">
        <v>711</v>
      </c>
      <c r="I661" s="2"/>
    </row>
    <row r="662" spans="1:9" ht="19.8" customHeight="1" x14ac:dyDescent="0.3">
      <c r="A662" s="114">
        <v>46036</v>
      </c>
      <c r="B662" s="76" t="s">
        <v>32</v>
      </c>
      <c r="C662" s="77" t="s">
        <v>33</v>
      </c>
      <c r="D662" s="76" t="s">
        <v>260</v>
      </c>
      <c r="E662" s="115">
        <v>1.836805555555556</v>
      </c>
      <c r="F662" s="76" t="s">
        <v>39</v>
      </c>
      <c r="G662" s="78">
        <v>4</v>
      </c>
      <c r="H662" s="116">
        <v>799</v>
      </c>
      <c r="I662" s="2"/>
    </row>
    <row r="663" spans="1:9" ht="19.8" customHeight="1" x14ac:dyDescent="0.3">
      <c r="A663" s="114">
        <v>46036</v>
      </c>
      <c r="B663" s="76" t="s">
        <v>57</v>
      </c>
      <c r="C663" s="77" t="s">
        <v>58</v>
      </c>
      <c r="D663" s="76" t="s">
        <v>260</v>
      </c>
      <c r="E663" s="115">
        <v>1.305555555555556</v>
      </c>
      <c r="F663" s="76" t="s">
        <v>65</v>
      </c>
      <c r="G663" s="78">
        <v>20</v>
      </c>
      <c r="H663" s="116">
        <v>899</v>
      </c>
      <c r="I663" s="2"/>
    </row>
    <row r="664" spans="1:9" ht="19.8" customHeight="1" x14ac:dyDescent="0.3">
      <c r="A664" s="117">
        <v>46036</v>
      </c>
      <c r="B664" s="79" t="s">
        <v>77</v>
      </c>
      <c r="C664" s="80" t="s">
        <v>78</v>
      </c>
      <c r="D664" s="79" t="s">
        <v>260</v>
      </c>
      <c r="E664" s="118">
        <v>1.305555555555556</v>
      </c>
      <c r="F664" s="79" t="s">
        <v>79</v>
      </c>
      <c r="G664" s="81">
        <v>4</v>
      </c>
      <c r="H664" s="83" t="s">
        <v>143</v>
      </c>
      <c r="I664" s="2"/>
    </row>
    <row r="665" spans="1:9" ht="19.8" customHeight="1" x14ac:dyDescent="0.3">
      <c r="A665" s="72"/>
      <c r="B665" s="73"/>
      <c r="C665" s="73"/>
      <c r="D665" s="73"/>
      <c r="E665" s="73"/>
      <c r="F665" s="74" t="s">
        <v>259</v>
      </c>
      <c r="G665" s="73"/>
      <c r="H665" s="75"/>
      <c r="I665" s="2"/>
    </row>
    <row r="666" spans="1:9" ht="19.8" customHeight="1" x14ac:dyDescent="0.3">
      <c r="A666" s="114">
        <v>46037</v>
      </c>
      <c r="B666" s="76" t="s">
        <v>41</v>
      </c>
      <c r="C666" s="77" t="s">
        <v>71</v>
      </c>
      <c r="D666" s="76" t="s">
        <v>260</v>
      </c>
      <c r="E666" s="115">
        <v>1.1701388888888891</v>
      </c>
      <c r="F666" s="76" t="s">
        <v>86</v>
      </c>
      <c r="G666" s="78">
        <v>9</v>
      </c>
      <c r="H666" s="116">
        <v>487</v>
      </c>
      <c r="I666" s="2"/>
    </row>
    <row r="667" spans="1:9" ht="19.8" customHeight="1" x14ac:dyDescent="0.3">
      <c r="A667" s="114">
        <v>46037</v>
      </c>
      <c r="B667" s="76" t="s">
        <v>57</v>
      </c>
      <c r="C667" s="77" t="s">
        <v>58</v>
      </c>
      <c r="D667" s="76" t="s">
        <v>260</v>
      </c>
      <c r="E667" s="115">
        <v>1.305555555555556</v>
      </c>
      <c r="F667" s="76" t="s">
        <v>60</v>
      </c>
      <c r="G667" s="78">
        <v>20</v>
      </c>
      <c r="H667" s="116">
        <v>509</v>
      </c>
      <c r="I667" s="2"/>
    </row>
    <row r="668" spans="1:9" ht="19.8" customHeight="1" x14ac:dyDescent="0.3">
      <c r="A668" s="114">
        <v>46037</v>
      </c>
      <c r="B668" s="76" t="s">
        <v>41</v>
      </c>
      <c r="C668" s="77" t="s">
        <v>68</v>
      </c>
      <c r="D668" s="76" t="s">
        <v>260</v>
      </c>
      <c r="E668" s="115">
        <v>1.5277777777777779</v>
      </c>
      <c r="F668" s="76" t="s">
        <v>86</v>
      </c>
      <c r="G668" s="78">
        <v>9</v>
      </c>
      <c r="H668" s="116">
        <v>517</v>
      </c>
      <c r="I668" s="2"/>
    </row>
    <row r="669" spans="1:9" ht="19.8" customHeight="1" x14ac:dyDescent="0.3">
      <c r="A669" s="114">
        <v>46037</v>
      </c>
      <c r="B669" s="76" t="s">
        <v>41</v>
      </c>
      <c r="C669" s="77" t="s">
        <v>42</v>
      </c>
      <c r="D669" s="76" t="s">
        <v>260</v>
      </c>
      <c r="E669" s="115">
        <v>1.864583333333333</v>
      </c>
      <c r="F669" s="76" t="s">
        <v>44</v>
      </c>
      <c r="G669" s="78">
        <v>9</v>
      </c>
      <c r="H669" s="116">
        <v>547</v>
      </c>
      <c r="I669" s="2"/>
    </row>
    <row r="670" spans="1:9" ht="19.8" customHeight="1" x14ac:dyDescent="0.3">
      <c r="A670" s="114">
        <v>46037</v>
      </c>
      <c r="B670" s="76" t="s">
        <v>32</v>
      </c>
      <c r="C670" s="77" t="s">
        <v>113</v>
      </c>
      <c r="D670" s="76" t="s">
        <v>260</v>
      </c>
      <c r="E670" s="115">
        <v>1.2013888888888891</v>
      </c>
      <c r="F670" s="76" t="s">
        <v>34</v>
      </c>
      <c r="G670" s="78">
        <v>4</v>
      </c>
      <c r="H670" s="116">
        <v>559</v>
      </c>
      <c r="I670" s="2"/>
    </row>
    <row r="671" spans="1:9" ht="19.8" customHeight="1" x14ac:dyDescent="0.3">
      <c r="A671" s="114">
        <v>46037</v>
      </c>
      <c r="B671" s="76" t="s">
        <v>46</v>
      </c>
      <c r="C671" s="77" t="s">
        <v>261</v>
      </c>
      <c r="D671" s="76" t="s">
        <v>260</v>
      </c>
      <c r="E671" s="115">
        <v>1.958333333333333</v>
      </c>
      <c r="F671" s="76" t="s">
        <v>128</v>
      </c>
      <c r="G671" s="78">
        <v>5</v>
      </c>
      <c r="H671" s="116">
        <v>563</v>
      </c>
      <c r="I671" s="2"/>
    </row>
    <row r="672" spans="1:9" ht="19.8" customHeight="1" x14ac:dyDescent="0.3">
      <c r="A672" s="114">
        <v>46037</v>
      </c>
      <c r="B672" s="76" t="s">
        <v>121</v>
      </c>
      <c r="C672" s="77" t="s">
        <v>265</v>
      </c>
      <c r="D672" s="76" t="s">
        <v>260</v>
      </c>
      <c r="E672" s="115">
        <v>1.9652777777777779</v>
      </c>
      <c r="F672" s="76" t="s">
        <v>128</v>
      </c>
      <c r="G672" s="78">
        <v>6</v>
      </c>
      <c r="H672" s="116">
        <v>568</v>
      </c>
      <c r="I672" s="2"/>
    </row>
    <row r="673" spans="1:9" ht="19.8" customHeight="1" x14ac:dyDescent="0.3">
      <c r="A673" s="114">
        <v>46037</v>
      </c>
      <c r="B673" s="76" t="s">
        <v>26</v>
      </c>
      <c r="C673" s="77" t="s">
        <v>74</v>
      </c>
      <c r="D673" s="76" t="s">
        <v>260</v>
      </c>
      <c r="E673" s="115">
        <v>1.9236111111111109</v>
      </c>
      <c r="F673" s="76" t="s">
        <v>128</v>
      </c>
      <c r="G673" s="78">
        <v>6</v>
      </c>
      <c r="H673" s="116">
        <v>626</v>
      </c>
      <c r="I673" s="2"/>
    </row>
    <row r="674" spans="1:9" ht="19.8" customHeight="1" x14ac:dyDescent="0.3">
      <c r="A674" s="114">
        <v>46037</v>
      </c>
      <c r="B674" s="76" t="s">
        <v>46</v>
      </c>
      <c r="C674" s="77" t="s">
        <v>266</v>
      </c>
      <c r="D674" s="76" t="s">
        <v>260</v>
      </c>
      <c r="E674" s="115">
        <v>1.5625</v>
      </c>
      <c r="F674" s="76" t="s">
        <v>128</v>
      </c>
      <c r="G674" s="78">
        <v>4</v>
      </c>
      <c r="H674" s="116">
        <v>629</v>
      </c>
      <c r="I674" s="2"/>
    </row>
    <row r="675" spans="1:9" ht="19.8" customHeight="1" x14ac:dyDescent="0.3">
      <c r="A675" s="114">
        <v>46037</v>
      </c>
      <c r="B675" s="76" t="s">
        <v>57</v>
      </c>
      <c r="C675" s="77" t="s">
        <v>58</v>
      </c>
      <c r="D675" s="76" t="s">
        <v>260</v>
      </c>
      <c r="E675" s="115">
        <v>1.305555555555556</v>
      </c>
      <c r="F675" s="76" t="s">
        <v>63</v>
      </c>
      <c r="G675" s="78">
        <v>20</v>
      </c>
      <c r="H675" s="116">
        <v>659</v>
      </c>
      <c r="I675" s="2"/>
    </row>
    <row r="676" spans="1:9" ht="19.8" customHeight="1" x14ac:dyDescent="0.3">
      <c r="A676" s="114">
        <v>46037</v>
      </c>
      <c r="B676" s="76" t="s">
        <v>32</v>
      </c>
      <c r="C676" s="77" t="s">
        <v>33</v>
      </c>
      <c r="D676" s="76" t="s">
        <v>260</v>
      </c>
      <c r="E676" s="115">
        <v>1.836805555555556</v>
      </c>
      <c r="F676" s="76" t="s">
        <v>34</v>
      </c>
      <c r="G676" s="78">
        <v>9</v>
      </c>
      <c r="H676" s="116">
        <v>659</v>
      </c>
      <c r="I676" s="2"/>
    </row>
    <row r="677" spans="1:9" ht="19.8" customHeight="1" x14ac:dyDescent="0.3">
      <c r="A677" s="114">
        <v>46037</v>
      </c>
      <c r="B677" s="76" t="s">
        <v>32</v>
      </c>
      <c r="C677" s="77" t="s">
        <v>113</v>
      </c>
      <c r="D677" s="76" t="s">
        <v>260</v>
      </c>
      <c r="E677" s="115">
        <v>1.2013888888888891</v>
      </c>
      <c r="F677" s="76" t="s">
        <v>37</v>
      </c>
      <c r="G677" s="78">
        <v>4</v>
      </c>
      <c r="H677" s="116">
        <v>659</v>
      </c>
      <c r="I677" s="2"/>
    </row>
    <row r="678" spans="1:9" ht="19.8" customHeight="1" x14ac:dyDescent="0.3">
      <c r="A678" s="114">
        <v>46037</v>
      </c>
      <c r="B678" s="76" t="s">
        <v>32</v>
      </c>
      <c r="C678" s="77" t="s">
        <v>113</v>
      </c>
      <c r="D678" s="76" t="s">
        <v>260</v>
      </c>
      <c r="E678" s="115">
        <v>1.2013888888888891</v>
      </c>
      <c r="F678" s="76" t="s">
        <v>39</v>
      </c>
      <c r="G678" s="78">
        <v>4</v>
      </c>
      <c r="H678" s="116">
        <v>749</v>
      </c>
      <c r="I678" s="2"/>
    </row>
    <row r="679" spans="1:9" ht="19.8" customHeight="1" x14ac:dyDescent="0.3">
      <c r="A679" s="114">
        <v>46037</v>
      </c>
      <c r="B679" s="76" t="s">
        <v>32</v>
      </c>
      <c r="C679" s="77" t="s">
        <v>33</v>
      </c>
      <c r="D679" s="76" t="s">
        <v>260</v>
      </c>
      <c r="E679" s="115">
        <v>1.836805555555556</v>
      </c>
      <c r="F679" s="76" t="s">
        <v>37</v>
      </c>
      <c r="G679" s="78">
        <v>9</v>
      </c>
      <c r="H679" s="116">
        <v>759</v>
      </c>
      <c r="I679" s="2"/>
    </row>
    <row r="680" spans="1:9" ht="19.8" customHeight="1" x14ac:dyDescent="0.3">
      <c r="A680" s="114">
        <v>46037</v>
      </c>
      <c r="B680" s="76" t="s">
        <v>32</v>
      </c>
      <c r="C680" s="77" t="s">
        <v>33</v>
      </c>
      <c r="D680" s="76" t="s">
        <v>260</v>
      </c>
      <c r="E680" s="115">
        <v>1.836805555555556</v>
      </c>
      <c r="F680" s="76" t="s">
        <v>39</v>
      </c>
      <c r="G680" s="78">
        <v>9</v>
      </c>
      <c r="H680" s="116">
        <v>849</v>
      </c>
      <c r="I680" s="2"/>
    </row>
    <row r="681" spans="1:9" ht="19.8" customHeight="1" x14ac:dyDescent="0.3">
      <c r="A681" s="114">
        <v>46037</v>
      </c>
      <c r="B681" s="76" t="s">
        <v>57</v>
      </c>
      <c r="C681" s="77" t="s">
        <v>58</v>
      </c>
      <c r="D681" s="76" t="s">
        <v>260</v>
      </c>
      <c r="E681" s="115">
        <v>1.305555555555556</v>
      </c>
      <c r="F681" s="76" t="s">
        <v>65</v>
      </c>
      <c r="G681" s="78">
        <v>20</v>
      </c>
      <c r="H681" s="116">
        <v>899</v>
      </c>
      <c r="I681" s="2"/>
    </row>
    <row r="682" spans="1:9" ht="19.8" customHeight="1" x14ac:dyDescent="0.3">
      <c r="A682" s="117">
        <v>46037</v>
      </c>
      <c r="B682" s="79" t="s">
        <v>77</v>
      </c>
      <c r="C682" s="80" t="s">
        <v>78</v>
      </c>
      <c r="D682" s="79" t="s">
        <v>260</v>
      </c>
      <c r="E682" s="118">
        <v>1.305555555555556</v>
      </c>
      <c r="F682" s="79" t="s">
        <v>79</v>
      </c>
      <c r="G682" s="81">
        <v>4</v>
      </c>
      <c r="H682" s="83" t="s">
        <v>143</v>
      </c>
      <c r="I682" s="2"/>
    </row>
    <row r="683" spans="1:9" ht="19.8" customHeight="1" x14ac:dyDescent="0.3">
      <c r="A683" s="120">
        <v>46038</v>
      </c>
      <c r="B683" s="69" t="s">
        <v>26</v>
      </c>
      <c r="C683" s="70" t="s">
        <v>27</v>
      </c>
      <c r="D683" s="69" t="s">
        <v>1</v>
      </c>
      <c r="E683" s="121">
        <v>1.291666666666667</v>
      </c>
      <c r="F683" s="69" t="s">
        <v>128</v>
      </c>
      <c r="G683" s="84">
        <v>7</v>
      </c>
      <c r="H683" s="122">
        <v>596</v>
      </c>
      <c r="I683" s="2"/>
    </row>
    <row r="684" spans="1:9" ht="19.8" customHeight="1" x14ac:dyDescent="0.3">
      <c r="A684" s="72"/>
      <c r="B684" s="73"/>
      <c r="C684" s="73"/>
      <c r="D684" s="73"/>
      <c r="E684" s="73"/>
      <c r="F684" s="74" t="s">
        <v>259</v>
      </c>
      <c r="G684" s="73"/>
      <c r="H684" s="75"/>
      <c r="I684" s="2"/>
    </row>
    <row r="685" spans="1:9" ht="19.8" customHeight="1" x14ac:dyDescent="0.3">
      <c r="A685" s="114">
        <v>46038</v>
      </c>
      <c r="B685" s="76" t="s">
        <v>41</v>
      </c>
      <c r="C685" s="77" t="s">
        <v>71</v>
      </c>
      <c r="D685" s="76" t="s">
        <v>260</v>
      </c>
      <c r="E685" s="115">
        <v>1.1701388888888891</v>
      </c>
      <c r="F685" s="76" t="s">
        <v>86</v>
      </c>
      <c r="G685" s="78">
        <v>9</v>
      </c>
      <c r="H685" s="116">
        <v>487</v>
      </c>
      <c r="I685" s="2"/>
    </row>
    <row r="686" spans="1:9" ht="19.8" customHeight="1" x14ac:dyDescent="0.3">
      <c r="A686" s="114">
        <v>46038</v>
      </c>
      <c r="B686" s="76" t="s">
        <v>121</v>
      </c>
      <c r="C686" s="77" t="s">
        <v>140</v>
      </c>
      <c r="D686" s="76" t="s">
        <v>260</v>
      </c>
      <c r="E686" s="115">
        <v>1.2152777777777779</v>
      </c>
      <c r="F686" s="76" t="s">
        <v>128</v>
      </c>
      <c r="G686" s="78">
        <v>5</v>
      </c>
      <c r="H686" s="116">
        <v>500</v>
      </c>
      <c r="I686" s="2"/>
    </row>
    <row r="687" spans="1:9" ht="19.8" customHeight="1" x14ac:dyDescent="0.3">
      <c r="A687" s="114">
        <v>46038</v>
      </c>
      <c r="B687" s="76" t="s">
        <v>57</v>
      </c>
      <c r="C687" s="77" t="s">
        <v>58</v>
      </c>
      <c r="D687" s="76" t="s">
        <v>260</v>
      </c>
      <c r="E687" s="115">
        <v>1.305555555555556</v>
      </c>
      <c r="F687" s="76" t="s">
        <v>60</v>
      </c>
      <c r="G687" s="78">
        <v>20</v>
      </c>
      <c r="H687" s="116">
        <v>509</v>
      </c>
      <c r="I687" s="2"/>
    </row>
    <row r="688" spans="1:9" ht="19.8" customHeight="1" x14ac:dyDescent="0.3">
      <c r="A688" s="114">
        <v>46038</v>
      </c>
      <c r="B688" s="76" t="s">
        <v>41</v>
      </c>
      <c r="C688" s="77" t="s">
        <v>42</v>
      </c>
      <c r="D688" s="76" t="s">
        <v>260</v>
      </c>
      <c r="E688" s="115">
        <v>1.864583333333333</v>
      </c>
      <c r="F688" s="76" t="s">
        <v>86</v>
      </c>
      <c r="G688" s="78">
        <v>9</v>
      </c>
      <c r="H688" s="116">
        <v>517</v>
      </c>
      <c r="I688" s="2"/>
    </row>
    <row r="689" spans="1:9" ht="19.8" customHeight="1" x14ac:dyDescent="0.3">
      <c r="A689" s="114">
        <v>46038</v>
      </c>
      <c r="B689" s="76" t="s">
        <v>41</v>
      </c>
      <c r="C689" s="77" t="s">
        <v>68</v>
      </c>
      <c r="D689" s="76" t="s">
        <v>260</v>
      </c>
      <c r="E689" s="115">
        <v>1.5277777777777779</v>
      </c>
      <c r="F689" s="76" t="s">
        <v>86</v>
      </c>
      <c r="G689" s="78">
        <v>9</v>
      </c>
      <c r="H689" s="116">
        <v>521</v>
      </c>
      <c r="I689" s="2"/>
    </row>
    <row r="690" spans="1:9" ht="19.8" customHeight="1" x14ac:dyDescent="0.3">
      <c r="A690" s="114">
        <v>46038</v>
      </c>
      <c r="B690" s="76" t="s">
        <v>32</v>
      </c>
      <c r="C690" s="77" t="s">
        <v>33</v>
      </c>
      <c r="D690" s="76" t="s">
        <v>260</v>
      </c>
      <c r="E690" s="115">
        <v>1.836805555555556</v>
      </c>
      <c r="F690" s="76" t="s">
        <v>34</v>
      </c>
      <c r="G690" s="78">
        <v>5</v>
      </c>
      <c r="H690" s="116">
        <v>559</v>
      </c>
      <c r="I690" s="2"/>
    </row>
    <row r="691" spans="1:9" ht="19.8" customHeight="1" x14ac:dyDescent="0.3">
      <c r="A691" s="114">
        <v>46038</v>
      </c>
      <c r="B691" s="76" t="s">
        <v>46</v>
      </c>
      <c r="C691" s="77" t="s">
        <v>47</v>
      </c>
      <c r="D691" s="76" t="s">
        <v>260</v>
      </c>
      <c r="E691" s="115">
        <v>1.958333333333333</v>
      </c>
      <c r="F691" s="76" t="s">
        <v>128</v>
      </c>
      <c r="G691" s="78">
        <v>2</v>
      </c>
      <c r="H691" s="116">
        <v>563</v>
      </c>
      <c r="I691" s="2"/>
    </row>
    <row r="692" spans="1:9" ht="19.8" customHeight="1" x14ac:dyDescent="0.3">
      <c r="A692" s="114">
        <v>46038</v>
      </c>
      <c r="B692" s="76" t="s">
        <v>26</v>
      </c>
      <c r="C692" s="77" t="s">
        <v>74</v>
      </c>
      <c r="D692" s="76" t="s">
        <v>260</v>
      </c>
      <c r="E692" s="115">
        <v>1.5798611111111109</v>
      </c>
      <c r="F692" s="76" t="s">
        <v>128</v>
      </c>
      <c r="G692" s="78">
        <v>7</v>
      </c>
      <c r="H692" s="116">
        <v>626</v>
      </c>
      <c r="I692" s="2"/>
    </row>
    <row r="693" spans="1:9" ht="19.8" customHeight="1" x14ac:dyDescent="0.3">
      <c r="A693" s="114">
        <v>46038</v>
      </c>
      <c r="B693" s="76" t="s">
        <v>57</v>
      </c>
      <c r="C693" s="77" t="s">
        <v>58</v>
      </c>
      <c r="D693" s="76" t="s">
        <v>260</v>
      </c>
      <c r="E693" s="115">
        <v>1.305555555555556</v>
      </c>
      <c r="F693" s="76" t="s">
        <v>63</v>
      </c>
      <c r="G693" s="78">
        <v>20</v>
      </c>
      <c r="H693" s="116">
        <v>659</v>
      </c>
      <c r="I693" s="2"/>
    </row>
    <row r="694" spans="1:9" ht="19.8" customHeight="1" x14ac:dyDescent="0.3">
      <c r="A694" s="114">
        <v>46038</v>
      </c>
      <c r="B694" s="76" t="s">
        <v>32</v>
      </c>
      <c r="C694" s="77" t="s">
        <v>33</v>
      </c>
      <c r="D694" s="76" t="s">
        <v>260</v>
      </c>
      <c r="E694" s="115">
        <v>1.836805555555556</v>
      </c>
      <c r="F694" s="76" t="s">
        <v>37</v>
      </c>
      <c r="G694" s="78">
        <v>5</v>
      </c>
      <c r="H694" s="116">
        <v>659</v>
      </c>
      <c r="I694" s="2"/>
    </row>
    <row r="695" spans="1:9" ht="19.8" customHeight="1" x14ac:dyDescent="0.3">
      <c r="A695" s="114">
        <v>46038</v>
      </c>
      <c r="B695" s="76" t="s">
        <v>32</v>
      </c>
      <c r="C695" s="77" t="s">
        <v>33</v>
      </c>
      <c r="D695" s="76" t="s">
        <v>260</v>
      </c>
      <c r="E695" s="115">
        <v>1.836805555555556</v>
      </c>
      <c r="F695" s="76" t="s">
        <v>39</v>
      </c>
      <c r="G695" s="78">
        <v>5</v>
      </c>
      <c r="H695" s="116">
        <v>749</v>
      </c>
      <c r="I695" s="2"/>
    </row>
    <row r="696" spans="1:9" ht="19.8" customHeight="1" x14ac:dyDescent="0.3">
      <c r="A696" s="114">
        <v>46038</v>
      </c>
      <c r="B696" s="76" t="s">
        <v>57</v>
      </c>
      <c r="C696" s="77" t="s">
        <v>58</v>
      </c>
      <c r="D696" s="76" t="s">
        <v>260</v>
      </c>
      <c r="E696" s="115">
        <v>1.305555555555556</v>
      </c>
      <c r="F696" s="76" t="s">
        <v>65</v>
      </c>
      <c r="G696" s="78">
        <v>20</v>
      </c>
      <c r="H696" s="116">
        <v>899</v>
      </c>
      <c r="I696" s="2"/>
    </row>
    <row r="697" spans="1:9" ht="19.8" customHeight="1" x14ac:dyDescent="0.3">
      <c r="A697" s="117">
        <v>46038</v>
      </c>
      <c r="B697" s="79" t="s">
        <v>77</v>
      </c>
      <c r="C697" s="80" t="s">
        <v>78</v>
      </c>
      <c r="D697" s="79" t="s">
        <v>260</v>
      </c>
      <c r="E697" s="118">
        <v>1.305555555555556</v>
      </c>
      <c r="F697" s="79" t="s">
        <v>79</v>
      </c>
      <c r="G697" s="81">
        <v>4</v>
      </c>
      <c r="H697" s="83" t="s">
        <v>143</v>
      </c>
      <c r="I697" s="2"/>
    </row>
    <row r="698" spans="1:9" ht="19.8" customHeight="1" x14ac:dyDescent="0.3">
      <c r="A698" s="72"/>
      <c r="B698" s="73"/>
      <c r="C698" s="73"/>
      <c r="D698" s="73"/>
      <c r="E698" s="73"/>
      <c r="F698" s="74" t="s">
        <v>259</v>
      </c>
      <c r="G698" s="73"/>
      <c r="H698" s="75"/>
      <c r="I698" s="2"/>
    </row>
    <row r="699" spans="1:9" ht="19.8" customHeight="1" x14ac:dyDescent="0.3">
      <c r="A699" s="114">
        <v>46039</v>
      </c>
      <c r="B699" s="76" t="s">
        <v>41</v>
      </c>
      <c r="C699" s="77" t="s">
        <v>71</v>
      </c>
      <c r="D699" s="76" t="s">
        <v>260</v>
      </c>
      <c r="E699" s="115">
        <v>1.1701388888888891</v>
      </c>
      <c r="F699" s="76" t="s">
        <v>86</v>
      </c>
      <c r="G699" s="78">
        <v>9</v>
      </c>
      <c r="H699" s="116">
        <v>487</v>
      </c>
      <c r="I699" s="2"/>
    </row>
    <row r="700" spans="1:9" ht="19.8" customHeight="1" x14ac:dyDescent="0.3">
      <c r="A700" s="114">
        <v>46039</v>
      </c>
      <c r="B700" s="76" t="s">
        <v>121</v>
      </c>
      <c r="C700" s="77" t="s">
        <v>265</v>
      </c>
      <c r="D700" s="76" t="s">
        <v>260</v>
      </c>
      <c r="E700" s="115">
        <v>1.5486111111111109</v>
      </c>
      <c r="F700" s="76" t="s">
        <v>128</v>
      </c>
      <c r="G700" s="78">
        <v>3</v>
      </c>
      <c r="H700" s="116">
        <v>500</v>
      </c>
      <c r="I700" s="2"/>
    </row>
    <row r="701" spans="1:9" ht="19.8" customHeight="1" x14ac:dyDescent="0.3">
      <c r="A701" s="114">
        <v>46039</v>
      </c>
      <c r="B701" s="76" t="s">
        <v>57</v>
      </c>
      <c r="C701" s="77" t="s">
        <v>58</v>
      </c>
      <c r="D701" s="76" t="s">
        <v>260</v>
      </c>
      <c r="E701" s="115">
        <v>1.305555555555556</v>
      </c>
      <c r="F701" s="76" t="s">
        <v>60</v>
      </c>
      <c r="G701" s="78">
        <v>20</v>
      </c>
      <c r="H701" s="116">
        <v>509</v>
      </c>
      <c r="I701" s="2"/>
    </row>
    <row r="702" spans="1:9" ht="19.8" customHeight="1" x14ac:dyDescent="0.3">
      <c r="A702" s="114">
        <v>46039</v>
      </c>
      <c r="B702" s="76" t="s">
        <v>262</v>
      </c>
      <c r="C702" s="77" t="s">
        <v>263</v>
      </c>
      <c r="D702" s="76" t="s">
        <v>260</v>
      </c>
      <c r="E702" s="115">
        <v>1.9722222222222221</v>
      </c>
      <c r="F702" s="76" t="s">
        <v>264</v>
      </c>
      <c r="G702" s="78">
        <v>9</v>
      </c>
      <c r="H702" s="116">
        <v>511</v>
      </c>
      <c r="I702" s="2"/>
    </row>
    <row r="703" spans="1:9" ht="19.8" customHeight="1" x14ac:dyDescent="0.3">
      <c r="A703" s="114">
        <v>46039</v>
      </c>
      <c r="B703" s="76" t="s">
        <v>41</v>
      </c>
      <c r="C703" s="77" t="s">
        <v>42</v>
      </c>
      <c r="D703" s="76" t="s">
        <v>260</v>
      </c>
      <c r="E703" s="115">
        <v>1.864583333333333</v>
      </c>
      <c r="F703" s="76" t="s">
        <v>86</v>
      </c>
      <c r="G703" s="78">
        <v>9</v>
      </c>
      <c r="H703" s="116">
        <v>517</v>
      </c>
      <c r="I703" s="2"/>
    </row>
    <row r="704" spans="1:9" ht="19.8" customHeight="1" x14ac:dyDescent="0.3">
      <c r="A704" s="114">
        <v>46039</v>
      </c>
      <c r="B704" s="76" t="s">
        <v>41</v>
      </c>
      <c r="C704" s="77" t="s">
        <v>68</v>
      </c>
      <c r="D704" s="76" t="s">
        <v>260</v>
      </c>
      <c r="E704" s="115">
        <v>1.5277777777777779</v>
      </c>
      <c r="F704" s="76" t="s">
        <v>86</v>
      </c>
      <c r="G704" s="78">
        <v>9</v>
      </c>
      <c r="H704" s="116">
        <v>517</v>
      </c>
      <c r="I704" s="2"/>
    </row>
    <row r="705" spans="1:9" ht="19.8" customHeight="1" x14ac:dyDescent="0.3">
      <c r="A705" s="114">
        <v>46039</v>
      </c>
      <c r="B705" s="76" t="s">
        <v>32</v>
      </c>
      <c r="C705" s="77" t="s">
        <v>33</v>
      </c>
      <c r="D705" s="76" t="s">
        <v>260</v>
      </c>
      <c r="E705" s="115">
        <v>1.836805555555556</v>
      </c>
      <c r="F705" s="76" t="s">
        <v>34</v>
      </c>
      <c r="G705" s="78">
        <v>4</v>
      </c>
      <c r="H705" s="116">
        <v>559</v>
      </c>
      <c r="I705" s="2"/>
    </row>
    <row r="706" spans="1:9" ht="19.8" customHeight="1" x14ac:dyDescent="0.3">
      <c r="A706" s="114">
        <v>46039</v>
      </c>
      <c r="B706" s="76" t="s">
        <v>32</v>
      </c>
      <c r="C706" s="77" t="s">
        <v>113</v>
      </c>
      <c r="D706" s="76" t="s">
        <v>260</v>
      </c>
      <c r="E706" s="115">
        <v>1.2013888888888891</v>
      </c>
      <c r="F706" s="76" t="s">
        <v>34</v>
      </c>
      <c r="G706" s="78">
        <v>5</v>
      </c>
      <c r="H706" s="116">
        <v>559</v>
      </c>
      <c r="I706" s="2"/>
    </row>
    <row r="707" spans="1:9" ht="19.8" customHeight="1" x14ac:dyDescent="0.3">
      <c r="A707" s="114">
        <v>46039</v>
      </c>
      <c r="B707" s="76" t="s">
        <v>46</v>
      </c>
      <c r="C707" s="77" t="s">
        <v>261</v>
      </c>
      <c r="D707" s="76" t="s">
        <v>260</v>
      </c>
      <c r="E707" s="115">
        <v>1.895833333333333</v>
      </c>
      <c r="F707" s="76" t="s">
        <v>128</v>
      </c>
      <c r="G707" s="78">
        <v>7</v>
      </c>
      <c r="H707" s="116">
        <v>563</v>
      </c>
      <c r="I707" s="2"/>
    </row>
    <row r="708" spans="1:9" ht="19.8" customHeight="1" x14ac:dyDescent="0.3">
      <c r="A708" s="114">
        <v>46039</v>
      </c>
      <c r="B708" s="76" t="s">
        <v>26</v>
      </c>
      <c r="C708" s="77" t="s">
        <v>74</v>
      </c>
      <c r="D708" s="76" t="s">
        <v>260</v>
      </c>
      <c r="E708" s="115">
        <v>1.9236111111111109</v>
      </c>
      <c r="F708" s="76" t="s">
        <v>128</v>
      </c>
      <c r="G708" s="78">
        <v>6</v>
      </c>
      <c r="H708" s="116">
        <v>566</v>
      </c>
      <c r="I708" s="2"/>
    </row>
    <row r="709" spans="1:9" ht="19.8" customHeight="1" x14ac:dyDescent="0.3">
      <c r="A709" s="114">
        <v>46039</v>
      </c>
      <c r="B709" s="76" t="s">
        <v>57</v>
      </c>
      <c r="C709" s="77" t="s">
        <v>58</v>
      </c>
      <c r="D709" s="76" t="s">
        <v>260</v>
      </c>
      <c r="E709" s="115">
        <v>1.305555555555556</v>
      </c>
      <c r="F709" s="76" t="s">
        <v>63</v>
      </c>
      <c r="G709" s="78">
        <v>20</v>
      </c>
      <c r="H709" s="116">
        <v>659</v>
      </c>
      <c r="I709" s="2"/>
    </row>
    <row r="710" spans="1:9" ht="19.8" customHeight="1" x14ac:dyDescent="0.3">
      <c r="A710" s="114">
        <v>46039</v>
      </c>
      <c r="B710" s="76" t="s">
        <v>32</v>
      </c>
      <c r="C710" s="77" t="s">
        <v>33</v>
      </c>
      <c r="D710" s="76" t="s">
        <v>260</v>
      </c>
      <c r="E710" s="115">
        <v>1.836805555555556</v>
      </c>
      <c r="F710" s="76" t="s">
        <v>37</v>
      </c>
      <c r="G710" s="78">
        <v>4</v>
      </c>
      <c r="H710" s="116">
        <v>659</v>
      </c>
      <c r="I710" s="2"/>
    </row>
    <row r="711" spans="1:9" ht="19.8" customHeight="1" x14ac:dyDescent="0.3">
      <c r="A711" s="114">
        <v>46039</v>
      </c>
      <c r="B711" s="76" t="s">
        <v>32</v>
      </c>
      <c r="C711" s="77" t="s">
        <v>113</v>
      </c>
      <c r="D711" s="76" t="s">
        <v>260</v>
      </c>
      <c r="E711" s="115">
        <v>1.2013888888888891</v>
      </c>
      <c r="F711" s="76" t="s">
        <v>37</v>
      </c>
      <c r="G711" s="78">
        <v>5</v>
      </c>
      <c r="H711" s="116">
        <v>659</v>
      </c>
      <c r="I711" s="2"/>
    </row>
    <row r="712" spans="1:9" ht="19.8" customHeight="1" x14ac:dyDescent="0.3">
      <c r="A712" s="114">
        <v>46039</v>
      </c>
      <c r="B712" s="76" t="s">
        <v>262</v>
      </c>
      <c r="C712" s="77" t="s">
        <v>263</v>
      </c>
      <c r="D712" s="76" t="s">
        <v>260</v>
      </c>
      <c r="E712" s="115">
        <v>1.9722222222222221</v>
      </c>
      <c r="F712" s="76" t="s">
        <v>65</v>
      </c>
      <c r="G712" s="78">
        <v>9</v>
      </c>
      <c r="H712" s="116">
        <v>717</v>
      </c>
      <c r="I712" s="2"/>
    </row>
    <row r="713" spans="1:9" ht="19.8" customHeight="1" x14ac:dyDescent="0.3">
      <c r="A713" s="114">
        <v>46039</v>
      </c>
      <c r="B713" s="76" t="s">
        <v>32</v>
      </c>
      <c r="C713" s="77" t="s">
        <v>33</v>
      </c>
      <c r="D713" s="76" t="s">
        <v>260</v>
      </c>
      <c r="E713" s="115">
        <v>1.836805555555556</v>
      </c>
      <c r="F713" s="76" t="s">
        <v>39</v>
      </c>
      <c r="G713" s="78">
        <v>4</v>
      </c>
      <c r="H713" s="116">
        <v>749</v>
      </c>
      <c r="I713" s="2"/>
    </row>
    <row r="714" spans="1:9" ht="19.8" customHeight="1" x14ac:dyDescent="0.3">
      <c r="A714" s="114">
        <v>46039</v>
      </c>
      <c r="B714" s="76" t="s">
        <v>32</v>
      </c>
      <c r="C714" s="77" t="s">
        <v>113</v>
      </c>
      <c r="D714" s="76" t="s">
        <v>260</v>
      </c>
      <c r="E714" s="115">
        <v>1.2013888888888891</v>
      </c>
      <c r="F714" s="76" t="s">
        <v>39</v>
      </c>
      <c r="G714" s="78">
        <v>5</v>
      </c>
      <c r="H714" s="116">
        <v>749</v>
      </c>
      <c r="I714" s="2"/>
    </row>
    <row r="715" spans="1:9" ht="19.8" customHeight="1" x14ac:dyDescent="0.3">
      <c r="A715" s="114">
        <v>46039</v>
      </c>
      <c r="B715" s="76" t="s">
        <v>57</v>
      </c>
      <c r="C715" s="77" t="s">
        <v>58</v>
      </c>
      <c r="D715" s="76" t="s">
        <v>260</v>
      </c>
      <c r="E715" s="115">
        <v>1.305555555555556</v>
      </c>
      <c r="F715" s="76" t="s">
        <v>65</v>
      </c>
      <c r="G715" s="78">
        <v>20</v>
      </c>
      <c r="H715" s="116">
        <v>899</v>
      </c>
      <c r="I715" s="2"/>
    </row>
    <row r="716" spans="1:9" ht="19.8" customHeight="1" x14ac:dyDescent="0.3">
      <c r="A716" s="117">
        <v>46039</v>
      </c>
      <c r="B716" s="79" t="s">
        <v>77</v>
      </c>
      <c r="C716" s="80" t="s">
        <v>78</v>
      </c>
      <c r="D716" s="79" t="s">
        <v>260</v>
      </c>
      <c r="E716" s="118">
        <v>1.305555555555556</v>
      </c>
      <c r="F716" s="79" t="s">
        <v>79</v>
      </c>
      <c r="G716" s="81">
        <v>4</v>
      </c>
      <c r="H716" s="83" t="s">
        <v>143</v>
      </c>
      <c r="I716" s="2"/>
    </row>
    <row r="717" spans="1:9" ht="19.8" customHeight="1" x14ac:dyDescent="0.3">
      <c r="A717" s="72"/>
      <c r="B717" s="73"/>
      <c r="C717" s="73"/>
      <c r="D717" s="73"/>
      <c r="E717" s="73"/>
      <c r="F717" s="74" t="s">
        <v>259</v>
      </c>
      <c r="G717" s="73"/>
      <c r="H717" s="75"/>
      <c r="I717" s="2"/>
    </row>
    <row r="718" spans="1:9" ht="19.8" customHeight="1" x14ac:dyDescent="0.3">
      <c r="A718" s="114">
        <v>46040</v>
      </c>
      <c r="B718" s="76" t="s">
        <v>41</v>
      </c>
      <c r="C718" s="77" t="s">
        <v>71</v>
      </c>
      <c r="D718" s="76" t="s">
        <v>260</v>
      </c>
      <c r="E718" s="115">
        <v>1.1701388888888891</v>
      </c>
      <c r="F718" s="76" t="s">
        <v>86</v>
      </c>
      <c r="G718" s="78">
        <v>9</v>
      </c>
      <c r="H718" s="116">
        <v>487</v>
      </c>
      <c r="I718" s="2"/>
    </row>
    <row r="719" spans="1:9" ht="19.8" customHeight="1" x14ac:dyDescent="0.3">
      <c r="A719" s="114">
        <v>46040</v>
      </c>
      <c r="B719" s="76" t="s">
        <v>121</v>
      </c>
      <c r="C719" s="77" t="s">
        <v>140</v>
      </c>
      <c r="D719" s="76" t="s">
        <v>260</v>
      </c>
      <c r="E719" s="115">
        <v>1.2152777777777779</v>
      </c>
      <c r="F719" s="76" t="s">
        <v>128</v>
      </c>
      <c r="G719" s="78">
        <v>7</v>
      </c>
      <c r="H719" s="116">
        <v>500</v>
      </c>
      <c r="I719" s="2"/>
    </row>
    <row r="720" spans="1:9" ht="19.8" customHeight="1" x14ac:dyDescent="0.3">
      <c r="A720" s="114">
        <v>46040</v>
      </c>
      <c r="B720" s="76" t="s">
        <v>57</v>
      </c>
      <c r="C720" s="77" t="s">
        <v>58</v>
      </c>
      <c r="D720" s="76" t="s">
        <v>260</v>
      </c>
      <c r="E720" s="115">
        <v>1.305555555555556</v>
      </c>
      <c r="F720" s="76" t="s">
        <v>60</v>
      </c>
      <c r="G720" s="78">
        <v>20</v>
      </c>
      <c r="H720" s="116">
        <v>509</v>
      </c>
      <c r="I720" s="2"/>
    </row>
    <row r="721" spans="1:9" ht="19.8" customHeight="1" x14ac:dyDescent="0.3">
      <c r="A721" s="114">
        <v>46040</v>
      </c>
      <c r="B721" s="76" t="s">
        <v>41</v>
      </c>
      <c r="C721" s="77" t="s">
        <v>42</v>
      </c>
      <c r="D721" s="76" t="s">
        <v>260</v>
      </c>
      <c r="E721" s="115">
        <v>1.864583333333333</v>
      </c>
      <c r="F721" s="76" t="s">
        <v>86</v>
      </c>
      <c r="G721" s="78">
        <v>9</v>
      </c>
      <c r="H721" s="116">
        <v>517</v>
      </c>
      <c r="I721" s="2"/>
    </row>
    <row r="722" spans="1:9" ht="19.8" customHeight="1" x14ac:dyDescent="0.3">
      <c r="A722" s="114">
        <v>46040</v>
      </c>
      <c r="B722" s="76" t="s">
        <v>41</v>
      </c>
      <c r="C722" s="77" t="s">
        <v>68</v>
      </c>
      <c r="D722" s="76" t="s">
        <v>260</v>
      </c>
      <c r="E722" s="115">
        <v>1.5277777777777779</v>
      </c>
      <c r="F722" s="76" t="s">
        <v>86</v>
      </c>
      <c r="G722" s="78">
        <v>9</v>
      </c>
      <c r="H722" s="116">
        <v>517</v>
      </c>
      <c r="I722" s="2"/>
    </row>
    <row r="723" spans="1:9" ht="19.8" customHeight="1" x14ac:dyDescent="0.3">
      <c r="A723" s="114">
        <v>46040</v>
      </c>
      <c r="B723" s="76" t="s">
        <v>32</v>
      </c>
      <c r="C723" s="77" t="s">
        <v>33</v>
      </c>
      <c r="D723" s="76" t="s">
        <v>260</v>
      </c>
      <c r="E723" s="115">
        <v>1.836805555555556</v>
      </c>
      <c r="F723" s="76" t="s">
        <v>34</v>
      </c>
      <c r="G723" s="78">
        <v>3</v>
      </c>
      <c r="H723" s="116">
        <v>559</v>
      </c>
      <c r="I723" s="2"/>
    </row>
    <row r="724" spans="1:9" ht="19.8" customHeight="1" x14ac:dyDescent="0.3">
      <c r="A724" s="114">
        <v>46040</v>
      </c>
      <c r="B724" s="76" t="s">
        <v>46</v>
      </c>
      <c r="C724" s="77" t="s">
        <v>266</v>
      </c>
      <c r="D724" s="76" t="s">
        <v>260</v>
      </c>
      <c r="E724" s="115">
        <v>1.958333333333333</v>
      </c>
      <c r="F724" s="76" t="s">
        <v>128</v>
      </c>
      <c r="G724" s="78">
        <v>3</v>
      </c>
      <c r="H724" s="116">
        <v>563</v>
      </c>
      <c r="I724" s="2"/>
    </row>
    <row r="725" spans="1:9" ht="19.8" customHeight="1" x14ac:dyDescent="0.3">
      <c r="A725" s="114">
        <v>46040</v>
      </c>
      <c r="B725" s="76" t="s">
        <v>57</v>
      </c>
      <c r="C725" s="77" t="s">
        <v>58</v>
      </c>
      <c r="D725" s="76" t="s">
        <v>260</v>
      </c>
      <c r="E725" s="115">
        <v>1.305555555555556</v>
      </c>
      <c r="F725" s="76" t="s">
        <v>63</v>
      </c>
      <c r="G725" s="78">
        <v>20</v>
      </c>
      <c r="H725" s="116">
        <v>659</v>
      </c>
      <c r="I725" s="2"/>
    </row>
    <row r="726" spans="1:9" ht="19.8" customHeight="1" x14ac:dyDescent="0.3">
      <c r="A726" s="114">
        <v>46040</v>
      </c>
      <c r="B726" s="76" t="s">
        <v>32</v>
      </c>
      <c r="C726" s="77" t="s">
        <v>33</v>
      </c>
      <c r="D726" s="76" t="s">
        <v>260</v>
      </c>
      <c r="E726" s="115">
        <v>1.836805555555556</v>
      </c>
      <c r="F726" s="76" t="s">
        <v>37</v>
      </c>
      <c r="G726" s="78">
        <v>3</v>
      </c>
      <c r="H726" s="116">
        <v>659</v>
      </c>
      <c r="I726" s="2"/>
    </row>
    <row r="727" spans="1:9" ht="19.8" customHeight="1" x14ac:dyDescent="0.3">
      <c r="A727" s="114">
        <v>46040</v>
      </c>
      <c r="B727" s="76" t="s">
        <v>32</v>
      </c>
      <c r="C727" s="77" t="s">
        <v>33</v>
      </c>
      <c r="D727" s="76" t="s">
        <v>260</v>
      </c>
      <c r="E727" s="115">
        <v>1.836805555555556</v>
      </c>
      <c r="F727" s="76" t="s">
        <v>39</v>
      </c>
      <c r="G727" s="78">
        <v>3</v>
      </c>
      <c r="H727" s="116">
        <v>749</v>
      </c>
      <c r="I727" s="2"/>
    </row>
    <row r="728" spans="1:9" ht="19.8" customHeight="1" x14ac:dyDescent="0.3">
      <c r="A728" s="114">
        <v>46040</v>
      </c>
      <c r="B728" s="76" t="s">
        <v>57</v>
      </c>
      <c r="C728" s="77" t="s">
        <v>58</v>
      </c>
      <c r="D728" s="76" t="s">
        <v>260</v>
      </c>
      <c r="E728" s="115">
        <v>1.305555555555556</v>
      </c>
      <c r="F728" s="76" t="s">
        <v>65</v>
      </c>
      <c r="G728" s="78">
        <v>20</v>
      </c>
      <c r="H728" s="116">
        <v>899</v>
      </c>
      <c r="I728" s="2"/>
    </row>
    <row r="729" spans="1:9" ht="19.8" customHeight="1" x14ac:dyDescent="0.3">
      <c r="A729" s="117">
        <v>46040</v>
      </c>
      <c r="B729" s="79" t="s">
        <v>77</v>
      </c>
      <c r="C729" s="80" t="s">
        <v>78</v>
      </c>
      <c r="D729" s="79" t="s">
        <v>260</v>
      </c>
      <c r="E729" s="118">
        <v>1.305555555555556</v>
      </c>
      <c r="F729" s="79" t="s">
        <v>79</v>
      </c>
      <c r="G729" s="81">
        <v>4</v>
      </c>
      <c r="H729" s="83" t="s">
        <v>143</v>
      </c>
      <c r="I729" s="2"/>
    </row>
    <row r="730" spans="1:9" ht="19.8" customHeight="1" x14ac:dyDescent="0.3">
      <c r="A730" s="120">
        <v>46041</v>
      </c>
      <c r="B730" s="69" t="s">
        <v>26</v>
      </c>
      <c r="C730" s="70" t="s">
        <v>27</v>
      </c>
      <c r="D730" s="69" t="s">
        <v>1</v>
      </c>
      <c r="E730" s="121">
        <v>1.510416666666667</v>
      </c>
      <c r="F730" s="69" t="s">
        <v>128</v>
      </c>
      <c r="G730" s="84">
        <v>3</v>
      </c>
      <c r="H730" s="122">
        <v>596</v>
      </c>
      <c r="I730" s="2"/>
    </row>
    <row r="731" spans="1:9" ht="19.8" customHeight="1" x14ac:dyDescent="0.3">
      <c r="A731" s="72"/>
      <c r="B731" s="73"/>
      <c r="C731" s="73"/>
      <c r="D731" s="73"/>
      <c r="E731" s="73"/>
      <c r="F731" s="74" t="s">
        <v>259</v>
      </c>
      <c r="G731" s="73"/>
      <c r="H731" s="75"/>
      <c r="I731" s="2"/>
    </row>
    <row r="732" spans="1:9" ht="19.8" customHeight="1" x14ac:dyDescent="0.3">
      <c r="A732" s="114">
        <v>46041</v>
      </c>
      <c r="B732" s="76" t="s">
        <v>41</v>
      </c>
      <c r="C732" s="77" t="s">
        <v>71</v>
      </c>
      <c r="D732" s="76" t="s">
        <v>260</v>
      </c>
      <c r="E732" s="115">
        <v>1.1701388888888891</v>
      </c>
      <c r="F732" s="76" t="s">
        <v>86</v>
      </c>
      <c r="G732" s="78">
        <v>9</v>
      </c>
      <c r="H732" s="116">
        <v>487</v>
      </c>
      <c r="I732" s="2"/>
    </row>
    <row r="733" spans="1:9" ht="19.8" customHeight="1" x14ac:dyDescent="0.3">
      <c r="A733" s="114">
        <v>46041</v>
      </c>
      <c r="B733" s="76" t="s">
        <v>121</v>
      </c>
      <c r="C733" s="77" t="s">
        <v>122</v>
      </c>
      <c r="D733" s="76" t="s">
        <v>260</v>
      </c>
      <c r="E733" s="115">
        <v>1.1284722222222221</v>
      </c>
      <c r="F733" s="76" t="s">
        <v>128</v>
      </c>
      <c r="G733" s="78">
        <v>2</v>
      </c>
      <c r="H733" s="116">
        <v>500</v>
      </c>
      <c r="I733" s="2"/>
    </row>
    <row r="734" spans="1:9" ht="19.8" customHeight="1" x14ac:dyDescent="0.3">
      <c r="A734" s="114">
        <v>46041</v>
      </c>
      <c r="B734" s="76" t="s">
        <v>57</v>
      </c>
      <c r="C734" s="77" t="s">
        <v>58</v>
      </c>
      <c r="D734" s="76" t="s">
        <v>260</v>
      </c>
      <c r="E734" s="115">
        <v>1.305555555555556</v>
      </c>
      <c r="F734" s="76" t="s">
        <v>60</v>
      </c>
      <c r="G734" s="78">
        <v>20</v>
      </c>
      <c r="H734" s="116">
        <v>509</v>
      </c>
      <c r="I734" s="2"/>
    </row>
    <row r="735" spans="1:9" ht="19.8" customHeight="1" x14ac:dyDescent="0.3">
      <c r="A735" s="114">
        <v>46041</v>
      </c>
      <c r="B735" s="76" t="s">
        <v>41</v>
      </c>
      <c r="C735" s="77" t="s">
        <v>42</v>
      </c>
      <c r="D735" s="76" t="s">
        <v>260</v>
      </c>
      <c r="E735" s="115">
        <v>1.864583333333333</v>
      </c>
      <c r="F735" s="76" t="s">
        <v>86</v>
      </c>
      <c r="G735" s="78">
        <v>9</v>
      </c>
      <c r="H735" s="116">
        <v>517</v>
      </c>
      <c r="I735" s="2"/>
    </row>
    <row r="736" spans="1:9" ht="19.8" customHeight="1" x14ac:dyDescent="0.3">
      <c r="A736" s="114">
        <v>46041</v>
      </c>
      <c r="B736" s="76" t="s">
        <v>41</v>
      </c>
      <c r="C736" s="77" t="s">
        <v>68</v>
      </c>
      <c r="D736" s="76" t="s">
        <v>260</v>
      </c>
      <c r="E736" s="115">
        <v>1.5277777777777779</v>
      </c>
      <c r="F736" s="76" t="s">
        <v>86</v>
      </c>
      <c r="G736" s="78">
        <v>9</v>
      </c>
      <c r="H736" s="116">
        <v>517</v>
      </c>
      <c r="I736" s="2"/>
    </row>
    <row r="737" spans="1:9" ht="19.8" customHeight="1" x14ac:dyDescent="0.3">
      <c r="A737" s="114">
        <v>46041</v>
      </c>
      <c r="B737" s="76" t="s">
        <v>32</v>
      </c>
      <c r="C737" s="77" t="s">
        <v>33</v>
      </c>
      <c r="D737" s="76" t="s">
        <v>260</v>
      </c>
      <c r="E737" s="115">
        <v>1.836805555555556</v>
      </c>
      <c r="F737" s="76" t="s">
        <v>34</v>
      </c>
      <c r="G737" s="78">
        <v>5</v>
      </c>
      <c r="H737" s="116">
        <v>559</v>
      </c>
      <c r="I737" s="2"/>
    </row>
    <row r="738" spans="1:9" ht="19.8" customHeight="1" x14ac:dyDescent="0.3">
      <c r="A738" s="114">
        <v>46041</v>
      </c>
      <c r="B738" s="76" t="s">
        <v>32</v>
      </c>
      <c r="C738" s="77" t="s">
        <v>113</v>
      </c>
      <c r="D738" s="76" t="s">
        <v>260</v>
      </c>
      <c r="E738" s="115">
        <v>1.2013888888888891</v>
      </c>
      <c r="F738" s="76" t="s">
        <v>34</v>
      </c>
      <c r="G738" s="78">
        <v>5</v>
      </c>
      <c r="H738" s="116">
        <v>559</v>
      </c>
      <c r="I738" s="2"/>
    </row>
    <row r="739" spans="1:9" ht="19.8" customHeight="1" x14ac:dyDescent="0.3">
      <c r="A739" s="114">
        <v>46041</v>
      </c>
      <c r="B739" s="76" t="s">
        <v>46</v>
      </c>
      <c r="C739" s="77" t="s">
        <v>47</v>
      </c>
      <c r="D739" s="76" t="s">
        <v>260</v>
      </c>
      <c r="E739" s="115">
        <v>1.958333333333333</v>
      </c>
      <c r="F739" s="76" t="s">
        <v>128</v>
      </c>
      <c r="G739" s="78">
        <v>3</v>
      </c>
      <c r="H739" s="116">
        <v>563</v>
      </c>
      <c r="I739" s="2"/>
    </row>
    <row r="740" spans="1:9" ht="19.8" customHeight="1" x14ac:dyDescent="0.3">
      <c r="A740" s="114">
        <v>46041</v>
      </c>
      <c r="B740" s="76" t="s">
        <v>57</v>
      </c>
      <c r="C740" s="77" t="s">
        <v>58</v>
      </c>
      <c r="D740" s="76" t="s">
        <v>260</v>
      </c>
      <c r="E740" s="115">
        <v>1.305555555555556</v>
      </c>
      <c r="F740" s="76" t="s">
        <v>63</v>
      </c>
      <c r="G740" s="78">
        <v>20</v>
      </c>
      <c r="H740" s="116">
        <v>659</v>
      </c>
      <c r="I740" s="2"/>
    </row>
    <row r="741" spans="1:9" ht="19.8" customHeight="1" x14ac:dyDescent="0.3">
      <c r="A741" s="114">
        <v>46041</v>
      </c>
      <c r="B741" s="76" t="s">
        <v>32</v>
      </c>
      <c r="C741" s="77" t="s">
        <v>33</v>
      </c>
      <c r="D741" s="76" t="s">
        <v>260</v>
      </c>
      <c r="E741" s="115">
        <v>1.836805555555556</v>
      </c>
      <c r="F741" s="76" t="s">
        <v>37</v>
      </c>
      <c r="G741" s="78">
        <v>5</v>
      </c>
      <c r="H741" s="116">
        <v>659</v>
      </c>
      <c r="I741" s="2"/>
    </row>
    <row r="742" spans="1:9" ht="19.8" customHeight="1" x14ac:dyDescent="0.3">
      <c r="A742" s="114">
        <v>46041</v>
      </c>
      <c r="B742" s="76" t="s">
        <v>32</v>
      </c>
      <c r="C742" s="77" t="s">
        <v>113</v>
      </c>
      <c r="D742" s="76" t="s">
        <v>260</v>
      </c>
      <c r="E742" s="115">
        <v>1.2013888888888891</v>
      </c>
      <c r="F742" s="76" t="s">
        <v>37</v>
      </c>
      <c r="G742" s="78">
        <v>5</v>
      </c>
      <c r="H742" s="116">
        <v>659</v>
      </c>
      <c r="I742" s="2"/>
    </row>
    <row r="743" spans="1:9" ht="19.8" customHeight="1" x14ac:dyDescent="0.3">
      <c r="A743" s="114">
        <v>46041</v>
      </c>
      <c r="B743" s="76" t="s">
        <v>32</v>
      </c>
      <c r="C743" s="77" t="s">
        <v>33</v>
      </c>
      <c r="D743" s="76" t="s">
        <v>260</v>
      </c>
      <c r="E743" s="115">
        <v>1.836805555555556</v>
      </c>
      <c r="F743" s="76" t="s">
        <v>39</v>
      </c>
      <c r="G743" s="78">
        <v>5</v>
      </c>
      <c r="H743" s="116">
        <v>749</v>
      </c>
      <c r="I743" s="2"/>
    </row>
    <row r="744" spans="1:9" ht="19.8" customHeight="1" x14ac:dyDescent="0.3">
      <c r="A744" s="114">
        <v>46041</v>
      </c>
      <c r="B744" s="76" t="s">
        <v>32</v>
      </c>
      <c r="C744" s="77" t="s">
        <v>113</v>
      </c>
      <c r="D744" s="76" t="s">
        <v>260</v>
      </c>
      <c r="E744" s="115">
        <v>1.2013888888888891</v>
      </c>
      <c r="F744" s="76" t="s">
        <v>39</v>
      </c>
      <c r="G744" s="78">
        <v>5</v>
      </c>
      <c r="H744" s="116">
        <v>749</v>
      </c>
      <c r="I744" s="2"/>
    </row>
    <row r="745" spans="1:9" ht="19.8" customHeight="1" x14ac:dyDescent="0.3">
      <c r="A745" s="114">
        <v>46041</v>
      </c>
      <c r="B745" s="76" t="s">
        <v>57</v>
      </c>
      <c r="C745" s="77" t="s">
        <v>58</v>
      </c>
      <c r="D745" s="76" t="s">
        <v>260</v>
      </c>
      <c r="E745" s="115">
        <v>1.305555555555556</v>
      </c>
      <c r="F745" s="76" t="s">
        <v>65</v>
      </c>
      <c r="G745" s="78">
        <v>20</v>
      </c>
      <c r="H745" s="116">
        <v>899</v>
      </c>
      <c r="I745" s="2"/>
    </row>
    <row r="746" spans="1:9" ht="19.8" customHeight="1" x14ac:dyDescent="0.3">
      <c r="A746" s="117">
        <v>46041</v>
      </c>
      <c r="B746" s="79" t="s">
        <v>77</v>
      </c>
      <c r="C746" s="80" t="s">
        <v>78</v>
      </c>
      <c r="D746" s="79" t="s">
        <v>260</v>
      </c>
      <c r="E746" s="118">
        <v>1.305555555555556</v>
      </c>
      <c r="F746" s="79" t="s">
        <v>79</v>
      </c>
      <c r="G746" s="81">
        <v>4</v>
      </c>
      <c r="H746" s="83" t="s">
        <v>143</v>
      </c>
      <c r="I746" s="2"/>
    </row>
    <row r="747" spans="1:9" ht="19.8" customHeight="1" x14ac:dyDescent="0.3">
      <c r="A747" s="72"/>
      <c r="B747" s="73"/>
      <c r="C747" s="73"/>
      <c r="D747" s="73"/>
      <c r="E747" s="73"/>
      <c r="F747" s="74" t="s">
        <v>259</v>
      </c>
      <c r="G747" s="73"/>
      <c r="H747" s="75"/>
      <c r="I747" s="2"/>
    </row>
    <row r="748" spans="1:9" ht="19.8" customHeight="1" x14ac:dyDescent="0.3">
      <c r="A748" s="114">
        <v>46042</v>
      </c>
      <c r="B748" s="76" t="s">
        <v>41</v>
      </c>
      <c r="C748" s="77" t="s">
        <v>71</v>
      </c>
      <c r="D748" s="76" t="s">
        <v>260</v>
      </c>
      <c r="E748" s="115">
        <v>1.1701388888888891</v>
      </c>
      <c r="F748" s="76" t="s">
        <v>86</v>
      </c>
      <c r="G748" s="78">
        <v>9</v>
      </c>
      <c r="H748" s="116">
        <v>487</v>
      </c>
      <c r="I748" s="2"/>
    </row>
    <row r="749" spans="1:9" ht="19.8" customHeight="1" x14ac:dyDescent="0.3">
      <c r="A749" s="114">
        <v>46042</v>
      </c>
      <c r="B749" s="76" t="s">
        <v>57</v>
      </c>
      <c r="C749" s="77" t="s">
        <v>58</v>
      </c>
      <c r="D749" s="76" t="s">
        <v>260</v>
      </c>
      <c r="E749" s="115">
        <v>1.305555555555556</v>
      </c>
      <c r="F749" s="76" t="s">
        <v>60</v>
      </c>
      <c r="G749" s="78">
        <v>20</v>
      </c>
      <c r="H749" s="116">
        <v>509</v>
      </c>
      <c r="I749" s="2"/>
    </row>
    <row r="750" spans="1:9" ht="19.8" customHeight="1" x14ac:dyDescent="0.3">
      <c r="A750" s="114">
        <v>46042</v>
      </c>
      <c r="B750" s="76" t="s">
        <v>41</v>
      </c>
      <c r="C750" s="77" t="s">
        <v>42</v>
      </c>
      <c r="D750" s="76" t="s">
        <v>260</v>
      </c>
      <c r="E750" s="115">
        <v>1.864583333333333</v>
      </c>
      <c r="F750" s="76" t="s">
        <v>86</v>
      </c>
      <c r="G750" s="78">
        <v>9</v>
      </c>
      <c r="H750" s="116">
        <v>517</v>
      </c>
      <c r="I750" s="2"/>
    </row>
    <row r="751" spans="1:9" ht="19.8" customHeight="1" x14ac:dyDescent="0.3">
      <c r="A751" s="114">
        <v>46042</v>
      </c>
      <c r="B751" s="76" t="s">
        <v>41</v>
      </c>
      <c r="C751" s="77" t="s">
        <v>68</v>
      </c>
      <c r="D751" s="76" t="s">
        <v>260</v>
      </c>
      <c r="E751" s="115">
        <v>1.5277777777777779</v>
      </c>
      <c r="F751" s="76" t="s">
        <v>86</v>
      </c>
      <c r="G751" s="78">
        <v>9</v>
      </c>
      <c r="H751" s="116">
        <v>517</v>
      </c>
      <c r="I751" s="2"/>
    </row>
    <row r="752" spans="1:9" ht="19.8" customHeight="1" x14ac:dyDescent="0.3">
      <c r="A752" s="114">
        <v>46042</v>
      </c>
      <c r="B752" s="76" t="s">
        <v>32</v>
      </c>
      <c r="C752" s="77" t="s">
        <v>33</v>
      </c>
      <c r="D752" s="76" t="s">
        <v>260</v>
      </c>
      <c r="E752" s="115">
        <v>1.836805555555556</v>
      </c>
      <c r="F752" s="76" t="s">
        <v>34</v>
      </c>
      <c r="G752" s="78">
        <v>2</v>
      </c>
      <c r="H752" s="116">
        <v>559</v>
      </c>
      <c r="I752" s="2"/>
    </row>
    <row r="753" spans="1:9" ht="19.8" customHeight="1" x14ac:dyDescent="0.3">
      <c r="A753" s="114">
        <v>46042</v>
      </c>
      <c r="B753" s="76" t="s">
        <v>32</v>
      </c>
      <c r="C753" s="77" t="s">
        <v>113</v>
      </c>
      <c r="D753" s="76" t="s">
        <v>260</v>
      </c>
      <c r="E753" s="115">
        <v>1.2013888888888891</v>
      </c>
      <c r="F753" s="76" t="s">
        <v>34</v>
      </c>
      <c r="G753" s="78">
        <v>1</v>
      </c>
      <c r="H753" s="116">
        <v>559</v>
      </c>
      <c r="I753" s="2"/>
    </row>
    <row r="754" spans="1:9" ht="19.8" customHeight="1" x14ac:dyDescent="0.3">
      <c r="A754" s="114">
        <v>46042</v>
      </c>
      <c r="B754" s="76" t="s">
        <v>46</v>
      </c>
      <c r="C754" s="77" t="s">
        <v>261</v>
      </c>
      <c r="D754" s="76" t="s">
        <v>260</v>
      </c>
      <c r="E754" s="115">
        <v>1.958333333333333</v>
      </c>
      <c r="F754" s="76" t="s">
        <v>128</v>
      </c>
      <c r="G754" s="78">
        <v>5</v>
      </c>
      <c r="H754" s="116">
        <v>563</v>
      </c>
      <c r="I754" s="2"/>
    </row>
    <row r="755" spans="1:9" ht="19.8" customHeight="1" x14ac:dyDescent="0.3">
      <c r="A755" s="114">
        <v>46042</v>
      </c>
      <c r="B755" s="76" t="s">
        <v>26</v>
      </c>
      <c r="C755" s="77" t="s">
        <v>74</v>
      </c>
      <c r="D755" s="76" t="s">
        <v>260</v>
      </c>
      <c r="E755" s="115">
        <v>1.270833333333333</v>
      </c>
      <c r="F755" s="76" t="s">
        <v>128</v>
      </c>
      <c r="G755" s="78">
        <v>2</v>
      </c>
      <c r="H755" s="116">
        <v>566</v>
      </c>
      <c r="I755" s="2"/>
    </row>
    <row r="756" spans="1:9" ht="19.8" customHeight="1" x14ac:dyDescent="0.3">
      <c r="A756" s="114">
        <v>46042</v>
      </c>
      <c r="B756" s="76" t="s">
        <v>121</v>
      </c>
      <c r="C756" s="77" t="s">
        <v>140</v>
      </c>
      <c r="D756" s="76" t="s">
        <v>260</v>
      </c>
      <c r="E756" s="115">
        <v>1.2152777777777779</v>
      </c>
      <c r="F756" s="76" t="s">
        <v>128</v>
      </c>
      <c r="G756" s="78">
        <v>4</v>
      </c>
      <c r="H756" s="116">
        <v>568</v>
      </c>
      <c r="I756" s="2"/>
    </row>
    <row r="757" spans="1:9" ht="19.8" customHeight="1" x14ac:dyDescent="0.3">
      <c r="A757" s="114">
        <v>46042</v>
      </c>
      <c r="B757" s="76" t="s">
        <v>57</v>
      </c>
      <c r="C757" s="77" t="s">
        <v>58</v>
      </c>
      <c r="D757" s="76" t="s">
        <v>260</v>
      </c>
      <c r="E757" s="115">
        <v>1.305555555555556</v>
      </c>
      <c r="F757" s="76" t="s">
        <v>63</v>
      </c>
      <c r="G757" s="78">
        <v>20</v>
      </c>
      <c r="H757" s="116">
        <v>659</v>
      </c>
      <c r="I757" s="2"/>
    </row>
    <row r="758" spans="1:9" ht="19.8" customHeight="1" x14ac:dyDescent="0.3">
      <c r="A758" s="114">
        <v>46042</v>
      </c>
      <c r="B758" s="76" t="s">
        <v>32</v>
      </c>
      <c r="C758" s="77" t="s">
        <v>33</v>
      </c>
      <c r="D758" s="76" t="s">
        <v>260</v>
      </c>
      <c r="E758" s="115">
        <v>1.836805555555556</v>
      </c>
      <c r="F758" s="76" t="s">
        <v>37</v>
      </c>
      <c r="G758" s="78">
        <v>2</v>
      </c>
      <c r="H758" s="116">
        <v>659</v>
      </c>
      <c r="I758" s="2"/>
    </row>
    <row r="759" spans="1:9" ht="19.8" customHeight="1" x14ac:dyDescent="0.3">
      <c r="A759" s="114">
        <v>46042</v>
      </c>
      <c r="B759" s="76" t="s">
        <v>32</v>
      </c>
      <c r="C759" s="77" t="s">
        <v>113</v>
      </c>
      <c r="D759" s="76" t="s">
        <v>260</v>
      </c>
      <c r="E759" s="115">
        <v>1.2013888888888891</v>
      </c>
      <c r="F759" s="76" t="s">
        <v>37</v>
      </c>
      <c r="G759" s="78">
        <v>1</v>
      </c>
      <c r="H759" s="116">
        <v>659</v>
      </c>
      <c r="I759" s="2"/>
    </row>
    <row r="760" spans="1:9" ht="19.8" customHeight="1" x14ac:dyDescent="0.3">
      <c r="A760" s="114">
        <v>46042</v>
      </c>
      <c r="B760" s="76" t="s">
        <v>32</v>
      </c>
      <c r="C760" s="77" t="s">
        <v>33</v>
      </c>
      <c r="D760" s="76" t="s">
        <v>260</v>
      </c>
      <c r="E760" s="115">
        <v>1.836805555555556</v>
      </c>
      <c r="F760" s="76" t="s">
        <v>39</v>
      </c>
      <c r="G760" s="78">
        <v>2</v>
      </c>
      <c r="H760" s="116">
        <v>749</v>
      </c>
      <c r="I760" s="2"/>
    </row>
    <row r="761" spans="1:9" ht="19.8" customHeight="1" x14ac:dyDescent="0.3">
      <c r="A761" s="114">
        <v>46042</v>
      </c>
      <c r="B761" s="76" t="s">
        <v>32</v>
      </c>
      <c r="C761" s="77" t="s">
        <v>113</v>
      </c>
      <c r="D761" s="76" t="s">
        <v>260</v>
      </c>
      <c r="E761" s="115">
        <v>1.2013888888888891</v>
      </c>
      <c r="F761" s="76" t="s">
        <v>39</v>
      </c>
      <c r="G761" s="78">
        <v>1</v>
      </c>
      <c r="H761" s="116">
        <v>749</v>
      </c>
      <c r="I761" s="2"/>
    </row>
    <row r="762" spans="1:9" ht="19.8" customHeight="1" x14ac:dyDescent="0.3">
      <c r="A762" s="114">
        <v>46042</v>
      </c>
      <c r="B762" s="76" t="s">
        <v>57</v>
      </c>
      <c r="C762" s="77" t="s">
        <v>58</v>
      </c>
      <c r="D762" s="76" t="s">
        <v>260</v>
      </c>
      <c r="E762" s="115">
        <v>1.305555555555556</v>
      </c>
      <c r="F762" s="76" t="s">
        <v>65</v>
      </c>
      <c r="G762" s="78">
        <v>20</v>
      </c>
      <c r="H762" s="116">
        <v>899</v>
      </c>
      <c r="I762" s="2"/>
    </row>
    <row r="763" spans="1:9" ht="19.8" customHeight="1" x14ac:dyDescent="0.3">
      <c r="A763" s="117">
        <v>46042</v>
      </c>
      <c r="B763" s="79" t="s">
        <v>77</v>
      </c>
      <c r="C763" s="80" t="s">
        <v>78</v>
      </c>
      <c r="D763" s="79" t="s">
        <v>260</v>
      </c>
      <c r="E763" s="118">
        <v>1.305555555555556</v>
      </c>
      <c r="F763" s="79" t="s">
        <v>79</v>
      </c>
      <c r="G763" s="81">
        <v>4</v>
      </c>
      <c r="H763" s="83" t="s">
        <v>143</v>
      </c>
      <c r="I763" s="2"/>
    </row>
    <row r="764" spans="1:9" ht="19.8" customHeight="1" x14ac:dyDescent="0.3">
      <c r="A764" s="72"/>
      <c r="B764" s="73"/>
      <c r="C764" s="73"/>
      <c r="D764" s="73"/>
      <c r="E764" s="73"/>
      <c r="F764" s="74" t="s">
        <v>259</v>
      </c>
      <c r="G764" s="73"/>
      <c r="H764" s="75"/>
      <c r="I764" s="2"/>
    </row>
    <row r="765" spans="1:9" ht="19.8" customHeight="1" x14ac:dyDescent="0.3">
      <c r="A765" s="114">
        <v>46043</v>
      </c>
      <c r="B765" s="76" t="s">
        <v>41</v>
      </c>
      <c r="C765" s="77" t="s">
        <v>71</v>
      </c>
      <c r="D765" s="76" t="s">
        <v>260</v>
      </c>
      <c r="E765" s="115">
        <v>1.1701388888888891</v>
      </c>
      <c r="F765" s="76" t="s">
        <v>86</v>
      </c>
      <c r="G765" s="78">
        <v>9</v>
      </c>
      <c r="H765" s="116">
        <v>487</v>
      </c>
      <c r="I765" s="2"/>
    </row>
    <row r="766" spans="1:9" ht="19.8" customHeight="1" x14ac:dyDescent="0.3">
      <c r="A766" s="114">
        <v>46043</v>
      </c>
      <c r="B766" s="76" t="s">
        <v>121</v>
      </c>
      <c r="C766" s="77" t="s">
        <v>265</v>
      </c>
      <c r="D766" s="76" t="s">
        <v>260</v>
      </c>
      <c r="E766" s="115">
        <v>1.0902777777777779</v>
      </c>
      <c r="F766" s="76" t="s">
        <v>128</v>
      </c>
      <c r="G766" s="78">
        <v>4</v>
      </c>
      <c r="H766" s="116">
        <v>500</v>
      </c>
      <c r="I766" s="2"/>
    </row>
    <row r="767" spans="1:9" ht="19.8" customHeight="1" x14ac:dyDescent="0.3">
      <c r="A767" s="114">
        <v>46043</v>
      </c>
      <c r="B767" s="76" t="s">
        <v>57</v>
      </c>
      <c r="C767" s="77" t="s">
        <v>58</v>
      </c>
      <c r="D767" s="76" t="s">
        <v>260</v>
      </c>
      <c r="E767" s="115">
        <v>1.305555555555556</v>
      </c>
      <c r="F767" s="76" t="s">
        <v>60</v>
      </c>
      <c r="G767" s="78">
        <v>20</v>
      </c>
      <c r="H767" s="116">
        <v>509</v>
      </c>
      <c r="I767" s="2"/>
    </row>
    <row r="768" spans="1:9" ht="19.8" customHeight="1" x14ac:dyDescent="0.3">
      <c r="A768" s="114">
        <v>46043</v>
      </c>
      <c r="B768" s="76" t="s">
        <v>41</v>
      </c>
      <c r="C768" s="77" t="s">
        <v>42</v>
      </c>
      <c r="D768" s="76" t="s">
        <v>260</v>
      </c>
      <c r="E768" s="115">
        <v>1.864583333333333</v>
      </c>
      <c r="F768" s="76" t="s">
        <v>86</v>
      </c>
      <c r="G768" s="78">
        <v>9</v>
      </c>
      <c r="H768" s="116">
        <v>517</v>
      </c>
      <c r="I768" s="2"/>
    </row>
    <row r="769" spans="1:9" ht="19.8" customHeight="1" x14ac:dyDescent="0.3">
      <c r="A769" s="114">
        <v>46043</v>
      </c>
      <c r="B769" s="76" t="s">
        <v>41</v>
      </c>
      <c r="C769" s="77" t="s">
        <v>68</v>
      </c>
      <c r="D769" s="76" t="s">
        <v>260</v>
      </c>
      <c r="E769" s="115">
        <v>1.5277777777777779</v>
      </c>
      <c r="F769" s="76" t="s">
        <v>86</v>
      </c>
      <c r="G769" s="78">
        <v>9</v>
      </c>
      <c r="H769" s="116">
        <v>517</v>
      </c>
      <c r="I769" s="2"/>
    </row>
    <row r="770" spans="1:9" ht="19.8" customHeight="1" x14ac:dyDescent="0.3">
      <c r="A770" s="114">
        <v>46043</v>
      </c>
      <c r="B770" s="76" t="s">
        <v>262</v>
      </c>
      <c r="C770" s="77" t="s">
        <v>263</v>
      </c>
      <c r="D770" s="76" t="s">
        <v>260</v>
      </c>
      <c r="E770" s="115">
        <v>1.9722222222222221</v>
      </c>
      <c r="F770" s="76" t="s">
        <v>264</v>
      </c>
      <c r="G770" s="78">
        <v>9</v>
      </c>
      <c r="H770" s="116">
        <v>547</v>
      </c>
      <c r="I770" s="2"/>
    </row>
    <row r="771" spans="1:9" ht="19.8" customHeight="1" x14ac:dyDescent="0.3">
      <c r="A771" s="114">
        <v>46043</v>
      </c>
      <c r="B771" s="76" t="s">
        <v>32</v>
      </c>
      <c r="C771" s="77" t="s">
        <v>33</v>
      </c>
      <c r="D771" s="76" t="s">
        <v>260</v>
      </c>
      <c r="E771" s="115">
        <v>1.836805555555556</v>
      </c>
      <c r="F771" s="76" t="s">
        <v>34</v>
      </c>
      <c r="G771" s="78">
        <v>2</v>
      </c>
      <c r="H771" s="116">
        <v>559</v>
      </c>
      <c r="I771" s="2"/>
    </row>
    <row r="772" spans="1:9" ht="19.8" customHeight="1" x14ac:dyDescent="0.3">
      <c r="A772" s="114">
        <v>46043</v>
      </c>
      <c r="B772" s="76" t="s">
        <v>46</v>
      </c>
      <c r="C772" s="77" t="s">
        <v>47</v>
      </c>
      <c r="D772" s="76" t="s">
        <v>260</v>
      </c>
      <c r="E772" s="115">
        <v>1.895833333333333</v>
      </c>
      <c r="F772" s="76" t="s">
        <v>128</v>
      </c>
      <c r="G772" s="78">
        <v>9</v>
      </c>
      <c r="H772" s="116">
        <v>563</v>
      </c>
      <c r="I772" s="2"/>
    </row>
    <row r="773" spans="1:9" ht="19.8" customHeight="1" x14ac:dyDescent="0.3">
      <c r="A773" s="114">
        <v>46043</v>
      </c>
      <c r="B773" s="76" t="s">
        <v>57</v>
      </c>
      <c r="C773" s="77" t="s">
        <v>58</v>
      </c>
      <c r="D773" s="76" t="s">
        <v>260</v>
      </c>
      <c r="E773" s="115">
        <v>1.305555555555556</v>
      </c>
      <c r="F773" s="76" t="s">
        <v>63</v>
      </c>
      <c r="G773" s="78">
        <v>20</v>
      </c>
      <c r="H773" s="116">
        <v>659</v>
      </c>
      <c r="I773" s="2"/>
    </row>
    <row r="774" spans="1:9" ht="19.8" customHeight="1" x14ac:dyDescent="0.3">
      <c r="A774" s="114">
        <v>46043</v>
      </c>
      <c r="B774" s="76" t="s">
        <v>32</v>
      </c>
      <c r="C774" s="77" t="s">
        <v>33</v>
      </c>
      <c r="D774" s="76" t="s">
        <v>260</v>
      </c>
      <c r="E774" s="115">
        <v>1.836805555555556</v>
      </c>
      <c r="F774" s="76" t="s">
        <v>37</v>
      </c>
      <c r="G774" s="78">
        <v>2</v>
      </c>
      <c r="H774" s="116">
        <v>659</v>
      </c>
      <c r="I774" s="2"/>
    </row>
    <row r="775" spans="1:9" ht="19.8" customHeight="1" x14ac:dyDescent="0.3">
      <c r="A775" s="114">
        <v>46043</v>
      </c>
      <c r="B775" s="76" t="s">
        <v>32</v>
      </c>
      <c r="C775" s="77" t="s">
        <v>33</v>
      </c>
      <c r="D775" s="76" t="s">
        <v>260</v>
      </c>
      <c r="E775" s="115">
        <v>1.836805555555556</v>
      </c>
      <c r="F775" s="76" t="s">
        <v>39</v>
      </c>
      <c r="G775" s="78">
        <v>2</v>
      </c>
      <c r="H775" s="116">
        <v>749</v>
      </c>
      <c r="I775" s="2"/>
    </row>
    <row r="776" spans="1:9" ht="19.8" customHeight="1" x14ac:dyDescent="0.3">
      <c r="A776" s="114">
        <v>46043</v>
      </c>
      <c r="B776" s="76" t="s">
        <v>262</v>
      </c>
      <c r="C776" s="77" t="s">
        <v>263</v>
      </c>
      <c r="D776" s="76" t="s">
        <v>260</v>
      </c>
      <c r="E776" s="115">
        <v>1.9722222222222221</v>
      </c>
      <c r="F776" s="76" t="s">
        <v>65</v>
      </c>
      <c r="G776" s="78">
        <v>9</v>
      </c>
      <c r="H776" s="116">
        <v>752</v>
      </c>
      <c r="I776" s="2"/>
    </row>
    <row r="777" spans="1:9" ht="19.8" customHeight="1" x14ac:dyDescent="0.3">
      <c r="A777" s="114">
        <v>46043</v>
      </c>
      <c r="B777" s="76" t="s">
        <v>57</v>
      </c>
      <c r="C777" s="77" t="s">
        <v>58</v>
      </c>
      <c r="D777" s="76" t="s">
        <v>260</v>
      </c>
      <c r="E777" s="115">
        <v>1.305555555555556</v>
      </c>
      <c r="F777" s="76" t="s">
        <v>65</v>
      </c>
      <c r="G777" s="78">
        <v>20</v>
      </c>
      <c r="H777" s="116">
        <v>899</v>
      </c>
      <c r="I777" s="2"/>
    </row>
    <row r="778" spans="1:9" ht="19.8" customHeight="1" x14ac:dyDescent="0.3">
      <c r="A778" s="117">
        <v>46043</v>
      </c>
      <c r="B778" s="79" t="s">
        <v>77</v>
      </c>
      <c r="C778" s="80" t="s">
        <v>78</v>
      </c>
      <c r="D778" s="79" t="s">
        <v>260</v>
      </c>
      <c r="E778" s="118">
        <v>1.305555555555556</v>
      </c>
      <c r="F778" s="79" t="s">
        <v>79</v>
      </c>
      <c r="G778" s="81">
        <v>4</v>
      </c>
      <c r="H778" s="83" t="s">
        <v>143</v>
      </c>
      <c r="I778" s="2"/>
    </row>
    <row r="779" spans="1:9" ht="19.8" customHeight="1" x14ac:dyDescent="0.3">
      <c r="A779" s="72"/>
      <c r="B779" s="73"/>
      <c r="C779" s="73"/>
      <c r="D779" s="73"/>
      <c r="E779" s="73"/>
      <c r="F779" s="74" t="s">
        <v>259</v>
      </c>
      <c r="G779" s="73"/>
      <c r="H779" s="75"/>
      <c r="I779" s="2"/>
    </row>
    <row r="780" spans="1:9" ht="19.8" customHeight="1" x14ac:dyDescent="0.3">
      <c r="A780" s="114">
        <v>46044</v>
      </c>
      <c r="B780" s="76" t="s">
        <v>41</v>
      </c>
      <c r="C780" s="77" t="s">
        <v>71</v>
      </c>
      <c r="D780" s="76" t="s">
        <v>260</v>
      </c>
      <c r="E780" s="115">
        <v>1.1701388888888891</v>
      </c>
      <c r="F780" s="76" t="s">
        <v>86</v>
      </c>
      <c r="G780" s="78">
        <v>9</v>
      </c>
      <c r="H780" s="116">
        <v>487</v>
      </c>
      <c r="I780" s="2"/>
    </row>
    <row r="781" spans="1:9" ht="19.8" customHeight="1" x14ac:dyDescent="0.3">
      <c r="A781" s="114">
        <v>46044</v>
      </c>
      <c r="B781" s="76" t="s">
        <v>121</v>
      </c>
      <c r="C781" s="77" t="s">
        <v>265</v>
      </c>
      <c r="D781" s="76" t="s">
        <v>260</v>
      </c>
      <c r="E781" s="115">
        <v>1.9652777777777779</v>
      </c>
      <c r="F781" s="76" t="s">
        <v>128</v>
      </c>
      <c r="G781" s="78">
        <v>3</v>
      </c>
      <c r="H781" s="116">
        <v>500</v>
      </c>
      <c r="I781" s="2"/>
    </row>
    <row r="782" spans="1:9" ht="19.8" customHeight="1" x14ac:dyDescent="0.3">
      <c r="A782" s="114">
        <v>46044</v>
      </c>
      <c r="B782" s="76" t="s">
        <v>57</v>
      </c>
      <c r="C782" s="77" t="s">
        <v>58</v>
      </c>
      <c r="D782" s="76" t="s">
        <v>260</v>
      </c>
      <c r="E782" s="115">
        <v>1.305555555555556</v>
      </c>
      <c r="F782" s="76" t="s">
        <v>60</v>
      </c>
      <c r="G782" s="78">
        <v>20</v>
      </c>
      <c r="H782" s="116">
        <v>509</v>
      </c>
      <c r="I782" s="2"/>
    </row>
    <row r="783" spans="1:9" ht="19.8" customHeight="1" x14ac:dyDescent="0.3">
      <c r="A783" s="114">
        <v>46044</v>
      </c>
      <c r="B783" s="76" t="s">
        <v>41</v>
      </c>
      <c r="C783" s="77" t="s">
        <v>42</v>
      </c>
      <c r="D783" s="76" t="s">
        <v>260</v>
      </c>
      <c r="E783" s="115">
        <v>1.864583333333333</v>
      </c>
      <c r="F783" s="76" t="s">
        <v>86</v>
      </c>
      <c r="G783" s="78">
        <v>9</v>
      </c>
      <c r="H783" s="116">
        <v>517</v>
      </c>
      <c r="I783" s="2"/>
    </row>
    <row r="784" spans="1:9" ht="19.8" customHeight="1" x14ac:dyDescent="0.3">
      <c r="A784" s="114">
        <v>46044</v>
      </c>
      <c r="B784" s="76" t="s">
        <v>41</v>
      </c>
      <c r="C784" s="77" t="s">
        <v>68</v>
      </c>
      <c r="D784" s="76" t="s">
        <v>260</v>
      </c>
      <c r="E784" s="115">
        <v>1.5277777777777779</v>
      </c>
      <c r="F784" s="76" t="s">
        <v>86</v>
      </c>
      <c r="G784" s="78">
        <v>9</v>
      </c>
      <c r="H784" s="116">
        <v>517</v>
      </c>
      <c r="I784" s="2"/>
    </row>
    <row r="785" spans="1:9" ht="19.8" customHeight="1" x14ac:dyDescent="0.3">
      <c r="A785" s="114">
        <v>46044</v>
      </c>
      <c r="B785" s="76" t="s">
        <v>32</v>
      </c>
      <c r="C785" s="77" t="s">
        <v>113</v>
      </c>
      <c r="D785" s="76" t="s">
        <v>260</v>
      </c>
      <c r="E785" s="115">
        <v>1.2013888888888891</v>
      </c>
      <c r="F785" s="76" t="s">
        <v>34</v>
      </c>
      <c r="G785" s="78">
        <v>5</v>
      </c>
      <c r="H785" s="116">
        <v>559</v>
      </c>
      <c r="I785" s="2"/>
    </row>
    <row r="786" spans="1:9" ht="19.8" customHeight="1" x14ac:dyDescent="0.3">
      <c r="A786" s="114">
        <v>46044</v>
      </c>
      <c r="B786" s="76" t="s">
        <v>46</v>
      </c>
      <c r="C786" s="77" t="s">
        <v>266</v>
      </c>
      <c r="D786" s="76" t="s">
        <v>260</v>
      </c>
      <c r="E786" s="115">
        <v>1.5625</v>
      </c>
      <c r="F786" s="76" t="s">
        <v>128</v>
      </c>
      <c r="G786" s="78">
        <v>5</v>
      </c>
      <c r="H786" s="116">
        <v>563</v>
      </c>
      <c r="I786" s="2"/>
    </row>
    <row r="787" spans="1:9" ht="19.8" customHeight="1" x14ac:dyDescent="0.3">
      <c r="A787" s="114">
        <v>46044</v>
      </c>
      <c r="B787" s="76" t="s">
        <v>46</v>
      </c>
      <c r="C787" s="77" t="s">
        <v>261</v>
      </c>
      <c r="D787" s="76" t="s">
        <v>260</v>
      </c>
      <c r="E787" s="115">
        <v>1.958333333333333</v>
      </c>
      <c r="F787" s="76" t="s">
        <v>128</v>
      </c>
      <c r="G787" s="78">
        <v>6</v>
      </c>
      <c r="H787" s="116">
        <v>563</v>
      </c>
      <c r="I787" s="2"/>
    </row>
    <row r="788" spans="1:9" ht="19.8" customHeight="1" x14ac:dyDescent="0.3">
      <c r="A788" s="114">
        <v>46044</v>
      </c>
      <c r="B788" s="76" t="s">
        <v>26</v>
      </c>
      <c r="C788" s="77" t="s">
        <v>74</v>
      </c>
      <c r="D788" s="76" t="s">
        <v>260</v>
      </c>
      <c r="E788" s="115">
        <v>1.9236111111111109</v>
      </c>
      <c r="F788" s="76" t="s">
        <v>128</v>
      </c>
      <c r="G788" s="78">
        <v>2</v>
      </c>
      <c r="H788" s="116">
        <v>566</v>
      </c>
      <c r="I788" s="2"/>
    </row>
    <row r="789" spans="1:9" ht="19.8" customHeight="1" x14ac:dyDescent="0.3">
      <c r="A789" s="114">
        <v>46044</v>
      </c>
      <c r="B789" s="76" t="s">
        <v>32</v>
      </c>
      <c r="C789" s="77" t="s">
        <v>33</v>
      </c>
      <c r="D789" s="76" t="s">
        <v>260</v>
      </c>
      <c r="E789" s="115">
        <v>1.836805555555556</v>
      </c>
      <c r="F789" s="76" t="s">
        <v>34</v>
      </c>
      <c r="G789" s="78">
        <v>4</v>
      </c>
      <c r="H789" s="116">
        <v>609</v>
      </c>
      <c r="I789" s="2"/>
    </row>
    <row r="790" spans="1:9" ht="19.8" customHeight="1" x14ac:dyDescent="0.3">
      <c r="A790" s="114">
        <v>46044</v>
      </c>
      <c r="B790" s="76" t="s">
        <v>57</v>
      </c>
      <c r="C790" s="77" t="s">
        <v>58</v>
      </c>
      <c r="D790" s="76" t="s">
        <v>260</v>
      </c>
      <c r="E790" s="115">
        <v>1.305555555555556</v>
      </c>
      <c r="F790" s="76" t="s">
        <v>63</v>
      </c>
      <c r="G790" s="78">
        <v>20</v>
      </c>
      <c r="H790" s="116">
        <v>659</v>
      </c>
      <c r="I790" s="2"/>
    </row>
    <row r="791" spans="1:9" ht="19.8" customHeight="1" x14ac:dyDescent="0.3">
      <c r="A791" s="114">
        <v>46044</v>
      </c>
      <c r="B791" s="76" t="s">
        <v>32</v>
      </c>
      <c r="C791" s="77" t="s">
        <v>113</v>
      </c>
      <c r="D791" s="76" t="s">
        <v>260</v>
      </c>
      <c r="E791" s="115">
        <v>1.2013888888888891</v>
      </c>
      <c r="F791" s="76" t="s">
        <v>37</v>
      </c>
      <c r="G791" s="78">
        <v>5</v>
      </c>
      <c r="H791" s="116">
        <v>659</v>
      </c>
      <c r="I791" s="2"/>
    </row>
    <row r="792" spans="1:9" ht="19.8" customHeight="1" x14ac:dyDescent="0.3">
      <c r="A792" s="114">
        <v>46044</v>
      </c>
      <c r="B792" s="76" t="s">
        <v>32</v>
      </c>
      <c r="C792" s="77" t="s">
        <v>33</v>
      </c>
      <c r="D792" s="76" t="s">
        <v>260</v>
      </c>
      <c r="E792" s="115">
        <v>1.836805555555556</v>
      </c>
      <c r="F792" s="76" t="s">
        <v>37</v>
      </c>
      <c r="G792" s="78">
        <v>4</v>
      </c>
      <c r="H792" s="116">
        <v>709</v>
      </c>
      <c r="I792" s="2"/>
    </row>
    <row r="793" spans="1:9" ht="19.8" customHeight="1" x14ac:dyDescent="0.3">
      <c r="A793" s="114">
        <v>46044</v>
      </c>
      <c r="B793" s="76" t="s">
        <v>32</v>
      </c>
      <c r="C793" s="77" t="s">
        <v>113</v>
      </c>
      <c r="D793" s="76" t="s">
        <v>260</v>
      </c>
      <c r="E793" s="115">
        <v>1.2013888888888891</v>
      </c>
      <c r="F793" s="76" t="s">
        <v>39</v>
      </c>
      <c r="G793" s="78">
        <v>5</v>
      </c>
      <c r="H793" s="116">
        <v>749</v>
      </c>
      <c r="I793" s="2"/>
    </row>
    <row r="794" spans="1:9" ht="19.8" customHeight="1" x14ac:dyDescent="0.3">
      <c r="A794" s="114">
        <v>46044</v>
      </c>
      <c r="B794" s="76" t="s">
        <v>32</v>
      </c>
      <c r="C794" s="77" t="s">
        <v>33</v>
      </c>
      <c r="D794" s="76" t="s">
        <v>260</v>
      </c>
      <c r="E794" s="115">
        <v>1.836805555555556</v>
      </c>
      <c r="F794" s="76" t="s">
        <v>39</v>
      </c>
      <c r="G794" s="78">
        <v>4</v>
      </c>
      <c r="H794" s="116">
        <v>799</v>
      </c>
      <c r="I794" s="2"/>
    </row>
    <row r="795" spans="1:9" ht="19.8" customHeight="1" x14ac:dyDescent="0.3">
      <c r="A795" s="114">
        <v>46044</v>
      </c>
      <c r="B795" s="76" t="s">
        <v>57</v>
      </c>
      <c r="C795" s="77" t="s">
        <v>58</v>
      </c>
      <c r="D795" s="76" t="s">
        <v>260</v>
      </c>
      <c r="E795" s="115">
        <v>1.305555555555556</v>
      </c>
      <c r="F795" s="76" t="s">
        <v>65</v>
      </c>
      <c r="G795" s="78">
        <v>20</v>
      </c>
      <c r="H795" s="116">
        <v>899</v>
      </c>
      <c r="I795" s="2"/>
    </row>
    <row r="796" spans="1:9" ht="19.8" customHeight="1" x14ac:dyDescent="0.3">
      <c r="A796" s="117">
        <v>46044</v>
      </c>
      <c r="B796" s="79" t="s">
        <v>77</v>
      </c>
      <c r="C796" s="80" t="s">
        <v>78</v>
      </c>
      <c r="D796" s="79" t="s">
        <v>260</v>
      </c>
      <c r="E796" s="118">
        <v>1.305555555555556</v>
      </c>
      <c r="F796" s="79" t="s">
        <v>79</v>
      </c>
      <c r="G796" s="81">
        <v>4</v>
      </c>
      <c r="H796" s="83" t="s">
        <v>143</v>
      </c>
      <c r="I796" s="2"/>
    </row>
    <row r="797" spans="1:9" ht="19.8" customHeight="1" x14ac:dyDescent="0.3">
      <c r="A797" s="120">
        <v>46045</v>
      </c>
      <c r="B797" s="69" t="s">
        <v>26</v>
      </c>
      <c r="C797" s="70" t="s">
        <v>27</v>
      </c>
      <c r="D797" s="69" t="s">
        <v>1</v>
      </c>
      <c r="E797" s="121">
        <v>1.291666666666667</v>
      </c>
      <c r="F797" s="69" t="s">
        <v>128</v>
      </c>
      <c r="G797" s="84">
        <v>3</v>
      </c>
      <c r="H797" s="122">
        <v>636</v>
      </c>
      <c r="I797" s="2"/>
    </row>
    <row r="798" spans="1:9" ht="19.8" customHeight="1" x14ac:dyDescent="0.3">
      <c r="A798" s="72"/>
      <c r="B798" s="73"/>
      <c r="C798" s="73"/>
      <c r="D798" s="73"/>
      <c r="E798" s="73"/>
      <c r="F798" s="74" t="s">
        <v>259</v>
      </c>
      <c r="G798" s="73"/>
      <c r="H798" s="75"/>
      <c r="I798" s="2"/>
    </row>
    <row r="799" spans="1:9" ht="19.8" customHeight="1" x14ac:dyDescent="0.3">
      <c r="A799" s="114">
        <v>46045</v>
      </c>
      <c r="B799" s="76" t="s">
        <v>41</v>
      </c>
      <c r="C799" s="77" t="s">
        <v>71</v>
      </c>
      <c r="D799" s="76" t="s">
        <v>260</v>
      </c>
      <c r="E799" s="115">
        <v>1.1701388888888891</v>
      </c>
      <c r="F799" s="76" t="s">
        <v>86</v>
      </c>
      <c r="G799" s="78">
        <v>9</v>
      </c>
      <c r="H799" s="116">
        <v>487</v>
      </c>
      <c r="I799" s="2"/>
    </row>
    <row r="800" spans="1:9" ht="19.8" customHeight="1" x14ac:dyDescent="0.3">
      <c r="A800" s="114">
        <v>46045</v>
      </c>
      <c r="B800" s="76" t="s">
        <v>121</v>
      </c>
      <c r="C800" s="77" t="s">
        <v>140</v>
      </c>
      <c r="D800" s="76" t="s">
        <v>260</v>
      </c>
      <c r="E800" s="115">
        <v>1.2152777777777779</v>
      </c>
      <c r="F800" s="76" t="s">
        <v>128</v>
      </c>
      <c r="G800" s="78">
        <v>5</v>
      </c>
      <c r="H800" s="116">
        <v>500</v>
      </c>
      <c r="I800" s="2"/>
    </row>
    <row r="801" spans="1:9" ht="19.8" customHeight="1" x14ac:dyDescent="0.3">
      <c r="A801" s="114">
        <v>46045</v>
      </c>
      <c r="B801" s="76" t="s">
        <v>57</v>
      </c>
      <c r="C801" s="77" t="s">
        <v>58</v>
      </c>
      <c r="D801" s="76" t="s">
        <v>260</v>
      </c>
      <c r="E801" s="115">
        <v>1.305555555555556</v>
      </c>
      <c r="F801" s="76" t="s">
        <v>60</v>
      </c>
      <c r="G801" s="78">
        <v>20</v>
      </c>
      <c r="H801" s="116">
        <v>509</v>
      </c>
      <c r="I801" s="2"/>
    </row>
    <row r="802" spans="1:9" ht="19.8" customHeight="1" x14ac:dyDescent="0.3">
      <c r="A802" s="114">
        <v>46045</v>
      </c>
      <c r="B802" s="76" t="s">
        <v>41</v>
      </c>
      <c r="C802" s="77" t="s">
        <v>42</v>
      </c>
      <c r="D802" s="76" t="s">
        <v>260</v>
      </c>
      <c r="E802" s="115">
        <v>1.864583333333333</v>
      </c>
      <c r="F802" s="76" t="s">
        <v>86</v>
      </c>
      <c r="G802" s="78">
        <v>9</v>
      </c>
      <c r="H802" s="116">
        <v>517</v>
      </c>
      <c r="I802" s="2"/>
    </row>
    <row r="803" spans="1:9" ht="19.8" customHeight="1" x14ac:dyDescent="0.3">
      <c r="A803" s="114">
        <v>46045</v>
      </c>
      <c r="B803" s="76" t="s">
        <v>41</v>
      </c>
      <c r="C803" s="77" t="s">
        <v>68</v>
      </c>
      <c r="D803" s="76" t="s">
        <v>260</v>
      </c>
      <c r="E803" s="115">
        <v>1.5277777777777779</v>
      </c>
      <c r="F803" s="76" t="s">
        <v>86</v>
      </c>
      <c r="G803" s="78">
        <v>9</v>
      </c>
      <c r="H803" s="116">
        <v>521</v>
      </c>
      <c r="I803" s="2"/>
    </row>
    <row r="804" spans="1:9" ht="19.8" customHeight="1" x14ac:dyDescent="0.3">
      <c r="A804" s="114">
        <v>46045</v>
      </c>
      <c r="B804" s="76" t="s">
        <v>46</v>
      </c>
      <c r="C804" s="77" t="s">
        <v>47</v>
      </c>
      <c r="D804" s="76" t="s">
        <v>260</v>
      </c>
      <c r="E804" s="115">
        <v>1.958333333333333</v>
      </c>
      <c r="F804" s="76" t="s">
        <v>128</v>
      </c>
      <c r="G804" s="78">
        <v>7</v>
      </c>
      <c r="H804" s="116">
        <v>563</v>
      </c>
      <c r="I804" s="2"/>
    </row>
    <row r="805" spans="1:9" ht="19.8" customHeight="1" x14ac:dyDescent="0.3">
      <c r="A805" s="114">
        <v>46045</v>
      </c>
      <c r="B805" s="76" t="s">
        <v>26</v>
      </c>
      <c r="C805" s="77" t="s">
        <v>74</v>
      </c>
      <c r="D805" s="76" t="s">
        <v>260</v>
      </c>
      <c r="E805" s="115">
        <v>1.5798611111111109</v>
      </c>
      <c r="F805" s="76" t="s">
        <v>128</v>
      </c>
      <c r="G805" s="78">
        <v>8</v>
      </c>
      <c r="H805" s="116">
        <v>566</v>
      </c>
      <c r="I805" s="2"/>
    </row>
    <row r="806" spans="1:9" ht="19.8" customHeight="1" x14ac:dyDescent="0.3">
      <c r="A806" s="114">
        <v>46045</v>
      </c>
      <c r="B806" s="76" t="s">
        <v>32</v>
      </c>
      <c r="C806" s="77" t="s">
        <v>33</v>
      </c>
      <c r="D806" s="76" t="s">
        <v>260</v>
      </c>
      <c r="E806" s="115">
        <v>1.836805555555556</v>
      </c>
      <c r="F806" s="76" t="s">
        <v>34</v>
      </c>
      <c r="G806" s="78">
        <v>5</v>
      </c>
      <c r="H806" s="116">
        <v>609</v>
      </c>
      <c r="I806" s="2"/>
    </row>
    <row r="807" spans="1:9" ht="19.8" customHeight="1" x14ac:dyDescent="0.3">
      <c r="A807" s="114">
        <v>46045</v>
      </c>
      <c r="B807" s="76" t="s">
        <v>57</v>
      </c>
      <c r="C807" s="77" t="s">
        <v>58</v>
      </c>
      <c r="D807" s="76" t="s">
        <v>260</v>
      </c>
      <c r="E807" s="115">
        <v>1.305555555555556</v>
      </c>
      <c r="F807" s="76" t="s">
        <v>63</v>
      </c>
      <c r="G807" s="78">
        <v>20</v>
      </c>
      <c r="H807" s="116">
        <v>659</v>
      </c>
      <c r="I807" s="2"/>
    </row>
    <row r="808" spans="1:9" ht="19.8" customHeight="1" x14ac:dyDescent="0.3">
      <c r="A808" s="114">
        <v>46045</v>
      </c>
      <c r="B808" s="76" t="s">
        <v>32</v>
      </c>
      <c r="C808" s="77" t="s">
        <v>33</v>
      </c>
      <c r="D808" s="76" t="s">
        <v>260</v>
      </c>
      <c r="E808" s="115">
        <v>1.836805555555556</v>
      </c>
      <c r="F808" s="76" t="s">
        <v>37</v>
      </c>
      <c r="G808" s="78">
        <v>5</v>
      </c>
      <c r="H808" s="116">
        <v>709</v>
      </c>
      <c r="I808" s="2"/>
    </row>
    <row r="809" spans="1:9" ht="19.8" customHeight="1" x14ac:dyDescent="0.3">
      <c r="A809" s="114">
        <v>46045</v>
      </c>
      <c r="B809" s="76" t="s">
        <v>32</v>
      </c>
      <c r="C809" s="77" t="s">
        <v>33</v>
      </c>
      <c r="D809" s="76" t="s">
        <v>260</v>
      </c>
      <c r="E809" s="115">
        <v>1.836805555555556</v>
      </c>
      <c r="F809" s="76" t="s">
        <v>39</v>
      </c>
      <c r="G809" s="78">
        <v>5</v>
      </c>
      <c r="H809" s="116">
        <v>799</v>
      </c>
      <c r="I809" s="2"/>
    </row>
    <row r="810" spans="1:9" ht="19.8" customHeight="1" x14ac:dyDescent="0.3">
      <c r="A810" s="114">
        <v>46045</v>
      </c>
      <c r="B810" s="76" t="s">
        <v>57</v>
      </c>
      <c r="C810" s="77" t="s">
        <v>58</v>
      </c>
      <c r="D810" s="76" t="s">
        <v>260</v>
      </c>
      <c r="E810" s="115">
        <v>1.305555555555556</v>
      </c>
      <c r="F810" s="76" t="s">
        <v>65</v>
      </c>
      <c r="G810" s="78">
        <v>20</v>
      </c>
      <c r="H810" s="116">
        <v>899</v>
      </c>
      <c r="I810" s="2"/>
    </row>
    <row r="811" spans="1:9" ht="19.8" customHeight="1" x14ac:dyDescent="0.3">
      <c r="A811" s="117">
        <v>46045</v>
      </c>
      <c r="B811" s="79" t="s">
        <v>77</v>
      </c>
      <c r="C811" s="80" t="s">
        <v>78</v>
      </c>
      <c r="D811" s="79" t="s">
        <v>260</v>
      </c>
      <c r="E811" s="118">
        <v>1.305555555555556</v>
      </c>
      <c r="F811" s="79" t="s">
        <v>79</v>
      </c>
      <c r="G811" s="81">
        <v>4</v>
      </c>
      <c r="H811" s="83" t="s">
        <v>143</v>
      </c>
      <c r="I811" s="2"/>
    </row>
    <row r="812" spans="1:9" ht="19.8" customHeight="1" x14ac:dyDescent="0.3">
      <c r="A812" s="72"/>
      <c r="B812" s="73"/>
      <c r="C812" s="73"/>
      <c r="D812" s="73"/>
      <c r="E812" s="73"/>
      <c r="F812" s="74" t="s">
        <v>259</v>
      </c>
      <c r="G812" s="73"/>
      <c r="H812" s="75"/>
      <c r="I812" s="2"/>
    </row>
    <row r="813" spans="1:9" ht="19.8" customHeight="1" x14ac:dyDescent="0.3">
      <c r="A813" s="114">
        <v>46046</v>
      </c>
      <c r="B813" s="76" t="s">
        <v>41</v>
      </c>
      <c r="C813" s="77" t="s">
        <v>71</v>
      </c>
      <c r="D813" s="76" t="s">
        <v>260</v>
      </c>
      <c r="E813" s="115">
        <v>1.1701388888888891</v>
      </c>
      <c r="F813" s="76" t="s">
        <v>86</v>
      </c>
      <c r="G813" s="78">
        <v>9</v>
      </c>
      <c r="H813" s="116">
        <v>487</v>
      </c>
      <c r="I813" s="2"/>
    </row>
    <row r="814" spans="1:9" ht="19.8" customHeight="1" x14ac:dyDescent="0.3">
      <c r="A814" s="114">
        <v>46046</v>
      </c>
      <c r="B814" s="76" t="s">
        <v>57</v>
      </c>
      <c r="C814" s="77" t="s">
        <v>58</v>
      </c>
      <c r="D814" s="76" t="s">
        <v>260</v>
      </c>
      <c r="E814" s="115">
        <v>1.305555555555556</v>
      </c>
      <c r="F814" s="76" t="s">
        <v>60</v>
      </c>
      <c r="G814" s="78">
        <v>20</v>
      </c>
      <c r="H814" s="116">
        <v>509</v>
      </c>
      <c r="I814" s="2"/>
    </row>
    <row r="815" spans="1:9" ht="19.8" customHeight="1" x14ac:dyDescent="0.3">
      <c r="A815" s="114">
        <v>46046</v>
      </c>
      <c r="B815" s="76" t="s">
        <v>41</v>
      </c>
      <c r="C815" s="77" t="s">
        <v>42</v>
      </c>
      <c r="D815" s="76" t="s">
        <v>260</v>
      </c>
      <c r="E815" s="115">
        <v>1.864583333333333</v>
      </c>
      <c r="F815" s="76" t="s">
        <v>86</v>
      </c>
      <c r="G815" s="78">
        <v>9</v>
      </c>
      <c r="H815" s="116">
        <v>517</v>
      </c>
      <c r="I815" s="2"/>
    </row>
    <row r="816" spans="1:9" ht="19.8" customHeight="1" x14ac:dyDescent="0.3">
      <c r="A816" s="114">
        <v>46046</v>
      </c>
      <c r="B816" s="76" t="s">
        <v>41</v>
      </c>
      <c r="C816" s="77" t="s">
        <v>68</v>
      </c>
      <c r="D816" s="76" t="s">
        <v>260</v>
      </c>
      <c r="E816" s="115">
        <v>1.5277777777777779</v>
      </c>
      <c r="F816" s="76" t="s">
        <v>86</v>
      </c>
      <c r="G816" s="78">
        <v>9</v>
      </c>
      <c r="H816" s="116">
        <v>517</v>
      </c>
      <c r="I816" s="2"/>
    </row>
    <row r="817" spans="1:9" ht="19.8" customHeight="1" x14ac:dyDescent="0.3">
      <c r="A817" s="114">
        <v>46046</v>
      </c>
      <c r="B817" s="76" t="s">
        <v>32</v>
      </c>
      <c r="C817" s="77" t="s">
        <v>33</v>
      </c>
      <c r="D817" s="76" t="s">
        <v>260</v>
      </c>
      <c r="E817" s="115">
        <v>1.836805555555556</v>
      </c>
      <c r="F817" s="76" t="s">
        <v>34</v>
      </c>
      <c r="G817" s="78">
        <v>4</v>
      </c>
      <c r="H817" s="116">
        <v>559</v>
      </c>
      <c r="I817" s="2"/>
    </row>
    <row r="818" spans="1:9" ht="19.8" customHeight="1" x14ac:dyDescent="0.3">
      <c r="A818" s="114">
        <v>46046</v>
      </c>
      <c r="B818" s="76" t="s">
        <v>32</v>
      </c>
      <c r="C818" s="77" t="s">
        <v>113</v>
      </c>
      <c r="D818" s="76" t="s">
        <v>260</v>
      </c>
      <c r="E818" s="115">
        <v>1.2013888888888891</v>
      </c>
      <c r="F818" s="76" t="s">
        <v>34</v>
      </c>
      <c r="G818" s="78">
        <v>4</v>
      </c>
      <c r="H818" s="116">
        <v>559</v>
      </c>
      <c r="I818" s="2"/>
    </row>
    <row r="819" spans="1:9" ht="19.8" customHeight="1" x14ac:dyDescent="0.3">
      <c r="A819" s="114">
        <v>46046</v>
      </c>
      <c r="B819" s="76" t="s">
        <v>46</v>
      </c>
      <c r="C819" s="77" t="s">
        <v>261</v>
      </c>
      <c r="D819" s="76" t="s">
        <v>260</v>
      </c>
      <c r="E819" s="115">
        <v>1.895833333333333</v>
      </c>
      <c r="F819" s="76" t="s">
        <v>128</v>
      </c>
      <c r="G819" s="78">
        <v>7</v>
      </c>
      <c r="H819" s="116">
        <v>563</v>
      </c>
      <c r="I819" s="2"/>
    </row>
    <row r="820" spans="1:9" ht="19.8" customHeight="1" x14ac:dyDescent="0.3">
      <c r="A820" s="114">
        <v>46046</v>
      </c>
      <c r="B820" s="76" t="s">
        <v>26</v>
      </c>
      <c r="C820" s="77" t="s">
        <v>74</v>
      </c>
      <c r="D820" s="76" t="s">
        <v>260</v>
      </c>
      <c r="E820" s="115">
        <v>1.9236111111111109</v>
      </c>
      <c r="F820" s="76" t="s">
        <v>128</v>
      </c>
      <c r="G820" s="78">
        <v>7</v>
      </c>
      <c r="H820" s="116">
        <v>566</v>
      </c>
      <c r="I820" s="2"/>
    </row>
    <row r="821" spans="1:9" ht="19.8" customHeight="1" x14ac:dyDescent="0.3">
      <c r="A821" s="114">
        <v>46046</v>
      </c>
      <c r="B821" s="76" t="s">
        <v>121</v>
      </c>
      <c r="C821" s="77" t="s">
        <v>265</v>
      </c>
      <c r="D821" s="76" t="s">
        <v>260</v>
      </c>
      <c r="E821" s="115">
        <v>1.5486111111111109</v>
      </c>
      <c r="F821" s="76" t="s">
        <v>128</v>
      </c>
      <c r="G821" s="78">
        <v>9</v>
      </c>
      <c r="H821" s="116">
        <v>568</v>
      </c>
      <c r="I821" s="2"/>
    </row>
    <row r="822" spans="1:9" ht="19.8" customHeight="1" x14ac:dyDescent="0.3">
      <c r="A822" s="114">
        <v>46046</v>
      </c>
      <c r="B822" s="76" t="s">
        <v>262</v>
      </c>
      <c r="C822" s="77" t="s">
        <v>263</v>
      </c>
      <c r="D822" s="76" t="s">
        <v>260</v>
      </c>
      <c r="E822" s="115">
        <v>1.9722222222222221</v>
      </c>
      <c r="F822" s="76" t="s">
        <v>264</v>
      </c>
      <c r="G822" s="78">
        <v>9</v>
      </c>
      <c r="H822" s="116">
        <v>590</v>
      </c>
      <c r="I822" s="2"/>
    </row>
    <row r="823" spans="1:9" ht="19.8" customHeight="1" x14ac:dyDescent="0.3">
      <c r="A823" s="114">
        <v>46046</v>
      </c>
      <c r="B823" s="76" t="s">
        <v>57</v>
      </c>
      <c r="C823" s="77" t="s">
        <v>58</v>
      </c>
      <c r="D823" s="76" t="s">
        <v>260</v>
      </c>
      <c r="E823" s="115">
        <v>1.305555555555556</v>
      </c>
      <c r="F823" s="76" t="s">
        <v>63</v>
      </c>
      <c r="G823" s="78">
        <v>20</v>
      </c>
      <c r="H823" s="116">
        <v>659</v>
      </c>
      <c r="I823" s="2"/>
    </row>
    <row r="824" spans="1:9" ht="19.8" customHeight="1" x14ac:dyDescent="0.3">
      <c r="A824" s="114">
        <v>46046</v>
      </c>
      <c r="B824" s="76" t="s">
        <v>32</v>
      </c>
      <c r="C824" s="77" t="s">
        <v>33</v>
      </c>
      <c r="D824" s="76" t="s">
        <v>260</v>
      </c>
      <c r="E824" s="115">
        <v>1.836805555555556</v>
      </c>
      <c r="F824" s="76" t="s">
        <v>37</v>
      </c>
      <c r="G824" s="78">
        <v>4</v>
      </c>
      <c r="H824" s="116">
        <v>659</v>
      </c>
      <c r="I824" s="2"/>
    </row>
    <row r="825" spans="1:9" ht="19.8" customHeight="1" x14ac:dyDescent="0.3">
      <c r="A825" s="114">
        <v>46046</v>
      </c>
      <c r="B825" s="76" t="s">
        <v>32</v>
      </c>
      <c r="C825" s="77" t="s">
        <v>113</v>
      </c>
      <c r="D825" s="76" t="s">
        <v>260</v>
      </c>
      <c r="E825" s="115">
        <v>1.2013888888888891</v>
      </c>
      <c r="F825" s="76" t="s">
        <v>37</v>
      </c>
      <c r="G825" s="78">
        <v>4</v>
      </c>
      <c r="H825" s="116">
        <v>659</v>
      </c>
      <c r="I825" s="2"/>
    </row>
    <row r="826" spans="1:9" ht="19.8" customHeight="1" x14ac:dyDescent="0.3">
      <c r="A826" s="114">
        <v>46046</v>
      </c>
      <c r="B826" s="76" t="s">
        <v>32</v>
      </c>
      <c r="C826" s="77" t="s">
        <v>33</v>
      </c>
      <c r="D826" s="76" t="s">
        <v>260</v>
      </c>
      <c r="E826" s="115">
        <v>1.836805555555556</v>
      </c>
      <c r="F826" s="76" t="s">
        <v>39</v>
      </c>
      <c r="G826" s="78">
        <v>4</v>
      </c>
      <c r="H826" s="116">
        <v>749</v>
      </c>
      <c r="I826" s="2"/>
    </row>
    <row r="827" spans="1:9" ht="19.8" customHeight="1" x14ac:dyDescent="0.3">
      <c r="A827" s="114">
        <v>46046</v>
      </c>
      <c r="B827" s="76" t="s">
        <v>32</v>
      </c>
      <c r="C827" s="77" t="s">
        <v>113</v>
      </c>
      <c r="D827" s="76" t="s">
        <v>260</v>
      </c>
      <c r="E827" s="115">
        <v>1.2013888888888891</v>
      </c>
      <c r="F827" s="76" t="s">
        <v>39</v>
      </c>
      <c r="G827" s="78">
        <v>4</v>
      </c>
      <c r="H827" s="116">
        <v>749</v>
      </c>
      <c r="I827" s="2"/>
    </row>
    <row r="828" spans="1:9" ht="19.8" customHeight="1" x14ac:dyDescent="0.3">
      <c r="A828" s="114">
        <v>46046</v>
      </c>
      <c r="B828" s="76" t="s">
        <v>262</v>
      </c>
      <c r="C828" s="77" t="s">
        <v>263</v>
      </c>
      <c r="D828" s="76" t="s">
        <v>260</v>
      </c>
      <c r="E828" s="115">
        <v>1.9722222222222221</v>
      </c>
      <c r="F828" s="76" t="s">
        <v>65</v>
      </c>
      <c r="G828" s="78">
        <v>9</v>
      </c>
      <c r="H828" s="116">
        <v>795</v>
      </c>
      <c r="I828" s="2"/>
    </row>
    <row r="829" spans="1:9" ht="19.8" customHeight="1" x14ac:dyDescent="0.3">
      <c r="A829" s="114">
        <v>46046</v>
      </c>
      <c r="B829" s="76" t="s">
        <v>57</v>
      </c>
      <c r="C829" s="77" t="s">
        <v>58</v>
      </c>
      <c r="D829" s="76" t="s">
        <v>260</v>
      </c>
      <c r="E829" s="115">
        <v>1.305555555555556</v>
      </c>
      <c r="F829" s="76" t="s">
        <v>65</v>
      </c>
      <c r="G829" s="78">
        <v>20</v>
      </c>
      <c r="H829" s="116">
        <v>899</v>
      </c>
      <c r="I829" s="2"/>
    </row>
    <row r="830" spans="1:9" ht="19.8" customHeight="1" x14ac:dyDescent="0.3">
      <c r="A830" s="117">
        <v>46046</v>
      </c>
      <c r="B830" s="79" t="s">
        <v>77</v>
      </c>
      <c r="C830" s="80" t="s">
        <v>78</v>
      </c>
      <c r="D830" s="79" t="s">
        <v>260</v>
      </c>
      <c r="E830" s="118">
        <v>1.305555555555556</v>
      </c>
      <c r="F830" s="79" t="s">
        <v>79</v>
      </c>
      <c r="G830" s="81">
        <v>4</v>
      </c>
      <c r="H830" s="83" t="s">
        <v>143</v>
      </c>
      <c r="I830" s="2"/>
    </row>
    <row r="831" spans="1:9" ht="19.8" customHeight="1" x14ac:dyDescent="0.3">
      <c r="A831" s="72"/>
      <c r="B831" s="73"/>
      <c r="C831" s="73"/>
      <c r="D831" s="73"/>
      <c r="E831" s="73"/>
      <c r="F831" s="74" t="s">
        <v>259</v>
      </c>
      <c r="G831" s="73"/>
      <c r="H831" s="75"/>
      <c r="I831" s="2"/>
    </row>
    <row r="832" spans="1:9" ht="19.8" customHeight="1" x14ac:dyDescent="0.3">
      <c r="A832" s="114">
        <v>46047</v>
      </c>
      <c r="B832" s="76" t="s">
        <v>41</v>
      </c>
      <c r="C832" s="77" t="s">
        <v>71</v>
      </c>
      <c r="D832" s="76" t="s">
        <v>260</v>
      </c>
      <c r="E832" s="115">
        <v>1.1701388888888891</v>
      </c>
      <c r="F832" s="76" t="s">
        <v>86</v>
      </c>
      <c r="G832" s="78">
        <v>9</v>
      </c>
      <c r="H832" s="116">
        <v>487</v>
      </c>
      <c r="I832" s="2"/>
    </row>
    <row r="833" spans="1:9" ht="19.8" customHeight="1" x14ac:dyDescent="0.3">
      <c r="A833" s="114">
        <v>46047</v>
      </c>
      <c r="B833" s="76" t="s">
        <v>121</v>
      </c>
      <c r="C833" s="77" t="s">
        <v>140</v>
      </c>
      <c r="D833" s="76" t="s">
        <v>260</v>
      </c>
      <c r="E833" s="115">
        <v>1.2152777777777779</v>
      </c>
      <c r="F833" s="76" t="s">
        <v>128</v>
      </c>
      <c r="G833" s="78">
        <v>2</v>
      </c>
      <c r="H833" s="116">
        <v>500</v>
      </c>
      <c r="I833" s="2"/>
    </row>
    <row r="834" spans="1:9" ht="19.8" customHeight="1" x14ac:dyDescent="0.3">
      <c r="A834" s="114">
        <v>46047</v>
      </c>
      <c r="B834" s="76" t="s">
        <v>57</v>
      </c>
      <c r="C834" s="77" t="s">
        <v>58</v>
      </c>
      <c r="D834" s="76" t="s">
        <v>260</v>
      </c>
      <c r="E834" s="115">
        <v>1.305555555555556</v>
      </c>
      <c r="F834" s="76" t="s">
        <v>60</v>
      </c>
      <c r="G834" s="78">
        <v>20</v>
      </c>
      <c r="H834" s="116">
        <v>509</v>
      </c>
      <c r="I834" s="2"/>
    </row>
    <row r="835" spans="1:9" ht="19.8" customHeight="1" x14ac:dyDescent="0.3">
      <c r="A835" s="114">
        <v>46047</v>
      </c>
      <c r="B835" s="76" t="s">
        <v>41</v>
      </c>
      <c r="C835" s="77" t="s">
        <v>42</v>
      </c>
      <c r="D835" s="76" t="s">
        <v>260</v>
      </c>
      <c r="E835" s="115">
        <v>1.864583333333333</v>
      </c>
      <c r="F835" s="76" t="s">
        <v>86</v>
      </c>
      <c r="G835" s="78">
        <v>9</v>
      </c>
      <c r="H835" s="116">
        <v>517</v>
      </c>
      <c r="I835" s="2"/>
    </row>
    <row r="836" spans="1:9" ht="19.8" customHeight="1" x14ac:dyDescent="0.3">
      <c r="A836" s="114">
        <v>46047</v>
      </c>
      <c r="B836" s="76" t="s">
        <v>41</v>
      </c>
      <c r="C836" s="77" t="s">
        <v>68</v>
      </c>
      <c r="D836" s="76" t="s">
        <v>260</v>
      </c>
      <c r="E836" s="115">
        <v>1.5277777777777779</v>
      </c>
      <c r="F836" s="76" t="s">
        <v>86</v>
      </c>
      <c r="G836" s="78">
        <v>9</v>
      </c>
      <c r="H836" s="116">
        <v>517</v>
      </c>
      <c r="I836" s="2"/>
    </row>
    <row r="837" spans="1:9" ht="19.8" customHeight="1" x14ac:dyDescent="0.3">
      <c r="A837" s="114">
        <v>46047</v>
      </c>
      <c r="B837" s="76" t="s">
        <v>32</v>
      </c>
      <c r="C837" s="77" t="s">
        <v>33</v>
      </c>
      <c r="D837" s="76" t="s">
        <v>260</v>
      </c>
      <c r="E837" s="115">
        <v>1.836805555555556</v>
      </c>
      <c r="F837" s="76" t="s">
        <v>34</v>
      </c>
      <c r="G837" s="78">
        <v>2</v>
      </c>
      <c r="H837" s="116">
        <v>559</v>
      </c>
      <c r="I837" s="2"/>
    </row>
    <row r="838" spans="1:9" ht="19.8" customHeight="1" x14ac:dyDescent="0.3">
      <c r="A838" s="114">
        <v>46047</v>
      </c>
      <c r="B838" s="76" t="s">
        <v>46</v>
      </c>
      <c r="C838" s="77" t="s">
        <v>266</v>
      </c>
      <c r="D838" s="76" t="s">
        <v>260</v>
      </c>
      <c r="E838" s="115">
        <v>1.958333333333333</v>
      </c>
      <c r="F838" s="76" t="s">
        <v>128</v>
      </c>
      <c r="G838" s="78">
        <v>1</v>
      </c>
      <c r="H838" s="116">
        <v>563</v>
      </c>
      <c r="I838" s="2"/>
    </row>
    <row r="839" spans="1:9" ht="19.8" customHeight="1" x14ac:dyDescent="0.3">
      <c r="A839" s="114">
        <v>46047</v>
      </c>
      <c r="B839" s="76" t="s">
        <v>57</v>
      </c>
      <c r="C839" s="77" t="s">
        <v>58</v>
      </c>
      <c r="D839" s="76" t="s">
        <v>260</v>
      </c>
      <c r="E839" s="115">
        <v>1.305555555555556</v>
      </c>
      <c r="F839" s="76" t="s">
        <v>63</v>
      </c>
      <c r="G839" s="78">
        <v>20</v>
      </c>
      <c r="H839" s="116">
        <v>659</v>
      </c>
      <c r="I839" s="2"/>
    </row>
    <row r="840" spans="1:9" ht="19.8" customHeight="1" x14ac:dyDescent="0.3">
      <c r="A840" s="114">
        <v>46047</v>
      </c>
      <c r="B840" s="76" t="s">
        <v>32</v>
      </c>
      <c r="C840" s="77" t="s">
        <v>33</v>
      </c>
      <c r="D840" s="76" t="s">
        <v>260</v>
      </c>
      <c r="E840" s="115">
        <v>1.836805555555556</v>
      </c>
      <c r="F840" s="76" t="s">
        <v>37</v>
      </c>
      <c r="G840" s="78">
        <v>2</v>
      </c>
      <c r="H840" s="116">
        <v>659</v>
      </c>
      <c r="I840" s="2"/>
    </row>
    <row r="841" spans="1:9" ht="19.8" customHeight="1" x14ac:dyDescent="0.3">
      <c r="A841" s="114">
        <v>46047</v>
      </c>
      <c r="B841" s="76" t="s">
        <v>32</v>
      </c>
      <c r="C841" s="77" t="s">
        <v>33</v>
      </c>
      <c r="D841" s="76" t="s">
        <v>260</v>
      </c>
      <c r="E841" s="115">
        <v>1.836805555555556</v>
      </c>
      <c r="F841" s="76" t="s">
        <v>39</v>
      </c>
      <c r="G841" s="78">
        <v>2</v>
      </c>
      <c r="H841" s="116">
        <v>749</v>
      </c>
      <c r="I841" s="2"/>
    </row>
    <row r="842" spans="1:9" ht="19.8" customHeight="1" x14ac:dyDescent="0.3">
      <c r="A842" s="114">
        <v>46047</v>
      </c>
      <c r="B842" s="76" t="s">
        <v>57</v>
      </c>
      <c r="C842" s="77" t="s">
        <v>58</v>
      </c>
      <c r="D842" s="76" t="s">
        <v>260</v>
      </c>
      <c r="E842" s="115">
        <v>1.305555555555556</v>
      </c>
      <c r="F842" s="76" t="s">
        <v>65</v>
      </c>
      <c r="G842" s="78">
        <v>20</v>
      </c>
      <c r="H842" s="116">
        <v>899</v>
      </c>
      <c r="I842" s="2"/>
    </row>
    <row r="843" spans="1:9" ht="19.8" customHeight="1" x14ac:dyDescent="0.3">
      <c r="A843" s="117">
        <v>46047</v>
      </c>
      <c r="B843" s="79" t="s">
        <v>77</v>
      </c>
      <c r="C843" s="80" t="s">
        <v>78</v>
      </c>
      <c r="D843" s="79" t="s">
        <v>260</v>
      </c>
      <c r="E843" s="118">
        <v>1.305555555555556</v>
      </c>
      <c r="F843" s="79" t="s">
        <v>79</v>
      </c>
      <c r="G843" s="81">
        <v>4</v>
      </c>
      <c r="H843" s="83" t="s">
        <v>143</v>
      </c>
      <c r="I843" s="2"/>
    </row>
    <row r="844" spans="1:9" ht="19.8" customHeight="1" x14ac:dyDescent="0.3">
      <c r="A844" s="120">
        <v>46048</v>
      </c>
      <c r="B844" s="69" t="s">
        <v>26</v>
      </c>
      <c r="C844" s="70" t="s">
        <v>27</v>
      </c>
      <c r="D844" s="69" t="s">
        <v>1</v>
      </c>
      <c r="E844" s="121">
        <v>1.510416666666667</v>
      </c>
      <c r="F844" s="69" t="s">
        <v>128</v>
      </c>
      <c r="G844" s="84">
        <v>2</v>
      </c>
      <c r="H844" s="122">
        <v>636</v>
      </c>
      <c r="I844" s="2"/>
    </row>
    <row r="845" spans="1:9" ht="19.8" customHeight="1" x14ac:dyDescent="0.3">
      <c r="A845" s="72"/>
      <c r="B845" s="73"/>
      <c r="C845" s="73"/>
      <c r="D845" s="73"/>
      <c r="E845" s="73"/>
      <c r="F845" s="74" t="s">
        <v>259</v>
      </c>
      <c r="G845" s="73"/>
      <c r="H845" s="75"/>
      <c r="I845" s="2"/>
    </row>
    <row r="846" spans="1:9" ht="19.8" customHeight="1" x14ac:dyDescent="0.3">
      <c r="A846" s="114">
        <v>46048</v>
      </c>
      <c r="B846" s="76" t="s">
        <v>41</v>
      </c>
      <c r="C846" s="77" t="s">
        <v>71</v>
      </c>
      <c r="D846" s="76" t="s">
        <v>260</v>
      </c>
      <c r="E846" s="115">
        <v>1.1701388888888891</v>
      </c>
      <c r="F846" s="76" t="s">
        <v>86</v>
      </c>
      <c r="G846" s="78">
        <v>9</v>
      </c>
      <c r="H846" s="116">
        <v>487</v>
      </c>
      <c r="I846" s="2"/>
    </row>
    <row r="847" spans="1:9" ht="19.8" customHeight="1" x14ac:dyDescent="0.3">
      <c r="A847" s="114">
        <v>46048</v>
      </c>
      <c r="B847" s="76" t="s">
        <v>121</v>
      </c>
      <c r="C847" s="77" t="s">
        <v>122</v>
      </c>
      <c r="D847" s="76" t="s">
        <v>260</v>
      </c>
      <c r="E847" s="115">
        <v>1.1284722222222221</v>
      </c>
      <c r="F847" s="76" t="s">
        <v>128</v>
      </c>
      <c r="G847" s="78">
        <v>9</v>
      </c>
      <c r="H847" s="116">
        <v>500</v>
      </c>
      <c r="I847" s="2"/>
    </row>
    <row r="848" spans="1:9" ht="19.8" customHeight="1" x14ac:dyDescent="0.3">
      <c r="A848" s="114">
        <v>46048</v>
      </c>
      <c r="B848" s="76" t="s">
        <v>57</v>
      </c>
      <c r="C848" s="77" t="s">
        <v>58</v>
      </c>
      <c r="D848" s="76" t="s">
        <v>260</v>
      </c>
      <c r="E848" s="115">
        <v>1.305555555555556</v>
      </c>
      <c r="F848" s="76" t="s">
        <v>60</v>
      </c>
      <c r="G848" s="78">
        <v>20</v>
      </c>
      <c r="H848" s="116">
        <v>509</v>
      </c>
      <c r="I848" s="2"/>
    </row>
    <row r="849" spans="1:9" ht="19.8" customHeight="1" x14ac:dyDescent="0.3">
      <c r="A849" s="114">
        <v>46048</v>
      </c>
      <c r="B849" s="76" t="s">
        <v>41</v>
      </c>
      <c r="C849" s="77" t="s">
        <v>42</v>
      </c>
      <c r="D849" s="76" t="s">
        <v>260</v>
      </c>
      <c r="E849" s="115">
        <v>1.864583333333333</v>
      </c>
      <c r="F849" s="76" t="s">
        <v>86</v>
      </c>
      <c r="G849" s="78">
        <v>9</v>
      </c>
      <c r="H849" s="116">
        <v>517</v>
      </c>
      <c r="I849" s="2"/>
    </row>
    <row r="850" spans="1:9" ht="19.8" customHeight="1" x14ac:dyDescent="0.3">
      <c r="A850" s="114">
        <v>46048</v>
      </c>
      <c r="B850" s="76" t="s">
        <v>41</v>
      </c>
      <c r="C850" s="77" t="s">
        <v>68</v>
      </c>
      <c r="D850" s="76" t="s">
        <v>260</v>
      </c>
      <c r="E850" s="115">
        <v>1.5277777777777779</v>
      </c>
      <c r="F850" s="76" t="s">
        <v>86</v>
      </c>
      <c r="G850" s="78">
        <v>9</v>
      </c>
      <c r="H850" s="116">
        <v>517</v>
      </c>
      <c r="I850" s="2"/>
    </row>
    <row r="851" spans="1:9" ht="19.8" customHeight="1" x14ac:dyDescent="0.3">
      <c r="A851" s="114">
        <v>46048</v>
      </c>
      <c r="B851" s="76" t="s">
        <v>32</v>
      </c>
      <c r="C851" s="77" t="s">
        <v>33</v>
      </c>
      <c r="D851" s="76" t="s">
        <v>260</v>
      </c>
      <c r="E851" s="115">
        <v>1.836805555555556</v>
      </c>
      <c r="F851" s="76" t="s">
        <v>34</v>
      </c>
      <c r="G851" s="78">
        <v>5</v>
      </c>
      <c r="H851" s="116">
        <v>559</v>
      </c>
      <c r="I851" s="2"/>
    </row>
    <row r="852" spans="1:9" ht="19.8" customHeight="1" x14ac:dyDescent="0.3">
      <c r="A852" s="114">
        <v>46048</v>
      </c>
      <c r="B852" s="76" t="s">
        <v>32</v>
      </c>
      <c r="C852" s="77" t="s">
        <v>113</v>
      </c>
      <c r="D852" s="76" t="s">
        <v>260</v>
      </c>
      <c r="E852" s="115">
        <v>1.2013888888888891</v>
      </c>
      <c r="F852" s="76" t="s">
        <v>34</v>
      </c>
      <c r="G852" s="78">
        <v>1</v>
      </c>
      <c r="H852" s="116">
        <v>559</v>
      </c>
      <c r="I852" s="2"/>
    </row>
    <row r="853" spans="1:9" ht="19.8" customHeight="1" x14ac:dyDescent="0.3">
      <c r="A853" s="114">
        <v>46048</v>
      </c>
      <c r="B853" s="76" t="s">
        <v>46</v>
      </c>
      <c r="C853" s="77" t="s">
        <v>47</v>
      </c>
      <c r="D853" s="76" t="s">
        <v>260</v>
      </c>
      <c r="E853" s="115">
        <v>1.958333333333333</v>
      </c>
      <c r="F853" s="76" t="s">
        <v>128</v>
      </c>
      <c r="G853" s="78">
        <v>8</v>
      </c>
      <c r="H853" s="116">
        <v>563</v>
      </c>
      <c r="I853" s="2"/>
    </row>
    <row r="854" spans="1:9" ht="19.8" customHeight="1" x14ac:dyDescent="0.3">
      <c r="A854" s="114">
        <v>46048</v>
      </c>
      <c r="B854" s="76" t="s">
        <v>57</v>
      </c>
      <c r="C854" s="77" t="s">
        <v>58</v>
      </c>
      <c r="D854" s="76" t="s">
        <v>260</v>
      </c>
      <c r="E854" s="115">
        <v>1.305555555555556</v>
      </c>
      <c r="F854" s="76" t="s">
        <v>63</v>
      </c>
      <c r="G854" s="78">
        <v>20</v>
      </c>
      <c r="H854" s="116">
        <v>659</v>
      </c>
      <c r="I854" s="2"/>
    </row>
    <row r="855" spans="1:9" ht="19.8" customHeight="1" x14ac:dyDescent="0.3">
      <c r="A855" s="114">
        <v>46048</v>
      </c>
      <c r="B855" s="76" t="s">
        <v>32</v>
      </c>
      <c r="C855" s="77" t="s">
        <v>33</v>
      </c>
      <c r="D855" s="76" t="s">
        <v>260</v>
      </c>
      <c r="E855" s="115">
        <v>1.836805555555556</v>
      </c>
      <c r="F855" s="76" t="s">
        <v>37</v>
      </c>
      <c r="G855" s="78">
        <v>5</v>
      </c>
      <c r="H855" s="116">
        <v>659</v>
      </c>
      <c r="I855" s="2"/>
    </row>
    <row r="856" spans="1:9" ht="19.8" customHeight="1" x14ac:dyDescent="0.3">
      <c r="A856" s="114">
        <v>46048</v>
      </c>
      <c r="B856" s="76" t="s">
        <v>32</v>
      </c>
      <c r="C856" s="77" t="s">
        <v>113</v>
      </c>
      <c r="D856" s="76" t="s">
        <v>260</v>
      </c>
      <c r="E856" s="115">
        <v>1.2013888888888891</v>
      </c>
      <c r="F856" s="76" t="s">
        <v>37</v>
      </c>
      <c r="G856" s="78">
        <v>1</v>
      </c>
      <c r="H856" s="116">
        <v>659</v>
      </c>
      <c r="I856" s="2"/>
    </row>
    <row r="857" spans="1:9" ht="19.8" customHeight="1" x14ac:dyDescent="0.3">
      <c r="A857" s="114">
        <v>46048</v>
      </c>
      <c r="B857" s="76" t="s">
        <v>32</v>
      </c>
      <c r="C857" s="77" t="s">
        <v>33</v>
      </c>
      <c r="D857" s="76" t="s">
        <v>260</v>
      </c>
      <c r="E857" s="115">
        <v>1.836805555555556</v>
      </c>
      <c r="F857" s="76" t="s">
        <v>39</v>
      </c>
      <c r="G857" s="78">
        <v>5</v>
      </c>
      <c r="H857" s="116">
        <v>749</v>
      </c>
      <c r="I857" s="2"/>
    </row>
    <row r="858" spans="1:9" ht="19.8" customHeight="1" x14ac:dyDescent="0.3">
      <c r="A858" s="114">
        <v>46048</v>
      </c>
      <c r="B858" s="76" t="s">
        <v>32</v>
      </c>
      <c r="C858" s="77" t="s">
        <v>113</v>
      </c>
      <c r="D858" s="76" t="s">
        <v>260</v>
      </c>
      <c r="E858" s="115">
        <v>1.2013888888888891</v>
      </c>
      <c r="F858" s="76" t="s">
        <v>39</v>
      </c>
      <c r="G858" s="78">
        <v>1</v>
      </c>
      <c r="H858" s="116">
        <v>749</v>
      </c>
      <c r="I858" s="2"/>
    </row>
    <row r="859" spans="1:9" ht="19.8" customHeight="1" x14ac:dyDescent="0.3">
      <c r="A859" s="114">
        <v>46048</v>
      </c>
      <c r="B859" s="76" t="s">
        <v>57</v>
      </c>
      <c r="C859" s="77" t="s">
        <v>58</v>
      </c>
      <c r="D859" s="76" t="s">
        <v>260</v>
      </c>
      <c r="E859" s="115">
        <v>1.305555555555556</v>
      </c>
      <c r="F859" s="76" t="s">
        <v>65</v>
      </c>
      <c r="G859" s="78">
        <v>20</v>
      </c>
      <c r="H859" s="116">
        <v>899</v>
      </c>
      <c r="I859" s="2"/>
    </row>
    <row r="860" spans="1:9" ht="19.8" customHeight="1" x14ac:dyDescent="0.3">
      <c r="A860" s="117">
        <v>46048</v>
      </c>
      <c r="B860" s="79" t="s">
        <v>77</v>
      </c>
      <c r="C860" s="80" t="s">
        <v>78</v>
      </c>
      <c r="D860" s="79" t="s">
        <v>260</v>
      </c>
      <c r="E860" s="118">
        <v>1.305555555555556</v>
      </c>
      <c r="F860" s="79" t="s">
        <v>79</v>
      </c>
      <c r="G860" s="81">
        <v>4</v>
      </c>
      <c r="H860" s="83" t="s">
        <v>143</v>
      </c>
      <c r="I860" s="2"/>
    </row>
    <row r="861" spans="1:9" ht="19.8" customHeight="1" x14ac:dyDescent="0.3">
      <c r="A861" s="72"/>
      <c r="B861" s="73"/>
      <c r="C861" s="73"/>
      <c r="D861" s="73"/>
      <c r="E861" s="73"/>
      <c r="F861" s="74" t="s">
        <v>259</v>
      </c>
      <c r="G861" s="73"/>
      <c r="H861" s="75"/>
      <c r="I861" s="2"/>
    </row>
    <row r="862" spans="1:9" ht="19.8" customHeight="1" x14ac:dyDescent="0.3">
      <c r="A862" s="114">
        <v>46049</v>
      </c>
      <c r="B862" s="76" t="s">
        <v>41</v>
      </c>
      <c r="C862" s="77" t="s">
        <v>71</v>
      </c>
      <c r="D862" s="76" t="s">
        <v>260</v>
      </c>
      <c r="E862" s="115">
        <v>1.1701388888888891</v>
      </c>
      <c r="F862" s="76" t="s">
        <v>86</v>
      </c>
      <c r="G862" s="78">
        <v>9</v>
      </c>
      <c r="H862" s="116">
        <v>487</v>
      </c>
      <c r="I862" s="2"/>
    </row>
    <row r="863" spans="1:9" ht="19.8" customHeight="1" x14ac:dyDescent="0.3">
      <c r="A863" s="114">
        <v>46049</v>
      </c>
      <c r="B863" s="76" t="s">
        <v>121</v>
      </c>
      <c r="C863" s="77" t="s">
        <v>140</v>
      </c>
      <c r="D863" s="76" t="s">
        <v>260</v>
      </c>
      <c r="E863" s="115">
        <v>1.2152777777777779</v>
      </c>
      <c r="F863" s="76" t="s">
        <v>128</v>
      </c>
      <c r="G863" s="78">
        <v>4</v>
      </c>
      <c r="H863" s="116">
        <v>500</v>
      </c>
      <c r="I863" s="2"/>
    </row>
    <row r="864" spans="1:9" ht="19.8" customHeight="1" x14ac:dyDescent="0.3">
      <c r="A864" s="114">
        <v>46049</v>
      </c>
      <c r="B864" s="76" t="s">
        <v>26</v>
      </c>
      <c r="C864" s="77" t="s">
        <v>74</v>
      </c>
      <c r="D864" s="76" t="s">
        <v>260</v>
      </c>
      <c r="E864" s="115">
        <v>1.270833333333333</v>
      </c>
      <c r="F864" s="76" t="s">
        <v>128</v>
      </c>
      <c r="G864" s="78">
        <v>1</v>
      </c>
      <c r="H864" s="116">
        <v>506</v>
      </c>
      <c r="I864" s="2"/>
    </row>
    <row r="865" spans="1:9" ht="19.8" customHeight="1" x14ac:dyDescent="0.3">
      <c r="A865" s="114">
        <v>46049</v>
      </c>
      <c r="B865" s="76" t="s">
        <v>57</v>
      </c>
      <c r="C865" s="77" t="s">
        <v>58</v>
      </c>
      <c r="D865" s="76" t="s">
        <v>260</v>
      </c>
      <c r="E865" s="115">
        <v>1.305555555555556</v>
      </c>
      <c r="F865" s="76" t="s">
        <v>60</v>
      </c>
      <c r="G865" s="78">
        <v>20</v>
      </c>
      <c r="H865" s="116">
        <v>509</v>
      </c>
      <c r="I865" s="2"/>
    </row>
    <row r="866" spans="1:9" ht="19.8" customHeight="1" x14ac:dyDescent="0.3">
      <c r="A866" s="114">
        <v>46049</v>
      </c>
      <c r="B866" s="76" t="s">
        <v>41</v>
      </c>
      <c r="C866" s="77" t="s">
        <v>42</v>
      </c>
      <c r="D866" s="76" t="s">
        <v>260</v>
      </c>
      <c r="E866" s="115">
        <v>1.864583333333333</v>
      </c>
      <c r="F866" s="76" t="s">
        <v>86</v>
      </c>
      <c r="G866" s="78">
        <v>9</v>
      </c>
      <c r="H866" s="116">
        <v>517</v>
      </c>
      <c r="I866" s="2"/>
    </row>
    <row r="867" spans="1:9" ht="19.8" customHeight="1" x14ac:dyDescent="0.3">
      <c r="A867" s="114">
        <v>46049</v>
      </c>
      <c r="B867" s="76" t="s">
        <v>41</v>
      </c>
      <c r="C867" s="77" t="s">
        <v>68</v>
      </c>
      <c r="D867" s="76" t="s">
        <v>260</v>
      </c>
      <c r="E867" s="115">
        <v>1.5277777777777779</v>
      </c>
      <c r="F867" s="76" t="s">
        <v>86</v>
      </c>
      <c r="G867" s="78">
        <v>9</v>
      </c>
      <c r="H867" s="116">
        <v>517</v>
      </c>
      <c r="I867" s="2"/>
    </row>
    <row r="868" spans="1:9" ht="19.8" customHeight="1" x14ac:dyDescent="0.3">
      <c r="A868" s="114">
        <v>46049</v>
      </c>
      <c r="B868" s="76" t="s">
        <v>32</v>
      </c>
      <c r="C868" s="77" t="s">
        <v>33</v>
      </c>
      <c r="D868" s="76" t="s">
        <v>260</v>
      </c>
      <c r="E868" s="115">
        <v>1.836805555555556</v>
      </c>
      <c r="F868" s="76" t="s">
        <v>34</v>
      </c>
      <c r="G868" s="78">
        <v>2</v>
      </c>
      <c r="H868" s="116">
        <v>559</v>
      </c>
      <c r="I868" s="2"/>
    </row>
    <row r="869" spans="1:9" ht="19.8" customHeight="1" x14ac:dyDescent="0.3">
      <c r="A869" s="114">
        <v>46049</v>
      </c>
      <c r="B869" s="76" t="s">
        <v>32</v>
      </c>
      <c r="C869" s="77" t="s">
        <v>113</v>
      </c>
      <c r="D869" s="76" t="s">
        <v>260</v>
      </c>
      <c r="E869" s="115">
        <v>1.2013888888888891</v>
      </c>
      <c r="F869" s="76" t="s">
        <v>34</v>
      </c>
      <c r="G869" s="78">
        <v>3</v>
      </c>
      <c r="H869" s="116">
        <v>559</v>
      </c>
      <c r="I869" s="2"/>
    </row>
    <row r="870" spans="1:9" ht="19.8" customHeight="1" x14ac:dyDescent="0.3">
      <c r="A870" s="114">
        <v>46049</v>
      </c>
      <c r="B870" s="76" t="s">
        <v>46</v>
      </c>
      <c r="C870" s="77" t="s">
        <v>261</v>
      </c>
      <c r="D870" s="76" t="s">
        <v>260</v>
      </c>
      <c r="E870" s="115">
        <v>1.958333333333333</v>
      </c>
      <c r="F870" s="76" t="s">
        <v>128</v>
      </c>
      <c r="G870" s="78">
        <v>4</v>
      </c>
      <c r="H870" s="116">
        <v>563</v>
      </c>
      <c r="I870" s="2"/>
    </row>
    <row r="871" spans="1:9" ht="19.8" customHeight="1" x14ac:dyDescent="0.3">
      <c r="A871" s="114">
        <v>46049</v>
      </c>
      <c r="B871" s="76" t="s">
        <v>57</v>
      </c>
      <c r="C871" s="77" t="s">
        <v>58</v>
      </c>
      <c r="D871" s="76" t="s">
        <v>260</v>
      </c>
      <c r="E871" s="115">
        <v>1.305555555555556</v>
      </c>
      <c r="F871" s="76" t="s">
        <v>63</v>
      </c>
      <c r="G871" s="78">
        <v>20</v>
      </c>
      <c r="H871" s="116">
        <v>659</v>
      </c>
      <c r="I871" s="2"/>
    </row>
    <row r="872" spans="1:9" ht="19.8" customHeight="1" x14ac:dyDescent="0.3">
      <c r="A872" s="114">
        <v>46049</v>
      </c>
      <c r="B872" s="76" t="s">
        <v>32</v>
      </c>
      <c r="C872" s="77" t="s">
        <v>33</v>
      </c>
      <c r="D872" s="76" t="s">
        <v>260</v>
      </c>
      <c r="E872" s="115">
        <v>1.836805555555556</v>
      </c>
      <c r="F872" s="76" t="s">
        <v>37</v>
      </c>
      <c r="G872" s="78">
        <v>2</v>
      </c>
      <c r="H872" s="116">
        <v>659</v>
      </c>
      <c r="I872" s="2"/>
    </row>
    <row r="873" spans="1:9" ht="19.8" customHeight="1" x14ac:dyDescent="0.3">
      <c r="A873" s="114">
        <v>46049</v>
      </c>
      <c r="B873" s="76" t="s">
        <v>32</v>
      </c>
      <c r="C873" s="77" t="s">
        <v>113</v>
      </c>
      <c r="D873" s="76" t="s">
        <v>260</v>
      </c>
      <c r="E873" s="115">
        <v>1.2013888888888891</v>
      </c>
      <c r="F873" s="76" t="s">
        <v>37</v>
      </c>
      <c r="G873" s="78">
        <v>3</v>
      </c>
      <c r="H873" s="116">
        <v>659</v>
      </c>
      <c r="I873" s="2"/>
    </row>
    <row r="874" spans="1:9" ht="19.8" customHeight="1" x14ac:dyDescent="0.3">
      <c r="A874" s="114">
        <v>46049</v>
      </c>
      <c r="B874" s="76" t="s">
        <v>32</v>
      </c>
      <c r="C874" s="77" t="s">
        <v>33</v>
      </c>
      <c r="D874" s="76" t="s">
        <v>260</v>
      </c>
      <c r="E874" s="115">
        <v>1.836805555555556</v>
      </c>
      <c r="F874" s="76" t="s">
        <v>39</v>
      </c>
      <c r="G874" s="78">
        <v>2</v>
      </c>
      <c r="H874" s="116">
        <v>749</v>
      </c>
      <c r="I874" s="2"/>
    </row>
    <row r="875" spans="1:9" ht="19.8" customHeight="1" x14ac:dyDescent="0.3">
      <c r="A875" s="114">
        <v>46049</v>
      </c>
      <c r="B875" s="76" t="s">
        <v>32</v>
      </c>
      <c r="C875" s="77" t="s">
        <v>113</v>
      </c>
      <c r="D875" s="76" t="s">
        <v>260</v>
      </c>
      <c r="E875" s="115">
        <v>1.2013888888888891</v>
      </c>
      <c r="F875" s="76" t="s">
        <v>39</v>
      </c>
      <c r="G875" s="78">
        <v>3</v>
      </c>
      <c r="H875" s="116">
        <v>749</v>
      </c>
      <c r="I875" s="2"/>
    </row>
    <row r="876" spans="1:9" ht="19.8" customHeight="1" x14ac:dyDescent="0.3">
      <c r="A876" s="114">
        <v>46049</v>
      </c>
      <c r="B876" s="76" t="s">
        <v>57</v>
      </c>
      <c r="C876" s="77" t="s">
        <v>58</v>
      </c>
      <c r="D876" s="76" t="s">
        <v>260</v>
      </c>
      <c r="E876" s="115">
        <v>1.305555555555556</v>
      </c>
      <c r="F876" s="76" t="s">
        <v>65</v>
      </c>
      <c r="G876" s="78">
        <v>20</v>
      </c>
      <c r="H876" s="116">
        <v>899</v>
      </c>
      <c r="I876" s="2"/>
    </row>
    <row r="877" spans="1:9" ht="19.8" customHeight="1" x14ac:dyDescent="0.3">
      <c r="A877" s="117">
        <v>46049</v>
      </c>
      <c r="B877" s="79" t="s">
        <v>77</v>
      </c>
      <c r="C877" s="80" t="s">
        <v>78</v>
      </c>
      <c r="D877" s="79" t="s">
        <v>260</v>
      </c>
      <c r="E877" s="118">
        <v>1.305555555555556</v>
      </c>
      <c r="F877" s="79" t="s">
        <v>79</v>
      </c>
      <c r="G877" s="81">
        <v>4</v>
      </c>
      <c r="H877" s="83" t="s">
        <v>143</v>
      </c>
      <c r="I877" s="2"/>
    </row>
    <row r="878" spans="1:9" ht="19.8" customHeight="1" x14ac:dyDescent="0.3">
      <c r="A878" s="72"/>
      <c r="B878" s="73"/>
      <c r="C878" s="73"/>
      <c r="D878" s="73"/>
      <c r="E878" s="73"/>
      <c r="F878" s="74" t="s">
        <v>259</v>
      </c>
      <c r="G878" s="73"/>
      <c r="H878" s="75"/>
      <c r="I878" s="2"/>
    </row>
    <row r="879" spans="1:9" ht="19.8" customHeight="1" x14ac:dyDescent="0.3">
      <c r="A879" s="114">
        <v>46050</v>
      </c>
      <c r="B879" s="76" t="s">
        <v>41</v>
      </c>
      <c r="C879" s="77" t="s">
        <v>71</v>
      </c>
      <c r="D879" s="76" t="s">
        <v>260</v>
      </c>
      <c r="E879" s="115">
        <v>1.1701388888888891</v>
      </c>
      <c r="F879" s="76" t="s">
        <v>86</v>
      </c>
      <c r="G879" s="78">
        <v>9</v>
      </c>
      <c r="H879" s="116">
        <v>487</v>
      </c>
      <c r="I879" s="2"/>
    </row>
    <row r="880" spans="1:9" ht="19.8" customHeight="1" x14ac:dyDescent="0.3">
      <c r="A880" s="114">
        <v>46050</v>
      </c>
      <c r="B880" s="76" t="s">
        <v>121</v>
      </c>
      <c r="C880" s="77" t="s">
        <v>265</v>
      </c>
      <c r="D880" s="76" t="s">
        <v>260</v>
      </c>
      <c r="E880" s="115">
        <v>1.0902777777777779</v>
      </c>
      <c r="F880" s="76" t="s">
        <v>128</v>
      </c>
      <c r="G880" s="78">
        <v>3</v>
      </c>
      <c r="H880" s="116">
        <v>500</v>
      </c>
      <c r="I880" s="2"/>
    </row>
    <row r="881" spans="1:9" ht="19.8" customHeight="1" x14ac:dyDescent="0.3">
      <c r="A881" s="114">
        <v>46050</v>
      </c>
      <c r="B881" s="76" t="s">
        <v>262</v>
      </c>
      <c r="C881" s="77" t="s">
        <v>263</v>
      </c>
      <c r="D881" s="76" t="s">
        <v>260</v>
      </c>
      <c r="E881" s="115">
        <v>1.9722222222222221</v>
      </c>
      <c r="F881" s="76" t="s">
        <v>264</v>
      </c>
      <c r="G881" s="78">
        <v>9</v>
      </c>
      <c r="H881" s="116">
        <v>505</v>
      </c>
      <c r="I881" s="2"/>
    </row>
    <row r="882" spans="1:9" ht="19.8" customHeight="1" x14ac:dyDescent="0.3">
      <c r="A882" s="114">
        <v>46050</v>
      </c>
      <c r="B882" s="76" t="s">
        <v>57</v>
      </c>
      <c r="C882" s="77" t="s">
        <v>58</v>
      </c>
      <c r="D882" s="76" t="s">
        <v>260</v>
      </c>
      <c r="E882" s="115">
        <v>1.305555555555556</v>
      </c>
      <c r="F882" s="76" t="s">
        <v>60</v>
      </c>
      <c r="G882" s="78">
        <v>20</v>
      </c>
      <c r="H882" s="116">
        <v>509</v>
      </c>
      <c r="I882" s="2"/>
    </row>
    <row r="883" spans="1:9" ht="19.8" customHeight="1" x14ac:dyDescent="0.3">
      <c r="A883" s="114">
        <v>46050</v>
      </c>
      <c r="B883" s="76" t="s">
        <v>41</v>
      </c>
      <c r="C883" s="77" t="s">
        <v>42</v>
      </c>
      <c r="D883" s="76" t="s">
        <v>260</v>
      </c>
      <c r="E883" s="115">
        <v>1.864583333333333</v>
      </c>
      <c r="F883" s="76" t="s">
        <v>86</v>
      </c>
      <c r="G883" s="78">
        <v>9</v>
      </c>
      <c r="H883" s="116">
        <v>517</v>
      </c>
      <c r="I883" s="2"/>
    </row>
    <row r="884" spans="1:9" ht="19.8" customHeight="1" x14ac:dyDescent="0.3">
      <c r="A884" s="114">
        <v>46050</v>
      </c>
      <c r="B884" s="76" t="s">
        <v>41</v>
      </c>
      <c r="C884" s="77" t="s">
        <v>68</v>
      </c>
      <c r="D884" s="76" t="s">
        <v>260</v>
      </c>
      <c r="E884" s="115">
        <v>1.5277777777777779</v>
      </c>
      <c r="F884" s="76" t="s">
        <v>86</v>
      </c>
      <c r="G884" s="78">
        <v>9</v>
      </c>
      <c r="H884" s="116">
        <v>517</v>
      </c>
      <c r="I884" s="2"/>
    </row>
    <row r="885" spans="1:9" ht="19.8" customHeight="1" x14ac:dyDescent="0.3">
      <c r="A885" s="114">
        <v>46050</v>
      </c>
      <c r="B885" s="76" t="s">
        <v>32</v>
      </c>
      <c r="C885" s="77" t="s">
        <v>33</v>
      </c>
      <c r="D885" s="76" t="s">
        <v>260</v>
      </c>
      <c r="E885" s="115">
        <v>1.836805555555556</v>
      </c>
      <c r="F885" s="76" t="s">
        <v>34</v>
      </c>
      <c r="G885" s="78">
        <v>2</v>
      </c>
      <c r="H885" s="116">
        <v>559</v>
      </c>
      <c r="I885" s="2"/>
    </row>
    <row r="886" spans="1:9" ht="19.8" customHeight="1" x14ac:dyDescent="0.3">
      <c r="A886" s="114">
        <v>46050</v>
      </c>
      <c r="B886" s="76" t="s">
        <v>46</v>
      </c>
      <c r="C886" s="77" t="s">
        <v>47</v>
      </c>
      <c r="D886" s="76" t="s">
        <v>260</v>
      </c>
      <c r="E886" s="115">
        <v>1.895833333333333</v>
      </c>
      <c r="F886" s="76" t="s">
        <v>128</v>
      </c>
      <c r="G886" s="78">
        <v>3</v>
      </c>
      <c r="H886" s="116">
        <v>563</v>
      </c>
      <c r="I886" s="2"/>
    </row>
    <row r="887" spans="1:9" ht="19.8" customHeight="1" x14ac:dyDescent="0.3">
      <c r="A887" s="114">
        <v>46050</v>
      </c>
      <c r="B887" s="76" t="s">
        <v>32</v>
      </c>
      <c r="C887" s="77" t="s">
        <v>33</v>
      </c>
      <c r="D887" s="76" t="s">
        <v>260</v>
      </c>
      <c r="E887" s="115">
        <v>1.836805555555556</v>
      </c>
      <c r="F887" s="76" t="s">
        <v>37</v>
      </c>
      <c r="G887" s="78">
        <v>2</v>
      </c>
      <c r="H887" s="116">
        <v>659</v>
      </c>
      <c r="I887" s="2"/>
    </row>
    <row r="888" spans="1:9" ht="19.8" customHeight="1" x14ac:dyDescent="0.3">
      <c r="A888" s="114">
        <v>46050</v>
      </c>
      <c r="B888" s="76" t="s">
        <v>57</v>
      </c>
      <c r="C888" s="77" t="s">
        <v>58</v>
      </c>
      <c r="D888" s="76" t="s">
        <v>260</v>
      </c>
      <c r="E888" s="115">
        <v>1.305555555555556</v>
      </c>
      <c r="F888" s="76" t="s">
        <v>63</v>
      </c>
      <c r="G888" s="78">
        <v>20</v>
      </c>
      <c r="H888" s="116">
        <v>659</v>
      </c>
      <c r="I888" s="2"/>
    </row>
    <row r="889" spans="1:9" ht="19.8" customHeight="1" x14ac:dyDescent="0.3">
      <c r="A889" s="114">
        <v>46050</v>
      </c>
      <c r="B889" s="76" t="s">
        <v>262</v>
      </c>
      <c r="C889" s="77" t="s">
        <v>263</v>
      </c>
      <c r="D889" s="76" t="s">
        <v>260</v>
      </c>
      <c r="E889" s="115">
        <v>1.9722222222222221</v>
      </c>
      <c r="F889" s="76" t="s">
        <v>65</v>
      </c>
      <c r="G889" s="78">
        <v>9</v>
      </c>
      <c r="H889" s="116">
        <v>711</v>
      </c>
      <c r="I889" s="2"/>
    </row>
    <row r="890" spans="1:9" ht="19.8" customHeight="1" x14ac:dyDescent="0.3">
      <c r="A890" s="114">
        <v>46050</v>
      </c>
      <c r="B890" s="76" t="s">
        <v>32</v>
      </c>
      <c r="C890" s="77" t="s">
        <v>33</v>
      </c>
      <c r="D890" s="76" t="s">
        <v>260</v>
      </c>
      <c r="E890" s="115">
        <v>1.836805555555556</v>
      </c>
      <c r="F890" s="76" t="s">
        <v>39</v>
      </c>
      <c r="G890" s="78">
        <v>2</v>
      </c>
      <c r="H890" s="116">
        <v>749</v>
      </c>
      <c r="I890" s="2"/>
    </row>
    <row r="891" spans="1:9" ht="19.8" customHeight="1" x14ac:dyDescent="0.3">
      <c r="A891" s="114">
        <v>46050</v>
      </c>
      <c r="B891" s="76" t="s">
        <v>57</v>
      </c>
      <c r="C891" s="77" t="s">
        <v>58</v>
      </c>
      <c r="D891" s="76" t="s">
        <v>260</v>
      </c>
      <c r="E891" s="115">
        <v>1.305555555555556</v>
      </c>
      <c r="F891" s="76" t="s">
        <v>65</v>
      </c>
      <c r="G891" s="78">
        <v>20</v>
      </c>
      <c r="H891" s="116">
        <v>899</v>
      </c>
      <c r="I891" s="2"/>
    </row>
    <row r="892" spans="1:9" ht="19.8" customHeight="1" x14ac:dyDescent="0.3">
      <c r="A892" s="117">
        <v>46050</v>
      </c>
      <c r="B892" s="79" t="s">
        <v>77</v>
      </c>
      <c r="C892" s="80" t="s">
        <v>78</v>
      </c>
      <c r="D892" s="79" t="s">
        <v>260</v>
      </c>
      <c r="E892" s="118">
        <v>1.305555555555556</v>
      </c>
      <c r="F892" s="79" t="s">
        <v>79</v>
      </c>
      <c r="G892" s="81">
        <v>4</v>
      </c>
      <c r="H892" s="83" t="s">
        <v>143</v>
      </c>
      <c r="I892" s="2"/>
    </row>
    <row r="893" spans="1:9" ht="19.8" customHeight="1" x14ac:dyDescent="0.3">
      <c r="A893" s="72"/>
      <c r="B893" s="73"/>
      <c r="C893" s="73"/>
      <c r="D893" s="73"/>
      <c r="E893" s="73"/>
      <c r="F893" s="74" t="s">
        <v>259</v>
      </c>
      <c r="G893" s="73"/>
      <c r="H893" s="75"/>
      <c r="I893" s="2"/>
    </row>
    <row r="894" spans="1:9" ht="19.8" customHeight="1" x14ac:dyDescent="0.3">
      <c r="A894" s="114">
        <v>46051</v>
      </c>
      <c r="B894" s="76" t="s">
        <v>41</v>
      </c>
      <c r="C894" s="77" t="s">
        <v>71</v>
      </c>
      <c r="D894" s="76" t="s">
        <v>260</v>
      </c>
      <c r="E894" s="115">
        <v>1.1701388888888891</v>
      </c>
      <c r="F894" s="76" t="s">
        <v>86</v>
      </c>
      <c r="G894" s="78">
        <v>9</v>
      </c>
      <c r="H894" s="116">
        <v>487</v>
      </c>
      <c r="I894" s="2"/>
    </row>
    <row r="895" spans="1:9" ht="19.8" customHeight="1" x14ac:dyDescent="0.3">
      <c r="A895" s="114">
        <v>46051</v>
      </c>
      <c r="B895" s="76" t="s">
        <v>121</v>
      </c>
      <c r="C895" s="77" t="s">
        <v>265</v>
      </c>
      <c r="D895" s="76" t="s">
        <v>260</v>
      </c>
      <c r="E895" s="115">
        <v>1.9652777777777779</v>
      </c>
      <c r="F895" s="76" t="s">
        <v>128</v>
      </c>
      <c r="G895" s="78">
        <v>1</v>
      </c>
      <c r="H895" s="116">
        <v>500</v>
      </c>
      <c r="I895" s="2"/>
    </row>
    <row r="896" spans="1:9" ht="19.8" customHeight="1" x14ac:dyDescent="0.3">
      <c r="A896" s="114">
        <v>46051</v>
      </c>
      <c r="B896" s="76" t="s">
        <v>57</v>
      </c>
      <c r="C896" s="77" t="s">
        <v>58</v>
      </c>
      <c r="D896" s="76" t="s">
        <v>260</v>
      </c>
      <c r="E896" s="115">
        <v>1.305555555555556</v>
      </c>
      <c r="F896" s="76" t="s">
        <v>60</v>
      </c>
      <c r="G896" s="78">
        <v>19</v>
      </c>
      <c r="H896" s="116">
        <v>509</v>
      </c>
      <c r="I896" s="2"/>
    </row>
    <row r="897" spans="1:9" ht="19.8" customHeight="1" x14ac:dyDescent="0.3">
      <c r="A897" s="114">
        <v>46051</v>
      </c>
      <c r="B897" s="76" t="s">
        <v>41</v>
      </c>
      <c r="C897" s="77" t="s">
        <v>42</v>
      </c>
      <c r="D897" s="76" t="s">
        <v>260</v>
      </c>
      <c r="E897" s="115">
        <v>1.864583333333333</v>
      </c>
      <c r="F897" s="76" t="s">
        <v>86</v>
      </c>
      <c r="G897" s="78">
        <v>9</v>
      </c>
      <c r="H897" s="116">
        <v>517</v>
      </c>
      <c r="I897" s="2"/>
    </row>
    <row r="898" spans="1:9" ht="19.8" customHeight="1" x14ac:dyDescent="0.3">
      <c r="A898" s="114">
        <v>46051</v>
      </c>
      <c r="B898" s="76" t="s">
        <v>41</v>
      </c>
      <c r="C898" s="77" t="s">
        <v>68</v>
      </c>
      <c r="D898" s="76" t="s">
        <v>260</v>
      </c>
      <c r="E898" s="115">
        <v>1.5277777777777779</v>
      </c>
      <c r="F898" s="76" t="s">
        <v>86</v>
      </c>
      <c r="G898" s="78">
        <v>9</v>
      </c>
      <c r="H898" s="116">
        <v>517</v>
      </c>
      <c r="I898" s="2"/>
    </row>
    <row r="899" spans="1:9" ht="19.8" customHeight="1" x14ac:dyDescent="0.3">
      <c r="A899" s="114">
        <v>46051</v>
      </c>
      <c r="B899" s="76" t="s">
        <v>32</v>
      </c>
      <c r="C899" s="77" t="s">
        <v>113</v>
      </c>
      <c r="D899" s="76" t="s">
        <v>260</v>
      </c>
      <c r="E899" s="115">
        <v>1.2013888888888891</v>
      </c>
      <c r="F899" s="76" t="s">
        <v>34</v>
      </c>
      <c r="G899" s="78">
        <v>5</v>
      </c>
      <c r="H899" s="116">
        <v>559</v>
      </c>
      <c r="I899" s="2"/>
    </row>
    <row r="900" spans="1:9" ht="19.8" customHeight="1" x14ac:dyDescent="0.3">
      <c r="A900" s="114">
        <v>46051</v>
      </c>
      <c r="B900" s="76" t="s">
        <v>46</v>
      </c>
      <c r="C900" s="77" t="s">
        <v>266</v>
      </c>
      <c r="D900" s="76" t="s">
        <v>260</v>
      </c>
      <c r="E900" s="115">
        <v>1.5625</v>
      </c>
      <c r="F900" s="76" t="s">
        <v>128</v>
      </c>
      <c r="G900" s="78">
        <v>4</v>
      </c>
      <c r="H900" s="116">
        <v>563</v>
      </c>
      <c r="I900" s="2"/>
    </row>
    <row r="901" spans="1:9" ht="19.8" customHeight="1" x14ac:dyDescent="0.3">
      <c r="A901" s="114">
        <v>46051</v>
      </c>
      <c r="B901" s="76" t="s">
        <v>46</v>
      </c>
      <c r="C901" s="77" t="s">
        <v>261</v>
      </c>
      <c r="D901" s="76" t="s">
        <v>260</v>
      </c>
      <c r="E901" s="115">
        <v>1.958333333333333</v>
      </c>
      <c r="F901" s="76" t="s">
        <v>128</v>
      </c>
      <c r="G901" s="78">
        <v>9</v>
      </c>
      <c r="H901" s="116">
        <v>563</v>
      </c>
      <c r="I901" s="2"/>
    </row>
    <row r="902" spans="1:9" ht="19.8" customHeight="1" x14ac:dyDescent="0.3">
      <c r="A902" s="114">
        <v>46051</v>
      </c>
      <c r="B902" s="76" t="s">
        <v>26</v>
      </c>
      <c r="C902" s="77" t="s">
        <v>74</v>
      </c>
      <c r="D902" s="76" t="s">
        <v>260</v>
      </c>
      <c r="E902" s="115">
        <v>1.9236111111111109</v>
      </c>
      <c r="F902" s="76" t="s">
        <v>128</v>
      </c>
      <c r="G902" s="78">
        <v>5</v>
      </c>
      <c r="H902" s="116">
        <v>566</v>
      </c>
      <c r="I902" s="2"/>
    </row>
    <row r="903" spans="1:9" ht="19.8" customHeight="1" x14ac:dyDescent="0.3">
      <c r="A903" s="114">
        <v>46051</v>
      </c>
      <c r="B903" s="76" t="s">
        <v>32</v>
      </c>
      <c r="C903" s="77" t="s">
        <v>33</v>
      </c>
      <c r="D903" s="76" t="s">
        <v>260</v>
      </c>
      <c r="E903" s="115">
        <v>1.836805555555556</v>
      </c>
      <c r="F903" s="76" t="s">
        <v>34</v>
      </c>
      <c r="G903" s="78">
        <v>5</v>
      </c>
      <c r="H903" s="116">
        <v>609</v>
      </c>
      <c r="I903" s="2"/>
    </row>
    <row r="904" spans="1:9" ht="19.8" customHeight="1" x14ac:dyDescent="0.3">
      <c r="A904" s="114">
        <v>46051</v>
      </c>
      <c r="B904" s="76" t="s">
        <v>57</v>
      </c>
      <c r="C904" s="77" t="s">
        <v>58</v>
      </c>
      <c r="D904" s="76" t="s">
        <v>260</v>
      </c>
      <c r="E904" s="115">
        <v>1.305555555555556</v>
      </c>
      <c r="F904" s="76" t="s">
        <v>63</v>
      </c>
      <c r="G904" s="78">
        <v>19</v>
      </c>
      <c r="H904" s="116">
        <v>659</v>
      </c>
      <c r="I904" s="2"/>
    </row>
    <row r="905" spans="1:9" ht="19.8" customHeight="1" x14ac:dyDescent="0.3">
      <c r="A905" s="114">
        <v>46051</v>
      </c>
      <c r="B905" s="76" t="s">
        <v>32</v>
      </c>
      <c r="C905" s="77" t="s">
        <v>113</v>
      </c>
      <c r="D905" s="76" t="s">
        <v>260</v>
      </c>
      <c r="E905" s="115">
        <v>1.2013888888888891</v>
      </c>
      <c r="F905" s="76" t="s">
        <v>37</v>
      </c>
      <c r="G905" s="78">
        <v>5</v>
      </c>
      <c r="H905" s="116">
        <v>659</v>
      </c>
      <c r="I905" s="2"/>
    </row>
    <row r="906" spans="1:9" ht="19.8" customHeight="1" x14ac:dyDescent="0.3">
      <c r="A906" s="114">
        <v>46051</v>
      </c>
      <c r="B906" s="76" t="s">
        <v>32</v>
      </c>
      <c r="C906" s="77" t="s">
        <v>33</v>
      </c>
      <c r="D906" s="76" t="s">
        <v>260</v>
      </c>
      <c r="E906" s="115">
        <v>1.836805555555556</v>
      </c>
      <c r="F906" s="76" t="s">
        <v>37</v>
      </c>
      <c r="G906" s="78">
        <v>5</v>
      </c>
      <c r="H906" s="116">
        <v>709</v>
      </c>
      <c r="I906" s="2"/>
    </row>
    <row r="907" spans="1:9" ht="19.8" customHeight="1" x14ac:dyDescent="0.3">
      <c r="A907" s="114">
        <v>46051</v>
      </c>
      <c r="B907" s="76" t="s">
        <v>32</v>
      </c>
      <c r="C907" s="77" t="s">
        <v>113</v>
      </c>
      <c r="D907" s="76" t="s">
        <v>260</v>
      </c>
      <c r="E907" s="115">
        <v>1.2013888888888891</v>
      </c>
      <c r="F907" s="76" t="s">
        <v>39</v>
      </c>
      <c r="G907" s="78">
        <v>5</v>
      </c>
      <c r="H907" s="116">
        <v>749</v>
      </c>
      <c r="I907" s="2"/>
    </row>
    <row r="908" spans="1:9" ht="19.8" customHeight="1" x14ac:dyDescent="0.3">
      <c r="A908" s="114">
        <v>46051</v>
      </c>
      <c r="B908" s="76" t="s">
        <v>32</v>
      </c>
      <c r="C908" s="77" t="s">
        <v>33</v>
      </c>
      <c r="D908" s="76" t="s">
        <v>260</v>
      </c>
      <c r="E908" s="115">
        <v>1.836805555555556</v>
      </c>
      <c r="F908" s="76" t="s">
        <v>39</v>
      </c>
      <c r="G908" s="78">
        <v>5</v>
      </c>
      <c r="H908" s="116">
        <v>799</v>
      </c>
      <c r="I908" s="2"/>
    </row>
    <row r="909" spans="1:9" ht="19.8" customHeight="1" x14ac:dyDescent="0.3">
      <c r="A909" s="114">
        <v>46051</v>
      </c>
      <c r="B909" s="76" t="s">
        <v>57</v>
      </c>
      <c r="C909" s="77" t="s">
        <v>58</v>
      </c>
      <c r="D909" s="76" t="s">
        <v>260</v>
      </c>
      <c r="E909" s="115">
        <v>1.305555555555556</v>
      </c>
      <c r="F909" s="76" t="s">
        <v>65</v>
      </c>
      <c r="G909" s="78">
        <v>19</v>
      </c>
      <c r="H909" s="116">
        <v>899</v>
      </c>
      <c r="I909" s="2"/>
    </row>
    <row r="910" spans="1:9" ht="19.8" customHeight="1" x14ac:dyDescent="0.3">
      <c r="A910" s="117">
        <v>46051</v>
      </c>
      <c r="B910" s="79" t="s">
        <v>77</v>
      </c>
      <c r="C910" s="80" t="s">
        <v>78</v>
      </c>
      <c r="D910" s="79" t="s">
        <v>260</v>
      </c>
      <c r="E910" s="118">
        <v>1.305555555555556</v>
      </c>
      <c r="F910" s="79" t="s">
        <v>79</v>
      </c>
      <c r="G910" s="81">
        <v>4</v>
      </c>
      <c r="H910" s="83" t="s">
        <v>143</v>
      </c>
      <c r="I910" s="2"/>
    </row>
    <row r="911" spans="1:9" ht="19.8" customHeight="1" x14ac:dyDescent="0.3">
      <c r="A911" s="120">
        <v>46052</v>
      </c>
      <c r="B911" s="69" t="s">
        <v>26</v>
      </c>
      <c r="C911" s="70" t="s">
        <v>27</v>
      </c>
      <c r="D911" s="69" t="s">
        <v>1</v>
      </c>
      <c r="E911" s="121">
        <v>1.291666666666667</v>
      </c>
      <c r="F911" s="69" t="s">
        <v>128</v>
      </c>
      <c r="G911" s="84">
        <v>1</v>
      </c>
      <c r="H911" s="122">
        <v>636</v>
      </c>
      <c r="I911" s="2"/>
    </row>
    <row r="912" spans="1:9" ht="19.8" customHeight="1" x14ac:dyDescent="0.3">
      <c r="A912" s="72"/>
      <c r="B912" s="73"/>
      <c r="C912" s="73"/>
      <c r="D912" s="73"/>
      <c r="E912" s="73"/>
      <c r="F912" s="74" t="s">
        <v>259</v>
      </c>
      <c r="G912" s="73"/>
      <c r="H912" s="75"/>
      <c r="I912" s="2"/>
    </row>
    <row r="913" spans="1:9" ht="19.8" customHeight="1" x14ac:dyDescent="0.3">
      <c r="A913" s="114">
        <v>46052</v>
      </c>
      <c r="B913" s="76" t="s">
        <v>57</v>
      </c>
      <c r="C913" s="77" t="s">
        <v>58</v>
      </c>
      <c r="D913" s="76" t="s">
        <v>260</v>
      </c>
      <c r="E913" s="115">
        <v>1.305555555555556</v>
      </c>
      <c r="F913" s="76" t="s">
        <v>60</v>
      </c>
      <c r="G913" s="78">
        <v>10</v>
      </c>
      <c r="H913" s="116">
        <v>469</v>
      </c>
      <c r="I913" s="2"/>
    </row>
    <row r="914" spans="1:9" ht="19.8" customHeight="1" x14ac:dyDescent="0.3">
      <c r="A914" s="114">
        <v>46052</v>
      </c>
      <c r="B914" s="76" t="s">
        <v>41</v>
      </c>
      <c r="C914" s="77" t="s">
        <v>71</v>
      </c>
      <c r="D914" s="76" t="s">
        <v>260</v>
      </c>
      <c r="E914" s="115">
        <v>1.1701388888888891</v>
      </c>
      <c r="F914" s="76" t="s">
        <v>86</v>
      </c>
      <c r="G914" s="78">
        <v>9</v>
      </c>
      <c r="H914" s="116">
        <v>487</v>
      </c>
      <c r="I914" s="2"/>
    </row>
    <row r="915" spans="1:9" ht="19.8" customHeight="1" x14ac:dyDescent="0.3">
      <c r="A915" s="114">
        <v>46052</v>
      </c>
      <c r="B915" s="76" t="s">
        <v>121</v>
      </c>
      <c r="C915" s="77" t="s">
        <v>140</v>
      </c>
      <c r="D915" s="76" t="s">
        <v>260</v>
      </c>
      <c r="E915" s="115">
        <v>1.2152777777777779</v>
      </c>
      <c r="F915" s="76" t="s">
        <v>128</v>
      </c>
      <c r="G915" s="78">
        <v>4</v>
      </c>
      <c r="H915" s="116">
        <v>500</v>
      </c>
      <c r="I915" s="2"/>
    </row>
    <row r="916" spans="1:9" ht="19.8" customHeight="1" x14ac:dyDescent="0.3">
      <c r="A916" s="114">
        <v>46052</v>
      </c>
      <c r="B916" s="76" t="s">
        <v>41</v>
      </c>
      <c r="C916" s="77" t="s">
        <v>42</v>
      </c>
      <c r="D916" s="76" t="s">
        <v>260</v>
      </c>
      <c r="E916" s="115">
        <v>1.864583333333333</v>
      </c>
      <c r="F916" s="76" t="s">
        <v>86</v>
      </c>
      <c r="G916" s="78">
        <v>9</v>
      </c>
      <c r="H916" s="116">
        <v>517</v>
      </c>
      <c r="I916" s="2"/>
    </row>
    <row r="917" spans="1:9" ht="19.8" customHeight="1" x14ac:dyDescent="0.3">
      <c r="A917" s="114">
        <v>46052</v>
      </c>
      <c r="B917" s="76" t="s">
        <v>41</v>
      </c>
      <c r="C917" s="77" t="s">
        <v>68</v>
      </c>
      <c r="D917" s="76" t="s">
        <v>260</v>
      </c>
      <c r="E917" s="115">
        <v>1.5277777777777779</v>
      </c>
      <c r="F917" s="76" t="s">
        <v>86</v>
      </c>
      <c r="G917" s="78">
        <v>9</v>
      </c>
      <c r="H917" s="116">
        <v>521</v>
      </c>
      <c r="I917" s="2"/>
    </row>
    <row r="918" spans="1:9" ht="19.8" customHeight="1" x14ac:dyDescent="0.3">
      <c r="A918" s="114">
        <v>46052</v>
      </c>
      <c r="B918" s="76" t="s">
        <v>32</v>
      </c>
      <c r="C918" s="77" t="s">
        <v>33</v>
      </c>
      <c r="D918" s="76" t="s">
        <v>260</v>
      </c>
      <c r="E918" s="115">
        <v>1.836805555555556</v>
      </c>
      <c r="F918" s="76" t="s">
        <v>34</v>
      </c>
      <c r="G918" s="78">
        <v>2</v>
      </c>
      <c r="H918" s="116">
        <v>559</v>
      </c>
      <c r="I918" s="2"/>
    </row>
    <row r="919" spans="1:9" ht="19.8" customHeight="1" x14ac:dyDescent="0.3">
      <c r="A919" s="114">
        <v>46052</v>
      </c>
      <c r="B919" s="76" t="s">
        <v>46</v>
      </c>
      <c r="C919" s="77" t="s">
        <v>47</v>
      </c>
      <c r="D919" s="76" t="s">
        <v>260</v>
      </c>
      <c r="E919" s="115">
        <v>1.958333333333333</v>
      </c>
      <c r="F919" s="76" t="s">
        <v>128</v>
      </c>
      <c r="G919" s="78">
        <v>6</v>
      </c>
      <c r="H919" s="116">
        <v>563</v>
      </c>
      <c r="I919" s="2"/>
    </row>
    <row r="920" spans="1:9" ht="19.8" customHeight="1" x14ac:dyDescent="0.3">
      <c r="A920" s="114">
        <v>46052</v>
      </c>
      <c r="B920" s="76" t="s">
        <v>26</v>
      </c>
      <c r="C920" s="77" t="s">
        <v>74</v>
      </c>
      <c r="D920" s="76" t="s">
        <v>260</v>
      </c>
      <c r="E920" s="115">
        <v>1.5798611111111109</v>
      </c>
      <c r="F920" s="76" t="s">
        <v>128</v>
      </c>
      <c r="G920" s="78">
        <v>8</v>
      </c>
      <c r="H920" s="116">
        <v>566</v>
      </c>
      <c r="I920" s="2"/>
    </row>
    <row r="921" spans="1:9" ht="19.8" customHeight="1" x14ac:dyDescent="0.3">
      <c r="A921" s="114">
        <v>46052</v>
      </c>
      <c r="B921" s="76" t="s">
        <v>57</v>
      </c>
      <c r="C921" s="77" t="s">
        <v>58</v>
      </c>
      <c r="D921" s="76" t="s">
        <v>260</v>
      </c>
      <c r="E921" s="115">
        <v>1.305555555555556</v>
      </c>
      <c r="F921" s="76" t="s">
        <v>63</v>
      </c>
      <c r="G921" s="78">
        <v>10</v>
      </c>
      <c r="H921" s="116">
        <v>619</v>
      </c>
      <c r="I921" s="2"/>
    </row>
    <row r="922" spans="1:9" ht="19.8" customHeight="1" x14ac:dyDescent="0.3">
      <c r="A922" s="114">
        <v>46052</v>
      </c>
      <c r="B922" s="76" t="s">
        <v>32</v>
      </c>
      <c r="C922" s="77" t="s">
        <v>33</v>
      </c>
      <c r="D922" s="76" t="s">
        <v>260</v>
      </c>
      <c r="E922" s="115">
        <v>1.836805555555556</v>
      </c>
      <c r="F922" s="76" t="s">
        <v>37</v>
      </c>
      <c r="G922" s="78">
        <v>2</v>
      </c>
      <c r="H922" s="116">
        <v>659</v>
      </c>
      <c r="I922" s="2"/>
    </row>
    <row r="923" spans="1:9" ht="19.8" customHeight="1" x14ac:dyDescent="0.3">
      <c r="A923" s="114">
        <v>46052</v>
      </c>
      <c r="B923" s="76" t="s">
        <v>32</v>
      </c>
      <c r="C923" s="77" t="s">
        <v>33</v>
      </c>
      <c r="D923" s="76" t="s">
        <v>260</v>
      </c>
      <c r="E923" s="115">
        <v>1.836805555555556</v>
      </c>
      <c r="F923" s="76" t="s">
        <v>39</v>
      </c>
      <c r="G923" s="78">
        <v>2</v>
      </c>
      <c r="H923" s="116">
        <v>749</v>
      </c>
      <c r="I923" s="2"/>
    </row>
    <row r="924" spans="1:9" ht="19.8" customHeight="1" x14ac:dyDescent="0.3">
      <c r="A924" s="114">
        <v>46052</v>
      </c>
      <c r="B924" s="76" t="s">
        <v>57</v>
      </c>
      <c r="C924" s="77" t="s">
        <v>58</v>
      </c>
      <c r="D924" s="76" t="s">
        <v>260</v>
      </c>
      <c r="E924" s="115">
        <v>1.305555555555556</v>
      </c>
      <c r="F924" s="76" t="s">
        <v>65</v>
      </c>
      <c r="G924" s="78">
        <v>10</v>
      </c>
      <c r="H924" s="116">
        <v>899</v>
      </c>
      <c r="I924" s="2"/>
    </row>
    <row r="925" spans="1:9" ht="19.8" customHeight="1" x14ac:dyDescent="0.3">
      <c r="A925" s="117">
        <v>46052</v>
      </c>
      <c r="B925" s="79" t="s">
        <v>77</v>
      </c>
      <c r="C925" s="80" t="s">
        <v>78</v>
      </c>
      <c r="D925" s="79" t="s">
        <v>260</v>
      </c>
      <c r="E925" s="118">
        <v>1.305555555555556</v>
      </c>
      <c r="F925" s="79" t="s">
        <v>79</v>
      </c>
      <c r="G925" s="81">
        <v>4</v>
      </c>
      <c r="H925" s="83" t="s">
        <v>143</v>
      </c>
      <c r="I925" s="2"/>
    </row>
    <row r="926" spans="1:9" ht="19.8" customHeight="1" x14ac:dyDescent="0.3">
      <c r="A926" s="72"/>
      <c r="B926" s="73"/>
      <c r="C926" s="73"/>
      <c r="D926" s="73"/>
      <c r="E926" s="73"/>
      <c r="F926" s="74" t="s">
        <v>259</v>
      </c>
      <c r="G926" s="73"/>
      <c r="H926" s="75"/>
      <c r="I926" s="2"/>
    </row>
    <row r="927" spans="1:9" ht="19.8" customHeight="1" x14ac:dyDescent="0.3">
      <c r="A927" s="114">
        <v>46053</v>
      </c>
      <c r="B927" s="76" t="s">
        <v>57</v>
      </c>
      <c r="C927" s="77" t="s">
        <v>58</v>
      </c>
      <c r="D927" s="76" t="s">
        <v>260</v>
      </c>
      <c r="E927" s="115">
        <v>1.305555555555556</v>
      </c>
      <c r="F927" s="76" t="s">
        <v>60</v>
      </c>
      <c r="G927" s="78">
        <v>10</v>
      </c>
      <c r="H927" s="116">
        <v>469</v>
      </c>
      <c r="I927" s="2"/>
    </row>
    <row r="928" spans="1:9" ht="19.8" customHeight="1" x14ac:dyDescent="0.3">
      <c r="A928" s="114">
        <v>46053</v>
      </c>
      <c r="B928" s="76" t="s">
        <v>41</v>
      </c>
      <c r="C928" s="77" t="s">
        <v>71</v>
      </c>
      <c r="D928" s="76" t="s">
        <v>260</v>
      </c>
      <c r="E928" s="115">
        <v>1.1701388888888891</v>
      </c>
      <c r="F928" s="76" t="s">
        <v>86</v>
      </c>
      <c r="G928" s="78">
        <v>9</v>
      </c>
      <c r="H928" s="116">
        <v>487</v>
      </c>
      <c r="I928" s="2"/>
    </row>
    <row r="929" spans="1:9" ht="19.8" customHeight="1" x14ac:dyDescent="0.3">
      <c r="A929" s="114">
        <v>46053</v>
      </c>
      <c r="B929" s="76" t="s">
        <v>262</v>
      </c>
      <c r="C929" s="77" t="s">
        <v>263</v>
      </c>
      <c r="D929" s="76" t="s">
        <v>260</v>
      </c>
      <c r="E929" s="115">
        <v>1.9722222222222221</v>
      </c>
      <c r="F929" s="76" t="s">
        <v>264</v>
      </c>
      <c r="G929" s="78">
        <v>9</v>
      </c>
      <c r="H929" s="116">
        <v>511</v>
      </c>
      <c r="I929" s="2"/>
    </row>
    <row r="930" spans="1:9" ht="19.8" customHeight="1" x14ac:dyDescent="0.3">
      <c r="A930" s="114">
        <v>46053</v>
      </c>
      <c r="B930" s="76" t="s">
        <v>41</v>
      </c>
      <c r="C930" s="77" t="s">
        <v>42</v>
      </c>
      <c r="D930" s="76" t="s">
        <v>260</v>
      </c>
      <c r="E930" s="115">
        <v>1.864583333333333</v>
      </c>
      <c r="F930" s="76" t="s">
        <v>86</v>
      </c>
      <c r="G930" s="78">
        <v>9</v>
      </c>
      <c r="H930" s="116">
        <v>517</v>
      </c>
      <c r="I930" s="2"/>
    </row>
    <row r="931" spans="1:9" ht="19.8" customHeight="1" x14ac:dyDescent="0.3">
      <c r="A931" s="114">
        <v>46053</v>
      </c>
      <c r="B931" s="76" t="s">
        <v>41</v>
      </c>
      <c r="C931" s="77" t="s">
        <v>68</v>
      </c>
      <c r="D931" s="76" t="s">
        <v>260</v>
      </c>
      <c r="E931" s="115">
        <v>1.5277777777777779</v>
      </c>
      <c r="F931" s="76" t="s">
        <v>86</v>
      </c>
      <c r="G931" s="78">
        <v>9</v>
      </c>
      <c r="H931" s="116">
        <v>517</v>
      </c>
      <c r="I931" s="2"/>
    </row>
    <row r="932" spans="1:9" ht="19.8" customHeight="1" x14ac:dyDescent="0.3">
      <c r="A932" s="114">
        <v>46053</v>
      </c>
      <c r="B932" s="76" t="s">
        <v>32</v>
      </c>
      <c r="C932" s="77" t="s">
        <v>33</v>
      </c>
      <c r="D932" s="76" t="s">
        <v>260</v>
      </c>
      <c r="E932" s="115">
        <v>1.836805555555556</v>
      </c>
      <c r="F932" s="76" t="s">
        <v>34</v>
      </c>
      <c r="G932" s="78">
        <v>3</v>
      </c>
      <c r="H932" s="116">
        <v>559</v>
      </c>
      <c r="I932" s="2"/>
    </row>
    <row r="933" spans="1:9" ht="19.8" customHeight="1" x14ac:dyDescent="0.3">
      <c r="A933" s="114">
        <v>46053</v>
      </c>
      <c r="B933" s="76" t="s">
        <v>32</v>
      </c>
      <c r="C933" s="77" t="s">
        <v>113</v>
      </c>
      <c r="D933" s="76" t="s">
        <v>260</v>
      </c>
      <c r="E933" s="115">
        <v>1.2013888888888891</v>
      </c>
      <c r="F933" s="76" t="s">
        <v>34</v>
      </c>
      <c r="G933" s="78">
        <v>5</v>
      </c>
      <c r="H933" s="116">
        <v>559</v>
      </c>
      <c r="I933" s="2"/>
    </row>
    <row r="934" spans="1:9" ht="19.8" customHeight="1" x14ac:dyDescent="0.3">
      <c r="A934" s="114">
        <v>46053</v>
      </c>
      <c r="B934" s="76" t="s">
        <v>46</v>
      </c>
      <c r="C934" s="77" t="s">
        <v>261</v>
      </c>
      <c r="D934" s="76" t="s">
        <v>260</v>
      </c>
      <c r="E934" s="115">
        <v>1.895833333333333</v>
      </c>
      <c r="F934" s="76" t="s">
        <v>128</v>
      </c>
      <c r="G934" s="78">
        <v>2</v>
      </c>
      <c r="H934" s="116">
        <v>563</v>
      </c>
      <c r="I934" s="2"/>
    </row>
    <row r="935" spans="1:9" ht="19.8" customHeight="1" x14ac:dyDescent="0.3">
      <c r="A935" s="114">
        <v>46053</v>
      </c>
      <c r="B935" s="76" t="s">
        <v>26</v>
      </c>
      <c r="C935" s="77" t="s">
        <v>74</v>
      </c>
      <c r="D935" s="76" t="s">
        <v>260</v>
      </c>
      <c r="E935" s="115">
        <v>1.9236111111111109</v>
      </c>
      <c r="F935" s="76" t="s">
        <v>128</v>
      </c>
      <c r="G935" s="78">
        <v>2</v>
      </c>
      <c r="H935" s="116">
        <v>566</v>
      </c>
      <c r="I935" s="2"/>
    </row>
    <row r="936" spans="1:9" ht="19.8" customHeight="1" x14ac:dyDescent="0.3">
      <c r="A936" s="114">
        <v>46053</v>
      </c>
      <c r="B936" s="76" t="s">
        <v>121</v>
      </c>
      <c r="C936" s="77" t="s">
        <v>265</v>
      </c>
      <c r="D936" s="76" t="s">
        <v>260</v>
      </c>
      <c r="E936" s="115">
        <v>1.5486111111111109</v>
      </c>
      <c r="F936" s="76" t="s">
        <v>128</v>
      </c>
      <c r="G936" s="78">
        <v>9</v>
      </c>
      <c r="H936" s="116">
        <v>568</v>
      </c>
      <c r="I936" s="2"/>
    </row>
    <row r="937" spans="1:9" ht="19.8" customHeight="1" x14ac:dyDescent="0.3">
      <c r="A937" s="114">
        <v>46053</v>
      </c>
      <c r="B937" s="76" t="s">
        <v>57</v>
      </c>
      <c r="C937" s="77" t="s">
        <v>58</v>
      </c>
      <c r="D937" s="76" t="s">
        <v>260</v>
      </c>
      <c r="E937" s="115">
        <v>1.305555555555556</v>
      </c>
      <c r="F937" s="76" t="s">
        <v>63</v>
      </c>
      <c r="G937" s="78">
        <v>10</v>
      </c>
      <c r="H937" s="116">
        <v>619</v>
      </c>
      <c r="I937" s="2"/>
    </row>
    <row r="938" spans="1:9" ht="19.8" customHeight="1" x14ac:dyDescent="0.3">
      <c r="A938" s="114">
        <v>46053</v>
      </c>
      <c r="B938" s="76" t="s">
        <v>32</v>
      </c>
      <c r="C938" s="77" t="s">
        <v>33</v>
      </c>
      <c r="D938" s="76" t="s">
        <v>260</v>
      </c>
      <c r="E938" s="115">
        <v>1.836805555555556</v>
      </c>
      <c r="F938" s="76" t="s">
        <v>37</v>
      </c>
      <c r="G938" s="78">
        <v>3</v>
      </c>
      <c r="H938" s="116">
        <v>659</v>
      </c>
      <c r="I938" s="2"/>
    </row>
    <row r="939" spans="1:9" ht="19.8" customHeight="1" x14ac:dyDescent="0.3">
      <c r="A939" s="114">
        <v>46053</v>
      </c>
      <c r="B939" s="76" t="s">
        <v>32</v>
      </c>
      <c r="C939" s="77" t="s">
        <v>113</v>
      </c>
      <c r="D939" s="76" t="s">
        <v>260</v>
      </c>
      <c r="E939" s="115">
        <v>1.2013888888888891</v>
      </c>
      <c r="F939" s="76" t="s">
        <v>37</v>
      </c>
      <c r="G939" s="78">
        <v>5</v>
      </c>
      <c r="H939" s="116">
        <v>659</v>
      </c>
      <c r="I939" s="2"/>
    </row>
    <row r="940" spans="1:9" ht="19.8" customHeight="1" x14ac:dyDescent="0.3">
      <c r="A940" s="114">
        <v>46053</v>
      </c>
      <c r="B940" s="76" t="s">
        <v>262</v>
      </c>
      <c r="C940" s="77" t="s">
        <v>263</v>
      </c>
      <c r="D940" s="76" t="s">
        <v>260</v>
      </c>
      <c r="E940" s="115">
        <v>1.9722222222222221</v>
      </c>
      <c r="F940" s="76" t="s">
        <v>65</v>
      </c>
      <c r="G940" s="78">
        <v>9</v>
      </c>
      <c r="H940" s="116">
        <v>717</v>
      </c>
      <c r="I940" s="2"/>
    </row>
    <row r="941" spans="1:9" ht="19.8" customHeight="1" x14ac:dyDescent="0.3">
      <c r="A941" s="114">
        <v>46053</v>
      </c>
      <c r="B941" s="76" t="s">
        <v>32</v>
      </c>
      <c r="C941" s="77" t="s">
        <v>33</v>
      </c>
      <c r="D941" s="76" t="s">
        <v>260</v>
      </c>
      <c r="E941" s="115">
        <v>1.836805555555556</v>
      </c>
      <c r="F941" s="76" t="s">
        <v>39</v>
      </c>
      <c r="G941" s="78">
        <v>3</v>
      </c>
      <c r="H941" s="116">
        <v>749</v>
      </c>
      <c r="I941" s="2"/>
    </row>
    <row r="942" spans="1:9" ht="19.8" customHeight="1" x14ac:dyDescent="0.3">
      <c r="A942" s="114">
        <v>46053</v>
      </c>
      <c r="B942" s="76" t="s">
        <v>32</v>
      </c>
      <c r="C942" s="77" t="s">
        <v>113</v>
      </c>
      <c r="D942" s="76" t="s">
        <v>260</v>
      </c>
      <c r="E942" s="115">
        <v>1.2013888888888891</v>
      </c>
      <c r="F942" s="76" t="s">
        <v>39</v>
      </c>
      <c r="G942" s="78">
        <v>5</v>
      </c>
      <c r="H942" s="116">
        <v>749</v>
      </c>
      <c r="I942" s="2"/>
    </row>
    <row r="943" spans="1:9" ht="19.8" customHeight="1" x14ac:dyDescent="0.3">
      <c r="A943" s="114">
        <v>46053</v>
      </c>
      <c r="B943" s="76" t="s">
        <v>57</v>
      </c>
      <c r="C943" s="77" t="s">
        <v>58</v>
      </c>
      <c r="D943" s="76" t="s">
        <v>260</v>
      </c>
      <c r="E943" s="115">
        <v>1.305555555555556</v>
      </c>
      <c r="F943" s="76" t="s">
        <v>65</v>
      </c>
      <c r="G943" s="78">
        <v>10</v>
      </c>
      <c r="H943" s="116">
        <v>899</v>
      </c>
      <c r="I943" s="2"/>
    </row>
    <row r="944" spans="1:9" ht="19.8" customHeight="1" x14ac:dyDescent="0.3">
      <c r="A944" s="117">
        <v>46053</v>
      </c>
      <c r="B944" s="79" t="s">
        <v>77</v>
      </c>
      <c r="C944" s="80" t="s">
        <v>78</v>
      </c>
      <c r="D944" s="79" t="s">
        <v>260</v>
      </c>
      <c r="E944" s="118">
        <v>1.305555555555556</v>
      </c>
      <c r="F944" s="79" t="s">
        <v>79</v>
      </c>
      <c r="G944" s="81">
        <v>4</v>
      </c>
      <c r="H944" s="83" t="s">
        <v>143</v>
      </c>
      <c r="I944" s="2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DMM-ATZ</vt:lpstr>
      <vt:lpstr>DMM-ATZ LF LEGACY</vt:lpstr>
      <vt:lpstr>DMM-ATZ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2025-12-01T09:54:40Z</dcterms:created>
  <dcterms:modified xsi:type="dcterms:W3CDTF">2025-12-01T10:26:12Z</dcterms:modified>
</cp:coreProperties>
</file>