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B549094-D7C8-4910-8F9D-4AFC4AD08992}" xr6:coauthVersionLast="47" xr6:coauthVersionMax="47" xr10:uidLastSave="{00000000-0000-0000-0000-000000000000}"/>
  <bookViews>
    <workbookView minimized="1" xWindow="3348" yWindow="3348" windowWidth="17280" windowHeight="8880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E38" i="2"/>
  <c r="G38" i="2"/>
  <c r="H38" i="2"/>
  <c r="I38" i="2"/>
  <c r="J38" i="2"/>
  <c r="M38" i="2"/>
  <c r="N38" i="2"/>
  <c r="O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78B70523-6CB0-40BA-AFE8-28B5FA8292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S12 &amp; W2 &amp; T2 &amp; X7 &amp; U2 &amp; O4 &amp; I60</t>
        </r>
      </text>
    </comment>
    <comment ref="F43" authorId="0" shapeId="0" xr:uid="{6A87F06D-7BAC-407C-8AAC-3B2792E571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X7 &amp; U4 &amp; O3 &amp; I60</t>
        </r>
      </text>
    </comment>
    <comment ref="F56" authorId="0" shapeId="0" xr:uid="{D6C25514-24C7-4F67-947D-7EFB96C7E0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I40</t>
        </r>
      </text>
    </comment>
    <comment ref="F72" authorId="0" shapeId="0" xr:uid="{ED8AE2EB-8830-40A9-9485-5519A19795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09" authorId="0" shapeId="0" xr:uid="{3DAC7154-7F7F-4BC3-B859-6F275F8A71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38" authorId="0" shapeId="0" xr:uid="{D2B085DA-F752-4DD4-BB4B-88D9F0B3F5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I30</t>
        </r>
      </text>
    </comment>
    <comment ref="F150" authorId="0" shapeId="0" xr:uid="{F080B655-B028-4080-9B11-E119BA3B8E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I36</t>
        </r>
      </text>
    </comment>
    <comment ref="F167" authorId="0" shapeId="0" xr:uid="{9E604021-AA2B-4365-A275-BFC35D93E8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I26</t>
        </r>
      </text>
    </comment>
    <comment ref="F207" authorId="0" shapeId="0" xr:uid="{5D78CA34-D551-4B16-BD9D-73CF11399C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20" authorId="0" shapeId="0" xr:uid="{CE49EEB2-45EB-419B-8E4F-133CFEC719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X7 &amp; U8 &amp; O3 &amp; I41</t>
        </r>
      </text>
    </comment>
    <comment ref="F229" authorId="0" shapeId="0" xr:uid="{319F5FB3-CB1F-4DE7-8E83-E043A35324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 &amp; U9 &amp; O4 &amp; I26</t>
        </r>
      </text>
    </comment>
    <comment ref="F247" authorId="0" shapeId="0" xr:uid="{F17AB580-3EF5-4F15-9C44-9D6157C1D0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I25</t>
        </r>
      </text>
    </comment>
    <comment ref="F286" authorId="0" shapeId="0" xr:uid="{FF8A0917-E31C-4137-8B72-48D65E1457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I20</t>
        </r>
      </text>
    </comment>
    <comment ref="F315" authorId="0" shapeId="0" xr:uid="{14F90ABB-8F4A-473A-A74F-2CB4E2086B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I26</t>
        </r>
      </text>
    </comment>
    <comment ref="F329" authorId="0" shapeId="0" xr:uid="{91993BE4-55BE-4E8B-9F07-9EEEF4A840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I26</t>
        </r>
      </text>
    </comment>
    <comment ref="F346" authorId="0" shapeId="0" xr:uid="{7CD4E956-9EE1-475D-BBBC-42A5EAED88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387" authorId="0" shapeId="0" xr:uid="{B5208D85-B480-4812-8EE2-6348807E1F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I26</t>
        </r>
      </text>
    </comment>
    <comment ref="F412" authorId="0" shapeId="0" xr:uid="{B7DC9B1D-D617-4580-BF36-C41E87949D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T2 &amp; X6 &amp; U11 &amp; O1</t>
        </r>
      </text>
    </comment>
    <comment ref="F430" authorId="0" shapeId="0" xr:uid="{DCCFB344-40A6-45E5-AA10-4E6F1FF3DD8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T4 &amp; X9 &amp; U8 &amp; O3</t>
        </r>
      </text>
    </comment>
    <comment ref="F443" authorId="0" shapeId="0" xr:uid="{79F312C7-0DF1-41BA-8ACE-FD065972E4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G4 &amp; S1 &amp; W2 &amp; T3 &amp; X10 &amp; U4</t>
        </r>
      </text>
    </comment>
    <comment ref="F481" authorId="0" shapeId="0" xr:uid="{F381BD9E-5C6C-48BC-BFC9-BA1CC49D98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U8 &amp; O2</t>
        </r>
      </text>
    </comment>
    <comment ref="F519" authorId="0" shapeId="0" xr:uid="{215724FB-D55B-4C90-B894-B6EF939C86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G16 &amp; S12 &amp; W3</t>
        </r>
      </text>
    </comment>
    <comment ref="F532" authorId="0" shapeId="0" xr:uid="{973D4DF4-292E-49A2-81F5-0D3E5CD9F3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G15 &amp; S9 &amp; W6</t>
        </r>
      </text>
    </comment>
    <comment ref="F552" authorId="0" shapeId="0" xr:uid="{1F02E3A2-992D-403F-A0E5-0D0CB7A059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S13 &amp; W9</t>
        </r>
      </text>
    </comment>
    <comment ref="F584" authorId="0" shapeId="0" xr:uid="{861F51D9-2136-49BF-A16B-07B24641D48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U9 &amp; O1</t>
        </r>
      </text>
    </comment>
    <comment ref="F619" authorId="0" shapeId="0" xr:uid="{6C4A0A03-071B-46A3-865C-56D27F02C8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G5 &amp; S4 &amp; T3 &amp; X12</t>
        </r>
      </text>
    </comment>
    <comment ref="F636" authorId="0" shapeId="0" xr:uid="{51D2B742-F92B-4C94-AD99-89730AC995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T2 &amp; X7 &amp; U10 &amp; O2</t>
        </r>
      </text>
    </comment>
    <comment ref="F651" authorId="0" shapeId="0" xr:uid="{99604FC5-F8DE-4119-BB2D-FF05853D77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W5 &amp; U7 &amp; O3</t>
        </r>
      </text>
    </comment>
    <comment ref="F694" authorId="0" shapeId="0" xr:uid="{AB7A9A36-B0C7-409D-A2C2-08EAE48EFE3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U12 &amp; O1</t>
        </r>
      </text>
    </comment>
    <comment ref="F724" authorId="0" shapeId="0" xr:uid="{ABB383AF-C6D3-414A-A97A-2D8F47AD43F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U8 &amp; O5 &amp; I1</t>
        </r>
      </text>
    </comment>
    <comment ref="F739" authorId="0" shapeId="0" xr:uid="{615B30B6-B692-41E8-A2D8-83C7288A9C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O5</t>
        </r>
      </text>
    </comment>
    <comment ref="F753" authorId="0" shapeId="0" xr:uid="{442F1350-DA53-4D10-970A-355E199EFB5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O6</t>
        </r>
      </text>
    </comment>
    <comment ref="F793" authorId="0" shapeId="0" xr:uid="{29D492DF-6F3F-4D8C-9CB3-1313D109CD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U3 &amp; O4</t>
        </r>
      </text>
    </comment>
    <comment ref="F829" authorId="0" shapeId="0" xr:uid="{5BFF31AB-EA4B-4CAD-BE8F-7BC160F096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U7 &amp; O5</t>
        </r>
      </text>
    </comment>
    <comment ref="F845" authorId="0" shapeId="0" xr:uid="{1CDE88E3-1EE4-4169-81A0-93356E8840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O2</t>
        </r>
      </text>
    </comment>
    <comment ref="F859" authorId="0" shapeId="0" xr:uid="{6100C08E-CE7B-4A08-BCB1-4A235424EDB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T1 &amp; X8 &amp; U4 &amp; O2</t>
        </r>
      </text>
    </comment>
  </commentList>
</comments>
</file>

<file path=xl/sharedStrings.xml><?xml version="1.0" encoding="utf-8"?>
<sst xmlns="http://schemas.openxmlformats.org/spreadsheetml/2006/main" count="14025" uniqueCount="511">
  <si>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</si>
  <si>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</si>
  <si>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</si>
  <si>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</si>
  <si>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</si>
  <si>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</si>
  <si>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</si>
  <si>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</si>
  <si>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</si>
  <si>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</si>
  <si>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</si>
  <si>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</si>
  <si>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</si>
  <si>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</si>
  <si>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</si>
  <si>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</si>
  <si>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</si>
  <si>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</si>
  <si>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</si>
  <si>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</si>
  <si>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</si>
  <si>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</si>
  <si>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</si>
  <si>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</si>
  <si>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</si>
  <si>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</si>
  <si>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</si>
  <si>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NP-232</t>
  </si>
  <si>
    <t>Cabin: 7 KG | Check-in: 40 KG</t>
  </si>
  <si>
    <t>+9 FOR SAME CLASS</t>
  </si>
  <si>
    <t>439 SAR</t>
  </si>
  <si>
    <t>flynas</t>
  </si>
  <si>
    <t>XY-894</t>
  </si>
  <si>
    <t>Cabin: 7 KG / Check-in: 20 KG</t>
  </si>
  <si>
    <t>3 FOR SAME CLASS</t>
  </si>
  <si>
    <t>479 SAR</t>
  </si>
  <si>
    <t>Cabin: 7 KG / Check-in: 30 KG</t>
  </si>
  <si>
    <t>579 SAR</t>
  </si>
  <si>
    <t>Cabin: 7 KG / Check-in: 2 x 40 KG</t>
  </si>
  <si>
    <t>669 SAR</t>
  </si>
  <si>
    <t>EgyptAir</t>
  </si>
  <si>
    <t>MS-688</t>
  </si>
  <si>
    <t>Cabin: 7 KG | Check-in: 2 PIECE</t>
  </si>
  <si>
    <t>697 SAR</t>
  </si>
  <si>
    <t>MS-682</t>
  </si>
  <si>
    <t>1,567 SAR</t>
  </si>
  <si>
    <t>flyadeal</t>
  </si>
  <si>
    <t>F3-911</t>
  </si>
  <si>
    <t>Cabin: 0 KG | Check-in: 15 KG</t>
  </si>
  <si>
    <t>10 FOR SAME CLASS</t>
  </si>
  <si>
    <t>339 SAR</t>
  </si>
  <si>
    <t>XY-854</t>
  </si>
  <si>
    <t>Cabin: 7 KG | Check-in: 20 KG</t>
  </si>
  <si>
    <t>6 FOR SAME CLASS</t>
  </si>
  <si>
    <t>349 SAR</t>
  </si>
  <si>
    <t>9 FOR SAME CLASS</t>
  </si>
  <si>
    <t>409 SAR</t>
  </si>
  <si>
    <t>NP-132</t>
  </si>
  <si>
    <t>7 FOR SAME CLASS</t>
  </si>
  <si>
    <t>379 SAR</t>
  </si>
  <si>
    <t>MS-684</t>
  </si>
  <si>
    <t>Cabin: 7 KG</t>
  </si>
  <si>
    <t>411 SAR</t>
  </si>
  <si>
    <t>637 SAR</t>
  </si>
  <si>
    <t>Air Cairo</t>
  </si>
  <si>
    <t>SM-434</t>
  </si>
  <si>
    <t>566 SAR</t>
  </si>
  <si>
    <t>SM434</t>
  </si>
  <si>
    <t>2025-11-29 00:00:00</t>
  </si>
  <si>
    <t>X9</t>
  </si>
  <si>
    <t>G1 &amp; S12 &amp; W2 &amp; T2 &amp; X7 &amp; U2 &amp; O4 &amp; I60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</si>
  <si>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</si>
  <si>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</si>
  <si>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</si>
  <si>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</si>
  <si>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</si>
  <si>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</si>
  <si>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</si>
  <si>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</si>
  <si>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348 SAR</t>
  </si>
  <si>
    <t>Cabin: 10 KG / Check-in: 2 x 40 KG</t>
  </si>
  <si>
    <t>472 SAR</t>
  </si>
  <si>
    <t>Nesma Airlines</t>
  </si>
  <si>
    <t>NE-155</t>
  </si>
  <si>
    <t>371 SAR</t>
  </si>
  <si>
    <t>Check-in: 15 KG</t>
  </si>
  <si>
    <t>17 FOR SAME CLASS</t>
  </si>
  <si>
    <t>399 SAR</t>
  </si>
  <si>
    <t>Cabin: 10 KG / Check-in: 25 KG</t>
  </si>
  <si>
    <t>549 SAR</t>
  </si>
  <si>
    <t>899 SAR</t>
  </si>
  <si>
    <t>757 SAR</t>
  </si>
  <si>
    <t>1,231 SAR</t>
  </si>
  <si>
    <t>12 FOR SAME CLASS</t>
  </si>
  <si>
    <t>489 SAR</t>
  </si>
  <si>
    <t>449 SAR</t>
  </si>
  <si>
    <t>539 SAR</t>
  </si>
  <si>
    <t>2 FOR SAME CLASS</t>
  </si>
  <si>
    <t>8 FOR SAME CLASS</t>
  </si>
  <si>
    <t>NP-332</t>
  </si>
  <si>
    <t>1 FOR SAME CLASS</t>
  </si>
  <si>
    <t>Cabin: 7 KG | Check-in: 1 PIECE</t>
  </si>
  <si>
    <t>5 FOR SAME CLASS</t>
  </si>
  <si>
    <t>437 SAR</t>
  </si>
  <si>
    <t>2025-11-30 00:00:00</t>
  </si>
  <si>
    <t>S4 &amp; W4 &amp; T10 &amp; X7 &amp; U4 &amp; O3 &amp; I60</t>
  </si>
  <si>
    <t>569 SAR</t>
  </si>
  <si>
    <t>521 SAR</t>
  </si>
  <si>
    <t>547 SAR</t>
  </si>
  <si>
    <t>817 SAR</t>
  </si>
  <si>
    <t>626 SAR</t>
  </si>
  <si>
    <t>T9</t>
  </si>
  <si>
    <t>S6 &amp; T4 &amp; X8 &amp; U10 &amp; O17 &amp; I40</t>
  </si>
  <si>
    <t>1,183 SAR</t>
  </si>
  <si>
    <t>16 FOR SAME CLASS</t>
  </si>
  <si>
    <t>309 SAR</t>
  </si>
  <si>
    <t>459 SAR</t>
  </si>
  <si>
    <t>354 SAR</t>
  </si>
  <si>
    <t>477 SAR</t>
  </si>
  <si>
    <t>S3 &amp; X1 &amp; U8 &amp; O4 &amp; I20</t>
  </si>
  <si>
    <t>1,085 SAR</t>
  </si>
  <si>
    <t>30 FOR SAME CLASS</t>
  </si>
  <si>
    <t>1,249 SAR</t>
  </si>
  <si>
    <t>NE-151</t>
  </si>
  <si>
    <t>19 FOR SAME CLASS</t>
  </si>
  <si>
    <t>18 FOR SAME CLASS</t>
  </si>
  <si>
    <t>S10 &amp; X10 &amp; U4 &amp; I24</t>
  </si>
  <si>
    <t>367 SAR</t>
  </si>
  <si>
    <t>490 SAR</t>
  </si>
  <si>
    <t>1,387 SAR</t>
  </si>
  <si>
    <t>563 SAR</t>
  </si>
  <si>
    <t>679 SAR</t>
  </si>
  <si>
    <t>769 SAR</t>
  </si>
  <si>
    <t>1,291 SAR</t>
  </si>
  <si>
    <t>15 FOR SAME CLASS</t>
  </si>
  <si>
    <t>369 SAR</t>
  </si>
  <si>
    <t>519 SAR</t>
  </si>
  <si>
    <t>499 SAR</t>
  </si>
  <si>
    <t>589 SAR</t>
  </si>
  <si>
    <t>429 SAR</t>
  </si>
  <si>
    <t>529 SAR</t>
  </si>
  <si>
    <t>619 SAR</t>
  </si>
  <si>
    <t>592 SAR</t>
  </si>
  <si>
    <t>425 SAR</t>
  </si>
  <si>
    <t>S1 &amp; W2 &amp; T2 &amp; O6 &amp; I30</t>
  </si>
  <si>
    <t>11 FOR SAME CLASS</t>
  </si>
  <si>
    <t>1,391 SAR</t>
  </si>
  <si>
    <t>2025-12-01 00:00:00</t>
  </si>
  <si>
    <t>X5</t>
  </si>
  <si>
    <t>S4 &amp; W6 &amp; T3 &amp; X6 &amp; U7 &amp; O7 &amp; I36</t>
  </si>
  <si>
    <t>20 FOR SAME CLASS</t>
  </si>
  <si>
    <t>415 SAR</t>
  </si>
  <si>
    <t>S6 &amp; W1 &amp; X5 &amp; I26</t>
  </si>
  <si>
    <t>509 SAR</t>
  </si>
  <si>
    <t>599 SAR</t>
  </si>
  <si>
    <t>2025-11-28 00:00:00</t>
  </si>
  <si>
    <t>S3 &amp; X6 &amp; U6 &amp; O5 &amp; I24</t>
  </si>
  <si>
    <t>N/A</t>
  </si>
  <si>
    <t>761 SAR</t>
  </si>
  <si>
    <t>S1 &amp; T1 &amp; U9 &amp; O4 &amp; I26</t>
  </si>
  <si>
    <t>G1 &amp; S1 &amp; X11 &amp; U6 &amp; O5 &amp; I25</t>
  </si>
  <si>
    <t>NE-153</t>
  </si>
  <si>
    <t>X1 &amp; U3 &amp; O5 &amp; I20</t>
  </si>
  <si>
    <t>554 SAR</t>
  </si>
  <si>
    <t>500 SAR</t>
  </si>
  <si>
    <t>21 FOR SAME CLASS</t>
  </si>
  <si>
    <t>701 SAR</t>
  </si>
  <si>
    <t>Cabin: 7 KG | Check-in: 30 KG</t>
  </si>
  <si>
    <t>S1 &amp; X2 &amp; U7 &amp; O7 &amp; I26</t>
  </si>
  <si>
    <t>S1 &amp; W1 &amp; X8 &amp; U9 &amp; O7 &amp; I26</t>
  </si>
  <si>
    <t>559 SAR</t>
  </si>
  <si>
    <t>S1 &amp; X2 &amp; U5 &amp; O8 &amp; I26</t>
  </si>
  <si>
    <t>716 SAR</t>
  </si>
  <si>
    <t>2025-11-27 00:00:00</t>
  </si>
  <si>
    <t>W9</t>
  </si>
  <si>
    <t>S4 &amp; O8 &amp; I26</t>
  </si>
  <si>
    <t>629 SAR</t>
  </si>
  <si>
    <t>709 SAR</t>
  </si>
  <si>
    <t>487 SAR</t>
  </si>
  <si>
    <t>517 SAR</t>
  </si>
  <si>
    <t>2026-11-26 00:00:00</t>
  </si>
  <si>
    <t>X2</t>
  </si>
  <si>
    <t>S1 &amp; T2 &amp; X6 &amp; U11 &amp; O1</t>
  </si>
  <si>
    <t>469 SAR</t>
  </si>
  <si>
    <t>596 SAR</t>
  </si>
  <si>
    <t>568 SAR</t>
  </si>
  <si>
    <t>2026-11-30 00:00:00</t>
  </si>
  <si>
    <t>T4</t>
  </si>
  <si>
    <t>S2 &amp; W1 &amp; T4 &amp; X9 &amp; U8 &amp; O3</t>
  </si>
  <si>
    <t>1,429 SAR</t>
  </si>
  <si>
    <t>474 SAR</t>
  </si>
  <si>
    <t>659 SAR</t>
  </si>
  <si>
    <t>749 SAR</t>
  </si>
  <si>
    <t>2026-11-28 00:00:00</t>
  </si>
  <si>
    <t>T7</t>
  </si>
  <si>
    <t>G4 &amp; S1 &amp; W2 &amp; T3 &amp; X10 &amp; U4</t>
  </si>
  <si>
    <t>506 SAR</t>
  </si>
  <si>
    <t>2026-11-27 00:00:00</t>
  </si>
  <si>
    <t>U2</t>
  </si>
  <si>
    <t>S1 &amp; X2 &amp; U8 &amp; O2</t>
  </si>
  <si>
    <t>621 SAR</t>
  </si>
  <si>
    <t>827 SAR</t>
  </si>
  <si>
    <t>759 SAR</t>
  </si>
  <si>
    <t>859 SAR</t>
  </si>
  <si>
    <t>949 SAR</t>
  </si>
  <si>
    <t>849 SAR</t>
  </si>
  <si>
    <t>1,109 SAR</t>
  </si>
  <si>
    <t>1,209 SAR</t>
  </si>
  <si>
    <t>1,299 SAR</t>
  </si>
  <si>
    <t>914 SAR</t>
  </si>
  <si>
    <t>1,023 SAR</t>
  </si>
  <si>
    <t>1,136 SAR</t>
  </si>
  <si>
    <t>V9</t>
  </si>
  <si>
    <t>L3 &amp; G16 &amp; S12 &amp; W3</t>
  </si>
  <si>
    <t>1,604 SAR</t>
  </si>
  <si>
    <t>699 SAR</t>
  </si>
  <si>
    <t>811 SAR</t>
  </si>
  <si>
    <t>879 SAR</t>
  </si>
  <si>
    <t>979 SAR</t>
  </si>
  <si>
    <t>1,069 SAR</t>
  </si>
  <si>
    <t>1,016 SAR</t>
  </si>
  <si>
    <t>L2</t>
  </si>
  <si>
    <t>L3 &amp; G15 &amp; S9 &amp; W6</t>
  </si>
  <si>
    <t>609 SAR</t>
  </si>
  <si>
    <t>799 SAR</t>
  </si>
  <si>
    <t>627 SAR</t>
  </si>
  <si>
    <t>832 SAR</t>
  </si>
  <si>
    <t>723 SAR</t>
  </si>
  <si>
    <t>896 SAR</t>
  </si>
  <si>
    <t>G3</t>
  </si>
  <si>
    <t>S13 &amp; W9</t>
  </si>
  <si>
    <t>2026-11-23 00:00:00</t>
  </si>
  <si>
    <t>G3 &amp; U9 &amp; O1</t>
  </si>
  <si>
    <t>505 SAR</t>
  </si>
  <si>
    <t>711 SAR</t>
  </si>
  <si>
    <t>2026-11-29 00:00:00</t>
  </si>
  <si>
    <t>T6</t>
  </si>
  <si>
    <t>G5 &amp; S4 &amp; T3 &amp; X12</t>
  </si>
  <si>
    <t>551 SAR</t>
  </si>
  <si>
    <t>W1 &amp; T2 &amp; X7 &amp; U10 &amp; O2</t>
  </si>
  <si>
    <t>511 SAR</t>
  </si>
  <si>
    <t>X6</t>
  </si>
  <si>
    <t>W5 &amp; U7 &amp; O3</t>
  </si>
  <si>
    <t>X6 &amp; U12 &amp; O1</t>
  </si>
  <si>
    <t>546 SAR</t>
  </si>
  <si>
    <t>752 SAR</t>
  </si>
  <si>
    <t>X5 &amp; U8 &amp; O5 &amp; I1</t>
  </si>
  <si>
    <t>X8</t>
  </si>
  <si>
    <t>X1 &amp; U7 &amp; O5</t>
  </si>
  <si>
    <t>X7</t>
  </si>
  <si>
    <t>X1 &amp; U7 &amp; O6</t>
  </si>
  <si>
    <t>795 SAR</t>
  </si>
  <si>
    <t>2026-11-22 00:00:00</t>
  </si>
  <si>
    <t>U1</t>
  </si>
  <si>
    <t>X5 &amp; U3 &amp; O4</t>
  </si>
  <si>
    <t>X4 &amp; U7 &amp; O5</t>
  </si>
  <si>
    <t>U11 &amp; O2</t>
  </si>
  <si>
    <t>S3 &amp; T1 &amp; X8 &amp; U4 &amp; O2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</si>
  <si>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</si>
  <si>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</si>
  <si>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</si>
  <si>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</si>
  <si>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</si>
  <si>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</si>
  <si>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</si>
  <si>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</si>
  <si>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</si>
  <si>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</si>
  <si>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</si>
  <si>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</si>
  <si>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</si>
  <si>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</si>
  <si>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</si>
  <si>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</si>
  <si>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</si>
  <si>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</si>
  <si>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</si>
  <si>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</si>
  <si>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</si>
  <si>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</si>
  <si>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</si>
  <si>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</si>
  <si>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</si>
  <si>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</si>
  <si>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</si>
  <si>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</si>
  <si>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</si>
  <si>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</si>
  <si>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</si>
  <si>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</si>
  <si>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</si>
  <si>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</si>
  <si>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S12</t>
  </si>
  <si>
    <t>W2</t>
  </si>
  <si>
    <t>T2</t>
  </si>
  <si>
    <t>O4</t>
  </si>
  <si>
    <t>I60</t>
  </si>
  <si>
    <t>THURSDAY</t>
  </si>
  <si>
    <t>22:10</t>
  </si>
  <si>
    <t>S4</t>
  </si>
  <si>
    <t>W4</t>
  </si>
  <si>
    <t>T10</t>
  </si>
  <si>
    <t>U4</t>
  </si>
  <si>
    <t>O3</t>
  </si>
  <si>
    <t>FRIDAY</t>
  </si>
  <si>
    <t>13:55</t>
  </si>
  <si>
    <t>S6</t>
  </si>
  <si>
    <t>U10</t>
  </si>
  <si>
    <t>O17</t>
  </si>
  <si>
    <t>I40</t>
  </si>
  <si>
    <t>SATURDAY</t>
  </si>
  <si>
    <t>S3</t>
  </si>
  <si>
    <t>X1</t>
  </si>
  <si>
    <t>U8</t>
  </si>
  <si>
    <t>I20</t>
  </si>
  <si>
    <t>S10</t>
  </si>
  <si>
    <t>X10</t>
  </si>
  <si>
    <t>I24</t>
  </si>
  <si>
    <t>S1</t>
  </si>
  <si>
    <t>O6</t>
  </si>
  <si>
    <t>I30</t>
  </si>
  <si>
    <t>W6</t>
  </si>
  <si>
    <t>T3</t>
  </si>
  <si>
    <t>U7</t>
  </si>
  <si>
    <t>O7</t>
  </si>
  <si>
    <t>I36</t>
  </si>
  <si>
    <t>W1</t>
  </si>
  <si>
    <t>I26</t>
  </si>
  <si>
    <t>U6</t>
  </si>
  <si>
    <t>O5</t>
  </si>
  <si>
    <t>S5</t>
  </si>
  <si>
    <t>I41</t>
  </si>
  <si>
    <t>T1</t>
  </si>
  <si>
    <t>U9</t>
  </si>
  <si>
    <t>X11</t>
  </si>
  <si>
    <t>I25</t>
  </si>
  <si>
    <t>U3</t>
  </si>
  <si>
    <t>U5</t>
  </si>
  <si>
    <t>O8</t>
  </si>
  <si>
    <t>U11</t>
  </si>
  <si>
    <t>O1</t>
  </si>
  <si>
    <t>S2</t>
  </si>
  <si>
    <t>G4</t>
  </si>
  <si>
    <t>O2</t>
  </si>
  <si>
    <t>L3</t>
  </si>
  <si>
    <t>G16</t>
  </si>
  <si>
    <t>W3</t>
  </si>
  <si>
    <t>G15</t>
  </si>
  <si>
    <t>S9</t>
  </si>
  <si>
    <t>S13</t>
  </si>
  <si>
    <t>G5</t>
  </si>
  <si>
    <t>X12</t>
  </si>
  <si>
    <t>W5</t>
  </si>
  <si>
    <t>U12</t>
  </si>
  <si>
    <t>I1</t>
  </si>
  <si>
    <t>X4</t>
  </si>
  <si>
    <t>DATE</t>
  </si>
  <si>
    <t>ROUTE</t>
  </si>
  <si>
    <t>2025-12-01</t>
  </si>
  <si>
    <t>23:00</t>
  </si>
  <si>
    <t>20:00</t>
  </si>
  <si>
    <t>20:45</t>
  </si>
  <si>
    <t>12:40</t>
  </si>
  <si>
    <t>2025-12-02</t>
  </si>
  <si>
    <t>07:20</t>
  </si>
  <si>
    <t>04:45</t>
  </si>
  <si>
    <t>04:05</t>
  </si>
  <si>
    <t>[LF] AVAILABLE</t>
  </si>
  <si>
    <t>THREAT STATUS</t>
  </si>
  <si>
    <t>REF</t>
  </si>
  <si>
    <t>CLOSE (-0.8)</t>
  </si>
  <si>
    <t>THREAT (+1.9)</t>
  </si>
  <si>
    <t>AHEAD (+0.2)</t>
  </si>
  <si>
    <t>CLOSE (-0.4)</t>
  </si>
  <si>
    <t>THREAT (+2.2)</t>
  </si>
  <si>
    <t>2025-12-03</t>
  </si>
  <si>
    <t>02:10</t>
  </si>
  <si>
    <t>THREAT (+2.0)</t>
  </si>
  <si>
    <t>2025-12-04</t>
  </si>
  <si>
    <t>04:50</t>
  </si>
  <si>
    <t>21:20</t>
  </si>
  <si>
    <t>13:30</t>
  </si>
  <si>
    <t>CLOSE (-0.3)</t>
  </si>
  <si>
    <t>THREAT (+6.3)</t>
  </si>
  <si>
    <t>20:05</t>
  </si>
  <si>
    <t>THREAT (+5.0)</t>
  </si>
  <si>
    <t>THREAT (+2.7)</t>
  </si>
  <si>
    <t>2025-12-05</t>
  </si>
  <si>
    <t>CLOSE (-0.9)</t>
  </si>
  <si>
    <t>CLOSE (-0.5)</t>
  </si>
  <si>
    <t>THREAT (+2.5)</t>
  </si>
  <si>
    <t>CLOSE (-0.0)</t>
  </si>
  <si>
    <t>THREAT (+1.3)</t>
  </si>
  <si>
    <t>THREAT (+1.7)</t>
  </si>
  <si>
    <t>THREAT (+6.6)</t>
  </si>
  <si>
    <t>THREAT (+3.3)</t>
  </si>
  <si>
    <t>2025-12-06</t>
  </si>
  <si>
    <t>CLOSE (-0.2)</t>
  </si>
  <si>
    <t>23:20</t>
  </si>
  <si>
    <t>AHEAD (+0.6)</t>
  </si>
  <si>
    <t>21:30</t>
  </si>
  <si>
    <t>AHEAD (+0.3)</t>
  </si>
  <si>
    <t>THREAT (+6.9)</t>
  </si>
  <si>
    <t>CLOSE (-0.6)</t>
  </si>
  <si>
    <t>THREAT (+6.0)</t>
  </si>
  <si>
    <t>THREAT (+2.6)</t>
  </si>
  <si>
    <t>2025-12-07</t>
  </si>
  <si>
    <t>05:20</t>
  </si>
  <si>
    <t>2025-12-09</t>
  </si>
  <si>
    <t>2025-12-10</t>
  </si>
  <si>
    <t>2025-12-11</t>
  </si>
  <si>
    <t>CLOSE (-0.7)</t>
  </si>
  <si>
    <t>THREAT (+6.4)</t>
  </si>
  <si>
    <t>THREAT (+1.2)</t>
  </si>
  <si>
    <t>THREAT (+6.1)</t>
  </si>
  <si>
    <t>2025-12-12</t>
  </si>
  <si>
    <t>2025-12-13</t>
  </si>
  <si>
    <t>2025-12-14</t>
  </si>
  <si>
    <t>20:25</t>
  </si>
  <si>
    <t>THREAT (+1.4)</t>
  </si>
  <si>
    <t>2025-12-16</t>
  </si>
  <si>
    <t>2025-12-17</t>
  </si>
  <si>
    <t>2025-12-19</t>
  </si>
  <si>
    <t>THREAT (+3.2)</t>
  </si>
  <si>
    <t>2025-12-20</t>
  </si>
  <si>
    <t>2025-12-21</t>
  </si>
  <si>
    <t>2025-12-23</t>
  </si>
  <si>
    <t>2025-12-24</t>
  </si>
  <si>
    <t>AHEAD (+0.7)</t>
  </si>
  <si>
    <t>2025-12-25</t>
  </si>
  <si>
    <t>AHEAD (+0.1)</t>
  </si>
  <si>
    <t>THREAT (+2.8)</t>
  </si>
  <si>
    <t>2025-12-26</t>
  </si>
  <si>
    <t>AHEAD (+0.4)</t>
  </si>
  <si>
    <t>2025-12-27</t>
  </si>
  <si>
    <t>22:40</t>
  </si>
  <si>
    <t>2025-12-28</t>
  </si>
  <si>
    <t>2025-12-30</t>
  </si>
  <si>
    <t>THREAT (+7.8)</t>
  </si>
  <si>
    <t>THREAT (+7.2)</t>
  </si>
  <si>
    <t>THREAT (+4.2)</t>
  </si>
  <si>
    <t>THREAT (+4.1)</t>
  </si>
  <si>
    <t>2025-12-31</t>
  </si>
  <si>
    <t>2026-01-01</t>
  </si>
  <si>
    <t>AHEAD (+0.0)</t>
  </si>
  <si>
    <t>CLOSE (-0.1)</t>
  </si>
  <si>
    <t>THREAT (+2.1)</t>
  </si>
  <si>
    <t>THREAT (+6.5)</t>
  </si>
  <si>
    <t>THREAT (+3.1)</t>
  </si>
  <si>
    <t>2026-01-02</t>
  </si>
  <si>
    <t>05:10</t>
  </si>
  <si>
    <t>THREAT (+6.7)</t>
  </si>
  <si>
    <t>THREAT (+4.8)</t>
  </si>
  <si>
    <t>2026-01-03</t>
  </si>
  <si>
    <t>THREAT (+1.5)</t>
  </si>
  <si>
    <t>THREAT (+7.0)</t>
  </si>
  <si>
    <t>2026-01-04</t>
  </si>
  <si>
    <t>2026-01-06</t>
  </si>
  <si>
    <t>THREAT (+5.1)</t>
  </si>
  <si>
    <t>2026-01-07</t>
  </si>
  <si>
    <t>AHEAD (+0.5)</t>
  </si>
  <si>
    <t>2026-01-08</t>
  </si>
  <si>
    <t>THREAT (+6.8)</t>
  </si>
  <si>
    <t>THREAT (+3.8)</t>
  </si>
  <si>
    <t>THREAT (+5.6)</t>
  </si>
  <si>
    <t>THREAT (+10.4)</t>
  </si>
  <si>
    <t>THREAT (+9.9)</t>
  </si>
  <si>
    <t>THREAT (+1.1)</t>
  </si>
  <si>
    <t>THREAT (+5.9)</t>
  </si>
  <si>
    <t>21:05</t>
  </si>
  <si>
    <t>THREAT (+4.6)</t>
  </si>
  <si>
    <t>2026-01-09</t>
  </si>
  <si>
    <t>THREAT (+2.4)</t>
  </si>
  <si>
    <t>THREAT (+5.2)</t>
  </si>
  <si>
    <t>THREAT (+3.4)</t>
  </si>
  <si>
    <t>2026-01-10</t>
  </si>
  <si>
    <t>THREAT (+4.4)</t>
  </si>
  <si>
    <t>THREAT (+8.5)</t>
  </si>
  <si>
    <t>THREAT (+9.7)</t>
  </si>
  <si>
    <t>THREAT (+8.1)</t>
  </si>
  <si>
    <t>THREAT (+7.5)</t>
  </si>
  <si>
    <t>2026-01-11</t>
  </si>
  <si>
    <t>THREAT (+3.0)</t>
  </si>
  <si>
    <t>THREAT (+1.6)</t>
  </si>
  <si>
    <t>THREAT (+9.0)</t>
  </si>
  <si>
    <t>THREAT (+4.0)</t>
  </si>
  <si>
    <t>2026-01-13</t>
  </si>
  <si>
    <t>THREAT (+3.6)</t>
  </si>
  <si>
    <t>2026-01-14</t>
  </si>
  <si>
    <t>2026-01-15</t>
  </si>
  <si>
    <t>23:10</t>
  </si>
  <si>
    <t>THREAT (+5.3)</t>
  </si>
  <si>
    <t>2026-01-16</t>
  </si>
  <si>
    <t>2026-01-17</t>
  </si>
  <si>
    <t>13:10</t>
  </si>
  <si>
    <t>THREAT (+5.7)</t>
  </si>
  <si>
    <t>2026-01-18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</si>
  <si>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</si>
  <si>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</si>
  <si>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</si>
  <si>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</si>
  <si>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</si>
  <si>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</si>
  <si>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</si>
  <si>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</si>
  <si>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</si>
  <si>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</si>
  <si>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</si>
  <si>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TOTAL</t>
  </si>
  <si>
    <t>NEED TO OPEN  I CLASS 
CHECK NP FARE AND BAGGAE</t>
  </si>
  <si>
    <t xml:space="preserve">NEED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</si>
</sst>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7" fillId="9" borderId="13" xfId="0" applyNumberFormat="1" applyFont="1" applyFill="1" applyBorder="1" applyAlignment="1">
      <alignment horizontal="center" vertical="center"/>
    </xf>
    <xf numFmtId="1" fontId="17" fillId="9" borderId="14" xfId="0" applyNumberFormat="1" applyFont="1" applyFill="1" applyBorder="1" applyAlignment="1">
      <alignment horizontal="center" vertical="center"/>
    </xf>
    <xf numFmtId="16" fontId="17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7" fillId="9" borderId="15" xfId="0" applyNumberFormat="1" applyFont="1" applyFill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" fontId="17" fillId="10" borderId="14" xfId="0" applyNumberFormat="1" applyFont="1" applyFill="1" applyBorder="1" applyAlignment="1">
      <alignment horizontal="center" vertical="center"/>
    </xf>
    <xf numFmtId="16" fontId="17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7" fillId="10" borderId="15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" fontId="17" fillId="11" borderId="14" xfId="0" applyNumberFormat="1" applyFont="1" applyFill="1" applyBorder="1" applyAlignment="1">
      <alignment horizontal="center" vertical="center"/>
    </xf>
    <xf numFmtId="16" fontId="17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7" fillId="11" borderId="15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" fontId="17" fillId="12" borderId="14" xfId="0" applyNumberFormat="1" applyFont="1" applyFill="1" applyBorder="1" applyAlignment="1">
      <alignment horizontal="center" vertical="center"/>
    </xf>
    <xf numFmtId="16" fontId="17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" fontId="17" fillId="13" borderId="14" xfId="0" applyNumberFormat="1" applyFont="1" applyFill="1" applyBorder="1" applyAlignment="1">
      <alignment horizontal="center" vertical="center"/>
    </xf>
    <xf numFmtId="16" fontId="17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" fontId="17" fillId="14" borderId="14" xfId="0" applyNumberFormat="1" applyFont="1" applyFill="1" applyBorder="1" applyAlignment="1">
      <alignment horizontal="center" vertical="center"/>
    </xf>
    <xf numFmtId="16" fontId="17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7" fillId="14" borderId="15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" fontId="17" fillId="15" borderId="14" xfId="0" applyNumberFormat="1" applyFont="1" applyFill="1" applyBorder="1" applyAlignment="1">
      <alignment horizontal="center" vertical="center"/>
    </xf>
    <xf numFmtId="16" fontId="17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7" fillId="15" borderId="15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" fontId="17" fillId="16" borderId="14" xfId="0" applyNumberFormat="1" applyFont="1" applyFill="1" applyBorder="1" applyAlignment="1">
      <alignment horizontal="center" vertical="center"/>
    </xf>
    <xf numFmtId="16" fontId="17" fillId="16" borderId="14" xfId="0" applyNumberFormat="1" applyFont="1" applyFill="1" applyBorder="1" applyAlignment="1">
      <alignment horizontal="center" vertical="center"/>
    </xf>
    <xf numFmtId="49" fontId="19" fillId="16" borderId="14" xfId="0" applyNumberFormat="1" applyFont="1" applyFill="1" applyBorder="1" applyAlignment="1">
      <alignment horizontal="center" vertical="center"/>
    </xf>
    <xf numFmtId="49" fontId="17" fillId="16" borderId="15" xfId="0" applyNumberFormat="1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7" fillId="9" borderId="14" xfId="0" applyNumberFormat="1" applyFont="1" applyFill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8" fillId="10" borderId="14" xfId="0" applyNumberFormat="1" applyFont="1" applyFill="1" applyBorder="1" applyAlignment="1">
      <alignment horizontal="center" vertical="center"/>
    </xf>
    <xf numFmtId="166" fontId="17" fillId="10" borderId="14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8" fillId="11" borderId="14" xfId="0" applyNumberFormat="1" applyFont="1" applyFill="1" applyBorder="1" applyAlignment="1">
      <alignment horizontal="center" vertical="center"/>
    </xf>
    <xf numFmtId="166" fontId="17" fillId="11" borderId="14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8" fillId="12" borderId="14" xfId="0" applyNumberFormat="1" applyFont="1" applyFill="1" applyBorder="1" applyAlignment="1">
      <alignment horizontal="center" vertical="center"/>
    </xf>
    <xf numFmtId="166" fontId="17" fillId="12" borderId="14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8" fillId="13" borderId="14" xfId="0" applyNumberFormat="1" applyFont="1" applyFill="1" applyBorder="1" applyAlignment="1">
      <alignment horizontal="center" vertical="center"/>
    </xf>
    <xf numFmtId="166" fontId="17" fillId="13" borderId="14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8" fillId="14" borderId="14" xfId="0" applyNumberFormat="1" applyFont="1" applyFill="1" applyBorder="1" applyAlignment="1">
      <alignment horizontal="center" vertical="center"/>
    </xf>
    <xf numFmtId="166" fontId="17" fillId="14" borderId="14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8" fillId="15" borderId="14" xfId="0" applyNumberFormat="1" applyFont="1" applyFill="1" applyBorder="1" applyAlignment="1">
      <alignment horizontal="center" vertical="center"/>
    </xf>
    <xf numFmtId="166" fontId="17" fillId="15" borderId="14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8" fillId="16" borderId="14" xfId="0" applyNumberFormat="1" applyFont="1" applyFill="1" applyBorder="1" applyAlignment="1">
      <alignment horizontal="center" vertical="center"/>
    </xf>
    <xf numFmtId="166" fontId="17" fillId="16" borderId="14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168" fontId="31" fillId="0" borderId="0" xfId="0" applyNumberFormat="1" applyFont="1" applyAlignment="1">
      <alignment horizontal="center" vertical="center"/>
    </xf>
    <xf numFmtId="15" fontId="31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15" fontId="32" fillId="20" borderId="0" xfId="0" applyNumberFormat="1" applyFont="1" applyFill="1" applyAlignment="1">
      <alignment horizontal="center" vertical="center"/>
    </xf>
    <xf numFmtId="167" fontId="32" fillId="20" borderId="0" xfId="0" applyNumberFormat="1" applyFont="1" applyFill="1" applyAlignment="1">
      <alignment horizontal="center" vertical="center"/>
    </xf>
    <xf numFmtId="1" fontId="32" fillId="20" borderId="0" xfId="0" applyNumberFormat="1" applyFont="1" applyFill="1" applyAlignment="1">
      <alignment horizontal="center" vertical="center"/>
    </xf>
    <xf numFmtId="0" fontId="32" fillId="20" borderId="0" xfId="0" applyNumberFormat="1" applyFont="1" applyFill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16" xfId="0" applyFont="1" applyBorder="1"/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75"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38" totalsRowCount="1" headerRowDxfId="74" dataDxfId="73" totalsRowDxfId="72">
  <tableColumns count="36">
    <tableColumn id="1" xr3:uid="{00000000-0010-0000-0000-000001000000}" name="Day" totalsRowLabel="TOTAL" dataDxfId="71" totalsRowDxfId="70"/>
    <tableColumn id="2" xr3:uid="{00000000-0010-0000-0000-000002000000}" name="Flt Dt" dataDxfId="69" totalsRowDxfId="68"/>
    <tableColumn id="3" xr3:uid="{00000000-0010-0000-0000-000003000000}" name="Flt" totalsRowFunction="count" dataDxfId="67" totalsRowDxfId="66"/>
    <tableColumn id="4" xr3:uid="{00000000-0010-0000-0000-000004000000}" name="DEP" dataDxfId="65" totalsRowDxfId="64"/>
    <tableColumn id="5" xr3:uid="{00000000-0010-0000-0000-000005000000}" name="Brd-Off" totalsRowFunction="count" dataDxfId="63" totalsRowDxfId="62"/>
    <tableColumn id="6" xr3:uid="{00000000-0010-0000-0000-000006000000}" name="Eqp" dataDxfId="61" totalsRowDxfId="60"/>
    <tableColumn id="7" xr3:uid="{00000000-0010-0000-0000-000007000000}" name="LF%" totalsRowFunction="average" dataDxfId="59" totalsRowDxfId="58"/>
    <tableColumn id="8" xr3:uid="{00000000-0010-0000-0000-000008000000}" name="CAP" totalsRowFunction="sum" dataDxfId="57" totalsRowDxfId="56"/>
    <tableColumn id="9" xr3:uid="{00000000-0010-0000-0000-000009000000}" name="BKG(Y)" totalsRowFunction="sum" dataDxfId="55" totalsRowDxfId="54"/>
    <tableColumn id="10" xr3:uid="{00000000-0010-0000-0000-00000A000000}" name="GRP(Y)" totalsRowFunction="sum" dataDxfId="53" totalsRowDxfId="52"/>
    <tableColumn id="11" xr3:uid="{00000000-0010-0000-0000-00000B000000}" name="FLT ST" dataDxfId="51" totalsRowDxfId="50"/>
    <tableColumn id="12" xr3:uid="{00000000-0010-0000-0000-00000C000000}" name="LST-SOLD" dataDxfId="49" totalsRowDxfId="48"/>
    <tableColumn id="13" xr3:uid="{00000000-0010-0000-0000-00000D000000}" name="TO-DAY" totalsRowFunction="sum" dataDxfId="47" totalsRowDxfId="46"/>
    <tableColumn id="14" xr3:uid="{00000000-0010-0000-0000-00000E000000}" name="Y-DAY" totalsRowFunction="sum" dataDxfId="45" totalsRowDxfId="44"/>
    <tableColumn id="15" xr3:uid="{00000000-0010-0000-0000-00000F000000}" name="WEEKLY" totalsRowFunction="sum" dataDxfId="43" totalsRowDxfId="42"/>
    <tableColumn id="16" xr3:uid="{00000000-0010-0000-0000-000010000000}" name="LOWEST AVAIL" dataDxfId="41" totalsRowDxfId="40"/>
    <tableColumn id="17" xr3:uid="{00000000-0010-0000-0000-000011000000}" name="Y" totalsRowFunction="sum" dataDxfId="39" totalsRowDxfId="38"/>
    <tableColumn id="18" xr3:uid="{00000000-0010-0000-0000-000012000000}" name="B" totalsRowFunction="sum" dataDxfId="37" totalsRowDxfId="36"/>
    <tableColumn id="19" xr3:uid="{00000000-0010-0000-0000-000013000000}" name="M" totalsRowFunction="sum" dataDxfId="35" totalsRowDxfId="34"/>
    <tableColumn id="20" xr3:uid="{00000000-0010-0000-0000-000014000000}" name="H" totalsRowFunction="sum" dataDxfId="33" totalsRowDxfId="32"/>
    <tableColumn id="21" xr3:uid="{00000000-0010-0000-0000-000015000000}" name="Q" totalsRowFunction="sum" dataDxfId="31" totalsRowDxfId="30"/>
    <tableColumn id="22" xr3:uid="{00000000-0010-0000-0000-000016000000}" name="K" totalsRowFunction="sum" dataDxfId="29" totalsRowDxfId="28"/>
    <tableColumn id="23" xr3:uid="{00000000-0010-0000-0000-000017000000}" name="V" totalsRowFunction="sum" dataDxfId="27" totalsRowDxfId="26"/>
    <tableColumn id="24" xr3:uid="{00000000-0010-0000-0000-000018000000}" name="L" totalsRowFunction="sum" dataDxfId="25" totalsRowDxfId="24"/>
    <tableColumn id="25" xr3:uid="{00000000-0010-0000-0000-000019000000}" name="G" totalsRowFunction="sum" dataDxfId="23" totalsRowDxfId="22"/>
    <tableColumn id="26" xr3:uid="{00000000-0010-0000-0000-00001A000000}" name="S" totalsRowFunction="sum" dataDxfId="21" totalsRowDxfId="20"/>
    <tableColumn id="27" xr3:uid="{00000000-0010-0000-0000-00001B000000}" name="W" totalsRowFunction="sum" dataDxfId="19" totalsRowDxfId="18"/>
    <tableColumn id="28" xr3:uid="{00000000-0010-0000-0000-00001C000000}" name="T" totalsRowFunction="sum" dataDxfId="17" totalsRowDxfId="16"/>
    <tableColumn id="29" xr3:uid="{00000000-0010-0000-0000-00001D000000}" name="X" totalsRowFunction="sum" dataDxfId="15" totalsRowDxfId="14"/>
    <tableColumn id="30" xr3:uid="{00000000-0010-0000-0000-00001E000000}" name="U" totalsRowFunction="sum" dataDxfId="13" totalsRowDxfId="12"/>
    <tableColumn id="31" xr3:uid="{00000000-0010-0000-0000-00001F000000}" name="O" totalsRowFunction="sum" dataDxfId="11" totalsRowDxfId="10"/>
    <tableColumn id="32" xr3:uid="{00000000-0010-0000-0000-000020000000}" name="I" totalsRowFunction="sum" dataDxfId="9" totalsRowDxfId="8"/>
    <tableColumn id="33" xr3:uid="{00000000-0010-0000-0000-000021000000}" name="E" totalsRowFunction="sum" dataDxfId="7" totalsRowDxfId="6"/>
    <tableColumn id="34" xr3:uid="{00000000-0010-0000-0000-000022000000}" name="A" totalsRowFunction="sum" dataDxfId="5" totalsRowDxfId="4"/>
    <tableColumn id="35" xr3:uid="{00000000-0010-0000-0000-000023000000}" name="P" totalsRowFunction="sum" dataDxfId="3" totalsRowDxfId="2"/>
    <tableColumn id="36" xr3:uid="{00000000-0010-0000-0000-000024000000}" name="N" totalsRowFunction="count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868" totalsRowShown="0">
  <autoFilter ref="A1:H86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471">
  <autoFilter ref="A1:I471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55"/>
  <sheetViews>
    <sheetView tabSelected="1" topLeftCell="A33" zoomScale="80" zoomScaleNormal="80" workbookViewId="0">
      <selection activeCell="G44" sqref="G44:G60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6.6640625" bestFit="1" customWidth="1"/>
    <col min="19" max="92" width="8" customWidth="1"/>
  </cols>
  <sheetData>
    <row r="1" spans="1:92" ht="28.8" customHeight="1" x14ac:dyDescent="0.3">
      <c r="A1" s="178" t="s">
        <v>0</v>
      </c>
      <c r="B1" s="176"/>
      <c r="C1" s="176"/>
      <c r="D1" s="176"/>
      <c r="E1" s="176"/>
      <c r="F1" s="1" t="s">
        <v>1</v>
      </c>
      <c r="G1" s="1" t="s">
        <v>2</v>
      </c>
      <c r="H1" s="177">
        <v>45992</v>
      </c>
      <c r="I1" s="176"/>
      <c r="J1" s="176"/>
      <c r="K1" s="176"/>
      <c r="L1" s="176"/>
      <c r="M1" s="1" t="s">
        <v>3</v>
      </c>
      <c r="N1" s="181">
        <v>46053</v>
      </c>
      <c r="O1" s="176"/>
      <c r="P1" s="176"/>
      <c r="Q1" s="176"/>
      <c r="R1" s="17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5" t="s">
        <v>4</v>
      </c>
      <c r="B2" s="176"/>
      <c r="C2" s="176"/>
      <c r="D2" s="176"/>
      <c r="E2" s="176"/>
      <c r="F2" s="176"/>
      <c r="G2" s="180">
        <v>45992.372471481482</v>
      </c>
      <c r="H2" s="176"/>
      <c r="I2" s="176"/>
      <c r="J2" s="176"/>
      <c r="K2" s="182">
        <v>45992.372471481482</v>
      </c>
      <c r="L2" s="176"/>
      <c r="M2" s="176"/>
      <c r="N2" s="176"/>
      <c r="O2" s="176"/>
      <c r="P2" s="176"/>
      <c r="Q2" s="176"/>
      <c r="R2" s="176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4" t="s">
        <v>5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5" t="s">
        <v>6</v>
      </c>
      <c r="B4" s="169"/>
      <c r="C4" s="169"/>
      <c r="D4" s="169"/>
      <c r="E4" s="169"/>
      <c r="F4" s="170"/>
      <c r="G4" s="107">
        <v>45992</v>
      </c>
      <c r="H4" s="183" t="s">
        <v>7</v>
      </c>
      <c r="I4" s="169"/>
      <c r="J4" s="169"/>
      <c r="K4" s="169"/>
      <c r="L4" s="169"/>
      <c r="M4" s="169"/>
      <c r="N4" s="169"/>
      <c r="O4" s="169"/>
      <c r="P4" s="169"/>
      <c r="Q4" s="169"/>
      <c r="R4" s="170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8">
        <v>0.95833333333333337</v>
      </c>
      <c r="D6" s="8" t="s">
        <v>28</v>
      </c>
      <c r="E6" s="8" t="s">
        <v>29</v>
      </c>
      <c r="F6" s="8" t="s">
        <v>30</v>
      </c>
      <c r="G6" s="1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31</v>
      </c>
      <c r="B7" s="14" t="s">
        <v>32</v>
      </c>
      <c r="C7" s="109">
        <v>0.83333333333333337</v>
      </c>
      <c r="D7" s="14" t="s">
        <v>33</v>
      </c>
      <c r="E7" s="14" t="s">
        <v>34</v>
      </c>
      <c r="F7" s="14" t="s">
        <v>35</v>
      </c>
      <c r="G7" s="1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5" t="s">
        <v>31</v>
      </c>
      <c r="B8" s="15" t="s">
        <v>32</v>
      </c>
      <c r="C8" s="110">
        <v>0.83333333333333337</v>
      </c>
      <c r="D8" s="15" t="s">
        <v>36</v>
      </c>
      <c r="E8" s="15" t="s">
        <v>34</v>
      </c>
      <c r="F8" s="15" t="s">
        <v>37</v>
      </c>
      <c r="G8" s="1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31</v>
      </c>
      <c r="B9" s="15" t="s">
        <v>32</v>
      </c>
      <c r="C9" s="110">
        <v>0.83333333333333337</v>
      </c>
      <c r="D9" s="15" t="s">
        <v>38</v>
      </c>
      <c r="E9" s="15" t="s">
        <v>34</v>
      </c>
      <c r="F9" s="15" t="s">
        <v>39</v>
      </c>
      <c r="G9" s="1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40</v>
      </c>
      <c r="B10" s="14" t="s">
        <v>41</v>
      </c>
      <c r="C10" s="109">
        <v>0.86458333333333337</v>
      </c>
      <c r="D10" s="14" t="s">
        <v>42</v>
      </c>
      <c r="E10" s="14" t="s">
        <v>29</v>
      </c>
      <c r="F10" s="14" t="s">
        <v>43</v>
      </c>
      <c r="G10" s="1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thickBot="1" x14ac:dyDescent="0.35">
      <c r="A11" s="16" t="s">
        <v>40</v>
      </c>
      <c r="B11" s="16" t="s">
        <v>44</v>
      </c>
      <c r="C11" s="111">
        <v>0.52777777777777779</v>
      </c>
      <c r="D11" s="16" t="s">
        <v>42</v>
      </c>
      <c r="E11" s="16" t="s">
        <v>29</v>
      </c>
      <c r="F11" s="16" t="s">
        <v>45</v>
      </c>
      <c r="G11" s="167"/>
      <c r="H11" s="17"/>
      <c r="I11" s="18"/>
      <c r="J11" s="18"/>
      <c r="K11" s="18"/>
      <c r="L11" s="18"/>
      <c r="M11" s="18"/>
      <c r="N11" s="18"/>
      <c r="O11" s="19"/>
      <c r="P11" s="18"/>
      <c r="Q11" s="20"/>
      <c r="R11" s="21"/>
    </row>
    <row r="12" spans="1:92" ht="17.399999999999999" customHeight="1" thickBot="1" x14ac:dyDescent="0.35">
      <c r="A12" s="172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4"/>
    </row>
    <row r="13" spans="1:92" ht="22.05" customHeight="1" thickTop="1" thickBot="1" x14ac:dyDescent="0.35">
      <c r="A13" s="168" t="s">
        <v>6</v>
      </c>
      <c r="B13" s="169"/>
      <c r="C13" s="169"/>
      <c r="D13" s="169"/>
      <c r="E13" s="169"/>
      <c r="F13" s="170"/>
      <c r="G13" s="112">
        <v>45993</v>
      </c>
      <c r="H13" s="171" t="s">
        <v>7</v>
      </c>
      <c r="I13" s="169"/>
      <c r="J13" s="169"/>
      <c r="K13" s="169"/>
      <c r="L13" s="169"/>
      <c r="M13" s="169"/>
      <c r="N13" s="169"/>
      <c r="O13" s="169"/>
      <c r="P13" s="169"/>
      <c r="Q13" s="169"/>
      <c r="R13" s="170"/>
    </row>
    <row r="14" spans="1:92" ht="24" customHeight="1" x14ac:dyDescent="0.3">
      <c r="A14" s="22" t="s">
        <v>8</v>
      </c>
      <c r="B14" s="22" t="s">
        <v>9</v>
      </c>
      <c r="C14" s="113" t="s">
        <v>10</v>
      </c>
      <c r="D14" s="22" t="s">
        <v>11</v>
      </c>
      <c r="E14" s="22" t="s">
        <v>12</v>
      </c>
      <c r="F14" s="23" t="s">
        <v>13</v>
      </c>
      <c r="G14" s="24" t="s">
        <v>14</v>
      </c>
      <c r="H14" s="22" t="s">
        <v>15</v>
      </c>
      <c r="I14" s="114" t="s">
        <v>16</v>
      </c>
      <c r="J14" s="25" t="s">
        <v>17</v>
      </c>
      <c r="K14" s="26" t="s">
        <v>18</v>
      </c>
      <c r="L14" s="25" t="s">
        <v>19</v>
      </c>
      <c r="M14" s="25" t="s">
        <v>20</v>
      </c>
      <c r="N14" s="25" t="s">
        <v>21</v>
      </c>
      <c r="O14" s="22" t="s">
        <v>22</v>
      </c>
      <c r="P14" s="113" t="s">
        <v>23</v>
      </c>
      <c r="Q14" s="25" t="s">
        <v>24</v>
      </c>
      <c r="R14" s="22" t="s">
        <v>25</v>
      </c>
    </row>
    <row r="15" spans="1:92" ht="15" customHeight="1" x14ac:dyDescent="0.3">
      <c r="A15" s="8" t="s">
        <v>46</v>
      </c>
      <c r="B15" s="8" t="s">
        <v>47</v>
      </c>
      <c r="C15" s="108">
        <v>0.30555555555555558</v>
      </c>
      <c r="D15" s="8" t="s">
        <v>48</v>
      </c>
      <c r="E15" s="8" t="s">
        <v>49</v>
      </c>
      <c r="F15" s="8" t="s">
        <v>50</v>
      </c>
      <c r="G15" s="186" t="s">
        <v>509</v>
      </c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31</v>
      </c>
      <c r="B16" s="14" t="s">
        <v>51</v>
      </c>
      <c r="C16" s="109">
        <v>0.19791666666666671</v>
      </c>
      <c r="D16" s="14" t="s">
        <v>52</v>
      </c>
      <c r="E16" s="14" t="s">
        <v>53</v>
      </c>
      <c r="F16" s="14" t="s">
        <v>54</v>
      </c>
      <c r="G16" s="1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27" t="s">
        <v>31</v>
      </c>
      <c r="B17" s="27" t="s">
        <v>32</v>
      </c>
      <c r="C17" s="115">
        <v>0.83333333333333337</v>
      </c>
      <c r="D17" s="27" t="s">
        <v>52</v>
      </c>
      <c r="E17" s="27" t="s">
        <v>55</v>
      </c>
      <c r="F17" s="27" t="s">
        <v>56</v>
      </c>
      <c r="G17" s="16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57</v>
      </c>
      <c r="C18" s="109">
        <v>0.95833333333333337</v>
      </c>
      <c r="D18" s="14" t="s">
        <v>28</v>
      </c>
      <c r="E18" s="14" t="s">
        <v>58</v>
      </c>
      <c r="F18" s="14" t="s">
        <v>59</v>
      </c>
      <c r="G18" s="1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40</v>
      </c>
      <c r="B19" s="14" t="s">
        <v>60</v>
      </c>
      <c r="C19" s="109">
        <v>0.1701388888888889</v>
      </c>
      <c r="D19" s="14" t="s">
        <v>61</v>
      </c>
      <c r="E19" s="14" t="s">
        <v>58</v>
      </c>
      <c r="F19" s="14" t="s">
        <v>62</v>
      </c>
      <c r="G19" s="1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7" t="s">
        <v>40</v>
      </c>
      <c r="B20" s="27" t="s">
        <v>41</v>
      </c>
      <c r="C20" s="115">
        <v>0.86458333333333337</v>
      </c>
      <c r="D20" s="27" t="s">
        <v>42</v>
      </c>
      <c r="E20" s="27" t="s">
        <v>29</v>
      </c>
      <c r="F20" s="27" t="s">
        <v>63</v>
      </c>
      <c r="G20" s="16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7" t="s">
        <v>40</v>
      </c>
      <c r="B21" s="27" t="s">
        <v>44</v>
      </c>
      <c r="C21" s="115">
        <v>0.52777777777777779</v>
      </c>
      <c r="D21" s="27" t="s">
        <v>42</v>
      </c>
      <c r="E21" s="27" t="s">
        <v>29</v>
      </c>
      <c r="F21" s="27" t="s">
        <v>43</v>
      </c>
      <c r="G21" s="16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8" t="s">
        <v>64</v>
      </c>
      <c r="B22" s="28" t="s">
        <v>65</v>
      </c>
      <c r="C22" s="116">
        <v>0.27083333333333331</v>
      </c>
      <c r="D22" s="28" t="s">
        <v>28</v>
      </c>
      <c r="E22" s="28" t="s">
        <v>29</v>
      </c>
      <c r="F22" s="28" t="s">
        <v>66</v>
      </c>
      <c r="G22" s="166"/>
      <c r="H22" s="29" t="s">
        <v>67</v>
      </c>
      <c r="I22" s="117">
        <v>0.53569999999999995</v>
      </c>
      <c r="J22" s="30">
        <v>90</v>
      </c>
      <c r="K22" s="31" t="s">
        <v>68</v>
      </c>
      <c r="L22" s="30">
        <v>39</v>
      </c>
      <c r="M22" s="30">
        <v>0</v>
      </c>
      <c r="N22" s="30">
        <v>0</v>
      </c>
      <c r="O22" s="32" t="s">
        <v>69</v>
      </c>
      <c r="P22" s="118">
        <v>0.27083333333333331</v>
      </c>
      <c r="Q22" s="30">
        <v>168</v>
      </c>
      <c r="R22" s="33" t="s">
        <v>70</v>
      </c>
    </row>
    <row r="23" spans="1:18" ht="15" customHeight="1" thickBot="1" x14ac:dyDescent="0.35">
      <c r="A23" s="34" t="s">
        <v>71</v>
      </c>
      <c r="B23" s="34" t="s">
        <v>72</v>
      </c>
      <c r="C23" s="119">
        <v>0.30555555555555558</v>
      </c>
      <c r="D23" s="34" t="s">
        <v>73</v>
      </c>
      <c r="E23" s="34" t="s">
        <v>74</v>
      </c>
      <c r="F23" s="34" t="s">
        <v>75</v>
      </c>
      <c r="G23" s="167"/>
      <c r="H23" s="17"/>
      <c r="I23" s="18"/>
      <c r="J23" s="18"/>
      <c r="K23" s="18"/>
      <c r="L23" s="18"/>
      <c r="M23" s="18"/>
      <c r="N23" s="18"/>
      <c r="O23" s="19"/>
      <c r="P23" s="18"/>
      <c r="Q23" s="20"/>
      <c r="R23" s="21"/>
    </row>
    <row r="24" spans="1:18" ht="17.399999999999999" customHeight="1" thickBot="1" x14ac:dyDescent="0.35">
      <c r="A24" s="172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4"/>
    </row>
    <row r="25" spans="1:18" ht="22.05" customHeight="1" thickTop="1" thickBot="1" x14ac:dyDescent="0.35">
      <c r="A25" s="168" t="s">
        <v>6</v>
      </c>
      <c r="B25" s="169"/>
      <c r="C25" s="169"/>
      <c r="D25" s="169"/>
      <c r="E25" s="169"/>
      <c r="F25" s="170"/>
      <c r="G25" s="112">
        <v>45994</v>
      </c>
      <c r="H25" s="171" t="s">
        <v>7</v>
      </c>
      <c r="I25" s="169"/>
      <c r="J25" s="169"/>
      <c r="K25" s="169"/>
      <c r="L25" s="169"/>
      <c r="M25" s="169"/>
      <c r="N25" s="169"/>
      <c r="O25" s="169"/>
      <c r="P25" s="169"/>
      <c r="Q25" s="169"/>
      <c r="R25" s="170"/>
    </row>
    <row r="26" spans="1:18" ht="24" customHeight="1" x14ac:dyDescent="0.3">
      <c r="A26" s="22" t="s">
        <v>8</v>
      </c>
      <c r="B26" s="22" t="s">
        <v>9</v>
      </c>
      <c r="C26" s="113" t="s">
        <v>10</v>
      </c>
      <c r="D26" s="22" t="s">
        <v>11</v>
      </c>
      <c r="E26" s="22" t="s">
        <v>12</v>
      </c>
      <c r="F26" s="23" t="s">
        <v>13</v>
      </c>
      <c r="G26" s="24" t="s">
        <v>14</v>
      </c>
      <c r="H26" s="22" t="s">
        <v>15</v>
      </c>
      <c r="I26" s="114" t="s">
        <v>16</v>
      </c>
      <c r="J26" s="25" t="s">
        <v>17</v>
      </c>
      <c r="K26" s="26" t="s">
        <v>18</v>
      </c>
      <c r="L26" s="25" t="s">
        <v>19</v>
      </c>
      <c r="M26" s="25" t="s">
        <v>20</v>
      </c>
      <c r="N26" s="25" t="s">
        <v>21</v>
      </c>
      <c r="O26" s="22" t="s">
        <v>22</v>
      </c>
      <c r="P26" s="113" t="s">
        <v>23</v>
      </c>
      <c r="Q26" s="25" t="s">
        <v>24</v>
      </c>
      <c r="R26" s="22" t="s">
        <v>25</v>
      </c>
    </row>
    <row r="27" spans="1:18" ht="15" customHeight="1" x14ac:dyDescent="0.3">
      <c r="A27" s="8" t="s">
        <v>76</v>
      </c>
      <c r="B27" s="8" t="s">
        <v>77</v>
      </c>
      <c r="C27" s="108">
        <v>0.97222222222222221</v>
      </c>
      <c r="D27" s="8" t="s">
        <v>78</v>
      </c>
      <c r="E27" s="8" t="s">
        <v>55</v>
      </c>
      <c r="F27" s="8" t="s">
        <v>79</v>
      </c>
      <c r="G27" s="1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5" t="s">
        <v>76</v>
      </c>
      <c r="B28" s="15" t="s">
        <v>77</v>
      </c>
      <c r="C28" s="110">
        <v>0.97222222222222221</v>
      </c>
      <c r="D28" s="15" t="s">
        <v>80</v>
      </c>
      <c r="E28" s="15" t="s">
        <v>55</v>
      </c>
      <c r="F28" s="15" t="s">
        <v>81</v>
      </c>
      <c r="G28" s="1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82</v>
      </c>
      <c r="B29" s="14" t="s">
        <v>83</v>
      </c>
      <c r="C29" s="109">
        <v>9.0277777777777776E-2</v>
      </c>
      <c r="D29" s="14" t="s">
        <v>28</v>
      </c>
      <c r="E29" s="14" t="s">
        <v>29</v>
      </c>
      <c r="F29" s="14" t="s">
        <v>84</v>
      </c>
      <c r="G29" s="1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09">
        <v>0.89583333333333337</v>
      </c>
      <c r="D30" s="14" t="s">
        <v>28</v>
      </c>
      <c r="E30" s="14" t="s">
        <v>74</v>
      </c>
      <c r="F30" s="14" t="s">
        <v>59</v>
      </c>
      <c r="G30" s="1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46</v>
      </c>
      <c r="B31" s="14" t="s">
        <v>47</v>
      </c>
      <c r="C31" s="109">
        <v>0.30555555555555558</v>
      </c>
      <c r="D31" s="14" t="s">
        <v>85</v>
      </c>
      <c r="E31" s="14" t="s">
        <v>86</v>
      </c>
      <c r="F31" s="14" t="s">
        <v>87</v>
      </c>
      <c r="G31" s="1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5" t="s">
        <v>46</v>
      </c>
      <c r="B32" s="15" t="s">
        <v>47</v>
      </c>
      <c r="C32" s="110">
        <v>0.30555555555555558</v>
      </c>
      <c r="D32" s="15" t="s">
        <v>88</v>
      </c>
      <c r="E32" s="15" t="s">
        <v>86</v>
      </c>
      <c r="F32" s="15" t="s">
        <v>89</v>
      </c>
      <c r="G32" s="1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46</v>
      </c>
      <c r="B33" s="15" t="s">
        <v>47</v>
      </c>
      <c r="C33" s="110">
        <v>0.30555555555555558</v>
      </c>
      <c r="D33" s="15" t="s">
        <v>80</v>
      </c>
      <c r="E33" s="15" t="s">
        <v>86</v>
      </c>
      <c r="F33" s="15" t="s">
        <v>90</v>
      </c>
      <c r="G33" s="1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40</v>
      </c>
      <c r="B34" s="14" t="s">
        <v>60</v>
      </c>
      <c r="C34" s="109">
        <v>0.1701388888888889</v>
      </c>
      <c r="D34" s="14" t="s">
        <v>61</v>
      </c>
      <c r="E34" s="14" t="s">
        <v>58</v>
      </c>
      <c r="F34" s="14" t="s">
        <v>62</v>
      </c>
      <c r="G34" s="1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40</v>
      </c>
      <c r="B35" s="27" t="s">
        <v>41</v>
      </c>
      <c r="C35" s="115">
        <v>0.86458333333333337</v>
      </c>
      <c r="D35" s="27" t="s">
        <v>42</v>
      </c>
      <c r="E35" s="27" t="s">
        <v>29</v>
      </c>
      <c r="F35" s="27" t="s">
        <v>43</v>
      </c>
      <c r="G35" s="1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7" t="s">
        <v>40</v>
      </c>
      <c r="B36" s="27" t="s">
        <v>44</v>
      </c>
      <c r="C36" s="115">
        <v>0.52777777777777779</v>
      </c>
      <c r="D36" s="27" t="s">
        <v>42</v>
      </c>
      <c r="E36" s="27" t="s">
        <v>29</v>
      </c>
      <c r="F36" s="27" t="s">
        <v>91</v>
      </c>
      <c r="G36" s="1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31</v>
      </c>
      <c r="B37" s="14" t="s">
        <v>32</v>
      </c>
      <c r="C37" s="109">
        <v>0.83333333333333337</v>
      </c>
      <c r="D37" s="14" t="s">
        <v>33</v>
      </c>
      <c r="E37" s="14" t="s">
        <v>55</v>
      </c>
      <c r="F37" s="14" t="s">
        <v>35</v>
      </c>
      <c r="G37" s="1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31</v>
      </c>
      <c r="B38" s="15" t="s">
        <v>32</v>
      </c>
      <c r="C38" s="110">
        <v>0.83333333333333337</v>
      </c>
      <c r="D38" s="15" t="s">
        <v>36</v>
      </c>
      <c r="E38" s="15" t="s">
        <v>55</v>
      </c>
      <c r="F38" s="15" t="s">
        <v>37</v>
      </c>
      <c r="G38" s="16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31</v>
      </c>
      <c r="B39" s="15" t="s">
        <v>32</v>
      </c>
      <c r="C39" s="110">
        <v>0.83333333333333337</v>
      </c>
      <c r="D39" s="15" t="s">
        <v>38</v>
      </c>
      <c r="E39" s="15" t="s">
        <v>55</v>
      </c>
      <c r="F39" s="15" t="s">
        <v>39</v>
      </c>
      <c r="G39" s="1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thickBot="1" x14ac:dyDescent="0.35">
      <c r="A40" s="34" t="s">
        <v>71</v>
      </c>
      <c r="B40" s="34" t="s">
        <v>72</v>
      </c>
      <c r="C40" s="119">
        <v>0.30555555555555558</v>
      </c>
      <c r="D40" s="34" t="s">
        <v>73</v>
      </c>
      <c r="E40" s="34" t="s">
        <v>74</v>
      </c>
      <c r="F40" s="34" t="s">
        <v>92</v>
      </c>
      <c r="G40" s="167"/>
      <c r="H40" s="17"/>
      <c r="I40" s="18"/>
      <c r="J40" s="18"/>
      <c r="K40" s="18"/>
      <c r="L40" s="18"/>
      <c r="M40" s="18"/>
      <c r="N40" s="18"/>
      <c r="O40" s="19"/>
      <c r="P40" s="18"/>
      <c r="Q40" s="20"/>
      <c r="R40" s="21"/>
    </row>
    <row r="41" spans="1:18" ht="17.399999999999999" customHeight="1" thickBot="1" x14ac:dyDescent="0.35">
      <c r="A41" s="172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4"/>
    </row>
    <row r="42" spans="1:18" ht="22.05" customHeight="1" thickTop="1" thickBot="1" x14ac:dyDescent="0.35">
      <c r="A42" s="168" t="s">
        <v>6</v>
      </c>
      <c r="B42" s="169"/>
      <c r="C42" s="169"/>
      <c r="D42" s="169"/>
      <c r="E42" s="169"/>
      <c r="F42" s="170"/>
      <c r="G42" s="112">
        <v>45995</v>
      </c>
      <c r="H42" s="171" t="s">
        <v>7</v>
      </c>
      <c r="I42" s="169"/>
      <c r="J42" s="169"/>
      <c r="K42" s="169"/>
      <c r="L42" s="169"/>
      <c r="M42" s="169"/>
      <c r="N42" s="169"/>
      <c r="O42" s="169"/>
      <c r="P42" s="169"/>
      <c r="Q42" s="169"/>
      <c r="R42" s="170"/>
    </row>
    <row r="43" spans="1:18" ht="24" customHeight="1" x14ac:dyDescent="0.3">
      <c r="A43" s="22" t="s">
        <v>8</v>
      </c>
      <c r="B43" s="22" t="s">
        <v>9</v>
      </c>
      <c r="C43" s="113" t="s">
        <v>10</v>
      </c>
      <c r="D43" s="22" t="s">
        <v>11</v>
      </c>
      <c r="E43" s="22" t="s">
        <v>12</v>
      </c>
      <c r="F43" s="23" t="s">
        <v>13</v>
      </c>
      <c r="G43" s="24" t="s">
        <v>14</v>
      </c>
      <c r="H43" s="22" t="s">
        <v>15</v>
      </c>
      <c r="I43" s="114" t="s">
        <v>16</v>
      </c>
      <c r="J43" s="25" t="s">
        <v>17</v>
      </c>
      <c r="K43" s="26" t="s">
        <v>18</v>
      </c>
      <c r="L43" s="25" t="s">
        <v>19</v>
      </c>
      <c r="M43" s="25" t="s">
        <v>20</v>
      </c>
      <c r="N43" s="25" t="s">
        <v>21</v>
      </c>
      <c r="O43" s="22" t="s">
        <v>22</v>
      </c>
      <c r="P43" s="113" t="s">
        <v>23</v>
      </c>
      <c r="Q43" s="25" t="s">
        <v>24</v>
      </c>
      <c r="R43" s="22" t="s">
        <v>25</v>
      </c>
    </row>
    <row r="44" spans="1:18" ht="15" customHeight="1" x14ac:dyDescent="0.3">
      <c r="A44" s="8" t="s">
        <v>46</v>
      </c>
      <c r="B44" s="8" t="s">
        <v>47</v>
      </c>
      <c r="C44" s="108">
        <v>0.30555555555555558</v>
      </c>
      <c r="D44" s="8" t="s">
        <v>85</v>
      </c>
      <c r="E44" s="8" t="s">
        <v>93</v>
      </c>
      <c r="F44" s="8" t="s">
        <v>50</v>
      </c>
      <c r="G44" s="165" t="s">
        <v>510</v>
      </c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5" t="s">
        <v>46</v>
      </c>
      <c r="B45" s="15" t="s">
        <v>47</v>
      </c>
      <c r="C45" s="110">
        <v>0.30555555555555558</v>
      </c>
      <c r="D45" s="15" t="s">
        <v>88</v>
      </c>
      <c r="E45" s="15" t="s">
        <v>93</v>
      </c>
      <c r="F45" s="15" t="s">
        <v>94</v>
      </c>
      <c r="G45" s="1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46</v>
      </c>
      <c r="B46" s="15" t="s">
        <v>47</v>
      </c>
      <c r="C46" s="110">
        <v>0.30555555555555558</v>
      </c>
      <c r="D46" s="15" t="s">
        <v>80</v>
      </c>
      <c r="E46" s="15" t="s">
        <v>93</v>
      </c>
      <c r="F46" s="15" t="s">
        <v>90</v>
      </c>
      <c r="G46" s="1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31</v>
      </c>
      <c r="B47" s="14" t="s">
        <v>51</v>
      </c>
      <c r="C47" s="109">
        <v>0.2013888888888889</v>
      </c>
      <c r="D47" s="14" t="s">
        <v>33</v>
      </c>
      <c r="E47" s="14" t="s">
        <v>53</v>
      </c>
      <c r="F47" s="14" t="s">
        <v>54</v>
      </c>
      <c r="G47" s="16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31</v>
      </c>
      <c r="B48" s="15" t="s">
        <v>51</v>
      </c>
      <c r="C48" s="110">
        <v>0.2013888888888889</v>
      </c>
      <c r="D48" s="15" t="s">
        <v>36</v>
      </c>
      <c r="E48" s="15" t="s">
        <v>53</v>
      </c>
      <c r="F48" s="15" t="s">
        <v>95</v>
      </c>
      <c r="G48" s="16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31</v>
      </c>
      <c r="B49" s="15" t="s">
        <v>51</v>
      </c>
      <c r="C49" s="110">
        <v>0.2013888888888889</v>
      </c>
      <c r="D49" s="15" t="s">
        <v>38</v>
      </c>
      <c r="E49" s="15" t="s">
        <v>53</v>
      </c>
      <c r="F49" s="15" t="s">
        <v>96</v>
      </c>
      <c r="G49" s="16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7" t="s">
        <v>31</v>
      </c>
      <c r="B50" s="27" t="s">
        <v>32</v>
      </c>
      <c r="C50" s="115">
        <v>0.83680555555555558</v>
      </c>
      <c r="D50" s="27" t="s">
        <v>33</v>
      </c>
      <c r="E50" s="27" t="s">
        <v>97</v>
      </c>
      <c r="F50" s="27" t="s">
        <v>35</v>
      </c>
      <c r="G50" s="1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31</v>
      </c>
      <c r="B51" s="15" t="s">
        <v>32</v>
      </c>
      <c r="C51" s="110">
        <v>0.83680555555555558</v>
      </c>
      <c r="D51" s="15" t="s">
        <v>36</v>
      </c>
      <c r="E51" s="15" t="s">
        <v>97</v>
      </c>
      <c r="F51" s="15" t="s">
        <v>37</v>
      </c>
      <c r="G51" s="1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5" t="s">
        <v>31</v>
      </c>
      <c r="B52" s="15" t="s">
        <v>32</v>
      </c>
      <c r="C52" s="110">
        <v>0.83680555555555558</v>
      </c>
      <c r="D52" s="15" t="s">
        <v>38</v>
      </c>
      <c r="E52" s="15" t="s">
        <v>97</v>
      </c>
      <c r="F52" s="15" t="s">
        <v>39</v>
      </c>
      <c r="G52" s="1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82</v>
      </c>
      <c r="B53" s="14" t="s">
        <v>83</v>
      </c>
      <c r="C53" s="109">
        <v>0.88888888888888884</v>
      </c>
      <c r="D53" s="14" t="s">
        <v>28</v>
      </c>
      <c r="E53" s="14" t="s">
        <v>98</v>
      </c>
      <c r="F53" s="14" t="s">
        <v>84</v>
      </c>
      <c r="G53" s="16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99</v>
      </c>
      <c r="C54" s="109">
        <v>0.5625</v>
      </c>
      <c r="D54" s="14" t="s">
        <v>28</v>
      </c>
      <c r="E54" s="14" t="s">
        <v>29</v>
      </c>
      <c r="F54" s="14" t="s">
        <v>59</v>
      </c>
      <c r="G54" s="16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7" t="s">
        <v>26</v>
      </c>
      <c r="B55" s="27" t="s">
        <v>57</v>
      </c>
      <c r="C55" s="115">
        <v>0.95833333333333337</v>
      </c>
      <c r="D55" s="27" t="s">
        <v>28</v>
      </c>
      <c r="E55" s="27" t="s">
        <v>29</v>
      </c>
      <c r="F55" s="27" t="s">
        <v>59</v>
      </c>
      <c r="G55" s="16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40</v>
      </c>
      <c r="B56" s="14" t="s">
        <v>41</v>
      </c>
      <c r="C56" s="109">
        <v>0.86458333333333337</v>
      </c>
      <c r="D56" s="14" t="s">
        <v>61</v>
      </c>
      <c r="E56" s="14" t="s">
        <v>100</v>
      </c>
      <c r="F56" s="14" t="s">
        <v>62</v>
      </c>
      <c r="G56" s="16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7" t="s">
        <v>40</v>
      </c>
      <c r="B57" s="27" t="s">
        <v>60</v>
      </c>
      <c r="C57" s="115">
        <v>0.1701388888888889</v>
      </c>
      <c r="D57" s="27" t="s">
        <v>61</v>
      </c>
      <c r="E57" s="27" t="s">
        <v>29</v>
      </c>
      <c r="F57" s="27" t="s">
        <v>62</v>
      </c>
      <c r="G57" s="16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7" t="s">
        <v>40</v>
      </c>
      <c r="B58" s="27" t="s">
        <v>44</v>
      </c>
      <c r="C58" s="115">
        <v>0.52777777777777779</v>
      </c>
      <c r="D58" s="27" t="s">
        <v>101</v>
      </c>
      <c r="E58" s="27" t="s">
        <v>102</v>
      </c>
      <c r="F58" s="27" t="s">
        <v>103</v>
      </c>
      <c r="G58" s="16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35" t="s">
        <v>64</v>
      </c>
      <c r="B59" s="35" t="s">
        <v>65</v>
      </c>
      <c r="C59" s="120">
        <v>0.92361111111111116</v>
      </c>
      <c r="D59" s="35" t="s">
        <v>28</v>
      </c>
      <c r="E59" s="35" t="s">
        <v>29</v>
      </c>
      <c r="F59" s="35" t="s">
        <v>66</v>
      </c>
      <c r="G59" s="166"/>
      <c r="H59" s="36" t="s">
        <v>67</v>
      </c>
      <c r="I59" s="121">
        <v>0.54759999999999998</v>
      </c>
      <c r="J59" s="37">
        <v>92</v>
      </c>
      <c r="K59" s="38" t="s">
        <v>104</v>
      </c>
      <c r="L59" s="37">
        <v>42</v>
      </c>
      <c r="M59" s="37">
        <v>0</v>
      </c>
      <c r="N59" s="37">
        <v>2</v>
      </c>
      <c r="O59" s="39" t="s">
        <v>69</v>
      </c>
      <c r="P59" s="122">
        <v>0.92361111111111116</v>
      </c>
      <c r="Q59" s="37">
        <v>168</v>
      </c>
      <c r="R59" s="40" t="s">
        <v>105</v>
      </c>
    </row>
    <row r="60" spans="1:18" ht="15" customHeight="1" thickBot="1" x14ac:dyDescent="0.35">
      <c r="A60" s="34" t="s">
        <v>71</v>
      </c>
      <c r="B60" s="34" t="s">
        <v>72</v>
      </c>
      <c r="C60" s="119">
        <v>0.30555555555555558</v>
      </c>
      <c r="D60" s="34" t="s">
        <v>73</v>
      </c>
      <c r="E60" s="34" t="s">
        <v>74</v>
      </c>
      <c r="F60" s="34" t="s">
        <v>75</v>
      </c>
      <c r="G60" s="167"/>
      <c r="H60" s="17"/>
      <c r="I60" s="18"/>
      <c r="J60" s="18"/>
      <c r="K60" s="18"/>
      <c r="L60" s="18"/>
      <c r="M60" s="18"/>
      <c r="N60" s="18"/>
      <c r="O60" s="19"/>
      <c r="P60" s="18"/>
      <c r="Q60" s="20"/>
      <c r="R60" s="21"/>
    </row>
    <row r="61" spans="1:18" ht="17.399999999999999" customHeight="1" thickBot="1" x14ac:dyDescent="0.35">
      <c r="A61" s="172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4"/>
    </row>
    <row r="62" spans="1:18" ht="22.05" customHeight="1" thickTop="1" thickBot="1" x14ac:dyDescent="0.35">
      <c r="A62" s="168" t="s">
        <v>6</v>
      </c>
      <c r="B62" s="169"/>
      <c r="C62" s="169"/>
      <c r="D62" s="169"/>
      <c r="E62" s="169"/>
      <c r="F62" s="170"/>
      <c r="G62" s="112">
        <v>45996</v>
      </c>
      <c r="H62" s="171" t="s">
        <v>7</v>
      </c>
      <c r="I62" s="169"/>
      <c r="J62" s="169"/>
      <c r="K62" s="169"/>
      <c r="L62" s="169"/>
      <c r="M62" s="169"/>
      <c r="N62" s="169"/>
      <c r="O62" s="169"/>
      <c r="P62" s="169"/>
      <c r="Q62" s="169"/>
      <c r="R62" s="170"/>
    </row>
    <row r="63" spans="1:18" ht="24" customHeight="1" x14ac:dyDescent="0.3">
      <c r="A63" s="22" t="s">
        <v>8</v>
      </c>
      <c r="B63" s="22" t="s">
        <v>9</v>
      </c>
      <c r="C63" s="113" t="s">
        <v>10</v>
      </c>
      <c r="D63" s="22" t="s">
        <v>11</v>
      </c>
      <c r="E63" s="22" t="s">
        <v>12</v>
      </c>
      <c r="F63" s="23" t="s">
        <v>13</v>
      </c>
      <c r="G63" s="24" t="s">
        <v>14</v>
      </c>
      <c r="H63" s="22" t="s">
        <v>15</v>
      </c>
      <c r="I63" s="114" t="s">
        <v>16</v>
      </c>
      <c r="J63" s="25" t="s">
        <v>17</v>
      </c>
      <c r="K63" s="26" t="s">
        <v>18</v>
      </c>
      <c r="L63" s="25" t="s">
        <v>19</v>
      </c>
      <c r="M63" s="25" t="s">
        <v>20</v>
      </c>
      <c r="N63" s="25" t="s">
        <v>21</v>
      </c>
      <c r="O63" s="22" t="s">
        <v>22</v>
      </c>
      <c r="P63" s="113" t="s">
        <v>23</v>
      </c>
      <c r="Q63" s="25" t="s">
        <v>24</v>
      </c>
      <c r="R63" s="22" t="s">
        <v>25</v>
      </c>
    </row>
    <row r="64" spans="1:18" ht="15" customHeight="1" x14ac:dyDescent="0.3">
      <c r="A64" s="8" t="s">
        <v>46</v>
      </c>
      <c r="B64" s="8" t="s">
        <v>47</v>
      </c>
      <c r="C64" s="108">
        <v>0.30555555555555558</v>
      </c>
      <c r="D64" s="8" t="s">
        <v>85</v>
      </c>
      <c r="E64" s="8" t="s">
        <v>100</v>
      </c>
      <c r="F64" s="8" t="s">
        <v>50</v>
      </c>
      <c r="G64" s="1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46</v>
      </c>
      <c r="B65" s="15" t="s">
        <v>47</v>
      </c>
      <c r="C65" s="110">
        <v>0.30555555555555558</v>
      </c>
      <c r="D65" s="15" t="s">
        <v>88</v>
      </c>
      <c r="E65" s="15" t="s">
        <v>100</v>
      </c>
      <c r="F65" s="15" t="s">
        <v>94</v>
      </c>
      <c r="G65" s="1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5" t="s">
        <v>46</v>
      </c>
      <c r="B66" s="15" t="s">
        <v>47</v>
      </c>
      <c r="C66" s="110">
        <v>0.30555555555555558</v>
      </c>
      <c r="D66" s="15" t="s">
        <v>80</v>
      </c>
      <c r="E66" s="15" t="s">
        <v>100</v>
      </c>
      <c r="F66" s="15" t="s">
        <v>90</v>
      </c>
      <c r="G66" s="1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31</v>
      </c>
      <c r="B67" s="14" t="s">
        <v>32</v>
      </c>
      <c r="C67" s="109">
        <v>0.83680555555555558</v>
      </c>
      <c r="D67" s="14" t="s">
        <v>33</v>
      </c>
      <c r="E67" s="14" t="s">
        <v>34</v>
      </c>
      <c r="F67" s="14" t="s">
        <v>59</v>
      </c>
      <c r="G67" s="1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5" t="s">
        <v>31</v>
      </c>
      <c r="B68" s="15" t="s">
        <v>32</v>
      </c>
      <c r="C68" s="110">
        <v>0.83680555555555558</v>
      </c>
      <c r="D68" s="15" t="s">
        <v>36</v>
      </c>
      <c r="E68" s="15" t="s">
        <v>34</v>
      </c>
      <c r="F68" s="15" t="s">
        <v>35</v>
      </c>
      <c r="G68" s="1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31</v>
      </c>
      <c r="B69" s="15" t="s">
        <v>32</v>
      </c>
      <c r="C69" s="110">
        <v>0.83680555555555558</v>
      </c>
      <c r="D69" s="15" t="s">
        <v>38</v>
      </c>
      <c r="E69" s="15" t="s">
        <v>34</v>
      </c>
      <c r="F69" s="15" t="s">
        <v>106</v>
      </c>
      <c r="G69" s="1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27</v>
      </c>
      <c r="C70" s="109">
        <v>0.95833333333333337</v>
      </c>
      <c r="D70" s="14" t="s">
        <v>28</v>
      </c>
      <c r="E70" s="14" t="s">
        <v>29</v>
      </c>
      <c r="F70" s="14" t="s">
        <v>59</v>
      </c>
      <c r="G70" s="16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40</v>
      </c>
      <c r="B71" s="14" t="s">
        <v>60</v>
      </c>
      <c r="C71" s="109">
        <v>0.1701388888888889</v>
      </c>
      <c r="D71" s="14" t="s">
        <v>42</v>
      </c>
      <c r="E71" s="14" t="s">
        <v>29</v>
      </c>
      <c r="F71" s="14" t="s">
        <v>107</v>
      </c>
      <c r="G71" s="1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7" t="s">
        <v>40</v>
      </c>
      <c r="B72" s="27" t="s">
        <v>41</v>
      </c>
      <c r="C72" s="115">
        <v>0.86458333333333337</v>
      </c>
      <c r="D72" s="27" t="s">
        <v>42</v>
      </c>
      <c r="E72" s="27" t="s">
        <v>29</v>
      </c>
      <c r="F72" s="27" t="s">
        <v>108</v>
      </c>
      <c r="G72" s="16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27" t="s">
        <v>40</v>
      </c>
      <c r="B73" s="27" t="s">
        <v>44</v>
      </c>
      <c r="C73" s="115">
        <v>0.52777777777777779</v>
      </c>
      <c r="D73" s="27" t="s">
        <v>42</v>
      </c>
      <c r="E73" s="27" t="s">
        <v>29</v>
      </c>
      <c r="F73" s="27" t="s">
        <v>109</v>
      </c>
      <c r="G73" s="16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41" t="s">
        <v>64</v>
      </c>
      <c r="B74" s="41" t="s">
        <v>65</v>
      </c>
      <c r="C74" s="123">
        <v>0.57986111111111116</v>
      </c>
      <c r="D74" s="41" t="s">
        <v>28</v>
      </c>
      <c r="E74" s="41" t="s">
        <v>29</v>
      </c>
      <c r="F74" s="41" t="s">
        <v>110</v>
      </c>
      <c r="G74" s="166"/>
      <c r="H74" s="42" t="s">
        <v>67</v>
      </c>
      <c r="I74" s="124">
        <v>0.50600000000000001</v>
      </c>
      <c r="J74" s="43">
        <v>85</v>
      </c>
      <c r="K74" s="44" t="s">
        <v>104</v>
      </c>
      <c r="L74" s="43">
        <v>27</v>
      </c>
      <c r="M74" s="43">
        <v>0</v>
      </c>
      <c r="N74" s="43">
        <v>1</v>
      </c>
      <c r="O74" s="45" t="s">
        <v>111</v>
      </c>
      <c r="P74" s="125">
        <v>0.57986111111111116</v>
      </c>
      <c r="Q74" s="43">
        <v>168</v>
      </c>
      <c r="R74" s="46" t="s">
        <v>112</v>
      </c>
    </row>
    <row r="75" spans="1:18" ht="15" customHeight="1" thickBot="1" x14ac:dyDescent="0.35">
      <c r="A75" s="34" t="s">
        <v>71</v>
      </c>
      <c r="B75" s="34" t="s">
        <v>72</v>
      </c>
      <c r="C75" s="119">
        <v>0.30555555555555558</v>
      </c>
      <c r="D75" s="34" t="s">
        <v>73</v>
      </c>
      <c r="E75" s="34" t="s">
        <v>74</v>
      </c>
      <c r="F75" s="34" t="s">
        <v>113</v>
      </c>
      <c r="G75" s="167"/>
      <c r="H75" s="17"/>
      <c r="I75" s="18"/>
      <c r="J75" s="18"/>
      <c r="K75" s="18"/>
      <c r="L75" s="18"/>
      <c r="M75" s="18"/>
      <c r="N75" s="18"/>
      <c r="O75" s="19"/>
      <c r="P75" s="18"/>
      <c r="Q75" s="20"/>
      <c r="R75" s="21"/>
    </row>
    <row r="76" spans="1:18" ht="17.399999999999999" customHeight="1" thickBot="1" x14ac:dyDescent="0.35">
      <c r="A76" s="172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4"/>
    </row>
    <row r="77" spans="1:18" ht="22.05" customHeight="1" thickTop="1" thickBot="1" x14ac:dyDescent="0.35">
      <c r="A77" s="168" t="s">
        <v>6</v>
      </c>
      <c r="B77" s="169"/>
      <c r="C77" s="169"/>
      <c r="D77" s="169"/>
      <c r="E77" s="169"/>
      <c r="F77" s="170"/>
      <c r="G77" s="112">
        <v>45997</v>
      </c>
      <c r="H77" s="171" t="s">
        <v>7</v>
      </c>
      <c r="I77" s="169"/>
      <c r="J77" s="169"/>
      <c r="K77" s="169"/>
      <c r="L77" s="169"/>
      <c r="M77" s="169"/>
      <c r="N77" s="169"/>
      <c r="O77" s="169"/>
      <c r="P77" s="169"/>
      <c r="Q77" s="169"/>
      <c r="R77" s="170"/>
    </row>
    <row r="78" spans="1:18" ht="24" customHeight="1" x14ac:dyDescent="0.3">
      <c r="A78" s="22" t="s">
        <v>8</v>
      </c>
      <c r="B78" s="22" t="s">
        <v>9</v>
      </c>
      <c r="C78" s="113" t="s">
        <v>10</v>
      </c>
      <c r="D78" s="22" t="s">
        <v>11</v>
      </c>
      <c r="E78" s="22" t="s">
        <v>12</v>
      </c>
      <c r="F78" s="23" t="s">
        <v>13</v>
      </c>
      <c r="G78" s="24" t="s">
        <v>14</v>
      </c>
      <c r="H78" s="22" t="s">
        <v>15</v>
      </c>
      <c r="I78" s="114" t="s">
        <v>16</v>
      </c>
      <c r="J78" s="25" t="s">
        <v>17</v>
      </c>
      <c r="K78" s="26" t="s">
        <v>18</v>
      </c>
      <c r="L78" s="25" t="s">
        <v>19</v>
      </c>
      <c r="M78" s="25" t="s">
        <v>20</v>
      </c>
      <c r="N78" s="25" t="s">
        <v>21</v>
      </c>
      <c r="O78" s="22" t="s">
        <v>22</v>
      </c>
      <c r="P78" s="113" t="s">
        <v>23</v>
      </c>
      <c r="Q78" s="25" t="s">
        <v>24</v>
      </c>
      <c r="R78" s="22" t="s">
        <v>25</v>
      </c>
    </row>
    <row r="79" spans="1:18" ht="15" customHeight="1" x14ac:dyDescent="0.3">
      <c r="A79" s="8" t="s">
        <v>46</v>
      </c>
      <c r="B79" s="8" t="s">
        <v>47</v>
      </c>
      <c r="C79" s="108">
        <v>0.30555555555555558</v>
      </c>
      <c r="D79" s="8" t="s">
        <v>85</v>
      </c>
      <c r="E79" s="8" t="s">
        <v>114</v>
      </c>
      <c r="F79" s="8" t="s">
        <v>115</v>
      </c>
      <c r="G79" s="1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5" t="s">
        <v>46</v>
      </c>
      <c r="B80" s="15" t="s">
        <v>47</v>
      </c>
      <c r="C80" s="110">
        <v>0.30555555555555558</v>
      </c>
      <c r="D80" s="15" t="s">
        <v>88</v>
      </c>
      <c r="E80" s="15" t="s">
        <v>114</v>
      </c>
      <c r="F80" s="15" t="s">
        <v>116</v>
      </c>
      <c r="G80" s="16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5" t="s">
        <v>46</v>
      </c>
      <c r="B81" s="15" t="s">
        <v>47</v>
      </c>
      <c r="C81" s="110">
        <v>0.30555555555555558</v>
      </c>
      <c r="D81" s="15" t="s">
        <v>80</v>
      </c>
      <c r="E81" s="15" t="s">
        <v>114</v>
      </c>
      <c r="F81" s="15" t="s">
        <v>90</v>
      </c>
      <c r="G81" s="16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31</v>
      </c>
      <c r="B82" s="14" t="s">
        <v>51</v>
      </c>
      <c r="C82" s="109">
        <v>0.2013888888888889</v>
      </c>
      <c r="D82" s="14" t="s">
        <v>33</v>
      </c>
      <c r="E82" s="14" t="s">
        <v>55</v>
      </c>
      <c r="F82" s="14" t="s">
        <v>54</v>
      </c>
      <c r="G82" s="16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31</v>
      </c>
      <c r="B83" s="15" t="s">
        <v>51</v>
      </c>
      <c r="C83" s="110">
        <v>0.2013888888888889</v>
      </c>
      <c r="D83" s="15" t="s">
        <v>36</v>
      </c>
      <c r="E83" s="15" t="s">
        <v>55</v>
      </c>
      <c r="F83" s="15" t="s">
        <v>95</v>
      </c>
      <c r="G83" s="16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5" t="s">
        <v>31</v>
      </c>
      <c r="B84" s="15" t="s">
        <v>51</v>
      </c>
      <c r="C84" s="110">
        <v>0.2013888888888889</v>
      </c>
      <c r="D84" s="15" t="s">
        <v>38</v>
      </c>
      <c r="E84" s="15" t="s">
        <v>55</v>
      </c>
      <c r="F84" s="15" t="s">
        <v>96</v>
      </c>
      <c r="G84" s="16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7" t="s">
        <v>31</v>
      </c>
      <c r="B85" s="27" t="s">
        <v>32</v>
      </c>
      <c r="C85" s="115">
        <v>0.83680555555555558</v>
      </c>
      <c r="D85" s="27" t="s">
        <v>33</v>
      </c>
      <c r="E85" s="27" t="s">
        <v>55</v>
      </c>
      <c r="F85" s="27" t="s">
        <v>59</v>
      </c>
      <c r="G85" s="1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5" t="s">
        <v>31</v>
      </c>
      <c r="B86" s="15" t="s">
        <v>32</v>
      </c>
      <c r="C86" s="110">
        <v>0.83680555555555558</v>
      </c>
      <c r="D86" s="15" t="s">
        <v>36</v>
      </c>
      <c r="E86" s="15" t="s">
        <v>55</v>
      </c>
      <c r="F86" s="15" t="s">
        <v>35</v>
      </c>
      <c r="G86" s="16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31</v>
      </c>
      <c r="B87" s="15" t="s">
        <v>32</v>
      </c>
      <c r="C87" s="110">
        <v>0.83680555555555558</v>
      </c>
      <c r="D87" s="15" t="s">
        <v>38</v>
      </c>
      <c r="E87" s="15" t="s">
        <v>55</v>
      </c>
      <c r="F87" s="15" t="s">
        <v>106</v>
      </c>
      <c r="G87" s="1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76</v>
      </c>
      <c r="B88" s="14" t="s">
        <v>77</v>
      </c>
      <c r="C88" s="109">
        <v>0.97222222222222221</v>
      </c>
      <c r="D88" s="14" t="s">
        <v>78</v>
      </c>
      <c r="E88" s="14" t="s">
        <v>55</v>
      </c>
      <c r="F88" s="14" t="s">
        <v>117</v>
      </c>
      <c r="G88" s="1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76</v>
      </c>
      <c r="B89" s="15" t="s">
        <v>77</v>
      </c>
      <c r="C89" s="110">
        <v>0.97222222222222221</v>
      </c>
      <c r="D89" s="15" t="s">
        <v>80</v>
      </c>
      <c r="E89" s="15" t="s">
        <v>55</v>
      </c>
      <c r="F89" s="15" t="s">
        <v>118</v>
      </c>
      <c r="G89" s="16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57</v>
      </c>
      <c r="C90" s="109">
        <v>0.89583333333333337</v>
      </c>
      <c r="D90" s="14" t="s">
        <v>28</v>
      </c>
      <c r="E90" s="14" t="s">
        <v>29</v>
      </c>
      <c r="F90" s="14" t="s">
        <v>59</v>
      </c>
      <c r="G90" s="1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40</v>
      </c>
      <c r="B91" s="14" t="s">
        <v>41</v>
      </c>
      <c r="C91" s="109">
        <v>0.86458333333333337</v>
      </c>
      <c r="D91" s="14" t="s">
        <v>61</v>
      </c>
      <c r="E91" s="14" t="s">
        <v>29</v>
      </c>
      <c r="F91" s="14" t="s">
        <v>62</v>
      </c>
      <c r="G91" s="1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7" t="s">
        <v>40</v>
      </c>
      <c r="B92" s="27" t="s">
        <v>60</v>
      </c>
      <c r="C92" s="115">
        <v>0.1701388888888889</v>
      </c>
      <c r="D92" s="27" t="s">
        <v>61</v>
      </c>
      <c r="E92" s="27" t="s">
        <v>29</v>
      </c>
      <c r="F92" s="27" t="s">
        <v>62</v>
      </c>
      <c r="G92" s="1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7" t="s">
        <v>40</v>
      </c>
      <c r="B93" s="27" t="s">
        <v>44</v>
      </c>
      <c r="C93" s="115">
        <v>0.52777777777777779</v>
      </c>
      <c r="D93" s="27" t="s">
        <v>42</v>
      </c>
      <c r="E93" s="27" t="s">
        <v>29</v>
      </c>
      <c r="F93" s="27" t="s">
        <v>91</v>
      </c>
      <c r="G93" s="1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47" t="s">
        <v>64</v>
      </c>
      <c r="B94" s="47" t="s">
        <v>65</v>
      </c>
      <c r="C94" s="126">
        <v>0.92361111111111116</v>
      </c>
      <c r="D94" s="47" t="s">
        <v>28</v>
      </c>
      <c r="E94" s="47" t="s">
        <v>29</v>
      </c>
      <c r="F94" s="47" t="s">
        <v>66</v>
      </c>
      <c r="G94" s="166"/>
      <c r="H94" s="48" t="s">
        <v>67</v>
      </c>
      <c r="I94" s="127">
        <v>0.21429999999999999</v>
      </c>
      <c r="J94" s="49">
        <v>36</v>
      </c>
      <c r="K94" s="50" t="s">
        <v>104</v>
      </c>
      <c r="L94" s="49">
        <v>14</v>
      </c>
      <c r="M94" s="49">
        <v>0</v>
      </c>
      <c r="N94" s="49">
        <v>2</v>
      </c>
      <c r="O94" s="51" t="s">
        <v>69</v>
      </c>
      <c r="P94" s="128">
        <v>0.92361111111111116</v>
      </c>
      <c r="Q94" s="49">
        <v>168</v>
      </c>
      <c r="R94" s="52" t="s">
        <v>119</v>
      </c>
    </row>
    <row r="95" spans="1:18" ht="15" customHeight="1" thickBot="1" x14ac:dyDescent="0.35">
      <c r="A95" s="34" t="s">
        <v>71</v>
      </c>
      <c r="B95" s="34" t="s">
        <v>72</v>
      </c>
      <c r="C95" s="119">
        <v>0.30555555555555558</v>
      </c>
      <c r="D95" s="34" t="s">
        <v>73</v>
      </c>
      <c r="E95" s="34" t="s">
        <v>74</v>
      </c>
      <c r="F95" s="34" t="s">
        <v>120</v>
      </c>
      <c r="G95" s="167"/>
      <c r="H95" s="17"/>
      <c r="I95" s="18"/>
      <c r="J95" s="18"/>
      <c r="K95" s="18"/>
      <c r="L95" s="18"/>
      <c r="M95" s="18"/>
      <c r="N95" s="18"/>
      <c r="O95" s="19"/>
      <c r="P95" s="18"/>
      <c r="Q95" s="20"/>
      <c r="R95" s="21"/>
    </row>
    <row r="96" spans="1:18" ht="17.399999999999999" customHeight="1" thickBot="1" x14ac:dyDescent="0.35">
      <c r="A96" s="172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4"/>
    </row>
    <row r="97" spans="1:18" ht="22.05" customHeight="1" thickTop="1" thickBot="1" x14ac:dyDescent="0.35">
      <c r="A97" s="168" t="s">
        <v>6</v>
      </c>
      <c r="B97" s="169"/>
      <c r="C97" s="169"/>
      <c r="D97" s="169"/>
      <c r="E97" s="169"/>
      <c r="F97" s="170"/>
      <c r="G97" s="112">
        <v>45998</v>
      </c>
      <c r="H97" s="171" t="s">
        <v>7</v>
      </c>
      <c r="I97" s="169"/>
      <c r="J97" s="169"/>
      <c r="K97" s="169"/>
      <c r="L97" s="169"/>
      <c r="M97" s="169"/>
      <c r="N97" s="169"/>
      <c r="O97" s="169"/>
      <c r="P97" s="169"/>
      <c r="Q97" s="169"/>
      <c r="R97" s="170"/>
    </row>
    <row r="98" spans="1:18" ht="24" customHeight="1" x14ac:dyDescent="0.3">
      <c r="A98" s="22" t="s">
        <v>8</v>
      </c>
      <c r="B98" s="22" t="s">
        <v>9</v>
      </c>
      <c r="C98" s="113" t="s">
        <v>10</v>
      </c>
      <c r="D98" s="22" t="s">
        <v>11</v>
      </c>
      <c r="E98" s="22" t="s">
        <v>12</v>
      </c>
      <c r="F98" s="23" t="s">
        <v>13</v>
      </c>
      <c r="G98" s="24" t="s">
        <v>14</v>
      </c>
      <c r="H98" s="22" t="s">
        <v>15</v>
      </c>
      <c r="I98" s="114" t="s">
        <v>16</v>
      </c>
      <c r="J98" s="25" t="s">
        <v>17</v>
      </c>
      <c r="K98" s="26" t="s">
        <v>18</v>
      </c>
      <c r="L98" s="25" t="s">
        <v>19</v>
      </c>
      <c r="M98" s="25" t="s">
        <v>20</v>
      </c>
      <c r="N98" s="25" t="s">
        <v>21</v>
      </c>
      <c r="O98" s="22" t="s">
        <v>22</v>
      </c>
      <c r="P98" s="113" t="s">
        <v>23</v>
      </c>
      <c r="Q98" s="25" t="s">
        <v>24</v>
      </c>
      <c r="R98" s="22" t="s">
        <v>25</v>
      </c>
    </row>
    <row r="99" spans="1:18" ht="15" customHeight="1" x14ac:dyDescent="0.3">
      <c r="A99" s="8" t="s">
        <v>46</v>
      </c>
      <c r="B99" s="8" t="s">
        <v>47</v>
      </c>
      <c r="C99" s="108">
        <v>0.30555555555555558</v>
      </c>
      <c r="D99" s="8" t="s">
        <v>85</v>
      </c>
      <c r="E99" s="8" t="s">
        <v>121</v>
      </c>
      <c r="F99" s="8" t="s">
        <v>50</v>
      </c>
      <c r="G99" s="1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5" t="s">
        <v>46</v>
      </c>
      <c r="B100" s="15" t="s">
        <v>47</v>
      </c>
      <c r="C100" s="110">
        <v>0.30555555555555558</v>
      </c>
      <c r="D100" s="15" t="s">
        <v>88</v>
      </c>
      <c r="E100" s="15" t="s">
        <v>121</v>
      </c>
      <c r="F100" s="15" t="s">
        <v>94</v>
      </c>
      <c r="G100" s="16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46</v>
      </c>
      <c r="B101" s="15" t="s">
        <v>47</v>
      </c>
      <c r="C101" s="110">
        <v>0.30555555555555558</v>
      </c>
      <c r="D101" s="15" t="s">
        <v>80</v>
      </c>
      <c r="E101" s="15" t="s">
        <v>121</v>
      </c>
      <c r="F101" s="15" t="s">
        <v>122</v>
      </c>
      <c r="G101" s="16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31</v>
      </c>
      <c r="B102" s="14" t="s">
        <v>32</v>
      </c>
      <c r="C102" s="109">
        <v>0.83680555555555558</v>
      </c>
      <c r="D102" s="14" t="s">
        <v>33</v>
      </c>
      <c r="E102" s="14" t="s">
        <v>74</v>
      </c>
      <c r="F102" s="14" t="s">
        <v>54</v>
      </c>
      <c r="G102" s="1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31</v>
      </c>
      <c r="B103" s="15" t="s">
        <v>32</v>
      </c>
      <c r="C103" s="110">
        <v>0.83680555555555558</v>
      </c>
      <c r="D103" s="15" t="s">
        <v>36</v>
      </c>
      <c r="E103" s="15" t="s">
        <v>74</v>
      </c>
      <c r="F103" s="15" t="s">
        <v>95</v>
      </c>
      <c r="G103" s="1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31</v>
      </c>
      <c r="B104" s="15" t="s">
        <v>32</v>
      </c>
      <c r="C104" s="110">
        <v>0.83680555555555558</v>
      </c>
      <c r="D104" s="15" t="s">
        <v>38</v>
      </c>
      <c r="E104" s="15" t="s">
        <v>74</v>
      </c>
      <c r="F104" s="15" t="s">
        <v>96</v>
      </c>
      <c r="G104" s="1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82</v>
      </c>
      <c r="B105" s="14" t="s">
        <v>123</v>
      </c>
      <c r="C105" s="109">
        <v>0.22222222222222221</v>
      </c>
      <c r="D105" s="14" t="s">
        <v>28</v>
      </c>
      <c r="E105" s="14" t="s">
        <v>29</v>
      </c>
      <c r="F105" s="14" t="s">
        <v>84</v>
      </c>
      <c r="G105" s="16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99</v>
      </c>
      <c r="C106" s="109">
        <v>0.95833333333333337</v>
      </c>
      <c r="D106" s="14" t="s">
        <v>28</v>
      </c>
      <c r="E106" s="14" t="s">
        <v>53</v>
      </c>
      <c r="F106" s="14" t="s">
        <v>59</v>
      </c>
      <c r="G106" s="16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40</v>
      </c>
      <c r="B107" s="14" t="s">
        <v>41</v>
      </c>
      <c r="C107" s="109">
        <v>0.86458333333333337</v>
      </c>
      <c r="D107" s="14" t="s">
        <v>61</v>
      </c>
      <c r="E107" s="14" t="s">
        <v>29</v>
      </c>
      <c r="F107" s="14" t="s">
        <v>62</v>
      </c>
      <c r="G107" s="16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7" t="s">
        <v>40</v>
      </c>
      <c r="B108" s="27" t="s">
        <v>44</v>
      </c>
      <c r="C108" s="115">
        <v>0.51388888888888884</v>
      </c>
      <c r="D108" s="27" t="s">
        <v>61</v>
      </c>
      <c r="E108" s="27" t="s">
        <v>58</v>
      </c>
      <c r="F108" s="27" t="s">
        <v>62</v>
      </c>
      <c r="G108" s="1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27" t="s">
        <v>40</v>
      </c>
      <c r="B109" s="27" t="s">
        <v>60</v>
      </c>
      <c r="C109" s="115">
        <v>0.1701388888888889</v>
      </c>
      <c r="D109" s="27" t="s">
        <v>61</v>
      </c>
      <c r="E109" s="27" t="s">
        <v>29</v>
      </c>
      <c r="F109" s="27" t="s">
        <v>62</v>
      </c>
      <c r="G109" s="1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thickBot="1" x14ac:dyDescent="0.35">
      <c r="A110" s="34" t="s">
        <v>71</v>
      </c>
      <c r="B110" s="34" t="s">
        <v>72</v>
      </c>
      <c r="C110" s="119">
        <v>0.30555555555555558</v>
      </c>
      <c r="D110" s="34" t="s">
        <v>73</v>
      </c>
      <c r="E110" s="34" t="s">
        <v>74</v>
      </c>
      <c r="F110" s="34" t="s">
        <v>75</v>
      </c>
      <c r="G110" s="167"/>
      <c r="H110" s="17"/>
      <c r="I110" s="18"/>
      <c r="J110" s="18"/>
      <c r="K110" s="18"/>
      <c r="L110" s="18"/>
      <c r="M110" s="18"/>
      <c r="N110" s="18"/>
      <c r="O110" s="19"/>
      <c r="P110" s="18"/>
      <c r="Q110" s="20"/>
      <c r="R110" s="21"/>
    </row>
    <row r="111" spans="1:18" ht="17.399999999999999" customHeight="1" thickBot="1" x14ac:dyDescent="0.35">
      <c r="A111" s="172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4"/>
    </row>
    <row r="112" spans="1:18" ht="22.05" customHeight="1" thickTop="1" thickBot="1" x14ac:dyDescent="0.35">
      <c r="A112" s="168" t="s">
        <v>6</v>
      </c>
      <c r="B112" s="169"/>
      <c r="C112" s="169"/>
      <c r="D112" s="169"/>
      <c r="E112" s="169"/>
      <c r="F112" s="170"/>
      <c r="G112" s="112">
        <v>45999</v>
      </c>
      <c r="H112" s="171" t="s">
        <v>7</v>
      </c>
      <c r="I112" s="169"/>
      <c r="J112" s="169"/>
      <c r="K112" s="169"/>
      <c r="L112" s="169"/>
      <c r="M112" s="169"/>
      <c r="N112" s="169"/>
      <c r="O112" s="169"/>
      <c r="P112" s="169"/>
      <c r="Q112" s="169"/>
      <c r="R112" s="170"/>
    </row>
    <row r="113" spans="1:18" ht="24" customHeight="1" x14ac:dyDescent="0.3">
      <c r="A113" s="22" t="s">
        <v>8</v>
      </c>
      <c r="B113" s="22" t="s">
        <v>9</v>
      </c>
      <c r="C113" s="113" t="s">
        <v>10</v>
      </c>
      <c r="D113" s="22" t="s">
        <v>11</v>
      </c>
      <c r="E113" s="22" t="s">
        <v>12</v>
      </c>
      <c r="F113" s="23" t="s">
        <v>13</v>
      </c>
      <c r="G113" s="24" t="s">
        <v>14</v>
      </c>
      <c r="H113" s="22" t="s">
        <v>15</v>
      </c>
      <c r="I113" s="114" t="s">
        <v>16</v>
      </c>
      <c r="J113" s="25" t="s">
        <v>17</v>
      </c>
      <c r="K113" s="26" t="s">
        <v>18</v>
      </c>
      <c r="L113" s="25" t="s">
        <v>19</v>
      </c>
      <c r="M113" s="25" t="s">
        <v>20</v>
      </c>
      <c r="N113" s="25" t="s">
        <v>21</v>
      </c>
      <c r="O113" s="22" t="s">
        <v>22</v>
      </c>
      <c r="P113" s="113" t="s">
        <v>23</v>
      </c>
      <c r="Q113" s="25" t="s">
        <v>24</v>
      </c>
      <c r="R113" s="22" t="s">
        <v>25</v>
      </c>
    </row>
    <row r="114" spans="1:18" ht="15" customHeight="1" x14ac:dyDescent="0.3">
      <c r="A114" s="8" t="s">
        <v>46</v>
      </c>
      <c r="B114" s="8" t="s">
        <v>47</v>
      </c>
      <c r="C114" s="108">
        <v>0.30555555555555558</v>
      </c>
      <c r="D114" s="8" t="s">
        <v>85</v>
      </c>
      <c r="E114" s="8" t="s">
        <v>124</v>
      </c>
      <c r="F114" s="8" t="s">
        <v>115</v>
      </c>
      <c r="G114" s="1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" t="s">
        <v>46</v>
      </c>
      <c r="B115" s="15" t="s">
        <v>47</v>
      </c>
      <c r="C115" s="110">
        <v>0.30555555555555558</v>
      </c>
      <c r="D115" s="15" t="s">
        <v>88</v>
      </c>
      <c r="E115" s="15" t="s">
        <v>124</v>
      </c>
      <c r="F115" s="15" t="s">
        <v>116</v>
      </c>
      <c r="G115" s="1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46</v>
      </c>
      <c r="B116" s="15" t="s">
        <v>47</v>
      </c>
      <c r="C116" s="110">
        <v>0.30555555555555558</v>
      </c>
      <c r="D116" s="15" t="s">
        <v>80</v>
      </c>
      <c r="E116" s="15" t="s">
        <v>124</v>
      </c>
      <c r="F116" s="15" t="s">
        <v>90</v>
      </c>
      <c r="G116" s="1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31</v>
      </c>
      <c r="B117" s="14" t="s">
        <v>51</v>
      </c>
      <c r="C117" s="109">
        <v>0.2013888888888889</v>
      </c>
      <c r="D117" s="14" t="s">
        <v>33</v>
      </c>
      <c r="E117" s="14" t="s">
        <v>55</v>
      </c>
      <c r="F117" s="14" t="s">
        <v>54</v>
      </c>
      <c r="G117" s="16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31</v>
      </c>
      <c r="B118" s="15" t="s">
        <v>51</v>
      </c>
      <c r="C118" s="110">
        <v>0.2013888888888889</v>
      </c>
      <c r="D118" s="15" t="s">
        <v>36</v>
      </c>
      <c r="E118" s="15" t="s">
        <v>55</v>
      </c>
      <c r="F118" s="15" t="s">
        <v>95</v>
      </c>
      <c r="G118" s="16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31</v>
      </c>
      <c r="B119" s="15" t="s">
        <v>51</v>
      </c>
      <c r="C119" s="110">
        <v>0.2013888888888889</v>
      </c>
      <c r="D119" s="15" t="s">
        <v>38</v>
      </c>
      <c r="E119" s="15" t="s">
        <v>55</v>
      </c>
      <c r="F119" s="15" t="s">
        <v>96</v>
      </c>
      <c r="G119" s="16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27" t="s">
        <v>31</v>
      </c>
      <c r="B120" s="27" t="s">
        <v>32</v>
      </c>
      <c r="C120" s="115">
        <v>0.83680555555555558</v>
      </c>
      <c r="D120" s="27" t="s">
        <v>33</v>
      </c>
      <c r="E120" s="27" t="s">
        <v>34</v>
      </c>
      <c r="F120" s="27" t="s">
        <v>59</v>
      </c>
      <c r="G120" s="16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31</v>
      </c>
      <c r="B121" s="15" t="s">
        <v>32</v>
      </c>
      <c r="C121" s="110">
        <v>0.83680555555555558</v>
      </c>
      <c r="D121" s="15" t="s">
        <v>36</v>
      </c>
      <c r="E121" s="15" t="s">
        <v>34</v>
      </c>
      <c r="F121" s="15" t="s">
        <v>35</v>
      </c>
      <c r="G121" s="16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31</v>
      </c>
      <c r="B122" s="15" t="s">
        <v>32</v>
      </c>
      <c r="C122" s="110">
        <v>0.83680555555555558</v>
      </c>
      <c r="D122" s="15" t="s">
        <v>38</v>
      </c>
      <c r="E122" s="15" t="s">
        <v>34</v>
      </c>
      <c r="F122" s="15" t="s">
        <v>106</v>
      </c>
      <c r="G122" s="1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27</v>
      </c>
      <c r="C123" s="109">
        <v>0.95833333333333337</v>
      </c>
      <c r="D123" s="14" t="s">
        <v>28</v>
      </c>
      <c r="E123" s="14" t="s">
        <v>29</v>
      </c>
      <c r="F123" s="14" t="s">
        <v>59</v>
      </c>
      <c r="G123" s="1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40</v>
      </c>
      <c r="B124" s="14" t="s">
        <v>41</v>
      </c>
      <c r="C124" s="109">
        <v>0.86458333333333337</v>
      </c>
      <c r="D124" s="14" t="s">
        <v>61</v>
      </c>
      <c r="E124" s="14" t="s">
        <v>98</v>
      </c>
      <c r="F124" s="14" t="s">
        <v>62</v>
      </c>
      <c r="G124" s="16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7" t="s">
        <v>40</v>
      </c>
      <c r="B125" s="27" t="s">
        <v>60</v>
      </c>
      <c r="C125" s="115">
        <v>0.1701388888888889</v>
      </c>
      <c r="D125" s="27" t="s">
        <v>61</v>
      </c>
      <c r="E125" s="27" t="s">
        <v>29</v>
      </c>
      <c r="F125" s="27" t="s">
        <v>62</v>
      </c>
      <c r="G125" s="16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40</v>
      </c>
      <c r="B126" s="27" t="s">
        <v>44</v>
      </c>
      <c r="C126" s="115">
        <v>0.52777777777777779</v>
      </c>
      <c r="D126" s="27" t="s">
        <v>42</v>
      </c>
      <c r="E126" s="27" t="s">
        <v>29</v>
      </c>
      <c r="F126" s="27" t="s">
        <v>43</v>
      </c>
      <c r="G126" s="16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thickBot="1" x14ac:dyDescent="0.35">
      <c r="A127" s="34" t="s">
        <v>71</v>
      </c>
      <c r="B127" s="34" t="s">
        <v>72</v>
      </c>
      <c r="C127" s="119">
        <v>0.30555555555555558</v>
      </c>
      <c r="D127" s="34" t="s">
        <v>73</v>
      </c>
      <c r="E127" s="34" t="s">
        <v>74</v>
      </c>
      <c r="F127" s="34" t="s">
        <v>120</v>
      </c>
      <c r="G127" s="167"/>
      <c r="H127" s="17"/>
      <c r="I127" s="18"/>
      <c r="J127" s="18"/>
      <c r="K127" s="18"/>
      <c r="L127" s="18"/>
      <c r="M127" s="18"/>
      <c r="N127" s="18"/>
      <c r="O127" s="19"/>
      <c r="P127" s="18"/>
      <c r="Q127" s="20"/>
      <c r="R127" s="21"/>
    </row>
    <row r="128" spans="1:18" ht="17.399999999999999" customHeight="1" thickBot="1" x14ac:dyDescent="0.35">
      <c r="A128" s="172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4"/>
    </row>
    <row r="129" spans="1:18" ht="22.05" customHeight="1" thickTop="1" thickBot="1" x14ac:dyDescent="0.35">
      <c r="A129" s="168" t="s">
        <v>6</v>
      </c>
      <c r="B129" s="169"/>
      <c r="C129" s="169"/>
      <c r="D129" s="169"/>
      <c r="E129" s="169"/>
      <c r="F129" s="170"/>
      <c r="G129" s="112">
        <v>46000</v>
      </c>
      <c r="H129" s="171" t="s">
        <v>7</v>
      </c>
      <c r="I129" s="169"/>
      <c r="J129" s="169"/>
      <c r="K129" s="169"/>
      <c r="L129" s="169"/>
      <c r="M129" s="169"/>
      <c r="N129" s="169"/>
      <c r="O129" s="169"/>
      <c r="P129" s="169"/>
      <c r="Q129" s="169"/>
      <c r="R129" s="170"/>
    </row>
    <row r="130" spans="1:18" ht="24" customHeight="1" x14ac:dyDescent="0.3">
      <c r="A130" s="22" t="s">
        <v>8</v>
      </c>
      <c r="B130" s="22" t="s">
        <v>9</v>
      </c>
      <c r="C130" s="113" t="s">
        <v>10</v>
      </c>
      <c r="D130" s="22" t="s">
        <v>11</v>
      </c>
      <c r="E130" s="22" t="s">
        <v>12</v>
      </c>
      <c r="F130" s="23" t="s">
        <v>13</v>
      </c>
      <c r="G130" s="24" t="s">
        <v>14</v>
      </c>
      <c r="H130" s="22" t="s">
        <v>15</v>
      </c>
      <c r="I130" s="114" t="s">
        <v>16</v>
      </c>
      <c r="J130" s="25" t="s">
        <v>17</v>
      </c>
      <c r="K130" s="26" t="s">
        <v>18</v>
      </c>
      <c r="L130" s="25" t="s">
        <v>19</v>
      </c>
      <c r="M130" s="25" t="s">
        <v>20</v>
      </c>
      <c r="N130" s="25" t="s">
        <v>21</v>
      </c>
      <c r="O130" s="22" t="s">
        <v>22</v>
      </c>
      <c r="P130" s="113" t="s">
        <v>23</v>
      </c>
      <c r="Q130" s="25" t="s">
        <v>24</v>
      </c>
      <c r="R130" s="22" t="s">
        <v>25</v>
      </c>
    </row>
    <row r="131" spans="1:18" ht="15" customHeight="1" x14ac:dyDescent="0.3">
      <c r="A131" s="8" t="s">
        <v>46</v>
      </c>
      <c r="B131" s="8" t="s">
        <v>47</v>
      </c>
      <c r="C131" s="108">
        <v>0.30555555555555558</v>
      </c>
      <c r="D131" s="8" t="s">
        <v>48</v>
      </c>
      <c r="E131" s="8" t="s">
        <v>125</v>
      </c>
      <c r="F131" s="8" t="s">
        <v>115</v>
      </c>
      <c r="G131" s="1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31</v>
      </c>
      <c r="B132" s="14" t="s">
        <v>32</v>
      </c>
      <c r="C132" s="109">
        <v>0.83680555555555558</v>
      </c>
      <c r="D132" s="14" t="s">
        <v>52</v>
      </c>
      <c r="E132" s="14" t="s">
        <v>55</v>
      </c>
      <c r="F132" s="14" t="s">
        <v>54</v>
      </c>
      <c r="G132" s="16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7" t="s">
        <v>31</v>
      </c>
      <c r="B133" s="27" t="s">
        <v>51</v>
      </c>
      <c r="C133" s="115">
        <v>0.2013888888888889</v>
      </c>
      <c r="D133" s="27" t="s">
        <v>52</v>
      </c>
      <c r="E133" s="27" t="s">
        <v>55</v>
      </c>
      <c r="F133" s="27" t="s">
        <v>54</v>
      </c>
      <c r="G133" s="1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57</v>
      </c>
      <c r="C134" s="109">
        <v>0.95833333333333337</v>
      </c>
      <c r="D134" s="14" t="s">
        <v>28</v>
      </c>
      <c r="E134" s="14" t="s">
        <v>29</v>
      </c>
      <c r="F134" s="14" t="s">
        <v>59</v>
      </c>
      <c r="G134" s="1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40</v>
      </c>
      <c r="B135" s="14" t="s">
        <v>41</v>
      </c>
      <c r="C135" s="109">
        <v>0.86458333333333337</v>
      </c>
      <c r="D135" s="14" t="s">
        <v>61</v>
      </c>
      <c r="E135" s="14" t="s">
        <v>98</v>
      </c>
      <c r="F135" s="14" t="s">
        <v>62</v>
      </c>
      <c r="G135" s="1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7" t="s">
        <v>40</v>
      </c>
      <c r="B136" s="27" t="s">
        <v>60</v>
      </c>
      <c r="C136" s="115">
        <v>0.1701388888888889</v>
      </c>
      <c r="D136" s="27" t="s">
        <v>61</v>
      </c>
      <c r="E136" s="27" t="s">
        <v>29</v>
      </c>
      <c r="F136" s="27" t="s">
        <v>62</v>
      </c>
      <c r="G136" s="1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7" t="s">
        <v>40</v>
      </c>
      <c r="B137" s="27" t="s">
        <v>44</v>
      </c>
      <c r="C137" s="115">
        <v>0.52777777777777779</v>
      </c>
      <c r="D137" s="27" t="s">
        <v>42</v>
      </c>
      <c r="E137" s="27" t="s">
        <v>29</v>
      </c>
      <c r="F137" s="27" t="s">
        <v>43</v>
      </c>
      <c r="G137" s="1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53" t="s">
        <v>64</v>
      </c>
      <c r="B138" s="53" t="s">
        <v>65</v>
      </c>
      <c r="C138" s="129">
        <v>0.27083333333333331</v>
      </c>
      <c r="D138" s="53" t="s">
        <v>28</v>
      </c>
      <c r="E138" s="53" t="s">
        <v>29</v>
      </c>
      <c r="F138" s="53" t="s">
        <v>66</v>
      </c>
      <c r="G138" s="166"/>
      <c r="H138" s="54" t="s">
        <v>67</v>
      </c>
      <c r="I138" s="130">
        <v>0.28570000000000001</v>
      </c>
      <c r="J138" s="55">
        <v>48</v>
      </c>
      <c r="K138" s="56" t="s">
        <v>68</v>
      </c>
      <c r="L138" s="55">
        <v>13</v>
      </c>
      <c r="M138" s="55">
        <v>0</v>
      </c>
      <c r="N138" s="55">
        <v>0</v>
      </c>
      <c r="O138" s="57" t="s">
        <v>69</v>
      </c>
      <c r="P138" s="131">
        <v>0.27083333333333331</v>
      </c>
      <c r="Q138" s="55">
        <v>168</v>
      </c>
      <c r="R138" s="58" t="s">
        <v>126</v>
      </c>
    </row>
    <row r="139" spans="1:18" ht="15" customHeight="1" thickBot="1" x14ac:dyDescent="0.35">
      <c r="A139" s="34" t="s">
        <v>71</v>
      </c>
      <c r="B139" s="34" t="s">
        <v>72</v>
      </c>
      <c r="C139" s="119">
        <v>0.30555555555555558</v>
      </c>
      <c r="D139" s="34" t="s">
        <v>73</v>
      </c>
      <c r="E139" s="34" t="s">
        <v>74</v>
      </c>
      <c r="F139" s="34" t="s">
        <v>120</v>
      </c>
      <c r="G139" s="167"/>
      <c r="H139" s="17"/>
      <c r="I139" s="18"/>
      <c r="J139" s="18"/>
      <c r="K139" s="18"/>
      <c r="L139" s="18"/>
      <c r="M139" s="18"/>
      <c r="N139" s="18"/>
      <c r="O139" s="19"/>
      <c r="P139" s="18"/>
      <c r="Q139" s="20"/>
      <c r="R139" s="21"/>
    </row>
    <row r="140" spans="1:18" ht="17.399999999999999" customHeight="1" thickBot="1" x14ac:dyDescent="0.35">
      <c r="A140" s="172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4"/>
    </row>
    <row r="141" spans="1:18" ht="22.05" customHeight="1" thickTop="1" thickBot="1" x14ac:dyDescent="0.35">
      <c r="A141" s="168" t="s">
        <v>6</v>
      </c>
      <c r="B141" s="169"/>
      <c r="C141" s="169"/>
      <c r="D141" s="169"/>
      <c r="E141" s="169"/>
      <c r="F141" s="170"/>
      <c r="G141" s="112">
        <v>46001</v>
      </c>
      <c r="H141" s="171" t="s">
        <v>7</v>
      </c>
      <c r="I141" s="169"/>
      <c r="J141" s="169"/>
      <c r="K141" s="169"/>
      <c r="L141" s="169"/>
      <c r="M141" s="169"/>
      <c r="N141" s="169"/>
      <c r="O141" s="169"/>
      <c r="P141" s="169"/>
      <c r="Q141" s="169"/>
      <c r="R141" s="170"/>
    </row>
    <row r="142" spans="1:18" ht="24" customHeight="1" x14ac:dyDescent="0.3">
      <c r="A142" s="22" t="s">
        <v>8</v>
      </c>
      <c r="B142" s="22" t="s">
        <v>9</v>
      </c>
      <c r="C142" s="113" t="s">
        <v>10</v>
      </c>
      <c r="D142" s="22" t="s">
        <v>11</v>
      </c>
      <c r="E142" s="22" t="s">
        <v>12</v>
      </c>
      <c r="F142" s="23" t="s">
        <v>13</v>
      </c>
      <c r="G142" s="24" t="s">
        <v>14</v>
      </c>
      <c r="H142" s="22" t="s">
        <v>15</v>
      </c>
      <c r="I142" s="114" t="s">
        <v>16</v>
      </c>
      <c r="J142" s="25" t="s">
        <v>17</v>
      </c>
      <c r="K142" s="26" t="s">
        <v>18</v>
      </c>
      <c r="L142" s="25" t="s">
        <v>19</v>
      </c>
      <c r="M142" s="25" t="s">
        <v>20</v>
      </c>
      <c r="N142" s="25" t="s">
        <v>21</v>
      </c>
      <c r="O142" s="22" t="s">
        <v>22</v>
      </c>
      <c r="P142" s="113" t="s">
        <v>23</v>
      </c>
      <c r="Q142" s="25" t="s">
        <v>24</v>
      </c>
      <c r="R142" s="22" t="s">
        <v>25</v>
      </c>
    </row>
    <row r="143" spans="1:18" ht="15" customHeight="1" x14ac:dyDescent="0.3">
      <c r="A143" s="8" t="s">
        <v>76</v>
      </c>
      <c r="B143" s="8" t="s">
        <v>77</v>
      </c>
      <c r="C143" s="108">
        <v>0.97222222222222221</v>
      </c>
      <c r="D143" s="8" t="s">
        <v>78</v>
      </c>
      <c r="E143" s="8" t="s">
        <v>55</v>
      </c>
      <c r="F143" s="8" t="s">
        <v>127</v>
      </c>
      <c r="G143" s="16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76</v>
      </c>
      <c r="B144" s="15" t="s">
        <v>77</v>
      </c>
      <c r="C144" s="110">
        <v>0.97222222222222221</v>
      </c>
      <c r="D144" s="15" t="s">
        <v>80</v>
      </c>
      <c r="E144" s="15" t="s">
        <v>55</v>
      </c>
      <c r="F144" s="15" t="s">
        <v>128</v>
      </c>
      <c r="G144" s="16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82</v>
      </c>
      <c r="B145" s="14" t="s">
        <v>83</v>
      </c>
      <c r="C145" s="109">
        <v>9.0277777777777776E-2</v>
      </c>
      <c r="D145" s="14" t="s">
        <v>28</v>
      </c>
      <c r="E145" s="14" t="s">
        <v>29</v>
      </c>
      <c r="F145" s="14" t="s">
        <v>84</v>
      </c>
      <c r="G145" s="1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46</v>
      </c>
      <c r="B146" s="14" t="s">
        <v>47</v>
      </c>
      <c r="C146" s="109">
        <v>0.30555555555555558</v>
      </c>
      <c r="D146" s="14" t="s">
        <v>85</v>
      </c>
      <c r="E146" s="14" t="s">
        <v>98</v>
      </c>
      <c r="F146" s="14" t="s">
        <v>87</v>
      </c>
      <c r="G146" s="16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46</v>
      </c>
      <c r="B147" s="15" t="s">
        <v>47</v>
      </c>
      <c r="C147" s="110">
        <v>0.30555555555555558</v>
      </c>
      <c r="D147" s="15" t="s">
        <v>88</v>
      </c>
      <c r="E147" s="15" t="s">
        <v>98</v>
      </c>
      <c r="F147" s="15" t="s">
        <v>89</v>
      </c>
      <c r="G147" s="16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46</v>
      </c>
      <c r="B148" s="15" t="s">
        <v>47</v>
      </c>
      <c r="C148" s="110">
        <v>0.30555555555555558</v>
      </c>
      <c r="D148" s="15" t="s">
        <v>80</v>
      </c>
      <c r="E148" s="15" t="s">
        <v>98</v>
      </c>
      <c r="F148" s="15" t="s">
        <v>90</v>
      </c>
      <c r="G148" s="16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40</v>
      </c>
      <c r="B149" s="14" t="s">
        <v>60</v>
      </c>
      <c r="C149" s="109">
        <v>0.1701388888888889</v>
      </c>
      <c r="D149" s="14" t="s">
        <v>61</v>
      </c>
      <c r="E149" s="14" t="s">
        <v>58</v>
      </c>
      <c r="F149" s="14" t="s">
        <v>62</v>
      </c>
      <c r="G149" s="16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27" t="s">
        <v>40</v>
      </c>
      <c r="B150" s="27" t="s">
        <v>44</v>
      </c>
      <c r="C150" s="115">
        <v>0.52777777777777779</v>
      </c>
      <c r="D150" s="27" t="s">
        <v>42</v>
      </c>
      <c r="E150" s="27" t="s">
        <v>29</v>
      </c>
      <c r="F150" s="27" t="s">
        <v>109</v>
      </c>
      <c r="G150" s="16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27" t="s">
        <v>40</v>
      </c>
      <c r="B151" s="27" t="s">
        <v>41</v>
      </c>
      <c r="C151" s="115">
        <v>0.86458333333333337</v>
      </c>
      <c r="D151" s="27" t="s">
        <v>42</v>
      </c>
      <c r="E151" s="27" t="s">
        <v>29</v>
      </c>
      <c r="F151" s="27" t="s">
        <v>129</v>
      </c>
      <c r="G151" s="16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27</v>
      </c>
      <c r="C152" s="109">
        <v>0.89583333333333337</v>
      </c>
      <c r="D152" s="14" t="s">
        <v>28</v>
      </c>
      <c r="E152" s="14" t="s">
        <v>29</v>
      </c>
      <c r="F152" s="14" t="s">
        <v>130</v>
      </c>
      <c r="G152" s="1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31</v>
      </c>
      <c r="B153" s="14" t="s">
        <v>32</v>
      </c>
      <c r="C153" s="109">
        <v>0.83680555555555558</v>
      </c>
      <c r="D153" s="14" t="s">
        <v>33</v>
      </c>
      <c r="E153" s="14" t="s">
        <v>53</v>
      </c>
      <c r="F153" s="14" t="s">
        <v>37</v>
      </c>
      <c r="G153" s="1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5" t="s">
        <v>31</v>
      </c>
      <c r="B154" s="15" t="s">
        <v>32</v>
      </c>
      <c r="C154" s="110">
        <v>0.83680555555555558</v>
      </c>
      <c r="D154" s="15" t="s">
        <v>36</v>
      </c>
      <c r="E154" s="15" t="s">
        <v>53</v>
      </c>
      <c r="F154" s="15" t="s">
        <v>131</v>
      </c>
      <c r="G154" s="16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31</v>
      </c>
      <c r="B155" s="15" t="s">
        <v>32</v>
      </c>
      <c r="C155" s="110">
        <v>0.83680555555555558</v>
      </c>
      <c r="D155" s="15" t="s">
        <v>38</v>
      </c>
      <c r="E155" s="15" t="s">
        <v>53</v>
      </c>
      <c r="F155" s="15" t="s">
        <v>132</v>
      </c>
      <c r="G155" s="16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thickBot="1" x14ac:dyDescent="0.35">
      <c r="A156" s="34" t="s">
        <v>71</v>
      </c>
      <c r="B156" s="34" t="s">
        <v>72</v>
      </c>
      <c r="C156" s="119">
        <v>0.30555555555555558</v>
      </c>
      <c r="D156" s="34" t="s">
        <v>73</v>
      </c>
      <c r="E156" s="34" t="s">
        <v>74</v>
      </c>
      <c r="F156" s="34" t="s">
        <v>133</v>
      </c>
      <c r="G156" s="167"/>
      <c r="H156" s="17"/>
      <c r="I156" s="18"/>
      <c r="J156" s="18"/>
      <c r="K156" s="18"/>
      <c r="L156" s="18"/>
      <c r="M156" s="18"/>
      <c r="N156" s="18"/>
      <c r="O156" s="19"/>
      <c r="P156" s="18"/>
      <c r="Q156" s="20"/>
      <c r="R156" s="21"/>
    </row>
    <row r="157" spans="1:18" ht="17.399999999999999" customHeight="1" thickBot="1" x14ac:dyDescent="0.35">
      <c r="A157" s="172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4"/>
    </row>
    <row r="158" spans="1:18" ht="22.05" customHeight="1" thickTop="1" thickBot="1" x14ac:dyDescent="0.35">
      <c r="A158" s="168" t="s">
        <v>6</v>
      </c>
      <c r="B158" s="169"/>
      <c r="C158" s="169"/>
      <c r="D158" s="169"/>
      <c r="E158" s="169"/>
      <c r="F158" s="170"/>
      <c r="G158" s="112">
        <v>46002</v>
      </c>
      <c r="H158" s="171" t="s">
        <v>7</v>
      </c>
      <c r="I158" s="169"/>
      <c r="J158" s="169"/>
      <c r="K158" s="169"/>
      <c r="L158" s="169"/>
      <c r="M158" s="169"/>
      <c r="N158" s="169"/>
      <c r="O158" s="169"/>
      <c r="P158" s="169"/>
      <c r="Q158" s="169"/>
      <c r="R158" s="170"/>
    </row>
    <row r="159" spans="1:18" ht="24" customHeight="1" x14ac:dyDescent="0.3">
      <c r="A159" s="22" t="s">
        <v>8</v>
      </c>
      <c r="B159" s="22" t="s">
        <v>9</v>
      </c>
      <c r="C159" s="113" t="s">
        <v>10</v>
      </c>
      <c r="D159" s="22" t="s">
        <v>11</v>
      </c>
      <c r="E159" s="22" t="s">
        <v>12</v>
      </c>
      <c r="F159" s="23" t="s">
        <v>13</v>
      </c>
      <c r="G159" s="24" t="s">
        <v>14</v>
      </c>
      <c r="H159" s="22" t="s">
        <v>15</v>
      </c>
      <c r="I159" s="114" t="s">
        <v>16</v>
      </c>
      <c r="J159" s="25" t="s">
        <v>17</v>
      </c>
      <c r="K159" s="26" t="s">
        <v>18</v>
      </c>
      <c r="L159" s="25" t="s">
        <v>19</v>
      </c>
      <c r="M159" s="25" t="s">
        <v>20</v>
      </c>
      <c r="N159" s="25" t="s">
        <v>21</v>
      </c>
      <c r="O159" s="22" t="s">
        <v>22</v>
      </c>
      <c r="P159" s="113" t="s">
        <v>23</v>
      </c>
      <c r="Q159" s="25" t="s">
        <v>24</v>
      </c>
      <c r="R159" s="22" t="s">
        <v>25</v>
      </c>
    </row>
    <row r="160" spans="1:18" ht="15" customHeight="1" x14ac:dyDescent="0.3">
      <c r="A160" s="8" t="s">
        <v>46</v>
      </c>
      <c r="B160" s="8" t="s">
        <v>47</v>
      </c>
      <c r="C160" s="108">
        <v>0.30555555555555558</v>
      </c>
      <c r="D160" s="8" t="s">
        <v>85</v>
      </c>
      <c r="E160" s="8" t="s">
        <v>134</v>
      </c>
      <c r="F160" s="8" t="s">
        <v>135</v>
      </c>
      <c r="G160" s="16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46</v>
      </c>
      <c r="B161" s="15" t="s">
        <v>47</v>
      </c>
      <c r="C161" s="110">
        <v>0.30555555555555558</v>
      </c>
      <c r="D161" s="15" t="s">
        <v>88</v>
      </c>
      <c r="E161" s="15" t="s">
        <v>134</v>
      </c>
      <c r="F161" s="15" t="s">
        <v>136</v>
      </c>
      <c r="G161" s="16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" t="s">
        <v>46</v>
      </c>
      <c r="B162" s="15" t="s">
        <v>47</v>
      </c>
      <c r="C162" s="110">
        <v>0.30555555555555558</v>
      </c>
      <c r="D162" s="15" t="s">
        <v>80</v>
      </c>
      <c r="E162" s="15" t="s">
        <v>134</v>
      </c>
      <c r="F162" s="15" t="s">
        <v>90</v>
      </c>
      <c r="G162" s="16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31</v>
      </c>
      <c r="B163" s="14" t="s">
        <v>51</v>
      </c>
      <c r="C163" s="109">
        <v>0.2013888888888889</v>
      </c>
      <c r="D163" s="14" t="s">
        <v>33</v>
      </c>
      <c r="E163" s="14" t="s">
        <v>53</v>
      </c>
      <c r="F163" s="14" t="s">
        <v>87</v>
      </c>
      <c r="G163" s="16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31</v>
      </c>
      <c r="B164" s="15" t="s">
        <v>51</v>
      </c>
      <c r="C164" s="110">
        <v>0.2013888888888889</v>
      </c>
      <c r="D164" s="15" t="s">
        <v>36</v>
      </c>
      <c r="E164" s="15" t="s">
        <v>53</v>
      </c>
      <c r="F164" s="15" t="s">
        <v>137</v>
      </c>
      <c r="G164" s="16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31</v>
      </c>
      <c r="B165" s="15" t="s">
        <v>51</v>
      </c>
      <c r="C165" s="110">
        <v>0.2013888888888889</v>
      </c>
      <c r="D165" s="15" t="s">
        <v>38</v>
      </c>
      <c r="E165" s="15" t="s">
        <v>53</v>
      </c>
      <c r="F165" s="15" t="s">
        <v>138</v>
      </c>
      <c r="G165" s="16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7" t="s">
        <v>31</v>
      </c>
      <c r="B166" s="27" t="s">
        <v>32</v>
      </c>
      <c r="C166" s="115">
        <v>0.83680555555555558</v>
      </c>
      <c r="D166" s="27" t="s">
        <v>33</v>
      </c>
      <c r="E166" s="27" t="s">
        <v>100</v>
      </c>
      <c r="F166" s="27" t="s">
        <v>139</v>
      </c>
      <c r="G166" s="1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31</v>
      </c>
      <c r="B167" s="15" t="s">
        <v>32</v>
      </c>
      <c r="C167" s="110">
        <v>0.83680555555555558</v>
      </c>
      <c r="D167" s="15" t="s">
        <v>36</v>
      </c>
      <c r="E167" s="15" t="s">
        <v>100</v>
      </c>
      <c r="F167" s="15" t="s">
        <v>140</v>
      </c>
      <c r="G167" s="1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31</v>
      </c>
      <c r="B168" s="15" t="s">
        <v>32</v>
      </c>
      <c r="C168" s="110">
        <v>0.83680555555555558</v>
      </c>
      <c r="D168" s="15" t="s">
        <v>38</v>
      </c>
      <c r="E168" s="15" t="s">
        <v>100</v>
      </c>
      <c r="F168" s="15" t="s">
        <v>141</v>
      </c>
      <c r="G168" s="16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40</v>
      </c>
      <c r="B169" s="14" t="s">
        <v>60</v>
      </c>
      <c r="C169" s="109">
        <v>0.1701388888888889</v>
      </c>
      <c r="D169" s="14" t="s">
        <v>61</v>
      </c>
      <c r="E169" s="14" t="s">
        <v>58</v>
      </c>
      <c r="F169" s="14" t="s">
        <v>62</v>
      </c>
      <c r="G169" s="16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7" t="s">
        <v>40</v>
      </c>
      <c r="B170" s="27" t="s">
        <v>44</v>
      </c>
      <c r="C170" s="115">
        <v>0.52777777777777779</v>
      </c>
      <c r="D170" s="27" t="s">
        <v>42</v>
      </c>
      <c r="E170" s="27" t="s">
        <v>29</v>
      </c>
      <c r="F170" s="27" t="s">
        <v>142</v>
      </c>
      <c r="G170" s="16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7" t="s">
        <v>40</v>
      </c>
      <c r="B171" s="27" t="s">
        <v>41</v>
      </c>
      <c r="C171" s="115">
        <v>0.86458333333333337</v>
      </c>
      <c r="D171" s="27" t="s">
        <v>42</v>
      </c>
      <c r="E171" s="27" t="s">
        <v>29</v>
      </c>
      <c r="F171" s="27" t="s">
        <v>91</v>
      </c>
      <c r="G171" s="16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82</v>
      </c>
      <c r="B172" s="14" t="s">
        <v>83</v>
      </c>
      <c r="C172" s="109">
        <v>0.88888888888888884</v>
      </c>
      <c r="D172" s="14" t="s">
        <v>28</v>
      </c>
      <c r="E172" s="14" t="s">
        <v>98</v>
      </c>
      <c r="F172" s="14" t="s">
        <v>143</v>
      </c>
      <c r="G172" s="16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57</v>
      </c>
      <c r="C173" s="109">
        <v>0.95833333333333337</v>
      </c>
      <c r="D173" s="14" t="s">
        <v>28</v>
      </c>
      <c r="E173" s="14" t="s">
        <v>29</v>
      </c>
      <c r="F173" s="14" t="s">
        <v>30</v>
      </c>
      <c r="G173" s="1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35" t="s">
        <v>64</v>
      </c>
      <c r="B174" s="35" t="s">
        <v>65</v>
      </c>
      <c r="C174" s="120">
        <v>0.92361111111111116</v>
      </c>
      <c r="D174" s="35" t="s">
        <v>28</v>
      </c>
      <c r="E174" s="35" t="s">
        <v>29</v>
      </c>
      <c r="F174" s="35" t="s">
        <v>110</v>
      </c>
      <c r="G174" s="166"/>
      <c r="H174" s="36" t="s">
        <v>67</v>
      </c>
      <c r="I174" s="121">
        <v>0.24399999999999999</v>
      </c>
      <c r="J174" s="37">
        <v>41</v>
      </c>
      <c r="K174" s="38" t="s">
        <v>68</v>
      </c>
      <c r="L174" s="37">
        <v>17</v>
      </c>
      <c r="M174" s="37">
        <v>0</v>
      </c>
      <c r="N174" s="37">
        <v>0</v>
      </c>
      <c r="O174" s="39" t="s">
        <v>111</v>
      </c>
      <c r="P174" s="122">
        <v>0.92361111111111116</v>
      </c>
      <c r="Q174" s="37">
        <v>168</v>
      </c>
      <c r="R174" s="40" t="s">
        <v>144</v>
      </c>
    </row>
    <row r="175" spans="1:18" ht="15" customHeight="1" thickBot="1" x14ac:dyDescent="0.35">
      <c r="A175" s="34" t="s">
        <v>71</v>
      </c>
      <c r="B175" s="34" t="s">
        <v>72</v>
      </c>
      <c r="C175" s="119">
        <v>0.30555555555555558</v>
      </c>
      <c r="D175" s="34" t="s">
        <v>73</v>
      </c>
      <c r="E175" s="34" t="s">
        <v>74</v>
      </c>
      <c r="F175" s="34" t="s">
        <v>113</v>
      </c>
      <c r="G175" s="167"/>
      <c r="H175" s="17"/>
      <c r="I175" s="18"/>
      <c r="J175" s="18"/>
      <c r="K175" s="18"/>
      <c r="L175" s="18"/>
      <c r="M175" s="18"/>
      <c r="N175" s="18"/>
      <c r="O175" s="19"/>
      <c r="P175" s="18"/>
      <c r="Q175" s="20"/>
      <c r="R175" s="21"/>
    </row>
    <row r="176" spans="1:18" ht="17.399999999999999" customHeight="1" thickBot="1" x14ac:dyDescent="0.35">
      <c r="A176" s="172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4"/>
    </row>
    <row r="177" spans="1:18" ht="22.05" customHeight="1" thickTop="1" thickBot="1" x14ac:dyDescent="0.35">
      <c r="A177" s="168" t="s">
        <v>6</v>
      </c>
      <c r="B177" s="169"/>
      <c r="C177" s="169"/>
      <c r="D177" s="169"/>
      <c r="E177" s="169"/>
      <c r="F177" s="170"/>
      <c r="G177" s="112">
        <v>46003</v>
      </c>
      <c r="H177" s="171" t="s">
        <v>7</v>
      </c>
      <c r="I177" s="169"/>
      <c r="J177" s="169"/>
      <c r="K177" s="169"/>
      <c r="L177" s="169"/>
      <c r="M177" s="169"/>
      <c r="N177" s="169"/>
      <c r="O177" s="169"/>
      <c r="P177" s="169"/>
      <c r="Q177" s="169"/>
      <c r="R177" s="170"/>
    </row>
    <row r="178" spans="1:18" ht="24" customHeight="1" x14ac:dyDescent="0.3">
      <c r="A178" s="22" t="s">
        <v>8</v>
      </c>
      <c r="B178" s="22" t="s">
        <v>9</v>
      </c>
      <c r="C178" s="113" t="s">
        <v>10</v>
      </c>
      <c r="D178" s="22" t="s">
        <v>11</v>
      </c>
      <c r="E178" s="22" t="s">
        <v>12</v>
      </c>
      <c r="F178" s="23" t="s">
        <v>13</v>
      </c>
      <c r="G178" s="24" t="s">
        <v>14</v>
      </c>
      <c r="H178" s="22" t="s">
        <v>15</v>
      </c>
      <c r="I178" s="114" t="s">
        <v>16</v>
      </c>
      <c r="J178" s="25" t="s">
        <v>17</v>
      </c>
      <c r="K178" s="26" t="s">
        <v>18</v>
      </c>
      <c r="L178" s="25" t="s">
        <v>19</v>
      </c>
      <c r="M178" s="25" t="s">
        <v>20</v>
      </c>
      <c r="N178" s="25" t="s">
        <v>21</v>
      </c>
      <c r="O178" s="22" t="s">
        <v>22</v>
      </c>
      <c r="P178" s="113" t="s">
        <v>23</v>
      </c>
      <c r="Q178" s="25" t="s">
        <v>24</v>
      </c>
      <c r="R178" s="22" t="s">
        <v>25</v>
      </c>
    </row>
    <row r="179" spans="1:18" ht="15" customHeight="1" x14ac:dyDescent="0.3">
      <c r="A179" s="8" t="s">
        <v>46</v>
      </c>
      <c r="B179" s="8" t="s">
        <v>47</v>
      </c>
      <c r="C179" s="108">
        <v>0.30555555555555558</v>
      </c>
      <c r="D179" s="8" t="s">
        <v>85</v>
      </c>
      <c r="E179" s="8" t="s">
        <v>145</v>
      </c>
      <c r="F179" s="8" t="s">
        <v>115</v>
      </c>
      <c r="G179" s="16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46</v>
      </c>
      <c r="B180" s="15" t="s">
        <v>47</v>
      </c>
      <c r="C180" s="110">
        <v>0.30555555555555558</v>
      </c>
      <c r="D180" s="15" t="s">
        <v>88</v>
      </c>
      <c r="E180" s="15" t="s">
        <v>145</v>
      </c>
      <c r="F180" s="15" t="s">
        <v>116</v>
      </c>
      <c r="G180" s="1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5" t="s">
        <v>46</v>
      </c>
      <c r="B181" s="15" t="s">
        <v>47</v>
      </c>
      <c r="C181" s="110">
        <v>0.30555555555555558</v>
      </c>
      <c r="D181" s="15" t="s">
        <v>80</v>
      </c>
      <c r="E181" s="15" t="s">
        <v>145</v>
      </c>
      <c r="F181" s="15" t="s">
        <v>122</v>
      </c>
      <c r="G181" s="16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31</v>
      </c>
      <c r="B182" s="14" t="s">
        <v>32</v>
      </c>
      <c r="C182" s="109">
        <v>0.83680555555555558</v>
      </c>
      <c r="D182" s="14" t="s">
        <v>33</v>
      </c>
      <c r="E182" s="14" t="s">
        <v>102</v>
      </c>
      <c r="F182" s="14" t="s">
        <v>54</v>
      </c>
      <c r="G182" s="16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31</v>
      </c>
      <c r="B183" s="15" t="s">
        <v>32</v>
      </c>
      <c r="C183" s="110">
        <v>0.83680555555555558</v>
      </c>
      <c r="D183" s="15" t="s">
        <v>36</v>
      </c>
      <c r="E183" s="15" t="s">
        <v>102</v>
      </c>
      <c r="F183" s="15" t="s">
        <v>95</v>
      </c>
      <c r="G183" s="1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31</v>
      </c>
      <c r="B184" s="15" t="s">
        <v>32</v>
      </c>
      <c r="C184" s="110">
        <v>0.83680555555555558</v>
      </c>
      <c r="D184" s="15" t="s">
        <v>38</v>
      </c>
      <c r="E184" s="15" t="s">
        <v>102</v>
      </c>
      <c r="F184" s="15" t="s">
        <v>96</v>
      </c>
      <c r="G184" s="16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40</v>
      </c>
      <c r="B185" s="14" t="s">
        <v>41</v>
      </c>
      <c r="C185" s="109">
        <v>0.86458333333333337</v>
      </c>
      <c r="D185" s="14" t="s">
        <v>61</v>
      </c>
      <c r="E185" s="14" t="s">
        <v>100</v>
      </c>
      <c r="F185" s="14" t="s">
        <v>62</v>
      </c>
      <c r="G185" s="16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27" t="s">
        <v>40</v>
      </c>
      <c r="B186" s="27" t="s">
        <v>60</v>
      </c>
      <c r="C186" s="115">
        <v>0.1701388888888889</v>
      </c>
      <c r="D186" s="27" t="s">
        <v>61</v>
      </c>
      <c r="E186" s="27" t="s">
        <v>29</v>
      </c>
      <c r="F186" s="27" t="s">
        <v>62</v>
      </c>
      <c r="G186" s="16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7" t="s">
        <v>40</v>
      </c>
      <c r="B187" s="27" t="s">
        <v>44</v>
      </c>
      <c r="C187" s="115">
        <v>0.52777777777777779</v>
      </c>
      <c r="D187" s="27" t="s">
        <v>42</v>
      </c>
      <c r="E187" s="27" t="s">
        <v>29</v>
      </c>
      <c r="F187" s="27" t="s">
        <v>146</v>
      </c>
      <c r="G187" s="1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27</v>
      </c>
      <c r="C188" s="109">
        <v>0.95833333333333337</v>
      </c>
      <c r="D188" s="14" t="s">
        <v>28</v>
      </c>
      <c r="E188" s="14" t="s">
        <v>29</v>
      </c>
      <c r="F188" s="14" t="s">
        <v>30</v>
      </c>
      <c r="G188" s="1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41" t="s">
        <v>64</v>
      </c>
      <c r="B189" s="41" t="s">
        <v>65</v>
      </c>
      <c r="C189" s="123">
        <v>0.57986111111111116</v>
      </c>
      <c r="D189" s="41" t="s">
        <v>28</v>
      </c>
      <c r="E189" s="41" t="s">
        <v>102</v>
      </c>
      <c r="F189" s="41" t="s">
        <v>66</v>
      </c>
      <c r="G189" s="166"/>
      <c r="H189" s="42" t="s">
        <v>67</v>
      </c>
      <c r="I189" s="124">
        <v>0.41070000000000001</v>
      </c>
      <c r="J189" s="43">
        <v>69</v>
      </c>
      <c r="K189" s="44" t="s">
        <v>147</v>
      </c>
      <c r="L189" s="43">
        <v>38</v>
      </c>
      <c r="M189" s="43">
        <v>3</v>
      </c>
      <c r="N189" s="43">
        <v>1</v>
      </c>
      <c r="O189" s="45" t="s">
        <v>148</v>
      </c>
      <c r="P189" s="125">
        <v>0.57986111111111116</v>
      </c>
      <c r="Q189" s="43">
        <v>168</v>
      </c>
      <c r="R189" s="46" t="s">
        <v>149</v>
      </c>
    </row>
    <row r="190" spans="1:18" ht="15" customHeight="1" thickBot="1" x14ac:dyDescent="0.35">
      <c r="A190" s="34" t="s">
        <v>71</v>
      </c>
      <c r="B190" s="34" t="s">
        <v>72</v>
      </c>
      <c r="C190" s="119">
        <v>0.30555555555555558</v>
      </c>
      <c r="D190" s="34" t="s">
        <v>73</v>
      </c>
      <c r="E190" s="34" t="s">
        <v>74</v>
      </c>
      <c r="F190" s="34" t="s">
        <v>120</v>
      </c>
      <c r="G190" s="167"/>
      <c r="H190" s="17"/>
      <c r="I190" s="18"/>
      <c r="J190" s="18"/>
      <c r="K190" s="18"/>
      <c r="L190" s="18"/>
      <c r="M190" s="18"/>
      <c r="N190" s="18"/>
      <c r="O190" s="19"/>
      <c r="P190" s="18"/>
      <c r="Q190" s="20"/>
      <c r="R190" s="21"/>
    </row>
    <row r="191" spans="1:18" ht="17.399999999999999" customHeight="1" thickBot="1" x14ac:dyDescent="0.35">
      <c r="A191" s="172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4"/>
    </row>
    <row r="192" spans="1:18" ht="22.05" customHeight="1" thickTop="1" thickBot="1" x14ac:dyDescent="0.35">
      <c r="A192" s="168" t="s">
        <v>6</v>
      </c>
      <c r="B192" s="169"/>
      <c r="C192" s="169"/>
      <c r="D192" s="169"/>
      <c r="E192" s="169"/>
      <c r="F192" s="170"/>
      <c r="G192" s="112">
        <v>46004</v>
      </c>
      <c r="H192" s="171" t="s">
        <v>7</v>
      </c>
      <c r="I192" s="169"/>
      <c r="J192" s="169"/>
      <c r="K192" s="169"/>
      <c r="L192" s="169"/>
      <c r="M192" s="169"/>
      <c r="N192" s="169"/>
      <c r="O192" s="169"/>
      <c r="P192" s="169"/>
      <c r="Q192" s="169"/>
      <c r="R192" s="170"/>
    </row>
    <row r="193" spans="1:18" ht="24" customHeight="1" x14ac:dyDescent="0.3">
      <c r="A193" s="22" t="s">
        <v>8</v>
      </c>
      <c r="B193" s="22" t="s">
        <v>9</v>
      </c>
      <c r="C193" s="113" t="s">
        <v>10</v>
      </c>
      <c r="D193" s="22" t="s">
        <v>11</v>
      </c>
      <c r="E193" s="22" t="s">
        <v>12</v>
      </c>
      <c r="F193" s="23" t="s">
        <v>13</v>
      </c>
      <c r="G193" s="24" t="s">
        <v>14</v>
      </c>
      <c r="H193" s="22" t="s">
        <v>15</v>
      </c>
      <c r="I193" s="114" t="s">
        <v>16</v>
      </c>
      <c r="J193" s="25" t="s">
        <v>17</v>
      </c>
      <c r="K193" s="26" t="s">
        <v>18</v>
      </c>
      <c r="L193" s="25" t="s">
        <v>19</v>
      </c>
      <c r="M193" s="25" t="s">
        <v>20</v>
      </c>
      <c r="N193" s="25" t="s">
        <v>21</v>
      </c>
      <c r="O193" s="22" t="s">
        <v>22</v>
      </c>
      <c r="P193" s="113" t="s">
        <v>23</v>
      </c>
      <c r="Q193" s="25" t="s">
        <v>24</v>
      </c>
      <c r="R193" s="22" t="s">
        <v>25</v>
      </c>
    </row>
    <row r="194" spans="1:18" ht="15" customHeight="1" x14ac:dyDescent="0.3">
      <c r="A194" s="8" t="s">
        <v>46</v>
      </c>
      <c r="B194" s="8" t="s">
        <v>47</v>
      </c>
      <c r="C194" s="108">
        <v>0.30555555555555558</v>
      </c>
      <c r="D194" s="8" t="s">
        <v>85</v>
      </c>
      <c r="E194" s="8" t="s">
        <v>150</v>
      </c>
      <c r="F194" s="8" t="s">
        <v>115</v>
      </c>
      <c r="G194" s="16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46</v>
      </c>
      <c r="B195" s="15" t="s">
        <v>47</v>
      </c>
      <c r="C195" s="110">
        <v>0.30555555555555558</v>
      </c>
      <c r="D195" s="15" t="s">
        <v>88</v>
      </c>
      <c r="E195" s="15" t="s">
        <v>150</v>
      </c>
      <c r="F195" s="15" t="s">
        <v>116</v>
      </c>
      <c r="G195" s="1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46</v>
      </c>
      <c r="B196" s="15" t="s">
        <v>47</v>
      </c>
      <c r="C196" s="110">
        <v>0.30555555555555558</v>
      </c>
      <c r="D196" s="15" t="s">
        <v>80</v>
      </c>
      <c r="E196" s="15" t="s">
        <v>150</v>
      </c>
      <c r="F196" s="15" t="s">
        <v>90</v>
      </c>
      <c r="G196" s="16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31</v>
      </c>
      <c r="B197" s="14" t="s">
        <v>51</v>
      </c>
      <c r="C197" s="109">
        <v>0.2013888888888889</v>
      </c>
      <c r="D197" s="14" t="s">
        <v>33</v>
      </c>
      <c r="E197" s="14" t="s">
        <v>55</v>
      </c>
      <c r="F197" s="14" t="s">
        <v>54</v>
      </c>
      <c r="G197" s="1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" t="s">
        <v>31</v>
      </c>
      <c r="B198" s="15" t="s">
        <v>51</v>
      </c>
      <c r="C198" s="110">
        <v>0.2013888888888889</v>
      </c>
      <c r="D198" s="15" t="s">
        <v>36</v>
      </c>
      <c r="E198" s="15" t="s">
        <v>55</v>
      </c>
      <c r="F198" s="15" t="s">
        <v>95</v>
      </c>
      <c r="G198" s="16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31</v>
      </c>
      <c r="B199" s="15" t="s">
        <v>51</v>
      </c>
      <c r="C199" s="110">
        <v>0.2013888888888889</v>
      </c>
      <c r="D199" s="15" t="s">
        <v>38</v>
      </c>
      <c r="E199" s="15" t="s">
        <v>55</v>
      </c>
      <c r="F199" s="15" t="s">
        <v>96</v>
      </c>
      <c r="G199" s="16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7" t="s">
        <v>31</v>
      </c>
      <c r="B200" s="27" t="s">
        <v>32</v>
      </c>
      <c r="C200" s="115">
        <v>0.83680555555555558</v>
      </c>
      <c r="D200" s="27" t="s">
        <v>33</v>
      </c>
      <c r="E200" s="27" t="s">
        <v>55</v>
      </c>
      <c r="F200" s="27" t="s">
        <v>59</v>
      </c>
      <c r="G200" s="16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31</v>
      </c>
      <c r="B201" s="15" t="s">
        <v>32</v>
      </c>
      <c r="C201" s="110">
        <v>0.83680555555555558</v>
      </c>
      <c r="D201" s="15" t="s">
        <v>36</v>
      </c>
      <c r="E201" s="15" t="s">
        <v>55</v>
      </c>
      <c r="F201" s="15" t="s">
        <v>35</v>
      </c>
      <c r="G201" s="16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5" t="s">
        <v>31</v>
      </c>
      <c r="B202" s="15" t="s">
        <v>32</v>
      </c>
      <c r="C202" s="110">
        <v>0.83680555555555558</v>
      </c>
      <c r="D202" s="15" t="s">
        <v>38</v>
      </c>
      <c r="E202" s="15" t="s">
        <v>55</v>
      </c>
      <c r="F202" s="15" t="s">
        <v>106</v>
      </c>
      <c r="G202" s="16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76</v>
      </c>
      <c r="B203" s="14" t="s">
        <v>77</v>
      </c>
      <c r="C203" s="109">
        <v>0.97222222222222221</v>
      </c>
      <c r="D203" s="14" t="s">
        <v>78</v>
      </c>
      <c r="E203" s="14" t="s">
        <v>55</v>
      </c>
      <c r="F203" s="14" t="s">
        <v>117</v>
      </c>
      <c r="G203" s="16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" t="s">
        <v>76</v>
      </c>
      <c r="B204" s="15" t="s">
        <v>77</v>
      </c>
      <c r="C204" s="110">
        <v>0.97222222222222221</v>
      </c>
      <c r="D204" s="15" t="s">
        <v>80</v>
      </c>
      <c r="E204" s="15" t="s">
        <v>55</v>
      </c>
      <c r="F204" s="15" t="s">
        <v>118</v>
      </c>
      <c r="G204" s="16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57</v>
      </c>
      <c r="C205" s="109">
        <v>0.89583333333333337</v>
      </c>
      <c r="D205" s="14" t="s">
        <v>28</v>
      </c>
      <c r="E205" s="14" t="s">
        <v>29</v>
      </c>
      <c r="F205" s="14" t="s">
        <v>59</v>
      </c>
      <c r="G205" s="16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40</v>
      </c>
      <c r="B206" s="14" t="s">
        <v>41</v>
      </c>
      <c r="C206" s="109">
        <v>0.86458333333333337</v>
      </c>
      <c r="D206" s="14" t="s">
        <v>61</v>
      </c>
      <c r="E206" s="14" t="s">
        <v>29</v>
      </c>
      <c r="F206" s="14" t="s">
        <v>62</v>
      </c>
      <c r="G206" s="16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40</v>
      </c>
      <c r="B207" s="27" t="s">
        <v>60</v>
      </c>
      <c r="C207" s="115">
        <v>0.1701388888888889</v>
      </c>
      <c r="D207" s="27" t="s">
        <v>61</v>
      </c>
      <c r="E207" s="27" t="s">
        <v>98</v>
      </c>
      <c r="F207" s="27" t="s">
        <v>62</v>
      </c>
      <c r="G207" s="16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27" t="s">
        <v>40</v>
      </c>
      <c r="B208" s="27" t="s">
        <v>44</v>
      </c>
      <c r="C208" s="115">
        <v>0.52777777777777779</v>
      </c>
      <c r="D208" s="27" t="s">
        <v>61</v>
      </c>
      <c r="E208" s="27" t="s">
        <v>53</v>
      </c>
      <c r="F208" s="27" t="s">
        <v>151</v>
      </c>
      <c r="G208" s="16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47" t="s">
        <v>64</v>
      </c>
      <c r="B209" s="47" t="s">
        <v>65</v>
      </c>
      <c r="C209" s="126">
        <v>0.92361111111111116</v>
      </c>
      <c r="D209" s="47" t="s">
        <v>28</v>
      </c>
      <c r="E209" s="47" t="s">
        <v>29</v>
      </c>
      <c r="F209" s="47" t="s">
        <v>66</v>
      </c>
      <c r="G209" s="166"/>
      <c r="H209" s="48" t="s">
        <v>67</v>
      </c>
      <c r="I209" s="127">
        <v>0.22620000000000001</v>
      </c>
      <c r="J209" s="49">
        <v>38</v>
      </c>
      <c r="K209" s="50" t="s">
        <v>68</v>
      </c>
      <c r="L209" s="49">
        <v>17</v>
      </c>
      <c r="M209" s="49">
        <v>0</v>
      </c>
      <c r="N209" s="49">
        <v>0</v>
      </c>
      <c r="O209" s="51" t="s">
        <v>69</v>
      </c>
      <c r="P209" s="128">
        <v>0.92361111111111116</v>
      </c>
      <c r="Q209" s="49">
        <v>168</v>
      </c>
      <c r="R209" s="52" t="s">
        <v>152</v>
      </c>
    </row>
    <row r="210" spans="1:18" ht="15" customHeight="1" thickBot="1" x14ac:dyDescent="0.35">
      <c r="A210" s="34" t="s">
        <v>71</v>
      </c>
      <c r="B210" s="34" t="s">
        <v>72</v>
      </c>
      <c r="C210" s="119">
        <v>0.30555555555555558</v>
      </c>
      <c r="D210" s="34" t="s">
        <v>73</v>
      </c>
      <c r="E210" s="34" t="s">
        <v>74</v>
      </c>
      <c r="F210" s="34" t="s">
        <v>120</v>
      </c>
      <c r="G210" s="167"/>
      <c r="H210" s="17"/>
      <c r="I210" s="18"/>
      <c r="J210" s="18"/>
      <c r="K210" s="18"/>
      <c r="L210" s="18"/>
      <c r="M210" s="18"/>
      <c r="N210" s="18"/>
      <c r="O210" s="19"/>
      <c r="P210" s="18"/>
      <c r="Q210" s="20"/>
      <c r="R210" s="21"/>
    </row>
    <row r="211" spans="1:18" ht="17.399999999999999" customHeight="1" thickBot="1" x14ac:dyDescent="0.35">
      <c r="A211" s="172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4"/>
    </row>
    <row r="212" spans="1:18" ht="22.05" customHeight="1" thickTop="1" thickBot="1" x14ac:dyDescent="0.35">
      <c r="A212" s="168" t="s">
        <v>6</v>
      </c>
      <c r="B212" s="169"/>
      <c r="C212" s="169"/>
      <c r="D212" s="169"/>
      <c r="E212" s="169"/>
      <c r="F212" s="170"/>
      <c r="G212" s="112">
        <v>46005</v>
      </c>
      <c r="H212" s="171" t="s">
        <v>7</v>
      </c>
      <c r="I212" s="169"/>
      <c r="J212" s="169"/>
      <c r="K212" s="169"/>
      <c r="L212" s="169"/>
      <c r="M212" s="169"/>
      <c r="N212" s="169"/>
      <c r="O212" s="169"/>
      <c r="P212" s="169"/>
      <c r="Q212" s="169"/>
      <c r="R212" s="170"/>
    </row>
    <row r="213" spans="1:18" ht="24" customHeight="1" x14ac:dyDescent="0.3">
      <c r="A213" s="22" t="s">
        <v>8</v>
      </c>
      <c r="B213" s="22" t="s">
        <v>9</v>
      </c>
      <c r="C213" s="113" t="s">
        <v>10</v>
      </c>
      <c r="D213" s="22" t="s">
        <v>11</v>
      </c>
      <c r="E213" s="22" t="s">
        <v>12</v>
      </c>
      <c r="F213" s="23" t="s">
        <v>13</v>
      </c>
      <c r="G213" s="24" t="s">
        <v>14</v>
      </c>
      <c r="H213" s="22" t="s">
        <v>15</v>
      </c>
      <c r="I213" s="114" t="s">
        <v>16</v>
      </c>
      <c r="J213" s="25" t="s">
        <v>17</v>
      </c>
      <c r="K213" s="26" t="s">
        <v>18</v>
      </c>
      <c r="L213" s="25" t="s">
        <v>19</v>
      </c>
      <c r="M213" s="25" t="s">
        <v>20</v>
      </c>
      <c r="N213" s="25" t="s">
        <v>21</v>
      </c>
      <c r="O213" s="22" t="s">
        <v>22</v>
      </c>
      <c r="P213" s="113" t="s">
        <v>23</v>
      </c>
      <c r="Q213" s="25" t="s">
        <v>24</v>
      </c>
      <c r="R213" s="22" t="s">
        <v>25</v>
      </c>
    </row>
    <row r="214" spans="1:18" ht="15" customHeight="1" x14ac:dyDescent="0.3">
      <c r="A214" s="8" t="s">
        <v>46</v>
      </c>
      <c r="B214" s="8" t="s">
        <v>47</v>
      </c>
      <c r="C214" s="108">
        <v>0.30555555555555558</v>
      </c>
      <c r="D214" s="8" t="s">
        <v>85</v>
      </c>
      <c r="E214" s="8" t="s">
        <v>125</v>
      </c>
      <c r="F214" s="8" t="s">
        <v>115</v>
      </c>
      <c r="G214" s="16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46</v>
      </c>
      <c r="B215" s="15" t="s">
        <v>47</v>
      </c>
      <c r="C215" s="110">
        <v>0.30555555555555558</v>
      </c>
      <c r="D215" s="15" t="s">
        <v>88</v>
      </c>
      <c r="E215" s="15" t="s">
        <v>125</v>
      </c>
      <c r="F215" s="15" t="s">
        <v>116</v>
      </c>
      <c r="G215" s="1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46</v>
      </c>
      <c r="B216" s="15" t="s">
        <v>47</v>
      </c>
      <c r="C216" s="110">
        <v>0.30555555555555558</v>
      </c>
      <c r="D216" s="15" t="s">
        <v>80</v>
      </c>
      <c r="E216" s="15" t="s">
        <v>125</v>
      </c>
      <c r="F216" s="15" t="s">
        <v>90</v>
      </c>
      <c r="G216" s="1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31</v>
      </c>
      <c r="B217" s="14" t="s">
        <v>32</v>
      </c>
      <c r="C217" s="109">
        <v>0.85069444444444442</v>
      </c>
      <c r="D217" s="14" t="s">
        <v>33</v>
      </c>
      <c r="E217" s="14" t="s">
        <v>58</v>
      </c>
      <c r="F217" s="14" t="s">
        <v>54</v>
      </c>
      <c r="G217" s="16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31</v>
      </c>
      <c r="B218" s="15" t="s">
        <v>32</v>
      </c>
      <c r="C218" s="110">
        <v>0.85069444444444442</v>
      </c>
      <c r="D218" s="15" t="s">
        <v>36</v>
      </c>
      <c r="E218" s="15" t="s">
        <v>58</v>
      </c>
      <c r="F218" s="15" t="s">
        <v>95</v>
      </c>
      <c r="G218" s="16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31</v>
      </c>
      <c r="B219" s="15" t="s">
        <v>32</v>
      </c>
      <c r="C219" s="110">
        <v>0.85069444444444442</v>
      </c>
      <c r="D219" s="15" t="s">
        <v>38</v>
      </c>
      <c r="E219" s="15" t="s">
        <v>58</v>
      </c>
      <c r="F219" s="15" t="s">
        <v>96</v>
      </c>
      <c r="G219" s="1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99</v>
      </c>
      <c r="C220" s="109">
        <v>0.95833333333333337</v>
      </c>
      <c r="D220" s="14" t="s">
        <v>28</v>
      </c>
      <c r="E220" s="14" t="s">
        <v>29</v>
      </c>
      <c r="F220" s="14" t="s">
        <v>59</v>
      </c>
      <c r="G220" s="1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40</v>
      </c>
      <c r="B221" s="14" t="s">
        <v>41</v>
      </c>
      <c r="C221" s="109">
        <v>0.86458333333333337</v>
      </c>
      <c r="D221" s="14" t="s">
        <v>61</v>
      </c>
      <c r="E221" s="14" t="s">
        <v>74</v>
      </c>
      <c r="F221" s="14" t="s">
        <v>62</v>
      </c>
      <c r="G221" s="1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27" t="s">
        <v>40</v>
      </c>
      <c r="B222" s="27" t="s">
        <v>60</v>
      </c>
      <c r="C222" s="115">
        <v>0.1701388888888889</v>
      </c>
      <c r="D222" s="27" t="s">
        <v>61</v>
      </c>
      <c r="E222" s="27" t="s">
        <v>58</v>
      </c>
      <c r="F222" s="27" t="s">
        <v>62</v>
      </c>
      <c r="G222" s="1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82</v>
      </c>
      <c r="B223" s="14" t="s">
        <v>123</v>
      </c>
      <c r="C223" s="109">
        <v>0.22222222222222221</v>
      </c>
      <c r="D223" s="14" t="s">
        <v>28</v>
      </c>
      <c r="E223" s="14" t="s">
        <v>98</v>
      </c>
      <c r="F223" s="14" t="s">
        <v>143</v>
      </c>
      <c r="G223" s="1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thickBot="1" x14ac:dyDescent="0.35">
      <c r="A224" s="34" t="s">
        <v>71</v>
      </c>
      <c r="B224" s="34" t="s">
        <v>72</v>
      </c>
      <c r="C224" s="119">
        <v>0.30555555555555558</v>
      </c>
      <c r="D224" s="34" t="s">
        <v>73</v>
      </c>
      <c r="E224" s="34" t="s">
        <v>74</v>
      </c>
      <c r="F224" s="34" t="s">
        <v>120</v>
      </c>
      <c r="G224" s="167"/>
      <c r="H224" s="17"/>
      <c r="I224" s="18"/>
      <c r="J224" s="18"/>
      <c r="K224" s="18"/>
      <c r="L224" s="18"/>
      <c r="M224" s="18"/>
      <c r="N224" s="18"/>
      <c r="O224" s="19"/>
      <c r="P224" s="18"/>
      <c r="Q224" s="20"/>
      <c r="R224" s="21"/>
    </row>
    <row r="225" spans="1:18" ht="17.399999999999999" customHeight="1" thickBot="1" x14ac:dyDescent="0.35">
      <c r="A225" s="172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4"/>
    </row>
    <row r="226" spans="1:18" ht="22.05" customHeight="1" thickTop="1" thickBot="1" x14ac:dyDescent="0.35">
      <c r="A226" s="168" t="s">
        <v>6</v>
      </c>
      <c r="B226" s="169"/>
      <c r="C226" s="169"/>
      <c r="D226" s="169"/>
      <c r="E226" s="169"/>
      <c r="F226" s="170"/>
      <c r="G226" s="112">
        <v>46006</v>
      </c>
      <c r="H226" s="171" t="s">
        <v>7</v>
      </c>
      <c r="I226" s="169"/>
      <c r="J226" s="169"/>
      <c r="K226" s="169"/>
      <c r="L226" s="169"/>
      <c r="M226" s="169"/>
      <c r="N226" s="169"/>
      <c r="O226" s="169"/>
      <c r="P226" s="169"/>
      <c r="Q226" s="169"/>
      <c r="R226" s="170"/>
    </row>
    <row r="227" spans="1:18" ht="24" customHeight="1" x14ac:dyDescent="0.3">
      <c r="A227" s="22" t="s">
        <v>8</v>
      </c>
      <c r="B227" s="22" t="s">
        <v>9</v>
      </c>
      <c r="C227" s="113" t="s">
        <v>10</v>
      </c>
      <c r="D227" s="22" t="s">
        <v>11</v>
      </c>
      <c r="E227" s="22" t="s">
        <v>12</v>
      </c>
      <c r="F227" s="23" t="s">
        <v>13</v>
      </c>
      <c r="G227" s="24" t="s">
        <v>14</v>
      </c>
      <c r="H227" s="22" t="s">
        <v>15</v>
      </c>
      <c r="I227" s="114" t="s">
        <v>16</v>
      </c>
      <c r="J227" s="25" t="s">
        <v>17</v>
      </c>
      <c r="K227" s="26" t="s">
        <v>18</v>
      </c>
      <c r="L227" s="25" t="s">
        <v>19</v>
      </c>
      <c r="M227" s="25" t="s">
        <v>20</v>
      </c>
      <c r="N227" s="25" t="s">
        <v>21</v>
      </c>
      <c r="O227" s="22" t="s">
        <v>22</v>
      </c>
      <c r="P227" s="113" t="s">
        <v>23</v>
      </c>
      <c r="Q227" s="25" t="s">
        <v>24</v>
      </c>
      <c r="R227" s="22" t="s">
        <v>25</v>
      </c>
    </row>
    <row r="228" spans="1:18" ht="15" customHeight="1" x14ac:dyDescent="0.3">
      <c r="A228" s="8" t="s">
        <v>46</v>
      </c>
      <c r="B228" s="8" t="s">
        <v>47</v>
      </c>
      <c r="C228" s="108">
        <v>0.30555555555555558</v>
      </c>
      <c r="D228" s="8" t="s">
        <v>85</v>
      </c>
      <c r="E228" s="8" t="s">
        <v>114</v>
      </c>
      <c r="F228" s="8" t="s">
        <v>115</v>
      </c>
      <c r="G228" s="16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46</v>
      </c>
      <c r="B229" s="15" t="s">
        <v>47</v>
      </c>
      <c r="C229" s="110">
        <v>0.30555555555555558</v>
      </c>
      <c r="D229" s="15" t="s">
        <v>88</v>
      </c>
      <c r="E229" s="15" t="s">
        <v>114</v>
      </c>
      <c r="F229" s="15" t="s">
        <v>116</v>
      </c>
      <c r="G229" s="16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46</v>
      </c>
      <c r="B230" s="15" t="s">
        <v>47</v>
      </c>
      <c r="C230" s="110">
        <v>0.30555555555555558</v>
      </c>
      <c r="D230" s="15" t="s">
        <v>80</v>
      </c>
      <c r="E230" s="15" t="s">
        <v>114</v>
      </c>
      <c r="F230" s="15" t="s">
        <v>90</v>
      </c>
      <c r="G230" s="16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31</v>
      </c>
      <c r="B231" s="14" t="s">
        <v>51</v>
      </c>
      <c r="C231" s="109">
        <v>0.2013888888888889</v>
      </c>
      <c r="D231" s="14" t="s">
        <v>33</v>
      </c>
      <c r="E231" s="14" t="s">
        <v>55</v>
      </c>
      <c r="F231" s="14" t="s">
        <v>54</v>
      </c>
      <c r="G231" s="16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31</v>
      </c>
      <c r="B232" s="15" t="s">
        <v>51</v>
      </c>
      <c r="C232" s="110">
        <v>0.2013888888888889</v>
      </c>
      <c r="D232" s="15" t="s">
        <v>36</v>
      </c>
      <c r="E232" s="15" t="s">
        <v>55</v>
      </c>
      <c r="F232" s="15" t="s">
        <v>95</v>
      </c>
      <c r="G232" s="16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" t="s">
        <v>31</v>
      </c>
      <c r="B233" s="15" t="s">
        <v>51</v>
      </c>
      <c r="C233" s="110">
        <v>0.2013888888888889</v>
      </c>
      <c r="D233" s="15" t="s">
        <v>38</v>
      </c>
      <c r="E233" s="15" t="s">
        <v>55</v>
      </c>
      <c r="F233" s="15" t="s">
        <v>96</v>
      </c>
      <c r="G233" s="16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7" t="s">
        <v>31</v>
      </c>
      <c r="B234" s="27" t="s">
        <v>32</v>
      </c>
      <c r="C234" s="115">
        <v>0.83680555555555558</v>
      </c>
      <c r="D234" s="27" t="s">
        <v>33</v>
      </c>
      <c r="E234" s="27" t="s">
        <v>55</v>
      </c>
      <c r="F234" s="27" t="s">
        <v>56</v>
      </c>
      <c r="G234" s="16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31</v>
      </c>
      <c r="B235" s="15" t="s">
        <v>32</v>
      </c>
      <c r="C235" s="110">
        <v>0.83680555555555558</v>
      </c>
      <c r="D235" s="15" t="s">
        <v>36</v>
      </c>
      <c r="E235" s="15" t="s">
        <v>55</v>
      </c>
      <c r="F235" s="15" t="s">
        <v>153</v>
      </c>
      <c r="G235" s="16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" t="s">
        <v>31</v>
      </c>
      <c r="B236" s="15" t="s">
        <v>32</v>
      </c>
      <c r="C236" s="110">
        <v>0.83680555555555558</v>
      </c>
      <c r="D236" s="15" t="s">
        <v>38</v>
      </c>
      <c r="E236" s="15" t="s">
        <v>55</v>
      </c>
      <c r="F236" s="15" t="s">
        <v>154</v>
      </c>
      <c r="G236" s="16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40</v>
      </c>
      <c r="B237" s="14" t="s">
        <v>41</v>
      </c>
      <c r="C237" s="109">
        <v>0.86458333333333337</v>
      </c>
      <c r="D237" s="14" t="s">
        <v>61</v>
      </c>
      <c r="E237" s="14" t="s">
        <v>29</v>
      </c>
      <c r="F237" s="14" t="s">
        <v>62</v>
      </c>
      <c r="G237" s="16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7" t="s">
        <v>40</v>
      </c>
      <c r="B238" s="27" t="s">
        <v>60</v>
      </c>
      <c r="C238" s="115">
        <v>0.1701388888888889</v>
      </c>
      <c r="D238" s="27" t="s">
        <v>61</v>
      </c>
      <c r="E238" s="27" t="s">
        <v>29</v>
      </c>
      <c r="F238" s="27" t="s">
        <v>62</v>
      </c>
      <c r="G238" s="16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27" t="s">
        <v>40</v>
      </c>
      <c r="B239" s="27" t="s">
        <v>44</v>
      </c>
      <c r="C239" s="115">
        <v>0.52777777777777779</v>
      </c>
      <c r="D239" s="27" t="s">
        <v>42</v>
      </c>
      <c r="E239" s="27" t="s">
        <v>29</v>
      </c>
      <c r="F239" s="27" t="s">
        <v>43</v>
      </c>
      <c r="G239" s="16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09">
        <v>0.95833333333333337</v>
      </c>
      <c r="D240" s="14" t="s">
        <v>28</v>
      </c>
      <c r="E240" s="14" t="s">
        <v>29</v>
      </c>
      <c r="F240" s="14" t="s">
        <v>30</v>
      </c>
      <c r="G240" s="16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thickBot="1" x14ac:dyDescent="0.35">
      <c r="A241" s="34" t="s">
        <v>71</v>
      </c>
      <c r="B241" s="34" t="s">
        <v>72</v>
      </c>
      <c r="C241" s="119">
        <v>0.30555555555555558</v>
      </c>
      <c r="D241" s="34" t="s">
        <v>73</v>
      </c>
      <c r="E241" s="34" t="s">
        <v>74</v>
      </c>
      <c r="F241" s="34" t="s">
        <v>120</v>
      </c>
      <c r="G241" s="167"/>
      <c r="H241" s="17"/>
      <c r="I241" s="18"/>
      <c r="J241" s="18"/>
      <c r="K241" s="18"/>
      <c r="L241" s="18"/>
      <c r="M241" s="18"/>
      <c r="N241" s="18"/>
      <c r="O241" s="19"/>
      <c r="P241" s="18"/>
      <c r="Q241" s="20"/>
      <c r="R241" s="21"/>
    </row>
    <row r="242" spans="1:18" ht="17.399999999999999" customHeight="1" thickBot="1" x14ac:dyDescent="0.35">
      <c r="A242" s="172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4"/>
    </row>
    <row r="243" spans="1:18" ht="22.05" customHeight="1" thickTop="1" thickBot="1" x14ac:dyDescent="0.35">
      <c r="A243" s="168" t="s">
        <v>6</v>
      </c>
      <c r="B243" s="169"/>
      <c r="C243" s="169"/>
      <c r="D243" s="169"/>
      <c r="E243" s="169"/>
      <c r="F243" s="170"/>
      <c r="G243" s="112">
        <v>46007</v>
      </c>
      <c r="H243" s="171" t="s">
        <v>7</v>
      </c>
      <c r="I243" s="169"/>
      <c r="J243" s="169"/>
      <c r="K243" s="169"/>
      <c r="L243" s="169"/>
      <c r="M243" s="169"/>
      <c r="N243" s="169"/>
      <c r="O243" s="169"/>
      <c r="P243" s="169"/>
      <c r="Q243" s="169"/>
      <c r="R243" s="170"/>
    </row>
    <row r="244" spans="1:18" ht="24" customHeight="1" x14ac:dyDescent="0.3">
      <c r="A244" s="22" t="s">
        <v>8</v>
      </c>
      <c r="B244" s="22" t="s">
        <v>9</v>
      </c>
      <c r="C244" s="113" t="s">
        <v>10</v>
      </c>
      <c r="D244" s="22" t="s">
        <v>11</v>
      </c>
      <c r="E244" s="22" t="s">
        <v>12</v>
      </c>
      <c r="F244" s="23" t="s">
        <v>13</v>
      </c>
      <c r="G244" s="24" t="s">
        <v>14</v>
      </c>
      <c r="H244" s="22" t="s">
        <v>15</v>
      </c>
      <c r="I244" s="114" t="s">
        <v>16</v>
      </c>
      <c r="J244" s="25" t="s">
        <v>17</v>
      </c>
      <c r="K244" s="26" t="s">
        <v>18</v>
      </c>
      <c r="L244" s="25" t="s">
        <v>19</v>
      </c>
      <c r="M244" s="25" t="s">
        <v>20</v>
      </c>
      <c r="N244" s="25" t="s">
        <v>21</v>
      </c>
      <c r="O244" s="22" t="s">
        <v>22</v>
      </c>
      <c r="P244" s="113" t="s">
        <v>23</v>
      </c>
      <c r="Q244" s="25" t="s">
        <v>24</v>
      </c>
      <c r="R244" s="22" t="s">
        <v>25</v>
      </c>
    </row>
    <row r="245" spans="1:18" ht="15" customHeight="1" x14ac:dyDescent="0.3">
      <c r="A245" s="8" t="s">
        <v>46</v>
      </c>
      <c r="B245" s="8" t="s">
        <v>47</v>
      </c>
      <c r="C245" s="108">
        <v>0.30555555555555558</v>
      </c>
      <c r="D245" s="8" t="s">
        <v>85</v>
      </c>
      <c r="E245" s="8" t="s">
        <v>150</v>
      </c>
      <c r="F245" s="8" t="s">
        <v>115</v>
      </c>
      <c r="G245" s="16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5" t="s">
        <v>46</v>
      </c>
      <c r="B246" s="15" t="s">
        <v>47</v>
      </c>
      <c r="C246" s="110">
        <v>0.30555555555555558</v>
      </c>
      <c r="D246" s="15" t="s">
        <v>88</v>
      </c>
      <c r="E246" s="15" t="s">
        <v>150</v>
      </c>
      <c r="F246" s="15" t="s">
        <v>116</v>
      </c>
      <c r="G246" s="1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46</v>
      </c>
      <c r="B247" s="15" t="s">
        <v>47</v>
      </c>
      <c r="C247" s="110">
        <v>0.30555555555555558</v>
      </c>
      <c r="D247" s="15" t="s">
        <v>80</v>
      </c>
      <c r="E247" s="15" t="s">
        <v>150</v>
      </c>
      <c r="F247" s="15" t="s">
        <v>90</v>
      </c>
      <c r="G247" s="1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31</v>
      </c>
      <c r="B248" s="14" t="s">
        <v>51</v>
      </c>
      <c r="C248" s="109">
        <v>0.2013888888888889</v>
      </c>
      <c r="D248" s="14" t="s">
        <v>33</v>
      </c>
      <c r="E248" s="14" t="s">
        <v>55</v>
      </c>
      <c r="F248" s="14" t="s">
        <v>54</v>
      </c>
      <c r="G248" s="16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5" t="s">
        <v>31</v>
      </c>
      <c r="B249" s="15" t="s">
        <v>51</v>
      </c>
      <c r="C249" s="110">
        <v>0.2013888888888889</v>
      </c>
      <c r="D249" s="15" t="s">
        <v>36</v>
      </c>
      <c r="E249" s="15" t="s">
        <v>55</v>
      </c>
      <c r="F249" s="15" t="s">
        <v>95</v>
      </c>
      <c r="G249" s="16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31</v>
      </c>
      <c r="B250" s="15" t="s">
        <v>51</v>
      </c>
      <c r="C250" s="110">
        <v>0.2013888888888889</v>
      </c>
      <c r="D250" s="15" t="s">
        <v>38</v>
      </c>
      <c r="E250" s="15" t="s">
        <v>55</v>
      </c>
      <c r="F250" s="15" t="s">
        <v>96</v>
      </c>
      <c r="G250" s="16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7" t="s">
        <v>31</v>
      </c>
      <c r="B251" s="27" t="s">
        <v>32</v>
      </c>
      <c r="C251" s="115">
        <v>0.83680555555555558</v>
      </c>
      <c r="D251" s="27" t="s">
        <v>33</v>
      </c>
      <c r="E251" s="27" t="s">
        <v>58</v>
      </c>
      <c r="F251" s="27" t="s">
        <v>59</v>
      </c>
      <c r="G251" s="16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31</v>
      </c>
      <c r="B252" s="15" t="s">
        <v>32</v>
      </c>
      <c r="C252" s="110">
        <v>0.83680555555555558</v>
      </c>
      <c r="D252" s="15" t="s">
        <v>36</v>
      </c>
      <c r="E252" s="15" t="s">
        <v>58</v>
      </c>
      <c r="F252" s="15" t="s">
        <v>35</v>
      </c>
      <c r="G252" s="16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31</v>
      </c>
      <c r="B253" s="15" t="s">
        <v>32</v>
      </c>
      <c r="C253" s="110">
        <v>0.83680555555555558</v>
      </c>
      <c r="D253" s="15" t="s">
        <v>38</v>
      </c>
      <c r="E253" s="15" t="s">
        <v>58</v>
      </c>
      <c r="F253" s="15" t="s">
        <v>106</v>
      </c>
      <c r="G253" s="16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57</v>
      </c>
      <c r="C254" s="109">
        <v>0.95833333333333337</v>
      </c>
      <c r="D254" s="14" t="s">
        <v>28</v>
      </c>
      <c r="E254" s="14" t="s">
        <v>53</v>
      </c>
      <c r="F254" s="14" t="s">
        <v>59</v>
      </c>
      <c r="G254" s="16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40</v>
      </c>
      <c r="B255" s="14" t="s">
        <v>41</v>
      </c>
      <c r="C255" s="109">
        <v>0.86458333333333337</v>
      </c>
      <c r="D255" s="14" t="s">
        <v>61</v>
      </c>
      <c r="E255" s="14" t="s">
        <v>29</v>
      </c>
      <c r="F255" s="14" t="s">
        <v>62</v>
      </c>
      <c r="G255" s="16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7" t="s">
        <v>40</v>
      </c>
      <c r="B256" s="27" t="s">
        <v>44</v>
      </c>
      <c r="C256" s="115">
        <v>0.52777777777777779</v>
      </c>
      <c r="D256" s="27" t="s">
        <v>61</v>
      </c>
      <c r="E256" s="27" t="s">
        <v>29</v>
      </c>
      <c r="F256" s="27" t="s">
        <v>62</v>
      </c>
      <c r="G256" s="16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40</v>
      </c>
      <c r="B257" s="27" t="s">
        <v>60</v>
      </c>
      <c r="C257" s="115">
        <v>0.1701388888888889</v>
      </c>
      <c r="D257" s="27" t="s">
        <v>61</v>
      </c>
      <c r="E257" s="27" t="s">
        <v>29</v>
      </c>
      <c r="F257" s="27" t="s">
        <v>62</v>
      </c>
      <c r="G257" s="16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35" t="s">
        <v>64</v>
      </c>
      <c r="B258" s="35" t="s">
        <v>65</v>
      </c>
      <c r="C258" s="120">
        <v>0.27083333333333331</v>
      </c>
      <c r="D258" s="35" t="s">
        <v>28</v>
      </c>
      <c r="E258" s="35" t="s">
        <v>29</v>
      </c>
      <c r="F258" s="35" t="s">
        <v>66</v>
      </c>
      <c r="G258" s="166"/>
      <c r="H258" s="36" t="s">
        <v>67</v>
      </c>
      <c r="I258" s="121">
        <v>0.26190000000000002</v>
      </c>
      <c r="J258" s="37">
        <v>44</v>
      </c>
      <c r="K258" s="38" t="s">
        <v>155</v>
      </c>
      <c r="L258" s="37">
        <v>16</v>
      </c>
      <c r="M258" s="37">
        <v>0</v>
      </c>
      <c r="N258" s="37">
        <v>0</v>
      </c>
      <c r="O258" s="39" t="s">
        <v>69</v>
      </c>
      <c r="P258" s="122">
        <v>0.27083333333333331</v>
      </c>
      <c r="Q258" s="37">
        <v>168</v>
      </c>
      <c r="R258" s="40" t="s">
        <v>156</v>
      </c>
    </row>
    <row r="259" spans="1:18" ht="15" customHeight="1" thickBot="1" x14ac:dyDescent="0.35">
      <c r="A259" s="34" t="s">
        <v>71</v>
      </c>
      <c r="B259" s="34" t="s">
        <v>72</v>
      </c>
      <c r="C259" s="119">
        <v>0.30555555555555558</v>
      </c>
      <c r="D259" s="34" t="s">
        <v>73</v>
      </c>
      <c r="E259" s="34" t="s">
        <v>74</v>
      </c>
      <c r="F259" s="34" t="s">
        <v>120</v>
      </c>
      <c r="G259" s="167"/>
      <c r="H259" s="17"/>
      <c r="I259" s="18"/>
      <c r="J259" s="18"/>
      <c r="K259" s="18"/>
      <c r="L259" s="18"/>
      <c r="M259" s="18"/>
      <c r="N259" s="18"/>
      <c r="O259" s="19"/>
      <c r="P259" s="18"/>
      <c r="Q259" s="20"/>
      <c r="R259" s="21"/>
    </row>
    <row r="260" spans="1:18" ht="17.399999999999999" customHeight="1" thickBot="1" x14ac:dyDescent="0.35">
      <c r="A260" s="172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4"/>
    </row>
    <row r="261" spans="1:18" ht="22.05" customHeight="1" thickTop="1" thickBot="1" x14ac:dyDescent="0.35">
      <c r="A261" s="168" t="s">
        <v>6</v>
      </c>
      <c r="B261" s="169"/>
      <c r="C261" s="169"/>
      <c r="D261" s="169"/>
      <c r="E261" s="169"/>
      <c r="F261" s="170"/>
      <c r="G261" s="112">
        <v>46008</v>
      </c>
      <c r="H261" s="171" t="s">
        <v>7</v>
      </c>
      <c r="I261" s="169"/>
      <c r="J261" s="169"/>
      <c r="K261" s="169"/>
      <c r="L261" s="169"/>
      <c r="M261" s="169"/>
      <c r="N261" s="169"/>
      <c r="O261" s="169"/>
      <c r="P261" s="169"/>
      <c r="Q261" s="169"/>
      <c r="R261" s="170"/>
    </row>
    <row r="262" spans="1:18" ht="24" customHeight="1" x14ac:dyDescent="0.3">
      <c r="A262" s="22" t="s">
        <v>8</v>
      </c>
      <c r="B262" s="22" t="s">
        <v>9</v>
      </c>
      <c r="C262" s="113" t="s">
        <v>10</v>
      </c>
      <c r="D262" s="22" t="s">
        <v>11</v>
      </c>
      <c r="E262" s="22" t="s">
        <v>12</v>
      </c>
      <c r="F262" s="23" t="s">
        <v>13</v>
      </c>
      <c r="G262" s="24" t="s">
        <v>14</v>
      </c>
      <c r="H262" s="22" t="s">
        <v>15</v>
      </c>
      <c r="I262" s="114" t="s">
        <v>16</v>
      </c>
      <c r="J262" s="25" t="s">
        <v>17</v>
      </c>
      <c r="K262" s="26" t="s">
        <v>18</v>
      </c>
      <c r="L262" s="25" t="s">
        <v>19</v>
      </c>
      <c r="M262" s="25" t="s">
        <v>20</v>
      </c>
      <c r="N262" s="25" t="s">
        <v>21</v>
      </c>
      <c r="O262" s="22" t="s">
        <v>22</v>
      </c>
      <c r="P262" s="113" t="s">
        <v>23</v>
      </c>
      <c r="Q262" s="25" t="s">
        <v>24</v>
      </c>
      <c r="R262" s="22" t="s">
        <v>25</v>
      </c>
    </row>
    <row r="263" spans="1:18" ht="15" customHeight="1" x14ac:dyDescent="0.3">
      <c r="A263" s="8" t="s">
        <v>31</v>
      </c>
      <c r="B263" s="8" t="s">
        <v>32</v>
      </c>
      <c r="C263" s="108">
        <v>0.85069444444444442</v>
      </c>
      <c r="D263" s="8" t="s">
        <v>33</v>
      </c>
      <c r="E263" s="8" t="s">
        <v>58</v>
      </c>
      <c r="F263" s="8" t="s">
        <v>59</v>
      </c>
      <c r="G263" s="1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31</v>
      </c>
      <c r="B264" s="15" t="s">
        <v>32</v>
      </c>
      <c r="C264" s="110">
        <v>0.85069444444444442</v>
      </c>
      <c r="D264" s="15" t="s">
        <v>36</v>
      </c>
      <c r="E264" s="15" t="s">
        <v>58</v>
      </c>
      <c r="F264" s="15" t="s">
        <v>35</v>
      </c>
      <c r="G264" s="1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31</v>
      </c>
      <c r="B265" s="15" t="s">
        <v>32</v>
      </c>
      <c r="C265" s="110">
        <v>0.85069444444444442</v>
      </c>
      <c r="D265" s="15" t="s">
        <v>38</v>
      </c>
      <c r="E265" s="15" t="s">
        <v>58</v>
      </c>
      <c r="F265" s="15" t="s">
        <v>106</v>
      </c>
      <c r="G265" s="16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27</v>
      </c>
      <c r="C266" s="109">
        <v>0.89583333333333337</v>
      </c>
      <c r="D266" s="14" t="s">
        <v>28</v>
      </c>
      <c r="E266" s="14" t="s">
        <v>29</v>
      </c>
      <c r="F266" s="14" t="s">
        <v>59</v>
      </c>
      <c r="G266" s="16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40</v>
      </c>
      <c r="B267" s="14" t="s">
        <v>44</v>
      </c>
      <c r="C267" s="109">
        <v>0.52777777777777779</v>
      </c>
      <c r="D267" s="14" t="s">
        <v>61</v>
      </c>
      <c r="E267" s="14" t="s">
        <v>29</v>
      </c>
      <c r="F267" s="14" t="s">
        <v>62</v>
      </c>
      <c r="G267" s="16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7" t="s">
        <v>40</v>
      </c>
      <c r="B268" s="27" t="s">
        <v>60</v>
      </c>
      <c r="C268" s="115">
        <v>0.1701388888888889</v>
      </c>
      <c r="D268" s="27" t="s">
        <v>61</v>
      </c>
      <c r="E268" s="27" t="s">
        <v>29</v>
      </c>
      <c r="F268" s="27" t="s">
        <v>62</v>
      </c>
      <c r="G268" s="16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7" t="s">
        <v>40</v>
      </c>
      <c r="B269" s="27" t="s">
        <v>41</v>
      </c>
      <c r="C269" s="115">
        <v>0.86458333333333337</v>
      </c>
      <c r="D269" s="27" t="s">
        <v>42</v>
      </c>
      <c r="E269" s="27" t="s">
        <v>29</v>
      </c>
      <c r="F269" s="27" t="s">
        <v>91</v>
      </c>
      <c r="G269" s="16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82</v>
      </c>
      <c r="B270" s="14" t="s">
        <v>83</v>
      </c>
      <c r="C270" s="109">
        <v>9.0277777777777776E-2</v>
      </c>
      <c r="D270" s="14" t="s">
        <v>28</v>
      </c>
      <c r="E270" s="14" t="s">
        <v>74</v>
      </c>
      <c r="F270" s="14" t="s">
        <v>143</v>
      </c>
      <c r="G270" s="1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thickBot="1" x14ac:dyDescent="0.35">
      <c r="A271" s="34" t="s">
        <v>71</v>
      </c>
      <c r="B271" s="34" t="s">
        <v>72</v>
      </c>
      <c r="C271" s="119">
        <v>0.30555555555555558</v>
      </c>
      <c r="D271" s="34" t="s">
        <v>73</v>
      </c>
      <c r="E271" s="34" t="s">
        <v>74</v>
      </c>
      <c r="F271" s="34" t="s">
        <v>120</v>
      </c>
      <c r="G271" s="167"/>
      <c r="H271" s="17"/>
      <c r="I271" s="18"/>
      <c r="J271" s="18"/>
      <c r="K271" s="18"/>
      <c r="L271" s="18"/>
      <c r="M271" s="18"/>
      <c r="N271" s="18"/>
      <c r="O271" s="19"/>
      <c r="P271" s="18"/>
      <c r="Q271" s="20"/>
      <c r="R271" s="21"/>
    </row>
    <row r="272" spans="1:18" ht="17.399999999999999" customHeight="1" thickBot="1" x14ac:dyDescent="0.35">
      <c r="A272" s="172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4"/>
    </row>
    <row r="273" spans="1:18" ht="22.05" customHeight="1" thickTop="1" thickBot="1" x14ac:dyDescent="0.35">
      <c r="A273" s="168" t="s">
        <v>6</v>
      </c>
      <c r="B273" s="169"/>
      <c r="C273" s="169"/>
      <c r="D273" s="169"/>
      <c r="E273" s="169"/>
      <c r="F273" s="170"/>
      <c r="G273" s="112">
        <v>46009</v>
      </c>
      <c r="H273" s="171" t="s">
        <v>7</v>
      </c>
      <c r="I273" s="169"/>
      <c r="J273" s="169"/>
      <c r="K273" s="169"/>
      <c r="L273" s="169"/>
      <c r="M273" s="169"/>
      <c r="N273" s="169"/>
      <c r="O273" s="169"/>
      <c r="P273" s="169"/>
      <c r="Q273" s="169"/>
      <c r="R273" s="170"/>
    </row>
    <row r="274" spans="1:18" ht="24" customHeight="1" x14ac:dyDescent="0.3">
      <c r="A274" s="22" t="s">
        <v>8</v>
      </c>
      <c r="B274" s="22" t="s">
        <v>9</v>
      </c>
      <c r="C274" s="113" t="s">
        <v>10</v>
      </c>
      <c r="D274" s="22" t="s">
        <v>11</v>
      </c>
      <c r="E274" s="22" t="s">
        <v>12</v>
      </c>
      <c r="F274" s="23" t="s">
        <v>13</v>
      </c>
      <c r="G274" s="24" t="s">
        <v>14</v>
      </c>
      <c r="H274" s="22" t="s">
        <v>15</v>
      </c>
      <c r="I274" s="114" t="s">
        <v>16</v>
      </c>
      <c r="J274" s="25" t="s">
        <v>17</v>
      </c>
      <c r="K274" s="26" t="s">
        <v>18</v>
      </c>
      <c r="L274" s="25" t="s">
        <v>19</v>
      </c>
      <c r="M274" s="25" t="s">
        <v>20</v>
      </c>
      <c r="N274" s="25" t="s">
        <v>21</v>
      </c>
      <c r="O274" s="22" t="s">
        <v>22</v>
      </c>
      <c r="P274" s="113" t="s">
        <v>23</v>
      </c>
      <c r="Q274" s="25" t="s">
        <v>24</v>
      </c>
      <c r="R274" s="22" t="s">
        <v>25</v>
      </c>
    </row>
    <row r="275" spans="1:18" ht="49.95" customHeight="1" thickTop="1" thickBot="1" x14ac:dyDescent="0.35">
      <c r="A275" s="59"/>
      <c r="B275" s="59"/>
      <c r="C275" s="59"/>
      <c r="D275" s="59"/>
      <c r="E275" s="59"/>
      <c r="F275" s="60" t="s">
        <v>157</v>
      </c>
      <c r="G275" s="165"/>
      <c r="H275" s="17"/>
      <c r="I275" s="18"/>
      <c r="J275" s="18"/>
      <c r="K275" s="18"/>
      <c r="L275" s="18"/>
      <c r="M275" s="18"/>
      <c r="N275" s="18"/>
      <c r="O275" s="19"/>
      <c r="P275" s="18"/>
      <c r="Q275" s="20"/>
      <c r="R275" s="21"/>
    </row>
    <row r="276" spans="1:18" ht="17.399999999999999" customHeight="1" thickBot="1" x14ac:dyDescent="0.35">
      <c r="A276" s="172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4"/>
    </row>
    <row r="277" spans="1:18" ht="22.05" customHeight="1" thickTop="1" thickBot="1" x14ac:dyDescent="0.35">
      <c r="A277" s="168" t="s">
        <v>6</v>
      </c>
      <c r="B277" s="169"/>
      <c r="C277" s="169"/>
      <c r="D277" s="169"/>
      <c r="E277" s="169"/>
      <c r="F277" s="170"/>
      <c r="G277" s="112">
        <v>46010</v>
      </c>
      <c r="H277" s="171" t="s">
        <v>7</v>
      </c>
      <c r="I277" s="169"/>
      <c r="J277" s="169"/>
      <c r="K277" s="169"/>
      <c r="L277" s="169"/>
      <c r="M277" s="169"/>
      <c r="N277" s="169"/>
      <c r="O277" s="169"/>
      <c r="P277" s="169"/>
      <c r="Q277" s="169"/>
      <c r="R277" s="170"/>
    </row>
    <row r="278" spans="1:18" ht="24" customHeight="1" x14ac:dyDescent="0.3">
      <c r="A278" s="22" t="s">
        <v>8</v>
      </c>
      <c r="B278" s="22" t="s">
        <v>9</v>
      </c>
      <c r="C278" s="113" t="s">
        <v>10</v>
      </c>
      <c r="D278" s="22" t="s">
        <v>11</v>
      </c>
      <c r="E278" s="22" t="s">
        <v>12</v>
      </c>
      <c r="F278" s="23" t="s">
        <v>13</v>
      </c>
      <c r="G278" s="24" t="s">
        <v>14</v>
      </c>
      <c r="H278" s="22" t="s">
        <v>15</v>
      </c>
      <c r="I278" s="114" t="s">
        <v>16</v>
      </c>
      <c r="J278" s="25" t="s">
        <v>17</v>
      </c>
      <c r="K278" s="26" t="s">
        <v>18</v>
      </c>
      <c r="L278" s="25" t="s">
        <v>19</v>
      </c>
      <c r="M278" s="25" t="s">
        <v>20</v>
      </c>
      <c r="N278" s="25" t="s">
        <v>21</v>
      </c>
      <c r="O278" s="22" t="s">
        <v>22</v>
      </c>
      <c r="P278" s="113" t="s">
        <v>23</v>
      </c>
      <c r="Q278" s="25" t="s">
        <v>24</v>
      </c>
      <c r="R278" s="22" t="s">
        <v>25</v>
      </c>
    </row>
    <row r="279" spans="1:18" ht="15" customHeight="1" x14ac:dyDescent="0.3">
      <c r="A279" s="8" t="s">
        <v>46</v>
      </c>
      <c r="B279" s="8" t="s">
        <v>47</v>
      </c>
      <c r="C279" s="108">
        <v>0.30555555555555558</v>
      </c>
      <c r="D279" s="8" t="s">
        <v>85</v>
      </c>
      <c r="E279" s="8" t="s">
        <v>114</v>
      </c>
      <c r="F279" s="8" t="s">
        <v>115</v>
      </c>
      <c r="G279" s="1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46</v>
      </c>
      <c r="B280" s="15" t="s">
        <v>47</v>
      </c>
      <c r="C280" s="110">
        <v>0.30555555555555558</v>
      </c>
      <c r="D280" s="15" t="s">
        <v>88</v>
      </c>
      <c r="E280" s="15" t="s">
        <v>114</v>
      </c>
      <c r="F280" s="15" t="s">
        <v>116</v>
      </c>
      <c r="G280" s="16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5" t="s">
        <v>46</v>
      </c>
      <c r="B281" s="15" t="s">
        <v>47</v>
      </c>
      <c r="C281" s="110">
        <v>0.30555555555555558</v>
      </c>
      <c r="D281" s="15" t="s">
        <v>80</v>
      </c>
      <c r="E281" s="15" t="s">
        <v>114</v>
      </c>
      <c r="F281" s="15" t="s">
        <v>122</v>
      </c>
      <c r="G281" s="16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31</v>
      </c>
      <c r="B282" s="14" t="s">
        <v>32</v>
      </c>
      <c r="C282" s="109">
        <v>0.83680555555555558</v>
      </c>
      <c r="D282" s="14" t="s">
        <v>33</v>
      </c>
      <c r="E282" s="14" t="s">
        <v>98</v>
      </c>
      <c r="F282" s="14" t="s">
        <v>54</v>
      </c>
      <c r="G282" s="16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31</v>
      </c>
      <c r="B283" s="15" t="s">
        <v>32</v>
      </c>
      <c r="C283" s="110">
        <v>0.83680555555555558</v>
      </c>
      <c r="D283" s="15" t="s">
        <v>36</v>
      </c>
      <c r="E283" s="15" t="s">
        <v>98</v>
      </c>
      <c r="F283" s="15" t="s">
        <v>95</v>
      </c>
      <c r="G283" s="16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31</v>
      </c>
      <c r="B284" s="15" t="s">
        <v>32</v>
      </c>
      <c r="C284" s="110">
        <v>0.83680555555555558</v>
      </c>
      <c r="D284" s="15" t="s">
        <v>38</v>
      </c>
      <c r="E284" s="15" t="s">
        <v>98</v>
      </c>
      <c r="F284" s="15" t="s">
        <v>96</v>
      </c>
      <c r="G284" s="16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40</v>
      </c>
      <c r="B285" s="14" t="s">
        <v>41</v>
      </c>
      <c r="C285" s="109">
        <v>0.86458333333333337</v>
      </c>
      <c r="D285" s="14" t="s">
        <v>61</v>
      </c>
      <c r="E285" s="14" t="s">
        <v>29</v>
      </c>
      <c r="F285" s="14" t="s">
        <v>62</v>
      </c>
      <c r="G285" s="16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7" t="s">
        <v>40</v>
      </c>
      <c r="B286" s="27" t="s">
        <v>60</v>
      </c>
      <c r="C286" s="115">
        <v>0.1701388888888889</v>
      </c>
      <c r="D286" s="27" t="s">
        <v>61</v>
      </c>
      <c r="E286" s="27" t="s">
        <v>98</v>
      </c>
      <c r="F286" s="27" t="s">
        <v>62</v>
      </c>
      <c r="G286" s="16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27" t="s">
        <v>40</v>
      </c>
      <c r="B287" s="27" t="s">
        <v>44</v>
      </c>
      <c r="C287" s="115">
        <v>0.52777777777777779</v>
      </c>
      <c r="D287" s="27" t="s">
        <v>42</v>
      </c>
      <c r="E287" s="27" t="s">
        <v>29</v>
      </c>
      <c r="F287" s="27" t="s">
        <v>158</v>
      </c>
      <c r="G287" s="16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27</v>
      </c>
      <c r="C288" s="109">
        <v>0.95833333333333337</v>
      </c>
      <c r="D288" s="14" t="s">
        <v>28</v>
      </c>
      <c r="E288" s="14" t="s">
        <v>29</v>
      </c>
      <c r="F288" s="14" t="s">
        <v>30</v>
      </c>
      <c r="G288" s="16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61" t="s">
        <v>64</v>
      </c>
      <c r="B289" s="61" t="s">
        <v>65</v>
      </c>
      <c r="C289" s="132">
        <v>0.57986111111111116</v>
      </c>
      <c r="D289" s="61" t="s">
        <v>28</v>
      </c>
      <c r="E289" s="61" t="s">
        <v>29</v>
      </c>
      <c r="F289" s="61" t="s">
        <v>110</v>
      </c>
      <c r="G289" s="166"/>
      <c r="H289" s="62" t="s">
        <v>67</v>
      </c>
      <c r="I289" s="133">
        <v>0.24399999999999999</v>
      </c>
      <c r="J289" s="63">
        <v>41</v>
      </c>
      <c r="K289" s="64" t="s">
        <v>68</v>
      </c>
      <c r="L289" s="63">
        <v>12</v>
      </c>
      <c r="M289" s="63">
        <v>0</v>
      </c>
      <c r="N289" s="63">
        <v>0</v>
      </c>
      <c r="O289" s="65" t="s">
        <v>111</v>
      </c>
      <c r="P289" s="134">
        <v>0.57986111111111116</v>
      </c>
      <c r="Q289" s="63">
        <v>168</v>
      </c>
      <c r="R289" s="66" t="s">
        <v>159</v>
      </c>
    </row>
    <row r="290" spans="1:18" ht="15" customHeight="1" thickBot="1" x14ac:dyDescent="0.35">
      <c r="A290" s="34" t="s">
        <v>71</v>
      </c>
      <c r="B290" s="34" t="s">
        <v>72</v>
      </c>
      <c r="C290" s="119">
        <v>0.30555555555555558</v>
      </c>
      <c r="D290" s="34" t="s">
        <v>73</v>
      </c>
      <c r="E290" s="34" t="s">
        <v>74</v>
      </c>
      <c r="F290" s="34" t="s">
        <v>120</v>
      </c>
      <c r="G290" s="167"/>
      <c r="H290" s="17"/>
      <c r="I290" s="18"/>
      <c r="J290" s="18"/>
      <c r="K290" s="18"/>
      <c r="L290" s="18"/>
      <c r="M290" s="18"/>
      <c r="N290" s="18"/>
      <c r="O290" s="19"/>
      <c r="P290" s="18"/>
      <c r="Q290" s="20"/>
      <c r="R290" s="21"/>
    </row>
    <row r="291" spans="1:18" ht="17.399999999999999" customHeight="1" thickBot="1" x14ac:dyDescent="0.35">
      <c r="A291" s="172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4"/>
    </row>
    <row r="292" spans="1:18" ht="22.05" customHeight="1" thickTop="1" thickBot="1" x14ac:dyDescent="0.35">
      <c r="A292" s="168" t="s">
        <v>6</v>
      </c>
      <c r="B292" s="169"/>
      <c r="C292" s="169"/>
      <c r="D292" s="169"/>
      <c r="E292" s="169"/>
      <c r="F292" s="170"/>
      <c r="G292" s="112">
        <v>46011</v>
      </c>
      <c r="H292" s="171" t="s">
        <v>7</v>
      </c>
      <c r="I292" s="169"/>
      <c r="J292" s="169"/>
      <c r="K292" s="169"/>
      <c r="L292" s="169"/>
      <c r="M292" s="169"/>
      <c r="N292" s="169"/>
      <c r="O292" s="169"/>
      <c r="P292" s="169"/>
      <c r="Q292" s="169"/>
      <c r="R292" s="170"/>
    </row>
    <row r="293" spans="1:18" ht="24" customHeight="1" x14ac:dyDescent="0.3">
      <c r="A293" s="22" t="s">
        <v>8</v>
      </c>
      <c r="B293" s="22" t="s">
        <v>9</v>
      </c>
      <c r="C293" s="113" t="s">
        <v>10</v>
      </c>
      <c r="D293" s="22" t="s">
        <v>11</v>
      </c>
      <c r="E293" s="22" t="s">
        <v>12</v>
      </c>
      <c r="F293" s="23" t="s">
        <v>13</v>
      </c>
      <c r="G293" s="24" t="s">
        <v>14</v>
      </c>
      <c r="H293" s="22" t="s">
        <v>15</v>
      </c>
      <c r="I293" s="114" t="s">
        <v>16</v>
      </c>
      <c r="J293" s="25" t="s">
        <v>17</v>
      </c>
      <c r="K293" s="26" t="s">
        <v>18</v>
      </c>
      <c r="L293" s="25" t="s">
        <v>19</v>
      </c>
      <c r="M293" s="25" t="s">
        <v>20</v>
      </c>
      <c r="N293" s="25" t="s">
        <v>21</v>
      </c>
      <c r="O293" s="22" t="s">
        <v>22</v>
      </c>
      <c r="P293" s="113" t="s">
        <v>23</v>
      </c>
      <c r="Q293" s="25" t="s">
        <v>24</v>
      </c>
      <c r="R293" s="22" t="s">
        <v>25</v>
      </c>
    </row>
    <row r="294" spans="1:18" ht="15" customHeight="1" x14ac:dyDescent="0.3">
      <c r="A294" s="8" t="s">
        <v>46</v>
      </c>
      <c r="B294" s="8" t="s">
        <v>47</v>
      </c>
      <c r="C294" s="108">
        <v>0.30555555555555558</v>
      </c>
      <c r="D294" s="8" t="s">
        <v>85</v>
      </c>
      <c r="E294" s="8" t="s">
        <v>124</v>
      </c>
      <c r="F294" s="8" t="s">
        <v>115</v>
      </c>
      <c r="G294" s="16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5" t="s">
        <v>46</v>
      </c>
      <c r="B295" s="15" t="s">
        <v>47</v>
      </c>
      <c r="C295" s="110">
        <v>0.30555555555555558</v>
      </c>
      <c r="D295" s="15" t="s">
        <v>88</v>
      </c>
      <c r="E295" s="15" t="s">
        <v>124</v>
      </c>
      <c r="F295" s="15" t="s">
        <v>116</v>
      </c>
      <c r="G295" s="1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46</v>
      </c>
      <c r="B296" s="15" t="s">
        <v>47</v>
      </c>
      <c r="C296" s="110">
        <v>0.30555555555555558</v>
      </c>
      <c r="D296" s="15" t="s">
        <v>80</v>
      </c>
      <c r="E296" s="15" t="s">
        <v>124</v>
      </c>
      <c r="F296" s="15" t="s">
        <v>122</v>
      </c>
      <c r="G296" s="16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31</v>
      </c>
      <c r="B297" s="14" t="s">
        <v>32</v>
      </c>
      <c r="C297" s="109">
        <v>0.83680555555555558</v>
      </c>
      <c r="D297" s="14" t="s">
        <v>33</v>
      </c>
      <c r="E297" s="14" t="s">
        <v>55</v>
      </c>
      <c r="F297" s="14" t="s">
        <v>54</v>
      </c>
      <c r="G297" s="16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31</v>
      </c>
      <c r="B298" s="15" t="s">
        <v>32</v>
      </c>
      <c r="C298" s="110">
        <v>0.83680555555555558</v>
      </c>
      <c r="D298" s="15" t="s">
        <v>36</v>
      </c>
      <c r="E298" s="15" t="s">
        <v>55</v>
      </c>
      <c r="F298" s="15" t="s">
        <v>95</v>
      </c>
      <c r="G298" s="16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31</v>
      </c>
      <c r="B299" s="15" t="s">
        <v>32</v>
      </c>
      <c r="C299" s="110">
        <v>0.83680555555555558</v>
      </c>
      <c r="D299" s="15" t="s">
        <v>38</v>
      </c>
      <c r="E299" s="15" t="s">
        <v>55</v>
      </c>
      <c r="F299" s="15" t="s">
        <v>96</v>
      </c>
      <c r="G299" s="1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27" t="s">
        <v>31</v>
      </c>
      <c r="B300" s="27" t="s">
        <v>51</v>
      </c>
      <c r="C300" s="115">
        <v>0.2013888888888889</v>
      </c>
      <c r="D300" s="27" t="s">
        <v>33</v>
      </c>
      <c r="E300" s="27" t="s">
        <v>55</v>
      </c>
      <c r="F300" s="27" t="s">
        <v>54</v>
      </c>
      <c r="G300" s="16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5" t="s">
        <v>31</v>
      </c>
      <c r="B301" s="15" t="s">
        <v>51</v>
      </c>
      <c r="C301" s="110">
        <v>0.2013888888888889</v>
      </c>
      <c r="D301" s="15" t="s">
        <v>36</v>
      </c>
      <c r="E301" s="15" t="s">
        <v>55</v>
      </c>
      <c r="F301" s="15" t="s">
        <v>95</v>
      </c>
      <c r="G301" s="16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31</v>
      </c>
      <c r="B302" s="15" t="s">
        <v>51</v>
      </c>
      <c r="C302" s="110">
        <v>0.2013888888888889</v>
      </c>
      <c r="D302" s="15" t="s">
        <v>38</v>
      </c>
      <c r="E302" s="15" t="s">
        <v>55</v>
      </c>
      <c r="F302" s="15" t="s">
        <v>96</v>
      </c>
      <c r="G302" s="16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76</v>
      </c>
      <c r="B303" s="14" t="s">
        <v>77</v>
      </c>
      <c r="C303" s="109">
        <v>0.97222222222222221</v>
      </c>
      <c r="D303" s="14" t="s">
        <v>78</v>
      </c>
      <c r="E303" s="14" t="s">
        <v>55</v>
      </c>
      <c r="F303" s="14" t="s">
        <v>117</v>
      </c>
      <c r="G303" s="16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76</v>
      </c>
      <c r="B304" s="15" t="s">
        <v>77</v>
      </c>
      <c r="C304" s="110">
        <v>0.97222222222222221</v>
      </c>
      <c r="D304" s="15" t="s">
        <v>80</v>
      </c>
      <c r="E304" s="15" t="s">
        <v>55</v>
      </c>
      <c r="F304" s="15" t="s">
        <v>118</v>
      </c>
      <c r="G304" s="16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40</v>
      </c>
      <c r="B305" s="14" t="s">
        <v>41</v>
      </c>
      <c r="C305" s="109">
        <v>0.86458333333333337</v>
      </c>
      <c r="D305" s="14" t="s">
        <v>61</v>
      </c>
      <c r="E305" s="14" t="s">
        <v>29</v>
      </c>
      <c r="F305" s="14" t="s">
        <v>62</v>
      </c>
      <c r="G305" s="16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7" t="s">
        <v>40</v>
      </c>
      <c r="B306" s="27" t="s">
        <v>44</v>
      </c>
      <c r="C306" s="115">
        <v>0.52777777777777779</v>
      </c>
      <c r="D306" s="27" t="s">
        <v>61</v>
      </c>
      <c r="E306" s="27" t="s">
        <v>29</v>
      </c>
      <c r="F306" s="27" t="s">
        <v>62</v>
      </c>
      <c r="G306" s="16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27" t="s">
        <v>40</v>
      </c>
      <c r="B307" s="27" t="s">
        <v>60</v>
      </c>
      <c r="C307" s="115">
        <v>0.1701388888888889</v>
      </c>
      <c r="D307" s="27" t="s">
        <v>61</v>
      </c>
      <c r="E307" s="27" t="s">
        <v>29</v>
      </c>
      <c r="F307" s="27" t="s">
        <v>62</v>
      </c>
      <c r="G307" s="16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57</v>
      </c>
      <c r="C308" s="109">
        <v>0.89583333333333337</v>
      </c>
      <c r="D308" s="14" t="s">
        <v>28</v>
      </c>
      <c r="E308" s="14" t="s">
        <v>29</v>
      </c>
      <c r="F308" s="14" t="s">
        <v>30</v>
      </c>
      <c r="G308" s="16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41" t="s">
        <v>64</v>
      </c>
      <c r="B309" s="41" t="s">
        <v>65</v>
      </c>
      <c r="C309" s="123">
        <v>0.92361111111111116</v>
      </c>
      <c r="D309" s="41" t="s">
        <v>28</v>
      </c>
      <c r="E309" s="41" t="s">
        <v>29</v>
      </c>
      <c r="F309" s="41" t="s">
        <v>66</v>
      </c>
      <c r="G309" s="166"/>
      <c r="H309" s="42" t="s">
        <v>67</v>
      </c>
      <c r="I309" s="124">
        <v>0.29170000000000001</v>
      </c>
      <c r="J309" s="43">
        <v>49</v>
      </c>
      <c r="K309" s="44" t="s">
        <v>155</v>
      </c>
      <c r="L309" s="43">
        <v>20</v>
      </c>
      <c r="M309" s="43">
        <v>0</v>
      </c>
      <c r="N309" s="43">
        <v>0</v>
      </c>
      <c r="O309" s="45" t="s">
        <v>69</v>
      </c>
      <c r="P309" s="125">
        <v>0.92361111111111116</v>
      </c>
      <c r="Q309" s="43">
        <v>168</v>
      </c>
      <c r="R309" s="46" t="s">
        <v>160</v>
      </c>
    </row>
    <row r="310" spans="1:18" ht="15" customHeight="1" thickBot="1" x14ac:dyDescent="0.35">
      <c r="A310" s="34" t="s">
        <v>71</v>
      </c>
      <c r="B310" s="34" t="s">
        <v>72</v>
      </c>
      <c r="C310" s="119">
        <v>0.30555555555555558</v>
      </c>
      <c r="D310" s="34" t="s">
        <v>73</v>
      </c>
      <c r="E310" s="34" t="s">
        <v>74</v>
      </c>
      <c r="F310" s="34" t="s">
        <v>120</v>
      </c>
      <c r="G310" s="167"/>
      <c r="H310" s="17"/>
      <c r="I310" s="18"/>
      <c r="J310" s="18"/>
      <c r="K310" s="18"/>
      <c r="L310" s="18"/>
      <c r="M310" s="18"/>
      <c r="N310" s="18"/>
      <c r="O310" s="19"/>
      <c r="P310" s="18"/>
      <c r="Q310" s="20"/>
      <c r="R310" s="21"/>
    </row>
    <row r="311" spans="1:18" ht="17.399999999999999" customHeight="1" thickBot="1" x14ac:dyDescent="0.35">
      <c r="A311" s="172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4"/>
    </row>
    <row r="312" spans="1:18" ht="22.05" customHeight="1" thickTop="1" thickBot="1" x14ac:dyDescent="0.35">
      <c r="A312" s="168" t="s">
        <v>6</v>
      </c>
      <c r="B312" s="169"/>
      <c r="C312" s="169"/>
      <c r="D312" s="169"/>
      <c r="E312" s="169"/>
      <c r="F312" s="170"/>
      <c r="G312" s="112">
        <v>46012</v>
      </c>
      <c r="H312" s="171" t="s">
        <v>7</v>
      </c>
      <c r="I312" s="169"/>
      <c r="J312" s="169"/>
      <c r="K312" s="169"/>
      <c r="L312" s="169"/>
      <c r="M312" s="169"/>
      <c r="N312" s="169"/>
      <c r="O312" s="169"/>
      <c r="P312" s="169"/>
      <c r="Q312" s="169"/>
      <c r="R312" s="170"/>
    </row>
    <row r="313" spans="1:18" ht="24" customHeight="1" x14ac:dyDescent="0.3">
      <c r="A313" s="22" t="s">
        <v>8</v>
      </c>
      <c r="B313" s="22" t="s">
        <v>9</v>
      </c>
      <c r="C313" s="113" t="s">
        <v>10</v>
      </c>
      <c r="D313" s="22" t="s">
        <v>11</v>
      </c>
      <c r="E313" s="22" t="s">
        <v>12</v>
      </c>
      <c r="F313" s="23" t="s">
        <v>13</v>
      </c>
      <c r="G313" s="24" t="s">
        <v>14</v>
      </c>
      <c r="H313" s="22" t="s">
        <v>15</v>
      </c>
      <c r="I313" s="114" t="s">
        <v>16</v>
      </c>
      <c r="J313" s="25" t="s">
        <v>17</v>
      </c>
      <c r="K313" s="26" t="s">
        <v>18</v>
      </c>
      <c r="L313" s="25" t="s">
        <v>19</v>
      </c>
      <c r="M313" s="25" t="s">
        <v>20</v>
      </c>
      <c r="N313" s="25" t="s">
        <v>21</v>
      </c>
      <c r="O313" s="22" t="s">
        <v>22</v>
      </c>
      <c r="P313" s="113" t="s">
        <v>23</v>
      </c>
      <c r="Q313" s="25" t="s">
        <v>24</v>
      </c>
      <c r="R313" s="22" t="s">
        <v>25</v>
      </c>
    </row>
    <row r="314" spans="1:18" ht="15" customHeight="1" x14ac:dyDescent="0.3">
      <c r="A314" s="8" t="s">
        <v>46</v>
      </c>
      <c r="B314" s="8" t="s">
        <v>47</v>
      </c>
      <c r="C314" s="108">
        <v>0.30555555555555558</v>
      </c>
      <c r="D314" s="8" t="s">
        <v>85</v>
      </c>
      <c r="E314" s="8" t="s">
        <v>150</v>
      </c>
      <c r="F314" s="8" t="s">
        <v>115</v>
      </c>
      <c r="G314" s="16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46</v>
      </c>
      <c r="B315" s="15" t="s">
        <v>47</v>
      </c>
      <c r="C315" s="110">
        <v>0.30555555555555558</v>
      </c>
      <c r="D315" s="15" t="s">
        <v>88</v>
      </c>
      <c r="E315" s="15" t="s">
        <v>150</v>
      </c>
      <c r="F315" s="15" t="s">
        <v>116</v>
      </c>
      <c r="G315" s="1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46</v>
      </c>
      <c r="B316" s="15" t="s">
        <v>47</v>
      </c>
      <c r="C316" s="110">
        <v>0.30555555555555558</v>
      </c>
      <c r="D316" s="15" t="s">
        <v>80</v>
      </c>
      <c r="E316" s="15" t="s">
        <v>150</v>
      </c>
      <c r="F316" s="15" t="s">
        <v>90</v>
      </c>
      <c r="G316" s="16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31</v>
      </c>
      <c r="B317" s="14" t="s">
        <v>32</v>
      </c>
      <c r="C317" s="109">
        <v>0.85069444444444442</v>
      </c>
      <c r="D317" s="14" t="s">
        <v>33</v>
      </c>
      <c r="E317" s="14" t="s">
        <v>55</v>
      </c>
      <c r="F317" s="14" t="s">
        <v>54</v>
      </c>
      <c r="G317" s="16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31</v>
      </c>
      <c r="B318" s="15" t="s">
        <v>32</v>
      </c>
      <c r="C318" s="110">
        <v>0.85069444444444442</v>
      </c>
      <c r="D318" s="15" t="s">
        <v>36</v>
      </c>
      <c r="E318" s="15" t="s">
        <v>55</v>
      </c>
      <c r="F318" s="15" t="s">
        <v>95</v>
      </c>
      <c r="G318" s="16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31</v>
      </c>
      <c r="B319" s="15" t="s">
        <v>32</v>
      </c>
      <c r="C319" s="110">
        <v>0.85069444444444442</v>
      </c>
      <c r="D319" s="15" t="s">
        <v>38</v>
      </c>
      <c r="E319" s="15" t="s">
        <v>55</v>
      </c>
      <c r="F319" s="15" t="s">
        <v>96</v>
      </c>
      <c r="G319" s="1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40</v>
      </c>
      <c r="B320" s="14" t="s">
        <v>41</v>
      </c>
      <c r="C320" s="109">
        <v>0.86458333333333337</v>
      </c>
      <c r="D320" s="14" t="s">
        <v>61</v>
      </c>
      <c r="E320" s="14" t="s">
        <v>29</v>
      </c>
      <c r="F320" s="14" t="s">
        <v>62</v>
      </c>
      <c r="G320" s="16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27" t="s">
        <v>40</v>
      </c>
      <c r="B321" s="27" t="s">
        <v>44</v>
      </c>
      <c r="C321" s="115">
        <v>0.52777777777777779</v>
      </c>
      <c r="D321" s="27" t="s">
        <v>61</v>
      </c>
      <c r="E321" s="27" t="s">
        <v>29</v>
      </c>
      <c r="F321" s="27" t="s">
        <v>62</v>
      </c>
      <c r="G321" s="16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7" t="s">
        <v>40</v>
      </c>
      <c r="B322" s="27" t="s">
        <v>60</v>
      </c>
      <c r="C322" s="115">
        <v>0.1701388888888889</v>
      </c>
      <c r="D322" s="27" t="s">
        <v>61</v>
      </c>
      <c r="E322" s="27" t="s">
        <v>29</v>
      </c>
      <c r="F322" s="27" t="s">
        <v>62</v>
      </c>
      <c r="G322" s="16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99</v>
      </c>
      <c r="C323" s="109">
        <v>0.95833333333333337</v>
      </c>
      <c r="D323" s="14" t="s">
        <v>28</v>
      </c>
      <c r="E323" s="14" t="s">
        <v>29</v>
      </c>
      <c r="F323" s="14" t="s">
        <v>30</v>
      </c>
      <c r="G323" s="16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thickBot="1" x14ac:dyDescent="0.35">
      <c r="A324" s="34" t="s">
        <v>71</v>
      </c>
      <c r="B324" s="34" t="s">
        <v>72</v>
      </c>
      <c r="C324" s="119">
        <v>0.30555555555555558</v>
      </c>
      <c r="D324" s="34" t="s">
        <v>73</v>
      </c>
      <c r="E324" s="34" t="s">
        <v>74</v>
      </c>
      <c r="F324" s="34" t="s">
        <v>120</v>
      </c>
      <c r="G324" s="167"/>
      <c r="H324" s="17"/>
      <c r="I324" s="18"/>
      <c r="J324" s="18"/>
      <c r="K324" s="18"/>
      <c r="L324" s="18"/>
      <c r="M324" s="18"/>
      <c r="N324" s="18"/>
      <c r="O324" s="19"/>
      <c r="P324" s="18"/>
      <c r="Q324" s="20"/>
      <c r="R324" s="21"/>
    </row>
    <row r="325" spans="1:18" ht="17.399999999999999" customHeight="1" thickBot="1" x14ac:dyDescent="0.35">
      <c r="A325" s="172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4"/>
    </row>
    <row r="326" spans="1:18" ht="22.05" customHeight="1" thickTop="1" thickBot="1" x14ac:dyDescent="0.35">
      <c r="A326" s="168" t="s">
        <v>6</v>
      </c>
      <c r="B326" s="169"/>
      <c r="C326" s="169"/>
      <c r="D326" s="169"/>
      <c r="E326" s="169"/>
      <c r="F326" s="170"/>
      <c r="G326" s="112">
        <v>46013</v>
      </c>
      <c r="H326" s="171" t="s">
        <v>7</v>
      </c>
      <c r="I326" s="169"/>
      <c r="J326" s="169"/>
      <c r="K326" s="169"/>
      <c r="L326" s="169"/>
      <c r="M326" s="169"/>
      <c r="N326" s="169"/>
      <c r="O326" s="169"/>
      <c r="P326" s="169"/>
      <c r="Q326" s="169"/>
      <c r="R326" s="170"/>
    </row>
    <row r="327" spans="1:18" ht="24" customHeight="1" x14ac:dyDescent="0.3">
      <c r="A327" s="22" t="s">
        <v>8</v>
      </c>
      <c r="B327" s="22" t="s">
        <v>9</v>
      </c>
      <c r="C327" s="113" t="s">
        <v>10</v>
      </c>
      <c r="D327" s="22" t="s">
        <v>11</v>
      </c>
      <c r="E327" s="22" t="s">
        <v>12</v>
      </c>
      <c r="F327" s="23" t="s">
        <v>13</v>
      </c>
      <c r="G327" s="24" t="s">
        <v>14</v>
      </c>
      <c r="H327" s="22" t="s">
        <v>15</v>
      </c>
      <c r="I327" s="114" t="s">
        <v>16</v>
      </c>
      <c r="J327" s="25" t="s">
        <v>17</v>
      </c>
      <c r="K327" s="26" t="s">
        <v>18</v>
      </c>
      <c r="L327" s="25" t="s">
        <v>19</v>
      </c>
      <c r="M327" s="25" t="s">
        <v>20</v>
      </c>
      <c r="N327" s="25" t="s">
        <v>21</v>
      </c>
      <c r="O327" s="22" t="s">
        <v>22</v>
      </c>
      <c r="P327" s="113" t="s">
        <v>23</v>
      </c>
      <c r="Q327" s="25" t="s">
        <v>24</v>
      </c>
      <c r="R327" s="22" t="s">
        <v>25</v>
      </c>
    </row>
    <row r="328" spans="1:18" ht="15" customHeight="1" x14ac:dyDescent="0.3">
      <c r="A328" s="8" t="s">
        <v>46</v>
      </c>
      <c r="B328" s="8" t="s">
        <v>47</v>
      </c>
      <c r="C328" s="108">
        <v>0.30555555555555558</v>
      </c>
      <c r="D328" s="8" t="s">
        <v>85</v>
      </c>
      <c r="E328" s="8" t="s">
        <v>124</v>
      </c>
      <c r="F328" s="8" t="s">
        <v>115</v>
      </c>
      <c r="G328" s="16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46</v>
      </c>
      <c r="B329" s="15" t="s">
        <v>47</v>
      </c>
      <c r="C329" s="110">
        <v>0.30555555555555558</v>
      </c>
      <c r="D329" s="15" t="s">
        <v>88</v>
      </c>
      <c r="E329" s="15" t="s">
        <v>124</v>
      </c>
      <c r="F329" s="15" t="s">
        <v>116</v>
      </c>
      <c r="G329" s="16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46</v>
      </c>
      <c r="B330" s="15" t="s">
        <v>47</v>
      </c>
      <c r="C330" s="110">
        <v>0.30555555555555558</v>
      </c>
      <c r="D330" s="15" t="s">
        <v>80</v>
      </c>
      <c r="E330" s="15" t="s">
        <v>124</v>
      </c>
      <c r="F330" s="15" t="s">
        <v>90</v>
      </c>
      <c r="G330" s="16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31</v>
      </c>
      <c r="B331" s="14" t="s">
        <v>32</v>
      </c>
      <c r="C331" s="109">
        <v>0.83680555555555558</v>
      </c>
      <c r="D331" s="14" t="s">
        <v>33</v>
      </c>
      <c r="E331" s="14" t="s">
        <v>55</v>
      </c>
      <c r="F331" s="14" t="s">
        <v>54</v>
      </c>
      <c r="G331" s="16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31</v>
      </c>
      <c r="B332" s="15" t="s">
        <v>32</v>
      </c>
      <c r="C332" s="110">
        <v>0.83680555555555558</v>
      </c>
      <c r="D332" s="15" t="s">
        <v>36</v>
      </c>
      <c r="E332" s="15" t="s">
        <v>55</v>
      </c>
      <c r="F332" s="15" t="s">
        <v>95</v>
      </c>
      <c r="G332" s="16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31</v>
      </c>
      <c r="B333" s="15" t="s">
        <v>32</v>
      </c>
      <c r="C333" s="110">
        <v>0.83680555555555558</v>
      </c>
      <c r="D333" s="15" t="s">
        <v>38</v>
      </c>
      <c r="E333" s="15" t="s">
        <v>55</v>
      </c>
      <c r="F333" s="15" t="s">
        <v>96</v>
      </c>
      <c r="G333" s="16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7" t="s">
        <v>31</v>
      </c>
      <c r="B334" s="27" t="s">
        <v>51</v>
      </c>
      <c r="C334" s="115">
        <v>0.2013888888888889</v>
      </c>
      <c r="D334" s="27" t="s">
        <v>33</v>
      </c>
      <c r="E334" s="27" t="s">
        <v>55</v>
      </c>
      <c r="F334" s="27" t="s">
        <v>54</v>
      </c>
      <c r="G334" s="16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31</v>
      </c>
      <c r="B335" s="15" t="s">
        <v>51</v>
      </c>
      <c r="C335" s="110">
        <v>0.2013888888888889</v>
      </c>
      <c r="D335" s="15" t="s">
        <v>36</v>
      </c>
      <c r="E335" s="15" t="s">
        <v>55</v>
      </c>
      <c r="F335" s="15" t="s">
        <v>95</v>
      </c>
      <c r="G335" s="16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31</v>
      </c>
      <c r="B336" s="15" t="s">
        <v>51</v>
      </c>
      <c r="C336" s="110">
        <v>0.2013888888888889</v>
      </c>
      <c r="D336" s="15" t="s">
        <v>38</v>
      </c>
      <c r="E336" s="15" t="s">
        <v>55</v>
      </c>
      <c r="F336" s="15" t="s">
        <v>96</v>
      </c>
      <c r="G336" s="16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40</v>
      </c>
      <c r="B337" s="14" t="s">
        <v>41</v>
      </c>
      <c r="C337" s="109">
        <v>0.86458333333333337</v>
      </c>
      <c r="D337" s="14" t="s">
        <v>61</v>
      </c>
      <c r="E337" s="14" t="s">
        <v>29</v>
      </c>
      <c r="F337" s="14" t="s">
        <v>62</v>
      </c>
      <c r="G337" s="16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40</v>
      </c>
      <c r="B338" s="27" t="s">
        <v>44</v>
      </c>
      <c r="C338" s="115">
        <v>0.52777777777777779</v>
      </c>
      <c r="D338" s="27" t="s">
        <v>61</v>
      </c>
      <c r="E338" s="27" t="s">
        <v>29</v>
      </c>
      <c r="F338" s="27" t="s">
        <v>62</v>
      </c>
      <c r="G338" s="16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40</v>
      </c>
      <c r="B339" s="27" t="s">
        <v>60</v>
      </c>
      <c r="C339" s="115">
        <v>0.1701388888888889</v>
      </c>
      <c r="D339" s="27" t="s">
        <v>61</v>
      </c>
      <c r="E339" s="27" t="s">
        <v>29</v>
      </c>
      <c r="F339" s="27" t="s">
        <v>62</v>
      </c>
      <c r="G339" s="16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82</v>
      </c>
      <c r="B340" s="14" t="s">
        <v>161</v>
      </c>
      <c r="C340" s="109">
        <v>0.1215277777777778</v>
      </c>
      <c r="D340" s="14" t="s">
        <v>28</v>
      </c>
      <c r="E340" s="14" t="s">
        <v>100</v>
      </c>
      <c r="F340" s="14" t="s">
        <v>143</v>
      </c>
      <c r="G340" s="16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27</v>
      </c>
      <c r="C341" s="109">
        <v>0.95833333333333337</v>
      </c>
      <c r="D341" s="14" t="s">
        <v>28</v>
      </c>
      <c r="E341" s="14" t="s">
        <v>29</v>
      </c>
      <c r="F341" s="14" t="s">
        <v>30</v>
      </c>
      <c r="G341" s="16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thickBot="1" x14ac:dyDescent="0.35">
      <c r="A342" s="34" t="s">
        <v>71</v>
      </c>
      <c r="B342" s="34" t="s">
        <v>72</v>
      </c>
      <c r="C342" s="119">
        <v>0.30555555555555558</v>
      </c>
      <c r="D342" s="34" t="s">
        <v>73</v>
      </c>
      <c r="E342" s="34" t="s">
        <v>74</v>
      </c>
      <c r="F342" s="34" t="s">
        <v>120</v>
      </c>
      <c r="G342" s="167"/>
      <c r="H342" s="17"/>
      <c r="I342" s="18"/>
      <c r="J342" s="18"/>
      <c r="K342" s="18"/>
      <c r="L342" s="18"/>
      <c r="M342" s="18"/>
      <c r="N342" s="18"/>
      <c r="O342" s="19"/>
      <c r="P342" s="18"/>
      <c r="Q342" s="20"/>
      <c r="R342" s="21"/>
    </row>
    <row r="343" spans="1:18" ht="17.399999999999999" customHeight="1" thickBot="1" x14ac:dyDescent="0.35">
      <c r="A343" s="172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4"/>
    </row>
    <row r="344" spans="1:18" ht="22.05" customHeight="1" thickTop="1" thickBot="1" x14ac:dyDescent="0.35">
      <c r="A344" s="168" t="s">
        <v>6</v>
      </c>
      <c r="B344" s="169"/>
      <c r="C344" s="169"/>
      <c r="D344" s="169"/>
      <c r="E344" s="169"/>
      <c r="F344" s="170"/>
      <c r="G344" s="112">
        <v>46014</v>
      </c>
      <c r="H344" s="171" t="s">
        <v>7</v>
      </c>
      <c r="I344" s="169"/>
      <c r="J344" s="169"/>
      <c r="K344" s="169"/>
      <c r="L344" s="169"/>
      <c r="M344" s="169"/>
      <c r="N344" s="169"/>
      <c r="O344" s="169"/>
      <c r="P344" s="169"/>
      <c r="Q344" s="169"/>
      <c r="R344" s="170"/>
    </row>
    <row r="345" spans="1:18" ht="24" customHeight="1" x14ac:dyDescent="0.3">
      <c r="A345" s="22" t="s">
        <v>8</v>
      </c>
      <c r="B345" s="22" t="s">
        <v>9</v>
      </c>
      <c r="C345" s="113" t="s">
        <v>10</v>
      </c>
      <c r="D345" s="22" t="s">
        <v>11</v>
      </c>
      <c r="E345" s="22" t="s">
        <v>12</v>
      </c>
      <c r="F345" s="23" t="s">
        <v>13</v>
      </c>
      <c r="G345" s="24" t="s">
        <v>14</v>
      </c>
      <c r="H345" s="22" t="s">
        <v>15</v>
      </c>
      <c r="I345" s="114" t="s">
        <v>16</v>
      </c>
      <c r="J345" s="25" t="s">
        <v>17</v>
      </c>
      <c r="K345" s="26" t="s">
        <v>18</v>
      </c>
      <c r="L345" s="25" t="s">
        <v>19</v>
      </c>
      <c r="M345" s="25" t="s">
        <v>20</v>
      </c>
      <c r="N345" s="25" t="s">
        <v>21</v>
      </c>
      <c r="O345" s="22" t="s">
        <v>22</v>
      </c>
      <c r="P345" s="113" t="s">
        <v>23</v>
      </c>
      <c r="Q345" s="25" t="s">
        <v>24</v>
      </c>
      <c r="R345" s="22" t="s">
        <v>25</v>
      </c>
    </row>
    <row r="346" spans="1:18" ht="15" customHeight="1" x14ac:dyDescent="0.3">
      <c r="A346" s="8" t="s">
        <v>46</v>
      </c>
      <c r="B346" s="8" t="s">
        <v>47</v>
      </c>
      <c r="C346" s="108">
        <v>0.30555555555555558</v>
      </c>
      <c r="D346" s="8" t="s">
        <v>85</v>
      </c>
      <c r="E346" s="8" t="s">
        <v>150</v>
      </c>
      <c r="F346" s="8" t="s">
        <v>115</v>
      </c>
      <c r="G346" s="17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46</v>
      </c>
      <c r="B347" s="15" t="s">
        <v>47</v>
      </c>
      <c r="C347" s="110">
        <v>0.30555555555555558</v>
      </c>
      <c r="D347" s="15" t="s">
        <v>88</v>
      </c>
      <c r="E347" s="15" t="s">
        <v>150</v>
      </c>
      <c r="F347" s="15" t="s">
        <v>116</v>
      </c>
      <c r="G347" s="16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46</v>
      </c>
      <c r="B348" s="15" t="s">
        <v>47</v>
      </c>
      <c r="C348" s="110">
        <v>0.30555555555555558</v>
      </c>
      <c r="D348" s="15" t="s">
        <v>80</v>
      </c>
      <c r="E348" s="15" t="s">
        <v>150</v>
      </c>
      <c r="F348" s="15" t="s">
        <v>90</v>
      </c>
      <c r="G348" s="16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31</v>
      </c>
      <c r="B349" s="14" t="s">
        <v>32</v>
      </c>
      <c r="C349" s="109">
        <v>0.83680555555555558</v>
      </c>
      <c r="D349" s="14" t="s">
        <v>33</v>
      </c>
      <c r="E349" s="14" t="s">
        <v>55</v>
      </c>
      <c r="F349" s="14" t="s">
        <v>54</v>
      </c>
      <c r="G349" s="1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31</v>
      </c>
      <c r="B350" s="15" t="s">
        <v>32</v>
      </c>
      <c r="C350" s="110">
        <v>0.83680555555555558</v>
      </c>
      <c r="D350" s="15" t="s">
        <v>36</v>
      </c>
      <c r="E350" s="15" t="s">
        <v>55</v>
      </c>
      <c r="F350" s="15" t="s">
        <v>95</v>
      </c>
      <c r="G350" s="16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31</v>
      </c>
      <c r="B351" s="15" t="s">
        <v>32</v>
      </c>
      <c r="C351" s="110">
        <v>0.83680555555555558</v>
      </c>
      <c r="D351" s="15" t="s">
        <v>38</v>
      </c>
      <c r="E351" s="15" t="s">
        <v>55</v>
      </c>
      <c r="F351" s="15" t="s">
        <v>96</v>
      </c>
      <c r="G351" s="1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27" t="s">
        <v>31</v>
      </c>
      <c r="B352" s="27" t="s">
        <v>51</v>
      </c>
      <c r="C352" s="115">
        <v>0.2013888888888889</v>
      </c>
      <c r="D352" s="27" t="s">
        <v>33</v>
      </c>
      <c r="E352" s="27" t="s">
        <v>55</v>
      </c>
      <c r="F352" s="27" t="s">
        <v>59</v>
      </c>
      <c r="G352" s="16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31</v>
      </c>
      <c r="B353" s="15" t="s">
        <v>51</v>
      </c>
      <c r="C353" s="110">
        <v>0.2013888888888889</v>
      </c>
      <c r="D353" s="15" t="s">
        <v>36</v>
      </c>
      <c r="E353" s="15" t="s">
        <v>55</v>
      </c>
      <c r="F353" s="15" t="s">
        <v>35</v>
      </c>
      <c r="G353" s="16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31</v>
      </c>
      <c r="B354" s="15" t="s">
        <v>51</v>
      </c>
      <c r="C354" s="110">
        <v>0.2013888888888889</v>
      </c>
      <c r="D354" s="15" t="s">
        <v>38</v>
      </c>
      <c r="E354" s="15" t="s">
        <v>55</v>
      </c>
      <c r="F354" s="15" t="s">
        <v>106</v>
      </c>
      <c r="G354" s="16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40</v>
      </c>
      <c r="B355" s="14" t="s">
        <v>41</v>
      </c>
      <c r="C355" s="109">
        <v>0.86458333333333337</v>
      </c>
      <c r="D355" s="14" t="s">
        <v>61</v>
      </c>
      <c r="E355" s="14" t="s">
        <v>29</v>
      </c>
      <c r="F355" s="14" t="s">
        <v>62</v>
      </c>
      <c r="G355" s="16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40</v>
      </c>
      <c r="B356" s="27" t="s">
        <v>60</v>
      </c>
      <c r="C356" s="115">
        <v>0.1701388888888889</v>
      </c>
      <c r="D356" s="27" t="s">
        <v>61</v>
      </c>
      <c r="E356" s="27" t="s">
        <v>29</v>
      </c>
      <c r="F356" s="27" t="s">
        <v>62</v>
      </c>
      <c r="G356" s="16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57</v>
      </c>
      <c r="C357" s="109">
        <v>0.95833333333333337</v>
      </c>
      <c r="D357" s="14" t="s">
        <v>28</v>
      </c>
      <c r="E357" s="14" t="s">
        <v>98</v>
      </c>
      <c r="F357" s="14" t="s">
        <v>30</v>
      </c>
      <c r="G357" s="16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61" t="s">
        <v>64</v>
      </c>
      <c r="B358" s="61" t="s">
        <v>65</v>
      </c>
      <c r="C358" s="132">
        <v>0.27083333333333331</v>
      </c>
      <c r="D358" s="61" t="s">
        <v>28</v>
      </c>
      <c r="E358" s="61" t="s">
        <v>29</v>
      </c>
      <c r="F358" s="61" t="s">
        <v>66</v>
      </c>
      <c r="G358" s="166"/>
      <c r="H358" s="62" t="s">
        <v>67</v>
      </c>
      <c r="I358" s="133">
        <v>0.1726</v>
      </c>
      <c r="J358" s="63">
        <v>29</v>
      </c>
      <c r="K358" s="64" t="s">
        <v>68</v>
      </c>
      <c r="L358" s="63">
        <v>17</v>
      </c>
      <c r="M358" s="63">
        <v>0</v>
      </c>
      <c r="N358" s="63">
        <v>0</v>
      </c>
      <c r="O358" s="65" t="s">
        <v>69</v>
      </c>
      <c r="P358" s="134">
        <v>0.27083333333333331</v>
      </c>
      <c r="Q358" s="63">
        <v>168</v>
      </c>
      <c r="R358" s="66" t="s">
        <v>162</v>
      </c>
    </row>
    <row r="359" spans="1:18" ht="15" customHeight="1" thickBot="1" x14ac:dyDescent="0.35">
      <c r="A359" s="34" t="s">
        <v>71</v>
      </c>
      <c r="B359" s="34" t="s">
        <v>72</v>
      </c>
      <c r="C359" s="119">
        <v>0.30555555555555558</v>
      </c>
      <c r="D359" s="34" t="s">
        <v>73</v>
      </c>
      <c r="E359" s="34" t="s">
        <v>74</v>
      </c>
      <c r="F359" s="34" t="s">
        <v>120</v>
      </c>
      <c r="G359" s="167"/>
      <c r="H359" s="17"/>
      <c r="I359" s="18"/>
      <c r="J359" s="18"/>
      <c r="K359" s="18"/>
      <c r="L359" s="18"/>
      <c r="M359" s="18"/>
      <c r="N359" s="18"/>
      <c r="O359" s="19"/>
      <c r="P359" s="18"/>
      <c r="Q359" s="20"/>
      <c r="R359" s="21"/>
    </row>
    <row r="360" spans="1:18" ht="17.399999999999999" customHeight="1" thickBot="1" x14ac:dyDescent="0.35">
      <c r="A360" s="172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4"/>
    </row>
    <row r="361" spans="1:18" ht="22.05" customHeight="1" thickTop="1" thickBot="1" x14ac:dyDescent="0.35">
      <c r="A361" s="168" t="s">
        <v>6</v>
      </c>
      <c r="B361" s="169"/>
      <c r="C361" s="169"/>
      <c r="D361" s="169"/>
      <c r="E361" s="169"/>
      <c r="F361" s="170"/>
      <c r="G361" s="112">
        <v>46015</v>
      </c>
      <c r="H361" s="171" t="s">
        <v>7</v>
      </c>
      <c r="I361" s="169"/>
      <c r="J361" s="169"/>
      <c r="K361" s="169"/>
      <c r="L361" s="169"/>
      <c r="M361" s="169"/>
      <c r="N361" s="169"/>
      <c r="O361" s="169"/>
      <c r="P361" s="169"/>
      <c r="Q361" s="169"/>
      <c r="R361" s="170"/>
    </row>
    <row r="362" spans="1:18" ht="24" customHeight="1" x14ac:dyDescent="0.3">
      <c r="A362" s="22" t="s">
        <v>8</v>
      </c>
      <c r="B362" s="22" t="s">
        <v>9</v>
      </c>
      <c r="C362" s="113" t="s">
        <v>10</v>
      </c>
      <c r="D362" s="22" t="s">
        <v>11</v>
      </c>
      <c r="E362" s="22" t="s">
        <v>12</v>
      </c>
      <c r="F362" s="23" t="s">
        <v>13</v>
      </c>
      <c r="G362" s="24" t="s">
        <v>14</v>
      </c>
      <c r="H362" s="22" t="s">
        <v>15</v>
      </c>
      <c r="I362" s="114" t="s">
        <v>16</v>
      </c>
      <c r="J362" s="25" t="s">
        <v>17</v>
      </c>
      <c r="K362" s="26" t="s">
        <v>18</v>
      </c>
      <c r="L362" s="25" t="s">
        <v>19</v>
      </c>
      <c r="M362" s="25" t="s">
        <v>20</v>
      </c>
      <c r="N362" s="25" t="s">
        <v>21</v>
      </c>
      <c r="O362" s="22" t="s">
        <v>22</v>
      </c>
      <c r="P362" s="113" t="s">
        <v>23</v>
      </c>
      <c r="Q362" s="25" t="s">
        <v>24</v>
      </c>
      <c r="R362" s="22" t="s">
        <v>25</v>
      </c>
    </row>
    <row r="363" spans="1:18" ht="15" customHeight="1" x14ac:dyDescent="0.3">
      <c r="A363" s="8" t="s">
        <v>46</v>
      </c>
      <c r="B363" s="8" t="s">
        <v>47</v>
      </c>
      <c r="C363" s="108">
        <v>0.30555555555555558</v>
      </c>
      <c r="D363" s="8" t="s">
        <v>85</v>
      </c>
      <c r="E363" s="8" t="s">
        <v>93</v>
      </c>
      <c r="F363" s="8" t="s">
        <v>115</v>
      </c>
      <c r="G363" s="16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46</v>
      </c>
      <c r="B364" s="15" t="s">
        <v>47</v>
      </c>
      <c r="C364" s="110">
        <v>0.30555555555555558</v>
      </c>
      <c r="D364" s="15" t="s">
        <v>88</v>
      </c>
      <c r="E364" s="15" t="s">
        <v>93</v>
      </c>
      <c r="F364" s="15" t="s">
        <v>116</v>
      </c>
      <c r="G364" s="16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46</v>
      </c>
      <c r="B365" s="15" t="s">
        <v>47</v>
      </c>
      <c r="C365" s="110">
        <v>0.30555555555555558</v>
      </c>
      <c r="D365" s="15" t="s">
        <v>80</v>
      </c>
      <c r="E365" s="15" t="s">
        <v>93</v>
      </c>
      <c r="F365" s="15" t="s">
        <v>90</v>
      </c>
      <c r="G365" s="16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76</v>
      </c>
      <c r="B366" s="14" t="s">
        <v>77</v>
      </c>
      <c r="C366" s="109">
        <v>0.97222222222222221</v>
      </c>
      <c r="D366" s="14" t="s">
        <v>78</v>
      </c>
      <c r="E366" s="14" t="s">
        <v>55</v>
      </c>
      <c r="F366" s="14" t="s">
        <v>79</v>
      </c>
      <c r="G366" s="16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76</v>
      </c>
      <c r="B367" s="15" t="s">
        <v>77</v>
      </c>
      <c r="C367" s="110">
        <v>0.97222222222222221</v>
      </c>
      <c r="D367" s="15" t="s">
        <v>80</v>
      </c>
      <c r="E367" s="15" t="s">
        <v>55</v>
      </c>
      <c r="F367" s="15" t="s">
        <v>163</v>
      </c>
      <c r="G367" s="16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31</v>
      </c>
      <c r="B368" s="14" t="s">
        <v>32</v>
      </c>
      <c r="C368" s="109">
        <v>0.85069444444444442</v>
      </c>
      <c r="D368" s="14" t="s">
        <v>33</v>
      </c>
      <c r="E368" s="14" t="s">
        <v>58</v>
      </c>
      <c r="F368" s="14" t="s">
        <v>54</v>
      </c>
      <c r="G368" s="1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5" t="s">
        <v>31</v>
      </c>
      <c r="B369" s="15" t="s">
        <v>32</v>
      </c>
      <c r="C369" s="110">
        <v>0.85069444444444442</v>
      </c>
      <c r="D369" s="15" t="s">
        <v>36</v>
      </c>
      <c r="E369" s="15" t="s">
        <v>58</v>
      </c>
      <c r="F369" s="15" t="s">
        <v>95</v>
      </c>
      <c r="G369" s="1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31</v>
      </c>
      <c r="B370" s="15" t="s">
        <v>32</v>
      </c>
      <c r="C370" s="110">
        <v>0.85069444444444442</v>
      </c>
      <c r="D370" s="15" t="s">
        <v>38</v>
      </c>
      <c r="E370" s="15" t="s">
        <v>58</v>
      </c>
      <c r="F370" s="15" t="s">
        <v>96</v>
      </c>
      <c r="G370" s="1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40</v>
      </c>
      <c r="B371" s="14" t="s">
        <v>41</v>
      </c>
      <c r="C371" s="109">
        <v>0.86458333333333337</v>
      </c>
      <c r="D371" s="14" t="s">
        <v>61</v>
      </c>
      <c r="E371" s="14" t="s">
        <v>29</v>
      </c>
      <c r="F371" s="14" t="s">
        <v>62</v>
      </c>
      <c r="G371" s="1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7" t="s">
        <v>40</v>
      </c>
      <c r="B372" s="27" t="s">
        <v>44</v>
      </c>
      <c r="C372" s="115">
        <v>0.52777777777777779</v>
      </c>
      <c r="D372" s="27" t="s">
        <v>61</v>
      </c>
      <c r="E372" s="27" t="s">
        <v>29</v>
      </c>
      <c r="F372" s="27" t="s">
        <v>62</v>
      </c>
      <c r="G372" s="16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27" t="s">
        <v>40</v>
      </c>
      <c r="B373" s="27" t="s">
        <v>60</v>
      </c>
      <c r="C373" s="115">
        <v>0.1701388888888889</v>
      </c>
      <c r="D373" s="27" t="s">
        <v>61</v>
      </c>
      <c r="E373" s="27" t="s">
        <v>29</v>
      </c>
      <c r="F373" s="27" t="s">
        <v>62</v>
      </c>
      <c r="G373" s="16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27</v>
      </c>
      <c r="C374" s="109">
        <v>0.89583333333333337</v>
      </c>
      <c r="D374" s="14" t="s">
        <v>28</v>
      </c>
      <c r="E374" s="14" t="s">
        <v>29</v>
      </c>
      <c r="F374" s="14" t="s">
        <v>30</v>
      </c>
      <c r="G374" s="16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82</v>
      </c>
      <c r="B375" s="14" t="s">
        <v>83</v>
      </c>
      <c r="C375" s="109">
        <v>9.0277777777777776E-2</v>
      </c>
      <c r="D375" s="14" t="s">
        <v>28</v>
      </c>
      <c r="E375" s="14" t="s">
        <v>98</v>
      </c>
      <c r="F375" s="14" t="s">
        <v>164</v>
      </c>
      <c r="G375" s="16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thickBot="1" x14ac:dyDescent="0.35">
      <c r="A376" s="34" t="s">
        <v>71</v>
      </c>
      <c r="B376" s="34" t="s">
        <v>72</v>
      </c>
      <c r="C376" s="119">
        <v>0.30555555555555558</v>
      </c>
      <c r="D376" s="34" t="s">
        <v>73</v>
      </c>
      <c r="E376" s="34" t="s">
        <v>74</v>
      </c>
      <c r="F376" s="34" t="s">
        <v>120</v>
      </c>
      <c r="G376" s="167"/>
      <c r="H376" s="17"/>
      <c r="I376" s="18"/>
      <c r="J376" s="18"/>
      <c r="K376" s="18"/>
      <c r="L376" s="18"/>
      <c r="M376" s="18"/>
      <c r="N376" s="18"/>
      <c r="O376" s="19"/>
      <c r="P376" s="18"/>
      <c r="Q376" s="20"/>
      <c r="R376" s="21"/>
    </row>
    <row r="377" spans="1:18" ht="17.399999999999999" customHeight="1" thickBot="1" x14ac:dyDescent="0.35">
      <c r="A377" s="172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4"/>
    </row>
    <row r="378" spans="1:18" ht="22.05" customHeight="1" thickTop="1" thickBot="1" x14ac:dyDescent="0.35">
      <c r="A378" s="168" t="s">
        <v>6</v>
      </c>
      <c r="B378" s="169"/>
      <c r="C378" s="169"/>
      <c r="D378" s="169"/>
      <c r="E378" s="169"/>
      <c r="F378" s="170"/>
      <c r="G378" s="112">
        <v>46016</v>
      </c>
      <c r="H378" s="171" t="s">
        <v>7</v>
      </c>
      <c r="I378" s="169"/>
      <c r="J378" s="169"/>
      <c r="K378" s="169"/>
      <c r="L378" s="169"/>
      <c r="M378" s="169"/>
      <c r="N378" s="169"/>
      <c r="O378" s="169"/>
      <c r="P378" s="169"/>
      <c r="Q378" s="169"/>
      <c r="R378" s="170"/>
    </row>
    <row r="379" spans="1:18" ht="24" customHeight="1" x14ac:dyDescent="0.3">
      <c r="A379" s="22" t="s">
        <v>8</v>
      </c>
      <c r="B379" s="22" t="s">
        <v>9</v>
      </c>
      <c r="C379" s="113" t="s">
        <v>10</v>
      </c>
      <c r="D379" s="22" t="s">
        <v>11</v>
      </c>
      <c r="E379" s="22" t="s">
        <v>12</v>
      </c>
      <c r="F379" s="23" t="s">
        <v>13</v>
      </c>
      <c r="G379" s="24" t="s">
        <v>14</v>
      </c>
      <c r="H379" s="22" t="s">
        <v>15</v>
      </c>
      <c r="I379" s="114" t="s">
        <v>16</v>
      </c>
      <c r="J379" s="25" t="s">
        <v>17</v>
      </c>
      <c r="K379" s="26" t="s">
        <v>18</v>
      </c>
      <c r="L379" s="25" t="s">
        <v>19</v>
      </c>
      <c r="M379" s="25" t="s">
        <v>20</v>
      </c>
      <c r="N379" s="25" t="s">
        <v>21</v>
      </c>
      <c r="O379" s="22" t="s">
        <v>22</v>
      </c>
      <c r="P379" s="113" t="s">
        <v>23</v>
      </c>
      <c r="Q379" s="25" t="s">
        <v>24</v>
      </c>
      <c r="R379" s="22" t="s">
        <v>25</v>
      </c>
    </row>
    <row r="380" spans="1:18" ht="15" customHeight="1" x14ac:dyDescent="0.3">
      <c r="A380" s="8" t="s">
        <v>46</v>
      </c>
      <c r="B380" s="8" t="s">
        <v>47</v>
      </c>
      <c r="C380" s="108">
        <v>0.30555555555555558</v>
      </c>
      <c r="D380" s="8" t="s">
        <v>85</v>
      </c>
      <c r="E380" s="8" t="s">
        <v>165</v>
      </c>
      <c r="F380" s="8" t="s">
        <v>50</v>
      </c>
      <c r="G380" s="16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46</v>
      </c>
      <c r="B381" s="15" t="s">
        <v>47</v>
      </c>
      <c r="C381" s="110">
        <v>0.30555555555555558</v>
      </c>
      <c r="D381" s="15" t="s">
        <v>88</v>
      </c>
      <c r="E381" s="15" t="s">
        <v>165</v>
      </c>
      <c r="F381" s="15" t="s">
        <v>94</v>
      </c>
      <c r="G381" s="16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46</v>
      </c>
      <c r="B382" s="15" t="s">
        <v>47</v>
      </c>
      <c r="C382" s="110">
        <v>0.30555555555555558</v>
      </c>
      <c r="D382" s="15" t="s">
        <v>80</v>
      </c>
      <c r="E382" s="15" t="s">
        <v>165</v>
      </c>
      <c r="F382" s="15" t="s">
        <v>90</v>
      </c>
      <c r="G382" s="16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31</v>
      </c>
      <c r="B383" s="14" t="s">
        <v>51</v>
      </c>
      <c r="C383" s="109">
        <v>0.2013888888888889</v>
      </c>
      <c r="D383" s="14" t="s">
        <v>33</v>
      </c>
      <c r="E383" s="14" t="s">
        <v>102</v>
      </c>
      <c r="F383" s="14" t="s">
        <v>59</v>
      </c>
      <c r="G383" s="16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31</v>
      </c>
      <c r="B384" s="15" t="s">
        <v>51</v>
      </c>
      <c r="C384" s="110">
        <v>0.2013888888888889</v>
      </c>
      <c r="D384" s="15" t="s">
        <v>36</v>
      </c>
      <c r="E384" s="15" t="s">
        <v>102</v>
      </c>
      <c r="F384" s="15" t="s">
        <v>35</v>
      </c>
      <c r="G384" s="16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31</v>
      </c>
      <c r="B385" s="15" t="s">
        <v>51</v>
      </c>
      <c r="C385" s="110">
        <v>0.2013888888888889</v>
      </c>
      <c r="D385" s="15" t="s">
        <v>38</v>
      </c>
      <c r="E385" s="15" t="s">
        <v>102</v>
      </c>
      <c r="F385" s="15" t="s">
        <v>106</v>
      </c>
      <c r="G385" s="16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31</v>
      </c>
      <c r="B386" s="27" t="s">
        <v>32</v>
      </c>
      <c r="C386" s="115">
        <v>0.83680555555555558</v>
      </c>
      <c r="D386" s="27" t="s">
        <v>33</v>
      </c>
      <c r="E386" s="27" t="s">
        <v>100</v>
      </c>
      <c r="F386" s="27" t="s">
        <v>56</v>
      </c>
      <c r="G386" s="1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31</v>
      </c>
      <c r="B387" s="15" t="s">
        <v>32</v>
      </c>
      <c r="C387" s="110">
        <v>0.83680555555555558</v>
      </c>
      <c r="D387" s="15" t="s">
        <v>36</v>
      </c>
      <c r="E387" s="15" t="s">
        <v>100</v>
      </c>
      <c r="F387" s="15" t="s">
        <v>153</v>
      </c>
      <c r="G387" s="16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5" t="s">
        <v>31</v>
      </c>
      <c r="B388" s="15" t="s">
        <v>32</v>
      </c>
      <c r="C388" s="110">
        <v>0.83680555555555558</v>
      </c>
      <c r="D388" s="15" t="s">
        <v>38</v>
      </c>
      <c r="E388" s="15" t="s">
        <v>100</v>
      </c>
      <c r="F388" s="15" t="s">
        <v>154</v>
      </c>
      <c r="G388" s="1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40</v>
      </c>
      <c r="B389" s="14" t="s">
        <v>60</v>
      </c>
      <c r="C389" s="109">
        <v>0.1701388888888889</v>
      </c>
      <c r="D389" s="14" t="s">
        <v>61</v>
      </c>
      <c r="E389" s="14" t="s">
        <v>29</v>
      </c>
      <c r="F389" s="14" t="s">
        <v>62</v>
      </c>
      <c r="G389" s="16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7" t="s">
        <v>40</v>
      </c>
      <c r="B390" s="27" t="s">
        <v>41</v>
      </c>
      <c r="C390" s="115">
        <v>0.86458333333333337</v>
      </c>
      <c r="D390" s="27" t="s">
        <v>42</v>
      </c>
      <c r="E390" s="27" t="s">
        <v>29</v>
      </c>
      <c r="F390" s="27" t="s">
        <v>43</v>
      </c>
      <c r="G390" s="16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7" t="s">
        <v>40</v>
      </c>
      <c r="B391" s="27" t="s">
        <v>44</v>
      </c>
      <c r="C391" s="115">
        <v>0.52777777777777779</v>
      </c>
      <c r="D391" s="27" t="s">
        <v>42</v>
      </c>
      <c r="E391" s="27" t="s">
        <v>29</v>
      </c>
      <c r="F391" s="27" t="s">
        <v>166</v>
      </c>
      <c r="G391" s="16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82</v>
      </c>
      <c r="B392" s="14" t="s">
        <v>83</v>
      </c>
      <c r="C392" s="109">
        <v>0.88888888888888884</v>
      </c>
      <c r="D392" s="14" t="s">
        <v>167</v>
      </c>
      <c r="E392" s="14" t="s">
        <v>97</v>
      </c>
      <c r="F392" s="14" t="s">
        <v>164</v>
      </c>
      <c r="G392" s="16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57</v>
      </c>
      <c r="C393" s="109">
        <v>0.95833333333333337</v>
      </c>
      <c r="D393" s="14" t="s">
        <v>28</v>
      </c>
      <c r="E393" s="14" t="s">
        <v>29</v>
      </c>
      <c r="F393" s="14" t="s">
        <v>130</v>
      </c>
      <c r="G393" s="16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67" t="s">
        <v>64</v>
      </c>
      <c r="B394" s="67" t="s">
        <v>65</v>
      </c>
      <c r="C394" s="135">
        <v>0.92361111111111116</v>
      </c>
      <c r="D394" s="67" t="s">
        <v>28</v>
      </c>
      <c r="E394" s="67" t="s">
        <v>29</v>
      </c>
      <c r="F394" s="67" t="s">
        <v>110</v>
      </c>
      <c r="G394" s="166"/>
      <c r="H394" s="68" t="s">
        <v>67</v>
      </c>
      <c r="I394" s="136">
        <v>0.25600000000000001</v>
      </c>
      <c r="J394" s="69">
        <v>43</v>
      </c>
      <c r="K394" s="70" t="s">
        <v>155</v>
      </c>
      <c r="L394" s="69">
        <v>4</v>
      </c>
      <c r="M394" s="69">
        <v>0</v>
      </c>
      <c r="N394" s="69">
        <v>0</v>
      </c>
      <c r="O394" s="71" t="s">
        <v>111</v>
      </c>
      <c r="P394" s="137">
        <v>0.92361111111111116</v>
      </c>
      <c r="Q394" s="69">
        <v>168</v>
      </c>
      <c r="R394" s="72" t="s">
        <v>168</v>
      </c>
    </row>
    <row r="395" spans="1:18" ht="15" customHeight="1" thickBot="1" x14ac:dyDescent="0.35">
      <c r="A395" s="34" t="s">
        <v>71</v>
      </c>
      <c r="B395" s="34" t="s">
        <v>72</v>
      </c>
      <c r="C395" s="119">
        <v>0.30555555555555558</v>
      </c>
      <c r="D395" s="34" t="s">
        <v>73</v>
      </c>
      <c r="E395" s="34" t="s">
        <v>74</v>
      </c>
      <c r="F395" s="34" t="s">
        <v>75</v>
      </c>
      <c r="G395" s="167"/>
      <c r="H395" s="17"/>
      <c r="I395" s="18"/>
      <c r="J395" s="18"/>
      <c r="K395" s="18"/>
      <c r="L395" s="18"/>
      <c r="M395" s="18"/>
      <c r="N395" s="18"/>
      <c r="O395" s="19"/>
      <c r="P395" s="18"/>
      <c r="Q395" s="20"/>
      <c r="R395" s="21"/>
    </row>
    <row r="396" spans="1:18" ht="17.399999999999999" customHeight="1" thickBot="1" x14ac:dyDescent="0.35">
      <c r="A396" s="172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4"/>
    </row>
    <row r="397" spans="1:18" ht="22.05" customHeight="1" thickTop="1" thickBot="1" x14ac:dyDescent="0.35">
      <c r="A397" s="168" t="s">
        <v>6</v>
      </c>
      <c r="B397" s="169"/>
      <c r="C397" s="169"/>
      <c r="D397" s="169"/>
      <c r="E397" s="169"/>
      <c r="F397" s="170"/>
      <c r="G397" s="112">
        <v>46017</v>
      </c>
      <c r="H397" s="171" t="s">
        <v>7</v>
      </c>
      <c r="I397" s="169"/>
      <c r="J397" s="169"/>
      <c r="K397" s="169"/>
      <c r="L397" s="169"/>
      <c r="M397" s="169"/>
      <c r="N397" s="169"/>
      <c r="O397" s="169"/>
      <c r="P397" s="169"/>
      <c r="Q397" s="169"/>
      <c r="R397" s="170"/>
    </row>
    <row r="398" spans="1:18" ht="24" customHeight="1" x14ac:dyDescent="0.3">
      <c r="A398" s="22" t="s">
        <v>8</v>
      </c>
      <c r="B398" s="22" t="s">
        <v>9</v>
      </c>
      <c r="C398" s="113" t="s">
        <v>10</v>
      </c>
      <c r="D398" s="22" t="s">
        <v>11</v>
      </c>
      <c r="E398" s="22" t="s">
        <v>12</v>
      </c>
      <c r="F398" s="23" t="s">
        <v>13</v>
      </c>
      <c r="G398" s="24" t="s">
        <v>14</v>
      </c>
      <c r="H398" s="22" t="s">
        <v>15</v>
      </c>
      <c r="I398" s="114" t="s">
        <v>16</v>
      </c>
      <c r="J398" s="25" t="s">
        <v>17</v>
      </c>
      <c r="K398" s="26" t="s">
        <v>18</v>
      </c>
      <c r="L398" s="25" t="s">
        <v>19</v>
      </c>
      <c r="M398" s="25" t="s">
        <v>20</v>
      </c>
      <c r="N398" s="25" t="s">
        <v>21</v>
      </c>
      <c r="O398" s="22" t="s">
        <v>22</v>
      </c>
      <c r="P398" s="113" t="s">
        <v>23</v>
      </c>
      <c r="Q398" s="25" t="s">
        <v>24</v>
      </c>
      <c r="R398" s="22" t="s">
        <v>25</v>
      </c>
    </row>
    <row r="399" spans="1:18" ht="15" customHeight="1" x14ac:dyDescent="0.3">
      <c r="A399" s="8" t="s">
        <v>46</v>
      </c>
      <c r="B399" s="8" t="s">
        <v>47</v>
      </c>
      <c r="C399" s="108">
        <v>0.30555555555555558</v>
      </c>
      <c r="D399" s="8" t="s">
        <v>85</v>
      </c>
      <c r="E399" s="8" t="s">
        <v>125</v>
      </c>
      <c r="F399" s="8" t="s">
        <v>115</v>
      </c>
      <c r="G399" s="16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5" t="s">
        <v>46</v>
      </c>
      <c r="B400" s="15" t="s">
        <v>47</v>
      </c>
      <c r="C400" s="110">
        <v>0.30555555555555558</v>
      </c>
      <c r="D400" s="15" t="s">
        <v>88</v>
      </c>
      <c r="E400" s="15" t="s">
        <v>125</v>
      </c>
      <c r="F400" s="15" t="s">
        <v>116</v>
      </c>
      <c r="G400" s="1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5" t="s">
        <v>46</v>
      </c>
      <c r="B401" s="15" t="s">
        <v>47</v>
      </c>
      <c r="C401" s="110">
        <v>0.30555555555555558</v>
      </c>
      <c r="D401" s="15" t="s">
        <v>80</v>
      </c>
      <c r="E401" s="15" t="s">
        <v>125</v>
      </c>
      <c r="F401" s="15" t="s">
        <v>90</v>
      </c>
      <c r="G401" s="1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31</v>
      </c>
      <c r="B402" s="14" t="s">
        <v>32</v>
      </c>
      <c r="C402" s="109">
        <v>0.83680555555555558</v>
      </c>
      <c r="D402" s="14" t="s">
        <v>33</v>
      </c>
      <c r="E402" s="14" t="s">
        <v>55</v>
      </c>
      <c r="F402" s="14" t="s">
        <v>54</v>
      </c>
      <c r="G402" s="16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5" t="s">
        <v>31</v>
      </c>
      <c r="B403" s="15" t="s">
        <v>32</v>
      </c>
      <c r="C403" s="110">
        <v>0.83680555555555558</v>
      </c>
      <c r="D403" s="15" t="s">
        <v>36</v>
      </c>
      <c r="E403" s="15" t="s">
        <v>55</v>
      </c>
      <c r="F403" s="15" t="s">
        <v>95</v>
      </c>
      <c r="G403" s="16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5" t="s">
        <v>31</v>
      </c>
      <c r="B404" s="15" t="s">
        <v>32</v>
      </c>
      <c r="C404" s="110">
        <v>0.83680555555555558</v>
      </c>
      <c r="D404" s="15" t="s">
        <v>38</v>
      </c>
      <c r="E404" s="15" t="s">
        <v>55</v>
      </c>
      <c r="F404" s="15" t="s">
        <v>96</v>
      </c>
      <c r="G404" s="16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40</v>
      </c>
      <c r="B405" s="14" t="s">
        <v>41</v>
      </c>
      <c r="C405" s="109">
        <v>0.86458333333333337</v>
      </c>
      <c r="D405" s="14" t="s">
        <v>61</v>
      </c>
      <c r="E405" s="14" t="s">
        <v>29</v>
      </c>
      <c r="F405" s="14" t="s">
        <v>62</v>
      </c>
      <c r="G405" s="16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27" t="s">
        <v>40</v>
      </c>
      <c r="B406" s="27" t="s">
        <v>60</v>
      </c>
      <c r="C406" s="115">
        <v>0.1701388888888889</v>
      </c>
      <c r="D406" s="27" t="s">
        <v>61</v>
      </c>
      <c r="E406" s="27" t="s">
        <v>29</v>
      </c>
      <c r="F406" s="27" t="s">
        <v>62</v>
      </c>
      <c r="G406" s="16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7" t="s">
        <v>40</v>
      </c>
      <c r="B407" s="27" t="s">
        <v>44</v>
      </c>
      <c r="C407" s="115">
        <v>0.52777777777777779</v>
      </c>
      <c r="D407" s="27" t="s">
        <v>61</v>
      </c>
      <c r="E407" s="27" t="s">
        <v>29</v>
      </c>
      <c r="F407" s="27" t="s">
        <v>151</v>
      </c>
      <c r="G407" s="1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09">
        <v>0.95833333333333337</v>
      </c>
      <c r="D408" s="14" t="s">
        <v>167</v>
      </c>
      <c r="E408" s="14" t="s">
        <v>29</v>
      </c>
      <c r="F408" s="14" t="s">
        <v>30</v>
      </c>
      <c r="G408" s="16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8" t="s">
        <v>64</v>
      </c>
      <c r="B409" s="28" t="s">
        <v>65</v>
      </c>
      <c r="C409" s="116">
        <v>0.57986111111111116</v>
      </c>
      <c r="D409" s="28" t="s">
        <v>28</v>
      </c>
      <c r="E409" s="28" t="s">
        <v>29</v>
      </c>
      <c r="F409" s="28" t="s">
        <v>110</v>
      </c>
      <c r="G409" s="166"/>
      <c r="H409" s="29" t="s">
        <v>67</v>
      </c>
      <c r="I409" s="117">
        <v>0.3095</v>
      </c>
      <c r="J409" s="30">
        <v>52</v>
      </c>
      <c r="K409" s="31" t="s">
        <v>155</v>
      </c>
      <c r="L409" s="30">
        <v>19</v>
      </c>
      <c r="M409" s="30">
        <v>0</v>
      </c>
      <c r="N409" s="30">
        <v>0</v>
      </c>
      <c r="O409" s="32" t="s">
        <v>111</v>
      </c>
      <c r="P409" s="118">
        <v>0.57986111111111116</v>
      </c>
      <c r="Q409" s="30">
        <v>168</v>
      </c>
      <c r="R409" s="33" t="s">
        <v>169</v>
      </c>
    </row>
    <row r="410" spans="1:18" ht="15" customHeight="1" thickBot="1" x14ac:dyDescent="0.35">
      <c r="A410" s="34" t="s">
        <v>71</v>
      </c>
      <c r="B410" s="34" t="s">
        <v>72</v>
      </c>
      <c r="C410" s="119">
        <v>0.30555555555555558</v>
      </c>
      <c r="D410" s="34" t="s">
        <v>73</v>
      </c>
      <c r="E410" s="34" t="s">
        <v>74</v>
      </c>
      <c r="F410" s="34" t="s">
        <v>120</v>
      </c>
      <c r="G410" s="167"/>
      <c r="H410" s="17"/>
      <c r="I410" s="18"/>
      <c r="J410" s="18"/>
      <c r="K410" s="18"/>
      <c r="L410" s="18"/>
      <c r="M410" s="18"/>
      <c r="N410" s="18"/>
      <c r="O410" s="19"/>
      <c r="P410" s="18"/>
      <c r="Q410" s="20"/>
      <c r="R410" s="21"/>
    </row>
    <row r="411" spans="1:18" ht="17.399999999999999" customHeight="1" thickBot="1" x14ac:dyDescent="0.35">
      <c r="A411" s="172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4"/>
    </row>
    <row r="412" spans="1:18" ht="22.05" customHeight="1" thickTop="1" thickBot="1" x14ac:dyDescent="0.35">
      <c r="A412" s="168" t="s">
        <v>6</v>
      </c>
      <c r="B412" s="169"/>
      <c r="C412" s="169"/>
      <c r="D412" s="169"/>
      <c r="E412" s="169"/>
      <c r="F412" s="170"/>
      <c r="G412" s="112">
        <v>46018</v>
      </c>
      <c r="H412" s="171" t="s">
        <v>7</v>
      </c>
      <c r="I412" s="169"/>
      <c r="J412" s="169"/>
      <c r="K412" s="169"/>
      <c r="L412" s="169"/>
      <c r="M412" s="169"/>
      <c r="N412" s="169"/>
      <c r="O412" s="169"/>
      <c r="P412" s="169"/>
      <c r="Q412" s="169"/>
      <c r="R412" s="170"/>
    </row>
    <row r="413" spans="1:18" ht="24" customHeight="1" x14ac:dyDescent="0.3">
      <c r="A413" s="22" t="s">
        <v>8</v>
      </c>
      <c r="B413" s="22" t="s">
        <v>9</v>
      </c>
      <c r="C413" s="113" t="s">
        <v>10</v>
      </c>
      <c r="D413" s="22" t="s">
        <v>11</v>
      </c>
      <c r="E413" s="22" t="s">
        <v>12</v>
      </c>
      <c r="F413" s="23" t="s">
        <v>13</v>
      </c>
      <c r="G413" s="24" t="s">
        <v>14</v>
      </c>
      <c r="H413" s="22" t="s">
        <v>15</v>
      </c>
      <c r="I413" s="114" t="s">
        <v>16</v>
      </c>
      <c r="J413" s="25" t="s">
        <v>17</v>
      </c>
      <c r="K413" s="26" t="s">
        <v>18</v>
      </c>
      <c r="L413" s="25" t="s">
        <v>19</v>
      </c>
      <c r="M413" s="25" t="s">
        <v>20</v>
      </c>
      <c r="N413" s="25" t="s">
        <v>21</v>
      </c>
      <c r="O413" s="22" t="s">
        <v>22</v>
      </c>
      <c r="P413" s="113" t="s">
        <v>23</v>
      </c>
      <c r="Q413" s="25" t="s">
        <v>24</v>
      </c>
      <c r="R413" s="22" t="s">
        <v>25</v>
      </c>
    </row>
    <row r="414" spans="1:18" ht="15" customHeight="1" x14ac:dyDescent="0.3">
      <c r="A414" s="8" t="s">
        <v>46</v>
      </c>
      <c r="B414" s="8" t="s">
        <v>47</v>
      </c>
      <c r="C414" s="108">
        <v>0.30555555555555558</v>
      </c>
      <c r="D414" s="8" t="s">
        <v>85</v>
      </c>
      <c r="E414" s="8" t="s">
        <v>125</v>
      </c>
      <c r="F414" s="8" t="s">
        <v>115</v>
      </c>
      <c r="G414" s="16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5" t="s">
        <v>46</v>
      </c>
      <c r="B415" s="15" t="s">
        <v>47</v>
      </c>
      <c r="C415" s="110">
        <v>0.30555555555555558</v>
      </c>
      <c r="D415" s="15" t="s">
        <v>88</v>
      </c>
      <c r="E415" s="15" t="s">
        <v>125</v>
      </c>
      <c r="F415" s="15" t="s">
        <v>116</v>
      </c>
      <c r="G415" s="16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46</v>
      </c>
      <c r="B416" s="15" t="s">
        <v>47</v>
      </c>
      <c r="C416" s="110">
        <v>0.30555555555555558</v>
      </c>
      <c r="D416" s="15" t="s">
        <v>80</v>
      </c>
      <c r="E416" s="15" t="s">
        <v>125</v>
      </c>
      <c r="F416" s="15" t="s">
        <v>90</v>
      </c>
      <c r="G416" s="16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31</v>
      </c>
      <c r="B417" s="14" t="s">
        <v>32</v>
      </c>
      <c r="C417" s="109">
        <v>0.83680555555555558</v>
      </c>
      <c r="D417" s="14" t="s">
        <v>33</v>
      </c>
      <c r="E417" s="14" t="s">
        <v>55</v>
      </c>
      <c r="F417" s="14" t="s">
        <v>54</v>
      </c>
      <c r="G417" s="16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5" t="s">
        <v>31</v>
      </c>
      <c r="B418" s="15" t="s">
        <v>32</v>
      </c>
      <c r="C418" s="110">
        <v>0.83680555555555558</v>
      </c>
      <c r="D418" s="15" t="s">
        <v>36</v>
      </c>
      <c r="E418" s="15" t="s">
        <v>55</v>
      </c>
      <c r="F418" s="15" t="s">
        <v>95</v>
      </c>
      <c r="G418" s="16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5" t="s">
        <v>31</v>
      </c>
      <c r="B419" s="15" t="s">
        <v>32</v>
      </c>
      <c r="C419" s="110">
        <v>0.83680555555555558</v>
      </c>
      <c r="D419" s="15" t="s">
        <v>38</v>
      </c>
      <c r="E419" s="15" t="s">
        <v>55</v>
      </c>
      <c r="F419" s="15" t="s">
        <v>96</v>
      </c>
      <c r="G419" s="1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27" t="s">
        <v>31</v>
      </c>
      <c r="B420" s="27" t="s">
        <v>51</v>
      </c>
      <c r="C420" s="115">
        <v>0.2013888888888889</v>
      </c>
      <c r="D420" s="27" t="s">
        <v>33</v>
      </c>
      <c r="E420" s="27" t="s">
        <v>55</v>
      </c>
      <c r="F420" s="27" t="s">
        <v>54</v>
      </c>
      <c r="G420" s="1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5" t="s">
        <v>31</v>
      </c>
      <c r="B421" s="15" t="s">
        <v>51</v>
      </c>
      <c r="C421" s="110">
        <v>0.2013888888888889</v>
      </c>
      <c r="D421" s="15" t="s">
        <v>36</v>
      </c>
      <c r="E421" s="15" t="s">
        <v>55</v>
      </c>
      <c r="F421" s="15" t="s">
        <v>95</v>
      </c>
      <c r="G421" s="1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5" t="s">
        <v>31</v>
      </c>
      <c r="B422" s="15" t="s">
        <v>51</v>
      </c>
      <c r="C422" s="110">
        <v>0.2013888888888889</v>
      </c>
      <c r="D422" s="15" t="s">
        <v>38</v>
      </c>
      <c r="E422" s="15" t="s">
        <v>55</v>
      </c>
      <c r="F422" s="15" t="s">
        <v>96</v>
      </c>
      <c r="G422" s="16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76</v>
      </c>
      <c r="B423" s="14" t="s">
        <v>77</v>
      </c>
      <c r="C423" s="109">
        <v>0.97222222222222221</v>
      </c>
      <c r="D423" s="14" t="s">
        <v>78</v>
      </c>
      <c r="E423" s="14" t="s">
        <v>55</v>
      </c>
      <c r="F423" s="14" t="s">
        <v>117</v>
      </c>
      <c r="G423" s="1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5" t="s">
        <v>76</v>
      </c>
      <c r="B424" s="15" t="s">
        <v>77</v>
      </c>
      <c r="C424" s="110">
        <v>0.97222222222222221</v>
      </c>
      <c r="D424" s="15" t="s">
        <v>80</v>
      </c>
      <c r="E424" s="15" t="s">
        <v>55</v>
      </c>
      <c r="F424" s="15" t="s">
        <v>170</v>
      </c>
      <c r="G424" s="1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40</v>
      </c>
      <c r="B425" s="14" t="s">
        <v>41</v>
      </c>
      <c r="C425" s="109">
        <v>0.86805555555555558</v>
      </c>
      <c r="D425" s="14" t="s">
        <v>61</v>
      </c>
      <c r="E425" s="14" t="s">
        <v>29</v>
      </c>
      <c r="F425" s="14" t="s">
        <v>62</v>
      </c>
      <c r="G425" s="1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7" t="s">
        <v>40</v>
      </c>
      <c r="B426" s="27" t="s">
        <v>44</v>
      </c>
      <c r="C426" s="115">
        <v>0.52777777777777779</v>
      </c>
      <c r="D426" s="27" t="s">
        <v>61</v>
      </c>
      <c r="E426" s="27" t="s">
        <v>29</v>
      </c>
      <c r="F426" s="27" t="s">
        <v>62</v>
      </c>
      <c r="G426" s="1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7" t="s">
        <v>40</v>
      </c>
      <c r="B427" s="27" t="s">
        <v>60</v>
      </c>
      <c r="C427" s="115">
        <v>0.1701388888888889</v>
      </c>
      <c r="D427" s="27" t="s">
        <v>61</v>
      </c>
      <c r="E427" s="27" t="s">
        <v>29</v>
      </c>
      <c r="F427" s="27" t="s">
        <v>62</v>
      </c>
      <c r="G427" s="1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57</v>
      </c>
      <c r="C428" s="109">
        <v>0.94444444444444442</v>
      </c>
      <c r="D428" s="14" t="s">
        <v>167</v>
      </c>
      <c r="E428" s="14" t="s">
        <v>29</v>
      </c>
      <c r="F428" s="14" t="s">
        <v>30</v>
      </c>
      <c r="G428" s="16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67" t="s">
        <v>64</v>
      </c>
      <c r="B429" s="67" t="s">
        <v>65</v>
      </c>
      <c r="C429" s="135">
        <v>0.92361111111111116</v>
      </c>
      <c r="D429" s="67" t="s">
        <v>28</v>
      </c>
      <c r="E429" s="67" t="s">
        <v>29</v>
      </c>
      <c r="F429" s="67" t="s">
        <v>66</v>
      </c>
      <c r="G429" s="166"/>
      <c r="H429" s="68" t="s">
        <v>67</v>
      </c>
      <c r="I429" s="136">
        <v>0.25</v>
      </c>
      <c r="J429" s="69">
        <v>42</v>
      </c>
      <c r="K429" s="70" t="s">
        <v>68</v>
      </c>
      <c r="L429" s="69">
        <v>28</v>
      </c>
      <c r="M429" s="69">
        <v>0</v>
      </c>
      <c r="N429" s="69">
        <v>0</v>
      </c>
      <c r="O429" s="71" t="s">
        <v>69</v>
      </c>
      <c r="P429" s="137">
        <v>0.92361111111111116</v>
      </c>
      <c r="Q429" s="69">
        <v>168</v>
      </c>
      <c r="R429" s="72" t="s">
        <v>171</v>
      </c>
    </row>
    <row r="430" spans="1:18" ht="15" customHeight="1" thickBot="1" x14ac:dyDescent="0.35">
      <c r="A430" s="34" t="s">
        <v>71</v>
      </c>
      <c r="B430" s="34" t="s">
        <v>72</v>
      </c>
      <c r="C430" s="119">
        <v>0.30555555555555558</v>
      </c>
      <c r="D430" s="34" t="s">
        <v>73</v>
      </c>
      <c r="E430" s="34" t="s">
        <v>74</v>
      </c>
      <c r="F430" s="34" t="s">
        <v>120</v>
      </c>
      <c r="G430" s="167"/>
      <c r="H430" s="17"/>
      <c r="I430" s="18"/>
      <c r="J430" s="18"/>
      <c r="K430" s="18"/>
      <c r="L430" s="18"/>
      <c r="M430" s="18"/>
      <c r="N430" s="18"/>
      <c r="O430" s="19"/>
      <c r="P430" s="18"/>
      <c r="Q430" s="20"/>
      <c r="R430" s="21"/>
    </row>
    <row r="431" spans="1:18" ht="17.399999999999999" customHeight="1" thickBot="1" x14ac:dyDescent="0.35">
      <c r="A431" s="172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4"/>
    </row>
    <row r="432" spans="1:18" ht="22.05" customHeight="1" thickTop="1" thickBot="1" x14ac:dyDescent="0.35">
      <c r="A432" s="168" t="s">
        <v>6</v>
      </c>
      <c r="B432" s="169"/>
      <c r="C432" s="169"/>
      <c r="D432" s="169"/>
      <c r="E432" s="169"/>
      <c r="F432" s="170"/>
      <c r="G432" s="112">
        <v>46019</v>
      </c>
      <c r="H432" s="171" t="s">
        <v>7</v>
      </c>
      <c r="I432" s="169"/>
      <c r="J432" s="169"/>
      <c r="K432" s="169"/>
      <c r="L432" s="169"/>
      <c r="M432" s="169"/>
      <c r="N432" s="169"/>
      <c r="O432" s="169"/>
      <c r="P432" s="169"/>
      <c r="Q432" s="169"/>
      <c r="R432" s="170"/>
    </row>
    <row r="433" spans="1:18" ht="24" customHeight="1" x14ac:dyDescent="0.3">
      <c r="A433" s="22" t="s">
        <v>8</v>
      </c>
      <c r="B433" s="22" t="s">
        <v>9</v>
      </c>
      <c r="C433" s="113" t="s">
        <v>10</v>
      </c>
      <c r="D433" s="22" t="s">
        <v>11</v>
      </c>
      <c r="E433" s="22" t="s">
        <v>12</v>
      </c>
      <c r="F433" s="23" t="s">
        <v>13</v>
      </c>
      <c r="G433" s="24" t="s">
        <v>14</v>
      </c>
      <c r="H433" s="22" t="s">
        <v>15</v>
      </c>
      <c r="I433" s="114" t="s">
        <v>16</v>
      </c>
      <c r="J433" s="25" t="s">
        <v>17</v>
      </c>
      <c r="K433" s="26" t="s">
        <v>18</v>
      </c>
      <c r="L433" s="25" t="s">
        <v>19</v>
      </c>
      <c r="M433" s="25" t="s">
        <v>20</v>
      </c>
      <c r="N433" s="25" t="s">
        <v>21</v>
      </c>
      <c r="O433" s="22" t="s">
        <v>22</v>
      </c>
      <c r="P433" s="113" t="s">
        <v>23</v>
      </c>
      <c r="Q433" s="25" t="s">
        <v>24</v>
      </c>
      <c r="R433" s="22" t="s">
        <v>25</v>
      </c>
    </row>
    <row r="434" spans="1:18" ht="15" customHeight="1" x14ac:dyDescent="0.3">
      <c r="A434" s="8" t="s">
        <v>46</v>
      </c>
      <c r="B434" s="8" t="s">
        <v>47</v>
      </c>
      <c r="C434" s="108">
        <v>0.30555555555555558</v>
      </c>
      <c r="D434" s="8" t="s">
        <v>85</v>
      </c>
      <c r="E434" s="8" t="s">
        <v>124</v>
      </c>
      <c r="F434" s="8" t="s">
        <v>115</v>
      </c>
      <c r="G434" s="16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" t="s">
        <v>46</v>
      </c>
      <c r="B435" s="15" t="s">
        <v>47</v>
      </c>
      <c r="C435" s="110">
        <v>0.30555555555555558</v>
      </c>
      <c r="D435" s="15" t="s">
        <v>88</v>
      </c>
      <c r="E435" s="15" t="s">
        <v>124</v>
      </c>
      <c r="F435" s="15" t="s">
        <v>116</v>
      </c>
      <c r="G435" s="16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5" t="s">
        <v>46</v>
      </c>
      <c r="B436" s="15" t="s">
        <v>47</v>
      </c>
      <c r="C436" s="110">
        <v>0.30555555555555558</v>
      </c>
      <c r="D436" s="15" t="s">
        <v>80</v>
      </c>
      <c r="E436" s="15" t="s">
        <v>124</v>
      </c>
      <c r="F436" s="15" t="s">
        <v>90</v>
      </c>
      <c r="G436" s="16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31</v>
      </c>
      <c r="B437" s="14" t="s">
        <v>32</v>
      </c>
      <c r="C437" s="109">
        <v>0.85069444444444442</v>
      </c>
      <c r="D437" s="14" t="s">
        <v>33</v>
      </c>
      <c r="E437" s="14" t="s">
        <v>58</v>
      </c>
      <c r="F437" s="14" t="s">
        <v>54</v>
      </c>
      <c r="G437" s="16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5" t="s">
        <v>31</v>
      </c>
      <c r="B438" s="15" t="s">
        <v>32</v>
      </c>
      <c r="C438" s="110">
        <v>0.85069444444444442</v>
      </c>
      <c r="D438" s="15" t="s">
        <v>36</v>
      </c>
      <c r="E438" s="15" t="s">
        <v>58</v>
      </c>
      <c r="F438" s="15" t="s">
        <v>95</v>
      </c>
      <c r="G438" s="16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5" t="s">
        <v>31</v>
      </c>
      <c r="B439" s="15" t="s">
        <v>32</v>
      </c>
      <c r="C439" s="110">
        <v>0.85069444444444442</v>
      </c>
      <c r="D439" s="15" t="s">
        <v>38</v>
      </c>
      <c r="E439" s="15" t="s">
        <v>58</v>
      </c>
      <c r="F439" s="15" t="s">
        <v>96</v>
      </c>
      <c r="G439" s="16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40</v>
      </c>
      <c r="B440" s="14" t="s">
        <v>41</v>
      </c>
      <c r="C440" s="109">
        <v>0.86458333333333337</v>
      </c>
      <c r="D440" s="14" t="s">
        <v>61</v>
      </c>
      <c r="E440" s="14" t="s">
        <v>29</v>
      </c>
      <c r="F440" s="14" t="s">
        <v>62</v>
      </c>
      <c r="G440" s="16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27" t="s">
        <v>40</v>
      </c>
      <c r="B441" s="27" t="s">
        <v>44</v>
      </c>
      <c r="C441" s="115">
        <v>0.52777777777777779</v>
      </c>
      <c r="D441" s="27" t="s">
        <v>61</v>
      </c>
      <c r="E441" s="27" t="s">
        <v>29</v>
      </c>
      <c r="F441" s="27" t="s">
        <v>62</v>
      </c>
      <c r="G441" s="1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7" t="s">
        <v>40</v>
      </c>
      <c r="B442" s="27" t="s">
        <v>60</v>
      </c>
      <c r="C442" s="115">
        <v>0.1701388888888889</v>
      </c>
      <c r="D442" s="27" t="s">
        <v>61</v>
      </c>
      <c r="E442" s="27" t="s">
        <v>29</v>
      </c>
      <c r="F442" s="27" t="s">
        <v>62</v>
      </c>
      <c r="G442" s="1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99</v>
      </c>
      <c r="C443" s="109">
        <v>0.95833333333333337</v>
      </c>
      <c r="D443" s="14" t="s">
        <v>167</v>
      </c>
      <c r="E443" s="14" t="s">
        <v>29</v>
      </c>
      <c r="F443" s="14" t="s">
        <v>30</v>
      </c>
      <c r="G443" s="16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thickBot="1" x14ac:dyDescent="0.35">
      <c r="A444" s="34" t="s">
        <v>71</v>
      </c>
      <c r="B444" s="34" t="s">
        <v>72</v>
      </c>
      <c r="C444" s="119">
        <v>0.30555555555555558</v>
      </c>
      <c r="D444" s="34" t="s">
        <v>73</v>
      </c>
      <c r="E444" s="34" t="s">
        <v>74</v>
      </c>
      <c r="F444" s="34" t="s">
        <v>120</v>
      </c>
      <c r="G444" s="167"/>
      <c r="H444" s="17"/>
      <c r="I444" s="18"/>
      <c r="J444" s="18"/>
      <c r="K444" s="18"/>
      <c r="L444" s="18"/>
      <c r="M444" s="18"/>
      <c r="N444" s="18"/>
      <c r="O444" s="19"/>
      <c r="P444" s="18"/>
      <c r="Q444" s="20"/>
      <c r="R444" s="21"/>
    </row>
    <row r="445" spans="1:18" ht="17.399999999999999" customHeight="1" thickBot="1" x14ac:dyDescent="0.35">
      <c r="A445" s="172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4"/>
    </row>
    <row r="446" spans="1:18" ht="22.05" customHeight="1" thickTop="1" thickBot="1" x14ac:dyDescent="0.35">
      <c r="A446" s="168" t="s">
        <v>6</v>
      </c>
      <c r="B446" s="169"/>
      <c r="C446" s="169"/>
      <c r="D446" s="169"/>
      <c r="E446" s="169"/>
      <c r="F446" s="170"/>
      <c r="G446" s="112">
        <v>46020</v>
      </c>
      <c r="H446" s="171" t="s">
        <v>7</v>
      </c>
      <c r="I446" s="169"/>
      <c r="J446" s="169"/>
      <c r="K446" s="169"/>
      <c r="L446" s="169"/>
      <c r="M446" s="169"/>
      <c r="N446" s="169"/>
      <c r="O446" s="169"/>
      <c r="P446" s="169"/>
      <c r="Q446" s="169"/>
      <c r="R446" s="170"/>
    </row>
    <row r="447" spans="1:18" ht="24" customHeight="1" x14ac:dyDescent="0.3">
      <c r="A447" s="22" t="s">
        <v>8</v>
      </c>
      <c r="B447" s="22" t="s">
        <v>9</v>
      </c>
      <c r="C447" s="113" t="s">
        <v>10</v>
      </c>
      <c r="D447" s="22" t="s">
        <v>11</v>
      </c>
      <c r="E447" s="22" t="s">
        <v>12</v>
      </c>
      <c r="F447" s="23" t="s">
        <v>13</v>
      </c>
      <c r="G447" s="24" t="s">
        <v>14</v>
      </c>
      <c r="H447" s="22" t="s">
        <v>15</v>
      </c>
      <c r="I447" s="114" t="s">
        <v>16</v>
      </c>
      <c r="J447" s="25" t="s">
        <v>17</v>
      </c>
      <c r="K447" s="26" t="s">
        <v>18</v>
      </c>
      <c r="L447" s="25" t="s">
        <v>19</v>
      </c>
      <c r="M447" s="25" t="s">
        <v>20</v>
      </c>
      <c r="N447" s="25" t="s">
        <v>21</v>
      </c>
      <c r="O447" s="22" t="s">
        <v>22</v>
      </c>
      <c r="P447" s="113" t="s">
        <v>23</v>
      </c>
      <c r="Q447" s="25" t="s">
        <v>24</v>
      </c>
      <c r="R447" s="22" t="s">
        <v>25</v>
      </c>
    </row>
    <row r="448" spans="1:18" ht="15" customHeight="1" x14ac:dyDescent="0.3">
      <c r="A448" s="8" t="s">
        <v>46</v>
      </c>
      <c r="B448" s="8" t="s">
        <v>47</v>
      </c>
      <c r="C448" s="108">
        <v>0.30555555555555558</v>
      </c>
      <c r="D448" s="8" t="s">
        <v>85</v>
      </c>
      <c r="E448" s="8" t="s">
        <v>114</v>
      </c>
      <c r="F448" s="8" t="s">
        <v>115</v>
      </c>
      <c r="G448" s="16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5" t="s">
        <v>46</v>
      </c>
      <c r="B449" s="15" t="s">
        <v>47</v>
      </c>
      <c r="C449" s="110">
        <v>0.30555555555555558</v>
      </c>
      <c r="D449" s="15" t="s">
        <v>88</v>
      </c>
      <c r="E449" s="15" t="s">
        <v>114</v>
      </c>
      <c r="F449" s="15" t="s">
        <v>116</v>
      </c>
      <c r="G449" s="16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" t="s">
        <v>46</v>
      </c>
      <c r="B450" s="15" t="s">
        <v>47</v>
      </c>
      <c r="C450" s="110">
        <v>0.30555555555555558</v>
      </c>
      <c r="D450" s="15" t="s">
        <v>80</v>
      </c>
      <c r="E450" s="15" t="s">
        <v>114</v>
      </c>
      <c r="F450" s="15" t="s">
        <v>90</v>
      </c>
      <c r="G450" s="16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31</v>
      </c>
      <c r="B451" s="14" t="s">
        <v>32</v>
      </c>
      <c r="C451" s="109">
        <v>0.83680555555555558</v>
      </c>
      <c r="D451" s="14" t="s">
        <v>33</v>
      </c>
      <c r="E451" s="14" t="s">
        <v>55</v>
      </c>
      <c r="F451" s="14" t="s">
        <v>54</v>
      </c>
      <c r="G451" s="16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5" t="s">
        <v>31</v>
      </c>
      <c r="B452" s="15" t="s">
        <v>32</v>
      </c>
      <c r="C452" s="110">
        <v>0.83680555555555558</v>
      </c>
      <c r="D452" s="15" t="s">
        <v>36</v>
      </c>
      <c r="E452" s="15" t="s">
        <v>55</v>
      </c>
      <c r="F452" s="15" t="s">
        <v>95</v>
      </c>
      <c r="G452" s="16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5" t="s">
        <v>31</v>
      </c>
      <c r="B453" s="15" t="s">
        <v>32</v>
      </c>
      <c r="C453" s="110">
        <v>0.83680555555555558</v>
      </c>
      <c r="D453" s="15" t="s">
        <v>38</v>
      </c>
      <c r="E453" s="15" t="s">
        <v>55</v>
      </c>
      <c r="F453" s="15" t="s">
        <v>96</v>
      </c>
      <c r="G453" s="16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27" t="s">
        <v>31</v>
      </c>
      <c r="B454" s="27" t="s">
        <v>51</v>
      </c>
      <c r="C454" s="115">
        <v>0.2013888888888889</v>
      </c>
      <c r="D454" s="27" t="s">
        <v>33</v>
      </c>
      <c r="E454" s="27" t="s">
        <v>55</v>
      </c>
      <c r="F454" s="27" t="s">
        <v>54</v>
      </c>
      <c r="G454" s="16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5" t="s">
        <v>31</v>
      </c>
      <c r="B455" s="15" t="s">
        <v>51</v>
      </c>
      <c r="C455" s="110">
        <v>0.2013888888888889</v>
      </c>
      <c r="D455" s="15" t="s">
        <v>36</v>
      </c>
      <c r="E455" s="15" t="s">
        <v>55</v>
      </c>
      <c r="F455" s="15" t="s">
        <v>95</v>
      </c>
      <c r="G455" s="16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5" t="s">
        <v>31</v>
      </c>
      <c r="B456" s="15" t="s">
        <v>51</v>
      </c>
      <c r="C456" s="110">
        <v>0.2013888888888889</v>
      </c>
      <c r="D456" s="15" t="s">
        <v>38</v>
      </c>
      <c r="E456" s="15" t="s">
        <v>55</v>
      </c>
      <c r="F456" s="15" t="s">
        <v>96</v>
      </c>
      <c r="G456" s="16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40</v>
      </c>
      <c r="B457" s="14" t="s">
        <v>41</v>
      </c>
      <c r="C457" s="109">
        <v>0.86458333333333337</v>
      </c>
      <c r="D457" s="14" t="s">
        <v>61</v>
      </c>
      <c r="E457" s="14" t="s">
        <v>29</v>
      </c>
      <c r="F457" s="14" t="s">
        <v>62</v>
      </c>
      <c r="G457" s="16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7" t="s">
        <v>40</v>
      </c>
      <c r="B458" s="27" t="s">
        <v>44</v>
      </c>
      <c r="C458" s="115">
        <v>0.52777777777777779</v>
      </c>
      <c r="D458" s="27" t="s">
        <v>61</v>
      </c>
      <c r="E458" s="27" t="s">
        <v>29</v>
      </c>
      <c r="F458" s="27" t="s">
        <v>62</v>
      </c>
      <c r="G458" s="16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7" t="s">
        <v>40</v>
      </c>
      <c r="B459" s="27" t="s">
        <v>60</v>
      </c>
      <c r="C459" s="115">
        <v>0.1701388888888889</v>
      </c>
      <c r="D459" s="27" t="s">
        <v>61</v>
      </c>
      <c r="E459" s="27" t="s">
        <v>29</v>
      </c>
      <c r="F459" s="27" t="s">
        <v>62</v>
      </c>
      <c r="G459" s="16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82</v>
      </c>
      <c r="B460" s="14" t="s">
        <v>161</v>
      </c>
      <c r="C460" s="109">
        <v>0.12847222222222221</v>
      </c>
      <c r="D460" s="14" t="s">
        <v>167</v>
      </c>
      <c r="E460" s="14" t="s">
        <v>34</v>
      </c>
      <c r="F460" s="14" t="s">
        <v>143</v>
      </c>
      <c r="G460" s="16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09">
        <v>0.95833333333333337</v>
      </c>
      <c r="D461" s="14" t="s">
        <v>167</v>
      </c>
      <c r="E461" s="14" t="s">
        <v>29</v>
      </c>
      <c r="F461" s="14" t="s">
        <v>30</v>
      </c>
      <c r="G461" s="16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thickBot="1" x14ac:dyDescent="0.35">
      <c r="A462" s="34" t="s">
        <v>71</v>
      </c>
      <c r="B462" s="34" t="s">
        <v>72</v>
      </c>
      <c r="C462" s="119">
        <v>0.30555555555555558</v>
      </c>
      <c r="D462" s="34" t="s">
        <v>73</v>
      </c>
      <c r="E462" s="34" t="s">
        <v>74</v>
      </c>
      <c r="F462" s="34" t="s">
        <v>120</v>
      </c>
      <c r="G462" s="167"/>
      <c r="H462" s="17"/>
      <c r="I462" s="18"/>
      <c r="J462" s="18"/>
      <c r="K462" s="18"/>
      <c r="L462" s="18"/>
      <c r="M462" s="18"/>
      <c r="N462" s="18"/>
      <c r="O462" s="19"/>
      <c r="P462" s="18"/>
      <c r="Q462" s="20"/>
      <c r="R462" s="21"/>
    </row>
    <row r="463" spans="1:18" ht="17.399999999999999" customHeight="1" thickBot="1" x14ac:dyDescent="0.35">
      <c r="A463" s="172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4"/>
    </row>
    <row r="464" spans="1:18" ht="22.05" customHeight="1" thickTop="1" thickBot="1" x14ac:dyDescent="0.35">
      <c r="A464" s="168" t="s">
        <v>6</v>
      </c>
      <c r="B464" s="169"/>
      <c r="C464" s="169"/>
      <c r="D464" s="169"/>
      <c r="E464" s="169"/>
      <c r="F464" s="170"/>
      <c r="G464" s="112">
        <v>46021</v>
      </c>
      <c r="H464" s="171" t="s">
        <v>7</v>
      </c>
      <c r="I464" s="169"/>
      <c r="J464" s="169"/>
      <c r="K464" s="169"/>
      <c r="L464" s="169"/>
      <c r="M464" s="169"/>
      <c r="N464" s="169"/>
      <c r="O464" s="169"/>
      <c r="P464" s="169"/>
      <c r="Q464" s="169"/>
      <c r="R464" s="170"/>
    </row>
    <row r="465" spans="1:18" ht="24" customHeight="1" x14ac:dyDescent="0.3">
      <c r="A465" s="22" t="s">
        <v>8</v>
      </c>
      <c r="B465" s="22" t="s">
        <v>9</v>
      </c>
      <c r="C465" s="113" t="s">
        <v>10</v>
      </c>
      <c r="D465" s="22" t="s">
        <v>11</v>
      </c>
      <c r="E465" s="22" t="s">
        <v>12</v>
      </c>
      <c r="F465" s="23" t="s">
        <v>13</v>
      </c>
      <c r="G465" s="24" t="s">
        <v>14</v>
      </c>
      <c r="H465" s="22" t="s">
        <v>15</v>
      </c>
      <c r="I465" s="114" t="s">
        <v>16</v>
      </c>
      <c r="J465" s="25" t="s">
        <v>17</v>
      </c>
      <c r="K465" s="26" t="s">
        <v>18</v>
      </c>
      <c r="L465" s="25" t="s">
        <v>19</v>
      </c>
      <c r="M465" s="25" t="s">
        <v>20</v>
      </c>
      <c r="N465" s="25" t="s">
        <v>21</v>
      </c>
      <c r="O465" s="22" t="s">
        <v>22</v>
      </c>
      <c r="P465" s="113" t="s">
        <v>23</v>
      </c>
      <c r="Q465" s="25" t="s">
        <v>24</v>
      </c>
      <c r="R465" s="22" t="s">
        <v>25</v>
      </c>
    </row>
    <row r="466" spans="1:18" ht="15" customHeight="1" x14ac:dyDescent="0.3">
      <c r="A466" s="8" t="s">
        <v>46</v>
      </c>
      <c r="B466" s="8" t="s">
        <v>47</v>
      </c>
      <c r="C466" s="108">
        <v>0.30555555555555558</v>
      </c>
      <c r="D466" s="8" t="s">
        <v>85</v>
      </c>
      <c r="E466" s="8" t="s">
        <v>93</v>
      </c>
      <c r="F466" s="8" t="s">
        <v>115</v>
      </c>
      <c r="G466" s="16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5" t="s">
        <v>46</v>
      </c>
      <c r="B467" s="15" t="s">
        <v>47</v>
      </c>
      <c r="C467" s="110">
        <v>0.30555555555555558</v>
      </c>
      <c r="D467" s="15" t="s">
        <v>88</v>
      </c>
      <c r="E467" s="15" t="s">
        <v>93</v>
      </c>
      <c r="F467" s="15" t="s">
        <v>116</v>
      </c>
      <c r="G467" s="16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46</v>
      </c>
      <c r="B468" s="15" t="s">
        <v>47</v>
      </c>
      <c r="C468" s="110">
        <v>0.30555555555555558</v>
      </c>
      <c r="D468" s="15" t="s">
        <v>80</v>
      </c>
      <c r="E468" s="15" t="s">
        <v>93</v>
      </c>
      <c r="F468" s="15" t="s">
        <v>90</v>
      </c>
      <c r="G468" s="16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31</v>
      </c>
      <c r="B469" s="14" t="s">
        <v>51</v>
      </c>
      <c r="C469" s="109">
        <v>0.2013888888888889</v>
      </c>
      <c r="D469" s="14" t="s">
        <v>33</v>
      </c>
      <c r="E469" s="14" t="s">
        <v>34</v>
      </c>
      <c r="F469" s="14" t="s">
        <v>54</v>
      </c>
      <c r="G469" s="16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5" t="s">
        <v>31</v>
      </c>
      <c r="B470" s="15" t="s">
        <v>51</v>
      </c>
      <c r="C470" s="110">
        <v>0.2013888888888889</v>
      </c>
      <c r="D470" s="15" t="s">
        <v>36</v>
      </c>
      <c r="E470" s="15" t="s">
        <v>34</v>
      </c>
      <c r="F470" s="15" t="s">
        <v>95</v>
      </c>
      <c r="G470" s="1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31</v>
      </c>
      <c r="B471" s="15" t="s">
        <v>51</v>
      </c>
      <c r="C471" s="110">
        <v>0.2013888888888889</v>
      </c>
      <c r="D471" s="15" t="s">
        <v>38</v>
      </c>
      <c r="E471" s="15" t="s">
        <v>34</v>
      </c>
      <c r="F471" s="15" t="s">
        <v>96</v>
      </c>
      <c r="G471" s="1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7" t="s">
        <v>31</v>
      </c>
      <c r="B472" s="27" t="s">
        <v>32</v>
      </c>
      <c r="C472" s="115">
        <v>0.83680555555555558</v>
      </c>
      <c r="D472" s="27" t="s">
        <v>33</v>
      </c>
      <c r="E472" s="27" t="s">
        <v>58</v>
      </c>
      <c r="F472" s="27" t="s">
        <v>56</v>
      </c>
      <c r="G472" s="1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5" t="s">
        <v>31</v>
      </c>
      <c r="B473" s="15" t="s">
        <v>32</v>
      </c>
      <c r="C473" s="110">
        <v>0.83680555555555558</v>
      </c>
      <c r="D473" s="15" t="s">
        <v>36</v>
      </c>
      <c r="E473" s="15" t="s">
        <v>58</v>
      </c>
      <c r="F473" s="15" t="s">
        <v>153</v>
      </c>
      <c r="G473" s="16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5" t="s">
        <v>31</v>
      </c>
      <c r="B474" s="15" t="s">
        <v>32</v>
      </c>
      <c r="C474" s="110">
        <v>0.83680555555555558</v>
      </c>
      <c r="D474" s="15" t="s">
        <v>38</v>
      </c>
      <c r="E474" s="15" t="s">
        <v>58</v>
      </c>
      <c r="F474" s="15" t="s">
        <v>154</v>
      </c>
      <c r="G474" s="16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40</v>
      </c>
      <c r="B475" s="14" t="s">
        <v>41</v>
      </c>
      <c r="C475" s="109">
        <v>0.86458333333333337</v>
      </c>
      <c r="D475" s="14" t="s">
        <v>61</v>
      </c>
      <c r="E475" s="14" t="s">
        <v>29</v>
      </c>
      <c r="F475" s="14" t="s">
        <v>62</v>
      </c>
      <c r="G475" s="16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27" t="s">
        <v>40</v>
      </c>
      <c r="B476" s="27" t="s">
        <v>44</v>
      </c>
      <c r="C476" s="115">
        <v>0.52777777777777779</v>
      </c>
      <c r="D476" s="27" t="s">
        <v>61</v>
      </c>
      <c r="E476" s="27" t="s">
        <v>29</v>
      </c>
      <c r="F476" s="27" t="s">
        <v>62</v>
      </c>
      <c r="G476" s="16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7" t="s">
        <v>40</v>
      </c>
      <c r="B477" s="27" t="s">
        <v>60</v>
      </c>
      <c r="C477" s="115">
        <v>0.1701388888888889</v>
      </c>
      <c r="D477" s="27" t="s">
        <v>61</v>
      </c>
      <c r="E477" s="27" t="s">
        <v>29</v>
      </c>
      <c r="F477" s="27" t="s">
        <v>62</v>
      </c>
      <c r="G477" s="16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57</v>
      </c>
      <c r="C478" s="109">
        <v>0.95833333333333337</v>
      </c>
      <c r="D478" s="14" t="s">
        <v>167</v>
      </c>
      <c r="E478" s="14" t="s">
        <v>29</v>
      </c>
      <c r="F478" s="14" t="s">
        <v>30</v>
      </c>
      <c r="G478" s="16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53" t="s">
        <v>64</v>
      </c>
      <c r="B479" s="53" t="s">
        <v>65</v>
      </c>
      <c r="C479" s="129">
        <v>0.27083333333333331</v>
      </c>
      <c r="D479" s="53" t="s">
        <v>28</v>
      </c>
      <c r="E479" s="53" t="s">
        <v>29</v>
      </c>
      <c r="F479" s="53" t="s">
        <v>172</v>
      </c>
      <c r="G479" s="166"/>
      <c r="H479" s="54" t="s">
        <v>67</v>
      </c>
      <c r="I479" s="130">
        <v>0.22620000000000001</v>
      </c>
      <c r="J479" s="55">
        <v>38</v>
      </c>
      <c r="K479" s="56" t="s">
        <v>173</v>
      </c>
      <c r="L479" s="55">
        <v>7</v>
      </c>
      <c r="M479" s="55">
        <v>0</v>
      </c>
      <c r="N479" s="55">
        <v>0</v>
      </c>
      <c r="O479" s="57" t="s">
        <v>174</v>
      </c>
      <c r="P479" s="131">
        <v>0.27083333333333331</v>
      </c>
      <c r="Q479" s="55">
        <v>168</v>
      </c>
      <c r="R479" s="58" t="s">
        <v>175</v>
      </c>
    </row>
    <row r="480" spans="1:18" ht="15" customHeight="1" thickBot="1" x14ac:dyDescent="0.35">
      <c r="A480" s="34" t="s">
        <v>71</v>
      </c>
      <c r="B480" s="34" t="s">
        <v>72</v>
      </c>
      <c r="C480" s="119">
        <v>0.30555555555555558</v>
      </c>
      <c r="D480" s="34" t="s">
        <v>73</v>
      </c>
      <c r="E480" s="34" t="s">
        <v>74</v>
      </c>
      <c r="F480" s="34" t="s">
        <v>120</v>
      </c>
      <c r="G480" s="167"/>
      <c r="H480" s="17"/>
      <c r="I480" s="18"/>
      <c r="J480" s="18"/>
      <c r="K480" s="18"/>
      <c r="L480" s="18"/>
      <c r="M480" s="18"/>
      <c r="N480" s="18"/>
      <c r="O480" s="19"/>
      <c r="P480" s="18"/>
      <c r="Q480" s="20"/>
      <c r="R480" s="21"/>
    </row>
    <row r="481" spans="1:18" ht="17.399999999999999" customHeight="1" thickBot="1" x14ac:dyDescent="0.35">
      <c r="A481" s="172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4"/>
    </row>
    <row r="482" spans="1:18" ht="22.05" customHeight="1" thickTop="1" thickBot="1" x14ac:dyDescent="0.35">
      <c r="A482" s="168" t="s">
        <v>6</v>
      </c>
      <c r="B482" s="169"/>
      <c r="C482" s="169"/>
      <c r="D482" s="169"/>
      <c r="E482" s="169"/>
      <c r="F482" s="170"/>
      <c r="G482" s="112">
        <v>46022</v>
      </c>
      <c r="H482" s="171" t="s">
        <v>7</v>
      </c>
      <c r="I482" s="169"/>
      <c r="J482" s="169"/>
      <c r="K482" s="169"/>
      <c r="L482" s="169"/>
      <c r="M482" s="169"/>
      <c r="N482" s="169"/>
      <c r="O482" s="169"/>
      <c r="P482" s="169"/>
      <c r="Q482" s="169"/>
      <c r="R482" s="170"/>
    </row>
    <row r="483" spans="1:18" ht="24" customHeight="1" x14ac:dyDescent="0.3">
      <c r="A483" s="22" t="s">
        <v>8</v>
      </c>
      <c r="B483" s="22" t="s">
        <v>9</v>
      </c>
      <c r="C483" s="113" t="s">
        <v>10</v>
      </c>
      <c r="D483" s="22" t="s">
        <v>11</v>
      </c>
      <c r="E483" s="22" t="s">
        <v>12</v>
      </c>
      <c r="F483" s="23" t="s">
        <v>13</v>
      </c>
      <c r="G483" s="24" t="s">
        <v>14</v>
      </c>
      <c r="H483" s="22" t="s">
        <v>15</v>
      </c>
      <c r="I483" s="114" t="s">
        <v>16</v>
      </c>
      <c r="J483" s="25" t="s">
        <v>17</v>
      </c>
      <c r="K483" s="26" t="s">
        <v>18</v>
      </c>
      <c r="L483" s="25" t="s">
        <v>19</v>
      </c>
      <c r="M483" s="25" t="s">
        <v>20</v>
      </c>
      <c r="N483" s="25" t="s">
        <v>21</v>
      </c>
      <c r="O483" s="22" t="s">
        <v>22</v>
      </c>
      <c r="P483" s="113" t="s">
        <v>23</v>
      </c>
      <c r="Q483" s="25" t="s">
        <v>24</v>
      </c>
      <c r="R483" s="22" t="s">
        <v>25</v>
      </c>
    </row>
    <row r="484" spans="1:18" ht="15" customHeight="1" x14ac:dyDescent="0.3">
      <c r="A484" s="8" t="s">
        <v>76</v>
      </c>
      <c r="B484" s="8" t="s">
        <v>77</v>
      </c>
      <c r="C484" s="108">
        <v>0.97222222222222221</v>
      </c>
      <c r="D484" s="8" t="s">
        <v>78</v>
      </c>
      <c r="E484" s="8" t="s">
        <v>55</v>
      </c>
      <c r="F484" s="8" t="s">
        <v>79</v>
      </c>
      <c r="G484" s="16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5" t="s">
        <v>76</v>
      </c>
      <c r="B485" s="15" t="s">
        <v>77</v>
      </c>
      <c r="C485" s="110">
        <v>0.97222222222222221</v>
      </c>
      <c r="D485" s="15" t="s">
        <v>80</v>
      </c>
      <c r="E485" s="15" t="s">
        <v>55</v>
      </c>
      <c r="F485" s="15" t="s">
        <v>163</v>
      </c>
      <c r="G485" s="16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46</v>
      </c>
      <c r="B486" s="14" t="s">
        <v>47</v>
      </c>
      <c r="C486" s="109">
        <v>0.30555555555555558</v>
      </c>
      <c r="D486" s="14" t="s">
        <v>85</v>
      </c>
      <c r="E486" s="14" t="s">
        <v>150</v>
      </c>
      <c r="F486" s="14" t="s">
        <v>135</v>
      </c>
      <c r="G486" s="16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5" t="s">
        <v>46</v>
      </c>
      <c r="B487" s="15" t="s">
        <v>47</v>
      </c>
      <c r="C487" s="110">
        <v>0.30555555555555558</v>
      </c>
      <c r="D487" s="15" t="s">
        <v>88</v>
      </c>
      <c r="E487" s="15" t="s">
        <v>150</v>
      </c>
      <c r="F487" s="15" t="s">
        <v>136</v>
      </c>
      <c r="G487" s="16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46</v>
      </c>
      <c r="B488" s="15" t="s">
        <v>47</v>
      </c>
      <c r="C488" s="110">
        <v>0.30555555555555558</v>
      </c>
      <c r="D488" s="15" t="s">
        <v>80</v>
      </c>
      <c r="E488" s="15" t="s">
        <v>150</v>
      </c>
      <c r="F488" s="15" t="s">
        <v>90</v>
      </c>
      <c r="G488" s="16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40</v>
      </c>
      <c r="B489" s="14" t="s">
        <v>41</v>
      </c>
      <c r="C489" s="109">
        <v>0.86458333333333337</v>
      </c>
      <c r="D489" s="14" t="s">
        <v>61</v>
      </c>
      <c r="E489" s="14" t="s">
        <v>29</v>
      </c>
      <c r="F489" s="14" t="s">
        <v>62</v>
      </c>
      <c r="G489" s="1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40</v>
      </c>
      <c r="B490" s="27" t="s">
        <v>44</v>
      </c>
      <c r="C490" s="115">
        <v>0.52777777777777779</v>
      </c>
      <c r="D490" s="27" t="s">
        <v>61</v>
      </c>
      <c r="E490" s="27" t="s">
        <v>29</v>
      </c>
      <c r="F490" s="27" t="s">
        <v>62</v>
      </c>
      <c r="G490" s="1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7" t="s">
        <v>40</v>
      </c>
      <c r="B491" s="27" t="s">
        <v>60</v>
      </c>
      <c r="C491" s="115">
        <v>0.1701388888888889</v>
      </c>
      <c r="D491" s="27" t="s">
        <v>61</v>
      </c>
      <c r="E491" s="27" t="s">
        <v>29</v>
      </c>
      <c r="F491" s="27" t="s">
        <v>62</v>
      </c>
      <c r="G491" s="1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31</v>
      </c>
      <c r="B492" s="14" t="s">
        <v>32</v>
      </c>
      <c r="C492" s="109">
        <v>0.85069444444444442</v>
      </c>
      <c r="D492" s="14" t="s">
        <v>33</v>
      </c>
      <c r="E492" s="14" t="s">
        <v>53</v>
      </c>
      <c r="F492" s="14" t="s">
        <v>30</v>
      </c>
      <c r="G492" s="1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5" t="s">
        <v>31</v>
      </c>
      <c r="B493" s="15" t="s">
        <v>32</v>
      </c>
      <c r="C493" s="110">
        <v>0.85069444444444442</v>
      </c>
      <c r="D493" s="15" t="s">
        <v>36</v>
      </c>
      <c r="E493" s="15" t="s">
        <v>53</v>
      </c>
      <c r="F493" s="15" t="s">
        <v>96</v>
      </c>
      <c r="G493" s="1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5" t="s">
        <v>31</v>
      </c>
      <c r="B494" s="15" t="s">
        <v>32</v>
      </c>
      <c r="C494" s="110">
        <v>0.85069444444444442</v>
      </c>
      <c r="D494" s="15" t="s">
        <v>38</v>
      </c>
      <c r="E494" s="15" t="s">
        <v>53</v>
      </c>
      <c r="F494" s="15" t="s">
        <v>176</v>
      </c>
      <c r="G494" s="1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27</v>
      </c>
      <c r="C495" s="109">
        <v>0.89583333333333337</v>
      </c>
      <c r="D495" s="14" t="s">
        <v>167</v>
      </c>
      <c r="E495" s="14" t="s">
        <v>29</v>
      </c>
      <c r="F495" s="14" t="s">
        <v>30</v>
      </c>
      <c r="G495" s="1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82</v>
      </c>
      <c r="B496" s="14" t="s">
        <v>83</v>
      </c>
      <c r="C496" s="109">
        <v>9.0277777777777776E-2</v>
      </c>
      <c r="D496" s="14" t="s">
        <v>167</v>
      </c>
      <c r="E496" s="14" t="s">
        <v>98</v>
      </c>
      <c r="F496" s="14" t="s">
        <v>164</v>
      </c>
      <c r="G496" s="1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thickBot="1" x14ac:dyDescent="0.35">
      <c r="A497" s="34" t="s">
        <v>71</v>
      </c>
      <c r="B497" s="34" t="s">
        <v>72</v>
      </c>
      <c r="C497" s="119">
        <v>0.30555555555555558</v>
      </c>
      <c r="D497" s="34" t="s">
        <v>73</v>
      </c>
      <c r="E497" s="34" t="s">
        <v>74</v>
      </c>
      <c r="F497" s="34" t="s">
        <v>113</v>
      </c>
      <c r="G497" s="167"/>
      <c r="H497" s="17"/>
      <c r="I497" s="18"/>
      <c r="J497" s="18"/>
      <c r="K497" s="18"/>
      <c r="L497" s="18"/>
      <c r="M497" s="18"/>
      <c r="N497" s="18"/>
      <c r="O497" s="19"/>
      <c r="P497" s="18"/>
      <c r="Q497" s="20"/>
      <c r="R497" s="21"/>
    </row>
    <row r="498" spans="1:18" ht="17.399999999999999" customHeight="1" thickBot="1" x14ac:dyDescent="0.35">
      <c r="A498" s="172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4"/>
    </row>
    <row r="499" spans="1:18" ht="22.05" customHeight="1" thickTop="1" thickBot="1" x14ac:dyDescent="0.35">
      <c r="A499" s="168" t="s">
        <v>6</v>
      </c>
      <c r="B499" s="169"/>
      <c r="C499" s="169"/>
      <c r="D499" s="169"/>
      <c r="E499" s="169"/>
      <c r="F499" s="170"/>
      <c r="G499" s="112">
        <v>46023</v>
      </c>
      <c r="H499" s="171" t="s">
        <v>7</v>
      </c>
      <c r="I499" s="169"/>
      <c r="J499" s="169"/>
      <c r="K499" s="169"/>
      <c r="L499" s="169"/>
      <c r="M499" s="169"/>
      <c r="N499" s="169"/>
      <c r="O499" s="169"/>
      <c r="P499" s="169"/>
      <c r="Q499" s="169"/>
      <c r="R499" s="170"/>
    </row>
    <row r="500" spans="1:18" ht="24" customHeight="1" x14ac:dyDescent="0.3">
      <c r="A500" s="22" t="s">
        <v>8</v>
      </c>
      <c r="B500" s="22" t="s">
        <v>9</v>
      </c>
      <c r="C500" s="113" t="s">
        <v>10</v>
      </c>
      <c r="D500" s="22" t="s">
        <v>11</v>
      </c>
      <c r="E500" s="22" t="s">
        <v>12</v>
      </c>
      <c r="F500" s="23" t="s">
        <v>13</v>
      </c>
      <c r="G500" s="24" t="s">
        <v>14</v>
      </c>
      <c r="H500" s="22" t="s">
        <v>15</v>
      </c>
      <c r="I500" s="114" t="s">
        <v>16</v>
      </c>
      <c r="J500" s="25" t="s">
        <v>17</v>
      </c>
      <c r="K500" s="26" t="s">
        <v>18</v>
      </c>
      <c r="L500" s="25" t="s">
        <v>19</v>
      </c>
      <c r="M500" s="25" t="s">
        <v>20</v>
      </c>
      <c r="N500" s="25" t="s">
        <v>21</v>
      </c>
      <c r="O500" s="22" t="s">
        <v>22</v>
      </c>
      <c r="P500" s="113" t="s">
        <v>23</v>
      </c>
      <c r="Q500" s="25" t="s">
        <v>24</v>
      </c>
      <c r="R500" s="22" t="s">
        <v>25</v>
      </c>
    </row>
    <row r="501" spans="1:18" ht="15" customHeight="1" x14ac:dyDescent="0.3">
      <c r="A501" s="8" t="s">
        <v>46</v>
      </c>
      <c r="B501" s="8" t="s">
        <v>47</v>
      </c>
      <c r="C501" s="108">
        <v>0.30555555555555558</v>
      </c>
      <c r="D501" s="8" t="s">
        <v>85</v>
      </c>
      <c r="E501" s="8" t="s">
        <v>125</v>
      </c>
      <c r="F501" s="8" t="s">
        <v>135</v>
      </c>
      <c r="G501" s="1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5" t="s">
        <v>46</v>
      </c>
      <c r="B502" s="15" t="s">
        <v>47</v>
      </c>
      <c r="C502" s="110">
        <v>0.30555555555555558</v>
      </c>
      <c r="D502" s="15" t="s">
        <v>88</v>
      </c>
      <c r="E502" s="15" t="s">
        <v>125</v>
      </c>
      <c r="F502" s="15" t="s">
        <v>136</v>
      </c>
      <c r="G502" s="16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5" t="s">
        <v>46</v>
      </c>
      <c r="B503" s="15" t="s">
        <v>47</v>
      </c>
      <c r="C503" s="110">
        <v>0.30555555555555558</v>
      </c>
      <c r="D503" s="15" t="s">
        <v>80</v>
      </c>
      <c r="E503" s="15" t="s">
        <v>125</v>
      </c>
      <c r="F503" s="15" t="s">
        <v>90</v>
      </c>
      <c r="G503" s="16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31</v>
      </c>
      <c r="B504" s="14" t="s">
        <v>51</v>
      </c>
      <c r="C504" s="109">
        <v>0.2013888888888889</v>
      </c>
      <c r="D504" s="14" t="s">
        <v>33</v>
      </c>
      <c r="E504" s="14" t="s">
        <v>55</v>
      </c>
      <c r="F504" s="14" t="s">
        <v>35</v>
      </c>
      <c r="G504" s="16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5" t="s">
        <v>31</v>
      </c>
      <c r="B505" s="15" t="s">
        <v>51</v>
      </c>
      <c r="C505" s="110">
        <v>0.2013888888888889</v>
      </c>
      <c r="D505" s="15" t="s">
        <v>36</v>
      </c>
      <c r="E505" s="15" t="s">
        <v>55</v>
      </c>
      <c r="F505" s="15" t="s">
        <v>37</v>
      </c>
      <c r="G505" s="16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5" t="s">
        <v>31</v>
      </c>
      <c r="B506" s="15" t="s">
        <v>51</v>
      </c>
      <c r="C506" s="110">
        <v>0.2013888888888889</v>
      </c>
      <c r="D506" s="15" t="s">
        <v>38</v>
      </c>
      <c r="E506" s="15" t="s">
        <v>55</v>
      </c>
      <c r="F506" s="15" t="s">
        <v>39</v>
      </c>
      <c r="G506" s="16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27" t="s">
        <v>31</v>
      </c>
      <c r="B507" s="27" t="s">
        <v>32</v>
      </c>
      <c r="C507" s="115">
        <v>0.83680555555555558</v>
      </c>
      <c r="D507" s="27" t="s">
        <v>33</v>
      </c>
      <c r="E507" s="27" t="s">
        <v>97</v>
      </c>
      <c r="F507" s="27" t="s">
        <v>136</v>
      </c>
      <c r="G507" s="16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5" t="s">
        <v>31</v>
      </c>
      <c r="B508" s="15" t="s">
        <v>32</v>
      </c>
      <c r="C508" s="110">
        <v>0.83680555555555558</v>
      </c>
      <c r="D508" s="15" t="s">
        <v>36</v>
      </c>
      <c r="E508" s="15" t="s">
        <v>97</v>
      </c>
      <c r="F508" s="15" t="s">
        <v>141</v>
      </c>
      <c r="G508" s="16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5" t="s">
        <v>31</v>
      </c>
      <c r="B509" s="15" t="s">
        <v>32</v>
      </c>
      <c r="C509" s="110">
        <v>0.83680555555555558</v>
      </c>
      <c r="D509" s="15" t="s">
        <v>38</v>
      </c>
      <c r="E509" s="15" t="s">
        <v>97</v>
      </c>
      <c r="F509" s="15" t="s">
        <v>177</v>
      </c>
      <c r="G509" s="16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40</v>
      </c>
      <c r="B510" s="14" t="s">
        <v>60</v>
      </c>
      <c r="C510" s="109">
        <v>0.1701388888888889</v>
      </c>
      <c r="D510" s="14" t="s">
        <v>101</v>
      </c>
      <c r="E510" s="14" t="s">
        <v>29</v>
      </c>
      <c r="F510" s="14" t="s">
        <v>178</v>
      </c>
      <c r="G510" s="16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7" t="s">
        <v>40</v>
      </c>
      <c r="B511" s="27" t="s">
        <v>44</v>
      </c>
      <c r="C511" s="115">
        <v>0.52777777777777779</v>
      </c>
      <c r="D511" s="27" t="s">
        <v>101</v>
      </c>
      <c r="E511" s="27" t="s">
        <v>29</v>
      </c>
      <c r="F511" s="27" t="s">
        <v>179</v>
      </c>
      <c r="G511" s="16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27" t="s">
        <v>40</v>
      </c>
      <c r="B512" s="27" t="s">
        <v>41</v>
      </c>
      <c r="C512" s="115">
        <v>0.86458333333333337</v>
      </c>
      <c r="D512" s="27" t="s">
        <v>42</v>
      </c>
      <c r="E512" s="27" t="s">
        <v>29</v>
      </c>
      <c r="F512" s="27" t="s">
        <v>142</v>
      </c>
      <c r="G512" s="16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82</v>
      </c>
      <c r="B513" s="14" t="s">
        <v>83</v>
      </c>
      <c r="C513" s="109">
        <v>0.88888888888888884</v>
      </c>
      <c r="D513" s="14" t="s">
        <v>167</v>
      </c>
      <c r="E513" s="14" t="s">
        <v>100</v>
      </c>
      <c r="F513" s="14" t="s">
        <v>164</v>
      </c>
      <c r="G513" s="16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99</v>
      </c>
      <c r="C514" s="109">
        <v>0.5625</v>
      </c>
      <c r="D514" s="14" t="s">
        <v>167</v>
      </c>
      <c r="E514" s="14" t="s">
        <v>100</v>
      </c>
      <c r="F514" s="14" t="s">
        <v>130</v>
      </c>
      <c r="G514" s="16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27" t="s">
        <v>26</v>
      </c>
      <c r="B515" s="27" t="s">
        <v>57</v>
      </c>
      <c r="C515" s="115">
        <v>0.95833333333333337</v>
      </c>
      <c r="D515" s="27" t="s">
        <v>167</v>
      </c>
      <c r="E515" s="27" t="s">
        <v>74</v>
      </c>
      <c r="F515" s="27" t="s">
        <v>176</v>
      </c>
      <c r="G515" s="16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35" t="s">
        <v>64</v>
      </c>
      <c r="B516" s="35" t="s">
        <v>65</v>
      </c>
      <c r="C516" s="120">
        <v>0.92361111111111116</v>
      </c>
      <c r="D516" s="35" t="s">
        <v>167</v>
      </c>
      <c r="E516" s="35" t="s">
        <v>97</v>
      </c>
      <c r="F516" s="35" t="s">
        <v>66</v>
      </c>
      <c r="G516" s="166"/>
      <c r="H516" s="36" t="s">
        <v>67</v>
      </c>
      <c r="I516" s="121">
        <v>0.125</v>
      </c>
      <c r="J516" s="37">
        <v>21</v>
      </c>
      <c r="K516" s="38" t="s">
        <v>180</v>
      </c>
      <c r="L516" s="37">
        <v>21</v>
      </c>
      <c r="M516" s="37">
        <v>0</v>
      </c>
      <c r="N516" s="37">
        <v>0</v>
      </c>
      <c r="O516" s="39" t="s">
        <v>181</v>
      </c>
      <c r="P516" s="122">
        <v>0.92361111111111116</v>
      </c>
      <c r="Q516" s="37">
        <v>168</v>
      </c>
      <c r="R516" s="40" t="s">
        <v>182</v>
      </c>
    </row>
    <row r="517" spans="1:18" ht="15" customHeight="1" thickBot="1" x14ac:dyDescent="0.35">
      <c r="A517" s="34" t="s">
        <v>71</v>
      </c>
      <c r="B517" s="34" t="s">
        <v>72</v>
      </c>
      <c r="C517" s="119">
        <v>0.30555555555555558</v>
      </c>
      <c r="D517" s="34" t="s">
        <v>73</v>
      </c>
      <c r="E517" s="34" t="s">
        <v>74</v>
      </c>
      <c r="F517" s="34" t="s">
        <v>113</v>
      </c>
      <c r="G517" s="167"/>
      <c r="H517" s="17"/>
      <c r="I517" s="18"/>
      <c r="J517" s="18"/>
      <c r="K517" s="18"/>
      <c r="L517" s="18"/>
      <c r="M517" s="18"/>
      <c r="N517" s="18"/>
      <c r="O517" s="19"/>
      <c r="P517" s="18"/>
      <c r="Q517" s="20"/>
      <c r="R517" s="21"/>
    </row>
    <row r="518" spans="1:18" ht="17.399999999999999" customHeight="1" thickBot="1" x14ac:dyDescent="0.35">
      <c r="A518" s="172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4"/>
    </row>
    <row r="519" spans="1:18" ht="22.05" customHeight="1" thickTop="1" thickBot="1" x14ac:dyDescent="0.35">
      <c r="A519" s="168" t="s">
        <v>6</v>
      </c>
      <c r="B519" s="169"/>
      <c r="C519" s="169"/>
      <c r="D519" s="169"/>
      <c r="E519" s="169"/>
      <c r="F519" s="170"/>
      <c r="G519" s="112">
        <v>46024</v>
      </c>
      <c r="H519" s="171" t="s">
        <v>7</v>
      </c>
      <c r="I519" s="169"/>
      <c r="J519" s="169"/>
      <c r="K519" s="169"/>
      <c r="L519" s="169"/>
      <c r="M519" s="169"/>
      <c r="N519" s="169"/>
      <c r="O519" s="169"/>
      <c r="P519" s="169"/>
      <c r="Q519" s="169"/>
      <c r="R519" s="170"/>
    </row>
    <row r="520" spans="1:18" ht="24" customHeight="1" x14ac:dyDescent="0.3">
      <c r="A520" s="22" t="s">
        <v>8</v>
      </c>
      <c r="B520" s="22" t="s">
        <v>9</v>
      </c>
      <c r="C520" s="113" t="s">
        <v>10</v>
      </c>
      <c r="D520" s="22" t="s">
        <v>11</v>
      </c>
      <c r="E520" s="22" t="s">
        <v>12</v>
      </c>
      <c r="F520" s="23" t="s">
        <v>13</v>
      </c>
      <c r="G520" s="24" t="s">
        <v>14</v>
      </c>
      <c r="H520" s="22" t="s">
        <v>15</v>
      </c>
      <c r="I520" s="114" t="s">
        <v>16</v>
      </c>
      <c r="J520" s="25" t="s">
        <v>17</v>
      </c>
      <c r="K520" s="26" t="s">
        <v>18</v>
      </c>
      <c r="L520" s="25" t="s">
        <v>19</v>
      </c>
      <c r="M520" s="25" t="s">
        <v>20</v>
      </c>
      <c r="N520" s="25" t="s">
        <v>21</v>
      </c>
      <c r="O520" s="22" t="s">
        <v>22</v>
      </c>
      <c r="P520" s="113" t="s">
        <v>23</v>
      </c>
      <c r="Q520" s="25" t="s">
        <v>24</v>
      </c>
      <c r="R520" s="22" t="s">
        <v>25</v>
      </c>
    </row>
    <row r="521" spans="1:18" ht="15" customHeight="1" x14ac:dyDescent="0.3">
      <c r="A521" s="8" t="s">
        <v>46</v>
      </c>
      <c r="B521" s="8" t="s">
        <v>47</v>
      </c>
      <c r="C521" s="108">
        <v>0.30555555555555558</v>
      </c>
      <c r="D521" s="8" t="s">
        <v>85</v>
      </c>
      <c r="E521" s="8" t="s">
        <v>150</v>
      </c>
      <c r="F521" s="8" t="s">
        <v>183</v>
      </c>
      <c r="G521" s="16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5" t="s">
        <v>46</v>
      </c>
      <c r="B522" s="15" t="s">
        <v>47</v>
      </c>
      <c r="C522" s="110">
        <v>0.30555555555555558</v>
      </c>
      <c r="D522" s="15" t="s">
        <v>88</v>
      </c>
      <c r="E522" s="15" t="s">
        <v>150</v>
      </c>
      <c r="F522" s="15" t="s">
        <v>141</v>
      </c>
      <c r="G522" s="16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5" t="s">
        <v>46</v>
      </c>
      <c r="B523" s="15" t="s">
        <v>47</v>
      </c>
      <c r="C523" s="110">
        <v>0.30555555555555558</v>
      </c>
      <c r="D523" s="15" t="s">
        <v>80</v>
      </c>
      <c r="E523" s="15" t="s">
        <v>150</v>
      </c>
      <c r="F523" s="15" t="s">
        <v>90</v>
      </c>
      <c r="G523" s="16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40</v>
      </c>
      <c r="B524" s="14" t="s">
        <v>60</v>
      </c>
      <c r="C524" s="109">
        <v>0.1701388888888889</v>
      </c>
      <c r="D524" s="14" t="s">
        <v>101</v>
      </c>
      <c r="E524" s="14" t="s">
        <v>29</v>
      </c>
      <c r="F524" s="14" t="s">
        <v>178</v>
      </c>
      <c r="G524" s="16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7" t="s">
        <v>40</v>
      </c>
      <c r="B525" s="27" t="s">
        <v>41</v>
      </c>
      <c r="C525" s="115">
        <v>0.86458333333333337</v>
      </c>
      <c r="D525" s="27" t="s">
        <v>42</v>
      </c>
      <c r="E525" s="27" t="s">
        <v>29</v>
      </c>
      <c r="F525" s="27" t="s">
        <v>108</v>
      </c>
      <c r="G525" s="1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7" t="s">
        <v>40</v>
      </c>
      <c r="B526" s="27" t="s">
        <v>44</v>
      </c>
      <c r="C526" s="115">
        <v>0.52777777777777779</v>
      </c>
      <c r="D526" s="27" t="s">
        <v>42</v>
      </c>
      <c r="E526" s="27" t="s">
        <v>29</v>
      </c>
      <c r="F526" s="27" t="s">
        <v>184</v>
      </c>
      <c r="G526" s="1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31</v>
      </c>
      <c r="B527" s="14" t="s">
        <v>32</v>
      </c>
      <c r="C527" s="109">
        <v>0.83680555555555558</v>
      </c>
      <c r="D527" s="14" t="s">
        <v>33</v>
      </c>
      <c r="E527" s="14" t="s">
        <v>100</v>
      </c>
      <c r="F527" s="14" t="s">
        <v>136</v>
      </c>
      <c r="G527" s="1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5" t="s">
        <v>31</v>
      </c>
      <c r="B528" s="15" t="s">
        <v>32</v>
      </c>
      <c r="C528" s="110">
        <v>0.83680555555555558</v>
      </c>
      <c r="D528" s="15" t="s">
        <v>36</v>
      </c>
      <c r="E528" s="15" t="s">
        <v>100</v>
      </c>
      <c r="F528" s="15" t="s">
        <v>141</v>
      </c>
      <c r="G528" s="1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5" t="s">
        <v>31</v>
      </c>
      <c r="B529" s="15" t="s">
        <v>32</v>
      </c>
      <c r="C529" s="110">
        <v>0.83680555555555558</v>
      </c>
      <c r="D529" s="15" t="s">
        <v>38</v>
      </c>
      <c r="E529" s="15" t="s">
        <v>100</v>
      </c>
      <c r="F529" s="15" t="s">
        <v>177</v>
      </c>
      <c r="G529" s="16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09">
        <v>0.95833333333333337</v>
      </c>
      <c r="D530" s="14" t="s">
        <v>167</v>
      </c>
      <c r="E530" s="14" t="s">
        <v>34</v>
      </c>
      <c r="F530" s="14" t="s">
        <v>130</v>
      </c>
      <c r="G530" s="16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82</v>
      </c>
      <c r="B531" s="14" t="s">
        <v>123</v>
      </c>
      <c r="C531" s="109">
        <v>0.21527777777777779</v>
      </c>
      <c r="D531" s="14" t="s">
        <v>167</v>
      </c>
      <c r="E531" s="14" t="s">
        <v>29</v>
      </c>
      <c r="F531" s="14" t="s">
        <v>185</v>
      </c>
      <c r="G531" s="16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41" t="s">
        <v>64</v>
      </c>
      <c r="B532" s="41" t="s">
        <v>65</v>
      </c>
      <c r="C532" s="123">
        <v>0.57986111111111116</v>
      </c>
      <c r="D532" s="41" t="s">
        <v>167</v>
      </c>
      <c r="E532" s="41" t="s">
        <v>74</v>
      </c>
      <c r="F532" s="41" t="s">
        <v>110</v>
      </c>
      <c r="G532" s="166"/>
      <c r="H532" s="42" t="s">
        <v>67</v>
      </c>
      <c r="I532" s="124">
        <v>0.16070000000000001</v>
      </c>
      <c r="J532" s="43">
        <v>27</v>
      </c>
      <c r="K532" s="44" t="s">
        <v>186</v>
      </c>
      <c r="L532" s="43">
        <v>27</v>
      </c>
      <c r="M532" s="43">
        <v>0</v>
      </c>
      <c r="N532" s="43">
        <v>0</v>
      </c>
      <c r="O532" s="45" t="s">
        <v>187</v>
      </c>
      <c r="P532" s="125">
        <v>0.57986111111111116</v>
      </c>
      <c r="Q532" s="43">
        <v>168</v>
      </c>
      <c r="R532" s="46" t="s">
        <v>188</v>
      </c>
    </row>
    <row r="533" spans="1:18" ht="15" customHeight="1" thickBot="1" x14ac:dyDescent="0.35">
      <c r="A533" s="34" t="s">
        <v>71</v>
      </c>
      <c r="B533" s="34" t="s">
        <v>72</v>
      </c>
      <c r="C533" s="119">
        <v>0.30555555555555558</v>
      </c>
      <c r="D533" s="34" t="s">
        <v>73</v>
      </c>
      <c r="E533" s="34" t="s">
        <v>74</v>
      </c>
      <c r="F533" s="34" t="s">
        <v>189</v>
      </c>
      <c r="G533" s="167"/>
      <c r="H533" s="17"/>
      <c r="I533" s="18"/>
      <c r="J533" s="18"/>
      <c r="K533" s="18"/>
      <c r="L533" s="18"/>
      <c r="M533" s="18"/>
      <c r="N533" s="18"/>
      <c r="O533" s="19"/>
      <c r="P533" s="18"/>
      <c r="Q533" s="20"/>
      <c r="R533" s="21"/>
    </row>
    <row r="534" spans="1:18" ht="17.399999999999999" customHeight="1" thickBot="1" x14ac:dyDescent="0.35">
      <c r="A534" s="172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4"/>
    </row>
    <row r="535" spans="1:18" ht="22.05" customHeight="1" thickTop="1" thickBot="1" x14ac:dyDescent="0.35">
      <c r="A535" s="168" t="s">
        <v>6</v>
      </c>
      <c r="B535" s="169"/>
      <c r="C535" s="169"/>
      <c r="D535" s="169"/>
      <c r="E535" s="169"/>
      <c r="F535" s="170"/>
      <c r="G535" s="112">
        <v>46025</v>
      </c>
      <c r="H535" s="171" t="s">
        <v>7</v>
      </c>
      <c r="I535" s="169"/>
      <c r="J535" s="169"/>
      <c r="K535" s="169"/>
      <c r="L535" s="169"/>
      <c r="M535" s="169"/>
      <c r="N535" s="169"/>
      <c r="O535" s="169"/>
      <c r="P535" s="169"/>
      <c r="Q535" s="169"/>
      <c r="R535" s="170"/>
    </row>
    <row r="536" spans="1:18" ht="24" customHeight="1" x14ac:dyDescent="0.3">
      <c r="A536" s="22" t="s">
        <v>8</v>
      </c>
      <c r="B536" s="22" t="s">
        <v>9</v>
      </c>
      <c r="C536" s="113" t="s">
        <v>10</v>
      </c>
      <c r="D536" s="22" t="s">
        <v>11</v>
      </c>
      <c r="E536" s="22" t="s">
        <v>12</v>
      </c>
      <c r="F536" s="23" t="s">
        <v>13</v>
      </c>
      <c r="G536" s="24" t="s">
        <v>14</v>
      </c>
      <c r="H536" s="22" t="s">
        <v>15</v>
      </c>
      <c r="I536" s="114" t="s">
        <v>16</v>
      </c>
      <c r="J536" s="25" t="s">
        <v>17</v>
      </c>
      <c r="K536" s="26" t="s">
        <v>18</v>
      </c>
      <c r="L536" s="25" t="s">
        <v>19</v>
      </c>
      <c r="M536" s="25" t="s">
        <v>20</v>
      </c>
      <c r="N536" s="25" t="s">
        <v>21</v>
      </c>
      <c r="O536" s="22" t="s">
        <v>22</v>
      </c>
      <c r="P536" s="113" t="s">
        <v>23</v>
      </c>
      <c r="Q536" s="25" t="s">
        <v>24</v>
      </c>
      <c r="R536" s="22" t="s">
        <v>25</v>
      </c>
    </row>
    <row r="537" spans="1:18" ht="15" customHeight="1" x14ac:dyDescent="0.3">
      <c r="A537" s="8" t="s">
        <v>46</v>
      </c>
      <c r="B537" s="8" t="s">
        <v>47</v>
      </c>
      <c r="C537" s="108">
        <v>0.30555555555555558</v>
      </c>
      <c r="D537" s="8" t="s">
        <v>85</v>
      </c>
      <c r="E537" s="8" t="s">
        <v>150</v>
      </c>
      <c r="F537" s="8" t="s">
        <v>183</v>
      </c>
      <c r="G537" s="16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5" t="s">
        <v>46</v>
      </c>
      <c r="B538" s="15" t="s">
        <v>47</v>
      </c>
      <c r="C538" s="110">
        <v>0.30555555555555558</v>
      </c>
      <c r="D538" s="15" t="s">
        <v>88</v>
      </c>
      <c r="E538" s="15" t="s">
        <v>150</v>
      </c>
      <c r="F538" s="15" t="s">
        <v>141</v>
      </c>
      <c r="G538" s="16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5" t="s">
        <v>46</v>
      </c>
      <c r="B539" s="15" t="s">
        <v>47</v>
      </c>
      <c r="C539" s="110">
        <v>0.30555555555555558</v>
      </c>
      <c r="D539" s="15" t="s">
        <v>80</v>
      </c>
      <c r="E539" s="15" t="s">
        <v>150</v>
      </c>
      <c r="F539" s="15" t="s">
        <v>90</v>
      </c>
      <c r="G539" s="16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76</v>
      </c>
      <c r="B540" s="14" t="s">
        <v>77</v>
      </c>
      <c r="C540" s="109">
        <v>0.97222222222222221</v>
      </c>
      <c r="D540" s="14" t="s">
        <v>78</v>
      </c>
      <c r="E540" s="14" t="s">
        <v>55</v>
      </c>
      <c r="F540" s="14" t="s">
        <v>190</v>
      </c>
      <c r="G540" s="16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5" t="s">
        <v>76</v>
      </c>
      <c r="B541" s="15" t="s">
        <v>77</v>
      </c>
      <c r="C541" s="110">
        <v>0.97222222222222221</v>
      </c>
      <c r="D541" s="15" t="s">
        <v>80</v>
      </c>
      <c r="E541" s="15" t="s">
        <v>55</v>
      </c>
      <c r="F541" s="15" t="s">
        <v>131</v>
      </c>
      <c r="G541" s="16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40</v>
      </c>
      <c r="B542" s="14" t="s">
        <v>60</v>
      </c>
      <c r="C542" s="109">
        <v>0.1701388888888889</v>
      </c>
      <c r="D542" s="14" t="s">
        <v>101</v>
      </c>
      <c r="E542" s="14" t="s">
        <v>29</v>
      </c>
      <c r="F542" s="14" t="s">
        <v>178</v>
      </c>
      <c r="G542" s="16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7" t="s">
        <v>40</v>
      </c>
      <c r="B543" s="27" t="s">
        <v>41</v>
      </c>
      <c r="C543" s="115">
        <v>0.86458333333333337</v>
      </c>
      <c r="D543" s="27" t="s">
        <v>101</v>
      </c>
      <c r="E543" s="27" t="s">
        <v>29</v>
      </c>
      <c r="F543" s="27" t="s">
        <v>179</v>
      </c>
      <c r="G543" s="16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40</v>
      </c>
      <c r="B544" s="27" t="s">
        <v>44</v>
      </c>
      <c r="C544" s="115">
        <v>0.52777777777777779</v>
      </c>
      <c r="D544" s="27" t="s">
        <v>101</v>
      </c>
      <c r="E544" s="27" t="s">
        <v>29</v>
      </c>
      <c r="F544" s="27" t="s">
        <v>179</v>
      </c>
      <c r="G544" s="16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31</v>
      </c>
      <c r="B545" s="14" t="s">
        <v>32</v>
      </c>
      <c r="C545" s="109">
        <v>0.83680555555555558</v>
      </c>
      <c r="D545" s="14" t="s">
        <v>33</v>
      </c>
      <c r="E545" s="14" t="s">
        <v>100</v>
      </c>
      <c r="F545" s="14" t="s">
        <v>136</v>
      </c>
      <c r="G545" s="16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5" t="s">
        <v>31</v>
      </c>
      <c r="B546" s="15" t="s">
        <v>32</v>
      </c>
      <c r="C546" s="110">
        <v>0.83680555555555558</v>
      </c>
      <c r="D546" s="15" t="s">
        <v>36</v>
      </c>
      <c r="E546" s="15" t="s">
        <v>100</v>
      </c>
      <c r="F546" s="15" t="s">
        <v>141</v>
      </c>
      <c r="G546" s="16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5" t="s">
        <v>31</v>
      </c>
      <c r="B547" s="15" t="s">
        <v>32</v>
      </c>
      <c r="C547" s="110">
        <v>0.83680555555555558</v>
      </c>
      <c r="D547" s="15" t="s">
        <v>38</v>
      </c>
      <c r="E547" s="15" t="s">
        <v>100</v>
      </c>
      <c r="F547" s="15" t="s">
        <v>177</v>
      </c>
      <c r="G547" s="16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27" t="s">
        <v>31</v>
      </c>
      <c r="B548" s="27" t="s">
        <v>51</v>
      </c>
      <c r="C548" s="115">
        <v>0.2013888888888889</v>
      </c>
      <c r="D548" s="27" t="s">
        <v>33</v>
      </c>
      <c r="E548" s="27" t="s">
        <v>34</v>
      </c>
      <c r="F548" s="27" t="s">
        <v>170</v>
      </c>
      <c r="G548" s="16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5" t="s">
        <v>31</v>
      </c>
      <c r="B549" s="15" t="s">
        <v>51</v>
      </c>
      <c r="C549" s="110">
        <v>0.2013888888888889</v>
      </c>
      <c r="D549" s="15" t="s">
        <v>36</v>
      </c>
      <c r="E549" s="15" t="s">
        <v>34</v>
      </c>
      <c r="F549" s="15" t="s">
        <v>191</v>
      </c>
      <c r="G549" s="1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5" t="s">
        <v>31</v>
      </c>
      <c r="B550" s="15" t="s">
        <v>51</v>
      </c>
      <c r="C550" s="110">
        <v>0.2013888888888889</v>
      </c>
      <c r="D550" s="15" t="s">
        <v>38</v>
      </c>
      <c r="E550" s="15" t="s">
        <v>34</v>
      </c>
      <c r="F550" s="15" t="s">
        <v>192</v>
      </c>
      <c r="G550" s="1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8" t="s">
        <v>64</v>
      </c>
      <c r="B551" s="28" t="s">
        <v>65</v>
      </c>
      <c r="C551" s="116">
        <v>0.92361111111111116</v>
      </c>
      <c r="D551" s="28" t="s">
        <v>167</v>
      </c>
      <c r="E551" s="28" t="s">
        <v>58</v>
      </c>
      <c r="F551" s="28" t="s">
        <v>110</v>
      </c>
      <c r="G551" s="166"/>
      <c r="H551" s="29" t="s">
        <v>67</v>
      </c>
      <c r="I551" s="117">
        <v>0.1429</v>
      </c>
      <c r="J551" s="30">
        <v>24</v>
      </c>
      <c r="K551" s="31" t="s">
        <v>193</v>
      </c>
      <c r="L551" s="30">
        <v>24</v>
      </c>
      <c r="M551" s="30">
        <v>0</v>
      </c>
      <c r="N551" s="30">
        <v>0</v>
      </c>
      <c r="O551" s="32" t="s">
        <v>194</v>
      </c>
      <c r="P551" s="118">
        <v>0.92361111111111116</v>
      </c>
      <c r="Q551" s="30">
        <v>168</v>
      </c>
      <c r="R551" s="33" t="s">
        <v>195</v>
      </c>
    </row>
    <row r="552" spans="1:18" ht="15" customHeight="1" x14ac:dyDescent="0.3">
      <c r="A552" s="14" t="s">
        <v>26</v>
      </c>
      <c r="B552" s="14" t="s">
        <v>57</v>
      </c>
      <c r="C552" s="109">
        <v>0.89583333333333337</v>
      </c>
      <c r="D552" s="14" t="s">
        <v>167</v>
      </c>
      <c r="E552" s="14" t="s">
        <v>34</v>
      </c>
      <c r="F552" s="14" t="s">
        <v>176</v>
      </c>
      <c r="G552" s="16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thickBot="1" x14ac:dyDescent="0.35">
      <c r="A553" s="34" t="s">
        <v>71</v>
      </c>
      <c r="B553" s="34" t="s">
        <v>72</v>
      </c>
      <c r="C553" s="119">
        <v>0.30555555555555558</v>
      </c>
      <c r="D553" s="34" t="s">
        <v>73</v>
      </c>
      <c r="E553" s="34" t="s">
        <v>74</v>
      </c>
      <c r="F553" s="34" t="s">
        <v>189</v>
      </c>
      <c r="G553" s="167"/>
      <c r="H553" s="17"/>
      <c r="I553" s="18"/>
      <c r="J553" s="18"/>
      <c r="K553" s="18"/>
      <c r="L553" s="18"/>
      <c r="M553" s="18"/>
      <c r="N553" s="18"/>
      <c r="O553" s="19"/>
      <c r="P553" s="18"/>
      <c r="Q553" s="20"/>
      <c r="R553" s="21"/>
    </row>
    <row r="554" spans="1:18" ht="17.399999999999999" customHeight="1" thickBot="1" x14ac:dyDescent="0.35">
      <c r="A554" s="172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4"/>
    </row>
    <row r="555" spans="1:18" ht="22.05" customHeight="1" thickTop="1" thickBot="1" x14ac:dyDescent="0.35">
      <c r="A555" s="168" t="s">
        <v>6</v>
      </c>
      <c r="B555" s="169"/>
      <c r="C555" s="169"/>
      <c r="D555" s="169"/>
      <c r="E555" s="169"/>
      <c r="F555" s="170"/>
      <c r="G555" s="112">
        <v>46026</v>
      </c>
      <c r="H555" s="171" t="s">
        <v>7</v>
      </c>
      <c r="I555" s="169"/>
      <c r="J555" s="169"/>
      <c r="K555" s="169"/>
      <c r="L555" s="169"/>
      <c r="M555" s="169"/>
      <c r="N555" s="169"/>
      <c r="O555" s="169"/>
      <c r="P555" s="169"/>
      <c r="Q555" s="169"/>
      <c r="R555" s="170"/>
    </row>
    <row r="556" spans="1:18" ht="24" customHeight="1" x14ac:dyDescent="0.3">
      <c r="A556" s="22" t="s">
        <v>8</v>
      </c>
      <c r="B556" s="22" t="s">
        <v>9</v>
      </c>
      <c r="C556" s="113" t="s">
        <v>10</v>
      </c>
      <c r="D556" s="22" t="s">
        <v>11</v>
      </c>
      <c r="E556" s="22" t="s">
        <v>12</v>
      </c>
      <c r="F556" s="23" t="s">
        <v>13</v>
      </c>
      <c r="G556" s="24" t="s">
        <v>14</v>
      </c>
      <c r="H556" s="22" t="s">
        <v>15</v>
      </c>
      <c r="I556" s="114" t="s">
        <v>16</v>
      </c>
      <c r="J556" s="25" t="s">
        <v>17</v>
      </c>
      <c r="K556" s="26" t="s">
        <v>18</v>
      </c>
      <c r="L556" s="25" t="s">
        <v>19</v>
      </c>
      <c r="M556" s="25" t="s">
        <v>20</v>
      </c>
      <c r="N556" s="25" t="s">
        <v>21</v>
      </c>
      <c r="O556" s="22" t="s">
        <v>22</v>
      </c>
      <c r="P556" s="113" t="s">
        <v>23</v>
      </c>
      <c r="Q556" s="25" t="s">
        <v>24</v>
      </c>
      <c r="R556" s="22" t="s">
        <v>25</v>
      </c>
    </row>
    <row r="557" spans="1:18" ht="15" customHeight="1" x14ac:dyDescent="0.3">
      <c r="A557" s="8" t="s">
        <v>46</v>
      </c>
      <c r="B557" s="8" t="s">
        <v>47</v>
      </c>
      <c r="C557" s="108">
        <v>0.30555555555555558</v>
      </c>
      <c r="D557" s="8" t="s">
        <v>85</v>
      </c>
      <c r="E557" s="8" t="s">
        <v>150</v>
      </c>
      <c r="F557" s="8" t="s">
        <v>183</v>
      </c>
      <c r="G557" s="16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5" t="s">
        <v>46</v>
      </c>
      <c r="B558" s="15" t="s">
        <v>47</v>
      </c>
      <c r="C558" s="110">
        <v>0.30555555555555558</v>
      </c>
      <c r="D558" s="15" t="s">
        <v>88</v>
      </c>
      <c r="E558" s="15" t="s">
        <v>150</v>
      </c>
      <c r="F558" s="15" t="s">
        <v>141</v>
      </c>
      <c r="G558" s="16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5" t="s">
        <v>46</v>
      </c>
      <c r="B559" s="15" t="s">
        <v>47</v>
      </c>
      <c r="C559" s="110">
        <v>0.30555555555555558</v>
      </c>
      <c r="D559" s="15" t="s">
        <v>80</v>
      </c>
      <c r="E559" s="15" t="s">
        <v>150</v>
      </c>
      <c r="F559" s="15" t="s">
        <v>90</v>
      </c>
      <c r="G559" s="16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40</v>
      </c>
      <c r="B560" s="14" t="s">
        <v>60</v>
      </c>
      <c r="C560" s="109">
        <v>0.1701388888888889</v>
      </c>
      <c r="D560" s="14" t="s">
        <v>101</v>
      </c>
      <c r="E560" s="14" t="s">
        <v>29</v>
      </c>
      <c r="F560" s="14" t="s">
        <v>178</v>
      </c>
      <c r="G560" s="16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27" t="s">
        <v>40</v>
      </c>
      <c r="B561" s="27" t="s">
        <v>41</v>
      </c>
      <c r="C561" s="115">
        <v>0.86458333333333337</v>
      </c>
      <c r="D561" s="27" t="s">
        <v>101</v>
      </c>
      <c r="E561" s="27" t="s">
        <v>29</v>
      </c>
      <c r="F561" s="27" t="s">
        <v>179</v>
      </c>
      <c r="G561" s="16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7" t="s">
        <v>40</v>
      </c>
      <c r="B562" s="27" t="s">
        <v>44</v>
      </c>
      <c r="C562" s="115">
        <v>0.52777777777777779</v>
      </c>
      <c r="D562" s="27" t="s">
        <v>101</v>
      </c>
      <c r="E562" s="27" t="s">
        <v>29</v>
      </c>
      <c r="F562" s="27" t="s">
        <v>179</v>
      </c>
      <c r="G562" s="16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82</v>
      </c>
      <c r="B563" s="14" t="s">
        <v>123</v>
      </c>
      <c r="C563" s="109">
        <v>0.21527777777777779</v>
      </c>
      <c r="D563" s="14" t="s">
        <v>167</v>
      </c>
      <c r="E563" s="14" t="s">
        <v>97</v>
      </c>
      <c r="F563" s="14" t="s">
        <v>164</v>
      </c>
      <c r="G563" s="16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31</v>
      </c>
      <c r="B564" s="14" t="s">
        <v>32</v>
      </c>
      <c r="C564" s="109">
        <v>0.83680555555555558</v>
      </c>
      <c r="D564" s="14" t="s">
        <v>33</v>
      </c>
      <c r="E564" s="14" t="s">
        <v>102</v>
      </c>
      <c r="F564" s="14" t="s">
        <v>170</v>
      </c>
      <c r="G564" s="16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5" t="s">
        <v>31</v>
      </c>
      <c r="B565" s="15" t="s">
        <v>32</v>
      </c>
      <c r="C565" s="110">
        <v>0.83680555555555558</v>
      </c>
      <c r="D565" s="15" t="s">
        <v>36</v>
      </c>
      <c r="E565" s="15" t="s">
        <v>102</v>
      </c>
      <c r="F565" s="15" t="s">
        <v>191</v>
      </c>
      <c r="G565" s="16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5" t="s">
        <v>31</v>
      </c>
      <c r="B566" s="15" t="s">
        <v>32</v>
      </c>
      <c r="C566" s="110">
        <v>0.83680555555555558</v>
      </c>
      <c r="D566" s="15" t="s">
        <v>38</v>
      </c>
      <c r="E566" s="15" t="s">
        <v>102</v>
      </c>
      <c r="F566" s="15" t="s">
        <v>192</v>
      </c>
      <c r="G566" s="16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99</v>
      </c>
      <c r="C567" s="109">
        <v>0.95833333333333337</v>
      </c>
      <c r="D567" s="14" t="s">
        <v>167</v>
      </c>
      <c r="E567" s="14" t="s">
        <v>34</v>
      </c>
      <c r="F567" s="14" t="s">
        <v>130</v>
      </c>
      <c r="G567" s="16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thickBot="1" x14ac:dyDescent="0.35">
      <c r="A568" s="34" t="s">
        <v>71</v>
      </c>
      <c r="B568" s="34" t="s">
        <v>72</v>
      </c>
      <c r="C568" s="119">
        <v>0.30555555555555558</v>
      </c>
      <c r="D568" s="34" t="s">
        <v>73</v>
      </c>
      <c r="E568" s="34" t="s">
        <v>74</v>
      </c>
      <c r="F568" s="34" t="s">
        <v>189</v>
      </c>
      <c r="G568" s="167"/>
      <c r="H568" s="17"/>
      <c r="I568" s="18"/>
      <c r="J568" s="18"/>
      <c r="K568" s="18"/>
      <c r="L568" s="18"/>
      <c r="M568" s="18"/>
      <c r="N568" s="18"/>
      <c r="O568" s="19"/>
      <c r="P568" s="18"/>
      <c r="Q568" s="20"/>
      <c r="R568" s="21"/>
    </row>
    <row r="569" spans="1:18" ht="17.399999999999999" customHeight="1" thickBot="1" x14ac:dyDescent="0.35">
      <c r="A569" s="172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4"/>
    </row>
    <row r="570" spans="1:18" ht="22.05" customHeight="1" thickTop="1" thickBot="1" x14ac:dyDescent="0.35">
      <c r="A570" s="168" t="s">
        <v>6</v>
      </c>
      <c r="B570" s="169"/>
      <c r="C570" s="169"/>
      <c r="D570" s="169"/>
      <c r="E570" s="169"/>
      <c r="F570" s="170"/>
      <c r="G570" s="112">
        <v>46027</v>
      </c>
      <c r="H570" s="171" t="s">
        <v>7</v>
      </c>
      <c r="I570" s="169"/>
      <c r="J570" s="169"/>
      <c r="K570" s="169"/>
      <c r="L570" s="169"/>
      <c r="M570" s="169"/>
      <c r="N570" s="169"/>
      <c r="O570" s="169"/>
      <c r="P570" s="169"/>
      <c r="Q570" s="169"/>
      <c r="R570" s="170"/>
    </row>
    <row r="571" spans="1:18" ht="24" customHeight="1" x14ac:dyDescent="0.3">
      <c r="A571" s="22" t="s">
        <v>8</v>
      </c>
      <c r="B571" s="22" t="s">
        <v>9</v>
      </c>
      <c r="C571" s="113" t="s">
        <v>10</v>
      </c>
      <c r="D571" s="22" t="s">
        <v>11</v>
      </c>
      <c r="E571" s="22" t="s">
        <v>12</v>
      </c>
      <c r="F571" s="23" t="s">
        <v>13</v>
      </c>
      <c r="G571" s="24" t="s">
        <v>14</v>
      </c>
      <c r="H571" s="22" t="s">
        <v>15</v>
      </c>
      <c r="I571" s="114" t="s">
        <v>16</v>
      </c>
      <c r="J571" s="25" t="s">
        <v>17</v>
      </c>
      <c r="K571" s="26" t="s">
        <v>18</v>
      </c>
      <c r="L571" s="25" t="s">
        <v>19</v>
      </c>
      <c r="M571" s="25" t="s">
        <v>20</v>
      </c>
      <c r="N571" s="25" t="s">
        <v>21</v>
      </c>
      <c r="O571" s="22" t="s">
        <v>22</v>
      </c>
      <c r="P571" s="113" t="s">
        <v>23</v>
      </c>
      <c r="Q571" s="25" t="s">
        <v>24</v>
      </c>
      <c r="R571" s="22" t="s">
        <v>25</v>
      </c>
    </row>
    <row r="572" spans="1:18" ht="15" customHeight="1" x14ac:dyDescent="0.3">
      <c r="A572" s="8" t="s">
        <v>46</v>
      </c>
      <c r="B572" s="8" t="s">
        <v>47</v>
      </c>
      <c r="C572" s="108">
        <v>0.30555555555555558</v>
      </c>
      <c r="D572" s="8" t="s">
        <v>85</v>
      </c>
      <c r="E572" s="8" t="s">
        <v>150</v>
      </c>
      <c r="F572" s="8" t="s">
        <v>139</v>
      </c>
      <c r="G572" s="16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46</v>
      </c>
      <c r="B573" s="15" t="s">
        <v>47</v>
      </c>
      <c r="C573" s="110">
        <v>0.30555555555555558</v>
      </c>
      <c r="D573" s="15" t="s">
        <v>88</v>
      </c>
      <c r="E573" s="15" t="s">
        <v>150</v>
      </c>
      <c r="F573" s="15" t="s">
        <v>37</v>
      </c>
      <c r="G573" s="16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5" t="s">
        <v>46</v>
      </c>
      <c r="B574" s="15" t="s">
        <v>47</v>
      </c>
      <c r="C574" s="110">
        <v>0.30555555555555558</v>
      </c>
      <c r="D574" s="15" t="s">
        <v>80</v>
      </c>
      <c r="E574" s="15" t="s">
        <v>150</v>
      </c>
      <c r="F574" s="15" t="s">
        <v>90</v>
      </c>
      <c r="G574" s="16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31</v>
      </c>
      <c r="B575" s="14" t="s">
        <v>32</v>
      </c>
      <c r="C575" s="109">
        <v>0.83680555555555558</v>
      </c>
      <c r="D575" s="14" t="s">
        <v>33</v>
      </c>
      <c r="E575" s="14" t="s">
        <v>102</v>
      </c>
      <c r="F575" s="14" t="s">
        <v>35</v>
      </c>
      <c r="G575" s="16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" t="s">
        <v>31</v>
      </c>
      <c r="B576" s="15" t="s">
        <v>32</v>
      </c>
      <c r="C576" s="110">
        <v>0.83680555555555558</v>
      </c>
      <c r="D576" s="15" t="s">
        <v>36</v>
      </c>
      <c r="E576" s="15" t="s">
        <v>102</v>
      </c>
      <c r="F576" s="15" t="s">
        <v>37</v>
      </c>
      <c r="G576" s="16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5" t="s">
        <v>31</v>
      </c>
      <c r="B577" s="15" t="s">
        <v>32</v>
      </c>
      <c r="C577" s="110">
        <v>0.83680555555555558</v>
      </c>
      <c r="D577" s="15" t="s">
        <v>38</v>
      </c>
      <c r="E577" s="15" t="s">
        <v>102</v>
      </c>
      <c r="F577" s="15" t="s">
        <v>39</v>
      </c>
      <c r="G577" s="16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27" t="s">
        <v>31</v>
      </c>
      <c r="B578" s="27" t="s">
        <v>51</v>
      </c>
      <c r="C578" s="115">
        <v>0.2013888888888889</v>
      </c>
      <c r="D578" s="27" t="s">
        <v>33</v>
      </c>
      <c r="E578" s="27" t="s">
        <v>102</v>
      </c>
      <c r="F578" s="27" t="s">
        <v>136</v>
      </c>
      <c r="G578" s="16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5" t="s">
        <v>31</v>
      </c>
      <c r="B579" s="15" t="s">
        <v>51</v>
      </c>
      <c r="C579" s="110">
        <v>0.2013888888888889</v>
      </c>
      <c r="D579" s="15" t="s">
        <v>36</v>
      </c>
      <c r="E579" s="15" t="s">
        <v>102</v>
      </c>
      <c r="F579" s="15" t="s">
        <v>141</v>
      </c>
      <c r="G579" s="16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5" t="s">
        <v>31</v>
      </c>
      <c r="B580" s="15" t="s">
        <v>51</v>
      </c>
      <c r="C580" s="110">
        <v>0.2013888888888889</v>
      </c>
      <c r="D580" s="15" t="s">
        <v>38</v>
      </c>
      <c r="E580" s="15" t="s">
        <v>102</v>
      </c>
      <c r="F580" s="15" t="s">
        <v>177</v>
      </c>
      <c r="G580" s="16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40</v>
      </c>
      <c r="B581" s="14" t="s">
        <v>60</v>
      </c>
      <c r="C581" s="109">
        <v>0.1701388888888889</v>
      </c>
      <c r="D581" s="14" t="s">
        <v>101</v>
      </c>
      <c r="E581" s="14" t="s">
        <v>29</v>
      </c>
      <c r="F581" s="14" t="s">
        <v>178</v>
      </c>
      <c r="G581" s="16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27" t="s">
        <v>40</v>
      </c>
      <c r="B582" s="27" t="s">
        <v>41</v>
      </c>
      <c r="C582" s="115">
        <v>0.86458333333333337</v>
      </c>
      <c r="D582" s="27" t="s">
        <v>101</v>
      </c>
      <c r="E582" s="27" t="s">
        <v>29</v>
      </c>
      <c r="F582" s="27" t="s">
        <v>179</v>
      </c>
      <c r="G582" s="16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27" t="s">
        <v>40</v>
      </c>
      <c r="B583" s="27" t="s">
        <v>44</v>
      </c>
      <c r="C583" s="115">
        <v>0.52777777777777779</v>
      </c>
      <c r="D583" s="27" t="s">
        <v>101</v>
      </c>
      <c r="E583" s="27" t="s">
        <v>29</v>
      </c>
      <c r="F583" s="27" t="s">
        <v>179</v>
      </c>
      <c r="G583" s="16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82</v>
      </c>
      <c r="B584" s="14" t="s">
        <v>161</v>
      </c>
      <c r="C584" s="109">
        <v>0.12847222222222221</v>
      </c>
      <c r="D584" s="14" t="s">
        <v>167</v>
      </c>
      <c r="E584" s="14" t="s">
        <v>98</v>
      </c>
      <c r="F584" s="14" t="s">
        <v>185</v>
      </c>
      <c r="G584" s="16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27</v>
      </c>
      <c r="C585" s="109">
        <v>0.95833333333333337</v>
      </c>
      <c r="D585" s="14" t="s">
        <v>167</v>
      </c>
      <c r="E585" s="14" t="s">
        <v>29</v>
      </c>
      <c r="F585" s="14" t="s">
        <v>131</v>
      </c>
      <c r="G585" s="16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thickBot="1" x14ac:dyDescent="0.35">
      <c r="A586" s="34" t="s">
        <v>71</v>
      </c>
      <c r="B586" s="34" t="s">
        <v>72</v>
      </c>
      <c r="C586" s="119">
        <v>0.30555555555555558</v>
      </c>
      <c r="D586" s="34" t="s">
        <v>73</v>
      </c>
      <c r="E586" s="34" t="s">
        <v>74</v>
      </c>
      <c r="F586" s="34" t="s">
        <v>133</v>
      </c>
      <c r="G586" s="167"/>
      <c r="H586" s="17"/>
      <c r="I586" s="18"/>
      <c r="J586" s="18"/>
      <c r="K586" s="18"/>
      <c r="L586" s="18"/>
      <c r="M586" s="18"/>
      <c r="N586" s="18"/>
      <c r="O586" s="19"/>
      <c r="P586" s="18"/>
      <c r="Q586" s="20"/>
      <c r="R586" s="21"/>
    </row>
    <row r="587" spans="1:18" ht="17.399999999999999" customHeight="1" thickBot="1" x14ac:dyDescent="0.35">
      <c r="A587" s="172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4"/>
    </row>
    <row r="588" spans="1:18" ht="22.05" customHeight="1" thickTop="1" thickBot="1" x14ac:dyDescent="0.35">
      <c r="A588" s="168" t="s">
        <v>6</v>
      </c>
      <c r="B588" s="169"/>
      <c r="C588" s="169"/>
      <c r="D588" s="169"/>
      <c r="E588" s="169"/>
      <c r="F588" s="170"/>
      <c r="G588" s="112">
        <v>46028</v>
      </c>
      <c r="H588" s="171" t="s">
        <v>7</v>
      </c>
      <c r="I588" s="169"/>
      <c r="J588" s="169"/>
      <c r="K588" s="169"/>
      <c r="L588" s="169"/>
      <c r="M588" s="169"/>
      <c r="N588" s="169"/>
      <c r="O588" s="169"/>
      <c r="P588" s="169"/>
      <c r="Q588" s="169"/>
      <c r="R588" s="170"/>
    </row>
    <row r="589" spans="1:18" ht="24" customHeight="1" x14ac:dyDescent="0.3">
      <c r="A589" s="22" t="s">
        <v>8</v>
      </c>
      <c r="B589" s="22" t="s">
        <v>9</v>
      </c>
      <c r="C589" s="113" t="s">
        <v>10</v>
      </c>
      <c r="D589" s="22" t="s">
        <v>11</v>
      </c>
      <c r="E589" s="22" t="s">
        <v>12</v>
      </c>
      <c r="F589" s="23" t="s">
        <v>13</v>
      </c>
      <c r="G589" s="24" t="s">
        <v>14</v>
      </c>
      <c r="H589" s="22" t="s">
        <v>15</v>
      </c>
      <c r="I589" s="114" t="s">
        <v>16</v>
      </c>
      <c r="J589" s="25" t="s">
        <v>17</v>
      </c>
      <c r="K589" s="26" t="s">
        <v>18</v>
      </c>
      <c r="L589" s="25" t="s">
        <v>19</v>
      </c>
      <c r="M589" s="25" t="s">
        <v>20</v>
      </c>
      <c r="N589" s="25" t="s">
        <v>21</v>
      </c>
      <c r="O589" s="22" t="s">
        <v>22</v>
      </c>
      <c r="P589" s="113" t="s">
        <v>23</v>
      </c>
      <c r="Q589" s="25" t="s">
        <v>24</v>
      </c>
      <c r="R589" s="22" t="s">
        <v>25</v>
      </c>
    </row>
    <row r="590" spans="1:18" ht="15" customHeight="1" x14ac:dyDescent="0.3">
      <c r="A590" s="8" t="s">
        <v>46</v>
      </c>
      <c r="B590" s="8" t="s">
        <v>47</v>
      </c>
      <c r="C590" s="108">
        <v>0.30555555555555558</v>
      </c>
      <c r="D590" s="8" t="s">
        <v>85</v>
      </c>
      <c r="E590" s="8" t="s">
        <v>150</v>
      </c>
      <c r="F590" s="8" t="s">
        <v>139</v>
      </c>
      <c r="G590" s="17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5" t="s">
        <v>46</v>
      </c>
      <c r="B591" s="15" t="s">
        <v>47</v>
      </c>
      <c r="C591" s="110">
        <v>0.30555555555555558</v>
      </c>
      <c r="D591" s="15" t="s">
        <v>88</v>
      </c>
      <c r="E591" s="15" t="s">
        <v>150</v>
      </c>
      <c r="F591" s="15" t="s">
        <v>37</v>
      </c>
      <c r="G591" s="16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5" t="s">
        <v>46</v>
      </c>
      <c r="B592" s="15" t="s">
        <v>47</v>
      </c>
      <c r="C592" s="110">
        <v>0.30555555555555558</v>
      </c>
      <c r="D592" s="15" t="s">
        <v>80</v>
      </c>
      <c r="E592" s="15" t="s">
        <v>150</v>
      </c>
      <c r="F592" s="15" t="s">
        <v>122</v>
      </c>
      <c r="G592" s="16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40</v>
      </c>
      <c r="B593" s="14" t="s">
        <v>60</v>
      </c>
      <c r="C593" s="109">
        <v>0.1701388888888889</v>
      </c>
      <c r="D593" s="14" t="s">
        <v>101</v>
      </c>
      <c r="E593" s="14" t="s">
        <v>29</v>
      </c>
      <c r="F593" s="14" t="s">
        <v>178</v>
      </c>
      <c r="G593" s="16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7" t="s">
        <v>40</v>
      </c>
      <c r="B594" s="27" t="s">
        <v>41</v>
      </c>
      <c r="C594" s="115">
        <v>0.86458333333333337</v>
      </c>
      <c r="D594" s="27" t="s">
        <v>42</v>
      </c>
      <c r="E594" s="27" t="s">
        <v>29</v>
      </c>
      <c r="F594" s="27" t="s">
        <v>108</v>
      </c>
      <c r="G594" s="16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27" t="s">
        <v>40</v>
      </c>
      <c r="B595" s="27" t="s">
        <v>44</v>
      </c>
      <c r="C595" s="115">
        <v>0.52777777777777779</v>
      </c>
      <c r="D595" s="27" t="s">
        <v>42</v>
      </c>
      <c r="E595" s="27" t="s">
        <v>29</v>
      </c>
      <c r="F595" s="27" t="s">
        <v>108</v>
      </c>
      <c r="G595" s="16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82</v>
      </c>
      <c r="B596" s="14" t="s">
        <v>123</v>
      </c>
      <c r="C596" s="109">
        <v>0.21527777777777779</v>
      </c>
      <c r="D596" s="14" t="s">
        <v>167</v>
      </c>
      <c r="E596" s="14" t="s">
        <v>100</v>
      </c>
      <c r="F596" s="14" t="s">
        <v>164</v>
      </c>
      <c r="G596" s="16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73" t="s">
        <v>64</v>
      </c>
      <c r="B597" s="73" t="s">
        <v>65</v>
      </c>
      <c r="C597" s="138">
        <v>0.27083333333333331</v>
      </c>
      <c r="D597" s="73" t="s">
        <v>167</v>
      </c>
      <c r="E597" s="73" t="s">
        <v>97</v>
      </c>
      <c r="F597" s="73" t="s">
        <v>196</v>
      </c>
      <c r="G597" s="166"/>
      <c r="H597" s="74" t="s">
        <v>67</v>
      </c>
      <c r="I597" s="139">
        <v>7.7399999999999997E-2</v>
      </c>
      <c r="J597" s="75">
        <v>13</v>
      </c>
      <c r="K597" s="76" t="s">
        <v>197</v>
      </c>
      <c r="L597" s="75">
        <v>13</v>
      </c>
      <c r="M597" s="75">
        <v>0</v>
      </c>
      <c r="N597" s="75">
        <v>0</v>
      </c>
      <c r="O597" s="77" t="s">
        <v>198</v>
      </c>
      <c r="P597" s="140">
        <v>0.27083333333333331</v>
      </c>
      <c r="Q597" s="75">
        <v>168</v>
      </c>
      <c r="R597" s="78" t="s">
        <v>199</v>
      </c>
    </row>
    <row r="598" spans="1:18" ht="15" customHeight="1" x14ac:dyDescent="0.3">
      <c r="A598" s="14" t="s">
        <v>31</v>
      </c>
      <c r="B598" s="14" t="s">
        <v>32</v>
      </c>
      <c r="C598" s="109">
        <v>0.83680555555555558</v>
      </c>
      <c r="D598" s="14" t="s">
        <v>33</v>
      </c>
      <c r="E598" s="14" t="s">
        <v>98</v>
      </c>
      <c r="F598" s="14" t="s">
        <v>170</v>
      </c>
      <c r="G598" s="16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5" t="s">
        <v>31</v>
      </c>
      <c r="B599" s="15" t="s">
        <v>32</v>
      </c>
      <c r="C599" s="110">
        <v>0.83680555555555558</v>
      </c>
      <c r="D599" s="15" t="s">
        <v>36</v>
      </c>
      <c r="E599" s="15" t="s">
        <v>98</v>
      </c>
      <c r="F599" s="15" t="s">
        <v>191</v>
      </c>
      <c r="G599" s="16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5" t="s">
        <v>31</v>
      </c>
      <c r="B600" s="15" t="s">
        <v>32</v>
      </c>
      <c r="C600" s="110">
        <v>0.83680555555555558</v>
      </c>
      <c r="D600" s="15" t="s">
        <v>38</v>
      </c>
      <c r="E600" s="15" t="s">
        <v>98</v>
      </c>
      <c r="F600" s="15" t="s">
        <v>192</v>
      </c>
      <c r="G600" s="16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27" t="s">
        <v>31</v>
      </c>
      <c r="B601" s="27" t="s">
        <v>51</v>
      </c>
      <c r="C601" s="115">
        <v>0.2013888888888889</v>
      </c>
      <c r="D601" s="27" t="s">
        <v>33</v>
      </c>
      <c r="E601" s="27" t="s">
        <v>74</v>
      </c>
      <c r="F601" s="27" t="s">
        <v>170</v>
      </c>
      <c r="G601" s="16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5" t="s">
        <v>31</v>
      </c>
      <c r="B602" s="15" t="s">
        <v>51</v>
      </c>
      <c r="C602" s="110">
        <v>0.2013888888888889</v>
      </c>
      <c r="D602" s="15" t="s">
        <v>36</v>
      </c>
      <c r="E602" s="15" t="s">
        <v>74</v>
      </c>
      <c r="F602" s="15" t="s">
        <v>191</v>
      </c>
      <c r="G602" s="16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5" t="s">
        <v>31</v>
      </c>
      <c r="B603" s="15" t="s">
        <v>51</v>
      </c>
      <c r="C603" s="110">
        <v>0.2013888888888889</v>
      </c>
      <c r="D603" s="15" t="s">
        <v>38</v>
      </c>
      <c r="E603" s="15" t="s">
        <v>74</v>
      </c>
      <c r="F603" s="15" t="s">
        <v>192</v>
      </c>
      <c r="G603" s="16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57</v>
      </c>
      <c r="C604" s="109">
        <v>0.95833333333333337</v>
      </c>
      <c r="D604" s="14" t="s">
        <v>167</v>
      </c>
      <c r="E604" s="14" t="s">
        <v>58</v>
      </c>
      <c r="F604" s="14" t="s">
        <v>176</v>
      </c>
      <c r="G604" s="16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thickBot="1" x14ac:dyDescent="0.35">
      <c r="A605" s="34" t="s">
        <v>71</v>
      </c>
      <c r="B605" s="34" t="s">
        <v>72</v>
      </c>
      <c r="C605" s="119">
        <v>0.30555555555555558</v>
      </c>
      <c r="D605" s="34" t="s">
        <v>73</v>
      </c>
      <c r="E605" s="34" t="s">
        <v>74</v>
      </c>
      <c r="F605" s="34" t="s">
        <v>133</v>
      </c>
      <c r="G605" s="167"/>
      <c r="H605" s="17"/>
      <c r="I605" s="18"/>
      <c r="J605" s="18"/>
      <c r="K605" s="18"/>
      <c r="L605" s="18"/>
      <c r="M605" s="18"/>
      <c r="N605" s="18"/>
      <c r="O605" s="19"/>
      <c r="P605" s="18"/>
      <c r="Q605" s="20"/>
      <c r="R605" s="21"/>
    </row>
    <row r="606" spans="1:18" ht="17.399999999999999" customHeight="1" thickBot="1" x14ac:dyDescent="0.35">
      <c r="A606" s="172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4"/>
    </row>
    <row r="607" spans="1:18" ht="22.05" customHeight="1" thickTop="1" thickBot="1" x14ac:dyDescent="0.35">
      <c r="A607" s="168" t="s">
        <v>6</v>
      </c>
      <c r="B607" s="169"/>
      <c r="C607" s="169"/>
      <c r="D607" s="169"/>
      <c r="E607" s="169"/>
      <c r="F607" s="170"/>
      <c r="G607" s="112">
        <v>46029</v>
      </c>
      <c r="H607" s="171" t="s">
        <v>7</v>
      </c>
      <c r="I607" s="169"/>
      <c r="J607" s="169"/>
      <c r="K607" s="169"/>
      <c r="L607" s="169"/>
      <c r="M607" s="169"/>
      <c r="N607" s="169"/>
      <c r="O607" s="169"/>
      <c r="P607" s="169"/>
      <c r="Q607" s="169"/>
      <c r="R607" s="170"/>
    </row>
    <row r="608" spans="1:18" ht="24" customHeight="1" x14ac:dyDescent="0.3">
      <c r="A608" s="22" t="s">
        <v>8</v>
      </c>
      <c r="B608" s="22" t="s">
        <v>9</v>
      </c>
      <c r="C608" s="113" t="s">
        <v>10</v>
      </c>
      <c r="D608" s="22" t="s">
        <v>11</v>
      </c>
      <c r="E608" s="22" t="s">
        <v>12</v>
      </c>
      <c r="F608" s="23" t="s">
        <v>13</v>
      </c>
      <c r="G608" s="24" t="s">
        <v>14</v>
      </c>
      <c r="H608" s="22" t="s">
        <v>15</v>
      </c>
      <c r="I608" s="114" t="s">
        <v>16</v>
      </c>
      <c r="J608" s="25" t="s">
        <v>17</v>
      </c>
      <c r="K608" s="26" t="s">
        <v>18</v>
      </c>
      <c r="L608" s="25" t="s">
        <v>19</v>
      </c>
      <c r="M608" s="25" t="s">
        <v>20</v>
      </c>
      <c r="N608" s="25" t="s">
        <v>21</v>
      </c>
      <c r="O608" s="22" t="s">
        <v>22</v>
      </c>
      <c r="P608" s="113" t="s">
        <v>23</v>
      </c>
      <c r="Q608" s="25" t="s">
        <v>24</v>
      </c>
      <c r="R608" s="22" t="s">
        <v>25</v>
      </c>
    </row>
    <row r="609" spans="1:18" ht="15" customHeight="1" x14ac:dyDescent="0.3">
      <c r="A609" s="8" t="s">
        <v>46</v>
      </c>
      <c r="B609" s="8" t="s">
        <v>47</v>
      </c>
      <c r="C609" s="108">
        <v>0.30555555555555558</v>
      </c>
      <c r="D609" s="8" t="s">
        <v>85</v>
      </c>
      <c r="E609" s="8" t="s">
        <v>150</v>
      </c>
      <c r="F609" s="8" t="s">
        <v>183</v>
      </c>
      <c r="G609" s="16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5" t="s">
        <v>46</v>
      </c>
      <c r="B610" s="15" t="s">
        <v>47</v>
      </c>
      <c r="C610" s="110">
        <v>0.30555555555555558</v>
      </c>
      <c r="D610" s="15" t="s">
        <v>88</v>
      </c>
      <c r="E610" s="15" t="s">
        <v>150</v>
      </c>
      <c r="F610" s="15" t="s">
        <v>141</v>
      </c>
      <c r="G610" s="16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5" t="s">
        <v>46</v>
      </c>
      <c r="B611" s="15" t="s">
        <v>47</v>
      </c>
      <c r="C611" s="110">
        <v>0.30555555555555558</v>
      </c>
      <c r="D611" s="15" t="s">
        <v>80</v>
      </c>
      <c r="E611" s="15" t="s">
        <v>150</v>
      </c>
      <c r="F611" s="15" t="s">
        <v>90</v>
      </c>
      <c r="G611" s="16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82</v>
      </c>
      <c r="B612" s="14" t="s">
        <v>83</v>
      </c>
      <c r="C612" s="109">
        <v>9.0277777777777776E-2</v>
      </c>
      <c r="D612" s="14" t="s">
        <v>167</v>
      </c>
      <c r="E612" s="14" t="s">
        <v>97</v>
      </c>
      <c r="F612" s="14" t="s">
        <v>185</v>
      </c>
      <c r="G612" s="16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76</v>
      </c>
      <c r="B613" s="14" t="s">
        <v>77</v>
      </c>
      <c r="C613" s="109">
        <v>0.97222222222222221</v>
      </c>
      <c r="D613" s="14" t="s">
        <v>78</v>
      </c>
      <c r="E613" s="14" t="s">
        <v>55</v>
      </c>
      <c r="F613" s="14" t="s">
        <v>200</v>
      </c>
      <c r="G613" s="16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5" t="s">
        <v>76</v>
      </c>
      <c r="B614" s="15" t="s">
        <v>77</v>
      </c>
      <c r="C614" s="110">
        <v>0.97222222222222221</v>
      </c>
      <c r="D614" s="15" t="s">
        <v>80</v>
      </c>
      <c r="E614" s="15" t="s">
        <v>55</v>
      </c>
      <c r="F614" s="15" t="s">
        <v>201</v>
      </c>
      <c r="G614" s="16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27</v>
      </c>
      <c r="C615" s="109">
        <v>0.89583333333333337</v>
      </c>
      <c r="D615" s="14" t="s">
        <v>167</v>
      </c>
      <c r="E615" s="14" t="s">
        <v>100</v>
      </c>
      <c r="F615" s="14" t="s">
        <v>131</v>
      </c>
      <c r="G615" s="16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40</v>
      </c>
      <c r="B616" s="14" t="s">
        <v>60</v>
      </c>
      <c r="C616" s="109">
        <v>0.1701388888888889</v>
      </c>
      <c r="D616" s="14" t="s">
        <v>42</v>
      </c>
      <c r="E616" s="14" t="s">
        <v>29</v>
      </c>
      <c r="F616" s="14" t="s">
        <v>43</v>
      </c>
      <c r="G616" s="16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7" t="s">
        <v>40</v>
      </c>
      <c r="B617" s="27" t="s">
        <v>41</v>
      </c>
      <c r="C617" s="115">
        <v>0.86458333333333337</v>
      </c>
      <c r="D617" s="27" t="s">
        <v>42</v>
      </c>
      <c r="E617" s="27" t="s">
        <v>29</v>
      </c>
      <c r="F617" s="27" t="s">
        <v>91</v>
      </c>
      <c r="G617" s="16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27" t="s">
        <v>40</v>
      </c>
      <c r="B618" s="27" t="s">
        <v>44</v>
      </c>
      <c r="C618" s="115">
        <v>0.52777777777777779</v>
      </c>
      <c r="D618" s="27" t="s">
        <v>42</v>
      </c>
      <c r="E618" s="27" t="s">
        <v>29</v>
      </c>
      <c r="F618" s="27" t="s">
        <v>91</v>
      </c>
      <c r="G618" s="16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31</v>
      </c>
      <c r="B619" s="14" t="s">
        <v>32</v>
      </c>
      <c r="C619" s="109">
        <v>0.83680555555555558</v>
      </c>
      <c r="D619" s="14" t="s">
        <v>33</v>
      </c>
      <c r="E619" s="14" t="s">
        <v>55</v>
      </c>
      <c r="F619" s="14" t="s">
        <v>202</v>
      </c>
      <c r="G619" s="16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5" t="s">
        <v>31</v>
      </c>
      <c r="B620" s="15" t="s">
        <v>32</v>
      </c>
      <c r="C620" s="110">
        <v>0.83680555555555558</v>
      </c>
      <c r="D620" s="15" t="s">
        <v>36</v>
      </c>
      <c r="E620" s="15" t="s">
        <v>55</v>
      </c>
      <c r="F620" s="15" t="s">
        <v>203</v>
      </c>
      <c r="G620" s="16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5" t="s">
        <v>31</v>
      </c>
      <c r="B621" s="15" t="s">
        <v>32</v>
      </c>
      <c r="C621" s="110">
        <v>0.83680555555555558</v>
      </c>
      <c r="D621" s="15" t="s">
        <v>38</v>
      </c>
      <c r="E621" s="15" t="s">
        <v>55</v>
      </c>
      <c r="F621" s="15" t="s">
        <v>204</v>
      </c>
      <c r="G621" s="16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thickBot="1" x14ac:dyDescent="0.35">
      <c r="A622" s="34" t="s">
        <v>71</v>
      </c>
      <c r="B622" s="34" t="s">
        <v>72</v>
      </c>
      <c r="C622" s="119">
        <v>0.30555555555555558</v>
      </c>
      <c r="D622" s="34" t="s">
        <v>73</v>
      </c>
      <c r="E622" s="34" t="s">
        <v>74</v>
      </c>
      <c r="F622" s="34" t="s">
        <v>189</v>
      </c>
      <c r="G622" s="167"/>
      <c r="H622" s="17"/>
      <c r="I622" s="18"/>
      <c r="J622" s="18"/>
      <c r="K622" s="18"/>
      <c r="L622" s="18"/>
      <c r="M622" s="18"/>
      <c r="N622" s="18"/>
      <c r="O622" s="19"/>
      <c r="P622" s="18"/>
      <c r="Q622" s="20"/>
      <c r="R622" s="21"/>
    </row>
    <row r="623" spans="1:18" ht="17.399999999999999" customHeight="1" thickBot="1" x14ac:dyDescent="0.35">
      <c r="A623" s="172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4"/>
    </row>
    <row r="624" spans="1:18" ht="22.05" customHeight="1" thickTop="1" thickBot="1" x14ac:dyDescent="0.35">
      <c r="A624" s="168" t="s">
        <v>6</v>
      </c>
      <c r="B624" s="169"/>
      <c r="C624" s="169"/>
      <c r="D624" s="169"/>
      <c r="E624" s="169"/>
      <c r="F624" s="170"/>
      <c r="G624" s="112">
        <v>46030</v>
      </c>
      <c r="H624" s="171" t="s">
        <v>7</v>
      </c>
      <c r="I624" s="169"/>
      <c r="J624" s="169"/>
      <c r="K624" s="169"/>
      <c r="L624" s="169"/>
      <c r="M624" s="169"/>
      <c r="N624" s="169"/>
      <c r="O624" s="169"/>
      <c r="P624" s="169"/>
      <c r="Q624" s="169"/>
      <c r="R624" s="170"/>
    </row>
    <row r="625" spans="1:18" ht="24" customHeight="1" x14ac:dyDescent="0.3">
      <c r="A625" s="22" t="s">
        <v>8</v>
      </c>
      <c r="B625" s="22" t="s">
        <v>9</v>
      </c>
      <c r="C625" s="113" t="s">
        <v>10</v>
      </c>
      <c r="D625" s="22" t="s">
        <v>11</v>
      </c>
      <c r="E625" s="22" t="s">
        <v>12</v>
      </c>
      <c r="F625" s="23" t="s">
        <v>13</v>
      </c>
      <c r="G625" s="24" t="s">
        <v>14</v>
      </c>
      <c r="H625" s="22" t="s">
        <v>15</v>
      </c>
      <c r="I625" s="114" t="s">
        <v>16</v>
      </c>
      <c r="J625" s="25" t="s">
        <v>17</v>
      </c>
      <c r="K625" s="26" t="s">
        <v>18</v>
      </c>
      <c r="L625" s="25" t="s">
        <v>19</v>
      </c>
      <c r="M625" s="25" t="s">
        <v>20</v>
      </c>
      <c r="N625" s="25" t="s">
        <v>21</v>
      </c>
      <c r="O625" s="22" t="s">
        <v>22</v>
      </c>
      <c r="P625" s="113" t="s">
        <v>23</v>
      </c>
      <c r="Q625" s="25" t="s">
        <v>24</v>
      </c>
      <c r="R625" s="22" t="s">
        <v>25</v>
      </c>
    </row>
    <row r="626" spans="1:18" ht="15" customHeight="1" x14ac:dyDescent="0.3">
      <c r="A626" s="8" t="s">
        <v>46</v>
      </c>
      <c r="B626" s="8" t="s">
        <v>47</v>
      </c>
      <c r="C626" s="108">
        <v>0.30555555555555558</v>
      </c>
      <c r="D626" s="8" t="s">
        <v>85</v>
      </c>
      <c r="E626" s="8" t="s">
        <v>150</v>
      </c>
      <c r="F626" s="8" t="s">
        <v>154</v>
      </c>
      <c r="G626" s="16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5" t="s">
        <v>46</v>
      </c>
      <c r="B627" s="15" t="s">
        <v>47</v>
      </c>
      <c r="C627" s="110">
        <v>0.30555555555555558</v>
      </c>
      <c r="D627" s="15" t="s">
        <v>88</v>
      </c>
      <c r="E627" s="15" t="s">
        <v>150</v>
      </c>
      <c r="F627" s="15" t="s">
        <v>192</v>
      </c>
      <c r="G627" s="16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5" t="s">
        <v>46</v>
      </c>
      <c r="B628" s="15" t="s">
        <v>47</v>
      </c>
      <c r="C628" s="110">
        <v>0.30555555555555558</v>
      </c>
      <c r="D628" s="15" t="s">
        <v>80</v>
      </c>
      <c r="E628" s="15" t="s">
        <v>150</v>
      </c>
      <c r="F628" s="15" t="s">
        <v>90</v>
      </c>
      <c r="G628" s="16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31</v>
      </c>
      <c r="B629" s="14" t="s">
        <v>51</v>
      </c>
      <c r="C629" s="109">
        <v>0.2013888888888889</v>
      </c>
      <c r="D629" s="14" t="s">
        <v>33</v>
      </c>
      <c r="E629" s="14" t="s">
        <v>34</v>
      </c>
      <c r="F629" s="14" t="s">
        <v>191</v>
      </c>
      <c r="G629" s="16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5" t="s">
        <v>31</v>
      </c>
      <c r="B630" s="15" t="s">
        <v>51</v>
      </c>
      <c r="C630" s="110">
        <v>0.2013888888888889</v>
      </c>
      <c r="D630" s="15" t="s">
        <v>36</v>
      </c>
      <c r="E630" s="15" t="s">
        <v>34</v>
      </c>
      <c r="F630" s="15" t="s">
        <v>202</v>
      </c>
      <c r="G630" s="16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5" t="s">
        <v>31</v>
      </c>
      <c r="B631" s="15" t="s">
        <v>51</v>
      </c>
      <c r="C631" s="110">
        <v>0.2013888888888889</v>
      </c>
      <c r="D631" s="15" t="s">
        <v>38</v>
      </c>
      <c r="E631" s="15" t="s">
        <v>34</v>
      </c>
      <c r="F631" s="15" t="s">
        <v>205</v>
      </c>
      <c r="G631" s="16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27" t="s">
        <v>31</v>
      </c>
      <c r="B632" s="27" t="s">
        <v>32</v>
      </c>
      <c r="C632" s="115">
        <v>0.83680555555555558</v>
      </c>
      <c r="D632" s="27" t="s">
        <v>33</v>
      </c>
      <c r="E632" s="27" t="s">
        <v>102</v>
      </c>
      <c r="F632" s="27" t="s">
        <v>206</v>
      </c>
      <c r="G632" s="16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5" t="s">
        <v>31</v>
      </c>
      <c r="B633" s="15" t="s">
        <v>32</v>
      </c>
      <c r="C633" s="110">
        <v>0.83680555555555558</v>
      </c>
      <c r="D633" s="15" t="s">
        <v>36</v>
      </c>
      <c r="E633" s="15" t="s">
        <v>102</v>
      </c>
      <c r="F633" s="15" t="s">
        <v>207</v>
      </c>
      <c r="G633" s="16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5" t="s">
        <v>31</v>
      </c>
      <c r="B634" s="15" t="s">
        <v>32</v>
      </c>
      <c r="C634" s="110">
        <v>0.83680555555555558</v>
      </c>
      <c r="D634" s="15" t="s">
        <v>38</v>
      </c>
      <c r="E634" s="15" t="s">
        <v>102</v>
      </c>
      <c r="F634" s="15" t="s">
        <v>208</v>
      </c>
      <c r="G634" s="16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40</v>
      </c>
      <c r="B635" s="14" t="s">
        <v>60</v>
      </c>
      <c r="C635" s="109">
        <v>0.1701388888888889</v>
      </c>
      <c r="D635" s="14" t="s">
        <v>42</v>
      </c>
      <c r="E635" s="14" t="s">
        <v>29</v>
      </c>
      <c r="F635" s="14" t="s">
        <v>43</v>
      </c>
      <c r="G635" s="16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27" t="s">
        <v>40</v>
      </c>
      <c r="B636" s="27" t="s">
        <v>44</v>
      </c>
      <c r="C636" s="115">
        <v>0.52777777777777779</v>
      </c>
      <c r="D636" s="27" t="s">
        <v>42</v>
      </c>
      <c r="E636" s="27" t="s">
        <v>29</v>
      </c>
      <c r="F636" s="27" t="s">
        <v>109</v>
      </c>
      <c r="G636" s="16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27" t="s">
        <v>40</v>
      </c>
      <c r="B637" s="27" t="s">
        <v>41</v>
      </c>
      <c r="C637" s="115">
        <v>0.87847222222222221</v>
      </c>
      <c r="D637" s="27" t="s">
        <v>42</v>
      </c>
      <c r="E637" s="27" t="s">
        <v>29</v>
      </c>
      <c r="F637" s="27" t="s">
        <v>129</v>
      </c>
      <c r="G637" s="16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99</v>
      </c>
      <c r="C638" s="109">
        <v>0.5625</v>
      </c>
      <c r="D638" s="14" t="s">
        <v>167</v>
      </c>
      <c r="E638" s="14" t="s">
        <v>97</v>
      </c>
      <c r="F638" s="14" t="s">
        <v>209</v>
      </c>
      <c r="G638" s="16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27" t="s">
        <v>26</v>
      </c>
      <c r="B639" s="27" t="s">
        <v>57</v>
      </c>
      <c r="C639" s="115">
        <v>0.95833333333333337</v>
      </c>
      <c r="D639" s="27" t="s">
        <v>167</v>
      </c>
      <c r="E639" s="27" t="s">
        <v>29</v>
      </c>
      <c r="F639" s="27" t="s">
        <v>210</v>
      </c>
      <c r="G639" s="16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47" t="s">
        <v>64</v>
      </c>
      <c r="B640" s="47" t="s">
        <v>65</v>
      </c>
      <c r="C640" s="126">
        <v>0.92361111111111116</v>
      </c>
      <c r="D640" s="47" t="s">
        <v>167</v>
      </c>
      <c r="E640" s="47" t="s">
        <v>29</v>
      </c>
      <c r="F640" s="47" t="s">
        <v>211</v>
      </c>
      <c r="G640" s="166"/>
      <c r="H640" s="48" t="s">
        <v>67</v>
      </c>
      <c r="I640" s="127">
        <v>0.20610000000000001</v>
      </c>
      <c r="J640" s="49">
        <v>34</v>
      </c>
      <c r="K640" s="50" t="s">
        <v>186</v>
      </c>
      <c r="L640" s="49">
        <v>34</v>
      </c>
      <c r="M640" s="49">
        <v>0</v>
      </c>
      <c r="N640" s="49">
        <v>0</v>
      </c>
      <c r="O640" s="51" t="s">
        <v>212</v>
      </c>
      <c r="P640" s="128">
        <v>0.92361111111111116</v>
      </c>
      <c r="Q640" s="49">
        <v>165</v>
      </c>
      <c r="R640" s="52" t="s">
        <v>213</v>
      </c>
    </row>
    <row r="641" spans="1:18" ht="15" customHeight="1" x14ac:dyDescent="0.3">
      <c r="A641" s="14" t="s">
        <v>82</v>
      </c>
      <c r="B641" s="14" t="s">
        <v>83</v>
      </c>
      <c r="C641" s="109">
        <v>0.96527777777777779</v>
      </c>
      <c r="D641" s="14" t="s">
        <v>167</v>
      </c>
      <c r="E641" s="14" t="s">
        <v>102</v>
      </c>
      <c r="F641" s="14" t="s">
        <v>189</v>
      </c>
      <c r="G641" s="16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thickBot="1" x14ac:dyDescent="0.35">
      <c r="A642" s="34" t="s">
        <v>71</v>
      </c>
      <c r="B642" s="34" t="s">
        <v>72</v>
      </c>
      <c r="C642" s="119">
        <v>0.30555555555555558</v>
      </c>
      <c r="D642" s="34" t="s">
        <v>73</v>
      </c>
      <c r="E642" s="34" t="s">
        <v>74</v>
      </c>
      <c r="F642" s="34" t="s">
        <v>214</v>
      </c>
      <c r="G642" s="167"/>
      <c r="H642" s="17"/>
      <c r="I642" s="18"/>
      <c r="J642" s="18"/>
      <c r="K642" s="18"/>
      <c r="L642" s="18"/>
      <c r="M642" s="18"/>
      <c r="N642" s="18"/>
      <c r="O642" s="19"/>
      <c r="P642" s="18"/>
      <c r="Q642" s="20"/>
      <c r="R642" s="21"/>
    </row>
    <row r="643" spans="1:18" ht="17.399999999999999" customHeight="1" thickBot="1" x14ac:dyDescent="0.35">
      <c r="A643" s="172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4"/>
    </row>
    <row r="644" spans="1:18" ht="22.05" customHeight="1" thickTop="1" thickBot="1" x14ac:dyDescent="0.35">
      <c r="A644" s="168" t="s">
        <v>6</v>
      </c>
      <c r="B644" s="169"/>
      <c r="C644" s="169"/>
      <c r="D644" s="169"/>
      <c r="E644" s="169"/>
      <c r="F644" s="170"/>
      <c r="G644" s="112">
        <v>46031</v>
      </c>
      <c r="H644" s="171" t="s">
        <v>7</v>
      </c>
      <c r="I644" s="169"/>
      <c r="J644" s="169"/>
      <c r="K644" s="169"/>
      <c r="L644" s="169"/>
      <c r="M644" s="169"/>
      <c r="N644" s="169"/>
      <c r="O644" s="169"/>
      <c r="P644" s="169"/>
      <c r="Q644" s="169"/>
      <c r="R644" s="170"/>
    </row>
    <row r="645" spans="1:18" ht="24" customHeight="1" x14ac:dyDescent="0.3">
      <c r="A645" s="22" t="s">
        <v>8</v>
      </c>
      <c r="B645" s="22" t="s">
        <v>9</v>
      </c>
      <c r="C645" s="113" t="s">
        <v>10</v>
      </c>
      <c r="D645" s="22" t="s">
        <v>11</v>
      </c>
      <c r="E645" s="22" t="s">
        <v>12</v>
      </c>
      <c r="F645" s="23" t="s">
        <v>13</v>
      </c>
      <c r="G645" s="24" t="s">
        <v>14</v>
      </c>
      <c r="H645" s="22" t="s">
        <v>15</v>
      </c>
      <c r="I645" s="114" t="s">
        <v>16</v>
      </c>
      <c r="J645" s="25" t="s">
        <v>17</v>
      </c>
      <c r="K645" s="26" t="s">
        <v>18</v>
      </c>
      <c r="L645" s="25" t="s">
        <v>19</v>
      </c>
      <c r="M645" s="25" t="s">
        <v>20</v>
      </c>
      <c r="N645" s="25" t="s">
        <v>21</v>
      </c>
      <c r="O645" s="22" t="s">
        <v>22</v>
      </c>
      <c r="P645" s="113" t="s">
        <v>23</v>
      </c>
      <c r="Q645" s="25" t="s">
        <v>24</v>
      </c>
      <c r="R645" s="22" t="s">
        <v>25</v>
      </c>
    </row>
    <row r="646" spans="1:18" ht="15" customHeight="1" x14ac:dyDescent="0.3">
      <c r="A646" s="8" t="s">
        <v>46</v>
      </c>
      <c r="B646" s="8" t="s">
        <v>47</v>
      </c>
      <c r="C646" s="108">
        <v>0.30555555555555558</v>
      </c>
      <c r="D646" s="8" t="s">
        <v>85</v>
      </c>
      <c r="E646" s="8" t="s">
        <v>125</v>
      </c>
      <c r="F646" s="8" t="s">
        <v>89</v>
      </c>
      <c r="G646" s="16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5" t="s">
        <v>46</v>
      </c>
      <c r="B647" s="15" t="s">
        <v>47</v>
      </c>
      <c r="C647" s="110">
        <v>0.30555555555555558</v>
      </c>
      <c r="D647" s="15" t="s">
        <v>88</v>
      </c>
      <c r="E647" s="15" t="s">
        <v>125</v>
      </c>
      <c r="F647" s="15" t="s">
        <v>215</v>
      </c>
      <c r="G647" s="16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5" t="s">
        <v>46</v>
      </c>
      <c r="B648" s="15" t="s">
        <v>47</v>
      </c>
      <c r="C648" s="110">
        <v>0.30555555555555558</v>
      </c>
      <c r="D648" s="15" t="s">
        <v>80</v>
      </c>
      <c r="E648" s="15" t="s">
        <v>125</v>
      </c>
      <c r="F648" s="15" t="s">
        <v>122</v>
      </c>
      <c r="G648" s="16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40</v>
      </c>
      <c r="B649" s="14" t="s">
        <v>41</v>
      </c>
      <c r="C649" s="109">
        <v>0.86458333333333337</v>
      </c>
      <c r="D649" s="14" t="s">
        <v>42</v>
      </c>
      <c r="E649" s="14" t="s">
        <v>29</v>
      </c>
      <c r="F649" s="14" t="s">
        <v>91</v>
      </c>
      <c r="G649" s="16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27" t="s">
        <v>40</v>
      </c>
      <c r="B650" s="27" t="s">
        <v>60</v>
      </c>
      <c r="C650" s="115">
        <v>0.1701388888888889</v>
      </c>
      <c r="D650" s="27" t="s">
        <v>42</v>
      </c>
      <c r="E650" s="27" t="s">
        <v>29</v>
      </c>
      <c r="F650" s="27" t="s">
        <v>109</v>
      </c>
      <c r="G650" s="16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27" t="s">
        <v>40</v>
      </c>
      <c r="B651" s="27" t="s">
        <v>44</v>
      </c>
      <c r="C651" s="115">
        <v>0.51388888888888884</v>
      </c>
      <c r="D651" s="27" t="s">
        <v>42</v>
      </c>
      <c r="E651" s="27" t="s">
        <v>29</v>
      </c>
      <c r="F651" s="27" t="s">
        <v>146</v>
      </c>
      <c r="G651" s="16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27</v>
      </c>
      <c r="C652" s="109">
        <v>0.95833333333333337</v>
      </c>
      <c r="D652" s="14" t="s">
        <v>167</v>
      </c>
      <c r="E652" s="14" t="s">
        <v>100</v>
      </c>
      <c r="F652" s="14" t="s">
        <v>216</v>
      </c>
      <c r="G652" s="16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31</v>
      </c>
      <c r="B653" s="14" t="s">
        <v>32</v>
      </c>
      <c r="C653" s="109">
        <v>0.83680555555555558</v>
      </c>
      <c r="D653" s="14" t="s">
        <v>33</v>
      </c>
      <c r="E653" s="14" t="s">
        <v>55</v>
      </c>
      <c r="F653" s="14" t="s">
        <v>217</v>
      </c>
      <c r="G653" s="16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5" t="s">
        <v>31</v>
      </c>
      <c r="B654" s="15" t="s">
        <v>32</v>
      </c>
      <c r="C654" s="110">
        <v>0.83680555555555558</v>
      </c>
      <c r="D654" s="15" t="s">
        <v>36</v>
      </c>
      <c r="E654" s="15" t="s">
        <v>55</v>
      </c>
      <c r="F654" s="15" t="s">
        <v>218</v>
      </c>
      <c r="G654" s="16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5" t="s">
        <v>31</v>
      </c>
      <c r="B655" s="15" t="s">
        <v>32</v>
      </c>
      <c r="C655" s="110">
        <v>0.83680555555555558</v>
      </c>
      <c r="D655" s="15" t="s">
        <v>38</v>
      </c>
      <c r="E655" s="15" t="s">
        <v>55</v>
      </c>
      <c r="F655" s="15" t="s">
        <v>219</v>
      </c>
      <c r="G655" s="16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53" t="s">
        <v>64</v>
      </c>
      <c r="B656" s="53" t="s">
        <v>65</v>
      </c>
      <c r="C656" s="129">
        <v>0.57986111111111116</v>
      </c>
      <c r="D656" s="53" t="s">
        <v>167</v>
      </c>
      <c r="E656" s="53" t="s">
        <v>97</v>
      </c>
      <c r="F656" s="53" t="s">
        <v>220</v>
      </c>
      <c r="G656" s="166"/>
      <c r="H656" s="54" t="s">
        <v>67</v>
      </c>
      <c r="I656" s="130">
        <v>0.19639999999999999</v>
      </c>
      <c r="J656" s="55">
        <v>33</v>
      </c>
      <c r="K656" s="56" t="s">
        <v>186</v>
      </c>
      <c r="L656" s="55">
        <v>33</v>
      </c>
      <c r="M656" s="55">
        <v>0</v>
      </c>
      <c r="N656" s="55">
        <v>0</v>
      </c>
      <c r="O656" s="57" t="s">
        <v>221</v>
      </c>
      <c r="P656" s="131">
        <v>0.57986111111111116</v>
      </c>
      <c r="Q656" s="55">
        <v>168</v>
      </c>
      <c r="R656" s="58" t="s">
        <v>222</v>
      </c>
    </row>
    <row r="657" spans="1:18" ht="15" customHeight="1" x14ac:dyDescent="0.3">
      <c r="A657" s="14" t="s">
        <v>82</v>
      </c>
      <c r="B657" s="14" t="s">
        <v>123</v>
      </c>
      <c r="C657" s="109">
        <v>0.21527777777777779</v>
      </c>
      <c r="D657" s="14" t="s">
        <v>167</v>
      </c>
      <c r="E657" s="14" t="s">
        <v>74</v>
      </c>
      <c r="F657" s="14" t="s">
        <v>189</v>
      </c>
      <c r="G657" s="16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thickBot="1" x14ac:dyDescent="0.35">
      <c r="A658" s="34" t="s">
        <v>71</v>
      </c>
      <c r="B658" s="34" t="s">
        <v>72</v>
      </c>
      <c r="C658" s="119">
        <v>0.30555555555555558</v>
      </c>
      <c r="D658" s="34" t="s">
        <v>73</v>
      </c>
      <c r="E658" s="34" t="s">
        <v>74</v>
      </c>
      <c r="F658" s="34" t="s">
        <v>214</v>
      </c>
      <c r="G658" s="167"/>
      <c r="H658" s="17"/>
      <c r="I658" s="18"/>
      <c r="J658" s="18"/>
      <c r="K658" s="18"/>
      <c r="L658" s="18"/>
      <c r="M658" s="18"/>
      <c r="N658" s="18"/>
      <c r="O658" s="19"/>
      <c r="P658" s="18"/>
      <c r="Q658" s="20"/>
      <c r="R658" s="21"/>
    </row>
    <row r="659" spans="1:18" ht="17.399999999999999" customHeight="1" thickBot="1" x14ac:dyDescent="0.35">
      <c r="A659" s="172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4"/>
    </row>
    <row r="660" spans="1:18" ht="22.05" customHeight="1" thickTop="1" thickBot="1" x14ac:dyDescent="0.35">
      <c r="A660" s="168" t="s">
        <v>6</v>
      </c>
      <c r="B660" s="169"/>
      <c r="C660" s="169"/>
      <c r="D660" s="169"/>
      <c r="E660" s="169"/>
      <c r="F660" s="170"/>
      <c r="G660" s="112">
        <v>46032</v>
      </c>
      <c r="H660" s="171" t="s">
        <v>7</v>
      </c>
      <c r="I660" s="169"/>
      <c r="J660" s="169"/>
      <c r="K660" s="169"/>
      <c r="L660" s="169"/>
      <c r="M660" s="169"/>
      <c r="N660" s="169"/>
      <c r="O660" s="169"/>
      <c r="P660" s="169"/>
      <c r="Q660" s="169"/>
      <c r="R660" s="170"/>
    </row>
    <row r="661" spans="1:18" ht="24" customHeight="1" x14ac:dyDescent="0.3">
      <c r="A661" s="22" t="s">
        <v>8</v>
      </c>
      <c r="B661" s="22" t="s">
        <v>9</v>
      </c>
      <c r="C661" s="113" t="s">
        <v>10</v>
      </c>
      <c r="D661" s="22" t="s">
        <v>11</v>
      </c>
      <c r="E661" s="22" t="s">
        <v>12</v>
      </c>
      <c r="F661" s="23" t="s">
        <v>13</v>
      </c>
      <c r="G661" s="24" t="s">
        <v>14</v>
      </c>
      <c r="H661" s="22" t="s">
        <v>15</v>
      </c>
      <c r="I661" s="114" t="s">
        <v>16</v>
      </c>
      <c r="J661" s="25" t="s">
        <v>17</v>
      </c>
      <c r="K661" s="26" t="s">
        <v>18</v>
      </c>
      <c r="L661" s="25" t="s">
        <v>19</v>
      </c>
      <c r="M661" s="25" t="s">
        <v>20</v>
      </c>
      <c r="N661" s="25" t="s">
        <v>21</v>
      </c>
      <c r="O661" s="22" t="s">
        <v>22</v>
      </c>
      <c r="P661" s="113" t="s">
        <v>23</v>
      </c>
      <c r="Q661" s="25" t="s">
        <v>24</v>
      </c>
      <c r="R661" s="22" t="s">
        <v>25</v>
      </c>
    </row>
    <row r="662" spans="1:18" ht="15" customHeight="1" x14ac:dyDescent="0.3">
      <c r="A662" s="8" t="s">
        <v>46</v>
      </c>
      <c r="B662" s="8" t="s">
        <v>47</v>
      </c>
      <c r="C662" s="108">
        <v>0.30555555555555558</v>
      </c>
      <c r="D662" s="8" t="s">
        <v>85</v>
      </c>
      <c r="E662" s="8" t="s">
        <v>150</v>
      </c>
      <c r="F662" s="8" t="s">
        <v>89</v>
      </c>
      <c r="G662" s="16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5" t="s">
        <v>46</v>
      </c>
      <c r="B663" s="15" t="s">
        <v>47</v>
      </c>
      <c r="C663" s="110">
        <v>0.30555555555555558</v>
      </c>
      <c r="D663" s="15" t="s">
        <v>88</v>
      </c>
      <c r="E663" s="15" t="s">
        <v>150</v>
      </c>
      <c r="F663" s="15" t="s">
        <v>215</v>
      </c>
      <c r="G663" s="16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5" t="s">
        <v>46</v>
      </c>
      <c r="B664" s="15" t="s">
        <v>47</v>
      </c>
      <c r="C664" s="110">
        <v>0.30555555555555558</v>
      </c>
      <c r="D664" s="15" t="s">
        <v>80</v>
      </c>
      <c r="E664" s="15" t="s">
        <v>150</v>
      </c>
      <c r="F664" s="15" t="s">
        <v>90</v>
      </c>
      <c r="G664" s="16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31</v>
      </c>
      <c r="B665" s="14" t="s">
        <v>32</v>
      </c>
      <c r="C665" s="109">
        <v>0.83680555555555558</v>
      </c>
      <c r="D665" s="14" t="s">
        <v>33</v>
      </c>
      <c r="E665" s="14" t="s">
        <v>100</v>
      </c>
      <c r="F665" s="14" t="s">
        <v>223</v>
      </c>
      <c r="G665" s="16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5" t="s">
        <v>31</v>
      </c>
      <c r="B666" s="15" t="s">
        <v>32</v>
      </c>
      <c r="C666" s="110">
        <v>0.83680555555555558</v>
      </c>
      <c r="D666" s="15" t="s">
        <v>36</v>
      </c>
      <c r="E666" s="15" t="s">
        <v>100</v>
      </c>
      <c r="F666" s="15" t="s">
        <v>177</v>
      </c>
      <c r="G666" s="16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5" t="s">
        <v>31</v>
      </c>
      <c r="B667" s="15" t="s">
        <v>32</v>
      </c>
      <c r="C667" s="110">
        <v>0.83680555555555558</v>
      </c>
      <c r="D667" s="15" t="s">
        <v>38</v>
      </c>
      <c r="E667" s="15" t="s">
        <v>100</v>
      </c>
      <c r="F667" s="15" t="s">
        <v>224</v>
      </c>
      <c r="G667" s="16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7" t="s">
        <v>31</v>
      </c>
      <c r="B668" s="27" t="s">
        <v>51</v>
      </c>
      <c r="C668" s="115">
        <v>0.2013888888888889</v>
      </c>
      <c r="D668" s="27" t="s">
        <v>33</v>
      </c>
      <c r="E668" s="27" t="s">
        <v>100</v>
      </c>
      <c r="F668" s="27" t="s">
        <v>223</v>
      </c>
      <c r="G668" s="16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5" t="s">
        <v>31</v>
      </c>
      <c r="B669" s="15" t="s">
        <v>51</v>
      </c>
      <c r="C669" s="110">
        <v>0.2013888888888889</v>
      </c>
      <c r="D669" s="15" t="s">
        <v>36</v>
      </c>
      <c r="E669" s="15" t="s">
        <v>100</v>
      </c>
      <c r="F669" s="15" t="s">
        <v>177</v>
      </c>
      <c r="G669" s="16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5" t="s">
        <v>31</v>
      </c>
      <c r="B670" s="15" t="s">
        <v>51</v>
      </c>
      <c r="C670" s="110">
        <v>0.2013888888888889</v>
      </c>
      <c r="D670" s="15" t="s">
        <v>38</v>
      </c>
      <c r="E670" s="15" t="s">
        <v>100</v>
      </c>
      <c r="F670" s="15" t="s">
        <v>224</v>
      </c>
      <c r="G670" s="16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76</v>
      </c>
      <c r="B671" s="14" t="s">
        <v>77</v>
      </c>
      <c r="C671" s="109">
        <v>0.97222222222222221</v>
      </c>
      <c r="D671" s="14" t="s">
        <v>78</v>
      </c>
      <c r="E671" s="14" t="s">
        <v>55</v>
      </c>
      <c r="F671" s="14" t="s">
        <v>225</v>
      </c>
      <c r="G671" s="16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5" t="s">
        <v>76</v>
      </c>
      <c r="B672" s="15" t="s">
        <v>77</v>
      </c>
      <c r="C672" s="110">
        <v>0.97222222222222221</v>
      </c>
      <c r="D672" s="15" t="s">
        <v>80</v>
      </c>
      <c r="E672" s="15" t="s">
        <v>55</v>
      </c>
      <c r="F672" s="15" t="s">
        <v>226</v>
      </c>
      <c r="G672" s="16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40</v>
      </c>
      <c r="B673" s="14" t="s">
        <v>44</v>
      </c>
      <c r="C673" s="109">
        <v>0.52777777777777779</v>
      </c>
      <c r="D673" s="14" t="s">
        <v>42</v>
      </c>
      <c r="E673" s="14" t="s">
        <v>29</v>
      </c>
      <c r="F673" s="14" t="s">
        <v>43</v>
      </c>
      <c r="G673" s="16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27" t="s">
        <v>40</v>
      </c>
      <c r="B674" s="27" t="s">
        <v>41</v>
      </c>
      <c r="C674" s="115">
        <v>0.86458333333333337</v>
      </c>
      <c r="D674" s="27" t="s">
        <v>42</v>
      </c>
      <c r="E674" s="27" t="s">
        <v>29</v>
      </c>
      <c r="F674" s="27" t="s">
        <v>91</v>
      </c>
      <c r="G674" s="16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7" t="s">
        <v>40</v>
      </c>
      <c r="B675" s="27" t="s">
        <v>60</v>
      </c>
      <c r="C675" s="115">
        <v>0.1701388888888889</v>
      </c>
      <c r="D675" s="27" t="s">
        <v>42</v>
      </c>
      <c r="E675" s="27" t="s">
        <v>29</v>
      </c>
      <c r="F675" s="27" t="s">
        <v>91</v>
      </c>
      <c r="G675" s="16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57</v>
      </c>
      <c r="C676" s="109">
        <v>0.89583333333333337</v>
      </c>
      <c r="D676" s="14" t="s">
        <v>167</v>
      </c>
      <c r="E676" s="14" t="s">
        <v>29</v>
      </c>
      <c r="F676" s="14" t="s">
        <v>227</v>
      </c>
      <c r="G676" s="16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61" t="s">
        <v>64</v>
      </c>
      <c r="B677" s="61" t="s">
        <v>65</v>
      </c>
      <c r="C677" s="132">
        <v>0.92361111111111116</v>
      </c>
      <c r="D677" s="61" t="s">
        <v>167</v>
      </c>
      <c r="E677" s="61" t="s">
        <v>34</v>
      </c>
      <c r="F677" s="61" t="s">
        <v>228</v>
      </c>
      <c r="G677" s="166"/>
      <c r="H677" s="62" t="s">
        <v>67</v>
      </c>
      <c r="I677" s="133">
        <v>0.13100000000000001</v>
      </c>
      <c r="J677" s="63">
        <v>22</v>
      </c>
      <c r="K677" s="64" t="s">
        <v>193</v>
      </c>
      <c r="L677" s="63">
        <v>22</v>
      </c>
      <c r="M677" s="63">
        <v>0</v>
      </c>
      <c r="N677" s="63">
        <v>0</v>
      </c>
      <c r="O677" s="65" t="s">
        <v>229</v>
      </c>
      <c r="P677" s="134">
        <v>0.92361111111111116</v>
      </c>
      <c r="Q677" s="63">
        <v>168</v>
      </c>
      <c r="R677" s="66" t="s">
        <v>230</v>
      </c>
    </row>
    <row r="678" spans="1:18" ht="15" customHeight="1" thickBot="1" x14ac:dyDescent="0.35">
      <c r="A678" s="34" t="s">
        <v>71</v>
      </c>
      <c r="B678" s="34" t="s">
        <v>72</v>
      </c>
      <c r="C678" s="119">
        <v>0.30555555555555558</v>
      </c>
      <c r="D678" s="34" t="s">
        <v>73</v>
      </c>
      <c r="E678" s="34" t="s">
        <v>74</v>
      </c>
      <c r="F678" s="34" t="s">
        <v>214</v>
      </c>
      <c r="G678" s="167"/>
      <c r="H678" s="17"/>
      <c r="I678" s="18"/>
      <c r="J678" s="18"/>
      <c r="K678" s="18"/>
      <c r="L678" s="18"/>
      <c r="M678" s="18"/>
      <c r="N678" s="18"/>
      <c r="O678" s="19"/>
      <c r="P678" s="18"/>
      <c r="Q678" s="20"/>
      <c r="R678" s="21"/>
    </row>
    <row r="679" spans="1:18" ht="17.399999999999999" customHeight="1" thickBot="1" x14ac:dyDescent="0.35">
      <c r="A679" s="172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4"/>
    </row>
    <row r="680" spans="1:18" ht="22.05" customHeight="1" thickTop="1" thickBot="1" x14ac:dyDescent="0.35">
      <c r="A680" s="168" t="s">
        <v>6</v>
      </c>
      <c r="B680" s="169"/>
      <c r="C680" s="169"/>
      <c r="D680" s="169"/>
      <c r="E680" s="169"/>
      <c r="F680" s="170"/>
      <c r="G680" s="112">
        <v>46033</v>
      </c>
      <c r="H680" s="171" t="s">
        <v>7</v>
      </c>
      <c r="I680" s="169"/>
      <c r="J680" s="169"/>
      <c r="K680" s="169"/>
      <c r="L680" s="169"/>
      <c r="M680" s="169"/>
      <c r="N680" s="169"/>
      <c r="O680" s="169"/>
      <c r="P680" s="169"/>
      <c r="Q680" s="169"/>
      <c r="R680" s="170"/>
    </row>
    <row r="681" spans="1:18" ht="24" customHeight="1" x14ac:dyDescent="0.3">
      <c r="A681" s="22" t="s">
        <v>8</v>
      </c>
      <c r="B681" s="22" t="s">
        <v>9</v>
      </c>
      <c r="C681" s="113" t="s">
        <v>10</v>
      </c>
      <c r="D681" s="22" t="s">
        <v>11</v>
      </c>
      <c r="E681" s="22" t="s">
        <v>12</v>
      </c>
      <c r="F681" s="23" t="s">
        <v>13</v>
      </c>
      <c r="G681" s="24" t="s">
        <v>14</v>
      </c>
      <c r="H681" s="22" t="s">
        <v>15</v>
      </c>
      <c r="I681" s="114" t="s">
        <v>16</v>
      </c>
      <c r="J681" s="25" t="s">
        <v>17</v>
      </c>
      <c r="K681" s="26" t="s">
        <v>18</v>
      </c>
      <c r="L681" s="25" t="s">
        <v>19</v>
      </c>
      <c r="M681" s="25" t="s">
        <v>20</v>
      </c>
      <c r="N681" s="25" t="s">
        <v>21</v>
      </c>
      <c r="O681" s="22" t="s">
        <v>22</v>
      </c>
      <c r="P681" s="113" t="s">
        <v>23</v>
      </c>
      <c r="Q681" s="25" t="s">
        <v>24</v>
      </c>
      <c r="R681" s="22" t="s">
        <v>25</v>
      </c>
    </row>
    <row r="682" spans="1:18" ht="15" customHeight="1" x14ac:dyDescent="0.3">
      <c r="A682" s="8" t="s">
        <v>40</v>
      </c>
      <c r="B682" s="8" t="s">
        <v>60</v>
      </c>
      <c r="C682" s="108">
        <v>0.1701388888888889</v>
      </c>
      <c r="D682" s="8" t="s">
        <v>101</v>
      </c>
      <c r="E682" s="8" t="s">
        <v>29</v>
      </c>
      <c r="F682" s="8" t="s">
        <v>178</v>
      </c>
      <c r="G682" s="16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27" t="s">
        <v>40</v>
      </c>
      <c r="B683" s="27" t="s">
        <v>41</v>
      </c>
      <c r="C683" s="115">
        <v>0.86458333333333337</v>
      </c>
      <c r="D683" s="27" t="s">
        <v>101</v>
      </c>
      <c r="E683" s="27" t="s">
        <v>29</v>
      </c>
      <c r="F683" s="27" t="s">
        <v>179</v>
      </c>
      <c r="G683" s="16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27" t="s">
        <v>40</v>
      </c>
      <c r="B684" s="27" t="s">
        <v>44</v>
      </c>
      <c r="C684" s="115">
        <v>0.52777777777777779</v>
      </c>
      <c r="D684" s="27" t="s">
        <v>101</v>
      </c>
      <c r="E684" s="27" t="s">
        <v>29</v>
      </c>
      <c r="F684" s="27" t="s">
        <v>179</v>
      </c>
      <c r="G684" s="16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46</v>
      </c>
      <c r="B685" s="14" t="s">
        <v>47</v>
      </c>
      <c r="C685" s="109">
        <v>0.30555555555555558</v>
      </c>
      <c r="D685" s="14" t="s">
        <v>85</v>
      </c>
      <c r="E685" s="14" t="s">
        <v>150</v>
      </c>
      <c r="F685" s="14" t="s">
        <v>153</v>
      </c>
      <c r="G685" s="16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5" t="s">
        <v>46</v>
      </c>
      <c r="B686" s="15" t="s">
        <v>47</v>
      </c>
      <c r="C686" s="110">
        <v>0.30555555555555558</v>
      </c>
      <c r="D686" s="15" t="s">
        <v>88</v>
      </c>
      <c r="E686" s="15" t="s">
        <v>150</v>
      </c>
      <c r="F686" s="15" t="s">
        <v>191</v>
      </c>
      <c r="G686" s="16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5" t="s">
        <v>46</v>
      </c>
      <c r="B687" s="15" t="s">
        <v>47</v>
      </c>
      <c r="C687" s="110">
        <v>0.30555555555555558</v>
      </c>
      <c r="D687" s="15" t="s">
        <v>80</v>
      </c>
      <c r="E687" s="15" t="s">
        <v>150</v>
      </c>
      <c r="F687" s="15" t="s">
        <v>90</v>
      </c>
      <c r="G687" s="16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31</v>
      </c>
      <c r="B688" s="14" t="s">
        <v>32</v>
      </c>
      <c r="C688" s="109">
        <v>0.83680555555555558</v>
      </c>
      <c r="D688" s="14" t="s">
        <v>33</v>
      </c>
      <c r="E688" s="14" t="s">
        <v>74</v>
      </c>
      <c r="F688" s="14" t="s">
        <v>170</v>
      </c>
      <c r="G688" s="16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31</v>
      </c>
      <c r="B689" s="15" t="s">
        <v>32</v>
      </c>
      <c r="C689" s="110">
        <v>0.83680555555555558</v>
      </c>
      <c r="D689" s="15" t="s">
        <v>36</v>
      </c>
      <c r="E689" s="15" t="s">
        <v>74</v>
      </c>
      <c r="F689" s="15" t="s">
        <v>191</v>
      </c>
      <c r="G689" s="16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5" t="s">
        <v>31</v>
      </c>
      <c r="B690" s="15" t="s">
        <v>32</v>
      </c>
      <c r="C690" s="110">
        <v>0.83680555555555558</v>
      </c>
      <c r="D690" s="15" t="s">
        <v>38</v>
      </c>
      <c r="E690" s="15" t="s">
        <v>74</v>
      </c>
      <c r="F690" s="15" t="s">
        <v>192</v>
      </c>
      <c r="G690" s="16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82</v>
      </c>
      <c r="B691" s="14" t="s">
        <v>123</v>
      </c>
      <c r="C691" s="109">
        <v>0.21527777777777779</v>
      </c>
      <c r="D691" s="14" t="s">
        <v>167</v>
      </c>
      <c r="E691" s="14" t="s">
        <v>34</v>
      </c>
      <c r="F691" s="14" t="s">
        <v>185</v>
      </c>
      <c r="G691" s="16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99</v>
      </c>
      <c r="C692" s="109">
        <v>0.95833333333333337</v>
      </c>
      <c r="D692" s="14" t="s">
        <v>167</v>
      </c>
      <c r="E692" s="14" t="s">
        <v>102</v>
      </c>
      <c r="F692" s="14" t="s">
        <v>176</v>
      </c>
      <c r="G692" s="16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thickBot="1" x14ac:dyDescent="0.35">
      <c r="A693" s="34" t="s">
        <v>71</v>
      </c>
      <c r="B693" s="34" t="s">
        <v>72</v>
      </c>
      <c r="C693" s="119">
        <v>0.30555555555555558</v>
      </c>
      <c r="D693" s="34" t="s">
        <v>73</v>
      </c>
      <c r="E693" s="34" t="s">
        <v>74</v>
      </c>
      <c r="F693" s="34" t="s">
        <v>189</v>
      </c>
      <c r="G693" s="167"/>
      <c r="H693" s="17"/>
      <c r="I693" s="18"/>
      <c r="J693" s="18"/>
      <c r="K693" s="18"/>
      <c r="L693" s="18"/>
      <c r="M693" s="18"/>
      <c r="N693" s="18"/>
      <c r="O693" s="19"/>
      <c r="P693" s="18"/>
      <c r="Q693" s="20"/>
      <c r="R693" s="21"/>
    </row>
    <row r="694" spans="1:18" ht="17.399999999999999" customHeight="1" thickBot="1" x14ac:dyDescent="0.35">
      <c r="A694" s="172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4"/>
    </row>
    <row r="695" spans="1:18" ht="22.05" customHeight="1" thickTop="1" thickBot="1" x14ac:dyDescent="0.35">
      <c r="A695" s="168" t="s">
        <v>6</v>
      </c>
      <c r="B695" s="169"/>
      <c r="C695" s="169"/>
      <c r="D695" s="169"/>
      <c r="E695" s="169"/>
      <c r="F695" s="170"/>
      <c r="G695" s="112">
        <v>46034</v>
      </c>
      <c r="H695" s="171" t="s">
        <v>7</v>
      </c>
      <c r="I695" s="169"/>
      <c r="J695" s="169"/>
      <c r="K695" s="169"/>
      <c r="L695" s="169"/>
      <c r="M695" s="169"/>
      <c r="N695" s="169"/>
      <c r="O695" s="169"/>
      <c r="P695" s="169"/>
      <c r="Q695" s="169"/>
      <c r="R695" s="170"/>
    </row>
    <row r="696" spans="1:18" ht="24" customHeight="1" x14ac:dyDescent="0.3">
      <c r="A696" s="22" t="s">
        <v>8</v>
      </c>
      <c r="B696" s="22" t="s">
        <v>9</v>
      </c>
      <c r="C696" s="113" t="s">
        <v>10</v>
      </c>
      <c r="D696" s="22" t="s">
        <v>11</v>
      </c>
      <c r="E696" s="22" t="s">
        <v>12</v>
      </c>
      <c r="F696" s="23" t="s">
        <v>13</v>
      </c>
      <c r="G696" s="24" t="s">
        <v>14</v>
      </c>
      <c r="H696" s="22" t="s">
        <v>15</v>
      </c>
      <c r="I696" s="114" t="s">
        <v>16</v>
      </c>
      <c r="J696" s="25" t="s">
        <v>17</v>
      </c>
      <c r="K696" s="26" t="s">
        <v>18</v>
      </c>
      <c r="L696" s="25" t="s">
        <v>19</v>
      </c>
      <c r="M696" s="25" t="s">
        <v>20</v>
      </c>
      <c r="N696" s="25" t="s">
        <v>21</v>
      </c>
      <c r="O696" s="22" t="s">
        <v>22</v>
      </c>
      <c r="P696" s="113" t="s">
        <v>23</v>
      </c>
      <c r="Q696" s="25" t="s">
        <v>24</v>
      </c>
      <c r="R696" s="22" t="s">
        <v>25</v>
      </c>
    </row>
    <row r="697" spans="1:18" ht="15" customHeight="1" x14ac:dyDescent="0.3">
      <c r="A697" s="8" t="s">
        <v>40</v>
      </c>
      <c r="B697" s="8" t="s">
        <v>60</v>
      </c>
      <c r="C697" s="108">
        <v>0.1701388888888889</v>
      </c>
      <c r="D697" s="8" t="s">
        <v>101</v>
      </c>
      <c r="E697" s="8" t="s">
        <v>29</v>
      </c>
      <c r="F697" s="8" t="s">
        <v>178</v>
      </c>
      <c r="G697" s="16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27" t="s">
        <v>40</v>
      </c>
      <c r="B698" s="27" t="s">
        <v>41</v>
      </c>
      <c r="C698" s="115">
        <v>0.86458333333333337</v>
      </c>
      <c r="D698" s="27" t="s">
        <v>101</v>
      </c>
      <c r="E698" s="27" t="s">
        <v>29</v>
      </c>
      <c r="F698" s="27" t="s">
        <v>179</v>
      </c>
      <c r="G698" s="16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27" t="s">
        <v>40</v>
      </c>
      <c r="B699" s="27" t="s">
        <v>44</v>
      </c>
      <c r="C699" s="115">
        <v>0.52777777777777779</v>
      </c>
      <c r="D699" s="27" t="s">
        <v>101</v>
      </c>
      <c r="E699" s="27" t="s">
        <v>29</v>
      </c>
      <c r="F699" s="27" t="s">
        <v>179</v>
      </c>
      <c r="G699" s="16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82</v>
      </c>
      <c r="B700" s="14" t="s">
        <v>161</v>
      </c>
      <c r="C700" s="109">
        <v>0.12847222222222221</v>
      </c>
      <c r="D700" s="14" t="s">
        <v>167</v>
      </c>
      <c r="E700" s="14" t="s">
        <v>58</v>
      </c>
      <c r="F700" s="14" t="s">
        <v>164</v>
      </c>
      <c r="G700" s="16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46</v>
      </c>
      <c r="B701" s="14" t="s">
        <v>47</v>
      </c>
      <c r="C701" s="109">
        <v>0.30555555555555558</v>
      </c>
      <c r="D701" s="14" t="s">
        <v>85</v>
      </c>
      <c r="E701" s="14" t="s">
        <v>150</v>
      </c>
      <c r="F701" s="14" t="s">
        <v>153</v>
      </c>
      <c r="G701" s="16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5" t="s">
        <v>46</v>
      </c>
      <c r="B702" s="15" t="s">
        <v>47</v>
      </c>
      <c r="C702" s="110">
        <v>0.30555555555555558</v>
      </c>
      <c r="D702" s="15" t="s">
        <v>88</v>
      </c>
      <c r="E702" s="15" t="s">
        <v>150</v>
      </c>
      <c r="F702" s="15" t="s">
        <v>191</v>
      </c>
      <c r="G702" s="16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5" t="s">
        <v>46</v>
      </c>
      <c r="B703" s="15" t="s">
        <v>47</v>
      </c>
      <c r="C703" s="110">
        <v>0.30555555555555558</v>
      </c>
      <c r="D703" s="15" t="s">
        <v>80</v>
      </c>
      <c r="E703" s="15" t="s">
        <v>150</v>
      </c>
      <c r="F703" s="15" t="s">
        <v>90</v>
      </c>
      <c r="G703" s="16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31</v>
      </c>
      <c r="B704" s="14" t="s">
        <v>32</v>
      </c>
      <c r="C704" s="109">
        <v>0.83680555555555558</v>
      </c>
      <c r="D704" s="14" t="s">
        <v>33</v>
      </c>
      <c r="E704" s="14" t="s">
        <v>102</v>
      </c>
      <c r="F704" s="14" t="s">
        <v>170</v>
      </c>
      <c r="G704" s="16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5" t="s">
        <v>31</v>
      </c>
      <c r="B705" s="15" t="s">
        <v>32</v>
      </c>
      <c r="C705" s="110">
        <v>0.83680555555555558</v>
      </c>
      <c r="D705" s="15" t="s">
        <v>36</v>
      </c>
      <c r="E705" s="15" t="s">
        <v>102</v>
      </c>
      <c r="F705" s="15" t="s">
        <v>191</v>
      </c>
      <c r="G705" s="16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5" t="s">
        <v>31</v>
      </c>
      <c r="B706" s="15" t="s">
        <v>32</v>
      </c>
      <c r="C706" s="110">
        <v>0.83680555555555558</v>
      </c>
      <c r="D706" s="15" t="s">
        <v>38</v>
      </c>
      <c r="E706" s="15" t="s">
        <v>102</v>
      </c>
      <c r="F706" s="15" t="s">
        <v>192</v>
      </c>
      <c r="G706" s="16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27" t="s">
        <v>31</v>
      </c>
      <c r="B707" s="27" t="s">
        <v>51</v>
      </c>
      <c r="C707" s="115">
        <v>0.2013888888888889</v>
      </c>
      <c r="D707" s="27" t="s">
        <v>33</v>
      </c>
      <c r="E707" s="27" t="s">
        <v>102</v>
      </c>
      <c r="F707" s="27" t="s">
        <v>170</v>
      </c>
      <c r="G707" s="16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5" t="s">
        <v>31</v>
      </c>
      <c r="B708" s="15" t="s">
        <v>51</v>
      </c>
      <c r="C708" s="110">
        <v>0.2013888888888889</v>
      </c>
      <c r="D708" s="15" t="s">
        <v>36</v>
      </c>
      <c r="E708" s="15" t="s">
        <v>102</v>
      </c>
      <c r="F708" s="15" t="s">
        <v>191</v>
      </c>
      <c r="G708" s="16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5" t="s">
        <v>31</v>
      </c>
      <c r="B709" s="15" t="s">
        <v>51</v>
      </c>
      <c r="C709" s="110">
        <v>0.2013888888888889</v>
      </c>
      <c r="D709" s="15" t="s">
        <v>38</v>
      </c>
      <c r="E709" s="15" t="s">
        <v>102</v>
      </c>
      <c r="F709" s="15" t="s">
        <v>192</v>
      </c>
      <c r="G709" s="16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27</v>
      </c>
      <c r="C710" s="109">
        <v>0.95833333333333337</v>
      </c>
      <c r="D710" s="14" t="s">
        <v>167</v>
      </c>
      <c r="E710" s="14" t="s">
        <v>100</v>
      </c>
      <c r="F710" s="14" t="s">
        <v>130</v>
      </c>
      <c r="G710" s="16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thickBot="1" x14ac:dyDescent="0.35">
      <c r="A711" s="34" t="s">
        <v>71</v>
      </c>
      <c r="B711" s="34" t="s">
        <v>72</v>
      </c>
      <c r="C711" s="119">
        <v>0.30555555555555558</v>
      </c>
      <c r="D711" s="34" t="s">
        <v>73</v>
      </c>
      <c r="E711" s="34" t="s">
        <v>74</v>
      </c>
      <c r="F711" s="34" t="s">
        <v>189</v>
      </c>
      <c r="G711" s="167"/>
      <c r="H711" s="17"/>
      <c r="I711" s="18"/>
      <c r="J711" s="18"/>
      <c r="K711" s="18"/>
      <c r="L711" s="18"/>
      <c r="M711" s="18"/>
      <c r="N711" s="18"/>
      <c r="O711" s="19"/>
      <c r="P711" s="18"/>
      <c r="Q711" s="20"/>
      <c r="R711" s="21"/>
    </row>
    <row r="712" spans="1:18" ht="17.399999999999999" customHeight="1" thickBot="1" x14ac:dyDescent="0.35">
      <c r="A712" s="172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4"/>
    </row>
    <row r="713" spans="1:18" ht="22.05" customHeight="1" thickTop="1" thickBot="1" x14ac:dyDescent="0.35">
      <c r="A713" s="168" t="s">
        <v>6</v>
      </c>
      <c r="B713" s="169"/>
      <c r="C713" s="169"/>
      <c r="D713" s="169"/>
      <c r="E713" s="169"/>
      <c r="F713" s="170"/>
      <c r="G713" s="112">
        <v>46035</v>
      </c>
      <c r="H713" s="171" t="s">
        <v>7</v>
      </c>
      <c r="I713" s="169"/>
      <c r="J713" s="169"/>
      <c r="K713" s="169"/>
      <c r="L713" s="169"/>
      <c r="M713" s="169"/>
      <c r="N713" s="169"/>
      <c r="O713" s="169"/>
      <c r="P713" s="169"/>
      <c r="Q713" s="169"/>
      <c r="R713" s="170"/>
    </row>
    <row r="714" spans="1:18" ht="24" customHeight="1" x14ac:dyDescent="0.3">
      <c r="A714" s="22" t="s">
        <v>8</v>
      </c>
      <c r="B714" s="22" t="s">
        <v>9</v>
      </c>
      <c r="C714" s="113" t="s">
        <v>10</v>
      </c>
      <c r="D714" s="22" t="s">
        <v>11</v>
      </c>
      <c r="E714" s="22" t="s">
        <v>12</v>
      </c>
      <c r="F714" s="23" t="s">
        <v>13</v>
      </c>
      <c r="G714" s="24" t="s">
        <v>14</v>
      </c>
      <c r="H714" s="22" t="s">
        <v>15</v>
      </c>
      <c r="I714" s="114" t="s">
        <v>16</v>
      </c>
      <c r="J714" s="25" t="s">
        <v>17</v>
      </c>
      <c r="K714" s="26" t="s">
        <v>18</v>
      </c>
      <c r="L714" s="25" t="s">
        <v>19</v>
      </c>
      <c r="M714" s="25" t="s">
        <v>20</v>
      </c>
      <c r="N714" s="25" t="s">
        <v>21</v>
      </c>
      <c r="O714" s="22" t="s">
        <v>22</v>
      </c>
      <c r="P714" s="113" t="s">
        <v>23</v>
      </c>
      <c r="Q714" s="25" t="s">
        <v>24</v>
      </c>
      <c r="R714" s="22" t="s">
        <v>25</v>
      </c>
    </row>
    <row r="715" spans="1:18" ht="15" customHeight="1" x14ac:dyDescent="0.3">
      <c r="A715" s="8" t="s">
        <v>40</v>
      </c>
      <c r="B715" s="8" t="s">
        <v>60</v>
      </c>
      <c r="C715" s="108">
        <v>0.1701388888888889</v>
      </c>
      <c r="D715" s="8" t="s">
        <v>101</v>
      </c>
      <c r="E715" s="8" t="s">
        <v>29</v>
      </c>
      <c r="F715" s="8" t="s">
        <v>178</v>
      </c>
      <c r="G715" s="16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27" t="s">
        <v>40</v>
      </c>
      <c r="B716" s="27" t="s">
        <v>41</v>
      </c>
      <c r="C716" s="115">
        <v>0.86458333333333337</v>
      </c>
      <c r="D716" s="27" t="s">
        <v>101</v>
      </c>
      <c r="E716" s="27" t="s">
        <v>29</v>
      </c>
      <c r="F716" s="27" t="s">
        <v>179</v>
      </c>
      <c r="G716" s="16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27" t="s">
        <v>40</v>
      </c>
      <c r="B717" s="27" t="s">
        <v>44</v>
      </c>
      <c r="C717" s="115">
        <v>0.52777777777777779</v>
      </c>
      <c r="D717" s="27" t="s">
        <v>101</v>
      </c>
      <c r="E717" s="27" t="s">
        <v>29</v>
      </c>
      <c r="F717" s="27" t="s">
        <v>179</v>
      </c>
      <c r="G717" s="16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82</v>
      </c>
      <c r="B718" s="14" t="s">
        <v>123</v>
      </c>
      <c r="C718" s="109">
        <v>0.21527777777777779</v>
      </c>
      <c r="D718" s="14" t="s">
        <v>167</v>
      </c>
      <c r="E718" s="14" t="s">
        <v>53</v>
      </c>
      <c r="F718" s="14" t="s">
        <v>164</v>
      </c>
      <c r="G718" s="16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61" t="s">
        <v>64</v>
      </c>
      <c r="B719" s="61" t="s">
        <v>65</v>
      </c>
      <c r="C719" s="132">
        <v>0.27083333333333331</v>
      </c>
      <c r="D719" s="61" t="s">
        <v>167</v>
      </c>
      <c r="E719" s="61" t="s">
        <v>97</v>
      </c>
      <c r="F719" s="61" t="s">
        <v>196</v>
      </c>
      <c r="G719" s="166"/>
      <c r="H719" s="62" t="s">
        <v>67</v>
      </c>
      <c r="I719" s="133">
        <v>7.7399999999999997E-2</v>
      </c>
      <c r="J719" s="63">
        <v>13</v>
      </c>
      <c r="K719" s="64" t="s">
        <v>231</v>
      </c>
      <c r="L719" s="63">
        <v>13</v>
      </c>
      <c r="M719" s="63">
        <v>0</v>
      </c>
      <c r="N719" s="63">
        <v>0</v>
      </c>
      <c r="O719" s="65" t="s">
        <v>198</v>
      </c>
      <c r="P719" s="134">
        <v>0.27083333333333331</v>
      </c>
      <c r="Q719" s="63">
        <v>168</v>
      </c>
      <c r="R719" s="66" t="s">
        <v>232</v>
      </c>
    </row>
    <row r="720" spans="1:18" ht="15" customHeight="1" x14ac:dyDescent="0.3">
      <c r="A720" s="14" t="s">
        <v>46</v>
      </c>
      <c r="B720" s="14" t="s">
        <v>47</v>
      </c>
      <c r="C720" s="109">
        <v>0.30555555555555558</v>
      </c>
      <c r="D720" s="14" t="s">
        <v>85</v>
      </c>
      <c r="E720" s="14" t="s">
        <v>150</v>
      </c>
      <c r="F720" s="14" t="s">
        <v>153</v>
      </c>
      <c r="G720" s="16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5" t="s">
        <v>46</v>
      </c>
      <c r="B721" s="15" t="s">
        <v>47</v>
      </c>
      <c r="C721" s="110">
        <v>0.30555555555555558</v>
      </c>
      <c r="D721" s="15" t="s">
        <v>88</v>
      </c>
      <c r="E721" s="15" t="s">
        <v>150</v>
      </c>
      <c r="F721" s="15" t="s">
        <v>191</v>
      </c>
      <c r="G721" s="16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5" t="s">
        <v>46</v>
      </c>
      <c r="B722" s="15" t="s">
        <v>47</v>
      </c>
      <c r="C722" s="110">
        <v>0.30555555555555558</v>
      </c>
      <c r="D722" s="15" t="s">
        <v>80</v>
      </c>
      <c r="E722" s="15" t="s">
        <v>150</v>
      </c>
      <c r="F722" s="15" t="s">
        <v>90</v>
      </c>
      <c r="G722" s="16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31</v>
      </c>
      <c r="B723" s="14" t="s">
        <v>51</v>
      </c>
      <c r="C723" s="109">
        <v>0.2013888888888889</v>
      </c>
      <c r="D723" s="14" t="s">
        <v>33</v>
      </c>
      <c r="E723" s="14" t="s">
        <v>102</v>
      </c>
      <c r="F723" s="14" t="s">
        <v>170</v>
      </c>
      <c r="G723" s="16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5" t="s">
        <v>31</v>
      </c>
      <c r="B724" s="15" t="s">
        <v>51</v>
      </c>
      <c r="C724" s="110">
        <v>0.2013888888888889</v>
      </c>
      <c r="D724" s="15" t="s">
        <v>36</v>
      </c>
      <c r="E724" s="15" t="s">
        <v>102</v>
      </c>
      <c r="F724" s="15" t="s">
        <v>191</v>
      </c>
      <c r="G724" s="16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5" t="s">
        <v>31</v>
      </c>
      <c r="B725" s="15" t="s">
        <v>51</v>
      </c>
      <c r="C725" s="110">
        <v>0.2013888888888889</v>
      </c>
      <c r="D725" s="15" t="s">
        <v>38</v>
      </c>
      <c r="E725" s="15" t="s">
        <v>102</v>
      </c>
      <c r="F725" s="15" t="s">
        <v>192</v>
      </c>
      <c r="G725" s="16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27" t="s">
        <v>31</v>
      </c>
      <c r="B726" s="27" t="s">
        <v>32</v>
      </c>
      <c r="C726" s="115">
        <v>0.83680555555555558</v>
      </c>
      <c r="D726" s="27" t="s">
        <v>33</v>
      </c>
      <c r="E726" s="27" t="s">
        <v>97</v>
      </c>
      <c r="F726" s="27" t="s">
        <v>223</v>
      </c>
      <c r="G726" s="16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5" t="s">
        <v>31</v>
      </c>
      <c r="B727" s="15" t="s">
        <v>32</v>
      </c>
      <c r="C727" s="110">
        <v>0.83680555555555558</v>
      </c>
      <c r="D727" s="15" t="s">
        <v>36</v>
      </c>
      <c r="E727" s="15" t="s">
        <v>97</v>
      </c>
      <c r="F727" s="15" t="s">
        <v>177</v>
      </c>
      <c r="G727" s="16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5" t="s">
        <v>31</v>
      </c>
      <c r="B728" s="15" t="s">
        <v>32</v>
      </c>
      <c r="C728" s="110">
        <v>0.83680555555555558</v>
      </c>
      <c r="D728" s="15" t="s">
        <v>38</v>
      </c>
      <c r="E728" s="15" t="s">
        <v>97</v>
      </c>
      <c r="F728" s="15" t="s">
        <v>224</v>
      </c>
      <c r="G728" s="16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57</v>
      </c>
      <c r="C729" s="109">
        <v>0.95833333333333337</v>
      </c>
      <c r="D729" s="14" t="s">
        <v>167</v>
      </c>
      <c r="E729" s="14" t="s">
        <v>58</v>
      </c>
      <c r="F729" s="14" t="s">
        <v>130</v>
      </c>
      <c r="G729" s="16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thickBot="1" x14ac:dyDescent="0.35">
      <c r="A730" s="34" t="s">
        <v>71</v>
      </c>
      <c r="B730" s="34" t="s">
        <v>72</v>
      </c>
      <c r="C730" s="119">
        <v>0.30555555555555558</v>
      </c>
      <c r="D730" s="34" t="s">
        <v>73</v>
      </c>
      <c r="E730" s="34" t="s">
        <v>74</v>
      </c>
      <c r="F730" s="34" t="s">
        <v>189</v>
      </c>
      <c r="G730" s="167"/>
      <c r="H730" s="17"/>
      <c r="I730" s="18"/>
      <c r="J730" s="18"/>
      <c r="K730" s="18"/>
      <c r="L730" s="18"/>
      <c r="M730" s="18"/>
      <c r="N730" s="18"/>
      <c r="O730" s="19"/>
      <c r="P730" s="18"/>
      <c r="Q730" s="20"/>
      <c r="R730" s="21"/>
    </row>
    <row r="731" spans="1:18" ht="17.399999999999999" customHeight="1" thickBot="1" x14ac:dyDescent="0.35">
      <c r="A731" s="172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4"/>
    </row>
    <row r="732" spans="1:18" ht="22.05" customHeight="1" thickTop="1" thickBot="1" x14ac:dyDescent="0.35">
      <c r="A732" s="168" t="s">
        <v>6</v>
      </c>
      <c r="B732" s="169"/>
      <c r="C732" s="169"/>
      <c r="D732" s="169"/>
      <c r="E732" s="169"/>
      <c r="F732" s="170"/>
      <c r="G732" s="112">
        <v>46036</v>
      </c>
      <c r="H732" s="171" t="s">
        <v>7</v>
      </c>
      <c r="I732" s="169"/>
      <c r="J732" s="169"/>
      <c r="K732" s="169"/>
      <c r="L732" s="169"/>
      <c r="M732" s="169"/>
      <c r="N732" s="169"/>
      <c r="O732" s="169"/>
      <c r="P732" s="169"/>
      <c r="Q732" s="169"/>
      <c r="R732" s="170"/>
    </row>
    <row r="733" spans="1:18" ht="24" customHeight="1" x14ac:dyDescent="0.3">
      <c r="A733" s="22" t="s">
        <v>8</v>
      </c>
      <c r="B733" s="22" t="s">
        <v>9</v>
      </c>
      <c r="C733" s="113" t="s">
        <v>10</v>
      </c>
      <c r="D733" s="22" t="s">
        <v>11</v>
      </c>
      <c r="E733" s="22" t="s">
        <v>12</v>
      </c>
      <c r="F733" s="23" t="s">
        <v>13</v>
      </c>
      <c r="G733" s="24" t="s">
        <v>14</v>
      </c>
      <c r="H733" s="22" t="s">
        <v>15</v>
      </c>
      <c r="I733" s="114" t="s">
        <v>16</v>
      </c>
      <c r="J733" s="25" t="s">
        <v>17</v>
      </c>
      <c r="K733" s="26" t="s">
        <v>18</v>
      </c>
      <c r="L733" s="25" t="s">
        <v>19</v>
      </c>
      <c r="M733" s="25" t="s">
        <v>20</v>
      </c>
      <c r="N733" s="25" t="s">
        <v>21</v>
      </c>
      <c r="O733" s="22" t="s">
        <v>22</v>
      </c>
      <c r="P733" s="113" t="s">
        <v>23</v>
      </c>
      <c r="Q733" s="25" t="s">
        <v>24</v>
      </c>
      <c r="R733" s="22" t="s">
        <v>25</v>
      </c>
    </row>
    <row r="734" spans="1:18" ht="15" customHeight="1" x14ac:dyDescent="0.3">
      <c r="A734" s="8" t="s">
        <v>40</v>
      </c>
      <c r="B734" s="8" t="s">
        <v>60</v>
      </c>
      <c r="C734" s="108">
        <v>0.1701388888888889</v>
      </c>
      <c r="D734" s="8" t="s">
        <v>101</v>
      </c>
      <c r="E734" s="8" t="s">
        <v>29</v>
      </c>
      <c r="F734" s="8" t="s">
        <v>178</v>
      </c>
      <c r="G734" s="16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27" t="s">
        <v>40</v>
      </c>
      <c r="B735" s="27" t="s">
        <v>41</v>
      </c>
      <c r="C735" s="115">
        <v>0.86458333333333337</v>
      </c>
      <c r="D735" s="27" t="s">
        <v>101</v>
      </c>
      <c r="E735" s="27" t="s">
        <v>29</v>
      </c>
      <c r="F735" s="27" t="s">
        <v>179</v>
      </c>
      <c r="G735" s="16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27" t="s">
        <v>40</v>
      </c>
      <c r="B736" s="27" t="s">
        <v>44</v>
      </c>
      <c r="C736" s="115">
        <v>0.52777777777777779</v>
      </c>
      <c r="D736" s="27" t="s">
        <v>101</v>
      </c>
      <c r="E736" s="27" t="s">
        <v>29</v>
      </c>
      <c r="F736" s="27" t="s">
        <v>179</v>
      </c>
      <c r="G736" s="16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82</v>
      </c>
      <c r="B737" s="14" t="s">
        <v>83</v>
      </c>
      <c r="C737" s="109">
        <v>9.0277777777777776E-2</v>
      </c>
      <c r="D737" s="14" t="s">
        <v>167</v>
      </c>
      <c r="E737" s="14" t="s">
        <v>34</v>
      </c>
      <c r="F737" s="14" t="s">
        <v>164</v>
      </c>
      <c r="G737" s="16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76</v>
      </c>
      <c r="B738" s="14" t="s">
        <v>77</v>
      </c>
      <c r="C738" s="109">
        <v>0.97222222222222221</v>
      </c>
      <c r="D738" s="14" t="s">
        <v>78</v>
      </c>
      <c r="E738" s="14" t="s">
        <v>55</v>
      </c>
      <c r="F738" s="14" t="s">
        <v>233</v>
      </c>
      <c r="G738" s="16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5" t="s">
        <v>76</v>
      </c>
      <c r="B739" s="15" t="s">
        <v>77</v>
      </c>
      <c r="C739" s="110">
        <v>0.97222222222222221</v>
      </c>
      <c r="D739" s="15" t="s">
        <v>80</v>
      </c>
      <c r="E739" s="15" t="s">
        <v>55</v>
      </c>
      <c r="F739" s="15" t="s">
        <v>234</v>
      </c>
      <c r="G739" s="16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46</v>
      </c>
      <c r="B740" s="14" t="s">
        <v>47</v>
      </c>
      <c r="C740" s="109">
        <v>0.30555555555555558</v>
      </c>
      <c r="D740" s="14" t="s">
        <v>85</v>
      </c>
      <c r="E740" s="14" t="s">
        <v>150</v>
      </c>
      <c r="F740" s="14" t="s">
        <v>153</v>
      </c>
      <c r="G740" s="16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5" t="s">
        <v>46</v>
      </c>
      <c r="B741" s="15" t="s">
        <v>47</v>
      </c>
      <c r="C741" s="110">
        <v>0.30555555555555558</v>
      </c>
      <c r="D741" s="15" t="s">
        <v>88</v>
      </c>
      <c r="E741" s="15" t="s">
        <v>150</v>
      </c>
      <c r="F741" s="15" t="s">
        <v>191</v>
      </c>
      <c r="G741" s="16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5" t="s">
        <v>46</v>
      </c>
      <c r="B742" s="15" t="s">
        <v>47</v>
      </c>
      <c r="C742" s="110">
        <v>0.30555555555555558</v>
      </c>
      <c r="D742" s="15" t="s">
        <v>80</v>
      </c>
      <c r="E742" s="15" t="s">
        <v>150</v>
      </c>
      <c r="F742" s="15" t="s">
        <v>90</v>
      </c>
      <c r="G742" s="16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27</v>
      </c>
      <c r="C743" s="109">
        <v>0.89583333333333337</v>
      </c>
      <c r="D743" s="14" t="s">
        <v>167</v>
      </c>
      <c r="E743" s="14" t="s">
        <v>97</v>
      </c>
      <c r="F743" s="14" t="s">
        <v>130</v>
      </c>
      <c r="G743" s="16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31</v>
      </c>
      <c r="B744" s="14" t="s">
        <v>32</v>
      </c>
      <c r="C744" s="109">
        <v>0.83680555555555558</v>
      </c>
      <c r="D744" s="14" t="s">
        <v>33</v>
      </c>
      <c r="E744" s="14" t="s">
        <v>74</v>
      </c>
      <c r="F744" s="14" t="s">
        <v>223</v>
      </c>
      <c r="G744" s="16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5" t="s">
        <v>31</v>
      </c>
      <c r="B745" s="15" t="s">
        <v>32</v>
      </c>
      <c r="C745" s="110">
        <v>0.83680555555555558</v>
      </c>
      <c r="D745" s="15" t="s">
        <v>36</v>
      </c>
      <c r="E745" s="15" t="s">
        <v>74</v>
      </c>
      <c r="F745" s="15" t="s">
        <v>177</v>
      </c>
      <c r="G745" s="16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5" t="s">
        <v>31</v>
      </c>
      <c r="B746" s="15" t="s">
        <v>32</v>
      </c>
      <c r="C746" s="110">
        <v>0.83680555555555558</v>
      </c>
      <c r="D746" s="15" t="s">
        <v>38</v>
      </c>
      <c r="E746" s="15" t="s">
        <v>74</v>
      </c>
      <c r="F746" s="15" t="s">
        <v>224</v>
      </c>
      <c r="G746" s="16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thickBot="1" x14ac:dyDescent="0.35">
      <c r="A747" s="34" t="s">
        <v>71</v>
      </c>
      <c r="B747" s="34" t="s">
        <v>72</v>
      </c>
      <c r="C747" s="119">
        <v>0.30555555555555558</v>
      </c>
      <c r="D747" s="34" t="s">
        <v>73</v>
      </c>
      <c r="E747" s="34" t="s">
        <v>74</v>
      </c>
      <c r="F747" s="34" t="s">
        <v>189</v>
      </c>
      <c r="G747" s="167"/>
      <c r="H747" s="17"/>
      <c r="I747" s="18"/>
      <c r="J747" s="18"/>
      <c r="K747" s="18"/>
      <c r="L747" s="18"/>
      <c r="M747" s="18"/>
      <c r="N747" s="18"/>
      <c r="O747" s="19"/>
      <c r="P747" s="18"/>
      <c r="Q747" s="20"/>
      <c r="R747" s="21"/>
    </row>
    <row r="748" spans="1:18" ht="17.399999999999999" customHeight="1" thickBot="1" x14ac:dyDescent="0.35">
      <c r="A748" s="172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4"/>
    </row>
    <row r="749" spans="1:18" ht="22.05" customHeight="1" thickTop="1" thickBot="1" x14ac:dyDescent="0.35">
      <c r="A749" s="168" t="s">
        <v>6</v>
      </c>
      <c r="B749" s="169"/>
      <c r="C749" s="169"/>
      <c r="D749" s="169"/>
      <c r="E749" s="169"/>
      <c r="F749" s="170"/>
      <c r="G749" s="112">
        <v>46037</v>
      </c>
      <c r="H749" s="171" t="s">
        <v>7</v>
      </c>
      <c r="I749" s="169"/>
      <c r="J749" s="169"/>
      <c r="K749" s="169"/>
      <c r="L749" s="169"/>
      <c r="M749" s="169"/>
      <c r="N749" s="169"/>
      <c r="O749" s="169"/>
      <c r="P749" s="169"/>
      <c r="Q749" s="169"/>
      <c r="R749" s="170"/>
    </row>
    <row r="750" spans="1:18" ht="24" customHeight="1" x14ac:dyDescent="0.3">
      <c r="A750" s="22" t="s">
        <v>8</v>
      </c>
      <c r="B750" s="22" t="s">
        <v>9</v>
      </c>
      <c r="C750" s="113" t="s">
        <v>10</v>
      </c>
      <c r="D750" s="22" t="s">
        <v>11</v>
      </c>
      <c r="E750" s="22" t="s">
        <v>12</v>
      </c>
      <c r="F750" s="23" t="s">
        <v>13</v>
      </c>
      <c r="G750" s="24" t="s">
        <v>14</v>
      </c>
      <c r="H750" s="22" t="s">
        <v>15</v>
      </c>
      <c r="I750" s="114" t="s">
        <v>16</v>
      </c>
      <c r="J750" s="25" t="s">
        <v>17</v>
      </c>
      <c r="K750" s="26" t="s">
        <v>18</v>
      </c>
      <c r="L750" s="25" t="s">
        <v>19</v>
      </c>
      <c r="M750" s="25" t="s">
        <v>20</v>
      </c>
      <c r="N750" s="25" t="s">
        <v>21</v>
      </c>
      <c r="O750" s="22" t="s">
        <v>22</v>
      </c>
      <c r="P750" s="113" t="s">
        <v>23</v>
      </c>
      <c r="Q750" s="25" t="s">
        <v>24</v>
      </c>
      <c r="R750" s="22" t="s">
        <v>25</v>
      </c>
    </row>
    <row r="751" spans="1:18" ht="15" customHeight="1" x14ac:dyDescent="0.3">
      <c r="A751" s="8" t="s">
        <v>40</v>
      </c>
      <c r="B751" s="8" t="s">
        <v>60</v>
      </c>
      <c r="C751" s="108">
        <v>0.1701388888888889</v>
      </c>
      <c r="D751" s="8" t="s">
        <v>101</v>
      </c>
      <c r="E751" s="8" t="s">
        <v>29</v>
      </c>
      <c r="F751" s="8" t="s">
        <v>178</v>
      </c>
      <c r="G751" s="16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27" t="s">
        <v>40</v>
      </c>
      <c r="B752" s="27" t="s">
        <v>41</v>
      </c>
      <c r="C752" s="115">
        <v>0.86458333333333337</v>
      </c>
      <c r="D752" s="27" t="s">
        <v>101</v>
      </c>
      <c r="E752" s="27" t="s">
        <v>29</v>
      </c>
      <c r="F752" s="27" t="s">
        <v>179</v>
      </c>
      <c r="G752" s="16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27" t="s">
        <v>40</v>
      </c>
      <c r="B753" s="27" t="s">
        <v>44</v>
      </c>
      <c r="C753" s="115">
        <v>0.52777777777777779</v>
      </c>
      <c r="D753" s="27" t="s">
        <v>101</v>
      </c>
      <c r="E753" s="27" t="s">
        <v>29</v>
      </c>
      <c r="F753" s="27" t="s">
        <v>179</v>
      </c>
      <c r="G753" s="16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46</v>
      </c>
      <c r="B754" s="14" t="s">
        <v>47</v>
      </c>
      <c r="C754" s="109">
        <v>0.30555555555555558</v>
      </c>
      <c r="D754" s="14" t="s">
        <v>85</v>
      </c>
      <c r="E754" s="14" t="s">
        <v>150</v>
      </c>
      <c r="F754" s="14" t="s">
        <v>153</v>
      </c>
      <c r="G754" s="16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5" t="s">
        <v>46</v>
      </c>
      <c r="B755" s="15" t="s">
        <v>47</v>
      </c>
      <c r="C755" s="110">
        <v>0.30555555555555558</v>
      </c>
      <c r="D755" s="15" t="s">
        <v>88</v>
      </c>
      <c r="E755" s="15" t="s">
        <v>150</v>
      </c>
      <c r="F755" s="15" t="s">
        <v>191</v>
      </c>
      <c r="G755" s="16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5" t="s">
        <v>46</v>
      </c>
      <c r="B756" s="15" t="s">
        <v>47</v>
      </c>
      <c r="C756" s="110">
        <v>0.30555555555555558</v>
      </c>
      <c r="D756" s="15" t="s">
        <v>80</v>
      </c>
      <c r="E756" s="15" t="s">
        <v>150</v>
      </c>
      <c r="F756" s="15" t="s">
        <v>90</v>
      </c>
      <c r="G756" s="16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31</v>
      </c>
      <c r="B757" s="14" t="s">
        <v>51</v>
      </c>
      <c r="C757" s="109">
        <v>0.2013888888888889</v>
      </c>
      <c r="D757" s="14" t="s">
        <v>33</v>
      </c>
      <c r="E757" s="14" t="s">
        <v>74</v>
      </c>
      <c r="F757" s="14" t="s">
        <v>170</v>
      </c>
      <c r="G757" s="16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5" t="s">
        <v>31</v>
      </c>
      <c r="B758" s="15" t="s">
        <v>51</v>
      </c>
      <c r="C758" s="110">
        <v>0.2013888888888889</v>
      </c>
      <c r="D758" s="15" t="s">
        <v>36</v>
      </c>
      <c r="E758" s="15" t="s">
        <v>74</v>
      </c>
      <c r="F758" s="15" t="s">
        <v>191</v>
      </c>
      <c r="G758" s="16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5" t="s">
        <v>31</v>
      </c>
      <c r="B759" s="15" t="s">
        <v>51</v>
      </c>
      <c r="C759" s="110">
        <v>0.2013888888888889</v>
      </c>
      <c r="D759" s="15" t="s">
        <v>38</v>
      </c>
      <c r="E759" s="15" t="s">
        <v>74</v>
      </c>
      <c r="F759" s="15" t="s">
        <v>192</v>
      </c>
      <c r="G759" s="16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27" t="s">
        <v>31</v>
      </c>
      <c r="B760" s="27" t="s">
        <v>32</v>
      </c>
      <c r="C760" s="115">
        <v>0.83680555555555558</v>
      </c>
      <c r="D760" s="27" t="s">
        <v>33</v>
      </c>
      <c r="E760" s="27" t="s">
        <v>55</v>
      </c>
      <c r="F760" s="27" t="s">
        <v>191</v>
      </c>
      <c r="G760" s="16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5" t="s">
        <v>31</v>
      </c>
      <c r="B761" s="15" t="s">
        <v>32</v>
      </c>
      <c r="C761" s="110">
        <v>0.83680555555555558</v>
      </c>
      <c r="D761" s="15" t="s">
        <v>36</v>
      </c>
      <c r="E761" s="15" t="s">
        <v>55</v>
      </c>
      <c r="F761" s="15" t="s">
        <v>202</v>
      </c>
      <c r="G761" s="16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5" t="s">
        <v>31</v>
      </c>
      <c r="B762" s="15" t="s">
        <v>32</v>
      </c>
      <c r="C762" s="110">
        <v>0.83680555555555558</v>
      </c>
      <c r="D762" s="15" t="s">
        <v>38</v>
      </c>
      <c r="E762" s="15" t="s">
        <v>55</v>
      </c>
      <c r="F762" s="15" t="s">
        <v>205</v>
      </c>
      <c r="G762" s="16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57</v>
      </c>
      <c r="C763" s="109">
        <v>0.95833333333333337</v>
      </c>
      <c r="D763" s="14" t="s">
        <v>167</v>
      </c>
      <c r="E763" s="14" t="s">
        <v>102</v>
      </c>
      <c r="F763" s="14" t="s">
        <v>130</v>
      </c>
      <c r="G763" s="16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27" t="s">
        <v>26</v>
      </c>
      <c r="B764" s="27" t="s">
        <v>99</v>
      </c>
      <c r="C764" s="115">
        <v>0.5625</v>
      </c>
      <c r="D764" s="27" t="s">
        <v>167</v>
      </c>
      <c r="E764" s="27" t="s">
        <v>53</v>
      </c>
      <c r="F764" s="27" t="s">
        <v>176</v>
      </c>
      <c r="G764" s="16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82</v>
      </c>
      <c r="B765" s="14" t="s">
        <v>83</v>
      </c>
      <c r="C765" s="109">
        <v>0.96527777777777779</v>
      </c>
      <c r="D765" s="14" t="s">
        <v>167</v>
      </c>
      <c r="E765" s="14" t="s">
        <v>74</v>
      </c>
      <c r="F765" s="14" t="s">
        <v>185</v>
      </c>
      <c r="G765" s="16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73" t="s">
        <v>64</v>
      </c>
      <c r="B766" s="73" t="s">
        <v>65</v>
      </c>
      <c r="C766" s="138">
        <v>0.92361111111111116</v>
      </c>
      <c r="D766" s="73" t="s">
        <v>167</v>
      </c>
      <c r="E766" s="73" t="s">
        <v>53</v>
      </c>
      <c r="F766" s="73" t="s">
        <v>110</v>
      </c>
      <c r="G766" s="166"/>
      <c r="H766" s="74" t="s">
        <v>67</v>
      </c>
      <c r="I766" s="139">
        <v>0.1429</v>
      </c>
      <c r="J766" s="75">
        <v>24</v>
      </c>
      <c r="K766" s="76" t="s">
        <v>235</v>
      </c>
      <c r="L766" s="75">
        <v>24</v>
      </c>
      <c r="M766" s="75">
        <v>0</v>
      </c>
      <c r="N766" s="75">
        <v>0</v>
      </c>
      <c r="O766" s="77" t="s">
        <v>236</v>
      </c>
      <c r="P766" s="140">
        <v>0.92361111111111116</v>
      </c>
      <c r="Q766" s="75">
        <v>168</v>
      </c>
      <c r="R766" s="78" t="s">
        <v>237</v>
      </c>
    </row>
    <row r="767" spans="1:18" ht="15" customHeight="1" thickBot="1" x14ac:dyDescent="0.35">
      <c r="A767" s="34" t="s">
        <v>71</v>
      </c>
      <c r="B767" s="34" t="s">
        <v>72</v>
      </c>
      <c r="C767" s="119">
        <v>0.30555555555555558</v>
      </c>
      <c r="D767" s="34" t="s">
        <v>73</v>
      </c>
      <c r="E767" s="34" t="s">
        <v>74</v>
      </c>
      <c r="F767" s="34" t="s">
        <v>189</v>
      </c>
      <c r="G767" s="167"/>
      <c r="H767" s="17"/>
      <c r="I767" s="18"/>
      <c r="J767" s="18"/>
      <c r="K767" s="18"/>
      <c r="L767" s="18"/>
      <c r="M767" s="18"/>
      <c r="N767" s="18"/>
      <c r="O767" s="19"/>
      <c r="P767" s="18"/>
      <c r="Q767" s="20"/>
      <c r="R767" s="21"/>
    </row>
    <row r="768" spans="1:18" ht="17.399999999999999" customHeight="1" thickBot="1" x14ac:dyDescent="0.35">
      <c r="A768" s="172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4"/>
    </row>
    <row r="769" spans="1:18" ht="22.05" customHeight="1" thickTop="1" thickBot="1" x14ac:dyDescent="0.35">
      <c r="A769" s="168" t="s">
        <v>6</v>
      </c>
      <c r="B769" s="169"/>
      <c r="C769" s="169"/>
      <c r="D769" s="169"/>
      <c r="E769" s="169"/>
      <c r="F769" s="170"/>
      <c r="G769" s="112">
        <v>46038</v>
      </c>
      <c r="H769" s="171" t="s">
        <v>7</v>
      </c>
      <c r="I769" s="169"/>
      <c r="J769" s="169"/>
      <c r="K769" s="169"/>
      <c r="L769" s="169"/>
      <c r="M769" s="169"/>
      <c r="N769" s="169"/>
      <c r="O769" s="169"/>
      <c r="P769" s="169"/>
      <c r="Q769" s="169"/>
      <c r="R769" s="170"/>
    </row>
    <row r="770" spans="1:18" ht="24" customHeight="1" x14ac:dyDescent="0.3">
      <c r="A770" s="22" t="s">
        <v>8</v>
      </c>
      <c r="B770" s="22" t="s">
        <v>9</v>
      </c>
      <c r="C770" s="113" t="s">
        <v>10</v>
      </c>
      <c r="D770" s="22" t="s">
        <v>11</v>
      </c>
      <c r="E770" s="22" t="s">
        <v>12</v>
      </c>
      <c r="F770" s="23" t="s">
        <v>13</v>
      </c>
      <c r="G770" s="24" t="s">
        <v>14</v>
      </c>
      <c r="H770" s="22" t="s">
        <v>15</v>
      </c>
      <c r="I770" s="114" t="s">
        <v>16</v>
      </c>
      <c r="J770" s="25" t="s">
        <v>17</v>
      </c>
      <c r="K770" s="26" t="s">
        <v>18</v>
      </c>
      <c r="L770" s="25" t="s">
        <v>19</v>
      </c>
      <c r="M770" s="25" t="s">
        <v>20</v>
      </c>
      <c r="N770" s="25" t="s">
        <v>21</v>
      </c>
      <c r="O770" s="22" t="s">
        <v>22</v>
      </c>
      <c r="P770" s="113" t="s">
        <v>23</v>
      </c>
      <c r="Q770" s="25" t="s">
        <v>24</v>
      </c>
      <c r="R770" s="22" t="s">
        <v>25</v>
      </c>
    </row>
    <row r="771" spans="1:18" ht="15" customHeight="1" x14ac:dyDescent="0.3">
      <c r="A771" s="8" t="s">
        <v>40</v>
      </c>
      <c r="B771" s="8" t="s">
        <v>60</v>
      </c>
      <c r="C771" s="108">
        <v>0.1701388888888889</v>
      </c>
      <c r="D771" s="8" t="s">
        <v>101</v>
      </c>
      <c r="E771" s="8" t="s">
        <v>29</v>
      </c>
      <c r="F771" s="8" t="s">
        <v>178</v>
      </c>
      <c r="G771" s="16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27" t="s">
        <v>40</v>
      </c>
      <c r="B772" s="27" t="s">
        <v>41</v>
      </c>
      <c r="C772" s="115">
        <v>0.86458333333333337</v>
      </c>
      <c r="D772" s="27" t="s">
        <v>101</v>
      </c>
      <c r="E772" s="27" t="s">
        <v>29</v>
      </c>
      <c r="F772" s="27" t="s">
        <v>179</v>
      </c>
      <c r="G772" s="16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27" t="s">
        <v>40</v>
      </c>
      <c r="B773" s="27" t="s">
        <v>44</v>
      </c>
      <c r="C773" s="115">
        <v>0.52777777777777779</v>
      </c>
      <c r="D773" s="27" t="s">
        <v>42</v>
      </c>
      <c r="E773" s="27" t="s">
        <v>29</v>
      </c>
      <c r="F773" s="27" t="s">
        <v>238</v>
      </c>
      <c r="G773" s="16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82</v>
      </c>
      <c r="B774" s="14" t="s">
        <v>123</v>
      </c>
      <c r="C774" s="109">
        <v>0.21527777777777779</v>
      </c>
      <c r="D774" s="14" t="s">
        <v>167</v>
      </c>
      <c r="E774" s="14" t="s">
        <v>102</v>
      </c>
      <c r="F774" s="14" t="s">
        <v>164</v>
      </c>
      <c r="G774" s="16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46</v>
      </c>
      <c r="B775" s="14" t="s">
        <v>47</v>
      </c>
      <c r="C775" s="109">
        <v>0.30555555555555558</v>
      </c>
      <c r="D775" s="14" t="s">
        <v>85</v>
      </c>
      <c r="E775" s="14" t="s">
        <v>150</v>
      </c>
      <c r="F775" s="14" t="s">
        <v>153</v>
      </c>
      <c r="G775" s="16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5" t="s">
        <v>46</v>
      </c>
      <c r="B776" s="15" t="s">
        <v>47</v>
      </c>
      <c r="C776" s="110">
        <v>0.30555555555555558</v>
      </c>
      <c r="D776" s="15" t="s">
        <v>88</v>
      </c>
      <c r="E776" s="15" t="s">
        <v>150</v>
      </c>
      <c r="F776" s="15" t="s">
        <v>191</v>
      </c>
      <c r="G776" s="16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5" t="s">
        <v>46</v>
      </c>
      <c r="B777" s="15" t="s">
        <v>47</v>
      </c>
      <c r="C777" s="110">
        <v>0.30555555555555558</v>
      </c>
      <c r="D777" s="15" t="s">
        <v>80</v>
      </c>
      <c r="E777" s="15" t="s">
        <v>150</v>
      </c>
      <c r="F777" s="15" t="s">
        <v>90</v>
      </c>
      <c r="G777" s="16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31</v>
      </c>
      <c r="B778" s="14" t="s">
        <v>32</v>
      </c>
      <c r="C778" s="109">
        <v>0.83680555555555558</v>
      </c>
      <c r="D778" s="14" t="s">
        <v>33</v>
      </c>
      <c r="E778" s="14" t="s">
        <v>102</v>
      </c>
      <c r="F778" s="14" t="s">
        <v>170</v>
      </c>
      <c r="G778" s="16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5" t="s">
        <v>31</v>
      </c>
      <c r="B779" s="15" t="s">
        <v>32</v>
      </c>
      <c r="C779" s="110">
        <v>0.83680555555555558</v>
      </c>
      <c r="D779" s="15" t="s">
        <v>36</v>
      </c>
      <c r="E779" s="15" t="s">
        <v>102</v>
      </c>
      <c r="F779" s="15" t="s">
        <v>191</v>
      </c>
      <c r="G779" s="16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5" t="s">
        <v>31</v>
      </c>
      <c r="B780" s="15" t="s">
        <v>32</v>
      </c>
      <c r="C780" s="110">
        <v>0.83680555555555558</v>
      </c>
      <c r="D780" s="15" t="s">
        <v>38</v>
      </c>
      <c r="E780" s="15" t="s">
        <v>102</v>
      </c>
      <c r="F780" s="15" t="s">
        <v>192</v>
      </c>
      <c r="G780" s="16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27</v>
      </c>
      <c r="C781" s="109">
        <v>0.95833333333333337</v>
      </c>
      <c r="D781" s="14" t="s">
        <v>167</v>
      </c>
      <c r="E781" s="14" t="s">
        <v>97</v>
      </c>
      <c r="F781" s="14" t="s">
        <v>130</v>
      </c>
      <c r="G781" s="16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73" t="s">
        <v>64</v>
      </c>
      <c r="B782" s="73" t="s">
        <v>65</v>
      </c>
      <c r="C782" s="138">
        <v>0.57986111111111116</v>
      </c>
      <c r="D782" s="73" t="s">
        <v>167</v>
      </c>
      <c r="E782" s="73" t="s">
        <v>58</v>
      </c>
      <c r="F782" s="73" t="s">
        <v>110</v>
      </c>
      <c r="G782" s="166"/>
      <c r="H782" s="74" t="s">
        <v>67</v>
      </c>
      <c r="I782" s="139">
        <v>0.1333</v>
      </c>
      <c r="J782" s="75">
        <v>22</v>
      </c>
      <c r="K782" s="76" t="s">
        <v>235</v>
      </c>
      <c r="L782" s="75">
        <v>22</v>
      </c>
      <c r="M782" s="75">
        <v>0</v>
      </c>
      <c r="N782" s="75">
        <v>0</v>
      </c>
      <c r="O782" s="77" t="s">
        <v>194</v>
      </c>
      <c r="P782" s="140">
        <v>0.57986111111111116</v>
      </c>
      <c r="Q782" s="75">
        <v>165</v>
      </c>
      <c r="R782" s="78" t="s">
        <v>239</v>
      </c>
    </row>
    <row r="783" spans="1:18" ht="15" customHeight="1" thickBot="1" x14ac:dyDescent="0.35">
      <c r="A783" s="34" t="s">
        <v>71</v>
      </c>
      <c r="B783" s="34" t="s">
        <v>72</v>
      </c>
      <c r="C783" s="119">
        <v>0.30555555555555558</v>
      </c>
      <c r="D783" s="34" t="s">
        <v>73</v>
      </c>
      <c r="E783" s="34" t="s">
        <v>74</v>
      </c>
      <c r="F783" s="34" t="s">
        <v>189</v>
      </c>
      <c r="G783" s="167"/>
      <c r="H783" s="17"/>
      <c r="I783" s="18"/>
      <c r="J783" s="18"/>
      <c r="K783" s="18"/>
      <c r="L783" s="18"/>
      <c r="M783" s="18"/>
      <c r="N783" s="18"/>
      <c r="O783" s="19"/>
      <c r="P783" s="18"/>
      <c r="Q783" s="20"/>
      <c r="R783" s="21"/>
    </row>
    <row r="784" spans="1:18" ht="17.399999999999999" customHeight="1" thickBot="1" x14ac:dyDescent="0.35">
      <c r="A784" s="172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4"/>
    </row>
    <row r="785" spans="1:18" ht="22.05" customHeight="1" thickTop="1" thickBot="1" x14ac:dyDescent="0.35">
      <c r="A785" s="168" t="s">
        <v>6</v>
      </c>
      <c r="B785" s="169"/>
      <c r="C785" s="169"/>
      <c r="D785" s="169"/>
      <c r="E785" s="169"/>
      <c r="F785" s="170"/>
      <c r="G785" s="112">
        <v>46039</v>
      </c>
      <c r="H785" s="171" t="s">
        <v>7</v>
      </c>
      <c r="I785" s="169"/>
      <c r="J785" s="169"/>
      <c r="K785" s="169"/>
      <c r="L785" s="169"/>
      <c r="M785" s="169"/>
      <c r="N785" s="169"/>
      <c r="O785" s="169"/>
      <c r="P785" s="169"/>
      <c r="Q785" s="169"/>
      <c r="R785" s="170"/>
    </row>
    <row r="786" spans="1:18" ht="24" customHeight="1" x14ac:dyDescent="0.3">
      <c r="A786" s="22" t="s">
        <v>8</v>
      </c>
      <c r="B786" s="22" t="s">
        <v>9</v>
      </c>
      <c r="C786" s="113" t="s">
        <v>10</v>
      </c>
      <c r="D786" s="22" t="s">
        <v>11</v>
      </c>
      <c r="E786" s="22" t="s">
        <v>12</v>
      </c>
      <c r="F786" s="23" t="s">
        <v>13</v>
      </c>
      <c r="G786" s="24" t="s">
        <v>14</v>
      </c>
      <c r="H786" s="22" t="s">
        <v>15</v>
      </c>
      <c r="I786" s="114" t="s">
        <v>16</v>
      </c>
      <c r="J786" s="25" t="s">
        <v>17</v>
      </c>
      <c r="K786" s="26" t="s">
        <v>18</v>
      </c>
      <c r="L786" s="25" t="s">
        <v>19</v>
      </c>
      <c r="M786" s="25" t="s">
        <v>20</v>
      </c>
      <c r="N786" s="25" t="s">
        <v>21</v>
      </c>
      <c r="O786" s="22" t="s">
        <v>22</v>
      </c>
      <c r="P786" s="113" t="s">
        <v>23</v>
      </c>
      <c r="Q786" s="25" t="s">
        <v>24</v>
      </c>
      <c r="R786" s="22" t="s">
        <v>25</v>
      </c>
    </row>
    <row r="787" spans="1:18" ht="15" customHeight="1" x14ac:dyDescent="0.3">
      <c r="A787" s="8" t="s">
        <v>40</v>
      </c>
      <c r="B787" s="8" t="s">
        <v>60</v>
      </c>
      <c r="C787" s="108">
        <v>0.1701388888888889</v>
      </c>
      <c r="D787" s="8" t="s">
        <v>101</v>
      </c>
      <c r="E787" s="8" t="s">
        <v>29</v>
      </c>
      <c r="F787" s="8" t="s">
        <v>178</v>
      </c>
      <c r="G787" s="16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27" t="s">
        <v>40</v>
      </c>
      <c r="B788" s="27" t="s">
        <v>41</v>
      </c>
      <c r="C788" s="115">
        <v>0.86458333333333337</v>
      </c>
      <c r="D788" s="27" t="s">
        <v>101</v>
      </c>
      <c r="E788" s="27" t="s">
        <v>29</v>
      </c>
      <c r="F788" s="27" t="s">
        <v>179</v>
      </c>
      <c r="G788" s="16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27" t="s">
        <v>40</v>
      </c>
      <c r="B789" s="27" t="s">
        <v>44</v>
      </c>
      <c r="C789" s="115">
        <v>0.52777777777777779</v>
      </c>
      <c r="D789" s="27" t="s">
        <v>101</v>
      </c>
      <c r="E789" s="27" t="s">
        <v>29</v>
      </c>
      <c r="F789" s="27" t="s">
        <v>179</v>
      </c>
      <c r="G789" s="16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82</v>
      </c>
      <c r="B790" s="14" t="s">
        <v>83</v>
      </c>
      <c r="C790" s="109">
        <v>0.54861111111111116</v>
      </c>
      <c r="D790" s="14" t="s">
        <v>167</v>
      </c>
      <c r="E790" s="14" t="s">
        <v>34</v>
      </c>
      <c r="F790" s="14" t="s">
        <v>164</v>
      </c>
      <c r="G790" s="16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46</v>
      </c>
      <c r="B791" s="14" t="s">
        <v>47</v>
      </c>
      <c r="C791" s="109">
        <v>0.30555555555555558</v>
      </c>
      <c r="D791" s="14" t="s">
        <v>85</v>
      </c>
      <c r="E791" s="14" t="s">
        <v>150</v>
      </c>
      <c r="F791" s="14" t="s">
        <v>153</v>
      </c>
      <c r="G791" s="16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" t="s">
        <v>46</v>
      </c>
      <c r="B792" s="15" t="s">
        <v>47</v>
      </c>
      <c r="C792" s="110">
        <v>0.30555555555555558</v>
      </c>
      <c r="D792" s="15" t="s">
        <v>88</v>
      </c>
      <c r="E792" s="15" t="s">
        <v>150</v>
      </c>
      <c r="F792" s="15" t="s">
        <v>191</v>
      </c>
      <c r="G792" s="16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5" t="s">
        <v>46</v>
      </c>
      <c r="B793" s="15" t="s">
        <v>47</v>
      </c>
      <c r="C793" s="110">
        <v>0.30555555555555558</v>
      </c>
      <c r="D793" s="15" t="s">
        <v>80</v>
      </c>
      <c r="E793" s="15" t="s">
        <v>150</v>
      </c>
      <c r="F793" s="15" t="s">
        <v>90</v>
      </c>
      <c r="G793" s="16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76</v>
      </c>
      <c r="B794" s="14" t="s">
        <v>77</v>
      </c>
      <c r="C794" s="109">
        <v>0.97222222222222221</v>
      </c>
      <c r="D794" s="14" t="s">
        <v>78</v>
      </c>
      <c r="E794" s="14" t="s">
        <v>55</v>
      </c>
      <c r="F794" s="14" t="s">
        <v>240</v>
      </c>
      <c r="G794" s="16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5" t="s">
        <v>76</v>
      </c>
      <c r="B795" s="15" t="s">
        <v>77</v>
      </c>
      <c r="C795" s="110">
        <v>0.97222222222222221</v>
      </c>
      <c r="D795" s="15" t="s">
        <v>80</v>
      </c>
      <c r="E795" s="15" t="s">
        <v>55</v>
      </c>
      <c r="F795" s="15" t="s">
        <v>172</v>
      </c>
      <c r="G795" s="16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31</v>
      </c>
      <c r="B796" s="14" t="s">
        <v>32</v>
      </c>
      <c r="C796" s="109">
        <v>0.83680555555555558</v>
      </c>
      <c r="D796" s="14" t="s">
        <v>33</v>
      </c>
      <c r="E796" s="14" t="s">
        <v>74</v>
      </c>
      <c r="F796" s="14" t="s">
        <v>170</v>
      </c>
      <c r="G796" s="16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5" t="s">
        <v>31</v>
      </c>
      <c r="B797" s="15" t="s">
        <v>32</v>
      </c>
      <c r="C797" s="110">
        <v>0.83680555555555558</v>
      </c>
      <c r="D797" s="15" t="s">
        <v>36</v>
      </c>
      <c r="E797" s="15" t="s">
        <v>74</v>
      </c>
      <c r="F797" s="15" t="s">
        <v>191</v>
      </c>
      <c r="G797" s="16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5" t="s">
        <v>31</v>
      </c>
      <c r="B798" s="15" t="s">
        <v>32</v>
      </c>
      <c r="C798" s="110">
        <v>0.83680555555555558</v>
      </c>
      <c r="D798" s="15" t="s">
        <v>38</v>
      </c>
      <c r="E798" s="15" t="s">
        <v>74</v>
      </c>
      <c r="F798" s="15" t="s">
        <v>192</v>
      </c>
      <c r="G798" s="16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27" t="s">
        <v>31</v>
      </c>
      <c r="B799" s="27" t="s">
        <v>51</v>
      </c>
      <c r="C799" s="115">
        <v>0.2013888888888889</v>
      </c>
      <c r="D799" s="27" t="s">
        <v>33</v>
      </c>
      <c r="E799" s="27" t="s">
        <v>102</v>
      </c>
      <c r="F799" s="27" t="s">
        <v>170</v>
      </c>
      <c r="G799" s="16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5" t="s">
        <v>31</v>
      </c>
      <c r="B800" s="15" t="s">
        <v>51</v>
      </c>
      <c r="C800" s="110">
        <v>0.2013888888888889</v>
      </c>
      <c r="D800" s="15" t="s">
        <v>36</v>
      </c>
      <c r="E800" s="15" t="s">
        <v>102</v>
      </c>
      <c r="F800" s="15" t="s">
        <v>191</v>
      </c>
      <c r="G800" s="16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5" t="s">
        <v>31</v>
      </c>
      <c r="B801" s="15" t="s">
        <v>51</v>
      </c>
      <c r="C801" s="110">
        <v>0.2013888888888889</v>
      </c>
      <c r="D801" s="15" t="s">
        <v>38</v>
      </c>
      <c r="E801" s="15" t="s">
        <v>102</v>
      </c>
      <c r="F801" s="15" t="s">
        <v>192</v>
      </c>
      <c r="G801" s="16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57</v>
      </c>
      <c r="C802" s="109">
        <v>0.89583333333333337</v>
      </c>
      <c r="D802" s="14" t="s">
        <v>167</v>
      </c>
      <c r="E802" s="14" t="s">
        <v>58</v>
      </c>
      <c r="F802" s="14" t="s">
        <v>130</v>
      </c>
      <c r="G802" s="16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61" t="s">
        <v>64</v>
      </c>
      <c r="B803" s="61" t="s">
        <v>65</v>
      </c>
      <c r="C803" s="132">
        <v>0.92361111111111116</v>
      </c>
      <c r="D803" s="61" t="s">
        <v>167</v>
      </c>
      <c r="E803" s="61" t="s">
        <v>53</v>
      </c>
      <c r="F803" s="61" t="s">
        <v>66</v>
      </c>
      <c r="G803" s="166"/>
      <c r="H803" s="62" t="s">
        <v>67</v>
      </c>
      <c r="I803" s="133">
        <v>8.9300000000000004E-2</v>
      </c>
      <c r="J803" s="63">
        <v>15</v>
      </c>
      <c r="K803" s="64" t="s">
        <v>235</v>
      </c>
      <c r="L803" s="63">
        <v>15</v>
      </c>
      <c r="M803" s="63">
        <v>0</v>
      </c>
      <c r="N803" s="63">
        <v>0</v>
      </c>
      <c r="O803" s="65" t="s">
        <v>241</v>
      </c>
      <c r="P803" s="134">
        <v>0.92361111111111116</v>
      </c>
      <c r="Q803" s="63">
        <v>168</v>
      </c>
      <c r="R803" s="66" t="s">
        <v>242</v>
      </c>
    </row>
    <row r="804" spans="1:18" ht="15" customHeight="1" thickBot="1" x14ac:dyDescent="0.35">
      <c r="A804" s="34" t="s">
        <v>71</v>
      </c>
      <c r="B804" s="34" t="s">
        <v>72</v>
      </c>
      <c r="C804" s="119">
        <v>0.30555555555555558</v>
      </c>
      <c r="D804" s="34" t="s">
        <v>73</v>
      </c>
      <c r="E804" s="34" t="s">
        <v>74</v>
      </c>
      <c r="F804" s="34" t="s">
        <v>189</v>
      </c>
      <c r="G804" s="167"/>
      <c r="H804" s="17"/>
      <c r="I804" s="18"/>
      <c r="J804" s="18"/>
      <c r="K804" s="18"/>
      <c r="L804" s="18"/>
      <c r="M804" s="18"/>
      <c r="N804" s="18"/>
      <c r="O804" s="19"/>
      <c r="P804" s="18"/>
      <c r="Q804" s="20"/>
      <c r="R804" s="21"/>
    </row>
    <row r="805" spans="1:18" ht="17.399999999999999" customHeight="1" thickBot="1" x14ac:dyDescent="0.35">
      <c r="A805" s="172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4"/>
    </row>
    <row r="806" spans="1:18" ht="22.05" customHeight="1" thickTop="1" thickBot="1" x14ac:dyDescent="0.35">
      <c r="A806" s="168" t="s">
        <v>6</v>
      </c>
      <c r="B806" s="169"/>
      <c r="C806" s="169"/>
      <c r="D806" s="169"/>
      <c r="E806" s="169"/>
      <c r="F806" s="170"/>
      <c r="G806" s="112">
        <v>46040</v>
      </c>
      <c r="H806" s="171" t="s">
        <v>7</v>
      </c>
      <c r="I806" s="169"/>
      <c r="J806" s="169"/>
      <c r="K806" s="169"/>
      <c r="L806" s="169"/>
      <c r="M806" s="169"/>
      <c r="N806" s="169"/>
      <c r="O806" s="169"/>
      <c r="P806" s="169"/>
      <c r="Q806" s="169"/>
      <c r="R806" s="170"/>
    </row>
    <row r="807" spans="1:18" ht="24" customHeight="1" x14ac:dyDescent="0.3">
      <c r="A807" s="22" t="s">
        <v>8</v>
      </c>
      <c r="B807" s="22" t="s">
        <v>9</v>
      </c>
      <c r="C807" s="113" t="s">
        <v>10</v>
      </c>
      <c r="D807" s="22" t="s">
        <v>11</v>
      </c>
      <c r="E807" s="22" t="s">
        <v>12</v>
      </c>
      <c r="F807" s="23" t="s">
        <v>13</v>
      </c>
      <c r="G807" s="24" t="s">
        <v>14</v>
      </c>
      <c r="H807" s="22" t="s">
        <v>15</v>
      </c>
      <c r="I807" s="114" t="s">
        <v>16</v>
      </c>
      <c r="J807" s="25" t="s">
        <v>17</v>
      </c>
      <c r="K807" s="26" t="s">
        <v>18</v>
      </c>
      <c r="L807" s="25" t="s">
        <v>19</v>
      </c>
      <c r="M807" s="25" t="s">
        <v>20</v>
      </c>
      <c r="N807" s="25" t="s">
        <v>21</v>
      </c>
      <c r="O807" s="22" t="s">
        <v>22</v>
      </c>
      <c r="P807" s="113" t="s">
        <v>23</v>
      </c>
      <c r="Q807" s="25" t="s">
        <v>24</v>
      </c>
      <c r="R807" s="22" t="s">
        <v>25</v>
      </c>
    </row>
    <row r="808" spans="1:18" ht="15" customHeight="1" x14ac:dyDescent="0.3">
      <c r="A808" s="8" t="s">
        <v>40</v>
      </c>
      <c r="B808" s="8" t="s">
        <v>60</v>
      </c>
      <c r="C808" s="108">
        <v>0.1701388888888889</v>
      </c>
      <c r="D808" s="8" t="s">
        <v>101</v>
      </c>
      <c r="E808" s="8" t="s">
        <v>29</v>
      </c>
      <c r="F808" s="8" t="s">
        <v>178</v>
      </c>
      <c r="G808" s="16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27" t="s">
        <v>40</v>
      </c>
      <c r="B809" s="27" t="s">
        <v>41</v>
      </c>
      <c r="C809" s="115">
        <v>0.86458333333333337</v>
      </c>
      <c r="D809" s="27" t="s">
        <v>101</v>
      </c>
      <c r="E809" s="27" t="s">
        <v>29</v>
      </c>
      <c r="F809" s="27" t="s">
        <v>179</v>
      </c>
      <c r="G809" s="16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27" t="s">
        <v>40</v>
      </c>
      <c r="B810" s="27" t="s">
        <v>44</v>
      </c>
      <c r="C810" s="115">
        <v>0.52777777777777779</v>
      </c>
      <c r="D810" s="27" t="s">
        <v>101</v>
      </c>
      <c r="E810" s="27" t="s">
        <v>29</v>
      </c>
      <c r="F810" s="27" t="s">
        <v>179</v>
      </c>
      <c r="G810" s="16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82</v>
      </c>
      <c r="B811" s="14" t="s">
        <v>123</v>
      </c>
      <c r="C811" s="109">
        <v>0.21527777777777779</v>
      </c>
      <c r="D811" s="14" t="s">
        <v>167</v>
      </c>
      <c r="E811" s="14" t="s">
        <v>58</v>
      </c>
      <c r="F811" s="14" t="s">
        <v>164</v>
      </c>
      <c r="G811" s="16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46</v>
      </c>
      <c r="B812" s="14" t="s">
        <v>47</v>
      </c>
      <c r="C812" s="109">
        <v>0.30555555555555558</v>
      </c>
      <c r="D812" s="14" t="s">
        <v>85</v>
      </c>
      <c r="E812" s="14" t="s">
        <v>150</v>
      </c>
      <c r="F812" s="14" t="s">
        <v>153</v>
      </c>
      <c r="G812" s="16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5" t="s">
        <v>46</v>
      </c>
      <c r="B813" s="15" t="s">
        <v>47</v>
      </c>
      <c r="C813" s="110">
        <v>0.30555555555555558</v>
      </c>
      <c r="D813" s="15" t="s">
        <v>88</v>
      </c>
      <c r="E813" s="15" t="s">
        <v>150</v>
      </c>
      <c r="F813" s="15" t="s">
        <v>191</v>
      </c>
      <c r="G813" s="16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5" t="s">
        <v>46</v>
      </c>
      <c r="B814" s="15" t="s">
        <v>47</v>
      </c>
      <c r="C814" s="110">
        <v>0.30555555555555558</v>
      </c>
      <c r="D814" s="15" t="s">
        <v>80</v>
      </c>
      <c r="E814" s="15" t="s">
        <v>150</v>
      </c>
      <c r="F814" s="15" t="s">
        <v>90</v>
      </c>
      <c r="G814" s="16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31</v>
      </c>
      <c r="B815" s="14" t="s">
        <v>32</v>
      </c>
      <c r="C815" s="109">
        <v>0.83680555555555558</v>
      </c>
      <c r="D815" s="14" t="s">
        <v>33</v>
      </c>
      <c r="E815" s="14" t="s">
        <v>34</v>
      </c>
      <c r="F815" s="14" t="s">
        <v>170</v>
      </c>
      <c r="G815" s="16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5" t="s">
        <v>31</v>
      </c>
      <c r="B816" s="15" t="s">
        <v>32</v>
      </c>
      <c r="C816" s="110">
        <v>0.83680555555555558</v>
      </c>
      <c r="D816" s="15" t="s">
        <v>36</v>
      </c>
      <c r="E816" s="15" t="s">
        <v>34</v>
      </c>
      <c r="F816" s="15" t="s">
        <v>191</v>
      </c>
      <c r="G816" s="16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5" t="s">
        <v>31</v>
      </c>
      <c r="B817" s="15" t="s">
        <v>32</v>
      </c>
      <c r="C817" s="110">
        <v>0.83680555555555558</v>
      </c>
      <c r="D817" s="15" t="s">
        <v>38</v>
      </c>
      <c r="E817" s="15" t="s">
        <v>34</v>
      </c>
      <c r="F817" s="15" t="s">
        <v>192</v>
      </c>
      <c r="G817" s="16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99</v>
      </c>
      <c r="C818" s="109">
        <v>0.95833333333333337</v>
      </c>
      <c r="D818" s="14" t="s">
        <v>167</v>
      </c>
      <c r="E818" s="14" t="s">
        <v>34</v>
      </c>
      <c r="F818" s="14" t="s">
        <v>130</v>
      </c>
      <c r="G818" s="16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thickBot="1" x14ac:dyDescent="0.35">
      <c r="A819" s="34" t="s">
        <v>71</v>
      </c>
      <c r="B819" s="34" t="s">
        <v>72</v>
      </c>
      <c r="C819" s="119">
        <v>0.30555555555555558</v>
      </c>
      <c r="D819" s="34" t="s">
        <v>73</v>
      </c>
      <c r="E819" s="34" t="s">
        <v>74</v>
      </c>
      <c r="F819" s="34" t="s">
        <v>189</v>
      </c>
      <c r="G819" s="167"/>
      <c r="H819" s="17"/>
      <c r="I819" s="18"/>
      <c r="J819" s="18"/>
      <c r="K819" s="18"/>
      <c r="L819" s="18"/>
      <c r="M819" s="18"/>
      <c r="N819" s="18"/>
      <c r="O819" s="19"/>
      <c r="P819" s="18"/>
      <c r="Q819" s="20"/>
      <c r="R819" s="21"/>
    </row>
    <row r="820" spans="1:18" ht="17.399999999999999" customHeight="1" thickBot="1" x14ac:dyDescent="0.35">
      <c r="A820" s="172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4"/>
    </row>
    <row r="821" spans="1:18" ht="22.05" customHeight="1" thickTop="1" thickBot="1" x14ac:dyDescent="0.35">
      <c r="A821" s="168" t="s">
        <v>6</v>
      </c>
      <c r="B821" s="169"/>
      <c r="C821" s="169"/>
      <c r="D821" s="169"/>
      <c r="E821" s="169"/>
      <c r="F821" s="170"/>
      <c r="G821" s="112">
        <v>46041</v>
      </c>
      <c r="H821" s="171" t="s">
        <v>7</v>
      </c>
      <c r="I821" s="169"/>
      <c r="J821" s="169"/>
      <c r="K821" s="169"/>
      <c r="L821" s="169"/>
      <c r="M821" s="169"/>
      <c r="N821" s="169"/>
      <c r="O821" s="169"/>
      <c r="P821" s="169"/>
      <c r="Q821" s="169"/>
      <c r="R821" s="170"/>
    </row>
    <row r="822" spans="1:18" ht="24" customHeight="1" x14ac:dyDescent="0.3">
      <c r="A822" s="22" t="s">
        <v>8</v>
      </c>
      <c r="B822" s="22" t="s">
        <v>9</v>
      </c>
      <c r="C822" s="113" t="s">
        <v>10</v>
      </c>
      <c r="D822" s="22" t="s">
        <v>11</v>
      </c>
      <c r="E822" s="22" t="s">
        <v>12</v>
      </c>
      <c r="F822" s="23" t="s">
        <v>13</v>
      </c>
      <c r="G822" s="24" t="s">
        <v>14</v>
      </c>
      <c r="H822" s="22" t="s">
        <v>15</v>
      </c>
      <c r="I822" s="114" t="s">
        <v>16</v>
      </c>
      <c r="J822" s="25" t="s">
        <v>17</v>
      </c>
      <c r="K822" s="26" t="s">
        <v>18</v>
      </c>
      <c r="L822" s="25" t="s">
        <v>19</v>
      </c>
      <c r="M822" s="25" t="s">
        <v>20</v>
      </c>
      <c r="N822" s="25" t="s">
        <v>21</v>
      </c>
      <c r="O822" s="22" t="s">
        <v>22</v>
      </c>
      <c r="P822" s="113" t="s">
        <v>23</v>
      </c>
      <c r="Q822" s="25" t="s">
        <v>24</v>
      </c>
      <c r="R822" s="22" t="s">
        <v>25</v>
      </c>
    </row>
    <row r="823" spans="1:18" ht="15" customHeight="1" x14ac:dyDescent="0.3">
      <c r="A823" s="8" t="s">
        <v>40</v>
      </c>
      <c r="B823" s="8" t="s">
        <v>60</v>
      </c>
      <c r="C823" s="108">
        <v>0.1701388888888889</v>
      </c>
      <c r="D823" s="8" t="s">
        <v>101</v>
      </c>
      <c r="E823" s="8" t="s">
        <v>29</v>
      </c>
      <c r="F823" s="8" t="s">
        <v>178</v>
      </c>
      <c r="G823" s="16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27" t="s">
        <v>40</v>
      </c>
      <c r="B824" s="27" t="s">
        <v>41</v>
      </c>
      <c r="C824" s="115">
        <v>0.86458333333333337</v>
      </c>
      <c r="D824" s="27" t="s">
        <v>101</v>
      </c>
      <c r="E824" s="27" t="s">
        <v>29</v>
      </c>
      <c r="F824" s="27" t="s">
        <v>179</v>
      </c>
      <c r="G824" s="16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27" t="s">
        <v>40</v>
      </c>
      <c r="B825" s="27" t="s">
        <v>44</v>
      </c>
      <c r="C825" s="115">
        <v>0.52777777777777779</v>
      </c>
      <c r="D825" s="27" t="s">
        <v>101</v>
      </c>
      <c r="E825" s="27" t="s">
        <v>29</v>
      </c>
      <c r="F825" s="27" t="s">
        <v>179</v>
      </c>
      <c r="G825" s="16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82</v>
      </c>
      <c r="B826" s="14" t="s">
        <v>161</v>
      </c>
      <c r="C826" s="109">
        <v>0.12847222222222221</v>
      </c>
      <c r="D826" s="14" t="s">
        <v>167</v>
      </c>
      <c r="E826" s="14" t="s">
        <v>100</v>
      </c>
      <c r="F826" s="14" t="s">
        <v>164</v>
      </c>
      <c r="G826" s="16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46</v>
      </c>
      <c r="B827" s="14" t="s">
        <v>47</v>
      </c>
      <c r="C827" s="109">
        <v>0.30555555555555558</v>
      </c>
      <c r="D827" s="14" t="s">
        <v>85</v>
      </c>
      <c r="E827" s="14" t="s">
        <v>150</v>
      </c>
      <c r="F827" s="14" t="s">
        <v>153</v>
      </c>
      <c r="G827" s="16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5" t="s">
        <v>46</v>
      </c>
      <c r="B828" s="15" t="s">
        <v>47</v>
      </c>
      <c r="C828" s="110">
        <v>0.30555555555555558</v>
      </c>
      <c r="D828" s="15" t="s">
        <v>88</v>
      </c>
      <c r="E828" s="15" t="s">
        <v>150</v>
      </c>
      <c r="F828" s="15" t="s">
        <v>191</v>
      </c>
      <c r="G828" s="16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5" t="s">
        <v>46</v>
      </c>
      <c r="B829" s="15" t="s">
        <v>47</v>
      </c>
      <c r="C829" s="110">
        <v>0.30555555555555558</v>
      </c>
      <c r="D829" s="15" t="s">
        <v>80</v>
      </c>
      <c r="E829" s="15" t="s">
        <v>150</v>
      </c>
      <c r="F829" s="15" t="s">
        <v>90</v>
      </c>
      <c r="G829" s="16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31</v>
      </c>
      <c r="B830" s="14" t="s">
        <v>32</v>
      </c>
      <c r="C830" s="109">
        <v>0.83680555555555558</v>
      </c>
      <c r="D830" s="14" t="s">
        <v>33</v>
      </c>
      <c r="E830" s="14" t="s">
        <v>102</v>
      </c>
      <c r="F830" s="14" t="s">
        <v>170</v>
      </c>
      <c r="G830" s="16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5" t="s">
        <v>31</v>
      </c>
      <c r="B831" s="15" t="s">
        <v>32</v>
      </c>
      <c r="C831" s="110">
        <v>0.83680555555555558</v>
      </c>
      <c r="D831" s="15" t="s">
        <v>36</v>
      </c>
      <c r="E831" s="15" t="s">
        <v>102</v>
      </c>
      <c r="F831" s="15" t="s">
        <v>191</v>
      </c>
      <c r="G831" s="16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5" t="s">
        <v>31</v>
      </c>
      <c r="B832" s="15" t="s">
        <v>32</v>
      </c>
      <c r="C832" s="110">
        <v>0.83680555555555558</v>
      </c>
      <c r="D832" s="15" t="s">
        <v>38</v>
      </c>
      <c r="E832" s="15" t="s">
        <v>102</v>
      </c>
      <c r="F832" s="15" t="s">
        <v>192</v>
      </c>
      <c r="G832" s="16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27" t="s">
        <v>31</v>
      </c>
      <c r="B833" s="27" t="s">
        <v>51</v>
      </c>
      <c r="C833" s="115">
        <v>0.2013888888888889</v>
      </c>
      <c r="D833" s="27" t="s">
        <v>33</v>
      </c>
      <c r="E833" s="27" t="s">
        <v>102</v>
      </c>
      <c r="F833" s="27" t="s">
        <v>170</v>
      </c>
      <c r="G833" s="16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5" t="s">
        <v>31</v>
      </c>
      <c r="B834" s="15" t="s">
        <v>51</v>
      </c>
      <c r="C834" s="110">
        <v>0.2013888888888889</v>
      </c>
      <c r="D834" s="15" t="s">
        <v>36</v>
      </c>
      <c r="E834" s="15" t="s">
        <v>102</v>
      </c>
      <c r="F834" s="15" t="s">
        <v>191</v>
      </c>
      <c r="G834" s="16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5" t="s">
        <v>31</v>
      </c>
      <c r="B835" s="15" t="s">
        <v>51</v>
      </c>
      <c r="C835" s="110">
        <v>0.2013888888888889</v>
      </c>
      <c r="D835" s="15" t="s">
        <v>38</v>
      </c>
      <c r="E835" s="15" t="s">
        <v>102</v>
      </c>
      <c r="F835" s="15" t="s">
        <v>192</v>
      </c>
      <c r="G835" s="16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27</v>
      </c>
      <c r="C836" s="109">
        <v>0.95833333333333337</v>
      </c>
      <c r="D836" s="14" t="s">
        <v>167</v>
      </c>
      <c r="E836" s="14" t="s">
        <v>34</v>
      </c>
      <c r="F836" s="14" t="s">
        <v>130</v>
      </c>
      <c r="G836" s="16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thickBot="1" x14ac:dyDescent="0.35">
      <c r="A837" s="34" t="s">
        <v>71</v>
      </c>
      <c r="B837" s="34" t="s">
        <v>72</v>
      </c>
      <c r="C837" s="119">
        <v>0.30555555555555558</v>
      </c>
      <c r="D837" s="34" t="s">
        <v>73</v>
      </c>
      <c r="E837" s="34" t="s">
        <v>74</v>
      </c>
      <c r="F837" s="34" t="s">
        <v>189</v>
      </c>
      <c r="G837" s="167"/>
      <c r="H837" s="17"/>
      <c r="I837" s="18"/>
      <c r="J837" s="18"/>
      <c r="K837" s="18"/>
      <c r="L837" s="18"/>
      <c r="M837" s="18"/>
      <c r="N837" s="18"/>
      <c r="O837" s="19"/>
      <c r="P837" s="18"/>
      <c r="Q837" s="20"/>
      <c r="R837" s="21"/>
    </row>
    <row r="838" spans="1:18" ht="17.399999999999999" customHeight="1" thickBot="1" x14ac:dyDescent="0.35">
      <c r="A838" s="172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4"/>
    </row>
    <row r="839" spans="1:18" ht="22.05" customHeight="1" thickTop="1" thickBot="1" x14ac:dyDescent="0.35">
      <c r="A839" s="168" t="s">
        <v>6</v>
      </c>
      <c r="B839" s="169"/>
      <c r="C839" s="169"/>
      <c r="D839" s="169"/>
      <c r="E839" s="169"/>
      <c r="F839" s="170"/>
      <c r="G839" s="112">
        <v>46042</v>
      </c>
      <c r="H839" s="171" t="s">
        <v>7</v>
      </c>
      <c r="I839" s="169"/>
      <c r="J839" s="169"/>
      <c r="K839" s="169"/>
      <c r="L839" s="169"/>
      <c r="M839" s="169"/>
      <c r="N839" s="169"/>
      <c r="O839" s="169"/>
      <c r="P839" s="169"/>
      <c r="Q839" s="169"/>
      <c r="R839" s="170"/>
    </row>
    <row r="840" spans="1:18" ht="24" customHeight="1" x14ac:dyDescent="0.3">
      <c r="A840" s="22" t="s">
        <v>8</v>
      </c>
      <c r="B840" s="22" t="s">
        <v>9</v>
      </c>
      <c r="C840" s="113" t="s">
        <v>10</v>
      </c>
      <c r="D840" s="22" t="s">
        <v>11</v>
      </c>
      <c r="E840" s="22" t="s">
        <v>12</v>
      </c>
      <c r="F840" s="23" t="s">
        <v>13</v>
      </c>
      <c r="G840" s="24" t="s">
        <v>14</v>
      </c>
      <c r="H840" s="22" t="s">
        <v>15</v>
      </c>
      <c r="I840" s="114" t="s">
        <v>16</v>
      </c>
      <c r="J840" s="25" t="s">
        <v>17</v>
      </c>
      <c r="K840" s="26" t="s">
        <v>18</v>
      </c>
      <c r="L840" s="25" t="s">
        <v>19</v>
      </c>
      <c r="M840" s="25" t="s">
        <v>20</v>
      </c>
      <c r="N840" s="25" t="s">
        <v>21</v>
      </c>
      <c r="O840" s="22" t="s">
        <v>22</v>
      </c>
      <c r="P840" s="113" t="s">
        <v>23</v>
      </c>
      <c r="Q840" s="25" t="s">
        <v>24</v>
      </c>
      <c r="R840" s="22" t="s">
        <v>25</v>
      </c>
    </row>
    <row r="841" spans="1:18" ht="15" customHeight="1" x14ac:dyDescent="0.3">
      <c r="A841" s="8" t="s">
        <v>40</v>
      </c>
      <c r="B841" s="8" t="s">
        <v>60</v>
      </c>
      <c r="C841" s="108">
        <v>0.1701388888888889</v>
      </c>
      <c r="D841" s="8" t="s">
        <v>101</v>
      </c>
      <c r="E841" s="8" t="s">
        <v>29</v>
      </c>
      <c r="F841" s="8" t="s">
        <v>178</v>
      </c>
      <c r="G841" s="16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27" t="s">
        <v>40</v>
      </c>
      <c r="B842" s="27" t="s">
        <v>41</v>
      </c>
      <c r="C842" s="115">
        <v>0.86458333333333337</v>
      </c>
      <c r="D842" s="27" t="s">
        <v>101</v>
      </c>
      <c r="E842" s="27" t="s">
        <v>29</v>
      </c>
      <c r="F842" s="27" t="s">
        <v>179</v>
      </c>
      <c r="G842" s="16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27" t="s">
        <v>40</v>
      </c>
      <c r="B843" s="27" t="s">
        <v>44</v>
      </c>
      <c r="C843" s="115">
        <v>0.52777777777777779</v>
      </c>
      <c r="D843" s="27" t="s">
        <v>101</v>
      </c>
      <c r="E843" s="27" t="s">
        <v>29</v>
      </c>
      <c r="F843" s="27" t="s">
        <v>179</v>
      </c>
      <c r="G843" s="16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46</v>
      </c>
      <c r="B844" s="14" t="s">
        <v>47</v>
      </c>
      <c r="C844" s="109">
        <v>0.30555555555555558</v>
      </c>
      <c r="D844" s="14" t="s">
        <v>85</v>
      </c>
      <c r="E844" s="14" t="s">
        <v>150</v>
      </c>
      <c r="F844" s="14" t="s">
        <v>153</v>
      </c>
      <c r="G844" s="16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5" t="s">
        <v>46</v>
      </c>
      <c r="B845" s="15" t="s">
        <v>47</v>
      </c>
      <c r="C845" s="110">
        <v>0.30555555555555558</v>
      </c>
      <c r="D845" s="15" t="s">
        <v>88</v>
      </c>
      <c r="E845" s="15" t="s">
        <v>150</v>
      </c>
      <c r="F845" s="15" t="s">
        <v>191</v>
      </c>
      <c r="G845" s="16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5" t="s">
        <v>46</v>
      </c>
      <c r="B846" s="15" t="s">
        <v>47</v>
      </c>
      <c r="C846" s="110">
        <v>0.30555555555555558</v>
      </c>
      <c r="D846" s="15" t="s">
        <v>80</v>
      </c>
      <c r="E846" s="15" t="s">
        <v>150</v>
      </c>
      <c r="F846" s="15" t="s">
        <v>90</v>
      </c>
      <c r="G846" s="16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31</v>
      </c>
      <c r="B847" s="14" t="s">
        <v>32</v>
      </c>
      <c r="C847" s="109">
        <v>0.83680555555555558</v>
      </c>
      <c r="D847" s="14" t="s">
        <v>33</v>
      </c>
      <c r="E847" s="14" t="s">
        <v>97</v>
      </c>
      <c r="F847" s="14" t="s">
        <v>170</v>
      </c>
      <c r="G847" s="16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5" t="s">
        <v>31</v>
      </c>
      <c r="B848" s="15" t="s">
        <v>32</v>
      </c>
      <c r="C848" s="110">
        <v>0.83680555555555558</v>
      </c>
      <c r="D848" s="15" t="s">
        <v>36</v>
      </c>
      <c r="E848" s="15" t="s">
        <v>97</v>
      </c>
      <c r="F848" s="15" t="s">
        <v>191</v>
      </c>
      <c r="G848" s="16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5" t="s">
        <v>31</v>
      </c>
      <c r="B849" s="15" t="s">
        <v>32</v>
      </c>
      <c r="C849" s="110">
        <v>0.83680555555555558</v>
      </c>
      <c r="D849" s="15" t="s">
        <v>38</v>
      </c>
      <c r="E849" s="15" t="s">
        <v>97</v>
      </c>
      <c r="F849" s="15" t="s">
        <v>192</v>
      </c>
      <c r="G849" s="16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27" t="s">
        <v>31</v>
      </c>
      <c r="B850" s="27" t="s">
        <v>51</v>
      </c>
      <c r="C850" s="115">
        <v>0.2013888888888889</v>
      </c>
      <c r="D850" s="27" t="s">
        <v>33</v>
      </c>
      <c r="E850" s="27" t="s">
        <v>100</v>
      </c>
      <c r="F850" s="27" t="s">
        <v>170</v>
      </c>
      <c r="G850" s="16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5" t="s">
        <v>31</v>
      </c>
      <c r="B851" s="15" t="s">
        <v>51</v>
      </c>
      <c r="C851" s="110">
        <v>0.2013888888888889</v>
      </c>
      <c r="D851" s="15" t="s">
        <v>36</v>
      </c>
      <c r="E851" s="15" t="s">
        <v>100</v>
      </c>
      <c r="F851" s="15" t="s">
        <v>191</v>
      </c>
      <c r="G851" s="16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5" t="s">
        <v>31</v>
      </c>
      <c r="B852" s="15" t="s">
        <v>51</v>
      </c>
      <c r="C852" s="110">
        <v>0.2013888888888889</v>
      </c>
      <c r="D852" s="15" t="s">
        <v>38</v>
      </c>
      <c r="E852" s="15" t="s">
        <v>100</v>
      </c>
      <c r="F852" s="15" t="s">
        <v>192</v>
      </c>
      <c r="G852" s="16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57</v>
      </c>
      <c r="C853" s="109">
        <v>0.95833333333333337</v>
      </c>
      <c r="D853" s="14" t="s">
        <v>167</v>
      </c>
      <c r="E853" s="14" t="s">
        <v>102</v>
      </c>
      <c r="F853" s="14" t="s">
        <v>130</v>
      </c>
      <c r="G853" s="16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73" t="s">
        <v>64</v>
      </c>
      <c r="B854" s="73" t="s">
        <v>65</v>
      </c>
      <c r="C854" s="138">
        <v>0.27083333333333331</v>
      </c>
      <c r="D854" s="73" t="s">
        <v>167</v>
      </c>
      <c r="E854" s="73" t="s">
        <v>97</v>
      </c>
      <c r="F854" s="73" t="s">
        <v>66</v>
      </c>
      <c r="G854" s="166"/>
      <c r="H854" s="74" t="s">
        <v>67</v>
      </c>
      <c r="I854" s="139">
        <v>0.11310000000000001</v>
      </c>
      <c r="J854" s="75">
        <v>19</v>
      </c>
      <c r="K854" s="76" t="s">
        <v>235</v>
      </c>
      <c r="L854" s="75">
        <v>19</v>
      </c>
      <c r="M854" s="75">
        <v>0</v>
      </c>
      <c r="N854" s="75">
        <v>0</v>
      </c>
      <c r="O854" s="77" t="s">
        <v>181</v>
      </c>
      <c r="P854" s="140">
        <v>0.27083333333333331</v>
      </c>
      <c r="Q854" s="75">
        <v>168</v>
      </c>
      <c r="R854" s="78" t="s">
        <v>243</v>
      </c>
    </row>
    <row r="855" spans="1:18" ht="15" customHeight="1" x14ac:dyDescent="0.3">
      <c r="A855" s="14" t="s">
        <v>82</v>
      </c>
      <c r="B855" s="14" t="s">
        <v>123</v>
      </c>
      <c r="C855" s="109">
        <v>0.21527777777777779</v>
      </c>
      <c r="D855" s="14" t="s">
        <v>167</v>
      </c>
      <c r="E855" s="14" t="s">
        <v>74</v>
      </c>
      <c r="F855" s="14" t="s">
        <v>185</v>
      </c>
      <c r="G855" s="16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thickBot="1" x14ac:dyDescent="0.35">
      <c r="A856" s="34" t="s">
        <v>71</v>
      </c>
      <c r="B856" s="34" t="s">
        <v>72</v>
      </c>
      <c r="C856" s="119">
        <v>0.30555555555555558</v>
      </c>
      <c r="D856" s="34" t="s">
        <v>73</v>
      </c>
      <c r="E856" s="34" t="s">
        <v>74</v>
      </c>
      <c r="F856" s="34" t="s">
        <v>189</v>
      </c>
      <c r="G856" s="167"/>
      <c r="H856" s="17"/>
      <c r="I856" s="18"/>
      <c r="J856" s="18"/>
      <c r="K856" s="18"/>
      <c r="L856" s="18"/>
      <c r="M856" s="18"/>
      <c r="N856" s="18"/>
      <c r="O856" s="19"/>
      <c r="P856" s="18"/>
      <c r="Q856" s="20"/>
      <c r="R856" s="21"/>
    </row>
    <row r="857" spans="1:18" ht="17.399999999999999" customHeight="1" thickBot="1" x14ac:dyDescent="0.35">
      <c r="A857" s="172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4"/>
    </row>
    <row r="858" spans="1:18" ht="22.05" customHeight="1" thickTop="1" thickBot="1" x14ac:dyDescent="0.35">
      <c r="A858" s="168" t="s">
        <v>6</v>
      </c>
      <c r="B858" s="169"/>
      <c r="C858" s="169"/>
      <c r="D858" s="169"/>
      <c r="E858" s="169"/>
      <c r="F858" s="170"/>
      <c r="G858" s="112">
        <v>46043</v>
      </c>
      <c r="H858" s="171" t="s">
        <v>7</v>
      </c>
      <c r="I858" s="169"/>
      <c r="J858" s="169"/>
      <c r="K858" s="169"/>
      <c r="L858" s="169"/>
      <c r="M858" s="169"/>
      <c r="N858" s="169"/>
      <c r="O858" s="169"/>
      <c r="P858" s="169"/>
      <c r="Q858" s="169"/>
      <c r="R858" s="170"/>
    </row>
    <row r="859" spans="1:18" ht="24" customHeight="1" x14ac:dyDescent="0.3">
      <c r="A859" s="22" t="s">
        <v>8</v>
      </c>
      <c r="B859" s="22" t="s">
        <v>9</v>
      </c>
      <c r="C859" s="113" t="s">
        <v>10</v>
      </c>
      <c r="D859" s="22" t="s">
        <v>11</v>
      </c>
      <c r="E859" s="22" t="s">
        <v>12</v>
      </c>
      <c r="F859" s="23" t="s">
        <v>13</v>
      </c>
      <c r="G859" s="24" t="s">
        <v>14</v>
      </c>
      <c r="H859" s="22" t="s">
        <v>15</v>
      </c>
      <c r="I859" s="114" t="s">
        <v>16</v>
      </c>
      <c r="J859" s="25" t="s">
        <v>17</v>
      </c>
      <c r="K859" s="26" t="s">
        <v>18</v>
      </c>
      <c r="L859" s="25" t="s">
        <v>19</v>
      </c>
      <c r="M859" s="25" t="s">
        <v>20</v>
      </c>
      <c r="N859" s="25" t="s">
        <v>21</v>
      </c>
      <c r="O859" s="22" t="s">
        <v>22</v>
      </c>
      <c r="P859" s="113" t="s">
        <v>23</v>
      </c>
      <c r="Q859" s="25" t="s">
        <v>24</v>
      </c>
      <c r="R859" s="22" t="s">
        <v>25</v>
      </c>
    </row>
    <row r="860" spans="1:18" ht="15" customHeight="1" x14ac:dyDescent="0.3">
      <c r="A860" s="8" t="s">
        <v>40</v>
      </c>
      <c r="B860" s="8" t="s">
        <v>60</v>
      </c>
      <c r="C860" s="108">
        <v>0.1701388888888889</v>
      </c>
      <c r="D860" s="8" t="s">
        <v>101</v>
      </c>
      <c r="E860" s="8" t="s">
        <v>29</v>
      </c>
      <c r="F860" s="8" t="s">
        <v>178</v>
      </c>
      <c r="G860" s="16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27" t="s">
        <v>40</v>
      </c>
      <c r="B861" s="27" t="s">
        <v>41</v>
      </c>
      <c r="C861" s="115">
        <v>0.86458333333333337</v>
      </c>
      <c r="D861" s="27" t="s">
        <v>101</v>
      </c>
      <c r="E861" s="27" t="s">
        <v>29</v>
      </c>
      <c r="F861" s="27" t="s">
        <v>179</v>
      </c>
      <c r="G861" s="16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27" t="s">
        <v>40</v>
      </c>
      <c r="B862" s="27" t="s">
        <v>44</v>
      </c>
      <c r="C862" s="115">
        <v>0.52777777777777779</v>
      </c>
      <c r="D862" s="27" t="s">
        <v>101</v>
      </c>
      <c r="E862" s="27" t="s">
        <v>29</v>
      </c>
      <c r="F862" s="27" t="s">
        <v>179</v>
      </c>
      <c r="G862" s="16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82</v>
      </c>
      <c r="B863" s="14" t="s">
        <v>83</v>
      </c>
      <c r="C863" s="109">
        <v>9.0277777777777776E-2</v>
      </c>
      <c r="D863" s="14" t="s">
        <v>167</v>
      </c>
      <c r="E863" s="14" t="s">
        <v>74</v>
      </c>
      <c r="F863" s="14" t="s">
        <v>164</v>
      </c>
      <c r="G863" s="16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46</v>
      </c>
      <c r="B864" s="14" t="s">
        <v>47</v>
      </c>
      <c r="C864" s="109">
        <v>0.30555555555555558</v>
      </c>
      <c r="D864" s="14" t="s">
        <v>85</v>
      </c>
      <c r="E864" s="14" t="s">
        <v>150</v>
      </c>
      <c r="F864" s="14" t="s">
        <v>153</v>
      </c>
      <c r="G864" s="16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5" t="s">
        <v>46</v>
      </c>
      <c r="B865" s="15" t="s">
        <v>47</v>
      </c>
      <c r="C865" s="110">
        <v>0.30555555555555558</v>
      </c>
      <c r="D865" s="15" t="s">
        <v>88</v>
      </c>
      <c r="E865" s="15" t="s">
        <v>150</v>
      </c>
      <c r="F865" s="15" t="s">
        <v>191</v>
      </c>
      <c r="G865" s="16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5" t="s">
        <v>46</v>
      </c>
      <c r="B866" s="15" t="s">
        <v>47</v>
      </c>
      <c r="C866" s="110">
        <v>0.30555555555555558</v>
      </c>
      <c r="D866" s="15" t="s">
        <v>80</v>
      </c>
      <c r="E866" s="15" t="s">
        <v>150</v>
      </c>
      <c r="F866" s="15" t="s">
        <v>90</v>
      </c>
      <c r="G866" s="16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76</v>
      </c>
      <c r="B867" s="14" t="s">
        <v>77</v>
      </c>
      <c r="C867" s="109">
        <v>0.97222222222222221</v>
      </c>
      <c r="D867" s="14" t="s">
        <v>78</v>
      </c>
      <c r="E867" s="14" t="s">
        <v>55</v>
      </c>
      <c r="F867" s="14" t="s">
        <v>244</v>
      </c>
      <c r="G867" s="16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5" t="s">
        <v>76</v>
      </c>
      <c r="B868" s="15" t="s">
        <v>77</v>
      </c>
      <c r="C868" s="110">
        <v>0.97222222222222221</v>
      </c>
      <c r="D868" s="15" t="s">
        <v>80</v>
      </c>
      <c r="E868" s="15" t="s">
        <v>55</v>
      </c>
      <c r="F868" s="15" t="s">
        <v>245</v>
      </c>
      <c r="G868" s="16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31</v>
      </c>
      <c r="B869" s="14" t="s">
        <v>32</v>
      </c>
      <c r="C869" s="109">
        <v>0.83680555555555558</v>
      </c>
      <c r="D869" s="14" t="s">
        <v>33</v>
      </c>
      <c r="E869" s="14" t="s">
        <v>97</v>
      </c>
      <c r="F869" s="14" t="s">
        <v>170</v>
      </c>
      <c r="G869" s="16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5" t="s">
        <v>31</v>
      </c>
      <c r="B870" s="15" t="s">
        <v>32</v>
      </c>
      <c r="C870" s="110">
        <v>0.83680555555555558</v>
      </c>
      <c r="D870" s="15" t="s">
        <v>36</v>
      </c>
      <c r="E870" s="15" t="s">
        <v>97</v>
      </c>
      <c r="F870" s="15" t="s">
        <v>191</v>
      </c>
      <c r="G870" s="16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5" t="s">
        <v>31</v>
      </c>
      <c r="B871" s="15" t="s">
        <v>32</v>
      </c>
      <c r="C871" s="110">
        <v>0.83680555555555558</v>
      </c>
      <c r="D871" s="15" t="s">
        <v>38</v>
      </c>
      <c r="E871" s="15" t="s">
        <v>97</v>
      </c>
      <c r="F871" s="15" t="s">
        <v>192</v>
      </c>
      <c r="G871" s="16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27</v>
      </c>
      <c r="C872" s="109">
        <v>0.89583333333333337</v>
      </c>
      <c r="D872" s="14" t="s">
        <v>167</v>
      </c>
      <c r="E872" s="14" t="s">
        <v>29</v>
      </c>
      <c r="F872" s="14" t="s">
        <v>130</v>
      </c>
      <c r="G872" s="16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thickBot="1" x14ac:dyDescent="0.35">
      <c r="A873" s="34" t="s">
        <v>71</v>
      </c>
      <c r="B873" s="34" t="s">
        <v>72</v>
      </c>
      <c r="C873" s="119">
        <v>0.30555555555555558</v>
      </c>
      <c r="D873" s="34" t="s">
        <v>73</v>
      </c>
      <c r="E873" s="34" t="s">
        <v>74</v>
      </c>
      <c r="F873" s="34" t="s">
        <v>189</v>
      </c>
      <c r="G873" s="167"/>
      <c r="H873" s="17"/>
      <c r="I873" s="18"/>
      <c r="J873" s="18"/>
      <c r="K873" s="18"/>
      <c r="L873" s="18"/>
      <c r="M873" s="18"/>
      <c r="N873" s="18"/>
      <c r="O873" s="19"/>
      <c r="P873" s="18"/>
      <c r="Q873" s="20"/>
      <c r="R873" s="21"/>
    </row>
    <row r="874" spans="1:18" ht="17.399999999999999" customHeight="1" thickBot="1" x14ac:dyDescent="0.35">
      <c r="A874" s="172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4"/>
    </row>
    <row r="875" spans="1:18" ht="22.05" customHeight="1" thickTop="1" thickBot="1" x14ac:dyDescent="0.35">
      <c r="A875" s="168" t="s">
        <v>6</v>
      </c>
      <c r="B875" s="169"/>
      <c r="C875" s="169"/>
      <c r="D875" s="169"/>
      <c r="E875" s="169"/>
      <c r="F875" s="170"/>
      <c r="G875" s="112">
        <v>46044</v>
      </c>
      <c r="H875" s="171" t="s">
        <v>7</v>
      </c>
      <c r="I875" s="169"/>
      <c r="J875" s="169"/>
      <c r="K875" s="169"/>
      <c r="L875" s="169"/>
      <c r="M875" s="169"/>
      <c r="N875" s="169"/>
      <c r="O875" s="169"/>
      <c r="P875" s="169"/>
      <c r="Q875" s="169"/>
      <c r="R875" s="170"/>
    </row>
    <row r="876" spans="1:18" ht="24" customHeight="1" x14ac:dyDescent="0.3">
      <c r="A876" s="22" t="s">
        <v>8</v>
      </c>
      <c r="B876" s="22" t="s">
        <v>9</v>
      </c>
      <c r="C876" s="113" t="s">
        <v>10</v>
      </c>
      <c r="D876" s="22" t="s">
        <v>11</v>
      </c>
      <c r="E876" s="22" t="s">
        <v>12</v>
      </c>
      <c r="F876" s="23" t="s">
        <v>13</v>
      </c>
      <c r="G876" s="24" t="s">
        <v>14</v>
      </c>
      <c r="H876" s="22" t="s">
        <v>15</v>
      </c>
      <c r="I876" s="114" t="s">
        <v>16</v>
      </c>
      <c r="J876" s="25" t="s">
        <v>17</v>
      </c>
      <c r="K876" s="26" t="s">
        <v>18</v>
      </c>
      <c r="L876" s="25" t="s">
        <v>19</v>
      </c>
      <c r="M876" s="25" t="s">
        <v>20</v>
      </c>
      <c r="N876" s="25" t="s">
        <v>21</v>
      </c>
      <c r="O876" s="22" t="s">
        <v>22</v>
      </c>
      <c r="P876" s="113" t="s">
        <v>23</v>
      </c>
      <c r="Q876" s="25" t="s">
        <v>24</v>
      </c>
      <c r="R876" s="22" t="s">
        <v>25</v>
      </c>
    </row>
    <row r="877" spans="1:18" ht="15" customHeight="1" x14ac:dyDescent="0.3">
      <c r="A877" s="8" t="s">
        <v>40</v>
      </c>
      <c r="B877" s="8" t="s">
        <v>60</v>
      </c>
      <c r="C877" s="108">
        <v>0.1701388888888889</v>
      </c>
      <c r="D877" s="8" t="s">
        <v>101</v>
      </c>
      <c r="E877" s="8" t="s">
        <v>29</v>
      </c>
      <c r="F877" s="8" t="s">
        <v>178</v>
      </c>
      <c r="G877" s="16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27" t="s">
        <v>40</v>
      </c>
      <c r="B878" s="27" t="s">
        <v>41</v>
      </c>
      <c r="C878" s="115">
        <v>0.86458333333333337</v>
      </c>
      <c r="D878" s="27" t="s">
        <v>101</v>
      </c>
      <c r="E878" s="27" t="s">
        <v>29</v>
      </c>
      <c r="F878" s="27" t="s">
        <v>179</v>
      </c>
      <c r="G878" s="16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27" t="s">
        <v>40</v>
      </c>
      <c r="B879" s="27" t="s">
        <v>44</v>
      </c>
      <c r="C879" s="115">
        <v>0.52777777777777779</v>
      </c>
      <c r="D879" s="27" t="s">
        <v>101</v>
      </c>
      <c r="E879" s="27" t="s">
        <v>29</v>
      </c>
      <c r="F879" s="27" t="s">
        <v>179</v>
      </c>
      <c r="G879" s="16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46</v>
      </c>
      <c r="B880" s="14" t="s">
        <v>47</v>
      </c>
      <c r="C880" s="109">
        <v>0.30555555555555558</v>
      </c>
      <c r="D880" s="14" t="s">
        <v>85</v>
      </c>
      <c r="E880" s="14" t="s">
        <v>150</v>
      </c>
      <c r="F880" s="14" t="s">
        <v>153</v>
      </c>
      <c r="G880" s="16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5" t="s">
        <v>46</v>
      </c>
      <c r="B881" s="15" t="s">
        <v>47</v>
      </c>
      <c r="C881" s="110">
        <v>0.30555555555555558</v>
      </c>
      <c r="D881" s="15" t="s">
        <v>88</v>
      </c>
      <c r="E881" s="15" t="s">
        <v>150</v>
      </c>
      <c r="F881" s="15" t="s">
        <v>191</v>
      </c>
      <c r="G881" s="16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5" t="s">
        <v>46</v>
      </c>
      <c r="B882" s="15" t="s">
        <v>47</v>
      </c>
      <c r="C882" s="110">
        <v>0.30555555555555558</v>
      </c>
      <c r="D882" s="15" t="s">
        <v>80</v>
      </c>
      <c r="E882" s="15" t="s">
        <v>150</v>
      </c>
      <c r="F882" s="15" t="s">
        <v>90</v>
      </c>
      <c r="G882" s="16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31</v>
      </c>
      <c r="B883" s="14" t="s">
        <v>51</v>
      </c>
      <c r="C883" s="109">
        <v>0.2013888888888889</v>
      </c>
      <c r="D883" s="14" t="s">
        <v>33</v>
      </c>
      <c r="E883" s="14" t="s">
        <v>102</v>
      </c>
      <c r="F883" s="14" t="s">
        <v>170</v>
      </c>
      <c r="G883" s="16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5" t="s">
        <v>31</v>
      </c>
      <c r="B884" s="15" t="s">
        <v>51</v>
      </c>
      <c r="C884" s="110">
        <v>0.2013888888888889</v>
      </c>
      <c r="D884" s="15" t="s">
        <v>36</v>
      </c>
      <c r="E884" s="15" t="s">
        <v>102</v>
      </c>
      <c r="F884" s="15" t="s">
        <v>191</v>
      </c>
      <c r="G884" s="16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5" t="s">
        <v>31</v>
      </c>
      <c r="B885" s="15" t="s">
        <v>51</v>
      </c>
      <c r="C885" s="110">
        <v>0.2013888888888889</v>
      </c>
      <c r="D885" s="15" t="s">
        <v>38</v>
      </c>
      <c r="E885" s="15" t="s">
        <v>102</v>
      </c>
      <c r="F885" s="15" t="s">
        <v>192</v>
      </c>
      <c r="G885" s="16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27" t="s">
        <v>31</v>
      </c>
      <c r="B886" s="27" t="s">
        <v>32</v>
      </c>
      <c r="C886" s="115">
        <v>0.83680555555555558</v>
      </c>
      <c r="D886" s="27" t="s">
        <v>33</v>
      </c>
      <c r="E886" s="27" t="s">
        <v>74</v>
      </c>
      <c r="F886" s="27" t="s">
        <v>223</v>
      </c>
      <c r="G886" s="16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5" t="s">
        <v>31</v>
      </c>
      <c r="B887" s="15" t="s">
        <v>32</v>
      </c>
      <c r="C887" s="110">
        <v>0.83680555555555558</v>
      </c>
      <c r="D887" s="15" t="s">
        <v>36</v>
      </c>
      <c r="E887" s="15" t="s">
        <v>74</v>
      </c>
      <c r="F887" s="15" t="s">
        <v>177</v>
      </c>
      <c r="G887" s="16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5" t="s">
        <v>31</v>
      </c>
      <c r="B888" s="15" t="s">
        <v>32</v>
      </c>
      <c r="C888" s="110">
        <v>0.83680555555555558</v>
      </c>
      <c r="D888" s="15" t="s">
        <v>38</v>
      </c>
      <c r="E888" s="15" t="s">
        <v>74</v>
      </c>
      <c r="F888" s="15" t="s">
        <v>224</v>
      </c>
      <c r="G888" s="16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99</v>
      </c>
      <c r="C889" s="109">
        <v>0.5625</v>
      </c>
      <c r="D889" s="14" t="s">
        <v>167</v>
      </c>
      <c r="E889" s="14" t="s">
        <v>102</v>
      </c>
      <c r="F889" s="14" t="s">
        <v>130</v>
      </c>
      <c r="G889" s="16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27" t="s">
        <v>26</v>
      </c>
      <c r="B890" s="27" t="s">
        <v>57</v>
      </c>
      <c r="C890" s="115">
        <v>0.95833333333333337</v>
      </c>
      <c r="D890" s="27" t="s">
        <v>167</v>
      </c>
      <c r="E890" s="27" t="s">
        <v>53</v>
      </c>
      <c r="F890" s="27" t="s">
        <v>130</v>
      </c>
      <c r="G890" s="16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47" t="s">
        <v>64</v>
      </c>
      <c r="B891" s="47" t="s">
        <v>65</v>
      </c>
      <c r="C891" s="126">
        <v>0.92361111111111116</v>
      </c>
      <c r="D891" s="47" t="s">
        <v>167</v>
      </c>
      <c r="E891" s="47" t="s">
        <v>97</v>
      </c>
      <c r="F891" s="47" t="s">
        <v>66</v>
      </c>
      <c r="G891" s="166"/>
      <c r="H891" s="48" t="s">
        <v>67</v>
      </c>
      <c r="I891" s="127">
        <v>0.11310000000000001</v>
      </c>
      <c r="J891" s="49">
        <v>19</v>
      </c>
      <c r="K891" s="50" t="s">
        <v>186</v>
      </c>
      <c r="L891" s="49">
        <v>19</v>
      </c>
      <c r="M891" s="49">
        <v>0</v>
      </c>
      <c r="N891" s="49">
        <v>0</v>
      </c>
      <c r="O891" s="51" t="s">
        <v>181</v>
      </c>
      <c r="P891" s="128">
        <v>0.92361111111111116</v>
      </c>
      <c r="Q891" s="49">
        <v>168</v>
      </c>
      <c r="R891" s="52" t="s">
        <v>246</v>
      </c>
    </row>
    <row r="892" spans="1:18" ht="15" customHeight="1" thickBot="1" x14ac:dyDescent="0.35">
      <c r="A892" s="34" t="s">
        <v>71</v>
      </c>
      <c r="B892" s="34" t="s">
        <v>72</v>
      </c>
      <c r="C892" s="119">
        <v>0.30555555555555558</v>
      </c>
      <c r="D892" s="34" t="s">
        <v>73</v>
      </c>
      <c r="E892" s="34" t="s">
        <v>74</v>
      </c>
      <c r="F892" s="34" t="s">
        <v>189</v>
      </c>
      <c r="G892" s="167"/>
      <c r="H892" s="17"/>
      <c r="I892" s="18"/>
      <c r="J892" s="18"/>
      <c r="K892" s="18"/>
      <c r="L892" s="18"/>
      <c r="M892" s="18"/>
      <c r="N892" s="18"/>
      <c r="O892" s="19"/>
      <c r="P892" s="18"/>
      <c r="Q892" s="20"/>
      <c r="R892" s="21"/>
    </row>
    <row r="893" spans="1:18" ht="17.399999999999999" customHeight="1" thickBot="1" x14ac:dyDescent="0.35">
      <c r="A893" s="172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4"/>
    </row>
    <row r="894" spans="1:18" ht="22.05" customHeight="1" thickTop="1" thickBot="1" x14ac:dyDescent="0.35">
      <c r="A894" s="168" t="s">
        <v>6</v>
      </c>
      <c r="B894" s="169"/>
      <c r="C894" s="169"/>
      <c r="D894" s="169"/>
      <c r="E894" s="169"/>
      <c r="F894" s="170"/>
      <c r="G894" s="112">
        <v>46045</v>
      </c>
      <c r="H894" s="171" t="s">
        <v>7</v>
      </c>
      <c r="I894" s="169"/>
      <c r="J894" s="169"/>
      <c r="K894" s="169"/>
      <c r="L894" s="169"/>
      <c r="M894" s="169"/>
      <c r="N894" s="169"/>
      <c r="O894" s="169"/>
      <c r="P894" s="169"/>
      <c r="Q894" s="169"/>
      <c r="R894" s="170"/>
    </row>
    <row r="895" spans="1:18" ht="24" customHeight="1" x14ac:dyDescent="0.3">
      <c r="A895" s="22" t="s">
        <v>8</v>
      </c>
      <c r="B895" s="22" t="s">
        <v>9</v>
      </c>
      <c r="C895" s="113" t="s">
        <v>10</v>
      </c>
      <c r="D895" s="22" t="s">
        <v>11</v>
      </c>
      <c r="E895" s="22" t="s">
        <v>12</v>
      </c>
      <c r="F895" s="23" t="s">
        <v>13</v>
      </c>
      <c r="G895" s="24" t="s">
        <v>14</v>
      </c>
      <c r="H895" s="22" t="s">
        <v>15</v>
      </c>
      <c r="I895" s="114" t="s">
        <v>16</v>
      </c>
      <c r="J895" s="25" t="s">
        <v>17</v>
      </c>
      <c r="K895" s="26" t="s">
        <v>18</v>
      </c>
      <c r="L895" s="25" t="s">
        <v>19</v>
      </c>
      <c r="M895" s="25" t="s">
        <v>20</v>
      </c>
      <c r="N895" s="25" t="s">
        <v>21</v>
      </c>
      <c r="O895" s="22" t="s">
        <v>22</v>
      </c>
      <c r="P895" s="113" t="s">
        <v>23</v>
      </c>
      <c r="Q895" s="25" t="s">
        <v>24</v>
      </c>
      <c r="R895" s="22" t="s">
        <v>25</v>
      </c>
    </row>
    <row r="896" spans="1:18" ht="15" customHeight="1" x14ac:dyDescent="0.3">
      <c r="A896" s="8" t="s">
        <v>40</v>
      </c>
      <c r="B896" s="8" t="s">
        <v>60</v>
      </c>
      <c r="C896" s="108">
        <v>0.1701388888888889</v>
      </c>
      <c r="D896" s="8" t="s">
        <v>101</v>
      </c>
      <c r="E896" s="8" t="s">
        <v>29</v>
      </c>
      <c r="F896" s="8" t="s">
        <v>178</v>
      </c>
      <c r="G896" s="16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27" t="s">
        <v>40</v>
      </c>
      <c r="B897" s="27" t="s">
        <v>41</v>
      </c>
      <c r="C897" s="115">
        <v>0.86458333333333337</v>
      </c>
      <c r="D897" s="27" t="s">
        <v>101</v>
      </c>
      <c r="E897" s="27" t="s">
        <v>29</v>
      </c>
      <c r="F897" s="27" t="s">
        <v>179</v>
      </c>
      <c r="G897" s="16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27" t="s">
        <v>40</v>
      </c>
      <c r="B898" s="27" t="s">
        <v>44</v>
      </c>
      <c r="C898" s="115">
        <v>0.52777777777777779</v>
      </c>
      <c r="D898" s="27" t="s">
        <v>101</v>
      </c>
      <c r="E898" s="27" t="s">
        <v>29</v>
      </c>
      <c r="F898" s="27" t="s">
        <v>107</v>
      </c>
      <c r="G898" s="16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82</v>
      </c>
      <c r="B899" s="14" t="s">
        <v>123</v>
      </c>
      <c r="C899" s="109">
        <v>0.21527777777777779</v>
      </c>
      <c r="D899" s="14" t="s">
        <v>167</v>
      </c>
      <c r="E899" s="14" t="s">
        <v>102</v>
      </c>
      <c r="F899" s="14" t="s">
        <v>164</v>
      </c>
      <c r="G899" s="16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46</v>
      </c>
      <c r="B900" s="14" t="s">
        <v>47</v>
      </c>
      <c r="C900" s="109">
        <v>0.30555555555555558</v>
      </c>
      <c r="D900" s="14" t="s">
        <v>85</v>
      </c>
      <c r="E900" s="14" t="s">
        <v>150</v>
      </c>
      <c r="F900" s="14" t="s">
        <v>153</v>
      </c>
      <c r="G900" s="16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5" t="s">
        <v>46</v>
      </c>
      <c r="B901" s="15" t="s">
        <v>47</v>
      </c>
      <c r="C901" s="110">
        <v>0.30555555555555558</v>
      </c>
      <c r="D901" s="15" t="s">
        <v>88</v>
      </c>
      <c r="E901" s="15" t="s">
        <v>150</v>
      </c>
      <c r="F901" s="15" t="s">
        <v>191</v>
      </c>
      <c r="G901" s="16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5" t="s">
        <v>46</v>
      </c>
      <c r="B902" s="15" t="s">
        <v>47</v>
      </c>
      <c r="C902" s="110">
        <v>0.30555555555555558</v>
      </c>
      <c r="D902" s="15" t="s">
        <v>80</v>
      </c>
      <c r="E902" s="15" t="s">
        <v>150</v>
      </c>
      <c r="F902" s="15" t="s">
        <v>90</v>
      </c>
      <c r="G902" s="16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27</v>
      </c>
      <c r="C903" s="109">
        <v>0.95833333333333337</v>
      </c>
      <c r="D903" s="14" t="s">
        <v>167</v>
      </c>
      <c r="E903" s="14" t="s">
        <v>58</v>
      </c>
      <c r="F903" s="14" t="s">
        <v>130</v>
      </c>
      <c r="G903" s="16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28" t="s">
        <v>64</v>
      </c>
      <c r="B904" s="28" t="s">
        <v>65</v>
      </c>
      <c r="C904" s="116">
        <v>0.57986111111111116</v>
      </c>
      <c r="D904" s="28" t="s">
        <v>167</v>
      </c>
      <c r="E904" s="28" t="s">
        <v>98</v>
      </c>
      <c r="F904" s="28" t="s">
        <v>66</v>
      </c>
      <c r="G904" s="166"/>
      <c r="H904" s="29" t="s">
        <v>67</v>
      </c>
      <c r="I904" s="117">
        <v>7.7399999999999997E-2</v>
      </c>
      <c r="J904" s="30">
        <v>13</v>
      </c>
      <c r="K904" s="31" t="s">
        <v>197</v>
      </c>
      <c r="L904" s="30">
        <v>13</v>
      </c>
      <c r="M904" s="30">
        <v>0</v>
      </c>
      <c r="N904" s="30">
        <v>0</v>
      </c>
      <c r="O904" s="32" t="s">
        <v>247</v>
      </c>
      <c r="P904" s="118">
        <v>0.57986111111111116</v>
      </c>
      <c r="Q904" s="30">
        <v>168</v>
      </c>
      <c r="R904" s="33" t="s">
        <v>248</v>
      </c>
    </row>
    <row r="905" spans="1:18" ht="15" customHeight="1" x14ac:dyDescent="0.3">
      <c r="A905" s="14" t="s">
        <v>31</v>
      </c>
      <c r="B905" s="14" t="s">
        <v>32</v>
      </c>
      <c r="C905" s="109">
        <v>0.83680555555555558</v>
      </c>
      <c r="D905" s="14" t="s">
        <v>33</v>
      </c>
      <c r="E905" s="14" t="s">
        <v>102</v>
      </c>
      <c r="F905" s="14" t="s">
        <v>223</v>
      </c>
      <c r="G905" s="16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5" t="s">
        <v>31</v>
      </c>
      <c r="B906" s="15" t="s">
        <v>32</v>
      </c>
      <c r="C906" s="110">
        <v>0.83680555555555558</v>
      </c>
      <c r="D906" s="15" t="s">
        <v>36</v>
      </c>
      <c r="E906" s="15" t="s">
        <v>102</v>
      </c>
      <c r="F906" s="15" t="s">
        <v>177</v>
      </c>
      <c r="G906" s="16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5" t="s">
        <v>31</v>
      </c>
      <c r="B907" s="15" t="s">
        <v>32</v>
      </c>
      <c r="C907" s="110">
        <v>0.83680555555555558</v>
      </c>
      <c r="D907" s="15" t="s">
        <v>38</v>
      </c>
      <c r="E907" s="15" t="s">
        <v>102</v>
      </c>
      <c r="F907" s="15" t="s">
        <v>224</v>
      </c>
      <c r="G907" s="16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thickBot="1" x14ac:dyDescent="0.35">
      <c r="A908" s="34" t="s">
        <v>71</v>
      </c>
      <c r="B908" s="34" t="s">
        <v>72</v>
      </c>
      <c r="C908" s="119">
        <v>0.30555555555555558</v>
      </c>
      <c r="D908" s="34" t="s">
        <v>73</v>
      </c>
      <c r="E908" s="34" t="s">
        <v>74</v>
      </c>
      <c r="F908" s="34" t="s">
        <v>189</v>
      </c>
      <c r="G908" s="167"/>
      <c r="H908" s="17"/>
      <c r="I908" s="18"/>
      <c r="J908" s="18"/>
      <c r="K908" s="18"/>
      <c r="L908" s="18"/>
      <c r="M908" s="18"/>
      <c r="N908" s="18"/>
      <c r="O908" s="19"/>
      <c r="P908" s="18"/>
      <c r="Q908" s="20"/>
      <c r="R908" s="21"/>
    </row>
    <row r="909" spans="1:18" ht="17.399999999999999" customHeight="1" thickBot="1" x14ac:dyDescent="0.35">
      <c r="A909" s="172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4"/>
    </row>
    <row r="910" spans="1:18" ht="22.05" customHeight="1" thickTop="1" thickBot="1" x14ac:dyDescent="0.35">
      <c r="A910" s="168" t="s">
        <v>6</v>
      </c>
      <c r="B910" s="169"/>
      <c r="C910" s="169"/>
      <c r="D910" s="169"/>
      <c r="E910" s="169"/>
      <c r="F910" s="170"/>
      <c r="G910" s="112">
        <v>46046</v>
      </c>
      <c r="H910" s="171" t="s">
        <v>7</v>
      </c>
      <c r="I910" s="169"/>
      <c r="J910" s="169"/>
      <c r="K910" s="169"/>
      <c r="L910" s="169"/>
      <c r="M910" s="169"/>
      <c r="N910" s="169"/>
      <c r="O910" s="169"/>
      <c r="P910" s="169"/>
      <c r="Q910" s="169"/>
      <c r="R910" s="170"/>
    </row>
    <row r="911" spans="1:18" ht="24" customHeight="1" x14ac:dyDescent="0.3">
      <c r="A911" s="22" t="s">
        <v>8</v>
      </c>
      <c r="B911" s="22" t="s">
        <v>9</v>
      </c>
      <c r="C911" s="113" t="s">
        <v>10</v>
      </c>
      <c r="D911" s="22" t="s">
        <v>11</v>
      </c>
      <c r="E911" s="22" t="s">
        <v>12</v>
      </c>
      <c r="F911" s="23" t="s">
        <v>13</v>
      </c>
      <c r="G911" s="24" t="s">
        <v>14</v>
      </c>
      <c r="H911" s="22" t="s">
        <v>15</v>
      </c>
      <c r="I911" s="114" t="s">
        <v>16</v>
      </c>
      <c r="J911" s="25" t="s">
        <v>17</v>
      </c>
      <c r="K911" s="26" t="s">
        <v>18</v>
      </c>
      <c r="L911" s="25" t="s">
        <v>19</v>
      </c>
      <c r="M911" s="25" t="s">
        <v>20</v>
      </c>
      <c r="N911" s="25" t="s">
        <v>21</v>
      </c>
      <c r="O911" s="22" t="s">
        <v>22</v>
      </c>
      <c r="P911" s="113" t="s">
        <v>23</v>
      </c>
      <c r="Q911" s="25" t="s">
        <v>24</v>
      </c>
      <c r="R911" s="22" t="s">
        <v>25</v>
      </c>
    </row>
    <row r="912" spans="1:18" ht="15" customHeight="1" x14ac:dyDescent="0.3">
      <c r="A912" s="8" t="s">
        <v>40</v>
      </c>
      <c r="B912" s="8" t="s">
        <v>60</v>
      </c>
      <c r="C912" s="108">
        <v>0.1701388888888889</v>
      </c>
      <c r="D912" s="8" t="s">
        <v>101</v>
      </c>
      <c r="E912" s="8" t="s">
        <v>29</v>
      </c>
      <c r="F912" s="8" t="s">
        <v>178</v>
      </c>
      <c r="G912" s="17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27" t="s">
        <v>40</v>
      </c>
      <c r="B913" s="27" t="s">
        <v>41</v>
      </c>
      <c r="C913" s="115">
        <v>0.86458333333333337</v>
      </c>
      <c r="D913" s="27" t="s">
        <v>101</v>
      </c>
      <c r="E913" s="27" t="s">
        <v>29</v>
      </c>
      <c r="F913" s="27" t="s">
        <v>179</v>
      </c>
      <c r="G913" s="16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27" t="s">
        <v>40</v>
      </c>
      <c r="B914" s="27" t="s">
        <v>44</v>
      </c>
      <c r="C914" s="115">
        <v>0.52777777777777779</v>
      </c>
      <c r="D914" s="27" t="s">
        <v>101</v>
      </c>
      <c r="E914" s="27" t="s">
        <v>29</v>
      </c>
      <c r="F914" s="27" t="s">
        <v>179</v>
      </c>
      <c r="G914" s="16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46</v>
      </c>
      <c r="B915" s="14" t="s">
        <v>47</v>
      </c>
      <c r="C915" s="109">
        <v>0.30555555555555558</v>
      </c>
      <c r="D915" s="14" t="s">
        <v>85</v>
      </c>
      <c r="E915" s="14" t="s">
        <v>150</v>
      </c>
      <c r="F915" s="14" t="s">
        <v>153</v>
      </c>
      <c r="G915" s="16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5" t="s">
        <v>46</v>
      </c>
      <c r="B916" s="15" t="s">
        <v>47</v>
      </c>
      <c r="C916" s="110">
        <v>0.30555555555555558</v>
      </c>
      <c r="D916" s="15" t="s">
        <v>88</v>
      </c>
      <c r="E916" s="15" t="s">
        <v>150</v>
      </c>
      <c r="F916" s="15" t="s">
        <v>191</v>
      </c>
      <c r="G916" s="16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5" t="s">
        <v>46</v>
      </c>
      <c r="B917" s="15" t="s">
        <v>47</v>
      </c>
      <c r="C917" s="110">
        <v>0.30555555555555558</v>
      </c>
      <c r="D917" s="15" t="s">
        <v>80</v>
      </c>
      <c r="E917" s="15" t="s">
        <v>150</v>
      </c>
      <c r="F917" s="15" t="s">
        <v>90</v>
      </c>
      <c r="G917" s="16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31</v>
      </c>
      <c r="B918" s="14" t="s">
        <v>32</v>
      </c>
      <c r="C918" s="109">
        <v>0.83680555555555558</v>
      </c>
      <c r="D918" s="14" t="s">
        <v>33</v>
      </c>
      <c r="E918" s="14" t="s">
        <v>74</v>
      </c>
      <c r="F918" s="14" t="s">
        <v>170</v>
      </c>
      <c r="G918" s="16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5" t="s">
        <v>31</v>
      </c>
      <c r="B919" s="15" t="s">
        <v>32</v>
      </c>
      <c r="C919" s="110">
        <v>0.83680555555555558</v>
      </c>
      <c r="D919" s="15" t="s">
        <v>36</v>
      </c>
      <c r="E919" s="15" t="s">
        <v>74</v>
      </c>
      <c r="F919" s="15" t="s">
        <v>191</v>
      </c>
      <c r="G919" s="16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5" t="s">
        <v>31</v>
      </c>
      <c r="B920" s="15" t="s">
        <v>32</v>
      </c>
      <c r="C920" s="110">
        <v>0.83680555555555558</v>
      </c>
      <c r="D920" s="15" t="s">
        <v>38</v>
      </c>
      <c r="E920" s="15" t="s">
        <v>74</v>
      </c>
      <c r="F920" s="15" t="s">
        <v>192</v>
      </c>
      <c r="G920" s="16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27" t="s">
        <v>31</v>
      </c>
      <c r="B921" s="27" t="s">
        <v>51</v>
      </c>
      <c r="C921" s="115">
        <v>0.2013888888888889</v>
      </c>
      <c r="D921" s="27" t="s">
        <v>33</v>
      </c>
      <c r="E921" s="27" t="s">
        <v>74</v>
      </c>
      <c r="F921" s="27" t="s">
        <v>170</v>
      </c>
      <c r="G921" s="16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5" t="s">
        <v>31</v>
      </c>
      <c r="B922" s="15" t="s">
        <v>51</v>
      </c>
      <c r="C922" s="110">
        <v>0.2013888888888889</v>
      </c>
      <c r="D922" s="15" t="s">
        <v>36</v>
      </c>
      <c r="E922" s="15" t="s">
        <v>74</v>
      </c>
      <c r="F922" s="15" t="s">
        <v>191</v>
      </c>
      <c r="G922" s="16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5" t="s">
        <v>31</v>
      </c>
      <c r="B923" s="15" t="s">
        <v>51</v>
      </c>
      <c r="C923" s="110">
        <v>0.2013888888888889</v>
      </c>
      <c r="D923" s="15" t="s">
        <v>38</v>
      </c>
      <c r="E923" s="15" t="s">
        <v>74</v>
      </c>
      <c r="F923" s="15" t="s">
        <v>192</v>
      </c>
      <c r="G923" s="16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57</v>
      </c>
      <c r="C924" s="109">
        <v>0.89583333333333337</v>
      </c>
      <c r="D924" s="14" t="s">
        <v>167</v>
      </c>
      <c r="E924" s="14" t="s">
        <v>58</v>
      </c>
      <c r="F924" s="14" t="s">
        <v>130</v>
      </c>
      <c r="G924" s="16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67" t="s">
        <v>64</v>
      </c>
      <c r="B925" s="67" t="s">
        <v>65</v>
      </c>
      <c r="C925" s="135">
        <v>0.92361111111111116</v>
      </c>
      <c r="D925" s="67" t="s">
        <v>167</v>
      </c>
      <c r="E925" s="67" t="s">
        <v>58</v>
      </c>
      <c r="F925" s="67" t="s">
        <v>66</v>
      </c>
      <c r="G925" s="166"/>
      <c r="H925" s="68" t="s">
        <v>67</v>
      </c>
      <c r="I925" s="136">
        <v>8.3299999999999999E-2</v>
      </c>
      <c r="J925" s="69">
        <v>14</v>
      </c>
      <c r="K925" s="70" t="s">
        <v>193</v>
      </c>
      <c r="L925" s="69">
        <v>14</v>
      </c>
      <c r="M925" s="69">
        <v>0</v>
      </c>
      <c r="N925" s="69">
        <v>0</v>
      </c>
      <c r="O925" s="71" t="s">
        <v>249</v>
      </c>
      <c r="P925" s="137">
        <v>0.92361111111111116</v>
      </c>
      <c r="Q925" s="69">
        <v>168</v>
      </c>
      <c r="R925" s="72" t="s">
        <v>250</v>
      </c>
    </row>
    <row r="926" spans="1:18" ht="15" customHeight="1" x14ac:dyDescent="0.3">
      <c r="A926" s="14" t="s">
        <v>82</v>
      </c>
      <c r="B926" s="14" t="s">
        <v>83</v>
      </c>
      <c r="C926" s="109">
        <v>0.54861111111111116</v>
      </c>
      <c r="D926" s="14" t="s">
        <v>167</v>
      </c>
      <c r="E926" s="14" t="s">
        <v>29</v>
      </c>
      <c r="F926" s="14" t="s">
        <v>185</v>
      </c>
      <c r="G926" s="16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76</v>
      </c>
      <c r="B927" s="14" t="s">
        <v>77</v>
      </c>
      <c r="C927" s="109">
        <v>0.97222222222222221</v>
      </c>
      <c r="D927" s="14" t="s">
        <v>78</v>
      </c>
      <c r="E927" s="14" t="s">
        <v>55</v>
      </c>
      <c r="F927" s="14" t="s">
        <v>138</v>
      </c>
      <c r="G927" s="16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5" t="s">
        <v>76</v>
      </c>
      <c r="B928" s="15" t="s">
        <v>77</v>
      </c>
      <c r="C928" s="110">
        <v>0.97222222222222221</v>
      </c>
      <c r="D928" s="15" t="s">
        <v>80</v>
      </c>
      <c r="E928" s="15" t="s">
        <v>55</v>
      </c>
      <c r="F928" s="15" t="s">
        <v>251</v>
      </c>
      <c r="G928" s="16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thickBot="1" x14ac:dyDescent="0.35">
      <c r="A929" s="34" t="s">
        <v>71</v>
      </c>
      <c r="B929" s="34" t="s">
        <v>72</v>
      </c>
      <c r="C929" s="119">
        <v>0.30555555555555558</v>
      </c>
      <c r="D929" s="34" t="s">
        <v>73</v>
      </c>
      <c r="E929" s="34" t="s">
        <v>74</v>
      </c>
      <c r="F929" s="34" t="s">
        <v>189</v>
      </c>
      <c r="G929" s="167"/>
      <c r="H929" s="17"/>
      <c r="I929" s="18"/>
      <c r="J929" s="18"/>
      <c r="K929" s="18"/>
      <c r="L929" s="18"/>
      <c r="M929" s="18"/>
      <c r="N929" s="18"/>
      <c r="O929" s="19"/>
      <c r="P929" s="18"/>
      <c r="Q929" s="20"/>
      <c r="R929" s="21"/>
    </row>
    <row r="930" spans="1:18" ht="17.399999999999999" customHeight="1" thickBot="1" x14ac:dyDescent="0.35">
      <c r="A930" s="172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4"/>
    </row>
    <row r="931" spans="1:18" ht="22.05" customHeight="1" thickTop="1" thickBot="1" x14ac:dyDescent="0.35">
      <c r="A931" s="168" t="s">
        <v>6</v>
      </c>
      <c r="B931" s="169"/>
      <c r="C931" s="169"/>
      <c r="D931" s="169"/>
      <c r="E931" s="169"/>
      <c r="F931" s="170"/>
      <c r="G931" s="112">
        <v>46047</v>
      </c>
      <c r="H931" s="171" t="s">
        <v>7</v>
      </c>
      <c r="I931" s="169"/>
      <c r="J931" s="169"/>
      <c r="K931" s="169"/>
      <c r="L931" s="169"/>
      <c r="M931" s="169"/>
      <c r="N931" s="169"/>
      <c r="O931" s="169"/>
      <c r="P931" s="169"/>
      <c r="Q931" s="169"/>
      <c r="R931" s="170"/>
    </row>
    <row r="932" spans="1:18" ht="24" customHeight="1" x14ac:dyDescent="0.3">
      <c r="A932" s="22" t="s">
        <v>8</v>
      </c>
      <c r="B932" s="22" t="s">
        <v>9</v>
      </c>
      <c r="C932" s="113" t="s">
        <v>10</v>
      </c>
      <c r="D932" s="22" t="s">
        <v>11</v>
      </c>
      <c r="E932" s="22" t="s">
        <v>12</v>
      </c>
      <c r="F932" s="23" t="s">
        <v>13</v>
      </c>
      <c r="G932" s="24" t="s">
        <v>14</v>
      </c>
      <c r="H932" s="22" t="s">
        <v>15</v>
      </c>
      <c r="I932" s="114" t="s">
        <v>16</v>
      </c>
      <c r="J932" s="25" t="s">
        <v>17</v>
      </c>
      <c r="K932" s="26" t="s">
        <v>18</v>
      </c>
      <c r="L932" s="25" t="s">
        <v>19</v>
      </c>
      <c r="M932" s="25" t="s">
        <v>20</v>
      </c>
      <c r="N932" s="25" t="s">
        <v>21</v>
      </c>
      <c r="O932" s="22" t="s">
        <v>22</v>
      </c>
      <c r="P932" s="113" t="s">
        <v>23</v>
      </c>
      <c r="Q932" s="25" t="s">
        <v>24</v>
      </c>
      <c r="R932" s="22" t="s">
        <v>25</v>
      </c>
    </row>
    <row r="933" spans="1:18" ht="15" customHeight="1" x14ac:dyDescent="0.3">
      <c r="A933" s="8" t="s">
        <v>40</v>
      </c>
      <c r="B933" s="8" t="s">
        <v>60</v>
      </c>
      <c r="C933" s="108">
        <v>0.1701388888888889</v>
      </c>
      <c r="D933" s="8" t="s">
        <v>101</v>
      </c>
      <c r="E933" s="8" t="s">
        <v>29</v>
      </c>
      <c r="F933" s="8" t="s">
        <v>178</v>
      </c>
      <c r="G933" s="16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27" t="s">
        <v>40</v>
      </c>
      <c r="B934" s="27" t="s">
        <v>41</v>
      </c>
      <c r="C934" s="115">
        <v>0.86458333333333337</v>
      </c>
      <c r="D934" s="27" t="s">
        <v>101</v>
      </c>
      <c r="E934" s="27" t="s">
        <v>29</v>
      </c>
      <c r="F934" s="27" t="s">
        <v>179</v>
      </c>
      <c r="G934" s="16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27" t="s">
        <v>40</v>
      </c>
      <c r="B935" s="27" t="s">
        <v>44</v>
      </c>
      <c r="C935" s="115">
        <v>0.52777777777777779</v>
      </c>
      <c r="D935" s="27" t="s">
        <v>101</v>
      </c>
      <c r="E935" s="27" t="s">
        <v>29</v>
      </c>
      <c r="F935" s="27" t="s">
        <v>179</v>
      </c>
      <c r="G935" s="16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82</v>
      </c>
      <c r="B936" s="14" t="s">
        <v>123</v>
      </c>
      <c r="C936" s="109">
        <v>0.21527777777777779</v>
      </c>
      <c r="D936" s="14" t="s">
        <v>167</v>
      </c>
      <c r="E936" s="14" t="s">
        <v>97</v>
      </c>
      <c r="F936" s="14" t="s">
        <v>164</v>
      </c>
      <c r="G936" s="16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46</v>
      </c>
      <c r="B937" s="14" t="s">
        <v>47</v>
      </c>
      <c r="C937" s="109">
        <v>0.30555555555555558</v>
      </c>
      <c r="D937" s="14" t="s">
        <v>85</v>
      </c>
      <c r="E937" s="14" t="s">
        <v>150</v>
      </c>
      <c r="F937" s="14" t="s">
        <v>153</v>
      </c>
      <c r="G937" s="16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5" t="s">
        <v>46</v>
      </c>
      <c r="B938" s="15" t="s">
        <v>47</v>
      </c>
      <c r="C938" s="110">
        <v>0.30555555555555558</v>
      </c>
      <c r="D938" s="15" t="s">
        <v>88</v>
      </c>
      <c r="E938" s="15" t="s">
        <v>150</v>
      </c>
      <c r="F938" s="15" t="s">
        <v>191</v>
      </c>
      <c r="G938" s="16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5" t="s">
        <v>46</v>
      </c>
      <c r="B939" s="15" t="s">
        <v>47</v>
      </c>
      <c r="C939" s="110">
        <v>0.30555555555555558</v>
      </c>
      <c r="D939" s="15" t="s">
        <v>80</v>
      </c>
      <c r="E939" s="15" t="s">
        <v>150</v>
      </c>
      <c r="F939" s="15" t="s">
        <v>90</v>
      </c>
      <c r="G939" s="16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31</v>
      </c>
      <c r="B940" s="14" t="s">
        <v>32</v>
      </c>
      <c r="C940" s="109">
        <v>0.83680555555555558</v>
      </c>
      <c r="D940" s="14" t="s">
        <v>33</v>
      </c>
      <c r="E940" s="14" t="s">
        <v>97</v>
      </c>
      <c r="F940" s="14" t="s">
        <v>170</v>
      </c>
      <c r="G940" s="16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5" t="s">
        <v>31</v>
      </c>
      <c r="B941" s="15" t="s">
        <v>32</v>
      </c>
      <c r="C941" s="110">
        <v>0.83680555555555558</v>
      </c>
      <c r="D941" s="15" t="s">
        <v>36</v>
      </c>
      <c r="E941" s="15" t="s">
        <v>97</v>
      </c>
      <c r="F941" s="15" t="s">
        <v>191</v>
      </c>
      <c r="G941" s="16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5" t="s">
        <v>31</v>
      </c>
      <c r="B942" s="15" t="s">
        <v>32</v>
      </c>
      <c r="C942" s="110">
        <v>0.83680555555555558</v>
      </c>
      <c r="D942" s="15" t="s">
        <v>38</v>
      </c>
      <c r="E942" s="15" t="s">
        <v>97</v>
      </c>
      <c r="F942" s="15" t="s">
        <v>192</v>
      </c>
      <c r="G942" s="16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99</v>
      </c>
      <c r="C943" s="109">
        <v>0.95833333333333337</v>
      </c>
      <c r="D943" s="14" t="s">
        <v>167</v>
      </c>
      <c r="E943" s="14" t="s">
        <v>100</v>
      </c>
      <c r="F943" s="14" t="s">
        <v>130</v>
      </c>
      <c r="G943" s="16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thickBot="1" x14ac:dyDescent="0.35">
      <c r="A944" s="34" t="s">
        <v>71</v>
      </c>
      <c r="B944" s="34" t="s">
        <v>72</v>
      </c>
      <c r="C944" s="119">
        <v>0.30555555555555558</v>
      </c>
      <c r="D944" s="34" t="s">
        <v>73</v>
      </c>
      <c r="E944" s="34" t="s">
        <v>74</v>
      </c>
      <c r="F944" s="34" t="s">
        <v>189</v>
      </c>
      <c r="G944" s="167"/>
      <c r="H944" s="17"/>
      <c r="I944" s="18"/>
      <c r="J944" s="18"/>
      <c r="K944" s="18"/>
      <c r="L944" s="18"/>
      <c r="M944" s="18"/>
      <c r="N944" s="18"/>
      <c r="O944" s="19"/>
      <c r="P944" s="18"/>
      <c r="Q944" s="20"/>
      <c r="R944" s="21"/>
    </row>
    <row r="945" spans="1:18" ht="17.399999999999999" customHeight="1" thickBot="1" x14ac:dyDescent="0.35">
      <c r="A945" s="172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4"/>
    </row>
    <row r="946" spans="1:18" ht="22.05" customHeight="1" thickTop="1" thickBot="1" x14ac:dyDescent="0.35">
      <c r="A946" s="168" t="s">
        <v>6</v>
      </c>
      <c r="B946" s="169"/>
      <c r="C946" s="169"/>
      <c r="D946" s="169"/>
      <c r="E946" s="169"/>
      <c r="F946" s="170"/>
      <c r="G946" s="112">
        <v>46048</v>
      </c>
      <c r="H946" s="171" t="s">
        <v>7</v>
      </c>
      <c r="I946" s="169"/>
      <c r="J946" s="169"/>
      <c r="K946" s="169"/>
      <c r="L946" s="169"/>
      <c r="M946" s="169"/>
      <c r="N946" s="169"/>
      <c r="O946" s="169"/>
      <c r="P946" s="169"/>
      <c r="Q946" s="169"/>
      <c r="R946" s="170"/>
    </row>
    <row r="947" spans="1:18" ht="24" customHeight="1" x14ac:dyDescent="0.3">
      <c r="A947" s="22" t="s">
        <v>8</v>
      </c>
      <c r="B947" s="22" t="s">
        <v>9</v>
      </c>
      <c r="C947" s="113" t="s">
        <v>10</v>
      </c>
      <c r="D947" s="22" t="s">
        <v>11</v>
      </c>
      <c r="E947" s="22" t="s">
        <v>12</v>
      </c>
      <c r="F947" s="23" t="s">
        <v>13</v>
      </c>
      <c r="G947" s="24" t="s">
        <v>14</v>
      </c>
      <c r="H947" s="22" t="s">
        <v>15</v>
      </c>
      <c r="I947" s="114" t="s">
        <v>16</v>
      </c>
      <c r="J947" s="25" t="s">
        <v>17</v>
      </c>
      <c r="K947" s="26" t="s">
        <v>18</v>
      </c>
      <c r="L947" s="25" t="s">
        <v>19</v>
      </c>
      <c r="M947" s="25" t="s">
        <v>20</v>
      </c>
      <c r="N947" s="25" t="s">
        <v>21</v>
      </c>
      <c r="O947" s="22" t="s">
        <v>22</v>
      </c>
      <c r="P947" s="113" t="s">
        <v>23</v>
      </c>
      <c r="Q947" s="25" t="s">
        <v>24</v>
      </c>
      <c r="R947" s="22" t="s">
        <v>25</v>
      </c>
    </row>
    <row r="948" spans="1:18" ht="15" customHeight="1" x14ac:dyDescent="0.3">
      <c r="A948" s="8" t="s">
        <v>40</v>
      </c>
      <c r="B948" s="8" t="s">
        <v>60</v>
      </c>
      <c r="C948" s="108">
        <v>0.1701388888888889</v>
      </c>
      <c r="D948" s="8" t="s">
        <v>101</v>
      </c>
      <c r="E948" s="8" t="s">
        <v>29</v>
      </c>
      <c r="F948" s="8" t="s">
        <v>178</v>
      </c>
      <c r="G948" s="16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27" t="s">
        <v>40</v>
      </c>
      <c r="B949" s="27" t="s">
        <v>41</v>
      </c>
      <c r="C949" s="115">
        <v>0.86458333333333337</v>
      </c>
      <c r="D949" s="27" t="s">
        <v>101</v>
      </c>
      <c r="E949" s="27" t="s">
        <v>29</v>
      </c>
      <c r="F949" s="27" t="s">
        <v>179</v>
      </c>
      <c r="G949" s="16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27" t="s">
        <v>40</v>
      </c>
      <c r="B950" s="27" t="s">
        <v>44</v>
      </c>
      <c r="C950" s="115">
        <v>0.52777777777777779</v>
      </c>
      <c r="D950" s="27" t="s">
        <v>101</v>
      </c>
      <c r="E950" s="27" t="s">
        <v>29</v>
      </c>
      <c r="F950" s="27" t="s">
        <v>179</v>
      </c>
      <c r="G950" s="16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82</v>
      </c>
      <c r="B951" s="14" t="s">
        <v>161</v>
      </c>
      <c r="C951" s="109">
        <v>0.12847222222222221</v>
      </c>
      <c r="D951" s="14" t="s">
        <v>167</v>
      </c>
      <c r="E951" s="14" t="s">
        <v>29</v>
      </c>
      <c r="F951" s="14" t="s">
        <v>164</v>
      </c>
      <c r="G951" s="16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46</v>
      </c>
      <c r="B952" s="14" t="s">
        <v>47</v>
      </c>
      <c r="C952" s="109">
        <v>0.30555555555555558</v>
      </c>
      <c r="D952" s="14" t="s">
        <v>85</v>
      </c>
      <c r="E952" s="14" t="s">
        <v>150</v>
      </c>
      <c r="F952" s="14" t="s">
        <v>153</v>
      </c>
      <c r="G952" s="16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5" t="s">
        <v>46</v>
      </c>
      <c r="B953" s="15" t="s">
        <v>47</v>
      </c>
      <c r="C953" s="110">
        <v>0.30555555555555558</v>
      </c>
      <c r="D953" s="15" t="s">
        <v>88</v>
      </c>
      <c r="E953" s="15" t="s">
        <v>150</v>
      </c>
      <c r="F953" s="15" t="s">
        <v>191</v>
      </c>
      <c r="G953" s="16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5" t="s">
        <v>46</v>
      </c>
      <c r="B954" s="15" t="s">
        <v>47</v>
      </c>
      <c r="C954" s="110">
        <v>0.30555555555555558</v>
      </c>
      <c r="D954" s="15" t="s">
        <v>80</v>
      </c>
      <c r="E954" s="15" t="s">
        <v>150</v>
      </c>
      <c r="F954" s="15" t="s">
        <v>90</v>
      </c>
      <c r="G954" s="16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31</v>
      </c>
      <c r="B955" s="14" t="s">
        <v>32</v>
      </c>
      <c r="C955" s="109">
        <v>0.83680555555555558</v>
      </c>
      <c r="D955" s="14" t="s">
        <v>33</v>
      </c>
      <c r="E955" s="14" t="s">
        <v>102</v>
      </c>
      <c r="F955" s="14" t="s">
        <v>170</v>
      </c>
      <c r="G955" s="16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5" t="s">
        <v>31</v>
      </c>
      <c r="B956" s="15" t="s">
        <v>32</v>
      </c>
      <c r="C956" s="110">
        <v>0.83680555555555558</v>
      </c>
      <c r="D956" s="15" t="s">
        <v>36</v>
      </c>
      <c r="E956" s="15" t="s">
        <v>102</v>
      </c>
      <c r="F956" s="15" t="s">
        <v>191</v>
      </c>
      <c r="G956" s="16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5" t="s">
        <v>31</v>
      </c>
      <c r="B957" s="15" t="s">
        <v>32</v>
      </c>
      <c r="C957" s="110">
        <v>0.83680555555555558</v>
      </c>
      <c r="D957" s="15" t="s">
        <v>38</v>
      </c>
      <c r="E957" s="15" t="s">
        <v>102</v>
      </c>
      <c r="F957" s="15" t="s">
        <v>192</v>
      </c>
      <c r="G957" s="16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27" t="s">
        <v>31</v>
      </c>
      <c r="B958" s="27" t="s">
        <v>51</v>
      </c>
      <c r="C958" s="115">
        <v>0.2013888888888889</v>
      </c>
      <c r="D958" s="27" t="s">
        <v>33</v>
      </c>
      <c r="E958" s="27" t="s">
        <v>100</v>
      </c>
      <c r="F958" s="27" t="s">
        <v>170</v>
      </c>
      <c r="G958" s="16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5" t="s">
        <v>31</v>
      </c>
      <c r="B959" s="15" t="s">
        <v>51</v>
      </c>
      <c r="C959" s="110">
        <v>0.2013888888888889</v>
      </c>
      <c r="D959" s="15" t="s">
        <v>36</v>
      </c>
      <c r="E959" s="15" t="s">
        <v>100</v>
      </c>
      <c r="F959" s="15" t="s">
        <v>191</v>
      </c>
      <c r="G959" s="16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5" t="s">
        <v>31</v>
      </c>
      <c r="B960" s="15" t="s">
        <v>51</v>
      </c>
      <c r="C960" s="110">
        <v>0.2013888888888889</v>
      </c>
      <c r="D960" s="15" t="s">
        <v>38</v>
      </c>
      <c r="E960" s="15" t="s">
        <v>100</v>
      </c>
      <c r="F960" s="15" t="s">
        <v>192</v>
      </c>
      <c r="G960" s="16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27</v>
      </c>
      <c r="C961" s="109">
        <v>0.95833333333333337</v>
      </c>
      <c r="D961" s="14" t="s">
        <v>167</v>
      </c>
      <c r="E961" s="14" t="s">
        <v>98</v>
      </c>
      <c r="F961" s="14" t="s">
        <v>130</v>
      </c>
      <c r="G961" s="16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thickBot="1" x14ac:dyDescent="0.35">
      <c r="A962" s="34" t="s">
        <v>71</v>
      </c>
      <c r="B962" s="34" t="s">
        <v>72</v>
      </c>
      <c r="C962" s="119">
        <v>0.30555555555555558</v>
      </c>
      <c r="D962" s="34" t="s">
        <v>73</v>
      </c>
      <c r="E962" s="34" t="s">
        <v>74</v>
      </c>
      <c r="F962" s="34" t="s">
        <v>189</v>
      </c>
      <c r="G962" s="167"/>
      <c r="H962" s="17"/>
      <c r="I962" s="18"/>
      <c r="J962" s="18"/>
      <c r="K962" s="18"/>
      <c r="L962" s="18"/>
      <c r="M962" s="18"/>
      <c r="N962" s="18"/>
      <c r="O962" s="19"/>
      <c r="P962" s="18"/>
      <c r="Q962" s="20"/>
      <c r="R962" s="21"/>
    </row>
    <row r="963" spans="1:18" ht="17.399999999999999" customHeight="1" thickBot="1" x14ac:dyDescent="0.35">
      <c r="A963" s="172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4"/>
    </row>
    <row r="964" spans="1:18" ht="22.05" customHeight="1" thickTop="1" thickBot="1" x14ac:dyDescent="0.35">
      <c r="A964" s="168" t="s">
        <v>6</v>
      </c>
      <c r="B964" s="169"/>
      <c r="C964" s="169"/>
      <c r="D964" s="169"/>
      <c r="E964" s="169"/>
      <c r="F964" s="170"/>
      <c r="G964" s="112">
        <v>46049</v>
      </c>
      <c r="H964" s="171" t="s">
        <v>7</v>
      </c>
      <c r="I964" s="169"/>
      <c r="J964" s="169"/>
      <c r="K964" s="169"/>
      <c r="L964" s="169"/>
      <c r="M964" s="169"/>
      <c r="N964" s="169"/>
      <c r="O964" s="169"/>
      <c r="P964" s="169"/>
      <c r="Q964" s="169"/>
      <c r="R964" s="170"/>
    </row>
    <row r="965" spans="1:18" ht="24" customHeight="1" x14ac:dyDescent="0.3">
      <c r="A965" s="22" t="s">
        <v>8</v>
      </c>
      <c r="B965" s="22" t="s">
        <v>9</v>
      </c>
      <c r="C965" s="113" t="s">
        <v>10</v>
      </c>
      <c r="D965" s="22" t="s">
        <v>11</v>
      </c>
      <c r="E965" s="22" t="s">
        <v>12</v>
      </c>
      <c r="F965" s="23" t="s">
        <v>13</v>
      </c>
      <c r="G965" s="24" t="s">
        <v>14</v>
      </c>
      <c r="H965" s="22" t="s">
        <v>15</v>
      </c>
      <c r="I965" s="114" t="s">
        <v>16</v>
      </c>
      <c r="J965" s="25" t="s">
        <v>17</v>
      </c>
      <c r="K965" s="26" t="s">
        <v>18</v>
      </c>
      <c r="L965" s="25" t="s">
        <v>19</v>
      </c>
      <c r="M965" s="25" t="s">
        <v>20</v>
      </c>
      <c r="N965" s="25" t="s">
        <v>21</v>
      </c>
      <c r="O965" s="22" t="s">
        <v>22</v>
      </c>
      <c r="P965" s="113" t="s">
        <v>23</v>
      </c>
      <c r="Q965" s="25" t="s">
        <v>24</v>
      </c>
      <c r="R965" s="22" t="s">
        <v>25</v>
      </c>
    </row>
    <row r="966" spans="1:18" ht="15" customHeight="1" x14ac:dyDescent="0.3">
      <c r="A966" s="8" t="s">
        <v>40</v>
      </c>
      <c r="B966" s="8" t="s">
        <v>60</v>
      </c>
      <c r="C966" s="108">
        <v>0.1701388888888889</v>
      </c>
      <c r="D966" s="8" t="s">
        <v>101</v>
      </c>
      <c r="E966" s="8" t="s">
        <v>29</v>
      </c>
      <c r="F966" s="8" t="s">
        <v>178</v>
      </c>
      <c r="G966" s="16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27" t="s">
        <v>40</v>
      </c>
      <c r="B967" s="27" t="s">
        <v>41</v>
      </c>
      <c r="C967" s="115">
        <v>0.86458333333333337</v>
      </c>
      <c r="D967" s="27" t="s">
        <v>101</v>
      </c>
      <c r="E967" s="27" t="s">
        <v>29</v>
      </c>
      <c r="F967" s="27" t="s">
        <v>179</v>
      </c>
      <c r="G967" s="16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27" t="s">
        <v>40</v>
      </c>
      <c r="B968" s="27" t="s">
        <v>44</v>
      </c>
      <c r="C968" s="115">
        <v>0.52777777777777779</v>
      </c>
      <c r="D968" s="27" t="s">
        <v>101</v>
      </c>
      <c r="E968" s="27" t="s">
        <v>29</v>
      </c>
      <c r="F968" s="27" t="s">
        <v>179</v>
      </c>
      <c r="G968" s="16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82</v>
      </c>
      <c r="B969" s="14" t="s">
        <v>123</v>
      </c>
      <c r="C969" s="109">
        <v>0.21527777777777779</v>
      </c>
      <c r="D969" s="14" t="s">
        <v>167</v>
      </c>
      <c r="E969" s="14" t="s">
        <v>74</v>
      </c>
      <c r="F969" s="14" t="s">
        <v>164</v>
      </c>
      <c r="G969" s="16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41" t="s">
        <v>64</v>
      </c>
      <c r="B970" s="41" t="s">
        <v>65</v>
      </c>
      <c r="C970" s="123">
        <v>0.27083333333333331</v>
      </c>
      <c r="D970" s="41" t="s">
        <v>167</v>
      </c>
      <c r="E970" s="41" t="s">
        <v>100</v>
      </c>
      <c r="F970" s="41" t="s">
        <v>196</v>
      </c>
      <c r="G970" s="166"/>
      <c r="H970" s="42" t="s">
        <v>67</v>
      </c>
      <c r="I970" s="124">
        <v>7.1400000000000005E-2</v>
      </c>
      <c r="J970" s="43">
        <v>12</v>
      </c>
      <c r="K970" s="44" t="s">
        <v>252</v>
      </c>
      <c r="L970" s="43">
        <v>12</v>
      </c>
      <c r="M970" s="43">
        <v>0</v>
      </c>
      <c r="N970" s="43">
        <v>0</v>
      </c>
      <c r="O970" s="45" t="s">
        <v>253</v>
      </c>
      <c r="P970" s="125">
        <v>0.27083333333333331</v>
      </c>
      <c r="Q970" s="43">
        <v>168</v>
      </c>
      <c r="R970" s="46" t="s">
        <v>254</v>
      </c>
    </row>
    <row r="971" spans="1:18" ht="15" customHeight="1" x14ac:dyDescent="0.3">
      <c r="A971" s="14" t="s">
        <v>46</v>
      </c>
      <c r="B971" s="14" t="s">
        <v>47</v>
      </c>
      <c r="C971" s="109">
        <v>0.30555555555555558</v>
      </c>
      <c r="D971" s="14" t="s">
        <v>85</v>
      </c>
      <c r="E971" s="14" t="s">
        <v>150</v>
      </c>
      <c r="F971" s="14" t="s">
        <v>153</v>
      </c>
      <c r="G971" s="16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5" t="s">
        <v>46</v>
      </c>
      <c r="B972" s="15" t="s">
        <v>47</v>
      </c>
      <c r="C972" s="110">
        <v>0.30555555555555558</v>
      </c>
      <c r="D972" s="15" t="s">
        <v>88</v>
      </c>
      <c r="E972" s="15" t="s">
        <v>150</v>
      </c>
      <c r="F972" s="15" t="s">
        <v>191</v>
      </c>
      <c r="G972" s="16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5" t="s">
        <v>46</v>
      </c>
      <c r="B973" s="15" t="s">
        <v>47</v>
      </c>
      <c r="C973" s="110">
        <v>0.30555555555555558</v>
      </c>
      <c r="D973" s="15" t="s">
        <v>80</v>
      </c>
      <c r="E973" s="15" t="s">
        <v>150</v>
      </c>
      <c r="F973" s="15" t="s">
        <v>90</v>
      </c>
      <c r="G973" s="16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31</v>
      </c>
      <c r="B974" s="14" t="s">
        <v>32</v>
      </c>
      <c r="C974" s="109">
        <v>0.83680555555555558</v>
      </c>
      <c r="D974" s="14" t="s">
        <v>33</v>
      </c>
      <c r="E974" s="14" t="s">
        <v>97</v>
      </c>
      <c r="F974" s="14" t="s">
        <v>170</v>
      </c>
      <c r="G974" s="16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5" t="s">
        <v>31</v>
      </c>
      <c r="B975" s="15" t="s">
        <v>32</v>
      </c>
      <c r="C975" s="110">
        <v>0.83680555555555558</v>
      </c>
      <c r="D975" s="15" t="s">
        <v>36</v>
      </c>
      <c r="E975" s="15" t="s">
        <v>97</v>
      </c>
      <c r="F975" s="15" t="s">
        <v>191</v>
      </c>
      <c r="G975" s="16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5" t="s">
        <v>31</v>
      </c>
      <c r="B976" s="15" t="s">
        <v>32</v>
      </c>
      <c r="C976" s="110">
        <v>0.83680555555555558</v>
      </c>
      <c r="D976" s="15" t="s">
        <v>38</v>
      </c>
      <c r="E976" s="15" t="s">
        <v>97</v>
      </c>
      <c r="F976" s="15" t="s">
        <v>192</v>
      </c>
      <c r="G976" s="16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7" t="s">
        <v>31</v>
      </c>
      <c r="B977" s="27" t="s">
        <v>51</v>
      </c>
      <c r="C977" s="115">
        <v>0.2013888888888889</v>
      </c>
      <c r="D977" s="27" t="s">
        <v>33</v>
      </c>
      <c r="E977" s="27" t="s">
        <v>34</v>
      </c>
      <c r="F977" s="27" t="s">
        <v>170</v>
      </c>
      <c r="G977" s="16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5" t="s">
        <v>31</v>
      </c>
      <c r="B978" s="15" t="s">
        <v>51</v>
      </c>
      <c r="C978" s="110">
        <v>0.2013888888888889</v>
      </c>
      <c r="D978" s="15" t="s">
        <v>36</v>
      </c>
      <c r="E978" s="15" t="s">
        <v>34</v>
      </c>
      <c r="F978" s="15" t="s">
        <v>191</v>
      </c>
      <c r="G978" s="16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5" t="s">
        <v>31</v>
      </c>
      <c r="B979" s="15" t="s">
        <v>51</v>
      </c>
      <c r="C979" s="110">
        <v>0.2013888888888889</v>
      </c>
      <c r="D979" s="15" t="s">
        <v>38</v>
      </c>
      <c r="E979" s="15" t="s">
        <v>34</v>
      </c>
      <c r="F979" s="15" t="s">
        <v>192</v>
      </c>
      <c r="G979" s="16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57</v>
      </c>
      <c r="C980" s="109">
        <v>0.95833333333333337</v>
      </c>
      <c r="D980" s="14" t="s">
        <v>167</v>
      </c>
      <c r="E980" s="14" t="s">
        <v>74</v>
      </c>
      <c r="F980" s="14" t="s">
        <v>130</v>
      </c>
      <c r="G980" s="16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thickBot="1" x14ac:dyDescent="0.35">
      <c r="A981" s="34" t="s">
        <v>71</v>
      </c>
      <c r="B981" s="34" t="s">
        <v>72</v>
      </c>
      <c r="C981" s="119">
        <v>0.30555555555555558</v>
      </c>
      <c r="D981" s="34" t="s">
        <v>73</v>
      </c>
      <c r="E981" s="34" t="s">
        <v>74</v>
      </c>
      <c r="F981" s="34" t="s">
        <v>189</v>
      </c>
      <c r="G981" s="167"/>
      <c r="H981" s="17"/>
      <c r="I981" s="18"/>
      <c r="J981" s="18"/>
      <c r="K981" s="18"/>
      <c r="L981" s="18"/>
      <c r="M981" s="18"/>
      <c r="N981" s="18"/>
      <c r="O981" s="19"/>
      <c r="P981" s="18"/>
      <c r="Q981" s="20"/>
      <c r="R981" s="21"/>
    </row>
    <row r="982" spans="1:18" ht="17.399999999999999" customHeight="1" thickBot="1" x14ac:dyDescent="0.35">
      <c r="A982" s="172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4"/>
    </row>
    <row r="983" spans="1:18" ht="22.05" customHeight="1" thickTop="1" thickBot="1" x14ac:dyDescent="0.35">
      <c r="A983" s="168" t="s">
        <v>6</v>
      </c>
      <c r="B983" s="169"/>
      <c r="C983" s="169"/>
      <c r="D983" s="169"/>
      <c r="E983" s="169"/>
      <c r="F983" s="170"/>
      <c r="G983" s="112">
        <v>46050</v>
      </c>
      <c r="H983" s="171" t="s">
        <v>7</v>
      </c>
      <c r="I983" s="169"/>
      <c r="J983" s="169"/>
      <c r="K983" s="169"/>
      <c r="L983" s="169"/>
      <c r="M983" s="169"/>
      <c r="N983" s="169"/>
      <c r="O983" s="169"/>
      <c r="P983" s="169"/>
      <c r="Q983" s="169"/>
      <c r="R983" s="170"/>
    </row>
    <row r="984" spans="1:18" ht="24" customHeight="1" x14ac:dyDescent="0.3">
      <c r="A984" s="22" t="s">
        <v>8</v>
      </c>
      <c r="B984" s="22" t="s">
        <v>9</v>
      </c>
      <c r="C984" s="113" t="s">
        <v>10</v>
      </c>
      <c r="D984" s="22" t="s">
        <v>11</v>
      </c>
      <c r="E984" s="22" t="s">
        <v>12</v>
      </c>
      <c r="F984" s="23" t="s">
        <v>13</v>
      </c>
      <c r="G984" s="24" t="s">
        <v>14</v>
      </c>
      <c r="H984" s="22" t="s">
        <v>15</v>
      </c>
      <c r="I984" s="114" t="s">
        <v>16</v>
      </c>
      <c r="J984" s="25" t="s">
        <v>17</v>
      </c>
      <c r="K984" s="26" t="s">
        <v>18</v>
      </c>
      <c r="L984" s="25" t="s">
        <v>19</v>
      </c>
      <c r="M984" s="25" t="s">
        <v>20</v>
      </c>
      <c r="N984" s="25" t="s">
        <v>21</v>
      </c>
      <c r="O984" s="22" t="s">
        <v>22</v>
      </c>
      <c r="P984" s="113" t="s">
        <v>23</v>
      </c>
      <c r="Q984" s="25" t="s">
        <v>24</v>
      </c>
      <c r="R984" s="22" t="s">
        <v>25</v>
      </c>
    </row>
    <row r="985" spans="1:18" ht="15" customHeight="1" x14ac:dyDescent="0.3">
      <c r="A985" s="8" t="s">
        <v>40</v>
      </c>
      <c r="B985" s="8" t="s">
        <v>60</v>
      </c>
      <c r="C985" s="108">
        <v>0.1701388888888889</v>
      </c>
      <c r="D985" s="8" t="s">
        <v>101</v>
      </c>
      <c r="E985" s="8" t="s">
        <v>29</v>
      </c>
      <c r="F985" s="8" t="s">
        <v>178</v>
      </c>
      <c r="G985" s="17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27" t="s">
        <v>40</v>
      </c>
      <c r="B986" s="27" t="s">
        <v>41</v>
      </c>
      <c r="C986" s="115">
        <v>0.86458333333333337</v>
      </c>
      <c r="D986" s="27" t="s">
        <v>101</v>
      </c>
      <c r="E986" s="27" t="s">
        <v>29</v>
      </c>
      <c r="F986" s="27" t="s">
        <v>179</v>
      </c>
      <c r="G986" s="16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27" t="s">
        <v>40</v>
      </c>
      <c r="B987" s="27" t="s">
        <v>44</v>
      </c>
      <c r="C987" s="115">
        <v>0.52777777777777779</v>
      </c>
      <c r="D987" s="27" t="s">
        <v>101</v>
      </c>
      <c r="E987" s="27" t="s">
        <v>29</v>
      </c>
      <c r="F987" s="27" t="s">
        <v>179</v>
      </c>
      <c r="G987" s="16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82</v>
      </c>
      <c r="B988" s="14" t="s">
        <v>83</v>
      </c>
      <c r="C988" s="109">
        <v>9.0277777777777776E-2</v>
      </c>
      <c r="D988" s="14" t="s">
        <v>167</v>
      </c>
      <c r="E988" s="14" t="s">
        <v>34</v>
      </c>
      <c r="F988" s="14" t="s">
        <v>164</v>
      </c>
      <c r="G988" s="16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76</v>
      </c>
      <c r="B989" s="14" t="s">
        <v>77</v>
      </c>
      <c r="C989" s="109">
        <v>0.97222222222222221</v>
      </c>
      <c r="D989" s="14" t="s">
        <v>78</v>
      </c>
      <c r="E989" s="14" t="s">
        <v>55</v>
      </c>
      <c r="F989" s="14" t="s">
        <v>233</v>
      </c>
      <c r="G989" s="16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5" t="s">
        <v>76</v>
      </c>
      <c r="B990" s="15" t="s">
        <v>77</v>
      </c>
      <c r="C990" s="110">
        <v>0.97222222222222221</v>
      </c>
      <c r="D990" s="15" t="s">
        <v>80</v>
      </c>
      <c r="E990" s="15" t="s">
        <v>55</v>
      </c>
      <c r="F990" s="15" t="s">
        <v>234</v>
      </c>
      <c r="G990" s="16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46</v>
      </c>
      <c r="B991" s="14" t="s">
        <v>47</v>
      </c>
      <c r="C991" s="109">
        <v>0.30555555555555558</v>
      </c>
      <c r="D991" s="14" t="s">
        <v>85</v>
      </c>
      <c r="E991" s="14" t="s">
        <v>150</v>
      </c>
      <c r="F991" s="14" t="s">
        <v>153</v>
      </c>
      <c r="G991" s="16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5" t="s">
        <v>46</v>
      </c>
      <c r="B992" s="15" t="s">
        <v>47</v>
      </c>
      <c r="C992" s="110">
        <v>0.30555555555555558</v>
      </c>
      <c r="D992" s="15" t="s">
        <v>88</v>
      </c>
      <c r="E992" s="15" t="s">
        <v>150</v>
      </c>
      <c r="F992" s="15" t="s">
        <v>191</v>
      </c>
      <c r="G992" s="16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5" t="s">
        <v>46</v>
      </c>
      <c r="B993" s="15" t="s">
        <v>47</v>
      </c>
      <c r="C993" s="110">
        <v>0.30555555555555558</v>
      </c>
      <c r="D993" s="15" t="s">
        <v>80</v>
      </c>
      <c r="E993" s="15" t="s">
        <v>150</v>
      </c>
      <c r="F993" s="15" t="s">
        <v>90</v>
      </c>
      <c r="G993" s="16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31</v>
      </c>
      <c r="B994" s="14" t="s">
        <v>32</v>
      </c>
      <c r="C994" s="109">
        <v>0.83680555555555558</v>
      </c>
      <c r="D994" s="14" t="s">
        <v>33</v>
      </c>
      <c r="E994" s="14" t="s">
        <v>97</v>
      </c>
      <c r="F994" s="14" t="s">
        <v>170</v>
      </c>
      <c r="G994" s="16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5" t="s">
        <v>31</v>
      </c>
      <c r="B995" s="15" t="s">
        <v>32</v>
      </c>
      <c r="C995" s="110">
        <v>0.83680555555555558</v>
      </c>
      <c r="D995" s="15" t="s">
        <v>36</v>
      </c>
      <c r="E995" s="15" t="s">
        <v>97</v>
      </c>
      <c r="F995" s="15" t="s">
        <v>191</v>
      </c>
      <c r="G995" s="16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5" t="s">
        <v>31</v>
      </c>
      <c r="B996" s="15" t="s">
        <v>32</v>
      </c>
      <c r="C996" s="110">
        <v>0.83680555555555558</v>
      </c>
      <c r="D996" s="15" t="s">
        <v>38</v>
      </c>
      <c r="E996" s="15" t="s">
        <v>97</v>
      </c>
      <c r="F996" s="15" t="s">
        <v>192</v>
      </c>
      <c r="G996" s="16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27</v>
      </c>
      <c r="C997" s="109">
        <v>0.89583333333333337</v>
      </c>
      <c r="D997" s="14" t="s">
        <v>167</v>
      </c>
      <c r="E997" s="14" t="s">
        <v>34</v>
      </c>
      <c r="F997" s="14" t="s">
        <v>130</v>
      </c>
      <c r="G997" s="16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thickBot="1" x14ac:dyDescent="0.35">
      <c r="A998" s="34" t="s">
        <v>71</v>
      </c>
      <c r="B998" s="34" t="s">
        <v>72</v>
      </c>
      <c r="C998" s="119">
        <v>0.30555555555555558</v>
      </c>
      <c r="D998" s="34" t="s">
        <v>73</v>
      </c>
      <c r="E998" s="34" t="s">
        <v>74</v>
      </c>
      <c r="F998" s="34" t="s">
        <v>189</v>
      </c>
      <c r="G998" s="167"/>
      <c r="H998" s="17"/>
      <c r="I998" s="18"/>
      <c r="J998" s="18"/>
      <c r="K998" s="18"/>
      <c r="L998" s="18"/>
      <c r="M998" s="18"/>
      <c r="N998" s="18"/>
      <c r="O998" s="19"/>
      <c r="P998" s="18"/>
      <c r="Q998" s="20"/>
      <c r="R998" s="21"/>
    </row>
    <row r="999" spans="1:18" ht="17.399999999999999" customHeight="1" thickBot="1" x14ac:dyDescent="0.35">
      <c r="A999" s="172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4"/>
    </row>
    <row r="1000" spans="1:18" ht="22.05" customHeight="1" thickTop="1" thickBot="1" x14ac:dyDescent="0.35">
      <c r="A1000" s="168" t="s">
        <v>6</v>
      </c>
      <c r="B1000" s="169"/>
      <c r="C1000" s="169"/>
      <c r="D1000" s="169"/>
      <c r="E1000" s="169"/>
      <c r="F1000" s="170"/>
      <c r="G1000" s="112">
        <v>46051</v>
      </c>
      <c r="H1000" s="171" t="s">
        <v>7</v>
      </c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70"/>
    </row>
    <row r="1001" spans="1:18" ht="24" customHeight="1" x14ac:dyDescent="0.3">
      <c r="A1001" s="22" t="s">
        <v>8</v>
      </c>
      <c r="B1001" s="22" t="s">
        <v>9</v>
      </c>
      <c r="C1001" s="113" t="s">
        <v>10</v>
      </c>
      <c r="D1001" s="22" t="s">
        <v>11</v>
      </c>
      <c r="E1001" s="22" t="s">
        <v>12</v>
      </c>
      <c r="F1001" s="23" t="s">
        <v>13</v>
      </c>
      <c r="G1001" s="24" t="s">
        <v>14</v>
      </c>
      <c r="H1001" s="22" t="s">
        <v>15</v>
      </c>
      <c r="I1001" s="114" t="s">
        <v>16</v>
      </c>
      <c r="J1001" s="25" t="s">
        <v>17</v>
      </c>
      <c r="K1001" s="26" t="s">
        <v>18</v>
      </c>
      <c r="L1001" s="25" t="s">
        <v>19</v>
      </c>
      <c r="M1001" s="25" t="s">
        <v>20</v>
      </c>
      <c r="N1001" s="25" t="s">
        <v>21</v>
      </c>
      <c r="O1001" s="22" t="s">
        <v>22</v>
      </c>
      <c r="P1001" s="113" t="s">
        <v>23</v>
      </c>
      <c r="Q1001" s="25" t="s">
        <v>24</v>
      </c>
      <c r="R1001" s="22" t="s">
        <v>25</v>
      </c>
    </row>
    <row r="1002" spans="1:18" ht="15" customHeight="1" x14ac:dyDescent="0.3">
      <c r="A1002" s="8" t="s">
        <v>40</v>
      </c>
      <c r="B1002" s="8" t="s">
        <v>60</v>
      </c>
      <c r="C1002" s="108">
        <v>0.1701388888888889</v>
      </c>
      <c r="D1002" s="8" t="s">
        <v>101</v>
      </c>
      <c r="E1002" s="8" t="s">
        <v>29</v>
      </c>
      <c r="F1002" s="8" t="s">
        <v>178</v>
      </c>
      <c r="G1002" s="16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27" t="s">
        <v>40</v>
      </c>
      <c r="B1003" s="27" t="s">
        <v>41</v>
      </c>
      <c r="C1003" s="115">
        <v>0.86458333333333337</v>
      </c>
      <c r="D1003" s="27" t="s">
        <v>101</v>
      </c>
      <c r="E1003" s="27" t="s">
        <v>29</v>
      </c>
      <c r="F1003" s="27" t="s">
        <v>179</v>
      </c>
      <c r="G1003" s="16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27" t="s">
        <v>40</v>
      </c>
      <c r="B1004" s="27" t="s">
        <v>44</v>
      </c>
      <c r="C1004" s="115">
        <v>0.52777777777777779</v>
      </c>
      <c r="D1004" s="27" t="s">
        <v>101</v>
      </c>
      <c r="E1004" s="27" t="s">
        <v>29</v>
      </c>
      <c r="F1004" s="27" t="s">
        <v>179</v>
      </c>
      <c r="G1004" s="16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82</v>
      </c>
      <c r="B1005" s="14" t="s">
        <v>83</v>
      </c>
      <c r="C1005" s="109">
        <v>0.96527777777777779</v>
      </c>
      <c r="D1005" s="14" t="s">
        <v>167</v>
      </c>
      <c r="E1005" s="14" t="s">
        <v>100</v>
      </c>
      <c r="F1005" s="14" t="s">
        <v>164</v>
      </c>
      <c r="G1005" s="16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46</v>
      </c>
      <c r="B1006" s="14" t="s">
        <v>47</v>
      </c>
      <c r="C1006" s="109">
        <v>0.30555555555555558</v>
      </c>
      <c r="D1006" s="14" t="s">
        <v>85</v>
      </c>
      <c r="E1006" s="14" t="s">
        <v>150</v>
      </c>
      <c r="F1006" s="14" t="s">
        <v>153</v>
      </c>
      <c r="G1006" s="16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5" t="s">
        <v>46</v>
      </c>
      <c r="B1007" s="15" t="s">
        <v>47</v>
      </c>
      <c r="C1007" s="110">
        <v>0.30555555555555558</v>
      </c>
      <c r="D1007" s="15" t="s">
        <v>88</v>
      </c>
      <c r="E1007" s="15" t="s">
        <v>150</v>
      </c>
      <c r="F1007" s="15" t="s">
        <v>191</v>
      </c>
      <c r="G1007" s="16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5" t="s">
        <v>46</v>
      </c>
      <c r="B1008" s="15" t="s">
        <v>47</v>
      </c>
      <c r="C1008" s="110">
        <v>0.30555555555555558</v>
      </c>
      <c r="D1008" s="15" t="s">
        <v>80</v>
      </c>
      <c r="E1008" s="15" t="s">
        <v>150</v>
      </c>
      <c r="F1008" s="15" t="s">
        <v>90</v>
      </c>
      <c r="G1008" s="16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31</v>
      </c>
      <c r="B1009" s="14" t="s">
        <v>51</v>
      </c>
      <c r="C1009" s="109">
        <v>0.2013888888888889</v>
      </c>
      <c r="D1009" s="14" t="s">
        <v>33</v>
      </c>
      <c r="E1009" s="14" t="s">
        <v>102</v>
      </c>
      <c r="F1009" s="14" t="s">
        <v>170</v>
      </c>
      <c r="G1009" s="16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5" t="s">
        <v>31</v>
      </c>
      <c r="B1010" s="15" t="s">
        <v>51</v>
      </c>
      <c r="C1010" s="110">
        <v>0.2013888888888889</v>
      </c>
      <c r="D1010" s="15" t="s">
        <v>36</v>
      </c>
      <c r="E1010" s="15" t="s">
        <v>102</v>
      </c>
      <c r="F1010" s="15" t="s">
        <v>191</v>
      </c>
      <c r="G1010" s="16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5" t="s">
        <v>31</v>
      </c>
      <c r="B1011" s="15" t="s">
        <v>51</v>
      </c>
      <c r="C1011" s="110">
        <v>0.2013888888888889</v>
      </c>
      <c r="D1011" s="15" t="s">
        <v>38</v>
      </c>
      <c r="E1011" s="15" t="s">
        <v>102</v>
      </c>
      <c r="F1011" s="15" t="s">
        <v>192</v>
      </c>
      <c r="G1011" s="16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7" t="s">
        <v>31</v>
      </c>
      <c r="B1012" s="27" t="s">
        <v>32</v>
      </c>
      <c r="C1012" s="115">
        <v>0.83680555555555558</v>
      </c>
      <c r="D1012" s="27" t="s">
        <v>33</v>
      </c>
      <c r="E1012" s="27" t="s">
        <v>102</v>
      </c>
      <c r="F1012" s="27" t="s">
        <v>223</v>
      </c>
      <c r="G1012" s="16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5" t="s">
        <v>31</v>
      </c>
      <c r="B1013" s="15" t="s">
        <v>32</v>
      </c>
      <c r="C1013" s="110">
        <v>0.83680555555555558</v>
      </c>
      <c r="D1013" s="15" t="s">
        <v>36</v>
      </c>
      <c r="E1013" s="15" t="s">
        <v>102</v>
      </c>
      <c r="F1013" s="15" t="s">
        <v>177</v>
      </c>
      <c r="G1013" s="16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5" t="s">
        <v>31</v>
      </c>
      <c r="B1014" s="15" t="s">
        <v>32</v>
      </c>
      <c r="C1014" s="110">
        <v>0.83680555555555558</v>
      </c>
      <c r="D1014" s="15" t="s">
        <v>38</v>
      </c>
      <c r="E1014" s="15" t="s">
        <v>102</v>
      </c>
      <c r="F1014" s="15" t="s">
        <v>224</v>
      </c>
      <c r="G1014" s="16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99</v>
      </c>
      <c r="C1015" s="109">
        <v>0.5625</v>
      </c>
      <c r="D1015" s="14" t="s">
        <v>167</v>
      </c>
      <c r="E1015" s="14" t="s">
        <v>74</v>
      </c>
      <c r="F1015" s="14" t="s">
        <v>130</v>
      </c>
      <c r="G1015" s="16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27" t="s">
        <v>26</v>
      </c>
      <c r="B1016" s="27" t="s">
        <v>57</v>
      </c>
      <c r="C1016" s="115">
        <v>0.95833333333333337</v>
      </c>
      <c r="D1016" s="27" t="s">
        <v>167</v>
      </c>
      <c r="E1016" s="27" t="s">
        <v>29</v>
      </c>
      <c r="F1016" s="27" t="s">
        <v>130</v>
      </c>
      <c r="G1016" s="16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73" t="s">
        <v>64</v>
      </c>
      <c r="B1017" s="73" t="s">
        <v>65</v>
      </c>
      <c r="C1017" s="138">
        <v>0.92361111111111116</v>
      </c>
      <c r="D1017" s="73" t="s">
        <v>167</v>
      </c>
      <c r="E1017" s="73" t="s">
        <v>102</v>
      </c>
      <c r="F1017" s="73" t="s">
        <v>66</v>
      </c>
      <c r="G1017" s="166"/>
      <c r="H1017" s="74" t="s">
        <v>67</v>
      </c>
      <c r="I1017" s="139">
        <v>9.5200000000000007E-2</v>
      </c>
      <c r="J1017" s="75">
        <v>16</v>
      </c>
      <c r="K1017" s="76" t="s">
        <v>186</v>
      </c>
      <c r="L1017" s="75">
        <v>16</v>
      </c>
      <c r="M1017" s="75">
        <v>0</v>
      </c>
      <c r="N1017" s="75">
        <v>0</v>
      </c>
      <c r="O1017" s="77" t="s">
        <v>148</v>
      </c>
      <c r="P1017" s="140">
        <v>0.92361111111111116</v>
      </c>
      <c r="Q1017" s="75">
        <v>168</v>
      </c>
      <c r="R1017" s="78" t="s">
        <v>255</v>
      </c>
    </row>
    <row r="1018" spans="1:18" ht="15" customHeight="1" thickBot="1" x14ac:dyDescent="0.35">
      <c r="A1018" s="34" t="s">
        <v>71</v>
      </c>
      <c r="B1018" s="34" t="s">
        <v>72</v>
      </c>
      <c r="C1018" s="119">
        <v>0.30555555555555558</v>
      </c>
      <c r="D1018" s="34" t="s">
        <v>73</v>
      </c>
      <c r="E1018" s="34" t="s">
        <v>74</v>
      </c>
      <c r="F1018" s="34" t="s">
        <v>189</v>
      </c>
      <c r="G1018" s="167"/>
      <c r="H1018" s="17"/>
      <c r="I1018" s="18"/>
      <c r="J1018" s="18"/>
      <c r="K1018" s="18"/>
      <c r="L1018" s="18"/>
      <c r="M1018" s="18"/>
      <c r="N1018" s="18"/>
      <c r="O1018" s="19"/>
      <c r="P1018" s="18"/>
      <c r="Q1018" s="20"/>
      <c r="R1018" s="21"/>
    </row>
    <row r="1019" spans="1:18" ht="17.399999999999999" customHeight="1" thickBot="1" x14ac:dyDescent="0.35">
      <c r="A1019" s="172"/>
      <c r="B1019" s="173"/>
      <c r="C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  <c r="N1019" s="173"/>
      <c r="O1019" s="173"/>
      <c r="P1019" s="173"/>
      <c r="Q1019" s="173"/>
      <c r="R1019" s="174"/>
    </row>
    <row r="1020" spans="1:18" ht="22.05" customHeight="1" thickTop="1" thickBot="1" x14ac:dyDescent="0.35">
      <c r="A1020" s="168" t="s">
        <v>6</v>
      </c>
      <c r="B1020" s="169"/>
      <c r="C1020" s="169"/>
      <c r="D1020" s="169"/>
      <c r="E1020" s="169"/>
      <c r="F1020" s="170"/>
      <c r="G1020" s="112">
        <v>46052</v>
      </c>
      <c r="H1020" s="171" t="s">
        <v>7</v>
      </c>
      <c r="I1020" s="169"/>
      <c r="J1020" s="169"/>
      <c r="K1020" s="169"/>
      <c r="L1020" s="169"/>
      <c r="M1020" s="169"/>
      <c r="N1020" s="169"/>
      <c r="O1020" s="169"/>
      <c r="P1020" s="169"/>
      <c r="Q1020" s="169"/>
      <c r="R1020" s="170"/>
    </row>
    <row r="1021" spans="1:18" ht="24" customHeight="1" x14ac:dyDescent="0.3">
      <c r="A1021" s="22" t="s">
        <v>8</v>
      </c>
      <c r="B1021" s="22" t="s">
        <v>9</v>
      </c>
      <c r="C1021" s="113" t="s">
        <v>10</v>
      </c>
      <c r="D1021" s="22" t="s">
        <v>11</v>
      </c>
      <c r="E1021" s="22" t="s">
        <v>12</v>
      </c>
      <c r="F1021" s="23" t="s">
        <v>13</v>
      </c>
      <c r="G1021" s="24" t="s">
        <v>14</v>
      </c>
      <c r="H1021" s="22" t="s">
        <v>15</v>
      </c>
      <c r="I1021" s="114" t="s">
        <v>16</v>
      </c>
      <c r="J1021" s="25" t="s">
        <v>17</v>
      </c>
      <c r="K1021" s="26" t="s">
        <v>18</v>
      </c>
      <c r="L1021" s="25" t="s">
        <v>19</v>
      </c>
      <c r="M1021" s="25" t="s">
        <v>20</v>
      </c>
      <c r="N1021" s="25" t="s">
        <v>21</v>
      </c>
      <c r="O1021" s="22" t="s">
        <v>22</v>
      </c>
      <c r="P1021" s="113" t="s">
        <v>23</v>
      </c>
      <c r="Q1021" s="25" t="s">
        <v>24</v>
      </c>
      <c r="R1021" s="22" t="s">
        <v>25</v>
      </c>
    </row>
    <row r="1022" spans="1:18" ht="15" customHeight="1" x14ac:dyDescent="0.3">
      <c r="A1022" s="8" t="s">
        <v>46</v>
      </c>
      <c r="B1022" s="8" t="s">
        <v>47</v>
      </c>
      <c r="C1022" s="108">
        <v>0.30555555555555558</v>
      </c>
      <c r="D1022" s="8" t="s">
        <v>85</v>
      </c>
      <c r="E1022" s="8" t="s">
        <v>49</v>
      </c>
      <c r="F1022" s="8" t="s">
        <v>183</v>
      </c>
      <c r="G1022" s="17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5" t="s">
        <v>46</v>
      </c>
      <c r="B1023" s="15" t="s">
        <v>47</v>
      </c>
      <c r="C1023" s="110">
        <v>0.30555555555555558</v>
      </c>
      <c r="D1023" s="15" t="s">
        <v>88</v>
      </c>
      <c r="E1023" s="15" t="s">
        <v>49</v>
      </c>
      <c r="F1023" s="15" t="s">
        <v>141</v>
      </c>
      <c r="G1023" s="16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5" t="s">
        <v>46</v>
      </c>
      <c r="B1024" s="15" t="s">
        <v>47</v>
      </c>
      <c r="C1024" s="110">
        <v>0.30555555555555558</v>
      </c>
      <c r="D1024" s="15" t="s">
        <v>80</v>
      </c>
      <c r="E1024" s="15" t="s">
        <v>49</v>
      </c>
      <c r="F1024" s="15" t="s">
        <v>90</v>
      </c>
      <c r="G1024" s="16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40</v>
      </c>
      <c r="B1025" s="14" t="s">
        <v>60</v>
      </c>
      <c r="C1025" s="109">
        <v>0.1701388888888889</v>
      </c>
      <c r="D1025" s="14" t="s">
        <v>101</v>
      </c>
      <c r="E1025" s="14" t="s">
        <v>29</v>
      </c>
      <c r="F1025" s="14" t="s">
        <v>178</v>
      </c>
      <c r="G1025" s="16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27" t="s">
        <v>40</v>
      </c>
      <c r="B1026" s="27" t="s">
        <v>41</v>
      </c>
      <c r="C1026" s="115">
        <v>0.86458333333333337</v>
      </c>
      <c r="D1026" s="27" t="s">
        <v>101</v>
      </c>
      <c r="E1026" s="27" t="s">
        <v>29</v>
      </c>
      <c r="F1026" s="27" t="s">
        <v>179</v>
      </c>
      <c r="G1026" s="16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7" t="s">
        <v>40</v>
      </c>
      <c r="B1027" s="27" t="s">
        <v>44</v>
      </c>
      <c r="C1027" s="115">
        <v>0.52777777777777779</v>
      </c>
      <c r="D1027" s="27" t="s">
        <v>101</v>
      </c>
      <c r="E1027" s="27" t="s">
        <v>29</v>
      </c>
      <c r="F1027" s="27" t="s">
        <v>107</v>
      </c>
      <c r="G1027" s="16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82</v>
      </c>
      <c r="B1028" s="14" t="s">
        <v>123</v>
      </c>
      <c r="C1028" s="109">
        <v>0.21527777777777779</v>
      </c>
      <c r="D1028" s="14" t="s">
        <v>167</v>
      </c>
      <c r="E1028" s="14" t="s">
        <v>74</v>
      </c>
      <c r="F1028" s="14" t="s">
        <v>164</v>
      </c>
      <c r="G1028" s="16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31</v>
      </c>
      <c r="B1029" s="14" t="s">
        <v>32</v>
      </c>
      <c r="C1029" s="109">
        <v>0.83680555555555558</v>
      </c>
      <c r="D1029" s="14" t="s">
        <v>33</v>
      </c>
      <c r="E1029" s="14" t="s">
        <v>97</v>
      </c>
      <c r="F1029" s="14" t="s">
        <v>170</v>
      </c>
      <c r="G1029" s="16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5" t="s">
        <v>31</v>
      </c>
      <c r="B1030" s="15" t="s">
        <v>32</v>
      </c>
      <c r="C1030" s="110">
        <v>0.83680555555555558</v>
      </c>
      <c r="D1030" s="15" t="s">
        <v>36</v>
      </c>
      <c r="E1030" s="15" t="s">
        <v>97</v>
      </c>
      <c r="F1030" s="15" t="s">
        <v>191</v>
      </c>
      <c r="G1030" s="16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5" t="s">
        <v>31</v>
      </c>
      <c r="B1031" s="15" t="s">
        <v>32</v>
      </c>
      <c r="C1031" s="110">
        <v>0.83680555555555558</v>
      </c>
      <c r="D1031" s="15" t="s">
        <v>38</v>
      </c>
      <c r="E1031" s="15" t="s">
        <v>97</v>
      </c>
      <c r="F1031" s="15" t="s">
        <v>192</v>
      </c>
      <c r="G1031" s="16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27</v>
      </c>
      <c r="C1032" s="109">
        <v>0.95833333333333337</v>
      </c>
      <c r="D1032" s="14" t="s">
        <v>167</v>
      </c>
      <c r="E1032" s="14" t="s">
        <v>53</v>
      </c>
      <c r="F1032" s="14" t="s">
        <v>130</v>
      </c>
      <c r="G1032" s="16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61" t="s">
        <v>64</v>
      </c>
      <c r="B1033" s="61" t="s">
        <v>65</v>
      </c>
      <c r="C1033" s="132">
        <v>0.57986111111111116</v>
      </c>
      <c r="D1033" s="61" t="s">
        <v>167</v>
      </c>
      <c r="E1033" s="61" t="s">
        <v>98</v>
      </c>
      <c r="F1033" s="61" t="s">
        <v>66</v>
      </c>
      <c r="G1033" s="166"/>
      <c r="H1033" s="62" t="s">
        <v>67</v>
      </c>
      <c r="I1033" s="133">
        <v>7.7399999999999997E-2</v>
      </c>
      <c r="J1033" s="63">
        <v>13</v>
      </c>
      <c r="K1033" s="64" t="s">
        <v>197</v>
      </c>
      <c r="L1033" s="63">
        <v>13</v>
      </c>
      <c r="M1033" s="63">
        <v>0</v>
      </c>
      <c r="N1033" s="63">
        <v>0</v>
      </c>
      <c r="O1033" s="65" t="s">
        <v>247</v>
      </c>
      <c r="P1033" s="134">
        <v>0.57986111111111116</v>
      </c>
      <c r="Q1033" s="63">
        <v>168</v>
      </c>
      <c r="R1033" s="66" t="s">
        <v>256</v>
      </c>
    </row>
    <row r="1034" spans="1:18" ht="15" customHeight="1" thickBot="1" x14ac:dyDescent="0.35">
      <c r="A1034" s="34" t="s">
        <v>71</v>
      </c>
      <c r="B1034" s="34" t="s">
        <v>72</v>
      </c>
      <c r="C1034" s="119">
        <v>0.30555555555555558</v>
      </c>
      <c r="D1034" s="34" t="s">
        <v>73</v>
      </c>
      <c r="E1034" s="34" t="s">
        <v>74</v>
      </c>
      <c r="F1034" s="34" t="s">
        <v>189</v>
      </c>
      <c r="G1034" s="167"/>
      <c r="H1034" s="17"/>
      <c r="I1034" s="18"/>
      <c r="J1034" s="18"/>
      <c r="K1034" s="18"/>
      <c r="L1034" s="18"/>
      <c r="M1034" s="18"/>
      <c r="N1034" s="18"/>
      <c r="O1034" s="19"/>
      <c r="P1034" s="18"/>
      <c r="Q1034" s="20"/>
      <c r="R1034" s="21"/>
    </row>
    <row r="1035" spans="1:18" ht="17.399999999999999" customHeight="1" thickBot="1" x14ac:dyDescent="0.35">
      <c r="A1035" s="172"/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  <c r="O1035" s="173"/>
      <c r="P1035" s="173"/>
      <c r="Q1035" s="173"/>
      <c r="R1035" s="174"/>
    </row>
    <row r="1036" spans="1:18" ht="22.05" customHeight="1" thickTop="1" thickBot="1" x14ac:dyDescent="0.35">
      <c r="A1036" s="168" t="s">
        <v>6</v>
      </c>
      <c r="B1036" s="169"/>
      <c r="C1036" s="169"/>
      <c r="D1036" s="169"/>
      <c r="E1036" s="169"/>
      <c r="F1036" s="170"/>
      <c r="G1036" s="112">
        <v>46053</v>
      </c>
      <c r="H1036" s="171" t="s">
        <v>7</v>
      </c>
      <c r="I1036" s="169"/>
      <c r="J1036" s="169"/>
      <c r="K1036" s="169"/>
      <c r="L1036" s="169"/>
      <c r="M1036" s="169"/>
      <c r="N1036" s="169"/>
      <c r="O1036" s="169"/>
      <c r="P1036" s="169"/>
      <c r="Q1036" s="169"/>
      <c r="R1036" s="170"/>
    </row>
    <row r="1037" spans="1:18" ht="24" customHeight="1" x14ac:dyDescent="0.3">
      <c r="A1037" s="22" t="s">
        <v>8</v>
      </c>
      <c r="B1037" s="22" t="s">
        <v>9</v>
      </c>
      <c r="C1037" s="113" t="s">
        <v>10</v>
      </c>
      <c r="D1037" s="22" t="s">
        <v>11</v>
      </c>
      <c r="E1037" s="22" t="s">
        <v>12</v>
      </c>
      <c r="F1037" s="23" t="s">
        <v>13</v>
      </c>
      <c r="G1037" s="24" t="s">
        <v>14</v>
      </c>
      <c r="H1037" s="22" t="s">
        <v>15</v>
      </c>
      <c r="I1037" s="114" t="s">
        <v>16</v>
      </c>
      <c r="J1037" s="25" t="s">
        <v>17</v>
      </c>
      <c r="K1037" s="26" t="s">
        <v>18</v>
      </c>
      <c r="L1037" s="25" t="s">
        <v>19</v>
      </c>
      <c r="M1037" s="25" t="s">
        <v>20</v>
      </c>
      <c r="N1037" s="25" t="s">
        <v>21</v>
      </c>
      <c r="O1037" s="22" t="s">
        <v>22</v>
      </c>
      <c r="P1037" s="113" t="s">
        <v>23</v>
      </c>
      <c r="Q1037" s="25" t="s">
        <v>24</v>
      </c>
      <c r="R1037" s="22" t="s">
        <v>25</v>
      </c>
    </row>
    <row r="1038" spans="1:18" ht="15" customHeight="1" x14ac:dyDescent="0.3">
      <c r="A1038" s="8" t="s">
        <v>46</v>
      </c>
      <c r="B1038" s="8" t="s">
        <v>47</v>
      </c>
      <c r="C1038" s="108">
        <v>0.30555555555555558</v>
      </c>
      <c r="D1038" s="8" t="s">
        <v>85</v>
      </c>
      <c r="E1038" s="8" t="s">
        <v>49</v>
      </c>
      <c r="F1038" s="8" t="s">
        <v>183</v>
      </c>
      <c r="G1038" s="17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5" t="s">
        <v>46</v>
      </c>
      <c r="B1039" s="15" t="s">
        <v>47</v>
      </c>
      <c r="C1039" s="110">
        <v>0.30555555555555558</v>
      </c>
      <c r="D1039" s="15" t="s">
        <v>88</v>
      </c>
      <c r="E1039" s="15" t="s">
        <v>49</v>
      </c>
      <c r="F1039" s="15" t="s">
        <v>141</v>
      </c>
      <c r="G1039" s="16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5" t="s">
        <v>46</v>
      </c>
      <c r="B1040" s="15" t="s">
        <v>47</v>
      </c>
      <c r="C1040" s="110">
        <v>0.30555555555555558</v>
      </c>
      <c r="D1040" s="15" t="s">
        <v>80</v>
      </c>
      <c r="E1040" s="15" t="s">
        <v>49</v>
      </c>
      <c r="F1040" s="15" t="s">
        <v>90</v>
      </c>
      <c r="G1040" s="16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40</v>
      </c>
      <c r="B1041" s="14" t="s">
        <v>60</v>
      </c>
      <c r="C1041" s="109">
        <v>0.1701388888888889</v>
      </c>
      <c r="D1041" s="14" t="s">
        <v>101</v>
      </c>
      <c r="E1041" s="14" t="s">
        <v>29</v>
      </c>
      <c r="F1041" s="14" t="s">
        <v>178</v>
      </c>
      <c r="G1041" s="16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27" t="s">
        <v>40</v>
      </c>
      <c r="B1042" s="27" t="s">
        <v>41</v>
      </c>
      <c r="C1042" s="115">
        <v>0.86458333333333337</v>
      </c>
      <c r="D1042" s="27" t="s">
        <v>101</v>
      </c>
      <c r="E1042" s="27" t="s">
        <v>29</v>
      </c>
      <c r="F1042" s="27" t="s">
        <v>179</v>
      </c>
      <c r="G1042" s="16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7" t="s">
        <v>40</v>
      </c>
      <c r="B1043" s="27" t="s">
        <v>44</v>
      </c>
      <c r="C1043" s="115">
        <v>0.52777777777777779</v>
      </c>
      <c r="D1043" s="27" t="s">
        <v>101</v>
      </c>
      <c r="E1043" s="27" t="s">
        <v>29</v>
      </c>
      <c r="F1043" s="27" t="s">
        <v>179</v>
      </c>
      <c r="G1043" s="16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76</v>
      </c>
      <c r="B1044" s="14" t="s">
        <v>77</v>
      </c>
      <c r="C1044" s="109">
        <v>0.97222222222222221</v>
      </c>
      <c r="D1044" s="14" t="s">
        <v>78</v>
      </c>
      <c r="E1044" s="14" t="s">
        <v>55</v>
      </c>
      <c r="F1044" s="14" t="s">
        <v>240</v>
      </c>
      <c r="G1044" s="16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5" t="s">
        <v>76</v>
      </c>
      <c r="B1045" s="15" t="s">
        <v>77</v>
      </c>
      <c r="C1045" s="110">
        <v>0.97222222222222221</v>
      </c>
      <c r="D1045" s="15" t="s">
        <v>80</v>
      </c>
      <c r="E1045" s="15" t="s">
        <v>55</v>
      </c>
      <c r="F1045" s="15" t="s">
        <v>172</v>
      </c>
      <c r="G1045" s="16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31</v>
      </c>
      <c r="B1046" s="14" t="s">
        <v>32</v>
      </c>
      <c r="C1046" s="109">
        <v>0.83680555555555558</v>
      </c>
      <c r="D1046" s="14" t="s">
        <v>33</v>
      </c>
      <c r="E1046" s="14" t="s">
        <v>34</v>
      </c>
      <c r="F1046" s="14" t="s">
        <v>170</v>
      </c>
      <c r="G1046" s="16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5" t="s">
        <v>31</v>
      </c>
      <c r="B1047" s="15" t="s">
        <v>32</v>
      </c>
      <c r="C1047" s="110">
        <v>0.83680555555555558</v>
      </c>
      <c r="D1047" s="15" t="s">
        <v>36</v>
      </c>
      <c r="E1047" s="15" t="s">
        <v>34</v>
      </c>
      <c r="F1047" s="15" t="s">
        <v>191</v>
      </c>
      <c r="G1047" s="16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5" t="s">
        <v>31</v>
      </c>
      <c r="B1048" s="15" t="s">
        <v>32</v>
      </c>
      <c r="C1048" s="110">
        <v>0.83680555555555558</v>
      </c>
      <c r="D1048" s="15" t="s">
        <v>38</v>
      </c>
      <c r="E1048" s="15" t="s">
        <v>34</v>
      </c>
      <c r="F1048" s="15" t="s">
        <v>192</v>
      </c>
      <c r="G1048" s="16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27" t="s">
        <v>31</v>
      </c>
      <c r="B1049" s="27" t="s">
        <v>51</v>
      </c>
      <c r="C1049" s="115">
        <v>0.2013888888888889</v>
      </c>
      <c r="D1049" s="27" t="s">
        <v>33</v>
      </c>
      <c r="E1049" s="27" t="s">
        <v>102</v>
      </c>
      <c r="F1049" s="27" t="s">
        <v>170</v>
      </c>
      <c r="G1049" s="16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5" t="s">
        <v>31</v>
      </c>
      <c r="B1050" s="15" t="s">
        <v>51</v>
      </c>
      <c r="C1050" s="110">
        <v>0.2013888888888889</v>
      </c>
      <c r="D1050" s="15" t="s">
        <v>36</v>
      </c>
      <c r="E1050" s="15" t="s">
        <v>102</v>
      </c>
      <c r="F1050" s="15" t="s">
        <v>191</v>
      </c>
      <c r="G1050" s="16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5" t="s">
        <v>31</v>
      </c>
      <c r="B1051" s="15" t="s">
        <v>51</v>
      </c>
      <c r="C1051" s="110">
        <v>0.2013888888888889</v>
      </c>
      <c r="D1051" s="15" t="s">
        <v>38</v>
      </c>
      <c r="E1051" s="15" t="s">
        <v>102</v>
      </c>
      <c r="F1051" s="15" t="s">
        <v>192</v>
      </c>
      <c r="G1051" s="16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57</v>
      </c>
      <c r="C1052" s="109">
        <v>0.89583333333333337</v>
      </c>
      <c r="D1052" s="14" t="s">
        <v>167</v>
      </c>
      <c r="E1052" s="14" t="s">
        <v>97</v>
      </c>
      <c r="F1052" s="14" t="s">
        <v>130</v>
      </c>
      <c r="G1052" s="16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73" t="s">
        <v>64</v>
      </c>
      <c r="B1053" s="73" t="s">
        <v>65</v>
      </c>
      <c r="C1053" s="138">
        <v>0.92361111111111116</v>
      </c>
      <c r="D1053" s="73" t="s">
        <v>167</v>
      </c>
      <c r="E1053" s="73" t="s">
        <v>97</v>
      </c>
      <c r="F1053" s="73" t="s">
        <v>66</v>
      </c>
      <c r="G1053" s="166"/>
      <c r="H1053" s="74" t="s">
        <v>67</v>
      </c>
      <c r="I1053" s="139">
        <v>0.1071</v>
      </c>
      <c r="J1053" s="75">
        <v>18</v>
      </c>
      <c r="K1053" s="76" t="s">
        <v>235</v>
      </c>
      <c r="L1053" s="75">
        <v>18</v>
      </c>
      <c r="M1053" s="75">
        <v>0</v>
      </c>
      <c r="N1053" s="75">
        <v>0</v>
      </c>
      <c r="O1053" s="77" t="s">
        <v>181</v>
      </c>
      <c r="P1053" s="140">
        <v>0.92361111111111116</v>
      </c>
      <c r="Q1053" s="75">
        <v>168</v>
      </c>
      <c r="R1053" s="78" t="s">
        <v>257</v>
      </c>
    </row>
    <row r="1054" spans="1:18" ht="15" customHeight="1" x14ac:dyDescent="0.3">
      <c r="A1054" s="14" t="s">
        <v>82</v>
      </c>
      <c r="B1054" s="14" t="s">
        <v>83</v>
      </c>
      <c r="C1054" s="109">
        <v>0.54861111111111116</v>
      </c>
      <c r="D1054" s="14" t="s">
        <v>167</v>
      </c>
      <c r="E1054" s="14" t="s">
        <v>29</v>
      </c>
      <c r="F1054" s="14" t="s">
        <v>185</v>
      </c>
      <c r="G1054" s="16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34" t="s">
        <v>71</v>
      </c>
      <c r="B1055" s="34" t="s">
        <v>72</v>
      </c>
      <c r="C1055" s="119">
        <v>0.30555555555555558</v>
      </c>
      <c r="D1055" s="34" t="s">
        <v>73</v>
      </c>
      <c r="E1055" s="34" t="s">
        <v>74</v>
      </c>
      <c r="F1055" s="34" t="s">
        <v>189</v>
      </c>
      <c r="G1055" s="167"/>
      <c r="H1055" s="17"/>
      <c r="I1055" s="18"/>
      <c r="J1055" s="18"/>
      <c r="K1055" s="18"/>
      <c r="L1055" s="18"/>
      <c r="M1055" s="18"/>
      <c r="N1055" s="18"/>
      <c r="O1055" s="19"/>
      <c r="P1055" s="18"/>
      <c r="Q1055" s="20"/>
      <c r="R1055" s="21"/>
    </row>
  </sheetData>
  <mergeCells count="254">
    <mergeCell ref="A1020:F1020"/>
    <mergeCell ref="H226:R226"/>
    <mergeCell ref="A4:F4"/>
    <mergeCell ref="H660:R660"/>
    <mergeCell ref="A660:F660"/>
    <mergeCell ref="H1036:R1036"/>
    <mergeCell ref="G715:G730"/>
    <mergeCell ref="A432:F432"/>
    <mergeCell ref="G808:G819"/>
    <mergeCell ref="A554:R554"/>
    <mergeCell ref="H680:R680"/>
    <mergeCell ref="A680:F680"/>
    <mergeCell ref="A858:F858"/>
    <mergeCell ref="G966:G981"/>
    <mergeCell ref="H243:R243"/>
    <mergeCell ref="A1019:R1019"/>
    <mergeCell ref="H277:R277"/>
    <mergeCell ref="H292:R292"/>
    <mergeCell ref="A77:F77"/>
    <mergeCell ref="H519:R519"/>
    <mergeCell ref="A261:F261"/>
    <mergeCell ref="A732:F732"/>
    <mergeCell ref="A446:F446"/>
    <mergeCell ref="A534:R534"/>
    <mergeCell ref="H4:R4"/>
    <mergeCell ref="H839:R839"/>
    <mergeCell ref="A695:F695"/>
    <mergeCell ref="A499:F499"/>
    <mergeCell ref="A3:R3"/>
    <mergeCell ref="A587:R587"/>
    <mergeCell ref="G787:G804"/>
    <mergeCell ref="A875:F875"/>
    <mergeCell ref="G328:G342"/>
    <mergeCell ref="H412:R412"/>
    <mergeCell ref="G697:G711"/>
    <mergeCell ref="A312:F312"/>
    <mergeCell ref="A748:R748"/>
    <mergeCell ref="G860:G873"/>
    <mergeCell ref="H177:R177"/>
    <mergeCell ref="G346:G359"/>
    <mergeCell ref="G214:G224"/>
    <mergeCell ref="A24:R24"/>
    <mergeCell ref="A260:R260"/>
    <mergeCell ref="A291:R291"/>
    <mergeCell ref="A644:F644"/>
    <mergeCell ref="H42:R42"/>
    <mergeCell ref="H769:R769"/>
    <mergeCell ref="A25:F25"/>
    <mergeCell ref="G1022:G1034"/>
    <mergeCell ref="H77:R77"/>
    <mergeCell ref="G912:G929"/>
    <mergeCell ref="A570:F570"/>
    <mergeCell ref="G363:G376"/>
    <mergeCell ref="H273:R273"/>
    <mergeCell ref="H397:R397"/>
    <mergeCell ref="G275"/>
    <mergeCell ref="G521:G533"/>
    <mergeCell ref="A325:R325"/>
    <mergeCell ref="A731:R731"/>
    <mergeCell ref="A821:F821"/>
    <mergeCell ref="A909:R909"/>
    <mergeCell ref="H931:R931"/>
    <mergeCell ref="H141:R141"/>
    <mergeCell ref="H607:R607"/>
    <mergeCell ref="A659:R659"/>
    <mergeCell ref="H499:R499"/>
    <mergeCell ref="H97:R97"/>
    <mergeCell ref="H946:R946"/>
    <mergeCell ref="A326:F326"/>
    <mergeCell ref="A643:R643"/>
    <mergeCell ref="A273:F273"/>
    <mergeCell ref="A378:F378"/>
    <mergeCell ref="G2:J2"/>
    <mergeCell ref="G572:G586"/>
    <mergeCell ref="H713:R713"/>
    <mergeCell ref="G466:G480"/>
    <mergeCell ref="A768:R768"/>
    <mergeCell ref="N1:R1"/>
    <mergeCell ref="A96:R96"/>
    <mergeCell ref="A1035:R1035"/>
    <mergeCell ref="G662:G678"/>
    <mergeCell ref="G131:G139"/>
    <mergeCell ref="A445:R445"/>
    <mergeCell ref="H535:R535"/>
    <mergeCell ref="H644:R644"/>
    <mergeCell ref="A344:F344"/>
    <mergeCell ref="A874:R874"/>
    <mergeCell ref="K2:R2"/>
    <mergeCell ref="G6:G11"/>
    <mergeCell ref="A769:F769"/>
    <mergeCell ref="A211:R211"/>
    <mergeCell ref="G771:G783"/>
    <mergeCell ref="A569:R569"/>
    <mergeCell ref="G228:G241"/>
    <mergeCell ref="A518:R518"/>
    <mergeCell ref="H158:R158"/>
    <mergeCell ref="A12:R12"/>
    <mergeCell ref="A838:R838"/>
    <mergeCell ref="A713:F713"/>
    <mergeCell ref="A129:F129"/>
    <mergeCell ref="G414:G430"/>
    <mergeCell ref="A964:F964"/>
    <mergeCell ref="H785:R785"/>
    <mergeCell ref="H192:R192"/>
    <mergeCell ref="A361:F361"/>
    <mergeCell ref="H344:R344"/>
    <mergeCell ref="A784:R784"/>
    <mergeCell ref="G501:G517"/>
    <mergeCell ref="H749:R749"/>
    <mergeCell ref="G160:G175"/>
    <mergeCell ref="A431:R431"/>
    <mergeCell ref="H112:R112"/>
    <mergeCell ref="G143:G156"/>
    <mergeCell ref="G15:G23"/>
    <mergeCell ref="A192:F192"/>
    <mergeCell ref="A946:F946"/>
    <mergeCell ref="H894:R894"/>
    <mergeCell ref="G27:G40"/>
    <mergeCell ref="A111:R111"/>
    <mergeCell ref="A276:R276"/>
    <mergeCell ref="G1038:G1055"/>
    <mergeCell ref="H964:R964"/>
    <mergeCell ref="H1020:R1020"/>
    <mergeCell ref="A535:F535"/>
    <mergeCell ref="A963:R963"/>
    <mergeCell ref="G948:G962"/>
    <mergeCell ref="A931:F931"/>
    <mergeCell ref="H129:R129"/>
    <mergeCell ref="A588:F588"/>
    <mergeCell ref="A311:R311"/>
    <mergeCell ref="A377:R377"/>
    <mergeCell ref="A411:R411"/>
    <mergeCell ref="H821:R821"/>
    <mergeCell ref="H555:R555"/>
    <mergeCell ref="A893:R893"/>
    <mergeCell ref="A839:F839"/>
    <mergeCell ref="A945:R945"/>
    <mergeCell ref="G294:G310"/>
    <mergeCell ref="G1002:G1018"/>
    <mergeCell ref="H695:R695"/>
    <mergeCell ref="G279:G290"/>
    <mergeCell ref="A982:R982"/>
    <mergeCell ref="A343:R343"/>
    <mergeCell ref="A806:F806"/>
    <mergeCell ref="G179:G190"/>
    <mergeCell ref="A97:F97"/>
    <mergeCell ref="H378:R378"/>
    <mergeCell ref="A157:R157"/>
    <mergeCell ref="G79:G95"/>
    <mergeCell ref="G448:G462"/>
    <mergeCell ref="H1000:R1000"/>
    <mergeCell ref="A177:F177"/>
    <mergeCell ref="A128:R128"/>
    <mergeCell ref="G434:G444"/>
    <mergeCell ref="A498:R498"/>
    <mergeCell ref="H588:R588"/>
    <mergeCell ref="A624:F624"/>
    <mergeCell ref="G557:G568"/>
    <mergeCell ref="A805:R805"/>
    <mergeCell ref="G314:G324"/>
    <mergeCell ref="G626:G642"/>
    <mergeCell ref="A983:F983"/>
    <mergeCell ref="G985:G998"/>
    <mergeCell ref="A1000:F1000"/>
    <mergeCell ref="A820:R820"/>
    <mergeCell ref="A412:F412"/>
    <mergeCell ref="A894:F894"/>
    <mergeCell ref="H326:R326"/>
    <mergeCell ref="A397:F397"/>
    <mergeCell ref="H446:R446"/>
    <mergeCell ref="A519:F519"/>
    <mergeCell ref="H875:R875"/>
    <mergeCell ref="H212:R212"/>
    <mergeCell ref="G646:G658"/>
    <mergeCell ref="A272:R272"/>
    <mergeCell ref="G734:G747"/>
    <mergeCell ref="A679:R679"/>
    <mergeCell ref="G245:G259"/>
    <mergeCell ref="G380:G395"/>
    <mergeCell ref="H806:R806"/>
    <mergeCell ref="H312:R312"/>
    <mergeCell ref="H858:R858"/>
    <mergeCell ref="A1036:F1036"/>
    <mergeCell ref="A191:R191"/>
    <mergeCell ref="H62:R62"/>
    <mergeCell ref="G64:G75"/>
    <mergeCell ref="A225:R225"/>
    <mergeCell ref="A396:R396"/>
    <mergeCell ref="A623:R623"/>
    <mergeCell ref="A694:R694"/>
    <mergeCell ref="H261:R261"/>
    <mergeCell ref="H432:R432"/>
    <mergeCell ref="A242:R242"/>
    <mergeCell ref="A857:R857"/>
    <mergeCell ref="H983:R983"/>
    <mergeCell ref="A76:R76"/>
    <mergeCell ref="A141:F141"/>
    <mergeCell ref="G823:G837"/>
    <mergeCell ref="A62:F62"/>
    <mergeCell ref="H910:R910"/>
    <mergeCell ref="A482:F482"/>
    <mergeCell ref="G682:G693"/>
    <mergeCell ref="A999:R999"/>
    <mergeCell ref="G609:G622"/>
    <mergeCell ref="A712:R712"/>
    <mergeCell ref="G484:G497"/>
    <mergeCell ref="G751:G767"/>
    <mergeCell ref="A785:F785"/>
    <mergeCell ref="A226:F226"/>
    <mergeCell ref="H1:L1"/>
    <mergeCell ref="A1:E1"/>
    <mergeCell ref="G263:G271"/>
    <mergeCell ref="A749:F749"/>
    <mergeCell ref="A930:R930"/>
    <mergeCell ref="G399:G410"/>
    <mergeCell ref="H624:R624"/>
    <mergeCell ref="A464:F464"/>
    <mergeCell ref="A463:R463"/>
    <mergeCell ref="A158:F158"/>
    <mergeCell ref="A481:R481"/>
    <mergeCell ref="G44:G60"/>
    <mergeCell ref="G877:G892"/>
    <mergeCell ref="A61:R61"/>
    <mergeCell ref="G537:G553"/>
    <mergeCell ref="A212:F212"/>
    <mergeCell ref="G896:G908"/>
    <mergeCell ref="A243:F243"/>
    <mergeCell ref="G590:G605"/>
    <mergeCell ref="A277:F277"/>
    <mergeCell ref="A292:F292"/>
    <mergeCell ref="G933:G944"/>
    <mergeCell ref="A607:F607"/>
    <mergeCell ref="G99:G110"/>
    <mergeCell ref="A13:F13"/>
    <mergeCell ref="H13:R13"/>
    <mergeCell ref="A176:R176"/>
    <mergeCell ref="A555:F555"/>
    <mergeCell ref="A2:F2"/>
    <mergeCell ref="A42:F42"/>
    <mergeCell ref="H25:R25"/>
    <mergeCell ref="H732:R732"/>
    <mergeCell ref="H361:R361"/>
    <mergeCell ref="A140:R140"/>
    <mergeCell ref="H570:R570"/>
    <mergeCell ref="A112:F112"/>
    <mergeCell ref="G841:G856"/>
    <mergeCell ref="G114:G127"/>
    <mergeCell ref="A360:R360"/>
    <mergeCell ref="A606:R606"/>
    <mergeCell ref="A41:R41"/>
    <mergeCell ref="G194:G210"/>
    <mergeCell ref="H464:R464"/>
    <mergeCell ref="H482:R482"/>
    <mergeCell ref="A910:F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8"/>
  <sheetViews>
    <sheetView workbookViewId="0"/>
  </sheetViews>
  <sheetFormatPr defaultRowHeight="15.6" outlineLevelCol="2" x14ac:dyDescent="0.3"/>
  <cols>
    <col min="1" max="1" width="11.77734375" style="152" bestFit="1" customWidth="1"/>
    <col min="2" max="2" width="10.88671875" style="152" bestFit="1" customWidth="1"/>
    <col min="3" max="3" width="7.88671875" style="152" bestFit="1" customWidth="1"/>
    <col min="4" max="4" width="6.77734375" style="152" bestFit="1" customWidth="1"/>
    <col min="5" max="5" width="10.5546875" style="152" bestFit="1" customWidth="1"/>
    <col min="6" max="6" width="5.21875" style="152" bestFit="1" customWidth="1"/>
    <col min="7" max="7" width="10" style="152" bestFit="1" customWidth="1"/>
    <col min="8" max="9" width="8.5546875" style="152" bestFit="1" customWidth="1"/>
    <col min="10" max="10" width="8" style="152" bestFit="1" customWidth="1"/>
    <col min="11" max="11" width="12.21875" style="152" bestFit="1" customWidth="1"/>
    <col min="12" max="12" width="20.6640625" style="152" bestFit="1" customWidth="1"/>
    <col min="13" max="13" width="8.77734375" style="152" bestFit="1" customWidth="1" outlineLevel="2"/>
    <col min="14" max="14" width="7.33203125" style="152" bestFit="1" customWidth="1" outlineLevel="2"/>
    <col min="15" max="15" width="9.109375" style="152" bestFit="1" customWidth="1" outlineLevel="2"/>
    <col min="16" max="16" width="15.33203125" style="152" bestFit="1" customWidth="1"/>
    <col min="17" max="24" width="3.88671875" style="152" bestFit="1" customWidth="1"/>
    <col min="25" max="25" width="5.33203125" style="152" bestFit="1" customWidth="1"/>
    <col min="26" max="26" width="4.88671875" style="152" bestFit="1" customWidth="1"/>
    <col min="27" max="27" width="4.77734375" style="152" bestFit="1" customWidth="1"/>
    <col min="28" max="28" width="5" style="152" bestFit="1" customWidth="1"/>
    <col min="29" max="29" width="5.109375" style="152" bestFit="1" customWidth="1"/>
    <col min="30" max="31" width="5.33203125" style="152" bestFit="1" customWidth="1"/>
    <col min="32" max="32" width="4.44140625" style="152" bestFit="1" customWidth="1"/>
    <col min="33" max="36" width="3.88671875" style="152" bestFit="1" customWidth="1"/>
    <col min="37" max="16384" width="8.88671875" style="152"/>
  </cols>
  <sheetData>
    <row r="1" spans="1:36" x14ac:dyDescent="0.3">
      <c r="A1" s="151" t="s">
        <v>258</v>
      </c>
      <c r="B1" s="151" t="s">
        <v>259</v>
      </c>
      <c r="C1" s="151" t="s">
        <v>260</v>
      </c>
      <c r="D1" s="151" t="s">
        <v>23</v>
      </c>
      <c r="E1" s="151" t="s">
        <v>261</v>
      </c>
      <c r="F1" s="151" t="s">
        <v>262</v>
      </c>
      <c r="G1" s="151" t="s">
        <v>16</v>
      </c>
      <c r="H1" s="151" t="s">
        <v>263</v>
      </c>
      <c r="I1" s="151" t="s">
        <v>264</v>
      </c>
      <c r="J1" s="151" t="s">
        <v>265</v>
      </c>
      <c r="K1" s="151" t="s">
        <v>266</v>
      </c>
      <c r="L1" s="151" t="s">
        <v>18</v>
      </c>
      <c r="M1" s="151" t="s">
        <v>20</v>
      </c>
      <c r="N1" s="151" t="s">
        <v>21</v>
      </c>
      <c r="O1" s="151" t="s">
        <v>19</v>
      </c>
      <c r="P1" s="151" t="s">
        <v>22</v>
      </c>
      <c r="Q1" s="151" t="s">
        <v>267</v>
      </c>
      <c r="R1" s="151" t="s">
        <v>268</v>
      </c>
      <c r="S1" s="151" t="s">
        <v>269</v>
      </c>
      <c r="T1" s="151" t="s">
        <v>270</v>
      </c>
      <c r="U1" s="151" t="s">
        <v>271</v>
      </c>
      <c r="V1" s="151" t="s">
        <v>272</v>
      </c>
      <c r="W1" s="151" t="s">
        <v>273</v>
      </c>
      <c r="X1" s="151" t="s">
        <v>274</v>
      </c>
      <c r="Y1" s="151" t="s">
        <v>275</v>
      </c>
      <c r="Z1" s="151" t="s">
        <v>276</v>
      </c>
      <c r="AA1" s="151" t="s">
        <v>277</v>
      </c>
      <c r="AB1" s="151" t="s">
        <v>278</v>
      </c>
      <c r="AC1" s="151" t="s">
        <v>279</v>
      </c>
      <c r="AD1" s="151" t="s">
        <v>280</v>
      </c>
      <c r="AE1" s="151" t="s">
        <v>281</v>
      </c>
      <c r="AF1" s="151" t="s">
        <v>282</v>
      </c>
      <c r="AG1" s="151" t="s">
        <v>283</v>
      </c>
      <c r="AH1" s="151" t="s">
        <v>284</v>
      </c>
      <c r="AI1" s="151" t="s">
        <v>285</v>
      </c>
      <c r="AJ1" s="151" t="s">
        <v>286</v>
      </c>
    </row>
    <row r="2" spans="1:36" x14ac:dyDescent="0.3">
      <c r="A2" s="153" t="s">
        <v>287</v>
      </c>
      <c r="B2" s="154">
        <v>45993</v>
      </c>
      <c r="C2" s="155" t="s">
        <v>67</v>
      </c>
      <c r="D2" s="156" t="s">
        <v>288</v>
      </c>
      <c r="E2" s="155" t="s">
        <v>1</v>
      </c>
      <c r="F2" s="155" t="s">
        <v>289</v>
      </c>
      <c r="G2" s="157">
        <v>0.53569999999999995</v>
      </c>
      <c r="H2" s="158">
        <v>168</v>
      </c>
      <c r="I2" s="158">
        <v>90</v>
      </c>
      <c r="J2" s="158">
        <v>0</v>
      </c>
      <c r="K2" s="155" t="s">
        <v>290</v>
      </c>
      <c r="L2" s="159" t="s">
        <v>68</v>
      </c>
      <c r="M2" s="158">
        <v>0</v>
      </c>
      <c r="N2" s="158">
        <v>0</v>
      </c>
      <c r="O2" s="158">
        <v>39</v>
      </c>
      <c r="P2" s="155" t="s">
        <v>69</v>
      </c>
      <c r="Q2" s="151"/>
      <c r="R2" s="151"/>
      <c r="S2" s="151"/>
      <c r="T2" s="151"/>
      <c r="U2" s="151"/>
      <c r="V2" s="151"/>
      <c r="W2" s="151"/>
      <c r="X2" s="151"/>
      <c r="Y2" s="158" t="s">
        <v>291</v>
      </c>
      <c r="Z2" s="158" t="s">
        <v>292</v>
      </c>
      <c r="AA2" s="158" t="s">
        <v>293</v>
      </c>
      <c r="AB2" s="158" t="s">
        <v>294</v>
      </c>
      <c r="AC2" s="158" t="s">
        <v>249</v>
      </c>
      <c r="AD2" s="158" t="s">
        <v>198</v>
      </c>
      <c r="AE2" s="158" t="s">
        <v>295</v>
      </c>
      <c r="AF2" s="158" t="s">
        <v>296</v>
      </c>
      <c r="AG2" s="151"/>
      <c r="AH2" s="151"/>
      <c r="AI2" s="151"/>
      <c r="AJ2" s="151"/>
    </row>
    <row r="3" spans="1:36" x14ac:dyDescent="0.3">
      <c r="A3" s="153" t="s">
        <v>297</v>
      </c>
      <c r="B3" s="154">
        <v>45995</v>
      </c>
      <c r="C3" s="155" t="s">
        <v>67</v>
      </c>
      <c r="D3" s="156" t="s">
        <v>298</v>
      </c>
      <c r="E3" s="155" t="s">
        <v>1</v>
      </c>
      <c r="F3" s="155" t="s">
        <v>289</v>
      </c>
      <c r="G3" s="157">
        <v>0.54759999999999998</v>
      </c>
      <c r="H3" s="158">
        <v>168</v>
      </c>
      <c r="I3" s="158">
        <v>92</v>
      </c>
      <c r="J3" s="158">
        <v>0</v>
      </c>
      <c r="K3" s="155" t="s">
        <v>290</v>
      </c>
      <c r="L3" s="159" t="s">
        <v>104</v>
      </c>
      <c r="M3" s="158">
        <v>0</v>
      </c>
      <c r="N3" s="158">
        <v>2</v>
      </c>
      <c r="O3" s="158">
        <v>42</v>
      </c>
      <c r="P3" s="155" t="s">
        <v>69</v>
      </c>
      <c r="Q3" s="151"/>
      <c r="R3" s="151"/>
      <c r="S3" s="151"/>
      <c r="T3" s="151"/>
      <c r="U3" s="151"/>
      <c r="V3" s="151"/>
      <c r="W3" s="151"/>
      <c r="X3" s="151"/>
      <c r="Y3" s="151"/>
      <c r="Z3" s="158" t="s">
        <v>299</v>
      </c>
      <c r="AA3" s="158" t="s">
        <v>300</v>
      </c>
      <c r="AB3" s="158" t="s">
        <v>301</v>
      </c>
      <c r="AC3" s="158" t="s">
        <v>249</v>
      </c>
      <c r="AD3" s="158" t="s">
        <v>302</v>
      </c>
      <c r="AE3" s="158" t="s">
        <v>303</v>
      </c>
      <c r="AF3" s="158" t="s">
        <v>296</v>
      </c>
      <c r="AG3" s="151"/>
      <c r="AH3" s="151"/>
      <c r="AI3" s="151"/>
      <c r="AJ3" s="151"/>
    </row>
    <row r="4" spans="1:36" x14ac:dyDescent="0.3">
      <c r="A4" s="153" t="s">
        <v>304</v>
      </c>
      <c r="B4" s="154">
        <v>45996</v>
      </c>
      <c r="C4" s="155" t="s">
        <v>67</v>
      </c>
      <c r="D4" s="156" t="s">
        <v>305</v>
      </c>
      <c r="E4" s="155" t="s">
        <v>1</v>
      </c>
      <c r="F4" s="155" t="s">
        <v>289</v>
      </c>
      <c r="G4" s="157">
        <v>0.50600000000000001</v>
      </c>
      <c r="H4" s="158">
        <v>168</v>
      </c>
      <c r="I4" s="158">
        <v>85</v>
      </c>
      <c r="J4" s="158">
        <v>0</v>
      </c>
      <c r="K4" s="155" t="s">
        <v>290</v>
      </c>
      <c r="L4" s="159" t="s">
        <v>104</v>
      </c>
      <c r="M4" s="158">
        <v>0</v>
      </c>
      <c r="N4" s="158">
        <v>1</v>
      </c>
      <c r="O4" s="158">
        <v>27</v>
      </c>
      <c r="P4" s="155" t="s">
        <v>111</v>
      </c>
      <c r="Q4" s="151"/>
      <c r="R4" s="151"/>
      <c r="S4" s="151"/>
      <c r="T4" s="151"/>
      <c r="U4" s="151"/>
      <c r="V4" s="151"/>
      <c r="W4" s="151"/>
      <c r="X4" s="151"/>
      <c r="Y4" s="151"/>
      <c r="Z4" s="158" t="s">
        <v>306</v>
      </c>
      <c r="AA4" s="151"/>
      <c r="AB4" s="158" t="s">
        <v>187</v>
      </c>
      <c r="AC4" s="158" t="s">
        <v>247</v>
      </c>
      <c r="AD4" s="158" t="s">
        <v>307</v>
      </c>
      <c r="AE4" s="158" t="s">
        <v>308</v>
      </c>
      <c r="AF4" s="158" t="s">
        <v>309</v>
      </c>
      <c r="AG4" s="151"/>
      <c r="AH4" s="151"/>
      <c r="AI4" s="151"/>
      <c r="AJ4" s="151"/>
    </row>
    <row r="5" spans="1:36" x14ac:dyDescent="0.3">
      <c r="A5" s="153" t="s">
        <v>310</v>
      </c>
      <c r="B5" s="154">
        <v>45997</v>
      </c>
      <c r="C5" s="155" t="s">
        <v>67</v>
      </c>
      <c r="D5" s="156" t="s">
        <v>298</v>
      </c>
      <c r="E5" s="155" t="s">
        <v>1</v>
      </c>
      <c r="F5" s="155" t="s">
        <v>289</v>
      </c>
      <c r="G5" s="157">
        <v>0.21429999999999999</v>
      </c>
      <c r="H5" s="158">
        <v>168</v>
      </c>
      <c r="I5" s="158">
        <v>36</v>
      </c>
      <c r="J5" s="158">
        <v>0</v>
      </c>
      <c r="K5" s="155" t="s">
        <v>290</v>
      </c>
      <c r="L5" s="159" t="s">
        <v>104</v>
      </c>
      <c r="M5" s="158">
        <v>0</v>
      </c>
      <c r="N5" s="158">
        <v>2</v>
      </c>
      <c r="O5" s="158">
        <v>14</v>
      </c>
      <c r="P5" s="155" t="s">
        <v>69</v>
      </c>
      <c r="Q5" s="151"/>
      <c r="R5" s="151"/>
      <c r="S5" s="151"/>
      <c r="T5" s="151"/>
      <c r="U5" s="151"/>
      <c r="V5" s="151"/>
      <c r="W5" s="151"/>
      <c r="X5" s="151"/>
      <c r="Y5" s="151"/>
      <c r="Z5" s="158" t="s">
        <v>311</v>
      </c>
      <c r="AA5" s="151"/>
      <c r="AB5" s="151"/>
      <c r="AC5" s="158" t="s">
        <v>312</v>
      </c>
      <c r="AD5" s="158" t="s">
        <v>313</v>
      </c>
      <c r="AE5" s="158" t="s">
        <v>295</v>
      </c>
      <c r="AF5" s="158" t="s">
        <v>314</v>
      </c>
      <c r="AG5" s="151"/>
      <c r="AH5" s="151"/>
      <c r="AI5" s="151"/>
      <c r="AJ5" s="151"/>
    </row>
    <row r="6" spans="1:36" x14ac:dyDescent="0.3">
      <c r="A6" s="153" t="s">
        <v>287</v>
      </c>
      <c r="B6" s="154">
        <v>46000</v>
      </c>
      <c r="C6" s="155" t="s">
        <v>67</v>
      </c>
      <c r="D6" s="156" t="s">
        <v>288</v>
      </c>
      <c r="E6" s="155" t="s">
        <v>1</v>
      </c>
      <c r="F6" s="155" t="s">
        <v>289</v>
      </c>
      <c r="G6" s="157">
        <v>0.28570000000000001</v>
      </c>
      <c r="H6" s="158">
        <v>168</v>
      </c>
      <c r="I6" s="158">
        <v>48</v>
      </c>
      <c r="J6" s="158">
        <v>0</v>
      </c>
      <c r="K6" s="155" t="s">
        <v>290</v>
      </c>
      <c r="L6" s="159" t="s">
        <v>68</v>
      </c>
      <c r="M6" s="158">
        <v>0</v>
      </c>
      <c r="N6" s="158">
        <v>0</v>
      </c>
      <c r="O6" s="158">
        <v>13</v>
      </c>
      <c r="P6" s="155" t="s">
        <v>69</v>
      </c>
      <c r="Q6" s="151"/>
      <c r="R6" s="151"/>
      <c r="S6" s="151"/>
      <c r="T6" s="151"/>
      <c r="U6" s="151"/>
      <c r="V6" s="151"/>
      <c r="W6" s="151"/>
      <c r="X6" s="151"/>
      <c r="Y6" s="151"/>
      <c r="Z6" s="158" t="s">
        <v>315</v>
      </c>
      <c r="AA6" s="151"/>
      <c r="AB6" s="151"/>
      <c r="AC6" s="158" t="s">
        <v>316</v>
      </c>
      <c r="AD6" s="158" t="s">
        <v>302</v>
      </c>
      <c r="AE6" s="151"/>
      <c r="AF6" s="158" t="s">
        <v>317</v>
      </c>
      <c r="AG6" s="151"/>
      <c r="AH6" s="151"/>
      <c r="AI6" s="151"/>
      <c r="AJ6" s="151"/>
    </row>
    <row r="7" spans="1:36" x14ac:dyDescent="0.3">
      <c r="A7" s="153" t="s">
        <v>297</v>
      </c>
      <c r="B7" s="154">
        <v>46002</v>
      </c>
      <c r="C7" s="155" t="s">
        <v>67</v>
      </c>
      <c r="D7" s="156" t="s">
        <v>298</v>
      </c>
      <c r="E7" s="155" t="s">
        <v>1</v>
      </c>
      <c r="F7" s="155" t="s">
        <v>289</v>
      </c>
      <c r="G7" s="157">
        <v>0.24399999999999999</v>
      </c>
      <c r="H7" s="158">
        <v>168</v>
      </c>
      <c r="I7" s="158">
        <v>41</v>
      </c>
      <c r="J7" s="158">
        <v>0</v>
      </c>
      <c r="K7" s="155" t="s">
        <v>290</v>
      </c>
      <c r="L7" s="159" t="s">
        <v>68</v>
      </c>
      <c r="M7" s="158">
        <v>0</v>
      </c>
      <c r="N7" s="158">
        <v>0</v>
      </c>
      <c r="O7" s="158">
        <v>17</v>
      </c>
      <c r="P7" s="155" t="s">
        <v>111</v>
      </c>
      <c r="Q7" s="151"/>
      <c r="R7" s="151"/>
      <c r="S7" s="151"/>
      <c r="T7" s="151"/>
      <c r="U7" s="151"/>
      <c r="V7" s="151"/>
      <c r="W7" s="151"/>
      <c r="X7" s="151"/>
      <c r="Y7" s="151"/>
      <c r="Z7" s="158" t="s">
        <v>318</v>
      </c>
      <c r="AA7" s="158" t="s">
        <v>293</v>
      </c>
      <c r="AB7" s="158" t="s">
        <v>294</v>
      </c>
      <c r="AC7" s="151"/>
      <c r="AD7" s="151"/>
      <c r="AE7" s="158" t="s">
        <v>319</v>
      </c>
      <c r="AF7" s="158" t="s">
        <v>320</v>
      </c>
      <c r="AG7" s="151"/>
      <c r="AH7" s="151"/>
      <c r="AI7" s="151"/>
      <c r="AJ7" s="151"/>
    </row>
    <row r="8" spans="1:36" x14ac:dyDescent="0.3">
      <c r="A8" s="153" t="s">
        <v>304</v>
      </c>
      <c r="B8" s="154">
        <v>46003</v>
      </c>
      <c r="C8" s="155" t="s">
        <v>67</v>
      </c>
      <c r="D8" s="156" t="s">
        <v>305</v>
      </c>
      <c r="E8" s="155" t="s">
        <v>1</v>
      </c>
      <c r="F8" s="155" t="s">
        <v>289</v>
      </c>
      <c r="G8" s="157">
        <v>0.41070000000000001</v>
      </c>
      <c r="H8" s="158">
        <v>168</v>
      </c>
      <c r="I8" s="158">
        <v>69</v>
      </c>
      <c r="J8" s="158">
        <v>0</v>
      </c>
      <c r="K8" s="155" t="s">
        <v>290</v>
      </c>
      <c r="L8" s="159" t="s">
        <v>147</v>
      </c>
      <c r="M8" s="158">
        <v>3</v>
      </c>
      <c r="N8" s="158">
        <v>1</v>
      </c>
      <c r="O8" s="158">
        <v>38</v>
      </c>
      <c r="P8" s="155" t="s">
        <v>148</v>
      </c>
      <c r="Q8" s="151"/>
      <c r="R8" s="151"/>
      <c r="S8" s="151"/>
      <c r="T8" s="151"/>
      <c r="U8" s="151"/>
      <c r="V8" s="151"/>
      <c r="W8" s="151"/>
      <c r="X8" s="151"/>
      <c r="Y8" s="151"/>
      <c r="Z8" s="158" t="s">
        <v>299</v>
      </c>
      <c r="AA8" s="158" t="s">
        <v>321</v>
      </c>
      <c r="AB8" s="158" t="s">
        <v>322</v>
      </c>
      <c r="AC8" s="158" t="s">
        <v>241</v>
      </c>
      <c r="AD8" s="158" t="s">
        <v>323</v>
      </c>
      <c r="AE8" s="158" t="s">
        <v>324</v>
      </c>
      <c r="AF8" s="158" t="s">
        <v>325</v>
      </c>
      <c r="AG8" s="151"/>
      <c r="AH8" s="151"/>
      <c r="AI8" s="151"/>
      <c r="AJ8" s="151"/>
    </row>
    <row r="9" spans="1:36" x14ac:dyDescent="0.3">
      <c r="A9" s="153" t="s">
        <v>310</v>
      </c>
      <c r="B9" s="154">
        <v>46004</v>
      </c>
      <c r="C9" s="155" t="s">
        <v>67</v>
      </c>
      <c r="D9" s="156" t="s">
        <v>298</v>
      </c>
      <c r="E9" s="155" t="s">
        <v>1</v>
      </c>
      <c r="F9" s="155" t="s">
        <v>289</v>
      </c>
      <c r="G9" s="157">
        <v>0.22620000000000001</v>
      </c>
      <c r="H9" s="158">
        <v>168</v>
      </c>
      <c r="I9" s="158">
        <v>38</v>
      </c>
      <c r="J9" s="158">
        <v>0</v>
      </c>
      <c r="K9" s="155" t="s">
        <v>290</v>
      </c>
      <c r="L9" s="159" t="s">
        <v>68</v>
      </c>
      <c r="M9" s="158">
        <v>0</v>
      </c>
      <c r="N9" s="158">
        <v>0</v>
      </c>
      <c r="O9" s="158">
        <v>17</v>
      </c>
      <c r="P9" s="155" t="s">
        <v>69</v>
      </c>
      <c r="Q9" s="151"/>
      <c r="R9" s="151"/>
      <c r="S9" s="151"/>
      <c r="T9" s="151"/>
      <c r="U9" s="151"/>
      <c r="V9" s="151"/>
      <c r="W9" s="151"/>
      <c r="X9" s="151"/>
      <c r="Y9" s="151"/>
      <c r="Z9" s="158" t="s">
        <v>306</v>
      </c>
      <c r="AA9" s="158" t="s">
        <v>326</v>
      </c>
      <c r="AB9" s="151"/>
      <c r="AC9" s="158" t="s">
        <v>148</v>
      </c>
      <c r="AD9" s="151"/>
      <c r="AE9" s="151"/>
      <c r="AF9" s="158" t="s">
        <v>327</v>
      </c>
      <c r="AG9" s="151"/>
      <c r="AH9" s="151"/>
      <c r="AI9" s="151"/>
      <c r="AJ9" s="151"/>
    </row>
    <row r="10" spans="1:36" x14ac:dyDescent="0.3">
      <c r="A10" s="153" t="s">
        <v>287</v>
      </c>
      <c r="B10" s="154">
        <v>46007</v>
      </c>
      <c r="C10" s="155" t="s">
        <v>67</v>
      </c>
      <c r="D10" s="156" t="s">
        <v>288</v>
      </c>
      <c r="E10" s="155" t="s">
        <v>1</v>
      </c>
      <c r="F10" s="155" t="s">
        <v>289</v>
      </c>
      <c r="G10" s="157">
        <v>0.26190000000000002</v>
      </c>
      <c r="H10" s="158">
        <v>168</v>
      </c>
      <c r="I10" s="158">
        <v>44</v>
      </c>
      <c r="J10" s="158">
        <v>0</v>
      </c>
      <c r="K10" s="155" t="s">
        <v>290</v>
      </c>
      <c r="L10" s="159" t="s">
        <v>155</v>
      </c>
      <c r="M10" s="158">
        <v>0</v>
      </c>
      <c r="N10" s="158">
        <v>0</v>
      </c>
      <c r="O10" s="158">
        <v>16</v>
      </c>
      <c r="P10" s="155" t="s">
        <v>69</v>
      </c>
      <c r="Q10" s="151"/>
      <c r="R10" s="151"/>
      <c r="S10" s="151"/>
      <c r="T10" s="151"/>
      <c r="U10" s="151"/>
      <c r="V10" s="151"/>
      <c r="W10" s="151"/>
      <c r="X10" s="151"/>
      <c r="Y10" s="151"/>
      <c r="Z10" s="158" t="s">
        <v>311</v>
      </c>
      <c r="AA10" s="151"/>
      <c r="AB10" s="151"/>
      <c r="AC10" s="158" t="s">
        <v>241</v>
      </c>
      <c r="AD10" s="158" t="s">
        <v>328</v>
      </c>
      <c r="AE10" s="158" t="s">
        <v>329</v>
      </c>
      <c r="AF10" s="158" t="s">
        <v>317</v>
      </c>
      <c r="AG10" s="151"/>
      <c r="AH10" s="151"/>
      <c r="AI10" s="151"/>
      <c r="AJ10" s="151"/>
    </row>
    <row r="11" spans="1:36" x14ac:dyDescent="0.3">
      <c r="A11" s="153" t="s">
        <v>297</v>
      </c>
      <c r="B11" s="154">
        <v>46009</v>
      </c>
      <c r="C11" s="155" t="s">
        <v>67</v>
      </c>
      <c r="D11" s="156" t="s">
        <v>298</v>
      </c>
      <c r="E11" s="155" t="s">
        <v>1</v>
      </c>
      <c r="F11" s="155" t="s">
        <v>289</v>
      </c>
      <c r="G11" s="157">
        <v>0.38100000000000001</v>
      </c>
      <c r="H11" s="158">
        <v>168</v>
      </c>
      <c r="I11" s="158">
        <v>64</v>
      </c>
      <c r="J11" s="158">
        <v>0</v>
      </c>
      <c r="K11" s="155" t="s">
        <v>290</v>
      </c>
      <c r="L11" s="159" t="s">
        <v>104</v>
      </c>
      <c r="M11" s="158">
        <v>0</v>
      </c>
      <c r="N11" s="158">
        <v>2</v>
      </c>
      <c r="O11" s="158">
        <v>24</v>
      </c>
      <c r="P11" s="155" t="s">
        <v>69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8" t="s">
        <v>330</v>
      </c>
      <c r="AA11" s="151"/>
      <c r="AB11" s="151"/>
      <c r="AC11" s="158" t="s">
        <v>249</v>
      </c>
      <c r="AD11" s="158" t="s">
        <v>313</v>
      </c>
      <c r="AE11" s="158" t="s">
        <v>303</v>
      </c>
      <c r="AF11" s="158" t="s">
        <v>331</v>
      </c>
      <c r="AG11" s="151"/>
      <c r="AH11" s="151"/>
      <c r="AI11" s="151"/>
      <c r="AJ11" s="151"/>
    </row>
    <row r="12" spans="1:36" x14ac:dyDescent="0.3">
      <c r="A12" s="153" t="s">
        <v>304</v>
      </c>
      <c r="B12" s="154">
        <v>46010</v>
      </c>
      <c r="C12" s="155" t="s">
        <v>67</v>
      </c>
      <c r="D12" s="156" t="s">
        <v>305</v>
      </c>
      <c r="E12" s="155" t="s">
        <v>1</v>
      </c>
      <c r="F12" s="155" t="s">
        <v>289</v>
      </c>
      <c r="G12" s="157">
        <v>0.24399999999999999</v>
      </c>
      <c r="H12" s="158">
        <v>168</v>
      </c>
      <c r="I12" s="158">
        <v>41</v>
      </c>
      <c r="J12" s="158">
        <v>0</v>
      </c>
      <c r="K12" s="155" t="s">
        <v>290</v>
      </c>
      <c r="L12" s="159" t="s">
        <v>68</v>
      </c>
      <c r="M12" s="158">
        <v>0</v>
      </c>
      <c r="N12" s="158">
        <v>0</v>
      </c>
      <c r="O12" s="158">
        <v>12</v>
      </c>
      <c r="P12" s="155" t="s">
        <v>111</v>
      </c>
      <c r="Q12" s="151"/>
      <c r="R12" s="151"/>
      <c r="S12" s="151"/>
      <c r="T12" s="151"/>
      <c r="U12" s="151"/>
      <c r="V12" s="151"/>
      <c r="W12" s="151"/>
      <c r="X12" s="151"/>
      <c r="Y12" s="151"/>
      <c r="Z12" s="158" t="s">
        <v>318</v>
      </c>
      <c r="AA12" s="151"/>
      <c r="AB12" s="158" t="s">
        <v>332</v>
      </c>
      <c r="AC12" s="151"/>
      <c r="AD12" s="158" t="s">
        <v>333</v>
      </c>
      <c r="AE12" s="158" t="s">
        <v>295</v>
      </c>
      <c r="AF12" s="158" t="s">
        <v>327</v>
      </c>
      <c r="AG12" s="151"/>
      <c r="AH12" s="151"/>
      <c r="AI12" s="151"/>
      <c r="AJ12" s="151"/>
    </row>
    <row r="13" spans="1:36" x14ac:dyDescent="0.3">
      <c r="A13" s="153" t="s">
        <v>310</v>
      </c>
      <c r="B13" s="154">
        <v>46011</v>
      </c>
      <c r="C13" s="155" t="s">
        <v>67</v>
      </c>
      <c r="D13" s="156" t="s">
        <v>298</v>
      </c>
      <c r="E13" s="155" t="s">
        <v>1</v>
      </c>
      <c r="F13" s="155" t="s">
        <v>289</v>
      </c>
      <c r="G13" s="157">
        <v>0.29170000000000001</v>
      </c>
      <c r="H13" s="158">
        <v>168</v>
      </c>
      <c r="I13" s="158">
        <v>49</v>
      </c>
      <c r="J13" s="158">
        <v>0</v>
      </c>
      <c r="K13" s="155" t="s">
        <v>290</v>
      </c>
      <c r="L13" s="159" t="s">
        <v>155</v>
      </c>
      <c r="M13" s="158">
        <v>0</v>
      </c>
      <c r="N13" s="158">
        <v>0</v>
      </c>
      <c r="O13" s="158">
        <v>20</v>
      </c>
      <c r="P13" s="155" t="s">
        <v>69</v>
      </c>
      <c r="Q13" s="151"/>
      <c r="R13" s="151"/>
      <c r="S13" s="151"/>
      <c r="T13" s="151"/>
      <c r="U13" s="151"/>
      <c r="V13" s="151"/>
      <c r="W13" s="151"/>
      <c r="X13" s="151"/>
      <c r="Y13" s="158" t="s">
        <v>291</v>
      </c>
      <c r="Z13" s="158" t="s">
        <v>318</v>
      </c>
      <c r="AA13" s="151"/>
      <c r="AB13" s="151"/>
      <c r="AC13" s="158" t="s">
        <v>334</v>
      </c>
      <c r="AD13" s="158" t="s">
        <v>328</v>
      </c>
      <c r="AE13" s="158" t="s">
        <v>329</v>
      </c>
      <c r="AF13" s="158" t="s">
        <v>335</v>
      </c>
      <c r="AG13" s="151"/>
      <c r="AH13" s="151"/>
      <c r="AI13" s="151"/>
      <c r="AJ13" s="151"/>
    </row>
    <row r="14" spans="1:36" x14ac:dyDescent="0.3">
      <c r="A14" s="153" t="s">
        <v>287</v>
      </c>
      <c r="B14" s="154">
        <v>46014</v>
      </c>
      <c r="C14" s="155" t="s">
        <v>67</v>
      </c>
      <c r="D14" s="156" t="s">
        <v>288</v>
      </c>
      <c r="E14" s="155" t="s">
        <v>1</v>
      </c>
      <c r="F14" s="155" t="s">
        <v>289</v>
      </c>
      <c r="G14" s="157">
        <v>0.1726</v>
      </c>
      <c r="H14" s="158">
        <v>168</v>
      </c>
      <c r="I14" s="158">
        <v>29</v>
      </c>
      <c r="J14" s="158">
        <v>0</v>
      </c>
      <c r="K14" s="155" t="s">
        <v>290</v>
      </c>
      <c r="L14" s="159" t="s">
        <v>68</v>
      </c>
      <c r="M14" s="158">
        <v>0</v>
      </c>
      <c r="N14" s="158">
        <v>0</v>
      </c>
      <c r="O14" s="158">
        <v>17</v>
      </c>
      <c r="P14" s="155" t="s">
        <v>69</v>
      </c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8" t="s">
        <v>312</v>
      </c>
      <c r="AD14" s="158" t="s">
        <v>336</v>
      </c>
      <c r="AE14" s="158" t="s">
        <v>329</v>
      </c>
      <c r="AF14" s="158" t="s">
        <v>314</v>
      </c>
      <c r="AG14" s="151"/>
      <c r="AH14" s="151"/>
      <c r="AI14" s="151"/>
      <c r="AJ14" s="151"/>
    </row>
    <row r="15" spans="1:36" x14ac:dyDescent="0.3">
      <c r="A15" s="153" t="s">
        <v>297</v>
      </c>
      <c r="B15" s="154">
        <v>46016</v>
      </c>
      <c r="C15" s="155" t="s">
        <v>67</v>
      </c>
      <c r="D15" s="156" t="s">
        <v>298</v>
      </c>
      <c r="E15" s="155" t="s">
        <v>1</v>
      </c>
      <c r="F15" s="155" t="s">
        <v>289</v>
      </c>
      <c r="G15" s="157">
        <v>0.25600000000000001</v>
      </c>
      <c r="H15" s="158">
        <v>168</v>
      </c>
      <c r="I15" s="158">
        <v>43</v>
      </c>
      <c r="J15" s="158">
        <v>0</v>
      </c>
      <c r="K15" s="155" t="s">
        <v>290</v>
      </c>
      <c r="L15" s="159" t="s">
        <v>155</v>
      </c>
      <c r="M15" s="158">
        <v>0</v>
      </c>
      <c r="N15" s="158">
        <v>0</v>
      </c>
      <c r="O15" s="158">
        <v>4</v>
      </c>
      <c r="P15" s="155" t="s">
        <v>111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8" t="s">
        <v>318</v>
      </c>
      <c r="AA15" s="151"/>
      <c r="AB15" s="151"/>
      <c r="AC15" s="158" t="s">
        <v>181</v>
      </c>
      <c r="AD15" s="158" t="s">
        <v>323</v>
      </c>
      <c r="AE15" s="158" t="s">
        <v>324</v>
      </c>
      <c r="AF15" s="158" t="s">
        <v>327</v>
      </c>
      <c r="AG15" s="151"/>
      <c r="AH15" s="151"/>
      <c r="AI15" s="151"/>
      <c r="AJ15" s="151"/>
    </row>
    <row r="16" spans="1:36" x14ac:dyDescent="0.3">
      <c r="A16" s="153" t="s">
        <v>304</v>
      </c>
      <c r="B16" s="154">
        <v>46017</v>
      </c>
      <c r="C16" s="155" t="s">
        <v>67</v>
      </c>
      <c r="D16" s="156" t="s">
        <v>305</v>
      </c>
      <c r="E16" s="155" t="s">
        <v>1</v>
      </c>
      <c r="F16" s="155" t="s">
        <v>289</v>
      </c>
      <c r="G16" s="157">
        <v>0.3095</v>
      </c>
      <c r="H16" s="158">
        <v>168</v>
      </c>
      <c r="I16" s="158">
        <v>52</v>
      </c>
      <c r="J16" s="158">
        <v>0</v>
      </c>
      <c r="K16" s="155" t="s">
        <v>290</v>
      </c>
      <c r="L16" s="159" t="s">
        <v>155</v>
      </c>
      <c r="M16" s="158">
        <v>0</v>
      </c>
      <c r="N16" s="158">
        <v>0</v>
      </c>
      <c r="O16" s="158">
        <v>19</v>
      </c>
      <c r="P16" s="155" t="s">
        <v>111</v>
      </c>
      <c r="Q16" s="151"/>
      <c r="R16" s="151"/>
      <c r="S16" s="151"/>
      <c r="T16" s="151"/>
      <c r="U16" s="151"/>
      <c r="V16" s="151"/>
      <c r="W16" s="151"/>
      <c r="X16" s="151"/>
      <c r="Y16" s="151"/>
      <c r="Z16" s="158" t="s">
        <v>318</v>
      </c>
      <c r="AA16" s="158" t="s">
        <v>326</v>
      </c>
      <c r="AB16" s="151"/>
      <c r="AC16" s="158" t="s">
        <v>247</v>
      </c>
      <c r="AD16" s="158" t="s">
        <v>333</v>
      </c>
      <c r="AE16" s="158" t="s">
        <v>324</v>
      </c>
      <c r="AF16" s="158" t="s">
        <v>327</v>
      </c>
      <c r="AG16" s="151"/>
      <c r="AH16" s="151"/>
      <c r="AI16" s="151"/>
      <c r="AJ16" s="151"/>
    </row>
    <row r="17" spans="1:36" x14ac:dyDescent="0.3">
      <c r="A17" s="153" t="s">
        <v>310</v>
      </c>
      <c r="B17" s="154">
        <v>46018</v>
      </c>
      <c r="C17" s="155" t="s">
        <v>67</v>
      </c>
      <c r="D17" s="156" t="s">
        <v>298</v>
      </c>
      <c r="E17" s="155" t="s">
        <v>1</v>
      </c>
      <c r="F17" s="155" t="s">
        <v>289</v>
      </c>
      <c r="G17" s="157">
        <v>0.25</v>
      </c>
      <c r="H17" s="158">
        <v>168</v>
      </c>
      <c r="I17" s="158">
        <v>42</v>
      </c>
      <c r="J17" s="158">
        <v>0</v>
      </c>
      <c r="K17" s="155" t="s">
        <v>290</v>
      </c>
      <c r="L17" s="159" t="s">
        <v>68</v>
      </c>
      <c r="M17" s="158">
        <v>0</v>
      </c>
      <c r="N17" s="158">
        <v>0</v>
      </c>
      <c r="O17" s="158">
        <v>28</v>
      </c>
      <c r="P17" s="155" t="s">
        <v>69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8" t="s">
        <v>318</v>
      </c>
      <c r="AA17" s="151"/>
      <c r="AB17" s="151"/>
      <c r="AC17" s="158" t="s">
        <v>181</v>
      </c>
      <c r="AD17" s="158" t="s">
        <v>337</v>
      </c>
      <c r="AE17" s="158" t="s">
        <v>338</v>
      </c>
      <c r="AF17" s="158" t="s">
        <v>327</v>
      </c>
      <c r="AG17" s="151"/>
      <c r="AH17" s="151"/>
      <c r="AI17" s="151"/>
      <c r="AJ17" s="151"/>
    </row>
    <row r="18" spans="1:36" x14ac:dyDescent="0.3">
      <c r="A18" s="153" t="s">
        <v>287</v>
      </c>
      <c r="B18" s="154">
        <v>46021</v>
      </c>
      <c r="C18" s="155" t="s">
        <v>67</v>
      </c>
      <c r="D18" s="156" t="s">
        <v>288</v>
      </c>
      <c r="E18" s="155" t="s">
        <v>1</v>
      </c>
      <c r="F18" s="155" t="s">
        <v>289</v>
      </c>
      <c r="G18" s="157">
        <v>0.22620000000000001</v>
      </c>
      <c r="H18" s="158">
        <v>168</v>
      </c>
      <c r="I18" s="158">
        <v>38</v>
      </c>
      <c r="J18" s="158">
        <v>0</v>
      </c>
      <c r="K18" s="155" t="s">
        <v>290</v>
      </c>
      <c r="L18" s="159" t="s">
        <v>173</v>
      </c>
      <c r="M18" s="158">
        <v>0</v>
      </c>
      <c r="N18" s="158">
        <v>0</v>
      </c>
      <c r="O18" s="158">
        <v>7</v>
      </c>
      <c r="P18" s="155" t="s">
        <v>174</v>
      </c>
      <c r="Q18" s="151"/>
      <c r="R18" s="151"/>
      <c r="S18" s="151"/>
      <c r="T18" s="151"/>
      <c r="U18" s="151"/>
      <c r="V18" s="151"/>
      <c r="W18" s="151"/>
      <c r="X18" s="151"/>
      <c r="Y18" s="151"/>
      <c r="Z18" s="158" t="s">
        <v>299</v>
      </c>
      <c r="AA18" s="151"/>
      <c r="AB18" s="151"/>
      <c r="AC18" s="151"/>
      <c r="AD18" s="151"/>
      <c r="AE18" s="158" t="s">
        <v>338</v>
      </c>
      <c r="AF18" s="158" t="s">
        <v>327</v>
      </c>
      <c r="AG18" s="151"/>
      <c r="AH18" s="151"/>
      <c r="AI18" s="151"/>
      <c r="AJ18" s="151"/>
    </row>
    <row r="19" spans="1:36" x14ac:dyDescent="0.3">
      <c r="A19" s="153" t="s">
        <v>297</v>
      </c>
      <c r="B19" s="154">
        <v>46023</v>
      </c>
      <c r="C19" s="155" t="s">
        <v>67</v>
      </c>
      <c r="D19" s="156" t="s">
        <v>298</v>
      </c>
      <c r="E19" s="155" t="s">
        <v>1</v>
      </c>
      <c r="F19" s="155" t="s">
        <v>289</v>
      </c>
      <c r="G19" s="157">
        <v>0.125</v>
      </c>
      <c r="H19" s="158">
        <v>168</v>
      </c>
      <c r="I19" s="158">
        <v>21</v>
      </c>
      <c r="J19" s="158">
        <v>0</v>
      </c>
      <c r="K19" s="155" t="s">
        <v>290</v>
      </c>
      <c r="L19" s="159" t="s">
        <v>180</v>
      </c>
      <c r="M19" s="158">
        <v>0</v>
      </c>
      <c r="N19" s="158">
        <v>0</v>
      </c>
      <c r="O19" s="158">
        <v>21</v>
      </c>
      <c r="P19" s="155" t="s">
        <v>181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8" t="s">
        <v>318</v>
      </c>
      <c r="AA19" s="151"/>
      <c r="AB19" s="158" t="s">
        <v>294</v>
      </c>
      <c r="AC19" s="158" t="s">
        <v>241</v>
      </c>
      <c r="AD19" s="158" t="s">
        <v>339</v>
      </c>
      <c r="AE19" s="158" t="s">
        <v>340</v>
      </c>
      <c r="AF19" s="151"/>
      <c r="AG19" s="151"/>
      <c r="AH19" s="151"/>
      <c r="AI19" s="151"/>
      <c r="AJ19" s="151"/>
    </row>
    <row r="20" spans="1:36" x14ac:dyDescent="0.3">
      <c r="A20" s="153" t="s">
        <v>304</v>
      </c>
      <c r="B20" s="154">
        <v>46024</v>
      </c>
      <c r="C20" s="155" t="s">
        <v>67</v>
      </c>
      <c r="D20" s="156" t="s">
        <v>305</v>
      </c>
      <c r="E20" s="155" t="s">
        <v>1</v>
      </c>
      <c r="F20" s="155" t="s">
        <v>289</v>
      </c>
      <c r="G20" s="157">
        <v>0.16070000000000001</v>
      </c>
      <c r="H20" s="158">
        <v>168</v>
      </c>
      <c r="I20" s="158">
        <v>27</v>
      </c>
      <c r="J20" s="158">
        <v>0</v>
      </c>
      <c r="K20" s="155" t="s">
        <v>290</v>
      </c>
      <c r="L20" s="159" t="s">
        <v>186</v>
      </c>
      <c r="M20" s="158">
        <v>0</v>
      </c>
      <c r="N20" s="158">
        <v>0</v>
      </c>
      <c r="O20" s="158">
        <v>27</v>
      </c>
      <c r="P20" s="155" t="s">
        <v>187</v>
      </c>
      <c r="Q20" s="151"/>
      <c r="R20" s="151"/>
      <c r="S20" s="151"/>
      <c r="T20" s="151"/>
      <c r="U20" s="151"/>
      <c r="V20" s="151"/>
      <c r="W20" s="151"/>
      <c r="X20" s="151"/>
      <c r="Y20" s="151"/>
      <c r="Z20" s="158" t="s">
        <v>341</v>
      </c>
      <c r="AA20" s="158" t="s">
        <v>326</v>
      </c>
      <c r="AB20" s="158" t="s">
        <v>187</v>
      </c>
      <c r="AC20" s="158" t="s">
        <v>69</v>
      </c>
      <c r="AD20" s="158" t="s">
        <v>313</v>
      </c>
      <c r="AE20" s="158" t="s">
        <v>303</v>
      </c>
      <c r="AF20" s="151"/>
      <c r="AG20" s="151"/>
      <c r="AH20" s="151"/>
      <c r="AI20" s="151"/>
      <c r="AJ20" s="151"/>
    </row>
    <row r="21" spans="1:36" x14ac:dyDescent="0.3">
      <c r="A21" s="153" t="s">
        <v>310</v>
      </c>
      <c r="B21" s="154">
        <v>46025</v>
      </c>
      <c r="C21" s="155" t="s">
        <v>67</v>
      </c>
      <c r="D21" s="156" t="s">
        <v>298</v>
      </c>
      <c r="E21" s="155" t="s">
        <v>1</v>
      </c>
      <c r="F21" s="155" t="s">
        <v>289</v>
      </c>
      <c r="G21" s="157">
        <v>0.1429</v>
      </c>
      <c r="H21" s="158">
        <v>168</v>
      </c>
      <c r="I21" s="158">
        <v>24</v>
      </c>
      <c r="J21" s="158">
        <v>0</v>
      </c>
      <c r="K21" s="155" t="s">
        <v>290</v>
      </c>
      <c r="L21" s="159" t="s">
        <v>193</v>
      </c>
      <c r="M21" s="158">
        <v>0</v>
      </c>
      <c r="N21" s="158">
        <v>0</v>
      </c>
      <c r="O21" s="158">
        <v>24</v>
      </c>
      <c r="P21" s="155" t="s">
        <v>194</v>
      </c>
      <c r="Q21" s="151"/>
      <c r="R21" s="151"/>
      <c r="S21" s="151"/>
      <c r="T21" s="151"/>
      <c r="U21" s="151"/>
      <c r="V21" s="151"/>
      <c r="W21" s="151"/>
      <c r="X21" s="151"/>
      <c r="Y21" s="158" t="s">
        <v>342</v>
      </c>
      <c r="Z21" s="158" t="s">
        <v>318</v>
      </c>
      <c r="AA21" s="158" t="s">
        <v>293</v>
      </c>
      <c r="AB21" s="158" t="s">
        <v>322</v>
      </c>
      <c r="AC21" s="158" t="s">
        <v>316</v>
      </c>
      <c r="AD21" s="158" t="s">
        <v>302</v>
      </c>
      <c r="AE21" s="151"/>
      <c r="AF21" s="151"/>
      <c r="AG21" s="151"/>
      <c r="AH21" s="151"/>
      <c r="AI21" s="151"/>
      <c r="AJ21" s="151"/>
    </row>
    <row r="22" spans="1:36" x14ac:dyDescent="0.3">
      <c r="A22" s="153" t="s">
        <v>287</v>
      </c>
      <c r="B22" s="154">
        <v>46028</v>
      </c>
      <c r="C22" s="155" t="s">
        <v>67</v>
      </c>
      <c r="D22" s="156" t="s">
        <v>288</v>
      </c>
      <c r="E22" s="155" t="s">
        <v>1</v>
      </c>
      <c r="F22" s="155" t="s">
        <v>289</v>
      </c>
      <c r="G22" s="157">
        <v>7.7399999999999997E-2</v>
      </c>
      <c r="H22" s="158">
        <v>168</v>
      </c>
      <c r="I22" s="158">
        <v>13</v>
      </c>
      <c r="J22" s="158">
        <v>0</v>
      </c>
      <c r="K22" s="155" t="s">
        <v>290</v>
      </c>
      <c r="L22" s="159" t="s">
        <v>197</v>
      </c>
      <c r="M22" s="158">
        <v>0</v>
      </c>
      <c r="N22" s="158">
        <v>0</v>
      </c>
      <c r="O22" s="158">
        <v>13</v>
      </c>
      <c r="P22" s="155" t="s">
        <v>198</v>
      </c>
      <c r="Q22" s="151"/>
      <c r="R22" s="151"/>
      <c r="S22" s="151"/>
      <c r="T22" s="151"/>
      <c r="U22" s="151"/>
      <c r="V22" s="151"/>
      <c r="W22" s="151"/>
      <c r="X22" s="151"/>
      <c r="Y22" s="151"/>
      <c r="Z22" s="158" t="s">
        <v>318</v>
      </c>
      <c r="AA22" s="151"/>
      <c r="AB22" s="151"/>
      <c r="AC22" s="158" t="s">
        <v>181</v>
      </c>
      <c r="AD22" s="158" t="s">
        <v>313</v>
      </c>
      <c r="AE22" s="158" t="s">
        <v>343</v>
      </c>
      <c r="AF22" s="151"/>
      <c r="AG22" s="151"/>
      <c r="AH22" s="151"/>
      <c r="AI22" s="151"/>
      <c r="AJ22" s="151"/>
    </row>
    <row r="23" spans="1:36" x14ac:dyDescent="0.3">
      <c r="A23" s="153" t="s">
        <v>297</v>
      </c>
      <c r="B23" s="154">
        <v>46030</v>
      </c>
      <c r="C23" s="155" t="s">
        <v>67</v>
      </c>
      <c r="D23" s="156" t="s">
        <v>298</v>
      </c>
      <c r="E23" s="155" t="s">
        <v>1</v>
      </c>
      <c r="F23" s="155" t="s">
        <v>289</v>
      </c>
      <c r="G23" s="157">
        <v>0.20610000000000001</v>
      </c>
      <c r="H23" s="158">
        <v>165</v>
      </c>
      <c r="I23" s="158">
        <v>34</v>
      </c>
      <c r="J23" s="158">
        <v>0</v>
      </c>
      <c r="K23" s="155" t="s">
        <v>290</v>
      </c>
      <c r="L23" s="159" t="s">
        <v>186</v>
      </c>
      <c r="M23" s="158">
        <v>0</v>
      </c>
      <c r="N23" s="158">
        <v>0</v>
      </c>
      <c r="O23" s="158">
        <v>34</v>
      </c>
      <c r="P23" s="155" t="s">
        <v>212</v>
      </c>
      <c r="Q23" s="151"/>
      <c r="R23" s="151"/>
      <c r="S23" s="151"/>
      <c r="T23" s="151"/>
      <c r="U23" s="151"/>
      <c r="V23" s="151"/>
      <c r="W23" s="151"/>
      <c r="X23" s="158" t="s">
        <v>344</v>
      </c>
      <c r="Y23" s="158" t="s">
        <v>345</v>
      </c>
      <c r="Z23" s="158" t="s">
        <v>292</v>
      </c>
      <c r="AA23" s="158" t="s">
        <v>346</v>
      </c>
      <c r="AB23" s="151"/>
      <c r="AC23" s="151"/>
      <c r="AD23" s="151"/>
      <c r="AE23" s="151"/>
      <c r="AF23" s="151"/>
      <c r="AG23" s="151"/>
      <c r="AH23" s="151"/>
      <c r="AI23" s="151"/>
      <c r="AJ23" s="151"/>
    </row>
    <row r="24" spans="1:36" x14ac:dyDescent="0.3">
      <c r="A24" s="153" t="s">
        <v>304</v>
      </c>
      <c r="B24" s="154">
        <v>46031</v>
      </c>
      <c r="C24" s="155" t="s">
        <v>67</v>
      </c>
      <c r="D24" s="156" t="s">
        <v>305</v>
      </c>
      <c r="E24" s="155" t="s">
        <v>1</v>
      </c>
      <c r="F24" s="155" t="s">
        <v>289</v>
      </c>
      <c r="G24" s="157">
        <v>0.19639999999999999</v>
      </c>
      <c r="H24" s="158">
        <v>168</v>
      </c>
      <c r="I24" s="158">
        <v>33</v>
      </c>
      <c r="J24" s="158">
        <v>0</v>
      </c>
      <c r="K24" s="155" t="s">
        <v>290</v>
      </c>
      <c r="L24" s="159" t="s">
        <v>186</v>
      </c>
      <c r="M24" s="158">
        <v>0</v>
      </c>
      <c r="N24" s="158">
        <v>0</v>
      </c>
      <c r="O24" s="158">
        <v>33</v>
      </c>
      <c r="P24" s="155" t="s">
        <v>221</v>
      </c>
      <c r="Q24" s="151"/>
      <c r="R24" s="151"/>
      <c r="S24" s="151"/>
      <c r="T24" s="151"/>
      <c r="U24" s="151"/>
      <c r="V24" s="151"/>
      <c r="W24" s="151"/>
      <c r="X24" s="158" t="s">
        <v>344</v>
      </c>
      <c r="Y24" s="158" t="s">
        <v>347</v>
      </c>
      <c r="Z24" s="158" t="s">
        <v>348</v>
      </c>
      <c r="AA24" s="158" t="s">
        <v>321</v>
      </c>
      <c r="AB24" s="151"/>
      <c r="AC24" s="151"/>
      <c r="AD24" s="151"/>
      <c r="AE24" s="151"/>
      <c r="AF24" s="151"/>
      <c r="AG24" s="151"/>
      <c r="AH24" s="151"/>
      <c r="AI24" s="151"/>
      <c r="AJ24" s="151"/>
    </row>
    <row r="25" spans="1:36" x14ac:dyDescent="0.3">
      <c r="A25" s="153" t="s">
        <v>310</v>
      </c>
      <c r="B25" s="154">
        <v>46032</v>
      </c>
      <c r="C25" s="155" t="s">
        <v>67</v>
      </c>
      <c r="D25" s="156" t="s">
        <v>298</v>
      </c>
      <c r="E25" s="155" t="s">
        <v>1</v>
      </c>
      <c r="F25" s="155" t="s">
        <v>289</v>
      </c>
      <c r="G25" s="157">
        <v>0.13100000000000001</v>
      </c>
      <c r="H25" s="158">
        <v>168</v>
      </c>
      <c r="I25" s="158">
        <v>22</v>
      </c>
      <c r="J25" s="158">
        <v>0</v>
      </c>
      <c r="K25" s="155" t="s">
        <v>290</v>
      </c>
      <c r="L25" s="159" t="s">
        <v>193</v>
      </c>
      <c r="M25" s="158">
        <v>0</v>
      </c>
      <c r="N25" s="158">
        <v>0</v>
      </c>
      <c r="O25" s="158">
        <v>22</v>
      </c>
      <c r="P25" s="155" t="s">
        <v>229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58" t="s">
        <v>349</v>
      </c>
      <c r="AA25" s="158" t="s">
        <v>174</v>
      </c>
      <c r="AB25" s="151"/>
      <c r="AC25" s="151"/>
      <c r="AD25" s="151"/>
      <c r="AE25" s="151"/>
      <c r="AF25" s="151"/>
      <c r="AG25" s="151"/>
      <c r="AH25" s="151"/>
      <c r="AI25" s="151"/>
      <c r="AJ25" s="151"/>
    </row>
    <row r="26" spans="1:36" x14ac:dyDescent="0.3">
      <c r="A26" s="153" t="s">
        <v>287</v>
      </c>
      <c r="B26" s="154">
        <v>46035</v>
      </c>
      <c r="C26" s="155" t="s">
        <v>67</v>
      </c>
      <c r="D26" s="156" t="s">
        <v>288</v>
      </c>
      <c r="E26" s="155" t="s">
        <v>1</v>
      </c>
      <c r="F26" s="155" t="s">
        <v>289</v>
      </c>
      <c r="G26" s="157">
        <v>7.7399999999999997E-2</v>
      </c>
      <c r="H26" s="158">
        <v>168</v>
      </c>
      <c r="I26" s="158">
        <v>13</v>
      </c>
      <c r="J26" s="158">
        <v>0</v>
      </c>
      <c r="K26" s="155" t="s">
        <v>290</v>
      </c>
      <c r="L26" s="159" t="s">
        <v>231</v>
      </c>
      <c r="M26" s="158">
        <v>0</v>
      </c>
      <c r="N26" s="158">
        <v>0</v>
      </c>
      <c r="O26" s="158">
        <v>13</v>
      </c>
      <c r="P26" s="155" t="s">
        <v>198</v>
      </c>
      <c r="Q26" s="151"/>
      <c r="R26" s="151"/>
      <c r="S26" s="151"/>
      <c r="T26" s="151"/>
      <c r="U26" s="151"/>
      <c r="V26" s="151"/>
      <c r="W26" s="151"/>
      <c r="X26" s="151"/>
      <c r="Y26" s="158" t="s">
        <v>229</v>
      </c>
      <c r="Z26" s="151"/>
      <c r="AA26" s="151"/>
      <c r="AB26" s="151"/>
      <c r="AC26" s="151"/>
      <c r="AD26" s="158" t="s">
        <v>333</v>
      </c>
      <c r="AE26" s="158" t="s">
        <v>340</v>
      </c>
      <c r="AF26" s="151"/>
      <c r="AG26" s="151"/>
      <c r="AH26" s="151"/>
      <c r="AI26" s="151"/>
      <c r="AJ26" s="151"/>
    </row>
    <row r="27" spans="1:36" x14ac:dyDescent="0.3">
      <c r="A27" s="153" t="s">
        <v>297</v>
      </c>
      <c r="B27" s="154">
        <v>46037</v>
      </c>
      <c r="C27" s="155" t="s">
        <v>67</v>
      </c>
      <c r="D27" s="156" t="s">
        <v>298</v>
      </c>
      <c r="E27" s="155" t="s">
        <v>1</v>
      </c>
      <c r="F27" s="155" t="s">
        <v>289</v>
      </c>
      <c r="G27" s="157">
        <v>0.1429</v>
      </c>
      <c r="H27" s="158">
        <v>168</v>
      </c>
      <c r="I27" s="158">
        <v>24</v>
      </c>
      <c r="J27" s="158">
        <v>0</v>
      </c>
      <c r="K27" s="155" t="s">
        <v>290</v>
      </c>
      <c r="L27" s="159" t="s">
        <v>235</v>
      </c>
      <c r="M27" s="158">
        <v>0</v>
      </c>
      <c r="N27" s="158">
        <v>0</v>
      </c>
      <c r="O27" s="158">
        <v>24</v>
      </c>
      <c r="P27" s="155" t="s">
        <v>236</v>
      </c>
      <c r="Q27" s="151"/>
      <c r="R27" s="151"/>
      <c r="S27" s="151"/>
      <c r="T27" s="151"/>
      <c r="U27" s="151"/>
      <c r="V27" s="151"/>
      <c r="W27" s="151"/>
      <c r="X27" s="151"/>
      <c r="Y27" s="158" t="s">
        <v>350</v>
      </c>
      <c r="Z27" s="158" t="s">
        <v>299</v>
      </c>
      <c r="AA27" s="151"/>
      <c r="AB27" s="158" t="s">
        <v>322</v>
      </c>
      <c r="AC27" s="158" t="s">
        <v>351</v>
      </c>
      <c r="AD27" s="151"/>
      <c r="AE27" s="151"/>
      <c r="AF27" s="151"/>
      <c r="AG27" s="151"/>
      <c r="AH27" s="151"/>
      <c r="AI27" s="151"/>
      <c r="AJ27" s="151"/>
    </row>
    <row r="28" spans="1:36" x14ac:dyDescent="0.3">
      <c r="A28" s="153" t="s">
        <v>304</v>
      </c>
      <c r="B28" s="154">
        <v>46038</v>
      </c>
      <c r="C28" s="155" t="s">
        <v>67</v>
      </c>
      <c r="D28" s="156" t="s">
        <v>305</v>
      </c>
      <c r="E28" s="155" t="s">
        <v>1</v>
      </c>
      <c r="F28" s="155" t="s">
        <v>289</v>
      </c>
      <c r="G28" s="157">
        <v>0.1333</v>
      </c>
      <c r="H28" s="158">
        <v>165</v>
      </c>
      <c r="I28" s="158">
        <v>22</v>
      </c>
      <c r="J28" s="158">
        <v>0</v>
      </c>
      <c r="K28" s="155" t="s">
        <v>290</v>
      </c>
      <c r="L28" s="159" t="s">
        <v>235</v>
      </c>
      <c r="M28" s="158">
        <v>0</v>
      </c>
      <c r="N28" s="158">
        <v>0</v>
      </c>
      <c r="O28" s="158">
        <v>22</v>
      </c>
      <c r="P28" s="155" t="s">
        <v>194</v>
      </c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8" t="s">
        <v>326</v>
      </c>
      <c r="AB28" s="158" t="s">
        <v>294</v>
      </c>
      <c r="AC28" s="158" t="s">
        <v>249</v>
      </c>
      <c r="AD28" s="158" t="s">
        <v>307</v>
      </c>
      <c r="AE28" s="158" t="s">
        <v>343</v>
      </c>
      <c r="AF28" s="151"/>
      <c r="AG28" s="151"/>
      <c r="AH28" s="151"/>
      <c r="AI28" s="151"/>
      <c r="AJ28" s="151"/>
    </row>
    <row r="29" spans="1:36" x14ac:dyDescent="0.3">
      <c r="A29" s="153" t="s">
        <v>310</v>
      </c>
      <c r="B29" s="154">
        <v>46039</v>
      </c>
      <c r="C29" s="155" t="s">
        <v>67</v>
      </c>
      <c r="D29" s="156" t="s">
        <v>298</v>
      </c>
      <c r="E29" s="155" t="s">
        <v>1</v>
      </c>
      <c r="F29" s="155" t="s">
        <v>289</v>
      </c>
      <c r="G29" s="157">
        <v>8.9300000000000004E-2</v>
      </c>
      <c r="H29" s="158">
        <v>168</v>
      </c>
      <c r="I29" s="158">
        <v>15</v>
      </c>
      <c r="J29" s="158">
        <v>0</v>
      </c>
      <c r="K29" s="155" t="s">
        <v>290</v>
      </c>
      <c r="L29" s="159" t="s">
        <v>235</v>
      </c>
      <c r="M29" s="158">
        <v>0</v>
      </c>
      <c r="N29" s="158">
        <v>0</v>
      </c>
      <c r="O29" s="158">
        <v>15</v>
      </c>
      <c r="P29" s="155" t="s">
        <v>241</v>
      </c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8" t="s">
        <v>352</v>
      </c>
      <c r="AB29" s="151"/>
      <c r="AC29" s="151"/>
      <c r="AD29" s="158" t="s">
        <v>323</v>
      </c>
      <c r="AE29" s="158" t="s">
        <v>303</v>
      </c>
      <c r="AF29" s="151"/>
      <c r="AG29" s="151"/>
      <c r="AH29" s="151"/>
      <c r="AI29" s="151"/>
      <c r="AJ29" s="151"/>
    </row>
    <row r="30" spans="1:36" x14ac:dyDescent="0.3">
      <c r="A30" s="153" t="s">
        <v>287</v>
      </c>
      <c r="B30" s="154">
        <v>46042</v>
      </c>
      <c r="C30" s="155" t="s">
        <v>67</v>
      </c>
      <c r="D30" s="156" t="s">
        <v>288</v>
      </c>
      <c r="E30" s="155" t="s">
        <v>1</v>
      </c>
      <c r="F30" s="155" t="s">
        <v>289</v>
      </c>
      <c r="G30" s="157">
        <v>0.11310000000000001</v>
      </c>
      <c r="H30" s="158">
        <v>168</v>
      </c>
      <c r="I30" s="158">
        <v>19</v>
      </c>
      <c r="J30" s="158">
        <v>0</v>
      </c>
      <c r="K30" s="155" t="s">
        <v>290</v>
      </c>
      <c r="L30" s="159" t="s">
        <v>235</v>
      </c>
      <c r="M30" s="158">
        <v>0</v>
      </c>
      <c r="N30" s="158">
        <v>0</v>
      </c>
      <c r="O30" s="158">
        <v>19</v>
      </c>
      <c r="P30" s="155" t="s">
        <v>181</v>
      </c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8" t="s">
        <v>241</v>
      </c>
      <c r="AD30" s="158" t="s">
        <v>353</v>
      </c>
      <c r="AE30" s="158" t="s">
        <v>340</v>
      </c>
      <c r="AF30" s="151"/>
      <c r="AG30" s="151"/>
      <c r="AH30" s="151"/>
      <c r="AI30" s="151"/>
      <c r="AJ30" s="151"/>
    </row>
    <row r="31" spans="1:36" x14ac:dyDescent="0.3">
      <c r="A31" s="153" t="s">
        <v>297</v>
      </c>
      <c r="B31" s="154">
        <v>46044</v>
      </c>
      <c r="C31" s="155" t="s">
        <v>67</v>
      </c>
      <c r="D31" s="156" t="s">
        <v>298</v>
      </c>
      <c r="E31" s="155" t="s">
        <v>1</v>
      </c>
      <c r="F31" s="155" t="s">
        <v>289</v>
      </c>
      <c r="G31" s="157">
        <v>0.11310000000000001</v>
      </c>
      <c r="H31" s="158">
        <v>168</v>
      </c>
      <c r="I31" s="158">
        <v>19</v>
      </c>
      <c r="J31" s="158">
        <v>0</v>
      </c>
      <c r="K31" s="155" t="s">
        <v>290</v>
      </c>
      <c r="L31" s="159" t="s">
        <v>186</v>
      </c>
      <c r="M31" s="158">
        <v>0</v>
      </c>
      <c r="N31" s="158">
        <v>0</v>
      </c>
      <c r="O31" s="158">
        <v>19</v>
      </c>
      <c r="P31" s="155" t="s">
        <v>181</v>
      </c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8" t="s">
        <v>148</v>
      </c>
      <c r="AD31" s="158" t="s">
        <v>313</v>
      </c>
      <c r="AE31" s="158" t="s">
        <v>329</v>
      </c>
      <c r="AF31" s="158" t="s">
        <v>354</v>
      </c>
      <c r="AG31" s="151"/>
      <c r="AH31" s="151"/>
      <c r="AI31" s="151"/>
      <c r="AJ31" s="151"/>
    </row>
    <row r="32" spans="1:36" x14ac:dyDescent="0.3">
      <c r="A32" s="153" t="s">
        <v>304</v>
      </c>
      <c r="B32" s="154">
        <v>46045</v>
      </c>
      <c r="C32" s="155" t="s">
        <v>67</v>
      </c>
      <c r="D32" s="156" t="s">
        <v>305</v>
      </c>
      <c r="E32" s="155" t="s">
        <v>1</v>
      </c>
      <c r="F32" s="155" t="s">
        <v>289</v>
      </c>
      <c r="G32" s="157">
        <v>7.7399999999999997E-2</v>
      </c>
      <c r="H32" s="158">
        <v>168</v>
      </c>
      <c r="I32" s="158">
        <v>13</v>
      </c>
      <c r="J32" s="158">
        <v>0</v>
      </c>
      <c r="K32" s="155" t="s">
        <v>290</v>
      </c>
      <c r="L32" s="159" t="s">
        <v>197</v>
      </c>
      <c r="M32" s="158">
        <v>0</v>
      </c>
      <c r="N32" s="158">
        <v>0</v>
      </c>
      <c r="O32" s="158">
        <v>13</v>
      </c>
      <c r="P32" s="155" t="s">
        <v>247</v>
      </c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8" t="s">
        <v>312</v>
      </c>
      <c r="AD32" s="158" t="s">
        <v>323</v>
      </c>
      <c r="AE32" s="158" t="s">
        <v>329</v>
      </c>
      <c r="AF32" s="151"/>
      <c r="AG32" s="151"/>
      <c r="AH32" s="151"/>
      <c r="AI32" s="151"/>
      <c r="AJ32" s="151"/>
    </row>
    <row r="33" spans="1:36" x14ac:dyDescent="0.3">
      <c r="A33" s="153" t="s">
        <v>310</v>
      </c>
      <c r="B33" s="154">
        <v>46046</v>
      </c>
      <c r="C33" s="155" t="s">
        <v>67</v>
      </c>
      <c r="D33" s="156" t="s">
        <v>298</v>
      </c>
      <c r="E33" s="155" t="s">
        <v>1</v>
      </c>
      <c r="F33" s="155" t="s">
        <v>289</v>
      </c>
      <c r="G33" s="157">
        <v>8.3299999999999999E-2</v>
      </c>
      <c r="H33" s="158">
        <v>168</v>
      </c>
      <c r="I33" s="158">
        <v>14</v>
      </c>
      <c r="J33" s="158">
        <v>0</v>
      </c>
      <c r="K33" s="155" t="s">
        <v>290</v>
      </c>
      <c r="L33" s="159" t="s">
        <v>193</v>
      </c>
      <c r="M33" s="158">
        <v>0</v>
      </c>
      <c r="N33" s="158">
        <v>0</v>
      </c>
      <c r="O33" s="158">
        <v>14</v>
      </c>
      <c r="P33" s="155" t="s">
        <v>249</v>
      </c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8" t="s">
        <v>312</v>
      </c>
      <c r="AD33" s="158" t="s">
        <v>323</v>
      </c>
      <c r="AE33" s="158" t="s">
        <v>319</v>
      </c>
      <c r="AF33" s="151"/>
      <c r="AG33" s="151"/>
      <c r="AH33" s="151"/>
      <c r="AI33" s="151"/>
      <c r="AJ33" s="151"/>
    </row>
    <row r="34" spans="1:36" x14ac:dyDescent="0.3">
      <c r="A34" s="153" t="s">
        <v>287</v>
      </c>
      <c r="B34" s="154">
        <v>46049</v>
      </c>
      <c r="C34" s="155" t="s">
        <v>67</v>
      </c>
      <c r="D34" s="156" t="s">
        <v>288</v>
      </c>
      <c r="E34" s="155" t="s">
        <v>1</v>
      </c>
      <c r="F34" s="155" t="s">
        <v>289</v>
      </c>
      <c r="G34" s="157">
        <v>7.1400000000000005E-2</v>
      </c>
      <c r="H34" s="158">
        <v>168</v>
      </c>
      <c r="I34" s="158">
        <v>12</v>
      </c>
      <c r="J34" s="158">
        <v>0</v>
      </c>
      <c r="K34" s="155" t="s">
        <v>290</v>
      </c>
      <c r="L34" s="159" t="s">
        <v>252</v>
      </c>
      <c r="M34" s="158">
        <v>0</v>
      </c>
      <c r="N34" s="158">
        <v>0</v>
      </c>
      <c r="O34" s="158">
        <v>12</v>
      </c>
      <c r="P34" s="155" t="s">
        <v>253</v>
      </c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8" t="s">
        <v>148</v>
      </c>
      <c r="AD34" s="158" t="s">
        <v>336</v>
      </c>
      <c r="AE34" s="158" t="s">
        <v>295</v>
      </c>
      <c r="AF34" s="151"/>
      <c r="AG34" s="151"/>
      <c r="AH34" s="151"/>
      <c r="AI34" s="151"/>
      <c r="AJ34" s="151"/>
    </row>
    <row r="35" spans="1:36" x14ac:dyDescent="0.3">
      <c r="A35" s="153" t="s">
        <v>297</v>
      </c>
      <c r="B35" s="154">
        <v>46051</v>
      </c>
      <c r="C35" s="155" t="s">
        <v>67</v>
      </c>
      <c r="D35" s="156" t="s">
        <v>298</v>
      </c>
      <c r="E35" s="155" t="s">
        <v>1</v>
      </c>
      <c r="F35" s="155" t="s">
        <v>289</v>
      </c>
      <c r="G35" s="157">
        <v>9.5200000000000007E-2</v>
      </c>
      <c r="H35" s="158">
        <v>168</v>
      </c>
      <c r="I35" s="158">
        <v>16</v>
      </c>
      <c r="J35" s="158">
        <v>0</v>
      </c>
      <c r="K35" s="155" t="s">
        <v>290</v>
      </c>
      <c r="L35" s="159" t="s">
        <v>186</v>
      </c>
      <c r="M35" s="158">
        <v>0</v>
      </c>
      <c r="N35" s="158">
        <v>0</v>
      </c>
      <c r="O35" s="158">
        <v>16</v>
      </c>
      <c r="P35" s="155" t="s">
        <v>148</v>
      </c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8" t="s">
        <v>355</v>
      </c>
      <c r="AD35" s="158" t="s">
        <v>323</v>
      </c>
      <c r="AE35" s="158" t="s">
        <v>329</v>
      </c>
      <c r="AF35" s="151"/>
      <c r="AG35" s="151"/>
      <c r="AH35" s="151"/>
      <c r="AI35" s="151"/>
      <c r="AJ35" s="151"/>
    </row>
    <row r="36" spans="1:36" x14ac:dyDescent="0.3">
      <c r="A36" s="153" t="s">
        <v>304</v>
      </c>
      <c r="B36" s="154">
        <v>46052</v>
      </c>
      <c r="C36" s="155" t="s">
        <v>67</v>
      </c>
      <c r="D36" s="156" t="s">
        <v>305</v>
      </c>
      <c r="E36" s="155" t="s">
        <v>1</v>
      </c>
      <c r="F36" s="155" t="s">
        <v>289</v>
      </c>
      <c r="G36" s="157">
        <v>7.7399999999999997E-2</v>
      </c>
      <c r="H36" s="158">
        <v>168</v>
      </c>
      <c r="I36" s="158">
        <v>13</v>
      </c>
      <c r="J36" s="158">
        <v>0</v>
      </c>
      <c r="K36" s="155" t="s">
        <v>290</v>
      </c>
      <c r="L36" s="159" t="s">
        <v>197</v>
      </c>
      <c r="M36" s="158">
        <v>0</v>
      </c>
      <c r="N36" s="158">
        <v>0</v>
      </c>
      <c r="O36" s="158">
        <v>13</v>
      </c>
      <c r="P36" s="155" t="s">
        <v>247</v>
      </c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8" t="s">
        <v>339</v>
      </c>
      <c r="AE36" s="158" t="s">
        <v>343</v>
      </c>
      <c r="AF36" s="151"/>
      <c r="AG36" s="151"/>
      <c r="AH36" s="151"/>
      <c r="AI36" s="151"/>
      <c r="AJ36" s="151"/>
    </row>
    <row r="37" spans="1:36" x14ac:dyDescent="0.3">
      <c r="A37" s="153" t="s">
        <v>310</v>
      </c>
      <c r="B37" s="154">
        <v>46053</v>
      </c>
      <c r="C37" s="155" t="s">
        <v>67</v>
      </c>
      <c r="D37" s="156" t="s">
        <v>298</v>
      </c>
      <c r="E37" s="155" t="s">
        <v>1</v>
      </c>
      <c r="F37" s="155" t="s">
        <v>289</v>
      </c>
      <c r="G37" s="157">
        <v>0.1071</v>
      </c>
      <c r="H37" s="158">
        <v>168</v>
      </c>
      <c r="I37" s="158">
        <v>18</v>
      </c>
      <c r="J37" s="158">
        <v>0</v>
      </c>
      <c r="K37" s="155" t="s">
        <v>290</v>
      </c>
      <c r="L37" s="159" t="s">
        <v>235</v>
      </c>
      <c r="M37" s="158">
        <v>0</v>
      </c>
      <c r="N37" s="158">
        <v>0</v>
      </c>
      <c r="O37" s="158">
        <v>18</v>
      </c>
      <c r="P37" s="155" t="s">
        <v>181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8" t="s">
        <v>311</v>
      </c>
      <c r="AA37" s="151"/>
      <c r="AB37" s="158" t="s">
        <v>332</v>
      </c>
      <c r="AC37" s="158" t="s">
        <v>247</v>
      </c>
      <c r="AD37" s="158" t="s">
        <v>302</v>
      </c>
      <c r="AE37" s="158" t="s">
        <v>343</v>
      </c>
      <c r="AF37" s="151"/>
      <c r="AG37" s="151"/>
      <c r="AH37" s="151"/>
      <c r="AI37" s="151"/>
      <c r="AJ37" s="151"/>
    </row>
    <row r="38" spans="1:36" ht="21" x14ac:dyDescent="0.3">
      <c r="A38" s="160" t="s">
        <v>508</v>
      </c>
      <c r="B38" s="161"/>
      <c r="C38" s="160">
        <f>SUBTOTAL(103,DMM_CAI_LF_LEGACY[Flt])</f>
        <v>36</v>
      </c>
      <c r="D38" s="160"/>
      <c r="E38" s="160">
        <f>SUBTOTAL(103,DMM_CAI_LF_LEGACY[Brd-Off])</f>
        <v>36</v>
      </c>
      <c r="F38" s="160"/>
      <c r="G38" s="162">
        <f>SUBTOTAL(101,DMM_CAI_LF_LEGACY[LF%])</f>
        <v>0.21065277777777777</v>
      </c>
      <c r="H38" s="163">
        <f>SUBTOTAL(109,DMM_CAI_LF_LEGACY[CAP])</f>
        <v>6042</v>
      </c>
      <c r="I38" s="163">
        <f>SUBTOTAL(109,DMM_CAI_LF_LEGACY[BKG(Y)])</f>
        <v>1273</v>
      </c>
      <c r="J38" s="163">
        <f>SUBTOTAL(109,DMM_CAI_LF_LEGACY[GRP(Y)])</f>
        <v>0</v>
      </c>
      <c r="K38" s="160"/>
      <c r="L38" s="161"/>
      <c r="M38" s="163">
        <f>SUBTOTAL(109,DMM_CAI_LF_LEGACY[TO-DAY])</f>
        <v>3</v>
      </c>
      <c r="N38" s="163">
        <f>SUBTOTAL(109,DMM_CAI_LF_LEGACY[Y-DAY])</f>
        <v>8</v>
      </c>
      <c r="O38" s="163">
        <f>SUBTOTAL(109,DMM_CAI_LF_LEGACY[WEEKLY])</f>
        <v>726</v>
      </c>
      <c r="P38" s="164"/>
      <c r="Q38" s="163">
        <f>SUBTOTAL(109,DMM_CAI_LF_LEGACY[Y])</f>
        <v>0</v>
      </c>
      <c r="R38" s="163">
        <f>SUBTOTAL(109,DMM_CAI_LF_LEGACY[B])</f>
        <v>0</v>
      </c>
      <c r="S38" s="163">
        <f>SUBTOTAL(109,DMM_CAI_LF_LEGACY[M])</f>
        <v>0</v>
      </c>
      <c r="T38" s="163">
        <f>SUBTOTAL(109,DMM_CAI_LF_LEGACY[H])</f>
        <v>0</v>
      </c>
      <c r="U38" s="163">
        <f>SUBTOTAL(109,DMM_CAI_LF_LEGACY[Q])</f>
        <v>0</v>
      </c>
      <c r="V38" s="163">
        <f>SUBTOTAL(109,DMM_CAI_LF_LEGACY[K])</f>
        <v>0</v>
      </c>
      <c r="W38" s="163">
        <f>SUBTOTAL(109,DMM_CAI_LF_LEGACY[V])</f>
        <v>0</v>
      </c>
      <c r="X38" s="163">
        <f>SUBTOTAL(109,DMM_CAI_LF_LEGACY[L])</f>
        <v>0</v>
      </c>
      <c r="Y38" s="163">
        <f>SUBTOTAL(109,DMM_CAI_LF_LEGACY[G])</f>
        <v>0</v>
      </c>
      <c r="Z38" s="163">
        <f>SUBTOTAL(109,DMM_CAI_LF_LEGACY[S])</f>
        <v>0</v>
      </c>
      <c r="AA38" s="163">
        <f>SUBTOTAL(109,DMM_CAI_LF_LEGACY[W])</f>
        <v>0</v>
      </c>
      <c r="AB38" s="163">
        <f>SUBTOTAL(109,DMM_CAI_LF_LEGACY[T])</f>
        <v>0</v>
      </c>
      <c r="AC38" s="163">
        <f>SUBTOTAL(109,DMM_CAI_LF_LEGACY[X])</f>
        <v>0</v>
      </c>
      <c r="AD38" s="163">
        <f>SUBTOTAL(109,DMM_CAI_LF_LEGACY[U])</f>
        <v>0</v>
      </c>
      <c r="AE38" s="163">
        <f>SUBTOTAL(109,DMM_CAI_LF_LEGACY[O])</f>
        <v>0</v>
      </c>
      <c r="AF38" s="163">
        <f>SUBTOTAL(109,DMM_CAI_LF_LEGACY[I])</f>
        <v>0</v>
      </c>
      <c r="AG38" s="163">
        <f>SUBTOTAL(109,DMM_CAI_LF_LEGACY[E])</f>
        <v>0</v>
      </c>
      <c r="AH38" s="163">
        <f>SUBTOTAL(109,DMM_CAI_LF_LEGACY[A])</f>
        <v>0</v>
      </c>
      <c r="AI38" s="163">
        <f>SUBTOTAL(109,DMM_CAI_LF_LEGACY[P])</f>
        <v>0</v>
      </c>
      <c r="AJ38" s="163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68"/>
  <sheetViews>
    <sheetView topLeftCell="A6" workbookViewId="0">
      <selection activeCell="F13" sqref="F13"/>
    </sheetView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3.77734375" hidden="1" customWidth="1"/>
  </cols>
  <sheetData>
    <row r="1" spans="1:9" ht="18" x14ac:dyDescent="0.3">
      <c r="A1" s="79" t="s">
        <v>356</v>
      </c>
      <c r="B1" s="80" t="s">
        <v>8</v>
      </c>
      <c r="C1" s="80" t="s">
        <v>9</v>
      </c>
      <c r="D1" s="80" t="s">
        <v>357</v>
      </c>
      <c r="E1" s="80" t="s">
        <v>10</v>
      </c>
      <c r="F1" s="80" t="s">
        <v>11</v>
      </c>
      <c r="G1" s="80" t="s">
        <v>12</v>
      </c>
      <c r="H1" s="81" t="s">
        <v>13</v>
      </c>
      <c r="I1" s="2"/>
    </row>
    <row r="2" spans="1:9" ht="19.8" customHeight="1" x14ac:dyDescent="0.3">
      <c r="A2" s="82" t="s">
        <v>358</v>
      </c>
      <c r="B2" s="83" t="s">
        <v>26</v>
      </c>
      <c r="C2" s="84" t="s">
        <v>27</v>
      </c>
      <c r="D2" s="83" t="s">
        <v>1</v>
      </c>
      <c r="E2" s="83" t="s">
        <v>359</v>
      </c>
      <c r="F2" s="83" t="s">
        <v>28</v>
      </c>
      <c r="G2" s="85">
        <v>9</v>
      </c>
      <c r="H2" s="141">
        <v>439</v>
      </c>
      <c r="I2" s="2"/>
    </row>
    <row r="3" spans="1:9" ht="19.8" customHeight="1" x14ac:dyDescent="0.3">
      <c r="A3" s="82" t="s">
        <v>358</v>
      </c>
      <c r="B3" s="83" t="s">
        <v>31</v>
      </c>
      <c r="C3" s="84" t="s">
        <v>32</v>
      </c>
      <c r="D3" s="83" t="s">
        <v>1</v>
      </c>
      <c r="E3" s="83" t="s">
        <v>360</v>
      </c>
      <c r="F3" s="83" t="s">
        <v>33</v>
      </c>
      <c r="G3" s="85">
        <v>3</v>
      </c>
      <c r="H3" s="141">
        <v>479</v>
      </c>
      <c r="I3" s="2"/>
    </row>
    <row r="4" spans="1:9" ht="19.8" customHeight="1" x14ac:dyDescent="0.3">
      <c r="A4" s="82" t="s">
        <v>358</v>
      </c>
      <c r="B4" s="83" t="s">
        <v>31</v>
      </c>
      <c r="C4" s="84" t="s">
        <v>32</v>
      </c>
      <c r="D4" s="83" t="s">
        <v>1</v>
      </c>
      <c r="E4" s="83" t="s">
        <v>360</v>
      </c>
      <c r="F4" s="83" t="s">
        <v>36</v>
      </c>
      <c r="G4" s="85">
        <v>3</v>
      </c>
      <c r="H4" s="141">
        <v>579</v>
      </c>
      <c r="I4" s="2"/>
    </row>
    <row r="5" spans="1:9" ht="19.8" customHeight="1" x14ac:dyDescent="0.3">
      <c r="A5" s="82" t="s">
        <v>358</v>
      </c>
      <c r="B5" s="83" t="s">
        <v>31</v>
      </c>
      <c r="C5" s="84" t="s">
        <v>32</v>
      </c>
      <c r="D5" s="83" t="s">
        <v>1</v>
      </c>
      <c r="E5" s="83" t="s">
        <v>360</v>
      </c>
      <c r="F5" s="83" t="s">
        <v>38</v>
      </c>
      <c r="G5" s="85">
        <v>3</v>
      </c>
      <c r="H5" s="141">
        <v>669</v>
      </c>
      <c r="I5" s="2"/>
    </row>
    <row r="6" spans="1:9" ht="19.8" customHeight="1" x14ac:dyDescent="0.3">
      <c r="A6" s="82" t="s">
        <v>358</v>
      </c>
      <c r="B6" s="83" t="s">
        <v>40</v>
      </c>
      <c r="C6" s="84" t="s">
        <v>41</v>
      </c>
      <c r="D6" s="83" t="s">
        <v>1</v>
      </c>
      <c r="E6" s="83" t="s">
        <v>361</v>
      </c>
      <c r="F6" s="83" t="s">
        <v>42</v>
      </c>
      <c r="G6" s="85">
        <v>9</v>
      </c>
      <c r="H6" s="141">
        <v>697</v>
      </c>
      <c r="I6" s="2"/>
    </row>
    <row r="7" spans="1:9" ht="19.8" customHeight="1" x14ac:dyDescent="0.3">
      <c r="A7" s="86" t="s">
        <v>358</v>
      </c>
      <c r="B7" s="87" t="s">
        <v>40</v>
      </c>
      <c r="C7" s="88" t="s">
        <v>44</v>
      </c>
      <c r="D7" s="87" t="s">
        <v>1</v>
      </c>
      <c r="E7" s="87" t="s">
        <v>362</v>
      </c>
      <c r="F7" s="87" t="s">
        <v>42</v>
      </c>
      <c r="G7" s="89">
        <v>9</v>
      </c>
      <c r="H7" s="90" t="s">
        <v>45</v>
      </c>
      <c r="I7" s="2"/>
    </row>
    <row r="8" spans="1:9" ht="19.8" customHeight="1" x14ac:dyDescent="0.3">
      <c r="A8" s="82" t="s">
        <v>363</v>
      </c>
      <c r="B8" s="83" t="s">
        <v>46</v>
      </c>
      <c r="C8" s="84" t="s">
        <v>47</v>
      </c>
      <c r="D8" s="83" t="s">
        <v>1</v>
      </c>
      <c r="E8" s="83" t="s">
        <v>364</v>
      </c>
      <c r="F8" s="83" t="s">
        <v>48</v>
      </c>
      <c r="G8" s="85">
        <v>10</v>
      </c>
      <c r="H8" s="141">
        <v>339</v>
      </c>
      <c r="I8" s="2"/>
    </row>
    <row r="9" spans="1:9" ht="19.8" customHeight="1" x14ac:dyDescent="0.3">
      <c r="A9" s="82" t="s">
        <v>363</v>
      </c>
      <c r="B9" s="83" t="s">
        <v>31</v>
      </c>
      <c r="C9" s="84" t="s">
        <v>51</v>
      </c>
      <c r="D9" s="83" t="s">
        <v>1</v>
      </c>
      <c r="E9" s="83" t="s">
        <v>365</v>
      </c>
      <c r="F9" s="83" t="s">
        <v>52</v>
      </c>
      <c r="G9" s="85">
        <v>6</v>
      </c>
      <c r="H9" s="141">
        <v>349</v>
      </c>
      <c r="I9" s="2"/>
    </row>
    <row r="10" spans="1:9" ht="19.8" customHeight="1" x14ac:dyDescent="0.3">
      <c r="A10" s="82" t="s">
        <v>363</v>
      </c>
      <c r="B10" s="83" t="s">
        <v>26</v>
      </c>
      <c r="C10" s="84" t="s">
        <v>57</v>
      </c>
      <c r="D10" s="83" t="s">
        <v>1</v>
      </c>
      <c r="E10" s="83" t="s">
        <v>359</v>
      </c>
      <c r="F10" s="83" t="s">
        <v>28</v>
      </c>
      <c r="G10" s="85">
        <v>7</v>
      </c>
      <c r="H10" s="141">
        <v>379</v>
      </c>
      <c r="I10" s="2"/>
    </row>
    <row r="11" spans="1:9" ht="19.8" customHeight="1" x14ac:dyDescent="0.3">
      <c r="A11" s="82" t="s">
        <v>363</v>
      </c>
      <c r="B11" s="83" t="s">
        <v>31</v>
      </c>
      <c r="C11" s="84" t="s">
        <v>32</v>
      </c>
      <c r="D11" s="83" t="s">
        <v>1</v>
      </c>
      <c r="E11" s="83" t="s">
        <v>360</v>
      </c>
      <c r="F11" s="83" t="s">
        <v>52</v>
      </c>
      <c r="G11" s="85">
        <v>9</v>
      </c>
      <c r="H11" s="141">
        <v>409</v>
      </c>
      <c r="I11" s="2"/>
    </row>
    <row r="12" spans="1:9" ht="19.8" customHeight="1" x14ac:dyDescent="0.3">
      <c r="A12" s="82" t="s">
        <v>363</v>
      </c>
      <c r="B12" s="83" t="s">
        <v>40</v>
      </c>
      <c r="C12" s="84" t="s">
        <v>60</v>
      </c>
      <c r="D12" s="83" t="s">
        <v>1</v>
      </c>
      <c r="E12" s="83" t="s">
        <v>366</v>
      </c>
      <c r="F12" s="83" t="s">
        <v>61</v>
      </c>
      <c r="G12" s="85">
        <v>7</v>
      </c>
      <c r="H12" s="141">
        <v>411</v>
      </c>
      <c r="I12" s="2"/>
    </row>
    <row r="13" spans="1:9" ht="19.8" customHeight="1" x14ac:dyDescent="0.3">
      <c r="A13" s="91" t="s">
        <v>363</v>
      </c>
      <c r="B13" s="92" t="s">
        <v>64</v>
      </c>
      <c r="C13" s="93" t="s">
        <v>65</v>
      </c>
      <c r="D13" s="92" t="s">
        <v>1</v>
      </c>
      <c r="E13" s="92" t="s">
        <v>288</v>
      </c>
      <c r="F13" s="92" t="s">
        <v>28</v>
      </c>
      <c r="G13" s="94">
        <v>9</v>
      </c>
      <c r="H13" s="142">
        <v>566</v>
      </c>
      <c r="I13" s="2"/>
    </row>
    <row r="14" spans="1:9" ht="19.8" customHeight="1" x14ac:dyDescent="0.3">
      <c r="A14" s="143">
        <v>45993</v>
      </c>
      <c r="B14" s="83" t="s">
        <v>40</v>
      </c>
      <c r="C14" s="84" t="s">
        <v>41</v>
      </c>
      <c r="D14" s="83" t="s">
        <v>1</v>
      </c>
      <c r="E14" s="144">
        <v>1.864583333333333</v>
      </c>
      <c r="F14" s="83" t="s">
        <v>42</v>
      </c>
      <c r="G14" s="85">
        <v>9</v>
      </c>
      <c r="H14" s="141">
        <v>637</v>
      </c>
      <c r="I14" s="2"/>
    </row>
    <row r="15" spans="1:9" ht="19.8" customHeight="1" x14ac:dyDescent="0.3">
      <c r="A15" s="143">
        <v>45993</v>
      </c>
      <c r="B15" s="83" t="s">
        <v>40</v>
      </c>
      <c r="C15" s="84" t="s">
        <v>44</v>
      </c>
      <c r="D15" s="83" t="s">
        <v>1</v>
      </c>
      <c r="E15" s="144">
        <v>1.5277777777777779</v>
      </c>
      <c r="F15" s="83" t="s">
        <v>42</v>
      </c>
      <c r="G15" s="85">
        <v>9</v>
      </c>
      <c r="H15" s="141">
        <v>697</v>
      </c>
      <c r="I15" s="2"/>
    </row>
    <row r="16" spans="1:9" ht="19.8" customHeight="1" x14ac:dyDescent="0.3">
      <c r="A16" s="145">
        <v>45993</v>
      </c>
      <c r="B16" s="87" t="s">
        <v>71</v>
      </c>
      <c r="C16" s="88" t="s">
        <v>72</v>
      </c>
      <c r="D16" s="87" t="s">
        <v>1</v>
      </c>
      <c r="E16" s="146">
        <v>1.305555555555556</v>
      </c>
      <c r="F16" s="87" t="s">
        <v>73</v>
      </c>
      <c r="G16" s="89">
        <v>4</v>
      </c>
      <c r="H16" s="90" t="s">
        <v>75</v>
      </c>
      <c r="I16" s="2"/>
    </row>
    <row r="17" spans="1:9" ht="19.8" customHeight="1" x14ac:dyDescent="0.3">
      <c r="A17" s="143">
        <v>45994</v>
      </c>
      <c r="B17" s="83" t="s">
        <v>76</v>
      </c>
      <c r="C17" s="84" t="s">
        <v>77</v>
      </c>
      <c r="D17" s="83" t="s">
        <v>1</v>
      </c>
      <c r="E17" s="144">
        <v>1.9722222222222221</v>
      </c>
      <c r="F17" s="83" t="s">
        <v>78</v>
      </c>
      <c r="G17" s="85">
        <v>9</v>
      </c>
      <c r="H17" s="141">
        <v>348</v>
      </c>
      <c r="I17" s="2"/>
    </row>
    <row r="18" spans="1:9" ht="19.8" customHeight="1" x14ac:dyDescent="0.3">
      <c r="A18" s="143">
        <v>45994</v>
      </c>
      <c r="B18" s="83" t="s">
        <v>82</v>
      </c>
      <c r="C18" s="84" t="s">
        <v>83</v>
      </c>
      <c r="D18" s="83" t="s">
        <v>1</v>
      </c>
      <c r="E18" s="144">
        <v>1.0902777777777779</v>
      </c>
      <c r="F18" s="83" t="s">
        <v>28</v>
      </c>
      <c r="G18" s="85">
        <v>9</v>
      </c>
      <c r="H18" s="141">
        <v>371</v>
      </c>
      <c r="I18" s="2"/>
    </row>
    <row r="19" spans="1:9" ht="19.8" customHeight="1" x14ac:dyDescent="0.3">
      <c r="A19" s="143">
        <v>45994</v>
      </c>
      <c r="B19" s="83" t="s">
        <v>26</v>
      </c>
      <c r="C19" s="84" t="s">
        <v>27</v>
      </c>
      <c r="D19" s="83" t="s">
        <v>1</v>
      </c>
      <c r="E19" s="144">
        <v>1.895833333333333</v>
      </c>
      <c r="F19" s="83" t="s">
        <v>28</v>
      </c>
      <c r="G19" s="85">
        <v>4</v>
      </c>
      <c r="H19" s="141">
        <v>379</v>
      </c>
      <c r="I19" s="2"/>
    </row>
    <row r="20" spans="1:9" ht="19.8" customHeight="1" x14ac:dyDescent="0.3">
      <c r="A20" s="143">
        <v>45994</v>
      </c>
      <c r="B20" s="83" t="s">
        <v>46</v>
      </c>
      <c r="C20" s="84" t="s">
        <v>47</v>
      </c>
      <c r="D20" s="83" t="s">
        <v>1</v>
      </c>
      <c r="E20" s="144">
        <v>1.305555555555556</v>
      </c>
      <c r="F20" s="83" t="s">
        <v>85</v>
      </c>
      <c r="G20" s="85">
        <v>17</v>
      </c>
      <c r="H20" s="141">
        <v>399</v>
      </c>
      <c r="I20" s="2"/>
    </row>
    <row r="21" spans="1:9" ht="19.8" customHeight="1" x14ac:dyDescent="0.3">
      <c r="A21" s="143">
        <v>45994</v>
      </c>
      <c r="B21" s="83" t="s">
        <v>40</v>
      </c>
      <c r="C21" s="84" t="s">
        <v>60</v>
      </c>
      <c r="D21" s="83" t="s">
        <v>1</v>
      </c>
      <c r="E21" s="144">
        <v>1.1701388888888891</v>
      </c>
      <c r="F21" s="83" t="s">
        <v>61</v>
      </c>
      <c r="G21" s="85">
        <v>7</v>
      </c>
      <c r="H21" s="141">
        <v>411</v>
      </c>
      <c r="I21" s="2"/>
    </row>
    <row r="22" spans="1:9" ht="19.8" customHeight="1" x14ac:dyDescent="0.3">
      <c r="A22" s="143">
        <v>45994</v>
      </c>
      <c r="B22" s="83" t="s">
        <v>76</v>
      </c>
      <c r="C22" s="84" t="s">
        <v>77</v>
      </c>
      <c r="D22" s="83" t="s">
        <v>1</v>
      </c>
      <c r="E22" s="144">
        <v>1.9722222222222221</v>
      </c>
      <c r="F22" s="83" t="s">
        <v>80</v>
      </c>
      <c r="G22" s="85">
        <v>9</v>
      </c>
      <c r="H22" s="141">
        <v>472</v>
      </c>
      <c r="I22" s="2"/>
    </row>
    <row r="23" spans="1:9" ht="19.8" customHeight="1" x14ac:dyDescent="0.3">
      <c r="A23" s="143">
        <v>45994</v>
      </c>
      <c r="B23" s="83" t="s">
        <v>31</v>
      </c>
      <c r="C23" s="84" t="s">
        <v>32</v>
      </c>
      <c r="D23" s="83" t="s">
        <v>1</v>
      </c>
      <c r="E23" s="144">
        <v>1.833333333333333</v>
      </c>
      <c r="F23" s="83" t="s">
        <v>33</v>
      </c>
      <c r="G23" s="85">
        <v>9</v>
      </c>
      <c r="H23" s="141">
        <v>479</v>
      </c>
      <c r="I23" s="2"/>
    </row>
    <row r="24" spans="1:9" ht="19.8" customHeight="1" x14ac:dyDescent="0.3">
      <c r="A24" s="143">
        <v>45994</v>
      </c>
      <c r="B24" s="83" t="s">
        <v>46</v>
      </c>
      <c r="C24" s="84" t="s">
        <v>47</v>
      </c>
      <c r="D24" s="83" t="s">
        <v>1</v>
      </c>
      <c r="E24" s="144">
        <v>1.305555555555556</v>
      </c>
      <c r="F24" s="83" t="s">
        <v>88</v>
      </c>
      <c r="G24" s="85">
        <v>17</v>
      </c>
      <c r="H24" s="141">
        <v>549</v>
      </c>
      <c r="I24" s="2"/>
    </row>
    <row r="25" spans="1:9" ht="19.8" customHeight="1" x14ac:dyDescent="0.3">
      <c r="A25" s="143">
        <v>45994</v>
      </c>
      <c r="B25" s="83" t="s">
        <v>31</v>
      </c>
      <c r="C25" s="84" t="s">
        <v>32</v>
      </c>
      <c r="D25" s="83" t="s">
        <v>1</v>
      </c>
      <c r="E25" s="144">
        <v>1.833333333333333</v>
      </c>
      <c r="F25" s="83" t="s">
        <v>36</v>
      </c>
      <c r="G25" s="85">
        <v>9</v>
      </c>
      <c r="H25" s="141">
        <v>579</v>
      </c>
      <c r="I25" s="2"/>
    </row>
    <row r="26" spans="1:9" ht="19.8" customHeight="1" x14ac:dyDescent="0.3">
      <c r="A26" s="143">
        <v>45994</v>
      </c>
      <c r="B26" s="83" t="s">
        <v>31</v>
      </c>
      <c r="C26" s="84" t="s">
        <v>32</v>
      </c>
      <c r="D26" s="83" t="s">
        <v>1</v>
      </c>
      <c r="E26" s="144">
        <v>1.833333333333333</v>
      </c>
      <c r="F26" s="83" t="s">
        <v>38</v>
      </c>
      <c r="G26" s="85">
        <v>9</v>
      </c>
      <c r="H26" s="141">
        <v>669</v>
      </c>
      <c r="I26" s="2"/>
    </row>
    <row r="27" spans="1:9" ht="19.8" customHeight="1" x14ac:dyDescent="0.3">
      <c r="A27" s="143">
        <v>45994</v>
      </c>
      <c r="B27" s="83" t="s">
        <v>40</v>
      </c>
      <c r="C27" s="84" t="s">
        <v>41</v>
      </c>
      <c r="D27" s="83" t="s">
        <v>1</v>
      </c>
      <c r="E27" s="144">
        <v>1.864583333333333</v>
      </c>
      <c r="F27" s="83" t="s">
        <v>42</v>
      </c>
      <c r="G27" s="85">
        <v>9</v>
      </c>
      <c r="H27" s="141">
        <v>697</v>
      </c>
      <c r="I27" s="2"/>
    </row>
    <row r="28" spans="1:9" ht="19.8" customHeight="1" x14ac:dyDescent="0.3">
      <c r="A28" s="143">
        <v>45994</v>
      </c>
      <c r="B28" s="83" t="s">
        <v>40</v>
      </c>
      <c r="C28" s="84" t="s">
        <v>44</v>
      </c>
      <c r="D28" s="83" t="s">
        <v>1</v>
      </c>
      <c r="E28" s="144">
        <v>1.5277777777777779</v>
      </c>
      <c r="F28" s="83" t="s">
        <v>42</v>
      </c>
      <c r="G28" s="85">
        <v>9</v>
      </c>
      <c r="H28" s="141">
        <v>757</v>
      </c>
      <c r="I28" s="2"/>
    </row>
    <row r="29" spans="1:9" ht="19.8" customHeight="1" x14ac:dyDescent="0.3">
      <c r="A29" s="143">
        <v>45994</v>
      </c>
      <c r="B29" s="83" t="s">
        <v>46</v>
      </c>
      <c r="C29" s="84" t="s">
        <v>47</v>
      </c>
      <c r="D29" s="83" t="s">
        <v>1</v>
      </c>
      <c r="E29" s="144">
        <v>1.305555555555556</v>
      </c>
      <c r="F29" s="83" t="s">
        <v>80</v>
      </c>
      <c r="G29" s="85">
        <v>17</v>
      </c>
      <c r="H29" s="141">
        <v>899</v>
      </c>
      <c r="I29" s="2"/>
    </row>
    <row r="30" spans="1:9" ht="19.8" customHeight="1" x14ac:dyDescent="0.3">
      <c r="A30" s="145">
        <v>45994</v>
      </c>
      <c r="B30" s="87" t="s">
        <v>71</v>
      </c>
      <c r="C30" s="88" t="s">
        <v>72</v>
      </c>
      <c r="D30" s="87" t="s">
        <v>1</v>
      </c>
      <c r="E30" s="146">
        <v>1.305555555555556</v>
      </c>
      <c r="F30" s="87" t="s">
        <v>73</v>
      </c>
      <c r="G30" s="89">
        <v>4</v>
      </c>
      <c r="H30" s="90" t="s">
        <v>92</v>
      </c>
      <c r="I30" s="2"/>
    </row>
    <row r="31" spans="1:9" ht="19.8" customHeight="1" x14ac:dyDescent="0.3">
      <c r="A31" s="143">
        <v>45995</v>
      </c>
      <c r="B31" s="83" t="s">
        <v>46</v>
      </c>
      <c r="C31" s="84" t="s">
        <v>47</v>
      </c>
      <c r="D31" s="83" t="s">
        <v>1</v>
      </c>
      <c r="E31" s="144">
        <v>1.305555555555556</v>
      </c>
      <c r="F31" s="83" t="s">
        <v>85</v>
      </c>
      <c r="G31" s="85">
        <v>12</v>
      </c>
      <c r="H31" s="141">
        <v>339</v>
      </c>
      <c r="I31" s="2"/>
    </row>
    <row r="32" spans="1:9" ht="19.8" customHeight="1" x14ac:dyDescent="0.3">
      <c r="A32" s="143">
        <v>45995</v>
      </c>
      <c r="B32" s="83" t="s">
        <v>31</v>
      </c>
      <c r="C32" s="84" t="s">
        <v>51</v>
      </c>
      <c r="D32" s="83" t="s">
        <v>1</v>
      </c>
      <c r="E32" s="144">
        <v>1.2013888888888891</v>
      </c>
      <c r="F32" s="83" t="s">
        <v>33</v>
      </c>
      <c r="G32" s="85">
        <v>6</v>
      </c>
      <c r="H32" s="141">
        <v>349</v>
      </c>
      <c r="I32" s="2"/>
    </row>
    <row r="33" spans="1:9" ht="19.8" customHeight="1" x14ac:dyDescent="0.3">
      <c r="A33" s="143">
        <v>45995</v>
      </c>
      <c r="B33" s="83" t="s">
        <v>82</v>
      </c>
      <c r="C33" s="84" t="s">
        <v>83</v>
      </c>
      <c r="D33" s="83" t="s">
        <v>1</v>
      </c>
      <c r="E33" s="144">
        <v>1.8888888888888891</v>
      </c>
      <c r="F33" s="83" t="s">
        <v>28</v>
      </c>
      <c r="G33" s="85">
        <v>8</v>
      </c>
      <c r="H33" s="141">
        <v>371</v>
      </c>
      <c r="I33" s="2"/>
    </row>
    <row r="34" spans="1:9" ht="19.8" customHeight="1" x14ac:dyDescent="0.3">
      <c r="A34" s="143">
        <v>45995</v>
      </c>
      <c r="B34" s="83" t="s">
        <v>26</v>
      </c>
      <c r="C34" s="84" t="s">
        <v>99</v>
      </c>
      <c r="D34" s="83" t="s">
        <v>1</v>
      </c>
      <c r="E34" s="144">
        <v>1.5625</v>
      </c>
      <c r="F34" s="83" t="s">
        <v>28</v>
      </c>
      <c r="G34" s="85">
        <v>9</v>
      </c>
      <c r="H34" s="141">
        <v>379</v>
      </c>
      <c r="I34" s="2"/>
    </row>
    <row r="35" spans="1:9" ht="19.8" customHeight="1" x14ac:dyDescent="0.3">
      <c r="A35" s="143">
        <v>45995</v>
      </c>
      <c r="B35" s="83" t="s">
        <v>26</v>
      </c>
      <c r="C35" s="84" t="s">
        <v>57</v>
      </c>
      <c r="D35" s="83" t="s">
        <v>1</v>
      </c>
      <c r="E35" s="144">
        <v>1.958333333333333</v>
      </c>
      <c r="F35" s="83" t="s">
        <v>28</v>
      </c>
      <c r="G35" s="85">
        <v>9</v>
      </c>
      <c r="H35" s="141">
        <v>379</v>
      </c>
      <c r="I35" s="2"/>
    </row>
    <row r="36" spans="1:9" ht="19.8" customHeight="1" x14ac:dyDescent="0.3">
      <c r="A36" s="143">
        <v>45995</v>
      </c>
      <c r="B36" s="83" t="s">
        <v>40</v>
      </c>
      <c r="C36" s="84" t="s">
        <v>41</v>
      </c>
      <c r="D36" s="83" t="s">
        <v>1</v>
      </c>
      <c r="E36" s="144">
        <v>1.864583333333333</v>
      </c>
      <c r="F36" s="83" t="s">
        <v>61</v>
      </c>
      <c r="G36" s="85">
        <v>1</v>
      </c>
      <c r="H36" s="141">
        <v>411</v>
      </c>
      <c r="I36" s="2"/>
    </row>
    <row r="37" spans="1:9" ht="19.8" customHeight="1" x14ac:dyDescent="0.3">
      <c r="A37" s="143">
        <v>45995</v>
      </c>
      <c r="B37" s="83" t="s">
        <v>40</v>
      </c>
      <c r="C37" s="84" t="s">
        <v>60</v>
      </c>
      <c r="D37" s="83" t="s">
        <v>1</v>
      </c>
      <c r="E37" s="144">
        <v>1.1701388888888891</v>
      </c>
      <c r="F37" s="83" t="s">
        <v>61</v>
      </c>
      <c r="G37" s="85">
        <v>9</v>
      </c>
      <c r="H37" s="141">
        <v>411</v>
      </c>
      <c r="I37" s="2"/>
    </row>
    <row r="38" spans="1:9" ht="19.8" customHeight="1" x14ac:dyDescent="0.3">
      <c r="A38" s="143">
        <v>45995</v>
      </c>
      <c r="B38" s="83" t="s">
        <v>40</v>
      </c>
      <c r="C38" s="84" t="s">
        <v>44</v>
      </c>
      <c r="D38" s="83" t="s">
        <v>1</v>
      </c>
      <c r="E38" s="144">
        <v>1.5277777777777779</v>
      </c>
      <c r="F38" s="83" t="s">
        <v>101</v>
      </c>
      <c r="G38" s="85">
        <v>5</v>
      </c>
      <c r="H38" s="141">
        <v>437</v>
      </c>
      <c r="I38" s="2"/>
    </row>
    <row r="39" spans="1:9" ht="19.8" customHeight="1" x14ac:dyDescent="0.3">
      <c r="A39" s="143">
        <v>45995</v>
      </c>
      <c r="B39" s="83" t="s">
        <v>31</v>
      </c>
      <c r="C39" s="84" t="s">
        <v>51</v>
      </c>
      <c r="D39" s="83" t="s">
        <v>1</v>
      </c>
      <c r="E39" s="144">
        <v>1.2013888888888891</v>
      </c>
      <c r="F39" s="83" t="s">
        <v>36</v>
      </c>
      <c r="G39" s="85">
        <v>6</v>
      </c>
      <c r="H39" s="141">
        <v>449</v>
      </c>
      <c r="I39" s="2"/>
    </row>
    <row r="40" spans="1:9" ht="19.8" customHeight="1" x14ac:dyDescent="0.3">
      <c r="A40" s="143">
        <v>45995</v>
      </c>
      <c r="B40" s="83" t="s">
        <v>31</v>
      </c>
      <c r="C40" s="84" t="s">
        <v>32</v>
      </c>
      <c r="D40" s="83" t="s">
        <v>1</v>
      </c>
      <c r="E40" s="144">
        <v>1.836805555555556</v>
      </c>
      <c r="F40" s="83" t="s">
        <v>33</v>
      </c>
      <c r="G40" s="85">
        <v>2</v>
      </c>
      <c r="H40" s="141">
        <v>479</v>
      </c>
      <c r="I40" s="2"/>
    </row>
    <row r="41" spans="1:9" ht="19.8" customHeight="1" x14ac:dyDescent="0.3">
      <c r="A41" s="143">
        <v>45995</v>
      </c>
      <c r="B41" s="83" t="s">
        <v>46</v>
      </c>
      <c r="C41" s="84" t="s">
        <v>47</v>
      </c>
      <c r="D41" s="83" t="s">
        <v>1</v>
      </c>
      <c r="E41" s="144">
        <v>1.305555555555556</v>
      </c>
      <c r="F41" s="83" t="s">
        <v>88</v>
      </c>
      <c r="G41" s="85">
        <v>12</v>
      </c>
      <c r="H41" s="141">
        <v>489</v>
      </c>
      <c r="I41" s="2"/>
    </row>
    <row r="42" spans="1:9" ht="19.8" customHeight="1" x14ac:dyDescent="0.3">
      <c r="A42" s="143">
        <v>45995</v>
      </c>
      <c r="B42" s="83" t="s">
        <v>31</v>
      </c>
      <c r="C42" s="84" t="s">
        <v>51</v>
      </c>
      <c r="D42" s="83" t="s">
        <v>1</v>
      </c>
      <c r="E42" s="144">
        <v>1.2013888888888891</v>
      </c>
      <c r="F42" s="83" t="s">
        <v>38</v>
      </c>
      <c r="G42" s="85">
        <v>6</v>
      </c>
      <c r="H42" s="141">
        <v>539</v>
      </c>
      <c r="I42" s="2"/>
    </row>
    <row r="43" spans="1:9" ht="19.8" customHeight="1" x14ac:dyDescent="0.3">
      <c r="A43" s="147">
        <v>45995</v>
      </c>
      <c r="B43" s="92" t="s">
        <v>64</v>
      </c>
      <c r="C43" s="93" t="s">
        <v>65</v>
      </c>
      <c r="D43" s="92" t="s">
        <v>1</v>
      </c>
      <c r="E43" s="148">
        <v>1.9236111111111109</v>
      </c>
      <c r="F43" s="92" t="s">
        <v>28</v>
      </c>
      <c r="G43" s="94">
        <v>9</v>
      </c>
      <c r="H43" s="142">
        <v>566</v>
      </c>
      <c r="I43" s="2"/>
    </row>
    <row r="44" spans="1:9" ht="19.8" customHeight="1" x14ac:dyDescent="0.3">
      <c r="A44" s="143">
        <v>45995</v>
      </c>
      <c r="B44" s="83" t="s">
        <v>31</v>
      </c>
      <c r="C44" s="84" t="s">
        <v>32</v>
      </c>
      <c r="D44" s="83" t="s">
        <v>1</v>
      </c>
      <c r="E44" s="144">
        <v>1.836805555555556</v>
      </c>
      <c r="F44" s="83" t="s">
        <v>36</v>
      </c>
      <c r="G44" s="85">
        <v>2</v>
      </c>
      <c r="H44" s="141">
        <v>579</v>
      </c>
      <c r="I44" s="2"/>
    </row>
    <row r="45" spans="1:9" ht="19.8" customHeight="1" x14ac:dyDescent="0.3">
      <c r="A45" s="143">
        <v>45995</v>
      </c>
      <c r="B45" s="83" t="s">
        <v>31</v>
      </c>
      <c r="C45" s="84" t="s">
        <v>32</v>
      </c>
      <c r="D45" s="83" t="s">
        <v>1</v>
      </c>
      <c r="E45" s="144">
        <v>1.836805555555556</v>
      </c>
      <c r="F45" s="83" t="s">
        <v>38</v>
      </c>
      <c r="G45" s="85">
        <v>2</v>
      </c>
      <c r="H45" s="141">
        <v>669</v>
      </c>
      <c r="I45" s="2"/>
    </row>
    <row r="46" spans="1:9" ht="19.8" customHeight="1" x14ac:dyDescent="0.3">
      <c r="A46" s="143">
        <v>45995</v>
      </c>
      <c r="B46" s="83" t="s">
        <v>46</v>
      </c>
      <c r="C46" s="84" t="s">
        <v>47</v>
      </c>
      <c r="D46" s="83" t="s">
        <v>1</v>
      </c>
      <c r="E46" s="144">
        <v>1.305555555555556</v>
      </c>
      <c r="F46" s="83" t="s">
        <v>80</v>
      </c>
      <c r="G46" s="85">
        <v>12</v>
      </c>
      <c r="H46" s="141">
        <v>899</v>
      </c>
      <c r="I46" s="2"/>
    </row>
    <row r="47" spans="1:9" ht="19.8" customHeight="1" x14ac:dyDescent="0.3">
      <c r="A47" s="145">
        <v>45995</v>
      </c>
      <c r="B47" s="87" t="s">
        <v>71</v>
      </c>
      <c r="C47" s="88" t="s">
        <v>72</v>
      </c>
      <c r="D47" s="87" t="s">
        <v>1</v>
      </c>
      <c r="E47" s="146">
        <v>1.305555555555556</v>
      </c>
      <c r="F47" s="87" t="s">
        <v>73</v>
      </c>
      <c r="G47" s="89">
        <v>4</v>
      </c>
      <c r="H47" s="90" t="s">
        <v>75</v>
      </c>
      <c r="I47" s="2"/>
    </row>
    <row r="48" spans="1:9" ht="19.8" customHeight="1" x14ac:dyDescent="0.3">
      <c r="A48" s="143">
        <v>45996</v>
      </c>
      <c r="B48" s="83" t="s">
        <v>46</v>
      </c>
      <c r="C48" s="84" t="s">
        <v>47</v>
      </c>
      <c r="D48" s="83" t="s">
        <v>1</v>
      </c>
      <c r="E48" s="144">
        <v>1.305555555555556</v>
      </c>
      <c r="F48" s="83" t="s">
        <v>85</v>
      </c>
      <c r="G48" s="85">
        <v>1</v>
      </c>
      <c r="H48" s="141">
        <v>339</v>
      </c>
      <c r="I48" s="2"/>
    </row>
    <row r="49" spans="1:9" ht="19.8" customHeight="1" x14ac:dyDescent="0.3">
      <c r="A49" s="143">
        <v>45996</v>
      </c>
      <c r="B49" s="83" t="s">
        <v>31</v>
      </c>
      <c r="C49" s="84" t="s">
        <v>32</v>
      </c>
      <c r="D49" s="83" t="s">
        <v>1</v>
      </c>
      <c r="E49" s="144">
        <v>1.836805555555556</v>
      </c>
      <c r="F49" s="83" t="s">
        <v>33</v>
      </c>
      <c r="G49" s="85">
        <v>3</v>
      </c>
      <c r="H49" s="141">
        <v>379</v>
      </c>
      <c r="I49" s="2"/>
    </row>
    <row r="50" spans="1:9" ht="19.8" customHeight="1" x14ac:dyDescent="0.3">
      <c r="A50" s="143">
        <v>45996</v>
      </c>
      <c r="B50" s="83" t="s">
        <v>26</v>
      </c>
      <c r="C50" s="84" t="s">
        <v>27</v>
      </c>
      <c r="D50" s="83" t="s">
        <v>1</v>
      </c>
      <c r="E50" s="144">
        <v>1.958333333333333</v>
      </c>
      <c r="F50" s="83" t="s">
        <v>28</v>
      </c>
      <c r="G50" s="85">
        <v>9</v>
      </c>
      <c r="H50" s="141">
        <v>379</v>
      </c>
      <c r="I50" s="2"/>
    </row>
    <row r="51" spans="1:9" ht="19.8" customHeight="1" x14ac:dyDescent="0.3">
      <c r="A51" s="143">
        <v>45996</v>
      </c>
      <c r="B51" s="83" t="s">
        <v>31</v>
      </c>
      <c r="C51" s="84" t="s">
        <v>32</v>
      </c>
      <c r="D51" s="83" t="s">
        <v>1</v>
      </c>
      <c r="E51" s="144">
        <v>1.836805555555556</v>
      </c>
      <c r="F51" s="83" t="s">
        <v>36</v>
      </c>
      <c r="G51" s="85">
        <v>3</v>
      </c>
      <c r="H51" s="141">
        <v>479</v>
      </c>
      <c r="I51" s="2"/>
    </row>
    <row r="52" spans="1:9" ht="19.8" customHeight="1" x14ac:dyDescent="0.3">
      <c r="A52" s="143">
        <v>45996</v>
      </c>
      <c r="B52" s="83" t="s">
        <v>46</v>
      </c>
      <c r="C52" s="84" t="s">
        <v>47</v>
      </c>
      <c r="D52" s="83" t="s">
        <v>1</v>
      </c>
      <c r="E52" s="144">
        <v>1.305555555555556</v>
      </c>
      <c r="F52" s="83" t="s">
        <v>88</v>
      </c>
      <c r="G52" s="85">
        <v>1</v>
      </c>
      <c r="H52" s="141">
        <v>489</v>
      </c>
      <c r="I52" s="2"/>
    </row>
    <row r="53" spans="1:9" ht="19.8" customHeight="1" x14ac:dyDescent="0.3">
      <c r="A53" s="143">
        <v>45996</v>
      </c>
      <c r="B53" s="83" t="s">
        <v>40</v>
      </c>
      <c r="C53" s="84" t="s">
        <v>60</v>
      </c>
      <c r="D53" s="83" t="s">
        <v>1</v>
      </c>
      <c r="E53" s="144">
        <v>1.1701388888888891</v>
      </c>
      <c r="F53" s="83" t="s">
        <v>42</v>
      </c>
      <c r="G53" s="85">
        <v>9</v>
      </c>
      <c r="H53" s="141">
        <v>521</v>
      </c>
      <c r="I53" s="2"/>
    </row>
    <row r="54" spans="1:9" ht="19.8" customHeight="1" x14ac:dyDescent="0.3">
      <c r="A54" s="143">
        <v>45996</v>
      </c>
      <c r="B54" s="83" t="s">
        <v>40</v>
      </c>
      <c r="C54" s="84" t="s">
        <v>41</v>
      </c>
      <c r="D54" s="83" t="s">
        <v>1</v>
      </c>
      <c r="E54" s="144">
        <v>1.864583333333333</v>
      </c>
      <c r="F54" s="83" t="s">
        <v>42</v>
      </c>
      <c r="G54" s="85">
        <v>9</v>
      </c>
      <c r="H54" s="141">
        <v>547</v>
      </c>
      <c r="I54" s="2"/>
    </row>
    <row r="55" spans="1:9" ht="19.8" customHeight="1" x14ac:dyDescent="0.3">
      <c r="A55" s="143">
        <v>45996</v>
      </c>
      <c r="B55" s="83" t="s">
        <v>31</v>
      </c>
      <c r="C55" s="84" t="s">
        <v>32</v>
      </c>
      <c r="D55" s="83" t="s">
        <v>1</v>
      </c>
      <c r="E55" s="144">
        <v>1.836805555555556</v>
      </c>
      <c r="F55" s="83" t="s">
        <v>38</v>
      </c>
      <c r="G55" s="85">
        <v>3</v>
      </c>
      <c r="H55" s="141">
        <v>569</v>
      </c>
      <c r="I55" s="2"/>
    </row>
    <row r="56" spans="1:9" ht="19.8" customHeight="1" x14ac:dyDescent="0.3">
      <c r="A56" s="147">
        <v>45996</v>
      </c>
      <c r="B56" s="92" t="s">
        <v>64</v>
      </c>
      <c r="C56" s="93" t="s">
        <v>65</v>
      </c>
      <c r="D56" s="92" t="s">
        <v>1</v>
      </c>
      <c r="E56" s="148">
        <v>1.5798611111111109</v>
      </c>
      <c r="F56" s="92" t="s">
        <v>28</v>
      </c>
      <c r="G56" s="94">
        <v>9</v>
      </c>
      <c r="H56" s="142">
        <v>626</v>
      </c>
      <c r="I56" s="2"/>
    </row>
    <row r="57" spans="1:9" ht="19.8" customHeight="1" x14ac:dyDescent="0.3">
      <c r="A57" s="143">
        <v>45996</v>
      </c>
      <c r="B57" s="83" t="s">
        <v>40</v>
      </c>
      <c r="C57" s="84" t="s">
        <v>44</v>
      </c>
      <c r="D57" s="83" t="s">
        <v>1</v>
      </c>
      <c r="E57" s="144">
        <v>1.5277777777777779</v>
      </c>
      <c r="F57" s="83" t="s">
        <v>42</v>
      </c>
      <c r="G57" s="85">
        <v>9</v>
      </c>
      <c r="H57" s="141">
        <v>817</v>
      </c>
      <c r="I57" s="2"/>
    </row>
    <row r="58" spans="1:9" ht="19.8" customHeight="1" x14ac:dyDescent="0.3">
      <c r="A58" s="143">
        <v>45996</v>
      </c>
      <c r="B58" s="83" t="s">
        <v>46</v>
      </c>
      <c r="C58" s="84" t="s">
        <v>47</v>
      </c>
      <c r="D58" s="83" t="s">
        <v>1</v>
      </c>
      <c r="E58" s="144">
        <v>1.305555555555556</v>
      </c>
      <c r="F58" s="83" t="s">
        <v>80</v>
      </c>
      <c r="G58" s="85">
        <v>1</v>
      </c>
      <c r="H58" s="141">
        <v>899</v>
      </c>
      <c r="I58" s="2"/>
    </row>
    <row r="59" spans="1:9" ht="19.8" customHeight="1" x14ac:dyDescent="0.3">
      <c r="A59" s="145">
        <v>45996</v>
      </c>
      <c r="B59" s="87" t="s">
        <v>71</v>
      </c>
      <c r="C59" s="88" t="s">
        <v>72</v>
      </c>
      <c r="D59" s="87" t="s">
        <v>1</v>
      </c>
      <c r="E59" s="146">
        <v>1.305555555555556</v>
      </c>
      <c r="F59" s="87" t="s">
        <v>73</v>
      </c>
      <c r="G59" s="89">
        <v>4</v>
      </c>
      <c r="H59" s="90" t="s">
        <v>113</v>
      </c>
      <c r="I59" s="2"/>
    </row>
    <row r="60" spans="1:9" ht="19.8" customHeight="1" x14ac:dyDescent="0.3">
      <c r="A60" s="143">
        <v>45997</v>
      </c>
      <c r="B60" s="83" t="s">
        <v>46</v>
      </c>
      <c r="C60" s="84" t="s">
        <v>47</v>
      </c>
      <c r="D60" s="83" t="s">
        <v>1</v>
      </c>
      <c r="E60" s="144">
        <v>1.305555555555556</v>
      </c>
      <c r="F60" s="83" t="s">
        <v>85</v>
      </c>
      <c r="G60" s="85">
        <v>16</v>
      </c>
      <c r="H60" s="141">
        <v>309</v>
      </c>
      <c r="I60" s="2"/>
    </row>
    <row r="61" spans="1:9" ht="19.8" customHeight="1" x14ac:dyDescent="0.3">
      <c r="A61" s="143">
        <v>45997</v>
      </c>
      <c r="B61" s="83" t="s">
        <v>31</v>
      </c>
      <c r="C61" s="84" t="s">
        <v>51</v>
      </c>
      <c r="D61" s="83" t="s">
        <v>1</v>
      </c>
      <c r="E61" s="144">
        <v>1.2013888888888891</v>
      </c>
      <c r="F61" s="83" t="s">
        <v>33</v>
      </c>
      <c r="G61" s="85">
        <v>9</v>
      </c>
      <c r="H61" s="141">
        <v>349</v>
      </c>
      <c r="I61" s="2"/>
    </row>
    <row r="62" spans="1:9" ht="19.8" customHeight="1" x14ac:dyDescent="0.3">
      <c r="A62" s="143">
        <v>45997</v>
      </c>
      <c r="B62" s="83" t="s">
        <v>76</v>
      </c>
      <c r="C62" s="84" t="s">
        <v>77</v>
      </c>
      <c r="D62" s="83" t="s">
        <v>1</v>
      </c>
      <c r="E62" s="144">
        <v>1.9722222222222221</v>
      </c>
      <c r="F62" s="83" t="s">
        <v>78</v>
      </c>
      <c r="G62" s="85">
        <v>9</v>
      </c>
      <c r="H62" s="141">
        <v>354</v>
      </c>
      <c r="I62" s="2"/>
    </row>
    <row r="63" spans="1:9" ht="19.8" customHeight="1" x14ac:dyDescent="0.3">
      <c r="A63" s="143">
        <v>45997</v>
      </c>
      <c r="B63" s="83" t="s">
        <v>31</v>
      </c>
      <c r="C63" s="84" t="s">
        <v>32</v>
      </c>
      <c r="D63" s="83" t="s">
        <v>1</v>
      </c>
      <c r="E63" s="144">
        <v>1.836805555555556</v>
      </c>
      <c r="F63" s="83" t="s">
        <v>33</v>
      </c>
      <c r="G63" s="85">
        <v>9</v>
      </c>
      <c r="H63" s="141">
        <v>379</v>
      </c>
      <c r="I63" s="2"/>
    </row>
    <row r="64" spans="1:9" ht="19.8" customHeight="1" x14ac:dyDescent="0.3">
      <c r="A64" s="143">
        <v>45997</v>
      </c>
      <c r="B64" s="83" t="s">
        <v>26</v>
      </c>
      <c r="C64" s="84" t="s">
        <v>57</v>
      </c>
      <c r="D64" s="83" t="s">
        <v>1</v>
      </c>
      <c r="E64" s="144">
        <v>1.895833333333333</v>
      </c>
      <c r="F64" s="83" t="s">
        <v>28</v>
      </c>
      <c r="G64" s="85">
        <v>9</v>
      </c>
      <c r="H64" s="141">
        <v>379</v>
      </c>
      <c r="I64" s="2"/>
    </row>
    <row r="65" spans="1:9" ht="19.8" customHeight="1" x14ac:dyDescent="0.3">
      <c r="A65" s="143">
        <v>45997</v>
      </c>
      <c r="B65" s="83" t="s">
        <v>40</v>
      </c>
      <c r="C65" s="84" t="s">
        <v>41</v>
      </c>
      <c r="D65" s="83" t="s">
        <v>1</v>
      </c>
      <c r="E65" s="144">
        <v>1.864583333333333</v>
      </c>
      <c r="F65" s="83" t="s">
        <v>61</v>
      </c>
      <c r="G65" s="85">
        <v>9</v>
      </c>
      <c r="H65" s="141">
        <v>411</v>
      </c>
      <c r="I65" s="2"/>
    </row>
    <row r="66" spans="1:9" ht="19.8" customHeight="1" x14ac:dyDescent="0.3">
      <c r="A66" s="143">
        <v>45997</v>
      </c>
      <c r="B66" s="83" t="s">
        <v>40</v>
      </c>
      <c r="C66" s="84" t="s">
        <v>60</v>
      </c>
      <c r="D66" s="83" t="s">
        <v>1</v>
      </c>
      <c r="E66" s="144">
        <v>1.1701388888888891</v>
      </c>
      <c r="F66" s="83" t="s">
        <v>61</v>
      </c>
      <c r="G66" s="85">
        <v>9</v>
      </c>
      <c r="H66" s="141">
        <v>411</v>
      </c>
      <c r="I66" s="2"/>
    </row>
    <row r="67" spans="1:9" ht="19.8" customHeight="1" x14ac:dyDescent="0.3">
      <c r="A67" s="143">
        <v>45997</v>
      </c>
      <c r="B67" s="83" t="s">
        <v>31</v>
      </c>
      <c r="C67" s="84" t="s">
        <v>51</v>
      </c>
      <c r="D67" s="83" t="s">
        <v>1</v>
      </c>
      <c r="E67" s="144">
        <v>1.2013888888888891</v>
      </c>
      <c r="F67" s="83" t="s">
        <v>36</v>
      </c>
      <c r="G67" s="85">
        <v>9</v>
      </c>
      <c r="H67" s="141">
        <v>449</v>
      </c>
      <c r="I67" s="2"/>
    </row>
    <row r="68" spans="1:9" ht="19.8" customHeight="1" x14ac:dyDescent="0.3">
      <c r="A68" s="143">
        <v>45997</v>
      </c>
      <c r="B68" s="83" t="s">
        <v>46</v>
      </c>
      <c r="C68" s="84" t="s">
        <v>47</v>
      </c>
      <c r="D68" s="83" t="s">
        <v>1</v>
      </c>
      <c r="E68" s="144">
        <v>1.305555555555556</v>
      </c>
      <c r="F68" s="83" t="s">
        <v>88</v>
      </c>
      <c r="G68" s="85">
        <v>16</v>
      </c>
      <c r="H68" s="141">
        <v>459</v>
      </c>
      <c r="I68" s="2"/>
    </row>
    <row r="69" spans="1:9" ht="19.8" customHeight="1" x14ac:dyDescent="0.3">
      <c r="A69" s="143">
        <v>45997</v>
      </c>
      <c r="B69" s="83" t="s">
        <v>76</v>
      </c>
      <c r="C69" s="84" t="s">
        <v>77</v>
      </c>
      <c r="D69" s="83" t="s">
        <v>1</v>
      </c>
      <c r="E69" s="144">
        <v>1.9722222222222221</v>
      </c>
      <c r="F69" s="83" t="s">
        <v>80</v>
      </c>
      <c r="G69" s="85">
        <v>9</v>
      </c>
      <c r="H69" s="141">
        <v>477</v>
      </c>
      <c r="I69" s="2"/>
    </row>
    <row r="70" spans="1:9" ht="19.8" customHeight="1" x14ac:dyDescent="0.3">
      <c r="A70" s="143">
        <v>45997</v>
      </c>
      <c r="B70" s="83" t="s">
        <v>31</v>
      </c>
      <c r="C70" s="84" t="s">
        <v>32</v>
      </c>
      <c r="D70" s="83" t="s">
        <v>1</v>
      </c>
      <c r="E70" s="144">
        <v>1.836805555555556</v>
      </c>
      <c r="F70" s="83" t="s">
        <v>36</v>
      </c>
      <c r="G70" s="85">
        <v>9</v>
      </c>
      <c r="H70" s="141">
        <v>479</v>
      </c>
      <c r="I70" s="2"/>
    </row>
    <row r="71" spans="1:9" ht="19.8" customHeight="1" x14ac:dyDescent="0.3">
      <c r="A71" s="143">
        <v>45997</v>
      </c>
      <c r="B71" s="83" t="s">
        <v>31</v>
      </c>
      <c r="C71" s="84" t="s">
        <v>51</v>
      </c>
      <c r="D71" s="83" t="s">
        <v>1</v>
      </c>
      <c r="E71" s="144">
        <v>1.2013888888888891</v>
      </c>
      <c r="F71" s="83" t="s">
        <v>38</v>
      </c>
      <c r="G71" s="85">
        <v>9</v>
      </c>
      <c r="H71" s="141">
        <v>539</v>
      </c>
      <c r="I71" s="2"/>
    </row>
    <row r="72" spans="1:9" ht="19.8" customHeight="1" x14ac:dyDescent="0.3">
      <c r="A72" s="147">
        <v>45997</v>
      </c>
      <c r="B72" s="92" t="s">
        <v>64</v>
      </c>
      <c r="C72" s="93" t="s">
        <v>65</v>
      </c>
      <c r="D72" s="92" t="s">
        <v>1</v>
      </c>
      <c r="E72" s="148">
        <v>1.9236111111111109</v>
      </c>
      <c r="F72" s="92" t="s">
        <v>28</v>
      </c>
      <c r="G72" s="94">
        <v>9</v>
      </c>
      <c r="H72" s="142">
        <v>566</v>
      </c>
      <c r="I72" s="2"/>
    </row>
    <row r="73" spans="1:9" ht="19.8" customHeight="1" x14ac:dyDescent="0.3">
      <c r="A73" s="143">
        <v>45997</v>
      </c>
      <c r="B73" s="83" t="s">
        <v>31</v>
      </c>
      <c r="C73" s="84" t="s">
        <v>32</v>
      </c>
      <c r="D73" s="83" t="s">
        <v>1</v>
      </c>
      <c r="E73" s="144">
        <v>1.836805555555556</v>
      </c>
      <c r="F73" s="83" t="s">
        <v>38</v>
      </c>
      <c r="G73" s="85">
        <v>9</v>
      </c>
      <c r="H73" s="141">
        <v>569</v>
      </c>
      <c r="I73" s="2"/>
    </row>
    <row r="74" spans="1:9" ht="19.8" customHeight="1" x14ac:dyDescent="0.3">
      <c r="A74" s="143">
        <v>45997</v>
      </c>
      <c r="B74" s="83" t="s">
        <v>40</v>
      </c>
      <c r="C74" s="84" t="s">
        <v>44</v>
      </c>
      <c r="D74" s="83" t="s">
        <v>1</v>
      </c>
      <c r="E74" s="144">
        <v>1.5277777777777779</v>
      </c>
      <c r="F74" s="83" t="s">
        <v>42</v>
      </c>
      <c r="G74" s="85">
        <v>9</v>
      </c>
      <c r="H74" s="141">
        <v>757</v>
      </c>
      <c r="I74" s="2"/>
    </row>
    <row r="75" spans="1:9" ht="19.8" customHeight="1" x14ac:dyDescent="0.3">
      <c r="A75" s="143">
        <v>45997</v>
      </c>
      <c r="B75" s="83" t="s">
        <v>46</v>
      </c>
      <c r="C75" s="84" t="s">
        <v>47</v>
      </c>
      <c r="D75" s="83" t="s">
        <v>1</v>
      </c>
      <c r="E75" s="144">
        <v>1.305555555555556</v>
      </c>
      <c r="F75" s="83" t="s">
        <v>80</v>
      </c>
      <c r="G75" s="85">
        <v>16</v>
      </c>
      <c r="H75" s="141">
        <v>899</v>
      </c>
      <c r="I75" s="2"/>
    </row>
    <row r="76" spans="1:9" ht="19.8" customHeight="1" x14ac:dyDescent="0.3">
      <c r="A76" s="145">
        <v>45997</v>
      </c>
      <c r="B76" s="87" t="s">
        <v>71</v>
      </c>
      <c r="C76" s="88" t="s">
        <v>72</v>
      </c>
      <c r="D76" s="87" t="s">
        <v>1</v>
      </c>
      <c r="E76" s="146">
        <v>1.305555555555556</v>
      </c>
      <c r="F76" s="87" t="s">
        <v>73</v>
      </c>
      <c r="G76" s="89">
        <v>4</v>
      </c>
      <c r="H76" s="90" t="s">
        <v>120</v>
      </c>
      <c r="I76" s="2"/>
    </row>
    <row r="77" spans="1:9" ht="19.8" customHeight="1" x14ac:dyDescent="0.3">
      <c r="A77" s="143">
        <v>45998</v>
      </c>
      <c r="B77" s="83" t="s">
        <v>46</v>
      </c>
      <c r="C77" s="84" t="s">
        <v>47</v>
      </c>
      <c r="D77" s="83" t="s">
        <v>1</v>
      </c>
      <c r="E77" s="144">
        <v>1.305555555555556</v>
      </c>
      <c r="F77" s="83" t="s">
        <v>85</v>
      </c>
      <c r="G77" s="85">
        <v>30</v>
      </c>
      <c r="H77" s="141">
        <v>339</v>
      </c>
      <c r="I77" s="2"/>
    </row>
    <row r="78" spans="1:9" ht="19.8" customHeight="1" x14ac:dyDescent="0.3">
      <c r="A78" s="143">
        <v>45998</v>
      </c>
      <c r="B78" s="83" t="s">
        <v>31</v>
      </c>
      <c r="C78" s="84" t="s">
        <v>32</v>
      </c>
      <c r="D78" s="83" t="s">
        <v>1</v>
      </c>
      <c r="E78" s="144">
        <v>1.836805555555556</v>
      </c>
      <c r="F78" s="83" t="s">
        <v>33</v>
      </c>
      <c r="G78" s="85">
        <v>4</v>
      </c>
      <c r="H78" s="141">
        <v>349</v>
      </c>
      <c r="I78" s="2"/>
    </row>
    <row r="79" spans="1:9" ht="19.8" customHeight="1" x14ac:dyDescent="0.3">
      <c r="A79" s="143">
        <v>45998</v>
      </c>
      <c r="B79" s="83" t="s">
        <v>82</v>
      </c>
      <c r="C79" s="84" t="s">
        <v>123</v>
      </c>
      <c r="D79" s="83" t="s">
        <v>1</v>
      </c>
      <c r="E79" s="144">
        <v>1.2222222222222221</v>
      </c>
      <c r="F79" s="83" t="s">
        <v>28</v>
      </c>
      <c r="G79" s="85">
        <v>9</v>
      </c>
      <c r="H79" s="141">
        <v>371</v>
      </c>
      <c r="I79" s="2"/>
    </row>
    <row r="80" spans="1:9" ht="19.8" customHeight="1" x14ac:dyDescent="0.3">
      <c r="A80" s="143">
        <v>45998</v>
      </c>
      <c r="B80" s="83" t="s">
        <v>26</v>
      </c>
      <c r="C80" s="84" t="s">
        <v>99</v>
      </c>
      <c r="D80" s="83" t="s">
        <v>1</v>
      </c>
      <c r="E80" s="144">
        <v>1.958333333333333</v>
      </c>
      <c r="F80" s="83" t="s">
        <v>28</v>
      </c>
      <c r="G80" s="85">
        <v>6</v>
      </c>
      <c r="H80" s="141">
        <v>379</v>
      </c>
      <c r="I80" s="2"/>
    </row>
    <row r="81" spans="1:9" ht="19.8" customHeight="1" x14ac:dyDescent="0.3">
      <c r="A81" s="143">
        <v>45998</v>
      </c>
      <c r="B81" s="83" t="s">
        <v>40</v>
      </c>
      <c r="C81" s="84" t="s">
        <v>41</v>
      </c>
      <c r="D81" s="83" t="s">
        <v>1</v>
      </c>
      <c r="E81" s="144">
        <v>1.864583333333333</v>
      </c>
      <c r="F81" s="83" t="s">
        <v>61</v>
      </c>
      <c r="G81" s="85">
        <v>9</v>
      </c>
      <c r="H81" s="141">
        <v>411</v>
      </c>
      <c r="I81" s="2"/>
    </row>
    <row r="82" spans="1:9" ht="19.8" customHeight="1" x14ac:dyDescent="0.3">
      <c r="A82" s="143">
        <v>45998</v>
      </c>
      <c r="B82" s="83" t="s">
        <v>40</v>
      </c>
      <c r="C82" s="84" t="s">
        <v>44</v>
      </c>
      <c r="D82" s="83" t="s">
        <v>1</v>
      </c>
      <c r="E82" s="144">
        <v>1.5138888888888891</v>
      </c>
      <c r="F82" s="83" t="s">
        <v>61</v>
      </c>
      <c r="G82" s="85">
        <v>7</v>
      </c>
      <c r="H82" s="141">
        <v>411</v>
      </c>
      <c r="I82" s="2"/>
    </row>
    <row r="83" spans="1:9" ht="19.8" customHeight="1" x14ac:dyDescent="0.3">
      <c r="A83" s="143">
        <v>45998</v>
      </c>
      <c r="B83" s="83" t="s">
        <v>40</v>
      </c>
      <c r="C83" s="84" t="s">
        <v>60</v>
      </c>
      <c r="D83" s="83" t="s">
        <v>1</v>
      </c>
      <c r="E83" s="144">
        <v>1.1701388888888891</v>
      </c>
      <c r="F83" s="83" t="s">
        <v>61</v>
      </c>
      <c r="G83" s="85">
        <v>9</v>
      </c>
      <c r="H83" s="141">
        <v>411</v>
      </c>
      <c r="I83" s="2"/>
    </row>
    <row r="84" spans="1:9" ht="19.8" customHeight="1" x14ac:dyDescent="0.3">
      <c r="A84" s="143">
        <v>45998</v>
      </c>
      <c r="B84" s="83" t="s">
        <v>31</v>
      </c>
      <c r="C84" s="84" t="s">
        <v>32</v>
      </c>
      <c r="D84" s="83" t="s">
        <v>1</v>
      </c>
      <c r="E84" s="144">
        <v>1.836805555555556</v>
      </c>
      <c r="F84" s="83" t="s">
        <v>36</v>
      </c>
      <c r="G84" s="85">
        <v>4</v>
      </c>
      <c r="H84" s="141">
        <v>449</v>
      </c>
      <c r="I84" s="2"/>
    </row>
    <row r="85" spans="1:9" ht="19.8" customHeight="1" x14ac:dyDescent="0.3">
      <c r="A85" s="143">
        <v>45998</v>
      </c>
      <c r="B85" s="83" t="s">
        <v>46</v>
      </c>
      <c r="C85" s="84" t="s">
        <v>47</v>
      </c>
      <c r="D85" s="83" t="s">
        <v>1</v>
      </c>
      <c r="E85" s="144">
        <v>1.305555555555556</v>
      </c>
      <c r="F85" s="83" t="s">
        <v>88</v>
      </c>
      <c r="G85" s="85">
        <v>30</v>
      </c>
      <c r="H85" s="141">
        <v>489</v>
      </c>
      <c r="I85" s="2"/>
    </row>
    <row r="86" spans="1:9" ht="19.8" customHeight="1" x14ac:dyDescent="0.3">
      <c r="A86" s="143">
        <v>45998</v>
      </c>
      <c r="B86" s="83" t="s">
        <v>31</v>
      </c>
      <c r="C86" s="84" t="s">
        <v>32</v>
      </c>
      <c r="D86" s="83" t="s">
        <v>1</v>
      </c>
      <c r="E86" s="144">
        <v>1.836805555555556</v>
      </c>
      <c r="F86" s="83" t="s">
        <v>38</v>
      </c>
      <c r="G86" s="85">
        <v>4</v>
      </c>
      <c r="H86" s="141">
        <v>539</v>
      </c>
      <c r="I86" s="2"/>
    </row>
    <row r="87" spans="1:9" ht="19.8" customHeight="1" x14ac:dyDescent="0.3">
      <c r="A87" s="143">
        <v>45998</v>
      </c>
      <c r="B87" s="83" t="s">
        <v>71</v>
      </c>
      <c r="C87" s="84" t="s">
        <v>72</v>
      </c>
      <c r="D87" s="83" t="s">
        <v>1</v>
      </c>
      <c r="E87" s="144">
        <v>1.305555555555556</v>
      </c>
      <c r="F87" s="83" t="s">
        <v>73</v>
      </c>
      <c r="G87" s="85">
        <v>4</v>
      </c>
      <c r="H87" s="95" t="s">
        <v>75</v>
      </c>
      <c r="I87" s="2"/>
    </row>
    <row r="88" spans="1:9" ht="19.8" customHeight="1" x14ac:dyDescent="0.3">
      <c r="A88" s="145">
        <v>45998</v>
      </c>
      <c r="B88" s="87" t="s">
        <v>46</v>
      </c>
      <c r="C88" s="88" t="s">
        <v>47</v>
      </c>
      <c r="D88" s="87" t="s">
        <v>1</v>
      </c>
      <c r="E88" s="146">
        <v>1.305555555555556</v>
      </c>
      <c r="F88" s="87" t="s">
        <v>80</v>
      </c>
      <c r="G88" s="89">
        <v>30</v>
      </c>
      <c r="H88" s="90" t="s">
        <v>122</v>
      </c>
      <c r="I88" s="2"/>
    </row>
    <row r="89" spans="1:9" ht="19.8" customHeight="1" x14ac:dyDescent="0.3">
      <c r="A89" s="143">
        <v>45999</v>
      </c>
      <c r="B89" s="83" t="s">
        <v>46</v>
      </c>
      <c r="C89" s="84" t="s">
        <v>47</v>
      </c>
      <c r="D89" s="83" t="s">
        <v>1</v>
      </c>
      <c r="E89" s="144">
        <v>1.305555555555556</v>
      </c>
      <c r="F89" s="83" t="s">
        <v>85</v>
      </c>
      <c r="G89" s="85">
        <v>19</v>
      </c>
      <c r="H89" s="141">
        <v>309</v>
      </c>
      <c r="I89" s="2"/>
    </row>
    <row r="90" spans="1:9" ht="19.8" customHeight="1" x14ac:dyDescent="0.3">
      <c r="A90" s="143">
        <v>45999</v>
      </c>
      <c r="B90" s="83" t="s">
        <v>31</v>
      </c>
      <c r="C90" s="84" t="s">
        <v>51</v>
      </c>
      <c r="D90" s="83" t="s">
        <v>1</v>
      </c>
      <c r="E90" s="144">
        <v>1.2013888888888891</v>
      </c>
      <c r="F90" s="83" t="s">
        <v>33</v>
      </c>
      <c r="G90" s="85">
        <v>9</v>
      </c>
      <c r="H90" s="141">
        <v>349</v>
      </c>
      <c r="I90" s="2"/>
    </row>
    <row r="91" spans="1:9" ht="19.8" customHeight="1" x14ac:dyDescent="0.3">
      <c r="A91" s="143">
        <v>45999</v>
      </c>
      <c r="B91" s="83" t="s">
        <v>31</v>
      </c>
      <c r="C91" s="84" t="s">
        <v>32</v>
      </c>
      <c r="D91" s="83" t="s">
        <v>1</v>
      </c>
      <c r="E91" s="144">
        <v>1.836805555555556</v>
      </c>
      <c r="F91" s="83" t="s">
        <v>33</v>
      </c>
      <c r="G91" s="85">
        <v>3</v>
      </c>
      <c r="H91" s="141">
        <v>379</v>
      </c>
      <c r="I91" s="2"/>
    </row>
    <row r="92" spans="1:9" ht="19.8" customHeight="1" x14ac:dyDescent="0.3">
      <c r="A92" s="143">
        <v>45999</v>
      </c>
      <c r="B92" s="83" t="s">
        <v>26</v>
      </c>
      <c r="C92" s="84" t="s">
        <v>27</v>
      </c>
      <c r="D92" s="83" t="s">
        <v>1</v>
      </c>
      <c r="E92" s="144">
        <v>1.958333333333333</v>
      </c>
      <c r="F92" s="83" t="s">
        <v>28</v>
      </c>
      <c r="G92" s="85">
        <v>9</v>
      </c>
      <c r="H92" s="141">
        <v>379</v>
      </c>
      <c r="I92" s="2"/>
    </row>
    <row r="93" spans="1:9" ht="19.8" customHeight="1" x14ac:dyDescent="0.3">
      <c r="A93" s="143">
        <v>45999</v>
      </c>
      <c r="B93" s="83" t="s">
        <v>40</v>
      </c>
      <c r="C93" s="84" t="s">
        <v>41</v>
      </c>
      <c r="D93" s="83" t="s">
        <v>1</v>
      </c>
      <c r="E93" s="144">
        <v>1.864583333333333</v>
      </c>
      <c r="F93" s="83" t="s">
        <v>61</v>
      </c>
      <c r="G93" s="85">
        <v>8</v>
      </c>
      <c r="H93" s="141">
        <v>411</v>
      </c>
      <c r="I93" s="2"/>
    </row>
    <row r="94" spans="1:9" ht="19.8" customHeight="1" x14ac:dyDescent="0.3">
      <c r="A94" s="143">
        <v>45999</v>
      </c>
      <c r="B94" s="83" t="s">
        <v>40</v>
      </c>
      <c r="C94" s="84" t="s">
        <v>60</v>
      </c>
      <c r="D94" s="83" t="s">
        <v>1</v>
      </c>
      <c r="E94" s="144">
        <v>1.1701388888888891</v>
      </c>
      <c r="F94" s="83" t="s">
        <v>61</v>
      </c>
      <c r="G94" s="85">
        <v>9</v>
      </c>
      <c r="H94" s="141">
        <v>411</v>
      </c>
      <c r="I94" s="2"/>
    </row>
    <row r="95" spans="1:9" ht="19.8" customHeight="1" x14ac:dyDescent="0.3">
      <c r="A95" s="143">
        <v>45999</v>
      </c>
      <c r="B95" s="83" t="s">
        <v>31</v>
      </c>
      <c r="C95" s="84" t="s">
        <v>51</v>
      </c>
      <c r="D95" s="83" t="s">
        <v>1</v>
      </c>
      <c r="E95" s="144">
        <v>1.2013888888888891</v>
      </c>
      <c r="F95" s="83" t="s">
        <v>36</v>
      </c>
      <c r="G95" s="85">
        <v>9</v>
      </c>
      <c r="H95" s="141">
        <v>449</v>
      </c>
      <c r="I95" s="2"/>
    </row>
    <row r="96" spans="1:9" ht="19.8" customHeight="1" x14ac:dyDescent="0.3">
      <c r="A96" s="143">
        <v>45999</v>
      </c>
      <c r="B96" s="83" t="s">
        <v>46</v>
      </c>
      <c r="C96" s="84" t="s">
        <v>47</v>
      </c>
      <c r="D96" s="83" t="s">
        <v>1</v>
      </c>
      <c r="E96" s="144">
        <v>1.305555555555556</v>
      </c>
      <c r="F96" s="83" t="s">
        <v>88</v>
      </c>
      <c r="G96" s="85">
        <v>19</v>
      </c>
      <c r="H96" s="141">
        <v>459</v>
      </c>
      <c r="I96" s="2"/>
    </row>
    <row r="97" spans="1:9" ht="19.8" customHeight="1" x14ac:dyDescent="0.3">
      <c r="A97" s="143">
        <v>45999</v>
      </c>
      <c r="B97" s="83" t="s">
        <v>31</v>
      </c>
      <c r="C97" s="84" t="s">
        <v>32</v>
      </c>
      <c r="D97" s="83" t="s">
        <v>1</v>
      </c>
      <c r="E97" s="144">
        <v>1.836805555555556</v>
      </c>
      <c r="F97" s="83" t="s">
        <v>36</v>
      </c>
      <c r="G97" s="85">
        <v>3</v>
      </c>
      <c r="H97" s="141">
        <v>479</v>
      </c>
      <c r="I97" s="2"/>
    </row>
    <row r="98" spans="1:9" ht="19.8" customHeight="1" x14ac:dyDescent="0.3">
      <c r="A98" s="143">
        <v>45999</v>
      </c>
      <c r="B98" s="83" t="s">
        <v>31</v>
      </c>
      <c r="C98" s="84" t="s">
        <v>51</v>
      </c>
      <c r="D98" s="83" t="s">
        <v>1</v>
      </c>
      <c r="E98" s="144">
        <v>1.2013888888888891</v>
      </c>
      <c r="F98" s="83" t="s">
        <v>38</v>
      </c>
      <c r="G98" s="85">
        <v>9</v>
      </c>
      <c r="H98" s="141">
        <v>539</v>
      </c>
      <c r="I98" s="2"/>
    </row>
    <row r="99" spans="1:9" ht="19.8" customHeight="1" x14ac:dyDescent="0.3">
      <c r="A99" s="143">
        <v>45999</v>
      </c>
      <c r="B99" s="83" t="s">
        <v>31</v>
      </c>
      <c r="C99" s="84" t="s">
        <v>32</v>
      </c>
      <c r="D99" s="83" t="s">
        <v>1</v>
      </c>
      <c r="E99" s="144">
        <v>1.836805555555556</v>
      </c>
      <c r="F99" s="83" t="s">
        <v>38</v>
      </c>
      <c r="G99" s="85">
        <v>3</v>
      </c>
      <c r="H99" s="141">
        <v>569</v>
      </c>
      <c r="I99" s="2"/>
    </row>
    <row r="100" spans="1:9" ht="19.8" customHeight="1" x14ac:dyDescent="0.3">
      <c r="A100" s="143">
        <v>45999</v>
      </c>
      <c r="B100" s="83" t="s">
        <v>40</v>
      </c>
      <c r="C100" s="84" t="s">
        <v>44</v>
      </c>
      <c r="D100" s="83" t="s">
        <v>1</v>
      </c>
      <c r="E100" s="144">
        <v>1.5277777777777779</v>
      </c>
      <c r="F100" s="83" t="s">
        <v>42</v>
      </c>
      <c r="G100" s="85">
        <v>9</v>
      </c>
      <c r="H100" s="141">
        <v>697</v>
      </c>
      <c r="I100" s="2"/>
    </row>
    <row r="101" spans="1:9" ht="19.8" customHeight="1" x14ac:dyDescent="0.3">
      <c r="A101" s="143">
        <v>45999</v>
      </c>
      <c r="B101" s="83" t="s">
        <v>46</v>
      </c>
      <c r="C101" s="84" t="s">
        <v>47</v>
      </c>
      <c r="D101" s="83" t="s">
        <v>1</v>
      </c>
      <c r="E101" s="144">
        <v>1.305555555555556</v>
      </c>
      <c r="F101" s="83" t="s">
        <v>80</v>
      </c>
      <c r="G101" s="85">
        <v>19</v>
      </c>
      <c r="H101" s="141">
        <v>899</v>
      </c>
      <c r="I101" s="2"/>
    </row>
    <row r="102" spans="1:9" ht="19.8" customHeight="1" x14ac:dyDescent="0.3">
      <c r="A102" s="145">
        <v>45999</v>
      </c>
      <c r="B102" s="87" t="s">
        <v>71</v>
      </c>
      <c r="C102" s="88" t="s">
        <v>72</v>
      </c>
      <c r="D102" s="87" t="s">
        <v>1</v>
      </c>
      <c r="E102" s="146">
        <v>1.305555555555556</v>
      </c>
      <c r="F102" s="87" t="s">
        <v>73</v>
      </c>
      <c r="G102" s="89">
        <v>4</v>
      </c>
      <c r="H102" s="90" t="s">
        <v>120</v>
      </c>
      <c r="I102" s="2"/>
    </row>
    <row r="103" spans="1:9" ht="19.8" customHeight="1" x14ac:dyDescent="0.3">
      <c r="A103" s="143">
        <v>46000</v>
      </c>
      <c r="B103" s="83" t="s">
        <v>46</v>
      </c>
      <c r="C103" s="84" t="s">
        <v>47</v>
      </c>
      <c r="D103" s="83" t="s">
        <v>1</v>
      </c>
      <c r="E103" s="144">
        <v>1.305555555555556</v>
      </c>
      <c r="F103" s="83" t="s">
        <v>48</v>
      </c>
      <c r="G103" s="85">
        <v>18</v>
      </c>
      <c r="H103" s="141">
        <v>309</v>
      </c>
      <c r="I103" s="2"/>
    </row>
    <row r="104" spans="1:9" ht="19.8" customHeight="1" x14ac:dyDescent="0.3">
      <c r="A104" s="143">
        <v>46000</v>
      </c>
      <c r="B104" s="83" t="s">
        <v>31</v>
      </c>
      <c r="C104" s="84" t="s">
        <v>32</v>
      </c>
      <c r="D104" s="83" t="s">
        <v>1</v>
      </c>
      <c r="E104" s="144">
        <v>1.836805555555556</v>
      </c>
      <c r="F104" s="83" t="s">
        <v>52</v>
      </c>
      <c r="G104" s="85">
        <v>9</v>
      </c>
      <c r="H104" s="141">
        <v>349</v>
      </c>
      <c r="I104" s="2"/>
    </row>
    <row r="105" spans="1:9" ht="19.8" customHeight="1" x14ac:dyDescent="0.3">
      <c r="A105" s="143">
        <v>46000</v>
      </c>
      <c r="B105" s="83" t="s">
        <v>31</v>
      </c>
      <c r="C105" s="84" t="s">
        <v>51</v>
      </c>
      <c r="D105" s="83" t="s">
        <v>1</v>
      </c>
      <c r="E105" s="144">
        <v>1.2013888888888891</v>
      </c>
      <c r="F105" s="83" t="s">
        <v>52</v>
      </c>
      <c r="G105" s="85">
        <v>9</v>
      </c>
      <c r="H105" s="141">
        <v>349</v>
      </c>
      <c r="I105" s="2"/>
    </row>
    <row r="106" spans="1:9" ht="19.8" customHeight="1" x14ac:dyDescent="0.3">
      <c r="A106" s="143">
        <v>46000</v>
      </c>
      <c r="B106" s="83" t="s">
        <v>26</v>
      </c>
      <c r="C106" s="84" t="s">
        <v>57</v>
      </c>
      <c r="D106" s="83" t="s">
        <v>1</v>
      </c>
      <c r="E106" s="144">
        <v>1.958333333333333</v>
      </c>
      <c r="F106" s="83" t="s">
        <v>28</v>
      </c>
      <c r="G106" s="85">
        <v>9</v>
      </c>
      <c r="H106" s="141">
        <v>379</v>
      </c>
      <c r="I106" s="2"/>
    </row>
    <row r="107" spans="1:9" ht="19.8" customHeight="1" x14ac:dyDescent="0.3">
      <c r="A107" s="143">
        <v>46000</v>
      </c>
      <c r="B107" s="83" t="s">
        <v>40</v>
      </c>
      <c r="C107" s="84" t="s">
        <v>41</v>
      </c>
      <c r="D107" s="83" t="s">
        <v>1</v>
      </c>
      <c r="E107" s="144">
        <v>1.864583333333333</v>
      </c>
      <c r="F107" s="83" t="s">
        <v>61</v>
      </c>
      <c r="G107" s="85">
        <v>8</v>
      </c>
      <c r="H107" s="141">
        <v>411</v>
      </c>
      <c r="I107" s="2"/>
    </row>
    <row r="108" spans="1:9" ht="19.8" customHeight="1" x14ac:dyDescent="0.3">
      <c r="A108" s="143">
        <v>46000</v>
      </c>
      <c r="B108" s="83" t="s">
        <v>40</v>
      </c>
      <c r="C108" s="84" t="s">
        <v>60</v>
      </c>
      <c r="D108" s="83" t="s">
        <v>1</v>
      </c>
      <c r="E108" s="144">
        <v>1.1701388888888891</v>
      </c>
      <c r="F108" s="83" t="s">
        <v>61</v>
      </c>
      <c r="G108" s="85">
        <v>9</v>
      </c>
      <c r="H108" s="141">
        <v>411</v>
      </c>
      <c r="I108" s="2"/>
    </row>
    <row r="109" spans="1:9" ht="19.8" customHeight="1" x14ac:dyDescent="0.3">
      <c r="A109" s="147">
        <v>46000</v>
      </c>
      <c r="B109" s="92" t="s">
        <v>64</v>
      </c>
      <c r="C109" s="93" t="s">
        <v>65</v>
      </c>
      <c r="D109" s="92" t="s">
        <v>1</v>
      </c>
      <c r="E109" s="148">
        <v>1.270833333333333</v>
      </c>
      <c r="F109" s="92" t="s">
        <v>28</v>
      </c>
      <c r="G109" s="94">
        <v>9</v>
      </c>
      <c r="H109" s="142">
        <v>566</v>
      </c>
      <c r="I109" s="2"/>
    </row>
    <row r="110" spans="1:9" ht="19.8" customHeight="1" x14ac:dyDescent="0.3">
      <c r="A110" s="143">
        <v>46000</v>
      </c>
      <c r="B110" s="83" t="s">
        <v>40</v>
      </c>
      <c r="C110" s="84" t="s">
        <v>44</v>
      </c>
      <c r="D110" s="83" t="s">
        <v>1</v>
      </c>
      <c r="E110" s="144">
        <v>1.5277777777777779</v>
      </c>
      <c r="F110" s="83" t="s">
        <v>42</v>
      </c>
      <c r="G110" s="85">
        <v>9</v>
      </c>
      <c r="H110" s="141">
        <v>697</v>
      </c>
      <c r="I110" s="2"/>
    </row>
    <row r="111" spans="1:9" ht="19.8" customHeight="1" x14ac:dyDescent="0.3">
      <c r="A111" s="145">
        <v>46000</v>
      </c>
      <c r="B111" s="87" t="s">
        <v>71</v>
      </c>
      <c r="C111" s="88" t="s">
        <v>72</v>
      </c>
      <c r="D111" s="87" t="s">
        <v>1</v>
      </c>
      <c r="E111" s="146">
        <v>1.305555555555556</v>
      </c>
      <c r="F111" s="87" t="s">
        <v>73</v>
      </c>
      <c r="G111" s="89">
        <v>4</v>
      </c>
      <c r="H111" s="90" t="s">
        <v>120</v>
      </c>
      <c r="I111" s="2"/>
    </row>
    <row r="112" spans="1:9" ht="19.8" customHeight="1" x14ac:dyDescent="0.3">
      <c r="A112" s="143">
        <v>46001</v>
      </c>
      <c r="B112" s="83" t="s">
        <v>76</v>
      </c>
      <c r="C112" s="84" t="s">
        <v>77</v>
      </c>
      <c r="D112" s="83" t="s">
        <v>1</v>
      </c>
      <c r="E112" s="144">
        <v>1.9722222222222221</v>
      </c>
      <c r="F112" s="83" t="s">
        <v>78</v>
      </c>
      <c r="G112" s="85">
        <v>9</v>
      </c>
      <c r="H112" s="141">
        <v>367</v>
      </c>
      <c r="I112" s="2"/>
    </row>
    <row r="113" spans="1:9" ht="19.8" customHeight="1" x14ac:dyDescent="0.3">
      <c r="A113" s="143">
        <v>46001</v>
      </c>
      <c r="B113" s="83" t="s">
        <v>82</v>
      </c>
      <c r="C113" s="84" t="s">
        <v>83</v>
      </c>
      <c r="D113" s="83" t="s">
        <v>1</v>
      </c>
      <c r="E113" s="144">
        <v>1.0902777777777779</v>
      </c>
      <c r="F113" s="83" t="s">
        <v>28</v>
      </c>
      <c r="G113" s="85">
        <v>9</v>
      </c>
      <c r="H113" s="141">
        <v>371</v>
      </c>
      <c r="I113" s="2"/>
    </row>
    <row r="114" spans="1:9" ht="19.8" customHeight="1" x14ac:dyDescent="0.3">
      <c r="A114" s="143">
        <v>46001</v>
      </c>
      <c r="B114" s="83" t="s">
        <v>46</v>
      </c>
      <c r="C114" s="84" t="s">
        <v>47</v>
      </c>
      <c r="D114" s="83" t="s">
        <v>1</v>
      </c>
      <c r="E114" s="144">
        <v>1.305555555555556</v>
      </c>
      <c r="F114" s="83" t="s">
        <v>85</v>
      </c>
      <c r="G114" s="85">
        <v>8</v>
      </c>
      <c r="H114" s="141">
        <v>399</v>
      </c>
      <c r="I114" s="2"/>
    </row>
    <row r="115" spans="1:9" ht="19.8" customHeight="1" x14ac:dyDescent="0.3">
      <c r="A115" s="143">
        <v>46001</v>
      </c>
      <c r="B115" s="83" t="s">
        <v>40</v>
      </c>
      <c r="C115" s="84" t="s">
        <v>60</v>
      </c>
      <c r="D115" s="83" t="s">
        <v>1</v>
      </c>
      <c r="E115" s="144">
        <v>1.1701388888888891</v>
      </c>
      <c r="F115" s="83" t="s">
        <v>61</v>
      </c>
      <c r="G115" s="85">
        <v>7</v>
      </c>
      <c r="H115" s="141">
        <v>411</v>
      </c>
      <c r="I115" s="2"/>
    </row>
    <row r="116" spans="1:9" ht="19.8" customHeight="1" x14ac:dyDescent="0.3">
      <c r="A116" s="143">
        <v>46001</v>
      </c>
      <c r="B116" s="83" t="s">
        <v>76</v>
      </c>
      <c r="C116" s="84" t="s">
        <v>77</v>
      </c>
      <c r="D116" s="83" t="s">
        <v>1</v>
      </c>
      <c r="E116" s="144">
        <v>1.9722222222222221</v>
      </c>
      <c r="F116" s="83" t="s">
        <v>80</v>
      </c>
      <c r="G116" s="85">
        <v>9</v>
      </c>
      <c r="H116" s="141">
        <v>490</v>
      </c>
      <c r="I116" s="2"/>
    </row>
    <row r="117" spans="1:9" ht="19.8" customHeight="1" x14ac:dyDescent="0.3">
      <c r="A117" s="143">
        <v>46001</v>
      </c>
      <c r="B117" s="83" t="s">
        <v>46</v>
      </c>
      <c r="C117" s="84" t="s">
        <v>47</v>
      </c>
      <c r="D117" s="83" t="s">
        <v>1</v>
      </c>
      <c r="E117" s="144">
        <v>1.305555555555556</v>
      </c>
      <c r="F117" s="83" t="s">
        <v>88</v>
      </c>
      <c r="G117" s="85">
        <v>8</v>
      </c>
      <c r="H117" s="141">
        <v>549</v>
      </c>
      <c r="I117" s="2"/>
    </row>
    <row r="118" spans="1:9" ht="19.8" customHeight="1" x14ac:dyDescent="0.3">
      <c r="A118" s="143">
        <v>46001</v>
      </c>
      <c r="B118" s="83" t="s">
        <v>26</v>
      </c>
      <c r="C118" s="84" t="s">
        <v>27</v>
      </c>
      <c r="D118" s="83" t="s">
        <v>1</v>
      </c>
      <c r="E118" s="144">
        <v>1.895833333333333</v>
      </c>
      <c r="F118" s="83" t="s">
        <v>28</v>
      </c>
      <c r="G118" s="85">
        <v>9</v>
      </c>
      <c r="H118" s="141">
        <v>563</v>
      </c>
      <c r="I118" s="2"/>
    </row>
    <row r="119" spans="1:9" ht="19.8" customHeight="1" x14ac:dyDescent="0.3">
      <c r="A119" s="143">
        <v>46001</v>
      </c>
      <c r="B119" s="83" t="s">
        <v>31</v>
      </c>
      <c r="C119" s="84" t="s">
        <v>32</v>
      </c>
      <c r="D119" s="83" t="s">
        <v>1</v>
      </c>
      <c r="E119" s="144">
        <v>1.836805555555556</v>
      </c>
      <c r="F119" s="83" t="s">
        <v>33</v>
      </c>
      <c r="G119" s="85">
        <v>6</v>
      </c>
      <c r="H119" s="141">
        <v>579</v>
      </c>
      <c r="I119" s="2"/>
    </row>
    <row r="120" spans="1:9" ht="19.8" customHeight="1" x14ac:dyDescent="0.3">
      <c r="A120" s="143">
        <v>46001</v>
      </c>
      <c r="B120" s="83" t="s">
        <v>31</v>
      </c>
      <c r="C120" s="84" t="s">
        <v>32</v>
      </c>
      <c r="D120" s="83" t="s">
        <v>1</v>
      </c>
      <c r="E120" s="144">
        <v>1.836805555555556</v>
      </c>
      <c r="F120" s="83" t="s">
        <v>36</v>
      </c>
      <c r="G120" s="85">
        <v>6</v>
      </c>
      <c r="H120" s="141">
        <v>679</v>
      </c>
      <c r="I120" s="2"/>
    </row>
    <row r="121" spans="1:9" ht="19.8" customHeight="1" x14ac:dyDescent="0.3">
      <c r="A121" s="143">
        <v>46001</v>
      </c>
      <c r="B121" s="83" t="s">
        <v>31</v>
      </c>
      <c r="C121" s="84" t="s">
        <v>32</v>
      </c>
      <c r="D121" s="83" t="s">
        <v>1</v>
      </c>
      <c r="E121" s="144">
        <v>1.836805555555556</v>
      </c>
      <c r="F121" s="83" t="s">
        <v>38</v>
      </c>
      <c r="G121" s="85">
        <v>6</v>
      </c>
      <c r="H121" s="141">
        <v>769</v>
      </c>
      <c r="I121" s="2"/>
    </row>
    <row r="122" spans="1:9" ht="19.8" customHeight="1" x14ac:dyDescent="0.3">
      <c r="A122" s="143">
        <v>46001</v>
      </c>
      <c r="B122" s="83" t="s">
        <v>40</v>
      </c>
      <c r="C122" s="84" t="s">
        <v>44</v>
      </c>
      <c r="D122" s="83" t="s">
        <v>1</v>
      </c>
      <c r="E122" s="144">
        <v>1.5277777777777779</v>
      </c>
      <c r="F122" s="83" t="s">
        <v>42</v>
      </c>
      <c r="G122" s="85">
        <v>9</v>
      </c>
      <c r="H122" s="141">
        <v>817</v>
      </c>
      <c r="I122" s="2"/>
    </row>
    <row r="123" spans="1:9" ht="19.8" customHeight="1" x14ac:dyDescent="0.3">
      <c r="A123" s="143">
        <v>46001</v>
      </c>
      <c r="B123" s="83" t="s">
        <v>46</v>
      </c>
      <c r="C123" s="84" t="s">
        <v>47</v>
      </c>
      <c r="D123" s="83" t="s">
        <v>1</v>
      </c>
      <c r="E123" s="144">
        <v>1.305555555555556</v>
      </c>
      <c r="F123" s="83" t="s">
        <v>80</v>
      </c>
      <c r="G123" s="85">
        <v>8</v>
      </c>
      <c r="H123" s="141">
        <v>899</v>
      </c>
      <c r="I123" s="2"/>
    </row>
    <row r="124" spans="1:9" ht="19.8" customHeight="1" x14ac:dyDescent="0.3">
      <c r="A124" s="143">
        <v>46001</v>
      </c>
      <c r="B124" s="83" t="s">
        <v>71</v>
      </c>
      <c r="C124" s="84" t="s">
        <v>72</v>
      </c>
      <c r="D124" s="83" t="s">
        <v>1</v>
      </c>
      <c r="E124" s="144">
        <v>1.305555555555556</v>
      </c>
      <c r="F124" s="83" t="s">
        <v>73</v>
      </c>
      <c r="G124" s="85">
        <v>4</v>
      </c>
      <c r="H124" s="95" t="s">
        <v>133</v>
      </c>
      <c r="I124" s="2"/>
    </row>
    <row r="125" spans="1:9" ht="19.8" customHeight="1" x14ac:dyDescent="0.3">
      <c r="A125" s="145">
        <v>46001</v>
      </c>
      <c r="B125" s="87" t="s">
        <v>40</v>
      </c>
      <c r="C125" s="88" t="s">
        <v>41</v>
      </c>
      <c r="D125" s="87" t="s">
        <v>1</v>
      </c>
      <c r="E125" s="146">
        <v>1.864583333333333</v>
      </c>
      <c r="F125" s="87" t="s">
        <v>42</v>
      </c>
      <c r="G125" s="89">
        <v>9</v>
      </c>
      <c r="H125" s="90" t="s">
        <v>129</v>
      </c>
      <c r="I125" s="2"/>
    </row>
    <row r="126" spans="1:9" ht="19.8" customHeight="1" x14ac:dyDescent="0.3">
      <c r="A126" s="143">
        <v>46002</v>
      </c>
      <c r="B126" s="83" t="s">
        <v>46</v>
      </c>
      <c r="C126" s="84" t="s">
        <v>47</v>
      </c>
      <c r="D126" s="83" t="s">
        <v>1</v>
      </c>
      <c r="E126" s="144">
        <v>1.305555555555556</v>
      </c>
      <c r="F126" s="83" t="s">
        <v>85</v>
      </c>
      <c r="G126" s="85">
        <v>15</v>
      </c>
      <c r="H126" s="141">
        <v>369</v>
      </c>
      <c r="I126" s="2"/>
    </row>
    <row r="127" spans="1:9" ht="19.8" customHeight="1" x14ac:dyDescent="0.3">
      <c r="A127" s="143">
        <v>46002</v>
      </c>
      <c r="B127" s="83" t="s">
        <v>31</v>
      </c>
      <c r="C127" s="84" t="s">
        <v>51</v>
      </c>
      <c r="D127" s="83" t="s">
        <v>1</v>
      </c>
      <c r="E127" s="144">
        <v>1.2013888888888891</v>
      </c>
      <c r="F127" s="83" t="s">
        <v>33</v>
      </c>
      <c r="G127" s="85">
        <v>6</v>
      </c>
      <c r="H127" s="141">
        <v>399</v>
      </c>
      <c r="I127" s="2"/>
    </row>
    <row r="128" spans="1:9" ht="19.8" customHeight="1" x14ac:dyDescent="0.3">
      <c r="A128" s="143">
        <v>46002</v>
      </c>
      <c r="B128" s="83" t="s">
        <v>40</v>
      </c>
      <c r="C128" s="84" t="s">
        <v>60</v>
      </c>
      <c r="D128" s="83" t="s">
        <v>1</v>
      </c>
      <c r="E128" s="144">
        <v>1.1701388888888891</v>
      </c>
      <c r="F128" s="83" t="s">
        <v>61</v>
      </c>
      <c r="G128" s="85">
        <v>7</v>
      </c>
      <c r="H128" s="141">
        <v>411</v>
      </c>
      <c r="I128" s="2"/>
    </row>
    <row r="129" spans="1:9" ht="19.8" customHeight="1" x14ac:dyDescent="0.3">
      <c r="A129" s="143">
        <v>46002</v>
      </c>
      <c r="B129" s="83" t="s">
        <v>82</v>
      </c>
      <c r="C129" s="84" t="s">
        <v>83</v>
      </c>
      <c r="D129" s="83" t="s">
        <v>1</v>
      </c>
      <c r="E129" s="144">
        <v>1.8888888888888891</v>
      </c>
      <c r="F129" s="83" t="s">
        <v>28</v>
      </c>
      <c r="G129" s="85">
        <v>8</v>
      </c>
      <c r="H129" s="141">
        <v>425</v>
      </c>
      <c r="I129" s="2"/>
    </row>
    <row r="130" spans="1:9" ht="19.8" customHeight="1" x14ac:dyDescent="0.3">
      <c r="A130" s="143">
        <v>46002</v>
      </c>
      <c r="B130" s="83" t="s">
        <v>31</v>
      </c>
      <c r="C130" s="84" t="s">
        <v>32</v>
      </c>
      <c r="D130" s="83" t="s">
        <v>1</v>
      </c>
      <c r="E130" s="144">
        <v>1.836805555555556</v>
      </c>
      <c r="F130" s="83" t="s">
        <v>33</v>
      </c>
      <c r="G130" s="85">
        <v>1</v>
      </c>
      <c r="H130" s="141">
        <v>429</v>
      </c>
      <c r="I130" s="2"/>
    </row>
    <row r="131" spans="1:9" ht="19.8" customHeight="1" x14ac:dyDescent="0.3">
      <c r="A131" s="143">
        <v>46002</v>
      </c>
      <c r="B131" s="83" t="s">
        <v>26</v>
      </c>
      <c r="C131" s="84" t="s">
        <v>57</v>
      </c>
      <c r="D131" s="83" t="s">
        <v>1</v>
      </c>
      <c r="E131" s="144">
        <v>1.958333333333333</v>
      </c>
      <c r="F131" s="83" t="s">
        <v>28</v>
      </c>
      <c r="G131" s="85">
        <v>9</v>
      </c>
      <c r="H131" s="141">
        <v>439</v>
      </c>
      <c r="I131" s="2"/>
    </row>
    <row r="132" spans="1:9" ht="19.8" customHeight="1" x14ac:dyDescent="0.3">
      <c r="A132" s="143">
        <v>46002</v>
      </c>
      <c r="B132" s="83" t="s">
        <v>31</v>
      </c>
      <c r="C132" s="84" t="s">
        <v>51</v>
      </c>
      <c r="D132" s="83" t="s">
        <v>1</v>
      </c>
      <c r="E132" s="144">
        <v>1.2013888888888891</v>
      </c>
      <c r="F132" s="83" t="s">
        <v>36</v>
      </c>
      <c r="G132" s="85">
        <v>6</v>
      </c>
      <c r="H132" s="141">
        <v>499</v>
      </c>
      <c r="I132" s="2"/>
    </row>
    <row r="133" spans="1:9" ht="19.8" customHeight="1" x14ac:dyDescent="0.3">
      <c r="A133" s="143">
        <v>46002</v>
      </c>
      <c r="B133" s="83" t="s">
        <v>46</v>
      </c>
      <c r="C133" s="84" t="s">
        <v>47</v>
      </c>
      <c r="D133" s="83" t="s">
        <v>1</v>
      </c>
      <c r="E133" s="144">
        <v>1.305555555555556</v>
      </c>
      <c r="F133" s="83" t="s">
        <v>88</v>
      </c>
      <c r="G133" s="85">
        <v>15</v>
      </c>
      <c r="H133" s="141">
        <v>519</v>
      </c>
      <c r="I133" s="2"/>
    </row>
    <row r="134" spans="1:9" ht="19.8" customHeight="1" x14ac:dyDescent="0.3">
      <c r="A134" s="143">
        <v>46002</v>
      </c>
      <c r="B134" s="83" t="s">
        <v>31</v>
      </c>
      <c r="C134" s="84" t="s">
        <v>32</v>
      </c>
      <c r="D134" s="83" t="s">
        <v>1</v>
      </c>
      <c r="E134" s="144">
        <v>1.836805555555556</v>
      </c>
      <c r="F134" s="83" t="s">
        <v>36</v>
      </c>
      <c r="G134" s="85">
        <v>1</v>
      </c>
      <c r="H134" s="141">
        <v>529</v>
      </c>
      <c r="I134" s="2"/>
    </row>
    <row r="135" spans="1:9" ht="19.8" customHeight="1" x14ac:dyDescent="0.3">
      <c r="A135" s="143">
        <v>46002</v>
      </c>
      <c r="B135" s="83" t="s">
        <v>31</v>
      </c>
      <c r="C135" s="84" t="s">
        <v>51</v>
      </c>
      <c r="D135" s="83" t="s">
        <v>1</v>
      </c>
      <c r="E135" s="144">
        <v>1.2013888888888891</v>
      </c>
      <c r="F135" s="83" t="s">
        <v>38</v>
      </c>
      <c r="G135" s="85">
        <v>6</v>
      </c>
      <c r="H135" s="141">
        <v>589</v>
      </c>
      <c r="I135" s="2"/>
    </row>
    <row r="136" spans="1:9" ht="19.8" customHeight="1" x14ac:dyDescent="0.3">
      <c r="A136" s="143">
        <v>46002</v>
      </c>
      <c r="B136" s="83" t="s">
        <v>40</v>
      </c>
      <c r="C136" s="84" t="s">
        <v>44</v>
      </c>
      <c r="D136" s="83" t="s">
        <v>1</v>
      </c>
      <c r="E136" s="144">
        <v>1.5277777777777779</v>
      </c>
      <c r="F136" s="83" t="s">
        <v>42</v>
      </c>
      <c r="G136" s="85">
        <v>9</v>
      </c>
      <c r="H136" s="141">
        <v>592</v>
      </c>
      <c r="I136" s="2"/>
    </row>
    <row r="137" spans="1:9" ht="19.8" customHeight="1" x14ac:dyDescent="0.3">
      <c r="A137" s="143">
        <v>46002</v>
      </c>
      <c r="B137" s="83" t="s">
        <v>31</v>
      </c>
      <c r="C137" s="84" t="s">
        <v>32</v>
      </c>
      <c r="D137" s="83" t="s">
        <v>1</v>
      </c>
      <c r="E137" s="144">
        <v>1.836805555555556</v>
      </c>
      <c r="F137" s="83" t="s">
        <v>38</v>
      </c>
      <c r="G137" s="85">
        <v>1</v>
      </c>
      <c r="H137" s="141">
        <v>619</v>
      </c>
      <c r="I137" s="2"/>
    </row>
    <row r="138" spans="1:9" ht="19.8" customHeight="1" x14ac:dyDescent="0.3">
      <c r="A138" s="147">
        <v>46002</v>
      </c>
      <c r="B138" s="92" t="s">
        <v>64</v>
      </c>
      <c r="C138" s="93" t="s">
        <v>65</v>
      </c>
      <c r="D138" s="92" t="s">
        <v>1</v>
      </c>
      <c r="E138" s="148">
        <v>1.9236111111111109</v>
      </c>
      <c r="F138" s="92" t="s">
        <v>28</v>
      </c>
      <c r="G138" s="94">
        <v>9</v>
      </c>
      <c r="H138" s="142">
        <v>626</v>
      </c>
      <c r="I138" s="2"/>
    </row>
    <row r="139" spans="1:9" ht="19.8" customHeight="1" x14ac:dyDescent="0.3">
      <c r="A139" s="143">
        <v>46002</v>
      </c>
      <c r="B139" s="83" t="s">
        <v>40</v>
      </c>
      <c r="C139" s="84" t="s">
        <v>41</v>
      </c>
      <c r="D139" s="83" t="s">
        <v>1</v>
      </c>
      <c r="E139" s="144">
        <v>1.864583333333333</v>
      </c>
      <c r="F139" s="83" t="s">
        <v>42</v>
      </c>
      <c r="G139" s="85">
        <v>9</v>
      </c>
      <c r="H139" s="141">
        <v>757</v>
      </c>
      <c r="I139" s="2"/>
    </row>
    <row r="140" spans="1:9" ht="19.8" customHeight="1" x14ac:dyDescent="0.3">
      <c r="A140" s="143">
        <v>46002</v>
      </c>
      <c r="B140" s="83" t="s">
        <v>46</v>
      </c>
      <c r="C140" s="84" t="s">
        <v>47</v>
      </c>
      <c r="D140" s="83" t="s">
        <v>1</v>
      </c>
      <c r="E140" s="144">
        <v>1.305555555555556</v>
      </c>
      <c r="F140" s="83" t="s">
        <v>80</v>
      </c>
      <c r="G140" s="85">
        <v>15</v>
      </c>
      <c r="H140" s="141">
        <v>899</v>
      </c>
      <c r="I140" s="2"/>
    </row>
    <row r="141" spans="1:9" ht="19.8" customHeight="1" x14ac:dyDescent="0.3">
      <c r="A141" s="145">
        <v>46002</v>
      </c>
      <c r="B141" s="87" t="s">
        <v>71</v>
      </c>
      <c r="C141" s="88" t="s">
        <v>72</v>
      </c>
      <c r="D141" s="87" t="s">
        <v>1</v>
      </c>
      <c r="E141" s="146">
        <v>1.305555555555556</v>
      </c>
      <c r="F141" s="87" t="s">
        <v>73</v>
      </c>
      <c r="G141" s="89">
        <v>4</v>
      </c>
      <c r="H141" s="90" t="s">
        <v>113</v>
      </c>
      <c r="I141" s="2"/>
    </row>
    <row r="142" spans="1:9" ht="19.8" customHeight="1" x14ac:dyDescent="0.3">
      <c r="A142" s="143">
        <v>46003</v>
      </c>
      <c r="B142" s="83" t="s">
        <v>46</v>
      </c>
      <c r="C142" s="84" t="s">
        <v>47</v>
      </c>
      <c r="D142" s="83" t="s">
        <v>1</v>
      </c>
      <c r="E142" s="144">
        <v>1.305555555555556</v>
      </c>
      <c r="F142" s="83" t="s">
        <v>85</v>
      </c>
      <c r="G142" s="85">
        <v>11</v>
      </c>
      <c r="H142" s="141">
        <v>309</v>
      </c>
      <c r="I142" s="2"/>
    </row>
    <row r="143" spans="1:9" ht="19.8" customHeight="1" x14ac:dyDescent="0.3">
      <c r="A143" s="143">
        <v>46003</v>
      </c>
      <c r="B143" s="83" t="s">
        <v>31</v>
      </c>
      <c r="C143" s="84" t="s">
        <v>32</v>
      </c>
      <c r="D143" s="83" t="s">
        <v>1</v>
      </c>
      <c r="E143" s="144">
        <v>1.836805555555556</v>
      </c>
      <c r="F143" s="83" t="s">
        <v>33</v>
      </c>
      <c r="G143" s="85">
        <v>5</v>
      </c>
      <c r="H143" s="141">
        <v>349</v>
      </c>
      <c r="I143" s="2"/>
    </row>
    <row r="144" spans="1:9" ht="19.8" customHeight="1" x14ac:dyDescent="0.3">
      <c r="A144" s="143">
        <v>46003</v>
      </c>
      <c r="B144" s="83" t="s">
        <v>40</v>
      </c>
      <c r="C144" s="84" t="s">
        <v>41</v>
      </c>
      <c r="D144" s="83" t="s">
        <v>1</v>
      </c>
      <c r="E144" s="144">
        <v>1.864583333333333</v>
      </c>
      <c r="F144" s="83" t="s">
        <v>61</v>
      </c>
      <c r="G144" s="85">
        <v>1</v>
      </c>
      <c r="H144" s="141">
        <v>411</v>
      </c>
      <c r="I144" s="2"/>
    </row>
    <row r="145" spans="1:9" ht="19.8" customHeight="1" x14ac:dyDescent="0.3">
      <c r="A145" s="143">
        <v>46003</v>
      </c>
      <c r="B145" s="83" t="s">
        <v>40</v>
      </c>
      <c r="C145" s="84" t="s">
        <v>60</v>
      </c>
      <c r="D145" s="83" t="s">
        <v>1</v>
      </c>
      <c r="E145" s="144">
        <v>1.1701388888888891</v>
      </c>
      <c r="F145" s="83" t="s">
        <v>61</v>
      </c>
      <c r="G145" s="85">
        <v>9</v>
      </c>
      <c r="H145" s="141">
        <v>411</v>
      </c>
      <c r="I145" s="2"/>
    </row>
    <row r="146" spans="1:9" ht="19.8" customHeight="1" x14ac:dyDescent="0.3">
      <c r="A146" s="143">
        <v>46003</v>
      </c>
      <c r="B146" s="83" t="s">
        <v>26</v>
      </c>
      <c r="C146" s="84" t="s">
        <v>27</v>
      </c>
      <c r="D146" s="83" t="s">
        <v>1</v>
      </c>
      <c r="E146" s="144">
        <v>1.958333333333333</v>
      </c>
      <c r="F146" s="83" t="s">
        <v>28</v>
      </c>
      <c r="G146" s="85">
        <v>9</v>
      </c>
      <c r="H146" s="141">
        <v>439</v>
      </c>
      <c r="I146" s="2"/>
    </row>
    <row r="147" spans="1:9" ht="19.8" customHeight="1" x14ac:dyDescent="0.3">
      <c r="A147" s="143">
        <v>46003</v>
      </c>
      <c r="B147" s="83" t="s">
        <v>31</v>
      </c>
      <c r="C147" s="84" t="s">
        <v>32</v>
      </c>
      <c r="D147" s="83" t="s">
        <v>1</v>
      </c>
      <c r="E147" s="144">
        <v>1.836805555555556</v>
      </c>
      <c r="F147" s="83" t="s">
        <v>36</v>
      </c>
      <c r="G147" s="85">
        <v>5</v>
      </c>
      <c r="H147" s="141">
        <v>449</v>
      </c>
      <c r="I147" s="2"/>
    </row>
    <row r="148" spans="1:9" ht="19.8" customHeight="1" x14ac:dyDescent="0.3">
      <c r="A148" s="143">
        <v>46003</v>
      </c>
      <c r="B148" s="83" t="s">
        <v>46</v>
      </c>
      <c r="C148" s="84" t="s">
        <v>47</v>
      </c>
      <c r="D148" s="83" t="s">
        <v>1</v>
      </c>
      <c r="E148" s="144">
        <v>1.305555555555556</v>
      </c>
      <c r="F148" s="83" t="s">
        <v>88</v>
      </c>
      <c r="G148" s="85">
        <v>11</v>
      </c>
      <c r="H148" s="141">
        <v>459</v>
      </c>
      <c r="I148" s="2"/>
    </row>
    <row r="149" spans="1:9" ht="19.8" customHeight="1" x14ac:dyDescent="0.3">
      <c r="A149" s="143">
        <v>46003</v>
      </c>
      <c r="B149" s="83" t="s">
        <v>31</v>
      </c>
      <c r="C149" s="84" t="s">
        <v>32</v>
      </c>
      <c r="D149" s="83" t="s">
        <v>1</v>
      </c>
      <c r="E149" s="144">
        <v>1.836805555555556</v>
      </c>
      <c r="F149" s="83" t="s">
        <v>38</v>
      </c>
      <c r="G149" s="85">
        <v>5</v>
      </c>
      <c r="H149" s="141">
        <v>539</v>
      </c>
      <c r="I149" s="2"/>
    </row>
    <row r="150" spans="1:9" ht="19.8" customHeight="1" x14ac:dyDescent="0.3">
      <c r="A150" s="147">
        <v>46003</v>
      </c>
      <c r="B150" s="92" t="s">
        <v>64</v>
      </c>
      <c r="C150" s="93" t="s">
        <v>65</v>
      </c>
      <c r="D150" s="92" t="s">
        <v>1</v>
      </c>
      <c r="E150" s="148">
        <v>1.5798611111111109</v>
      </c>
      <c r="F150" s="92" t="s">
        <v>28</v>
      </c>
      <c r="G150" s="94">
        <v>5</v>
      </c>
      <c r="H150" s="142">
        <v>566</v>
      </c>
      <c r="I150" s="2"/>
    </row>
    <row r="151" spans="1:9" ht="19.8" customHeight="1" x14ac:dyDescent="0.3">
      <c r="A151" s="143">
        <v>46003</v>
      </c>
      <c r="B151" s="83" t="s">
        <v>71</v>
      </c>
      <c r="C151" s="84" t="s">
        <v>72</v>
      </c>
      <c r="D151" s="83" t="s">
        <v>1</v>
      </c>
      <c r="E151" s="144">
        <v>1.305555555555556</v>
      </c>
      <c r="F151" s="83" t="s">
        <v>73</v>
      </c>
      <c r="G151" s="85">
        <v>4</v>
      </c>
      <c r="H151" s="95" t="s">
        <v>120</v>
      </c>
      <c r="I151" s="2"/>
    </row>
    <row r="152" spans="1:9" ht="19.8" customHeight="1" x14ac:dyDescent="0.3">
      <c r="A152" s="143">
        <v>46003</v>
      </c>
      <c r="B152" s="83" t="s">
        <v>46</v>
      </c>
      <c r="C152" s="84" t="s">
        <v>47</v>
      </c>
      <c r="D152" s="83" t="s">
        <v>1</v>
      </c>
      <c r="E152" s="144">
        <v>1.305555555555556</v>
      </c>
      <c r="F152" s="83" t="s">
        <v>80</v>
      </c>
      <c r="G152" s="85">
        <v>11</v>
      </c>
      <c r="H152" s="95" t="s">
        <v>122</v>
      </c>
      <c r="I152" s="2"/>
    </row>
    <row r="153" spans="1:9" ht="19.8" customHeight="1" x14ac:dyDescent="0.3">
      <c r="A153" s="145">
        <v>46003</v>
      </c>
      <c r="B153" s="87" t="s">
        <v>40</v>
      </c>
      <c r="C153" s="88" t="s">
        <v>44</v>
      </c>
      <c r="D153" s="87" t="s">
        <v>1</v>
      </c>
      <c r="E153" s="146">
        <v>1.5277777777777779</v>
      </c>
      <c r="F153" s="87" t="s">
        <v>42</v>
      </c>
      <c r="G153" s="89">
        <v>9</v>
      </c>
      <c r="H153" s="90" t="s">
        <v>146</v>
      </c>
      <c r="I153" s="2"/>
    </row>
    <row r="154" spans="1:9" ht="19.8" customHeight="1" x14ac:dyDescent="0.3">
      <c r="A154" s="143">
        <v>46004</v>
      </c>
      <c r="B154" s="83" t="s">
        <v>46</v>
      </c>
      <c r="C154" s="84" t="s">
        <v>47</v>
      </c>
      <c r="D154" s="83" t="s">
        <v>1</v>
      </c>
      <c r="E154" s="144">
        <v>1.305555555555556</v>
      </c>
      <c r="F154" s="83" t="s">
        <v>85</v>
      </c>
      <c r="G154" s="85">
        <v>20</v>
      </c>
      <c r="H154" s="141">
        <v>309</v>
      </c>
      <c r="I154" s="2"/>
    </row>
    <row r="155" spans="1:9" ht="19.8" customHeight="1" x14ac:dyDescent="0.3">
      <c r="A155" s="143">
        <v>46004</v>
      </c>
      <c r="B155" s="83" t="s">
        <v>31</v>
      </c>
      <c r="C155" s="84" t="s">
        <v>51</v>
      </c>
      <c r="D155" s="83" t="s">
        <v>1</v>
      </c>
      <c r="E155" s="144">
        <v>1.2013888888888891</v>
      </c>
      <c r="F155" s="83" t="s">
        <v>33</v>
      </c>
      <c r="G155" s="85">
        <v>9</v>
      </c>
      <c r="H155" s="141">
        <v>349</v>
      </c>
      <c r="I155" s="2"/>
    </row>
    <row r="156" spans="1:9" ht="19.8" customHeight="1" x14ac:dyDescent="0.3">
      <c r="A156" s="143">
        <v>46004</v>
      </c>
      <c r="B156" s="83" t="s">
        <v>76</v>
      </c>
      <c r="C156" s="84" t="s">
        <v>77</v>
      </c>
      <c r="D156" s="83" t="s">
        <v>1</v>
      </c>
      <c r="E156" s="144">
        <v>1.9722222222222221</v>
      </c>
      <c r="F156" s="83" t="s">
        <v>78</v>
      </c>
      <c r="G156" s="85">
        <v>9</v>
      </c>
      <c r="H156" s="141">
        <v>354</v>
      </c>
      <c r="I156" s="2"/>
    </row>
    <row r="157" spans="1:9" ht="19.8" customHeight="1" x14ac:dyDescent="0.3">
      <c r="A157" s="143">
        <v>46004</v>
      </c>
      <c r="B157" s="83" t="s">
        <v>31</v>
      </c>
      <c r="C157" s="84" t="s">
        <v>32</v>
      </c>
      <c r="D157" s="83" t="s">
        <v>1</v>
      </c>
      <c r="E157" s="144">
        <v>1.836805555555556</v>
      </c>
      <c r="F157" s="83" t="s">
        <v>33</v>
      </c>
      <c r="G157" s="85">
        <v>9</v>
      </c>
      <c r="H157" s="141">
        <v>379</v>
      </c>
      <c r="I157" s="2"/>
    </row>
    <row r="158" spans="1:9" ht="19.8" customHeight="1" x14ac:dyDescent="0.3">
      <c r="A158" s="143">
        <v>46004</v>
      </c>
      <c r="B158" s="83" t="s">
        <v>26</v>
      </c>
      <c r="C158" s="84" t="s">
        <v>57</v>
      </c>
      <c r="D158" s="83" t="s">
        <v>1</v>
      </c>
      <c r="E158" s="144">
        <v>1.895833333333333</v>
      </c>
      <c r="F158" s="83" t="s">
        <v>28</v>
      </c>
      <c r="G158" s="85">
        <v>9</v>
      </c>
      <c r="H158" s="141">
        <v>379</v>
      </c>
      <c r="I158" s="2"/>
    </row>
    <row r="159" spans="1:9" ht="19.8" customHeight="1" x14ac:dyDescent="0.3">
      <c r="A159" s="143">
        <v>46004</v>
      </c>
      <c r="B159" s="83" t="s">
        <v>40</v>
      </c>
      <c r="C159" s="84" t="s">
        <v>41</v>
      </c>
      <c r="D159" s="83" t="s">
        <v>1</v>
      </c>
      <c r="E159" s="144">
        <v>1.864583333333333</v>
      </c>
      <c r="F159" s="83" t="s">
        <v>61</v>
      </c>
      <c r="G159" s="85">
        <v>9</v>
      </c>
      <c r="H159" s="141">
        <v>411</v>
      </c>
      <c r="I159" s="2"/>
    </row>
    <row r="160" spans="1:9" ht="19.8" customHeight="1" x14ac:dyDescent="0.3">
      <c r="A160" s="143">
        <v>46004</v>
      </c>
      <c r="B160" s="83" t="s">
        <v>40</v>
      </c>
      <c r="C160" s="84" t="s">
        <v>60</v>
      </c>
      <c r="D160" s="83" t="s">
        <v>1</v>
      </c>
      <c r="E160" s="144">
        <v>1.1701388888888891</v>
      </c>
      <c r="F160" s="83" t="s">
        <v>61</v>
      </c>
      <c r="G160" s="85">
        <v>8</v>
      </c>
      <c r="H160" s="141">
        <v>411</v>
      </c>
      <c r="I160" s="2"/>
    </row>
    <row r="161" spans="1:9" ht="19.8" customHeight="1" x14ac:dyDescent="0.3">
      <c r="A161" s="143">
        <v>46004</v>
      </c>
      <c r="B161" s="83" t="s">
        <v>40</v>
      </c>
      <c r="C161" s="84" t="s">
        <v>44</v>
      </c>
      <c r="D161" s="83" t="s">
        <v>1</v>
      </c>
      <c r="E161" s="144">
        <v>1.5277777777777779</v>
      </c>
      <c r="F161" s="83" t="s">
        <v>61</v>
      </c>
      <c r="G161" s="85">
        <v>6</v>
      </c>
      <c r="H161" s="141">
        <v>415</v>
      </c>
      <c r="I161" s="2"/>
    </row>
    <row r="162" spans="1:9" ht="19.8" customHeight="1" x14ac:dyDescent="0.3">
      <c r="A162" s="143">
        <v>46004</v>
      </c>
      <c r="B162" s="83" t="s">
        <v>31</v>
      </c>
      <c r="C162" s="84" t="s">
        <v>51</v>
      </c>
      <c r="D162" s="83" t="s">
        <v>1</v>
      </c>
      <c r="E162" s="144">
        <v>1.2013888888888891</v>
      </c>
      <c r="F162" s="83" t="s">
        <v>36</v>
      </c>
      <c r="G162" s="85">
        <v>9</v>
      </c>
      <c r="H162" s="141">
        <v>449</v>
      </c>
      <c r="I162" s="2"/>
    </row>
    <row r="163" spans="1:9" ht="19.8" customHeight="1" x14ac:dyDescent="0.3">
      <c r="A163" s="143">
        <v>46004</v>
      </c>
      <c r="B163" s="83" t="s">
        <v>46</v>
      </c>
      <c r="C163" s="84" t="s">
        <v>47</v>
      </c>
      <c r="D163" s="83" t="s">
        <v>1</v>
      </c>
      <c r="E163" s="144">
        <v>1.305555555555556</v>
      </c>
      <c r="F163" s="83" t="s">
        <v>88</v>
      </c>
      <c r="G163" s="85">
        <v>20</v>
      </c>
      <c r="H163" s="141">
        <v>459</v>
      </c>
      <c r="I163" s="2"/>
    </row>
    <row r="164" spans="1:9" ht="19.8" customHeight="1" x14ac:dyDescent="0.3">
      <c r="A164" s="143">
        <v>46004</v>
      </c>
      <c r="B164" s="83" t="s">
        <v>76</v>
      </c>
      <c r="C164" s="84" t="s">
        <v>77</v>
      </c>
      <c r="D164" s="83" t="s">
        <v>1</v>
      </c>
      <c r="E164" s="144">
        <v>1.9722222222222221</v>
      </c>
      <c r="F164" s="83" t="s">
        <v>80</v>
      </c>
      <c r="G164" s="85">
        <v>9</v>
      </c>
      <c r="H164" s="141">
        <v>477</v>
      </c>
      <c r="I164" s="2"/>
    </row>
    <row r="165" spans="1:9" ht="19.8" customHeight="1" x14ac:dyDescent="0.3">
      <c r="A165" s="143">
        <v>46004</v>
      </c>
      <c r="B165" s="83" t="s">
        <v>31</v>
      </c>
      <c r="C165" s="84" t="s">
        <v>32</v>
      </c>
      <c r="D165" s="83" t="s">
        <v>1</v>
      </c>
      <c r="E165" s="144">
        <v>1.836805555555556</v>
      </c>
      <c r="F165" s="83" t="s">
        <v>36</v>
      </c>
      <c r="G165" s="85">
        <v>9</v>
      </c>
      <c r="H165" s="141">
        <v>479</v>
      </c>
      <c r="I165" s="2"/>
    </row>
    <row r="166" spans="1:9" ht="19.8" customHeight="1" x14ac:dyDescent="0.3">
      <c r="A166" s="143">
        <v>46004</v>
      </c>
      <c r="B166" s="83" t="s">
        <v>31</v>
      </c>
      <c r="C166" s="84" t="s">
        <v>51</v>
      </c>
      <c r="D166" s="83" t="s">
        <v>1</v>
      </c>
      <c r="E166" s="144">
        <v>1.2013888888888891</v>
      </c>
      <c r="F166" s="83" t="s">
        <v>38</v>
      </c>
      <c r="G166" s="85">
        <v>9</v>
      </c>
      <c r="H166" s="141">
        <v>539</v>
      </c>
      <c r="I166" s="2"/>
    </row>
    <row r="167" spans="1:9" ht="19.8" customHeight="1" x14ac:dyDescent="0.3">
      <c r="A167" s="147">
        <v>46004</v>
      </c>
      <c r="B167" s="92" t="s">
        <v>64</v>
      </c>
      <c r="C167" s="93" t="s">
        <v>65</v>
      </c>
      <c r="D167" s="92" t="s">
        <v>1</v>
      </c>
      <c r="E167" s="148">
        <v>1.9236111111111109</v>
      </c>
      <c r="F167" s="92" t="s">
        <v>28</v>
      </c>
      <c r="G167" s="94">
        <v>9</v>
      </c>
      <c r="H167" s="142">
        <v>566</v>
      </c>
      <c r="I167" s="2"/>
    </row>
    <row r="168" spans="1:9" ht="19.8" customHeight="1" x14ac:dyDescent="0.3">
      <c r="A168" s="143">
        <v>46004</v>
      </c>
      <c r="B168" s="83" t="s">
        <v>31</v>
      </c>
      <c r="C168" s="84" t="s">
        <v>32</v>
      </c>
      <c r="D168" s="83" t="s">
        <v>1</v>
      </c>
      <c r="E168" s="144">
        <v>1.836805555555556</v>
      </c>
      <c r="F168" s="83" t="s">
        <v>38</v>
      </c>
      <c r="G168" s="85">
        <v>9</v>
      </c>
      <c r="H168" s="141">
        <v>569</v>
      </c>
      <c r="I168" s="2"/>
    </row>
    <row r="169" spans="1:9" ht="19.8" customHeight="1" x14ac:dyDescent="0.3">
      <c r="A169" s="143">
        <v>46004</v>
      </c>
      <c r="B169" s="83" t="s">
        <v>46</v>
      </c>
      <c r="C169" s="84" t="s">
        <v>47</v>
      </c>
      <c r="D169" s="83" t="s">
        <v>1</v>
      </c>
      <c r="E169" s="144">
        <v>1.305555555555556</v>
      </c>
      <c r="F169" s="83" t="s">
        <v>80</v>
      </c>
      <c r="G169" s="85">
        <v>20</v>
      </c>
      <c r="H169" s="141">
        <v>899</v>
      </c>
      <c r="I169" s="2"/>
    </row>
    <row r="170" spans="1:9" ht="19.8" customHeight="1" x14ac:dyDescent="0.3">
      <c r="A170" s="145">
        <v>46004</v>
      </c>
      <c r="B170" s="87" t="s">
        <v>71</v>
      </c>
      <c r="C170" s="88" t="s">
        <v>72</v>
      </c>
      <c r="D170" s="87" t="s">
        <v>1</v>
      </c>
      <c r="E170" s="146">
        <v>1.305555555555556</v>
      </c>
      <c r="F170" s="87" t="s">
        <v>73</v>
      </c>
      <c r="G170" s="89">
        <v>4</v>
      </c>
      <c r="H170" s="90" t="s">
        <v>120</v>
      </c>
      <c r="I170" s="2"/>
    </row>
    <row r="171" spans="1:9" ht="19.8" customHeight="1" x14ac:dyDescent="0.3">
      <c r="A171" s="143">
        <v>46005</v>
      </c>
      <c r="B171" s="83" t="s">
        <v>46</v>
      </c>
      <c r="C171" s="84" t="s">
        <v>47</v>
      </c>
      <c r="D171" s="83" t="s">
        <v>1</v>
      </c>
      <c r="E171" s="144">
        <v>1.305555555555556</v>
      </c>
      <c r="F171" s="83" t="s">
        <v>85</v>
      </c>
      <c r="G171" s="85">
        <v>18</v>
      </c>
      <c r="H171" s="141">
        <v>309</v>
      </c>
      <c r="I171" s="2"/>
    </row>
    <row r="172" spans="1:9" ht="19.8" customHeight="1" x14ac:dyDescent="0.3">
      <c r="A172" s="143">
        <v>46005</v>
      </c>
      <c r="B172" s="83" t="s">
        <v>31</v>
      </c>
      <c r="C172" s="84" t="s">
        <v>32</v>
      </c>
      <c r="D172" s="83" t="s">
        <v>1</v>
      </c>
      <c r="E172" s="144">
        <v>1.850694444444444</v>
      </c>
      <c r="F172" s="83" t="s">
        <v>33</v>
      </c>
      <c r="G172" s="85">
        <v>7</v>
      </c>
      <c r="H172" s="141">
        <v>349</v>
      </c>
      <c r="I172" s="2"/>
    </row>
    <row r="173" spans="1:9" ht="19.8" customHeight="1" x14ac:dyDescent="0.3">
      <c r="A173" s="143">
        <v>46005</v>
      </c>
      <c r="B173" s="83" t="s">
        <v>26</v>
      </c>
      <c r="C173" s="84" t="s">
        <v>99</v>
      </c>
      <c r="D173" s="83" t="s">
        <v>1</v>
      </c>
      <c r="E173" s="144">
        <v>1.958333333333333</v>
      </c>
      <c r="F173" s="83" t="s">
        <v>28</v>
      </c>
      <c r="G173" s="85">
        <v>9</v>
      </c>
      <c r="H173" s="141">
        <v>379</v>
      </c>
      <c r="I173" s="2"/>
    </row>
    <row r="174" spans="1:9" ht="19.8" customHeight="1" x14ac:dyDescent="0.3">
      <c r="A174" s="143">
        <v>46005</v>
      </c>
      <c r="B174" s="83" t="s">
        <v>40</v>
      </c>
      <c r="C174" s="84" t="s">
        <v>41</v>
      </c>
      <c r="D174" s="83" t="s">
        <v>1</v>
      </c>
      <c r="E174" s="144">
        <v>1.864583333333333</v>
      </c>
      <c r="F174" s="83" t="s">
        <v>61</v>
      </c>
      <c r="G174" s="85">
        <v>4</v>
      </c>
      <c r="H174" s="141">
        <v>411</v>
      </c>
      <c r="I174" s="2"/>
    </row>
    <row r="175" spans="1:9" ht="19.8" customHeight="1" x14ac:dyDescent="0.3">
      <c r="A175" s="143">
        <v>46005</v>
      </c>
      <c r="B175" s="83" t="s">
        <v>40</v>
      </c>
      <c r="C175" s="84" t="s">
        <v>60</v>
      </c>
      <c r="D175" s="83" t="s">
        <v>1</v>
      </c>
      <c r="E175" s="144">
        <v>1.1701388888888891</v>
      </c>
      <c r="F175" s="83" t="s">
        <v>61</v>
      </c>
      <c r="G175" s="85">
        <v>7</v>
      </c>
      <c r="H175" s="141">
        <v>411</v>
      </c>
      <c r="I175" s="2"/>
    </row>
    <row r="176" spans="1:9" ht="19.8" customHeight="1" x14ac:dyDescent="0.3">
      <c r="A176" s="143">
        <v>46005</v>
      </c>
      <c r="B176" s="83" t="s">
        <v>82</v>
      </c>
      <c r="C176" s="84" t="s">
        <v>123</v>
      </c>
      <c r="D176" s="83" t="s">
        <v>1</v>
      </c>
      <c r="E176" s="144">
        <v>1.2222222222222221</v>
      </c>
      <c r="F176" s="83" t="s">
        <v>28</v>
      </c>
      <c r="G176" s="85">
        <v>8</v>
      </c>
      <c r="H176" s="141">
        <v>425</v>
      </c>
      <c r="I176" s="2"/>
    </row>
    <row r="177" spans="1:9" ht="19.8" customHeight="1" x14ac:dyDescent="0.3">
      <c r="A177" s="143">
        <v>46005</v>
      </c>
      <c r="B177" s="83" t="s">
        <v>31</v>
      </c>
      <c r="C177" s="84" t="s">
        <v>32</v>
      </c>
      <c r="D177" s="83" t="s">
        <v>1</v>
      </c>
      <c r="E177" s="144">
        <v>1.850694444444444</v>
      </c>
      <c r="F177" s="83" t="s">
        <v>36</v>
      </c>
      <c r="G177" s="85">
        <v>7</v>
      </c>
      <c r="H177" s="141">
        <v>449</v>
      </c>
      <c r="I177" s="2"/>
    </row>
    <row r="178" spans="1:9" ht="19.8" customHeight="1" x14ac:dyDescent="0.3">
      <c r="A178" s="143">
        <v>46005</v>
      </c>
      <c r="B178" s="83" t="s">
        <v>46</v>
      </c>
      <c r="C178" s="84" t="s">
        <v>47</v>
      </c>
      <c r="D178" s="83" t="s">
        <v>1</v>
      </c>
      <c r="E178" s="144">
        <v>1.305555555555556</v>
      </c>
      <c r="F178" s="83" t="s">
        <v>88</v>
      </c>
      <c r="G178" s="85">
        <v>18</v>
      </c>
      <c r="H178" s="141">
        <v>459</v>
      </c>
      <c r="I178" s="2"/>
    </row>
    <row r="179" spans="1:9" ht="19.8" customHeight="1" x14ac:dyDescent="0.3">
      <c r="A179" s="143">
        <v>46005</v>
      </c>
      <c r="B179" s="83" t="s">
        <v>31</v>
      </c>
      <c r="C179" s="84" t="s">
        <v>32</v>
      </c>
      <c r="D179" s="83" t="s">
        <v>1</v>
      </c>
      <c r="E179" s="144">
        <v>1.850694444444444</v>
      </c>
      <c r="F179" s="83" t="s">
        <v>38</v>
      </c>
      <c r="G179" s="85">
        <v>7</v>
      </c>
      <c r="H179" s="141">
        <v>539</v>
      </c>
      <c r="I179" s="2"/>
    </row>
    <row r="180" spans="1:9" ht="19.8" customHeight="1" x14ac:dyDescent="0.3">
      <c r="A180" s="143">
        <v>46005</v>
      </c>
      <c r="B180" s="83" t="s">
        <v>46</v>
      </c>
      <c r="C180" s="84" t="s">
        <v>47</v>
      </c>
      <c r="D180" s="83" t="s">
        <v>1</v>
      </c>
      <c r="E180" s="144">
        <v>1.305555555555556</v>
      </c>
      <c r="F180" s="83" t="s">
        <v>80</v>
      </c>
      <c r="G180" s="85">
        <v>18</v>
      </c>
      <c r="H180" s="141">
        <v>899</v>
      </c>
      <c r="I180" s="2"/>
    </row>
    <row r="181" spans="1:9" ht="19.8" customHeight="1" x14ac:dyDescent="0.3">
      <c r="A181" s="145">
        <v>46005</v>
      </c>
      <c r="B181" s="87" t="s">
        <v>71</v>
      </c>
      <c r="C181" s="88" t="s">
        <v>72</v>
      </c>
      <c r="D181" s="87" t="s">
        <v>1</v>
      </c>
      <c r="E181" s="146">
        <v>1.305555555555556</v>
      </c>
      <c r="F181" s="87" t="s">
        <v>73</v>
      </c>
      <c r="G181" s="89">
        <v>4</v>
      </c>
      <c r="H181" s="90" t="s">
        <v>120</v>
      </c>
      <c r="I181" s="2"/>
    </row>
    <row r="182" spans="1:9" ht="19.8" customHeight="1" x14ac:dyDescent="0.3">
      <c r="A182" s="143">
        <v>46006</v>
      </c>
      <c r="B182" s="83" t="s">
        <v>46</v>
      </c>
      <c r="C182" s="84" t="s">
        <v>47</v>
      </c>
      <c r="D182" s="83" t="s">
        <v>1</v>
      </c>
      <c r="E182" s="144">
        <v>1.305555555555556</v>
      </c>
      <c r="F182" s="83" t="s">
        <v>85</v>
      </c>
      <c r="G182" s="85">
        <v>16</v>
      </c>
      <c r="H182" s="141">
        <v>309</v>
      </c>
      <c r="I182" s="2"/>
    </row>
    <row r="183" spans="1:9" ht="19.8" customHeight="1" x14ac:dyDescent="0.3">
      <c r="A183" s="143">
        <v>46006</v>
      </c>
      <c r="B183" s="83" t="s">
        <v>31</v>
      </c>
      <c r="C183" s="84" t="s">
        <v>51</v>
      </c>
      <c r="D183" s="83" t="s">
        <v>1</v>
      </c>
      <c r="E183" s="144">
        <v>1.2013888888888891</v>
      </c>
      <c r="F183" s="83" t="s">
        <v>33</v>
      </c>
      <c r="G183" s="85">
        <v>9</v>
      </c>
      <c r="H183" s="141">
        <v>349</v>
      </c>
      <c r="I183" s="2"/>
    </row>
    <row r="184" spans="1:9" ht="19.8" customHeight="1" x14ac:dyDescent="0.3">
      <c r="A184" s="143">
        <v>46006</v>
      </c>
      <c r="B184" s="83" t="s">
        <v>31</v>
      </c>
      <c r="C184" s="84" t="s">
        <v>32</v>
      </c>
      <c r="D184" s="83" t="s">
        <v>1</v>
      </c>
      <c r="E184" s="144">
        <v>1.836805555555556</v>
      </c>
      <c r="F184" s="83" t="s">
        <v>33</v>
      </c>
      <c r="G184" s="85">
        <v>9</v>
      </c>
      <c r="H184" s="141">
        <v>409</v>
      </c>
      <c r="I184" s="2"/>
    </row>
    <row r="185" spans="1:9" ht="19.8" customHeight="1" x14ac:dyDescent="0.3">
      <c r="A185" s="143">
        <v>46006</v>
      </c>
      <c r="B185" s="83" t="s">
        <v>40</v>
      </c>
      <c r="C185" s="84" t="s">
        <v>41</v>
      </c>
      <c r="D185" s="83" t="s">
        <v>1</v>
      </c>
      <c r="E185" s="144">
        <v>1.864583333333333</v>
      </c>
      <c r="F185" s="83" t="s">
        <v>61</v>
      </c>
      <c r="G185" s="85">
        <v>9</v>
      </c>
      <c r="H185" s="141">
        <v>411</v>
      </c>
      <c r="I185" s="2"/>
    </row>
    <row r="186" spans="1:9" ht="19.8" customHeight="1" x14ac:dyDescent="0.3">
      <c r="A186" s="143">
        <v>46006</v>
      </c>
      <c r="B186" s="83" t="s">
        <v>40</v>
      </c>
      <c r="C186" s="84" t="s">
        <v>60</v>
      </c>
      <c r="D186" s="83" t="s">
        <v>1</v>
      </c>
      <c r="E186" s="144">
        <v>1.1701388888888891</v>
      </c>
      <c r="F186" s="83" t="s">
        <v>61</v>
      </c>
      <c r="G186" s="85">
        <v>9</v>
      </c>
      <c r="H186" s="141">
        <v>411</v>
      </c>
      <c r="I186" s="2"/>
    </row>
    <row r="187" spans="1:9" ht="19.8" customHeight="1" x14ac:dyDescent="0.3">
      <c r="A187" s="143">
        <v>46006</v>
      </c>
      <c r="B187" s="83" t="s">
        <v>26</v>
      </c>
      <c r="C187" s="84" t="s">
        <v>27</v>
      </c>
      <c r="D187" s="83" t="s">
        <v>1</v>
      </c>
      <c r="E187" s="144">
        <v>1.958333333333333</v>
      </c>
      <c r="F187" s="83" t="s">
        <v>28</v>
      </c>
      <c r="G187" s="85">
        <v>9</v>
      </c>
      <c r="H187" s="141">
        <v>439</v>
      </c>
      <c r="I187" s="2"/>
    </row>
    <row r="188" spans="1:9" ht="19.8" customHeight="1" x14ac:dyDescent="0.3">
      <c r="A188" s="143">
        <v>46006</v>
      </c>
      <c r="B188" s="83" t="s">
        <v>31</v>
      </c>
      <c r="C188" s="84" t="s">
        <v>51</v>
      </c>
      <c r="D188" s="83" t="s">
        <v>1</v>
      </c>
      <c r="E188" s="144">
        <v>1.2013888888888891</v>
      </c>
      <c r="F188" s="83" t="s">
        <v>36</v>
      </c>
      <c r="G188" s="85">
        <v>9</v>
      </c>
      <c r="H188" s="141">
        <v>449</v>
      </c>
      <c r="I188" s="2"/>
    </row>
    <row r="189" spans="1:9" ht="19.8" customHeight="1" x14ac:dyDescent="0.3">
      <c r="A189" s="143">
        <v>46006</v>
      </c>
      <c r="B189" s="83" t="s">
        <v>46</v>
      </c>
      <c r="C189" s="84" t="s">
        <v>47</v>
      </c>
      <c r="D189" s="83" t="s">
        <v>1</v>
      </c>
      <c r="E189" s="144">
        <v>1.305555555555556</v>
      </c>
      <c r="F189" s="83" t="s">
        <v>88</v>
      </c>
      <c r="G189" s="85">
        <v>16</v>
      </c>
      <c r="H189" s="141">
        <v>459</v>
      </c>
      <c r="I189" s="2"/>
    </row>
    <row r="190" spans="1:9" ht="19.8" customHeight="1" x14ac:dyDescent="0.3">
      <c r="A190" s="143">
        <v>46006</v>
      </c>
      <c r="B190" s="83" t="s">
        <v>31</v>
      </c>
      <c r="C190" s="84" t="s">
        <v>32</v>
      </c>
      <c r="D190" s="83" t="s">
        <v>1</v>
      </c>
      <c r="E190" s="144">
        <v>1.836805555555556</v>
      </c>
      <c r="F190" s="83" t="s">
        <v>36</v>
      </c>
      <c r="G190" s="85">
        <v>9</v>
      </c>
      <c r="H190" s="141">
        <v>509</v>
      </c>
      <c r="I190" s="2"/>
    </row>
    <row r="191" spans="1:9" ht="19.8" customHeight="1" x14ac:dyDescent="0.3">
      <c r="A191" s="143">
        <v>46006</v>
      </c>
      <c r="B191" s="83" t="s">
        <v>31</v>
      </c>
      <c r="C191" s="84" t="s">
        <v>51</v>
      </c>
      <c r="D191" s="83" t="s">
        <v>1</v>
      </c>
      <c r="E191" s="144">
        <v>1.2013888888888891</v>
      </c>
      <c r="F191" s="83" t="s">
        <v>38</v>
      </c>
      <c r="G191" s="85">
        <v>9</v>
      </c>
      <c r="H191" s="141">
        <v>539</v>
      </c>
      <c r="I191" s="2"/>
    </row>
    <row r="192" spans="1:9" ht="19.8" customHeight="1" x14ac:dyDescent="0.3">
      <c r="A192" s="143">
        <v>46006</v>
      </c>
      <c r="B192" s="83" t="s">
        <v>31</v>
      </c>
      <c r="C192" s="84" t="s">
        <v>32</v>
      </c>
      <c r="D192" s="83" t="s">
        <v>1</v>
      </c>
      <c r="E192" s="144">
        <v>1.836805555555556</v>
      </c>
      <c r="F192" s="83" t="s">
        <v>38</v>
      </c>
      <c r="G192" s="85">
        <v>9</v>
      </c>
      <c r="H192" s="141">
        <v>599</v>
      </c>
      <c r="I192" s="2"/>
    </row>
    <row r="193" spans="1:9" ht="19.8" customHeight="1" x14ac:dyDescent="0.3">
      <c r="A193" s="143">
        <v>46006</v>
      </c>
      <c r="B193" s="83" t="s">
        <v>40</v>
      </c>
      <c r="C193" s="84" t="s">
        <v>44</v>
      </c>
      <c r="D193" s="83" t="s">
        <v>1</v>
      </c>
      <c r="E193" s="144">
        <v>1.5277777777777779</v>
      </c>
      <c r="F193" s="83" t="s">
        <v>42</v>
      </c>
      <c r="G193" s="85">
        <v>9</v>
      </c>
      <c r="H193" s="141">
        <v>697</v>
      </c>
      <c r="I193" s="2"/>
    </row>
    <row r="194" spans="1:9" ht="19.8" customHeight="1" x14ac:dyDescent="0.3">
      <c r="A194" s="143">
        <v>46006</v>
      </c>
      <c r="B194" s="83" t="s">
        <v>46</v>
      </c>
      <c r="C194" s="84" t="s">
        <v>47</v>
      </c>
      <c r="D194" s="83" t="s">
        <v>1</v>
      </c>
      <c r="E194" s="144">
        <v>1.305555555555556</v>
      </c>
      <c r="F194" s="83" t="s">
        <v>80</v>
      </c>
      <c r="G194" s="85">
        <v>16</v>
      </c>
      <c r="H194" s="141">
        <v>899</v>
      </c>
      <c r="I194" s="2"/>
    </row>
    <row r="195" spans="1:9" ht="19.8" customHeight="1" x14ac:dyDescent="0.3">
      <c r="A195" s="145">
        <v>46006</v>
      </c>
      <c r="B195" s="87" t="s">
        <v>71</v>
      </c>
      <c r="C195" s="88" t="s">
        <v>72</v>
      </c>
      <c r="D195" s="87" t="s">
        <v>1</v>
      </c>
      <c r="E195" s="146">
        <v>1.305555555555556</v>
      </c>
      <c r="F195" s="87" t="s">
        <v>73</v>
      </c>
      <c r="G195" s="89">
        <v>4</v>
      </c>
      <c r="H195" s="90" t="s">
        <v>120</v>
      </c>
      <c r="I195" s="2"/>
    </row>
    <row r="196" spans="1:9" ht="19.8" customHeight="1" x14ac:dyDescent="0.3">
      <c r="A196" s="143">
        <v>46007</v>
      </c>
      <c r="B196" s="83" t="s">
        <v>46</v>
      </c>
      <c r="C196" s="84" t="s">
        <v>47</v>
      </c>
      <c r="D196" s="83" t="s">
        <v>1</v>
      </c>
      <c r="E196" s="144">
        <v>1.305555555555556</v>
      </c>
      <c r="F196" s="83" t="s">
        <v>85</v>
      </c>
      <c r="G196" s="85">
        <v>20</v>
      </c>
      <c r="H196" s="141">
        <v>309</v>
      </c>
      <c r="I196" s="2"/>
    </row>
    <row r="197" spans="1:9" ht="19.8" customHeight="1" x14ac:dyDescent="0.3">
      <c r="A197" s="143">
        <v>46007</v>
      </c>
      <c r="B197" s="83" t="s">
        <v>31</v>
      </c>
      <c r="C197" s="84" t="s">
        <v>51</v>
      </c>
      <c r="D197" s="83" t="s">
        <v>1</v>
      </c>
      <c r="E197" s="144">
        <v>1.2013888888888891</v>
      </c>
      <c r="F197" s="83" t="s">
        <v>33</v>
      </c>
      <c r="G197" s="85">
        <v>9</v>
      </c>
      <c r="H197" s="141">
        <v>349</v>
      </c>
      <c r="I197" s="2"/>
    </row>
    <row r="198" spans="1:9" ht="19.8" customHeight="1" x14ac:dyDescent="0.3">
      <c r="A198" s="143">
        <v>46007</v>
      </c>
      <c r="B198" s="83" t="s">
        <v>31</v>
      </c>
      <c r="C198" s="84" t="s">
        <v>32</v>
      </c>
      <c r="D198" s="83" t="s">
        <v>1</v>
      </c>
      <c r="E198" s="144">
        <v>1.836805555555556</v>
      </c>
      <c r="F198" s="83" t="s">
        <v>33</v>
      </c>
      <c r="G198" s="85">
        <v>7</v>
      </c>
      <c r="H198" s="141">
        <v>379</v>
      </c>
      <c r="I198" s="2"/>
    </row>
    <row r="199" spans="1:9" ht="19.8" customHeight="1" x14ac:dyDescent="0.3">
      <c r="A199" s="143">
        <v>46007</v>
      </c>
      <c r="B199" s="83" t="s">
        <v>26</v>
      </c>
      <c r="C199" s="84" t="s">
        <v>57</v>
      </c>
      <c r="D199" s="83" t="s">
        <v>1</v>
      </c>
      <c r="E199" s="144">
        <v>1.958333333333333</v>
      </c>
      <c r="F199" s="83" t="s">
        <v>28</v>
      </c>
      <c r="G199" s="85">
        <v>6</v>
      </c>
      <c r="H199" s="141">
        <v>379</v>
      </c>
      <c r="I199" s="2"/>
    </row>
    <row r="200" spans="1:9" ht="19.8" customHeight="1" x14ac:dyDescent="0.3">
      <c r="A200" s="143">
        <v>46007</v>
      </c>
      <c r="B200" s="83" t="s">
        <v>40</v>
      </c>
      <c r="C200" s="84" t="s">
        <v>41</v>
      </c>
      <c r="D200" s="83" t="s">
        <v>1</v>
      </c>
      <c r="E200" s="144">
        <v>1.864583333333333</v>
      </c>
      <c r="F200" s="83" t="s">
        <v>61</v>
      </c>
      <c r="G200" s="85">
        <v>9</v>
      </c>
      <c r="H200" s="141">
        <v>411</v>
      </c>
      <c r="I200" s="2"/>
    </row>
    <row r="201" spans="1:9" ht="19.8" customHeight="1" x14ac:dyDescent="0.3">
      <c r="A201" s="143">
        <v>46007</v>
      </c>
      <c r="B201" s="83" t="s">
        <v>40</v>
      </c>
      <c r="C201" s="84" t="s">
        <v>44</v>
      </c>
      <c r="D201" s="83" t="s">
        <v>1</v>
      </c>
      <c r="E201" s="144">
        <v>1.5277777777777779</v>
      </c>
      <c r="F201" s="83" t="s">
        <v>61</v>
      </c>
      <c r="G201" s="85">
        <v>9</v>
      </c>
      <c r="H201" s="141">
        <v>411</v>
      </c>
      <c r="I201" s="2"/>
    </row>
    <row r="202" spans="1:9" ht="19.8" customHeight="1" x14ac:dyDescent="0.3">
      <c r="A202" s="143">
        <v>46007</v>
      </c>
      <c r="B202" s="83" t="s">
        <v>40</v>
      </c>
      <c r="C202" s="84" t="s">
        <v>60</v>
      </c>
      <c r="D202" s="83" t="s">
        <v>1</v>
      </c>
      <c r="E202" s="144">
        <v>1.1701388888888891</v>
      </c>
      <c r="F202" s="83" t="s">
        <v>61</v>
      </c>
      <c r="G202" s="85">
        <v>9</v>
      </c>
      <c r="H202" s="141">
        <v>411</v>
      </c>
      <c r="I202" s="2"/>
    </row>
    <row r="203" spans="1:9" ht="19.8" customHeight="1" x14ac:dyDescent="0.3">
      <c r="A203" s="143">
        <v>46007</v>
      </c>
      <c r="B203" s="83" t="s">
        <v>31</v>
      </c>
      <c r="C203" s="84" t="s">
        <v>51</v>
      </c>
      <c r="D203" s="83" t="s">
        <v>1</v>
      </c>
      <c r="E203" s="144">
        <v>1.2013888888888891</v>
      </c>
      <c r="F203" s="83" t="s">
        <v>36</v>
      </c>
      <c r="G203" s="85">
        <v>9</v>
      </c>
      <c r="H203" s="141">
        <v>449</v>
      </c>
      <c r="I203" s="2"/>
    </row>
    <row r="204" spans="1:9" ht="19.8" customHeight="1" x14ac:dyDescent="0.3">
      <c r="A204" s="143">
        <v>46007</v>
      </c>
      <c r="B204" s="83" t="s">
        <v>46</v>
      </c>
      <c r="C204" s="84" t="s">
        <v>47</v>
      </c>
      <c r="D204" s="83" t="s">
        <v>1</v>
      </c>
      <c r="E204" s="144">
        <v>1.305555555555556</v>
      </c>
      <c r="F204" s="83" t="s">
        <v>88</v>
      </c>
      <c r="G204" s="85">
        <v>20</v>
      </c>
      <c r="H204" s="141">
        <v>459</v>
      </c>
      <c r="I204" s="2"/>
    </row>
    <row r="205" spans="1:9" ht="19.8" customHeight="1" x14ac:dyDescent="0.3">
      <c r="A205" s="143">
        <v>46007</v>
      </c>
      <c r="B205" s="83" t="s">
        <v>31</v>
      </c>
      <c r="C205" s="84" t="s">
        <v>32</v>
      </c>
      <c r="D205" s="83" t="s">
        <v>1</v>
      </c>
      <c r="E205" s="144">
        <v>1.836805555555556</v>
      </c>
      <c r="F205" s="83" t="s">
        <v>36</v>
      </c>
      <c r="G205" s="85">
        <v>7</v>
      </c>
      <c r="H205" s="141">
        <v>479</v>
      </c>
      <c r="I205" s="2"/>
    </row>
    <row r="206" spans="1:9" ht="19.8" customHeight="1" x14ac:dyDescent="0.3">
      <c r="A206" s="143">
        <v>46007</v>
      </c>
      <c r="B206" s="83" t="s">
        <v>31</v>
      </c>
      <c r="C206" s="84" t="s">
        <v>51</v>
      </c>
      <c r="D206" s="83" t="s">
        <v>1</v>
      </c>
      <c r="E206" s="144">
        <v>1.2013888888888891</v>
      </c>
      <c r="F206" s="83" t="s">
        <v>38</v>
      </c>
      <c r="G206" s="85">
        <v>9</v>
      </c>
      <c r="H206" s="141">
        <v>539</v>
      </c>
      <c r="I206" s="2"/>
    </row>
    <row r="207" spans="1:9" ht="19.8" customHeight="1" x14ac:dyDescent="0.3">
      <c r="A207" s="147">
        <v>46007</v>
      </c>
      <c r="B207" s="92" t="s">
        <v>64</v>
      </c>
      <c r="C207" s="93" t="s">
        <v>65</v>
      </c>
      <c r="D207" s="92" t="s">
        <v>1</v>
      </c>
      <c r="E207" s="148">
        <v>1.270833333333333</v>
      </c>
      <c r="F207" s="92" t="s">
        <v>28</v>
      </c>
      <c r="G207" s="94">
        <v>9</v>
      </c>
      <c r="H207" s="142">
        <v>566</v>
      </c>
      <c r="I207" s="2"/>
    </row>
    <row r="208" spans="1:9" ht="19.8" customHeight="1" x14ac:dyDescent="0.3">
      <c r="A208" s="143">
        <v>46007</v>
      </c>
      <c r="B208" s="83" t="s">
        <v>31</v>
      </c>
      <c r="C208" s="84" t="s">
        <v>32</v>
      </c>
      <c r="D208" s="83" t="s">
        <v>1</v>
      </c>
      <c r="E208" s="144">
        <v>1.836805555555556</v>
      </c>
      <c r="F208" s="83" t="s">
        <v>38</v>
      </c>
      <c r="G208" s="85">
        <v>7</v>
      </c>
      <c r="H208" s="141">
        <v>569</v>
      </c>
      <c r="I208" s="2"/>
    </row>
    <row r="209" spans="1:9" ht="19.8" customHeight="1" x14ac:dyDescent="0.3">
      <c r="A209" s="143">
        <v>46007</v>
      </c>
      <c r="B209" s="83" t="s">
        <v>46</v>
      </c>
      <c r="C209" s="84" t="s">
        <v>47</v>
      </c>
      <c r="D209" s="83" t="s">
        <v>1</v>
      </c>
      <c r="E209" s="144">
        <v>1.305555555555556</v>
      </c>
      <c r="F209" s="83" t="s">
        <v>80</v>
      </c>
      <c r="G209" s="85">
        <v>20</v>
      </c>
      <c r="H209" s="141">
        <v>899</v>
      </c>
      <c r="I209" s="2"/>
    </row>
    <row r="210" spans="1:9" ht="19.8" customHeight="1" x14ac:dyDescent="0.3">
      <c r="A210" s="145">
        <v>46007</v>
      </c>
      <c r="B210" s="87" t="s">
        <v>71</v>
      </c>
      <c r="C210" s="88" t="s">
        <v>72</v>
      </c>
      <c r="D210" s="87" t="s">
        <v>1</v>
      </c>
      <c r="E210" s="146">
        <v>1.305555555555556</v>
      </c>
      <c r="F210" s="87" t="s">
        <v>73</v>
      </c>
      <c r="G210" s="89">
        <v>4</v>
      </c>
      <c r="H210" s="90" t="s">
        <v>120</v>
      </c>
      <c r="I210" s="2"/>
    </row>
    <row r="211" spans="1:9" ht="19.8" customHeight="1" x14ac:dyDescent="0.3">
      <c r="A211" s="143">
        <v>46008</v>
      </c>
      <c r="B211" s="83" t="s">
        <v>31</v>
      </c>
      <c r="C211" s="84" t="s">
        <v>32</v>
      </c>
      <c r="D211" s="83" t="s">
        <v>1</v>
      </c>
      <c r="E211" s="144">
        <v>1.850694444444444</v>
      </c>
      <c r="F211" s="83" t="s">
        <v>33</v>
      </c>
      <c r="G211" s="85">
        <v>7</v>
      </c>
      <c r="H211" s="141">
        <v>379</v>
      </c>
      <c r="I211" s="2"/>
    </row>
    <row r="212" spans="1:9" ht="19.8" customHeight="1" x14ac:dyDescent="0.3">
      <c r="A212" s="143">
        <v>46008</v>
      </c>
      <c r="B212" s="83" t="s">
        <v>26</v>
      </c>
      <c r="C212" s="84" t="s">
        <v>27</v>
      </c>
      <c r="D212" s="83" t="s">
        <v>1</v>
      </c>
      <c r="E212" s="144">
        <v>1.895833333333333</v>
      </c>
      <c r="F212" s="83" t="s">
        <v>28</v>
      </c>
      <c r="G212" s="85">
        <v>9</v>
      </c>
      <c r="H212" s="141">
        <v>379</v>
      </c>
      <c r="I212" s="2"/>
    </row>
    <row r="213" spans="1:9" ht="19.8" customHeight="1" x14ac:dyDescent="0.3">
      <c r="A213" s="143">
        <v>46008</v>
      </c>
      <c r="B213" s="83" t="s">
        <v>40</v>
      </c>
      <c r="C213" s="84" t="s">
        <v>44</v>
      </c>
      <c r="D213" s="83" t="s">
        <v>1</v>
      </c>
      <c r="E213" s="144">
        <v>1.5277777777777779</v>
      </c>
      <c r="F213" s="83" t="s">
        <v>61</v>
      </c>
      <c r="G213" s="85">
        <v>9</v>
      </c>
      <c r="H213" s="141">
        <v>411</v>
      </c>
      <c r="I213" s="2"/>
    </row>
    <row r="214" spans="1:9" ht="19.8" customHeight="1" x14ac:dyDescent="0.3">
      <c r="A214" s="143">
        <v>46008</v>
      </c>
      <c r="B214" s="83" t="s">
        <v>40</v>
      </c>
      <c r="C214" s="84" t="s">
        <v>60</v>
      </c>
      <c r="D214" s="83" t="s">
        <v>1</v>
      </c>
      <c r="E214" s="144">
        <v>1.1701388888888891</v>
      </c>
      <c r="F214" s="83" t="s">
        <v>61</v>
      </c>
      <c r="G214" s="85">
        <v>9</v>
      </c>
      <c r="H214" s="141">
        <v>411</v>
      </c>
      <c r="I214" s="2"/>
    </row>
    <row r="215" spans="1:9" ht="19.8" customHeight="1" x14ac:dyDescent="0.3">
      <c r="A215" s="143">
        <v>46008</v>
      </c>
      <c r="B215" s="83" t="s">
        <v>82</v>
      </c>
      <c r="C215" s="84" t="s">
        <v>83</v>
      </c>
      <c r="D215" s="83" t="s">
        <v>1</v>
      </c>
      <c r="E215" s="144">
        <v>1.0902777777777779</v>
      </c>
      <c r="F215" s="83" t="s">
        <v>28</v>
      </c>
      <c r="G215" s="85">
        <v>4</v>
      </c>
      <c r="H215" s="141">
        <v>425</v>
      </c>
      <c r="I215" s="2"/>
    </row>
    <row r="216" spans="1:9" ht="19.8" customHeight="1" x14ac:dyDescent="0.3">
      <c r="A216" s="143">
        <v>46008</v>
      </c>
      <c r="B216" s="83" t="s">
        <v>31</v>
      </c>
      <c r="C216" s="84" t="s">
        <v>32</v>
      </c>
      <c r="D216" s="83" t="s">
        <v>1</v>
      </c>
      <c r="E216" s="144">
        <v>1.850694444444444</v>
      </c>
      <c r="F216" s="83" t="s">
        <v>36</v>
      </c>
      <c r="G216" s="85">
        <v>7</v>
      </c>
      <c r="H216" s="141">
        <v>479</v>
      </c>
      <c r="I216" s="2"/>
    </row>
    <row r="217" spans="1:9" ht="19.8" customHeight="1" x14ac:dyDescent="0.3">
      <c r="A217" s="143">
        <v>46008</v>
      </c>
      <c r="B217" s="83" t="s">
        <v>31</v>
      </c>
      <c r="C217" s="84" t="s">
        <v>32</v>
      </c>
      <c r="D217" s="83" t="s">
        <v>1</v>
      </c>
      <c r="E217" s="144">
        <v>1.850694444444444</v>
      </c>
      <c r="F217" s="83" t="s">
        <v>38</v>
      </c>
      <c r="G217" s="85">
        <v>7</v>
      </c>
      <c r="H217" s="141">
        <v>569</v>
      </c>
      <c r="I217" s="2"/>
    </row>
    <row r="218" spans="1:9" ht="19.8" customHeight="1" x14ac:dyDescent="0.3">
      <c r="A218" s="143">
        <v>46008</v>
      </c>
      <c r="B218" s="83" t="s">
        <v>40</v>
      </c>
      <c r="C218" s="84" t="s">
        <v>41</v>
      </c>
      <c r="D218" s="83" t="s">
        <v>1</v>
      </c>
      <c r="E218" s="144">
        <v>1.864583333333333</v>
      </c>
      <c r="F218" s="83" t="s">
        <v>42</v>
      </c>
      <c r="G218" s="85">
        <v>9</v>
      </c>
      <c r="H218" s="141">
        <v>757</v>
      </c>
      <c r="I218" s="2"/>
    </row>
    <row r="219" spans="1:9" ht="19.8" customHeight="1" x14ac:dyDescent="0.3">
      <c r="A219" s="145">
        <v>46008</v>
      </c>
      <c r="B219" s="87" t="s">
        <v>71</v>
      </c>
      <c r="C219" s="88" t="s">
        <v>72</v>
      </c>
      <c r="D219" s="87" t="s">
        <v>1</v>
      </c>
      <c r="E219" s="146">
        <v>1.305555555555556</v>
      </c>
      <c r="F219" s="87" t="s">
        <v>73</v>
      </c>
      <c r="G219" s="89">
        <v>4</v>
      </c>
      <c r="H219" s="90" t="s">
        <v>120</v>
      </c>
      <c r="I219" s="2"/>
    </row>
    <row r="220" spans="1:9" ht="19.8" customHeight="1" x14ac:dyDescent="0.3">
      <c r="A220" s="149">
        <v>46009</v>
      </c>
      <c r="B220" s="96" t="s">
        <v>64</v>
      </c>
      <c r="C220" s="97" t="s">
        <v>65</v>
      </c>
      <c r="D220" s="96" t="s">
        <v>1</v>
      </c>
      <c r="E220" s="150">
        <v>1.9236111111111109</v>
      </c>
      <c r="F220" s="96"/>
      <c r="G220" s="96"/>
      <c r="H220" s="98" t="s">
        <v>367</v>
      </c>
      <c r="I220" s="2"/>
    </row>
    <row r="221" spans="1:9" ht="19.8" customHeight="1" x14ac:dyDescent="0.3">
      <c r="A221" s="143">
        <v>46010</v>
      </c>
      <c r="B221" s="83" t="s">
        <v>46</v>
      </c>
      <c r="C221" s="84" t="s">
        <v>47</v>
      </c>
      <c r="D221" s="83" t="s">
        <v>1</v>
      </c>
      <c r="E221" s="144">
        <v>1.305555555555556</v>
      </c>
      <c r="F221" s="83" t="s">
        <v>85</v>
      </c>
      <c r="G221" s="85">
        <v>16</v>
      </c>
      <c r="H221" s="141">
        <v>309</v>
      </c>
      <c r="I221" s="2"/>
    </row>
    <row r="222" spans="1:9" ht="19.8" customHeight="1" x14ac:dyDescent="0.3">
      <c r="A222" s="143">
        <v>46010</v>
      </c>
      <c r="B222" s="83" t="s">
        <v>31</v>
      </c>
      <c r="C222" s="84" t="s">
        <v>32</v>
      </c>
      <c r="D222" s="83" t="s">
        <v>1</v>
      </c>
      <c r="E222" s="144">
        <v>1.836805555555556</v>
      </c>
      <c r="F222" s="83" t="s">
        <v>33</v>
      </c>
      <c r="G222" s="85">
        <v>8</v>
      </c>
      <c r="H222" s="141">
        <v>349</v>
      </c>
      <c r="I222" s="2"/>
    </row>
    <row r="223" spans="1:9" ht="19.8" customHeight="1" x14ac:dyDescent="0.3">
      <c r="A223" s="143">
        <v>46010</v>
      </c>
      <c r="B223" s="83" t="s">
        <v>40</v>
      </c>
      <c r="C223" s="84" t="s">
        <v>41</v>
      </c>
      <c r="D223" s="83" t="s">
        <v>1</v>
      </c>
      <c r="E223" s="144">
        <v>1.864583333333333</v>
      </c>
      <c r="F223" s="83" t="s">
        <v>61</v>
      </c>
      <c r="G223" s="85">
        <v>9</v>
      </c>
      <c r="H223" s="141">
        <v>411</v>
      </c>
      <c r="I223" s="2"/>
    </row>
    <row r="224" spans="1:9" ht="19.8" customHeight="1" x14ac:dyDescent="0.3">
      <c r="A224" s="143">
        <v>46010</v>
      </c>
      <c r="B224" s="83" t="s">
        <v>40</v>
      </c>
      <c r="C224" s="84" t="s">
        <v>60</v>
      </c>
      <c r="D224" s="83" t="s">
        <v>1</v>
      </c>
      <c r="E224" s="144">
        <v>1.1701388888888891</v>
      </c>
      <c r="F224" s="83" t="s">
        <v>61</v>
      </c>
      <c r="G224" s="85">
        <v>8</v>
      </c>
      <c r="H224" s="141">
        <v>411</v>
      </c>
      <c r="I224" s="2"/>
    </row>
    <row r="225" spans="1:9" ht="19.8" customHeight="1" x14ac:dyDescent="0.3">
      <c r="A225" s="143">
        <v>46010</v>
      </c>
      <c r="B225" s="83" t="s">
        <v>26</v>
      </c>
      <c r="C225" s="84" t="s">
        <v>27</v>
      </c>
      <c r="D225" s="83" t="s">
        <v>1</v>
      </c>
      <c r="E225" s="144">
        <v>1.958333333333333</v>
      </c>
      <c r="F225" s="83" t="s">
        <v>28</v>
      </c>
      <c r="G225" s="85">
        <v>9</v>
      </c>
      <c r="H225" s="141">
        <v>439</v>
      </c>
      <c r="I225" s="2"/>
    </row>
    <row r="226" spans="1:9" ht="19.8" customHeight="1" x14ac:dyDescent="0.3">
      <c r="A226" s="143">
        <v>46010</v>
      </c>
      <c r="B226" s="83" t="s">
        <v>31</v>
      </c>
      <c r="C226" s="84" t="s">
        <v>32</v>
      </c>
      <c r="D226" s="83" t="s">
        <v>1</v>
      </c>
      <c r="E226" s="144">
        <v>1.836805555555556</v>
      </c>
      <c r="F226" s="83" t="s">
        <v>36</v>
      </c>
      <c r="G226" s="85">
        <v>8</v>
      </c>
      <c r="H226" s="141">
        <v>449</v>
      </c>
      <c r="I226" s="2"/>
    </row>
    <row r="227" spans="1:9" ht="19.8" customHeight="1" x14ac:dyDescent="0.3">
      <c r="A227" s="143">
        <v>46010</v>
      </c>
      <c r="B227" s="83" t="s">
        <v>46</v>
      </c>
      <c r="C227" s="84" t="s">
        <v>47</v>
      </c>
      <c r="D227" s="83" t="s">
        <v>1</v>
      </c>
      <c r="E227" s="144">
        <v>1.305555555555556</v>
      </c>
      <c r="F227" s="83" t="s">
        <v>88</v>
      </c>
      <c r="G227" s="85">
        <v>16</v>
      </c>
      <c r="H227" s="141">
        <v>459</v>
      </c>
      <c r="I227" s="2"/>
    </row>
    <row r="228" spans="1:9" ht="19.8" customHeight="1" x14ac:dyDescent="0.3">
      <c r="A228" s="143">
        <v>46010</v>
      </c>
      <c r="B228" s="83" t="s">
        <v>31</v>
      </c>
      <c r="C228" s="84" t="s">
        <v>32</v>
      </c>
      <c r="D228" s="83" t="s">
        <v>1</v>
      </c>
      <c r="E228" s="144">
        <v>1.836805555555556</v>
      </c>
      <c r="F228" s="83" t="s">
        <v>38</v>
      </c>
      <c r="G228" s="85">
        <v>8</v>
      </c>
      <c r="H228" s="141">
        <v>539</v>
      </c>
      <c r="I228" s="2"/>
    </row>
    <row r="229" spans="1:9" ht="19.8" customHeight="1" x14ac:dyDescent="0.3">
      <c r="A229" s="147">
        <v>46010</v>
      </c>
      <c r="B229" s="92" t="s">
        <v>64</v>
      </c>
      <c r="C229" s="93" t="s">
        <v>65</v>
      </c>
      <c r="D229" s="92" t="s">
        <v>1</v>
      </c>
      <c r="E229" s="148">
        <v>1.5798611111111109</v>
      </c>
      <c r="F229" s="92" t="s">
        <v>28</v>
      </c>
      <c r="G229" s="94">
        <v>9</v>
      </c>
      <c r="H229" s="142">
        <v>626</v>
      </c>
      <c r="I229" s="2"/>
    </row>
    <row r="230" spans="1:9" ht="19.8" customHeight="1" x14ac:dyDescent="0.3">
      <c r="A230" s="143">
        <v>46010</v>
      </c>
      <c r="B230" s="83" t="s">
        <v>40</v>
      </c>
      <c r="C230" s="84" t="s">
        <v>44</v>
      </c>
      <c r="D230" s="83" t="s">
        <v>1</v>
      </c>
      <c r="E230" s="144">
        <v>1.5277777777777779</v>
      </c>
      <c r="F230" s="83" t="s">
        <v>42</v>
      </c>
      <c r="G230" s="85">
        <v>9</v>
      </c>
      <c r="H230" s="141">
        <v>761</v>
      </c>
      <c r="I230" s="2"/>
    </row>
    <row r="231" spans="1:9" ht="19.8" customHeight="1" x14ac:dyDescent="0.3">
      <c r="A231" s="143">
        <v>46010</v>
      </c>
      <c r="B231" s="83" t="s">
        <v>71</v>
      </c>
      <c r="C231" s="84" t="s">
        <v>72</v>
      </c>
      <c r="D231" s="83" t="s">
        <v>1</v>
      </c>
      <c r="E231" s="144">
        <v>1.305555555555556</v>
      </c>
      <c r="F231" s="83" t="s">
        <v>73</v>
      </c>
      <c r="G231" s="85">
        <v>4</v>
      </c>
      <c r="H231" s="95" t="s">
        <v>120</v>
      </c>
      <c r="I231" s="2"/>
    </row>
    <row r="232" spans="1:9" ht="19.8" customHeight="1" x14ac:dyDescent="0.3">
      <c r="A232" s="145">
        <v>46010</v>
      </c>
      <c r="B232" s="87" t="s">
        <v>46</v>
      </c>
      <c r="C232" s="88" t="s">
        <v>47</v>
      </c>
      <c r="D232" s="87" t="s">
        <v>1</v>
      </c>
      <c r="E232" s="146">
        <v>1.305555555555556</v>
      </c>
      <c r="F232" s="87" t="s">
        <v>80</v>
      </c>
      <c r="G232" s="89">
        <v>16</v>
      </c>
      <c r="H232" s="90" t="s">
        <v>122</v>
      </c>
      <c r="I232" s="2"/>
    </row>
    <row r="233" spans="1:9" ht="19.8" customHeight="1" x14ac:dyDescent="0.3">
      <c r="A233" s="143">
        <v>46011</v>
      </c>
      <c r="B233" s="83" t="s">
        <v>46</v>
      </c>
      <c r="C233" s="84" t="s">
        <v>47</v>
      </c>
      <c r="D233" s="83" t="s">
        <v>1</v>
      </c>
      <c r="E233" s="144">
        <v>1.305555555555556</v>
      </c>
      <c r="F233" s="83" t="s">
        <v>85</v>
      </c>
      <c r="G233" s="85">
        <v>19</v>
      </c>
      <c r="H233" s="141">
        <v>309</v>
      </c>
      <c r="I233" s="2"/>
    </row>
    <row r="234" spans="1:9" ht="19.8" customHeight="1" x14ac:dyDescent="0.3">
      <c r="A234" s="143">
        <v>46011</v>
      </c>
      <c r="B234" s="83" t="s">
        <v>31</v>
      </c>
      <c r="C234" s="84" t="s">
        <v>32</v>
      </c>
      <c r="D234" s="83" t="s">
        <v>1</v>
      </c>
      <c r="E234" s="144">
        <v>1.836805555555556</v>
      </c>
      <c r="F234" s="83" t="s">
        <v>33</v>
      </c>
      <c r="G234" s="85">
        <v>9</v>
      </c>
      <c r="H234" s="141">
        <v>349</v>
      </c>
      <c r="I234" s="2"/>
    </row>
    <row r="235" spans="1:9" ht="19.8" customHeight="1" x14ac:dyDescent="0.3">
      <c r="A235" s="143">
        <v>46011</v>
      </c>
      <c r="B235" s="83" t="s">
        <v>31</v>
      </c>
      <c r="C235" s="84" t="s">
        <v>51</v>
      </c>
      <c r="D235" s="83" t="s">
        <v>1</v>
      </c>
      <c r="E235" s="144">
        <v>1.2013888888888891</v>
      </c>
      <c r="F235" s="83" t="s">
        <v>33</v>
      </c>
      <c r="G235" s="85">
        <v>9</v>
      </c>
      <c r="H235" s="141">
        <v>349</v>
      </c>
      <c r="I235" s="2"/>
    </row>
    <row r="236" spans="1:9" ht="19.8" customHeight="1" x14ac:dyDescent="0.3">
      <c r="A236" s="143">
        <v>46011</v>
      </c>
      <c r="B236" s="83" t="s">
        <v>76</v>
      </c>
      <c r="C236" s="84" t="s">
        <v>77</v>
      </c>
      <c r="D236" s="83" t="s">
        <v>1</v>
      </c>
      <c r="E236" s="144">
        <v>1.9722222222222221</v>
      </c>
      <c r="F236" s="83" t="s">
        <v>78</v>
      </c>
      <c r="G236" s="85">
        <v>9</v>
      </c>
      <c r="H236" s="141">
        <v>354</v>
      </c>
      <c r="I236" s="2"/>
    </row>
    <row r="237" spans="1:9" ht="19.8" customHeight="1" x14ac:dyDescent="0.3">
      <c r="A237" s="143">
        <v>46011</v>
      </c>
      <c r="B237" s="83" t="s">
        <v>40</v>
      </c>
      <c r="C237" s="84" t="s">
        <v>41</v>
      </c>
      <c r="D237" s="83" t="s">
        <v>1</v>
      </c>
      <c r="E237" s="144">
        <v>1.864583333333333</v>
      </c>
      <c r="F237" s="83" t="s">
        <v>61</v>
      </c>
      <c r="G237" s="85">
        <v>9</v>
      </c>
      <c r="H237" s="141">
        <v>411</v>
      </c>
      <c r="I237" s="2"/>
    </row>
    <row r="238" spans="1:9" ht="19.8" customHeight="1" x14ac:dyDescent="0.3">
      <c r="A238" s="143">
        <v>46011</v>
      </c>
      <c r="B238" s="83" t="s">
        <v>40</v>
      </c>
      <c r="C238" s="84" t="s">
        <v>44</v>
      </c>
      <c r="D238" s="83" t="s">
        <v>1</v>
      </c>
      <c r="E238" s="144">
        <v>1.5277777777777779</v>
      </c>
      <c r="F238" s="83" t="s">
        <v>61</v>
      </c>
      <c r="G238" s="85">
        <v>9</v>
      </c>
      <c r="H238" s="141">
        <v>411</v>
      </c>
      <c r="I238" s="2"/>
    </row>
    <row r="239" spans="1:9" ht="19.8" customHeight="1" x14ac:dyDescent="0.3">
      <c r="A239" s="143">
        <v>46011</v>
      </c>
      <c r="B239" s="83" t="s">
        <v>40</v>
      </c>
      <c r="C239" s="84" t="s">
        <v>60</v>
      </c>
      <c r="D239" s="83" t="s">
        <v>1</v>
      </c>
      <c r="E239" s="144">
        <v>1.1701388888888891</v>
      </c>
      <c r="F239" s="83" t="s">
        <v>61</v>
      </c>
      <c r="G239" s="85">
        <v>9</v>
      </c>
      <c r="H239" s="141">
        <v>411</v>
      </c>
      <c r="I239" s="2"/>
    </row>
    <row r="240" spans="1:9" ht="19.8" customHeight="1" x14ac:dyDescent="0.3">
      <c r="A240" s="143">
        <v>46011</v>
      </c>
      <c r="B240" s="83" t="s">
        <v>26</v>
      </c>
      <c r="C240" s="84" t="s">
        <v>57</v>
      </c>
      <c r="D240" s="83" t="s">
        <v>1</v>
      </c>
      <c r="E240" s="144">
        <v>1.895833333333333</v>
      </c>
      <c r="F240" s="83" t="s">
        <v>28</v>
      </c>
      <c r="G240" s="85">
        <v>9</v>
      </c>
      <c r="H240" s="141">
        <v>439</v>
      </c>
      <c r="I240" s="2"/>
    </row>
    <row r="241" spans="1:9" ht="19.8" customHeight="1" x14ac:dyDescent="0.3">
      <c r="A241" s="143">
        <v>46011</v>
      </c>
      <c r="B241" s="83" t="s">
        <v>31</v>
      </c>
      <c r="C241" s="84" t="s">
        <v>32</v>
      </c>
      <c r="D241" s="83" t="s">
        <v>1</v>
      </c>
      <c r="E241" s="144">
        <v>1.836805555555556</v>
      </c>
      <c r="F241" s="83" t="s">
        <v>36</v>
      </c>
      <c r="G241" s="85">
        <v>9</v>
      </c>
      <c r="H241" s="141">
        <v>449</v>
      </c>
      <c r="I241" s="2"/>
    </row>
    <row r="242" spans="1:9" ht="19.8" customHeight="1" x14ac:dyDescent="0.3">
      <c r="A242" s="143">
        <v>46011</v>
      </c>
      <c r="B242" s="83" t="s">
        <v>31</v>
      </c>
      <c r="C242" s="84" t="s">
        <v>51</v>
      </c>
      <c r="D242" s="83" t="s">
        <v>1</v>
      </c>
      <c r="E242" s="144">
        <v>1.2013888888888891</v>
      </c>
      <c r="F242" s="83" t="s">
        <v>36</v>
      </c>
      <c r="G242" s="85">
        <v>9</v>
      </c>
      <c r="H242" s="141">
        <v>449</v>
      </c>
      <c r="I242" s="2"/>
    </row>
    <row r="243" spans="1:9" ht="19.8" customHeight="1" x14ac:dyDescent="0.3">
      <c r="A243" s="143">
        <v>46011</v>
      </c>
      <c r="B243" s="83" t="s">
        <v>46</v>
      </c>
      <c r="C243" s="84" t="s">
        <v>47</v>
      </c>
      <c r="D243" s="83" t="s">
        <v>1</v>
      </c>
      <c r="E243" s="144">
        <v>1.305555555555556</v>
      </c>
      <c r="F243" s="83" t="s">
        <v>88</v>
      </c>
      <c r="G243" s="85">
        <v>19</v>
      </c>
      <c r="H243" s="141">
        <v>459</v>
      </c>
      <c r="I243" s="2"/>
    </row>
    <row r="244" spans="1:9" ht="19.8" customHeight="1" x14ac:dyDescent="0.3">
      <c r="A244" s="143">
        <v>46011</v>
      </c>
      <c r="B244" s="83" t="s">
        <v>76</v>
      </c>
      <c r="C244" s="84" t="s">
        <v>77</v>
      </c>
      <c r="D244" s="83" t="s">
        <v>1</v>
      </c>
      <c r="E244" s="144">
        <v>1.9722222222222221</v>
      </c>
      <c r="F244" s="83" t="s">
        <v>80</v>
      </c>
      <c r="G244" s="85">
        <v>9</v>
      </c>
      <c r="H244" s="141">
        <v>477</v>
      </c>
      <c r="I244" s="2"/>
    </row>
    <row r="245" spans="1:9" ht="19.8" customHeight="1" x14ac:dyDescent="0.3">
      <c r="A245" s="143">
        <v>46011</v>
      </c>
      <c r="B245" s="83" t="s">
        <v>31</v>
      </c>
      <c r="C245" s="84" t="s">
        <v>32</v>
      </c>
      <c r="D245" s="83" t="s">
        <v>1</v>
      </c>
      <c r="E245" s="144">
        <v>1.836805555555556</v>
      </c>
      <c r="F245" s="83" t="s">
        <v>38</v>
      </c>
      <c r="G245" s="85">
        <v>9</v>
      </c>
      <c r="H245" s="141">
        <v>539</v>
      </c>
      <c r="I245" s="2"/>
    </row>
    <row r="246" spans="1:9" ht="19.8" customHeight="1" x14ac:dyDescent="0.3">
      <c r="A246" s="143">
        <v>46011</v>
      </c>
      <c r="B246" s="83" t="s">
        <v>31</v>
      </c>
      <c r="C246" s="84" t="s">
        <v>51</v>
      </c>
      <c r="D246" s="83" t="s">
        <v>1</v>
      </c>
      <c r="E246" s="144">
        <v>1.2013888888888891</v>
      </c>
      <c r="F246" s="83" t="s">
        <v>38</v>
      </c>
      <c r="G246" s="85">
        <v>9</v>
      </c>
      <c r="H246" s="141">
        <v>539</v>
      </c>
      <c r="I246" s="2"/>
    </row>
    <row r="247" spans="1:9" ht="19.8" customHeight="1" x14ac:dyDescent="0.3">
      <c r="A247" s="147">
        <v>46011</v>
      </c>
      <c r="B247" s="92" t="s">
        <v>64</v>
      </c>
      <c r="C247" s="93" t="s">
        <v>65</v>
      </c>
      <c r="D247" s="92" t="s">
        <v>1</v>
      </c>
      <c r="E247" s="148">
        <v>1.9236111111111109</v>
      </c>
      <c r="F247" s="92" t="s">
        <v>28</v>
      </c>
      <c r="G247" s="94">
        <v>9</v>
      </c>
      <c r="H247" s="142">
        <v>566</v>
      </c>
      <c r="I247" s="2"/>
    </row>
    <row r="248" spans="1:9" ht="19.8" customHeight="1" x14ac:dyDescent="0.3">
      <c r="A248" s="143">
        <v>46011</v>
      </c>
      <c r="B248" s="83" t="s">
        <v>71</v>
      </c>
      <c r="C248" s="84" t="s">
        <v>72</v>
      </c>
      <c r="D248" s="83" t="s">
        <v>1</v>
      </c>
      <c r="E248" s="144">
        <v>1.305555555555556</v>
      </c>
      <c r="F248" s="83" t="s">
        <v>73</v>
      </c>
      <c r="G248" s="85">
        <v>4</v>
      </c>
      <c r="H248" s="95" t="s">
        <v>120</v>
      </c>
      <c r="I248" s="2"/>
    </row>
    <row r="249" spans="1:9" ht="19.8" customHeight="1" x14ac:dyDescent="0.3">
      <c r="A249" s="145">
        <v>46011</v>
      </c>
      <c r="B249" s="87" t="s">
        <v>46</v>
      </c>
      <c r="C249" s="88" t="s">
        <v>47</v>
      </c>
      <c r="D249" s="87" t="s">
        <v>1</v>
      </c>
      <c r="E249" s="146">
        <v>1.305555555555556</v>
      </c>
      <c r="F249" s="87" t="s">
        <v>80</v>
      </c>
      <c r="G249" s="89">
        <v>19</v>
      </c>
      <c r="H249" s="90" t="s">
        <v>122</v>
      </c>
      <c r="I249" s="2"/>
    </row>
    <row r="250" spans="1:9" ht="19.8" customHeight="1" x14ac:dyDescent="0.3">
      <c r="A250" s="143">
        <v>46012</v>
      </c>
      <c r="B250" s="83" t="s">
        <v>46</v>
      </c>
      <c r="C250" s="84" t="s">
        <v>47</v>
      </c>
      <c r="D250" s="83" t="s">
        <v>1</v>
      </c>
      <c r="E250" s="144">
        <v>1.305555555555556</v>
      </c>
      <c r="F250" s="83" t="s">
        <v>85</v>
      </c>
      <c r="G250" s="85">
        <v>20</v>
      </c>
      <c r="H250" s="141">
        <v>309</v>
      </c>
      <c r="I250" s="2"/>
    </row>
    <row r="251" spans="1:9" ht="19.8" customHeight="1" x14ac:dyDescent="0.3">
      <c r="A251" s="143">
        <v>46012</v>
      </c>
      <c r="B251" s="83" t="s">
        <v>31</v>
      </c>
      <c r="C251" s="84" t="s">
        <v>32</v>
      </c>
      <c r="D251" s="83" t="s">
        <v>1</v>
      </c>
      <c r="E251" s="144">
        <v>1.850694444444444</v>
      </c>
      <c r="F251" s="83" t="s">
        <v>33</v>
      </c>
      <c r="G251" s="85">
        <v>9</v>
      </c>
      <c r="H251" s="141">
        <v>349</v>
      </c>
      <c r="I251" s="2"/>
    </row>
    <row r="252" spans="1:9" ht="19.8" customHeight="1" x14ac:dyDescent="0.3">
      <c r="A252" s="143">
        <v>46012</v>
      </c>
      <c r="B252" s="83" t="s">
        <v>40</v>
      </c>
      <c r="C252" s="84" t="s">
        <v>41</v>
      </c>
      <c r="D252" s="83" t="s">
        <v>1</v>
      </c>
      <c r="E252" s="144">
        <v>1.864583333333333</v>
      </c>
      <c r="F252" s="83" t="s">
        <v>61</v>
      </c>
      <c r="G252" s="85">
        <v>9</v>
      </c>
      <c r="H252" s="141">
        <v>411</v>
      </c>
      <c r="I252" s="2"/>
    </row>
    <row r="253" spans="1:9" ht="19.8" customHeight="1" x14ac:dyDescent="0.3">
      <c r="A253" s="143">
        <v>46012</v>
      </c>
      <c r="B253" s="83" t="s">
        <v>40</v>
      </c>
      <c r="C253" s="84" t="s">
        <v>44</v>
      </c>
      <c r="D253" s="83" t="s">
        <v>1</v>
      </c>
      <c r="E253" s="144">
        <v>1.5277777777777779</v>
      </c>
      <c r="F253" s="83" t="s">
        <v>61</v>
      </c>
      <c r="G253" s="85">
        <v>9</v>
      </c>
      <c r="H253" s="141">
        <v>411</v>
      </c>
      <c r="I253" s="2"/>
    </row>
    <row r="254" spans="1:9" ht="19.8" customHeight="1" x14ac:dyDescent="0.3">
      <c r="A254" s="143">
        <v>46012</v>
      </c>
      <c r="B254" s="83" t="s">
        <v>40</v>
      </c>
      <c r="C254" s="84" t="s">
        <v>60</v>
      </c>
      <c r="D254" s="83" t="s">
        <v>1</v>
      </c>
      <c r="E254" s="144">
        <v>1.1701388888888891</v>
      </c>
      <c r="F254" s="83" t="s">
        <v>61</v>
      </c>
      <c r="G254" s="85">
        <v>9</v>
      </c>
      <c r="H254" s="141">
        <v>411</v>
      </c>
      <c r="I254" s="2"/>
    </row>
    <row r="255" spans="1:9" ht="19.8" customHeight="1" x14ac:dyDescent="0.3">
      <c r="A255" s="143">
        <v>46012</v>
      </c>
      <c r="B255" s="83" t="s">
        <v>26</v>
      </c>
      <c r="C255" s="84" t="s">
        <v>99</v>
      </c>
      <c r="D255" s="83" t="s">
        <v>1</v>
      </c>
      <c r="E255" s="144">
        <v>1.958333333333333</v>
      </c>
      <c r="F255" s="83" t="s">
        <v>28</v>
      </c>
      <c r="G255" s="85">
        <v>9</v>
      </c>
      <c r="H255" s="141">
        <v>439</v>
      </c>
      <c r="I255" s="2"/>
    </row>
    <row r="256" spans="1:9" ht="19.8" customHeight="1" x14ac:dyDescent="0.3">
      <c r="A256" s="143">
        <v>46012</v>
      </c>
      <c r="B256" s="83" t="s">
        <v>31</v>
      </c>
      <c r="C256" s="84" t="s">
        <v>32</v>
      </c>
      <c r="D256" s="83" t="s">
        <v>1</v>
      </c>
      <c r="E256" s="144">
        <v>1.850694444444444</v>
      </c>
      <c r="F256" s="83" t="s">
        <v>36</v>
      </c>
      <c r="G256" s="85">
        <v>9</v>
      </c>
      <c r="H256" s="141">
        <v>449</v>
      </c>
      <c r="I256" s="2"/>
    </row>
    <row r="257" spans="1:9" ht="19.8" customHeight="1" x14ac:dyDescent="0.3">
      <c r="A257" s="143">
        <v>46012</v>
      </c>
      <c r="B257" s="83" t="s">
        <v>46</v>
      </c>
      <c r="C257" s="84" t="s">
        <v>47</v>
      </c>
      <c r="D257" s="83" t="s">
        <v>1</v>
      </c>
      <c r="E257" s="144">
        <v>1.305555555555556</v>
      </c>
      <c r="F257" s="83" t="s">
        <v>88</v>
      </c>
      <c r="G257" s="85">
        <v>20</v>
      </c>
      <c r="H257" s="141">
        <v>459</v>
      </c>
      <c r="I257" s="2"/>
    </row>
    <row r="258" spans="1:9" ht="19.8" customHeight="1" x14ac:dyDescent="0.3">
      <c r="A258" s="143">
        <v>46012</v>
      </c>
      <c r="B258" s="83" t="s">
        <v>31</v>
      </c>
      <c r="C258" s="84" t="s">
        <v>32</v>
      </c>
      <c r="D258" s="83" t="s">
        <v>1</v>
      </c>
      <c r="E258" s="144">
        <v>1.850694444444444</v>
      </c>
      <c r="F258" s="83" t="s">
        <v>38</v>
      </c>
      <c r="G258" s="85">
        <v>9</v>
      </c>
      <c r="H258" s="141">
        <v>539</v>
      </c>
      <c r="I258" s="2"/>
    </row>
    <row r="259" spans="1:9" ht="19.8" customHeight="1" x14ac:dyDescent="0.3">
      <c r="A259" s="143">
        <v>46012</v>
      </c>
      <c r="B259" s="83" t="s">
        <v>46</v>
      </c>
      <c r="C259" s="84" t="s">
        <v>47</v>
      </c>
      <c r="D259" s="83" t="s">
        <v>1</v>
      </c>
      <c r="E259" s="144">
        <v>1.305555555555556</v>
      </c>
      <c r="F259" s="83" t="s">
        <v>80</v>
      </c>
      <c r="G259" s="85">
        <v>20</v>
      </c>
      <c r="H259" s="141">
        <v>899</v>
      </c>
      <c r="I259" s="2"/>
    </row>
    <row r="260" spans="1:9" ht="19.8" customHeight="1" x14ac:dyDescent="0.3">
      <c r="A260" s="145">
        <v>46012</v>
      </c>
      <c r="B260" s="87" t="s">
        <v>71</v>
      </c>
      <c r="C260" s="88" t="s">
        <v>72</v>
      </c>
      <c r="D260" s="87" t="s">
        <v>1</v>
      </c>
      <c r="E260" s="146">
        <v>1.305555555555556</v>
      </c>
      <c r="F260" s="87" t="s">
        <v>73</v>
      </c>
      <c r="G260" s="89">
        <v>4</v>
      </c>
      <c r="H260" s="90" t="s">
        <v>120</v>
      </c>
      <c r="I260" s="2"/>
    </row>
    <row r="261" spans="1:9" ht="19.8" customHeight="1" x14ac:dyDescent="0.3">
      <c r="A261" s="143">
        <v>46013</v>
      </c>
      <c r="B261" s="83" t="s">
        <v>46</v>
      </c>
      <c r="C261" s="84" t="s">
        <v>47</v>
      </c>
      <c r="D261" s="83" t="s">
        <v>1</v>
      </c>
      <c r="E261" s="144">
        <v>1.305555555555556</v>
      </c>
      <c r="F261" s="83" t="s">
        <v>85</v>
      </c>
      <c r="G261" s="85">
        <v>19</v>
      </c>
      <c r="H261" s="141">
        <v>309</v>
      </c>
      <c r="I261" s="2"/>
    </row>
    <row r="262" spans="1:9" ht="19.8" customHeight="1" x14ac:dyDescent="0.3">
      <c r="A262" s="143">
        <v>46013</v>
      </c>
      <c r="B262" s="83" t="s">
        <v>31</v>
      </c>
      <c r="C262" s="84" t="s">
        <v>32</v>
      </c>
      <c r="D262" s="83" t="s">
        <v>1</v>
      </c>
      <c r="E262" s="144">
        <v>1.836805555555556</v>
      </c>
      <c r="F262" s="83" t="s">
        <v>33</v>
      </c>
      <c r="G262" s="85">
        <v>9</v>
      </c>
      <c r="H262" s="141">
        <v>349</v>
      </c>
      <c r="I262" s="2"/>
    </row>
    <row r="263" spans="1:9" ht="19.8" customHeight="1" x14ac:dyDescent="0.3">
      <c r="A263" s="143">
        <v>46013</v>
      </c>
      <c r="B263" s="83" t="s">
        <v>31</v>
      </c>
      <c r="C263" s="84" t="s">
        <v>51</v>
      </c>
      <c r="D263" s="83" t="s">
        <v>1</v>
      </c>
      <c r="E263" s="144">
        <v>1.2013888888888891</v>
      </c>
      <c r="F263" s="83" t="s">
        <v>33</v>
      </c>
      <c r="G263" s="85">
        <v>9</v>
      </c>
      <c r="H263" s="141">
        <v>349</v>
      </c>
      <c r="I263" s="2"/>
    </row>
    <row r="264" spans="1:9" ht="19.8" customHeight="1" x14ac:dyDescent="0.3">
      <c r="A264" s="143">
        <v>46013</v>
      </c>
      <c r="B264" s="83" t="s">
        <v>40</v>
      </c>
      <c r="C264" s="84" t="s">
        <v>41</v>
      </c>
      <c r="D264" s="83" t="s">
        <v>1</v>
      </c>
      <c r="E264" s="144">
        <v>1.864583333333333</v>
      </c>
      <c r="F264" s="83" t="s">
        <v>61</v>
      </c>
      <c r="G264" s="85">
        <v>9</v>
      </c>
      <c r="H264" s="141">
        <v>411</v>
      </c>
      <c r="I264" s="2"/>
    </row>
    <row r="265" spans="1:9" ht="19.8" customHeight="1" x14ac:dyDescent="0.3">
      <c r="A265" s="143">
        <v>46013</v>
      </c>
      <c r="B265" s="83" t="s">
        <v>40</v>
      </c>
      <c r="C265" s="84" t="s">
        <v>44</v>
      </c>
      <c r="D265" s="83" t="s">
        <v>1</v>
      </c>
      <c r="E265" s="144">
        <v>1.5277777777777779</v>
      </c>
      <c r="F265" s="83" t="s">
        <v>61</v>
      </c>
      <c r="G265" s="85">
        <v>9</v>
      </c>
      <c r="H265" s="141">
        <v>411</v>
      </c>
      <c r="I265" s="2"/>
    </row>
    <row r="266" spans="1:9" ht="19.8" customHeight="1" x14ac:dyDescent="0.3">
      <c r="A266" s="143">
        <v>46013</v>
      </c>
      <c r="B266" s="83" t="s">
        <v>40</v>
      </c>
      <c r="C266" s="84" t="s">
        <v>60</v>
      </c>
      <c r="D266" s="83" t="s">
        <v>1</v>
      </c>
      <c r="E266" s="144">
        <v>1.1701388888888891</v>
      </c>
      <c r="F266" s="83" t="s">
        <v>61</v>
      </c>
      <c r="G266" s="85">
        <v>9</v>
      </c>
      <c r="H266" s="141">
        <v>411</v>
      </c>
      <c r="I266" s="2"/>
    </row>
    <row r="267" spans="1:9" ht="19.8" customHeight="1" x14ac:dyDescent="0.3">
      <c r="A267" s="143">
        <v>46013</v>
      </c>
      <c r="B267" s="83" t="s">
        <v>82</v>
      </c>
      <c r="C267" s="84" t="s">
        <v>161</v>
      </c>
      <c r="D267" s="83" t="s">
        <v>1</v>
      </c>
      <c r="E267" s="144">
        <v>1.1215277777777779</v>
      </c>
      <c r="F267" s="83" t="s">
        <v>28</v>
      </c>
      <c r="G267" s="85">
        <v>1</v>
      </c>
      <c r="H267" s="141">
        <v>425</v>
      </c>
      <c r="I267" s="2"/>
    </row>
    <row r="268" spans="1:9" ht="19.8" customHeight="1" x14ac:dyDescent="0.3">
      <c r="A268" s="143">
        <v>46013</v>
      </c>
      <c r="B268" s="83" t="s">
        <v>26</v>
      </c>
      <c r="C268" s="84" t="s">
        <v>27</v>
      </c>
      <c r="D268" s="83" t="s">
        <v>1</v>
      </c>
      <c r="E268" s="144">
        <v>1.958333333333333</v>
      </c>
      <c r="F268" s="83" t="s">
        <v>28</v>
      </c>
      <c r="G268" s="85">
        <v>9</v>
      </c>
      <c r="H268" s="141">
        <v>439</v>
      </c>
      <c r="I268" s="2"/>
    </row>
    <row r="269" spans="1:9" ht="19.8" customHeight="1" x14ac:dyDescent="0.3">
      <c r="A269" s="143">
        <v>46013</v>
      </c>
      <c r="B269" s="83" t="s">
        <v>31</v>
      </c>
      <c r="C269" s="84" t="s">
        <v>32</v>
      </c>
      <c r="D269" s="83" t="s">
        <v>1</v>
      </c>
      <c r="E269" s="144">
        <v>1.836805555555556</v>
      </c>
      <c r="F269" s="83" t="s">
        <v>36</v>
      </c>
      <c r="G269" s="85">
        <v>9</v>
      </c>
      <c r="H269" s="141">
        <v>449</v>
      </c>
      <c r="I269" s="2"/>
    </row>
    <row r="270" spans="1:9" ht="19.8" customHeight="1" x14ac:dyDescent="0.3">
      <c r="A270" s="143">
        <v>46013</v>
      </c>
      <c r="B270" s="83" t="s">
        <v>31</v>
      </c>
      <c r="C270" s="84" t="s">
        <v>51</v>
      </c>
      <c r="D270" s="83" t="s">
        <v>1</v>
      </c>
      <c r="E270" s="144">
        <v>1.2013888888888891</v>
      </c>
      <c r="F270" s="83" t="s">
        <v>36</v>
      </c>
      <c r="G270" s="85">
        <v>9</v>
      </c>
      <c r="H270" s="141">
        <v>449</v>
      </c>
      <c r="I270" s="2"/>
    </row>
    <row r="271" spans="1:9" ht="19.8" customHeight="1" x14ac:dyDescent="0.3">
      <c r="A271" s="143">
        <v>46013</v>
      </c>
      <c r="B271" s="83" t="s">
        <v>46</v>
      </c>
      <c r="C271" s="84" t="s">
        <v>47</v>
      </c>
      <c r="D271" s="83" t="s">
        <v>1</v>
      </c>
      <c r="E271" s="144">
        <v>1.305555555555556</v>
      </c>
      <c r="F271" s="83" t="s">
        <v>88</v>
      </c>
      <c r="G271" s="85">
        <v>19</v>
      </c>
      <c r="H271" s="141">
        <v>459</v>
      </c>
      <c r="I271" s="2"/>
    </row>
    <row r="272" spans="1:9" ht="19.8" customHeight="1" x14ac:dyDescent="0.3">
      <c r="A272" s="143">
        <v>46013</v>
      </c>
      <c r="B272" s="83" t="s">
        <v>31</v>
      </c>
      <c r="C272" s="84" t="s">
        <v>32</v>
      </c>
      <c r="D272" s="83" t="s">
        <v>1</v>
      </c>
      <c r="E272" s="144">
        <v>1.836805555555556</v>
      </c>
      <c r="F272" s="83" t="s">
        <v>38</v>
      </c>
      <c r="G272" s="85">
        <v>9</v>
      </c>
      <c r="H272" s="141">
        <v>539</v>
      </c>
      <c r="I272" s="2"/>
    </row>
    <row r="273" spans="1:9" ht="19.8" customHeight="1" x14ac:dyDescent="0.3">
      <c r="A273" s="143">
        <v>46013</v>
      </c>
      <c r="B273" s="83" t="s">
        <v>31</v>
      </c>
      <c r="C273" s="84" t="s">
        <v>51</v>
      </c>
      <c r="D273" s="83" t="s">
        <v>1</v>
      </c>
      <c r="E273" s="144">
        <v>1.2013888888888891</v>
      </c>
      <c r="F273" s="83" t="s">
        <v>38</v>
      </c>
      <c r="G273" s="85">
        <v>9</v>
      </c>
      <c r="H273" s="141">
        <v>539</v>
      </c>
      <c r="I273" s="2"/>
    </row>
    <row r="274" spans="1:9" ht="19.8" customHeight="1" x14ac:dyDescent="0.3">
      <c r="A274" s="143">
        <v>46013</v>
      </c>
      <c r="B274" s="83" t="s">
        <v>46</v>
      </c>
      <c r="C274" s="84" t="s">
        <v>47</v>
      </c>
      <c r="D274" s="83" t="s">
        <v>1</v>
      </c>
      <c r="E274" s="144">
        <v>1.305555555555556</v>
      </c>
      <c r="F274" s="83" t="s">
        <v>80</v>
      </c>
      <c r="G274" s="85">
        <v>19</v>
      </c>
      <c r="H274" s="141">
        <v>899</v>
      </c>
      <c r="I274" s="2"/>
    </row>
    <row r="275" spans="1:9" ht="19.8" customHeight="1" x14ac:dyDescent="0.3">
      <c r="A275" s="145">
        <v>46013</v>
      </c>
      <c r="B275" s="87" t="s">
        <v>71</v>
      </c>
      <c r="C275" s="88" t="s">
        <v>72</v>
      </c>
      <c r="D275" s="87" t="s">
        <v>1</v>
      </c>
      <c r="E275" s="146">
        <v>1.305555555555556</v>
      </c>
      <c r="F275" s="87" t="s">
        <v>73</v>
      </c>
      <c r="G275" s="89">
        <v>4</v>
      </c>
      <c r="H275" s="90" t="s">
        <v>120</v>
      </c>
      <c r="I275" s="2"/>
    </row>
    <row r="276" spans="1:9" ht="19.8" customHeight="1" x14ac:dyDescent="0.3">
      <c r="A276" s="143">
        <v>46014</v>
      </c>
      <c r="B276" s="83" t="s">
        <v>46</v>
      </c>
      <c r="C276" s="84" t="s">
        <v>47</v>
      </c>
      <c r="D276" s="83" t="s">
        <v>1</v>
      </c>
      <c r="E276" s="144">
        <v>1.305555555555556</v>
      </c>
      <c r="F276" s="83" t="s">
        <v>85</v>
      </c>
      <c r="G276" s="85">
        <v>20</v>
      </c>
      <c r="H276" s="141">
        <v>309</v>
      </c>
      <c r="I276" s="2"/>
    </row>
    <row r="277" spans="1:9" ht="19.8" customHeight="1" x14ac:dyDescent="0.3">
      <c r="A277" s="143">
        <v>46014</v>
      </c>
      <c r="B277" s="83" t="s">
        <v>31</v>
      </c>
      <c r="C277" s="84" t="s">
        <v>32</v>
      </c>
      <c r="D277" s="83" t="s">
        <v>1</v>
      </c>
      <c r="E277" s="144">
        <v>1.836805555555556</v>
      </c>
      <c r="F277" s="83" t="s">
        <v>33</v>
      </c>
      <c r="G277" s="85">
        <v>9</v>
      </c>
      <c r="H277" s="141">
        <v>349</v>
      </c>
      <c r="I277" s="2"/>
    </row>
    <row r="278" spans="1:9" ht="19.8" customHeight="1" x14ac:dyDescent="0.3">
      <c r="A278" s="143">
        <v>46014</v>
      </c>
      <c r="B278" s="83" t="s">
        <v>31</v>
      </c>
      <c r="C278" s="84" t="s">
        <v>51</v>
      </c>
      <c r="D278" s="83" t="s">
        <v>1</v>
      </c>
      <c r="E278" s="144">
        <v>1.2013888888888891</v>
      </c>
      <c r="F278" s="83" t="s">
        <v>33</v>
      </c>
      <c r="G278" s="85">
        <v>9</v>
      </c>
      <c r="H278" s="141">
        <v>379</v>
      </c>
      <c r="I278" s="2"/>
    </row>
    <row r="279" spans="1:9" ht="19.8" customHeight="1" x14ac:dyDescent="0.3">
      <c r="A279" s="143">
        <v>46014</v>
      </c>
      <c r="B279" s="83" t="s">
        <v>40</v>
      </c>
      <c r="C279" s="84" t="s">
        <v>41</v>
      </c>
      <c r="D279" s="83" t="s">
        <v>1</v>
      </c>
      <c r="E279" s="144">
        <v>1.864583333333333</v>
      </c>
      <c r="F279" s="83" t="s">
        <v>61</v>
      </c>
      <c r="G279" s="85">
        <v>9</v>
      </c>
      <c r="H279" s="141">
        <v>411</v>
      </c>
      <c r="I279" s="2"/>
    </row>
    <row r="280" spans="1:9" ht="19.8" customHeight="1" x14ac:dyDescent="0.3">
      <c r="A280" s="143">
        <v>46014</v>
      </c>
      <c r="B280" s="83" t="s">
        <v>40</v>
      </c>
      <c r="C280" s="84" t="s">
        <v>60</v>
      </c>
      <c r="D280" s="83" t="s">
        <v>1</v>
      </c>
      <c r="E280" s="144">
        <v>1.1701388888888891</v>
      </c>
      <c r="F280" s="83" t="s">
        <v>61</v>
      </c>
      <c r="G280" s="85">
        <v>9</v>
      </c>
      <c r="H280" s="141">
        <v>411</v>
      </c>
      <c r="I280" s="2"/>
    </row>
    <row r="281" spans="1:9" ht="19.8" customHeight="1" x14ac:dyDescent="0.3">
      <c r="A281" s="143">
        <v>46014</v>
      </c>
      <c r="B281" s="83" t="s">
        <v>26</v>
      </c>
      <c r="C281" s="84" t="s">
        <v>57</v>
      </c>
      <c r="D281" s="83" t="s">
        <v>1</v>
      </c>
      <c r="E281" s="144">
        <v>1.958333333333333</v>
      </c>
      <c r="F281" s="83" t="s">
        <v>28</v>
      </c>
      <c r="G281" s="85">
        <v>8</v>
      </c>
      <c r="H281" s="141">
        <v>439</v>
      </c>
      <c r="I281" s="2"/>
    </row>
    <row r="282" spans="1:9" ht="19.8" customHeight="1" x14ac:dyDescent="0.3">
      <c r="A282" s="143">
        <v>46014</v>
      </c>
      <c r="B282" s="83" t="s">
        <v>31</v>
      </c>
      <c r="C282" s="84" t="s">
        <v>32</v>
      </c>
      <c r="D282" s="83" t="s">
        <v>1</v>
      </c>
      <c r="E282" s="144">
        <v>1.836805555555556</v>
      </c>
      <c r="F282" s="83" t="s">
        <v>36</v>
      </c>
      <c r="G282" s="85">
        <v>9</v>
      </c>
      <c r="H282" s="141">
        <v>449</v>
      </c>
      <c r="I282" s="2"/>
    </row>
    <row r="283" spans="1:9" ht="19.8" customHeight="1" x14ac:dyDescent="0.3">
      <c r="A283" s="143">
        <v>46014</v>
      </c>
      <c r="B283" s="83" t="s">
        <v>46</v>
      </c>
      <c r="C283" s="84" t="s">
        <v>47</v>
      </c>
      <c r="D283" s="83" t="s">
        <v>1</v>
      </c>
      <c r="E283" s="144">
        <v>1.305555555555556</v>
      </c>
      <c r="F283" s="83" t="s">
        <v>88</v>
      </c>
      <c r="G283" s="85">
        <v>20</v>
      </c>
      <c r="H283" s="141">
        <v>459</v>
      </c>
      <c r="I283" s="2"/>
    </row>
    <row r="284" spans="1:9" ht="19.8" customHeight="1" x14ac:dyDescent="0.3">
      <c r="A284" s="143">
        <v>46014</v>
      </c>
      <c r="B284" s="83" t="s">
        <v>31</v>
      </c>
      <c r="C284" s="84" t="s">
        <v>51</v>
      </c>
      <c r="D284" s="83" t="s">
        <v>1</v>
      </c>
      <c r="E284" s="144">
        <v>1.2013888888888891</v>
      </c>
      <c r="F284" s="83" t="s">
        <v>36</v>
      </c>
      <c r="G284" s="85">
        <v>9</v>
      </c>
      <c r="H284" s="141">
        <v>479</v>
      </c>
      <c r="I284" s="2"/>
    </row>
    <row r="285" spans="1:9" ht="19.8" customHeight="1" x14ac:dyDescent="0.3">
      <c r="A285" s="143">
        <v>46014</v>
      </c>
      <c r="B285" s="83" t="s">
        <v>31</v>
      </c>
      <c r="C285" s="84" t="s">
        <v>32</v>
      </c>
      <c r="D285" s="83" t="s">
        <v>1</v>
      </c>
      <c r="E285" s="144">
        <v>1.836805555555556</v>
      </c>
      <c r="F285" s="83" t="s">
        <v>38</v>
      </c>
      <c r="G285" s="85">
        <v>9</v>
      </c>
      <c r="H285" s="141">
        <v>539</v>
      </c>
      <c r="I285" s="2"/>
    </row>
    <row r="286" spans="1:9" ht="19.8" customHeight="1" x14ac:dyDescent="0.3">
      <c r="A286" s="147">
        <v>46014</v>
      </c>
      <c r="B286" s="92" t="s">
        <v>64</v>
      </c>
      <c r="C286" s="93" t="s">
        <v>65</v>
      </c>
      <c r="D286" s="92" t="s">
        <v>1</v>
      </c>
      <c r="E286" s="148">
        <v>1.270833333333333</v>
      </c>
      <c r="F286" s="92" t="s">
        <v>28</v>
      </c>
      <c r="G286" s="94">
        <v>9</v>
      </c>
      <c r="H286" s="142">
        <v>566</v>
      </c>
      <c r="I286" s="2"/>
    </row>
    <row r="287" spans="1:9" ht="19.8" customHeight="1" x14ac:dyDescent="0.3">
      <c r="A287" s="143">
        <v>46014</v>
      </c>
      <c r="B287" s="83" t="s">
        <v>31</v>
      </c>
      <c r="C287" s="84" t="s">
        <v>51</v>
      </c>
      <c r="D287" s="83" t="s">
        <v>1</v>
      </c>
      <c r="E287" s="144">
        <v>1.2013888888888891</v>
      </c>
      <c r="F287" s="83" t="s">
        <v>38</v>
      </c>
      <c r="G287" s="85">
        <v>9</v>
      </c>
      <c r="H287" s="141">
        <v>569</v>
      </c>
      <c r="I287" s="2"/>
    </row>
    <row r="288" spans="1:9" ht="19.8" customHeight="1" x14ac:dyDescent="0.3">
      <c r="A288" s="143">
        <v>46014</v>
      </c>
      <c r="B288" s="83" t="s">
        <v>46</v>
      </c>
      <c r="C288" s="84" t="s">
        <v>47</v>
      </c>
      <c r="D288" s="83" t="s">
        <v>1</v>
      </c>
      <c r="E288" s="144">
        <v>1.305555555555556</v>
      </c>
      <c r="F288" s="83" t="s">
        <v>80</v>
      </c>
      <c r="G288" s="85">
        <v>20</v>
      </c>
      <c r="H288" s="141">
        <v>899</v>
      </c>
      <c r="I288" s="2"/>
    </row>
    <row r="289" spans="1:9" ht="19.8" customHeight="1" x14ac:dyDescent="0.3">
      <c r="A289" s="145">
        <v>46014</v>
      </c>
      <c r="B289" s="87" t="s">
        <v>71</v>
      </c>
      <c r="C289" s="88" t="s">
        <v>72</v>
      </c>
      <c r="D289" s="87" t="s">
        <v>1</v>
      </c>
      <c r="E289" s="146">
        <v>1.305555555555556</v>
      </c>
      <c r="F289" s="87" t="s">
        <v>73</v>
      </c>
      <c r="G289" s="89">
        <v>4</v>
      </c>
      <c r="H289" s="90" t="s">
        <v>120</v>
      </c>
      <c r="I289" s="2"/>
    </row>
    <row r="290" spans="1:9" ht="19.8" customHeight="1" x14ac:dyDescent="0.3">
      <c r="A290" s="143">
        <v>46015</v>
      </c>
      <c r="B290" s="83" t="s">
        <v>46</v>
      </c>
      <c r="C290" s="84" t="s">
        <v>47</v>
      </c>
      <c r="D290" s="83" t="s">
        <v>1</v>
      </c>
      <c r="E290" s="144">
        <v>1.305555555555556</v>
      </c>
      <c r="F290" s="83" t="s">
        <v>85</v>
      </c>
      <c r="G290" s="85">
        <v>12</v>
      </c>
      <c r="H290" s="141">
        <v>309</v>
      </c>
      <c r="I290" s="2"/>
    </row>
    <row r="291" spans="1:9" ht="19.8" customHeight="1" x14ac:dyDescent="0.3">
      <c r="A291" s="143">
        <v>46015</v>
      </c>
      <c r="B291" s="83" t="s">
        <v>76</v>
      </c>
      <c r="C291" s="84" t="s">
        <v>77</v>
      </c>
      <c r="D291" s="83" t="s">
        <v>1</v>
      </c>
      <c r="E291" s="144">
        <v>1.9722222222222221</v>
      </c>
      <c r="F291" s="83" t="s">
        <v>78</v>
      </c>
      <c r="G291" s="85">
        <v>9</v>
      </c>
      <c r="H291" s="141">
        <v>348</v>
      </c>
      <c r="I291" s="2"/>
    </row>
    <row r="292" spans="1:9" ht="19.8" customHeight="1" x14ac:dyDescent="0.3">
      <c r="A292" s="143">
        <v>46015</v>
      </c>
      <c r="B292" s="83" t="s">
        <v>31</v>
      </c>
      <c r="C292" s="84" t="s">
        <v>32</v>
      </c>
      <c r="D292" s="83" t="s">
        <v>1</v>
      </c>
      <c r="E292" s="144">
        <v>1.850694444444444</v>
      </c>
      <c r="F292" s="83" t="s">
        <v>33</v>
      </c>
      <c r="G292" s="85">
        <v>7</v>
      </c>
      <c r="H292" s="141">
        <v>349</v>
      </c>
      <c r="I292" s="2"/>
    </row>
    <row r="293" spans="1:9" ht="19.8" customHeight="1" x14ac:dyDescent="0.3">
      <c r="A293" s="143">
        <v>46015</v>
      </c>
      <c r="B293" s="83" t="s">
        <v>40</v>
      </c>
      <c r="C293" s="84" t="s">
        <v>41</v>
      </c>
      <c r="D293" s="83" t="s">
        <v>1</v>
      </c>
      <c r="E293" s="144">
        <v>1.864583333333333</v>
      </c>
      <c r="F293" s="83" t="s">
        <v>61</v>
      </c>
      <c r="G293" s="85">
        <v>9</v>
      </c>
      <c r="H293" s="141">
        <v>411</v>
      </c>
      <c r="I293" s="2"/>
    </row>
    <row r="294" spans="1:9" ht="19.8" customHeight="1" x14ac:dyDescent="0.3">
      <c r="A294" s="143">
        <v>46015</v>
      </c>
      <c r="B294" s="83" t="s">
        <v>40</v>
      </c>
      <c r="C294" s="84" t="s">
        <v>44</v>
      </c>
      <c r="D294" s="83" t="s">
        <v>1</v>
      </c>
      <c r="E294" s="144">
        <v>1.5277777777777779</v>
      </c>
      <c r="F294" s="83" t="s">
        <v>61</v>
      </c>
      <c r="G294" s="85">
        <v>9</v>
      </c>
      <c r="H294" s="141">
        <v>411</v>
      </c>
      <c r="I294" s="2"/>
    </row>
    <row r="295" spans="1:9" ht="19.8" customHeight="1" x14ac:dyDescent="0.3">
      <c r="A295" s="143">
        <v>46015</v>
      </c>
      <c r="B295" s="83" t="s">
        <v>40</v>
      </c>
      <c r="C295" s="84" t="s">
        <v>60</v>
      </c>
      <c r="D295" s="83" t="s">
        <v>1</v>
      </c>
      <c r="E295" s="144">
        <v>1.1701388888888891</v>
      </c>
      <c r="F295" s="83" t="s">
        <v>61</v>
      </c>
      <c r="G295" s="85">
        <v>9</v>
      </c>
      <c r="H295" s="141">
        <v>411</v>
      </c>
      <c r="I295" s="2"/>
    </row>
    <row r="296" spans="1:9" ht="19.8" customHeight="1" x14ac:dyDescent="0.3">
      <c r="A296" s="143">
        <v>46015</v>
      </c>
      <c r="B296" s="83" t="s">
        <v>26</v>
      </c>
      <c r="C296" s="84" t="s">
        <v>27</v>
      </c>
      <c r="D296" s="83" t="s">
        <v>1</v>
      </c>
      <c r="E296" s="144">
        <v>1.895833333333333</v>
      </c>
      <c r="F296" s="83" t="s">
        <v>28</v>
      </c>
      <c r="G296" s="85">
        <v>9</v>
      </c>
      <c r="H296" s="141">
        <v>439</v>
      </c>
      <c r="I296" s="2"/>
    </row>
    <row r="297" spans="1:9" ht="19.8" customHeight="1" x14ac:dyDescent="0.3">
      <c r="A297" s="143">
        <v>46015</v>
      </c>
      <c r="B297" s="83" t="s">
        <v>31</v>
      </c>
      <c r="C297" s="84" t="s">
        <v>32</v>
      </c>
      <c r="D297" s="83" t="s">
        <v>1</v>
      </c>
      <c r="E297" s="144">
        <v>1.850694444444444</v>
      </c>
      <c r="F297" s="83" t="s">
        <v>36</v>
      </c>
      <c r="G297" s="85">
        <v>7</v>
      </c>
      <c r="H297" s="141">
        <v>449</v>
      </c>
      <c r="I297" s="2"/>
    </row>
    <row r="298" spans="1:9" ht="19.8" customHeight="1" x14ac:dyDescent="0.3">
      <c r="A298" s="143">
        <v>46015</v>
      </c>
      <c r="B298" s="83" t="s">
        <v>46</v>
      </c>
      <c r="C298" s="84" t="s">
        <v>47</v>
      </c>
      <c r="D298" s="83" t="s">
        <v>1</v>
      </c>
      <c r="E298" s="144">
        <v>1.305555555555556</v>
      </c>
      <c r="F298" s="83" t="s">
        <v>88</v>
      </c>
      <c r="G298" s="85">
        <v>12</v>
      </c>
      <c r="H298" s="141">
        <v>459</v>
      </c>
      <c r="I298" s="2"/>
    </row>
    <row r="299" spans="1:9" ht="19.8" customHeight="1" x14ac:dyDescent="0.3">
      <c r="A299" s="143">
        <v>46015</v>
      </c>
      <c r="B299" s="83" t="s">
        <v>82</v>
      </c>
      <c r="C299" s="84" t="s">
        <v>83</v>
      </c>
      <c r="D299" s="83" t="s">
        <v>1</v>
      </c>
      <c r="E299" s="144">
        <v>1.0902777777777779</v>
      </c>
      <c r="F299" s="83" t="s">
        <v>28</v>
      </c>
      <c r="G299" s="85">
        <v>8</v>
      </c>
      <c r="H299" s="141">
        <v>500</v>
      </c>
      <c r="I299" s="2"/>
    </row>
    <row r="300" spans="1:9" ht="19.8" customHeight="1" x14ac:dyDescent="0.3">
      <c r="A300" s="143">
        <v>46015</v>
      </c>
      <c r="B300" s="83" t="s">
        <v>31</v>
      </c>
      <c r="C300" s="84" t="s">
        <v>32</v>
      </c>
      <c r="D300" s="83" t="s">
        <v>1</v>
      </c>
      <c r="E300" s="144">
        <v>1.850694444444444</v>
      </c>
      <c r="F300" s="83" t="s">
        <v>38</v>
      </c>
      <c r="G300" s="85">
        <v>7</v>
      </c>
      <c r="H300" s="141">
        <v>539</v>
      </c>
      <c r="I300" s="2"/>
    </row>
    <row r="301" spans="1:9" ht="19.8" customHeight="1" x14ac:dyDescent="0.3">
      <c r="A301" s="143">
        <v>46015</v>
      </c>
      <c r="B301" s="83" t="s">
        <v>76</v>
      </c>
      <c r="C301" s="84" t="s">
        <v>77</v>
      </c>
      <c r="D301" s="83" t="s">
        <v>1</v>
      </c>
      <c r="E301" s="144">
        <v>1.9722222222222221</v>
      </c>
      <c r="F301" s="83" t="s">
        <v>80</v>
      </c>
      <c r="G301" s="85">
        <v>9</v>
      </c>
      <c r="H301" s="141">
        <v>554</v>
      </c>
      <c r="I301" s="2"/>
    </row>
    <row r="302" spans="1:9" ht="19.8" customHeight="1" x14ac:dyDescent="0.3">
      <c r="A302" s="143">
        <v>46015</v>
      </c>
      <c r="B302" s="83" t="s">
        <v>46</v>
      </c>
      <c r="C302" s="84" t="s">
        <v>47</v>
      </c>
      <c r="D302" s="83" t="s">
        <v>1</v>
      </c>
      <c r="E302" s="144">
        <v>1.305555555555556</v>
      </c>
      <c r="F302" s="83" t="s">
        <v>80</v>
      </c>
      <c r="G302" s="85">
        <v>12</v>
      </c>
      <c r="H302" s="141">
        <v>899</v>
      </c>
      <c r="I302" s="2"/>
    </row>
    <row r="303" spans="1:9" ht="19.8" customHeight="1" x14ac:dyDescent="0.3">
      <c r="A303" s="145">
        <v>46015</v>
      </c>
      <c r="B303" s="87" t="s">
        <v>71</v>
      </c>
      <c r="C303" s="88" t="s">
        <v>72</v>
      </c>
      <c r="D303" s="87" t="s">
        <v>1</v>
      </c>
      <c r="E303" s="146">
        <v>1.305555555555556</v>
      </c>
      <c r="F303" s="87" t="s">
        <v>73</v>
      </c>
      <c r="G303" s="89">
        <v>4</v>
      </c>
      <c r="H303" s="90" t="s">
        <v>120</v>
      </c>
      <c r="I303" s="2"/>
    </row>
    <row r="304" spans="1:9" ht="19.8" customHeight="1" x14ac:dyDescent="0.3">
      <c r="A304" s="143">
        <v>46016</v>
      </c>
      <c r="B304" s="83" t="s">
        <v>46</v>
      </c>
      <c r="C304" s="84" t="s">
        <v>47</v>
      </c>
      <c r="D304" s="83" t="s">
        <v>1</v>
      </c>
      <c r="E304" s="144">
        <v>1.305555555555556</v>
      </c>
      <c r="F304" s="83" t="s">
        <v>85</v>
      </c>
      <c r="G304" s="85">
        <v>21</v>
      </c>
      <c r="H304" s="141">
        <v>339</v>
      </c>
      <c r="I304" s="2"/>
    </row>
    <row r="305" spans="1:9" ht="19.8" customHeight="1" x14ac:dyDescent="0.3">
      <c r="A305" s="143">
        <v>46016</v>
      </c>
      <c r="B305" s="83" t="s">
        <v>31</v>
      </c>
      <c r="C305" s="84" t="s">
        <v>51</v>
      </c>
      <c r="D305" s="83" t="s">
        <v>1</v>
      </c>
      <c r="E305" s="144">
        <v>1.2013888888888891</v>
      </c>
      <c r="F305" s="83" t="s">
        <v>33</v>
      </c>
      <c r="G305" s="85">
        <v>5</v>
      </c>
      <c r="H305" s="141">
        <v>379</v>
      </c>
      <c r="I305" s="2"/>
    </row>
    <row r="306" spans="1:9" ht="19.8" customHeight="1" x14ac:dyDescent="0.3">
      <c r="A306" s="143">
        <v>46016</v>
      </c>
      <c r="B306" s="83" t="s">
        <v>31</v>
      </c>
      <c r="C306" s="84" t="s">
        <v>32</v>
      </c>
      <c r="D306" s="83" t="s">
        <v>1</v>
      </c>
      <c r="E306" s="144">
        <v>1.836805555555556</v>
      </c>
      <c r="F306" s="83" t="s">
        <v>33</v>
      </c>
      <c r="G306" s="85">
        <v>1</v>
      </c>
      <c r="H306" s="141">
        <v>409</v>
      </c>
      <c r="I306" s="2"/>
    </row>
    <row r="307" spans="1:9" ht="19.8" customHeight="1" x14ac:dyDescent="0.3">
      <c r="A307" s="143">
        <v>46016</v>
      </c>
      <c r="B307" s="83" t="s">
        <v>40</v>
      </c>
      <c r="C307" s="84" t="s">
        <v>60</v>
      </c>
      <c r="D307" s="83" t="s">
        <v>1</v>
      </c>
      <c r="E307" s="144">
        <v>1.1701388888888891</v>
      </c>
      <c r="F307" s="83" t="s">
        <v>61</v>
      </c>
      <c r="G307" s="85">
        <v>9</v>
      </c>
      <c r="H307" s="141">
        <v>411</v>
      </c>
      <c r="I307" s="2"/>
    </row>
    <row r="308" spans="1:9" ht="19.8" customHeight="1" x14ac:dyDescent="0.3">
      <c r="A308" s="143">
        <v>46016</v>
      </c>
      <c r="B308" s="83" t="s">
        <v>31</v>
      </c>
      <c r="C308" s="84" t="s">
        <v>51</v>
      </c>
      <c r="D308" s="83" t="s">
        <v>1</v>
      </c>
      <c r="E308" s="144">
        <v>1.2013888888888891</v>
      </c>
      <c r="F308" s="83" t="s">
        <v>36</v>
      </c>
      <c r="G308" s="85">
        <v>5</v>
      </c>
      <c r="H308" s="141">
        <v>479</v>
      </c>
      <c r="I308" s="2"/>
    </row>
    <row r="309" spans="1:9" ht="19.8" customHeight="1" x14ac:dyDescent="0.3">
      <c r="A309" s="143">
        <v>46016</v>
      </c>
      <c r="B309" s="83" t="s">
        <v>46</v>
      </c>
      <c r="C309" s="84" t="s">
        <v>47</v>
      </c>
      <c r="D309" s="83" t="s">
        <v>1</v>
      </c>
      <c r="E309" s="144">
        <v>1.305555555555556</v>
      </c>
      <c r="F309" s="83" t="s">
        <v>88</v>
      </c>
      <c r="G309" s="85">
        <v>21</v>
      </c>
      <c r="H309" s="141">
        <v>489</v>
      </c>
      <c r="I309" s="2"/>
    </row>
    <row r="310" spans="1:9" ht="19.8" customHeight="1" x14ac:dyDescent="0.3">
      <c r="A310" s="143">
        <v>46016</v>
      </c>
      <c r="B310" s="83" t="s">
        <v>82</v>
      </c>
      <c r="C310" s="84" t="s">
        <v>83</v>
      </c>
      <c r="D310" s="83" t="s">
        <v>1</v>
      </c>
      <c r="E310" s="144">
        <v>1.8888888888888891</v>
      </c>
      <c r="F310" s="83" t="s">
        <v>167</v>
      </c>
      <c r="G310" s="85">
        <v>2</v>
      </c>
      <c r="H310" s="141">
        <v>500</v>
      </c>
      <c r="I310" s="2"/>
    </row>
    <row r="311" spans="1:9" ht="19.8" customHeight="1" x14ac:dyDescent="0.3">
      <c r="A311" s="143">
        <v>46016</v>
      </c>
      <c r="B311" s="83" t="s">
        <v>31</v>
      </c>
      <c r="C311" s="84" t="s">
        <v>32</v>
      </c>
      <c r="D311" s="83" t="s">
        <v>1</v>
      </c>
      <c r="E311" s="144">
        <v>1.836805555555556</v>
      </c>
      <c r="F311" s="83" t="s">
        <v>36</v>
      </c>
      <c r="G311" s="85">
        <v>1</v>
      </c>
      <c r="H311" s="141">
        <v>509</v>
      </c>
      <c r="I311" s="2"/>
    </row>
    <row r="312" spans="1:9" ht="19.8" customHeight="1" x14ac:dyDescent="0.3">
      <c r="A312" s="143">
        <v>46016</v>
      </c>
      <c r="B312" s="83" t="s">
        <v>26</v>
      </c>
      <c r="C312" s="84" t="s">
        <v>57</v>
      </c>
      <c r="D312" s="83" t="s">
        <v>1</v>
      </c>
      <c r="E312" s="144">
        <v>1.958333333333333</v>
      </c>
      <c r="F312" s="83" t="s">
        <v>28</v>
      </c>
      <c r="G312" s="85">
        <v>9</v>
      </c>
      <c r="H312" s="141">
        <v>563</v>
      </c>
      <c r="I312" s="2"/>
    </row>
    <row r="313" spans="1:9" ht="19.8" customHeight="1" x14ac:dyDescent="0.3">
      <c r="A313" s="143">
        <v>46016</v>
      </c>
      <c r="B313" s="83" t="s">
        <v>31</v>
      </c>
      <c r="C313" s="84" t="s">
        <v>51</v>
      </c>
      <c r="D313" s="83" t="s">
        <v>1</v>
      </c>
      <c r="E313" s="144">
        <v>1.2013888888888891</v>
      </c>
      <c r="F313" s="83" t="s">
        <v>38</v>
      </c>
      <c r="G313" s="85">
        <v>5</v>
      </c>
      <c r="H313" s="141">
        <v>569</v>
      </c>
      <c r="I313" s="2"/>
    </row>
    <row r="314" spans="1:9" ht="19.8" customHeight="1" x14ac:dyDescent="0.3">
      <c r="A314" s="143">
        <v>46016</v>
      </c>
      <c r="B314" s="83" t="s">
        <v>31</v>
      </c>
      <c r="C314" s="84" t="s">
        <v>32</v>
      </c>
      <c r="D314" s="83" t="s">
        <v>1</v>
      </c>
      <c r="E314" s="144">
        <v>1.836805555555556</v>
      </c>
      <c r="F314" s="83" t="s">
        <v>38</v>
      </c>
      <c r="G314" s="85">
        <v>1</v>
      </c>
      <c r="H314" s="141">
        <v>599</v>
      </c>
      <c r="I314" s="2"/>
    </row>
    <row r="315" spans="1:9" ht="19.8" customHeight="1" x14ac:dyDescent="0.3">
      <c r="A315" s="147">
        <v>46016</v>
      </c>
      <c r="B315" s="92" t="s">
        <v>64</v>
      </c>
      <c r="C315" s="93" t="s">
        <v>65</v>
      </c>
      <c r="D315" s="92" t="s">
        <v>1</v>
      </c>
      <c r="E315" s="148">
        <v>1.9236111111111109</v>
      </c>
      <c r="F315" s="92" t="s">
        <v>28</v>
      </c>
      <c r="G315" s="94">
        <v>9</v>
      </c>
      <c r="H315" s="142">
        <v>626</v>
      </c>
      <c r="I315" s="2"/>
    </row>
    <row r="316" spans="1:9" ht="19.8" customHeight="1" x14ac:dyDescent="0.3">
      <c r="A316" s="143">
        <v>46016</v>
      </c>
      <c r="B316" s="83" t="s">
        <v>40</v>
      </c>
      <c r="C316" s="84" t="s">
        <v>41</v>
      </c>
      <c r="D316" s="83" t="s">
        <v>1</v>
      </c>
      <c r="E316" s="144">
        <v>1.864583333333333</v>
      </c>
      <c r="F316" s="83" t="s">
        <v>42</v>
      </c>
      <c r="G316" s="85">
        <v>9</v>
      </c>
      <c r="H316" s="141">
        <v>697</v>
      </c>
      <c r="I316" s="2"/>
    </row>
    <row r="317" spans="1:9" ht="19.8" customHeight="1" x14ac:dyDescent="0.3">
      <c r="A317" s="143">
        <v>46016</v>
      </c>
      <c r="B317" s="83" t="s">
        <v>40</v>
      </c>
      <c r="C317" s="84" t="s">
        <v>44</v>
      </c>
      <c r="D317" s="83" t="s">
        <v>1</v>
      </c>
      <c r="E317" s="144">
        <v>1.5277777777777779</v>
      </c>
      <c r="F317" s="83" t="s">
        <v>42</v>
      </c>
      <c r="G317" s="85">
        <v>9</v>
      </c>
      <c r="H317" s="141">
        <v>701</v>
      </c>
      <c r="I317" s="2"/>
    </row>
    <row r="318" spans="1:9" ht="19.8" customHeight="1" x14ac:dyDescent="0.3">
      <c r="A318" s="143">
        <v>46016</v>
      </c>
      <c r="B318" s="83" t="s">
        <v>46</v>
      </c>
      <c r="C318" s="84" t="s">
        <v>47</v>
      </c>
      <c r="D318" s="83" t="s">
        <v>1</v>
      </c>
      <c r="E318" s="144">
        <v>1.305555555555556</v>
      </c>
      <c r="F318" s="83" t="s">
        <v>80</v>
      </c>
      <c r="G318" s="85">
        <v>21</v>
      </c>
      <c r="H318" s="141">
        <v>899</v>
      </c>
      <c r="I318" s="2"/>
    </row>
    <row r="319" spans="1:9" ht="19.8" customHeight="1" x14ac:dyDescent="0.3">
      <c r="A319" s="145">
        <v>46016</v>
      </c>
      <c r="B319" s="87" t="s">
        <v>71</v>
      </c>
      <c r="C319" s="88" t="s">
        <v>72</v>
      </c>
      <c r="D319" s="87" t="s">
        <v>1</v>
      </c>
      <c r="E319" s="146">
        <v>1.305555555555556</v>
      </c>
      <c r="F319" s="87" t="s">
        <v>73</v>
      </c>
      <c r="G319" s="89">
        <v>4</v>
      </c>
      <c r="H319" s="90" t="s">
        <v>75</v>
      </c>
      <c r="I319" s="2"/>
    </row>
    <row r="320" spans="1:9" ht="19.8" customHeight="1" x14ac:dyDescent="0.3">
      <c r="A320" s="143">
        <v>46017</v>
      </c>
      <c r="B320" s="83" t="s">
        <v>46</v>
      </c>
      <c r="C320" s="84" t="s">
        <v>47</v>
      </c>
      <c r="D320" s="83" t="s">
        <v>1</v>
      </c>
      <c r="E320" s="144">
        <v>1.305555555555556</v>
      </c>
      <c r="F320" s="83" t="s">
        <v>85</v>
      </c>
      <c r="G320" s="85">
        <v>18</v>
      </c>
      <c r="H320" s="141">
        <v>309</v>
      </c>
      <c r="I320" s="2"/>
    </row>
    <row r="321" spans="1:9" ht="19.8" customHeight="1" x14ac:dyDescent="0.3">
      <c r="A321" s="143">
        <v>46017</v>
      </c>
      <c r="B321" s="83" t="s">
        <v>31</v>
      </c>
      <c r="C321" s="84" t="s">
        <v>32</v>
      </c>
      <c r="D321" s="83" t="s">
        <v>1</v>
      </c>
      <c r="E321" s="144">
        <v>1.836805555555556</v>
      </c>
      <c r="F321" s="83" t="s">
        <v>33</v>
      </c>
      <c r="G321" s="85">
        <v>9</v>
      </c>
      <c r="H321" s="141">
        <v>349</v>
      </c>
      <c r="I321" s="2"/>
    </row>
    <row r="322" spans="1:9" ht="19.8" customHeight="1" x14ac:dyDescent="0.3">
      <c r="A322" s="143">
        <v>46017</v>
      </c>
      <c r="B322" s="83" t="s">
        <v>40</v>
      </c>
      <c r="C322" s="84" t="s">
        <v>41</v>
      </c>
      <c r="D322" s="83" t="s">
        <v>1</v>
      </c>
      <c r="E322" s="144">
        <v>1.864583333333333</v>
      </c>
      <c r="F322" s="83" t="s">
        <v>61</v>
      </c>
      <c r="G322" s="85">
        <v>9</v>
      </c>
      <c r="H322" s="141">
        <v>411</v>
      </c>
      <c r="I322" s="2"/>
    </row>
    <row r="323" spans="1:9" ht="19.8" customHeight="1" x14ac:dyDescent="0.3">
      <c r="A323" s="143">
        <v>46017</v>
      </c>
      <c r="B323" s="83" t="s">
        <v>40</v>
      </c>
      <c r="C323" s="84" t="s">
        <v>60</v>
      </c>
      <c r="D323" s="83" t="s">
        <v>1</v>
      </c>
      <c r="E323" s="144">
        <v>1.1701388888888891</v>
      </c>
      <c r="F323" s="83" t="s">
        <v>61</v>
      </c>
      <c r="G323" s="85">
        <v>9</v>
      </c>
      <c r="H323" s="141">
        <v>411</v>
      </c>
      <c r="I323" s="2"/>
    </row>
    <row r="324" spans="1:9" ht="19.8" customHeight="1" x14ac:dyDescent="0.3">
      <c r="A324" s="143">
        <v>46017</v>
      </c>
      <c r="B324" s="83" t="s">
        <v>40</v>
      </c>
      <c r="C324" s="84" t="s">
        <v>44</v>
      </c>
      <c r="D324" s="83" t="s">
        <v>1</v>
      </c>
      <c r="E324" s="144">
        <v>1.5277777777777779</v>
      </c>
      <c r="F324" s="83" t="s">
        <v>61</v>
      </c>
      <c r="G324" s="85">
        <v>9</v>
      </c>
      <c r="H324" s="141">
        <v>415</v>
      </c>
      <c r="I324" s="2"/>
    </row>
    <row r="325" spans="1:9" ht="19.8" customHeight="1" x14ac:dyDescent="0.3">
      <c r="A325" s="143">
        <v>46017</v>
      </c>
      <c r="B325" s="83" t="s">
        <v>26</v>
      </c>
      <c r="C325" s="84" t="s">
        <v>27</v>
      </c>
      <c r="D325" s="83" t="s">
        <v>1</v>
      </c>
      <c r="E325" s="144">
        <v>1.958333333333333</v>
      </c>
      <c r="F325" s="83" t="s">
        <v>167</v>
      </c>
      <c r="G325" s="85">
        <v>9</v>
      </c>
      <c r="H325" s="141">
        <v>439</v>
      </c>
      <c r="I325" s="2"/>
    </row>
    <row r="326" spans="1:9" ht="19.8" customHeight="1" x14ac:dyDescent="0.3">
      <c r="A326" s="143">
        <v>46017</v>
      </c>
      <c r="B326" s="83" t="s">
        <v>31</v>
      </c>
      <c r="C326" s="84" t="s">
        <v>32</v>
      </c>
      <c r="D326" s="83" t="s">
        <v>1</v>
      </c>
      <c r="E326" s="144">
        <v>1.836805555555556</v>
      </c>
      <c r="F326" s="83" t="s">
        <v>36</v>
      </c>
      <c r="G326" s="85">
        <v>9</v>
      </c>
      <c r="H326" s="141">
        <v>449</v>
      </c>
      <c r="I326" s="2"/>
    </row>
    <row r="327" spans="1:9" ht="19.8" customHeight="1" x14ac:dyDescent="0.3">
      <c r="A327" s="143">
        <v>46017</v>
      </c>
      <c r="B327" s="83" t="s">
        <v>46</v>
      </c>
      <c r="C327" s="84" t="s">
        <v>47</v>
      </c>
      <c r="D327" s="83" t="s">
        <v>1</v>
      </c>
      <c r="E327" s="144">
        <v>1.305555555555556</v>
      </c>
      <c r="F327" s="83" t="s">
        <v>88</v>
      </c>
      <c r="G327" s="85">
        <v>18</v>
      </c>
      <c r="H327" s="141">
        <v>459</v>
      </c>
      <c r="I327" s="2"/>
    </row>
    <row r="328" spans="1:9" ht="19.8" customHeight="1" x14ac:dyDescent="0.3">
      <c r="A328" s="143">
        <v>46017</v>
      </c>
      <c r="B328" s="83" t="s">
        <v>31</v>
      </c>
      <c r="C328" s="84" t="s">
        <v>32</v>
      </c>
      <c r="D328" s="83" t="s">
        <v>1</v>
      </c>
      <c r="E328" s="144">
        <v>1.836805555555556</v>
      </c>
      <c r="F328" s="83" t="s">
        <v>38</v>
      </c>
      <c r="G328" s="85">
        <v>9</v>
      </c>
      <c r="H328" s="141">
        <v>539</v>
      </c>
      <c r="I328" s="2"/>
    </row>
    <row r="329" spans="1:9" ht="19.8" customHeight="1" x14ac:dyDescent="0.3">
      <c r="A329" s="147">
        <v>46017</v>
      </c>
      <c r="B329" s="92" t="s">
        <v>64</v>
      </c>
      <c r="C329" s="93" t="s">
        <v>65</v>
      </c>
      <c r="D329" s="92" t="s">
        <v>1</v>
      </c>
      <c r="E329" s="148">
        <v>1.5798611111111109</v>
      </c>
      <c r="F329" s="92" t="s">
        <v>28</v>
      </c>
      <c r="G329" s="94">
        <v>9</v>
      </c>
      <c r="H329" s="142">
        <v>626</v>
      </c>
      <c r="I329" s="2"/>
    </row>
    <row r="330" spans="1:9" ht="19.8" customHeight="1" x14ac:dyDescent="0.3">
      <c r="A330" s="143">
        <v>46017</v>
      </c>
      <c r="B330" s="83" t="s">
        <v>46</v>
      </c>
      <c r="C330" s="84" t="s">
        <v>47</v>
      </c>
      <c r="D330" s="83" t="s">
        <v>1</v>
      </c>
      <c r="E330" s="144">
        <v>1.305555555555556</v>
      </c>
      <c r="F330" s="83" t="s">
        <v>80</v>
      </c>
      <c r="G330" s="85">
        <v>18</v>
      </c>
      <c r="H330" s="141">
        <v>899</v>
      </c>
      <c r="I330" s="2"/>
    </row>
    <row r="331" spans="1:9" ht="19.8" customHeight="1" x14ac:dyDescent="0.3">
      <c r="A331" s="145">
        <v>46017</v>
      </c>
      <c r="B331" s="87" t="s">
        <v>71</v>
      </c>
      <c r="C331" s="88" t="s">
        <v>72</v>
      </c>
      <c r="D331" s="87" t="s">
        <v>1</v>
      </c>
      <c r="E331" s="146">
        <v>1.305555555555556</v>
      </c>
      <c r="F331" s="87" t="s">
        <v>73</v>
      </c>
      <c r="G331" s="89">
        <v>4</v>
      </c>
      <c r="H331" s="90" t="s">
        <v>120</v>
      </c>
      <c r="I331" s="2"/>
    </row>
    <row r="332" spans="1:9" ht="19.8" customHeight="1" x14ac:dyDescent="0.3">
      <c r="A332" s="143">
        <v>46018</v>
      </c>
      <c r="B332" s="83" t="s">
        <v>46</v>
      </c>
      <c r="C332" s="84" t="s">
        <v>47</v>
      </c>
      <c r="D332" s="83" t="s">
        <v>1</v>
      </c>
      <c r="E332" s="144">
        <v>1.305555555555556</v>
      </c>
      <c r="F332" s="83" t="s">
        <v>85</v>
      </c>
      <c r="G332" s="85">
        <v>18</v>
      </c>
      <c r="H332" s="141">
        <v>309</v>
      </c>
      <c r="I332" s="2"/>
    </row>
    <row r="333" spans="1:9" ht="19.8" customHeight="1" x14ac:dyDescent="0.3">
      <c r="A333" s="143">
        <v>46018</v>
      </c>
      <c r="B333" s="83" t="s">
        <v>31</v>
      </c>
      <c r="C333" s="84" t="s">
        <v>32</v>
      </c>
      <c r="D333" s="83" t="s">
        <v>1</v>
      </c>
      <c r="E333" s="144">
        <v>1.836805555555556</v>
      </c>
      <c r="F333" s="83" t="s">
        <v>33</v>
      </c>
      <c r="G333" s="85">
        <v>9</v>
      </c>
      <c r="H333" s="141">
        <v>349</v>
      </c>
      <c r="I333" s="2"/>
    </row>
    <row r="334" spans="1:9" ht="19.8" customHeight="1" x14ac:dyDescent="0.3">
      <c r="A334" s="143">
        <v>46018</v>
      </c>
      <c r="B334" s="83" t="s">
        <v>31</v>
      </c>
      <c r="C334" s="84" t="s">
        <v>51</v>
      </c>
      <c r="D334" s="83" t="s">
        <v>1</v>
      </c>
      <c r="E334" s="144">
        <v>1.2013888888888891</v>
      </c>
      <c r="F334" s="83" t="s">
        <v>33</v>
      </c>
      <c r="G334" s="85">
        <v>9</v>
      </c>
      <c r="H334" s="141">
        <v>349</v>
      </c>
      <c r="I334" s="2"/>
    </row>
    <row r="335" spans="1:9" ht="19.8" customHeight="1" x14ac:dyDescent="0.3">
      <c r="A335" s="143">
        <v>46018</v>
      </c>
      <c r="B335" s="83" t="s">
        <v>76</v>
      </c>
      <c r="C335" s="84" t="s">
        <v>77</v>
      </c>
      <c r="D335" s="83" t="s">
        <v>1</v>
      </c>
      <c r="E335" s="144">
        <v>1.9722222222222221</v>
      </c>
      <c r="F335" s="83" t="s">
        <v>78</v>
      </c>
      <c r="G335" s="85">
        <v>9</v>
      </c>
      <c r="H335" s="141">
        <v>354</v>
      </c>
      <c r="I335" s="2"/>
    </row>
    <row r="336" spans="1:9" ht="19.8" customHeight="1" x14ac:dyDescent="0.3">
      <c r="A336" s="143">
        <v>46018</v>
      </c>
      <c r="B336" s="83" t="s">
        <v>40</v>
      </c>
      <c r="C336" s="84" t="s">
        <v>41</v>
      </c>
      <c r="D336" s="83" t="s">
        <v>1</v>
      </c>
      <c r="E336" s="144">
        <v>1.868055555555556</v>
      </c>
      <c r="F336" s="83" t="s">
        <v>61</v>
      </c>
      <c r="G336" s="85">
        <v>9</v>
      </c>
      <c r="H336" s="141">
        <v>411</v>
      </c>
      <c r="I336" s="2"/>
    </row>
    <row r="337" spans="1:9" ht="19.8" customHeight="1" x14ac:dyDescent="0.3">
      <c r="A337" s="143">
        <v>46018</v>
      </c>
      <c r="B337" s="83" t="s">
        <v>40</v>
      </c>
      <c r="C337" s="84" t="s">
        <v>44</v>
      </c>
      <c r="D337" s="83" t="s">
        <v>1</v>
      </c>
      <c r="E337" s="144">
        <v>1.5277777777777779</v>
      </c>
      <c r="F337" s="83" t="s">
        <v>61</v>
      </c>
      <c r="G337" s="85">
        <v>9</v>
      </c>
      <c r="H337" s="141">
        <v>411</v>
      </c>
      <c r="I337" s="2"/>
    </row>
    <row r="338" spans="1:9" ht="19.8" customHeight="1" x14ac:dyDescent="0.3">
      <c r="A338" s="143">
        <v>46018</v>
      </c>
      <c r="B338" s="83" t="s">
        <v>40</v>
      </c>
      <c r="C338" s="84" t="s">
        <v>60</v>
      </c>
      <c r="D338" s="83" t="s">
        <v>1</v>
      </c>
      <c r="E338" s="144">
        <v>1.1701388888888891</v>
      </c>
      <c r="F338" s="83" t="s">
        <v>61</v>
      </c>
      <c r="G338" s="85">
        <v>9</v>
      </c>
      <c r="H338" s="141">
        <v>411</v>
      </c>
      <c r="I338" s="2"/>
    </row>
    <row r="339" spans="1:9" ht="19.8" customHeight="1" x14ac:dyDescent="0.3">
      <c r="A339" s="143">
        <v>46018</v>
      </c>
      <c r="B339" s="83" t="s">
        <v>26</v>
      </c>
      <c r="C339" s="84" t="s">
        <v>57</v>
      </c>
      <c r="D339" s="83" t="s">
        <v>1</v>
      </c>
      <c r="E339" s="144">
        <v>1.944444444444444</v>
      </c>
      <c r="F339" s="83" t="s">
        <v>167</v>
      </c>
      <c r="G339" s="85">
        <v>9</v>
      </c>
      <c r="H339" s="141">
        <v>439</v>
      </c>
      <c r="I339" s="2"/>
    </row>
    <row r="340" spans="1:9" ht="19.8" customHeight="1" x14ac:dyDescent="0.3">
      <c r="A340" s="143">
        <v>46018</v>
      </c>
      <c r="B340" s="83" t="s">
        <v>31</v>
      </c>
      <c r="C340" s="84" t="s">
        <v>32</v>
      </c>
      <c r="D340" s="83" t="s">
        <v>1</v>
      </c>
      <c r="E340" s="144">
        <v>1.836805555555556</v>
      </c>
      <c r="F340" s="83" t="s">
        <v>36</v>
      </c>
      <c r="G340" s="85">
        <v>9</v>
      </c>
      <c r="H340" s="141">
        <v>449</v>
      </c>
      <c r="I340" s="2"/>
    </row>
    <row r="341" spans="1:9" ht="19.8" customHeight="1" x14ac:dyDescent="0.3">
      <c r="A341" s="143">
        <v>46018</v>
      </c>
      <c r="B341" s="83" t="s">
        <v>31</v>
      </c>
      <c r="C341" s="84" t="s">
        <v>51</v>
      </c>
      <c r="D341" s="83" t="s">
        <v>1</v>
      </c>
      <c r="E341" s="144">
        <v>1.2013888888888891</v>
      </c>
      <c r="F341" s="83" t="s">
        <v>36</v>
      </c>
      <c r="G341" s="85">
        <v>9</v>
      </c>
      <c r="H341" s="141">
        <v>449</v>
      </c>
      <c r="I341" s="2"/>
    </row>
    <row r="342" spans="1:9" ht="19.8" customHeight="1" x14ac:dyDescent="0.3">
      <c r="A342" s="143">
        <v>46018</v>
      </c>
      <c r="B342" s="83" t="s">
        <v>46</v>
      </c>
      <c r="C342" s="84" t="s">
        <v>47</v>
      </c>
      <c r="D342" s="83" t="s">
        <v>1</v>
      </c>
      <c r="E342" s="144">
        <v>1.305555555555556</v>
      </c>
      <c r="F342" s="83" t="s">
        <v>88</v>
      </c>
      <c r="G342" s="85">
        <v>18</v>
      </c>
      <c r="H342" s="141">
        <v>459</v>
      </c>
      <c r="I342" s="2"/>
    </row>
    <row r="343" spans="1:9" ht="19.8" customHeight="1" x14ac:dyDescent="0.3">
      <c r="A343" s="143">
        <v>46018</v>
      </c>
      <c r="B343" s="83" t="s">
        <v>31</v>
      </c>
      <c r="C343" s="84" t="s">
        <v>32</v>
      </c>
      <c r="D343" s="83" t="s">
        <v>1</v>
      </c>
      <c r="E343" s="144">
        <v>1.836805555555556</v>
      </c>
      <c r="F343" s="83" t="s">
        <v>38</v>
      </c>
      <c r="G343" s="85">
        <v>9</v>
      </c>
      <c r="H343" s="141">
        <v>539</v>
      </c>
      <c r="I343" s="2"/>
    </row>
    <row r="344" spans="1:9" ht="19.8" customHeight="1" x14ac:dyDescent="0.3">
      <c r="A344" s="143">
        <v>46018</v>
      </c>
      <c r="B344" s="83" t="s">
        <v>31</v>
      </c>
      <c r="C344" s="84" t="s">
        <v>51</v>
      </c>
      <c r="D344" s="83" t="s">
        <v>1</v>
      </c>
      <c r="E344" s="144">
        <v>1.2013888888888891</v>
      </c>
      <c r="F344" s="83" t="s">
        <v>38</v>
      </c>
      <c r="G344" s="85">
        <v>9</v>
      </c>
      <c r="H344" s="141">
        <v>539</v>
      </c>
      <c r="I344" s="2"/>
    </row>
    <row r="345" spans="1:9" ht="19.8" customHeight="1" x14ac:dyDescent="0.3">
      <c r="A345" s="143">
        <v>46018</v>
      </c>
      <c r="B345" s="83" t="s">
        <v>76</v>
      </c>
      <c r="C345" s="84" t="s">
        <v>77</v>
      </c>
      <c r="D345" s="83" t="s">
        <v>1</v>
      </c>
      <c r="E345" s="144">
        <v>1.9722222222222221</v>
      </c>
      <c r="F345" s="83" t="s">
        <v>80</v>
      </c>
      <c r="G345" s="85">
        <v>9</v>
      </c>
      <c r="H345" s="141">
        <v>559</v>
      </c>
      <c r="I345" s="2"/>
    </row>
    <row r="346" spans="1:9" ht="19.8" customHeight="1" x14ac:dyDescent="0.3">
      <c r="A346" s="147">
        <v>46018</v>
      </c>
      <c r="B346" s="92" t="s">
        <v>64</v>
      </c>
      <c r="C346" s="93" t="s">
        <v>65</v>
      </c>
      <c r="D346" s="92" t="s">
        <v>1</v>
      </c>
      <c r="E346" s="148">
        <v>1.9236111111111109</v>
      </c>
      <c r="F346" s="92" t="s">
        <v>28</v>
      </c>
      <c r="G346" s="94">
        <v>9</v>
      </c>
      <c r="H346" s="142">
        <v>566</v>
      </c>
      <c r="I346" s="2"/>
    </row>
    <row r="347" spans="1:9" ht="19.8" customHeight="1" x14ac:dyDescent="0.3">
      <c r="A347" s="143">
        <v>46018</v>
      </c>
      <c r="B347" s="83" t="s">
        <v>46</v>
      </c>
      <c r="C347" s="84" t="s">
        <v>47</v>
      </c>
      <c r="D347" s="83" t="s">
        <v>1</v>
      </c>
      <c r="E347" s="144">
        <v>1.305555555555556</v>
      </c>
      <c r="F347" s="83" t="s">
        <v>80</v>
      </c>
      <c r="G347" s="85">
        <v>18</v>
      </c>
      <c r="H347" s="141">
        <v>899</v>
      </c>
      <c r="I347" s="2"/>
    </row>
    <row r="348" spans="1:9" ht="19.8" customHeight="1" x14ac:dyDescent="0.3">
      <c r="A348" s="145">
        <v>46018</v>
      </c>
      <c r="B348" s="87" t="s">
        <v>71</v>
      </c>
      <c r="C348" s="88" t="s">
        <v>72</v>
      </c>
      <c r="D348" s="87" t="s">
        <v>1</v>
      </c>
      <c r="E348" s="146">
        <v>1.305555555555556</v>
      </c>
      <c r="F348" s="87" t="s">
        <v>73</v>
      </c>
      <c r="G348" s="89">
        <v>4</v>
      </c>
      <c r="H348" s="90" t="s">
        <v>120</v>
      </c>
      <c r="I348" s="2"/>
    </row>
    <row r="349" spans="1:9" ht="19.8" customHeight="1" x14ac:dyDescent="0.3">
      <c r="A349" s="143">
        <v>46019</v>
      </c>
      <c r="B349" s="83" t="s">
        <v>46</v>
      </c>
      <c r="C349" s="84" t="s">
        <v>47</v>
      </c>
      <c r="D349" s="83" t="s">
        <v>1</v>
      </c>
      <c r="E349" s="144">
        <v>1.305555555555556</v>
      </c>
      <c r="F349" s="83" t="s">
        <v>85</v>
      </c>
      <c r="G349" s="85">
        <v>19</v>
      </c>
      <c r="H349" s="141">
        <v>309</v>
      </c>
      <c r="I349" s="2"/>
    </row>
    <row r="350" spans="1:9" ht="19.8" customHeight="1" x14ac:dyDescent="0.3">
      <c r="A350" s="143">
        <v>46019</v>
      </c>
      <c r="B350" s="83" t="s">
        <v>31</v>
      </c>
      <c r="C350" s="84" t="s">
        <v>32</v>
      </c>
      <c r="D350" s="83" t="s">
        <v>1</v>
      </c>
      <c r="E350" s="144">
        <v>1.850694444444444</v>
      </c>
      <c r="F350" s="83" t="s">
        <v>33</v>
      </c>
      <c r="G350" s="85">
        <v>7</v>
      </c>
      <c r="H350" s="141">
        <v>349</v>
      </c>
      <c r="I350" s="2"/>
    </row>
    <row r="351" spans="1:9" ht="19.8" customHeight="1" x14ac:dyDescent="0.3">
      <c r="A351" s="143">
        <v>46019</v>
      </c>
      <c r="B351" s="83" t="s">
        <v>40</v>
      </c>
      <c r="C351" s="84" t="s">
        <v>41</v>
      </c>
      <c r="D351" s="83" t="s">
        <v>1</v>
      </c>
      <c r="E351" s="144">
        <v>1.864583333333333</v>
      </c>
      <c r="F351" s="83" t="s">
        <v>61</v>
      </c>
      <c r="G351" s="85">
        <v>9</v>
      </c>
      <c r="H351" s="141">
        <v>411</v>
      </c>
      <c r="I351" s="2"/>
    </row>
    <row r="352" spans="1:9" ht="19.8" customHeight="1" x14ac:dyDescent="0.3">
      <c r="A352" s="143">
        <v>46019</v>
      </c>
      <c r="B352" s="83" t="s">
        <v>40</v>
      </c>
      <c r="C352" s="84" t="s">
        <v>44</v>
      </c>
      <c r="D352" s="83" t="s">
        <v>1</v>
      </c>
      <c r="E352" s="144">
        <v>1.5277777777777779</v>
      </c>
      <c r="F352" s="83" t="s">
        <v>61</v>
      </c>
      <c r="G352" s="85">
        <v>9</v>
      </c>
      <c r="H352" s="141">
        <v>411</v>
      </c>
      <c r="I352" s="2"/>
    </row>
    <row r="353" spans="1:9" ht="19.8" customHeight="1" x14ac:dyDescent="0.3">
      <c r="A353" s="143">
        <v>46019</v>
      </c>
      <c r="B353" s="83" t="s">
        <v>40</v>
      </c>
      <c r="C353" s="84" t="s">
        <v>60</v>
      </c>
      <c r="D353" s="83" t="s">
        <v>1</v>
      </c>
      <c r="E353" s="144">
        <v>1.1701388888888891</v>
      </c>
      <c r="F353" s="83" t="s">
        <v>61</v>
      </c>
      <c r="G353" s="85">
        <v>9</v>
      </c>
      <c r="H353" s="141">
        <v>411</v>
      </c>
      <c r="I353" s="2"/>
    </row>
    <row r="354" spans="1:9" ht="19.8" customHeight="1" x14ac:dyDescent="0.3">
      <c r="A354" s="143">
        <v>46019</v>
      </c>
      <c r="B354" s="83" t="s">
        <v>26</v>
      </c>
      <c r="C354" s="84" t="s">
        <v>99</v>
      </c>
      <c r="D354" s="83" t="s">
        <v>1</v>
      </c>
      <c r="E354" s="144">
        <v>1.958333333333333</v>
      </c>
      <c r="F354" s="83" t="s">
        <v>167</v>
      </c>
      <c r="G354" s="85">
        <v>9</v>
      </c>
      <c r="H354" s="141">
        <v>439</v>
      </c>
      <c r="I354" s="2"/>
    </row>
    <row r="355" spans="1:9" ht="19.8" customHeight="1" x14ac:dyDescent="0.3">
      <c r="A355" s="143">
        <v>46019</v>
      </c>
      <c r="B355" s="83" t="s">
        <v>31</v>
      </c>
      <c r="C355" s="84" t="s">
        <v>32</v>
      </c>
      <c r="D355" s="83" t="s">
        <v>1</v>
      </c>
      <c r="E355" s="144">
        <v>1.850694444444444</v>
      </c>
      <c r="F355" s="83" t="s">
        <v>36</v>
      </c>
      <c r="G355" s="85">
        <v>7</v>
      </c>
      <c r="H355" s="141">
        <v>449</v>
      </c>
      <c r="I355" s="2"/>
    </row>
    <row r="356" spans="1:9" ht="19.8" customHeight="1" x14ac:dyDescent="0.3">
      <c r="A356" s="143">
        <v>46019</v>
      </c>
      <c r="B356" s="83" t="s">
        <v>46</v>
      </c>
      <c r="C356" s="84" t="s">
        <v>47</v>
      </c>
      <c r="D356" s="83" t="s">
        <v>1</v>
      </c>
      <c r="E356" s="144">
        <v>1.305555555555556</v>
      </c>
      <c r="F356" s="83" t="s">
        <v>88</v>
      </c>
      <c r="G356" s="85">
        <v>19</v>
      </c>
      <c r="H356" s="141">
        <v>459</v>
      </c>
      <c r="I356" s="2"/>
    </row>
    <row r="357" spans="1:9" ht="19.8" customHeight="1" x14ac:dyDescent="0.3">
      <c r="A357" s="143">
        <v>46019</v>
      </c>
      <c r="B357" s="83" t="s">
        <v>31</v>
      </c>
      <c r="C357" s="84" t="s">
        <v>32</v>
      </c>
      <c r="D357" s="83" t="s">
        <v>1</v>
      </c>
      <c r="E357" s="144">
        <v>1.850694444444444</v>
      </c>
      <c r="F357" s="83" t="s">
        <v>38</v>
      </c>
      <c r="G357" s="85">
        <v>7</v>
      </c>
      <c r="H357" s="141">
        <v>539</v>
      </c>
      <c r="I357" s="2"/>
    </row>
    <row r="358" spans="1:9" ht="19.8" customHeight="1" x14ac:dyDescent="0.3">
      <c r="A358" s="143">
        <v>46019</v>
      </c>
      <c r="B358" s="83" t="s">
        <v>46</v>
      </c>
      <c r="C358" s="84" t="s">
        <v>47</v>
      </c>
      <c r="D358" s="83" t="s">
        <v>1</v>
      </c>
      <c r="E358" s="144">
        <v>1.305555555555556</v>
      </c>
      <c r="F358" s="83" t="s">
        <v>80</v>
      </c>
      <c r="G358" s="85">
        <v>19</v>
      </c>
      <c r="H358" s="141">
        <v>899</v>
      </c>
      <c r="I358" s="2"/>
    </row>
    <row r="359" spans="1:9" ht="19.8" customHeight="1" x14ac:dyDescent="0.3">
      <c r="A359" s="145">
        <v>46019</v>
      </c>
      <c r="B359" s="87" t="s">
        <v>71</v>
      </c>
      <c r="C359" s="88" t="s">
        <v>72</v>
      </c>
      <c r="D359" s="87" t="s">
        <v>1</v>
      </c>
      <c r="E359" s="146">
        <v>1.305555555555556</v>
      </c>
      <c r="F359" s="87" t="s">
        <v>73</v>
      </c>
      <c r="G359" s="89">
        <v>4</v>
      </c>
      <c r="H359" s="90" t="s">
        <v>120</v>
      </c>
      <c r="I359" s="2"/>
    </row>
    <row r="360" spans="1:9" ht="19.8" customHeight="1" x14ac:dyDescent="0.3">
      <c r="A360" s="143">
        <v>46020</v>
      </c>
      <c r="B360" s="83" t="s">
        <v>46</v>
      </c>
      <c r="C360" s="84" t="s">
        <v>47</v>
      </c>
      <c r="D360" s="83" t="s">
        <v>1</v>
      </c>
      <c r="E360" s="144">
        <v>1.305555555555556</v>
      </c>
      <c r="F360" s="83" t="s">
        <v>85</v>
      </c>
      <c r="G360" s="85">
        <v>16</v>
      </c>
      <c r="H360" s="141">
        <v>309</v>
      </c>
      <c r="I360" s="2"/>
    </row>
    <row r="361" spans="1:9" ht="19.8" customHeight="1" x14ac:dyDescent="0.3">
      <c r="A361" s="143">
        <v>46020</v>
      </c>
      <c r="B361" s="83" t="s">
        <v>31</v>
      </c>
      <c r="C361" s="84" t="s">
        <v>32</v>
      </c>
      <c r="D361" s="83" t="s">
        <v>1</v>
      </c>
      <c r="E361" s="144">
        <v>1.836805555555556</v>
      </c>
      <c r="F361" s="83" t="s">
        <v>33</v>
      </c>
      <c r="G361" s="85">
        <v>9</v>
      </c>
      <c r="H361" s="141">
        <v>349</v>
      </c>
      <c r="I361" s="2"/>
    </row>
    <row r="362" spans="1:9" ht="19.8" customHeight="1" x14ac:dyDescent="0.3">
      <c r="A362" s="143">
        <v>46020</v>
      </c>
      <c r="B362" s="83" t="s">
        <v>31</v>
      </c>
      <c r="C362" s="84" t="s">
        <v>51</v>
      </c>
      <c r="D362" s="83" t="s">
        <v>1</v>
      </c>
      <c r="E362" s="144">
        <v>1.2013888888888891</v>
      </c>
      <c r="F362" s="83" t="s">
        <v>33</v>
      </c>
      <c r="G362" s="85">
        <v>9</v>
      </c>
      <c r="H362" s="141">
        <v>349</v>
      </c>
      <c r="I362" s="2"/>
    </row>
    <row r="363" spans="1:9" ht="19.8" customHeight="1" x14ac:dyDescent="0.3">
      <c r="A363" s="143">
        <v>46020</v>
      </c>
      <c r="B363" s="83" t="s">
        <v>40</v>
      </c>
      <c r="C363" s="84" t="s">
        <v>41</v>
      </c>
      <c r="D363" s="83" t="s">
        <v>1</v>
      </c>
      <c r="E363" s="144">
        <v>1.864583333333333</v>
      </c>
      <c r="F363" s="83" t="s">
        <v>61</v>
      </c>
      <c r="G363" s="85">
        <v>9</v>
      </c>
      <c r="H363" s="141">
        <v>411</v>
      </c>
      <c r="I363" s="2"/>
    </row>
    <row r="364" spans="1:9" ht="19.8" customHeight="1" x14ac:dyDescent="0.3">
      <c r="A364" s="143">
        <v>46020</v>
      </c>
      <c r="B364" s="83" t="s">
        <v>40</v>
      </c>
      <c r="C364" s="84" t="s">
        <v>44</v>
      </c>
      <c r="D364" s="83" t="s">
        <v>1</v>
      </c>
      <c r="E364" s="144">
        <v>1.5277777777777779</v>
      </c>
      <c r="F364" s="83" t="s">
        <v>61</v>
      </c>
      <c r="G364" s="85">
        <v>9</v>
      </c>
      <c r="H364" s="141">
        <v>411</v>
      </c>
      <c r="I364" s="2"/>
    </row>
    <row r="365" spans="1:9" ht="19.8" customHeight="1" x14ac:dyDescent="0.3">
      <c r="A365" s="143">
        <v>46020</v>
      </c>
      <c r="B365" s="83" t="s">
        <v>40</v>
      </c>
      <c r="C365" s="84" t="s">
        <v>60</v>
      </c>
      <c r="D365" s="83" t="s">
        <v>1</v>
      </c>
      <c r="E365" s="144">
        <v>1.1701388888888891</v>
      </c>
      <c r="F365" s="83" t="s">
        <v>61</v>
      </c>
      <c r="G365" s="85">
        <v>9</v>
      </c>
      <c r="H365" s="141">
        <v>411</v>
      </c>
      <c r="I365" s="2"/>
    </row>
    <row r="366" spans="1:9" ht="19.8" customHeight="1" x14ac:dyDescent="0.3">
      <c r="A366" s="143">
        <v>46020</v>
      </c>
      <c r="B366" s="83" t="s">
        <v>82</v>
      </c>
      <c r="C366" s="84" t="s">
        <v>161</v>
      </c>
      <c r="D366" s="83" t="s">
        <v>1</v>
      </c>
      <c r="E366" s="144">
        <v>1.1284722222222221</v>
      </c>
      <c r="F366" s="83" t="s">
        <v>167</v>
      </c>
      <c r="G366" s="85">
        <v>3</v>
      </c>
      <c r="H366" s="141">
        <v>425</v>
      </c>
      <c r="I366" s="2"/>
    </row>
    <row r="367" spans="1:9" ht="19.8" customHeight="1" x14ac:dyDescent="0.3">
      <c r="A367" s="143">
        <v>46020</v>
      </c>
      <c r="B367" s="83" t="s">
        <v>26</v>
      </c>
      <c r="C367" s="84" t="s">
        <v>27</v>
      </c>
      <c r="D367" s="83" t="s">
        <v>1</v>
      </c>
      <c r="E367" s="144">
        <v>1.958333333333333</v>
      </c>
      <c r="F367" s="83" t="s">
        <v>167</v>
      </c>
      <c r="G367" s="85">
        <v>9</v>
      </c>
      <c r="H367" s="141">
        <v>439</v>
      </c>
      <c r="I367" s="2"/>
    </row>
    <row r="368" spans="1:9" ht="19.8" customHeight="1" x14ac:dyDescent="0.3">
      <c r="A368" s="143">
        <v>46020</v>
      </c>
      <c r="B368" s="83" t="s">
        <v>31</v>
      </c>
      <c r="C368" s="84" t="s">
        <v>32</v>
      </c>
      <c r="D368" s="83" t="s">
        <v>1</v>
      </c>
      <c r="E368" s="144">
        <v>1.836805555555556</v>
      </c>
      <c r="F368" s="83" t="s">
        <v>36</v>
      </c>
      <c r="G368" s="85">
        <v>9</v>
      </c>
      <c r="H368" s="141">
        <v>449</v>
      </c>
      <c r="I368" s="2"/>
    </row>
    <row r="369" spans="1:9" ht="19.8" customHeight="1" x14ac:dyDescent="0.3">
      <c r="A369" s="143">
        <v>46020</v>
      </c>
      <c r="B369" s="83" t="s">
        <v>31</v>
      </c>
      <c r="C369" s="84" t="s">
        <v>51</v>
      </c>
      <c r="D369" s="83" t="s">
        <v>1</v>
      </c>
      <c r="E369" s="144">
        <v>1.2013888888888891</v>
      </c>
      <c r="F369" s="83" t="s">
        <v>36</v>
      </c>
      <c r="G369" s="85">
        <v>9</v>
      </c>
      <c r="H369" s="141">
        <v>449</v>
      </c>
      <c r="I369" s="2"/>
    </row>
    <row r="370" spans="1:9" ht="19.8" customHeight="1" x14ac:dyDescent="0.3">
      <c r="A370" s="143">
        <v>46020</v>
      </c>
      <c r="B370" s="83" t="s">
        <v>46</v>
      </c>
      <c r="C370" s="84" t="s">
        <v>47</v>
      </c>
      <c r="D370" s="83" t="s">
        <v>1</v>
      </c>
      <c r="E370" s="144">
        <v>1.305555555555556</v>
      </c>
      <c r="F370" s="83" t="s">
        <v>88</v>
      </c>
      <c r="G370" s="85">
        <v>16</v>
      </c>
      <c r="H370" s="141">
        <v>459</v>
      </c>
      <c r="I370" s="2"/>
    </row>
    <row r="371" spans="1:9" ht="19.8" customHeight="1" x14ac:dyDescent="0.3">
      <c r="A371" s="143">
        <v>46020</v>
      </c>
      <c r="B371" s="83" t="s">
        <v>31</v>
      </c>
      <c r="C371" s="84" t="s">
        <v>32</v>
      </c>
      <c r="D371" s="83" t="s">
        <v>1</v>
      </c>
      <c r="E371" s="144">
        <v>1.836805555555556</v>
      </c>
      <c r="F371" s="83" t="s">
        <v>38</v>
      </c>
      <c r="G371" s="85">
        <v>9</v>
      </c>
      <c r="H371" s="141">
        <v>539</v>
      </c>
      <c r="I371" s="2"/>
    </row>
    <row r="372" spans="1:9" ht="19.8" customHeight="1" x14ac:dyDescent="0.3">
      <c r="A372" s="143">
        <v>46020</v>
      </c>
      <c r="B372" s="83" t="s">
        <v>31</v>
      </c>
      <c r="C372" s="84" t="s">
        <v>51</v>
      </c>
      <c r="D372" s="83" t="s">
        <v>1</v>
      </c>
      <c r="E372" s="144">
        <v>1.2013888888888891</v>
      </c>
      <c r="F372" s="83" t="s">
        <v>38</v>
      </c>
      <c r="G372" s="85">
        <v>9</v>
      </c>
      <c r="H372" s="141">
        <v>539</v>
      </c>
      <c r="I372" s="2"/>
    </row>
    <row r="373" spans="1:9" ht="19.8" customHeight="1" x14ac:dyDescent="0.3">
      <c r="A373" s="143">
        <v>46020</v>
      </c>
      <c r="B373" s="83" t="s">
        <v>46</v>
      </c>
      <c r="C373" s="84" t="s">
        <v>47</v>
      </c>
      <c r="D373" s="83" t="s">
        <v>1</v>
      </c>
      <c r="E373" s="144">
        <v>1.305555555555556</v>
      </c>
      <c r="F373" s="83" t="s">
        <v>80</v>
      </c>
      <c r="G373" s="85">
        <v>16</v>
      </c>
      <c r="H373" s="141">
        <v>899</v>
      </c>
      <c r="I373" s="2"/>
    </row>
    <row r="374" spans="1:9" ht="19.8" customHeight="1" x14ac:dyDescent="0.3">
      <c r="A374" s="145">
        <v>46020</v>
      </c>
      <c r="B374" s="87" t="s">
        <v>71</v>
      </c>
      <c r="C374" s="88" t="s">
        <v>72</v>
      </c>
      <c r="D374" s="87" t="s">
        <v>1</v>
      </c>
      <c r="E374" s="146">
        <v>1.305555555555556</v>
      </c>
      <c r="F374" s="87" t="s">
        <v>73</v>
      </c>
      <c r="G374" s="89">
        <v>4</v>
      </c>
      <c r="H374" s="90" t="s">
        <v>120</v>
      </c>
      <c r="I374" s="2"/>
    </row>
    <row r="375" spans="1:9" ht="19.8" customHeight="1" x14ac:dyDescent="0.3">
      <c r="A375" s="143">
        <v>46021</v>
      </c>
      <c r="B375" s="83" t="s">
        <v>46</v>
      </c>
      <c r="C375" s="84" t="s">
        <v>47</v>
      </c>
      <c r="D375" s="83" t="s">
        <v>1</v>
      </c>
      <c r="E375" s="144">
        <v>1.305555555555556</v>
      </c>
      <c r="F375" s="83" t="s">
        <v>85</v>
      </c>
      <c r="G375" s="85">
        <v>12</v>
      </c>
      <c r="H375" s="141">
        <v>309</v>
      </c>
      <c r="I375" s="2"/>
    </row>
    <row r="376" spans="1:9" ht="19.8" customHeight="1" x14ac:dyDescent="0.3">
      <c r="A376" s="143">
        <v>46021</v>
      </c>
      <c r="B376" s="83" t="s">
        <v>31</v>
      </c>
      <c r="C376" s="84" t="s">
        <v>51</v>
      </c>
      <c r="D376" s="83" t="s">
        <v>1</v>
      </c>
      <c r="E376" s="144">
        <v>1.2013888888888891</v>
      </c>
      <c r="F376" s="83" t="s">
        <v>33</v>
      </c>
      <c r="G376" s="85">
        <v>3</v>
      </c>
      <c r="H376" s="141">
        <v>349</v>
      </c>
      <c r="I376" s="2"/>
    </row>
    <row r="377" spans="1:9" ht="19.8" customHeight="1" x14ac:dyDescent="0.3">
      <c r="A377" s="143">
        <v>46021</v>
      </c>
      <c r="B377" s="83" t="s">
        <v>31</v>
      </c>
      <c r="C377" s="84" t="s">
        <v>32</v>
      </c>
      <c r="D377" s="83" t="s">
        <v>1</v>
      </c>
      <c r="E377" s="144">
        <v>1.836805555555556</v>
      </c>
      <c r="F377" s="83" t="s">
        <v>33</v>
      </c>
      <c r="G377" s="85">
        <v>7</v>
      </c>
      <c r="H377" s="141">
        <v>409</v>
      </c>
      <c r="I377" s="2"/>
    </row>
    <row r="378" spans="1:9" ht="19.8" customHeight="1" x14ac:dyDescent="0.3">
      <c r="A378" s="143">
        <v>46021</v>
      </c>
      <c r="B378" s="83" t="s">
        <v>40</v>
      </c>
      <c r="C378" s="84" t="s">
        <v>41</v>
      </c>
      <c r="D378" s="83" t="s">
        <v>1</v>
      </c>
      <c r="E378" s="144">
        <v>1.864583333333333</v>
      </c>
      <c r="F378" s="83" t="s">
        <v>61</v>
      </c>
      <c r="G378" s="85">
        <v>9</v>
      </c>
      <c r="H378" s="141">
        <v>411</v>
      </c>
      <c r="I378" s="2"/>
    </row>
    <row r="379" spans="1:9" ht="19.8" customHeight="1" x14ac:dyDescent="0.3">
      <c r="A379" s="143">
        <v>46021</v>
      </c>
      <c r="B379" s="83" t="s">
        <v>40</v>
      </c>
      <c r="C379" s="84" t="s">
        <v>44</v>
      </c>
      <c r="D379" s="83" t="s">
        <v>1</v>
      </c>
      <c r="E379" s="144">
        <v>1.5277777777777779</v>
      </c>
      <c r="F379" s="83" t="s">
        <v>61</v>
      </c>
      <c r="G379" s="85">
        <v>9</v>
      </c>
      <c r="H379" s="141">
        <v>411</v>
      </c>
      <c r="I379" s="2"/>
    </row>
    <row r="380" spans="1:9" ht="19.8" customHeight="1" x14ac:dyDescent="0.3">
      <c r="A380" s="143">
        <v>46021</v>
      </c>
      <c r="B380" s="83" t="s">
        <v>40</v>
      </c>
      <c r="C380" s="84" t="s">
        <v>60</v>
      </c>
      <c r="D380" s="83" t="s">
        <v>1</v>
      </c>
      <c r="E380" s="144">
        <v>1.1701388888888891</v>
      </c>
      <c r="F380" s="83" t="s">
        <v>61</v>
      </c>
      <c r="G380" s="85">
        <v>9</v>
      </c>
      <c r="H380" s="141">
        <v>411</v>
      </c>
      <c r="I380" s="2"/>
    </row>
    <row r="381" spans="1:9" ht="19.8" customHeight="1" x14ac:dyDescent="0.3">
      <c r="A381" s="143">
        <v>46021</v>
      </c>
      <c r="B381" s="83" t="s">
        <v>26</v>
      </c>
      <c r="C381" s="84" t="s">
        <v>57</v>
      </c>
      <c r="D381" s="83" t="s">
        <v>1</v>
      </c>
      <c r="E381" s="144">
        <v>1.958333333333333</v>
      </c>
      <c r="F381" s="83" t="s">
        <v>167</v>
      </c>
      <c r="G381" s="85">
        <v>9</v>
      </c>
      <c r="H381" s="141">
        <v>439</v>
      </c>
      <c r="I381" s="2"/>
    </row>
    <row r="382" spans="1:9" ht="19.8" customHeight="1" x14ac:dyDescent="0.3">
      <c r="A382" s="143">
        <v>46021</v>
      </c>
      <c r="B382" s="83" t="s">
        <v>31</v>
      </c>
      <c r="C382" s="84" t="s">
        <v>51</v>
      </c>
      <c r="D382" s="83" t="s">
        <v>1</v>
      </c>
      <c r="E382" s="144">
        <v>1.2013888888888891</v>
      </c>
      <c r="F382" s="83" t="s">
        <v>36</v>
      </c>
      <c r="G382" s="85">
        <v>3</v>
      </c>
      <c r="H382" s="141">
        <v>449</v>
      </c>
      <c r="I382" s="2"/>
    </row>
    <row r="383" spans="1:9" ht="19.8" customHeight="1" x14ac:dyDescent="0.3">
      <c r="A383" s="143">
        <v>46021</v>
      </c>
      <c r="B383" s="83" t="s">
        <v>46</v>
      </c>
      <c r="C383" s="84" t="s">
        <v>47</v>
      </c>
      <c r="D383" s="83" t="s">
        <v>1</v>
      </c>
      <c r="E383" s="144">
        <v>1.305555555555556</v>
      </c>
      <c r="F383" s="83" t="s">
        <v>88</v>
      </c>
      <c r="G383" s="85">
        <v>12</v>
      </c>
      <c r="H383" s="141">
        <v>459</v>
      </c>
      <c r="I383" s="2"/>
    </row>
    <row r="384" spans="1:9" ht="19.8" customHeight="1" x14ac:dyDescent="0.3">
      <c r="A384" s="143">
        <v>46021</v>
      </c>
      <c r="B384" s="83" t="s">
        <v>31</v>
      </c>
      <c r="C384" s="84" t="s">
        <v>32</v>
      </c>
      <c r="D384" s="83" t="s">
        <v>1</v>
      </c>
      <c r="E384" s="144">
        <v>1.836805555555556</v>
      </c>
      <c r="F384" s="83" t="s">
        <v>36</v>
      </c>
      <c r="G384" s="85">
        <v>7</v>
      </c>
      <c r="H384" s="141">
        <v>509</v>
      </c>
      <c r="I384" s="2"/>
    </row>
    <row r="385" spans="1:9" ht="19.8" customHeight="1" x14ac:dyDescent="0.3">
      <c r="A385" s="143">
        <v>46021</v>
      </c>
      <c r="B385" s="83" t="s">
        <v>31</v>
      </c>
      <c r="C385" s="84" t="s">
        <v>51</v>
      </c>
      <c r="D385" s="83" t="s">
        <v>1</v>
      </c>
      <c r="E385" s="144">
        <v>1.2013888888888891</v>
      </c>
      <c r="F385" s="83" t="s">
        <v>38</v>
      </c>
      <c r="G385" s="85">
        <v>3</v>
      </c>
      <c r="H385" s="141">
        <v>539</v>
      </c>
      <c r="I385" s="2"/>
    </row>
    <row r="386" spans="1:9" ht="19.8" customHeight="1" x14ac:dyDescent="0.3">
      <c r="A386" s="143">
        <v>46021</v>
      </c>
      <c r="B386" s="83" t="s">
        <v>31</v>
      </c>
      <c r="C386" s="84" t="s">
        <v>32</v>
      </c>
      <c r="D386" s="83" t="s">
        <v>1</v>
      </c>
      <c r="E386" s="144">
        <v>1.836805555555556</v>
      </c>
      <c r="F386" s="83" t="s">
        <v>38</v>
      </c>
      <c r="G386" s="85">
        <v>7</v>
      </c>
      <c r="H386" s="141">
        <v>599</v>
      </c>
      <c r="I386" s="2"/>
    </row>
    <row r="387" spans="1:9" ht="19.8" customHeight="1" x14ac:dyDescent="0.3">
      <c r="A387" s="147">
        <v>46021</v>
      </c>
      <c r="B387" s="92" t="s">
        <v>64</v>
      </c>
      <c r="C387" s="93" t="s">
        <v>65</v>
      </c>
      <c r="D387" s="92" t="s">
        <v>1</v>
      </c>
      <c r="E387" s="148">
        <v>1.270833333333333</v>
      </c>
      <c r="F387" s="92" t="s">
        <v>28</v>
      </c>
      <c r="G387" s="94">
        <v>9</v>
      </c>
      <c r="H387" s="142">
        <v>716</v>
      </c>
      <c r="I387" s="2"/>
    </row>
    <row r="388" spans="1:9" ht="19.8" customHeight="1" x14ac:dyDescent="0.3">
      <c r="A388" s="143">
        <v>46021</v>
      </c>
      <c r="B388" s="83" t="s">
        <v>46</v>
      </c>
      <c r="C388" s="84" t="s">
        <v>47</v>
      </c>
      <c r="D388" s="83" t="s">
        <v>1</v>
      </c>
      <c r="E388" s="144">
        <v>1.305555555555556</v>
      </c>
      <c r="F388" s="83" t="s">
        <v>80</v>
      </c>
      <c r="G388" s="85">
        <v>12</v>
      </c>
      <c r="H388" s="141">
        <v>899</v>
      </c>
      <c r="I388" s="2"/>
    </row>
    <row r="389" spans="1:9" ht="19.8" customHeight="1" x14ac:dyDescent="0.3">
      <c r="A389" s="145">
        <v>46021</v>
      </c>
      <c r="B389" s="87" t="s">
        <v>71</v>
      </c>
      <c r="C389" s="88" t="s">
        <v>72</v>
      </c>
      <c r="D389" s="87" t="s">
        <v>1</v>
      </c>
      <c r="E389" s="146">
        <v>1.305555555555556</v>
      </c>
      <c r="F389" s="87" t="s">
        <v>73</v>
      </c>
      <c r="G389" s="89">
        <v>4</v>
      </c>
      <c r="H389" s="90" t="s">
        <v>120</v>
      </c>
      <c r="I389" s="2"/>
    </row>
    <row r="390" spans="1:9" ht="19.8" customHeight="1" x14ac:dyDescent="0.3">
      <c r="A390" s="143">
        <v>46022</v>
      </c>
      <c r="B390" s="83" t="s">
        <v>76</v>
      </c>
      <c r="C390" s="84" t="s">
        <v>77</v>
      </c>
      <c r="D390" s="83" t="s">
        <v>1</v>
      </c>
      <c r="E390" s="144">
        <v>1.9722222222222221</v>
      </c>
      <c r="F390" s="83" t="s">
        <v>78</v>
      </c>
      <c r="G390" s="85">
        <v>9</v>
      </c>
      <c r="H390" s="141">
        <v>348</v>
      </c>
      <c r="I390" s="2"/>
    </row>
    <row r="391" spans="1:9" ht="19.8" customHeight="1" x14ac:dyDescent="0.3">
      <c r="A391" s="143">
        <v>46022</v>
      </c>
      <c r="B391" s="83" t="s">
        <v>46</v>
      </c>
      <c r="C391" s="84" t="s">
        <v>47</v>
      </c>
      <c r="D391" s="83" t="s">
        <v>1</v>
      </c>
      <c r="E391" s="144">
        <v>1.305555555555556</v>
      </c>
      <c r="F391" s="83" t="s">
        <v>85</v>
      </c>
      <c r="G391" s="85">
        <v>20</v>
      </c>
      <c r="H391" s="141">
        <v>369</v>
      </c>
      <c r="I391" s="2"/>
    </row>
    <row r="392" spans="1:9" ht="19.8" customHeight="1" x14ac:dyDescent="0.3">
      <c r="A392" s="143">
        <v>46022</v>
      </c>
      <c r="B392" s="83" t="s">
        <v>40</v>
      </c>
      <c r="C392" s="84" t="s">
        <v>41</v>
      </c>
      <c r="D392" s="83" t="s">
        <v>1</v>
      </c>
      <c r="E392" s="144">
        <v>1.864583333333333</v>
      </c>
      <c r="F392" s="83" t="s">
        <v>61</v>
      </c>
      <c r="G392" s="85">
        <v>9</v>
      </c>
      <c r="H392" s="141">
        <v>411</v>
      </c>
      <c r="I392" s="2"/>
    </row>
    <row r="393" spans="1:9" ht="19.8" customHeight="1" x14ac:dyDescent="0.3">
      <c r="A393" s="143">
        <v>46022</v>
      </c>
      <c r="B393" s="83" t="s">
        <v>40</v>
      </c>
      <c r="C393" s="84" t="s">
        <v>44</v>
      </c>
      <c r="D393" s="83" t="s">
        <v>1</v>
      </c>
      <c r="E393" s="144">
        <v>1.5277777777777779</v>
      </c>
      <c r="F393" s="83" t="s">
        <v>61</v>
      </c>
      <c r="G393" s="85">
        <v>9</v>
      </c>
      <c r="H393" s="141">
        <v>411</v>
      </c>
      <c r="I393" s="2"/>
    </row>
    <row r="394" spans="1:9" ht="19.8" customHeight="1" x14ac:dyDescent="0.3">
      <c r="A394" s="143">
        <v>46022</v>
      </c>
      <c r="B394" s="83" t="s">
        <v>40</v>
      </c>
      <c r="C394" s="84" t="s">
        <v>60</v>
      </c>
      <c r="D394" s="83" t="s">
        <v>1</v>
      </c>
      <c r="E394" s="144">
        <v>1.1701388888888891</v>
      </c>
      <c r="F394" s="83" t="s">
        <v>61</v>
      </c>
      <c r="G394" s="85">
        <v>9</v>
      </c>
      <c r="H394" s="141">
        <v>411</v>
      </c>
      <c r="I394" s="2"/>
    </row>
    <row r="395" spans="1:9" ht="19.8" customHeight="1" x14ac:dyDescent="0.3">
      <c r="A395" s="143">
        <v>46022</v>
      </c>
      <c r="B395" s="83" t="s">
        <v>31</v>
      </c>
      <c r="C395" s="84" t="s">
        <v>32</v>
      </c>
      <c r="D395" s="83" t="s">
        <v>1</v>
      </c>
      <c r="E395" s="144">
        <v>1.850694444444444</v>
      </c>
      <c r="F395" s="83" t="s">
        <v>33</v>
      </c>
      <c r="G395" s="85">
        <v>6</v>
      </c>
      <c r="H395" s="141">
        <v>439</v>
      </c>
      <c r="I395" s="2"/>
    </row>
    <row r="396" spans="1:9" ht="19.8" customHeight="1" x14ac:dyDescent="0.3">
      <c r="A396" s="143">
        <v>46022</v>
      </c>
      <c r="B396" s="83" t="s">
        <v>26</v>
      </c>
      <c r="C396" s="84" t="s">
        <v>27</v>
      </c>
      <c r="D396" s="83" t="s">
        <v>1</v>
      </c>
      <c r="E396" s="144">
        <v>1.895833333333333</v>
      </c>
      <c r="F396" s="83" t="s">
        <v>167</v>
      </c>
      <c r="G396" s="85">
        <v>9</v>
      </c>
      <c r="H396" s="141">
        <v>439</v>
      </c>
      <c r="I396" s="2"/>
    </row>
    <row r="397" spans="1:9" ht="19.8" customHeight="1" x14ac:dyDescent="0.3">
      <c r="A397" s="143">
        <v>46022</v>
      </c>
      <c r="B397" s="83" t="s">
        <v>82</v>
      </c>
      <c r="C397" s="84" t="s">
        <v>83</v>
      </c>
      <c r="D397" s="83" t="s">
        <v>1</v>
      </c>
      <c r="E397" s="144">
        <v>1.0902777777777779</v>
      </c>
      <c r="F397" s="83" t="s">
        <v>167</v>
      </c>
      <c r="G397" s="85">
        <v>8</v>
      </c>
      <c r="H397" s="141">
        <v>500</v>
      </c>
      <c r="I397" s="2"/>
    </row>
    <row r="398" spans="1:9" ht="19.8" customHeight="1" x14ac:dyDescent="0.3">
      <c r="A398" s="143">
        <v>46022</v>
      </c>
      <c r="B398" s="83" t="s">
        <v>46</v>
      </c>
      <c r="C398" s="84" t="s">
        <v>47</v>
      </c>
      <c r="D398" s="83" t="s">
        <v>1</v>
      </c>
      <c r="E398" s="144">
        <v>1.305555555555556</v>
      </c>
      <c r="F398" s="83" t="s">
        <v>88</v>
      </c>
      <c r="G398" s="85">
        <v>20</v>
      </c>
      <c r="H398" s="141">
        <v>519</v>
      </c>
      <c r="I398" s="2"/>
    </row>
    <row r="399" spans="1:9" ht="19.8" customHeight="1" x14ac:dyDescent="0.3">
      <c r="A399" s="143">
        <v>46022</v>
      </c>
      <c r="B399" s="83" t="s">
        <v>31</v>
      </c>
      <c r="C399" s="84" t="s">
        <v>32</v>
      </c>
      <c r="D399" s="83" t="s">
        <v>1</v>
      </c>
      <c r="E399" s="144">
        <v>1.850694444444444</v>
      </c>
      <c r="F399" s="83" t="s">
        <v>36</v>
      </c>
      <c r="G399" s="85">
        <v>6</v>
      </c>
      <c r="H399" s="141">
        <v>539</v>
      </c>
      <c r="I399" s="2"/>
    </row>
    <row r="400" spans="1:9" ht="19.8" customHeight="1" x14ac:dyDescent="0.3">
      <c r="A400" s="143">
        <v>46022</v>
      </c>
      <c r="B400" s="83" t="s">
        <v>76</v>
      </c>
      <c r="C400" s="84" t="s">
        <v>77</v>
      </c>
      <c r="D400" s="83" t="s">
        <v>1</v>
      </c>
      <c r="E400" s="144">
        <v>1.9722222222222221</v>
      </c>
      <c r="F400" s="83" t="s">
        <v>80</v>
      </c>
      <c r="G400" s="85">
        <v>9</v>
      </c>
      <c r="H400" s="141">
        <v>554</v>
      </c>
      <c r="I400" s="2"/>
    </row>
    <row r="401" spans="1:9" ht="19.8" customHeight="1" x14ac:dyDescent="0.3">
      <c r="A401" s="143">
        <v>46022</v>
      </c>
      <c r="B401" s="83" t="s">
        <v>31</v>
      </c>
      <c r="C401" s="84" t="s">
        <v>32</v>
      </c>
      <c r="D401" s="83" t="s">
        <v>1</v>
      </c>
      <c r="E401" s="144">
        <v>1.850694444444444</v>
      </c>
      <c r="F401" s="83" t="s">
        <v>38</v>
      </c>
      <c r="G401" s="85">
        <v>6</v>
      </c>
      <c r="H401" s="141">
        <v>629</v>
      </c>
      <c r="I401" s="2"/>
    </row>
    <row r="402" spans="1:9" ht="19.8" customHeight="1" x14ac:dyDescent="0.3">
      <c r="A402" s="143">
        <v>46022</v>
      </c>
      <c r="B402" s="83" t="s">
        <v>46</v>
      </c>
      <c r="C402" s="84" t="s">
        <v>47</v>
      </c>
      <c r="D402" s="83" t="s">
        <v>1</v>
      </c>
      <c r="E402" s="144">
        <v>1.305555555555556</v>
      </c>
      <c r="F402" s="83" t="s">
        <v>80</v>
      </c>
      <c r="G402" s="85">
        <v>20</v>
      </c>
      <c r="H402" s="141">
        <v>899</v>
      </c>
      <c r="I402" s="2"/>
    </row>
    <row r="403" spans="1:9" ht="19.8" customHeight="1" x14ac:dyDescent="0.3">
      <c r="A403" s="145">
        <v>46022</v>
      </c>
      <c r="B403" s="87" t="s">
        <v>71</v>
      </c>
      <c r="C403" s="88" t="s">
        <v>72</v>
      </c>
      <c r="D403" s="87" t="s">
        <v>1</v>
      </c>
      <c r="E403" s="146">
        <v>1.305555555555556</v>
      </c>
      <c r="F403" s="87" t="s">
        <v>73</v>
      </c>
      <c r="G403" s="89">
        <v>4</v>
      </c>
      <c r="H403" s="90" t="s">
        <v>113</v>
      </c>
      <c r="I403" s="2"/>
    </row>
    <row r="404" spans="1:9" ht="19.8" customHeight="1" x14ac:dyDescent="0.3">
      <c r="A404" s="143">
        <v>46023</v>
      </c>
      <c r="B404" s="83" t="s">
        <v>46</v>
      </c>
      <c r="C404" s="84" t="s">
        <v>47</v>
      </c>
      <c r="D404" s="83" t="s">
        <v>1</v>
      </c>
      <c r="E404" s="144">
        <v>1.305555555555556</v>
      </c>
      <c r="F404" s="83" t="s">
        <v>85</v>
      </c>
      <c r="G404" s="85">
        <v>18</v>
      </c>
      <c r="H404" s="141">
        <v>369</v>
      </c>
      <c r="I404" s="2"/>
    </row>
    <row r="405" spans="1:9" ht="19.8" customHeight="1" x14ac:dyDescent="0.3">
      <c r="A405" s="143">
        <v>46023</v>
      </c>
      <c r="B405" s="83" t="s">
        <v>31</v>
      </c>
      <c r="C405" s="84" t="s">
        <v>51</v>
      </c>
      <c r="D405" s="83" t="s">
        <v>1</v>
      </c>
      <c r="E405" s="144">
        <v>1.2013888888888891</v>
      </c>
      <c r="F405" s="83" t="s">
        <v>33</v>
      </c>
      <c r="G405" s="85">
        <v>9</v>
      </c>
      <c r="H405" s="141">
        <v>479</v>
      </c>
      <c r="I405" s="2"/>
    </row>
    <row r="406" spans="1:9" ht="19.8" customHeight="1" x14ac:dyDescent="0.3">
      <c r="A406" s="143">
        <v>46023</v>
      </c>
      <c r="B406" s="83" t="s">
        <v>40</v>
      </c>
      <c r="C406" s="84" t="s">
        <v>60</v>
      </c>
      <c r="D406" s="83" t="s">
        <v>1</v>
      </c>
      <c r="E406" s="144">
        <v>1.1701388888888891</v>
      </c>
      <c r="F406" s="83" t="s">
        <v>101</v>
      </c>
      <c r="G406" s="85">
        <v>9</v>
      </c>
      <c r="H406" s="141">
        <v>487</v>
      </c>
      <c r="I406" s="2"/>
    </row>
    <row r="407" spans="1:9" ht="19.8" customHeight="1" x14ac:dyDescent="0.3">
      <c r="A407" s="143">
        <v>46023</v>
      </c>
      <c r="B407" s="83" t="s">
        <v>82</v>
      </c>
      <c r="C407" s="84" t="s">
        <v>83</v>
      </c>
      <c r="D407" s="83" t="s">
        <v>1</v>
      </c>
      <c r="E407" s="144">
        <v>1.8888888888888891</v>
      </c>
      <c r="F407" s="83" t="s">
        <v>167</v>
      </c>
      <c r="G407" s="85">
        <v>1</v>
      </c>
      <c r="H407" s="141">
        <v>500</v>
      </c>
      <c r="I407" s="2"/>
    </row>
    <row r="408" spans="1:9" ht="19.8" customHeight="1" x14ac:dyDescent="0.3">
      <c r="A408" s="143">
        <v>46023</v>
      </c>
      <c r="B408" s="83" t="s">
        <v>40</v>
      </c>
      <c r="C408" s="84" t="s">
        <v>44</v>
      </c>
      <c r="D408" s="83" t="s">
        <v>1</v>
      </c>
      <c r="E408" s="144">
        <v>1.5277777777777779</v>
      </c>
      <c r="F408" s="83" t="s">
        <v>101</v>
      </c>
      <c r="G408" s="85">
        <v>9</v>
      </c>
      <c r="H408" s="141">
        <v>517</v>
      </c>
      <c r="I408" s="2"/>
    </row>
    <row r="409" spans="1:9" ht="19.8" customHeight="1" x14ac:dyDescent="0.3">
      <c r="A409" s="143">
        <v>46023</v>
      </c>
      <c r="B409" s="83" t="s">
        <v>46</v>
      </c>
      <c r="C409" s="84" t="s">
        <v>47</v>
      </c>
      <c r="D409" s="83" t="s">
        <v>1</v>
      </c>
      <c r="E409" s="144">
        <v>1.305555555555556</v>
      </c>
      <c r="F409" s="83" t="s">
        <v>88</v>
      </c>
      <c r="G409" s="85">
        <v>18</v>
      </c>
      <c r="H409" s="141">
        <v>519</v>
      </c>
      <c r="I409" s="2"/>
    </row>
    <row r="410" spans="1:9" ht="19.8" customHeight="1" x14ac:dyDescent="0.3">
      <c r="A410" s="143">
        <v>46023</v>
      </c>
      <c r="B410" s="83" t="s">
        <v>31</v>
      </c>
      <c r="C410" s="84" t="s">
        <v>32</v>
      </c>
      <c r="D410" s="83" t="s">
        <v>1</v>
      </c>
      <c r="E410" s="144">
        <v>1.836805555555556</v>
      </c>
      <c r="F410" s="83" t="s">
        <v>33</v>
      </c>
      <c r="G410" s="85">
        <v>2</v>
      </c>
      <c r="H410" s="141">
        <v>519</v>
      </c>
      <c r="I410" s="2"/>
    </row>
    <row r="411" spans="1:9" ht="19.8" customHeight="1" x14ac:dyDescent="0.3">
      <c r="A411" s="143">
        <v>46023</v>
      </c>
      <c r="B411" s="83" t="s">
        <v>26</v>
      </c>
      <c r="C411" s="84" t="s">
        <v>99</v>
      </c>
      <c r="D411" s="83" t="s">
        <v>1</v>
      </c>
      <c r="E411" s="144">
        <v>1.5625</v>
      </c>
      <c r="F411" s="83" t="s">
        <v>167</v>
      </c>
      <c r="G411" s="85">
        <v>1</v>
      </c>
      <c r="H411" s="141">
        <v>563</v>
      </c>
      <c r="I411" s="2"/>
    </row>
    <row r="412" spans="1:9" ht="19.8" customHeight="1" x14ac:dyDescent="0.3">
      <c r="A412" s="147">
        <v>46023</v>
      </c>
      <c r="B412" s="92" t="s">
        <v>64</v>
      </c>
      <c r="C412" s="93" t="s">
        <v>65</v>
      </c>
      <c r="D412" s="92" t="s">
        <v>1</v>
      </c>
      <c r="E412" s="148">
        <v>1.9236111111111109</v>
      </c>
      <c r="F412" s="92" t="s">
        <v>167</v>
      </c>
      <c r="G412" s="94">
        <v>2</v>
      </c>
      <c r="H412" s="142">
        <v>566</v>
      </c>
      <c r="I412" s="2"/>
    </row>
    <row r="413" spans="1:9" ht="19.8" customHeight="1" x14ac:dyDescent="0.3">
      <c r="A413" s="143">
        <v>46023</v>
      </c>
      <c r="B413" s="83" t="s">
        <v>31</v>
      </c>
      <c r="C413" s="84" t="s">
        <v>51</v>
      </c>
      <c r="D413" s="83" t="s">
        <v>1</v>
      </c>
      <c r="E413" s="144">
        <v>1.2013888888888891</v>
      </c>
      <c r="F413" s="83" t="s">
        <v>36</v>
      </c>
      <c r="G413" s="85">
        <v>9</v>
      </c>
      <c r="H413" s="141">
        <v>579</v>
      </c>
      <c r="I413" s="2"/>
    </row>
    <row r="414" spans="1:9" ht="19.8" customHeight="1" x14ac:dyDescent="0.3">
      <c r="A414" s="143">
        <v>46023</v>
      </c>
      <c r="B414" s="83" t="s">
        <v>40</v>
      </c>
      <c r="C414" s="84" t="s">
        <v>41</v>
      </c>
      <c r="D414" s="83" t="s">
        <v>1</v>
      </c>
      <c r="E414" s="144">
        <v>1.864583333333333</v>
      </c>
      <c r="F414" s="83" t="s">
        <v>42</v>
      </c>
      <c r="G414" s="85">
        <v>9</v>
      </c>
      <c r="H414" s="141">
        <v>592</v>
      </c>
      <c r="I414" s="2"/>
    </row>
    <row r="415" spans="1:9" ht="19.8" customHeight="1" x14ac:dyDescent="0.3">
      <c r="A415" s="143">
        <v>46023</v>
      </c>
      <c r="B415" s="83" t="s">
        <v>31</v>
      </c>
      <c r="C415" s="84" t="s">
        <v>32</v>
      </c>
      <c r="D415" s="83" t="s">
        <v>1</v>
      </c>
      <c r="E415" s="144">
        <v>1.836805555555556</v>
      </c>
      <c r="F415" s="83" t="s">
        <v>36</v>
      </c>
      <c r="G415" s="85">
        <v>2</v>
      </c>
      <c r="H415" s="141">
        <v>619</v>
      </c>
      <c r="I415" s="2"/>
    </row>
    <row r="416" spans="1:9" ht="19.8" customHeight="1" x14ac:dyDescent="0.3">
      <c r="A416" s="143">
        <v>46023</v>
      </c>
      <c r="B416" s="83" t="s">
        <v>26</v>
      </c>
      <c r="C416" s="84" t="s">
        <v>57</v>
      </c>
      <c r="D416" s="83" t="s">
        <v>1</v>
      </c>
      <c r="E416" s="144">
        <v>1.958333333333333</v>
      </c>
      <c r="F416" s="83" t="s">
        <v>167</v>
      </c>
      <c r="G416" s="85">
        <v>4</v>
      </c>
      <c r="H416" s="141">
        <v>629</v>
      </c>
      <c r="I416" s="2"/>
    </row>
    <row r="417" spans="1:9" ht="19.8" customHeight="1" x14ac:dyDescent="0.3">
      <c r="A417" s="143">
        <v>46023</v>
      </c>
      <c r="B417" s="83" t="s">
        <v>31</v>
      </c>
      <c r="C417" s="84" t="s">
        <v>51</v>
      </c>
      <c r="D417" s="83" t="s">
        <v>1</v>
      </c>
      <c r="E417" s="144">
        <v>1.2013888888888891</v>
      </c>
      <c r="F417" s="83" t="s">
        <v>38</v>
      </c>
      <c r="G417" s="85">
        <v>9</v>
      </c>
      <c r="H417" s="141">
        <v>669</v>
      </c>
      <c r="I417" s="2"/>
    </row>
    <row r="418" spans="1:9" ht="19.8" customHeight="1" x14ac:dyDescent="0.3">
      <c r="A418" s="143">
        <v>46023</v>
      </c>
      <c r="B418" s="83" t="s">
        <v>31</v>
      </c>
      <c r="C418" s="84" t="s">
        <v>32</v>
      </c>
      <c r="D418" s="83" t="s">
        <v>1</v>
      </c>
      <c r="E418" s="144">
        <v>1.836805555555556</v>
      </c>
      <c r="F418" s="83" t="s">
        <v>38</v>
      </c>
      <c r="G418" s="85">
        <v>2</v>
      </c>
      <c r="H418" s="141">
        <v>709</v>
      </c>
      <c r="I418" s="2"/>
    </row>
    <row r="419" spans="1:9" ht="19.8" customHeight="1" x14ac:dyDescent="0.3">
      <c r="A419" s="143">
        <v>46023</v>
      </c>
      <c r="B419" s="83" t="s">
        <v>46</v>
      </c>
      <c r="C419" s="84" t="s">
        <v>47</v>
      </c>
      <c r="D419" s="83" t="s">
        <v>1</v>
      </c>
      <c r="E419" s="144">
        <v>1.305555555555556</v>
      </c>
      <c r="F419" s="83" t="s">
        <v>80</v>
      </c>
      <c r="G419" s="85">
        <v>18</v>
      </c>
      <c r="H419" s="141">
        <v>899</v>
      </c>
      <c r="I419" s="2"/>
    </row>
    <row r="420" spans="1:9" ht="19.8" customHeight="1" x14ac:dyDescent="0.3">
      <c r="A420" s="145">
        <v>46023</v>
      </c>
      <c r="B420" s="87" t="s">
        <v>71</v>
      </c>
      <c r="C420" s="88" t="s">
        <v>72</v>
      </c>
      <c r="D420" s="87" t="s">
        <v>1</v>
      </c>
      <c r="E420" s="146">
        <v>1.305555555555556</v>
      </c>
      <c r="F420" s="87" t="s">
        <v>73</v>
      </c>
      <c r="G420" s="89">
        <v>4</v>
      </c>
      <c r="H420" s="90" t="s">
        <v>113</v>
      </c>
      <c r="I420" s="2"/>
    </row>
    <row r="421" spans="1:9" ht="19.8" customHeight="1" x14ac:dyDescent="0.3">
      <c r="A421" s="143">
        <v>46024</v>
      </c>
      <c r="B421" s="83" t="s">
        <v>46</v>
      </c>
      <c r="C421" s="84" t="s">
        <v>47</v>
      </c>
      <c r="D421" s="83" t="s">
        <v>1</v>
      </c>
      <c r="E421" s="144">
        <v>1.305555555555556</v>
      </c>
      <c r="F421" s="83" t="s">
        <v>85</v>
      </c>
      <c r="G421" s="85">
        <v>20</v>
      </c>
      <c r="H421" s="141">
        <v>469</v>
      </c>
      <c r="I421" s="2"/>
    </row>
    <row r="422" spans="1:9" ht="19.8" customHeight="1" x14ac:dyDescent="0.3">
      <c r="A422" s="143">
        <v>46024</v>
      </c>
      <c r="B422" s="83" t="s">
        <v>40</v>
      </c>
      <c r="C422" s="84" t="s">
        <v>60</v>
      </c>
      <c r="D422" s="83" t="s">
        <v>1</v>
      </c>
      <c r="E422" s="144">
        <v>1.1701388888888891</v>
      </c>
      <c r="F422" s="83" t="s">
        <v>101</v>
      </c>
      <c r="G422" s="85">
        <v>9</v>
      </c>
      <c r="H422" s="141">
        <v>487</v>
      </c>
      <c r="I422" s="2"/>
    </row>
    <row r="423" spans="1:9" ht="19.8" customHeight="1" x14ac:dyDescent="0.3">
      <c r="A423" s="143">
        <v>46024</v>
      </c>
      <c r="B423" s="83" t="s">
        <v>31</v>
      </c>
      <c r="C423" s="84" t="s">
        <v>32</v>
      </c>
      <c r="D423" s="83" t="s">
        <v>1</v>
      </c>
      <c r="E423" s="144">
        <v>1.836805555555556</v>
      </c>
      <c r="F423" s="83" t="s">
        <v>33</v>
      </c>
      <c r="G423" s="85">
        <v>1</v>
      </c>
      <c r="H423" s="141">
        <v>519</v>
      </c>
      <c r="I423" s="2"/>
    </row>
    <row r="424" spans="1:9" ht="19.8" customHeight="1" x14ac:dyDescent="0.3">
      <c r="A424" s="143">
        <v>46024</v>
      </c>
      <c r="B424" s="83" t="s">
        <v>40</v>
      </c>
      <c r="C424" s="84" t="s">
        <v>41</v>
      </c>
      <c r="D424" s="83" t="s">
        <v>1</v>
      </c>
      <c r="E424" s="144">
        <v>1.864583333333333</v>
      </c>
      <c r="F424" s="83" t="s">
        <v>42</v>
      </c>
      <c r="G424" s="85">
        <v>9</v>
      </c>
      <c r="H424" s="141">
        <v>547</v>
      </c>
      <c r="I424" s="2"/>
    </row>
    <row r="425" spans="1:9" ht="19.8" customHeight="1" x14ac:dyDescent="0.3">
      <c r="A425" s="143">
        <v>46024</v>
      </c>
      <c r="B425" s="83" t="s">
        <v>26</v>
      </c>
      <c r="C425" s="84" t="s">
        <v>27</v>
      </c>
      <c r="D425" s="83" t="s">
        <v>1</v>
      </c>
      <c r="E425" s="144">
        <v>1.958333333333333</v>
      </c>
      <c r="F425" s="83" t="s">
        <v>167</v>
      </c>
      <c r="G425" s="85">
        <v>3</v>
      </c>
      <c r="H425" s="141">
        <v>563</v>
      </c>
      <c r="I425" s="2"/>
    </row>
    <row r="426" spans="1:9" ht="19.8" customHeight="1" x14ac:dyDescent="0.3">
      <c r="A426" s="143">
        <v>46024</v>
      </c>
      <c r="B426" s="83" t="s">
        <v>82</v>
      </c>
      <c r="C426" s="84" t="s">
        <v>123</v>
      </c>
      <c r="D426" s="83" t="s">
        <v>1</v>
      </c>
      <c r="E426" s="144">
        <v>1.2152777777777779</v>
      </c>
      <c r="F426" s="83" t="s">
        <v>167</v>
      </c>
      <c r="G426" s="85">
        <v>9</v>
      </c>
      <c r="H426" s="141">
        <v>568</v>
      </c>
      <c r="I426" s="2"/>
    </row>
    <row r="427" spans="1:9" ht="19.8" customHeight="1" x14ac:dyDescent="0.3">
      <c r="A427" s="143">
        <v>46024</v>
      </c>
      <c r="B427" s="83" t="s">
        <v>40</v>
      </c>
      <c r="C427" s="84" t="s">
        <v>44</v>
      </c>
      <c r="D427" s="83" t="s">
        <v>1</v>
      </c>
      <c r="E427" s="144">
        <v>1.5277777777777779</v>
      </c>
      <c r="F427" s="83" t="s">
        <v>42</v>
      </c>
      <c r="G427" s="85">
        <v>9</v>
      </c>
      <c r="H427" s="141">
        <v>596</v>
      </c>
      <c r="I427" s="2"/>
    </row>
    <row r="428" spans="1:9" ht="19.8" customHeight="1" x14ac:dyDescent="0.3">
      <c r="A428" s="143">
        <v>46024</v>
      </c>
      <c r="B428" s="83" t="s">
        <v>46</v>
      </c>
      <c r="C428" s="84" t="s">
        <v>47</v>
      </c>
      <c r="D428" s="83" t="s">
        <v>1</v>
      </c>
      <c r="E428" s="144">
        <v>1.305555555555556</v>
      </c>
      <c r="F428" s="83" t="s">
        <v>88</v>
      </c>
      <c r="G428" s="85">
        <v>20</v>
      </c>
      <c r="H428" s="141">
        <v>619</v>
      </c>
      <c r="I428" s="2"/>
    </row>
    <row r="429" spans="1:9" ht="19.8" customHeight="1" x14ac:dyDescent="0.3">
      <c r="A429" s="143">
        <v>46024</v>
      </c>
      <c r="B429" s="83" t="s">
        <v>31</v>
      </c>
      <c r="C429" s="84" t="s">
        <v>32</v>
      </c>
      <c r="D429" s="83" t="s">
        <v>1</v>
      </c>
      <c r="E429" s="144">
        <v>1.836805555555556</v>
      </c>
      <c r="F429" s="83" t="s">
        <v>36</v>
      </c>
      <c r="G429" s="85">
        <v>1</v>
      </c>
      <c r="H429" s="141">
        <v>619</v>
      </c>
      <c r="I429" s="2"/>
    </row>
    <row r="430" spans="1:9" ht="19.8" customHeight="1" x14ac:dyDescent="0.3">
      <c r="A430" s="147">
        <v>46024</v>
      </c>
      <c r="B430" s="92" t="s">
        <v>64</v>
      </c>
      <c r="C430" s="93" t="s">
        <v>65</v>
      </c>
      <c r="D430" s="92" t="s">
        <v>1</v>
      </c>
      <c r="E430" s="148">
        <v>1.5798611111111109</v>
      </c>
      <c r="F430" s="92" t="s">
        <v>167</v>
      </c>
      <c r="G430" s="94">
        <v>4</v>
      </c>
      <c r="H430" s="142">
        <v>626</v>
      </c>
      <c r="I430" s="2"/>
    </row>
    <row r="431" spans="1:9" ht="19.8" customHeight="1" x14ac:dyDescent="0.3">
      <c r="A431" s="143">
        <v>46024</v>
      </c>
      <c r="B431" s="83" t="s">
        <v>31</v>
      </c>
      <c r="C431" s="84" t="s">
        <v>32</v>
      </c>
      <c r="D431" s="83" t="s">
        <v>1</v>
      </c>
      <c r="E431" s="144">
        <v>1.836805555555556</v>
      </c>
      <c r="F431" s="83" t="s">
        <v>38</v>
      </c>
      <c r="G431" s="85">
        <v>1</v>
      </c>
      <c r="H431" s="141">
        <v>709</v>
      </c>
      <c r="I431" s="2"/>
    </row>
    <row r="432" spans="1:9" ht="19.8" customHeight="1" x14ac:dyDescent="0.3">
      <c r="A432" s="143">
        <v>46024</v>
      </c>
      <c r="B432" s="83" t="s">
        <v>46</v>
      </c>
      <c r="C432" s="84" t="s">
        <v>47</v>
      </c>
      <c r="D432" s="83" t="s">
        <v>1</v>
      </c>
      <c r="E432" s="144">
        <v>1.305555555555556</v>
      </c>
      <c r="F432" s="83" t="s">
        <v>80</v>
      </c>
      <c r="G432" s="85">
        <v>20</v>
      </c>
      <c r="H432" s="141">
        <v>899</v>
      </c>
      <c r="I432" s="2"/>
    </row>
    <row r="433" spans="1:9" ht="19.8" customHeight="1" x14ac:dyDescent="0.3">
      <c r="A433" s="145">
        <v>46024</v>
      </c>
      <c r="B433" s="87" t="s">
        <v>71</v>
      </c>
      <c r="C433" s="88" t="s">
        <v>72</v>
      </c>
      <c r="D433" s="87" t="s">
        <v>1</v>
      </c>
      <c r="E433" s="146">
        <v>1.305555555555556</v>
      </c>
      <c r="F433" s="87" t="s">
        <v>73</v>
      </c>
      <c r="G433" s="89">
        <v>4</v>
      </c>
      <c r="H433" s="90" t="s">
        <v>189</v>
      </c>
      <c r="I433" s="2"/>
    </row>
    <row r="434" spans="1:9" ht="19.8" customHeight="1" x14ac:dyDescent="0.3">
      <c r="A434" s="143">
        <v>46025</v>
      </c>
      <c r="B434" s="83" t="s">
        <v>46</v>
      </c>
      <c r="C434" s="84" t="s">
        <v>47</v>
      </c>
      <c r="D434" s="83" t="s">
        <v>1</v>
      </c>
      <c r="E434" s="144">
        <v>1.305555555555556</v>
      </c>
      <c r="F434" s="83" t="s">
        <v>85</v>
      </c>
      <c r="G434" s="85">
        <v>20</v>
      </c>
      <c r="H434" s="141">
        <v>469</v>
      </c>
      <c r="I434" s="2"/>
    </row>
    <row r="435" spans="1:9" ht="19.8" customHeight="1" x14ac:dyDescent="0.3">
      <c r="A435" s="143">
        <v>46025</v>
      </c>
      <c r="B435" s="83" t="s">
        <v>76</v>
      </c>
      <c r="C435" s="84" t="s">
        <v>77</v>
      </c>
      <c r="D435" s="83" t="s">
        <v>1</v>
      </c>
      <c r="E435" s="144">
        <v>1.9722222222222221</v>
      </c>
      <c r="F435" s="83" t="s">
        <v>78</v>
      </c>
      <c r="G435" s="85">
        <v>9</v>
      </c>
      <c r="H435" s="141">
        <v>474</v>
      </c>
      <c r="I435" s="2"/>
    </row>
    <row r="436" spans="1:9" ht="19.8" customHeight="1" x14ac:dyDescent="0.3">
      <c r="A436" s="143">
        <v>46025</v>
      </c>
      <c r="B436" s="83" t="s">
        <v>40</v>
      </c>
      <c r="C436" s="84" t="s">
        <v>60</v>
      </c>
      <c r="D436" s="83" t="s">
        <v>1</v>
      </c>
      <c r="E436" s="144">
        <v>1.1701388888888891</v>
      </c>
      <c r="F436" s="83" t="s">
        <v>101</v>
      </c>
      <c r="G436" s="85">
        <v>9</v>
      </c>
      <c r="H436" s="141">
        <v>487</v>
      </c>
      <c r="I436" s="2"/>
    </row>
    <row r="437" spans="1:9" ht="19.8" customHeight="1" x14ac:dyDescent="0.3">
      <c r="A437" s="143">
        <v>46025</v>
      </c>
      <c r="B437" s="83" t="s">
        <v>40</v>
      </c>
      <c r="C437" s="84" t="s">
        <v>41</v>
      </c>
      <c r="D437" s="83" t="s">
        <v>1</v>
      </c>
      <c r="E437" s="144">
        <v>1.864583333333333</v>
      </c>
      <c r="F437" s="83" t="s">
        <v>101</v>
      </c>
      <c r="G437" s="85">
        <v>9</v>
      </c>
      <c r="H437" s="141">
        <v>517</v>
      </c>
      <c r="I437" s="2"/>
    </row>
    <row r="438" spans="1:9" ht="19.8" customHeight="1" x14ac:dyDescent="0.3">
      <c r="A438" s="143">
        <v>46025</v>
      </c>
      <c r="B438" s="83" t="s">
        <v>40</v>
      </c>
      <c r="C438" s="84" t="s">
        <v>44</v>
      </c>
      <c r="D438" s="83" t="s">
        <v>1</v>
      </c>
      <c r="E438" s="144">
        <v>1.5277777777777779</v>
      </c>
      <c r="F438" s="83" t="s">
        <v>101</v>
      </c>
      <c r="G438" s="85">
        <v>9</v>
      </c>
      <c r="H438" s="141">
        <v>517</v>
      </c>
      <c r="I438" s="2"/>
    </row>
    <row r="439" spans="1:9" ht="19.8" customHeight="1" x14ac:dyDescent="0.3">
      <c r="A439" s="143">
        <v>46025</v>
      </c>
      <c r="B439" s="83" t="s">
        <v>31</v>
      </c>
      <c r="C439" s="84" t="s">
        <v>32</v>
      </c>
      <c r="D439" s="83" t="s">
        <v>1</v>
      </c>
      <c r="E439" s="144">
        <v>1.836805555555556</v>
      </c>
      <c r="F439" s="83" t="s">
        <v>33</v>
      </c>
      <c r="G439" s="85">
        <v>1</v>
      </c>
      <c r="H439" s="141">
        <v>519</v>
      </c>
      <c r="I439" s="2"/>
    </row>
    <row r="440" spans="1:9" ht="19.8" customHeight="1" x14ac:dyDescent="0.3">
      <c r="A440" s="143">
        <v>46025</v>
      </c>
      <c r="B440" s="83" t="s">
        <v>31</v>
      </c>
      <c r="C440" s="84" t="s">
        <v>51</v>
      </c>
      <c r="D440" s="83" t="s">
        <v>1</v>
      </c>
      <c r="E440" s="144">
        <v>1.2013888888888891</v>
      </c>
      <c r="F440" s="83" t="s">
        <v>33</v>
      </c>
      <c r="G440" s="85">
        <v>3</v>
      </c>
      <c r="H440" s="141">
        <v>559</v>
      </c>
      <c r="I440" s="2"/>
    </row>
    <row r="441" spans="1:9" ht="19.8" customHeight="1" x14ac:dyDescent="0.3">
      <c r="A441" s="143">
        <v>46025</v>
      </c>
      <c r="B441" s="83" t="s">
        <v>46</v>
      </c>
      <c r="C441" s="84" t="s">
        <v>47</v>
      </c>
      <c r="D441" s="83" t="s">
        <v>1</v>
      </c>
      <c r="E441" s="144">
        <v>1.305555555555556</v>
      </c>
      <c r="F441" s="83" t="s">
        <v>88</v>
      </c>
      <c r="G441" s="85">
        <v>20</v>
      </c>
      <c r="H441" s="141">
        <v>619</v>
      </c>
      <c r="I441" s="2"/>
    </row>
    <row r="442" spans="1:9" ht="19.8" customHeight="1" x14ac:dyDescent="0.3">
      <c r="A442" s="143">
        <v>46025</v>
      </c>
      <c r="B442" s="83" t="s">
        <v>31</v>
      </c>
      <c r="C442" s="84" t="s">
        <v>32</v>
      </c>
      <c r="D442" s="83" t="s">
        <v>1</v>
      </c>
      <c r="E442" s="144">
        <v>1.836805555555556</v>
      </c>
      <c r="F442" s="83" t="s">
        <v>36</v>
      </c>
      <c r="G442" s="85">
        <v>1</v>
      </c>
      <c r="H442" s="141">
        <v>619</v>
      </c>
      <c r="I442" s="2"/>
    </row>
    <row r="443" spans="1:9" ht="19.8" customHeight="1" x14ac:dyDescent="0.3">
      <c r="A443" s="147">
        <v>46025</v>
      </c>
      <c r="B443" s="92" t="s">
        <v>64</v>
      </c>
      <c r="C443" s="93" t="s">
        <v>65</v>
      </c>
      <c r="D443" s="92" t="s">
        <v>1</v>
      </c>
      <c r="E443" s="148">
        <v>1.9236111111111109</v>
      </c>
      <c r="F443" s="92" t="s">
        <v>167</v>
      </c>
      <c r="G443" s="94">
        <v>7</v>
      </c>
      <c r="H443" s="142">
        <v>626</v>
      </c>
      <c r="I443" s="2"/>
    </row>
    <row r="444" spans="1:9" ht="19.8" customHeight="1" x14ac:dyDescent="0.3">
      <c r="A444" s="143">
        <v>46025</v>
      </c>
      <c r="B444" s="83" t="s">
        <v>26</v>
      </c>
      <c r="C444" s="84" t="s">
        <v>57</v>
      </c>
      <c r="D444" s="83" t="s">
        <v>1</v>
      </c>
      <c r="E444" s="144">
        <v>1.895833333333333</v>
      </c>
      <c r="F444" s="83" t="s">
        <v>167</v>
      </c>
      <c r="G444" s="85">
        <v>3</v>
      </c>
      <c r="H444" s="141">
        <v>629</v>
      </c>
      <c r="I444" s="2"/>
    </row>
    <row r="445" spans="1:9" ht="19.8" customHeight="1" x14ac:dyDescent="0.3">
      <c r="A445" s="143">
        <v>46025</v>
      </c>
      <c r="B445" s="83" t="s">
        <v>31</v>
      </c>
      <c r="C445" s="84" t="s">
        <v>51</v>
      </c>
      <c r="D445" s="83" t="s">
        <v>1</v>
      </c>
      <c r="E445" s="144">
        <v>1.2013888888888891</v>
      </c>
      <c r="F445" s="83" t="s">
        <v>36</v>
      </c>
      <c r="G445" s="85">
        <v>3</v>
      </c>
      <c r="H445" s="141">
        <v>659</v>
      </c>
      <c r="I445" s="2"/>
    </row>
    <row r="446" spans="1:9" ht="19.8" customHeight="1" x14ac:dyDescent="0.3">
      <c r="A446" s="143">
        <v>46025</v>
      </c>
      <c r="B446" s="83" t="s">
        <v>76</v>
      </c>
      <c r="C446" s="84" t="s">
        <v>77</v>
      </c>
      <c r="D446" s="83" t="s">
        <v>1</v>
      </c>
      <c r="E446" s="144">
        <v>1.9722222222222221</v>
      </c>
      <c r="F446" s="83" t="s">
        <v>80</v>
      </c>
      <c r="G446" s="85">
        <v>9</v>
      </c>
      <c r="H446" s="141">
        <v>679</v>
      </c>
      <c r="I446" s="2"/>
    </row>
    <row r="447" spans="1:9" ht="19.8" customHeight="1" x14ac:dyDescent="0.3">
      <c r="A447" s="143">
        <v>46025</v>
      </c>
      <c r="B447" s="83" t="s">
        <v>31</v>
      </c>
      <c r="C447" s="84" t="s">
        <v>32</v>
      </c>
      <c r="D447" s="83" t="s">
        <v>1</v>
      </c>
      <c r="E447" s="144">
        <v>1.836805555555556</v>
      </c>
      <c r="F447" s="83" t="s">
        <v>38</v>
      </c>
      <c r="G447" s="85">
        <v>1</v>
      </c>
      <c r="H447" s="141">
        <v>709</v>
      </c>
      <c r="I447" s="2"/>
    </row>
    <row r="448" spans="1:9" ht="19.8" customHeight="1" x14ac:dyDescent="0.3">
      <c r="A448" s="143">
        <v>46025</v>
      </c>
      <c r="B448" s="83" t="s">
        <v>31</v>
      </c>
      <c r="C448" s="84" t="s">
        <v>51</v>
      </c>
      <c r="D448" s="83" t="s">
        <v>1</v>
      </c>
      <c r="E448" s="144">
        <v>1.2013888888888891</v>
      </c>
      <c r="F448" s="83" t="s">
        <v>38</v>
      </c>
      <c r="G448" s="85">
        <v>3</v>
      </c>
      <c r="H448" s="141">
        <v>749</v>
      </c>
      <c r="I448" s="2"/>
    </row>
    <row r="449" spans="1:9" ht="19.8" customHeight="1" x14ac:dyDescent="0.3">
      <c r="A449" s="143">
        <v>46025</v>
      </c>
      <c r="B449" s="83" t="s">
        <v>46</v>
      </c>
      <c r="C449" s="84" t="s">
        <v>47</v>
      </c>
      <c r="D449" s="83" t="s">
        <v>1</v>
      </c>
      <c r="E449" s="144">
        <v>1.305555555555556</v>
      </c>
      <c r="F449" s="83" t="s">
        <v>80</v>
      </c>
      <c r="G449" s="85">
        <v>20</v>
      </c>
      <c r="H449" s="141">
        <v>899</v>
      </c>
      <c r="I449" s="2"/>
    </row>
    <row r="450" spans="1:9" ht="19.8" customHeight="1" x14ac:dyDescent="0.3">
      <c r="A450" s="145">
        <v>46025</v>
      </c>
      <c r="B450" s="87" t="s">
        <v>71</v>
      </c>
      <c r="C450" s="88" t="s">
        <v>72</v>
      </c>
      <c r="D450" s="87" t="s">
        <v>1</v>
      </c>
      <c r="E450" s="146">
        <v>1.305555555555556</v>
      </c>
      <c r="F450" s="87" t="s">
        <v>73</v>
      </c>
      <c r="G450" s="89">
        <v>4</v>
      </c>
      <c r="H450" s="90" t="s">
        <v>189</v>
      </c>
      <c r="I450" s="2"/>
    </row>
    <row r="451" spans="1:9" ht="19.8" customHeight="1" x14ac:dyDescent="0.3">
      <c r="A451" s="143">
        <v>46026</v>
      </c>
      <c r="B451" s="83" t="s">
        <v>46</v>
      </c>
      <c r="C451" s="84" t="s">
        <v>47</v>
      </c>
      <c r="D451" s="83" t="s">
        <v>1</v>
      </c>
      <c r="E451" s="144">
        <v>1.305555555555556</v>
      </c>
      <c r="F451" s="83" t="s">
        <v>85</v>
      </c>
      <c r="G451" s="85">
        <v>20</v>
      </c>
      <c r="H451" s="141">
        <v>469</v>
      </c>
      <c r="I451" s="2"/>
    </row>
    <row r="452" spans="1:9" ht="19.8" customHeight="1" x14ac:dyDescent="0.3">
      <c r="A452" s="143">
        <v>46026</v>
      </c>
      <c r="B452" s="83" t="s">
        <v>40</v>
      </c>
      <c r="C452" s="84" t="s">
        <v>60</v>
      </c>
      <c r="D452" s="83" t="s">
        <v>1</v>
      </c>
      <c r="E452" s="144">
        <v>1.1701388888888891</v>
      </c>
      <c r="F452" s="83" t="s">
        <v>101</v>
      </c>
      <c r="G452" s="85">
        <v>9</v>
      </c>
      <c r="H452" s="141">
        <v>487</v>
      </c>
      <c r="I452" s="2"/>
    </row>
    <row r="453" spans="1:9" ht="19.8" customHeight="1" x14ac:dyDescent="0.3">
      <c r="A453" s="143">
        <v>46026</v>
      </c>
      <c r="B453" s="83" t="s">
        <v>82</v>
      </c>
      <c r="C453" s="84" t="s">
        <v>123</v>
      </c>
      <c r="D453" s="83" t="s">
        <v>1</v>
      </c>
      <c r="E453" s="144">
        <v>1.2152777777777779</v>
      </c>
      <c r="F453" s="83" t="s">
        <v>167</v>
      </c>
      <c r="G453" s="85">
        <v>2</v>
      </c>
      <c r="H453" s="141">
        <v>500</v>
      </c>
      <c r="I453" s="2"/>
    </row>
    <row r="454" spans="1:9" ht="19.8" customHeight="1" x14ac:dyDescent="0.3">
      <c r="A454" s="143">
        <v>46026</v>
      </c>
      <c r="B454" s="83" t="s">
        <v>40</v>
      </c>
      <c r="C454" s="84" t="s">
        <v>41</v>
      </c>
      <c r="D454" s="83" t="s">
        <v>1</v>
      </c>
      <c r="E454" s="144">
        <v>1.864583333333333</v>
      </c>
      <c r="F454" s="83" t="s">
        <v>101</v>
      </c>
      <c r="G454" s="85">
        <v>9</v>
      </c>
      <c r="H454" s="141">
        <v>517</v>
      </c>
      <c r="I454" s="2"/>
    </row>
    <row r="455" spans="1:9" ht="19.8" customHeight="1" x14ac:dyDescent="0.3">
      <c r="A455" s="143">
        <v>46026</v>
      </c>
      <c r="B455" s="83" t="s">
        <v>40</v>
      </c>
      <c r="C455" s="84" t="s">
        <v>44</v>
      </c>
      <c r="D455" s="83" t="s">
        <v>1</v>
      </c>
      <c r="E455" s="144">
        <v>1.5277777777777779</v>
      </c>
      <c r="F455" s="83" t="s">
        <v>101</v>
      </c>
      <c r="G455" s="85">
        <v>9</v>
      </c>
      <c r="H455" s="141">
        <v>517</v>
      </c>
      <c r="I455" s="2"/>
    </row>
    <row r="456" spans="1:9" ht="19.8" customHeight="1" x14ac:dyDescent="0.3">
      <c r="A456" s="143">
        <v>46026</v>
      </c>
      <c r="B456" s="83" t="s">
        <v>31</v>
      </c>
      <c r="C456" s="84" t="s">
        <v>32</v>
      </c>
      <c r="D456" s="83" t="s">
        <v>1</v>
      </c>
      <c r="E456" s="144">
        <v>1.836805555555556</v>
      </c>
      <c r="F456" s="83" t="s">
        <v>33</v>
      </c>
      <c r="G456" s="85">
        <v>5</v>
      </c>
      <c r="H456" s="141">
        <v>559</v>
      </c>
      <c r="I456" s="2"/>
    </row>
    <row r="457" spans="1:9" ht="19.8" customHeight="1" x14ac:dyDescent="0.3">
      <c r="A457" s="143">
        <v>46026</v>
      </c>
      <c r="B457" s="83" t="s">
        <v>26</v>
      </c>
      <c r="C457" s="84" t="s">
        <v>99</v>
      </c>
      <c r="D457" s="83" t="s">
        <v>1</v>
      </c>
      <c r="E457" s="144">
        <v>1.958333333333333</v>
      </c>
      <c r="F457" s="83" t="s">
        <v>167</v>
      </c>
      <c r="G457" s="85">
        <v>3</v>
      </c>
      <c r="H457" s="141">
        <v>563</v>
      </c>
      <c r="I457" s="2"/>
    </row>
    <row r="458" spans="1:9" ht="19.8" customHeight="1" x14ac:dyDescent="0.3">
      <c r="A458" s="143">
        <v>46026</v>
      </c>
      <c r="B458" s="83" t="s">
        <v>46</v>
      </c>
      <c r="C458" s="84" t="s">
        <v>47</v>
      </c>
      <c r="D458" s="83" t="s">
        <v>1</v>
      </c>
      <c r="E458" s="144">
        <v>1.305555555555556</v>
      </c>
      <c r="F458" s="83" t="s">
        <v>88</v>
      </c>
      <c r="G458" s="85">
        <v>20</v>
      </c>
      <c r="H458" s="141">
        <v>619</v>
      </c>
      <c r="I458" s="2"/>
    </row>
    <row r="459" spans="1:9" ht="19.8" customHeight="1" x14ac:dyDescent="0.3">
      <c r="A459" s="143">
        <v>46026</v>
      </c>
      <c r="B459" s="83" t="s">
        <v>31</v>
      </c>
      <c r="C459" s="84" t="s">
        <v>32</v>
      </c>
      <c r="D459" s="83" t="s">
        <v>1</v>
      </c>
      <c r="E459" s="144">
        <v>1.836805555555556</v>
      </c>
      <c r="F459" s="83" t="s">
        <v>36</v>
      </c>
      <c r="G459" s="85">
        <v>5</v>
      </c>
      <c r="H459" s="141">
        <v>659</v>
      </c>
      <c r="I459" s="2"/>
    </row>
    <row r="460" spans="1:9" ht="19.8" customHeight="1" x14ac:dyDescent="0.3">
      <c r="A460" s="143">
        <v>46026</v>
      </c>
      <c r="B460" s="83" t="s">
        <v>31</v>
      </c>
      <c r="C460" s="84" t="s">
        <v>32</v>
      </c>
      <c r="D460" s="83" t="s">
        <v>1</v>
      </c>
      <c r="E460" s="144">
        <v>1.836805555555556</v>
      </c>
      <c r="F460" s="83" t="s">
        <v>38</v>
      </c>
      <c r="G460" s="85">
        <v>5</v>
      </c>
      <c r="H460" s="141">
        <v>749</v>
      </c>
      <c r="I460" s="2"/>
    </row>
    <row r="461" spans="1:9" ht="19.8" customHeight="1" x14ac:dyDescent="0.3">
      <c r="A461" s="143">
        <v>46026</v>
      </c>
      <c r="B461" s="83" t="s">
        <v>46</v>
      </c>
      <c r="C461" s="84" t="s">
        <v>47</v>
      </c>
      <c r="D461" s="83" t="s">
        <v>1</v>
      </c>
      <c r="E461" s="144">
        <v>1.305555555555556</v>
      </c>
      <c r="F461" s="83" t="s">
        <v>80</v>
      </c>
      <c r="G461" s="85">
        <v>20</v>
      </c>
      <c r="H461" s="141">
        <v>899</v>
      </c>
      <c r="I461" s="2"/>
    </row>
    <row r="462" spans="1:9" ht="19.8" customHeight="1" x14ac:dyDescent="0.3">
      <c r="A462" s="145">
        <v>46026</v>
      </c>
      <c r="B462" s="87" t="s">
        <v>71</v>
      </c>
      <c r="C462" s="88" t="s">
        <v>72</v>
      </c>
      <c r="D462" s="87" t="s">
        <v>1</v>
      </c>
      <c r="E462" s="146">
        <v>1.305555555555556</v>
      </c>
      <c r="F462" s="87" t="s">
        <v>73</v>
      </c>
      <c r="G462" s="89">
        <v>4</v>
      </c>
      <c r="H462" s="90" t="s">
        <v>189</v>
      </c>
      <c r="I462" s="2"/>
    </row>
    <row r="463" spans="1:9" ht="19.8" customHeight="1" x14ac:dyDescent="0.3">
      <c r="A463" s="143">
        <v>46027</v>
      </c>
      <c r="B463" s="83" t="s">
        <v>46</v>
      </c>
      <c r="C463" s="84" t="s">
        <v>47</v>
      </c>
      <c r="D463" s="83" t="s">
        <v>1</v>
      </c>
      <c r="E463" s="144">
        <v>1.305555555555556</v>
      </c>
      <c r="F463" s="83" t="s">
        <v>85</v>
      </c>
      <c r="G463" s="85">
        <v>20</v>
      </c>
      <c r="H463" s="141">
        <v>429</v>
      </c>
      <c r="I463" s="2"/>
    </row>
    <row r="464" spans="1:9" ht="19.8" customHeight="1" x14ac:dyDescent="0.3">
      <c r="A464" s="143">
        <v>46027</v>
      </c>
      <c r="B464" s="83" t="s">
        <v>31</v>
      </c>
      <c r="C464" s="84" t="s">
        <v>32</v>
      </c>
      <c r="D464" s="83" t="s">
        <v>1</v>
      </c>
      <c r="E464" s="144">
        <v>1.836805555555556</v>
      </c>
      <c r="F464" s="83" t="s">
        <v>33</v>
      </c>
      <c r="G464" s="85">
        <v>5</v>
      </c>
      <c r="H464" s="141">
        <v>479</v>
      </c>
      <c r="I464" s="2"/>
    </row>
    <row r="465" spans="1:9" ht="19.8" customHeight="1" x14ac:dyDescent="0.3">
      <c r="A465" s="143">
        <v>46027</v>
      </c>
      <c r="B465" s="83" t="s">
        <v>40</v>
      </c>
      <c r="C465" s="84" t="s">
        <v>60</v>
      </c>
      <c r="D465" s="83" t="s">
        <v>1</v>
      </c>
      <c r="E465" s="144">
        <v>1.1701388888888891</v>
      </c>
      <c r="F465" s="83" t="s">
        <v>101</v>
      </c>
      <c r="G465" s="85">
        <v>9</v>
      </c>
      <c r="H465" s="141">
        <v>487</v>
      </c>
      <c r="I465" s="2"/>
    </row>
    <row r="466" spans="1:9" ht="19.8" customHeight="1" x14ac:dyDescent="0.3">
      <c r="A466" s="143">
        <v>46027</v>
      </c>
      <c r="B466" s="83" t="s">
        <v>40</v>
      </c>
      <c r="C466" s="84" t="s">
        <v>41</v>
      </c>
      <c r="D466" s="83" t="s">
        <v>1</v>
      </c>
      <c r="E466" s="144">
        <v>1.864583333333333</v>
      </c>
      <c r="F466" s="83" t="s">
        <v>101</v>
      </c>
      <c r="G466" s="85">
        <v>9</v>
      </c>
      <c r="H466" s="141">
        <v>517</v>
      </c>
      <c r="I466" s="2"/>
    </row>
    <row r="467" spans="1:9" ht="19.8" customHeight="1" x14ac:dyDescent="0.3">
      <c r="A467" s="143">
        <v>46027</v>
      </c>
      <c r="B467" s="83" t="s">
        <v>40</v>
      </c>
      <c r="C467" s="84" t="s">
        <v>44</v>
      </c>
      <c r="D467" s="83" t="s">
        <v>1</v>
      </c>
      <c r="E467" s="144">
        <v>1.5277777777777779</v>
      </c>
      <c r="F467" s="83" t="s">
        <v>101</v>
      </c>
      <c r="G467" s="85">
        <v>9</v>
      </c>
      <c r="H467" s="141">
        <v>517</v>
      </c>
      <c r="I467" s="2"/>
    </row>
    <row r="468" spans="1:9" ht="19.8" customHeight="1" x14ac:dyDescent="0.3">
      <c r="A468" s="143">
        <v>46027</v>
      </c>
      <c r="B468" s="83" t="s">
        <v>31</v>
      </c>
      <c r="C468" s="84" t="s">
        <v>51</v>
      </c>
      <c r="D468" s="83" t="s">
        <v>1</v>
      </c>
      <c r="E468" s="144">
        <v>1.2013888888888891</v>
      </c>
      <c r="F468" s="83" t="s">
        <v>33</v>
      </c>
      <c r="G468" s="85">
        <v>5</v>
      </c>
      <c r="H468" s="141">
        <v>519</v>
      </c>
      <c r="I468" s="2"/>
    </row>
    <row r="469" spans="1:9" ht="19.8" customHeight="1" x14ac:dyDescent="0.3">
      <c r="A469" s="143">
        <v>46027</v>
      </c>
      <c r="B469" s="83" t="s">
        <v>82</v>
      </c>
      <c r="C469" s="84" t="s">
        <v>161</v>
      </c>
      <c r="D469" s="83" t="s">
        <v>1</v>
      </c>
      <c r="E469" s="144">
        <v>1.1284722222222221</v>
      </c>
      <c r="F469" s="83" t="s">
        <v>167</v>
      </c>
      <c r="G469" s="85">
        <v>8</v>
      </c>
      <c r="H469" s="141">
        <v>568</v>
      </c>
      <c r="I469" s="2"/>
    </row>
    <row r="470" spans="1:9" ht="19.8" customHeight="1" x14ac:dyDescent="0.3">
      <c r="A470" s="143">
        <v>46027</v>
      </c>
      <c r="B470" s="83" t="s">
        <v>46</v>
      </c>
      <c r="C470" s="84" t="s">
        <v>47</v>
      </c>
      <c r="D470" s="83" t="s">
        <v>1</v>
      </c>
      <c r="E470" s="144">
        <v>1.305555555555556</v>
      </c>
      <c r="F470" s="83" t="s">
        <v>88</v>
      </c>
      <c r="G470" s="85">
        <v>20</v>
      </c>
      <c r="H470" s="141">
        <v>579</v>
      </c>
      <c r="I470" s="2"/>
    </row>
    <row r="471" spans="1:9" ht="19.8" customHeight="1" x14ac:dyDescent="0.3">
      <c r="A471" s="143">
        <v>46027</v>
      </c>
      <c r="B471" s="83" t="s">
        <v>31</v>
      </c>
      <c r="C471" s="84" t="s">
        <v>32</v>
      </c>
      <c r="D471" s="83" t="s">
        <v>1</v>
      </c>
      <c r="E471" s="144">
        <v>1.836805555555556</v>
      </c>
      <c r="F471" s="83" t="s">
        <v>36</v>
      </c>
      <c r="G471" s="85">
        <v>5</v>
      </c>
      <c r="H471" s="141">
        <v>579</v>
      </c>
      <c r="I471" s="2"/>
    </row>
    <row r="472" spans="1:9" ht="19.8" customHeight="1" x14ac:dyDescent="0.3">
      <c r="A472" s="143">
        <v>46027</v>
      </c>
      <c r="B472" s="83" t="s">
        <v>31</v>
      </c>
      <c r="C472" s="84" t="s">
        <v>51</v>
      </c>
      <c r="D472" s="83" t="s">
        <v>1</v>
      </c>
      <c r="E472" s="144">
        <v>1.2013888888888891</v>
      </c>
      <c r="F472" s="83" t="s">
        <v>36</v>
      </c>
      <c r="G472" s="85">
        <v>5</v>
      </c>
      <c r="H472" s="141">
        <v>619</v>
      </c>
      <c r="I472" s="2"/>
    </row>
    <row r="473" spans="1:9" ht="19.8" customHeight="1" x14ac:dyDescent="0.3">
      <c r="A473" s="143">
        <v>46027</v>
      </c>
      <c r="B473" s="83" t="s">
        <v>31</v>
      </c>
      <c r="C473" s="84" t="s">
        <v>32</v>
      </c>
      <c r="D473" s="83" t="s">
        <v>1</v>
      </c>
      <c r="E473" s="144">
        <v>1.836805555555556</v>
      </c>
      <c r="F473" s="83" t="s">
        <v>38</v>
      </c>
      <c r="G473" s="85">
        <v>5</v>
      </c>
      <c r="H473" s="141">
        <v>669</v>
      </c>
      <c r="I473" s="2"/>
    </row>
    <row r="474" spans="1:9" ht="19.8" customHeight="1" x14ac:dyDescent="0.3">
      <c r="A474" s="143">
        <v>46027</v>
      </c>
      <c r="B474" s="83" t="s">
        <v>26</v>
      </c>
      <c r="C474" s="84" t="s">
        <v>27</v>
      </c>
      <c r="D474" s="83" t="s">
        <v>1</v>
      </c>
      <c r="E474" s="144">
        <v>1.958333333333333</v>
      </c>
      <c r="F474" s="83" t="s">
        <v>167</v>
      </c>
      <c r="G474" s="85">
        <v>9</v>
      </c>
      <c r="H474" s="141">
        <v>679</v>
      </c>
      <c r="I474" s="2"/>
    </row>
    <row r="475" spans="1:9" ht="19.8" customHeight="1" x14ac:dyDescent="0.3">
      <c r="A475" s="143">
        <v>46027</v>
      </c>
      <c r="B475" s="83" t="s">
        <v>31</v>
      </c>
      <c r="C475" s="84" t="s">
        <v>51</v>
      </c>
      <c r="D475" s="83" t="s">
        <v>1</v>
      </c>
      <c r="E475" s="144">
        <v>1.2013888888888891</v>
      </c>
      <c r="F475" s="83" t="s">
        <v>38</v>
      </c>
      <c r="G475" s="85">
        <v>5</v>
      </c>
      <c r="H475" s="141">
        <v>709</v>
      </c>
      <c r="I475" s="2"/>
    </row>
    <row r="476" spans="1:9" ht="19.8" customHeight="1" x14ac:dyDescent="0.3">
      <c r="A476" s="143">
        <v>46027</v>
      </c>
      <c r="B476" s="83" t="s">
        <v>46</v>
      </c>
      <c r="C476" s="84" t="s">
        <v>47</v>
      </c>
      <c r="D476" s="83" t="s">
        <v>1</v>
      </c>
      <c r="E476" s="144">
        <v>1.305555555555556</v>
      </c>
      <c r="F476" s="83" t="s">
        <v>80</v>
      </c>
      <c r="G476" s="85">
        <v>20</v>
      </c>
      <c r="H476" s="141">
        <v>899</v>
      </c>
      <c r="I476" s="2"/>
    </row>
    <row r="477" spans="1:9" ht="19.8" customHeight="1" x14ac:dyDescent="0.3">
      <c r="A477" s="145">
        <v>46027</v>
      </c>
      <c r="B477" s="87" t="s">
        <v>71</v>
      </c>
      <c r="C477" s="88" t="s">
        <v>72</v>
      </c>
      <c r="D477" s="87" t="s">
        <v>1</v>
      </c>
      <c r="E477" s="146">
        <v>1.305555555555556</v>
      </c>
      <c r="F477" s="87" t="s">
        <v>73</v>
      </c>
      <c r="G477" s="89">
        <v>4</v>
      </c>
      <c r="H477" s="90" t="s">
        <v>133</v>
      </c>
      <c r="I477" s="2"/>
    </row>
    <row r="478" spans="1:9" ht="19.8" customHeight="1" x14ac:dyDescent="0.3">
      <c r="A478" s="143">
        <v>46028</v>
      </c>
      <c r="B478" s="83" t="s">
        <v>46</v>
      </c>
      <c r="C478" s="84" t="s">
        <v>47</v>
      </c>
      <c r="D478" s="83" t="s">
        <v>1</v>
      </c>
      <c r="E478" s="144">
        <v>1.305555555555556</v>
      </c>
      <c r="F478" s="83" t="s">
        <v>85</v>
      </c>
      <c r="G478" s="85">
        <v>20</v>
      </c>
      <c r="H478" s="141">
        <v>429</v>
      </c>
      <c r="I478" s="2"/>
    </row>
    <row r="479" spans="1:9" ht="19.8" customHeight="1" x14ac:dyDescent="0.3">
      <c r="A479" s="143">
        <v>46028</v>
      </c>
      <c r="B479" s="83" t="s">
        <v>40</v>
      </c>
      <c r="C479" s="84" t="s">
        <v>60</v>
      </c>
      <c r="D479" s="83" t="s">
        <v>1</v>
      </c>
      <c r="E479" s="144">
        <v>1.1701388888888891</v>
      </c>
      <c r="F479" s="83" t="s">
        <v>101</v>
      </c>
      <c r="G479" s="85">
        <v>9</v>
      </c>
      <c r="H479" s="141">
        <v>487</v>
      </c>
      <c r="I479" s="2"/>
    </row>
    <row r="480" spans="1:9" ht="19.8" customHeight="1" x14ac:dyDescent="0.3">
      <c r="A480" s="143">
        <v>46028</v>
      </c>
      <c r="B480" s="83" t="s">
        <v>82</v>
      </c>
      <c r="C480" s="84" t="s">
        <v>123</v>
      </c>
      <c r="D480" s="83" t="s">
        <v>1</v>
      </c>
      <c r="E480" s="144">
        <v>1.2152777777777779</v>
      </c>
      <c r="F480" s="83" t="s">
        <v>167</v>
      </c>
      <c r="G480" s="85">
        <v>1</v>
      </c>
      <c r="H480" s="141">
        <v>500</v>
      </c>
      <c r="I480" s="2"/>
    </row>
    <row r="481" spans="1:9" ht="19.8" customHeight="1" x14ac:dyDescent="0.3">
      <c r="A481" s="147">
        <v>46028</v>
      </c>
      <c r="B481" s="92" t="s">
        <v>64</v>
      </c>
      <c r="C481" s="93" t="s">
        <v>65</v>
      </c>
      <c r="D481" s="92" t="s">
        <v>1</v>
      </c>
      <c r="E481" s="148">
        <v>1.270833333333333</v>
      </c>
      <c r="F481" s="92" t="s">
        <v>167</v>
      </c>
      <c r="G481" s="94">
        <v>2</v>
      </c>
      <c r="H481" s="142">
        <v>506</v>
      </c>
      <c r="I481" s="2"/>
    </row>
    <row r="482" spans="1:9" ht="19.8" customHeight="1" x14ac:dyDescent="0.3">
      <c r="A482" s="143">
        <v>46028</v>
      </c>
      <c r="B482" s="83" t="s">
        <v>40</v>
      </c>
      <c r="C482" s="84" t="s">
        <v>41</v>
      </c>
      <c r="D482" s="83" t="s">
        <v>1</v>
      </c>
      <c r="E482" s="144">
        <v>1.864583333333333</v>
      </c>
      <c r="F482" s="83" t="s">
        <v>42</v>
      </c>
      <c r="G482" s="85">
        <v>9</v>
      </c>
      <c r="H482" s="141">
        <v>547</v>
      </c>
      <c r="I482" s="2"/>
    </row>
    <row r="483" spans="1:9" ht="19.8" customHeight="1" x14ac:dyDescent="0.3">
      <c r="A483" s="143">
        <v>46028</v>
      </c>
      <c r="B483" s="83" t="s">
        <v>40</v>
      </c>
      <c r="C483" s="84" t="s">
        <v>44</v>
      </c>
      <c r="D483" s="83" t="s">
        <v>1</v>
      </c>
      <c r="E483" s="144">
        <v>1.5277777777777779</v>
      </c>
      <c r="F483" s="83" t="s">
        <v>42</v>
      </c>
      <c r="G483" s="85">
        <v>9</v>
      </c>
      <c r="H483" s="141">
        <v>547</v>
      </c>
      <c r="I483" s="2"/>
    </row>
    <row r="484" spans="1:9" ht="19.8" customHeight="1" x14ac:dyDescent="0.3">
      <c r="A484" s="143">
        <v>46028</v>
      </c>
      <c r="B484" s="83" t="s">
        <v>31</v>
      </c>
      <c r="C484" s="84" t="s">
        <v>32</v>
      </c>
      <c r="D484" s="83" t="s">
        <v>1</v>
      </c>
      <c r="E484" s="144">
        <v>1.836805555555556</v>
      </c>
      <c r="F484" s="83" t="s">
        <v>33</v>
      </c>
      <c r="G484" s="85">
        <v>8</v>
      </c>
      <c r="H484" s="141">
        <v>559</v>
      </c>
      <c r="I484" s="2"/>
    </row>
    <row r="485" spans="1:9" ht="19.8" customHeight="1" x14ac:dyDescent="0.3">
      <c r="A485" s="143">
        <v>46028</v>
      </c>
      <c r="B485" s="83" t="s">
        <v>31</v>
      </c>
      <c r="C485" s="84" t="s">
        <v>51</v>
      </c>
      <c r="D485" s="83" t="s">
        <v>1</v>
      </c>
      <c r="E485" s="144">
        <v>1.2013888888888891</v>
      </c>
      <c r="F485" s="83" t="s">
        <v>33</v>
      </c>
      <c r="G485" s="85">
        <v>4</v>
      </c>
      <c r="H485" s="141">
        <v>559</v>
      </c>
      <c r="I485" s="2"/>
    </row>
    <row r="486" spans="1:9" ht="19.8" customHeight="1" x14ac:dyDescent="0.3">
      <c r="A486" s="143">
        <v>46028</v>
      </c>
      <c r="B486" s="83" t="s">
        <v>46</v>
      </c>
      <c r="C486" s="84" t="s">
        <v>47</v>
      </c>
      <c r="D486" s="83" t="s">
        <v>1</v>
      </c>
      <c r="E486" s="144">
        <v>1.305555555555556</v>
      </c>
      <c r="F486" s="83" t="s">
        <v>88</v>
      </c>
      <c r="G486" s="85">
        <v>20</v>
      </c>
      <c r="H486" s="141">
        <v>579</v>
      </c>
      <c r="I486" s="2"/>
    </row>
    <row r="487" spans="1:9" ht="19.8" customHeight="1" x14ac:dyDescent="0.3">
      <c r="A487" s="143">
        <v>46028</v>
      </c>
      <c r="B487" s="83" t="s">
        <v>26</v>
      </c>
      <c r="C487" s="84" t="s">
        <v>57</v>
      </c>
      <c r="D487" s="83" t="s">
        <v>1</v>
      </c>
      <c r="E487" s="144">
        <v>1.958333333333333</v>
      </c>
      <c r="F487" s="83" t="s">
        <v>167</v>
      </c>
      <c r="G487" s="85">
        <v>7</v>
      </c>
      <c r="H487" s="141">
        <v>629</v>
      </c>
      <c r="I487" s="2"/>
    </row>
    <row r="488" spans="1:9" ht="19.8" customHeight="1" x14ac:dyDescent="0.3">
      <c r="A488" s="143">
        <v>46028</v>
      </c>
      <c r="B488" s="83" t="s">
        <v>31</v>
      </c>
      <c r="C488" s="84" t="s">
        <v>32</v>
      </c>
      <c r="D488" s="83" t="s">
        <v>1</v>
      </c>
      <c r="E488" s="144">
        <v>1.836805555555556</v>
      </c>
      <c r="F488" s="83" t="s">
        <v>36</v>
      </c>
      <c r="G488" s="85">
        <v>8</v>
      </c>
      <c r="H488" s="141">
        <v>659</v>
      </c>
      <c r="I488" s="2"/>
    </row>
    <row r="489" spans="1:9" ht="19.8" customHeight="1" x14ac:dyDescent="0.3">
      <c r="A489" s="143">
        <v>46028</v>
      </c>
      <c r="B489" s="83" t="s">
        <v>31</v>
      </c>
      <c r="C489" s="84" t="s">
        <v>51</v>
      </c>
      <c r="D489" s="83" t="s">
        <v>1</v>
      </c>
      <c r="E489" s="144">
        <v>1.2013888888888891</v>
      </c>
      <c r="F489" s="83" t="s">
        <v>36</v>
      </c>
      <c r="G489" s="85">
        <v>4</v>
      </c>
      <c r="H489" s="141">
        <v>659</v>
      </c>
      <c r="I489" s="2"/>
    </row>
    <row r="490" spans="1:9" ht="19.8" customHeight="1" x14ac:dyDescent="0.3">
      <c r="A490" s="143">
        <v>46028</v>
      </c>
      <c r="B490" s="83" t="s">
        <v>31</v>
      </c>
      <c r="C490" s="84" t="s">
        <v>32</v>
      </c>
      <c r="D490" s="83" t="s">
        <v>1</v>
      </c>
      <c r="E490" s="144">
        <v>1.836805555555556</v>
      </c>
      <c r="F490" s="83" t="s">
        <v>38</v>
      </c>
      <c r="G490" s="85">
        <v>8</v>
      </c>
      <c r="H490" s="141">
        <v>749</v>
      </c>
      <c r="I490" s="2"/>
    </row>
    <row r="491" spans="1:9" ht="19.8" customHeight="1" x14ac:dyDescent="0.3">
      <c r="A491" s="143">
        <v>46028</v>
      </c>
      <c r="B491" s="83" t="s">
        <v>31</v>
      </c>
      <c r="C491" s="84" t="s">
        <v>51</v>
      </c>
      <c r="D491" s="83" t="s">
        <v>1</v>
      </c>
      <c r="E491" s="144">
        <v>1.2013888888888891</v>
      </c>
      <c r="F491" s="83" t="s">
        <v>38</v>
      </c>
      <c r="G491" s="85">
        <v>4</v>
      </c>
      <c r="H491" s="141">
        <v>749</v>
      </c>
      <c r="I491" s="2"/>
    </row>
    <row r="492" spans="1:9" ht="19.8" customHeight="1" x14ac:dyDescent="0.3">
      <c r="A492" s="143">
        <v>46028</v>
      </c>
      <c r="B492" s="83" t="s">
        <v>46</v>
      </c>
      <c r="C492" s="84" t="s">
        <v>47</v>
      </c>
      <c r="D492" s="83" t="s">
        <v>1</v>
      </c>
      <c r="E492" s="144">
        <v>1.305555555555556</v>
      </c>
      <c r="F492" s="83" t="s">
        <v>80</v>
      </c>
      <c r="G492" s="85">
        <v>20</v>
      </c>
      <c r="H492" s="95" t="s">
        <v>122</v>
      </c>
      <c r="I492" s="2"/>
    </row>
    <row r="493" spans="1:9" ht="19.8" customHeight="1" x14ac:dyDescent="0.3">
      <c r="A493" s="145">
        <v>46028</v>
      </c>
      <c r="B493" s="87" t="s">
        <v>71</v>
      </c>
      <c r="C493" s="88" t="s">
        <v>72</v>
      </c>
      <c r="D493" s="87" t="s">
        <v>1</v>
      </c>
      <c r="E493" s="146">
        <v>1.305555555555556</v>
      </c>
      <c r="F493" s="87" t="s">
        <v>73</v>
      </c>
      <c r="G493" s="89">
        <v>4</v>
      </c>
      <c r="H493" s="90" t="s">
        <v>133</v>
      </c>
      <c r="I493" s="2"/>
    </row>
    <row r="494" spans="1:9" ht="19.8" customHeight="1" x14ac:dyDescent="0.3">
      <c r="A494" s="143">
        <v>46029</v>
      </c>
      <c r="B494" s="83" t="s">
        <v>46</v>
      </c>
      <c r="C494" s="84" t="s">
        <v>47</v>
      </c>
      <c r="D494" s="83" t="s">
        <v>1</v>
      </c>
      <c r="E494" s="144">
        <v>1.305555555555556</v>
      </c>
      <c r="F494" s="83" t="s">
        <v>85</v>
      </c>
      <c r="G494" s="85">
        <v>20</v>
      </c>
      <c r="H494" s="141">
        <v>469</v>
      </c>
      <c r="I494" s="2"/>
    </row>
    <row r="495" spans="1:9" ht="19.8" customHeight="1" x14ac:dyDescent="0.3">
      <c r="A495" s="143">
        <v>46029</v>
      </c>
      <c r="B495" s="83" t="s">
        <v>82</v>
      </c>
      <c r="C495" s="84" t="s">
        <v>83</v>
      </c>
      <c r="D495" s="83" t="s">
        <v>1</v>
      </c>
      <c r="E495" s="144">
        <v>1.0902777777777779</v>
      </c>
      <c r="F495" s="83" t="s">
        <v>167</v>
      </c>
      <c r="G495" s="85">
        <v>2</v>
      </c>
      <c r="H495" s="141">
        <v>568</v>
      </c>
      <c r="I495" s="2"/>
    </row>
    <row r="496" spans="1:9" ht="19.8" customHeight="1" x14ac:dyDescent="0.3">
      <c r="A496" s="143">
        <v>46029</v>
      </c>
      <c r="B496" s="83" t="s">
        <v>46</v>
      </c>
      <c r="C496" s="84" t="s">
        <v>47</v>
      </c>
      <c r="D496" s="83" t="s">
        <v>1</v>
      </c>
      <c r="E496" s="144">
        <v>1.305555555555556</v>
      </c>
      <c r="F496" s="83" t="s">
        <v>88</v>
      </c>
      <c r="G496" s="85">
        <v>20</v>
      </c>
      <c r="H496" s="141">
        <v>619</v>
      </c>
      <c r="I496" s="2"/>
    </row>
    <row r="497" spans="1:9" ht="19.8" customHeight="1" x14ac:dyDescent="0.3">
      <c r="A497" s="143">
        <v>46029</v>
      </c>
      <c r="B497" s="83" t="s">
        <v>76</v>
      </c>
      <c r="C497" s="84" t="s">
        <v>77</v>
      </c>
      <c r="D497" s="83" t="s">
        <v>1</v>
      </c>
      <c r="E497" s="144">
        <v>1.9722222222222221</v>
      </c>
      <c r="F497" s="83" t="s">
        <v>78</v>
      </c>
      <c r="G497" s="85">
        <v>9</v>
      </c>
      <c r="H497" s="141">
        <v>621</v>
      </c>
      <c r="I497" s="2"/>
    </row>
    <row r="498" spans="1:9" ht="19.8" customHeight="1" x14ac:dyDescent="0.3">
      <c r="A498" s="143">
        <v>46029</v>
      </c>
      <c r="B498" s="83" t="s">
        <v>26</v>
      </c>
      <c r="C498" s="84" t="s">
        <v>27</v>
      </c>
      <c r="D498" s="83" t="s">
        <v>1</v>
      </c>
      <c r="E498" s="144">
        <v>1.895833333333333</v>
      </c>
      <c r="F498" s="83" t="s">
        <v>167</v>
      </c>
      <c r="G498" s="85">
        <v>1</v>
      </c>
      <c r="H498" s="141">
        <v>679</v>
      </c>
      <c r="I498" s="2"/>
    </row>
    <row r="499" spans="1:9" ht="19.8" customHeight="1" x14ac:dyDescent="0.3">
      <c r="A499" s="143">
        <v>46029</v>
      </c>
      <c r="B499" s="83" t="s">
        <v>40</v>
      </c>
      <c r="C499" s="84" t="s">
        <v>60</v>
      </c>
      <c r="D499" s="83" t="s">
        <v>1</v>
      </c>
      <c r="E499" s="144">
        <v>1.1701388888888891</v>
      </c>
      <c r="F499" s="83" t="s">
        <v>42</v>
      </c>
      <c r="G499" s="85">
        <v>9</v>
      </c>
      <c r="H499" s="141">
        <v>697</v>
      </c>
      <c r="I499" s="2"/>
    </row>
    <row r="500" spans="1:9" ht="19.8" customHeight="1" x14ac:dyDescent="0.3">
      <c r="A500" s="143">
        <v>46029</v>
      </c>
      <c r="B500" s="83" t="s">
        <v>40</v>
      </c>
      <c r="C500" s="84" t="s">
        <v>41</v>
      </c>
      <c r="D500" s="83" t="s">
        <v>1</v>
      </c>
      <c r="E500" s="144">
        <v>1.864583333333333</v>
      </c>
      <c r="F500" s="83" t="s">
        <v>42</v>
      </c>
      <c r="G500" s="85">
        <v>9</v>
      </c>
      <c r="H500" s="141">
        <v>757</v>
      </c>
      <c r="I500" s="2"/>
    </row>
    <row r="501" spans="1:9" ht="19.8" customHeight="1" x14ac:dyDescent="0.3">
      <c r="A501" s="143">
        <v>46029</v>
      </c>
      <c r="B501" s="83" t="s">
        <v>40</v>
      </c>
      <c r="C501" s="84" t="s">
        <v>44</v>
      </c>
      <c r="D501" s="83" t="s">
        <v>1</v>
      </c>
      <c r="E501" s="144">
        <v>1.5277777777777779</v>
      </c>
      <c r="F501" s="83" t="s">
        <v>42</v>
      </c>
      <c r="G501" s="85">
        <v>9</v>
      </c>
      <c r="H501" s="141">
        <v>757</v>
      </c>
      <c r="I501" s="2"/>
    </row>
    <row r="502" spans="1:9" ht="19.8" customHeight="1" x14ac:dyDescent="0.3">
      <c r="A502" s="143">
        <v>46029</v>
      </c>
      <c r="B502" s="83" t="s">
        <v>31</v>
      </c>
      <c r="C502" s="84" t="s">
        <v>32</v>
      </c>
      <c r="D502" s="83" t="s">
        <v>1</v>
      </c>
      <c r="E502" s="144">
        <v>1.836805555555556</v>
      </c>
      <c r="F502" s="83" t="s">
        <v>33</v>
      </c>
      <c r="G502" s="85">
        <v>9</v>
      </c>
      <c r="H502" s="141">
        <v>759</v>
      </c>
      <c r="I502" s="2"/>
    </row>
    <row r="503" spans="1:9" ht="19.8" customHeight="1" x14ac:dyDescent="0.3">
      <c r="A503" s="143">
        <v>46029</v>
      </c>
      <c r="B503" s="83" t="s">
        <v>76</v>
      </c>
      <c r="C503" s="84" t="s">
        <v>77</v>
      </c>
      <c r="D503" s="83" t="s">
        <v>1</v>
      </c>
      <c r="E503" s="144">
        <v>1.9722222222222221</v>
      </c>
      <c r="F503" s="83" t="s">
        <v>80</v>
      </c>
      <c r="G503" s="85">
        <v>9</v>
      </c>
      <c r="H503" s="141">
        <v>827</v>
      </c>
      <c r="I503" s="2"/>
    </row>
    <row r="504" spans="1:9" ht="19.8" customHeight="1" x14ac:dyDescent="0.3">
      <c r="A504" s="143">
        <v>46029</v>
      </c>
      <c r="B504" s="83" t="s">
        <v>31</v>
      </c>
      <c r="C504" s="84" t="s">
        <v>32</v>
      </c>
      <c r="D504" s="83" t="s">
        <v>1</v>
      </c>
      <c r="E504" s="144">
        <v>1.836805555555556</v>
      </c>
      <c r="F504" s="83" t="s">
        <v>36</v>
      </c>
      <c r="G504" s="85">
        <v>9</v>
      </c>
      <c r="H504" s="141">
        <v>859</v>
      </c>
      <c r="I504" s="2"/>
    </row>
    <row r="505" spans="1:9" ht="19.8" customHeight="1" x14ac:dyDescent="0.3">
      <c r="A505" s="143">
        <v>46029</v>
      </c>
      <c r="B505" s="83" t="s">
        <v>46</v>
      </c>
      <c r="C505" s="84" t="s">
        <v>47</v>
      </c>
      <c r="D505" s="83" t="s">
        <v>1</v>
      </c>
      <c r="E505" s="144">
        <v>1.305555555555556</v>
      </c>
      <c r="F505" s="83" t="s">
        <v>80</v>
      </c>
      <c r="G505" s="85">
        <v>20</v>
      </c>
      <c r="H505" s="141">
        <v>899</v>
      </c>
      <c r="I505" s="2"/>
    </row>
    <row r="506" spans="1:9" ht="19.8" customHeight="1" x14ac:dyDescent="0.3">
      <c r="A506" s="143">
        <v>46029</v>
      </c>
      <c r="B506" s="83" t="s">
        <v>31</v>
      </c>
      <c r="C506" s="84" t="s">
        <v>32</v>
      </c>
      <c r="D506" s="83" t="s">
        <v>1</v>
      </c>
      <c r="E506" s="144">
        <v>1.836805555555556</v>
      </c>
      <c r="F506" s="83" t="s">
        <v>38</v>
      </c>
      <c r="G506" s="85">
        <v>9</v>
      </c>
      <c r="H506" s="141">
        <v>949</v>
      </c>
      <c r="I506" s="2"/>
    </row>
    <row r="507" spans="1:9" ht="19.8" customHeight="1" x14ac:dyDescent="0.3">
      <c r="A507" s="145">
        <v>46029</v>
      </c>
      <c r="B507" s="87" t="s">
        <v>71</v>
      </c>
      <c r="C507" s="88" t="s">
        <v>72</v>
      </c>
      <c r="D507" s="87" t="s">
        <v>1</v>
      </c>
      <c r="E507" s="146">
        <v>1.305555555555556</v>
      </c>
      <c r="F507" s="87" t="s">
        <v>73</v>
      </c>
      <c r="G507" s="89">
        <v>4</v>
      </c>
      <c r="H507" s="90" t="s">
        <v>189</v>
      </c>
      <c r="I507" s="2"/>
    </row>
    <row r="508" spans="1:9" ht="19.8" customHeight="1" x14ac:dyDescent="0.3">
      <c r="A508" s="143">
        <v>46030</v>
      </c>
      <c r="B508" s="83" t="s">
        <v>46</v>
      </c>
      <c r="C508" s="84" t="s">
        <v>47</v>
      </c>
      <c r="D508" s="83" t="s">
        <v>1</v>
      </c>
      <c r="E508" s="144">
        <v>1.305555555555556</v>
      </c>
      <c r="F508" s="83" t="s">
        <v>85</v>
      </c>
      <c r="G508" s="85">
        <v>20</v>
      </c>
      <c r="H508" s="141">
        <v>599</v>
      </c>
      <c r="I508" s="2"/>
    </row>
    <row r="509" spans="1:9" ht="19.8" customHeight="1" x14ac:dyDescent="0.3">
      <c r="A509" s="143">
        <v>46030</v>
      </c>
      <c r="B509" s="83" t="s">
        <v>31</v>
      </c>
      <c r="C509" s="84" t="s">
        <v>51</v>
      </c>
      <c r="D509" s="83" t="s">
        <v>1</v>
      </c>
      <c r="E509" s="144">
        <v>1.2013888888888891</v>
      </c>
      <c r="F509" s="83" t="s">
        <v>33</v>
      </c>
      <c r="G509" s="85">
        <v>3</v>
      </c>
      <c r="H509" s="141">
        <v>659</v>
      </c>
      <c r="I509" s="2"/>
    </row>
    <row r="510" spans="1:9" ht="19.8" customHeight="1" x14ac:dyDescent="0.3">
      <c r="A510" s="143">
        <v>46030</v>
      </c>
      <c r="B510" s="83" t="s">
        <v>40</v>
      </c>
      <c r="C510" s="84" t="s">
        <v>60</v>
      </c>
      <c r="D510" s="83" t="s">
        <v>1</v>
      </c>
      <c r="E510" s="144">
        <v>1.1701388888888891</v>
      </c>
      <c r="F510" s="83" t="s">
        <v>42</v>
      </c>
      <c r="G510" s="85">
        <v>9</v>
      </c>
      <c r="H510" s="141">
        <v>697</v>
      </c>
      <c r="I510" s="2"/>
    </row>
    <row r="511" spans="1:9" ht="19.8" customHeight="1" x14ac:dyDescent="0.3">
      <c r="A511" s="143">
        <v>46030</v>
      </c>
      <c r="B511" s="83" t="s">
        <v>46</v>
      </c>
      <c r="C511" s="84" t="s">
        <v>47</v>
      </c>
      <c r="D511" s="83" t="s">
        <v>1</v>
      </c>
      <c r="E511" s="144">
        <v>1.305555555555556</v>
      </c>
      <c r="F511" s="83" t="s">
        <v>88</v>
      </c>
      <c r="G511" s="85">
        <v>20</v>
      </c>
      <c r="H511" s="141">
        <v>749</v>
      </c>
      <c r="I511" s="2"/>
    </row>
    <row r="512" spans="1:9" ht="19.8" customHeight="1" x14ac:dyDescent="0.3">
      <c r="A512" s="143">
        <v>46030</v>
      </c>
      <c r="B512" s="83" t="s">
        <v>31</v>
      </c>
      <c r="C512" s="84" t="s">
        <v>51</v>
      </c>
      <c r="D512" s="83" t="s">
        <v>1</v>
      </c>
      <c r="E512" s="144">
        <v>1.2013888888888891</v>
      </c>
      <c r="F512" s="83" t="s">
        <v>36</v>
      </c>
      <c r="G512" s="85">
        <v>3</v>
      </c>
      <c r="H512" s="141">
        <v>759</v>
      </c>
      <c r="I512" s="2"/>
    </row>
    <row r="513" spans="1:9" ht="19.8" customHeight="1" x14ac:dyDescent="0.3">
      <c r="A513" s="143">
        <v>46030</v>
      </c>
      <c r="B513" s="83" t="s">
        <v>40</v>
      </c>
      <c r="C513" s="84" t="s">
        <v>44</v>
      </c>
      <c r="D513" s="83" t="s">
        <v>1</v>
      </c>
      <c r="E513" s="144">
        <v>1.5277777777777779</v>
      </c>
      <c r="F513" s="83" t="s">
        <v>42</v>
      </c>
      <c r="G513" s="85">
        <v>9</v>
      </c>
      <c r="H513" s="141">
        <v>817</v>
      </c>
      <c r="I513" s="2"/>
    </row>
    <row r="514" spans="1:9" ht="19.8" customHeight="1" x14ac:dyDescent="0.3">
      <c r="A514" s="143">
        <v>46030</v>
      </c>
      <c r="B514" s="83" t="s">
        <v>31</v>
      </c>
      <c r="C514" s="84" t="s">
        <v>51</v>
      </c>
      <c r="D514" s="83" t="s">
        <v>1</v>
      </c>
      <c r="E514" s="144">
        <v>1.2013888888888891</v>
      </c>
      <c r="F514" s="83" t="s">
        <v>38</v>
      </c>
      <c r="G514" s="85">
        <v>3</v>
      </c>
      <c r="H514" s="141">
        <v>849</v>
      </c>
      <c r="I514" s="2"/>
    </row>
    <row r="515" spans="1:9" ht="19.8" customHeight="1" x14ac:dyDescent="0.3">
      <c r="A515" s="143">
        <v>46030</v>
      </c>
      <c r="B515" s="83" t="s">
        <v>46</v>
      </c>
      <c r="C515" s="84" t="s">
        <v>47</v>
      </c>
      <c r="D515" s="83" t="s">
        <v>1</v>
      </c>
      <c r="E515" s="144">
        <v>1.305555555555556</v>
      </c>
      <c r="F515" s="83" t="s">
        <v>80</v>
      </c>
      <c r="G515" s="85">
        <v>20</v>
      </c>
      <c r="H515" s="141">
        <v>899</v>
      </c>
      <c r="I515" s="2"/>
    </row>
    <row r="516" spans="1:9" ht="19.8" customHeight="1" x14ac:dyDescent="0.3">
      <c r="A516" s="143">
        <v>46030</v>
      </c>
      <c r="B516" s="83" t="s">
        <v>26</v>
      </c>
      <c r="C516" s="84" t="s">
        <v>99</v>
      </c>
      <c r="D516" s="83" t="s">
        <v>1</v>
      </c>
      <c r="E516" s="144">
        <v>1.5625</v>
      </c>
      <c r="F516" s="83" t="s">
        <v>167</v>
      </c>
      <c r="G516" s="85">
        <v>2</v>
      </c>
      <c r="H516" s="141">
        <v>914</v>
      </c>
      <c r="I516" s="2"/>
    </row>
    <row r="517" spans="1:9" ht="19.8" customHeight="1" x14ac:dyDescent="0.3">
      <c r="A517" s="143">
        <v>46030</v>
      </c>
      <c r="B517" s="83" t="s">
        <v>26</v>
      </c>
      <c r="C517" s="84" t="s">
        <v>57</v>
      </c>
      <c r="D517" s="83" t="s">
        <v>1</v>
      </c>
      <c r="E517" s="144">
        <v>1.958333333333333</v>
      </c>
      <c r="F517" s="83" t="s">
        <v>167</v>
      </c>
      <c r="G517" s="85">
        <v>9</v>
      </c>
      <c r="H517" s="95" t="s">
        <v>210</v>
      </c>
      <c r="I517" s="2"/>
    </row>
    <row r="518" spans="1:9" ht="19.8" customHeight="1" x14ac:dyDescent="0.3">
      <c r="A518" s="143">
        <v>46030</v>
      </c>
      <c r="B518" s="83" t="s">
        <v>31</v>
      </c>
      <c r="C518" s="84" t="s">
        <v>32</v>
      </c>
      <c r="D518" s="83" t="s">
        <v>1</v>
      </c>
      <c r="E518" s="144">
        <v>1.836805555555556</v>
      </c>
      <c r="F518" s="83" t="s">
        <v>33</v>
      </c>
      <c r="G518" s="85">
        <v>5</v>
      </c>
      <c r="H518" s="95" t="s">
        <v>206</v>
      </c>
      <c r="I518" s="2"/>
    </row>
    <row r="519" spans="1:9" ht="19.8" customHeight="1" x14ac:dyDescent="0.3">
      <c r="A519" s="147">
        <v>46030</v>
      </c>
      <c r="B519" s="92" t="s">
        <v>64</v>
      </c>
      <c r="C519" s="93" t="s">
        <v>65</v>
      </c>
      <c r="D519" s="92" t="s">
        <v>1</v>
      </c>
      <c r="E519" s="148">
        <v>1.9236111111111109</v>
      </c>
      <c r="F519" s="92" t="s">
        <v>167</v>
      </c>
      <c r="G519" s="94">
        <v>9</v>
      </c>
      <c r="H519" s="99" t="s">
        <v>211</v>
      </c>
      <c r="I519" s="2"/>
    </row>
    <row r="520" spans="1:9" ht="19.8" customHeight="1" x14ac:dyDescent="0.3">
      <c r="A520" s="143">
        <v>46030</v>
      </c>
      <c r="B520" s="83" t="s">
        <v>31</v>
      </c>
      <c r="C520" s="84" t="s">
        <v>32</v>
      </c>
      <c r="D520" s="83" t="s">
        <v>1</v>
      </c>
      <c r="E520" s="144">
        <v>1.836805555555556</v>
      </c>
      <c r="F520" s="83" t="s">
        <v>36</v>
      </c>
      <c r="G520" s="85">
        <v>5</v>
      </c>
      <c r="H520" s="95" t="s">
        <v>207</v>
      </c>
      <c r="I520" s="2"/>
    </row>
    <row r="521" spans="1:9" ht="19.8" customHeight="1" x14ac:dyDescent="0.3">
      <c r="A521" s="143">
        <v>46030</v>
      </c>
      <c r="B521" s="83" t="s">
        <v>31</v>
      </c>
      <c r="C521" s="84" t="s">
        <v>32</v>
      </c>
      <c r="D521" s="83" t="s">
        <v>1</v>
      </c>
      <c r="E521" s="144">
        <v>1.836805555555556</v>
      </c>
      <c r="F521" s="83" t="s">
        <v>38</v>
      </c>
      <c r="G521" s="85">
        <v>5</v>
      </c>
      <c r="H521" s="95" t="s">
        <v>208</v>
      </c>
      <c r="I521" s="2"/>
    </row>
    <row r="522" spans="1:9" ht="19.8" customHeight="1" x14ac:dyDescent="0.3">
      <c r="A522" s="143">
        <v>46030</v>
      </c>
      <c r="B522" s="83" t="s">
        <v>40</v>
      </c>
      <c r="C522" s="84" t="s">
        <v>41</v>
      </c>
      <c r="D522" s="83" t="s">
        <v>1</v>
      </c>
      <c r="E522" s="144">
        <v>1.8784722222222221</v>
      </c>
      <c r="F522" s="83" t="s">
        <v>42</v>
      </c>
      <c r="G522" s="85">
        <v>9</v>
      </c>
      <c r="H522" s="95" t="s">
        <v>129</v>
      </c>
      <c r="I522" s="2"/>
    </row>
    <row r="523" spans="1:9" ht="19.8" customHeight="1" x14ac:dyDescent="0.3">
      <c r="A523" s="143">
        <v>46030</v>
      </c>
      <c r="B523" s="83" t="s">
        <v>82</v>
      </c>
      <c r="C523" s="84" t="s">
        <v>83</v>
      </c>
      <c r="D523" s="83" t="s">
        <v>1</v>
      </c>
      <c r="E523" s="144">
        <v>1.9652777777777779</v>
      </c>
      <c r="F523" s="83" t="s">
        <v>167</v>
      </c>
      <c r="G523" s="85">
        <v>5</v>
      </c>
      <c r="H523" s="95" t="s">
        <v>189</v>
      </c>
      <c r="I523" s="2"/>
    </row>
    <row r="524" spans="1:9" ht="19.8" customHeight="1" x14ac:dyDescent="0.3">
      <c r="A524" s="145">
        <v>46030</v>
      </c>
      <c r="B524" s="87" t="s">
        <v>71</v>
      </c>
      <c r="C524" s="88" t="s">
        <v>72</v>
      </c>
      <c r="D524" s="87" t="s">
        <v>1</v>
      </c>
      <c r="E524" s="146">
        <v>1.305555555555556</v>
      </c>
      <c r="F524" s="87" t="s">
        <v>73</v>
      </c>
      <c r="G524" s="89">
        <v>4</v>
      </c>
      <c r="H524" s="90" t="s">
        <v>214</v>
      </c>
      <c r="I524" s="2"/>
    </row>
    <row r="525" spans="1:9" ht="19.8" customHeight="1" x14ac:dyDescent="0.3">
      <c r="A525" s="143">
        <v>46031</v>
      </c>
      <c r="B525" s="83" t="s">
        <v>46</v>
      </c>
      <c r="C525" s="84" t="s">
        <v>47</v>
      </c>
      <c r="D525" s="83" t="s">
        <v>1</v>
      </c>
      <c r="E525" s="144">
        <v>1.305555555555556</v>
      </c>
      <c r="F525" s="83" t="s">
        <v>85</v>
      </c>
      <c r="G525" s="85">
        <v>18</v>
      </c>
      <c r="H525" s="141">
        <v>549</v>
      </c>
      <c r="I525" s="2"/>
    </row>
    <row r="526" spans="1:9" ht="19.8" customHeight="1" x14ac:dyDescent="0.3">
      <c r="A526" s="143">
        <v>46031</v>
      </c>
      <c r="B526" s="83" t="s">
        <v>46</v>
      </c>
      <c r="C526" s="84" t="s">
        <v>47</v>
      </c>
      <c r="D526" s="83" t="s">
        <v>1</v>
      </c>
      <c r="E526" s="144">
        <v>1.305555555555556</v>
      </c>
      <c r="F526" s="83" t="s">
        <v>88</v>
      </c>
      <c r="G526" s="85">
        <v>18</v>
      </c>
      <c r="H526" s="141">
        <v>699</v>
      </c>
      <c r="I526" s="2"/>
    </row>
    <row r="527" spans="1:9" ht="19.8" customHeight="1" x14ac:dyDescent="0.3">
      <c r="A527" s="143">
        <v>46031</v>
      </c>
      <c r="B527" s="83" t="s">
        <v>40</v>
      </c>
      <c r="C527" s="84" t="s">
        <v>41</v>
      </c>
      <c r="D527" s="83" t="s">
        <v>1</v>
      </c>
      <c r="E527" s="144">
        <v>1.864583333333333</v>
      </c>
      <c r="F527" s="83" t="s">
        <v>42</v>
      </c>
      <c r="G527" s="85">
        <v>9</v>
      </c>
      <c r="H527" s="141">
        <v>757</v>
      </c>
      <c r="I527" s="2"/>
    </row>
    <row r="528" spans="1:9" ht="19.8" customHeight="1" x14ac:dyDescent="0.3">
      <c r="A528" s="143">
        <v>46031</v>
      </c>
      <c r="B528" s="83" t="s">
        <v>26</v>
      </c>
      <c r="C528" s="84" t="s">
        <v>27</v>
      </c>
      <c r="D528" s="83" t="s">
        <v>1</v>
      </c>
      <c r="E528" s="144">
        <v>1.958333333333333</v>
      </c>
      <c r="F528" s="83" t="s">
        <v>167</v>
      </c>
      <c r="G528" s="85">
        <v>1</v>
      </c>
      <c r="H528" s="141">
        <v>811</v>
      </c>
      <c r="I528" s="2"/>
    </row>
    <row r="529" spans="1:9" ht="19.8" customHeight="1" x14ac:dyDescent="0.3">
      <c r="A529" s="143">
        <v>46031</v>
      </c>
      <c r="B529" s="83" t="s">
        <v>40</v>
      </c>
      <c r="C529" s="84" t="s">
        <v>60</v>
      </c>
      <c r="D529" s="83" t="s">
        <v>1</v>
      </c>
      <c r="E529" s="144">
        <v>1.1701388888888891</v>
      </c>
      <c r="F529" s="83" t="s">
        <v>42</v>
      </c>
      <c r="G529" s="85">
        <v>9</v>
      </c>
      <c r="H529" s="141">
        <v>817</v>
      </c>
      <c r="I529" s="2"/>
    </row>
    <row r="530" spans="1:9" ht="19.8" customHeight="1" x14ac:dyDescent="0.3">
      <c r="A530" s="143">
        <v>46031</v>
      </c>
      <c r="B530" s="83" t="s">
        <v>31</v>
      </c>
      <c r="C530" s="84" t="s">
        <v>32</v>
      </c>
      <c r="D530" s="83" t="s">
        <v>1</v>
      </c>
      <c r="E530" s="144">
        <v>1.836805555555556</v>
      </c>
      <c r="F530" s="83" t="s">
        <v>33</v>
      </c>
      <c r="G530" s="85">
        <v>9</v>
      </c>
      <c r="H530" s="141">
        <v>879</v>
      </c>
      <c r="I530" s="2"/>
    </row>
    <row r="531" spans="1:9" ht="19.8" customHeight="1" x14ac:dyDescent="0.3">
      <c r="A531" s="143">
        <v>46031</v>
      </c>
      <c r="B531" s="83" t="s">
        <v>31</v>
      </c>
      <c r="C531" s="84" t="s">
        <v>32</v>
      </c>
      <c r="D531" s="83" t="s">
        <v>1</v>
      </c>
      <c r="E531" s="144">
        <v>1.836805555555556</v>
      </c>
      <c r="F531" s="83" t="s">
        <v>36</v>
      </c>
      <c r="G531" s="85">
        <v>9</v>
      </c>
      <c r="H531" s="141">
        <v>979</v>
      </c>
      <c r="I531" s="2"/>
    </row>
    <row r="532" spans="1:9" ht="19.8" customHeight="1" x14ac:dyDescent="0.3">
      <c r="A532" s="147">
        <v>46031</v>
      </c>
      <c r="B532" s="92" t="s">
        <v>64</v>
      </c>
      <c r="C532" s="93" t="s">
        <v>65</v>
      </c>
      <c r="D532" s="92" t="s">
        <v>1</v>
      </c>
      <c r="E532" s="148">
        <v>1.5798611111111109</v>
      </c>
      <c r="F532" s="92" t="s">
        <v>167</v>
      </c>
      <c r="G532" s="94">
        <v>2</v>
      </c>
      <c r="H532" s="99" t="s">
        <v>220</v>
      </c>
      <c r="I532" s="2"/>
    </row>
    <row r="533" spans="1:9" ht="19.8" customHeight="1" x14ac:dyDescent="0.3">
      <c r="A533" s="143">
        <v>46031</v>
      </c>
      <c r="B533" s="83" t="s">
        <v>31</v>
      </c>
      <c r="C533" s="84" t="s">
        <v>32</v>
      </c>
      <c r="D533" s="83" t="s">
        <v>1</v>
      </c>
      <c r="E533" s="144">
        <v>1.836805555555556</v>
      </c>
      <c r="F533" s="83" t="s">
        <v>38</v>
      </c>
      <c r="G533" s="85">
        <v>9</v>
      </c>
      <c r="H533" s="95" t="s">
        <v>219</v>
      </c>
      <c r="I533" s="2"/>
    </row>
    <row r="534" spans="1:9" ht="19.8" customHeight="1" x14ac:dyDescent="0.3">
      <c r="A534" s="143">
        <v>46031</v>
      </c>
      <c r="B534" s="83" t="s">
        <v>46</v>
      </c>
      <c r="C534" s="84" t="s">
        <v>47</v>
      </c>
      <c r="D534" s="83" t="s">
        <v>1</v>
      </c>
      <c r="E534" s="144">
        <v>1.305555555555556</v>
      </c>
      <c r="F534" s="83" t="s">
        <v>80</v>
      </c>
      <c r="G534" s="85">
        <v>18</v>
      </c>
      <c r="H534" s="95" t="s">
        <v>122</v>
      </c>
      <c r="I534" s="2"/>
    </row>
    <row r="535" spans="1:9" ht="19.8" customHeight="1" x14ac:dyDescent="0.3">
      <c r="A535" s="143">
        <v>46031</v>
      </c>
      <c r="B535" s="83" t="s">
        <v>40</v>
      </c>
      <c r="C535" s="84" t="s">
        <v>44</v>
      </c>
      <c r="D535" s="83" t="s">
        <v>1</v>
      </c>
      <c r="E535" s="144">
        <v>1.5138888888888891</v>
      </c>
      <c r="F535" s="83" t="s">
        <v>42</v>
      </c>
      <c r="G535" s="85">
        <v>9</v>
      </c>
      <c r="H535" s="95" t="s">
        <v>146</v>
      </c>
      <c r="I535" s="2"/>
    </row>
    <row r="536" spans="1:9" ht="19.8" customHeight="1" x14ac:dyDescent="0.3">
      <c r="A536" s="143">
        <v>46031</v>
      </c>
      <c r="B536" s="83" t="s">
        <v>82</v>
      </c>
      <c r="C536" s="84" t="s">
        <v>123</v>
      </c>
      <c r="D536" s="83" t="s">
        <v>1</v>
      </c>
      <c r="E536" s="144">
        <v>1.2152777777777779</v>
      </c>
      <c r="F536" s="83" t="s">
        <v>167</v>
      </c>
      <c r="G536" s="85">
        <v>4</v>
      </c>
      <c r="H536" s="95" t="s">
        <v>189</v>
      </c>
      <c r="I536" s="2"/>
    </row>
    <row r="537" spans="1:9" ht="19.8" customHeight="1" x14ac:dyDescent="0.3">
      <c r="A537" s="145">
        <v>46031</v>
      </c>
      <c r="B537" s="87" t="s">
        <v>71</v>
      </c>
      <c r="C537" s="88" t="s">
        <v>72</v>
      </c>
      <c r="D537" s="87" t="s">
        <v>1</v>
      </c>
      <c r="E537" s="146">
        <v>1.305555555555556</v>
      </c>
      <c r="F537" s="87" t="s">
        <v>73</v>
      </c>
      <c r="G537" s="89">
        <v>4</v>
      </c>
      <c r="H537" s="90" t="s">
        <v>214</v>
      </c>
      <c r="I537" s="2"/>
    </row>
    <row r="538" spans="1:9" ht="19.8" customHeight="1" x14ac:dyDescent="0.3">
      <c r="A538" s="143">
        <v>46032</v>
      </c>
      <c r="B538" s="83" t="s">
        <v>46</v>
      </c>
      <c r="C538" s="84" t="s">
        <v>47</v>
      </c>
      <c r="D538" s="83" t="s">
        <v>1</v>
      </c>
      <c r="E538" s="144">
        <v>1.305555555555556</v>
      </c>
      <c r="F538" s="83" t="s">
        <v>85</v>
      </c>
      <c r="G538" s="85">
        <v>20</v>
      </c>
      <c r="H538" s="141">
        <v>549</v>
      </c>
      <c r="I538" s="2"/>
    </row>
    <row r="539" spans="1:9" ht="19.8" customHeight="1" x14ac:dyDescent="0.3">
      <c r="A539" s="143">
        <v>46032</v>
      </c>
      <c r="B539" s="83" t="s">
        <v>31</v>
      </c>
      <c r="C539" s="84" t="s">
        <v>32</v>
      </c>
      <c r="D539" s="83" t="s">
        <v>1</v>
      </c>
      <c r="E539" s="144">
        <v>1.836805555555556</v>
      </c>
      <c r="F539" s="83" t="s">
        <v>33</v>
      </c>
      <c r="G539" s="85">
        <v>1</v>
      </c>
      <c r="H539" s="141">
        <v>609</v>
      </c>
      <c r="I539" s="2"/>
    </row>
    <row r="540" spans="1:9" ht="19.8" customHeight="1" x14ac:dyDescent="0.3">
      <c r="A540" s="143">
        <v>46032</v>
      </c>
      <c r="B540" s="83" t="s">
        <v>31</v>
      </c>
      <c r="C540" s="84" t="s">
        <v>51</v>
      </c>
      <c r="D540" s="83" t="s">
        <v>1</v>
      </c>
      <c r="E540" s="144">
        <v>1.2013888888888891</v>
      </c>
      <c r="F540" s="83" t="s">
        <v>33</v>
      </c>
      <c r="G540" s="85">
        <v>1</v>
      </c>
      <c r="H540" s="141">
        <v>609</v>
      </c>
      <c r="I540" s="2"/>
    </row>
    <row r="541" spans="1:9" ht="19.8" customHeight="1" x14ac:dyDescent="0.3">
      <c r="A541" s="143">
        <v>46032</v>
      </c>
      <c r="B541" s="83" t="s">
        <v>76</v>
      </c>
      <c r="C541" s="84" t="s">
        <v>77</v>
      </c>
      <c r="D541" s="83" t="s">
        <v>1</v>
      </c>
      <c r="E541" s="144">
        <v>1.9722222222222221</v>
      </c>
      <c r="F541" s="83" t="s">
        <v>78</v>
      </c>
      <c r="G541" s="85">
        <v>9</v>
      </c>
      <c r="H541" s="141">
        <v>627</v>
      </c>
      <c r="I541" s="2"/>
    </row>
    <row r="542" spans="1:9" ht="19.8" customHeight="1" x14ac:dyDescent="0.3">
      <c r="A542" s="143">
        <v>46032</v>
      </c>
      <c r="B542" s="83" t="s">
        <v>40</v>
      </c>
      <c r="C542" s="84" t="s">
        <v>44</v>
      </c>
      <c r="D542" s="83" t="s">
        <v>1</v>
      </c>
      <c r="E542" s="144">
        <v>1.5277777777777779</v>
      </c>
      <c r="F542" s="83" t="s">
        <v>42</v>
      </c>
      <c r="G542" s="85">
        <v>9</v>
      </c>
      <c r="H542" s="141">
        <v>697</v>
      </c>
      <c r="I542" s="2"/>
    </row>
    <row r="543" spans="1:9" ht="19.8" customHeight="1" x14ac:dyDescent="0.3">
      <c r="A543" s="143">
        <v>46032</v>
      </c>
      <c r="B543" s="83" t="s">
        <v>46</v>
      </c>
      <c r="C543" s="84" t="s">
        <v>47</v>
      </c>
      <c r="D543" s="83" t="s">
        <v>1</v>
      </c>
      <c r="E543" s="144">
        <v>1.305555555555556</v>
      </c>
      <c r="F543" s="83" t="s">
        <v>88</v>
      </c>
      <c r="G543" s="85">
        <v>20</v>
      </c>
      <c r="H543" s="141">
        <v>699</v>
      </c>
      <c r="I543" s="2"/>
    </row>
    <row r="544" spans="1:9" ht="19.8" customHeight="1" x14ac:dyDescent="0.3">
      <c r="A544" s="143">
        <v>46032</v>
      </c>
      <c r="B544" s="83" t="s">
        <v>31</v>
      </c>
      <c r="C544" s="84" t="s">
        <v>32</v>
      </c>
      <c r="D544" s="83" t="s">
        <v>1</v>
      </c>
      <c r="E544" s="144">
        <v>1.836805555555556</v>
      </c>
      <c r="F544" s="83" t="s">
        <v>36</v>
      </c>
      <c r="G544" s="85">
        <v>1</v>
      </c>
      <c r="H544" s="141">
        <v>709</v>
      </c>
      <c r="I544" s="2"/>
    </row>
    <row r="545" spans="1:9" ht="19.8" customHeight="1" x14ac:dyDescent="0.3">
      <c r="A545" s="143">
        <v>46032</v>
      </c>
      <c r="B545" s="83" t="s">
        <v>31</v>
      </c>
      <c r="C545" s="84" t="s">
        <v>51</v>
      </c>
      <c r="D545" s="83" t="s">
        <v>1</v>
      </c>
      <c r="E545" s="144">
        <v>1.2013888888888891</v>
      </c>
      <c r="F545" s="83" t="s">
        <v>36</v>
      </c>
      <c r="G545" s="85">
        <v>1</v>
      </c>
      <c r="H545" s="141">
        <v>709</v>
      </c>
      <c r="I545" s="2"/>
    </row>
    <row r="546" spans="1:9" ht="19.8" customHeight="1" x14ac:dyDescent="0.3">
      <c r="A546" s="143">
        <v>46032</v>
      </c>
      <c r="B546" s="83" t="s">
        <v>26</v>
      </c>
      <c r="C546" s="84" t="s">
        <v>57</v>
      </c>
      <c r="D546" s="83" t="s">
        <v>1</v>
      </c>
      <c r="E546" s="144">
        <v>1.895833333333333</v>
      </c>
      <c r="F546" s="83" t="s">
        <v>167</v>
      </c>
      <c r="G546" s="85">
        <v>9</v>
      </c>
      <c r="H546" s="141">
        <v>723</v>
      </c>
      <c r="I546" s="2"/>
    </row>
    <row r="547" spans="1:9" ht="19.8" customHeight="1" x14ac:dyDescent="0.3">
      <c r="A547" s="143">
        <v>46032</v>
      </c>
      <c r="B547" s="83" t="s">
        <v>40</v>
      </c>
      <c r="C547" s="84" t="s">
        <v>41</v>
      </c>
      <c r="D547" s="83" t="s">
        <v>1</v>
      </c>
      <c r="E547" s="144">
        <v>1.864583333333333</v>
      </c>
      <c r="F547" s="83" t="s">
        <v>42</v>
      </c>
      <c r="G547" s="85">
        <v>9</v>
      </c>
      <c r="H547" s="141">
        <v>757</v>
      </c>
      <c r="I547" s="2"/>
    </row>
    <row r="548" spans="1:9" ht="19.8" customHeight="1" x14ac:dyDescent="0.3">
      <c r="A548" s="143">
        <v>46032</v>
      </c>
      <c r="B548" s="83" t="s">
        <v>40</v>
      </c>
      <c r="C548" s="84" t="s">
        <v>60</v>
      </c>
      <c r="D548" s="83" t="s">
        <v>1</v>
      </c>
      <c r="E548" s="144">
        <v>1.1701388888888891</v>
      </c>
      <c r="F548" s="83" t="s">
        <v>42</v>
      </c>
      <c r="G548" s="85">
        <v>9</v>
      </c>
      <c r="H548" s="141">
        <v>757</v>
      </c>
      <c r="I548" s="2"/>
    </row>
    <row r="549" spans="1:9" ht="19.8" customHeight="1" x14ac:dyDescent="0.3">
      <c r="A549" s="143">
        <v>46032</v>
      </c>
      <c r="B549" s="83" t="s">
        <v>31</v>
      </c>
      <c r="C549" s="84" t="s">
        <v>32</v>
      </c>
      <c r="D549" s="83" t="s">
        <v>1</v>
      </c>
      <c r="E549" s="144">
        <v>1.836805555555556</v>
      </c>
      <c r="F549" s="83" t="s">
        <v>38</v>
      </c>
      <c r="G549" s="85">
        <v>1</v>
      </c>
      <c r="H549" s="141">
        <v>799</v>
      </c>
      <c r="I549" s="2"/>
    </row>
    <row r="550" spans="1:9" ht="19.8" customHeight="1" x14ac:dyDescent="0.3">
      <c r="A550" s="143">
        <v>46032</v>
      </c>
      <c r="B550" s="83" t="s">
        <v>31</v>
      </c>
      <c r="C550" s="84" t="s">
        <v>51</v>
      </c>
      <c r="D550" s="83" t="s">
        <v>1</v>
      </c>
      <c r="E550" s="144">
        <v>1.2013888888888891</v>
      </c>
      <c r="F550" s="83" t="s">
        <v>38</v>
      </c>
      <c r="G550" s="85">
        <v>1</v>
      </c>
      <c r="H550" s="141">
        <v>799</v>
      </c>
      <c r="I550" s="2"/>
    </row>
    <row r="551" spans="1:9" ht="19.8" customHeight="1" x14ac:dyDescent="0.3">
      <c r="A551" s="143">
        <v>46032</v>
      </c>
      <c r="B551" s="83" t="s">
        <v>76</v>
      </c>
      <c r="C551" s="84" t="s">
        <v>77</v>
      </c>
      <c r="D551" s="83" t="s">
        <v>1</v>
      </c>
      <c r="E551" s="144">
        <v>1.9722222222222221</v>
      </c>
      <c r="F551" s="83" t="s">
        <v>80</v>
      </c>
      <c r="G551" s="85">
        <v>9</v>
      </c>
      <c r="H551" s="141">
        <v>832</v>
      </c>
      <c r="I551" s="2"/>
    </row>
    <row r="552" spans="1:9" ht="19.8" customHeight="1" x14ac:dyDescent="0.3">
      <c r="A552" s="147">
        <v>46032</v>
      </c>
      <c r="B552" s="92" t="s">
        <v>64</v>
      </c>
      <c r="C552" s="93" t="s">
        <v>65</v>
      </c>
      <c r="D552" s="92" t="s">
        <v>1</v>
      </c>
      <c r="E552" s="148">
        <v>1.9236111111111109</v>
      </c>
      <c r="F552" s="92" t="s">
        <v>167</v>
      </c>
      <c r="G552" s="94">
        <v>3</v>
      </c>
      <c r="H552" s="142">
        <v>896</v>
      </c>
      <c r="I552" s="2"/>
    </row>
    <row r="553" spans="1:9" ht="19.8" customHeight="1" x14ac:dyDescent="0.3">
      <c r="A553" s="143">
        <v>46032</v>
      </c>
      <c r="B553" s="83" t="s">
        <v>46</v>
      </c>
      <c r="C553" s="84" t="s">
        <v>47</v>
      </c>
      <c r="D553" s="83" t="s">
        <v>1</v>
      </c>
      <c r="E553" s="144">
        <v>1.305555555555556</v>
      </c>
      <c r="F553" s="83" t="s">
        <v>80</v>
      </c>
      <c r="G553" s="85">
        <v>20</v>
      </c>
      <c r="H553" s="141">
        <v>899</v>
      </c>
      <c r="I553" s="2"/>
    </row>
    <row r="554" spans="1:9" ht="19.8" customHeight="1" x14ac:dyDescent="0.3">
      <c r="A554" s="145">
        <v>46032</v>
      </c>
      <c r="B554" s="87" t="s">
        <v>71</v>
      </c>
      <c r="C554" s="88" t="s">
        <v>72</v>
      </c>
      <c r="D554" s="87" t="s">
        <v>1</v>
      </c>
      <c r="E554" s="146">
        <v>1.305555555555556</v>
      </c>
      <c r="F554" s="87" t="s">
        <v>73</v>
      </c>
      <c r="G554" s="89">
        <v>4</v>
      </c>
      <c r="H554" s="90" t="s">
        <v>214</v>
      </c>
      <c r="I554" s="2"/>
    </row>
    <row r="555" spans="1:9" ht="19.8" customHeight="1" x14ac:dyDescent="0.3">
      <c r="A555" s="143">
        <v>46033</v>
      </c>
      <c r="B555" s="83" t="s">
        <v>40</v>
      </c>
      <c r="C555" s="84" t="s">
        <v>60</v>
      </c>
      <c r="D555" s="83" t="s">
        <v>1</v>
      </c>
      <c r="E555" s="144">
        <v>1.1701388888888891</v>
      </c>
      <c r="F555" s="83" t="s">
        <v>101</v>
      </c>
      <c r="G555" s="85">
        <v>9</v>
      </c>
      <c r="H555" s="141">
        <v>487</v>
      </c>
      <c r="I555" s="2"/>
    </row>
    <row r="556" spans="1:9" ht="19.8" customHeight="1" x14ac:dyDescent="0.3">
      <c r="A556" s="143">
        <v>46033</v>
      </c>
      <c r="B556" s="83" t="s">
        <v>46</v>
      </c>
      <c r="C556" s="84" t="s">
        <v>47</v>
      </c>
      <c r="D556" s="83" t="s">
        <v>1</v>
      </c>
      <c r="E556" s="144">
        <v>1.305555555555556</v>
      </c>
      <c r="F556" s="83" t="s">
        <v>85</v>
      </c>
      <c r="G556" s="85">
        <v>20</v>
      </c>
      <c r="H556" s="141">
        <v>509</v>
      </c>
      <c r="I556" s="2"/>
    </row>
    <row r="557" spans="1:9" ht="19.8" customHeight="1" x14ac:dyDescent="0.3">
      <c r="A557" s="143">
        <v>46033</v>
      </c>
      <c r="B557" s="83" t="s">
        <v>40</v>
      </c>
      <c r="C557" s="84" t="s">
        <v>41</v>
      </c>
      <c r="D557" s="83" t="s">
        <v>1</v>
      </c>
      <c r="E557" s="144">
        <v>1.864583333333333</v>
      </c>
      <c r="F557" s="83" t="s">
        <v>101</v>
      </c>
      <c r="G557" s="85">
        <v>9</v>
      </c>
      <c r="H557" s="141">
        <v>517</v>
      </c>
      <c r="I557" s="2"/>
    </row>
    <row r="558" spans="1:9" ht="19.8" customHeight="1" x14ac:dyDescent="0.3">
      <c r="A558" s="143">
        <v>46033</v>
      </c>
      <c r="B558" s="83" t="s">
        <v>40</v>
      </c>
      <c r="C558" s="84" t="s">
        <v>44</v>
      </c>
      <c r="D558" s="83" t="s">
        <v>1</v>
      </c>
      <c r="E558" s="144">
        <v>1.5277777777777779</v>
      </c>
      <c r="F558" s="83" t="s">
        <v>101</v>
      </c>
      <c r="G558" s="85">
        <v>9</v>
      </c>
      <c r="H558" s="141">
        <v>517</v>
      </c>
      <c r="I558" s="2"/>
    </row>
    <row r="559" spans="1:9" ht="19.8" customHeight="1" x14ac:dyDescent="0.3">
      <c r="A559" s="143">
        <v>46033</v>
      </c>
      <c r="B559" s="83" t="s">
        <v>31</v>
      </c>
      <c r="C559" s="84" t="s">
        <v>32</v>
      </c>
      <c r="D559" s="83" t="s">
        <v>1</v>
      </c>
      <c r="E559" s="144">
        <v>1.836805555555556</v>
      </c>
      <c r="F559" s="83" t="s">
        <v>33</v>
      </c>
      <c r="G559" s="85">
        <v>4</v>
      </c>
      <c r="H559" s="141">
        <v>559</v>
      </c>
      <c r="I559" s="2"/>
    </row>
    <row r="560" spans="1:9" ht="19.8" customHeight="1" x14ac:dyDescent="0.3">
      <c r="A560" s="143">
        <v>46033</v>
      </c>
      <c r="B560" s="83" t="s">
        <v>82</v>
      </c>
      <c r="C560" s="84" t="s">
        <v>123</v>
      </c>
      <c r="D560" s="83" t="s">
        <v>1</v>
      </c>
      <c r="E560" s="144">
        <v>1.2152777777777779</v>
      </c>
      <c r="F560" s="83" t="s">
        <v>167</v>
      </c>
      <c r="G560" s="85">
        <v>3</v>
      </c>
      <c r="H560" s="141">
        <v>568</v>
      </c>
      <c r="I560" s="2"/>
    </row>
    <row r="561" spans="1:9" ht="19.8" customHeight="1" x14ac:dyDescent="0.3">
      <c r="A561" s="143">
        <v>46033</v>
      </c>
      <c r="B561" s="83" t="s">
        <v>26</v>
      </c>
      <c r="C561" s="84" t="s">
        <v>99</v>
      </c>
      <c r="D561" s="83" t="s">
        <v>1</v>
      </c>
      <c r="E561" s="144">
        <v>1.958333333333333</v>
      </c>
      <c r="F561" s="83" t="s">
        <v>167</v>
      </c>
      <c r="G561" s="85">
        <v>5</v>
      </c>
      <c r="H561" s="141">
        <v>629</v>
      </c>
      <c r="I561" s="2"/>
    </row>
    <row r="562" spans="1:9" ht="19.8" customHeight="1" x14ac:dyDescent="0.3">
      <c r="A562" s="143">
        <v>46033</v>
      </c>
      <c r="B562" s="83" t="s">
        <v>46</v>
      </c>
      <c r="C562" s="84" t="s">
        <v>47</v>
      </c>
      <c r="D562" s="83" t="s">
        <v>1</v>
      </c>
      <c r="E562" s="144">
        <v>1.305555555555556</v>
      </c>
      <c r="F562" s="83" t="s">
        <v>88</v>
      </c>
      <c r="G562" s="85">
        <v>20</v>
      </c>
      <c r="H562" s="141">
        <v>659</v>
      </c>
      <c r="I562" s="2"/>
    </row>
    <row r="563" spans="1:9" ht="19.8" customHeight="1" x14ac:dyDescent="0.3">
      <c r="A563" s="143">
        <v>46033</v>
      </c>
      <c r="B563" s="83" t="s">
        <v>31</v>
      </c>
      <c r="C563" s="84" t="s">
        <v>32</v>
      </c>
      <c r="D563" s="83" t="s">
        <v>1</v>
      </c>
      <c r="E563" s="144">
        <v>1.836805555555556</v>
      </c>
      <c r="F563" s="83" t="s">
        <v>36</v>
      </c>
      <c r="G563" s="85">
        <v>4</v>
      </c>
      <c r="H563" s="141">
        <v>659</v>
      </c>
      <c r="I563" s="2"/>
    </row>
    <row r="564" spans="1:9" ht="19.8" customHeight="1" x14ac:dyDescent="0.3">
      <c r="A564" s="143">
        <v>46033</v>
      </c>
      <c r="B564" s="83" t="s">
        <v>31</v>
      </c>
      <c r="C564" s="84" t="s">
        <v>32</v>
      </c>
      <c r="D564" s="83" t="s">
        <v>1</v>
      </c>
      <c r="E564" s="144">
        <v>1.836805555555556</v>
      </c>
      <c r="F564" s="83" t="s">
        <v>38</v>
      </c>
      <c r="G564" s="85">
        <v>4</v>
      </c>
      <c r="H564" s="141">
        <v>749</v>
      </c>
      <c r="I564" s="2"/>
    </row>
    <row r="565" spans="1:9" ht="19.8" customHeight="1" x14ac:dyDescent="0.3">
      <c r="A565" s="143">
        <v>46033</v>
      </c>
      <c r="B565" s="83" t="s">
        <v>46</v>
      </c>
      <c r="C565" s="84" t="s">
        <v>47</v>
      </c>
      <c r="D565" s="83" t="s">
        <v>1</v>
      </c>
      <c r="E565" s="144">
        <v>1.305555555555556</v>
      </c>
      <c r="F565" s="83" t="s">
        <v>80</v>
      </c>
      <c r="G565" s="85">
        <v>20</v>
      </c>
      <c r="H565" s="141">
        <v>899</v>
      </c>
      <c r="I565" s="2"/>
    </row>
    <row r="566" spans="1:9" ht="19.8" customHeight="1" x14ac:dyDescent="0.3">
      <c r="A566" s="145">
        <v>46033</v>
      </c>
      <c r="B566" s="87" t="s">
        <v>71</v>
      </c>
      <c r="C566" s="88" t="s">
        <v>72</v>
      </c>
      <c r="D566" s="87" t="s">
        <v>1</v>
      </c>
      <c r="E566" s="146">
        <v>1.305555555555556</v>
      </c>
      <c r="F566" s="87" t="s">
        <v>73</v>
      </c>
      <c r="G566" s="89">
        <v>4</v>
      </c>
      <c r="H566" s="90" t="s">
        <v>189</v>
      </c>
      <c r="I566" s="2"/>
    </row>
    <row r="567" spans="1:9" ht="19.8" customHeight="1" x14ac:dyDescent="0.3">
      <c r="A567" s="143">
        <v>46034</v>
      </c>
      <c r="B567" s="83" t="s">
        <v>40</v>
      </c>
      <c r="C567" s="84" t="s">
        <v>60</v>
      </c>
      <c r="D567" s="83" t="s">
        <v>1</v>
      </c>
      <c r="E567" s="144">
        <v>1.1701388888888891</v>
      </c>
      <c r="F567" s="83" t="s">
        <v>101</v>
      </c>
      <c r="G567" s="85">
        <v>9</v>
      </c>
      <c r="H567" s="141">
        <v>487</v>
      </c>
      <c r="I567" s="2"/>
    </row>
    <row r="568" spans="1:9" ht="19.8" customHeight="1" x14ac:dyDescent="0.3">
      <c r="A568" s="143">
        <v>46034</v>
      </c>
      <c r="B568" s="83" t="s">
        <v>82</v>
      </c>
      <c r="C568" s="84" t="s">
        <v>161</v>
      </c>
      <c r="D568" s="83" t="s">
        <v>1</v>
      </c>
      <c r="E568" s="144">
        <v>1.1284722222222221</v>
      </c>
      <c r="F568" s="83" t="s">
        <v>167</v>
      </c>
      <c r="G568" s="85">
        <v>7</v>
      </c>
      <c r="H568" s="141">
        <v>500</v>
      </c>
      <c r="I568" s="2"/>
    </row>
    <row r="569" spans="1:9" ht="19.8" customHeight="1" x14ac:dyDescent="0.3">
      <c r="A569" s="143">
        <v>46034</v>
      </c>
      <c r="B569" s="83" t="s">
        <v>46</v>
      </c>
      <c r="C569" s="84" t="s">
        <v>47</v>
      </c>
      <c r="D569" s="83" t="s">
        <v>1</v>
      </c>
      <c r="E569" s="144">
        <v>1.305555555555556</v>
      </c>
      <c r="F569" s="83" t="s">
        <v>85</v>
      </c>
      <c r="G569" s="85">
        <v>20</v>
      </c>
      <c r="H569" s="141">
        <v>509</v>
      </c>
      <c r="I569" s="2"/>
    </row>
    <row r="570" spans="1:9" ht="19.8" customHeight="1" x14ac:dyDescent="0.3">
      <c r="A570" s="143">
        <v>46034</v>
      </c>
      <c r="B570" s="83" t="s">
        <v>40</v>
      </c>
      <c r="C570" s="84" t="s">
        <v>41</v>
      </c>
      <c r="D570" s="83" t="s">
        <v>1</v>
      </c>
      <c r="E570" s="144">
        <v>1.864583333333333</v>
      </c>
      <c r="F570" s="83" t="s">
        <v>101</v>
      </c>
      <c r="G570" s="85">
        <v>9</v>
      </c>
      <c r="H570" s="141">
        <v>517</v>
      </c>
      <c r="I570" s="2"/>
    </row>
    <row r="571" spans="1:9" ht="19.8" customHeight="1" x14ac:dyDescent="0.3">
      <c r="A571" s="143">
        <v>46034</v>
      </c>
      <c r="B571" s="83" t="s">
        <v>40</v>
      </c>
      <c r="C571" s="84" t="s">
        <v>44</v>
      </c>
      <c r="D571" s="83" t="s">
        <v>1</v>
      </c>
      <c r="E571" s="144">
        <v>1.5277777777777779</v>
      </c>
      <c r="F571" s="83" t="s">
        <v>101</v>
      </c>
      <c r="G571" s="85">
        <v>9</v>
      </c>
      <c r="H571" s="141">
        <v>517</v>
      </c>
      <c r="I571" s="2"/>
    </row>
    <row r="572" spans="1:9" ht="19.8" customHeight="1" x14ac:dyDescent="0.3">
      <c r="A572" s="143">
        <v>46034</v>
      </c>
      <c r="B572" s="83" t="s">
        <v>31</v>
      </c>
      <c r="C572" s="84" t="s">
        <v>32</v>
      </c>
      <c r="D572" s="83" t="s">
        <v>1</v>
      </c>
      <c r="E572" s="144">
        <v>1.836805555555556</v>
      </c>
      <c r="F572" s="83" t="s">
        <v>33</v>
      </c>
      <c r="G572" s="85">
        <v>5</v>
      </c>
      <c r="H572" s="141">
        <v>559</v>
      </c>
      <c r="I572" s="2"/>
    </row>
    <row r="573" spans="1:9" ht="19.8" customHeight="1" x14ac:dyDescent="0.3">
      <c r="A573" s="143">
        <v>46034</v>
      </c>
      <c r="B573" s="83" t="s">
        <v>31</v>
      </c>
      <c r="C573" s="84" t="s">
        <v>51</v>
      </c>
      <c r="D573" s="83" t="s">
        <v>1</v>
      </c>
      <c r="E573" s="144">
        <v>1.2013888888888891</v>
      </c>
      <c r="F573" s="83" t="s">
        <v>33</v>
      </c>
      <c r="G573" s="85">
        <v>5</v>
      </c>
      <c r="H573" s="141">
        <v>559</v>
      </c>
      <c r="I573" s="2"/>
    </row>
    <row r="574" spans="1:9" ht="19.8" customHeight="1" x14ac:dyDescent="0.3">
      <c r="A574" s="143">
        <v>46034</v>
      </c>
      <c r="B574" s="83" t="s">
        <v>26</v>
      </c>
      <c r="C574" s="84" t="s">
        <v>27</v>
      </c>
      <c r="D574" s="83" t="s">
        <v>1</v>
      </c>
      <c r="E574" s="144">
        <v>1.958333333333333</v>
      </c>
      <c r="F574" s="83" t="s">
        <v>167</v>
      </c>
      <c r="G574" s="85">
        <v>1</v>
      </c>
      <c r="H574" s="141">
        <v>563</v>
      </c>
      <c r="I574" s="2"/>
    </row>
    <row r="575" spans="1:9" ht="19.8" customHeight="1" x14ac:dyDescent="0.3">
      <c r="A575" s="143">
        <v>46034</v>
      </c>
      <c r="B575" s="83" t="s">
        <v>46</v>
      </c>
      <c r="C575" s="84" t="s">
        <v>47</v>
      </c>
      <c r="D575" s="83" t="s">
        <v>1</v>
      </c>
      <c r="E575" s="144">
        <v>1.305555555555556</v>
      </c>
      <c r="F575" s="83" t="s">
        <v>88</v>
      </c>
      <c r="G575" s="85">
        <v>20</v>
      </c>
      <c r="H575" s="141">
        <v>659</v>
      </c>
      <c r="I575" s="2"/>
    </row>
    <row r="576" spans="1:9" ht="19.8" customHeight="1" x14ac:dyDescent="0.3">
      <c r="A576" s="143">
        <v>46034</v>
      </c>
      <c r="B576" s="83" t="s">
        <v>31</v>
      </c>
      <c r="C576" s="84" t="s">
        <v>32</v>
      </c>
      <c r="D576" s="83" t="s">
        <v>1</v>
      </c>
      <c r="E576" s="144">
        <v>1.836805555555556</v>
      </c>
      <c r="F576" s="83" t="s">
        <v>36</v>
      </c>
      <c r="G576" s="85">
        <v>5</v>
      </c>
      <c r="H576" s="141">
        <v>659</v>
      </c>
      <c r="I576" s="2"/>
    </row>
    <row r="577" spans="1:9" ht="19.8" customHeight="1" x14ac:dyDescent="0.3">
      <c r="A577" s="143">
        <v>46034</v>
      </c>
      <c r="B577" s="83" t="s">
        <v>31</v>
      </c>
      <c r="C577" s="84" t="s">
        <v>51</v>
      </c>
      <c r="D577" s="83" t="s">
        <v>1</v>
      </c>
      <c r="E577" s="144">
        <v>1.2013888888888891</v>
      </c>
      <c r="F577" s="83" t="s">
        <v>36</v>
      </c>
      <c r="G577" s="85">
        <v>5</v>
      </c>
      <c r="H577" s="141">
        <v>659</v>
      </c>
      <c r="I577" s="2"/>
    </row>
    <row r="578" spans="1:9" ht="19.8" customHeight="1" x14ac:dyDescent="0.3">
      <c r="A578" s="143">
        <v>46034</v>
      </c>
      <c r="B578" s="83" t="s">
        <v>31</v>
      </c>
      <c r="C578" s="84" t="s">
        <v>32</v>
      </c>
      <c r="D578" s="83" t="s">
        <v>1</v>
      </c>
      <c r="E578" s="144">
        <v>1.836805555555556</v>
      </c>
      <c r="F578" s="83" t="s">
        <v>38</v>
      </c>
      <c r="G578" s="85">
        <v>5</v>
      </c>
      <c r="H578" s="141">
        <v>749</v>
      </c>
      <c r="I578" s="2"/>
    </row>
    <row r="579" spans="1:9" ht="19.8" customHeight="1" x14ac:dyDescent="0.3">
      <c r="A579" s="143">
        <v>46034</v>
      </c>
      <c r="B579" s="83" t="s">
        <v>31</v>
      </c>
      <c r="C579" s="84" t="s">
        <v>51</v>
      </c>
      <c r="D579" s="83" t="s">
        <v>1</v>
      </c>
      <c r="E579" s="144">
        <v>1.2013888888888891</v>
      </c>
      <c r="F579" s="83" t="s">
        <v>38</v>
      </c>
      <c r="G579" s="85">
        <v>5</v>
      </c>
      <c r="H579" s="141">
        <v>749</v>
      </c>
      <c r="I579" s="2"/>
    </row>
    <row r="580" spans="1:9" ht="19.8" customHeight="1" x14ac:dyDescent="0.3">
      <c r="A580" s="143">
        <v>46034</v>
      </c>
      <c r="B580" s="83" t="s">
        <v>46</v>
      </c>
      <c r="C580" s="84" t="s">
        <v>47</v>
      </c>
      <c r="D580" s="83" t="s">
        <v>1</v>
      </c>
      <c r="E580" s="144">
        <v>1.305555555555556</v>
      </c>
      <c r="F580" s="83" t="s">
        <v>80</v>
      </c>
      <c r="G580" s="85">
        <v>20</v>
      </c>
      <c r="H580" s="141">
        <v>899</v>
      </c>
      <c r="I580" s="2"/>
    </row>
    <row r="581" spans="1:9" ht="19.8" customHeight="1" x14ac:dyDescent="0.3">
      <c r="A581" s="145">
        <v>46034</v>
      </c>
      <c r="B581" s="87" t="s">
        <v>71</v>
      </c>
      <c r="C581" s="88" t="s">
        <v>72</v>
      </c>
      <c r="D581" s="87" t="s">
        <v>1</v>
      </c>
      <c r="E581" s="146">
        <v>1.305555555555556</v>
      </c>
      <c r="F581" s="87" t="s">
        <v>73</v>
      </c>
      <c r="G581" s="89">
        <v>4</v>
      </c>
      <c r="H581" s="90" t="s">
        <v>189</v>
      </c>
      <c r="I581" s="2"/>
    </row>
    <row r="582" spans="1:9" ht="19.8" customHeight="1" x14ac:dyDescent="0.3">
      <c r="A582" s="143">
        <v>46035</v>
      </c>
      <c r="B582" s="83" t="s">
        <v>40</v>
      </c>
      <c r="C582" s="84" t="s">
        <v>60</v>
      </c>
      <c r="D582" s="83" t="s">
        <v>1</v>
      </c>
      <c r="E582" s="144">
        <v>1.1701388888888891</v>
      </c>
      <c r="F582" s="83" t="s">
        <v>101</v>
      </c>
      <c r="G582" s="85">
        <v>9</v>
      </c>
      <c r="H582" s="141">
        <v>487</v>
      </c>
      <c r="I582" s="2"/>
    </row>
    <row r="583" spans="1:9" ht="19.8" customHeight="1" x14ac:dyDescent="0.3">
      <c r="A583" s="143">
        <v>46035</v>
      </c>
      <c r="B583" s="83" t="s">
        <v>82</v>
      </c>
      <c r="C583" s="84" t="s">
        <v>123</v>
      </c>
      <c r="D583" s="83" t="s">
        <v>1</v>
      </c>
      <c r="E583" s="144">
        <v>1.2152777777777779</v>
      </c>
      <c r="F583" s="83" t="s">
        <v>167</v>
      </c>
      <c r="G583" s="85">
        <v>6</v>
      </c>
      <c r="H583" s="141">
        <v>500</v>
      </c>
      <c r="I583" s="2"/>
    </row>
    <row r="584" spans="1:9" ht="19.8" customHeight="1" x14ac:dyDescent="0.3">
      <c r="A584" s="147">
        <v>46035</v>
      </c>
      <c r="B584" s="92" t="s">
        <v>64</v>
      </c>
      <c r="C584" s="93" t="s">
        <v>65</v>
      </c>
      <c r="D584" s="92" t="s">
        <v>1</v>
      </c>
      <c r="E584" s="148">
        <v>1.270833333333333</v>
      </c>
      <c r="F584" s="92" t="s">
        <v>167</v>
      </c>
      <c r="G584" s="94">
        <v>2</v>
      </c>
      <c r="H584" s="142">
        <v>506</v>
      </c>
      <c r="I584" s="2"/>
    </row>
    <row r="585" spans="1:9" ht="19.8" customHeight="1" x14ac:dyDescent="0.3">
      <c r="A585" s="143">
        <v>46035</v>
      </c>
      <c r="B585" s="83" t="s">
        <v>46</v>
      </c>
      <c r="C585" s="84" t="s">
        <v>47</v>
      </c>
      <c r="D585" s="83" t="s">
        <v>1</v>
      </c>
      <c r="E585" s="144">
        <v>1.305555555555556</v>
      </c>
      <c r="F585" s="83" t="s">
        <v>85</v>
      </c>
      <c r="G585" s="85">
        <v>20</v>
      </c>
      <c r="H585" s="141">
        <v>509</v>
      </c>
      <c r="I585" s="2"/>
    </row>
    <row r="586" spans="1:9" ht="19.8" customHeight="1" x14ac:dyDescent="0.3">
      <c r="A586" s="143">
        <v>46035</v>
      </c>
      <c r="B586" s="83" t="s">
        <v>40</v>
      </c>
      <c r="C586" s="84" t="s">
        <v>41</v>
      </c>
      <c r="D586" s="83" t="s">
        <v>1</v>
      </c>
      <c r="E586" s="144">
        <v>1.864583333333333</v>
      </c>
      <c r="F586" s="83" t="s">
        <v>101</v>
      </c>
      <c r="G586" s="85">
        <v>9</v>
      </c>
      <c r="H586" s="141">
        <v>517</v>
      </c>
      <c r="I586" s="2"/>
    </row>
    <row r="587" spans="1:9" ht="19.8" customHeight="1" x14ac:dyDescent="0.3">
      <c r="A587" s="143">
        <v>46035</v>
      </c>
      <c r="B587" s="83" t="s">
        <v>40</v>
      </c>
      <c r="C587" s="84" t="s">
        <v>44</v>
      </c>
      <c r="D587" s="83" t="s">
        <v>1</v>
      </c>
      <c r="E587" s="144">
        <v>1.5277777777777779</v>
      </c>
      <c r="F587" s="83" t="s">
        <v>101</v>
      </c>
      <c r="G587" s="85">
        <v>9</v>
      </c>
      <c r="H587" s="141">
        <v>517</v>
      </c>
      <c r="I587" s="2"/>
    </row>
    <row r="588" spans="1:9" ht="19.8" customHeight="1" x14ac:dyDescent="0.3">
      <c r="A588" s="143">
        <v>46035</v>
      </c>
      <c r="B588" s="83" t="s">
        <v>31</v>
      </c>
      <c r="C588" s="84" t="s">
        <v>51</v>
      </c>
      <c r="D588" s="83" t="s">
        <v>1</v>
      </c>
      <c r="E588" s="144">
        <v>1.2013888888888891</v>
      </c>
      <c r="F588" s="83" t="s">
        <v>33</v>
      </c>
      <c r="G588" s="85">
        <v>5</v>
      </c>
      <c r="H588" s="141">
        <v>559</v>
      </c>
      <c r="I588" s="2"/>
    </row>
    <row r="589" spans="1:9" ht="19.8" customHeight="1" x14ac:dyDescent="0.3">
      <c r="A589" s="143">
        <v>46035</v>
      </c>
      <c r="B589" s="83" t="s">
        <v>26</v>
      </c>
      <c r="C589" s="84" t="s">
        <v>57</v>
      </c>
      <c r="D589" s="83" t="s">
        <v>1</v>
      </c>
      <c r="E589" s="144">
        <v>1.958333333333333</v>
      </c>
      <c r="F589" s="83" t="s">
        <v>167</v>
      </c>
      <c r="G589" s="85">
        <v>7</v>
      </c>
      <c r="H589" s="141">
        <v>563</v>
      </c>
      <c r="I589" s="2"/>
    </row>
    <row r="590" spans="1:9" ht="19.8" customHeight="1" x14ac:dyDescent="0.3">
      <c r="A590" s="143">
        <v>46035</v>
      </c>
      <c r="B590" s="83" t="s">
        <v>31</v>
      </c>
      <c r="C590" s="84" t="s">
        <v>32</v>
      </c>
      <c r="D590" s="83" t="s">
        <v>1</v>
      </c>
      <c r="E590" s="144">
        <v>1.836805555555556</v>
      </c>
      <c r="F590" s="83" t="s">
        <v>33</v>
      </c>
      <c r="G590" s="85">
        <v>2</v>
      </c>
      <c r="H590" s="141">
        <v>609</v>
      </c>
      <c r="I590" s="2"/>
    </row>
    <row r="591" spans="1:9" ht="19.8" customHeight="1" x14ac:dyDescent="0.3">
      <c r="A591" s="143">
        <v>46035</v>
      </c>
      <c r="B591" s="83" t="s">
        <v>46</v>
      </c>
      <c r="C591" s="84" t="s">
        <v>47</v>
      </c>
      <c r="D591" s="83" t="s">
        <v>1</v>
      </c>
      <c r="E591" s="144">
        <v>1.305555555555556</v>
      </c>
      <c r="F591" s="83" t="s">
        <v>88</v>
      </c>
      <c r="G591" s="85">
        <v>20</v>
      </c>
      <c r="H591" s="141">
        <v>659</v>
      </c>
      <c r="I591" s="2"/>
    </row>
    <row r="592" spans="1:9" ht="19.8" customHeight="1" x14ac:dyDescent="0.3">
      <c r="A592" s="143">
        <v>46035</v>
      </c>
      <c r="B592" s="83" t="s">
        <v>31</v>
      </c>
      <c r="C592" s="84" t="s">
        <v>51</v>
      </c>
      <c r="D592" s="83" t="s">
        <v>1</v>
      </c>
      <c r="E592" s="144">
        <v>1.2013888888888891</v>
      </c>
      <c r="F592" s="83" t="s">
        <v>36</v>
      </c>
      <c r="G592" s="85">
        <v>5</v>
      </c>
      <c r="H592" s="141">
        <v>659</v>
      </c>
      <c r="I592" s="2"/>
    </row>
    <row r="593" spans="1:9" ht="19.8" customHeight="1" x14ac:dyDescent="0.3">
      <c r="A593" s="143">
        <v>46035</v>
      </c>
      <c r="B593" s="83" t="s">
        <v>31</v>
      </c>
      <c r="C593" s="84" t="s">
        <v>32</v>
      </c>
      <c r="D593" s="83" t="s">
        <v>1</v>
      </c>
      <c r="E593" s="144">
        <v>1.836805555555556</v>
      </c>
      <c r="F593" s="83" t="s">
        <v>36</v>
      </c>
      <c r="G593" s="85">
        <v>2</v>
      </c>
      <c r="H593" s="141">
        <v>709</v>
      </c>
      <c r="I593" s="2"/>
    </row>
    <row r="594" spans="1:9" ht="19.8" customHeight="1" x14ac:dyDescent="0.3">
      <c r="A594" s="143">
        <v>46035</v>
      </c>
      <c r="B594" s="83" t="s">
        <v>31</v>
      </c>
      <c r="C594" s="84" t="s">
        <v>51</v>
      </c>
      <c r="D594" s="83" t="s">
        <v>1</v>
      </c>
      <c r="E594" s="144">
        <v>1.2013888888888891</v>
      </c>
      <c r="F594" s="83" t="s">
        <v>38</v>
      </c>
      <c r="G594" s="85">
        <v>5</v>
      </c>
      <c r="H594" s="141">
        <v>749</v>
      </c>
      <c r="I594" s="2"/>
    </row>
    <row r="595" spans="1:9" ht="19.8" customHeight="1" x14ac:dyDescent="0.3">
      <c r="A595" s="143">
        <v>46035</v>
      </c>
      <c r="B595" s="83" t="s">
        <v>31</v>
      </c>
      <c r="C595" s="84" t="s">
        <v>32</v>
      </c>
      <c r="D595" s="83" t="s">
        <v>1</v>
      </c>
      <c r="E595" s="144">
        <v>1.836805555555556</v>
      </c>
      <c r="F595" s="83" t="s">
        <v>38</v>
      </c>
      <c r="G595" s="85">
        <v>2</v>
      </c>
      <c r="H595" s="141">
        <v>799</v>
      </c>
      <c r="I595" s="2"/>
    </row>
    <row r="596" spans="1:9" ht="19.8" customHeight="1" x14ac:dyDescent="0.3">
      <c r="A596" s="143">
        <v>46035</v>
      </c>
      <c r="B596" s="83" t="s">
        <v>46</v>
      </c>
      <c r="C596" s="84" t="s">
        <v>47</v>
      </c>
      <c r="D596" s="83" t="s">
        <v>1</v>
      </c>
      <c r="E596" s="144">
        <v>1.305555555555556</v>
      </c>
      <c r="F596" s="83" t="s">
        <v>80</v>
      </c>
      <c r="G596" s="85">
        <v>20</v>
      </c>
      <c r="H596" s="141">
        <v>899</v>
      </c>
      <c r="I596" s="2"/>
    </row>
    <row r="597" spans="1:9" ht="19.8" customHeight="1" x14ac:dyDescent="0.3">
      <c r="A597" s="145">
        <v>46035</v>
      </c>
      <c r="B597" s="87" t="s">
        <v>71</v>
      </c>
      <c r="C597" s="88" t="s">
        <v>72</v>
      </c>
      <c r="D597" s="87" t="s">
        <v>1</v>
      </c>
      <c r="E597" s="146">
        <v>1.305555555555556</v>
      </c>
      <c r="F597" s="87" t="s">
        <v>73</v>
      </c>
      <c r="G597" s="89">
        <v>4</v>
      </c>
      <c r="H597" s="90" t="s">
        <v>189</v>
      </c>
      <c r="I597" s="2"/>
    </row>
    <row r="598" spans="1:9" ht="19.8" customHeight="1" x14ac:dyDescent="0.3">
      <c r="A598" s="143">
        <v>46036</v>
      </c>
      <c r="B598" s="83" t="s">
        <v>40</v>
      </c>
      <c r="C598" s="84" t="s">
        <v>60</v>
      </c>
      <c r="D598" s="83" t="s">
        <v>1</v>
      </c>
      <c r="E598" s="144">
        <v>1.1701388888888891</v>
      </c>
      <c r="F598" s="83" t="s">
        <v>101</v>
      </c>
      <c r="G598" s="85">
        <v>9</v>
      </c>
      <c r="H598" s="141">
        <v>487</v>
      </c>
      <c r="I598" s="2"/>
    </row>
    <row r="599" spans="1:9" ht="19.8" customHeight="1" x14ac:dyDescent="0.3">
      <c r="A599" s="143">
        <v>46036</v>
      </c>
      <c r="B599" s="83" t="s">
        <v>82</v>
      </c>
      <c r="C599" s="84" t="s">
        <v>83</v>
      </c>
      <c r="D599" s="83" t="s">
        <v>1</v>
      </c>
      <c r="E599" s="144">
        <v>1.0902777777777779</v>
      </c>
      <c r="F599" s="83" t="s">
        <v>167</v>
      </c>
      <c r="G599" s="85">
        <v>3</v>
      </c>
      <c r="H599" s="141">
        <v>500</v>
      </c>
      <c r="I599" s="2"/>
    </row>
    <row r="600" spans="1:9" ht="19.8" customHeight="1" x14ac:dyDescent="0.3">
      <c r="A600" s="143">
        <v>46036</v>
      </c>
      <c r="B600" s="83" t="s">
        <v>76</v>
      </c>
      <c r="C600" s="84" t="s">
        <v>77</v>
      </c>
      <c r="D600" s="83" t="s">
        <v>1</v>
      </c>
      <c r="E600" s="144">
        <v>1.9722222222222221</v>
      </c>
      <c r="F600" s="83" t="s">
        <v>78</v>
      </c>
      <c r="G600" s="85">
        <v>9</v>
      </c>
      <c r="H600" s="141">
        <v>505</v>
      </c>
      <c r="I600" s="2"/>
    </row>
    <row r="601" spans="1:9" ht="19.8" customHeight="1" x14ac:dyDescent="0.3">
      <c r="A601" s="143">
        <v>46036</v>
      </c>
      <c r="B601" s="83" t="s">
        <v>46</v>
      </c>
      <c r="C601" s="84" t="s">
        <v>47</v>
      </c>
      <c r="D601" s="83" t="s">
        <v>1</v>
      </c>
      <c r="E601" s="144">
        <v>1.305555555555556</v>
      </c>
      <c r="F601" s="83" t="s">
        <v>85</v>
      </c>
      <c r="G601" s="85">
        <v>20</v>
      </c>
      <c r="H601" s="141">
        <v>509</v>
      </c>
      <c r="I601" s="2"/>
    </row>
    <row r="602" spans="1:9" ht="19.8" customHeight="1" x14ac:dyDescent="0.3">
      <c r="A602" s="143">
        <v>46036</v>
      </c>
      <c r="B602" s="83" t="s">
        <v>40</v>
      </c>
      <c r="C602" s="84" t="s">
        <v>41</v>
      </c>
      <c r="D602" s="83" t="s">
        <v>1</v>
      </c>
      <c r="E602" s="144">
        <v>1.864583333333333</v>
      </c>
      <c r="F602" s="83" t="s">
        <v>101</v>
      </c>
      <c r="G602" s="85">
        <v>9</v>
      </c>
      <c r="H602" s="141">
        <v>517</v>
      </c>
      <c r="I602" s="2"/>
    </row>
    <row r="603" spans="1:9" ht="19.8" customHeight="1" x14ac:dyDescent="0.3">
      <c r="A603" s="143">
        <v>46036</v>
      </c>
      <c r="B603" s="83" t="s">
        <v>40</v>
      </c>
      <c r="C603" s="84" t="s">
        <v>44</v>
      </c>
      <c r="D603" s="83" t="s">
        <v>1</v>
      </c>
      <c r="E603" s="144">
        <v>1.5277777777777779</v>
      </c>
      <c r="F603" s="83" t="s">
        <v>101</v>
      </c>
      <c r="G603" s="85">
        <v>9</v>
      </c>
      <c r="H603" s="141">
        <v>517</v>
      </c>
      <c r="I603" s="2"/>
    </row>
    <row r="604" spans="1:9" ht="19.8" customHeight="1" x14ac:dyDescent="0.3">
      <c r="A604" s="143">
        <v>46036</v>
      </c>
      <c r="B604" s="83" t="s">
        <v>26</v>
      </c>
      <c r="C604" s="84" t="s">
        <v>27</v>
      </c>
      <c r="D604" s="83" t="s">
        <v>1</v>
      </c>
      <c r="E604" s="144">
        <v>1.895833333333333</v>
      </c>
      <c r="F604" s="83" t="s">
        <v>167</v>
      </c>
      <c r="G604" s="85">
        <v>2</v>
      </c>
      <c r="H604" s="141">
        <v>563</v>
      </c>
      <c r="I604" s="2"/>
    </row>
    <row r="605" spans="1:9" ht="19.8" customHeight="1" x14ac:dyDescent="0.3">
      <c r="A605" s="143">
        <v>46036</v>
      </c>
      <c r="B605" s="83" t="s">
        <v>31</v>
      </c>
      <c r="C605" s="84" t="s">
        <v>32</v>
      </c>
      <c r="D605" s="83" t="s">
        <v>1</v>
      </c>
      <c r="E605" s="144">
        <v>1.836805555555556</v>
      </c>
      <c r="F605" s="83" t="s">
        <v>33</v>
      </c>
      <c r="G605" s="85">
        <v>4</v>
      </c>
      <c r="H605" s="141">
        <v>609</v>
      </c>
      <c r="I605" s="2"/>
    </row>
    <row r="606" spans="1:9" ht="19.8" customHeight="1" x14ac:dyDescent="0.3">
      <c r="A606" s="143">
        <v>46036</v>
      </c>
      <c r="B606" s="83" t="s">
        <v>46</v>
      </c>
      <c r="C606" s="84" t="s">
        <v>47</v>
      </c>
      <c r="D606" s="83" t="s">
        <v>1</v>
      </c>
      <c r="E606" s="144">
        <v>1.305555555555556</v>
      </c>
      <c r="F606" s="83" t="s">
        <v>88</v>
      </c>
      <c r="G606" s="85">
        <v>20</v>
      </c>
      <c r="H606" s="141">
        <v>659</v>
      </c>
      <c r="I606" s="2"/>
    </row>
    <row r="607" spans="1:9" ht="19.8" customHeight="1" x14ac:dyDescent="0.3">
      <c r="A607" s="143">
        <v>46036</v>
      </c>
      <c r="B607" s="83" t="s">
        <v>31</v>
      </c>
      <c r="C607" s="84" t="s">
        <v>32</v>
      </c>
      <c r="D607" s="83" t="s">
        <v>1</v>
      </c>
      <c r="E607" s="144">
        <v>1.836805555555556</v>
      </c>
      <c r="F607" s="83" t="s">
        <v>36</v>
      </c>
      <c r="G607" s="85">
        <v>4</v>
      </c>
      <c r="H607" s="141">
        <v>709</v>
      </c>
      <c r="I607" s="2"/>
    </row>
    <row r="608" spans="1:9" ht="19.8" customHeight="1" x14ac:dyDescent="0.3">
      <c r="A608" s="143">
        <v>46036</v>
      </c>
      <c r="B608" s="83" t="s">
        <v>76</v>
      </c>
      <c r="C608" s="84" t="s">
        <v>77</v>
      </c>
      <c r="D608" s="83" t="s">
        <v>1</v>
      </c>
      <c r="E608" s="144">
        <v>1.9722222222222221</v>
      </c>
      <c r="F608" s="83" t="s">
        <v>80</v>
      </c>
      <c r="G608" s="85">
        <v>9</v>
      </c>
      <c r="H608" s="141">
        <v>711</v>
      </c>
      <c r="I608" s="2"/>
    </row>
    <row r="609" spans="1:9" ht="19.8" customHeight="1" x14ac:dyDescent="0.3">
      <c r="A609" s="143">
        <v>46036</v>
      </c>
      <c r="B609" s="83" t="s">
        <v>31</v>
      </c>
      <c r="C609" s="84" t="s">
        <v>32</v>
      </c>
      <c r="D609" s="83" t="s">
        <v>1</v>
      </c>
      <c r="E609" s="144">
        <v>1.836805555555556</v>
      </c>
      <c r="F609" s="83" t="s">
        <v>38</v>
      </c>
      <c r="G609" s="85">
        <v>4</v>
      </c>
      <c r="H609" s="141">
        <v>799</v>
      </c>
      <c r="I609" s="2"/>
    </row>
    <row r="610" spans="1:9" ht="19.8" customHeight="1" x14ac:dyDescent="0.3">
      <c r="A610" s="143">
        <v>46036</v>
      </c>
      <c r="B610" s="83" t="s">
        <v>46</v>
      </c>
      <c r="C610" s="84" t="s">
        <v>47</v>
      </c>
      <c r="D610" s="83" t="s">
        <v>1</v>
      </c>
      <c r="E610" s="144">
        <v>1.305555555555556</v>
      </c>
      <c r="F610" s="83" t="s">
        <v>80</v>
      </c>
      <c r="G610" s="85">
        <v>20</v>
      </c>
      <c r="H610" s="141">
        <v>899</v>
      </c>
      <c r="I610" s="2"/>
    </row>
    <row r="611" spans="1:9" ht="19.8" customHeight="1" x14ac:dyDescent="0.3">
      <c r="A611" s="145">
        <v>46036</v>
      </c>
      <c r="B611" s="87" t="s">
        <v>71</v>
      </c>
      <c r="C611" s="88" t="s">
        <v>72</v>
      </c>
      <c r="D611" s="87" t="s">
        <v>1</v>
      </c>
      <c r="E611" s="146">
        <v>1.305555555555556</v>
      </c>
      <c r="F611" s="87" t="s">
        <v>73</v>
      </c>
      <c r="G611" s="89">
        <v>4</v>
      </c>
      <c r="H611" s="90" t="s">
        <v>189</v>
      </c>
      <c r="I611" s="2"/>
    </row>
    <row r="612" spans="1:9" ht="19.8" customHeight="1" x14ac:dyDescent="0.3">
      <c r="A612" s="143">
        <v>46037</v>
      </c>
      <c r="B612" s="83" t="s">
        <v>40</v>
      </c>
      <c r="C612" s="84" t="s">
        <v>60</v>
      </c>
      <c r="D612" s="83" t="s">
        <v>1</v>
      </c>
      <c r="E612" s="144">
        <v>1.1701388888888891</v>
      </c>
      <c r="F612" s="83" t="s">
        <v>101</v>
      </c>
      <c r="G612" s="85">
        <v>9</v>
      </c>
      <c r="H612" s="141">
        <v>487</v>
      </c>
      <c r="I612" s="2"/>
    </row>
    <row r="613" spans="1:9" ht="19.8" customHeight="1" x14ac:dyDescent="0.3">
      <c r="A613" s="143">
        <v>46037</v>
      </c>
      <c r="B613" s="83" t="s">
        <v>46</v>
      </c>
      <c r="C613" s="84" t="s">
        <v>47</v>
      </c>
      <c r="D613" s="83" t="s">
        <v>1</v>
      </c>
      <c r="E613" s="144">
        <v>1.305555555555556</v>
      </c>
      <c r="F613" s="83" t="s">
        <v>85</v>
      </c>
      <c r="G613" s="85">
        <v>20</v>
      </c>
      <c r="H613" s="141">
        <v>509</v>
      </c>
      <c r="I613" s="2"/>
    </row>
    <row r="614" spans="1:9" ht="19.8" customHeight="1" x14ac:dyDescent="0.3">
      <c r="A614" s="143">
        <v>46037</v>
      </c>
      <c r="B614" s="83" t="s">
        <v>40</v>
      </c>
      <c r="C614" s="84" t="s">
        <v>41</v>
      </c>
      <c r="D614" s="83" t="s">
        <v>1</v>
      </c>
      <c r="E614" s="144">
        <v>1.864583333333333</v>
      </c>
      <c r="F614" s="83" t="s">
        <v>101</v>
      </c>
      <c r="G614" s="85">
        <v>9</v>
      </c>
      <c r="H614" s="141">
        <v>517</v>
      </c>
      <c r="I614" s="2"/>
    </row>
    <row r="615" spans="1:9" ht="19.8" customHeight="1" x14ac:dyDescent="0.3">
      <c r="A615" s="143">
        <v>46037</v>
      </c>
      <c r="B615" s="83" t="s">
        <v>40</v>
      </c>
      <c r="C615" s="84" t="s">
        <v>44</v>
      </c>
      <c r="D615" s="83" t="s">
        <v>1</v>
      </c>
      <c r="E615" s="144">
        <v>1.5277777777777779</v>
      </c>
      <c r="F615" s="83" t="s">
        <v>101</v>
      </c>
      <c r="G615" s="85">
        <v>9</v>
      </c>
      <c r="H615" s="141">
        <v>517</v>
      </c>
      <c r="I615" s="2"/>
    </row>
    <row r="616" spans="1:9" ht="19.8" customHeight="1" x14ac:dyDescent="0.3">
      <c r="A616" s="143">
        <v>46037</v>
      </c>
      <c r="B616" s="83" t="s">
        <v>31</v>
      </c>
      <c r="C616" s="84" t="s">
        <v>51</v>
      </c>
      <c r="D616" s="83" t="s">
        <v>1</v>
      </c>
      <c r="E616" s="144">
        <v>1.2013888888888891</v>
      </c>
      <c r="F616" s="83" t="s">
        <v>33</v>
      </c>
      <c r="G616" s="85">
        <v>4</v>
      </c>
      <c r="H616" s="141">
        <v>559</v>
      </c>
      <c r="I616" s="2"/>
    </row>
    <row r="617" spans="1:9" ht="19.8" customHeight="1" x14ac:dyDescent="0.3">
      <c r="A617" s="143">
        <v>46037</v>
      </c>
      <c r="B617" s="83" t="s">
        <v>26</v>
      </c>
      <c r="C617" s="84" t="s">
        <v>57</v>
      </c>
      <c r="D617" s="83" t="s">
        <v>1</v>
      </c>
      <c r="E617" s="144">
        <v>1.958333333333333</v>
      </c>
      <c r="F617" s="83" t="s">
        <v>167</v>
      </c>
      <c r="G617" s="85">
        <v>5</v>
      </c>
      <c r="H617" s="141">
        <v>563</v>
      </c>
      <c r="I617" s="2"/>
    </row>
    <row r="618" spans="1:9" ht="19.8" customHeight="1" x14ac:dyDescent="0.3">
      <c r="A618" s="143">
        <v>46037</v>
      </c>
      <c r="B618" s="83" t="s">
        <v>82</v>
      </c>
      <c r="C618" s="84" t="s">
        <v>83</v>
      </c>
      <c r="D618" s="83" t="s">
        <v>1</v>
      </c>
      <c r="E618" s="144">
        <v>1.9652777777777779</v>
      </c>
      <c r="F618" s="83" t="s">
        <v>167</v>
      </c>
      <c r="G618" s="85">
        <v>4</v>
      </c>
      <c r="H618" s="141">
        <v>568</v>
      </c>
      <c r="I618" s="2"/>
    </row>
    <row r="619" spans="1:9" ht="19.8" customHeight="1" x14ac:dyDescent="0.3">
      <c r="A619" s="147">
        <v>46037</v>
      </c>
      <c r="B619" s="92" t="s">
        <v>64</v>
      </c>
      <c r="C619" s="93" t="s">
        <v>65</v>
      </c>
      <c r="D619" s="92" t="s">
        <v>1</v>
      </c>
      <c r="E619" s="148">
        <v>1.9236111111111109</v>
      </c>
      <c r="F619" s="92" t="s">
        <v>167</v>
      </c>
      <c r="G619" s="94">
        <v>6</v>
      </c>
      <c r="H619" s="142">
        <v>626</v>
      </c>
      <c r="I619" s="2"/>
    </row>
    <row r="620" spans="1:9" ht="19.8" customHeight="1" x14ac:dyDescent="0.3">
      <c r="A620" s="143">
        <v>46037</v>
      </c>
      <c r="B620" s="83" t="s">
        <v>26</v>
      </c>
      <c r="C620" s="84" t="s">
        <v>99</v>
      </c>
      <c r="D620" s="83" t="s">
        <v>1</v>
      </c>
      <c r="E620" s="144">
        <v>1.5625</v>
      </c>
      <c r="F620" s="83" t="s">
        <v>167</v>
      </c>
      <c r="G620" s="85">
        <v>6</v>
      </c>
      <c r="H620" s="141">
        <v>629</v>
      </c>
      <c r="I620" s="2"/>
    </row>
    <row r="621" spans="1:9" ht="19.8" customHeight="1" x14ac:dyDescent="0.3">
      <c r="A621" s="143">
        <v>46037</v>
      </c>
      <c r="B621" s="83" t="s">
        <v>46</v>
      </c>
      <c r="C621" s="84" t="s">
        <v>47</v>
      </c>
      <c r="D621" s="83" t="s">
        <v>1</v>
      </c>
      <c r="E621" s="144">
        <v>1.305555555555556</v>
      </c>
      <c r="F621" s="83" t="s">
        <v>88</v>
      </c>
      <c r="G621" s="85">
        <v>20</v>
      </c>
      <c r="H621" s="141">
        <v>659</v>
      </c>
      <c r="I621" s="2"/>
    </row>
    <row r="622" spans="1:9" ht="19.8" customHeight="1" x14ac:dyDescent="0.3">
      <c r="A622" s="143">
        <v>46037</v>
      </c>
      <c r="B622" s="83" t="s">
        <v>31</v>
      </c>
      <c r="C622" s="84" t="s">
        <v>32</v>
      </c>
      <c r="D622" s="83" t="s">
        <v>1</v>
      </c>
      <c r="E622" s="144">
        <v>1.836805555555556</v>
      </c>
      <c r="F622" s="83" t="s">
        <v>33</v>
      </c>
      <c r="G622" s="85">
        <v>9</v>
      </c>
      <c r="H622" s="141">
        <v>659</v>
      </c>
      <c r="I622" s="2"/>
    </row>
    <row r="623" spans="1:9" ht="19.8" customHeight="1" x14ac:dyDescent="0.3">
      <c r="A623" s="143">
        <v>46037</v>
      </c>
      <c r="B623" s="83" t="s">
        <v>31</v>
      </c>
      <c r="C623" s="84" t="s">
        <v>51</v>
      </c>
      <c r="D623" s="83" t="s">
        <v>1</v>
      </c>
      <c r="E623" s="144">
        <v>1.2013888888888891</v>
      </c>
      <c r="F623" s="83" t="s">
        <v>36</v>
      </c>
      <c r="G623" s="85">
        <v>4</v>
      </c>
      <c r="H623" s="141">
        <v>659</v>
      </c>
      <c r="I623" s="2"/>
    </row>
    <row r="624" spans="1:9" ht="19.8" customHeight="1" x14ac:dyDescent="0.3">
      <c r="A624" s="143">
        <v>46037</v>
      </c>
      <c r="B624" s="83" t="s">
        <v>31</v>
      </c>
      <c r="C624" s="84" t="s">
        <v>51</v>
      </c>
      <c r="D624" s="83" t="s">
        <v>1</v>
      </c>
      <c r="E624" s="144">
        <v>1.2013888888888891</v>
      </c>
      <c r="F624" s="83" t="s">
        <v>38</v>
      </c>
      <c r="G624" s="85">
        <v>4</v>
      </c>
      <c r="H624" s="141">
        <v>749</v>
      </c>
      <c r="I624" s="2"/>
    </row>
    <row r="625" spans="1:9" ht="19.8" customHeight="1" x14ac:dyDescent="0.3">
      <c r="A625" s="143">
        <v>46037</v>
      </c>
      <c r="B625" s="83" t="s">
        <v>31</v>
      </c>
      <c r="C625" s="84" t="s">
        <v>32</v>
      </c>
      <c r="D625" s="83" t="s">
        <v>1</v>
      </c>
      <c r="E625" s="144">
        <v>1.836805555555556</v>
      </c>
      <c r="F625" s="83" t="s">
        <v>36</v>
      </c>
      <c r="G625" s="85">
        <v>9</v>
      </c>
      <c r="H625" s="141">
        <v>759</v>
      </c>
      <c r="I625" s="2"/>
    </row>
    <row r="626" spans="1:9" ht="19.8" customHeight="1" x14ac:dyDescent="0.3">
      <c r="A626" s="143">
        <v>46037</v>
      </c>
      <c r="B626" s="83" t="s">
        <v>31</v>
      </c>
      <c r="C626" s="84" t="s">
        <v>32</v>
      </c>
      <c r="D626" s="83" t="s">
        <v>1</v>
      </c>
      <c r="E626" s="144">
        <v>1.836805555555556</v>
      </c>
      <c r="F626" s="83" t="s">
        <v>38</v>
      </c>
      <c r="G626" s="85">
        <v>9</v>
      </c>
      <c r="H626" s="141">
        <v>849</v>
      </c>
      <c r="I626" s="2"/>
    </row>
    <row r="627" spans="1:9" ht="19.8" customHeight="1" x14ac:dyDescent="0.3">
      <c r="A627" s="143">
        <v>46037</v>
      </c>
      <c r="B627" s="83" t="s">
        <v>46</v>
      </c>
      <c r="C627" s="84" t="s">
        <v>47</v>
      </c>
      <c r="D627" s="83" t="s">
        <v>1</v>
      </c>
      <c r="E627" s="144">
        <v>1.305555555555556</v>
      </c>
      <c r="F627" s="83" t="s">
        <v>80</v>
      </c>
      <c r="G627" s="85">
        <v>20</v>
      </c>
      <c r="H627" s="141">
        <v>899</v>
      </c>
      <c r="I627" s="2"/>
    </row>
    <row r="628" spans="1:9" ht="19.8" customHeight="1" x14ac:dyDescent="0.3">
      <c r="A628" s="145">
        <v>46037</v>
      </c>
      <c r="B628" s="87" t="s">
        <v>71</v>
      </c>
      <c r="C628" s="88" t="s">
        <v>72</v>
      </c>
      <c r="D628" s="87" t="s">
        <v>1</v>
      </c>
      <c r="E628" s="146">
        <v>1.305555555555556</v>
      </c>
      <c r="F628" s="87" t="s">
        <v>73</v>
      </c>
      <c r="G628" s="89">
        <v>4</v>
      </c>
      <c r="H628" s="90" t="s">
        <v>189</v>
      </c>
      <c r="I628" s="2"/>
    </row>
    <row r="629" spans="1:9" ht="19.8" customHeight="1" x14ac:dyDescent="0.3">
      <c r="A629" s="143">
        <v>46038</v>
      </c>
      <c r="B629" s="83" t="s">
        <v>40</v>
      </c>
      <c r="C629" s="84" t="s">
        <v>60</v>
      </c>
      <c r="D629" s="83" t="s">
        <v>1</v>
      </c>
      <c r="E629" s="144">
        <v>1.1701388888888891</v>
      </c>
      <c r="F629" s="83" t="s">
        <v>101</v>
      </c>
      <c r="G629" s="85">
        <v>9</v>
      </c>
      <c r="H629" s="141">
        <v>487</v>
      </c>
      <c r="I629" s="2"/>
    </row>
    <row r="630" spans="1:9" ht="19.8" customHeight="1" x14ac:dyDescent="0.3">
      <c r="A630" s="143">
        <v>46038</v>
      </c>
      <c r="B630" s="83" t="s">
        <v>82</v>
      </c>
      <c r="C630" s="84" t="s">
        <v>123</v>
      </c>
      <c r="D630" s="83" t="s">
        <v>1</v>
      </c>
      <c r="E630" s="144">
        <v>1.2152777777777779</v>
      </c>
      <c r="F630" s="83" t="s">
        <v>167</v>
      </c>
      <c r="G630" s="85">
        <v>5</v>
      </c>
      <c r="H630" s="141">
        <v>500</v>
      </c>
      <c r="I630" s="2"/>
    </row>
    <row r="631" spans="1:9" ht="19.8" customHeight="1" x14ac:dyDescent="0.3">
      <c r="A631" s="143">
        <v>46038</v>
      </c>
      <c r="B631" s="83" t="s">
        <v>46</v>
      </c>
      <c r="C631" s="84" t="s">
        <v>47</v>
      </c>
      <c r="D631" s="83" t="s">
        <v>1</v>
      </c>
      <c r="E631" s="144">
        <v>1.305555555555556</v>
      </c>
      <c r="F631" s="83" t="s">
        <v>85</v>
      </c>
      <c r="G631" s="85">
        <v>20</v>
      </c>
      <c r="H631" s="141">
        <v>509</v>
      </c>
      <c r="I631" s="2"/>
    </row>
    <row r="632" spans="1:9" ht="19.8" customHeight="1" x14ac:dyDescent="0.3">
      <c r="A632" s="143">
        <v>46038</v>
      </c>
      <c r="B632" s="83" t="s">
        <v>40</v>
      </c>
      <c r="C632" s="84" t="s">
        <v>41</v>
      </c>
      <c r="D632" s="83" t="s">
        <v>1</v>
      </c>
      <c r="E632" s="144">
        <v>1.864583333333333</v>
      </c>
      <c r="F632" s="83" t="s">
        <v>101</v>
      </c>
      <c r="G632" s="85">
        <v>9</v>
      </c>
      <c r="H632" s="141">
        <v>517</v>
      </c>
      <c r="I632" s="2"/>
    </row>
    <row r="633" spans="1:9" ht="19.8" customHeight="1" x14ac:dyDescent="0.3">
      <c r="A633" s="143">
        <v>46038</v>
      </c>
      <c r="B633" s="83" t="s">
        <v>40</v>
      </c>
      <c r="C633" s="84" t="s">
        <v>44</v>
      </c>
      <c r="D633" s="83" t="s">
        <v>1</v>
      </c>
      <c r="E633" s="144">
        <v>1.5277777777777779</v>
      </c>
      <c r="F633" s="83" t="s">
        <v>42</v>
      </c>
      <c r="G633" s="85">
        <v>9</v>
      </c>
      <c r="H633" s="141">
        <v>551</v>
      </c>
      <c r="I633" s="2"/>
    </row>
    <row r="634" spans="1:9" ht="19.8" customHeight="1" x14ac:dyDescent="0.3">
      <c r="A634" s="143">
        <v>46038</v>
      </c>
      <c r="B634" s="83" t="s">
        <v>31</v>
      </c>
      <c r="C634" s="84" t="s">
        <v>32</v>
      </c>
      <c r="D634" s="83" t="s">
        <v>1</v>
      </c>
      <c r="E634" s="144">
        <v>1.836805555555556</v>
      </c>
      <c r="F634" s="83" t="s">
        <v>33</v>
      </c>
      <c r="G634" s="85">
        <v>5</v>
      </c>
      <c r="H634" s="141">
        <v>559</v>
      </c>
      <c r="I634" s="2"/>
    </row>
    <row r="635" spans="1:9" ht="19.8" customHeight="1" x14ac:dyDescent="0.3">
      <c r="A635" s="143">
        <v>46038</v>
      </c>
      <c r="B635" s="83" t="s">
        <v>26</v>
      </c>
      <c r="C635" s="84" t="s">
        <v>27</v>
      </c>
      <c r="D635" s="83" t="s">
        <v>1</v>
      </c>
      <c r="E635" s="144">
        <v>1.958333333333333</v>
      </c>
      <c r="F635" s="83" t="s">
        <v>167</v>
      </c>
      <c r="G635" s="85">
        <v>2</v>
      </c>
      <c r="H635" s="141">
        <v>563</v>
      </c>
      <c r="I635" s="2"/>
    </row>
    <row r="636" spans="1:9" ht="19.8" customHeight="1" x14ac:dyDescent="0.3">
      <c r="A636" s="147">
        <v>46038</v>
      </c>
      <c r="B636" s="92" t="s">
        <v>64</v>
      </c>
      <c r="C636" s="93" t="s">
        <v>65</v>
      </c>
      <c r="D636" s="92" t="s">
        <v>1</v>
      </c>
      <c r="E636" s="148">
        <v>1.5798611111111109</v>
      </c>
      <c r="F636" s="92" t="s">
        <v>167</v>
      </c>
      <c r="G636" s="94">
        <v>7</v>
      </c>
      <c r="H636" s="142">
        <v>626</v>
      </c>
      <c r="I636" s="2"/>
    </row>
    <row r="637" spans="1:9" ht="19.8" customHeight="1" x14ac:dyDescent="0.3">
      <c r="A637" s="143">
        <v>46038</v>
      </c>
      <c r="B637" s="83" t="s">
        <v>46</v>
      </c>
      <c r="C637" s="84" t="s">
        <v>47</v>
      </c>
      <c r="D637" s="83" t="s">
        <v>1</v>
      </c>
      <c r="E637" s="144">
        <v>1.305555555555556</v>
      </c>
      <c r="F637" s="83" t="s">
        <v>88</v>
      </c>
      <c r="G637" s="85">
        <v>20</v>
      </c>
      <c r="H637" s="141">
        <v>659</v>
      </c>
      <c r="I637" s="2"/>
    </row>
    <row r="638" spans="1:9" ht="19.8" customHeight="1" x14ac:dyDescent="0.3">
      <c r="A638" s="143">
        <v>46038</v>
      </c>
      <c r="B638" s="83" t="s">
        <v>31</v>
      </c>
      <c r="C638" s="84" t="s">
        <v>32</v>
      </c>
      <c r="D638" s="83" t="s">
        <v>1</v>
      </c>
      <c r="E638" s="144">
        <v>1.836805555555556</v>
      </c>
      <c r="F638" s="83" t="s">
        <v>36</v>
      </c>
      <c r="G638" s="85">
        <v>5</v>
      </c>
      <c r="H638" s="141">
        <v>659</v>
      </c>
      <c r="I638" s="2"/>
    </row>
    <row r="639" spans="1:9" ht="19.8" customHeight="1" x14ac:dyDescent="0.3">
      <c r="A639" s="143">
        <v>46038</v>
      </c>
      <c r="B639" s="83" t="s">
        <v>31</v>
      </c>
      <c r="C639" s="84" t="s">
        <v>32</v>
      </c>
      <c r="D639" s="83" t="s">
        <v>1</v>
      </c>
      <c r="E639" s="144">
        <v>1.836805555555556</v>
      </c>
      <c r="F639" s="83" t="s">
        <v>38</v>
      </c>
      <c r="G639" s="85">
        <v>5</v>
      </c>
      <c r="H639" s="141">
        <v>749</v>
      </c>
      <c r="I639" s="2"/>
    </row>
    <row r="640" spans="1:9" ht="19.8" customHeight="1" x14ac:dyDescent="0.3">
      <c r="A640" s="143">
        <v>46038</v>
      </c>
      <c r="B640" s="83" t="s">
        <v>46</v>
      </c>
      <c r="C640" s="84" t="s">
        <v>47</v>
      </c>
      <c r="D640" s="83" t="s">
        <v>1</v>
      </c>
      <c r="E640" s="144">
        <v>1.305555555555556</v>
      </c>
      <c r="F640" s="83" t="s">
        <v>80</v>
      </c>
      <c r="G640" s="85">
        <v>20</v>
      </c>
      <c r="H640" s="141">
        <v>899</v>
      </c>
      <c r="I640" s="2"/>
    </row>
    <row r="641" spans="1:9" ht="19.8" customHeight="1" x14ac:dyDescent="0.3">
      <c r="A641" s="145">
        <v>46038</v>
      </c>
      <c r="B641" s="87" t="s">
        <v>71</v>
      </c>
      <c r="C641" s="88" t="s">
        <v>72</v>
      </c>
      <c r="D641" s="87" t="s">
        <v>1</v>
      </c>
      <c r="E641" s="146">
        <v>1.305555555555556</v>
      </c>
      <c r="F641" s="87" t="s">
        <v>73</v>
      </c>
      <c r="G641" s="89">
        <v>4</v>
      </c>
      <c r="H641" s="90" t="s">
        <v>189</v>
      </c>
      <c r="I641" s="2"/>
    </row>
    <row r="642" spans="1:9" ht="19.8" customHeight="1" x14ac:dyDescent="0.3">
      <c r="A642" s="143">
        <v>46039</v>
      </c>
      <c r="B642" s="83" t="s">
        <v>40</v>
      </c>
      <c r="C642" s="84" t="s">
        <v>60</v>
      </c>
      <c r="D642" s="83" t="s">
        <v>1</v>
      </c>
      <c r="E642" s="144">
        <v>1.1701388888888891</v>
      </c>
      <c r="F642" s="83" t="s">
        <v>101</v>
      </c>
      <c r="G642" s="85">
        <v>9</v>
      </c>
      <c r="H642" s="141">
        <v>487</v>
      </c>
      <c r="I642" s="2"/>
    </row>
    <row r="643" spans="1:9" ht="19.8" customHeight="1" x14ac:dyDescent="0.3">
      <c r="A643" s="143">
        <v>46039</v>
      </c>
      <c r="B643" s="83" t="s">
        <v>82</v>
      </c>
      <c r="C643" s="84" t="s">
        <v>83</v>
      </c>
      <c r="D643" s="83" t="s">
        <v>1</v>
      </c>
      <c r="E643" s="144">
        <v>1.5486111111111109</v>
      </c>
      <c r="F643" s="83" t="s">
        <v>167</v>
      </c>
      <c r="G643" s="85">
        <v>3</v>
      </c>
      <c r="H643" s="141">
        <v>500</v>
      </c>
      <c r="I643" s="2"/>
    </row>
    <row r="644" spans="1:9" ht="19.8" customHeight="1" x14ac:dyDescent="0.3">
      <c r="A644" s="143">
        <v>46039</v>
      </c>
      <c r="B644" s="83" t="s">
        <v>46</v>
      </c>
      <c r="C644" s="84" t="s">
        <v>47</v>
      </c>
      <c r="D644" s="83" t="s">
        <v>1</v>
      </c>
      <c r="E644" s="144">
        <v>1.305555555555556</v>
      </c>
      <c r="F644" s="83" t="s">
        <v>85</v>
      </c>
      <c r="G644" s="85">
        <v>20</v>
      </c>
      <c r="H644" s="141">
        <v>509</v>
      </c>
      <c r="I644" s="2"/>
    </row>
    <row r="645" spans="1:9" ht="19.8" customHeight="1" x14ac:dyDescent="0.3">
      <c r="A645" s="143">
        <v>46039</v>
      </c>
      <c r="B645" s="83" t="s">
        <v>76</v>
      </c>
      <c r="C645" s="84" t="s">
        <v>77</v>
      </c>
      <c r="D645" s="83" t="s">
        <v>1</v>
      </c>
      <c r="E645" s="144">
        <v>1.9722222222222221</v>
      </c>
      <c r="F645" s="83" t="s">
        <v>78</v>
      </c>
      <c r="G645" s="85">
        <v>9</v>
      </c>
      <c r="H645" s="141">
        <v>511</v>
      </c>
      <c r="I645" s="2"/>
    </row>
    <row r="646" spans="1:9" ht="19.8" customHeight="1" x14ac:dyDescent="0.3">
      <c r="A646" s="143">
        <v>46039</v>
      </c>
      <c r="B646" s="83" t="s">
        <v>40</v>
      </c>
      <c r="C646" s="84" t="s">
        <v>41</v>
      </c>
      <c r="D646" s="83" t="s">
        <v>1</v>
      </c>
      <c r="E646" s="144">
        <v>1.864583333333333</v>
      </c>
      <c r="F646" s="83" t="s">
        <v>101</v>
      </c>
      <c r="G646" s="85">
        <v>9</v>
      </c>
      <c r="H646" s="141">
        <v>517</v>
      </c>
      <c r="I646" s="2"/>
    </row>
    <row r="647" spans="1:9" ht="19.8" customHeight="1" x14ac:dyDescent="0.3">
      <c r="A647" s="143">
        <v>46039</v>
      </c>
      <c r="B647" s="83" t="s">
        <v>40</v>
      </c>
      <c r="C647" s="84" t="s">
        <v>44</v>
      </c>
      <c r="D647" s="83" t="s">
        <v>1</v>
      </c>
      <c r="E647" s="144">
        <v>1.5277777777777779</v>
      </c>
      <c r="F647" s="83" t="s">
        <v>101</v>
      </c>
      <c r="G647" s="85">
        <v>9</v>
      </c>
      <c r="H647" s="141">
        <v>517</v>
      </c>
      <c r="I647" s="2"/>
    </row>
    <row r="648" spans="1:9" ht="19.8" customHeight="1" x14ac:dyDescent="0.3">
      <c r="A648" s="143">
        <v>46039</v>
      </c>
      <c r="B648" s="83" t="s">
        <v>31</v>
      </c>
      <c r="C648" s="84" t="s">
        <v>32</v>
      </c>
      <c r="D648" s="83" t="s">
        <v>1</v>
      </c>
      <c r="E648" s="144">
        <v>1.836805555555556</v>
      </c>
      <c r="F648" s="83" t="s">
        <v>33</v>
      </c>
      <c r="G648" s="85">
        <v>4</v>
      </c>
      <c r="H648" s="141">
        <v>559</v>
      </c>
      <c r="I648" s="2"/>
    </row>
    <row r="649" spans="1:9" ht="19.8" customHeight="1" x14ac:dyDescent="0.3">
      <c r="A649" s="143">
        <v>46039</v>
      </c>
      <c r="B649" s="83" t="s">
        <v>31</v>
      </c>
      <c r="C649" s="84" t="s">
        <v>51</v>
      </c>
      <c r="D649" s="83" t="s">
        <v>1</v>
      </c>
      <c r="E649" s="144">
        <v>1.2013888888888891</v>
      </c>
      <c r="F649" s="83" t="s">
        <v>33</v>
      </c>
      <c r="G649" s="85">
        <v>5</v>
      </c>
      <c r="H649" s="141">
        <v>559</v>
      </c>
      <c r="I649" s="2"/>
    </row>
    <row r="650" spans="1:9" ht="19.8" customHeight="1" x14ac:dyDescent="0.3">
      <c r="A650" s="143">
        <v>46039</v>
      </c>
      <c r="B650" s="83" t="s">
        <v>26</v>
      </c>
      <c r="C650" s="84" t="s">
        <v>57</v>
      </c>
      <c r="D650" s="83" t="s">
        <v>1</v>
      </c>
      <c r="E650" s="144">
        <v>1.895833333333333</v>
      </c>
      <c r="F650" s="83" t="s">
        <v>167</v>
      </c>
      <c r="G650" s="85">
        <v>7</v>
      </c>
      <c r="H650" s="141">
        <v>563</v>
      </c>
      <c r="I650" s="2"/>
    </row>
    <row r="651" spans="1:9" ht="19.8" customHeight="1" x14ac:dyDescent="0.3">
      <c r="A651" s="147">
        <v>46039</v>
      </c>
      <c r="B651" s="92" t="s">
        <v>64</v>
      </c>
      <c r="C651" s="93" t="s">
        <v>65</v>
      </c>
      <c r="D651" s="92" t="s">
        <v>1</v>
      </c>
      <c r="E651" s="148">
        <v>1.9236111111111109</v>
      </c>
      <c r="F651" s="92" t="s">
        <v>167</v>
      </c>
      <c r="G651" s="94">
        <v>6</v>
      </c>
      <c r="H651" s="142">
        <v>566</v>
      </c>
      <c r="I651" s="2"/>
    </row>
    <row r="652" spans="1:9" ht="19.8" customHeight="1" x14ac:dyDescent="0.3">
      <c r="A652" s="143">
        <v>46039</v>
      </c>
      <c r="B652" s="83" t="s">
        <v>46</v>
      </c>
      <c r="C652" s="84" t="s">
        <v>47</v>
      </c>
      <c r="D652" s="83" t="s">
        <v>1</v>
      </c>
      <c r="E652" s="144">
        <v>1.305555555555556</v>
      </c>
      <c r="F652" s="83" t="s">
        <v>88</v>
      </c>
      <c r="G652" s="85">
        <v>20</v>
      </c>
      <c r="H652" s="141">
        <v>659</v>
      </c>
      <c r="I652" s="2"/>
    </row>
    <row r="653" spans="1:9" ht="19.8" customHeight="1" x14ac:dyDescent="0.3">
      <c r="A653" s="143">
        <v>46039</v>
      </c>
      <c r="B653" s="83" t="s">
        <v>31</v>
      </c>
      <c r="C653" s="84" t="s">
        <v>32</v>
      </c>
      <c r="D653" s="83" t="s">
        <v>1</v>
      </c>
      <c r="E653" s="144">
        <v>1.836805555555556</v>
      </c>
      <c r="F653" s="83" t="s">
        <v>36</v>
      </c>
      <c r="G653" s="85">
        <v>4</v>
      </c>
      <c r="H653" s="141">
        <v>659</v>
      </c>
      <c r="I653" s="2"/>
    </row>
    <row r="654" spans="1:9" ht="19.8" customHeight="1" x14ac:dyDescent="0.3">
      <c r="A654" s="143">
        <v>46039</v>
      </c>
      <c r="B654" s="83" t="s">
        <v>31</v>
      </c>
      <c r="C654" s="84" t="s">
        <v>51</v>
      </c>
      <c r="D654" s="83" t="s">
        <v>1</v>
      </c>
      <c r="E654" s="144">
        <v>1.2013888888888891</v>
      </c>
      <c r="F654" s="83" t="s">
        <v>36</v>
      </c>
      <c r="G654" s="85">
        <v>5</v>
      </c>
      <c r="H654" s="141">
        <v>659</v>
      </c>
      <c r="I654" s="2"/>
    </row>
    <row r="655" spans="1:9" ht="19.8" customHeight="1" x14ac:dyDescent="0.3">
      <c r="A655" s="143">
        <v>46039</v>
      </c>
      <c r="B655" s="83" t="s">
        <v>76</v>
      </c>
      <c r="C655" s="84" t="s">
        <v>77</v>
      </c>
      <c r="D655" s="83" t="s">
        <v>1</v>
      </c>
      <c r="E655" s="144">
        <v>1.9722222222222221</v>
      </c>
      <c r="F655" s="83" t="s">
        <v>80</v>
      </c>
      <c r="G655" s="85">
        <v>9</v>
      </c>
      <c r="H655" s="141">
        <v>716</v>
      </c>
      <c r="I655" s="2"/>
    </row>
    <row r="656" spans="1:9" ht="19.8" customHeight="1" x14ac:dyDescent="0.3">
      <c r="A656" s="143">
        <v>46039</v>
      </c>
      <c r="B656" s="83" t="s">
        <v>31</v>
      </c>
      <c r="C656" s="84" t="s">
        <v>32</v>
      </c>
      <c r="D656" s="83" t="s">
        <v>1</v>
      </c>
      <c r="E656" s="144">
        <v>1.836805555555556</v>
      </c>
      <c r="F656" s="83" t="s">
        <v>38</v>
      </c>
      <c r="G656" s="85">
        <v>4</v>
      </c>
      <c r="H656" s="141">
        <v>749</v>
      </c>
      <c r="I656" s="2"/>
    </row>
    <row r="657" spans="1:9" ht="19.8" customHeight="1" x14ac:dyDescent="0.3">
      <c r="A657" s="143">
        <v>46039</v>
      </c>
      <c r="B657" s="83" t="s">
        <v>31</v>
      </c>
      <c r="C657" s="84" t="s">
        <v>51</v>
      </c>
      <c r="D657" s="83" t="s">
        <v>1</v>
      </c>
      <c r="E657" s="144">
        <v>1.2013888888888891</v>
      </c>
      <c r="F657" s="83" t="s">
        <v>38</v>
      </c>
      <c r="G657" s="85">
        <v>5</v>
      </c>
      <c r="H657" s="141">
        <v>749</v>
      </c>
      <c r="I657" s="2"/>
    </row>
    <row r="658" spans="1:9" ht="19.8" customHeight="1" x14ac:dyDescent="0.3">
      <c r="A658" s="143">
        <v>46039</v>
      </c>
      <c r="B658" s="83" t="s">
        <v>46</v>
      </c>
      <c r="C658" s="84" t="s">
        <v>47</v>
      </c>
      <c r="D658" s="83" t="s">
        <v>1</v>
      </c>
      <c r="E658" s="144">
        <v>1.305555555555556</v>
      </c>
      <c r="F658" s="83" t="s">
        <v>80</v>
      </c>
      <c r="G658" s="85">
        <v>20</v>
      </c>
      <c r="H658" s="141">
        <v>899</v>
      </c>
      <c r="I658" s="2"/>
    </row>
    <row r="659" spans="1:9" ht="19.8" customHeight="1" x14ac:dyDescent="0.3">
      <c r="A659" s="145">
        <v>46039</v>
      </c>
      <c r="B659" s="87" t="s">
        <v>71</v>
      </c>
      <c r="C659" s="88" t="s">
        <v>72</v>
      </c>
      <c r="D659" s="87" t="s">
        <v>1</v>
      </c>
      <c r="E659" s="146">
        <v>1.305555555555556</v>
      </c>
      <c r="F659" s="87" t="s">
        <v>73</v>
      </c>
      <c r="G659" s="89">
        <v>4</v>
      </c>
      <c r="H659" s="90" t="s">
        <v>189</v>
      </c>
      <c r="I659" s="2"/>
    </row>
    <row r="660" spans="1:9" ht="19.8" customHeight="1" x14ac:dyDescent="0.3">
      <c r="A660" s="143">
        <v>46040</v>
      </c>
      <c r="B660" s="83" t="s">
        <v>40</v>
      </c>
      <c r="C660" s="84" t="s">
        <v>60</v>
      </c>
      <c r="D660" s="83" t="s">
        <v>1</v>
      </c>
      <c r="E660" s="144">
        <v>1.1701388888888891</v>
      </c>
      <c r="F660" s="83" t="s">
        <v>101</v>
      </c>
      <c r="G660" s="85">
        <v>9</v>
      </c>
      <c r="H660" s="141">
        <v>487</v>
      </c>
      <c r="I660" s="2"/>
    </row>
    <row r="661" spans="1:9" ht="19.8" customHeight="1" x14ac:dyDescent="0.3">
      <c r="A661" s="143">
        <v>46040</v>
      </c>
      <c r="B661" s="83" t="s">
        <v>82</v>
      </c>
      <c r="C661" s="84" t="s">
        <v>123</v>
      </c>
      <c r="D661" s="83" t="s">
        <v>1</v>
      </c>
      <c r="E661" s="144">
        <v>1.2152777777777779</v>
      </c>
      <c r="F661" s="83" t="s">
        <v>167</v>
      </c>
      <c r="G661" s="85">
        <v>7</v>
      </c>
      <c r="H661" s="141">
        <v>500</v>
      </c>
      <c r="I661" s="2"/>
    </row>
    <row r="662" spans="1:9" ht="19.8" customHeight="1" x14ac:dyDescent="0.3">
      <c r="A662" s="143">
        <v>46040</v>
      </c>
      <c r="B662" s="83" t="s">
        <v>46</v>
      </c>
      <c r="C662" s="84" t="s">
        <v>47</v>
      </c>
      <c r="D662" s="83" t="s">
        <v>1</v>
      </c>
      <c r="E662" s="144">
        <v>1.305555555555556</v>
      </c>
      <c r="F662" s="83" t="s">
        <v>85</v>
      </c>
      <c r="G662" s="85">
        <v>20</v>
      </c>
      <c r="H662" s="141">
        <v>509</v>
      </c>
      <c r="I662" s="2"/>
    </row>
    <row r="663" spans="1:9" ht="19.8" customHeight="1" x14ac:dyDescent="0.3">
      <c r="A663" s="143">
        <v>46040</v>
      </c>
      <c r="B663" s="83" t="s">
        <v>40</v>
      </c>
      <c r="C663" s="84" t="s">
        <v>41</v>
      </c>
      <c r="D663" s="83" t="s">
        <v>1</v>
      </c>
      <c r="E663" s="144">
        <v>1.864583333333333</v>
      </c>
      <c r="F663" s="83" t="s">
        <v>101</v>
      </c>
      <c r="G663" s="85">
        <v>9</v>
      </c>
      <c r="H663" s="141">
        <v>517</v>
      </c>
      <c r="I663" s="2"/>
    </row>
    <row r="664" spans="1:9" ht="19.8" customHeight="1" x14ac:dyDescent="0.3">
      <c r="A664" s="143">
        <v>46040</v>
      </c>
      <c r="B664" s="83" t="s">
        <v>40</v>
      </c>
      <c r="C664" s="84" t="s">
        <v>44</v>
      </c>
      <c r="D664" s="83" t="s">
        <v>1</v>
      </c>
      <c r="E664" s="144">
        <v>1.5277777777777779</v>
      </c>
      <c r="F664" s="83" t="s">
        <v>101</v>
      </c>
      <c r="G664" s="85">
        <v>9</v>
      </c>
      <c r="H664" s="141">
        <v>517</v>
      </c>
      <c r="I664" s="2"/>
    </row>
    <row r="665" spans="1:9" ht="19.8" customHeight="1" x14ac:dyDescent="0.3">
      <c r="A665" s="143">
        <v>46040</v>
      </c>
      <c r="B665" s="83" t="s">
        <v>31</v>
      </c>
      <c r="C665" s="84" t="s">
        <v>32</v>
      </c>
      <c r="D665" s="83" t="s">
        <v>1</v>
      </c>
      <c r="E665" s="144">
        <v>1.836805555555556</v>
      </c>
      <c r="F665" s="83" t="s">
        <v>33</v>
      </c>
      <c r="G665" s="85">
        <v>3</v>
      </c>
      <c r="H665" s="141">
        <v>559</v>
      </c>
      <c r="I665" s="2"/>
    </row>
    <row r="666" spans="1:9" ht="19.8" customHeight="1" x14ac:dyDescent="0.3">
      <c r="A666" s="143">
        <v>46040</v>
      </c>
      <c r="B666" s="83" t="s">
        <v>26</v>
      </c>
      <c r="C666" s="84" t="s">
        <v>99</v>
      </c>
      <c r="D666" s="83" t="s">
        <v>1</v>
      </c>
      <c r="E666" s="144">
        <v>1.958333333333333</v>
      </c>
      <c r="F666" s="83" t="s">
        <v>167</v>
      </c>
      <c r="G666" s="85">
        <v>3</v>
      </c>
      <c r="H666" s="141">
        <v>563</v>
      </c>
      <c r="I666" s="2"/>
    </row>
    <row r="667" spans="1:9" ht="19.8" customHeight="1" x14ac:dyDescent="0.3">
      <c r="A667" s="143">
        <v>46040</v>
      </c>
      <c r="B667" s="83" t="s">
        <v>46</v>
      </c>
      <c r="C667" s="84" t="s">
        <v>47</v>
      </c>
      <c r="D667" s="83" t="s">
        <v>1</v>
      </c>
      <c r="E667" s="144">
        <v>1.305555555555556</v>
      </c>
      <c r="F667" s="83" t="s">
        <v>88</v>
      </c>
      <c r="G667" s="85">
        <v>20</v>
      </c>
      <c r="H667" s="141">
        <v>659</v>
      </c>
      <c r="I667" s="2"/>
    </row>
    <row r="668" spans="1:9" ht="19.8" customHeight="1" x14ac:dyDescent="0.3">
      <c r="A668" s="143">
        <v>46040</v>
      </c>
      <c r="B668" s="83" t="s">
        <v>31</v>
      </c>
      <c r="C668" s="84" t="s">
        <v>32</v>
      </c>
      <c r="D668" s="83" t="s">
        <v>1</v>
      </c>
      <c r="E668" s="144">
        <v>1.836805555555556</v>
      </c>
      <c r="F668" s="83" t="s">
        <v>36</v>
      </c>
      <c r="G668" s="85">
        <v>3</v>
      </c>
      <c r="H668" s="141">
        <v>659</v>
      </c>
      <c r="I668" s="2"/>
    </row>
    <row r="669" spans="1:9" ht="19.8" customHeight="1" x14ac:dyDescent="0.3">
      <c r="A669" s="143">
        <v>46040</v>
      </c>
      <c r="B669" s="83" t="s">
        <v>31</v>
      </c>
      <c r="C669" s="84" t="s">
        <v>32</v>
      </c>
      <c r="D669" s="83" t="s">
        <v>1</v>
      </c>
      <c r="E669" s="144">
        <v>1.836805555555556</v>
      </c>
      <c r="F669" s="83" t="s">
        <v>38</v>
      </c>
      <c r="G669" s="85">
        <v>3</v>
      </c>
      <c r="H669" s="141">
        <v>749</v>
      </c>
      <c r="I669" s="2"/>
    </row>
    <row r="670" spans="1:9" ht="19.8" customHeight="1" x14ac:dyDescent="0.3">
      <c r="A670" s="143">
        <v>46040</v>
      </c>
      <c r="B670" s="83" t="s">
        <v>46</v>
      </c>
      <c r="C670" s="84" t="s">
        <v>47</v>
      </c>
      <c r="D670" s="83" t="s">
        <v>1</v>
      </c>
      <c r="E670" s="144">
        <v>1.305555555555556</v>
      </c>
      <c r="F670" s="83" t="s">
        <v>80</v>
      </c>
      <c r="G670" s="85">
        <v>20</v>
      </c>
      <c r="H670" s="141">
        <v>899</v>
      </c>
      <c r="I670" s="2"/>
    </row>
    <row r="671" spans="1:9" ht="19.8" customHeight="1" x14ac:dyDescent="0.3">
      <c r="A671" s="145">
        <v>46040</v>
      </c>
      <c r="B671" s="87" t="s">
        <v>71</v>
      </c>
      <c r="C671" s="88" t="s">
        <v>72</v>
      </c>
      <c r="D671" s="87" t="s">
        <v>1</v>
      </c>
      <c r="E671" s="146">
        <v>1.305555555555556</v>
      </c>
      <c r="F671" s="87" t="s">
        <v>73</v>
      </c>
      <c r="G671" s="89">
        <v>4</v>
      </c>
      <c r="H671" s="90" t="s">
        <v>189</v>
      </c>
      <c r="I671" s="2"/>
    </row>
    <row r="672" spans="1:9" ht="19.8" customHeight="1" x14ac:dyDescent="0.3">
      <c r="A672" s="143">
        <v>46041</v>
      </c>
      <c r="B672" s="83" t="s">
        <v>40</v>
      </c>
      <c r="C672" s="84" t="s">
        <v>60</v>
      </c>
      <c r="D672" s="83" t="s">
        <v>1</v>
      </c>
      <c r="E672" s="144">
        <v>1.1701388888888891</v>
      </c>
      <c r="F672" s="83" t="s">
        <v>101</v>
      </c>
      <c r="G672" s="85">
        <v>9</v>
      </c>
      <c r="H672" s="141">
        <v>487</v>
      </c>
      <c r="I672" s="2"/>
    </row>
    <row r="673" spans="1:9" ht="19.8" customHeight="1" x14ac:dyDescent="0.3">
      <c r="A673" s="143">
        <v>46041</v>
      </c>
      <c r="B673" s="83" t="s">
        <v>82</v>
      </c>
      <c r="C673" s="84" t="s">
        <v>161</v>
      </c>
      <c r="D673" s="83" t="s">
        <v>1</v>
      </c>
      <c r="E673" s="144">
        <v>1.1284722222222221</v>
      </c>
      <c r="F673" s="83" t="s">
        <v>167</v>
      </c>
      <c r="G673" s="85">
        <v>1</v>
      </c>
      <c r="H673" s="141">
        <v>500</v>
      </c>
      <c r="I673" s="2"/>
    </row>
    <row r="674" spans="1:9" ht="19.8" customHeight="1" x14ac:dyDescent="0.3">
      <c r="A674" s="143">
        <v>46041</v>
      </c>
      <c r="B674" s="83" t="s">
        <v>46</v>
      </c>
      <c r="C674" s="84" t="s">
        <v>47</v>
      </c>
      <c r="D674" s="83" t="s">
        <v>1</v>
      </c>
      <c r="E674" s="144">
        <v>1.305555555555556</v>
      </c>
      <c r="F674" s="83" t="s">
        <v>85</v>
      </c>
      <c r="G674" s="85">
        <v>20</v>
      </c>
      <c r="H674" s="141">
        <v>509</v>
      </c>
      <c r="I674" s="2"/>
    </row>
    <row r="675" spans="1:9" ht="19.8" customHeight="1" x14ac:dyDescent="0.3">
      <c r="A675" s="143">
        <v>46041</v>
      </c>
      <c r="B675" s="83" t="s">
        <v>40</v>
      </c>
      <c r="C675" s="84" t="s">
        <v>41</v>
      </c>
      <c r="D675" s="83" t="s">
        <v>1</v>
      </c>
      <c r="E675" s="144">
        <v>1.864583333333333</v>
      </c>
      <c r="F675" s="83" t="s">
        <v>101</v>
      </c>
      <c r="G675" s="85">
        <v>9</v>
      </c>
      <c r="H675" s="141">
        <v>517</v>
      </c>
      <c r="I675" s="2"/>
    </row>
    <row r="676" spans="1:9" ht="19.8" customHeight="1" x14ac:dyDescent="0.3">
      <c r="A676" s="143">
        <v>46041</v>
      </c>
      <c r="B676" s="83" t="s">
        <v>40</v>
      </c>
      <c r="C676" s="84" t="s">
        <v>44</v>
      </c>
      <c r="D676" s="83" t="s">
        <v>1</v>
      </c>
      <c r="E676" s="144">
        <v>1.5277777777777779</v>
      </c>
      <c r="F676" s="83" t="s">
        <v>101</v>
      </c>
      <c r="G676" s="85">
        <v>9</v>
      </c>
      <c r="H676" s="141">
        <v>517</v>
      </c>
      <c r="I676" s="2"/>
    </row>
    <row r="677" spans="1:9" ht="19.8" customHeight="1" x14ac:dyDescent="0.3">
      <c r="A677" s="143">
        <v>46041</v>
      </c>
      <c r="B677" s="83" t="s">
        <v>31</v>
      </c>
      <c r="C677" s="84" t="s">
        <v>32</v>
      </c>
      <c r="D677" s="83" t="s">
        <v>1</v>
      </c>
      <c r="E677" s="144">
        <v>1.836805555555556</v>
      </c>
      <c r="F677" s="83" t="s">
        <v>33</v>
      </c>
      <c r="G677" s="85">
        <v>5</v>
      </c>
      <c r="H677" s="141">
        <v>559</v>
      </c>
      <c r="I677" s="2"/>
    </row>
    <row r="678" spans="1:9" ht="19.8" customHeight="1" x14ac:dyDescent="0.3">
      <c r="A678" s="143">
        <v>46041</v>
      </c>
      <c r="B678" s="83" t="s">
        <v>31</v>
      </c>
      <c r="C678" s="84" t="s">
        <v>51</v>
      </c>
      <c r="D678" s="83" t="s">
        <v>1</v>
      </c>
      <c r="E678" s="144">
        <v>1.2013888888888891</v>
      </c>
      <c r="F678" s="83" t="s">
        <v>33</v>
      </c>
      <c r="G678" s="85">
        <v>5</v>
      </c>
      <c r="H678" s="141">
        <v>559</v>
      </c>
      <c r="I678" s="2"/>
    </row>
    <row r="679" spans="1:9" ht="19.8" customHeight="1" x14ac:dyDescent="0.3">
      <c r="A679" s="143">
        <v>46041</v>
      </c>
      <c r="B679" s="83" t="s">
        <v>26</v>
      </c>
      <c r="C679" s="84" t="s">
        <v>27</v>
      </c>
      <c r="D679" s="83" t="s">
        <v>1</v>
      </c>
      <c r="E679" s="144">
        <v>1.958333333333333</v>
      </c>
      <c r="F679" s="83" t="s">
        <v>167</v>
      </c>
      <c r="G679" s="85">
        <v>3</v>
      </c>
      <c r="H679" s="141">
        <v>563</v>
      </c>
      <c r="I679" s="2"/>
    </row>
    <row r="680" spans="1:9" ht="19.8" customHeight="1" x14ac:dyDescent="0.3">
      <c r="A680" s="143">
        <v>46041</v>
      </c>
      <c r="B680" s="83" t="s">
        <v>46</v>
      </c>
      <c r="C680" s="84" t="s">
        <v>47</v>
      </c>
      <c r="D680" s="83" t="s">
        <v>1</v>
      </c>
      <c r="E680" s="144">
        <v>1.305555555555556</v>
      </c>
      <c r="F680" s="83" t="s">
        <v>88</v>
      </c>
      <c r="G680" s="85">
        <v>20</v>
      </c>
      <c r="H680" s="141">
        <v>659</v>
      </c>
      <c r="I680" s="2"/>
    </row>
    <row r="681" spans="1:9" ht="19.8" customHeight="1" x14ac:dyDescent="0.3">
      <c r="A681" s="143">
        <v>46041</v>
      </c>
      <c r="B681" s="83" t="s">
        <v>31</v>
      </c>
      <c r="C681" s="84" t="s">
        <v>32</v>
      </c>
      <c r="D681" s="83" t="s">
        <v>1</v>
      </c>
      <c r="E681" s="144">
        <v>1.836805555555556</v>
      </c>
      <c r="F681" s="83" t="s">
        <v>36</v>
      </c>
      <c r="G681" s="85">
        <v>5</v>
      </c>
      <c r="H681" s="141">
        <v>659</v>
      </c>
      <c r="I681" s="2"/>
    </row>
    <row r="682" spans="1:9" ht="19.8" customHeight="1" x14ac:dyDescent="0.3">
      <c r="A682" s="143">
        <v>46041</v>
      </c>
      <c r="B682" s="83" t="s">
        <v>31</v>
      </c>
      <c r="C682" s="84" t="s">
        <v>51</v>
      </c>
      <c r="D682" s="83" t="s">
        <v>1</v>
      </c>
      <c r="E682" s="144">
        <v>1.2013888888888891</v>
      </c>
      <c r="F682" s="83" t="s">
        <v>36</v>
      </c>
      <c r="G682" s="85">
        <v>5</v>
      </c>
      <c r="H682" s="141">
        <v>659</v>
      </c>
      <c r="I682" s="2"/>
    </row>
    <row r="683" spans="1:9" ht="19.8" customHeight="1" x14ac:dyDescent="0.3">
      <c r="A683" s="143">
        <v>46041</v>
      </c>
      <c r="B683" s="83" t="s">
        <v>31</v>
      </c>
      <c r="C683" s="84" t="s">
        <v>32</v>
      </c>
      <c r="D683" s="83" t="s">
        <v>1</v>
      </c>
      <c r="E683" s="144">
        <v>1.836805555555556</v>
      </c>
      <c r="F683" s="83" t="s">
        <v>38</v>
      </c>
      <c r="G683" s="85">
        <v>5</v>
      </c>
      <c r="H683" s="141">
        <v>749</v>
      </c>
      <c r="I683" s="2"/>
    </row>
    <row r="684" spans="1:9" ht="19.8" customHeight="1" x14ac:dyDescent="0.3">
      <c r="A684" s="143">
        <v>46041</v>
      </c>
      <c r="B684" s="83" t="s">
        <v>31</v>
      </c>
      <c r="C684" s="84" t="s">
        <v>51</v>
      </c>
      <c r="D684" s="83" t="s">
        <v>1</v>
      </c>
      <c r="E684" s="144">
        <v>1.2013888888888891</v>
      </c>
      <c r="F684" s="83" t="s">
        <v>38</v>
      </c>
      <c r="G684" s="85">
        <v>5</v>
      </c>
      <c r="H684" s="141">
        <v>749</v>
      </c>
      <c r="I684" s="2"/>
    </row>
    <row r="685" spans="1:9" ht="19.8" customHeight="1" x14ac:dyDescent="0.3">
      <c r="A685" s="143">
        <v>46041</v>
      </c>
      <c r="B685" s="83" t="s">
        <v>46</v>
      </c>
      <c r="C685" s="84" t="s">
        <v>47</v>
      </c>
      <c r="D685" s="83" t="s">
        <v>1</v>
      </c>
      <c r="E685" s="144">
        <v>1.305555555555556</v>
      </c>
      <c r="F685" s="83" t="s">
        <v>80</v>
      </c>
      <c r="G685" s="85">
        <v>20</v>
      </c>
      <c r="H685" s="141">
        <v>899</v>
      </c>
      <c r="I685" s="2"/>
    </row>
    <row r="686" spans="1:9" ht="19.8" customHeight="1" x14ac:dyDescent="0.3">
      <c r="A686" s="145">
        <v>46041</v>
      </c>
      <c r="B686" s="87" t="s">
        <v>71</v>
      </c>
      <c r="C686" s="88" t="s">
        <v>72</v>
      </c>
      <c r="D686" s="87" t="s">
        <v>1</v>
      </c>
      <c r="E686" s="146">
        <v>1.305555555555556</v>
      </c>
      <c r="F686" s="87" t="s">
        <v>73</v>
      </c>
      <c r="G686" s="89">
        <v>4</v>
      </c>
      <c r="H686" s="90" t="s">
        <v>189</v>
      </c>
      <c r="I686" s="2"/>
    </row>
    <row r="687" spans="1:9" ht="19.8" customHeight="1" x14ac:dyDescent="0.3">
      <c r="A687" s="143">
        <v>46042</v>
      </c>
      <c r="B687" s="83" t="s">
        <v>40</v>
      </c>
      <c r="C687" s="84" t="s">
        <v>60</v>
      </c>
      <c r="D687" s="83" t="s">
        <v>1</v>
      </c>
      <c r="E687" s="144">
        <v>1.1701388888888891</v>
      </c>
      <c r="F687" s="83" t="s">
        <v>101</v>
      </c>
      <c r="G687" s="85">
        <v>9</v>
      </c>
      <c r="H687" s="141">
        <v>487</v>
      </c>
      <c r="I687" s="2"/>
    </row>
    <row r="688" spans="1:9" ht="19.8" customHeight="1" x14ac:dyDescent="0.3">
      <c r="A688" s="143">
        <v>46042</v>
      </c>
      <c r="B688" s="83" t="s">
        <v>46</v>
      </c>
      <c r="C688" s="84" t="s">
        <v>47</v>
      </c>
      <c r="D688" s="83" t="s">
        <v>1</v>
      </c>
      <c r="E688" s="144">
        <v>1.305555555555556</v>
      </c>
      <c r="F688" s="83" t="s">
        <v>85</v>
      </c>
      <c r="G688" s="85">
        <v>20</v>
      </c>
      <c r="H688" s="141">
        <v>509</v>
      </c>
      <c r="I688" s="2"/>
    </row>
    <row r="689" spans="1:9" ht="19.8" customHeight="1" x14ac:dyDescent="0.3">
      <c r="A689" s="143">
        <v>46042</v>
      </c>
      <c r="B689" s="83" t="s">
        <v>40</v>
      </c>
      <c r="C689" s="84" t="s">
        <v>41</v>
      </c>
      <c r="D689" s="83" t="s">
        <v>1</v>
      </c>
      <c r="E689" s="144">
        <v>1.864583333333333</v>
      </c>
      <c r="F689" s="83" t="s">
        <v>101</v>
      </c>
      <c r="G689" s="85">
        <v>9</v>
      </c>
      <c r="H689" s="141">
        <v>517</v>
      </c>
      <c r="I689" s="2"/>
    </row>
    <row r="690" spans="1:9" ht="19.8" customHeight="1" x14ac:dyDescent="0.3">
      <c r="A690" s="143">
        <v>46042</v>
      </c>
      <c r="B690" s="83" t="s">
        <v>40</v>
      </c>
      <c r="C690" s="84" t="s">
        <v>44</v>
      </c>
      <c r="D690" s="83" t="s">
        <v>1</v>
      </c>
      <c r="E690" s="144">
        <v>1.5277777777777779</v>
      </c>
      <c r="F690" s="83" t="s">
        <v>101</v>
      </c>
      <c r="G690" s="85">
        <v>9</v>
      </c>
      <c r="H690" s="141">
        <v>517</v>
      </c>
      <c r="I690" s="2"/>
    </row>
    <row r="691" spans="1:9" ht="19.8" customHeight="1" x14ac:dyDescent="0.3">
      <c r="A691" s="143">
        <v>46042</v>
      </c>
      <c r="B691" s="83" t="s">
        <v>31</v>
      </c>
      <c r="C691" s="84" t="s">
        <v>32</v>
      </c>
      <c r="D691" s="83" t="s">
        <v>1</v>
      </c>
      <c r="E691" s="144">
        <v>1.836805555555556</v>
      </c>
      <c r="F691" s="83" t="s">
        <v>33</v>
      </c>
      <c r="G691" s="85">
        <v>2</v>
      </c>
      <c r="H691" s="141">
        <v>559</v>
      </c>
      <c r="I691" s="2"/>
    </row>
    <row r="692" spans="1:9" ht="19.8" customHeight="1" x14ac:dyDescent="0.3">
      <c r="A692" s="143">
        <v>46042</v>
      </c>
      <c r="B692" s="83" t="s">
        <v>31</v>
      </c>
      <c r="C692" s="84" t="s">
        <v>51</v>
      </c>
      <c r="D692" s="83" t="s">
        <v>1</v>
      </c>
      <c r="E692" s="144">
        <v>1.2013888888888891</v>
      </c>
      <c r="F692" s="83" t="s">
        <v>33</v>
      </c>
      <c r="G692" s="85">
        <v>1</v>
      </c>
      <c r="H692" s="141">
        <v>559</v>
      </c>
      <c r="I692" s="2"/>
    </row>
    <row r="693" spans="1:9" ht="19.8" customHeight="1" x14ac:dyDescent="0.3">
      <c r="A693" s="143">
        <v>46042</v>
      </c>
      <c r="B693" s="83" t="s">
        <v>26</v>
      </c>
      <c r="C693" s="84" t="s">
        <v>57</v>
      </c>
      <c r="D693" s="83" t="s">
        <v>1</v>
      </c>
      <c r="E693" s="144">
        <v>1.958333333333333</v>
      </c>
      <c r="F693" s="83" t="s">
        <v>167</v>
      </c>
      <c r="G693" s="85">
        <v>5</v>
      </c>
      <c r="H693" s="141">
        <v>563</v>
      </c>
      <c r="I693" s="2"/>
    </row>
    <row r="694" spans="1:9" ht="19.8" customHeight="1" x14ac:dyDescent="0.3">
      <c r="A694" s="147">
        <v>46042</v>
      </c>
      <c r="B694" s="92" t="s">
        <v>64</v>
      </c>
      <c r="C694" s="93" t="s">
        <v>65</v>
      </c>
      <c r="D694" s="92" t="s">
        <v>1</v>
      </c>
      <c r="E694" s="148">
        <v>1.270833333333333</v>
      </c>
      <c r="F694" s="92" t="s">
        <v>167</v>
      </c>
      <c r="G694" s="94">
        <v>2</v>
      </c>
      <c r="H694" s="142">
        <v>566</v>
      </c>
      <c r="I694" s="2"/>
    </row>
    <row r="695" spans="1:9" ht="19.8" customHeight="1" x14ac:dyDescent="0.3">
      <c r="A695" s="143">
        <v>46042</v>
      </c>
      <c r="B695" s="83" t="s">
        <v>82</v>
      </c>
      <c r="C695" s="84" t="s">
        <v>123</v>
      </c>
      <c r="D695" s="83" t="s">
        <v>1</v>
      </c>
      <c r="E695" s="144">
        <v>1.2152777777777779</v>
      </c>
      <c r="F695" s="83" t="s">
        <v>167</v>
      </c>
      <c r="G695" s="85">
        <v>4</v>
      </c>
      <c r="H695" s="141">
        <v>568</v>
      </c>
      <c r="I695" s="2"/>
    </row>
    <row r="696" spans="1:9" ht="19.8" customHeight="1" x14ac:dyDescent="0.3">
      <c r="A696" s="143">
        <v>46042</v>
      </c>
      <c r="B696" s="83" t="s">
        <v>46</v>
      </c>
      <c r="C696" s="84" t="s">
        <v>47</v>
      </c>
      <c r="D696" s="83" t="s">
        <v>1</v>
      </c>
      <c r="E696" s="144">
        <v>1.305555555555556</v>
      </c>
      <c r="F696" s="83" t="s">
        <v>88</v>
      </c>
      <c r="G696" s="85">
        <v>20</v>
      </c>
      <c r="H696" s="141">
        <v>659</v>
      </c>
      <c r="I696" s="2"/>
    </row>
    <row r="697" spans="1:9" ht="19.8" customHeight="1" x14ac:dyDescent="0.3">
      <c r="A697" s="143">
        <v>46042</v>
      </c>
      <c r="B697" s="83" t="s">
        <v>31</v>
      </c>
      <c r="C697" s="84" t="s">
        <v>32</v>
      </c>
      <c r="D697" s="83" t="s">
        <v>1</v>
      </c>
      <c r="E697" s="144">
        <v>1.836805555555556</v>
      </c>
      <c r="F697" s="83" t="s">
        <v>36</v>
      </c>
      <c r="G697" s="85">
        <v>2</v>
      </c>
      <c r="H697" s="141">
        <v>659</v>
      </c>
      <c r="I697" s="2"/>
    </row>
    <row r="698" spans="1:9" ht="19.8" customHeight="1" x14ac:dyDescent="0.3">
      <c r="A698" s="143">
        <v>46042</v>
      </c>
      <c r="B698" s="83" t="s">
        <v>31</v>
      </c>
      <c r="C698" s="84" t="s">
        <v>51</v>
      </c>
      <c r="D698" s="83" t="s">
        <v>1</v>
      </c>
      <c r="E698" s="144">
        <v>1.2013888888888891</v>
      </c>
      <c r="F698" s="83" t="s">
        <v>36</v>
      </c>
      <c r="G698" s="85">
        <v>1</v>
      </c>
      <c r="H698" s="141">
        <v>659</v>
      </c>
      <c r="I698" s="2"/>
    </row>
    <row r="699" spans="1:9" ht="19.8" customHeight="1" x14ac:dyDescent="0.3">
      <c r="A699" s="143">
        <v>46042</v>
      </c>
      <c r="B699" s="83" t="s">
        <v>31</v>
      </c>
      <c r="C699" s="84" t="s">
        <v>32</v>
      </c>
      <c r="D699" s="83" t="s">
        <v>1</v>
      </c>
      <c r="E699" s="144">
        <v>1.836805555555556</v>
      </c>
      <c r="F699" s="83" t="s">
        <v>38</v>
      </c>
      <c r="G699" s="85">
        <v>2</v>
      </c>
      <c r="H699" s="141">
        <v>749</v>
      </c>
      <c r="I699" s="2"/>
    </row>
    <row r="700" spans="1:9" ht="19.8" customHeight="1" x14ac:dyDescent="0.3">
      <c r="A700" s="143">
        <v>46042</v>
      </c>
      <c r="B700" s="83" t="s">
        <v>31</v>
      </c>
      <c r="C700" s="84" t="s">
        <v>51</v>
      </c>
      <c r="D700" s="83" t="s">
        <v>1</v>
      </c>
      <c r="E700" s="144">
        <v>1.2013888888888891</v>
      </c>
      <c r="F700" s="83" t="s">
        <v>38</v>
      </c>
      <c r="G700" s="85">
        <v>1</v>
      </c>
      <c r="H700" s="141">
        <v>749</v>
      </c>
      <c r="I700" s="2"/>
    </row>
    <row r="701" spans="1:9" ht="19.8" customHeight="1" x14ac:dyDescent="0.3">
      <c r="A701" s="143">
        <v>46042</v>
      </c>
      <c r="B701" s="83" t="s">
        <v>46</v>
      </c>
      <c r="C701" s="84" t="s">
        <v>47</v>
      </c>
      <c r="D701" s="83" t="s">
        <v>1</v>
      </c>
      <c r="E701" s="144">
        <v>1.305555555555556</v>
      </c>
      <c r="F701" s="83" t="s">
        <v>80</v>
      </c>
      <c r="G701" s="85">
        <v>20</v>
      </c>
      <c r="H701" s="141">
        <v>899</v>
      </c>
      <c r="I701" s="2"/>
    </row>
    <row r="702" spans="1:9" ht="19.8" customHeight="1" x14ac:dyDescent="0.3">
      <c r="A702" s="145">
        <v>46042</v>
      </c>
      <c r="B702" s="87" t="s">
        <v>71</v>
      </c>
      <c r="C702" s="88" t="s">
        <v>72</v>
      </c>
      <c r="D702" s="87" t="s">
        <v>1</v>
      </c>
      <c r="E702" s="146">
        <v>1.305555555555556</v>
      </c>
      <c r="F702" s="87" t="s">
        <v>73</v>
      </c>
      <c r="G702" s="89">
        <v>4</v>
      </c>
      <c r="H702" s="90" t="s">
        <v>189</v>
      </c>
      <c r="I702" s="2"/>
    </row>
    <row r="703" spans="1:9" ht="19.8" customHeight="1" x14ac:dyDescent="0.3">
      <c r="A703" s="143">
        <v>46043</v>
      </c>
      <c r="B703" s="83" t="s">
        <v>40</v>
      </c>
      <c r="C703" s="84" t="s">
        <v>60</v>
      </c>
      <c r="D703" s="83" t="s">
        <v>1</v>
      </c>
      <c r="E703" s="144">
        <v>1.1701388888888891</v>
      </c>
      <c r="F703" s="83" t="s">
        <v>101</v>
      </c>
      <c r="G703" s="85">
        <v>9</v>
      </c>
      <c r="H703" s="141">
        <v>487</v>
      </c>
      <c r="I703" s="2"/>
    </row>
    <row r="704" spans="1:9" ht="19.8" customHeight="1" x14ac:dyDescent="0.3">
      <c r="A704" s="143">
        <v>46043</v>
      </c>
      <c r="B704" s="83" t="s">
        <v>82</v>
      </c>
      <c r="C704" s="84" t="s">
        <v>83</v>
      </c>
      <c r="D704" s="83" t="s">
        <v>1</v>
      </c>
      <c r="E704" s="144">
        <v>1.0902777777777779</v>
      </c>
      <c r="F704" s="83" t="s">
        <v>167</v>
      </c>
      <c r="G704" s="85">
        <v>4</v>
      </c>
      <c r="H704" s="141">
        <v>500</v>
      </c>
      <c r="I704" s="2"/>
    </row>
    <row r="705" spans="1:9" ht="19.8" customHeight="1" x14ac:dyDescent="0.3">
      <c r="A705" s="143">
        <v>46043</v>
      </c>
      <c r="B705" s="83" t="s">
        <v>46</v>
      </c>
      <c r="C705" s="84" t="s">
        <v>47</v>
      </c>
      <c r="D705" s="83" t="s">
        <v>1</v>
      </c>
      <c r="E705" s="144">
        <v>1.305555555555556</v>
      </c>
      <c r="F705" s="83" t="s">
        <v>85</v>
      </c>
      <c r="G705" s="85">
        <v>20</v>
      </c>
      <c r="H705" s="141">
        <v>509</v>
      </c>
      <c r="I705" s="2"/>
    </row>
    <row r="706" spans="1:9" ht="19.8" customHeight="1" x14ac:dyDescent="0.3">
      <c r="A706" s="143">
        <v>46043</v>
      </c>
      <c r="B706" s="83" t="s">
        <v>40</v>
      </c>
      <c r="C706" s="84" t="s">
        <v>41</v>
      </c>
      <c r="D706" s="83" t="s">
        <v>1</v>
      </c>
      <c r="E706" s="144">
        <v>1.864583333333333</v>
      </c>
      <c r="F706" s="83" t="s">
        <v>101</v>
      </c>
      <c r="G706" s="85">
        <v>9</v>
      </c>
      <c r="H706" s="141">
        <v>517</v>
      </c>
      <c r="I706" s="2"/>
    </row>
    <row r="707" spans="1:9" ht="19.8" customHeight="1" x14ac:dyDescent="0.3">
      <c r="A707" s="143">
        <v>46043</v>
      </c>
      <c r="B707" s="83" t="s">
        <v>40</v>
      </c>
      <c r="C707" s="84" t="s">
        <v>44</v>
      </c>
      <c r="D707" s="83" t="s">
        <v>1</v>
      </c>
      <c r="E707" s="144">
        <v>1.5277777777777779</v>
      </c>
      <c r="F707" s="83" t="s">
        <v>101</v>
      </c>
      <c r="G707" s="85">
        <v>9</v>
      </c>
      <c r="H707" s="141">
        <v>517</v>
      </c>
      <c r="I707" s="2"/>
    </row>
    <row r="708" spans="1:9" ht="19.8" customHeight="1" x14ac:dyDescent="0.3">
      <c r="A708" s="143">
        <v>46043</v>
      </c>
      <c r="B708" s="83" t="s">
        <v>76</v>
      </c>
      <c r="C708" s="84" t="s">
        <v>77</v>
      </c>
      <c r="D708" s="83" t="s">
        <v>1</v>
      </c>
      <c r="E708" s="144">
        <v>1.9722222222222221</v>
      </c>
      <c r="F708" s="83" t="s">
        <v>78</v>
      </c>
      <c r="G708" s="85">
        <v>9</v>
      </c>
      <c r="H708" s="141">
        <v>546</v>
      </c>
      <c r="I708" s="2"/>
    </row>
    <row r="709" spans="1:9" ht="19.8" customHeight="1" x14ac:dyDescent="0.3">
      <c r="A709" s="143">
        <v>46043</v>
      </c>
      <c r="B709" s="83" t="s">
        <v>31</v>
      </c>
      <c r="C709" s="84" t="s">
        <v>32</v>
      </c>
      <c r="D709" s="83" t="s">
        <v>1</v>
      </c>
      <c r="E709" s="144">
        <v>1.836805555555556</v>
      </c>
      <c r="F709" s="83" t="s">
        <v>33</v>
      </c>
      <c r="G709" s="85">
        <v>2</v>
      </c>
      <c r="H709" s="141">
        <v>559</v>
      </c>
      <c r="I709" s="2"/>
    </row>
    <row r="710" spans="1:9" ht="19.8" customHeight="1" x14ac:dyDescent="0.3">
      <c r="A710" s="143">
        <v>46043</v>
      </c>
      <c r="B710" s="83" t="s">
        <v>26</v>
      </c>
      <c r="C710" s="84" t="s">
        <v>27</v>
      </c>
      <c r="D710" s="83" t="s">
        <v>1</v>
      </c>
      <c r="E710" s="144">
        <v>1.895833333333333</v>
      </c>
      <c r="F710" s="83" t="s">
        <v>167</v>
      </c>
      <c r="G710" s="85">
        <v>9</v>
      </c>
      <c r="H710" s="141">
        <v>563</v>
      </c>
      <c r="I710" s="2"/>
    </row>
    <row r="711" spans="1:9" ht="19.8" customHeight="1" x14ac:dyDescent="0.3">
      <c r="A711" s="143">
        <v>46043</v>
      </c>
      <c r="B711" s="83" t="s">
        <v>46</v>
      </c>
      <c r="C711" s="84" t="s">
        <v>47</v>
      </c>
      <c r="D711" s="83" t="s">
        <v>1</v>
      </c>
      <c r="E711" s="144">
        <v>1.305555555555556</v>
      </c>
      <c r="F711" s="83" t="s">
        <v>88</v>
      </c>
      <c r="G711" s="85">
        <v>20</v>
      </c>
      <c r="H711" s="141">
        <v>659</v>
      </c>
      <c r="I711" s="2"/>
    </row>
    <row r="712" spans="1:9" ht="19.8" customHeight="1" x14ac:dyDescent="0.3">
      <c r="A712" s="143">
        <v>46043</v>
      </c>
      <c r="B712" s="83" t="s">
        <v>31</v>
      </c>
      <c r="C712" s="84" t="s">
        <v>32</v>
      </c>
      <c r="D712" s="83" t="s">
        <v>1</v>
      </c>
      <c r="E712" s="144">
        <v>1.836805555555556</v>
      </c>
      <c r="F712" s="83" t="s">
        <v>36</v>
      </c>
      <c r="G712" s="85">
        <v>2</v>
      </c>
      <c r="H712" s="141">
        <v>659</v>
      </c>
      <c r="I712" s="2"/>
    </row>
    <row r="713" spans="1:9" ht="19.8" customHeight="1" x14ac:dyDescent="0.3">
      <c r="A713" s="143">
        <v>46043</v>
      </c>
      <c r="B713" s="83" t="s">
        <v>31</v>
      </c>
      <c r="C713" s="84" t="s">
        <v>32</v>
      </c>
      <c r="D713" s="83" t="s">
        <v>1</v>
      </c>
      <c r="E713" s="144">
        <v>1.836805555555556</v>
      </c>
      <c r="F713" s="83" t="s">
        <v>38</v>
      </c>
      <c r="G713" s="85">
        <v>2</v>
      </c>
      <c r="H713" s="141">
        <v>749</v>
      </c>
      <c r="I713" s="2"/>
    </row>
    <row r="714" spans="1:9" ht="19.8" customHeight="1" x14ac:dyDescent="0.3">
      <c r="A714" s="143">
        <v>46043</v>
      </c>
      <c r="B714" s="83" t="s">
        <v>76</v>
      </c>
      <c r="C714" s="84" t="s">
        <v>77</v>
      </c>
      <c r="D714" s="83" t="s">
        <v>1</v>
      </c>
      <c r="E714" s="144">
        <v>1.9722222222222221</v>
      </c>
      <c r="F714" s="83" t="s">
        <v>80</v>
      </c>
      <c r="G714" s="85">
        <v>9</v>
      </c>
      <c r="H714" s="141">
        <v>752</v>
      </c>
      <c r="I714" s="2"/>
    </row>
    <row r="715" spans="1:9" ht="19.8" customHeight="1" x14ac:dyDescent="0.3">
      <c r="A715" s="143">
        <v>46043</v>
      </c>
      <c r="B715" s="83" t="s">
        <v>46</v>
      </c>
      <c r="C715" s="84" t="s">
        <v>47</v>
      </c>
      <c r="D715" s="83" t="s">
        <v>1</v>
      </c>
      <c r="E715" s="144">
        <v>1.305555555555556</v>
      </c>
      <c r="F715" s="83" t="s">
        <v>80</v>
      </c>
      <c r="G715" s="85">
        <v>20</v>
      </c>
      <c r="H715" s="141">
        <v>899</v>
      </c>
      <c r="I715" s="2"/>
    </row>
    <row r="716" spans="1:9" ht="19.8" customHeight="1" x14ac:dyDescent="0.3">
      <c r="A716" s="145">
        <v>46043</v>
      </c>
      <c r="B716" s="87" t="s">
        <v>71</v>
      </c>
      <c r="C716" s="88" t="s">
        <v>72</v>
      </c>
      <c r="D716" s="87" t="s">
        <v>1</v>
      </c>
      <c r="E716" s="146">
        <v>1.305555555555556</v>
      </c>
      <c r="F716" s="87" t="s">
        <v>73</v>
      </c>
      <c r="G716" s="89">
        <v>4</v>
      </c>
      <c r="H716" s="90" t="s">
        <v>189</v>
      </c>
      <c r="I716" s="2"/>
    </row>
    <row r="717" spans="1:9" ht="19.8" customHeight="1" x14ac:dyDescent="0.3">
      <c r="A717" s="143">
        <v>46044</v>
      </c>
      <c r="B717" s="83" t="s">
        <v>40</v>
      </c>
      <c r="C717" s="84" t="s">
        <v>60</v>
      </c>
      <c r="D717" s="83" t="s">
        <v>1</v>
      </c>
      <c r="E717" s="144">
        <v>1.1701388888888891</v>
      </c>
      <c r="F717" s="83" t="s">
        <v>101</v>
      </c>
      <c r="G717" s="85">
        <v>9</v>
      </c>
      <c r="H717" s="141">
        <v>487</v>
      </c>
      <c r="I717" s="2"/>
    </row>
    <row r="718" spans="1:9" ht="19.8" customHeight="1" x14ac:dyDescent="0.3">
      <c r="A718" s="143">
        <v>46044</v>
      </c>
      <c r="B718" s="83" t="s">
        <v>46</v>
      </c>
      <c r="C718" s="84" t="s">
        <v>47</v>
      </c>
      <c r="D718" s="83" t="s">
        <v>1</v>
      </c>
      <c r="E718" s="144">
        <v>1.305555555555556</v>
      </c>
      <c r="F718" s="83" t="s">
        <v>85</v>
      </c>
      <c r="G718" s="85">
        <v>20</v>
      </c>
      <c r="H718" s="141">
        <v>509</v>
      </c>
      <c r="I718" s="2"/>
    </row>
    <row r="719" spans="1:9" ht="19.8" customHeight="1" x14ac:dyDescent="0.3">
      <c r="A719" s="143">
        <v>46044</v>
      </c>
      <c r="B719" s="83" t="s">
        <v>40</v>
      </c>
      <c r="C719" s="84" t="s">
        <v>41</v>
      </c>
      <c r="D719" s="83" t="s">
        <v>1</v>
      </c>
      <c r="E719" s="144">
        <v>1.864583333333333</v>
      </c>
      <c r="F719" s="83" t="s">
        <v>101</v>
      </c>
      <c r="G719" s="85">
        <v>9</v>
      </c>
      <c r="H719" s="141">
        <v>517</v>
      </c>
      <c r="I719" s="2"/>
    </row>
    <row r="720" spans="1:9" ht="19.8" customHeight="1" x14ac:dyDescent="0.3">
      <c r="A720" s="143">
        <v>46044</v>
      </c>
      <c r="B720" s="83" t="s">
        <v>40</v>
      </c>
      <c r="C720" s="84" t="s">
        <v>44</v>
      </c>
      <c r="D720" s="83" t="s">
        <v>1</v>
      </c>
      <c r="E720" s="144">
        <v>1.5277777777777779</v>
      </c>
      <c r="F720" s="83" t="s">
        <v>101</v>
      </c>
      <c r="G720" s="85">
        <v>9</v>
      </c>
      <c r="H720" s="141">
        <v>517</v>
      </c>
      <c r="I720" s="2"/>
    </row>
    <row r="721" spans="1:9" ht="19.8" customHeight="1" x14ac:dyDescent="0.3">
      <c r="A721" s="143">
        <v>46044</v>
      </c>
      <c r="B721" s="83" t="s">
        <v>31</v>
      </c>
      <c r="C721" s="84" t="s">
        <v>51</v>
      </c>
      <c r="D721" s="83" t="s">
        <v>1</v>
      </c>
      <c r="E721" s="144">
        <v>1.2013888888888891</v>
      </c>
      <c r="F721" s="83" t="s">
        <v>33</v>
      </c>
      <c r="G721" s="85">
        <v>5</v>
      </c>
      <c r="H721" s="141">
        <v>559</v>
      </c>
      <c r="I721" s="2"/>
    </row>
    <row r="722" spans="1:9" ht="19.8" customHeight="1" x14ac:dyDescent="0.3">
      <c r="A722" s="143">
        <v>46044</v>
      </c>
      <c r="B722" s="83" t="s">
        <v>26</v>
      </c>
      <c r="C722" s="84" t="s">
        <v>99</v>
      </c>
      <c r="D722" s="83" t="s">
        <v>1</v>
      </c>
      <c r="E722" s="144">
        <v>1.5625</v>
      </c>
      <c r="F722" s="83" t="s">
        <v>167</v>
      </c>
      <c r="G722" s="85">
        <v>5</v>
      </c>
      <c r="H722" s="141">
        <v>563</v>
      </c>
      <c r="I722" s="2"/>
    </row>
    <row r="723" spans="1:9" ht="19.8" customHeight="1" x14ac:dyDescent="0.3">
      <c r="A723" s="143">
        <v>46044</v>
      </c>
      <c r="B723" s="83" t="s">
        <v>26</v>
      </c>
      <c r="C723" s="84" t="s">
        <v>57</v>
      </c>
      <c r="D723" s="83" t="s">
        <v>1</v>
      </c>
      <c r="E723" s="144">
        <v>1.958333333333333</v>
      </c>
      <c r="F723" s="83" t="s">
        <v>167</v>
      </c>
      <c r="G723" s="85">
        <v>6</v>
      </c>
      <c r="H723" s="141">
        <v>563</v>
      </c>
      <c r="I723" s="2"/>
    </row>
    <row r="724" spans="1:9" ht="19.8" customHeight="1" x14ac:dyDescent="0.3">
      <c r="A724" s="147">
        <v>46044</v>
      </c>
      <c r="B724" s="92" t="s">
        <v>64</v>
      </c>
      <c r="C724" s="93" t="s">
        <v>65</v>
      </c>
      <c r="D724" s="92" t="s">
        <v>1</v>
      </c>
      <c r="E724" s="148">
        <v>1.9236111111111109</v>
      </c>
      <c r="F724" s="92" t="s">
        <v>167</v>
      </c>
      <c r="G724" s="94">
        <v>2</v>
      </c>
      <c r="H724" s="142">
        <v>566</v>
      </c>
      <c r="I724" s="2"/>
    </row>
    <row r="725" spans="1:9" ht="19.8" customHeight="1" x14ac:dyDescent="0.3">
      <c r="A725" s="143">
        <v>46044</v>
      </c>
      <c r="B725" s="83" t="s">
        <v>31</v>
      </c>
      <c r="C725" s="84" t="s">
        <v>32</v>
      </c>
      <c r="D725" s="83" t="s">
        <v>1</v>
      </c>
      <c r="E725" s="144">
        <v>1.836805555555556</v>
      </c>
      <c r="F725" s="83" t="s">
        <v>33</v>
      </c>
      <c r="G725" s="85">
        <v>4</v>
      </c>
      <c r="H725" s="141">
        <v>609</v>
      </c>
      <c r="I725" s="2"/>
    </row>
    <row r="726" spans="1:9" ht="19.8" customHeight="1" x14ac:dyDescent="0.3">
      <c r="A726" s="143">
        <v>46044</v>
      </c>
      <c r="B726" s="83" t="s">
        <v>46</v>
      </c>
      <c r="C726" s="84" t="s">
        <v>47</v>
      </c>
      <c r="D726" s="83" t="s">
        <v>1</v>
      </c>
      <c r="E726" s="144">
        <v>1.305555555555556</v>
      </c>
      <c r="F726" s="83" t="s">
        <v>88</v>
      </c>
      <c r="G726" s="85">
        <v>20</v>
      </c>
      <c r="H726" s="141">
        <v>659</v>
      </c>
      <c r="I726" s="2"/>
    </row>
    <row r="727" spans="1:9" ht="19.8" customHeight="1" x14ac:dyDescent="0.3">
      <c r="A727" s="143">
        <v>46044</v>
      </c>
      <c r="B727" s="83" t="s">
        <v>31</v>
      </c>
      <c r="C727" s="84" t="s">
        <v>51</v>
      </c>
      <c r="D727" s="83" t="s">
        <v>1</v>
      </c>
      <c r="E727" s="144">
        <v>1.2013888888888891</v>
      </c>
      <c r="F727" s="83" t="s">
        <v>36</v>
      </c>
      <c r="G727" s="85">
        <v>5</v>
      </c>
      <c r="H727" s="141">
        <v>659</v>
      </c>
      <c r="I727" s="2"/>
    </row>
    <row r="728" spans="1:9" ht="19.8" customHeight="1" x14ac:dyDescent="0.3">
      <c r="A728" s="143">
        <v>46044</v>
      </c>
      <c r="B728" s="83" t="s">
        <v>31</v>
      </c>
      <c r="C728" s="84" t="s">
        <v>32</v>
      </c>
      <c r="D728" s="83" t="s">
        <v>1</v>
      </c>
      <c r="E728" s="144">
        <v>1.836805555555556</v>
      </c>
      <c r="F728" s="83" t="s">
        <v>36</v>
      </c>
      <c r="G728" s="85">
        <v>4</v>
      </c>
      <c r="H728" s="141">
        <v>709</v>
      </c>
      <c r="I728" s="2"/>
    </row>
    <row r="729" spans="1:9" ht="19.8" customHeight="1" x14ac:dyDescent="0.3">
      <c r="A729" s="143">
        <v>46044</v>
      </c>
      <c r="B729" s="83" t="s">
        <v>31</v>
      </c>
      <c r="C729" s="84" t="s">
        <v>51</v>
      </c>
      <c r="D729" s="83" t="s">
        <v>1</v>
      </c>
      <c r="E729" s="144">
        <v>1.2013888888888891</v>
      </c>
      <c r="F729" s="83" t="s">
        <v>38</v>
      </c>
      <c r="G729" s="85">
        <v>5</v>
      </c>
      <c r="H729" s="141">
        <v>749</v>
      </c>
      <c r="I729" s="2"/>
    </row>
    <row r="730" spans="1:9" ht="19.8" customHeight="1" x14ac:dyDescent="0.3">
      <c r="A730" s="143">
        <v>46044</v>
      </c>
      <c r="B730" s="83" t="s">
        <v>31</v>
      </c>
      <c r="C730" s="84" t="s">
        <v>32</v>
      </c>
      <c r="D730" s="83" t="s">
        <v>1</v>
      </c>
      <c r="E730" s="144">
        <v>1.836805555555556</v>
      </c>
      <c r="F730" s="83" t="s">
        <v>38</v>
      </c>
      <c r="G730" s="85">
        <v>4</v>
      </c>
      <c r="H730" s="141">
        <v>799</v>
      </c>
      <c r="I730" s="2"/>
    </row>
    <row r="731" spans="1:9" ht="19.8" customHeight="1" x14ac:dyDescent="0.3">
      <c r="A731" s="143">
        <v>46044</v>
      </c>
      <c r="B731" s="83" t="s">
        <v>46</v>
      </c>
      <c r="C731" s="84" t="s">
        <v>47</v>
      </c>
      <c r="D731" s="83" t="s">
        <v>1</v>
      </c>
      <c r="E731" s="144">
        <v>1.305555555555556</v>
      </c>
      <c r="F731" s="83" t="s">
        <v>80</v>
      </c>
      <c r="G731" s="85">
        <v>20</v>
      </c>
      <c r="H731" s="141">
        <v>899</v>
      </c>
      <c r="I731" s="2"/>
    </row>
    <row r="732" spans="1:9" ht="19.8" customHeight="1" x14ac:dyDescent="0.3">
      <c r="A732" s="145">
        <v>46044</v>
      </c>
      <c r="B732" s="87" t="s">
        <v>71</v>
      </c>
      <c r="C732" s="88" t="s">
        <v>72</v>
      </c>
      <c r="D732" s="87" t="s">
        <v>1</v>
      </c>
      <c r="E732" s="146">
        <v>1.305555555555556</v>
      </c>
      <c r="F732" s="87" t="s">
        <v>73</v>
      </c>
      <c r="G732" s="89">
        <v>4</v>
      </c>
      <c r="H732" s="90" t="s">
        <v>189</v>
      </c>
      <c r="I732" s="2"/>
    </row>
    <row r="733" spans="1:9" ht="19.8" customHeight="1" x14ac:dyDescent="0.3">
      <c r="A733" s="143">
        <v>46045</v>
      </c>
      <c r="B733" s="83" t="s">
        <v>40</v>
      </c>
      <c r="C733" s="84" t="s">
        <v>60</v>
      </c>
      <c r="D733" s="83" t="s">
        <v>1</v>
      </c>
      <c r="E733" s="144">
        <v>1.1701388888888891</v>
      </c>
      <c r="F733" s="83" t="s">
        <v>101</v>
      </c>
      <c r="G733" s="85">
        <v>9</v>
      </c>
      <c r="H733" s="141">
        <v>487</v>
      </c>
      <c r="I733" s="2"/>
    </row>
    <row r="734" spans="1:9" ht="19.8" customHeight="1" x14ac:dyDescent="0.3">
      <c r="A734" s="143">
        <v>46045</v>
      </c>
      <c r="B734" s="83" t="s">
        <v>82</v>
      </c>
      <c r="C734" s="84" t="s">
        <v>123</v>
      </c>
      <c r="D734" s="83" t="s">
        <v>1</v>
      </c>
      <c r="E734" s="144">
        <v>1.2152777777777779</v>
      </c>
      <c r="F734" s="83" t="s">
        <v>167</v>
      </c>
      <c r="G734" s="85">
        <v>5</v>
      </c>
      <c r="H734" s="141">
        <v>500</v>
      </c>
      <c r="I734" s="2"/>
    </row>
    <row r="735" spans="1:9" ht="19.8" customHeight="1" x14ac:dyDescent="0.3">
      <c r="A735" s="143">
        <v>46045</v>
      </c>
      <c r="B735" s="83" t="s">
        <v>46</v>
      </c>
      <c r="C735" s="84" t="s">
        <v>47</v>
      </c>
      <c r="D735" s="83" t="s">
        <v>1</v>
      </c>
      <c r="E735" s="144">
        <v>1.305555555555556</v>
      </c>
      <c r="F735" s="83" t="s">
        <v>85</v>
      </c>
      <c r="G735" s="85">
        <v>20</v>
      </c>
      <c r="H735" s="141">
        <v>509</v>
      </c>
      <c r="I735" s="2"/>
    </row>
    <row r="736" spans="1:9" ht="19.8" customHeight="1" x14ac:dyDescent="0.3">
      <c r="A736" s="143">
        <v>46045</v>
      </c>
      <c r="B736" s="83" t="s">
        <v>40</v>
      </c>
      <c r="C736" s="84" t="s">
        <v>41</v>
      </c>
      <c r="D736" s="83" t="s">
        <v>1</v>
      </c>
      <c r="E736" s="144">
        <v>1.864583333333333</v>
      </c>
      <c r="F736" s="83" t="s">
        <v>101</v>
      </c>
      <c r="G736" s="85">
        <v>9</v>
      </c>
      <c r="H736" s="141">
        <v>517</v>
      </c>
      <c r="I736" s="2"/>
    </row>
    <row r="737" spans="1:9" ht="19.8" customHeight="1" x14ac:dyDescent="0.3">
      <c r="A737" s="143">
        <v>46045</v>
      </c>
      <c r="B737" s="83" t="s">
        <v>40</v>
      </c>
      <c r="C737" s="84" t="s">
        <v>44</v>
      </c>
      <c r="D737" s="83" t="s">
        <v>1</v>
      </c>
      <c r="E737" s="144">
        <v>1.5277777777777779</v>
      </c>
      <c r="F737" s="83" t="s">
        <v>101</v>
      </c>
      <c r="G737" s="85">
        <v>9</v>
      </c>
      <c r="H737" s="141">
        <v>521</v>
      </c>
      <c r="I737" s="2"/>
    </row>
    <row r="738" spans="1:9" ht="19.8" customHeight="1" x14ac:dyDescent="0.3">
      <c r="A738" s="143">
        <v>46045</v>
      </c>
      <c r="B738" s="83" t="s">
        <v>26</v>
      </c>
      <c r="C738" s="84" t="s">
        <v>27</v>
      </c>
      <c r="D738" s="83" t="s">
        <v>1</v>
      </c>
      <c r="E738" s="144">
        <v>1.958333333333333</v>
      </c>
      <c r="F738" s="83" t="s">
        <v>167</v>
      </c>
      <c r="G738" s="85">
        <v>7</v>
      </c>
      <c r="H738" s="141">
        <v>563</v>
      </c>
      <c r="I738" s="2"/>
    </row>
    <row r="739" spans="1:9" ht="19.8" customHeight="1" x14ac:dyDescent="0.3">
      <c r="A739" s="147">
        <v>46045</v>
      </c>
      <c r="B739" s="92" t="s">
        <v>64</v>
      </c>
      <c r="C739" s="93" t="s">
        <v>65</v>
      </c>
      <c r="D739" s="92" t="s">
        <v>1</v>
      </c>
      <c r="E739" s="148">
        <v>1.5798611111111109</v>
      </c>
      <c r="F739" s="92" t="s">
        <v>167</v>
      </c>
      <c r="G739" s="94">
        <v>8</v>
      </c>
      <c r="H739" s="142">
        <v>566</v>
      </c>
      <c r="I739" s="2"/>
    </row>
    <row r="740" spans="1:9" ht="19.8" customHeight="1" x14ac:dyDescent="0.3">
      <c r="A740" s="143">
        <v>46045</v>
      </c>
      <c r="B740" s="83" t="s">
        <v>31</v>
      </c>
      <c r="C740" s="84" t="s">
        <v>32</v>
      </c>
      <c r="D740" s="83" t="s">
        <v>1</v>
      </c>
      <c r="E740" s="144">
        <v>1.836805555555556</v>
      </c>
      <c r="F740" s="83" t="s">
        <v>33</v>
      </c>
      <c r="G740" s="85">
        <v>5</v>
      </c>
      <c r="H740" s="141">
        <v>609</v>
      </c>
      <c r="I740" s="2"/>
    </row>
    <row r="741" spans="1:9" ht="19.8" customHeight="1" x14ac:dyDescent="0.3">
      <c r="A741" s="143">
        <v>46045</v>
      </c>
      <c r="B741" s="83" t="s">
        <v>46</v>
      </c>
      <c r="C741" s="84" t="s">
        <v>47</v>
      </c>
      <c r="D741" s="83" t="s">
        <v>1</v>
      </c>
      <c r="E741" s="144">
        <v>1.305555555555556</v>
      </c>
      <c r="F741" s="83" t="s">
        <v>88</v>
      </c>
      <c r="G741" s="85">
        <v>20</v>
      </c>
      <c r="H741" s="141">
        <v>659</v>
      </c>
      <c r="I741" s="2"/>
    </row>
    <row r="742" spans="1:9" ht="19.8" customHeight="1" x14ac:dyDescent="0.3">
      <c r="A742" s="143">
        <v>46045</v>
      </c>
      <c r="B742" s="83" t="s">
        <v>31</v>
      </c>
      <c r="C742" s="84" t="s">
        <v>32</v>
      </c>
      <c r="D742" s="83" t="s">
        <v>1</v>
      </c>
      <c r="E742" s="144">
        <v>1.836805555555556</v>
      </c>
      <c r="F742" s="83" t="s">
        <v>36</v>
      </c>
      <c r="G742" s="85">
        <v>5</v>
      </c>
      <c r="H742" s="141">
        <v>709</v>
      </c>
      <c r="I742" s="2"/>
    </row>
    <row r="743" spans="1:9" ht="19.8" customHeight="1" x14ac:dyDescent="0.3">
      <c r="A743" s="143">
        <v>46045</v>
      </c>
      <c r="B743" s="83" t="s">
        <v>31</v>
      </c>
      <c r="C743" s="84" t="s">
        <v>32</v>
      </c>
      <c r="D743" s="83" t="s">
        <v>1</v>
      </c>
      <c r="E743" s="144">
        <v>1.836805555555556</v>
      </c>
      <c r="F743" s="83" t="s">
        <v>38</v>
      </c>
      <c r="G743" s="85">
        <v>5</v>
      </c>
      <c r="H743" s="141">
        <v>799</v>
      </c>
      <c r="I743" s="2"/>
    </row>
    <row r="744" spans="1:9" ht="19.8" customHeight="1" x14ac:dyDescent="0.3">
      <c r="A744" s="143">
        <v>46045</v>
      </c>
      <c r="B744" s="83" t="s">
        <v>46</v>
      </c>
      <c r="C744" s="84" t="s">
        <v>47</v>
      </c>
      <c r="D744" s="83" t="s">
        <v>1</v>
      </c>
      <c r="E744" s="144">
        <v>1.305555555555556</v>
      </c>
      <c r="F744" s="83" t="s">
        <v>80</v>
      </c>
      <c r="G744" s="85">
        <v>20</v>
      </c>
      <c r="H744" s="141">
        <v>899</v>
      </c>
      <c r="I744" s="2"/>
    </row>
    <row r="745" spans="1:9" ht="19.8" customHeight="1" x14ac:dyDescent="0.3">
      <c r="A745" s="145">
        <v>46045</v>
      </c>
      <c r="B745" s="87" t="s">
        <v>71</v>
      </c>
      <c r="C745" s="88" t="s">
        <v>72</v>
      </c>
      <c r="D745" s="87" t="s">
        <v>1</v>
      </c>
      <c r="E745" s="146">
        <v>1.305555555555556</v>
      </c>
      <c r="F745" s="87" t="s">
        <v>73</v>
      </c>
      <c r="G745" s="89">
        <v>4</v>
      </c>
      <c r="H745" s="90" t="s">
        <v>189</v>
      </c>
      <c r="I745" s="2"/>
    </row>
    <row r="746" spans="1:9" ht="19.8" customHeight="1" x14ac:dyDescent="0.3">
      <c r="A746" s="143">
        <v>46046</v>
      </c>
      <c r="B746" s="83" t="s">
        <v>40</v>
      </c>
      <c r="C746" s="84" t="s">
        <v>60</v>
      </c>
      <c r="D746" s="83" t="s">
        <v>1</v>
      </c>
      <c r="E746" s="144">
        <v>1.1701388888888891</v>
      </c>
      <c r="F746" s="83" t="s">
        <v>101</v>
      </c>
      <c r="G746" s="85">
        <v>9</v>
      </c>
      <c r="H746" s="141">
        <v>487</v>
      </c>
      <c r="I746" s="2"/>
    </row>
    <row r="747" spans="1:9" ht="19.8" customHeight="1" x14ac:dyDescent="0.3">
      <c r="A747" s="143">
        <v>46046</v>
      </c>
      <c r="B747" s="83" t="s">
        <v>46</v>
      </c>
      <c r="C747" s="84" t="s">
        <v>47</v>
      </c>
      <c r="D747" s="83" t="s">
        <v>1</v>
      </c>
      <c r="E747" s="144">
        <v>1.305555555555556</v>
      </c>
      <c r="F747" s="83" t="s">
        <v>85</v>
      </c>
      <c r="G747" s="85">
        <v>20</v>
      </c>
      <c r="H747" s="141">
        <v>509</v>
      </c>
      <c r="I747" s="2"/>
    </row>
    <row r="748" spans="1:9" ht="19.8" customHeight="1" x14ac:dyDescent="0.3">
      <c r="A748" s="143">
        <v>46046</v>
      </c>
      <c r="B748" s="83" t="s">
        <v>40</v>
      </c>
      <c r="C748" s="84" t="s">
        <v>41</v>
      </c>
      <c r="D748" s="83" t="s">
        <v>1</v>
      </c>
      <c r="E748" s="144">
        <v>1.864583333333333</v>
      </c>
      <c r="F748" s="83" t="s">
        <v>101</v>
      </c>
      <c r="G748" s="85">
        <v>9</v>
      </c>
      <c r="H748" s="141">
        <v>517</v>
      </c>
      <c r="I748" s="2"/>
    </row>
    <row r="749" spans="1:9" ht="19.8" customHeight="1" x14ac:dyDescent="0.3">
      <c r="A749" s="143">
        <v>46046</v>
      </c>
      <c r="B749" s="83" t="s">
        <v>40</v>
      </c>
      <c r="C749" s="84" t="s">
        <v>44</v>
      </c>
      <c r="D749" s="83" t="s">
        <v>1</v>
      </c>
      <c r="E749" s="144">
        <v>1.5277777777777779</v>
      </c>
      <c r="F749" s="83" t="s">
        <v>101</v>
      </c>
      <c r="G749" s="85">
        <v>9</v>
      </c>
      <c r="H749" s="141">
        <v>517</v>
      </c>
      <c r="I749" s="2"/>
    </row>
    <row r="750" spans="1:9" ht="19.8" customHeight="1" x14ac:dyDescent="0.3">
      <c r="A750" s="143">
        <v>46046</v>
      </c>
      <c r="B750" s="83" t="s">
        <v>31</v>
      </c>
      <c r="C750" s="84" t="s">
        <v>32</v>
      </c>
      <c r="D750" s="83" t="s">
        <v>1</v>
      </c>
      <c r="E750" s="144">
        <v>1.836805555555556</v>
      </c>
      <c r="F750" s="83" t="s">
        <v>33</v>
      </c>
      <c r="G750" s="85">
        <v>4</v>
      </c>
      <c r="H750" s="141">
        <v>559</v>
      </c>
      <c r="I750" s="2"/>
    </row>
    <row r="751" spans="1:9" ht="19.8" customHeight="1" x14ac:dyDescent="0.3">
      <c r="A751" s="143">
        <v>46046</v>
      </c>
      <c r="B751" s="83" t="s">
        <v>31</v>
      </c>
      <c r="C751" s="84" t="s">
        <v>51</v>
      </c>
      <c r="D751" s="83" t="s">
        <v>1</v>
      </c>
      <c r="E751" s="144">
        <v>1.2013888888888891</v>
      </c>
      <c r="F751" s="83" t="s">
        <v>33</v>
      </c>
      <c r="G751" s="85">
        <v>4</v>
      </c>
      <c r="H751" s="141">
        <v>559</v>
      </c>
      <c r="I751" s="2"/>
    </row>
    <row r="752" spans="1:9" ht="19.8" customHeight="1" x14ac:dyDescent="0.3">
      <c r="A752" s="143">
        <v>46046</v>
      </c>
      <c r="B752" s="83" t="s">
        <v>26</v>
      </c>
      <c r="C752" s="84" t="s">
        <v>57</v>
      </c>
      <c r="D752" s="83" t="s">
        <v>1</v>
      </c>
      <c r="E752" s="144">
        <v>1.895833333333333</v>
      </c>
      <c r="F752" s="83" t="s">
        <v>167</v>
      </c>
      <c r="G752" s="85">
        <v>7</v>
      </c>
      <c r="H752" s="141">
        <v>563</v>
      </c>
      <c r="I752" s="2"/>
    </row>
    <row r="753" spans="1:9" ht="19.8" customHeight="1" x14ac:dyDescent="0.3">
      <c r="A753" s="147">
        <v>46046</v>
      </c>
      <c r="B753" s="92" t="s">
        <v>64</v>
      </c>
      <c r="C753" s="93" t="s">
        <v>65</v>
      </c>
      <c r="D753" s="92" t="s">
        <v>1</v>
      </c>
      <c r="E753" s="148">
        <v>1.9236111111111109</v>
      </c>
      <c r="F753" s="92" t="s">
        <v>167</v>
      </c>
      <c r="G753" s="94">
        <v>7</v>
      </c>
      <c r="H753" s="142">
        <v>566</v>
      </c>
      <c r="I753" s="2"/>
    </row>
    <row r="754" spans="1:9" ht="19.8" customHeight="1" x14ac:dyDescent="0.3">
      <c r="A754" s="143">
        <v>46046</v>
      </c>
      <c r="B754" s="83" t="s">
        <v>82</v>
      </c>
      <c r="C754" s="84" t="s">
        <v>83</v>
      </c>
      <c r="D754" s="83" t="s">
        <v>1</v>
      </c>
      <c r="E754" s="144">
        <v>1.5486111111111109</v>
      </c>
      <c r="F754" s="83" t="s">
        <v>167</v>
      </c>
      <c r="G754" s="85">
        <v>9</v>
      </c>
      <c r="H754" s="141">
        <v>568</v>
      </c>
      <c r="I754" s="2"/>
    </row>
    <row r="755" spans="1:9" ht="19.8" customHeight="1" x14ac:dyDescent="0.3">
      <c r="A755" s="143">
        <v>46046</v>
      </c>
      <c r="B755" s="83" t="s">
        <v>76</v>
      </c>
      <c r="C755" s="84" t="s">
        <v>77</v>
      </c>
      <c r="D755" s="83" t="s">
        <v>1</v>
      </c>
      <c r="E755" s="144">
        <v>1.9722222222222221</v>
      </c>
      <c r="F755" s="83" t="s">
        <v>78</v>
      </c>
      <c r="G755" s="85">
        <v>9</v>
      </c>
      <c r="H755" s="141">
        <v>589</v>
      </c>
      <c r="I755" s="2"/>
    </row>
    <row r="756" spans="1:9" ht="19.8" customHeight="1" x14ac:dyDescent="0.3">
      <c r="A756" s="143">
        <v>46046</v>
      </c>
      <c r="B756" s="83" t="s">
        <v>46</v>
      </c>
      <c r="C756" s="84" t="s">
        <v>47</v>
      </c>
      <c r="D756" s="83" t="s">
        <v>1</v>
      </c>
      <c r="E756" s="144">
        <v>1.305555555555556</v>
      </c>
      <c r="F756" s="83" t="s">
        <v>88</v>
      </c>
      <c r="G756" s="85">
        <v>20</v>
      </c>
      <c r="H756" s="141">
        <v>659</v>
      </c>
      <c r="I756" s="2"/>
    </row>
    <row r="757" spans="1:9" ht="19.8" customHeight="1" x14ac:dyDescent="0.3">
      <c r="A757" s="143">
        <v>46046</v>
      </c>
      <c r="B757" s="83" t="s">
        <v>31</v>
      </c>
      <c r="C757" s="84" t="s">
        <v>32</v>
      </c>
      <c r="D757" s="83" t="s">
        <v>1</v>
      </c>
      <c r="E757" s="144">
        <v>1.836805555555556</v>
      </c>
      <c r="F757" s="83" t="s">
        <v>36</v>
      </c>
      <c r="G757" s="85">
        <v>4</v>
      </c>
      <c r="H757" s="141">
        <v>659</v>
      </c>
      <c r="I757" s="2"/>
    </row>
    <row r="758" spans="1:9" ht="19.8" customHeight="1" x14ac:dyDescent="0.3">
      <c r="A758" s="143">
        <v>46046</v>
      </c>
      <c r="B758" s="83" t="s">
        <v>31</v>
      </c>
      <c r="C758" s="84" t="s">
        <v>51</v>
      </c>
      <c r="D758" s="83" t="s">
        <v>1</v>
      </c>
      <c r="E758" s="144">
        <v>1.2013888888888891</v>
      </c>
      <c r="F758" s="83" t="s">
        <v>36</v>
      </c>
      <c r="G758" s="85">
        <v>4</v>
      </c>
      <c r="H758" s="141">
        <v>659</v>
      </c>
      <c r="I758" s="2"/>
    </row>
    <row r="759" spans="1:9" ht="19.8" customHeight="1" x14ac:dyDescent="0.3">
      <c r="A759" s="143">
        <v>46046</v>
      </c>
      <c r="B759" s="83" t="s">
        <v>31</v>
      </c>
      <c r="C759" s="84" t="s">
        <v>32</v>
      </c>
      <c r="D759" s="83" t="s">
        <v>1</v>
      </c>
      <c r="E759" s="144">
        <v>1.836805555555556</v>
      </c>
      <c r="F759" s="83" t="s">
        <v>38</v>
      </c>
      <c r="G759" s="85">
        <v>4</v>
      </c>
      <c r="H759" s="141">
        <v>749</v>
      </c>
      <c r="I759" s="2"/>
    </row>
    <row r="760" spans="1:9" ht="19.8" customHeight="1" x14ac:dyDescent="0.3">
      <c r="A760" s="143">
        <v>46046</v>
      </c>
      <c r="B760" s="83" t="s">
        <v>31</v>
      </c>
      <c r="C760" s="84" t="s">
        <v>51</v>
      </c>
      <c r="D760" s="83" t="s">
        <v>1</v>
      </c>
      <c r="E760" s="144">
        <v>1.2013888888888891</v>
      </c>
      <c r="F760" s="83" t="s">
        <v>38</v>
      </c>
      <c r="G760" s="85">
        <v>4</v>
      </c>
      <c r="H760" s="141">
        <v>749</v>
      </c>
      <c r="I760" s="2"/>
    </row>
    <row r="761" spans="1:9" ht="19.8" customHeight="1" x14ac:dyDescent="0.3">
      <c r="A761" s="143">
        <v>46046</v>
      </c>
      <c r="B761" s="83" t="s">
        <v>76</v>
      </c>
      <c r="C761" s="84" t="s">
        <v>77</v>
      </c>
      <c r="D761" s="83" t="s">
        <v>1</v>
      </c>
      <c r="E761" s="144">
        <v>1.9722222222222221</v>
      </c>
      <c r="F761" s="83" t="s">
        <v>80</v>
      </c>
      <c r="G761" s="85">
        <v>9</v>
      </c>
      <c r="H761" s="141">
        <v>795</v>
      </c>
      <c r="I761" s="2"/>
    </row>
    <row r="762" spans="1:9" ht="19.8" customHeight="1" x14ac:dyDescent="0.3">
      <c r="A762" s="143">
        <v>46046</v>
      </c>
      <c r="B762" s="83" t="s">
        <v>46</v>
      </c>
      <c r="C762" s="84" t="s">
        <v>47</v>
      </c>
      <c r="D762" s="83" t="s">
        <v>1</v>
      </c>
      <c r="E762" s="144">
        <v>1.305555555555556</v>
      </c>
      <c r="F762" s="83" t="s">
        <v>80</v>
      </c>
      <c r="G762" s="85">
        <v>20</v>
      </c>
      <c r="H762" s="141">
        <v>899</v>
      </c>
      <c r="I762" s="2"/>
    </row>
    <row r="763" spans="1:9" ht="19.8" customHeight="1" x14ac:dyDescent="0.3">
      <c r="A763" s="145">
        <v>46046</v>
      </c>
      <c r="B763" s="87" t="s">
        <v>71</v>
      </c>
      <c r="C763" s="88" t="s">
        <v>72</v>
      </c>
      <c r="D763" s="87" t="s">
        <v>1</v>
      </c>
      <c r="E763" s="146">
        <v>1.305555555555556</v>
      </c>
      <c r="F763" s="87" t="s">
        <v>73</v>
      </c>
      <c r="G763" s="89">
        <v>4</v>
      </c>
      <c r="H763" s="90" t="s">
        <v>189</v>
      </c>
      <c r="I763" s="2"/>
    </row>
    <row r="764" spans="1:9" ht="19.8" customHeight="1" x14ac:dyDescent="0.3">
      <c r="A764" s="143">
        <v>46047</v>
      </c>
      <c r="B764" s="83" t="s">
        <v>40</v>
      </c>
      <c r="C764" s="84" t="s">
        <v>60</v>
      </c>
      <c r="D764" s="83" t="s">
        <v>1</v>
      </c>
      <c r="E764" s="144">
        <v>1.1701388888888891</v>
      </c>
      <c r="F764" s="83" t="s">
        <v>101</v>
      </c>
      <c r="G764" s="85">
        <v>9</v>
      </c>
      <c r="H764" s="141">
        <v>487</v>
      </c>
      <c r="I764" s="2"/>
    </row>
    <row r="765" spans="1:9" ht="19.8" customHeight="1" x14ac:dyDescent="0.3">
      <c r="A765" s="143">
        <v>46047</v>
      </c>
      <c r="B765" s="83" t="s">
        <v>82</v>
      </c>
      <c r="C765" s="84" t="s">
        <v>123</v>
      </c>
      <c r="D765" s="83" t="s">
        <v>1</v>
      </c>
      <c r="E765" s="144">
        <v>1.2152777777777779</v>
      </c>
      <c r="F765" s="83" t="s">
        <v>167</v>
      </c>
      <c r="G765" s="85">
        <v>2</v>
      </c>
      <c r="H765" s="141">
        <v>500</v>
      </c>
      <c r="I765" s="2"/>
    </row>
    <row r="766" spans="1:9" ht="19.8" customHeight="1" x14ac:dyDescent="0.3">
      <c r="A766" s="143">
        <v>46047</v>
      </c>
      <c r="B766" s="83" t="s">
        <v>46</v>
      </c>
      <c r="C766" s="84" t="s">
        <v>47</v>
      </c>
      <c r="D766" s="83" t="s">
        <v>1</v>
      </c>
      <c r="E766" s="144">
        <v>1.305555555555556</v>
      </c>
      <c r="F766" s="83" t="s">
        <v>85</v>
      </c>
      <c r="G766" s="85">
        <v>20</v>
      </c>
      <c r="H766" s="141">
        <v>509</v>
      </c>
      <c r="I766" s="2"/>
    </row>
    <row r="767" spans="1:9" ht="19.8" customHeight="1" x14ac:dyDescent="0.3">
      <c r="A767" s="143">
        <v>46047</v>
      </c>
      <c r="B767" s="83" t="s">
        <v>40</v>
      </c>
      <c r="C767" s="84" t="s">
        <v>41</v>
      </c>
      <c r="D767" s="83" t="s">
        <v>1</v>
      </c>
      <c r="E767" s="144">
        <v>1.864583333333333</v>
      </c>
      <c r="F767" s="83" t="s">
        <v>101</v>
      </c>
      <c r="G767" s="85">
        <v>9</v>
      </c>
      <c r="H767" s="141">
        <v>517</v>
      </c>
      <c r="I767" s="2"/>
    </row>
    <row r="768" spans="1:9" ht="19.8" customHeight="1" x14ac:dyDescent="0.3">
      <c r="A768" s="143">
        <v>46047</v>
      </c>
      <c r="B768" s="83" t="s">
        <v>40</v>
      </c>
      <c r="C768" s="84" t="s">
        <v>44</v>
      </c>
      <c r="D768" s="83" t="s">
        <v>1</v>
      </c>
      <c r="E768" s="144">
        <v>1.5277777777777779</v>
      </c>
      <c r="F768" s="83" t="s">
        <v>101</v>
      </c>
      <c r="G768" s="85">
        <v>9</v>
      </c>
      <c r="H768" s="141">
        <v>517</v>
      </c>
      <c r="I768" s="2"/>
    </row>
    <row r="769" spans="1:9" ht="19.8" customHeight="1" x14ac:dyDescent="0.3">
      <c r="A769" s="143">
        <v>46047</v>
      </c>
      <c r="B769" s="83" t="s">
        <v>31</v>
      </c>
      <c r="C769" s="84" t="s">
        <v>32</v>
      </c>
      <c r="D769" s="83" t="s">
        <v>1</v>
      </c>
      <c r="E769" s="144">
        <v>1.836805555555556</v>
      </c>
      <c r="F769" s="83" t="s">
        <v>33</v>
      </c>
      <c r="G769" s="85">
        <v>2</v>
      </c>
      <c r="H769" s="141">
        <v>559</v>
      </c>
      <c r="I769" s="2"/>
    </row>
    <row r="770" spans="1:9" ht="19.8" customHeight="1" x14ac:dyDescent="0.3">
      <c r="A770" s="143">
        <v>46047</v>
      </c>
      <c r="B770" s="83" t="s">
        <v>26</v>
      </c>
      <c r="C770" s="84" t="s">
        <v>99</v>
      </c>
      <c r="D770" s="83" t="s">
        <v>1</v>
      </c>
      <c r="E770" s="144">
        <v>1.958333333333333</v>
      </c>
      <c r="F770" s="83" t="s">
        <v>167</v>
      </c>
      <c r="G770" s="85">
        <v>1</v>
      </c>
      <c r="H770" s="141">
        <v>563</v>
      </c>
      <c r="I770" s="2"/>
    </row>
    <row r="771" spans="1:9" ht="19.8" customHeight="1" x14ac:dyDescent="0.3">
      <c r="A771" s="143">
        <v>46047</v>
      </c>
      <c r="B771" s="83" t="s">
        <v>46</v>
      </c>
      <c r="C771" s="84" t="s">
        <v>47</v>
      </c>
      <c r="D771" s="83" t="s">
        <v>1</v>
      </c>
      <c r="E771" s="144">
        <v>1.305555555555556</v>
      </c>
      <c r="F771" s="83" t="s">
        <v>88</v>
      </c>
      <c r="G771" s="85">
        <v>20</v>
      </c>
      <c r="H771" s="141">
        <v>659</v>
      </c>
      <c r="I771" s="2"/>
    </row>
    <row r="772" spans="1:9" ht="19.8" customHeight="1" x14ac:dyDescent="0.3">
      <c r="A772" s="143">
        <v>46047</v>
      </c>
      <c r="B772" s="83" t="s">
        <v>31</v>
      </c>
      <c r="C772" s="84" t="s">
        <v>32</v>
      </c>
      <c r="D772" s="83" t="s">
        <v>1</v>
      </c>
      <c r="E772" s="144">
        <v>1.836805555555556</v>
      </c>
      <c r="F772" s="83" t="s">
        <v>36</v>
      </c>
      <c r="G772" s="85">
        <v>2</v>
      </c>
      <c r="H772" s="141">
        <v>659</v>
      </c>
      <c r="I772" s="2"/>
    </row>
    <row r="773" spans="1:9" ht="19.8" customHeight="1" x14ac:dyDescent="0.3">
      <c r="A773" s="143">
        <v>46047</v>
      </c>
      <c r="B773" s="83" t="s">
        <v>31</v>
      </c>
      <c r="C773" s="84" t="s">
        <v>32</v>
      </c>
      <c r="D773" s="83" t="s">
        <v>1</v>
      </c>
      <c r="E773" s="144">
        <v>1.836805555555556</v>
      </c>
      <c r="F773" s="83" t="s">
        <v>38</v>
      </c>
      <c r="G773" s="85">
        <v>2</v>
      </c>
      <c r="H773" s="141">
        <v>749</v>
      </c>
      <c r="I773" s="2"/>
    </row>
    <row r="774" spans="1:9" ht="19.8" customHeight="1" x14ac:dyDescent="0.3">
      <c r="A774" s="143">
        <v>46047</v>
      </c>
      <c r="B774" s="83" t="s">
        <v>46</v>
      </c>
      <c r="C774" s="84" t="s">
        <v>47</v>
      </c>
      <c r="D774" s="83" t="s">
        <v>1</v>
      </c>
      <c r="E774" s="144">
        <v>1.305555555555556</v>
      </c>
      <c r="F774" s="83" t="s">
        <v>80</v>
      </c>
      <c r="G774" s="85">
        <v>20</v>
      </c>
      <c r="H774" s="141">
        <v>899</v>
      </c>
      <c r="I774" s="2"/>
    </row>
    <row r="775" spans="1:9" ht="19.8" customHeight="1" x14ac:dyDescent="0.3">
      <c r="A775" s="145">
        <v>46047</v>
      </c>
      <c r="B775" s="87" t="s">
        <v>71</v>
      </c>
      <c r="C775" s="88" t="s">
        <v>72</v>
      </c>
      <c r="D775" s="87" t="s">
        <v>1</v>
      </c>
      <c r="E775" s="146">
        <v>1.305555555555556</v>
      </c>
      <c r="F775" s="87" t="s">
        <v>73</v>
      </c>
      <c r="G775" s="89">
        <v>4</v>
      </c>
      <c r="H775" s="90" t="s">
        <v>189</v>
      </c>
      <c r="I775" s="2"/>
    </row>
    <row r="776" spans="1:9" ht="19.8" customHeight="1" x14ac:dyDescent="0.3">
      <c r="A776" s="143">
        <v>46048</v>
      </c>
      <c r="B776" s="83" t="s">
        <v>40</v>
      </c>
      <c r="C776" s="84" t="s">
        <v>60</v>
      </c>
      <c r="D776" s="83" t="s">
        <v>1</v>
      </c>
      <c r="E776" s="144">
        <v>1.1701388888888891</v>
      </c>
      <c r="F776" s="83" t="s">
        <v>101</v>
      </c>
      <c r="G776" s="85">
        <v>9</v>
      </c>
      <c r="H776" s="141">
        <v>487</v>
      </c>
      <c r="I776" s="2"/>
    </row>
    <row r="777" spans="1:9" ht="19.8" customHeight="1" x14ac:dyDescent="0.3">
      <c r="A777" s="143">
        <v>46048</v>
      </c>
      <c r="B777" s="83" t="s">
        <v>82</v>
      </c>
      <c r="C777" s="84" t="s">
        <v>161</v>
      </c>
      <c r="D777" s="83" t="s">
        <v>1</v>
      </c>
      <c r="E777" s="144">
        <v>1.1284722222222221</v>
      </c>
      <c r="F777" s="83" t="s">
        <v>167</v>
      </c>
      <c r="G777" s="85">
        <v>9</v>
      </c>
      <c r="H777" s="141">
        <v>500</v>
      </c>
      <c r="I777" s="2"/>
    </row>
    <row r="778" spans="1:9" ht="19.8" customHeight="1" x14ac:dyDescent="0.3">
      <c r="A778" s="143">
        <v>46048</v>
      </c>
      <c r="B778" s="83" t="s">
        <v>46</v>
      </c>
      <c r="C778" s="84" t="s">
        <v>47</v>
      </c>
      <c r="D778" s="83" t="s">
        <v>1</v>
      </c>
      <c r="E778" s="144">
        <v>1.305555555555556</v>
      </c>
      <c r="F778" s="83" t="s">
        <v>85</v>
      </c>
      <c r="G778" s="85">
        <v>20</v>
      </c>
      <c r="H778" s="141">
        <v>509</v>
      </c>
      <c r="I778" s="2"/>
    </row>
    <row r="779" spans="1:9" ht="19.8" customHeight="1" x14ac:dyDescent="0.3">
      <c r="A779" s="143">
        <v>46048</v>
      </c>
      <c r="B779" s="83" t="s">
        <v>40</v>
      </c>
      <c r="C779" s="84" t="s">
        <v>41</v>
      </c>
      <c r="D779" s="83" t="s">
        <v>1</v>
      </c>
      <c r="E779" s="144">
        <v>1.864583333333333</v>
      </c>
      <c r="F779" s="83" t="s">
        <v>101</v>
      </c>
      <c r="G779" s="85">
        <v>9</v>
      </c>
      <c r="H779" s="141">
        <v>517</v>
      </c>
      <c r="I779" s="2"/>
    </row>
    <row r="780" spans="1:9" ht="19.8" customHeight="1" x14ac:dyDescent="0.3">
      <c r="A780" s="143">
        <v>46048</v>
      </c>
      <c r="B780" s="83" t="s">
        <v>40</v>
      </c>
      <c r="C780" s="84" t="s">
        <v>44</v>
      </c>
      <c r="D780" s="83" t="s">
        <v>1</v>
      </c>
      <c r="E780" s="144">
        <v>1.5277777777777779</v>
      </c>
      <c r="F780" s="83" t="s">
        <v>101</v>
      </c>
      <c r="G780" s="85">
        <v>9</v>
      </c>
      <c r="H780" s="141">
        <v>517</v>
      </c>
      <c r="I780" s="2"/>
    </row>
    <row r="781" spans="1:9" ht="19.8" customHeight="1" x14ac:dyDescent="0.3">
      <c r="A781" s="143">
        <v>46048</v>
      </c>
      <c r="B781" s="83" t="s">
        <v>31</v>
      </c>
      <c r="C781" s="84" t="s">
        <v>32</v>
      </c>
      <c r="D781" s="83" t="s">
        <v>1</v>
      </c>
      <c r="E781" s="144">
        <v>1.836805555555556</v>
      </c>
      <c r="F781" s="83" t="s">
        <v>33</v>
      </c>
      <c r="G781" s="85">
        <v>5</v>
      </c>
      <c r="H781" s="141">
        <v>559</v>
      </c>
      <c r="I781" s="2"/>
    </row>
    <row r="782" spans="1:9" ht="19.8" customHeight="1" x14ac:dyDescent="0.3">
      <c r="A782" s="143">
        <v>46048</v>
      </c>
      <c r="B782" s="83" t="s">
        <v>31</v>
      </c>
      <c r="C782" s="84" t="s">
        <v>51</v>
      </c>
      <c r="D782" s="83" t="s">
        <v>1</v>
      </c>
      <c r="E782" s="144">
        <v>1.2013888888888891</v>
      </c>
      <c r="F782" s="83" t="s">
        <v>33</v>
      </c>
      <c r="G782" s="85">
        <v>1</v>
      </c>
      <c r="H782" s="141">
        <v>559</v>
      </c>
      <c r="I782" s="2"/>
    </row>
    <row r="783" spans="1:9" ht="19.8" customHeight="1" x14ac:dyDescent="0.3">
      <c r="A783" s="143">
        <v>46048</v>
      </c>
      <c r="B783" s="83" t="s">
        <v>26</v>
      </c>
      <c r="C783" s="84" t="s">
        <v>27</v>
      </c>
      <c r="D783" s="83" t="s">
        <v>1</v>
      </c>
      <c r="E783" s="144">
        <v>1.958333333333333</v>
      </c>
      <c r="F783" s="83" t="s">
        <v>167</v>
      </c>
      <c r="G783" s="85">
        <v>8</v>
      </c>
      <c r="H783" s="141">
        <v>563</v>
      </c>
      <c r="I783" s="2"/>
    </row>
    <row r="784" spans="1:9" ht="19.8" customHeight="1" x14ac:dyDescent="0.3">
      <c r="A784" s="143">
        <v>46048</v>
      </c>
      <c r="B784" s="83" t="s">
        <v>46</v>
      </c>
      <c r="C784" s="84" t="s">
        <v>47</v>
      </c>
      <c r="D784" s="83" t="s">
        <v>1</v>
      </c>
      <c r="E784" s="144">
        <v>1.305555555555556</v>
      </c>
      <c r="F784" s="83" t="s">
        <v>88</v>
      </c>
      <c r="G784" s="85">
        <v>20</v>
      </c>
      <c r="H784" s="141">
        <v>659</v>
      </c>
      <c r="I784" s="2"/>
    </row>
    <row r="785" spans="1:9" ht="19.8" customHeight="1" x14ac:dyDescent="0.3">
      <c r="A785" s="143">
        <v>46048</v>
      </c>
      <c r="B785" s="83" t="s">
        <v>31</v>
      </c>
      <c r="C785" s="84" t="s">
        <v>32</v>
      </c>
      <c r="D785" s="83" t="s">
        <v>1</v>
      </c>
      <c r="E785" s="144">
        <v>1.836805555555556</v>
      </c>
      <c r="F785" s="83" t="s">
        <v>36</v>
      </c>
      <c r="G785" s="85">
        <v>5</v>
      </c>
      <c r="H785" s="141">
        <v>659</v>
      </c>
      <c r="I785" s="2"/>
    </row>
    <row r="786" spans="1:9" ht="19.8" customHeight="1" x14ac:dyDescent="0.3">
      <c r="A786" s="143">
        <v>46048</v>
      </c>
      <c r="B786" s="83" t="s">
        <v>31</v>
      </c>
      <c r="C786" s="84" t="s">
        <v>51</v>
      </c>
      <c r="D786" s="83" t="s">
        <v>1</v>
      </c>
      <c r="E786" s="144">
        <v>1.2013888888888891</v>
      </c>
      <c r="F786" s="83" t="s">
        <v>36</v>
      </c>
      <c r="G786" s="85">
        <v>1</v>
      </c>
      <c r="H786" s="141">
        <v>659</v>
      </c>
      <c r="I786" s="2"/>
    </row>
    <row r="787" spans="1:9" ht="19.8" customHeight="1" x14ac:dyDescent="0.3">
      <c r="A787" s="143">
        <v>46048</v>
      </c>
      <c r="B787" s="83" t="s">
        <v>31</v>
      </c>
      <c r="C787" s="84" t="s">
        <v>32</v>
      </c>
      <c r="D787" s="83" t="s">
        <v>1</v>
      </c>
      <c r="E787" s="144">
        <v>1.836805555555556</v>
      </c>
      <c r="F787" s="83" t="s">
        <v>38</v>
      </c>
      <c r="G787" s="85">
        <v>5</v>
      </c>
      <c r="H787" s="141">
        <v>749</v>
      </c>
      <c r="I787" s="2"/>
    </row>
    <row r="788" spans="1:9" ht="19.8" customHeight="1" x14ac:dyDescent="0.3">
      <c r="A788" s="143">
        <v>46048</v>
      </c>
      <c r="B788" s="83" t="s">
        <v>31</v>
      </c>
      <c r="C788" s="84" t="s">
        <v>51</v>
      </c>
      <c r="D788" s="83" t="s">
        <v>1</v>
      </c>
      <c r="E788" s="144">
        <v>1.2013888888888891</v>
      </c>
      <c r="F788" s="83" t="s">
        <v>38</v>
      </c>
      <c r="G788" s="85">
        <v>1</v>
      </c>
      <c r="H788" s="141">
        <v>749</v>
      </c>
      <c r="I788" s="2"/>
    </row>
    <row r="789" spans="1:9" ht="19.8" customHeight="1" x14ac:dyDescent="0.3">
      <c r="A789" s="143">
        <v>46048</v>
      </c>
      <c r="B789" s="83" t="s">
        <v>46</v>
      </c>
      <c r="C789" s="84" t="s">
        <v>47</v>
      </c>
      <c r="D789" s="83" t="s">
        <v>1</v>
      </c>
      <c r="E789" s="144">
        <v>1.305555555555556</v>
      </c>
      <c r="F789" s="83" t="s">
        <v>80</v>
      </c>
      <c r="G789" s="85">
        <v>20</v>
      </c>
      <c r="H789" s="141">
        <v>899</v>
      </c>
      <c r="I789" s="2"/>
    </row>
    <row r="790" spans="1:9" ht="19.8" customHeight="1" x14ac:dyDescent="0.3">
      <c r="A790" s="145">
        <v>46048</v>
      </c>
      <c r="B790" s="87" t="s">
        <v>71</v>
      </c>
      <c r="C790" s="88" t="s">
        <v>72</v>
      </c>
      <c r="D790" s="87" t="s">
        <v>1</v>
      </c>
      <c r="E790" s="146">
        <v>1.305555555555556</v>
      </c>
      <c r="F790" s="87" t="s">
        <v>73</v>
      </c>
      <c r="G790" s="89">
        <v>4</v>
      </c>
      <c r="H790" s="90" t="s">
        <v>189</v>
      </c>
      <c r="I790" s="2"/>
    </row>
    <row r="791" spans="1:9" ht="19.8" customHeight="1" x14ac:dyDescent="0.3">
      <c r="A791" s="143">
        <v>46049</v>
      </c>
      <c r="B791" s="83" t="s">
        <v>40</v>
      </c>
      <c r="C791" s="84" t="s">
        <v>60</v>
      </c>
      <c r="D791" s="83" t="s">
        <v>1</v>
      </c>
      <c r="E791" s="144">
        <v>1.1701388888888891</v>
      </c>
      <c r="F791" s="83" t="s">
        <v>101</v>
      </c>
      <c r="G791" s="85">
        <v>9</v>
      </c>
      <c r="H791" s="141">
        <v>487</v>
      </c>
      <c r="I791" s="2"/>
    </row>
    <row r="792" spans="1:9" ht="19.8" customHeight="1" x14ac:dyDescent="0.3">
      <c r="A792" s="143">
        <v>46049</v>
      </c>
      <c r="B792" s="83" t="s">
        <v>82</v>
      </c>
      <c r="C792" s="84" t="s">
        <v>123</v>
      </c>
      <c r="D792" s="83" t="s">
        <v>1</v>
      </c>
      <c r="E792" s="144">
        <v>1.2152777777777779</v>
      </c>
      <c r="F792" s="83" t="s">
        <v>167</v>
      </c>
      <c r="G792" s="85">
        <v>4</v>
      </c>
      <c r="H792" s="141">
        <v>500</v>
      </c>
      <c r="I792" s="2"/>
    </row>
    <row r="793" spans="1:9" ht="19.8" customHeight="1" x14ac:dyDescent="0.3">
      <c r="A793" s="147">
        <v>46049</v>
      </c>
      <c r="B793" s="92" t="s">
        <v>64</v>
      </c>
      <c r="C793" s="93" t="s">
        <v>65</v>
      </c>
      <c r="D793" s="92" t="s">
        <v>1</v>
      </c>
      <c r="E793" s="148">
        <v>1.270833333333333</v>
      </c>
      <c r="F793" s="92" t="s">
        <v>167</v>
      </c>
      <c r="G793" s="94">
        <v>1</v>
      </c>
      <c r="H793" s="142">
        <v>506</v>
      </c>
      <c r="I793" s="2"/>
    </row>
    <row r="794" spans="1:9" ht="19.8" customHeight="1" x14ac:dyDescent="0.3">
      <c r="A794" s="143">
        <v>46049</v>
      </c>
      <c r="B794" s="83" t="s">
        <v>46</v>
      </c>
      <c r="C794" s="84" t="s">
        <v>47</v>
      </c>
      <c r="D794" s="83" t="s">
        <v>1</v>
      </c>
      <c r="E794" s="144">
        <v>1.305555555555556</v>
      </c>
      <c r="F794" s="83" t="s">
        <v>85</v>
      </c>
      <c r="G794" s="85">
        <v>20</v>
      </c>
      <c r="H794" s="141">
        <v>509</v>
      </c>
      <c r="I794" s="2"/>
    </row>
    <row r="795" spans="1:9" ht="19.8" customHeight="1" x14ac:dyDescent="0.3">
      <c r="A795" s="143">
        <v>46049</v>
      </c>
      <c r="B795" s="83" t="s">
        <v>40</v>
      </c>
      <c r="C795" s="84" t="s">
        <v>41</v>
      </c>
      <c r="D795" s="83" t="s">
        <v>1</v>
      </c>
      <c r="E795" s="144">
        <v>1.864583333333333</v>
      </c>
      <c r="F795" s="83" t="s">
        <v>101</v>
      </c>
      <c r="G795" s="85">
        <v>9</v>
      </c>
      <c r="H795" s="141">
        <v>517</v>
      </c>
      <c r="I795" s="2"/>
    </row>
    <row r="796" spans="1:9" ht="19.8" customHeight="1" x14ac:dyDescent="0.3">
      <c r="A796" s="143">
        <v>46049</v>
      </c>
      <c r="B796" s="83" t="s">
        <v>40</v>
      </c>
      <c r="C796" s="84" t="s">
        <v>44</v>
      </c>
      <c r="D796" s="83" t="s">
        <v>1</v>
      </c>
      <c r="E796" s="144">
        <v>1.5277777777777779</v>
      </c>
      <c r="F796" s="83" t="s">
        <v>101</v>
      </c>
      <c r="G796" s="85">
        <v>9</v>
      </c>
      <c r="H796" s="141">
        <v>517</v>
      </c>
      <c r="I796" s="2"/>
    </row>
    <row r="797" spans="1:9" ht="19.8" customHeight="1" x14ac:dyDescent="0.3">
      <c r="A797" s="143">
        <v>46049</v>
      </c>
      <c r="B797" s="83" t="s">
        <v>31</v>
      </c>
      <c r="C797" s="84" t="s">
        <v>32</v>
      </c>
      <c r="D797" s="83" t="s">
        <v>1</v>
      </c>
      <c r="E797" s="144">
        <v>1.836805555555556</v>
      </c>
      <c r="F797" s="83" t="s">
        <v>33</v>
      </c>
      <c r="G797" s="85">
        <v>2</v>
      </c>
      <c r="H797" s="141">
        <v>559</v>
      </c>
      <c r="I797" s="2"/>
    </row>
    <row r="798" spans="1:9" ht="19.8" customHeight="1" x14ac:dyDescent="0.3">
      <c r="A798" s="143">
        <v>46049</v>
      </c>
      <c r="B798" s="83" t="s">
        <v>31</v>
      </c>
      <c r="C798" s="84" t="s">
        <v>51</v>
      </c>
      <c r="D798" s="83" t="s">
        <v>1</v>
      </c>
      <c r="E798" s="144">
        <v>1.2013888888888891</v>
      </c>
      <c r="F798" s="83" t="s">
        <v>33</v>
      </c>
      <c r="G798" s="85">
        <v>3</v>
      </c>
      <c r="H798" s="141">
        <v>559</v>
      </c>
      <c r="I798" s="2"/>
    </row>
    <row r="799" spans="1:9" ht="19.8" customHeight="1" x14ac:dyDescent="0.3">
      <c r="A799" s="143">
        <v>46049</v>
      </c>
      <c r="B799" s="83" t="s">
        <v>26</v>
      </c>
      <c r="C799" s="84" t="s">
        <v>57</v>
      </c>
      <c r="D799" s="83" t="s">
        <v>1</v>
      </c>
      <c r="E799" s="144">
        <v>1.958333333333333</v>
      </c>
      <c r="F799" s="83" t="s">
        <v>167</v>
      </c>
      <c r="G799" s="85">
        <v>4</v>
      </c>
      <c r="H799" s="141">
        <v>563</v>
      </c>
      <c r="I799" s="2"/>
    </row>
    <row r="800" spans="1:9" ht="19.8" customHeight="1" x14ac:dyDescent="0.3">
      <c r="A800" s="143">
        <v>46049</v>
      </c>
      <c r="B800" s="83" t="s">
        <v>46</v>
      </c>
      <c r="C800" s="84" t="s">
        <v>47</v>
      </c>
      <c r="D800" s="83" t="s">
        <v>1</v>
      </c>
      <c r="E800" s="144">
        <v>1.305555555555556</v>
      </c>
      <c r="F800" s="83" t="s">
        <v>88</v>
      </c>
      <c r="G800" s="85">
        <v>20</v>
      </c>
      <c r="H800" s="141">
        <v>659</v>
      </c>
      <c r="I800" s="2"/>
    </row>
    <row r="801" spans="1:9" ht="19.8" customHeight="1" x14ac:dyDescent="0.3">
      <c r="A801" s="143">
        <v>46049</v>
      </c>
      <c r="B801" s="83" t="s">
        <v>31</v>
      </c>
      <c r="C801" s="84" t="s">
        <v>32</v>
      </c>
      <c r="D801" s="83" t="s">
        <v>1</v>
      </c>
      <c r="E801" s="144">
        <v>1.836805555555556</v>
      </c>
      <c r="F801" s="83" t="s">
        <v>36</v>
      </c>
      <c r="G801" s="85">
        <v>2</v>
      </c>
      <c r="H801" s="141">
        <v>659</v>
      </c>
      <c r="I801" s="2"/>
    </row>
    <row r="802" spans="1:9" ht="19.8" customHeight="1" x14ac:dyDescent="0.3">
      <c r="A802" s="143">
        <v>46049</v>
      </c>
      <c r="B802" s="83" t="s">
        <v>31</v>
      </c>
      <c r="C802" s="84" t="s">
        <v>51</v>
      </c>
      <c r="D802" s="83" t="s">
        <v>1</v>
      </c>
      <c r="E802" s="144">
        <v>1.2013888888888891</v>
      </c>
      <c r="F802" s="83" t="s">
        <v>36</v>
      </c>
      <c r="G802" s="85">
        <v>3</v>
      </c>
      <c r="H802" s="141">
        <v>659</v>
      </c>
      <c r="I802" s="2"/>
    </row>
    <row r="803" spans="1:9" ht="19.8" customHeight="1" x14ac:dyDescent="0.3">
      <c r="A803" s="143">
        <v>46049</v>
      </c>
      <c r="B803" s="83" t="s">
        <v>31</v>
      </c>
      <c r="C803" s="84" t="s">
        <v>32</v>
      </c>
      <c r="D803" s="83" t="s">
        <v>1</v>
      </c>
      <c r="E803" s="144">
        <v>1.836805555555556</v>
      </c>
      <c r="F803" s="83" t="s">
        <v>38</v>
      </c>
      <c r="G803" s="85">
        <v>2</v>
      </c>
      <c r="H803" s="141">
        <v>749</v>
      </c>
      <c r="I803" s="2"/>
    </row>
    <row r="804" spans="1:9" ht="19.8" customHeight="1" x14ac:dyDescent="0.3">
      <c r="A804" s="143">
        <v>46049</v>
      </c>
      <c r="B804" s="83" t="s">
        <v>31</v>
      </c>
      <c r="C804" s="84" t="s">
        <v>51</v>
      </c>
      <c r="D804" s="83" t="s">
        <v>1</v>
      </c>
      <c r="E804" s="144">
        <v>1.2013888888888891</v>
      </c>
      <c r="F804" s="83" t="s">
        <v>38</v>
      </c>
      <c r="G804" s="85">
        <v>3</v>
      </c>
      <c r="H804" s="141">
        <v>749</v>
      </c>
      <c r="I804" s="2"/>
    </row>
    <row r="805" spans="1:9" ht="19.8" customHeight="1" x14ac:dyDescent="0.3">
      <c r="A805" s="143">
        <v>46049</v>
      </c>
      <c r="B805" s="83" t="s">
        <v>46</v>
      </c>
      <c r="C805" s="84" t="s">
        <v>47</v>
      </c>
      <c r="D805" s="83" t="s">
        <v>1</v>
      </c>
      <c r="E805" s="144">
        <v>1.305555555555556</v>
      </c>
      <c r="F805" s="83" t="s">
        <v>80</v>
      </c>
      <c r="G805" s="85">
        <v>20</v>
      </c>
      <c r="H805" s="141">
        <v>899</v>
      </c>
      <c r="I805" s="2"/>
    </row>
    <row r="806" spans="1:9" ht="19.8" customHeight="1" x14ac:dyDescent="0.3">
      <c r="A806" s="145">
        <v>46049</v>
      </c>
      <c r="B806" s="87" t="s">
        <v>71</v>
      </c>
      <c r="C806" s="88" t="s">
        <v>72</v>
      </c>
      <c r="D806" s="87" t="s">
        <v>1</v>
      </c>
      <c r="E806" s="146">
        <v>1.305555555555556</v>
      </c>
      <c r="F806" s="87" t="s">
        <v>73</v>
      </c>
      <c r="G806" s="89">
        <v>4</v>
      </c>
      <c r="H806" s="90" t="s">
        <v>189</v>
      </c>
      <c r="I806" s="2"/>
    </row>
    <row r="807" spans="1:9" ht="19.8" customHeight="1" x14ac:dyDescent="0.3">
      <c r="A807" s="143">
        <v>46050</v>
      </c>
      <c r="B807" s="83" t="s">
        <v>40</v>
      </c>
      <c r="C807" s="84" t="s">
        <v>60</v>
      </c>
      <c r="D807" s="83" t="s">
        <v>1</v>
      </c>
      <c r="E807" s="144">
        <v>1.1701388888888891</v>
      </c>
      <c r="F807" s="83" t="s">
        <v>101</v>
      </c>
      <c r="G807" s="85">
        <v>9</v>
      </c>
      <c r="H807" s="141">
        <v>487</v>
      </c>
      <c r="I807" s="2"/>
    </row>
    <row r="808" spans="1:9" ht="19.8" customHeight="1" x14ac:dyDescent="0.3">
      <c r="A808" s="143">
        <v>46050</v>
      </c>
      <c r="B808" s="83" t="s">
        <v>82</v>
      </c>
      <c r="C808" s="84" t="s">
        <v>83</v>
      </c>
      <c r="D808" s="83" t="s">
        <v>1</v>
      </c>
      <c r="E808" s="144">
        <v>1.0902777777777779</v>
      </c>
      <c r="F808" s="83" t="s">
        <v>167</v>
      </c>
      <c r="G808" s="85">
        <v>3</v>
      </c>
      <c r="H808" s="141">
        <v>500</v>
      </c>
      <c r="I808" s="2"/>
    </row>
    <row r="809" spans="1:9" ht="19.8" customHeight="1" x14ac:dyDescent="0.3">
      <c r="A809" s="143">
        <v>46050</v>
      </c>
      <c r="B809" s="83" t="s">
        <v>76</v>
      </c>
      <c r="C809" s="84" t="s">
        <v>77</v>
      </c>
      <c r="D809" s="83" t="s">
        <v>1</v>
      </c>
      <c r="E809" s="144">
        <v>1.9722222222222221</v>
      </c>
      <c r="F809" s="83" t="s">
        <v>78</v>
      </c>
      <c r="G809" s="85">
        <v>9</v>
      </c>
      <c r="H809" s="141">
        <v>505</v>
      </c>
      <c r="I809" s="2"/>
    </row>
    <row r="810" spans="1:9" ht="19.8" customHeight="1" x14ac:dyDescent="0.3">
      <c r="A810" s="143">
        <v>46050</v>
      </c>
      <c r="B810" s="83" t="s">
        <v>46</v>
      </c>
      <c r="C810" s="84" t="s">
        <v>47</v>
      </c>
      <c r="D810" s="83" t="s">
        <v>1</v>
      </c>
      <c r="E810" s="144">
        <v>1.305555555555556</v>
      </c>
      <c r="F810" s="83" t="s">
        <v>85</v>
      </c>
      <c r="G810" s="85">
        <v>20</v>
      </c>
      <c r="H810" s="141">
        <v>509</v>
      </c>
      <c r="I810" s="2"/>
    </row>
    <row r="811" spans="1:9" ht="19.8" customHeight="1" x14ac:dyDescent="0.3">
      <c r="A811" s="143">
        <v>46050</v>
      </c>
      <c r="B811" s="83" t="s">
        <v>40</v>
      </c>
      <c r="C811" s="84" t="s">
        <v>41</v>
      </c>
      <c r="D811" s="83" t="s">
        <v>1</v>
      </c>
      <c r="E811" s="144">
        <v>1.864583333333333</v>
      </c>
      <c r="F811" s="83" t="s">
        <v>101</v>
      </c>
      <c r="G811" s="85">
        <v>9</v>
      </c>
      <c r="H811" s="141">
        <v>517</v>
      </c>
      <c r="I811" s="2"/>
    </row>
    <row r="812" spans="1:9" ht="19.8" customHeight="1" x14ac:dyDescent="0.3">
      <c r="A812" s="143">
        <v>46050</v>
      </c>
      <c r="B812" s="83" t="s">
        <v>40</v>
      </c>
      <c r="C812" s="84" t="s">
        <v>44</v>
      </c>
      <c r="D812" s="83" t="s">
        <v>1</v>
      </c>
      <c r="E812" s="144">
        <v>1.5277777777777779</v>
      </c>
      <c r="F812" s="83" t="s">
        <v>101</v>
      </c>
      <c r="G812" s="85">
        <v>9</v>
      </c>
      <c r="H812" s="141">
        <v>517</v>
      </c>
      <c r="I812" s="2"/>
    </row>
    <row r="813" spans="1:9" ht="19.8" customHeight="1" x14ac:dyDescent="0.3">
      <c r="A813" s="143">
        <v>46050</v>
      </c>
      <c r="B813" s="83" t="s">
        <v>31</v>
      </c>
      <c r="C813" s="84" t="s">
        <v>32</v>
      </c>
      <c r="D813" s="83" t="s">
        <v>1</v>
      </c>
      <c r="E813" s="144">
        <v>1.836805555555556</v>
      </c>
      <c r="F813" s="83" t="s">
        <v>33</v>
      </c>
      <c r="G813" s="85">
        <v>2</v>
      </c>
      <c r="H813" s="141">
        <v>559</v>
      </c>
      <c r="I813" s="2"/>
    </row>
    <row r="814" spans="1:9" ht="19.8" customHeight="1" x14ac:dyDescent="0.3">
      <c r="A814" s="143">
        <v>46050</v>
      </c>
      <c r="B814" s="83" t="s">
        <v>26</v>
      </c>
      <c r="C814" s="84" t="s">
        <v>27</v>
      </c>
      <c r="D814" s="83" t="s">
        <v>1</v>
      </c>
      <c r="E814" s="144">
        <v>1.895833333333333</v>
      </c>
      <c r="F814" s="83" t="s">
        <v>167</v>
      </c>
      <c r="G814" s="85">
        <v>3</v>
      </c>
      <c r="H814" s="141">
        <v>563</v>
      </c>
      <c r="I814" s="2"/>
    </row>
    <row r="815" spans="1:9" ht="19.8" customHeight="1" x14ac:dyDescent="0.3">
      <c r="A815" s="143">
        <v>46050</v>
      </c>
      <c r="B815" s="83" t="s">
        <v>46</v>
      </c>
      <c r="C815" s="84" t="s">
        <v>47</v>
      </c>
      <c r="D815" s="83" t="s">
        <v>1</v>
      </c>
      <c r="E815" s="144">
        <v>1.305555555555556</v>
      </c>
      <c r="F815" s="83" t="s">
        <v>88</v>
      </c>
      <c r="G815" s="85">
        <v>20</v>
      </c>
      <c r="H815" s="141">
        <v>659</v>
      </c>
      <c r="I815" s="2"/>
    </row>
    <row r="816" spans="1:9" ht="19.8" customHeight="1" x14ac:dyDescent="0.3">
      <c r="A816" s="143">
        <v>46050</v>
      </c>
      <c r="B816" s="83" t="s">
        <v>31</v>
      </c>
      <c r="C816" s="84" t="s">
        <v>32</v>
      </c>
      <c r="D816" s="83" t="s">
        <v>1</v>
      </c>
      <c r="E816" s="144">
        <v>1.836805555555556</v>
      </c>
      <c r="F816" s="83" t="s">
        <v>36</v>
      </c>
      <c r="G816" s="85">
        <v>2</v>
      </c>
      <c r="H816" s="141">
        <v>659</v>
      </c>
      <c r="I816" s="2"/>
    </row>
    <row r="817" spans="1:9" ht="19.8" customHeight="1" x14ac:dyDescent="0.3">
      <c r="A817" s="143">
        <v>46050</v>
      </c>
      <c r="B817" s="83" t="s">
        <v>76</v>
      </c>
      <c r="C817" s="84" t="s">
        <v>77</v>
      </c>
      <c r="D817" s="83" t="s">
        <v>1</v>
      </c>
      <c r="E817" s="144">
        <v>1.9722222222222221</v>
      </c>
      <c r="F817" s="83" t="s">
        <v>80</v>
      </c>
      <c r="G817" s="85">
        <v>9</v>
      </c>
      <c r="H817" s="141">
        <v>711</v>
      </c>
      <c r="I817" s="2"/>
    </row>
    <row r="818" spans="1:9" ht="19.8" customHeight="1" x14ac:dyDescent="0.3">
      <c r="A818" s="143">
        <v>46050</v>
      </c>
      <c r="B818" s="83" t="s">
        <v>31</v>
      </c>
      <c r="C818" s="84" t="s">
        <v>32</v>
      </c>
      <c r="D818" s="83" t="s">
        <v>1</v>
      </c>
      <c r="E818" s="144">
        <v>1.836805555555556</v>
      </c>
      <c r="F818" s="83" t="s">
        <v>38</v>
      </c>
      <c r="G818" s="85">
        <v>2</v>
      </c>
      <c r="H818" s="141">
        <v>749</v>
      </c>
      <c r="I818" s="2"/>
    </row>
    <row r="819" spans="1:9" ht="19.8" customHeight="1" x14ac:dyDescent="0.3">
      <c r="A819" s="143">
        <v>46050</v>
      </c>
      <c r="B819" s="83" t="s">
        <v>46</v>
      </c>
      <c r="C819" s="84" t="s">
        <v>47</v>
      </c>
      <c r="D819" s="83" t="s">
        <v>1</v>
      </c>
      <c r="E819" s="144">
        <v>1.305555555555556</v>
      </c>
      <c r="F819" s="83" t="s">
        <v>80</v>
      </c>
      <c r="G819" s="85">
        <v>20</v>
      </c>
      <c r="H819" s="141">
        <v>899</v>
      </c>
      <c r="I819" s="2"/>
    </row>
    <row r="820" spans="1:9" ht="19.8" customHeight="1" x14ac:dyDescent="0.3">
      <c r="A820" s="145">
        <v>46050</v>
      </c>
      <c r="B820" s="87" t="s">
        <v>71</v>
      </c>
      <c r="C820" s="88" t="s">
        <v>72</v>
      </c>
      <c r="D820" s="87" t="s">
        <v>1</v>
      </c>
      <c r="E820" s="146">
        <v>1.305555555555556</v>
      </c>
      <c r="F820" s="87" t="s">
        <v>73</v>
      </c>
      <c r="G820" s="89">
        <v>4</v>
      </c>
      <c r="H820" s="90" t="s">
        <v>189</v>
      </c>
      <c r="I820" s="2"/>
    </row>
    <row r="821" spans="1:9" ht="19.8" customHeight="1" x14ac:dyDescent="0.3">
      <c r="A821" s="143">
        <v>46051</v>
      </c>
      <c r="B821" s="83" t="s">
        <v>40</v>
      </c>
      <c r="C821" s="84" t="s">
        <v>60</v>
      </c>
      <c r="D821" s="83" t="s">
        <v>1</v>
      </c>
      <c r="E821" s="144">
        <v>1.1701388888888891</v>
      </c>
      <c r="F821" s="83" t="s">
        <v>101</v>
      </c>
      <c r="G821" s="85">
        <v>9</v>
      </c>
      <c r="H821" s="141">
        <v>487</v>
      </c>
      <c r="I821" s="2"/>
    </row>
    <row r="822" spans="1:9" ht="19.8" customHeight="1" x14ac:dyDescent="0.3">
      <c r="A822" s="143">
        <v>46051</v>
      </c>
      <c r="B822" s="83" t="s">
        <v>82</v>
      </c>
      <c r="C822" s="84" t="s">
        <v>83</v>
      </c>
      <c r="D822" s="83" t="s">
        <v>1</v>
      </c>
      <c r="E822" s="144">
        <v>1.9652777777777779</v>
      </c>
      <c r="F822" s="83" t="s">
        <v>167</v>
      </c>
      <c r="G822" s="85">
        <v>1</v>
      </c>
      <c r="H822" s="141">
        <v>500</v>
      </c>
      <c r="I822" s="2"/>
    </row>
    <row r="823" spans="1:9" ht="19.8" customHeight="1" x14ac:dyDescent="0.3">
      <c r="A823" s="143">
        <v>46051</v>
      </c>
      <c r="B823" s="83" t="s">
        <v>46</v>
      </c>
      <c r="C823" s="84" t="s">
        <v>47</v>
      </c>
      <c r="D823" s="83" t="s">
        <v>1</v>
      </c>
      <c r="E823" s="144">
        <v>1.305555555555556</v>
      </c>
      <c r="F823" s="83" t="s">
        <v>85</v>
      </c>
      <c r="G823" s="85">
        <v>20</v>
      </c>
      <c r="H823" s="141">
        <v>509</v>
      </c>
      <c r="I823" s="2"/>
    </row>
    <row r="824" spans="1:9" ht="19.8" customHeight="1" x14ac:dyDescent="0.3">
      <c r="A824" s="143">
        <v>46051</v>
      </c>
      <c r="B824" s="83" t="s">
        <v>40</v>
      </c>
      <c r="C824" s="84" t="s">
        <v>41</v>
      </c>
      <c r="D824" s="83" t="s">
        <v>1</v>
      </c>
      <c r="E824" s="144">
        <v>1.864583333333333</v>
      </c>
      <c r="F824" s="83" t="s">
        <v>101</v>
      </c>
      <c r="G824" s="85">
        <v>9</v>
      </c>
      <c r="H824" s="141">
        <v>517</v>
      </c>
      <c r="I824" s="2"/>
    </row>
    <row r="825" spans="1:9" ht="19.8" customHeight="1" x14ac:dyDescent="0.3">
      <c r="A825" s="143">
        <v>46051</v>
      </c>
      <c r="B825" s="83" t="s">
        <v>40</v>
      </c>
      <c r="C825" s="84" t="s">
        <v>44</v>
      </c>
      <c r="D825" s="83" t="s">
        <v>1</v>
      </c>
      <c r="E825" s="144">
        <v>1.5277777777777779</v>
      </c>
      <c r="F825" s="83" t="s">
        <v>101</v>
      </c>
      <c r="G825" s="85">
        <v>9</v>
      </c>
      <c r="H825" s="141">
        <v>517</v>
      </c>
      <c r="I825" s="2"/>
    </row>
    <row r="826" spans="1:9" ht="19.8" customHeight="1" x14ac:dyDescent="0.3">
      <c r="A826" s="143">
        <v>46051</v>
      </c>
      <c r="B826" s="83" t="s">
        <v>31</v>
      </c>
      <c r="C826" s="84" t="s">
        <v>51</v>
      </c>
      <c r="D826" s="83" t="s">
        <v>1</v>
      </c>
      <c r="E826" s="144">
        <v>1.2013888888888891</v>
      </c>
      <c r="F826" s="83" t="s">
        <v>33</v>
      </c>
      <c r="G826" s="85">
        <v>5</v>
      </c>
      <c r="H826" s="141">
        <v>559</v>
      </c>
      <c r="I826" s="2"/>
    </row>
    <row r="827" spans="1:9" ht="19.8" customHeight="1" x14ac:dyDescent="0.3">
      <c r="A827" s="143">
        <v>46051</v>
      </c>
      <c r="B827" s="83" t="s">
        <v>26</v>
      </c>
      <c r="C827" s="84" t="s">
        <v>99</v>
      </c>
      <c r="D827" s="83" t="s">
        <v>1</v>
      </c>
      <c r="E827" s="144">
        <v>1.5625</v>
      </c>
      <c r="F827" s="83" t="s">
        <v>167</v>
      </c>
      <c r="G827" s="85">
        <v>4</v>
      </c>
      <c r="H827" s="141">
        <v>563</v>
      </c>
      <c r="I827" s="2"/>
    </row>
    <row r="828" spans="1:9" ht="19.8" customHeight="1" x14ac:dyDescent="0.3">
      <c r="A828" s="143">
        <v>46051</v>
      </c>
      <c r="B828" s="83" t="s">
        <v>26</v>
      </c>
      <c r="C828" s="84" t="s">
        <v>57</v>
      </c>
      <c r="D828" s="83" t="s">
        <v>1</v>
      </c>
      <c r="E828" s="144">
        <v>1.958333333333333</v>
      </c>
      <c r="F828" s="83" t="s">
        <v>167</v>
      </c>
      <c r="G828" s="85">
        <v>9</v>
      </c>
      <c r="H828" s="141">
        <v>563</v>
      </c>
      <c r="I828" s="2"/>
    </row>
    <row r="829" spans="1:9" ht="19.8" customHeight="1" x14ac:dyDescent="0.3">
      <c r="A829" s="147">
        <v>46051</v>
      </c>
      <c r="B829" s="92" t="s">
        <v>64</v>
      </c>
      <c r="C829" s="93" t="s">
        <v>65</v>
      </c>
      <c r="D829" s="92" t="s">
        <v>1</v>
      </c>
      <c r="E829" s="148">
        <v>1.9236111111111109</v>
      </c>
      <c r="F829" s="92" t="s">
        <v>167</v>
      </c>
      <c r="G829" s="94">
        <v>5</v>
      </c>
      <c r="H829" s="142">
        <v>566</v>
      </c>
      <c r="I829" s="2"/>
    </row>
    <row r="830" spans="1:9" ht="19.8" customHeight="1" x14ac:dyDescent="0.3">
      <c r="A830" s="143">
        <v>46051</v>
      </c>
      <c r="B830" s="83" t="s">
        <v>31</v>
      </c>
      <c r="C830" s="84" t="s">
        <v>32</v>
      </c>
      <c r="D830" s="83" t="s">
        <v>1</v>
      </c>
      <c r="E830" s="144">
        <v>1.836805555555556</v>
      </c>
      <c r="F830" s="83" t="s">
        <v>33</v>
      </c>
      <c r="G830" s="85">
        <v>5</v>
      </c>
      <c r="H830" s="141">
        <v>609</v>
      </c>
      <c r="I830" s="2"/>
    </row>
    <row r="831" spans="1:9" ht="19.8" customHeight="1" x14ac:dyDescent="0.3">
      <c r="A831" s="143">
        <v>46051</v>
      </c>
      <c r="B831" s="83" t="s">
        <v>46</v>
      </c>
      <c r="C831" s="84" t="s">
        <v>47</v>
      </c>
      <c r="D831" s="83" t="s">
        <v>1</v>
      </c>
      <c r="E831" s="144">
        <v>1.305555555555556</v>
      </c>
      <c r="F831" s="83" t="s">
        <v>88</v>
      </c>
      <c r="G831" s="85">
        <v>20</v>
      </c>
      <c r="H831" s="141">
        <v>659</v>
      </c>
      <c r="I831" s="2"/>
    </row>
    <row r="832" spans="1:9" ht="19.8" customHeight="1" x14ac:dyDescent="0.3">
      <c r="A832" s="143">
        <v>46051</v>
      </c>
      <c r="B832" s="83" t="s">
        <v>31</v>
      </c>
      <c r="C832" s="84" t="s">
        <v>51</v>
      </c>
      <c r="D832" s="83" t="s">
        <v>1</v>
      </c>
      <c r="E832" s="144">
        <v>1.2013888888888891</v>
      </c>
      <c r="F832" s="83" t="s">
        <v>36</v>
      </c>
      <c r="G832" s="85">
        <v>5</v>
      </c>
      <c r="H832" s="141">
        <v>659</v>
      </c>
      <c r="I832" s="2"/>
    </row>
    <row r="833" spans="1:9" ht="19.8" customHeight="1" x14ac:dyDescent="0.3">
      <c r="A833" s="143">
        <v>46051</v>
      </c>
      <c r="B833" s="83" t="s">
        <v>31</v>
      </c>
      <c r="C833" s="84" t="s">
        <v>32</v>
      </c>
      <c r="D833" s="83" t="s">
        <v>1</v>
      </c>
      <c r="E833" s="144">
        <v>1.836805555555556</v>
      </c>
      <c r="F833" s="83" t="s">
        <v>36</v>
      </c>
      <c r="G833" s="85">
        <v>5</v>
      </c>
      <c r="H833" s="141">
        <v>709</v>
      </c>
      <c r="I833" s="2"/>
    </row>
    <row r="834" spans="1:9" ht="19.8" customHeight="1" x14ac:dyDescent="0.3">
      <c r="A834" s="143">
        <v>46051</v>
      </c>
      <c r="B834" s="83" t="s">
        <v>31</v>
      </c>
      <c r="C834" s="84" t="s">
        <v>51</v>
      </c>
      <c r="D834" s="83" t="s">
        <v>1</v>
      </c>
      <c r="E834" s="144">
        <v>1.2013888888888891</v>
      </c>
      <c r="F834" s="83" t="s">
        <v>38</v>
      </c>
      <c r="G834" s="85">
        <v>5</v>
      </c>
      <c r="H834" s="141">
        <v>749</v>
      </c>
      <c r="I834" s="2"/>
    </row>
    <row r="835" spans="1:9" ht="19.8" customHeight="1" x14ac:dyDescent="0.3">
      <c r="A835" s="143">
        <v>46051</v>
      </c>
      <c r="B835" s="83" t="s">
        <v>31</v>
      </c>
      <c r="C835" s="84" t="s">
        <v>32</v>
      </c>
      <c r="D835" s="83" t="s">
        <v>1</v>
      </c>
      <c r="E835" s="144">
        <v>1.836805555555556</v>
      </c>
      <c r="F835" s="83" t="s">
        <v>38</v>
      </c>
      <c r="G835" s="85">
        <v>5</v>
      </c>
      <c r="H835" s="141">
        <v>799</v>
      </c>
      <c r="I835" s="2"/>
    </row>
    <row r="836" spans="1:9" ht="19.8" customHeight="1" x14ac:dyDescent="0.3">
      <c r="A836" s="143">
        <v>46051</v>
      </c>
      <c r="B836" s="83" t="s">
        <v>46</v>
      </c>
      <c r="C836" s="84" t="s">
        <v>47</v>
      </c>
      <c r="D836" s="83" t="s">
        <v>1</v>
      </c>
      <c r="E836" s="144">
        <v>1.305555555555556</v>
      </c>
      <c r="F836" s="83" t="s">
        <v>80</v>
      </c>
      <c r="G836" s="85">
        <v>20</v>
      </c>
      <c r="H836" s="141">
        <v>899</v>
      </c>
      <c r="I836" s="2"/>
    </row>
    <row r="837" spans="1:9" ht="19.8" customHeight="1" x14ac:dyDescent="0.3">
      <c r="A837" s="145">
        <v>46051</v>
      </c>
      <c r="B837" s="87" t="s">
        <v>71</v>
      </c>
      <c r="C837" s="88" t="s">
        <v>72</v>
      </c>
      <c r="D837" s="87" t="s">
        <v>1</v>
      </c>
      <c r="E837" s="146">
        <v>1.305555555555556</v>
      </c>
      <c r="F837" s="87" t="s">
        <v>73</v>
      </c>
      <c r="G837" s="89">
        <v>4</v>
      </c>
      <c r="H837" s="90" t="s">
        <v>189</v>
      </c>
      <c r="I837" s="2"/>
    </row>
    <row r="838" spans="1:9" ht="19.8" customHeight="1" x14ac:dyDescent="0.3">
      <c r="A838" s="143">
        <v>46052</v>
      </c>
      <c r="B838" s="83" t="s">
        <v>46</v>
      </c>
      <c r="C838" s="84" t="s">
        <v>47</v>
      </c>
      <c r="D838" s="83" t="s">
        <v>1</v>
      </c>
      <c r="E838" s="144">
        <v>1.305555555555556</v>
      </c>
      <c r="F838" s="83" t="s">
        <v>85</v>
      </c>
      <c r="G838" s="85">
        <v>10</v>
      </c>
      <c r="H838" s="141">
        <v>469</v>
      </c>
      <c r="I838" s="2"/>
    </row>
    <row r="839" spans="1:9" ht="19.8" customHeight="1" x14ac:dyDescent="0.3">
      <c r="A839" s="143">
        <v>46052</v>
      </c>
      <c r="B839" s="83" t="s">
        <v>40</v>
      </c>
      <c r="C839" s="84" t="s">
        <v>60</v>
      </c>
      <c r="D839" s="83" t="s">
        <v>1</v>
      </c>
      <c r="E839" s="144">
        <v>1.1701388888888891</v>
      </c>
      <c r="F839" s="83" t="s">
        <v>101</v>
      </c>
      <c r="G839" s="85">
        <v>9</v>
      </c>
      <c r="H839" s="141">
        <v>487</v>
      </c>
      <c r="I839" s="2"/>
    </row>
    <row r="840" spans="1:9" ht="19.8" customHeight="1" x14ac:dyDescent="0.3">
      <c r="A840" s="143">
        <v>46052</v>
      </c>
      <c r="B840" s="83" t="s">
        <v>82</v>
      </c>
      <c r="C840" s="84" t="s">
        <v>123</v>
      </c>
      <c r="D840" s="83" t="s">
        <v>1</v>
      </c>
      <c r="E840" s="144">
        <v>1.2152777777777779</v>
      </c>
      <c r="F840" s="83" t="s">
        <v>167</v>
      </c>
      <c r="G840" s="85">
        <v>4</v>
      </c>
      <c r="H840" s="141">
        <v>500</v>
      </c>
      <c r="I840" s="2"/>
    </row>
    <row r="841" spans="1:9" ht="19.8" customHeight="1" x14ac:dyDescent="0.3">
      <c r="A841" s="143">
        <v>46052</v>
      </c>
      <c r="B841" s="83" t="s">
        <v>40</v>
      </c>
      <c r="C841" s="84" t="s">
        <v>41</v>
      </c>
      <c r="D841" s="83" t="s">
        <v>1</v>
      </c>
      <c r="E841" s="144">
        <v>1.864583333333333</v>
      </c>
      <c r="F841" s="83" t="s">
        <v>101</v>
      </c>
      <c r="G841" s="85">
        <v>9</v>
      </c>
      <c r="H841" s="141">
        <v>517</v>
      </c>
      <c r="I841" s="2"/>
    </row>
    <row r="842" spans="1:9" ht="19.8" customHeight="1" x14ac:dyDescent="0.3">
      <c r="A842" s="143">
        <v>46052</v>
      </c>
      <c r="B842" s="83" t="s">
        <v>40</v>
      </c>
      <c r="C842" s="84" t="s">
        <v>44</v>
      </c>
      <c r="D842" s="83" t="s">
        <v>1</v>
      </c>
      <c r="E842" s="144">
        <v>1.5277777777777779</v>
      </c>
      <c r="F842" s="83" t="s">
        <v>101</v>
      </c>
      <c r="G842" s="85">
        <v>9</v>
      </c>
      <c r="H842" s="141">
        <v>521</v>
      </c>
      <c r="I842" s="2"/>
    </row>
    <row r="843" spans="1:9" ht="19.8" customHeight="1" x14ac:dyDescent="0.3">
      <c r="A843" s="143">
        <v>46052</v>
      </c>
      <c r="B843" s="83" t="s">
        <v>31</v>
      </c>
      <c r="C843" s="84" t="s">
        <v>32</v>
      </c>
      <c r="D843" s="83" t="s">
        <v>1</v>
      </c>
      <c r="E843" s="144">
        <v>1.836805555555556</v>
      </c>
      <c r="F843" s="83" t="s">
        <v>33</v>
      </c>
      <c r="G843" s="85">
        <v>2</v>
      </c>
      <c r="H843" s="141">
        <v>559</v>
      </c>
      <c r="I843" s="2"/>
    </row>
    <row r="844" spans="1:9" ht="19.8" customHeight="1" x14ac:dyDescent="0.3">
      <c r="A844" s="143">
        <v>46052</v>
      </c>
      <c r="B844" s="83" t="s">
        <v>26</v>
      </c>
      <c r="C844" s="84" t="s">
        <v>27</v>
      </c>
      <c r="D844" s="83" t="s">
        <v>1</v>
      </c>
      <c r="E844" s="144">
        <v>1.958333333333333</v>
      </c>
      <c r="F844" s="83" t="s">
        <v>167</v>
      </c>
      <c r="G844" s="85">
        <v>6</v>
      </c>
      <c r="H844" s="141">
        <v>563</v>
      </c>
      <c r="I844" s="2"/>
    </row>
    <row r="845" spans="1:9" ht="19.8" customHeight="1" x14ac:dyDescent="0.3">
      <c r="A845" s="147">
        <v>46052</v>
      </c>
      <c r="B845" s="92" t="s">
        <v>64</v>
      </c>
      <c r="C845" s="93" t="s">
        <v>65</v>
      </c>
      <c r="D845" s="92" t="s">
        <v>1</v>
      </c>
      <c r="E845" s="148">
        <v>1.5798611111111109</v>
      </c>
      <c r="F845" s="92" t="s">
        <v>167</v>
      </c>
      <c r="G845" s="94">
        <v>8</v>
      </c>
      <c r="H845" s="142">
        <v>566</v>
      </c>
      <c r="I845" s="2"/>
    </row>
    <row r="846" spans="1:9" ht="19.8" customHeight="1" x14ac:dyDescent="0.3">
      <c r="A846" s="143">
        <v>46052</v>
      </c>
      <c r="B846" s="83" t="s">
        <v>46</v>
      </c>
      <c r="C846" s="84" t="s">
        <v>47</v>
      </c>
      <c r="D846" s="83" t="s">
        <v>1</v>
      </c>
      <c r="E846" s="144">
        <v>1.305555555555556</v>
      </c>
      <c r="F846" s="83" t="s">
        <v>88</v>
      </c>
      <c r="G846" s="85">
        <v>10</v>
      </c>
      <c r="H846" s="141">
        <v>619</v>
      </c>
      <c r="I846" s="2"/>
    </row>
    <row r="847" spans="1:9" ht="19.8" customHeight="1" x14ac:dyDescent="0.3">
      <c r="A847" s="143">
        <v>46052</v>
      </c>
      <c r="B847" s="83" t="s">
        <v>31</v>
      </c>
      <c r="C847" s="84" t="s">
        <v>32</v>
      </c>
      <c r="D847" s="83" t="s">
        <v>1</v>
      </c>
      <c r="E847" s="144">
        <v>1.836805555555556</v>
      </c>
      <c r="F847" s="83" t="s">
        <v>36</v>
      </c>
      <c r="G847" s="85">
        <v>2</v>
      </c>
      <c r="H847" s="141">
        <v>659</v>
      </c>
      <c r="I847" s="2"/>
    </row>
    <row r="848" spans="1:9" ht="19.8" customHeight="1" x14ac:dyDescent="0.3">
      <c r="A848" s="143">
        <v>46052</v>
      </c>
      <c r="B848" s="83" t="s">
        <v>31</v>
      </c>
      <c r="C848" s="84" t="s">
        <v>32</v>
      </c>
      <c r="D848" s="83" t="s">
        <v>1</v>
      </c>
      <c r="E848" s="144">
        <v>1.836805555555556</v>
      </c>
      <c r="F848" s="83" t="s">
        <v>38</v>
      </c>
      <c r="G848" s="85">
        <v>2</v>
      </c>
      <c r="H848" s="141">
        <v>749</v>
      </c>
      <c r="I848" s="2"/>
    </row>
    <row r="849" spans="1:9" ht="19.8" customHeight="1" x14ac:dyDescent="0.3">
      <c r="A849" s="143">
        <v>46052</v>
      </c>
      <c r="B849" s="83" t="s">
        <v>46</v>
      </c>
      <c r="C849" s="84" t="s">
        <v>47</v>
      </c>
      <c r="D849" s="83" t="s">
        <v>1</v>
      </c>
      <c r="E849" s="144">
        <v>1.305555555555556</v>
      </c>
      <c r="F849" s="83" t="s">
        <v>80</v>
      </c>
      <c r="G849" s="85">
        <v>10</v>
      </c>
      <c r="H849" s="141">
        <v>899</v>
      </c>
      <c r="I849" s="2"/>
    </row>
    <row r="850" spans="1:9" ht="19.8" customHeight="1" x14ac:dyDescent="0.3">
      <c r="A850" s="145">
        <v>46052</v>
      </c>
      <c r="B850" s="87" t="s">
        <v>71</v>
      </c>
      <c r="C850" s="88" t="s">
        <v>72</v>
      </c>
      <c r="D850" s="87" t="s">
        <v>1</v>
      </c>
      <c r="E850" s="146">
        <v>1.305555555555556</v>
      </c>
      <c r="F850" s="87" t="s">
        <v>73</v>
      </c>
      <c r="G850" s="89">
        <v>4</v>
      </c>
      <c r="H850" s="90" t="s">
        <v>189</v>
      </c>
      <c r="I850" s="2"/>
    </row>
    <row r="851" spans="1:9" ht="19.8" customHeight="1" x14ac:dyDescent="0.3">
      <c r="A851" s="143">
        <v>46053</v>
      </c>
      <c r="B851" s="83" t="s">
        <v>46</v>
      </c>
      <c r="C851" s="84" t="s">
        <v>47</v>
      </c>
      <c r="D851" s="83" t="s">
        <v>1</v>
      </c>
      <c r="E851" s="144">
        <v>1.305555555555556</v>
      </c>
      <c r="F851" s="83" t="s">
        <v>85</v>
      </c>
      <c r="G851" s="85">
        <v>10</v>
      </c>
      <c r="H851" s="141">
        <v>469</v>
      </c>
      <c r="I851" s="2"/>
    </row>
    <row r="852" spans="1:9" ht="19.8" customHeight="1" x14ac:dyDescent="0.3">
      <c r="A852" s="143">
        <v>46053</v>
      </c>
      <c r="B852" s="83" t="s">
        <v>40</v>
      </c>
      <c r="C852" s="84" t="s">
        <v>60</v>
      </c>
      <c r="D852" s="83" t="s">
        <v>1</v>
      </c>
      <c r="E852" s="144">
        <v>1.1701388888888891</v>
      </c>
      <c r="F852" s="83" t="s">
        <v>101</v>
      </c>
      <c r="G852" s="85">
        <v>9</v>
      </c>
      <c r="H852" s="141">
        <v>487</v>
      </c>
      <c r="I852" s="2"/>
    </row>
    <row r="853" spans="1:9" ht="19.8" customHeight="1" x14ac:dyDescent="0.3">
      <c r="A853" s="143">
        <v>46053</v>
      </c>
      <c r="B853" s="83" t="s">
        <v>76</v>
      </c>
      <c r="C853" s="84" t="s">
        <v>77</v>
      </c>
      <c r="D853" s="83" t="s">
        <v>1</v>
      </c>
      <c r="E853" s="144">
        <v>1.9722222222222221</v>
      </c>
      <c r="F853" s="83" t="s">
        <v>78</v>
      </c>
      <c r="G853" s="85">
        <v>9</v>
      </c>
      <c r="H853" s="141">
        <v>511</v>
      </c>
      <c r="I853" s="2"/>
    </row>
    <row r="854" spans="1:9" ht="19.8" customHeight="1" x14ac:dyDescent="0.3">
      <c r="A854" s="143">
        <v>46053</v>
      </c>
      <c r="B854" s="83" t="s">
        <v>40</v>
      </c>
      <c r="C854" s="84" t="s">
        <v>41</v>
      </c>
      <c r="D854" s="83" t="s">
        <v>1</v>
      </c>
      <c r="E854" s="144">
        <v>1.864583333333333</v>
      </c>
      <c r="F854" s="83" t="s">
        <v>101</v>
      </c>
      <c r="G854" s="85">
        <v>9</v>
      </c>
      <c r="H854" s="141">
        <v>517</v>
      </c>
      <c r="I854" s="2"/>
    </row>
    <row r="855" spans="1:9" ht="19.8" customHeight="1" x14ac:dyDescent="0.3">
      <c r="A855" s="143">
        <v>46053</v>
      </c>
      <c r="B855" s="83" t="s">
        <v>40</v>
      </c>
      <c r="C855" s="84" t="s">
        <v>44</v>
      </c>
      <c r="D855" s="83" t="s">
        <v>1</v>
      </c>
      <c r="E855" s="144">
        <v>1.5277777777777779</v>
      </c>
      <c r="F855" s="83" t="s">
        <v>101</v>
      </c>
      <c r="G855" s="85">
        <v>9</v>
      </c>
      <c r="H855" s="141">
        <v>517</v>
      </c>
      <c r="I855" s="2"/>
    </row>
    <row r="856" spans="1:9" ht="19.8" customHeight="1" x14ac:dyDescent="0.3">
      <c r="A856" s="143">
        <v>46053</v>
      </c>
      <c r="B856" s="83" t="s">
        <v>31</v>
      </c>
      <c r="C856" s="84" t="s">
        <v>32</v>
      </c>
      <c r="D856" s="83" t="s">
        <v>1</v>
      </c>
      <c r="E856" s="144">
        <v>1.836805555555556</v>
      </c>
      <c r="F856" s="83" t="s">
        <v>33</v>
      </c>
      <c r="G856" s="85">
        <v>3</v>
      </c>
      <c r="H856" s="141">
        <v>559</v>
      </c>
      <c r="I856" s="2"/>
    </row>
    <row r="857" spans="1:9" ht="19.8" customHeight="1" x14ac:dyDescent="0.3">
      <c r="A857" s="143">
        <v>46053</v>
      </c>
      <c r="B857" s="83" t="s">
        <v>31</v>
      </c>
      <c r="C857" s="84" t="s">
        <v>51</v>
      </c>
      <c r="D857" s="83" t="s">
        <v>1</v>
      </c>
      <c r="E857" s="144">
        <v>1.2013888888888891</v>
      </c>
      <c r="F857" s="83" t="s">
        <v>33</v>
      </c>
      <c r="G857" s="85">
        <v>5</v>
      </c>
      <c r="H857" s="141">
        <v>559</v>
      </c>
      <c r="I857" s="2"/>
    </row>
    <row r="858" spans="1:9" ht="19.8" customHeight="1" x14ac:dyDescent="0.3">
      <c r="A858" s="143">
        <v>46053</v>
      </c>
      <c r="B858" s="83" t="s">
        <v>26</v>
      </c>
      <c r="C858" s="84" t="s">
        <v>57</v>
      </c>
      <c r="D858" s="83" t="s">
        <v>1</v>
      </c>
      <c r="E858" s="144">
        <v>1.895833333333333</v>
      </c>
      <c r="F858" s="83" t="s">
        <v>167</v>
      </c>
      <c r="G858" s="85">
        <v>2</v>
      </c>
      <c r="H858" s="141">
        <v>563</v>
      </c>
      <c r="I858" s="2"/>
    </row>
    <row r="859" spans="1:9" ht="19.8" customHeight="1" x14ac:dyDescent="0.3">
      <c r="A859" s="147">
        <v>46053</v>
      </c>
      <c r="B859" s="92" t="s">
        <v>64</v>
      </c>
      <c r="C859" s="93" t="s">
        <v>65</v>
      </c>
      <c r="D859" s="92" t="s">
        <v>1</v>
      </c>
      <c r="E859" s="148">
        <v>1.9236111111111109</v>
      </c>
      <c r="F859" s="92" t="s">
        <v>167</v>
      </c>
      <c r="G859" s="94">
        <v>2</v>
      </c>
      <c r="H859" s="142">
        <v>566</v>
      </c>
      <c r="I859" s="2"/>
    </row>
    <row r="860" spans="1:9" ht="19.8" customHeight="1" x14ac:dyDescent="0.3">
      <c r="A860" s="143">
        <v>46053</v>
      </c>
      <c r="B860" s="83" t="s">
        <v>82</v>
      </c>
      <c r="C860" s="84" t="s">
        <v>83</v>
      </c>
      <c r="D860" s="83" t="s">
        <v>1</v>
      </c>
      <c r="E860" s="144">
        <v>1.5486111111111109</v>
      </c>
      <c r="F860" s="83" t="s">
        <v>167</v>
      </c>
      <c r="G860" s="85">
        <v>9</v>
      </c>
      <c r="H860" s="141">
        <v>568</v>
      </c>
      <c r="I860" s="2"/>
    </row>
    <row r="861" spans="1:9" ht="19.8" customHeight="1" x14ac:dyDescent="0.3">
      <c r="A861" s="143">
        <v>46053</v>
      </c>
      <c r="B861" s="83" t="s">
        <v>46</v>
      </c>
      <c r="C861" s="84" t="s">
        <v>47</v>
      </c>
      <c r="D861" s="83" t="s">
        <v>1</v>
      </c>
      <c r="E861" s="144">
        <v>1.305555555555556</v>
      </c>
      <c r="F861" s="83" t="s">
        <v>88</v>
      </c>
      <c r="G861" s="85">
        <v>10</v>
      </c>
      <c r="H861" s="141">
        <v>619</v>
      </c>
      <c r="I861" s="2"/>
    </row>
    <row r="862" spans="1:9" ht="19.8" customHeight="1" x14ac:dyDescent="0.3">
      <c r="A862" s="143">
        <v>46053</v>
      </c>
      <c r="B862" s="83" t="s">
        <v>31</v>
      </c>
      <c r="C862" s="84" t="s">
        <v>32</v>
      </c>
      <c r="D862" s="83" t="s">
        <v>1</v>
      </c>
      <c r="E862" s="144">
        <v>1.836805555555556</v>
      </c>
      <c r="F862" s="83" t="s">
        <v>36</v>
      </c>
      <c r="G862" s="85">
        <v>3</v>
      </c>
      <c r="H862" s="141">
        <v>659</v>
      </c>
      <c r="I862" s="2"/>
    </row>
    <row r="863" spans="1:9" ht="19.8" customHeight="1" x14ac:dyDescent="0.3">
      <c r="A863" s="143">
        <v>46053</v>
      </c>
      <c r="B863" s="83" t="s">
        <v>31</v>
      </c>
      <c r="C863" s="84" t="s">
        <v>51</v>
      </c>
      <c r="D863" s="83" t="s">
        <v>1</v>
      </c>
      <c r="E863" s="144">
        <v>1.2013888888888891</v>
      </c>
      <c r="F863" s="83" t="s">
        <v>36</v>
      </c>
      <c r="G863" s="85">
        <v>5</v>
      </c>
      <c r="H863" s="141">
        <v>659</v>
      </c>
      <c r="I863" s="2"/>
    </row>
    <row r="864" spans="1:9" ht="19.8" customHeight="1" x14ac:dyDescent="0.3">
      <c r="A864" s="143">
        <v>46053</v>
      </c>
      <c r="B864" s="83" t="s">
        <v>76</v>
      </c>
      <c r="C864" s="84" t="s">
        <v>77</v>
      </c>
      <c r="D864" s="83" t="s">
        <v>1</v>
      </c>
      <c r="E864" s="144">
        <v>1.9722222222222221</v>
      </c>
      <c r="F864" s="83" t="s">
        <v>80</v>
      </c>
      <c r="G864" s="85">
        <v>9</v>
      </c>
      <c r="H864" s="141">
        <v>716</v>
      </c>
      <c r="I864" s="2"/>
    </row>
    <row r="865" spans="1:9" ht="19.8" customHeight="1" x14ac:dyDescent="0.3">
      <c r="A865" s="143">
        <v>46053</v>
      </c>
      <c r="B865" s="83" t="s">
        <v>31</v>
      </c>
      <c r="C865" s="84" t="s">
        <v>32</v>
      </c>
      <c r="D865" s="83" t="s">
        <v>1</v>
      </c>
      <c r="E865" s="144">
        <v>1.836805555555556</v>
      </c>
      <c r="F865" s="83" t="s">
        <v>38</v>
      </c>
      <c r="G865" s="85">
        <v>3</v>
      </c>
      <c r="H865" s="141">
        <v>749</v>
      </c>
      <c r="I865" s="2"/>
    </row>
    <row r="866" spans="1:9" ht="19.8" customHeight="1" x14ac:dyDescent="0.3">
      <c r="A866" s="143">
        <v>46053</v>
      </c>
      <c r="B866" s="83" t="s">
        <v>31</v>
      </c>
      <c r="C866" s="84" t="s">
        <v>51</v>
      </c>
      <c r="D866" s="83" t="s">
        <v>1</v>
      </c>
      <c r="E866" s="144">
        <v>1.2013888888888891</v>
      </c>
      <c r="F866" s="83" t="s">
        <v>38</v>
      </c>
      <c r="G866" s="85">
        <v>5</v>
      </c>
      <c r="H866" s="141">
        <v>749</v>
      </c>
      <c r="I866" s="2"/>
    </row>
    <row r="867" spans="1:9" ht="19.8" customHeight="1" x14ac:dyDescent="0.3">
      <c r="A867" s="143">
        <v>46053</v>
      </c>
      <c r="B867" s="83" t="s">
        <v>46</v>
      </c>
      <c r="C867" s="84" t="s">
        <v>47</v>
      </c>
      <c r="D867" s="83" t="s">
        <v>1</v>
      </c>
      <c r="E867" s="144">
        <v>1.305555555555556</v>
      </c>
      <c r="F867" s="83" t="s">
        <v>80</v>
      </c>
      <c r="G867" s="85">
        <v>10</v>
      </c>
      <c r="H867" s="141">
        <v>899</v>
      </c>
      <c r="I867" s="2"/>
    </row>
    <row r="868" spans="1:9" ht="19.8" customHeight="1" x14ac:dyDescent="0.3">
      <c r="A868" s="145">
        <v>46053</v>
      </c>
      <c r="B868" s="87" t="s">
        <v>71</v>
      </c>
      <c r="C868" s="88" t="s">
        <v>72</v>
      </c>
      <c r="D868" s="87" t="s">
        <v>1</v>
      </c>
      <c r="E868" s="146">
        <v>1.305555555555556</v>
      </c>
      <c r="F868" s="87" t="s">
        <v>73</v>
      </c>
      <c r="G868" s="89">
        <v>4</v>
      </c>
      <c r="H868" s="90" t="s">
        <v>189</v>
      </c>
      <c r="I868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00" t="s">
        <v>356</v>
      </c>
      <c r="B1" s="100" t="s">
        <v>8</v>
      </c>
      <c r="C1" s="100" t="s">
        <v>9</v>
      </c>
      <c r="D1" s="100" t="s">
        <v>357</v>
      </c>
      <c r="E1" s="100" t="s">
        <v>10</v>
      </c>
      <c r="F1" s="100" t="s">
        <v>11</v>
      </c>
      <c r="G1" s="100" t="s">
        <v>12</v>
      </c>
      <c r="H1" s="100" t="s">
        <v>13</v>
      </c>
      <c r="I1" s="100" t="s">
        <v>368</v>
      </c>
    </row>
    <row r="2" spans="1:9" ht="15.6" x14ac:dyDescent="0.3">
      <c r="A2" s="101" t="s">
        <v>363</v>
      </c>
      <c r="B2" s="101" t="s">
        <v>64</v>
      </c>
      <c r="C2" s="101" t="s">
        <v>65</v>
      </c>
      <c r="D2" s="101" t="s">
        <v>1</v>
      </c>
      <c r="E2" s="101" t="s">
        <v>288</v>
      </c>
      <c r="F2" s="101" t="s">
        <v>28</v>
      </c>
      <c r="G2" s="101" t="s">
        <v>29</v>
      </c>
      <c r="H2" s="101" t="s">
        <v>66</v>
      </c>
      <c r="I2" s="102" t="s">
        <v>369</v>
      </c>
    </row>
    <row r="3" spans="1:9" ht="15.6" x14ac:dyDescent="0.3">
      <c r="A3" s="103" t="s">
        <v>363</v>
      </c>
      <c r="B3" s="103" t="s">
        <v>31</v>
      </c>
      <c r="C3" s="103" t="s">
        <v>51</v>
      </c>
      <c r="D3" s="103" t="s">
        <v>1</v>
      </c>
      <c r="E3" s="103" t="s">
        <v>365</v>
      </c>
      <c r="F3" s="103" t="s">
        <v>52</v>
      </c>
      <c r="G3" s="103" t="s">
        <v>53</v>
      </c>
      <c r="H3" s="103" t="s">
        <v>54</v>
      </c>
      <c r="I3" s="104" t="s">
        <v>370</v>
      </c>
    </row>
    <row r="4" spans="1:9" ht="15.6" x14ac:dyDescent="0.3">
      <c r="A4" s="103" t="s">
        <v>363</v>
      </c>
      <c r="B4" s="103" t="s">
        <v>26</v>
      </c>
      <c r="C4" s="103" t="s">
        <v>57</v>
      </c>
      <c r="D4" s="103" t="s">
        <v>1</v>
      </c>
      <c r="E4" s="103" t="s">
        <v>359</v>
      </c>
      <c r="F4" s="103" t="s">
        <v>28</v>
      </c>
      <c r="G4" s="103" t="s">
        <v>58</v>
      </c>
      <c r="H4" s="103" t="s">
        <v>59</v>
      </c>
      <c r="I4" s="105" t="s">
        <v>371</v>
      </c>
    </row>
    <row r="5" spans="1:9" ht="15.6" x14ac:dyDescent="0.3">
      <c r="A5" s="103" t="s">
        <v>363</v>
      </c>
      <c r="B5" s="103" t="s">
        <v>40</v>
      </c>
      <c r="C5" s="103" t="s">
        <v>41</v>
      </c>
      <c r="D5" s="103" t="s">
        <v>1</v>
      </c>
      <c r="E5" s="103" t="s">
        <v>361</v>
      </c>
      <c r="F5" s="103" t="s">
        <v>42</v>
      </c>
      <c r="G5" s="103" t="s">
        <v>29</v>
      </c>
      <c r="H5" s="103" t="s">
        <v>63</v>
      </c>
      <c r="I5" s="106" t="s">
        <v>372</v>
      </c>
    </row>
    <row r="6" spans="1:9" ht="15.6" x14ac:dyDescent="0.3">
      <c r="A6" s="103" t="s">
        <v>363</v>
      </c>
      <c r="B6" s="103" t="s">
        <v>40</v>
      </c>
      <c r="C6" s="103" t="s">
        <v>44</v>
      </c>
      <c r="D6" s="103" t="s">
        <v>1</v>
      </c>
      <c r="E6" s="103" t="s">
        <v>362</v>
      </c>
      <c r="F6" s="103" t="s">
        <v>42</v>
      </c>
      <c r="G6" s="103" t="s">
        <v>29</v>
      </c>
      <c r="H6" s="103" t="s">
        <v>43</v>
      </c>
      <c r="I6" s="104" t="s">
        <v>373</v>
      </c>
    </row>
    <row r="7" spans="1:9" ht="15.6" x14ac:dyDescent="0.3">
      <c r="A7" s="103" t="s">
        <v>363</v>
      </c>
      <c r="B7" s="103" t="s">
        <v>71</v>
      </c>
      <c r="C7" s="103" t="s">
        <v>72</v>
      </c>
      <c r="D7" s="103" t="s">
        <v>1</v>
      </c>
      <c r="E7" s="103" t="s">
        <v>364</v>
      </c>
      <c r="F7" s="103" t="s">
        <v>73</v>
      </c>
      <c r="G7" s="103" t="s">
        <v>74</v>
      </c>
      <c r="H7" s="103" t="s">
        <v>75</v>
      </c>
      <c r="I7" s="105" t="s">
        <v>374</v>
      </c>
    </row>
    <row r="8" spans="1:9" ht="15.6" x14ac:dyDescent="0.3">
      <c r="A8" s="103" t="s">
        <v>375</v>
      </c>
      <c r="B8" s="103" t="s">
        <v>82</v>
      </c>
      <c r="C8" s="103" t="s">
        <v>83</v>
      </c>
      <c r="D8" s="103" t="s">
        <v>1</v>
      </c>
      <c r="E8" s="103" t="s">
        <v>376</v>
      </c>
      <c r="F8" s="103" t="s">
        <v>28</v>
      </c>
      <c r="G8" s="103" t="s">
        <v>29</v>
      </c>
      <c r="H8" s="103" t="s">
        <v>84</v>
      </c>
      <c r="I8" s="105" t="s">
        <v>377</v>
      </c>
    </row>
    <row r="9" spans="1:9" ht="15.6" x14ac:dyDescent="0.3">
      <c r="A9" s="101" t="s">
        <v>378</v>
      </c>
      <c r="B9" s="101" t="s">
        <v>64</v>
      </c>
      <c r="C9" s="101" t="s">
        <v>65</v>
      </c>
      <c r="D9" s="101" t="s">
        <v>1</v>
      </c>
      <c r="E9" s="101" t="s">
        <v>298</v>
      </c>
      <c r="F9" s="101" t="s">
        <v>28</v>
      </c>
      <c r="G9" s="101" t="s">
        <v>29</v>
      </c>
      <c r="H9" s="101" t="s">
        <v>66</v>
      </c>
      <c r="I9" s="102" t="s">
        <v>369</v>
      </c>
    </row>
    <row r="10" spans="1:9" ht="15.6" x14ac:dyDescent="0.3">
      <c r="A10" s="103" t="s">
        <v>378</v>
      </c>
      <c r="B10" s="103" t="s">
        <v>31</v>
      </c>
      <c r="C10" s="103" t="s">
        <v>51</v>
      </c>
      <c r="D10" s="103" t="s">
        <v>1</v>
      </c>
      <c r="E10" s="103" t="s">
        <v>379</v>
      </c>
      <c r="F10" s="103" t="s">
        <v>33</v>
      </c>
      <c r="G10" s="103" t="s">
        <v>53</v>
      </c>
      <c r="H10" s="103" t="s">
        <v>54</v>
      </c>
      <c r="I10" s="104" t="s">
        <v>370</v>
      </c>
    </row>
    <row r="11" spans="1:9" ht="15.6" x14ac:dyDescent="0.3">
      <c r="A11" s="103" t="s">
        <v>378</v>
      </c>
      <c r="B11" s="103" t="s">
        <v>82</v>
      </c>
      <c r="C11" s="103" t="s">
        <v>83</v>
      </c>
      <c r="D11" s="103" t="s">
        <v>1</v>
      </c>
      <c r="E11" s="103" t="s">
        <v>380</v>
      </c>
      <c r="F11" s="103" t="s">
        <v>28</v>
      </c>
      <c r="G11" s="103" t="s">
        <v>98</v>
      </c>
      <c r="H11" s="103" t="s">
        <v>84</v>
      </c>
      <c r="I11" s="105" t="s">
        <v>377</v>
      </c>
    </row>
    <row r="12" spans="1:9" ht="15.6" x14ac:dyDescent="0.3">
      <c r="A12" s="103" t="s">
        <v>378</v>
      </c>
      <c r="B12" s="103" t="s">
        <v>26</v>
      </c>
      <c r="C12" s="103" t="s">
        <v>99</v>
      </c>
      <c r="D12" s="103" t="s">
        <v>1</v>
      </c>
      <c r="E12" s="103" t="s">
        <v>381</v>
      </c>
      <c r="F12" s="103" t="s">
        <v>28</v>
      </c>
      <c r="G12" s="103" t="s">
        <v>29</v>
      </c>
      <c r="H12" s="103" t="s">
        <v>59</v>
      </c>
      <c r="I12" s="105" t="s">
        <v>371</v>
      </c>
    </row>
    <row r="13" spans="1:9" ht="15.6" x14ac:dyDescent="0.3">
      <c r="A13" s="103" t="s">
        <v>378</v>
      </c>
      <c r="B13" s="103" t="s">
        <v>26</v>
      </c>
      <c r="C13" s="103" t="s">
        <v>57</v>
      </c>
      <c r="D13" s="103" t="s">
        <v>1</v>
      </c>
      <c r="E13" s="103" t="s">
        <v>359</v>
      </c>
      <c r="F13" s="103" t="s">
        <v>28</v>
      </c>
      <c r="G13" s="103" t="s">
        <v>29</v>
      </c>
      <c r="H13" s="103" t="s">
        <v>59</v>
      </c>
      <c r="I13" s="105" t="s">
        <v>371</v>
      </c>
    </row>
    <row r="14" spans="1:9" ht="15.6" x14ac:dyDescent="0.3">
      <c r="A14" s="103" t="s">
        <v>378</v>
      </c>
      <c r="B14" s="103" t="s">
        <v>31</v>
      </c>
      <c r="C14" s="103" t="s">
        <v>51</v>
      </c>
      <c r="D14" s="103" t="s">
        <v>1</v>
      </c>
      <c r="E14" s="103" t="s">
        <v>379</v>
      </c>
      <c r="F14" s="103" t="s">
        <v>36</v>
      </c>
      <c r="G14" s="103" t="s">
        <v>53</v>
      </c>
      <c r="H14" s="103" t="s">
        <v>95</v>
      </c>
      <c r="I14" s="104" t="s">
        <v>382</v>
      </c>
    </row>
    <row r="15" spans="1:9" ht="15.6" x14ac:dyDescent="0.3">
      <c r="A15" s="103" t="s">
        <v>378</v>
      </c>
      <c r="B15" s="103" t="s">
        <v>31</v>
      </c>
      <c r="C15" s="103" t="s">
        <v>51</v>
      </c>
      <c r="D15" s="103" t="s">
        <v>1</v>
      </c>
      <c r="E15" s="103" t="s">
        <v>379</v>
      </c>
      <c r="F15" s="103" t="s">
        <v>38</v>
      </c>
      <c r="G15" s="103" t="s">
        <v>53</v>
      </c>
      <c r="H15" s="103" t="s">
        <v>96</v>
      </c>
      <c r="I15" s="105" t="s">
        <v>383</v>
      </c>
    </row>
    <row r="16" spans="1:9" ht="15.6" x14ac:dyDescent="0.3">
      <c r="A16" s="103" t="s">
        <v>378</v>
      </c>
      <c r="B16" s="103" t="s">
        <v>31</v>
      </c>
      <c r="C16" s="103" t="s">
        <v>32</v>
      </c>
      <c r="D16" s="103" t="s">
        <v>1</v>
      </c>
      <c r="E16" s="103" t="s">
        <v>384</v>
      </c>
      <c r="F16" s="103" t="s">
        <v>38</v>
      </c>
      <c r="G16" s="103" t="s">
        <v>97</v>
      </c>
      <c r="H16" s="103" t="s">
        <v>39</v>
      </c>
      <c r="I16" s="105" t="s">
        <v>385</v>
      </c>
    </row>
    <row r="17" spans="1:9" ht="15.6" x14ac:dyDescent="0.3">
      <c r="A17" s="103" t="s">
        <v>378</v>
      </c>
      <c r="B17" s="103" t="s">
        <v>46</v>
      </c>
      <c r="C17" s="103" t="s">
        <v>47</v>
      </c>
      <c r="D17" s="103" t="s">
        <v>1</v>
      </c>
      <c r="E17" s="103" t="s">
        <v>364</v>
      </c>
      <c r="F17" s="103" t="s">
        <v>80</v>
      </c>
      <c r="G17" s="103" t="s">
        <v>93</v>
      </c>
      <c r="H17" s="103" t="s">
        <v>90</v>
      </c>
      <c r="I17" s="105" t="s">
        <v>386</v>
      </c>
    </row>
    <row r="18" spans="1:9" ht="15.6" x14ac:dyDescent="0.3">
      <c r="A18" s="103" t="s">
        <v>378</v>
      </c>
      <c r="B18" s="103" t="s">
        <v>71</v>
      </c>
      <c r="C18" s="103" t="s">
        <v>72</v>
      </c>
      <c r="D18" s="103" t="s">
        <v>1</v>
      </c>
      <c r="E18" s="103" t="s">
        <v>364</v>
      </c>
      <c r="F18" s="103" t="s">
        <v>73</v>
      </c>
      <c r="G18" s="103" t="s">
        <v>74</v>
      </c>
      <c r="H18" s="103" t="s">
        <v>75</v>
      </c>
      <c r="I18" s="105" t="s">
        <v>374</v>
      </c>
    </row>
    <row r="19" spans="1:9" ht="15.6" x14ac:dyDescent="0.3">
      <c r="A19" s="101" t="s">
        <v>387</v>
      </c>
      <c r="B19" s="101" t="s">
        <v>64</v>
      </c>
      <c r="C19" s="101" t="s">
        <v>65</v>
      </c>
      <c r="D19" s="101" t="s">
        <v>1</v>
      </c>
      <c r="E19" s="101" t="s">
        <v>305</v>
      </c>
      <c r="F19" s="101" t="s">
        <v>28</v>
      </c>
      <c r="G19" s="101" t="s">
        <v>29</v>
      </c>
      <c r="H19" s="101" t="s">
        <v>110</v>
      </c>
      <c r="I19" s="102" t="s">
        <v>369</v>
      </c>
    </row>
    <row r="20" spans="1:9" ht="15.6" x14ac:dyDescent="0.3">
      <c r="A20" s="103" t="s">
        <v>387</v>
      </c>
      <c r="B20" s="103" t="s">
        <v>46</v>
      </c>
      <c r="C20" s="103" t="s">
        <v>47</v>
      </c>
      <c r="D20" s="103" t="s">
        <v>1</v>
      </c>
      <c r="E20" s="103" t="s">
        <v>364</v>
      </c>
      <c r="F20" s="103" t="s">
        <v>85</v>
      </c>
      <c r="G20" s="103" t="s">
        <v>100</v>
      </c>
      <c r="H20" s="103" t="s">
        <v>50</v>
      </c>
      <c r="I20" s="104" t="s">
        <v>388</v>
      </c>
    </row>
    <row r="21" spans="1:9" ht="15.6" x14ac:dyDescent="0.3">
      <c r="A21" s="103" t="s">
        <v>387</v>
      </c>
      <c r="B21" s="103" t="s">
        <v>31</v>
      </c>
      <c r="C21" s="103" t="s">
        <v>32</v>
      </c>
      <c r="D21" s="103" t="s">
        <v>1</v>
      </c>
      <c r="E21" s="103" t="s">
        <v>384</v>
      </c>
      <c r="F21" s="103" t="s">
        <v>33</v>
      </c>
      <c r="G21" s="103" t="s">
        <v>34</v>
      </c>
      <c r="H21" s="103" t="s">
        <v>59</v>
      </c>
      <c r="I21" s="104" t="s">
        <v>389</v>
      </c>
    </row>
    <row r="22" spans="1:9" ht="15.6" x14ac:dyDescent="0.3">
      <c r="A22" s="103" t="s">
        <v>387</v>
      </c>
      <c r="B22" s="103" t="s">
        <v>26</v>
      </c>
      <c r="C22" s="103" t="s">
        <v>27</v>
      </c>
      <c r="D22" s="103" t="s">
        <v>1</v>
      </c>
      <c r="E22" s="103" t="s">
        <v>359</v>
      </c>
      <c r="F22" s="103" t="s">
        <v>28</v>
      </c>
      <c r="G22" s="103" t="s">
        <v>29</v>
      </c>
      <c r="H22" s="103" t="s">
        <v>59</v>
      </c>
      <c r="I22" s="105" t="s">
        <v>390</v>
      </c>
    </row>
    <row r="23" spans="1:9" ht="15.6" x14ac:dyDescent="0.3">
      <c r="A23" s="103" t="s">
        <v>387</v>
      </c>
      <c r="B23" s="103" t="s">
        <v>31</v>
      </c>
      <c r="C23" s="103" t="s">
        <v>32</v>
      </c>
      <c r="D23" s="103" t="s">
        <v>1</v>
      </c>
      <c r="E23" s="103" t="s">
        <v>384</v>
      </c>
      <c r="F23" s="103" t="s">
        <v>36</v>
      </c>
      <c r="G23" s="103" t="s">
        <v>34</v>
      </c>
      <c r="H23" s="103" t="s">
        <v>35</v>
      </c>
      <c r="I23" s="104" t="s">
        <v>391</v>
      </c>
    </row>
    <row r="24" spans="1:9" ht="15.6" x14ac:dyDescent="0.3">
      <c r="A24" s="103" t="s">
        <v>387</v>
      </c>
      <c r="B24" s="103" t="s">
        <v>46</v>
      </c>
      <c r="C24" s="103" t="s">
        <v>47</v>
      </c>
      <c r="D24" s="103" t="s">
        <v>1</v>
      </c>
      <c r="E24" s="103" t="s">
        <v>364</v>
      </c>
      <c r="F24" s="103" t="s">
        <v>88</v>
      </c>
      <c r="G24" s="103" t="s">
        <v>100</v>
      </c>
      <c r="H24" s="103" t="s">
        <v>94</v>
      </c>
      <c r="I24" s="104" t="s">
        <v>388</v>
      </c>
    </row>
    <row r="25" spans="1:9" ht="15.6" x14ac:dyDescent="0.3">
      <c r="A25" s="103" t="s">
        <v>387</v>
      </c>
      <c r="B25" s="103" t="s">
        <v>40</v>
      </c>
      <c r="C25" s="103" t="s">
        <v>60</v>
      </c>
      <c r="D25" s="103" t="s">
        <v>1</v>
      </c>
      <c r="E25" s="103" t="s">
        <v>366</v>
      </c>
      <c r="F25" s="103" t="s">
        <v>42</v>
      </c>
      <c r="G25" s="103" t="s">
        <v>29</v>
      </c>
      <c r="H25" s="103" t="s">
        <v>107</v>
      </c>
      <c r="I25" s="105" t="s">
        <v>392</v>
      </c>
    </row>
    <row r="26" spans="1:9" ht="15.6" x14ac:dyDescent="0.3">
      <c r="A26" s="103" t="s">
        <v>387</v>
      </c>
      <c r="B26" s="103" t="s">
        <v>40</v>
      </c>
      <c r="C26" s="103" t="s">
        <v>41</v>
      </c>
      <c r="D26" s="103" t="s">
        <v>1</v>
      </c>
      <c r="E26" s="103" t="s">
        <v>361</v>
      </c>
      <c r="F26" s="103" t="s">
        <v>42</v>
      </c>
      <c r="G26" s="103" t="s">
        <v>29</v>
      </c>
      <c r="H26" s="103" t="s">
        <v>108</v>
      </c>
      <c r="I26" s="105" t="s">
        <v>393</v>
      </c>
    </row>
    <row r="27" spans="1:9" ht="15.6" x14ac:dyDescent="0.3">
      <c r="A27" s="103" t="s">
        <v>387</v>
      </c>
      <c r="B27" s="103" t="s">
        <v>31</v>
      </c>
      <c r="C27" s="103" t="s">
        <v>32</v>
      </c>
      <c r="D27" s="103" t="s">
        <v>1</v>
      </c>
      <c r="E27" s="103" t="s">
        <v>384</v>
      </c>
      <c r="F27" s="103" t="s">
        <v>38</v>
      </c>
      <c r="G27" s="103" t="s">
        <v>34</v>
      </c>
      <c r="H27" s="103" t="s">
        <v>106</v>
      </c>
      <c r="I27" s="105" t="s">
        <v>394</v>
      </c>
    </row>
    <row r="28" spans="1:9" ht="15.6" x14ac:dyDescent="0.3">
      <c r="A28" s="103" t="s">
        <v>387</v>
      </c>
      <c r="B28" s="103" t="s">
        <v>46</v>
      </c>
      <c r="C28" s="103" t="s">
        <v>47</v>
      </c>
      <c r="D28" s="103" t="s">
        <v>1</v>
      </c>
      <c r="E28" s="103" t="s">
        <v>364</v>
      </c>
      <c r="F28" s="103" t="s">
        <v>80</v>
      </c>
      <c r="G28" s="103" t="s">
        <v>100</v>
      </c>
      <c r="H28" s="103" t="s">
        <v>90</v>
      </c>
      <c r="I28" s="105" t="s">
        <v>395</v>
      </c>
    </row>
    <row r="29" spans="1:9" ht="15.6" x14ac:dyDescent="0.3">
      <c r="A29" s="103" t="s">
        <v>387</v>
      </c>
      <c r="B29" s="103" t="s">
        <v>71</v>
      </c>
      <c r="C29" s="103" t="s">
        <v>72</v>
      </c>
      <c r="D29" s="103" t="s">
        <v>1</v>
      </c>
      <c r="E29" s="103" t="s">
        <v>364</v>
      </c>
      <c r="F29" s="103" t="s">
        <v>73</v>
      </c>
      <c r="G29" s="103" t="s">
        <v>74</v>
      </c>
      <c r="H29" s="103" t="s">
        <v>113</v>
      </c>
      <c r="I29" s="105" t="s">
        <v>374</v>
      </c>
    </row>
    <row r="30" spans="1:9" ht="15.6" x14ac:dyDescent="0.3">
      <c r="A30" s="101" t="s">
        <v>396</v>
      </c>
      <c r="B30" s="101" t="s">
        <v>64</v>
      </c>
      <c r="C30" s="101" t="s">
        <v>65</v>
      </c>
      <c r="D30" s="101" t="s">
        <v>1</v>
      </c>
      <c r="E30" s="101" t="s">
        <v>298</v>
      </c>
      <c r="F30" s="101" t="s">
        <v>28</v>
      </c>
      <c r="G30" s="101" t="s">
        <v>29</v>
      </c>
      <c r="H30" s="101" t="s">
        <v>66</v>
      </c>
      <c r="I30" s="102" t="s">
        <v>369</v>
      </c>
    </row>
    <row r="31" spans="1:9" ht="15.6" x14ac:dyDescent="0.3">
      <c r="A31" s="103" t="s">
        <v>396</v>
      </c>
      <c r="B31" s="103" t="s">
        <v>31</v>
      </c>
      <c r="C31" s="103" t="s">
        <v>51</v>
      </c>
      <c r="D31" s="103" t="s">
        <v>1</v>
      </c>
      <c r="E31" s="103" t="s">
        <v>379</v>
      </c>
      <c r="F31" s="103" t="s">
        <v>33</v>
      </c>
      <c r="G31" s="103" t="s">
        <v>55</v>
      </c>
      <c r="H31" s="103" t="s">
        <v>54</v>
      </c>
      <c r="I31" s="104" t="s">
        <v>397</v>
      </c>
    </row>
    <row r="32" spans="1:9" ht="15.6" x14ac:dyDescent="0.3">
      <c r="A32" s="103" t="s">
        <v>396</v>
      </c>
      <c r="B32" s="103" t="s">
        <v>76</v>
      </c>
      <c r="C32" s="103" t="s">
        <v>77</v>
      </c>
      <c r="D32" s="103" t="s">
        <v>1</v>
      </c>
      <c r="E32" s="103" t="s">
        <v>398</v>
      </c>
      <c r="F32" s="103" t="s">
        <v>78</v>
      </c>
      <c r="G32" s="103" t="s">
        <v>55</v>
      </c>
      <c r="H32" s="103" t="s">
        <v>117</v>
      </c>
      <c r="I32" s="106" t="s">
        <v>399</v>
      </c>
    </row>
    <row r="33" spans="1:9" ht="15.6" x14ac:dyDescent="0.3">
      <c r="A33" s="103" t="s">
        <v>396</v>
      </c>
      <c r="B33" s="103" t="s">
        <v>26</v>
      </c>
      <c r="C33" s="103" t="s">
        <v>57</v>
      </c>
      <c r="D33" s="103" t="s">
        <v>1</v>
      </c>
      <c r="E33" s="103" t="s">
        <v>400</v>
      </c>
      <c r="F33" s="103" t="s">
        <v>28</v>
      </c>
      <c r="G33" s="103" t="s">
        <v>29</v>
      </c>
      <c r="H33" s="103" t="s">
        <v>59</v>
      </c>
      <c r="I33" s="105" t="s">
        <v>371</v>
      </c>
    </row>
    <row r="34" spans="1:9" ht="15.6" x14ac:dyDescent="0.3">
      <c r="A34" s="103" t="s">
        <v>396</v>
      </c>
      <c r="B34" s="103" t="s">
        <v>31</v>
      </c>
      <c r="C34" s="103" t="s">
        <v>51</v>
      </c>
      <c r="D34" s="103" t="s">
        <v>1</v>
      </c>
      <c r="E34" s="103" t="s">
        <v>379</v>
      </c>
      <c r="F34" s="103" t="s">
        <v>36</v>
      </c>
      <c r="G34" s="103" t="s">
        <v>55</v>
      </c>
      <c r="H34" s="103" t="s">
        <v>95</v>
      </c>
      <c r="I34" s="106" t="s">
        <v>401</v>
      </c>
    </row>
    <row r="35" spans="1:9" ht="15.6" x14ac:dyDescent="0.3">
      <c r="A35" s="103" t="s">
        <v>396</v>
      </c>
      <c r="B35" s="103" t="s">
        <v>76</v>
      </c>
      <c r="C35" s="103" t="s">
        <v>77</v>
      </c>
      <c r="D35" s="103" t="s">
        <v>1</v>
      </c>
      <c r="E35" s="103" t="s">
        <v>398</v>
      </c>
      <c r="F35" s="103" t="s">
        <v>80</v>
      </c>
      <c r="G35" s="103" t="s">
        <v>55</v>
      </c>
      <c r="H35" s="103" t="s">
        <v>118</v>
      </c>
      <c r="I35" s="105" t="s">
        <v>402</v>
      </c>
    </row>
    <row r="36" spans="1:9" ht="15.6" x14ac:dyDescent="0.3">
      <c r="A36" s="103" t="s">
        <v>396</v>
      </c>
      <c r="B36" s="103" t="s">
        <v>31</v>
      </c>
      <c r="C36" s="103" t="s">
        <v>32</v>
      </c>
      <c r="D36" s="103" t="s">
        <v>1</v>
      </c>
      <c r="E36" s="103" t="s">
        <v>384</v>
      </c>
      <c r="F36" s="103" t="s">
        <v>36</v>
      </c>
      <c r="G36" s="103" t="s">
        <v>55</v>
      </c>
      <c r="H36" s="103" t="s">
        <v>35</v>
      </c>
      <c r="I36" s="104" t="s">
        <v>403</v>
      </c>
    </row>
    <row r="37" spans="1:9" ht="15.6" x14ac:dyDescent="0.3">
      <c r="A37" s="103" t="s">
        <v>396</v>
      </c>
      <c r="B37" s="103" t="s">
        <v>31</v>
      </c>
      <c r="C37" s="103" t="s">
        <v>51</v>
      </c>
      <c r="D37" s="103" t="s">
        <v>1</v>
      </c>
      <c r="E37" s="103" t="s">
        <v>379</v>
      </c>
      <c r="F37" s="103" t="s">
        <v>38</v>
      </c>
      <c r="G37" s="103" t="s">
        <v>55</v>
      </c>
      <c r="H37" s="103" t="s">
        <v>96</v>
      </c>
      <c r="I37" s="105" t="s">
        <v>402</v>
      </c>
    </row>
    <row r="38" spans="1:9" ht="15.6" x14ac:dyDescent="0.3">
      <c r="A38" s="103" t="s">
        <v>396</v>
      </c>
      <c r="B38" s="103" t="s">
        <v>31</v>
      </c>
      <c r="C38" s="103" t="s">
        <v>32</v>
      </c>
      <c r="D38" s="103" t="s">
        <v>1</v>
      </c>
      <c r="E38" s="103" t="s">
        <v>384</v>
      </c>
      <c r="F38" s="103" t="s">
        <v>38</v>
      </c>
      <c r="G38" s="103" t="s">
        <v>55</v>
      </c>
      <c r="H38" s="103" t="s">
        <v>106</v>
      </c>
      <c r="I38" s="105" t="s">
        <v>404</v>
      </c>
    </row>
    <row r="39" spans="1:9" ht="15.6" x14ac:dyDescent="0.3">
      <c r="A39" s="103" t="s">
        <v>396</v>
      </c>
      <c r="B39" s="103" t="s">
        <v>46</v>
      </c>
      <c r="C39" s="103" t="s">
        <v>47</v>
      </c>
      <c r="D39" s="103" t="s">
        <v>1</v>
      </c>
      <c r="E39" s="103" t="s">
        <v>364</v>
      </c>
      <c r="F39" s="103" t="s">
        <v>80</v>
      </c>
      <c r="G39" s="103" t="s">
        <v>114</v>
      </c>
      <c r="H39" s="103" t="s">
        <v>90</v>
      </c>
      <c r="I39" s="105" t="s">
        <v>386</v>
      </c>
    </row>
    <row r="40" spans="1:9" ht="15.6" x14ac:dyDescent="0.3">
      <c r="A40" s="103" t="s">
        <v>396</v>
      </c>
      <c r="B40" s="103" t="s">
        <v>71</v>
      </c>
      <c r="C40" s="103" t="s">
        <v>72</v>
      </c>
      <c r="D40" s="103" t="s">
        <v>1</v>
      </c>
      <c r="E40" s="103" t="s">
        <v>364</v>
      </c>
      <c r="F40" s="103" t="s">
        <v>73</v>
      </c>
      <c r="G40" s="103" t="s">
        <v>74</v>
      </c>
      <c r="H40" s="103" t="s">
        <v>120</v>
      </c>
      <c r="I40" s="105" t="s">
        <v>405</v>
      </c>
    </row>
    <row r="41" spans="1:9" ht="15.6" x14ac:dyDescent="0.3">
      <c r="A41" s="103" t="s">
        <v>406</v>
      </c>
      <c r="B41" s="103" t="s">
        <v>31</v>
      </c>
      <c r="C41" s="103" t="s">
        <v>32</v>
      </c>
      <c r="D41" s="103" t="s">
        <v>1</v>
      </c>
      <c r="E41" s="103" t="s">
        <v>384</v>
      </c>
      <c r="F41" s="103" t="s">
        <v>33</v>
      </c>
      <c r="G41" s="103" t="s">
        <v>74</v>
      </c>
      <c r="H41" s="103" t="s">
        <v>54</v>
      </c>
      <c r="I41" s="104" t="s">
        <v>370</v>
      </c>
    </row>
    <row r="42" spans="1:9" ht="15.6" x14ac:dyDescent="0.3">
      <c r="A42" s="103" t="s">
        <v>406</v>
      </c>
      <c r="B42" s="103" t="s">
        <v>82</v>
      </c>
      <c r="C42" s="103" t="s">
        <v>123</v>
      </c>
      <c r="D42" s="103" t="s">
        <v>1</v>
      </c>
      <c r="E42" s="103" t="s">
        <v>407</v>
      </c>
      <c r="F42" s="103" t="s">
        <v>28</v>
      </c>
      <c r="G42" s="103" t="s">
        <v>29</v>
      </c>
      <c r="H42" s="103" t="s">
        <v>84</v>
      </c>
      <c r="I42" s="105" t="s">
        <v>377</v>
      </c>
    </row>
    <row r="43" spans="1:9" ht="15.6" x14ac:dyDescent="0.3">
      <c r="A43" s="103" t="s">
        <v>406</v>
      </c>
      <c r="B43" s="103" t="s">
        <v>31</v>
      </c>
      <c r="C43" s="103" t="s">
        <v>32</v>
      </c>
      <c r="D43" s="103" t="s">
        <v>1</v>
      </c>
      <c r="E43" s="103" t="s">
        <v>384</v>
      </c>
      <c r="F43" s="103" t="s">
        <v>36</v>
      </c>
      <c r="G43" s="103" t="s">
        <v>74</v>
      </c>
      <c r="H43" s="103" t="s">
        <v>95</v>
      </c>
      <c r="I43" s="104" t="s">
        <v>382</v>
      </c>
    </row>
    <row r="44" spans="1:9" ht="15.6" x14ac:dyDescent="0.3">
      <c r="A44" s="103" t="s">
        <v>406</v>
      </c>
      <c r="B44" s="103" t="s">
        <v>31</v>
      </c>
      <c r="C44" s="103" t="s">
        <v>32</v>
      </c>
      <c r="D44" s="103" t="s">
        <v>1</v>
      </c>
      <c r="E44" s="103" t="s">
        <v>384</v>
      </c>
      <c r="F44" s="103" t="s">
        <v>38</v>
      </c>
      <c r="G44" s="103" t="s">
        <v>74</v>
      </c>
      <c r="H44" s="103" t="s">
        <v>96</v>
      </c>
      <c r="I44" s="105" t="s">
        <v>383</v>
      </c>
    </row>
    <row r="45" spans="1:9" ht="15.6" x14ac:dyDescent="0.3">
      <c r="A45" s="103" t="s">
        <v>406</v>
      </c>
      <c r="B45" s="103" t="s">
        <v>71</v>
      </c>
      <c r="C45" s="103" t="s">
        <v>72</v>
      </c>
      <c r="D45" s="103" t="s">
        <v>1</v>
      </c>
      <c r="E45" s="103" t="s">
        <v>364</v>
      </c>
      <c r="F45" s="103" t="s">
        <v>73</v>
      </c>
      <c r="G45" s="103" t="s">
        <v>74</v>
      </c>
      <c r="H45" s="103" t="s">
        <v>75</v>
      </c>
      <c r="I45" s="105" t="s">
        <v>374</v>
      </c>
    </row>
    <row r="46" spans="1:9" ht="15.6" x14ac:dyDescent="0.3">
      <c r="A46" s="103" t="s">
        <v>406</v>
      </c>
      <c r="B46" s="103" t="s">
        <v>46</v>
      </c>
      <c r="C46" s="103" t="s">
        <v>47</v>
      </c>
      <c r="D46" s="103" t="s">
        <v>1</v>
      </c>
      <c r="E46" s="103" t="s">
        <v>364</v>
      </c>
      <c r="F46" s="103" t="s">
        <v>80</v>
      </c>
      <c r="G46" s="103" t="s">
        <v>121</v>
      </c>
      <c r="H46" s="103" t="s">
        <v>122</v>
      </c>
      <c r="I46" s="104" t="s">
        <v>370</v>
      </c>
    </row>
    <row r="47" spans="1:9" ht="15.6" x14ac:dyDescent="0.3">
      <c r="A47" s="101" t="s">
        <v>408</v>
      </c>
      <c r="B47" s="101" t="s">
        <v>64</v>
      </c>
      <c r="C47" s="101" t="s">
        <v>65</v>
      </c>
      <c r="D47" s="101" t="s">
        <v>1</v>
      </c>
      <c r="E47" s="101" t="s">
        <v>288</v>
      </c>
      <c r="F47" s="101" t="s">
        <v>28</v>
      </c>
      <c r="G47" s="101" t="s">
        <v>29</v>
      </c>
      <c r="H47" s="101" t="s">
        <v>66</v>
      </c>
      <c r="I47" s="102" t="s">
        <v>369</v>
      </c>
    </row>
    <row r="48" spans="1:9" ht="15.6" x14ac:dyDescent="0.3">
      <c r="A48" s="103" t="s">
        <v>408</v>
      </c>
      <c r="B48" s="103" t="s">
        <v>31</v>
      </c>
      <c r="C48" s="103" t="s">
        <v>32</v>
      </c>
      <c r="D48" s="103" t="s">
        <v>1</v>
      </c>
      <c r="E48" s="103" t="s">
        <v>384</v>
      </c>
      <c r="F48" s="103" t="s">
        <v>52</v>
      </c>
      <c r="G48" s="103" t="s">
        <v>55</v>
      </c>
      <c r="H48" s="103" t="s">
        <v>54</v>
      </c>
      <c r="I48" s="104" t="s">
        <v>370</v>
      </c>
    </row>
    <row r="49" spans="1:9" ht="15.6" x14ac:dyDescent="0.3">
      <c r="A49" s="103" t="s">
        <v>408</v>
      </c>
      <c r="B49" s="103" t="s">
        <v>31</v>
      </c>
      <c r="C49" s="103" t="s">
        <v>51</v>
      </c>
      <c r="D49" s="103" t="s">
        <v>1</v>
      </c>
      <c r="E49" s="103" t="s">
        <v>379</v>
      </c>
      <c r="F49" s="103" t="s">
        <v>52</v>
      </c>
      <c r="G49" s="103" t="s">
        <v>55</v>
      </c>
      <c r="H49" s="103" t="s">
        <v>54</v>
      </c>
      <c r="I49" s="104" t="s">
        <v>370</v>
      </c>
    </row>
    <row r="50" spans="1:9" ht="15.6" x14ac:dyDescent="0.3">
      <c r="A50" s="103" t="s">
        <v>408</v>
      </c>
      <c r="B50" s="103" t="s">
        <v>26</v>
      </c>
      <c r="C50" s="103" t="s">
        <v>57</v>
      </c>
      <c r="D50" s="103" t="s">
        <v>1</v>
      </c>
      <c r="E50" s="103" t="s">
        <v>359</v>
      </c>
      <c r="F50" s="103" t="s">
        <v>28</v>
      </c>
      <c r="G50" s="103" t="s">
        <v>29</v>
      </c>
      <c r="H50" s="103" t="s">
        <v>59</v>
      </c>
      <c r="I50" s="105" t="s">
        <v>371</v>
      </c>
    </row>
    <row r="51" spans="1:9" ht="15.6" x14ac:dyDescent="0.3">
      <c r="A51" s="103" t="s">
        <v>408</v>
      </c>
      <c r="B51" s="103" t="s">
        <v>40</v>
      </c>
      <c r="C51" s="103" t="s">
        <v>44</v>
      </c>
      <c r="D51" s="103" t="s">
        <v>1</v>
      </c>
      <c r="E51" s="103" t="s">
        <v>362</v>
      </c>
      <c r="F51" s="103" t="s">
        <v>42</v>
      </c>
      <c r="G51" s="103" t="s">
        <v>29</v>
      </c>
      <c r="H51" s="103" t="s">
        <v>43</v>
      </c>
      <c r="I51" s="104" t="s">
        <v>373</v>
      </c>
    </row>
    <row r="52" spans="1:9" ht="15.6" x14ac:dyDescent="0.3">
      <c r="A52" s="103" t="s">
        <v>408</v>
      </c>
      <c r="B52" s="103" t="s">
        <v>71</v>
      </c>
      <c r="C52" s="103" t="s">
        <v>72</v>
      </c>
      <c r="D52" s="103" t="s">
        <v>1</v>
      </c>
      <c r="E52" s="103" t="s">
        <v>364</v>
      </c>
      <c r="F52" s="103" t="s">
        <v>73</v>
      </c>
      <c r="G52" s="103" t="s">
        <v>74</v>
      </c>
      <c r="H52" s="103" t="s">
        <v>120</v>
      </c>
      <c r="I52" s="105" t="s">
        <v>405</v>
      </c>
    </row>
    <row r="53" spans="1:9" ht="15.6" x14ac:dyDescent="0.3">
      <c r="A53" s="103" t="s">
        <v>409</v>
      </c>
      <c r="B53" s="103" t="s">
        <v>82</v>
      </c>
      <c r="C53" s="103" t="s">
        <v>83</v>
      </c>
      <c r="D53" s="103" t="s">
        <v>1</v>
      </c>
      <c r="E53" s="103" t="s">
        <v>376</v>
      </c>
      <c r="F53" s="103" t="s">
        <v>28</v>
      </c>
      <c r="G53" s="103" t="s">
        <v>29</v>
      </c>
      <c r="H53" s="103" t="s">
        <v>84</v>
      </c>
      <c r="I53" s="105" t="s">
        <v>377</v>
      </c>
    </row>
    <row r="54" spans="1:9" ht="15.6" x14ac:dyDescent="0.3">
      <c r="A54" s="101" t="s">
        <v>410</v>
      </c>
      <c r="B54" s="101" t="s">
        <v>64</v>
      </c>
      <c r="C54" s="101" t="s">
        <v>65</v>
      </c>
      <c r="D54" s="101" t="s">
        <v>1</v>
      </c>
      <c r="E54" s="101" t="s">
        <v>298</v>
      </c>
      <c r="F54" s="101" t="s">
        <v>28</v>
      </c>
      <c r="G54" s="101" t="s">
        <v>29</v>
      </c>
      <c r="H54" s="101" t="s">
        <v>110</v>
      </c>
      <c r="I54" s="102" t="s">
        <v>369</v>
      </c>
    </row>
    <row r="55" spans="1:9" ht="15.6" x14ac:dyDescent="0.3">
      <c r="A55" s="103" t="s">
        <v>410</v>
      </c>
      <c r="B55" s="103" t="s">
        <v>31</v>
      </c>
      <c r="C55" s="103" t="s">
        <v>51</v>
      </c>
      <c r="D55" s="103" t="s">
        <v>1</v>
      </c>
      <c r="E55" s="103" t="s">
        <v>379</v>
      </c>
      <c r="F55" s="103" t="s">
        <v>33</v>
      </c>
      <c r="G55" s="103" t="s">
        <v>53</v>
      </c>
      <c r="H55" s="103" t="s">
        <v>87</v>
      </c>
      <c r="I55" s="104" t="s">
        <v>411</v>
      </c>
    </row>
    <row r="56" spans="1:9" ht="15.6" x14ac:dyDescent="0.3">
      <c r="A56" s="103" t="s">
        <v>410</v>
      </c>
      <c r="B56" s="103" t="s">
        <v>82</v>
      </c>
      <c r="C56" s="103" t="s">
        <v>83</v>
      </c>
      <c r="D56" s="103" t="s">
        <v>1</v>
      </c>
      <c r="E56" s="103" t="s">
        <v>380</v>
      </c>
      <c r="F56" s="103" t="s">
        <v>28</v>
      </c>
      <c r="G56" s="103" t="s">
        <v>98</v>
      </c>
      <c r="H56" s="103" t="s">
        <v>143</v>
      </c>
      <c r="I56" s="105" t="s">
        <v>377</v>
      </c>
    </row>
    <row r="57" spans="1:9" ht="15.6" x14ac:dyDescent="0.3">
      <c r="A57" s="103" t="s">
        <v>410</v>
      </c>
      <c r="B57" s="103" t="s">
        <v>26</v>
      </c>
      <c r="C57" s="103" t="s">
        <v>57</v>
      </c>
      <c r="D57" s="103" t="s">
        <v>1</v>
      </c>
      <c r="E57" s="103" t="s">
        <v>359</v>
      </c>
      <c r="F57" s="103" t="s">
        <v>28</v>
      </c>
      <c r="G57" s="103" t="s">
        <v>29</v>
      </c>
      <c r="H57" s="103" t="s">
        <v>30</v>
      </c>
      <c r="I57" s="105" t="s">
        <v>371</v>
      </c>
    </row>
    <row r="58" spans="1:9" ht="15.6" x14ac:dyDescent="0.3">
      <c r="A58" s="103" t="s">
        <v>410</v>
      </c>
      <c r="B58" s="103" t="s">
        <v>31</v>
      </c>
      <c r="C58" s="103" t="s">
        <v>51</v>
      </c>
      <c r="D58" s="103" t="s">
        <v>1</v>
      </c>
      <c r="E58" s="103" t="s">
        <v>379</v>
      </c>
      <c r="F58" s="103" t="s">
        <v>36</v>
      </c>
      <c r="G58" s="103" t="s">
        <v>53</v>
      </c>
      <c r="H58" s="103" t="s">
        <v>137</v>
      </c>
      <c r="I58" s="104" t="s">
        <v>397</v>
      </c>
    </row>
    <row r="59" spans="1:9" ht="15.6" x14ac:dyDescent="0.3">
      <c r="A59" s="103" t="s">
        <v>410</v>
      </c>
      <c r="B59" s="103" t="s">
        <v>31</v>
      </c>
      <c r="C59" s="103" t="s">
        <v>32</v>
      </c>
      <c r="D59" s="103" t="s">
        <v>1</v>
      </c>
      <c r="E59" s="103" t="s">
        <v>384</v>
      </c>
      <c r="F59" s="103" t="s">
        <v>36</v>
      </c>
      <c r="G59" s="103" t="s">
        <v>100</v>
      </c>
      <c r="H59" s="103" t="s">
        <v>140</v>
      </c>
      <c r="I59" s="104" t="s">
        <v>389</v>
      </c>
    </row>
    <row r="60" spans="1:9" ht="15.6" x14ac:dyDescent="0.3">
      <c r="A60" s="103" t="s">
        <v>410</v>
      </c>
      <c r="B60" s="103" t="s">
        <v>31</v>
      </c>
      <c r="C60" s="103" t="s">
        <v>51</v>
      </c>
      <c r="D60" s="103" t="s">
        <v>1</v>
      </c>
      <c r="E60" s="103" t="s">
        <v>379</v>
      </c>
      <c r="F60" s="103" t="s">
        <v>38</v>
      </c>
      <c r="G60" s="103" t="s">
        <v>53</v>
      </c>
      <c r="H60" s="103" t="s">
        <v>138</v>
      </c>
      <c r="I60" s="105" t="s">
        <v>412</v>
      </c>
    </row>
    <row r="61" spans="1:9" ht="15.6" x14ac:dyDescent="0.3">
      <c r="A61" s="103" t="s">
        <v>410</v>
      </c>
      <c r="B61" s="103" t="s">
        <v>40</v>
      </c>
      <c r="C61" s="103" t="s">
        <v>44</v>
      </c>
      <c r="D61" s="103" t="s">
        <v>1</v>
      </c>
      <c r="E61" s="103" t="s">
        <v>362</v>
      </c>
      <c r="F61" s="103" t="s">
        <v>42</v>
      </c>
      <c r="G61" s="103" t="s">
        <v>29</v>
      </c>
      <c r="H61" s="103" t="s">
        <v>142</v>
      </c>
      <c r="I61" s="105" t="s">
        <v>413</v>
      </c>
    </row>
    <row r="62" spans="1:9" ht="15.6" x14ac:dyDescent="0.3">
      <c r="A62" s="103" t="s">
        <v>410</v>
      </c>
      <c r="B62" s="103" t="s">
        <v>31</v>
      </c>
      <c r="C62" s="103" t="s">
        <v>32</v>
      </c>
      <c r="D62" s="103" t="s">
        <v>1</v>
      </c>
      <c r="E62" s="103" t="s">
        <v>384</v>
      </c>
      <c r="F62" s="103" t="s">
        <v>38</v>
      </c>
      <c r="G62" s="103" t="s">
        <v>100</v>
      </c>
      <c r="H62" s="103" t="s">
        <v>141</v>
      </c>
      <c r="I62" s="105" t="s">
        <v>414</v>
      </c>
    </row>
    <row r="63" spans="1:9" ht="15.6" x14ac:dyDescent="0.3">
      <c r="A63" s="103" t="s">
        <v>410</v>
      </c>
      <c r="B63" s="103" t="s">
        <v>40</v>
      </c>
      <c r="C63" s="103" t="s">
        <v>41</v>
      </c>
      <c r="D63" s="103" t="s">
        <v>1</v>
      </c>
      <c r="E63" s="103" t="s">
        <v>361</v>
      </c>
      <c r="F63" s="103" t="s">
        <v>42</v>
      </c>
      <c r="G63" s="103" t="s">
        <v>29</v>
      </c>
      <c r="H63" s="103" t="s">
        <v>91</v>
      </c>
      <c r="I63" s="104" t="s">
        <v>373</v>
      </c>
    </row>
    <row r="64" spans="1:9" ht="15.6" x14ac:dyDescent="0.3">
      <c r="A64" s="103" t="s">
        <v>410</v>
      </c>
      <c r="B64" s="103" t="s">
        <v>46</v>
      </c>
      <c r="C64" s="103" t="s">
        <v>47</v>
      </c>
      <c r="D64" s="103" t="s">
        <v>1</v>
      </c>
      <c r="E64" s="103" t="s">
        <v>364</v>
      </c>
      <c r="F64" s="103" t="s">
        <v>80</v>
      </c>
      <c r="G64" s="103" t="s">
        <v>134</v>
      </c>
      <c r="H64" s="103" t="s">
        <v>90</v>
      </c>
      <c r="I64" s="105" t="s">
        <v>395</v>
      </c>
    </row>
    <row r="65" spans="1:9" ht="15.6" x14ac:dyDescent="0.3">
      <c r="A65" s="103" t="s">
        <v>410</v>
      </c>
      <c r="B65" s="103" t="s">
        <v>71</v>
      </c>
      <c r="C65" s="103" t="s">
        <v>72</v>
      </c>
      <c r="D65" s="103" t="s">
        <v>1</v>
      </c>
      <c r="E65" s="103" t="s">
        <v>364</v>
      </c>
      <c r="F65" s="103" t="s">
        <v>73</v>
      </c>
      <c r="G65" s="103" t="s">
        <v>74</v>
      </c>
      <c r="H65" s="103" t="s">
        <v>113</v>
      </c>
      <c r="I65" s="105" t="s">
        <v>374</v>
      </c>
    </row>
    <row r="66" spans="1:9" ht="15.6" x14ac:dyDescent="0.3">
      <c r="A66" s="101" t="s">
        <v>415</v>
      </c>
      <c r="B66" s="101" t="s">
        <v>64</v>
      </c>
      <c r="C66" s="101" t="s">
        <v>65</v>
      </c>
      <c r="D66" s="101" t="s">
        <v>1</v>
      </c>
      <c r="E66" s="101" t="s">
        <v>305</v>
      </c>
      <c r="F66" s="101" t="s">
        <v>28</v>
      </c>
      <c r="G66" s="101" t="s">
        <v>102</v>
      </c>
      <c r="H66" s="101" t="s">
        <v>66</v>
      </c>
      <c r="I66" s="102" t="s">
        <v>369</v>
      </c>
    </row>
    <row r="67" spans="1:9" ht="15.6" x14ac:dyDescent="0.3">
      <c r="A67" s="103" t="s">
        <v>415</v>
      </c>
      <c r="B67" s="103" t="s">
        <v>31</v>
      </c>
      <c r="C67" s="103" t="s">
        <v>32</v>
      </c>
      <c r="D67" s="103" t="s">
        <v>1</v>
      </c>
      <c r="E67" s="103" t="s">
        <v>384</v>
      </c>
      <c r="F67" s="103" t="s">
        <v>33</v>
      </c>
      <c r="G67" s="103" t="s">
        <v>102</v>
      </c>
      <c r="H67" s="103" t="s">
        <v>54</v>
      </c>
      <c r="I67" s="104" t="s">
        <v>370</v>
      </c>
    </row>
    <row r="68" spans="1:9" ht="15.6" x14ac:dyDescent="0.3">
      <c r="A68" s="103" t="s">
        <v>415</v>
      </c>
      <c r="B68" s="103" t="s">
        <v>26</v>
      </c>
      <c r="C68" s="103" t="s">
        <v>27</v>
      </c>
      <c r="D68" s="103" t="s">
        <v>1</v>
      </c>
      <c r="E68" s="103" t="s">
        <v>359</v>
      </c>
      <c r="F68" s="103" t="s">
        <v>28</v>
      </c>
      <c r="G68" s="103" t="s">
        <v>29</v>
      </c>
      <c r="H68" s="103" t="s">
        <v>30</v>
      </c>
      <c r="I68" s="105" t="s">
        <v>392</v>
      </c>
    </row>
    <row r="69" spans="1:9" ht="15.6" x14ac:dyDescent="0.3">
      <c r="A69" s="103" t="s">
        <v>415</v>
      </c>
      <c r="B69" s="103" t="s">
        <v>31</v>
      </c>
      <c r="C69" s="103" t="s">
        <v>32</v>
      </c>
      <c r="D69" s="103" t="s">
        <v>1</v>
      </c>
      <c r="E69" s="103" t="s">
        <v>384</v>
      </c>
      <c r="F69" s="103" t="s">
        <v>36</v>
      </c>
      <c r="G69" s="103" t="s">
        <v>102</v>
      </c>
      <c r="H69" s="103" t="s">
        <v>95</v>
      </c>
      <c r="I69" s="104" t="s">
        <v>382</v>
      </c>
    </row>
    <row r="70" spans="1:9" ht="15.6" x14ac:dyDescent="0.3">
      <c r="A70" s="103" t="s">
        <v>415</v>
      </c>
      <c r="B70" s="103" t="s">
        <v>31</v>
      </c>
      <c r="C70" s="103" t="s">
        <v>32</v>
      </c>
      <c r="D70" s="103" t="s">
        <v>1</v>
      </c>
      <c r="E70" s="103" t="s">
        <v>384</v>
      </c>
      <c r="F70" s="103" t="s">
        <v>38</v>
      </c>
      <c r="G70" s="103" t="s">
        <v>102</v>
      </c>
      <c r="H70" s="103" t="s">
        <v>96</v>
      </c>
      <c r="I70" s="105" t="s">
        <v>383</v>
      </c>
    </row>
    <row r="71" spans="1:9" ht="15.6" x14ac:dyDescent="0.3">
      <c r="A71" s="103" t="s">
        <v>415</v>
      </c>
      <c r="B71" s="103" t="s">
        <v>71</v>
      </c>
      <c r="C71" s="103" t="s">
        <v>72</v>
      </c>
      <c r="D71" s="103" t="s">
        <v>1</v>
      </c>
      <c r="E71" s="103" t="s">
        <v>364</v>
      </c>
      <c r="F71" s="103" t="s">
        <v>73</v>
      </c>
      <c r="G71" s="103" t="s">
        <v>74</v>
      </c>
      <c r="H71" s="103" t="s">
        <v>120</v>
      </c>
      <c r="I71" s="105" t="s">
        <v>405</v>
      </c>
    </row>
    <row r="72" spans="1:9" ht="15.6" x14ac:dyDescent="0.3">
      <c r="A72" s="103" t="s">
        <v>415</v>
      </c>
      <c r="B72" s="103" t="s">
        <v>46</v>
      </c>
      <c r="C72" s="103" t="s">
        <v>47</v>
      </c>
      <c r="D72" s="103" t="s">
        <v>1</v>
      </c>
      <c r="E72" s="103" t="s">
        <v>364</v>
      </c>
      <c r="F72" s="103" t="s">
        <v>80</v>
      </c>
      <c r="G72" s="103" t="s">
        <v>145</v>
      </c>
      <c r="H72" s="103" t="s">
        <v>122</v>
      </c>
      <c r="I72" s="104" t="s">
        <v>370</v>
      </c>
    </row>
    <row r="73" spans="1:9" ht="15.6" x14ac:dyDescent="0.3">
      <c r="A73" s="101" t="s">
        <v>416</v>
      </c>
      <c r="B73" s="101" t="s">
        <v>64</v>
      </c>
      <c r="C73" s="101" t="s">
        <v>65</v>
      </c>
      <c r="D73" s="101" t="s">
        <v>1</v>
      </c>
      <c r="E73" s="101" t="s">
        <v>298</v>
      </c>
      <c r="F73" s="101" t="s">
        <v>28</v>
      </c>
      <c r="G73" s="101" t="s">
        <v>29</v>
      </c>
      <c r="H73" s="101" t="s">
        <v>66</v>
      </c>
      <c r="I73" s="102" t="s">
        <v>369</v>
      </c>
    </row>
    <row r="74" spans="1:9" ht="15.6" x14ac:dyDescent="0.3">
      <c r="A74" s="103" t="s">
        <v>416</v>
      </c>
      <c r="B74" s="103" t="s">
        <v>31</v>
      </c>
      <c r="C74" s="103" t="s">
        <v>51</v>
      </c>
      <c r="D74" s="103" t="s">
        <v>1</v>
      </c>
      <c r="E74" s="103" t="s">
        <v>379</v>
      </c>
      <c r="F74" s="103" t="s">
        <v>33</v>
      </c>
      <c r="G74" s="103" t="s">
        <v>55</v>
      </c>
      <c r="H74" s="103" t="s">
        <v>54</v>
      </c>
      <c r="I74" s="104" t="s">
        <v>370</v>
      </c>
    </row>
    <row r="75" spans="1:9" ht="15.6" x14ac:dyDescent="0.3">
      <c r="A75" s="103" t="s">
        <v>416</v>
      </c>
      <c r="B75" s="103" t="s">
        <v>76</v>
      </c>
      <c r="C75" s="103" t="s">
        <v>77</v>
      </c>
      <c r="D75" s="103" t="s">
        <v>1</v>
      </c>
      <c r="E75" s="103" t="s">
        <v>398</v>
      </c>
      <c r="F75" s="103" t="s">
        <v>78</v>
      </c>
      <c r="G75" s="103" t="s">
        <v>55</v>
      </c>
      <c r="H75" s="103" t="s">
        <v>117</v>
      </c>
      <c r="I75" s="106" t="s">
        <v>399</v>
      </c>
    </row>
    <row r="76" spans="1:9" ht="15.6" x14ac:dyDescent="0.3">
      <c r="A76" s="103" t="s">
        <v>416</v>
      </c>
      <c r="B76" s="103" t="s">
        <v>26</v>
      </c>
      <c r="C76" s="103" t="s">
        <v>57</v>
      </c>
      <c r="D76" s="103" t="s">
        <v>1</v>
      </c>
      <c r="E76" s="103" t="s">
        <v>400</v>
      </c>
      <c r="F76" s="103" t="s">
        <v>28</v>
      </c>
      <c r="G76" s="103" t="s">
        <v>29</v>
      </c>
      <c r="H76" s="103" t="s">
        <v>59</v>
      </c>
      <c r="I76" s="105" t="s">
        <v>371</v>
      </c>
    </row>
    <row r="77" spans="1:9" ht="15.6" x14ac:dyDescent="0.3">
      <c r="A77" s="103" t="s">
        <v>416</v>
      </c>
      <c r="B77" s="103" t="s">
        <v>31</v>
      </c>
      <c r="C77" s="103" t="s">
        <v>51</v>
      </c>
      <c r="D77" s="103" t="s">
        <v>1</v>
      </c>
      <c r="E77" s="103" t="s">
        <v>379</v>
      </c>
      <c r="F77" s="103" t="s">
        <v>36</v>
      </c>
      <c r="G77" s="103" t="s">
        <v>55</v>
      </c>
      <c r="H77" s="103" t="s">
        <v>95</v>
      </c>
      <c r="I77" s="104" t="s">
        <v>382</v>
      </c>
    </row>
    <row r="78" spans="1:9" ht="15.6" x14ac:dyDescent="0.3">
      <c r="A78" s="103" t="s">
        <v>416</v>
      </c>
      <c r="B78" s="103" t="s">
        <v>76</v>
      </c>
      <c r="C78" s="103" t="s">
        <v>77</v>
      </c>
      <c r="D78" s="103" t="s">
        <v>1</v>
      </c>
      <c r="E78" s="103" t="s">
        <v>398</v>
      </c>
      <c r="F78" s="103" t="s">
        <v>80</v>
      </c>
      <c r="G78" s="103" t="s">
        <v>55</v>
      </c>
      <c r="H78" s="103" t="s">
        <v>118</v>
      </c>
      <c r="I78" s="105" t="s">
        <v>402</v>
      </c>
    </row>
    <row r="79" spans="1:9" ht="15.6" x14ac:dyDescent="0.3">
      <c r="A79" s="103" t="s">
        <v>416</v>
      </c>
      <c r="B79" s="103" t="s">
        <v>31</v>
      </c>
      <c r="C79" s="103" t="s">
        <v>32</v>
      </c>
      <c r="D79" s="103" t="s">
        <v>1</v>
      </c>
      <c r="E79" s="103" t="s">
        <v>384</v>
      </c>
      <c r="F79" s="103" t="s">
        <v>36</v>
      </c>
      <c r="G79" s="103" t="s">
        <v>55</v>
      </c>
      <c r="H79" s="103" t="s">
        <v>35</v>
      </c>
      <c r="I79" s="104" t="s">
        <v>403</v>
      </c>
    </row>
    <row r="80" spans="1:9" ht="15.6" x14ac:dyDescent="0.3">
      <c r="A80" s="103" t="s">
        <v>416</v>
      </c>
      <c r="B80" s="103" t="s">
        <v>31</v>
      </c>
      <c r="C80" s="103" t="s">
        <v>51</v>
      </c>
      <c r="D80" s="103" t="s">
        <v>1</v>
      </c>
      <c r="E80" s="103" t="s">
        <v>379</v>
      </c>
      <c r="F80" s="103" t="s">
        <v>38</v>
      </c>
      <c r="G80" s="103" t="s">
        <v>55</v>
      </c>
      <c r="H80" s="103" t="s">
        <v>96</v>
      </c>
      <c r="I80" s="105" t="s">
        <v>383</v>
      </c>
    </row>
    <row r="81" spans="1:9" ht="15.6" x14ac:dyDescent="0.3">
      <c r="A81" s="103" t="s">
        <v>416</v>
      </c>
      <c r="B81" s="103" t="s">
        <v>31</v>
      </c>
      <c r="C81" s="103" t="s">
        <v>32</v>
      </c>
      <c r="D81" s="103" t="s">
        <v>1</v>
      </c>
      <c r="E81" s="103" t="s">
        <v>384</v>
      </c>
      <c r="F81" s="103" t="s">
        <v>38</v>
      </c>
      <c r="G81" s="103" t="s">
        <v>55</v>
      </c>
      <c r="H81" s="103" t="s">
        <v>106</v>
      </c>
      <c r="I81" s="105" t="s">
        <v>404</v>
      </c>
    </row>
    <row r="82" spans="1:9" ht="15.6" x14ac:dyDescent="0.3">
      <c r="A82" s="103" t="s">
        <v>416</v>
      </c>
      <c r="B82" s="103" t="s">
        <v>46</v>
      </c>
      <c r="C82" s="103" t="s">
        <v>47</v>
      </c>
      <c r="D82" s="103" t="s">
        <v>1</v>
      </c>
      <c r="E82" s="103" t="s">
        <v>364</v>
      </c>
      <c r="F82" s="103" t="s">
        <v>80</v>
      </c>
      <c r="G82" s="103" t="s">
        <v>150</v>
      </c>
      <c r="H82" s="103" t="s">
        <v>90</v>
      </c>
      <c r="I82" s="105" t="s">
        <v>386</v>
      </c>
    </row>
    <row r="83" spans="1:9" ht="15.6" x14ac:dyDescent="0.3">
      <c r="A83" s="103" t="s">
        <v>416</v>
      </c>
      <c r="B83" s="103" t="s">
        <v>71</v>
      </c>
      <c r="C83" s="103" t="s">
        <v>72</v>
      </c>
      <c r="D83" s="103" t="s">
        <v>1</v>
      </c>
      <c r="E83" s="103" t="s">
        <v>364</v>
      </c>
      <c r="F83" s="103" t="s">
        <v>73</v>
      </c>
      <c r="G83" s="103" t="s">
        <v>74</v>
      </c>
      <c r="H83" s="103" t="s">
        <v>120</v>
      </c>
      <c r="I83" s="105" t="s">
        <v>405</v>
      </c>
    </row>
    <row r="84" spans="1:9" ht="15.6" x14ac:dyDescent="0.3">
      <c r="A84" s="103" t="s">
        <v>417</v>
      </c>
      <c r="B84" s="103" t="s">
        <v>31</v>
      </c>
      <c r="C84" s="103" t="s">
        <v>32</v>
      </c>
      <c r="D84" s="103" t="s">
        <v>1</v>
      </c>
      <c r="E84" s="103" t="s">
        <v>418</v>
      </c>
      <c r="F84" s="103" t="s">
        <v>33</v>
      </c>
      <c r="G84" s="103" t="s">
        <v>58</v>
      </c>
      <c r="H84" s="103" t="s">
        <v>54</v>
      </c>
      <c r="I84" s="104" t="s">
        <v>370</v>
      </c>
    </row>
    <row r="85" spans="1:9" ht="15.6" x14ac:dyDescent="0.3">
      <c r="A85" s="103" t="s">
        <v>417</v>
      </c>
      <c r="B85" s="103" t="s">
        <v>82</v>
      </c>
      <c r="C85" s="103" t="s">
        <v>123</v>
      </c>
      <c r="D85" s="103" t="s">
        <v>1</v>
      </c>
      <c r="E85" s="103" t="s">
        <v>407</v>
      </c>
      <c r="F85" s="103" t="s">
        <v>28</v>
      </c>
      <c r="G85" s="103" t="s">
        <v>98</v>
      </c>
      <c r="H85" s="103" t="s">
        <v>143</v>
      </c>
      <c r="I85" s="105" t="s">
        <v>419</v>
      </c>
    </row>
    <row r="86" spans="1:9" ht="15.6" x14ac:dyDescent="0.3">
      <c r="A86" s="103" t="s">
        <v>417</v>
      </c>
      <c r="B86" s="103" t="s">
        <v>31</v>
      </c>
      <c r="C86" s="103" t="s">
        <v>32</v>
      </c>
      <c r="D86" s="103" t="s">
        <v>1</v>
      </c>
      <c r="E86" s="103" t="s">
        <v>418</v>
      </c>
      <c r="F86" s="103" t="s">
        <v>36</v>
      </c>
      <c r="G86" s="103" t="s">
        <v>58</v>
      </c>
      <c r="H86" s="103" t="s">
        <v>95</v>
      </c>
      <c r="I86" s="104" t="s">
        <v>382</v>
      </c>
    </row>
    <row r="87" spans="1:9" ht="15.6" x14ac:dyDescent="0.3">
      <c r="A87" s="103" t="s">
        <v>417</v>
      </c>
      <c r="B87" s="103" t="s">
        <v>31</v>
      </c>
      <c r="C87" s="103" t="s">
        <v>32</v>
      </c>
      <c r="D87" s="103" t="s">
        <v>1</v>
      </c>
      <c r="E87" s="103" t="s">
        <v>418</v>
      </c>
      <c r="F87" s="103" t="s">
        <v>38</v>
      </c>
      <c r="G87" s="103" t="s">
        <v>58</v>
      </c>
      <c r="H87" s="103" t="s">
        <v>96</v>
      </c>
      <c r="I87" s="105" t="s">
        <v>383</v>
      </c>
    </row>
    <row r="88" spans="1:9" ht="15.6" x14ac:dyDescent="0.3">
      <c r="A88" s="103" t="s">
        <v>417</v>
      </c>
      <c r="B88" s="103" t="s">
        <v>46</v>
      </c>
      <c r="C88" s="103" t="s">
        <v>47</v>
      </c>
      <c r="D88" s="103" t="s">
        <v>1</v>
      </c>
      <c r="E88" s="103" t="s">
        <v>364</v>
      </c>
      <c r="F88" s="103" t="s">
        <v>80</v>
      </c>
      <c r="G88" s="103" t="s">
        <v>125</v>
      </c>
      <c r="H88" s="103" t="s">
        <v>90</v>
      </c>
      <c r="I88" s="105" t="s">
        <v>386</v>
      </c>
    </row>
    <row r="89" spans="1:9" ht="15.6" x14ac:dyDescent="0.3">
      <c r="A89" s="103" t="s">
        <v>417</v>
      </c>
      <c r="B89" s="103" t="s">
        <v>71</v>
      </c>
      <c r="C89" s="103" t="s">
        <v>72</v>
      </c>
      <c r="D89" s="103" t="s">
        <v>1</v>
      </c>
      <c r="E89" s="103" t="s">
        <v>364</v>
      </c>
      <c r="F89" s="103" t="s">
        <v>73</v>
      </c>
      <c r="G89" s="103" t="s">
        <v>74</v>
      </c>
      <c r="H89" s="103" t="s">
        <v>120</v>
      </c>
      <c r="I89" s="105" t="s">
        <v>405</v>
      </c>
    </row>
    <row r="90" spans="1:9" ht="15.6" x14ac:dyDescent="0.3">
      <c r="A90" s="101" t="s">
        <v>420</v>
      </c>
      <c r="B90" s="101" t="s">
        <v>64</v>
      </c>
      <c r="C90" s="101" t="s">
        <v>65</v>
      </c>
      <c r="D90" s="101" t="s">
        <v>1</v>
      </c>
      <c r="E90" s="101" t="s">
        <v>288</v>
      </c>
      <c r="F90" s="101" t="s">
        <v>28</v>
      </c>
      <c r="G90" s="101" t="s">
        <v>29</v>
      </c>
      <c r="H90" s="101" t="s">
        <v>66</v>
      </c>
      <c r="I90" s="102" t="s">
        <v>369</v>
      </c>
    </row>
    <row r="91" spans="1:9" ht="15.6" x14ac:dyDescent="0.3">
      <c r="A91" s="103" t="s">
        <v>420</v>
      </c>
      <c r="B91" s="103" t="s">
        <v>31</v>
      </c>
      <c r="C91" s="103" t="s">
        <v>51</v>
      </c>
      <c r="D91" s="103" t="s">
        <v>1</v>
      </c>
      <c r="E91" s="103" t="s">
        <v>379</v>
      </c>
      <c r="F91" s="103" t="s">
        <v>33</v>
      </c>
      <c r="G91" s="103" t="s">
        <v>55</v>
      </c>
      <c r="H91" s="103" t="s">
        <v>54</v>
      </c>
      <c r="I91" s="104" t="s">
        <v>370</v>
      </c>
    </row>
    <row r="92" spans="1:9" ht="15.6" x14ac:dyDescent="0.3">
      <c r="A92" s="103" t="s">
        <v>420</v>
      </c>
      <c r="B92" s="103" t="s">
        <v>26</v>
      </c>
      <c r="C92" s="103" t="s">
        <v>57</v>
      </c>
      <c r="D92" s="103" t="s">
        <v>1</v>
      </c>
      <c r="E92" s="103" t="s">
        <v>359</v>
      </c>
      <c r="F92" s="103" t="s">
        <v>28</v>
      </c>
      <c r="G92" s="103" t="s">
        <v>53</v>
      </c>
      <c r="H92" s="103" t="s">
        <v>59</v>
      </c>
      <c r="I92" s="105" t="s">
        <v>371</v>
      </c>
    </row>
    <row r="93" spans="1:9" ht="15.6" x14ac:dyDescent="0.3">
      <c r="A93" s="103" t="s">
        <v>420</v>
      </c>
      <c r="B93" s="103" t="s">
        <v>31</v>
      </c>
      <c r="C93" s="103" t="s">
        <v>51</v>
      </c>
      <c r="D93" s="103" t="s">
        <v>1</v>
      </c>
      <c r="E93" s="103" t="s">
        <v>379</v>
      </c>
      <c r="F93" s="103" t="s">
        <v>36</v>
      </c>
      <c r="G93" s="103" t="s">
        <v>55</v>
      </c>
      <c r="H93" s="103" t="s">
        <v>95</v>
      </c>
      <c r="I93" s="104" t="s">
        <v>382</v>
      </c>
    </row>
    <row r="94" spans="1:9" ht="15.6" x14ac:dyDescent="0.3">
      <c r="A94" s="103" t="s">
        <v>420</v>
      </c>
      <c r="B94" s="103" t="s">
        <v>31</v>
      </c>
      <c r="C94" s="103" t="s">
        <v>32</v>
      </c>
      <c r="D94" s="103" t="s">
        <v>1</v>
      </c>
      <c r="E94" s="103" t="s">
        <v>384</v>
      </c>
      <c r="F94" s="103" t="s">
        <v>36</v>
      </c>
      <c r="G94" s="103" t="s">
        <v>58</v>
      </c>
      <c r="H94" s="103" t="s">
        <v>35</v>
      </c>
      <c r="I94" s="104" t="s">
        <v>403</v>
      </c>
    </row>
    <row r="95" spans="1:9" ht="15.6" x14ac:dyDescent="0.3">
      <c r="A95" s="103" t="s">
        <v>420</v>
      </c>
      <c r="B95" s="103" t="s">
        <v>31</v>
      </c>
      <c r="C95" s="103" t="s">
        <v>51</v>
      </c>
      <c r="D95" s="103" t="s">
        <v>1</v>
      </c>
      <c r="E95" s="103" t="s">
        <v>379</v>
      </c>
      <c r="F95" s="103" t="s">
        <v>38</v>
      </c>
      <c r="G95" s="103" t="s">
        <v>55</v>
      </c>
      <c r="H95" s="103" t="s">
        <v>96</v>
      </c>
      <c r="I95" s="105" t="s">
        <v>383</v>
      </c>
    </row>
    <row r="96" spans="1:9" ht="15.6" x14ac:dyDescent="0.3">
      <c r="A96" s="103" t="s">
        <v>420</v>
      </c>
      <c r="B96" s="103" t="s">
        <v>31</v>
      </c>
      <c r="C96" s="103" t="s">
        <v>32</v>
      </c>
      <c r="D96" s="103" t="s">
        <v>1</v>
      </c>
      <c r="E96" s="103" t="s">
        <v>384</v>
      </c>
      <c r="F96" s="103" t="s">
        <v>38</v>
      </c>
      <c r="G96" s="103" t="s">
        <v>58</v>
      </c>
      <c r="H96" s="103" t="s">
        <v>106</v>
      </c>
      <c r="I96" s="105" t="s">
        <v>404</v>
      </c>
    </row>
    <row r="97" spans="1:9" ht="15.6" x14ac:dyDescent="0.3">
      <c r="A97" s="103" t="s">
        <v>420</v>
      </c>
      <c r="B97" s="103" t="s">
        <v>46</v>
      </c>
      <c r="C97" s="103" t="s">
        <v>47</v>
      </c>
      <c r="D97" s="103" t="s">
        <v>1</v>
      </c>
      <c r="E97" s="103" t="s">
        <v>364</v>
      </c>
      <c r="F97" s="103" t="s">
        <v>80</v>
      </c>
      <c r="G97" s="103" t="s">
        <v>150</v>
      </c>
      <c r="H97" s="103" t="s">
        <v>90</v>
      </c>
      <c r="I97" s="105" t="s">
        <v>386</v>
      </c>
    </row>
    <row r="98" spans="1:9" ht="15.6" x14ac:dyDescent="0.3">
      <c r="A98" s="103" t="s">
        <v>420</v>
      </c>
      <c r="B98" s="103" t="s">
        <v>71</v>
      </c>
      <c r="C98" s="103" t="s">
        <v>72</v>
      </c>
      <c r="D98" s="103" t="s">
        <v>1</v>
      </c>
      <c r="E98" s="103" t="s">
        <v>364</v>
      </c>
      <c r="F98" s="103" t="s">
        <v>73</v>
      </c>
      <c r="G98" s="103" t="s">
        <v>74</v>
      </c>
      <c r="H98" s="103" t="s">
        <v>120</v>
      </c>
      <c r="I98" s="105" t="s">
        <v>405</v>
      </c>
    </row>
    <row r="99" spans="1:9" ht="15.6" x14ac:dyDescent="0.3">
      <c r="A99" s="103" t="s">
        <v>421</v>
      </c>
      <c r="B99" s="103" t="s">
        <v>82</v>
      </c>
      <c r="C99" s="103" t="s">
        <v>83</v>
      </c>
      <c r="D99" s="103" t="s">
        <v>1</v>
      </c>
      <c r="E99" s="103" t="s">
        <v>376</v>
      </c>
      <c r="F99" s="103" t="s">
        <v>28</v>
      </c>
      <c r="G99" s="103" t="s">
        <v>74</v>
      </c>
      <c r="H99" s="103" t="s">
        <v>143</v>
      </c>
      <c r="I99" s="105" t="s">
        <v>419</v>
      </c>
    </row>
    <row r="100" spans="1:9" ht="15.6" x14ac:dyDescent="0.3">
      <c r="A100" s="101" t="s">
        <v>422</v>
      </c>
      <c r="B100" s="101" t="s">
        <v>64</v>
      </c>
      <c r="C100" s="101" t="s">
        <v>65</v>
      </c>
      <c r="D100" s="101" t="s">
        <v>1</v>
      </c>
      <c r="E100" s="101" t="s">
        <v>305</v>
      </c>
      <c r="F100" s="101" t="s">
        <v>28</v>
      </c>
      <c r="G100" s="101" t="s">
        <v>29</v>
      </c>
      <c r="H100" s="101" t="s">
        <v>110</v>
      </c>
      <c r="I100" s="102" t="s">
        <v>369</v>
      </c>
    </row>
    <row r="101" spans="1:9" ht="15.6" x14ac:dyDescent="0.3">
      <c r="A101" s="103" t="s">
        <v>422</v>
      </c>
      <c r="B101" s="103" t="s">
        <v>46</v>
      </c>
      <c r="C101" s="103" t="s">
        <v>47</v>
      </c>
      <c r="D101" s="103" t="s">
        <v>1</v>
      </c>
      <c r="E101" s="103" t="s">
        <v>364</v>
      </c>
      <c r="F101" s="103" t="s">
        <v>85</v>
      </c>
      <c r="G101" s="103" t="s">
        <v>114</v>
      </c>
      <c r="H101" s="103" t="s">
        <v>115</v>
      </c>
      <c r="I101" s="104" t="s">
        <v>403</v>
      </c>
    </row>
    <row r="102" spans="1:9" ht="15.6" x14ac:dyDescent="0.3">
      <c r="A102" s="103" t="s">
        <v>422</v>
      </c>
      <c r="B102" s="103" t="s">
        <v>31</v>
      </c>
      <c r="C102" s="103" t="s">
        <v>32</v>
      </c>
      <c r="D102" s="103" t="s">
        <v>1</v>
      </c>
      <c r="E102" s="103" t="s">
        <v>384</v>
      </c>
      <c r="F102" s="103" t="s">
        <v>33</v>
      </c>
      <c r="G102" s="103" t="s">
        <v>98</v>
      </c>
      <c r="H102" s="103" t="s">
        <v>54</v>
      </c>
      <c r="I102" s="104" t="s">
        <v>397</v>
      </c>
    </row>
    <row r="103" spans="1:9" ht="15.6" x14ac:dyDescent="0.3">
      <c r="A103" s="103" t="s">
        <v>422</v>
      </c>
      <c r="B103" s="103" t="s">
        <v>26</v>
      </c>
      <c r="C103" s="103" t="s">
        <v>27</v>
      </c>
      <c r="D103" s="103" t="s">
        <v>1</v>
      </c>
      <c r="E103" s="103" t="s">
        <v>359</v>
      </c>
      <c r="F103" s="103" t="s">
        <v>28</v>
      </c>
      <c r="G103" s="103" t="s">
        <v>29</v>
      </c>
      <c r="H103" s="103" t="s">
        <v>30</v>
      </c>
      <c r="I103" s="105" t="s">
        <v>371</v>
      </c>
    </row>
    <row r="104" spans="1:9" ht="15.6" x14ac:dyDescent="0.3">
      <c r="A104" s="103" t="s">
        <v>422</v>
      </c>
      <c r="B104" s="103" t="s">
        <v>31</v>
      </c>
      <c r="C104" s="103" t="s">
        <v>32</v>
      </c>
      <c r="D104" s="103" t="s">
        <v>1</v>
      </c>
      <c r="E104" s="103" t="s">
        <v>384</v>
      </c>
      <c r="F104" s="103" t="s">
        <v>36</v>
      </c>
      <c r="G104" s="103" t="s">
        <v>98</v>
      </c>
      <c r="H104" s="103" t="s">
        <v>95</v>
      </c>
      <c r="I104" s="106" t="s">
        <v>401</v>
      </c>
    </row>
    <row r="105" spans="1:9" ht="15.6" x14ac:dyDescent="0.3">
      <c r="A105" s="103" t="s">
        <v>422</v>
      </c>
      <c r="B105" s="103" t="s">
        <v>46</v>
      </c>
      <c r="C105" s="103" t="s">
        <v>47</v>
      </c>
      <c r="D105" s="103" t="s">
        <v>1</v>
      </c>
      <c r="E105" s="103" t="s">
        <v>364</v>
      </c>
      <c r="F105" s="103" t="s">
        <v>88</v>
      </c>
      <c r="G105" s="103" t="s">
        <v>114</v>
      </c>
      <c r="H105" s="103" t="s">
        <v>116</v>
      </c>
      <c r="I105" s="104" t="s">
        <v>403</v>
      </c>
    </row>
    <row r="106" spans="1:9" ht="15.6" x14ac:dyDescent="0.3">
      <c r="A106" s="103" t="s">
        <v>422</v>
      </c>
      <c r="B106" s="103" t="s">
        <v>31</v>
      </c>
      <c r="C106" s="103" t="s">
        <v>32</v>
      </c>
      <c r="D106" s="103" t="s">
        <v>1</v>
      </c>
      <c r="E106" s="103" t="s">
        <v>384</v>
      </c>
      <c r="F106" s="103" t="s">
        <v>38</v>
      </c>
      <c r="G106" s="103" t="s">
        <v>98</v>
      </c>
      <c r="H106" s="103" t="s">
        <v>96</v>
      </c>
      <c r="I106" s="105" t="s">
        <v>402</v>
      </c>
    </row>
    <row r="107" spans="1:9" ht="15.6" x14ac:dyDescent="0.3">
      <c r="A107" s="103" t="s">
        <v>422</v>
      </c>
      <c r="B107" s="103" t="s">
        <v>40</v>
      </c>
      <c r="C107" s="103" t="s">
        <v>44</v>
      </c>
      <c r="D107" s="103" t="s">
        <v>1</v>
      </c>
      <c r="E107" s="103" t="s">
        <v>362</v>
      </c>
      <c r="F107" s="103" t="s">
        <v>42</v>
      </c>
      <c r="G107" s="103" t="s">
        <v>29</v>
      </c>
      <c r="H107" s="103" t="s">
        <v>158</v>
      </c>
      <c r="I107" s="104" t="s">
        <v>389</v>
      </c>
    </row>
    <row r="108" spans="1:9" ht="15.6" x14ac:dyDescent="0.3">
      <c r="A108" s="103" t="s">
        <v>422</v>
      </c>
      <c r="B108" s="103" t="s">
        <v>71</v>
      </c>
      <c r="C108" s="103" t="s">
        <v>72</v>
      </c>
      <c r="D108" s="103" t="s">
        <v>1</v>
      </c>
      <c r="E108" s="103" t="s">
        <v>364</v>
      </c>
      <c r="F108" s="103" t="s">
        <v>73</v>
      </c>
      <c r="G108" s="103" t="s">
        <v>74</v>
      </c>
      <c r="H108" s="103" t="s">
        <v>120</v>
      </c>
      <c r="I108" s="105" t="s">
        <v>423</v>
      </c>
    </row>
    <row r="109" spans="1:9" ht="15.6" x14ac:dyDescent="0.3">
      <c r="A109" s="103" t="s">
        <v>422</v>
      </c>
      <c r="B109" s="103" t="s">
        <v>46</v>
      </c>
      <c r="C109" s="103" t="s">
        <v>47</v>
      </c>
      <c r="D109" s="103" t="s">
        <v>1</v>
      </c>
      <c r="E109" s="103" t="s">
        <v>364</v>
      </c>
      <c r="F109" s="103" t="s">
        <v>80</v>
      </c>
      <c r="G109" s="103" t="s">
        <v>114</v>
      </c>
      <c r="H109" s="103" t="s">
        <v>122</v>
      </c>
      <c r="I109" s="104" t="s">
        <v>397</v>
      </c>
    </row>
    <row r="110" spans="1:9" ht="15.6" x14ac:dyDescent="0.3">
      <c r="A110" s="101" t="s">
        <v>424</v>
      </c>
      <c r="B110" s="101" t="s">
        <v>64</v>
      </c>
      <c r="C110" s="101" t="s">
        <v>65</v>
      </c>
      <c r="D110" s="101" t="s">
        <v>1</v>
      </c>
      <c r="E110" s="101" t="s">
        <v>298</v>
      </c>
      <c r="F110" s="101" t="s">
        <v>28</v>
      </c>
      <c r="G110" s="101" t="s">
        <v>29</v>
      </c>
      <c r="H110" s="101" t="s">
        <v>66</v>
      </c>
      <c r="I110" s="102" t="s">
        <v>369</v>
      </c>
    </row>
    <row r="111" spans="1:9" ht="15.6" x14ac:dyDescent="0.3">
      <c r="A111" s="103" t="s">
        <v>424</v>
      </c>
      <c r="B111" s="103" t="s">
        <v>31</v>
      </c>
      <c r="C111" s="103" t="s">
        <v>32</v>
      </c>
      <c r="D111" s="103" t="s">
        <v>1</v>
      </c>
      <c r="E111" s="103" t="s">
        <v>384</v>
      </c>
      <c r="F111" s="103" t="s">
        <v>33</v>
      </c>
      <c r="G111" s="103" t="s">
        <v>55</v>
      </c>
      <c r="H111" s="103" t="s">
        <v>54</v>
      </c>
      <c r="I111" s="104" t="s">
        <v>370</v>
      </c>
    </row>
    <row r="112" spans="1:9" ht="15.6" x14ac:dyDescent="0.3">
      <c r="A112" s="103" t="s">
        <v>424</v>
      </c>
      <c r="B112" s="103" t="s">
        <v>31</v>
      </c>
      <c r="C112" s="103" t="s">
        <v>51</v>
      </c>
      <c r="D112" s="103" t="s">
        <v>1</v>
      </c>
      <c r="E112" s="103" t="s">
        <v>379</v>
      </c>
      <c r="F112" s="103" t="s">
        <v>33</v>
      </c>
      <c r="G112" s="103" t="s">
        <v>55</v>
      </c>
      <c r="H112" s="103" t="s">
        <v>54</v>
      </c>
      <c r="I112" s="104" t="s">
        <v>397</v>
      </c>
    </row>
    <row r="113" spans="1:9" ht="15.6" x14ac:dyDescent="0.3">
      <c r="A113" s="103" t="s">
        <v>424</v>
      </c>
      <c r="B113" s="103" t="s">
        <v>76</v>
      </c>
      <c r="C113" s="103" t="s">
        <v>77</v>
      </c>
      <c r="D113" s="103" t="s">
        <v>1</v>
      </c>
      <c r="E113" s="103" t="s">
        <v>398</v>
      </c>
      <c r="F113" s="103" t="s">
        <v>78</v>
      </c>
      <c r="G113" s="103" t="s">
        <v>55</v>
      </c>
      <c r="H113" s="103" t="s">
        <v>117</v>
      </c>
      <c r="I113" s="106" t="s">
        <v>399</v>
      </c>
    </row>
    <row r="114" spans="1:9" ht="15.6" x14ac:dyDescent="0.3">
      <c r="A114" s="103" t="s">
        <v>424</v>
      </c>
      <c r="B114" s="103" t="s">
        <v>26</v>
      </c>
      <c r="C114" s="103" t="s">
        <v>57</v>
      </c>
      <c r="D114" s="103" t="s">
        <v>1</v>
      </c>
      <c r="E114" s="103" t="s">
        <v>400</v>
      </c>
      <c r="F114" s="103" t="s">
        <v>28</v>
      </c>
      <c r="G114" s="103" t="s">
        <v>29</v>
      </c>
      <c r="H114" s="103" t="s">
        <v>30</v>
      </c>
      <c r="I114" s="105" t="s">
        <v>392</v>
      </c>
    </row>
    <row r="115" spans="1:9" ht="15.6" x14ac:dyDescent="0.3">
      <c r="A115" s="103" t="s">
        <v>424</v>
      </c>
      <c r="B115" s="103" t="s">
        <v>31</v>
      </c>
      <c r="C115" s="103" t="s">
        <v>32</v>
      </c>
      <c r="D115" s="103" t="s">
        <v>1</v>
      </c>
      <c r="E115" s="103" t="s">
        <v>384</v>
      </c>
      <c r="F115" s="103" t="s">
        <v>36</v>
      </c>
      <c r="G115" s="103" t="s">
        <v>55</v>
      </c>
      <c r="H115" s="103" t="s">
        <v>95</v>
      </c>
      <c r="I115" s="104" t="s">
        <v>382</v>
      </c>
    </row>
    <row r="116" spans="1:9" ht="15.6" x14ac:dyDescent="0.3">
      <c r="A116" s="103" t="s">
        <v>424</v>
      </c>
      <c r="B116" s="103" t="s">
        <v>31</v>
      </c>
      <c r="C116" s="103" t="s">
        <v>51</v>
      </c>
      <c r="D116" s="103" t="s">
        <v>1</v>
      </c>
      <c r="E116" s="103" t="s">
        <v>379</v>
      </c>
      <c r="F116" s="103" t="s">
        <v>36</v>
      </c>
      <c r="G116" s="103" t="s">
        <v>55</v>
      </c>
      <c r="H116" s="103" t="s">
        <v>95</v>
      </c>
      <c r="I116" s="106" t="s">
        <v>401</v>
      </c>
    </row>
    <row r="117" spans="1:9" ht="15.6" x14ac:dyDescent="0.3">
      <c r="A117" s="103" t="s">
        <v>424</v>
      </c>
      <c r="B117" s="103" t="s">
        <v>76</v>
      </c>
      <c r="C117" s="103" t="s">
        <v>77</v>
      </c>
      <c r="D117" s="103" t="s">
        <v>1</v>
      </c>
      <c r="E117" s="103" t="s">
        <v>398</v>
      </c>
      <c r="F117" s="103" t="s">
        <v>80</v>
      </c>
      <c r="G117" s="103" t="s">
        <v>55</v>
      </c>
      <c r="H117" s="103" t="s">
        <v>118</v>
      </c>
      <c r="I117" s="105" t="s">
        <v>402</v>
      </c>
    </row>
    <row r="118" spans="1:9" ht="15.6" x14ac:dyDescent="0.3">
      <c r="A118" s="103" t="s">
        <v>424</v>
      </c>
      <c r="B118" s="103" t="s">
        <v>31</v>
      </c>
      <c r="C118" s="103" t="s">
        <v>32</v>
      </c>
      <c r="D118" s="103" t="s">
        <v>1</v>
      </c>
      <c r="E118" s="103" t="s">
        <v>384</v>
      </c>
      <c r="F118" s="103" t="s">
        <v>38</v>
      </c>
      <c r="G118" s="103" t="s">
        <v>55</v>
      </c>
      <c r="H118" s="103" t="s">
        <v>96</v>
      </c>
      <c r="I118" s="105" t="s">
        <v>383</v>
      </c>
    </row>
    <row r="119" spans="1:9" ht="15.6" x14ac:dyDescent="0.3">
      <c r="A119" s="103" t="s">
        <v>424</v>
      </c>
      <c r="B119" s="103" t="s">
        <v>31</v>
      </c>
      <c r="C119" s="103" t="s">
        <v>51</v>
      </c>
      <c r="D119" s="103" t="s">
        <v>1</v>
      </c>
      <c r="E119" s="103" t="s">
        <v>379</v>
      </c>
      <c r="F119" s="103" t="s">
        <v>38</v>
      </c>
      <c r="G119" s="103" t="s">
        <v>55</v>
      </c>
      <c r="H119" s="103" t="s">
        <v>96</v>
      </c>
      <c r="I119" s="105" t="s">
        <v>402</v>
      </c>
    </row>
    <row r="120" spans="1:9" ht="15.6" x14ac:dyDescent="0.3">
      <c r="A120" s="103" t="s">
        <v>424</v>
      </c>
      <c r="B120" s="103" t="s">
        <v>71</v>
      </c>
      <c r="C120" s="103" t="s">
        <v>72</v>
      </c>
      <c r="D120" s="103" t="s">
        <v>1</v>
      </c>
      <c r="E120" s="103" t="s">
        <v>364</v>
      </c>
      <c r="F120" s="103" t="s">
        <v>73</v>
      </c>
      <c r="G120" s="103" t="s">
        <v>74</v>
      </c>
      <c r="H120" s="103" t="s">
        <v>120</v>
      </c>
      <c r="I120" s="105" t="s">
        <v>405</v>
      </c>
    </row>
    <row r="121" spans="1:9" ht="15.6" x14ac:dyDescent="0.3">
      <c r="A121" s="103" t="s">
        <v>424</v>
      </c>
      <c r="B121" s="103" t="s">
        <v>46</v>
      </c>
      <c r="C121" s="103" t="s">
        <v>47</v>
      </c>
      <c r="D121" s="103" t="s">
        <v>1</v>
      </c>
      <c r="E121" s="103" t="s">
        <v>364</v>
      </c>
      <c r="F121" s="103" t="s">
        <v>80</v>
      </c>
      <c r="G121" s="103" t="s">
        <v>124</v>
      </c>
      <c r="H121" s="103" t="s">
        <v>122</v>
      </c>
      <c r="I121" s="104" t="s">
        <v>370</v>
      </c>
    </row>
    <row r="122" spans="1:9" ht="15.6" x14ac:dyDescent="0.3">
      <c r="A122" s="103" t="s">
        <v>425</v>
      </c>
      <c r="B122" s="103" t="s">
        <v>31</v>
      </c>
      <c r="C122" s="103" t="s">
        <v>32</v>
      </c>
      <c r="D122" s="103" t="s">
        <v>1</v>
      </c>
      <c r="E122" s="103" t="s">
        <v>418</v>
      </c>
      <c r="F122" s="103" t="s">
        <v>33</v>
      </c>
      <c r="G122" s="103" t="s">
        <v>55</v>
      </c>
      <c r="H122" s="103" t="s">
        <v>54</v>
      </c>
      <c r="I122" s="104" t="s">
        <v>370</v>
      </c>
    </row>
    <row r="123" spans="1:9" ht="15.6" x14ac:dyDescent="0.3">
      <c r="A123" s="103" t="s">
        <v>425</v>
      </c>
      <c r="B123" s="103" t="s">
        <v>31</v>
      </c>
      <c r="C123" s="103" t="s">
        <v>32</v>
      </c>
      <c r="D123" s="103" t="s">
        <v>1</v>
      </c>
      <c r="E123" s="103" t="s">
        <v>418</v>
      </c>
      <c r="F123" s="103" t="s">
        <v>36</v>
      </c>
      <c r="G123" s="103" t="s">
        <v>55</v>
      </c>
      <c r="H123" s="103" t="s">
        <v>95</v>
      </c>
      <c r="I123" s="104" t="s">
        <v>382</v>
      </c>
    </row>
    <row r="124" spans="1:9" ht="15.6" x14ac:dyDescent="0.3">
      <c r="A124" s="103" t="s">
        <v>425</v>
      </c>
      <c r="B124" s="103" t="s">
        <v>31</v>
      </c>
      <c r="C124" s="103" t="s">
        <v>32</v>
      </c>
      <c r="D124" s="103" t="s">
        <v>1</v>
      </c>
      <c r="E124" s="103" t="s">
        <v>418</v>
      </c>
      <c r="F124" s="103" t="s">
        <v>38</v>
      </c>
      <c r="G124" s="103" t="s">
        <v>55</v>
      </c>
      <c r="H124" s="103" t="s">
        <v>96</v>
      </c>
      <c r="I124" s="105" t="s">
        <v>383</v>
      </c>
    </row>
    <row r="125" spans="1:9" ht="15.6" x14ac:dyDescent="0.3">
      <c r="A125" s="103" t="s">
        <v>425</v>
      </c>
      <c r="B125" s="103" t="s">
        <v>46</v>
      </c>
      <c r="C125" s="103" t="s">
        <v>47</v>
      </c>
      <c r="D125" s="103" t="s">
        <v>1</v>
      </c>
      <c r="E125" s="103" t="s">
        <v>364</v>
      </c>
      <c r="F125" s="103" t="s">
        <v>80</v>
      </c>
      <c r="G125" s="103" t="s">
        <v>150</v>
      </c>
      <c r="H125" s="103" t="s">
        <v>90</v>
      </c>
      <c r="I125" s="105" t="s">
        <v>386</v>
      </c>
    </row>
    <row r="126" spans="1:9" ht="15.6" x14ac:dyDescent="0.3">
      <c r="A126" s="103" t="s">
        <v>425</v>
      </c>
      <c r="B126" s="103" t="s">
        <v>71</v>
      </c>
      <c r="C126" s="103" t="s">
        <v>72</v>
      </c>
      <c r="D126" s="103" t="s">
        <v>1</v>
      </c>
      <c r="E126" s="103" t="s">
        <v>364</v>
      </c>
      <c r="F126" s="103" t="s">
        <v>73</v>
      </c>
      <c r="G126" s="103" t="s">
        <v>74</v>
      </c>
      <c r="H126" s="103" t="s">
        <v>120</v>
      </c>
      <c r="I126" s="105" t="s">
        <v>405</v>
      </c>
    </row>
    <row r="127" spans="1:9" ht="15.6" x14ac:dyDescent="0.3">
      <c r="A127" s="101" t="s">
        <v>426</v>
      </c>
      <c r="B127" s="101" t="s">
        <v>64</v>
      </c>
      <c r="C127" s="101" t="s">
        <v>65</v>
      </c>
      <c r="D127" s="101" t="s">
        <v>1</v>
      </c>
      <c r="E127" s="101" t="s">
        <v>288</v>
      </c>
      <c r="F127" s="101" t="s">
        <v>28</v>
      </c>
      <c r="G127" s="101" t="s">
        <v>29</v>
      </c>
      <c r="H127" s="101" t="s">
        <v>66</v>
      </c>
      <c r="I127" s="102" t="s">
        <v>369</v>
      </c>
    </row>
    <row r="128" spans="1:9" ht="15.6" x14ac:dyDescent="0.3">
      <c r="A128" s="103" t="s">
        <v>426</v>
      </c>
      <c r="B128" s="103" t="s">
        <v>31</v>
      </c>
      <c r="C128" s="103" t="s">
        <v>32</v>
      </c>
      <c r="D128" s="103" t="s">
        <v>1</v>
      </c>
      <c r="E128" s="103" t="s">
        <v>384</v>
      </c>
      <c r="F128" s="103" t="s">
        <v>33</v>
      </c>
      <c r="G128" s="103" t="s">
        <v>55</v>
      </c>
      <c r="H128" s="103" t="s">
        <v>54</v>
      </c>
      <c r="I128" s="104" t="s">
        <v>370</v>
      </c>
    </row>
    <row r="129" spans="1:9" ht="15.6" x14ac:dyDescent="0.3">
      <c r="A129" s="103" t="s">
        <v>426</v>
      </c>
      <c r="B129" s="103" t="s">
        <v>26</v>
      </c>
      <c r="C129" s="103" t="s">
        <v>57</v>
      </c>
      <c r="D129" s="103" t="s">
        <v>1</v>
      </c>
      <c r="E129" s="103" t="s">
        <v>359</v>
      </c>
      <c r="F129" s="103" t="s">
        <v>28</v>
      </c>
      <c r="G129" s="103" t="s">
        <v>98</v>
      </c>
      <c r="H129" s="103" t="s">
        <v>30</v>
      </c>
      <c r="I129" s="105" t="s">
        <v>392</v>
      </c>
    </row>
    <row r="130" spans="1:9" ht="15.6" x14ac:dyDescent="0.3">
      <c r="A130" s="103" t="s">
        <v>426</v>
      </c>
      <c r="B130" s="103" t="s">
        <v>31</v>
      </c>
      <c r="C130" s="103" t="s">
        <v>32</v>
      </c>
      <c r="D130" s="103" t="s">
        <v>1</v>
      </c>
      <c r="E130" s="103" t="s">
        <v>384</v>
      </c>
      <c r="F130" s="103" t="s">
        <v>36</v>
      </c>
      <c r="G130" s="103" t="s">
        <v>55</v>
      </c>
      <c r="H130" s="103" t="s">
        <v>95</v>
      </c>
      <c r="I130" s="104" t="s">
        <v>382</v>
      </c>
    </row>
    <row r="131" spans="1:9" ht="15.6" x14ac:dyDescent="0.3">
      <c r="A131" s="103" t="s">
        <v>426</v>
      </c>
      <c r="B131" s="103" t="s">
        <v>31</v>
      </c>
      <c r="C131" s="103" t="s">
        <v>51</v>
      </c>
      <c r="D131" s="103" t="s">
        <v>1</v>
      </c>
      <c r="E131" s="103" t="s">
        <v>379</v>
      </c>
      <c r="F131" s="103" t="s">
        <v>36</v>
      </c>
      <c r="G131" s="103" t="s">
        <v>55</v>
      </c>
      <c r="H131" s="103" t="s">
        <v>35</v>
      </c>
      <c r="I131" s="104" t="s">
        <v>403</v>
      </c>
    </row>
    <row r="132" spans="1:9" ht="15.6" x14ac:dyDescent="0.3">
      <c r="A132" s="103" t="s">
        <v>426</v>
      </c>
      <c r="B132" s="103" t="s">
        <v>31</v>
      </c>
      <c r="C132" s="103" t="s">
        <v>32</v>
      </c>
      <c r="D132" s="103" t="s">
        <v>1</v>
      </c>
      <c r="E132" s="103" t="s">
        <v>384</v>
      </c>
      <c r="F132" s="103" t="s">
        <v>38</v>
      </c>
      <c r="G132" s="103" t="s">
        <v>55</v>
      </c>
      <c r="H132" s="103" t="s">
        <v>96</v>
      </c>
      <c r="I132" s="105" t="s">
        <v>383</v>
      </c>
    </row>
    <row r="133" spans="1:9" ht="15.6" x14ac:dyDescent="0.3">
      <c r="A133" s="103" t="s">
        <v>426</v>
      </c>
      <c r="B133" s="103" t="s">
        <v>31</v>
      </c>
      <c r="C133" s="103" t="s">
        <v>51</v>
      </c>
      <c r="D133" s="103" t="s">
        <v>1</v>
      </c>
      <c r="E133" s="103" t="s">
        <v>379</v>
      </c>
      <c r="F133" s="103" t="s">
        <v>38</v>
      </c>
      <c r="G133" s="103" t="s">
        <v>55</v>
      </c>
      <c r="H133" s="103" t="s">
        <v>106</v>
      </c>
      <c r="I133" s="105" t="s">
        <v>404</v>
      </c>
    </row>
    <row r="134" spans="1:9" ht="15.6" x14ac:dyDescent="0.3">
      <c r="A134" s="103" t="s">
        <v>426</v>
      </c>
      <c r="B134" s="103" t="s">
        <v>46</v>
      </c>
      <c r="C134" s="103" t="s">
        <v>47</v>
      </c>
      <c r="D134" s="103" t="s">
        <v>1</v>
      </c>
      <c r="E134" s="103" t="s">
        <v>364</v>
      </c>
      <c r="F134" s="103" t="s">
        <v>80</v>
      </c>
      <c r="G134" s="103" t="s">
        <v>150</v>
      </c>
      <c r="H134" s="103" t="s">
        <v>90</v>
      </c>
      <c r="I134" s="105" t="s">
        <v>386</v>
      </c>
    </row>
    <row r="135" spans="1:9" ht="15.6" x14ac:dyDescent="0.3">
      <c r="A135" s="103" t="s">
        <v>426</v>
      </c>
      <c r="B135" s="103" t="s">
        <v>71</v>
      </c>
      <c r="C135" s="103" t="s">
        <v>72</v>
      </c>
      <c r="D135" s="103" t="s">
        <v>1</v>
      </c>
      <c r="E135" s="103" t="s">
        <v>364</v>
      </c>
      <c r="F135" s="103" t="s">
        <v>73</v>
      </c>
      <c r="G135" s="103" t="s">
        <v>74</v>
      </c>
      <c r="H135" s="103" t="s">
        <v>120</v>
      </c>
      <c r="I135" s="105" t="s">
        <v>405</v>
      </c>
    </row>
    <row r="136" spans="1:9" ht="15.6" x14ac:dyDescent="0.3">
      <c r="A136" s="103" t="s">
        <v>427</v>
      </c>
      <c r="B136" s="103" t="s">
        <v>82</v>
      </c>
      <c r="C136" s="103" t="s">
        <v>83</v>
      </c>
      <c r="D136" s="103" t="s">
        <v>1</v>
      </c>
      <c r="E136" s="103" t="s">
        <v>376</v>
      </c>
      <c r="F136" s="103" t="s">
        <v>28</v>
      </c>
      <c r="G136" s="103" t="s">
        <v>98</v>
      </c>
      <c r="H136" s="103" t="s">
        <v>164</v>
      </c>
      <c r="I136" s="106" t="s">
        <v>428</v>
      </c>
    </row>
    <row r="137" spans="1:9" ht="15.6" x14ac:dyDescent="0.3">
      <c r="A137" s="101" t="s">
        <v>429</v>
      </c>
      <c r="B137" s="101" t="s">
        <v>64</v>
      </c>
      <c r="C137" s="101" t="s">
        <v>65</v>
      </c>
      <c r="D137" s="101" t="s">
        <v>1</v>
      </c>
      <c r="E137" s="101" t="s">
        <v>298</v>
      </c>
      <c r="F137" s="101" t="s">
        <v>28</v>
      </c>
      <c r="G137" s="101" t="s">
        <v>29</v>
      </c>
      <c r="H137" s="101" t="s">
        <v>110</v>
      </c>
      <c r="I137" s="102" t="s">
        <v>369</v>
      </c>
    </row>
    <row r="138" spans="1:9" ht="15.6" x14ac:dyDescent="0.3">
      <c r="A138" s="103" t="s">
        <v>429</v>
      </c>
      <c r="B138" s="103" t="s">
        <v>46</v>
      </c>
      <c r="C138" s="103" t="s">
        <v>47</v>
      </c>
      <c r="D138" s="103" t="s">
        <v>1</v>
      </c>
      <c r="E138" s="103" t="s">
        <v>364</v>
      </c>
      <c r="F138" s="103" t="s">
        <v>85</v>
      </c>
      <c r="G138" s="103" t="s">
        <v>165</v>
      </c>
      <c r="H138" s="103" t="s">
        <v>50</v>
      </c>
      <c r="I138" s="104" t="s">
        <v>388</v>
      </c>
    </row>
    <row r="139" spans="1:9" ht="15.6" x14ac:dyDescent="0.3">
      <c r="A139" s="103" t="s">
        <v>429</v>
      </c>
      <c r="B139" s="103" t="s">
        <v>31</v>
      </c>
      <c r="C139" s="103" t="s">
        <v>51</v>
      </c>
      <c r="D139" s="103" t="s">
        <v>1</v>
      </c>
      <c r="E139" s="103" t="s">
        <v>379</v>
      </c>
      <c r="F139" s="103" t="s">
        <v>33</v>
      </c>
      <c r="G139" s="103" t="s">
        <v>102</v>
      </c>
      <c r="H139" s="103" t="s">
        <v>59</v>
      </c>
      <c r="I139" s="104" t="s">
        <v>389</v>
      </c>
    </row>
    <row r="140" spans="1:9" ht="15.6" x14ac:dyDescent="0.3">
      <c r="A140" s="103" t="s">
        <v>429</v>
      </c>
      <c r="B140" s="103" t="s">
        <v>31</v>
      </c>
      <c r="C140" s="103" t="s">
        <v>32</v>
      </c>
      <c r="D140" s="103" t="s">
        <v>1</v>
      </c>
      <c r="E140" s="103" t="s">
        <v>384</v>
      </c>
      <c r="F140" s="103" t="s">
        <v>33</v>
      </c>
      <c r="G140" s="103" t="s">
        <v>100</v>
      </c>
      <c r="H140" s="103" t="s">
        <v>56</v>
      </c>
      <c r="I140" s="104" t="s">
        <v>370</v>
      </c>
    </row>
    <row r="141" spans="1:9" ht="15.6" x14ac:dyDescent="0.3">
      <c r="A141" s="103" t="s">
        <v>429</v>
      </c>
      <c r="B141" s="103" t="s">
        <v>31</v>
      </c>
      <c r="C141" s="103" t="s">
        <v>51</v>
      </c>
      <c r="D141" s="103" t="s">
        <v>1</v>
      </c>
      <c r="E141" s="103" t="s">
        <v>379</v>
      </c>
      <c r="F141" s="103" t="s">
        <v>36</v>
      </c>
      <c r="G141" s="103" t="s">
        <v>102</v>
      </c>
      <c r="H141" s="103" t="s">
        <v>35</v>
      </c>
      <c r="I141" s="104" t="s">
        <v>391</v>
      </c>
    </row>
    <row r="142" spans="1:9" ht="15.6" x14ac:dyDescent="0.3">
      <c r="A142" s="103" t="s">
        <v>429</v>
      </c>
      <c r="B142" s="103" t="s">
        <v>46</v>
      </c>
      <c r="C142" s="103" t="s">
        <v>47</v>
      </c>
      <c r="D142" s="103" t="s">
        <v>1</v>
      </c>
      <c r="E142" s="103" t="s">
        <v>364</v>
      </c>
      <c r="F142" s="103" t="s">
        <v>88</v>
      </c>
      <c r="G142" s="103" t="s">
        <v>165</v>
      </c>
      <c r="H142" s="103" t="s">
        <v>94</v>
      </c>
      <c r="I142" s="104" t="s">
        <v>388</v>
      </c>
    </row>
    <row r="143" spans="1:9" ht="15.6" x14ac:dyDescent="0.3">
      <c r="A143" s="103" t="s">
        <v>429</v>
      </c>
      <c r="B143" s="103" t="s">
        <v>82</v>
      </c>
      <c r="C143" s="103" t="s">
        <v>83</v>
      </c>
      <c r="D143" s="103" t="s">
        <v>1</v>
      </c>
      <c r="E143" s="103" t="s">
        <v>380</v>
      </c>
      <c r="F143" s="103" t="s">
        <v>167</v>
      </c>
      <c r="G143" s="103" t="s">
        <v>97</v>
      </c>
      <c r="H143" s="103" t="s">
        <v>164</v>
      </c>
      <c r="I143" s="104" t="s">
        <v>397</v>
      </c>
    </row>
    <row r="144" spans="1:9" ht="15.6" x14ac:dyDescent="0.3">
      <c r="A144" s="103" t="s">
        <v>429</v>
      </c>
      <c r="B144" s="103" t="s">
        <v>31</v>
      </c>
      <c r="C144" s="103" t="s">
        <v>32</v>
      </c>
      <c r="D144" s="103" t="s">
        <v>1</v>
      </c>
      <c r="E144" s="103" t="s">
        <v>384</v>
      </c>
      <c r="F144" s="103" t="s">
        <v>36</v>
      </c>
      <c r="G144" s="103" t="s">
        <v>100</v>
      </c>
      <c r="H144" s="103" t="s">
        <v>153</v>
      </c>
      <c r="I144" s="104" t="s">
        <v>382</v>
      </c>
    </row>
    <row r="145" spans="1:9" ht="15.6" x14ac:dyDescent="0.3">
      <c r="A145" s="103" t="s">
        <v>429</v>
      </c>
      <c r="B145" s="103" t="s">
        <v>26</v>
      </c>
      <c r="C145" s="103" t="s">
        <v>57</v>
      </c>
      <c r="D145" s="103" t="s">
        <v>1</v>
      </c>
      <c r="E145" s="103" t="s">
        <v>359</v>
      </c>
      <c r="F145" s="103" t="s">
        <v>28</v>
      </c>
      <c r="G145" s="103" t="s">
        <v>29</v>
      </c>
      <c r="H145" s="103" t="s">
        <v>130</v>
      </c>
      <c r="I145" s="106" t="s">
        <v>399</v>
      </c>
    </row>
    <row r="146" spans="1:9" ht="15.6" x14ac:dyDescent="0.3">
      <c r="A146" s="103" t="s">
        <v>429</v>
      </c>
      <c r="B146" s="103" t="s">
        <v>31</v>
      </c>
      <c r="C146" s="103" t="s">
        <v>51</v>
      </c>
      <c r="D146" s="103" t="s">
        <v>1</v>
      </c>
      <c r="E146" s="103" t="s">
        <v>379</v>
      </c>
      <c r="F146" s="103" t="s">
        <v>38</v>
      </c>
      <c r="G146" s="103" t="s">
        <v>102</v>
      </c>
      <c r="H146" s="103" t="s">
        <v>106</v>
      </c>
      <c r="I146" s="105" t="s">
        <v>394</v>
      </c>
    </row>
    <row r="147" spans="1:9" ht="15.6" x14ac:dyDescent="0.3">
      <c r="A147" s="103" t="s">
        <v>429</v>
      </c>
      <c r="B147" s="103" t="s">
        <v>31</v>
      </c>
      <c r="C147" s="103" t="s">
        <v>32</v>
      </c>
      <c r="D147" s="103" t="s">
        <v>1</v>
      </c>
      <c r="E147" s="103" t="s">
        <v>384</v>
      </c>
      <c r="F147" s="103" t="s">
        <v>38</v>
      </c>
      <c r="G147" s="103" t="s">
        <v>100</v>
      </c>
      <c r="H147" s="103" t="s">
        <v>154</v>
      </c>
      <c r="I147" s="105" t="s">
        <v>383</v>
      </c>
    </row>
    <row r="148" spans="1:9" ht="15.6" x14ac:dyDescent="0.3">
      <c r="A148" s="103" t="s">
        <v>429</v>
      </c>
      <c r="B148" s="103" t="s">
        <v>40</v>
      </c>
      <c r="C148" s="103" t="s">
        <v>41</v>
      </c>
      <c r="D148" s="103" t="s">
        <v>1</v>
      </c>
      <c r="E148" s="103" t="s">
        <v>361</v>
      </c>
      <c r="F148" s="103" t="s">
        <v>42</v>
      </c>
      <c r="G148" s="103" t="s">
        <v>29</v>
      </c>
      <c r="H148" s="103" t="s">
        <v>43</v>
      </c>
      <c r="I148" s="106" t="s">
        <v>372</v>
      </c>
    </row>
    <row r="149" spans="1:9" ht="15.6" x14ac:dyDescent="0.3">
      <c r="A149" s="103" t="s">
        <v>429</v>
      </c>
      <c r="B149" s="103" t="s">
        <v>40</v>
      </c>
      <c r="C149" s="103" t="s">
        <v>44</v>
      </c>
      <c r="D149" s="103" t="s">
        <v>1</v>
      </c>
      <c r="E149" s="103" t="s">
        <v>362</v>
      </c>
      <c r="F149" s="103" t="s">
        <v>42</v>
      </c>
      <c r="G149" s="103" t="s">
        <v>29</v>
      </c>
      <c r="H149" s="103" t="s">
        <v>166</v>
      </c>
      <c r="I149" s="106" t="s">
        <v>430</v>
      </c>
    </row>
    <row r="150" spans="1:9" ht="15.6" x14ac:dyDescent="0.3">
      <c r="A150" s="103" t="s">
        <v>429</v>
      </c>
      <c r="B150" s="103" t="s">
        <v>46</v>
      </c>
      <c r="C150" s="103" t="s">
        <v>47</v>
      </c>
      <c r="D150" s="103" t="s">
        <v>1</v>
      </c>
      <c r="E150" s="103" t="s">
        <v>364</v>
      </c>
      <c r="F150" s="103" t="s">
        <v>80</v>
      </c>
      <c r="G150" s="103" t="s">
        <v>165</v>
      </c>
      <c r="H150" s="103" t="s">
        <v>90</v>
      </c>
      <c r="I150" s="105" t="s">
        <v>395</v>
      </c>
    </row>
    <row r="151" spans="1:9" ht="15.6" x14ac:dyDescent="0.3">
      <c r="A151" s="103" t="s">
        <v>429</v>
      </c>
      <c r="B151" s="103" t="s">
        <v>71</v>
      </c>
      <c r="C151" s="103" t="s">
        <v>72</v>
      </c>
      <c r="D151" s="103" t="s">
        <v>1</v>
      </c>
      <c r="E151" s="103" t="s">
        <v>364</v>
      </c>
      <c r="F151" s="103" t="s">
        <v>73</v>
      </c>
      <c r="G151" s="103" t="s">
        <v>74</v>
      </c>
      <c r="H151" s="103" t="s">
        <v>75</v>
      </c>
      <c r="I151" s="105" t="s">
        <v>431</v>
      </c>
    </row>
    <row r="152" spans="1:9" ht="15.6" x14ac:dyDescent="0.3">
      <c r="A152" s="101" t="s">
        <v>432</v>
      </c>
      <c r="B152" s="101" t="s">
        <v>64</v>
      </c>
      <c r="C152" s="101" t="s">
        <v>65</v>
      </c>
      <c r="D152" s="101" t="s">
        <v>1</v>
      </c>
      <c r="E152" s="101" t="s">
        <v>305</v>
      </c>
      <c r="F152" s="101" t="s">
        <v>28</v>
      </c>
      <c r="G152" s="101" t="s">
        <v>29</v>
      </c>
      <c r="H152" s="101" t="s">
        <v>110</v>
      </c>
      <c r="I152" s="102" t="s">
        <v>369</v>
      </c>
    </row>
    <row r="153" spans="1:9" ht="15.6" x14ac:dyDescent="0.3">
      <c r="A153" s="103" t="s">
        <v>432</v>
      </c>
      <c r="B153" s="103" t="s">
        <v>46</v>
      </c>
      <c r="C153" s="103" t="s">
        <v>47</v>
      </c>
      <c r="D153" s="103" t="s">
        <v>1</v>
      </c>
      <c r="E153" s="103" t="s">
        <v>364</v>
      </c>
      <c r="F153" s="103" t="s">
        <v>85</v>
      </c>
      <c r="G153" s="103" t="s">
        <v>125</v>
      </c>
      <c r="H153" s="103" t="s">
        <v>115</v>
      </c>
      <c r="I153" s="104" t="s">
        <v>403</v>
      </c>
    </row>
    <row r="154" spans="1:9" ht="15.6" x14ac:dyDescent="0.3">
      <c r="A154" s="103" t="s">
        <v>432</v>
      </c>
      <c r="B154" s="103" t="s">
        <v>31</v>
      </c>
      <c r="C154" s="103" t="s">
        <v>32</v>
      </c>
      <c r="D154" s="103" t="s">
        <v>1</v>
      </c>
      <c r="E154" s="103" t="s">
        <v>384</v>
      </c>
      <c r="F154" s="103" t="s">
        <v>33</v>
      </c>
      <c r="G154" s="103" t="s">
        <v>55</v>
      </c>
      <c r="H154" s="103" t="s">
        <v>54</v>
      </c>
      <c r="I154" s="104" t="s">
        <v>397</v>
      </c>
    </row>
    <row r="155" spans="1:9" ht="15.6" x14ac:dyDescent="0.3">
      <c r="A155" s="103" t="s">
        <v>432</v>
      </c>
      <c r="B155" s="103" t="s">
        <v>26</v>
      </c>
      <c r="C155" s="103" t="s">
        <v>27</v>
      </c>
      <c r="D155" s="103" t="s">
        <v>1</v>
      </c>
      <c r="E155" s="103" t="s">
        <v>359</v>
      </c>
      <c r="F155" s="103" t="s">
        <v>167</v>
      </c>
      <c r="G155" s="103" t="s">
        <v>29</v>
      </c>
      <c r="H155" s="103" t="s">
        <v>30</v>
      </c>
      <c r="I155" s="106" t="s">
        <v>433</v>
      </c>
    </row>
    <row r="156" spans="1:9" ht="15.6" x14ac:dyDescent="0.3">
      <c r="A156" s="103" t="s">
        <v>432</v>
      </c>
      <c r="B156" s="103" t="s">
        <v>31</v>
      </c>
      <c r="C156" s="103" t="s">
        <v>32</v>
      </c>
      <c r="D156" s="103" t="s">
        <v>1</v>
      </c>
      <c r="E156" s="103" t="s">
        <v>384</v>
      </c>
      <c r="F156" s="103" t="s">
        <v>36</v>
      </c>
      <c r="G156" s="103" t="s">
        <v>55</v>
      </c>
      <c r="H156" s="103" t="s">
        <v>95</v>
      </c>
      <c r="I156" s="106" t="s">
        <v>401</v>
      </c>
    </row>
    <row r="157" spans="1:9" ht="15.6" x14ac:dyDescent="0.3">
      <c r="A157" s="103" t="s">
        <v>432</v>
      </c>
      <c r="B157" s="103" t="s">
        <v>46</v>
      </c>
      <c r="C157" s="103" t="s">
        <v>47</v>
      </c>
      <c r="D157" s="103" t="s">
        <v>1</v>
      </c>
      <c r="E157" s="103" t="s">
        <v>364</v>
      </c>
      <c r="F157" s="103" t="s">
        <v>88</v>
      </c>
      <c r="G157" s="103" t="s">
        <v>125</v>
      </c>
      <c r="H157" s="103" t="s">
        <v>116</v>
      </c>
      <c r="I157" s="104" t="s">
        <v>403</v>
      </c>
    </row>
    <row r="158" spans="1:9" ht="15.6" x14ac:dyDescent="0.3">
      <c r="A158" s="103" t="s">
        <v>432</v>
      </c>
      <c r="B158" s="103" t="s">
        <v>31</v>
      </c>
      <c r="C158" s="103" t="s">
        <v>32</v>
      </c>
      <c r="D158" s="103" t="s">
        <v>1</v>
      </c>
      <c r="E158" s="103" t="s">
        <v>384</v>
      </c>
      <c r="F158" s="103" t="s">
        <v>38</v>
      </c>
      <c r="G158" s="103" t="s">
        <v>55</v>
      </c>
      <c r="H158" s="103" t="s">
        <v>96</v>
      </c>
      <c r="I158" s="105" t="s">
        <v>402</v>
      </c>
    </row>
    <row r="159" spans="1:9" ht="15.6" x14ac:dyDescent="0.3">
      <c r="A159" s="103" t="s">
        <v>432</v>
      </c>
      <c r="B159" s="103" t="s">
        <v>46</v>
      </c>
      <c r="C159" s="103" t="s">
        <v>47</v>
      </c>
      <c r="D159" s="103" t="s">
        <v>1</v>
      </c>
      <c r="E159" s="103" t="s">
        <v>364</v>
      </c>
      <c r="F159" s="103" t="s">
        <v>80</v>
      </c>
      <c r="G159" s="103" t="s">
        <v>125</v>
      </c>
      <c r="H159" s="103" t="s">
        <v>90</v>
      </c>
      <c r="I159" s="105" t="s">
        <v>395</v>
      </c>
    </row>
    <row r="160" spans="1:9" ht="15.6" x14ac:dyDescent="0.3">
      <c r="A160" s="103" t="s">
        <v>432</v>
      </c>
      <c r="B160" s="103" t="s">
        <v>71</v>
      </c>
      <c r="C160" s="103" t="s">
        <v>72</v>
      </c>
      <c r="D160" s="103" t="s">
        <v>1</v>
      </c>
      <c r="E160" s="103" t="s">
        <v>364</v>
      </c>
      <c r="F160" s="103" t="s">
        <v>73</v>
      </c>
      <c r="G160" s="103" t="s">
        <v>74</v>
      </c>
      <c r="H160" s="103" t="s">
        <v>120</v>
      </c>
      <c r="I160" s="105" t="s">
        <v>423</v>
      </c>
    </row>
    <row r="161" spans="1:9" ht="15.6" x14ac:dyDescent="0.3">
      <c r="A161" s="101" t="s">
        <v>434</v>
      </c>
      <c r="B161" s="101" t="s">
        <v>64</v>
      </c>
      <c r="C161" s="101" t="s">
        <v>65</v>
      </c>
      <c r="D161" s="101" t="s">
        <v>1</v>
      </c>
      <c r="E161" s="101" t="s">
        <v>298</v>
      </c>
      <c r="F161" s="101" t="s">
        <v>28</v>
      </c>
      <c r="G161" s="101" t="s">
        <v>29</v>
      </c>
      <c r="H161" s="101" t="s">
        <v>66</v>
      </c>
      <c r="I161" s="102" t="s">
        <v>369</v>
      </c>
    </row>
    <row r="162" spans="1:9" ht="15.6" x14ac:dyDescent="0.3">
      <c r="A162" s="103" t="s">
        <v>434</v>
      </c>
      <c r="B162" s="103" t="s">
        <v>31</v>
      </c>
      <c r="C162" s="103" t="s">
        <v>32</v>
      </c>
      <c r="D162" s="103" t="s">
        <v>1</v>
      </c>
      <c r="E162" s="103" t="s">
        <v>384</v>
      </c>
      <c r="F162" s="103" t="s">
        <v>33</v>
      </c>
      <c r="G162" s="103" t="s">
        <v>55</v>
      </c>
      <c r="H162" s="103" t="s">
        <v>54</v>
      </c>
      <c r="I162" s="104" t="s">
        <v>370</v>
      </c>
    </row>
    <row r="163" spans="1:9" ht="15.6" x14ac:dyDescent="0.3">
      <c r="A163" s="103" t="s">
        <v>434</v>
      </c>
      <c r="B163" s="103" t="s">
        <v>31</v>
      </c>
      <c r="C163" s="103" t="s">
        <v>51</v>
      </c>
      <c r="D163" s="103" t="s">
        <v>1</v>
      </c>
      <c r="E163" s="103" t="s">
        <v>379</v>
      </c>
      <c r="F163" s="103" t="s">
        <v>33</v>
      </c>
      <c r="G163" s="103" t="s">
        <v>55</v>
      </c>
      <c r="H163" s="103" t="s">
        <v>54</v>
      </c>
      <c r="I163" s="104" t="s">
        <v>397</v>
      </c>
    </row>
    <row r="164" spans="1:9" ht="15.6" x14ac:dyDescent="0.3">
      <c r="A164" s="103" t="s">
        <v>434</v>
      </c>
      <c r="B164" s="103" t="s">
        <v>76</v>
      </c>
      <c r="C164" s="103" t="s">
        <v>77</v>
      </c>
      <c r="D164" s="103" t="s">
        <v>1</v>
      </c>
      <c r="E164" s="103" t="s">
        <v>398</v>
      </c>
      <c r="F164" s="103" t="s">
        <v>78</v>
      </c>
      <c r="G164" s="103" t="s">
        <v>55</v>
      </c>
      <c r="H164" s="103" t="s">
        <v>117</v>
      </c>
      <c r="I164" s="106" t="s">
        <v>399</v>
      </c>
    </row>
    <row r="165" spans="1:9" ht="15.6" x14ac:dyDescent="0.3">
      <c r="A165" s="103" t="s">
        <v>434</v>
      </c>
      <c r="B165" s="103" t="s">
        <v>26</v>
      </c>
      <c r="C165" s="103" t="s">
        <v>57</v>
      </c>
      <c r="D165" s="103" t="s">
        <v>1</v>
      </c>
      <c r="E165" s="103" t="s">
        <v>435</v>
      </c>
      <c r="F165" s="103" t="s">
        <v>167</v>
      </c>
      <c r="G165" s="103" t="s">
        <v>29</v>
      </c>
      <c r="H165" s="103" t="s">
        <v>30</v>
      </c>
      <c r="I165" s="104" t="s">
        <v>397</v>
      </c>
    </row>
    <row r="166" spans="1:9" ht="15.6" x14ac:dyDescent="0.3">
      <c r="A166" s="103" t="s">
        <v>434</v>
      </c>
      <c r="B166" s="103" t="s">
        <v>31</v>
      </c>
      <c r="C166" s="103" t="s">
        <v>32</v>
      </c>
      <c r="D166" s="103" t="s">
        <v>1</v>
      </c>
      <c r="E166" s="103" t="s">
        <v>384</v>
      </c>
      <c r="F166" s="103" t="s">
        <v>36</v>
      </c>
      <c r="G166" s="103" t="s">
        <v>55</v>
      </c>
      <c r="H166" s="103" t="s">
        <v>95</v>
      </c>
      <c r="I166" s="104" t="s">
        <v>382</v>
      </c>
    </row>
    <row r="167" spans="1:9" ht="15.6" x14ac:dyDescent="0.3">
      <c r="A167" s="103" t="s">
        <v>434</v>
      </c>
      <c r="B167" s="103" t="s">
        <v>31</v>
      </c>
      <c r="C167" s="103" t="s">
        <v>51</v>
      </c>
      <c r="D167" s="103" t="s">
        <v>1</v>
      </c>
      <c r="E167" s="103" t="s">
        <v>379</v>
      </c>
      <c r="F167" s="103" t="s">
        <v>36</v>
      </c>
      <c r="G167" s="103" t="s">
        <v>55</v>
      </c>
      <c r="H167" s="103" t="s">
        <v>95</v>
      </c>
      <c r="I167" s="106" t="s">
        <v>401</v>
      </c>
    </row>
    <row r="168" spans="1:9" ht="15.6" x14ac:dyDescent="0.3">
      <c r="A168" s="103" t="s">
        <v>434</v>
      </c>
      <c r="B168" s="103" t="s">
        <v>31</v>
      </c>
      <c r="C168" s="103" t="s">
        <v>32</v>
      </c>
      <c r="D168" s="103" t="s">
        <v>1</v>
      </c>
      <c r="E168" s="103" t="s">
        <v>384</v>
      </c>
      <c r="F168" s="103" t="s">
        <v>38</v>
      </c>
      <c r="G168" s="103" t="s">
        <v>55</v>
      </c>
      <c r="H168" s="103" t="s">
        <v>96</v>
      </c>
      <c r="I168" s="105" t="s">
        <v>383</v>
      </c>
    </row>
    <row r="169" spans="1:9" ht="15.6" x14ac:dyDescent="0.3">
      <c r="A169" s="103" t="s">
        <v>434</v>
      </c>
      <c r="B169" s="103" t="s">
        <v>31</v>
      </c>
      <c r="C169" s="103" t="s">
        <v>51</v>
      </c>
      <c r="D169" s="103" t="s">
        <v>1</v>
      </c>
      <c r="E169" s="103" t="s">
        <v>379</v>
      </c>
      <c r="F169" s="103" t="s">
        <v>38</v>
      </c>
      <c r="G169" s="103" t="s">
        <v>55</v>
      </c>
      <c r="H169" s="103" t="s">
        <v>96</v>
      </c>
      <c r="I169" s="105" t="s">
        <v>402</v>
      </c>
    </row>
    <row r="170" spans="1:9" ht="15.6" x14ac:dyDescent="0.3">
      <c r="A170" s="103" t="s">
        <v>434</v>
      </c>
      <c r="B170" s="103" t="s">
        <v>76</v>
      </c>
      <c r="C170" s="103" t="s">
        <v>77</v>
      </c>
      <c r="D170" s="103" t="s">
        <v>1</v>
      </c>
      <c r="E170" s="103" t="s">
        <v>398</v>
      </c>
      <c r="F170" s="103" t="s">
        <v>80</v>
      </c>
      <c r="G170" s="103" t="s">
        <v>55</v>
      </c>
      <c r="H170" s="103" t="s">
        <v>170</v>
      </c>
      <c r="I170" s="105" t="s">
        <v>414</v>
      </c>
    </row>
    <row r="171" spans="1:9" ht="15.6" x14ac:dyDescent="0.3">
      <c r="A171" s="103" t="s">
        <v>434</v>
      </c>
      <c r="B171" s="103" t="s">
        <v>46</v>
      </c>
      <c r="C171" s="103" t="s">
        <v>47</v>
      </c>
      <c r="D171" s="103" t="s">
        <v>1</v>
      </c>
      <c r="E171" s="103" t="s">
        <v>364</v>
      </c>
      <c r="F171" s="103" t="s">
        <v>80</v>
      </c>
      <c r="G171" s="103" t="s">
        <v>125</v>
      </c>
      <c r="H171" s="103" t="s">
        <v>90</v>
      </c>
      <c r="I171" s="105" t="s">
        <v>386</v>
      </c>
    </row>
    <row r="172" spans="1:9" ht="15.6" x14ac:dyDescent="0.3">
      <c r="A172" s="103" t="s">
        <v>434</v>
      </c>
      <c r="B172" s="103" t="s">
        <v>71</v>
      </c>
      <c r="C172" s="103" t="s">
        <v>72</v>
      </c>
      <c r="D172" s="103" t="s">
        <v>1</v>
      </c>
      <c r="E172" s="103" t="s">
        <v>364</v>
      </c>
      <c r="F172" s="103" t="s">
        <v>73</v>
      </c>
      <c r="G172" s="103" t="s">
        <v>74</v>
      </c>
      <c r="H172" s="103" t="s">
        <v>120</v>
      </c>
      <c r="I172" s="105" t="s">
        <v>405</v>
      </c>
    </row>
    <row r="173" spans="1:9" ht="15.6" x14ac:dyDescent="0.3">
      <c r="A173" s="103" t="s">
        <v>436</v>
      </c>
      <c r="B173" s="103" t="s">
        <v>31</v>
      </c>
      <c r="C173" s="103" t="s">
        <v>32</v>
      </c>
      <c r="D173" s="103" t="s">
        <v>1</v>
      </c>
      <c r="E173" s="103" t="s">
        <v>418</v>
      </c>
      <c r="F173" s="103" t="s">
        <v>33</v>
      </c>
      <c r="G173" s="103" t="s">
        <v>58</v>
      </c>
      <c r="H173" s="103" t="s">
        <v>54</v>
      </c>
      <c r="I173" s="104" t="s">
        <v>370</v>
      </c>
    </row>
    <row r="174" spans="1:9" ht="15.6" x14ac:dyDescent="0.3">
      <c r="A174" s="103" t="s">
        <v>436</v>
      </c>
      <c r="B174" s="103" t="s">
        <v>31</v>
      </c>
      <c r="C174" s="103" t="s">
        <v>32</v>
      </c>
      <c r="D174" s="103" t="s">
        <v>1</v>
      </c>
      <c r="E174" s="103" t="s">
        <v>418</v>
      </c>
      <c r="F174" s="103" t="s">
        <v>36</v>
      </c>
      <c r="G174" s="103" t="s">
        <v>58</v>
      </c>
      <c r="H174" s="103" t="s">
        <v>95</v>
      </c>
      <c r="I174" s="104" t="s">
        <v>382</v>
      </c>
    </row>
    <row r="175" spans="1:9" ht="15.6" x14ac:dyDescent="0.3">
      <c r="A175" s="103" t="s">
        <v>436</v>
      </c>
      <c r="B175" s="103" t="s">
        <v>31</v>
      </c>
      <c r="C175" s="103" t="s">
        <v>32</v>
      </c>
      <c r="D175" s="103" t="s">
        <v>1</v>
      </c>
      <c r="E175" s="103" t="s">
        <v>418</v>
      </c>
      <c r="F175" s="103" t="s">
        <v>38</v>
      </c>
      <c r="G175" s="103" t="s">
        <v>58</v>
      </c>
      <c r="H175" s="103" t="s">
        <v>96</v>
      </c>
      <c r="I175" s="105" t="s">
        <v>383</v>
      </c>
    </row>
    <row r="176" spans="1:9" ht="15.6" x14ac:dyDescent="0.3">
      <c r="A176" s="103" t="s">
        <v>436</v>
      </c>
      <c r="B176" s="103" t="s">
        <v>46</v>
      </c>
      <c r="C176" s="103" t="s">
        <v>47</v>
      </c>
      <c r="D176" s="103" t="s">
        <v>1</v>
      </c>
      <c r="E176" s="103" t="s">
        <v>364</v>
      </c>
      <c r="F176" s="103" t="s">
        <v>80</v>
      </c>
      <c r="G176" s="103" t="s">
        <v>124</v>
      </c>
      <c r="H176" s="103" t="s">
        <v>90</v>
      </c>
      <c r="I176" s="105" t="s">
        <v>386</v>
      </c>
    </row>
    <row r="177" spans="1:9" ht="15.6" x14ac:dyDescent="0.3">
      <c r="A177" s="103" t="s">
        <v>436</v>
      </c>
      <c r="B177" s="103" t="s">
        <v>71</v>
      </c>
      <c r="C177" s="103" t="s">
        <v>72</v>
      </c>
      <c r="D177" s="103" t="s">
        <v>1</v>
      </c>
      <c r="E177" s="103" t="s">
        <v>364</v>
      </c>
      <c r="F177" s="103" t="s">
        <v>73</v>
      </c>
      <c r="G177" s="103" t="s">
        <v>74</v>
      </c>
      <c r="H177" s="103" t="s">
        <v>120</v>
      </c>
      <c r="I177" s="105" t="s">
        <v>405</v>
      </c>
    </row>
    <row r="178" spans="1:9" ht="15.6" x14ac:dyDescent="0.3">
      <c r="A178" s="101" t="s">
        <v>437</v>
      </c>
      <c r="B178" s="101" t="s">
        <v>64</v>
      </c>
      <c r="C178" s="101" t="s">
        <v>65</v>
      </c>
      <c r="D178" s="101" t="s">
        <v>1</v>
      </c>
      <c r="E178" s="101" t="s">
        <v>288</v>
      </c>
      <c r="F178" s="101" t="s">
        <v>28</v>
      </c>
      <c r="G178" s="101" t="s">
        <v>29</v>
      </c>
      <c r="H178" s="101" t="s">
        <v>172</v>
      </c>
      <c r="I178" s="102" t="s">
        <v>369</v>
      </c>
    </row>
    <row r="179" spans="1:9" ht="15.6" x14ac:dyDescent="0.3">
      <c r="A179" s="103" t="s">
        <v>437</v>
      </c>
      <c r="B179" s="103" t="s">
        <v>46</v>
      </c>
      <c r="C179" s="103" t="s">
        <v>47</v>
      </c>
      <c r="D179" s="103" t="s">
        <v>1</v>
      </c>
      <c r="E179" s="103" t="s">
        <v>364</v>
      </c>
      <c r="F179" s="103" t="s">
        <v>85</v>
      </c>
      <c r="G179" s="103" t="s">
        <v>93</v>
      </c>
      <c r="H179" s="103" t="s">
        <v>115</v>
      </c>
      <c r="I179" s="106" t="s">
        <v>401</v>
      </c>
    </row>
    <row r="180" spans="1:9" ht="15.6" x14ac:dyDescent="0.3">
      <c r="A180" s="103" t="s">
        <v>437</v>
      </c>
      <c r="B180" s="103" t="s">
        <v>31</v>
      </c>
      <c r="C180" s="103" t="s">
        <v>51</v>
      </c>
      <c r="D180" s="103" t="s">
        <v>1</v>
      </c>
      <c r="E180" s="103" t="s">
        <v>379</v>
      </c>
      <c r="F180" s="103" t="s">
        <v>33</v>
      </c>
      <c r="G180" s="103" t="s">
        <v>34</v>
      </c>
      <c r="H180" s="103" t="s">
        <v>54</v>
      </c>
      <c r="I180" s="106" t="s">
        <v>428</v>
      </c>
    </row>
    <row r="181" spans="1:9" ht="15.6" x14ac:dyDescent="0.3">
      <c r="A181" s="103" t="s">
        <v>437</v>
      </c>
      <c r="B181" s="103" t="s">
        <v>31</v>
      </c>
      <c r="C181" s="103" t="s">
        <v>32</v>
      </c>
      <c r="D181" s="103" t="s">
        <v>1</v>
      </c>
      <c r="E181" s="103" t="s">
        <v>384</v>
      </c>
      <c r="F181" s="103" t="s">
        <v>33</v>
      </c>
      <c r="G181" s="103" t="s">
        <v>58</v>
      </c>
      <c r="H181" s="103" t="s">
        <v>56</v>
      </c>
      <c r="I181" s="106" t="s">
        <v>430</v>
      </c>
    </row>
    <row r="182" spans="1:9" ht="15.6" x14ac:dyDescent="0.3">
      <c r="A182" s="103" t="s">
        <v>437</v>
      </c>
      <c r="B182" s="103" t="s">
        <v>26</v>
      </c>
      <c r="C182" s="103" t="s">
        <v>57</v>
      </c>
      <c r="D182" s="103" t="s">
        <v>1</v>
      </c>
      <c r="E182" s="103" t="s">
        <v>359</v>
      </c>
      <c r="F182" s="103" t="s">
        <v>167</v>
      </c>
      <c r="G182" s="103" t="s">
        <v>29</v>
      </c>
      <c r="H182" s="103" t="s">
        <v>30</v>
      </c>
      <c r="I182" s="105" t="s">
        <v>392</v>
      </c>
    </row>
    <row r="183" spans="1:9" ht="15.6" x14ac:dyDescent="0.3">
      <c r="A183" s="103" t="s">
        <v>437</v>
      </c>
      <c r="B183" s="103" t="s">
        <v>31</v>
      </c>
      <c r="C183" s="103" t="s">
        <v>51</v>
      </c>
      <c r="D183" s="103" t="s">
        <v>1</v>
      </c>
      <c r="E183" s="103" t="s">
        <v>379</v>
      </c>
      <c r="F183" s="103" t="s">
        <v>36</v>
      </c>
      <c r="G183" s="103" t="s">
        <v>34</v>
      </c>
      <c r="H183" s="103" t="s">
        <v>95</v>
      </c>
      <c r="I183" s="105" t="s">
        <v>413</v>
      </c>
    </row>
    <row r="184" spans="1:9" ht="15.6" x14ac:dyDescent="0.3">
      <c r="A184" s="103" t="s">
        <v>437</v>
      </c>
      <c r="B184" s="103" t="s">
        <v>46</v>
      </c>
      <c r="C184" s="103" t="s">
        <v>47</v>
      </c>
      <c r="D184" s="103" t="s">
        <v>1</v>
      </c>
      <c r="E184" s="103" t="s">
        <v>364</v>
      </c>
      <c r="F184" s="103" t="s">
        <v>88</v>
      </c>
      <c r="G184" s="103" t="s">
        <v>93</v>
      </c>
      <c r="H184" s="103" t="s">
        <v>116</v>
      </c>
      <c r="I184" s="106" t="s">
        <v>401</v>
      </c>
    </row>
    <row r="185" spans="1:9" ht="15.6" x14ac:dyDescent="0.3">
      <c r="A185" s="103" t="s">
        <v>437</v>
      </c>
      <c r="B185" s="103" t="s">
        <v>31</v>
      </c>
      <c r="C185" s="103" t="s">
        <v>32</v>
      </c>
      <c r="D185" s="103" t="s">
        <v>1</v>
      </c>
      <c r="E185" s="103" t="s">
        <v>384</v>
      </c>
      <c r="F185" s="103" t="s">
        <v>36</v>
      </c>
      <c r="G185" s="103" t="s">
        <v>58</v>
      </c>
      <c r="H185" s="103" t="s">
        <v>153</v>
      </c>
      <c r="I185" s="106" t="s">
        <v>399</v>
      </c>
    </row>
    <row r="186" spans="1:9" ht="15.6" x14ac:dyDescent="0.3">
      <c r="A186" s="103" t="s">
        <v>437</v>
      </c>
      <c r="B186" s="103" t="s">
        <v>31</v>
      </c>
      <c r="C186" s="103" t="s">
        <v>51</v>
      </c>
      <c r="D186" s="103" t="s">
        <v>1</v>
      </c>
      <c r="E186" s="103" t="s">
        <v>379</v>
      </c>
      <c r="F186" s="103" t="s">
        <v>38</v>
      </c>
      <c r="G186" s="103" t="s">
        <v>34</v>
      </c>
      <c r="H186" s="103" t="s">
        <v>96</v>
      </c>
      <c r="I186" s="105" t="s">
        <v>438</v>
      </c>
    </row>
    <row r="187" spans="1:9" ht="15.6" x14ac:dyDescent="0.3">
      <c r="A187" s="103" t="s">
        <v>437</v>
      </c>
      <c r="B187" s="103" t="s">
        <v>31</v>
      </c>
      <c r="C187" s="103" t="s">
        <v>32</v>
      </c>
      <c r="D187" s="103" t="s">
        <v>1</v>
      </c>
      <c r="E187" s="103" t="s">
        <v>384</v>
      </c>
      <c r="F187" s="103" t="s">
        <v>38</v>
      </c>
      <c r="G187" s="103" t="s">
        <v>58</v>
      </c>
      <c r="H187" s="103" t="s">
        <v>154</v>
      </c>
      <c r="I187" s="105" t="s">
        <v>439</v>
      </c>
    </row>
    <row r="188" spans="1:9" ht="15.6" x14ac:dyDescent="0.3">
      <c r="A188" s="103" t="s">
        <v>437</v>
      </c>
      <c r="B188" s="103" t="s">
        <v>46</v>
      </c>
      <c r="C188" s="103" t="s">
        <v>47</v>
      </c>
      <c r="D188" s="103" t="s">
        <v>1</v>
      </c>
      <c r="E188" s="103" t="s">
        <v>364</v>
      </c>
      <c r="F188" s="103" t="s">
        <v>80</v>
      </c>
      <c r="G188" s="103" t="s">
        <v>93</v>
      </c>
      <c r="H188" s="103" t="s">
        <v>90</v>
      </c>
      <c r="I188" s="105" t="s">
        <v>440</v>
      </c>
    </row>
    <row r="189" spans="1:9" ht="15.6" x14ac:dyDescent="0.3">
      <c r="A189" s="103" t="s">
        <v>437</v>
      </c>
      <c r="B189" s="103" t="s">
        <v>71</v>
      </c>
      <c r="C189" s="103" t="s">
        <v>72</v>
      </c>
      <c r="D189" s="103" t="s">
        <v>1</v>
      </c>
      <c r="E189" s="103" t="s">
        <v>364</v>
      </c>
      <c r="F189" s="103" t="s">
        <v>73</v>
      </c>
      <c r="G189" s="103" t="s">
        <v>74</v>
      </c>
      <c r="H189" s="103" t="s">
        <v>120</v>
      </c>
      <c r="I189" s="105" t="s">
        <v>441</v>
      </c>
    </row>
    <row r="190" spans="1:9" ht="15.6" x14ac:dyDescent="0.3">
      <c r="A190" s="103" t="s">
        <v>442</v>
      </c>
      <c r="B190" s="103" t="s">
        <v>82</v>
      </c>
      <c r="C190" s="103" t="s">
        <v>83</v>
      </c>
      <c r="D190" s="103" t="s">
        <v>1</v>
      </c>
      <c r="E190" s="103" t="s">
        <v>376</v>
      </c>
      <c r="F190" s="103" t="s">
        <v>167</v>
      </c>
      <c r="G190" s="103" t="s">
        <v>98</v>
      </c>
      <c r="H190" s="103" t="s">
        <v>164</v>
      </c>
      <c r="I190" s="106" t="s">
        <v>428</v>
      </c>
    </row>
    <row r="191" spans="1:9" ht="15.6" x14ac:dyDescent="0.3">
      <c r="A191" s="101" t="s">
        <v>443</v>
      </c>
      <c r="B191" s="101" t="s">
        <v>64</v>
      </c>
      <c r="C191" s="101" t="s">
        <v>65</v>
      </c>
      <c r="D191" s="101" t="s">
        <v>1</v>
      </c>
      <c r="E191" s="101" t="s">
        <v>298</v>
      </c>
      <c r="F191" s="101" t="s">
        <v>167</v>
      </c>
      <c r="G191" s="101" t="s">
        <v>97</v>
      </c>
      <c r="H191" s="101" t="s">
        <v>66</v>
      </c>
      <c r="I191" s="102" t="s">
        <v>369</v>
      </c>
    </row>
    <row r="192" spans="1:9" ht="15.6" x14ac:dyDescent="0.3">
      <c r="A192" s="103" t="s">
        <v>443</v>
      </c>
      <c r="B192" s="103" t="s">
        <v>46</v>
      </c>
      <c r="C192" s="103" t="s">
        <v>47</v>
      </c>
      <c r="D192" s="103" t="s">
        <v>1</v>
      </c>
      <c r="E192" s="103" t="s">
        <v>364</v>
      </c>
      <c r="F192" s="103" t="s">
        <v>85</v>
      </c>
      <c r="G192" s="103" t="s">
        <v>125</v>
      </c>
      <c r="H192" s="103" t="s">
        <v>135</v>
      </c>
      <c r="I192" s="104" t="s">
        <v>382</v>
      </c>
    </row>
    <row r="193" spans="1:9" ht="15.6" x14ac:dyDescent="0.3">
      <c r="A193" s="103" t="s">
        <v>443</v>
      </c>
      <c r="B193" s="103" t="s">
        <v>31</v>
      </c>
      <c r="C193" s="103" t="s">
        <v>51</v>
      </c>
      <c r="D193" s="103" t="s">
        <v>1</v>
      </c>
      <c r="E193" s="103" t="s">
        <v>379</v>
      </c>
      <c r="F193" s="103" t="s">
        <v>33</v>
      </c>
      <c r="G193" s="103" t="s">
        <v>55</v>
      </c>
      <c r="H193" s="103" t="s">
        <v>35</v>
      </c>
      <c r="I193" s="104" t="s">
        <v>403</v>
      </c>
    </row>
    <row r="194" spans="1:9" ht="15.6" x14ac:dyDescent="0.3">
      <c r="A194" s="103" t="s">
        <v>443</v>
      </c>
      <c r="B194" s="103" t="s">
        <v>40</v>
      </c>
      <c r="C194" s="103" t="s">
        <v>60</v>
      </c>
      <c r="D194" s="103" t="s">
        <v>1</v>
      </c>
      <c r="E194" s="103" t="s">
        <v>366</v>
      </c>
      <c r="F194" s="103" t="s">
        <v>101</v>
      </c>
      <c r="G194" s="103" t="s">
        <v>29</v>
      </c>
      <c r="H194" s="103" t="s">
        <v>178</v>
      </c>
      <c r="I194" s="104" t="s">
        <v>382</v>
      </c>
    </row>
    <row r="195" spans="1:9" ht="15.6" x14ac:dyDescent="0.3">
      <c r="A195" s="103" t="s">
        <v>443</v>
      </c>
      <c r="B195" s="103" t="s">
        <v>82</v>
      </c>
      <c r="C195" s="103" t="s">
        <v>83</v>
      </c>
      <c r="D195" s="103" t="s">
        <v>1</v>
      </c>
      <c r="E195" s="103" t="s">
        <v>380</v>
      </c>
      <c r="F195" s="103" t="s">
        <v>167</v>
      </c>
      <c r="G195" s="103" t="s">
        <v>100</v>
      </c>
      <c r="H195" s="103" t="s">
        <v>164</v>
      </c>
      <c r="I195" s="106" t="s">
        <v>428</v>
      </c>
    </row>
    <row r="196" spans="1:9" ht="15.6" x14ac:dyDescent="0.3">
      <c r="A196" s="103" t="s">
        <v>443</v>
      </c>
      <c r="B196" s="103" t="s">
        <v>40</v>
      </c>
      <c r="C196" s="103" t="s">
        <v>44</v>
      </c>
      <c r="D196" s="103" t="s">
        <v>1</v>
      </c>
      <c r="E196" s="103" t="s">
        <v>362</v>
      </c>
      <c r="F196" s="103" t="s">
        <v>101</v>
      </c>
      <c r="G196" s="103" t="s">
        <v>29</v>
      </c>
      <c r="H196" s="103" t="s">
        <v>179</v>
      </c>
      <c r="I196" s="104" t="s">
        <v>403</v>
      </c>
    </row>
    <row r="197" spans="1:9" ht="15.6" x14ac:dyDescent="0.3">
      <c r="A197" s="103" t="s">
        <v>443</v>
      </c>
      <c r="B197" s="103" t="s">
        <v>46</v>
      </c>
      <c r="C197" s="103" t="s">
        <v>47</v>
      </c>
      <c r="D197" s="103" t="s">
        <v>1</v>
      </c>
      <c r="E197" s="103" t="s">
        <v>364</v>
      </c>
      <c r="F197" s="103" t="s">
        <v>88</v>
      </c>
      <c r="G197" s="103" t="s">
        <v>125</v>
      </c>
      <c r="H197" s="103" t="s">
        <v>136</v>
      </c>
      <c r="I197" s="104" t="s">
        <v>382</v>
      </c>
    </row>
    <row r="198" spans="1:9" ht="15.6" x14ac:dyDescent="0.3">
      <c r="A198" s="103" t="s">
        <v>443</v>
      </c>
      <c r="B198" s="103" t="s">
        <v>26</v>
      </c>
      <c r="C198" s="103" t="s">
        <v>99</v>
      </c>
      <c r="D198" s="103" t="s">
        <v>1</v>
      </c>
      <c r="E198" s="103" t="s">
        <v>381</v>
      </c>
      <c r="F198" s="103" t="s">
        <v>167</v>
      </c>
      <c r="G198" s="103" t="s">
        <v>100</v>
      </c>
      <c r="H198" s="103" t="s">
        <v>130</v>
      </c>
      <c r="I198" s="106" t="s">
        <v>444</v>
      </c>
    </row>
    <row r="199" spans="1:9" ht="15.6" x14ac:dyDescent="0.3">
      <c r="A199" s="103" t="s">
        <v>443</v>
      </c>
      <c r="B199" s="103" t="s">
        <v>31</v>
      </c>
      <c r="C199" s="103" t="s">
        <v>51</v>
      </c>
      <c r="D199" s="103" t="s">
        <v>1</v>
      </c>
      <c r="E199" s="103" t="s">
        <v>379</v>
      </c>
      <c r="F199" s="103" t="s">
        <v>36</v>
      </c>
      <c r="G199" s="103" t="s">
        <v>55</v>
      </c>
      <c r="H199" s="103" t="s">
        <v>37</v>
      </c>
      <c r="I199" s="104" t="s">
        <v>445</v>
      </c>
    </row>
    <row r="200" spans="1:9" ht="15.6" x14ac:dyDescent="0.3">
      <c r="A200" s="103" t="s">
        <v>443</v>
      </c>
      <c r="B200" s="103" t="s">
        <v>40</v>
      </c>
      <c r="C200" s="103" t="s">
        <v>41</v>
      </c>
      <c r="D200" s="103" t="s">
        <v>1</v>
      </c>
      <c r="E200" s="103" t="s">
        <v>361</v>
      </c>
      <c r="F200" s="103" t="s">
        <v>42</v>
      </c>
      <c r="G200" s="103" t="s">
        <v>29</v>
      </c>
      <c r="H200" s="103" t="s">
        <v>142</v>
      </c>
      <c r="I200" s="105" t="s">
        <v>446</v>
      </c>
    </row>
    <row r="201" spans="1:9" ht="15.6" x14ac:dyDescent="0.3">
      <c r="A201" s="103" t="s">
        <v>443</v>
      </c>
      <c r="B201" s="103" t="s">
        <v>31</v>
      </c>
      <c r="C201" s="103" t="s">
        <v>32</v>
      </c>
      <c r="D201" s="103" t="s">
        <v>1</v>
      </c>
      <c r="E201" s="103" t="s">
        <v>384</v>
      </c>
      <c r="F201" s="103" t="s">
        <v>36</v>
      </c>
      <c r="G201" s="103" t="s">
        <v>97</v>
      </c>
      <c r="H201" s="103" t="s">
        <v>141</v>
      </c>
      <c r="I201" s="104" t="s">
        <v>389</v>
      </c>
    </row>
    <row r="202" spans="1:9" ht="15.6" x14ac:dyDescent="0.3">
      <c r="A202" s="103" t="s">
        <v>443</v>
      </c>
      <c r="B202" s="103" t="s">
        <v>26</v>
      </c>
      <c r="C202" s="103" t="s">
        <v>57</v>
      </c>
      <c r="D202" s="103" t="s">
        <v>1</v>
      </c>
      <c r="E202" s="103" t="s">
        <v>359</v>
      </c>
      <c r="F202" s="103" t="s">
        <v>167</v>
      </c>
      <c r="G202" s="103" t="s">
        <v>74</v>
      </c>
      <c r="H202" s="103" t="s">
        <v>176</v>
      </c>
      <c r="I202" s="104" t="s">
        <v>403</v>
      </c>
    </row>
    <row r="203" spans="1:9" ht="15.6" x14ac:dyDescent="0.3">
      <c r="A203" s="103" t="s">
        <v>443</v>
      </c>
      <c r="B203" s="103" t="s">
        <v>31</v>
      </c>
      <c r="C203" s="103" t="s">
        <v>51</v>
      </c>
      <c r="D203" s="103" t="s">
        <v>1</v>
      </c>
      <c r="E203" s="103" t="s">
        <v>379</v>
      </c>
      <c r="F203" s="103" t="s">
        <v>38</v>
      </c>
      <c r="G203" s="103" t="s">
        <v>55</v>
      </c>
      <c r="H203" s="103" t="s">
        <v>39</v>
      </c>
      <c r="I203" s="105" t="s">
        <v>447</v>
      </c>
    </row>
    <row r="204" spans="1:9" ht="15.6" x14ac:dyDescent="0.3">
      <c r="A204" s="103" t="s">
        <v>443</v>
      </c>
      <c r="B204" s="103" t="s">
        <v>31</v>
      </c>
      <c r="C204" s="103" t="s">
        <v>32</v>
      </c>
      <c r="D204" s="103" t="s">
        <v>1</v>
      </c>
      <c r="E204" s="103" t="s">
        <v>384</v>
      </c>
      <c r="F204" s="103" t="s">
        <v>38</v>
      </c>
      <c r="G204" s="103" t="s">
        <v>97</v>
      </c>
      <c r="H204" s="103" t="s">
        <v>177</v>
      </c>
      <c r="I204" s="105" t="s">
        <v>414</v>
      </c>
    </row>
    <row r="205" spans="1:9" ht="15.6" x14ac:dyDescent="0.3">
      <c r="A205" s="103" t="s">
        <v>443</v>
      </c>
      <c r="B205" s="103" t="s">
        <v>46</v>
      </c>
      <c r="C205" s="103" t="s">
        <v>47</v>
      </c>
      <c r="D205" s="103" t="s">
        <v>1</v>
      </c>
      <c r="E205" s="103" t="s">
        <v>364</v>
      </c>
      <c r="F205" s="103" t="s">
        <v>80</v>
      </c>
      <c r="G205" s="103" t="s">
        <v>125</v>
      </c>
      <c r="H205" s="103" t="s">
        <v>90</v>
      </c>
      <c r="I205" s="105" t="s">
        <v>440</v>
      </c>
    </row>
    <row r="206" spans="1:9" ht="15.6" x14ac:dyDescent="0.3">
      <c r="A206" s="103" t="s">
        <v>443</v>
      </c>
      <c r="B206" s="103" t="s">
        <v>71</v>
      </c>
      <c r="C206" s="103" t="s">
        <v>72</v>
      </c>
      <c r="D206" s="103" t="s">
        <v>1</v>
      </c>
      <c r="E206" s="103" t="s">
        <v>364</v>
      </c>
      <c r="F206" s="103" t="s">
        <v>73</v>
      </c>
      <c r="G206" s="103" t="s">
        <v>74</v>
      </c>
      <c r="H206" s="103" t="s">
        <v>113</v>
      </c>
      <c r="I206" s="105" t="s">
        <v>448</v>
      </c>
    </row>
    <row r="207" spans="1:9" ht="15.6" x14ac:dyDescent="0.3">
      <c r="A207" s="101" t="s">
        <v>449</v>
      </c>
      <c r="B207" s="101" t="s">
        <v>64</v>
      </c>
      <c r="C207" s="101" t="s">
        <v>65</v>
      </c>
      <c r="D207" s="101" t="s">
        <v>1</v>
      </c>
      <c r="E207" s="101" t="s">
        <v>305</v>
      </c>
      <c r="F207" s="101" t="s">
        <v>167</v>
      </c>
      <c r="G207" s="101" t="s">
        <v>74</v>
      </c>
      <c r="H207" s="101" t="s">
        <v>110</v>
      </c>
      <c r="I207" s="102" t="s">
        <v>369</v>
      </c>
    </row>
    <row r="208" spans="1:9" ht="15.6" x14ac:dyDescent="0.3">
      <c r="A208" s="103" t="s">
        <v>449</v>
      </c>
      <c r="B208" s="103" t="s">
        <v>46</v>
      </c>
      <c r="C208" s="103" t="s">
        <v>47</v>
      </c>
      <c r="D208" s="103" t="s">
        <v>1</v>
      </c>
      <c r="E208" s="103" t="s">
        <v>364</v>
      </c>
      <c r="F208" s="103" t="s">
        <v>85</v>
      </c>
      <c r="G208" s="103" t="s">
        <v>150</v>
      </c>
      <c r="H208" s="103" t="s">
        <v>183</v>
      </c>
      <c r="I208" s="104" t="s">
        <v>411</v>
      </c>
    </row>
    <row r="209" spans="1:9" ht="15.6" x14ac:dyDescent="0.3">
      <c r="A209" s="103" t="s">
        <v>449</v>
      </c>
      <c r="B209" s="103" t="s">
        <v>40</v>
      </c>
      <c r="C209" s="103" t="s">
        <v>60</v>
      </c>
      <c r="D209" s="103" t="s">
        <v>1</v>
      </c>
      <c r="E209" s="103" t="s">
        <v>366</v>
      </c>
      <c r="F209" s="103" t="s">
        <v>101</v>
      </c>
      <c r="G209" s="103" t="s">
        <v>29</v>
      </c>
      <c r="H209" s="103" t="s">
        <v>178</v>
      </c>
      <c r="I209" s="104" t="s">
        <v>382</v>
      </c>
    </row>
    <row r="210" spans="1:9" ht="15.6" x14ac:dyDescent="0.3">
      <c r="A210" s="103" t="s">
        <v>449</v>
      </c>
      <c r="B210" s="103" t="s">
        <v>31</v>
      </c>
      <c r="C210" s="103" t="s">
        <v>32</v>
      </c>
      <c r="D210" s="103" t="s">
        <v>1</v>
      </c>
      <c r="E210" s="103" t="s">
        <v>384</v>
      </c>
      <c r="F210" s="103" t="s">
        <v>33</v>
      </c>
      <c r="G210" s="103" t="s">
        <v>100</v>
      </c>
      <c r="H210" s="103" t="s">
        <v>136</v>
      </c>
      <c r="I210" s="104" t="s">
        <v>373</v>
      </c>
    </row>
    <row r="211" spans="1:9" ht="15.6" x14ac:dyDescent="0.3">
      <c r="A211" s="103" t="s">
        <v>449</v>
      </c>
      <c r="B211" s="103" t="s">
        <v>40</v>
      </c>
      <c r="C211" s="103" t="s">
        <v>41</v>
      </c>
      <c r="D211" s="103" t="s">
        <v>1</v>
      </c>
      <c r="E211" s="103" t="s">
        <v>361</v>
      </c>
      <c r="F211" s="103" t="s">
        <v>42</v>
      </c>
      <c r="G211" s="103" t="s">
        <v>29</v>
      </c>
      <c r="H211" s="103" t="s">
        <v>108</v>
      </c>
      <c r="I211" s="105" t="s">
        <v>423</v>
      </c>
    </row>
    <row r="212" spans="1:9" ht="15.6" x14ac:dyDescent="0.3">
      <c r="A212" s="103" t="s">
        <v>449</v>
      </c>
      <c r="B212" s="103" t="s">
        <v>26</v>
      </c>
      <c r="C212" s="103" t="s">
        <v>27</v>
      </c>
      <c r="D212" s="103" t="s">
        <v>1</v>
      </c>
      <c r="E212" s="103" t="s">
        <v>359</v>
      </c>
      <c r="F212" s="103" t="s">
        <v>167</v>
      </c>
      <c r="G212" s="103" t="s">
        <v>34</v>
      </c>
      <c r="H212" s="103" t="s">
        <v>130</v>
      </c>
      <c r="I212" s="106" t="s">
        <v>399</v>
      </c>
    </row>
    <row r="213" spans="1:9" ht="15.6" x14ac:dyDescent="0.3">
      <c r="A213" s="103" t="s">
        <v>449</v>
      </c>
      <c r="B213" s="103" t="s">
        <v>82</v>
      </c>
      <c r="C213" s="103" t="s">
        <v>123</v>
      </c>
      <c r="D213" s="103" t="s">
        <v>1</v>
      </c>
      <c r="E213" s="103" t="s">
        <v>450</v>
      </c>
      <c r="F213" s="103" t="s">
        <v>167</v>
      </c>
      <c r="G213" s="103" t="s">
        <v>29</v>
      </c>
      <c r="H213" s="103" t="s">
        <v>185</v>
      </c>
      <c r="I213" s="104" t="s">
        <v>391</v>
      </c>
    </row>
    <row r="214" spans="1:9" ht="15.6" x14ac:dyDescent="0.3">
      <c r="A214" s="103" t="s">
        <v>449</v>
      </c>
      <c r="B214" s="103" t="s">
        <v>40</v>
      </c>
      <c r="C214" s="103" t="s">
        <v>44</v>
      </c>
      <c r="D214" s="103" t="s">
        <v>1</v>
      </c>
      <c r="E214" s="103" t="s">
        <v>362</v>
      </c>
      <c r="F214" s="103" t="s">
        <v>42</v>
      </c>
      <c r="G214" s="103" t="s">
        <v>29</v>
      </c>
      <c r="H214" s="103" t="s">
        <v>184</v>
      </c>
      <c r="I214" s="105" t="s">
        <v>386</v>
      </c>
    </row>
    <row r="215" spans="1:9" ht="15.6" x14ac:dyDescent="0.3">
      <c r="A215" s="103" t="s">
        <v>449</v>
      </c>
      <c r="B215" s="103" t="s">
        <v>46</v>
      </c>
      <c r="C215" s="103" t="s">
        <v>47</v>
      </c>
      <c r="D215" s="103" t="s">
        <v>1</v>
      </c>
      <c r="E215" s="103" t="s">
        <v>364</v>
      </c>
      <c r="F215" s="103" t="s">
        <v>88</v>
      </c>
      <c r="G215" s="103" t="s">
        <v>150</v>
      </c>
      <c r="H215" s="103" t="s">
        <v>141</v>
      </c>
      <c r="I215" s="104" t="s">
        <v>411</v>
      </c>
    </row>
    <row r="216" spans="1:9" ht="15.6" x14ac:dyDescent="0.3">
      <c r="A216" s="103" t="s">
        <v>449</v>
      </c>
      <c r="B216" s="103" t="s">
        <v>31</v>
      </c>
      <c r="C216" s="103" t="s">
        <v>32</v>
      </c>
      <c r="D216" s="103" t="s">
        <v>1</v>
      </c>
      <c r="E216" s="103" t="s">
        <v>384</v>
      </c>
      <c r="F216" s="103" t="s">
        <v>36</v>
      </c>
      <c r="G216" s="103" t="s">
        <v>100</v>
      </c>
      <c r="H216" s="103" t="s">
        <v>141</v>
      </c>
      <c r="I216" s="106" t="s">
        <v>430</v>
      </c>
    </row>
    <row r="217" spans="1:9" ht="15.6" x14ac:dyDescent="0.3">
      <c r="A217" s="103" t="s">
        <v>449</v>
      </c>
      <c r="B217" s="103" t="s">
        <v>31</v>
      </c>
      <c r="C217" s="103" t="s">
        <v>32</v>
      </c>
      <c r="D217" s="103" t="s">
        <v>1</v>
      </c>
      <c r="E217" s="103" t="s">
        <v>384</v>
      </c>
      <c r="F217" s="103" t="s">
        <v>38</v>
      </c>
      <c r="G217" s="103" t="s">
        <v>100</v>
      </c>
      <c r="H217" s="103" t="s">
        <v>177</v>
      </c>
      <c r="I217" s="105" t="s">
        <v>451</v>
      </c>
    </row>
    <row r="218" spans="1:9" ht="15.6" x14ac:dyDescent="0.3">
      <c r="A218" s="103" t="s">
        <v>449</v>
      </c>
      <c r="B218" s="103" t="s">
        <v>46</v>
      </c>
      <c r="C218" s="103" t="s">
        <v>47</v>
      </c>
      <c r="D218" s="103" t="s">
        <v>1</v>
      </c>
      <c r="E218" s="103" t="s">
        <v>364</v>
      </c>
      <c r="F218" s="103" t="s">
        <v>80</v>
      </c>
      <c r="G218" s="103" t="s">
        <v>150</v>
      </c>
      <c r="H218" s="103" t="s">
        <v>90</v>
      </c>
      <c r="I218" s="105" t="s">
        <v>452</v>
      </c>
    </row>
    <row r="219" spans="1:9" ht="15.6" x14ac:dyDescent="0.3">
      <c r="A219" s="103" t="s">
        <v>449</v>
      </c>
      <c r="B219" s="103" t="s">
        <v>71</v>
      </c>
      <c r="C219" s="103" t="s">
        <v>72</v>
      </c>
      <c r="D219" s="103" t="s">
        <v>1</v>
      </c>
      <c r="E219" s="103" t="s">
        <v>364</v>
      </c>
      <c r="F219" s="103" t="s">
        <v>73</v>
      </c>
      <c r="G219" s="103" t="s">
        <v>74</v>
      </c>
      <c r="H219" s="103" t="s">
        <v>189</v>
      </c>
      <c r="I219" s="105" t="s">
        <v>392</v>
      </c>
    </row>
    <row r="220" spans="1:9" ht="15.6" x14ac:dyDescent="0.3">
      <c r="A220" s="101" t="s">
        <v>453</v>
      </c>
      <c r="B220" s="101" t="s">
        <v>64</v>
      </c>
      <c r="C220" s="101" t="s">
        <v>65</v>
      </c>
      <c r="D220" s="101" t="s">
        <v>1</v>
      </c>
      <c r="E220" s="101" t="s">
        <v>298</v>
      </c>
      <c r="F220" s="101" t="s">
        <v>167</v>
      </c>
      <c r="G220" s="101" t="s">
        <v>58</v>
      </c>
      <c r="H220" s="101" t="s">
        <v>110</v>
      </c>
      <c r="I220" s="102" t="s">
        <v>369</v>
      </c>
    </row>
    <row r="221" spans="1:9" ht="15.6" x14ac:dyDescent="0.3">
      <c r="A221" s="103" t="s">
        <v>453</v>
      </c>
      <c r="B221" s="103" t="s">
        <v>46</v>
      </c>
      <c r="C221" s="103" t="s">
        <v>47</v>
      </c>
      <c r="D221" s="103" t="s">
        <v>1</v>
      </c>
      <c r="E221" s="103" t="s">
        <v>364</v>
      </c>
      <c r="F221" s="103" t="s">
        <v>85</v>
      </c>
      <c r="G221" s="103" t="s">
        <v>150</v>
      </c>
      <c r="H221" s="103" t="s">
        <v>183</v>
      </c>
      <c r="I221" s="104" t="s">
        <v>411</v>
      </c>
    </row>
    <row r="222" spans="1:9" ht="15.6" x14ac:dyDescent="0.3">
      <c r="A222" s="103" t="s">
        <v>453</v>
      </c>
      <c r="B222" s="103" t="s">
        <v>76</v>
      </c>
      <c r="C222" s="103" t="s">
        <v>77</v>
      </c>
      <c r="D222" s="103" t="s">
        <v>1</v>
      </c>
      <c r="E222" s="103" t="s">
        <v>398</v>
      </c>
      <c r="F222" s="103" t="s">
        <v>78</v>
      </c>
      <c r="G222" s="103" t="s">
        <v>55</v>
      </c>
      <c r="H222" s="103" t="s">
        <v>190</v>
      </c>
      <c r="I222" s="105" t="s">
        <v>454</v>
      </c>
    </row>
    <row r="223" spans="1:9" ht="15.6" x14ac:dyDescent="0.3">
      <c r="A223" s="103" t="s">
        <v>453</v>
      </c>
      <c r="B223" s="103" t="s">
        <v>40</v>
      </c>
      <c r="C223" s="103" t="s">
        <v>60</v>
      </c>
      <c r="D223" s="103" t="s">
        <v>1</v>
      </c>
      <c r="E223" s="103" t="s">
        <v>366</v>
      </c>
      <c r="F223" s="103" t="s">
        <v>101</v>
      </c>
      <c r="G223" s="103" t="s">
        <v>29</v>
      </c>
      <c r="H223" s="103" t="s">
        <v>178</v>
      </c>
      <c r="I223" s="106" t="s">
        <v>401</v>
      </c>
    </row>
    <row r="224" spans="1:9" ht="15.6" x14ac:dyDescent="0.3">
      <c r="A224" s="103" t="s">
        <v>453</v>
      </c>
      <c r="B224" s="103" t="s">
        <v>40</v>
      </c>
      <c r="C224" s="103" t="s">
        <v>41</v>
      </c>
      <c r="D224" s="103" t="s">
        <v>1</v>
      </c>
      <c r="E224" s="103" t="s">
        <v>361</v>
      </c>
      <c r="F224" s="103" t="s">
        <v>101</v>
      </c>
      <c r="G224" s="103" t="s">
        <v>29</v>
      </c>
      <c r="H224" s="103" t="s">
        <v>179</v>
      </c>
      <c r="I224" s="106" t="s">
        <v>444</v>
      </c>
    </row>
    <row r="225" spans="1:9" ht="15.6" x14ac:dyDescent="0.3">
      <c r="A225" s="103" t="s">
        <v>453</v>
      </c>
      <c r="B225" s="103" t="s">
        <v>40</v>
      </c>
      <c r="C225" s="103" t="s">
        <v>44</v>
      </c>
      <c r="D225" s="103" t="s">
        <v>1</v>
      </c>
      <c r="E225" s="103" t="s">
        <v>362</v>
      </c>
      <c r="F225" s="103" t="s">
        <v>101</v>
      </c>
      <c r="G225" s="103" t="s">
        <v>29</v>
      </c>
      <c r="H225" s="103" t="s">
        <v>179</v>
      </c>
      <c r="I225" s="106" t="s">
        <v>444</v>
      </c>
    </row>
    <row r="226" spans="1:9" ht="15.6" x14ac:dyDescent="0.3">
      <c r="A226" s="103" t="s">
        <v>453</v>
      </c>
      <c r="B226" s="103" t="s">
        <v>31</v>
      </c>
      <c r="C226" s="103" t="s">
        <v>32</v>
      </c>
      <c r="D226" s="103" t="s">
        <v>1</v>
      </c>
      <c r="E226" s="103" t="s">
        <v>384</v>
      </c>
      <c r="F226" s="103" t="s">
        <v>33</v>
      </c>
      <c r="G226" s="103" t="s">
        <v>100</v>
      </c>
      <c r="H226" s="103" t="s">
        <v>136</v>
      </c>
      <c r="I226" s="104" t="s">
        <v>373</v>
      </c>
    </row>
    <row r="227" spans="1:9" ht="15.6" x14ac:dyDescent="0.3">
      <c r="A227" s="103" t="s">
        <v>453</v>
      </c>
      <c r="B227" s="103" t="s">
        <v>31</v>
      </c>
      <c r="C227" s="103" t="s">
        <v>51</v>
      </c>
      <c r="D227" s="103" t="s">
        <v>1</v>
      </c>
      <c r="E227" s="103" t="s">
        <v>379</v>
      </c>
      <c r="F227" s="103" t="s">
        <v>33</v>
      </c>
      <c r="G227" s="103" t="s">
        <v>34</v>
      </c>
      <c r="H227" s="103" t="s">
        <v>170</v>
      </c>
      <c r="I227" s="104" t="s">
        <v>370</v>
      </c>
    </row>
    <row r="228" spans="1:9" ht="15.6" x14ac:dyDescent="0.3">
      <c r="A228" s="103" t="s">
        <v>453</v>
      </c>
      <c r="B228" s="103" t="s">
        <v>46</v>
      </c>
      <c r="C228" s="103" t="s">
        <v>47</v>
      </c>
      <c r="D228" s="103" t="s">
        <v>1</v>
      </c>
      <c r="E228" s="103" t="s">
        <v>364</v>
      </c>
      <c r="F228" s="103" t="s">
        <v>88</v>
      </c>
      <c r="G228" s="103" t="s">
        <v>150</v>
      </c>
      <c r="H228" s="103" t="s">
        <v>141</v>
      </c>
      <c r="I228" s="104" t="s">
        <v>411</v>
      </c>
    </row>
    <row r="229" spans="1:9" ht="15.6" x14ac:dyDescent="0.3">
      <c r="A229" s="103" t="s">
        <v>453</v>
      </c>
      <c r="B229" s="103" t="s">
        <v>31</v>
      </c>
      <c r="C229" s="103" t="s">
        <v>32</v>
      </c>
      <c r="D229" s="103" t="s">
        <v>1</v>
      </c>
      <c r="E229" s="103" t="s">
        <v>384</v>
      </c>
      <c r="F229" s="103" t="s">
        <v>36</v>
      </c>
      <c r="G229" s="103" t="s">
        <v>100</v>
      </c>
      <c r="H229" s="103" t="s">
        <v>141</v>
      </c>
      <c r="I229" s="106" t="s">
        <v>430</v>
      </c>
    </row>
    <row r="230" spans="1:9" ht="15.6" x14ac:dyDescent="0.3">
      <c r="A230" s="103" t="s">
        <v>453</v>
      </c>
      <c r="B230" s="103" t="s">
        <v>26</v>
      </c>
      <c r="C230" s="103" t="s">
        <v>57</v>
      </c>
      <c r="D230" s="103" t="s">
        <v>1</v>
      </c>
      <c r="E230" s="103" t="s">
        <v>400</v>
      </c>
      <c r="F230" s="103" t="s">
        <v>167</v>
      </c>
      <c r="G230" s="103" t="s">
        <v>34</v>
      </c>
      <c r="H230" s="103" t="s">
        <v>176</v>
      </c>
      <c r="I230" s="104" t="s">
        <v>391</v>
      </c>
    </row>
    <row r="231" spans="1:9" ht="15.6" x14ac:dyDescent="0.3">
      <c r="A231" s="103" t="s">
        <v>453</v>
      </c>
      <c r="B231" s="103" t="s">
        <v>31</v>
      </c>
      <c r="C231" s="103" t="s">
        <v>51</v>
      </c>
      <c r="D231" s="103" t="s">
        <v>1</v>
      </c>
      <c r="E231" s="103" t="s">
        <v>379</v>
      </c>
      <c r="F231" s="103" t="s">
        <v>36</v>
      </c>
      <c r="G231" s="103" t="s">
        <v>34</v>
      </c>
      <c r="H231" s="103" t="s">
        <v>191</v>
      </c>
      <c r="I231" s="104" t="s">
        <v>382</v>
      </c>
    </row>
    <row r="232" spans="1:9" ht="15.6" x14ac:dyDescent="0.3">
      <c r="A232" s="103" t="s">
        <v>453</v>
      </c>
      <c r="B232" s="103" t="s">
        <v>76</v>
      </c>
      <c r="C232" s="103" t="s">
        <v>77</v>
      </c>
      <c r="D232" s="103" t="s">
        <v>1</v>
      </c>
      <c r="E232" s="103" t="s">
        <v>398</v>
      </c>
      <c r="F232" s="103" t="s">
        <v>80</v>
      </c>
      <c r="G232" s="103" t="s">
        <v>55</v>
      </c>
      <c r="H232" s="103" t="s">
        <v>131</v>
      </c>
      <c r="I232" s="105" t="s">
        <v>455</v>
      </c>
    </row>
    <row r="233" spans="1:9" ht="15.6" x14ac:dyDescent="0.3">
      <c r="A233" s="103" t="s">
        <v>453</v>
      </c>
      <c r="B233" s="103" t="s">
        <v>31</v>
      </c>
      <c r="C233" s="103" t="s">
        <v>32</v>
      </c>
      <c r="D233" s="103" t="s">
        <v>1</v>
      </c>
      <c r="E233" s="103" t="s">
        <v>384</v>
      </c>
      <c r="F233" s="103" t="s">
        <v>38</v>
      </c>
      <c r="G233" s="103" t="s">
        <v>100</v>
      </c>
      <c r="H233" s="103" t="s">
        <v>177</v>
      </c>
      <c r="I233" s="105" t="s">
        <v>451</v>
      </c>
    </row>
    <row r="234" spans="1:9" ht="15.6" x14ac:dyDescent="0.3">
      <c r="A234" s="103" t="s">
        <v>453</v>
      </c>
      <c r="B234" s="103" t="s">
        <v>31</v>
      </c>
      <c r="C234" s="103" t="s">
        <v>51</v>
      </c>
      <c r="D234" s="103" t="s">
        <v>1</v>
      </c>
      <c r="E234" s="103" t="s">
        <v>379</v>
      </c>
      <c r="F234" s="103" t="s">
        <v>38</v>
      </c>
      <c r="G234" s="103" t="s">
        <v>34</v>
      </c>
      <c r="H234" s="103" t="s">
        <v>192</v>
      </c>
      <c r="I234" s="105" t="s">
        <v>383</v>
      </c>
    </row>
    <row r="235" spans="1:9" ht="15.6" x14ac:dyDescent="0.3">
      <c r="A235" s="103" t="s">
        <v>453</v>
      </c>
      <c r="B235" s="103" t="s">
        <v>46</v>
      </c>
      <c r="C235" s="103" t="s">
        <v>47</v>
      </c>
      <c r="D235" s="103" t="s">
        <v>1</v>
      </c>
      <c r="E235" s="103" t="s">
        <v>364</v>
      </c>
      <c r="F235" s="103" t="s">
        <v>80</v>
      </c>
      <c r="G235" s="103" t="s">
        <v>150</v>
      </c>
      <c r="H235" s="103" t="s">
        <v>90</v>
      </c>
      <c r="I235" s="105" t="s">
        <v>452</v>
      </c>
    </row>
    <row r="236" spans="1:9" ht="15.6" x14ac:dyDescent="0.3">
      <c r="A236" s="103" t="s">
        <v>453</v>
      </c>
      <c r="B236" s="103" t="s">
        <v>71</v>
      </c>
      <c r="C236" s="103" t="s">
        <v>72</v>
      </c>
      <c r="D236" s="103" t="s">
        <v>1</v>
      </c>
      <c r="E236" s="103" t="s">
        <v>364</v>
      </c>
      <c r="F236" s="103" t="s">
        <v>73</v>
      </c>
      <c r="G236" s="103" t="s">
        <v>74</v>
      </c>
      <c r="H236" s="103" t="s">
        <v>189</v>
      </c>
      <c r="I236" s="105" t="s">
        <v>392</v>
      </c>
    </row>
    <row r="237" spans="1:9" ht="15.6" x14ac:dyDescent="0.3">
      <c r="A237" s="103" t="s">
        <v>456</v>
      </c>
      <c r="B237" s="103" t="s">
        <v>46</v>
      </c>
      <c r="C237" s="103" t="s">
        <v>47</v>
      </c>
      <c r="D237" s="103" t="s">
        <v>1</v>
      </c>
      <c r="E237" s="103" t="s">
        <v>364</v>
      </c>
      <c r="F237" s="103" t="s">
        <v>85</v>
      </c>
      <c r="G237" s="103" t="s">
        <v>150</v>
      </c>
      <c r="H237" s="103" t="s">
        <v>183</v>
      </c>
      <c r="I237" s="104" t="s">
        <v>411</v>
      </c>
    </row>
    <row r="238" spans="1:9" ht="15.6" x14ac:dyDescent="0.3">
      <c r="A238" s="103" t="s">
        <v>456</v>
      </c>
      <c r="B238" s="103" t="s">
        <v>40</v>
      </c>
      <c r="C238" s="103" t="s">
        <v>60</v>
      </c>
      <c r="D238" s="103" t="s">
        <v>1</v>
      </c>
      <c r="E238" s="103" t="s">
        <v>366</v>
      </c>
      <c r="F238" s="103" t="s">
        <v>101</v>
      </c>
      <c r="G238" s="103" t="s">
        <v>29</v>
      </c>
      <c r="H238" s="103" t="s">
        <v>178</v>
      </c>
      <c r="I238" s="106" t="s">
        <v>401</v>
      </c>
    </row>
    <row r="239" spans="1:9" ht="15.6" x14ac:dyDescent="0.3">
      <c r="A239" s="103" t="s">
        <v>456</v>
      </c>
      <c r="B239" s="103" t="s">
        <v>82</v>
      </c>
      <c r="C239" s="103" t="s">
        <v>123</v>
      </c>
      <c r="D239" s="103" t="s">
        <v>1</v>
      </c>
      <c r="E239" s="103" t="s">
        <v>450</v>
      </c>
      <c r="F239" s="103" t="s">
        <v>167</v>
      </c>
      <c r="G239" s="103" t="s">
        <v>97</v>
      </c>
      <c r="H239" s="103" t="s">
        <v>164</v>
      </c>
      <c r="I239" s="105" t="s">
        <v>392</v>
      </c>
    </row>
    <row r="240" spans="1:9" ht="15.6" x14ac:dyDescent="0.3">
      <c r="A240" s="103" t="s">
        <v>456</v>
      </c>
      <c r="B240" s="103" t="s">
        <v>40</v>
      </c>
      <c r="C240" s="103" t="s">
        <v>41</v>
      </c>
      <c r="D240" s="103" t="s">
        <v>1</v>
      </c>
      <c r="E240" s="103" t="s">
        <v>361</v>
      </c>
      <c r="F240" s="103" t="s">
        <v>101</v>
      </c>
      <c r="G240" s="103" t="s">
        <v>29</v>
      </c>
      <c r="H240" s="103" t="s">
        <v>179</v>
      </c>
      <c r="I240" s="106" t="s">
        <v>444</v>
      </c>
    </row>
    <row r="241" spans="1:9" ht="15.6" x14ac:dyDescent="0.3">
      <c r="A241" s="103" t="s">
        <v>456</v>
      </c>
      <c r="B241" s="103" t="s">
        <v>40</v>
      </c>
      <c r="C241" s="103" t="s">
        <v>44</v>
      </c>
      <c r="D241" s="103" t="s">
        <v>1</v>
      </c>
      <c r="E241" s="103" t="s">
        <v>362</v>
      </c>
      <c r="F241" s="103" t="s">
        <v>101</v>
      </c>
      <c r="G241" s="103" t="s">
        <v>29</v>
      </c>
      <c r="H241" s="103" t="s">
        <v>179</v>
      </c>
      <c r="I241" s="106" t="s">
        <v>444</v>
      </c>
    </row>
    <row r="242" spans="1:9" ht="15.6" x14ac:dyDescent="0.3">
      <c r="A242" s="103" t="s">
        <v>456</v>
      </c>
      <c r="B242" s="103" t="s">
        <v>31</v>
      </c>
      <c r="C242" s="103" t="s">
        <v>32</v>
      </c>
      <c r="D242" s="103" t="s">
        <v>1</v>
      </c>
      <c r="E242" s="103" t="s">
        <v>384</v>
      </c>
      <c r="F242" s="103" t="s">
        <v>33</v>
      </c>
      <c r="G242" s="103" t="s">
        <v>102</v>
      </c>
      <c r="H242" s="103" t="s">
        <v>170</v>
      </c>
      <c r="I242" s="104" t="s">
        <v>370</v>
      </c>
    </row>
    <row r="243" spans="1:9" ht="15.6" x14ac:dyDescent="0.3">
      <c r="A243" s="103" t="s">
        <v>456</v>
      </c>
      <c r="B243" s="103" t="s">
        <v>46</v>
      </c>
      <c r="C243" s="103" t="s">
        <v>47</v>
      </c>
      <c r="D243" s="103" t="s">
        <v>1</v>
      </c>
      <c r="E243" s="103" t="s">
        <v>364</v>
      </c>
      <c r="F243" s="103" t="s">
        <v>88</v>
      </c>
      <c r="G243" s="103" t="s">
        <v>150</v>
      </c>
      <c r="H243" s="103" t="s">
        <v>141</v>
      </c>
      <c r="I243" s="104" t="s">
        <v>411</v>
      </c>
    </row>
    <row r="244" spans="1:9" ht="15.6" x14ac:dyDescent="0.3">
      <c r="A244" s="103" t="s">
        <v>456</v>
      </c>
      <c r="B244" s="103" t="s">
        <v>31</v>
      </c>
      <c r="C244" s="103" t="s">
        <v>32</v>
      </c>
      <c r="D244" s="103" t="s">
        <v>1</v>
      </c>
      <c r="E244" s="103" t="s">
        <v>384</v>
      </c>
      <c r="F244" s="103" t="s">
        <v>36</v>
      </c>
      <c r="G244" s="103" t="s">
        <v>102</v>
      </c>
      <c r="H244" s="103" t="s">
        <v>191</v>
      </c>
      <c r="I244" s="104" t="s">
        <v>382</v>
      </c>
    </row>
    <row r="245" spans="1:9" ht="15.6" x14ac:dyDescent="0.3">
      <c r="A245" s="103" t="s">
        <v>456</v>
      </c>
      <c r="B245" s="103" t="s">
        <v>31</v>
      </c>
      <c r="C245" s="103" t="s">
        <v>32</v>
      </c>
      <c r="D245" s="103" t="s">
        <v>1</v>
      </c>
      <c r="E245" s="103" t="s">
        <v>384</v>
      </c>
      <c r="F245" s="103" t="s">
        <v>38</v>
      </c>
      <c r="G245" s="103" t="s">
        <v>102</v>
      </c>
      <c r="H245" s="103" t="s">
        <v>192</v>
      </c>
      <c r="I245" s="105" t="s">
        <v>383</v>
      </c>
    </row>
    <row r="246" spans="1:9" ht="15.6" x14ac:dyDescent="0.3">
      <c r="A246" s="103" t="s">
        <v>456</v>
      </c>
      <c r="B246" s="103" t="s">
        <v>46</v>
      </c>
      <c r="C246" s="103" t="s">
        <v>47</v>
      </c>
      <c r="D246" s="103" t="s">
        <v>1</v>
      </c>
      <c r="E246" s="103" t="s">
        <v>364</v>
      </c>
      <c r="F246" s="103" t="s">
        <v>80</v>
      </c>
      <c r="G246" s="103" t="s">
        <v>150</v>
      </c>
      <c r="H246" s="103" t="s">
        <v>90</v>
      </c>
      <c r="I246" s="105" t="s">
        <v>452</v>
      </c>
    </row>
    <row r="247" spans="1:9" ht="15.6" x14ac:dyDescent="0.3">
      <c r="A247" s="103" t="s">
        <v>456</v>
      </c>
      <c r="B247" s="103" t="s">
        <v>71</v>
      </c>
      <c r="C247" s="103" t="s">
        <v>72</v>
      </c>
      <c r="D247" s="103" t="s">
        <v>1</v>
      </c>
      <c r="E247" s="103" t="s">
        <v>364</v>
      </c>
      <c r="F247" s="103" t="s">
        <v>73</v>
      </c>
      <c r="G247" s="103" t="s">
        <v>74</v>
      </c>
      <c r="H247" s="103" t="s">
        <v>189</v>
      </c>
      <c r="I247" s="105" t="s">
        <v>392</v>
      </c>
    </row>
    <row r="248" spans="1:9" ht="15.6" x14ac:dyDescent="0.3">
      <c r="A248" s="101" t="s">
        <v>457</v>
      </c>
      <c r="B248" s="101" t="s">
        <v>64</v>
      </c>
      <c r="C248" s="101" t="s">
        <v>65</v>
      </c>
      <c r="D248" s="101" t="s">
        <v>1</v>
      </c>
      <c r="E248" s="101" t="s">
        <v>288</v>
      </c>
      <c r="F248" s="101" t="s">
        <v>167</v>
      </c>
      <c r="G248" s="101" t="s">
        <v>97</v>
      </c>
      <c r="H248" s="101" t="s">
        <v>196</v>
      </c>
      <c r="I248" s="102" t="s">
        <v>369</v>
      </c>
    </row>
    <row r="249" spans="1:9" ht="15.6" x14ac:dyDescent="0.3">
      <c r="A249" s="103" t="s">
        <v>457</v>
      </c>
      <c r="B249" s="103" t="s">
        <v>40</v>
      </c>
      <c r="C249" s="103" t="s">
        <v>60</v>
      </c>
      <c r="D249" s="103" t="s">
        <v>1</v>
      </c>
      <c r="E249" s="103" t="s">
        <v>366</v>
      </c>
      <c r="F249" s="103" t="s">
        <v>101</v>
      </c>
      <c r="G249" s="103" t="s">
        <v>29</v>
      </c>
      <c r="H249" s="103" t="s">
        <v>178</v>
      </c>
      <c r="I249" s="104" t="s">
        <v>388</v>
      </c>
    </row>
    <row r="250" spans="1:9" ht="15.6" x14ac:dyDescent="0.3">
      <c r="A250" s="103" t="s">
        <v>457</v>
      </c>
      <c r="B250" s="103" t="s">
        <v>82</v>
      </c>
      <c r="C250" s="103" t="s">
        <v>123</v>
      </c>
      <c r="D250" s="103" t="s">
        <v>1</v>
      </c>
      <c r="E250" s="103" t="s">
        <v>450</v>
      </c>
      <c r="F250" s="103" t="s">
        <v>167</v>
      </c>
      <c r="G250" s="103" t="s">
        <v>100</v>
      </c>
      <c r="H250" s="103" t="s">
        <v>164</v>
      </c>
      <c r="I250" s="106" t="s">
        <v>430</v>
      </c>
    </row>
    <row r="251" spans="1:9" ht="15.6" x14ac:dyDescent="0.3">
      <c r="A251" s="103" t="s">
        <v>457</v>
      </c>
      <c r="B251" s="103" t="s">
        <v>40</v>
      </c>
      <c r="C251" s="103" t="s">
        <v>41</v>
      </c>
      <c r="D251" s="103" t="s">
        <v>1</v>
      </c>
      <c r="E251" s="103" t="s">
        <v>361</v>
      </c>
      <c r="F251" s="103" t="s">
        <v>42</v>
      </c>
      <c r="G251" s="103" t="s">
        <v>29</v>
      </c>
      <c r="H251" s="103" t="s">
        <v>108</v>
      </c>
      <c r="I251" s="105" t="s">
        <v>377</v>
      </c>
    </row>
    <row r="252" spans="1:9" ht="15.6" x14ac:dyDescent="0.3">
      <c r="A252" s="103" t="s">
        <v>457</v>
      </c>
      <c r="B252" s="103" t="s">
        <v>40</v>
      </c>
      <c r="C252" s="103" t="s">
        <v>44</v>
      </c>
      <c r="D252" s="103" t="s">
        <v>1</v>
      </c>
      <c r="E252" s="103" t="s">
        <v>362</v>
      </c>
      <c r="F252" s="103" t="s">
        <v>42</v>
      </c>
      <c r="G252" s="103" t="s">
        <v>29</v>
      </c>
      <c r="H252" s="103" t="s">
        <v>108</v>
      </c>
      <c r="I252" s="105" t="s">
        <v>377</v>
      </c>
    </row>
    <row r="253" spans="1:9" ht="15.6" x14ac:dyDescent="0.3">
      <c r="A253" s="103" t="s">
        <v>457</v>
      </c>
      <c r="B253" s="103" t="s">
        <v>31</v>
      </c>
      <c r="C253" s="103" t="s">
        <v>32</v>
      </c>
      <c r="D253" s="103" t="s">
        <v>1</v>
      </c>
      <c r="E253" s="103" t="s">
        <v>384</v>
      </c>
      <c r="F253" s="103" t="s">
        <v>38</v>
      </c>
      <c r="G253" s="103" t="s">
        <v>98</v>
      </c>
      <c r="H253" s="103" t="s">
        <v>192</v>
      </c>
      <c r="I253" s="105" t="s">
        <v>458</v>
      </c>
    </row>
    <row r="254" spans="1:9" ht="15.6" x14ac:dyDescent="0.3">
      <c r="A254" s="103" t="s">
        <v>457</v>
      </c>
      <c r="B254" s="103" t="s">
        <v>31</v>
      </c>
      <c r="C254" s="103" t="s">
        <v>51</v>
      </c>
      <c r="D254" s="103" t="s">
        <v>1</v>
      </c>
      <c r="E254" s="103" t="s">
        <v>379</v>
      </c>
      <c r="F254" s="103" t="s">
        <v>38</v>
      </c>
      <c r="G254" s="103" t="s">
        <v>74</v>
      </c>
      <c r="H254" s="103" t="s">
        <v>192</v>
      </c>
      <c r="I254" s="105" t="s">
        <v>458</v>
      </c>
    </row>
    <row r="255" spans="1:9" ht="15.6" x14ac:dyDescent="0.3">
      <c r="A255" s="103" t="s">
        <v>457</v>
      </c>
      <c r="B255" s="103" t="s">
        <v>46</v>
      </c>
      <c r="C255" s="103" t="s">
        <v>47</v>
      </c>
      <c r="D255" s="103" t="s">
        <v>1</v>
      </c>
      <c r="E255" s="103" t="s">
        <v>364</v>
      </c>
      <c r="F255" s="103" t="s">
        <v>80</v>
      </c>
      <c r="G255" s="103" t="s">
        <v>150</v>
      </c>
      <c r="H255" s="103" t="s">
        <v>122</v>
      </c>
      <c r="I255" s="106" t="s">
        <v>430</v>
      </c>
    </row>
    <row r="256" spans="1:9" ht="15.6" x14ac:dyDescent="0.3">
      <c r="A256" s="103" t="s">
        <v>457</v>
      </c>
      <c r="B256" s="103" t="s">
        <v>71</v>
      </c>
      <c r="C256" s="103" t="s">
        <v>72</v>
      </c>
      <c r="D256" s="103" t="s">
        <v>1</v>
      </c>
      <c r="E256" s="103" t="s">
        <v>364</v>
      </c>
      <c r="F256" s="103" t="s">
        <v>73</v>
      </c>
      <c r="G256" s="103" t="s">
        <v>74</v>
      </c>
      <c r="H256" s="103" t="s">
        <v>133</v>
      </c>
      <c r="I256" s="105" t="s">
        <v>419</v>
      </c>
    </row>
    <row r="257" spans="1:9" ht="15.6" x14ac:dyDescent="0.3">
      <c r="A257" s="103" t="s">
        <v>459</v>
      </c>
      <c r="B257" s="103" t="s">
        <v>82</v>
      </c>
      <c r="C257" s="103" t="s">
        <v>83</v>
      </c>
      <c r="D257" s="103" t="s">
        <v>1</v>
      </c>
      <c r="E257" s="103" t="s">
        <v>376</v>
      </c>
      <c r="F257" s="103" t="s">
        <v>167</v>
      </c>
      <c r="G257" s="103" t="s">
        <v>97</v>
      </c>
      <c r="H257" s="103" t="s">
        <v>185</v>
      </c>
      <c r="I257" s="104" t="s">
        <v>403</v>
      </c>
    </row>
    <row r="258" spans="1:9" ht="15.6" x14ac:dyDescent="0.3">
      <c r="A258" s="103" t="s">
        <v>459</v>
      </c>
      <c r="B258" s="103" t="s">
        <v>40</v>
      </c>
      <c r="C258" s="103" t="s">
        <v>60</v>
      </c>
      <c r="D258" s="103" t="s">
        <v>1</v>
      </c>
      <c r="E258" s="103" t="s">
        <v>366</v>
      </c>
      <c r="F258" s="103" t="s">
        <v>42</v>
      </c>
      <c r="G258" s="103" t="s">
        <v>29</v>
      </c>
      <c r="H258" s="103" t="s">
        <v>43</v>
      </c>
      <c r="I258" s="106" t="s">
        <v>460</v>
      </c>
    </row>
    <row r="259" spans="1:9" ht="15.6" x14ac:dyDescent="0.3">
      <c r="A259" s="101" t="s">
        <v>461</v>
      </c>
      <c r="B259" s="101" t="s">
        <v>64</v>
      </c>
      <c r="C259" s="101" t="s">
        <v>65</v>
      </c>
      <c r="D259" s="101" t="s">
        <v>1</v>
      </c>
      <c r="E259" s="101" t="s">
        <v>298</v>
      </c>
      <c r="F259" s="101" t="s">
        <v>167</v>
      </c>
      <c r="G259" s="101" t="s">
        <v>29</v>
      </c>
      <c r="H259" s="101" t="s">
        <v>211</v>
      </c>
      <c r="I259" s="102" t="s">
        <v>369</v>
      </c>
    </row>
    <row r="260" spans="1:9" ht="15.6" x14ac:dyDescent="0.3">
      <c r="A260" s="103" t="s">
        <v>461</v>
      </c>
      <c r="B260" s="103" t="s">
        <v>46</v>
      </c>
      <c r="C260" s="103" t="s">
        <v>47</v>
      </c>
      <c r="D260" s="103" t="s">
        <v>1</v>
      </c>
      <c r="E260" s="103" t="s">
        <v>364</v>
      </c>
      <c r="F260" s="103" t="s">
        <v>85</v>
      </c>
      <c r="G260" s="103" t="s">
        <v>150</v>
      </c>
      <c r="H260" s="103" t="s">
        <v>154</v>
      </c>
      <c r="I260" s="105" t="s">
        <v>448</v>
      </c>
    </row>
    <row r="261" spans="1:9" ht="15.6" x14ac:dyDescent="0.3">
      <c r="A261" s="103" t="s">
        <v>461</v>
      </c>
      <c r="B261" s="103" t="s">
        <v>31</v>
      </c>
      <c r="C261" s="103" t="s">
        <v>51</v>
      </c>
      <c r="D261" s="103" t="s">
        <v>1</v>
      </c>
      <c r="E261" s="103" t="s">
        <v>379</v>
      </c>
      <c r="F261" s="103" t="s">
        <v>33</v>
      </c>
      <c r="G261" s="103" t="s">
        <v>34</v>
      </c>
      <c r="H261" s="103" t="s">
        <v>191</v>
      </c>
      <c r="I261" s="105" t="s">
        <v>395</v>
      </c>
    </row>
    <row r="262" spans="1:9" ht="15.6" x14ac:dyDescent="0.3">
      <c r="A262" s="103" t="s">
        <v>461</v>
      </c>
      <c r="B262" s="103" t="s">
        <v>40</v>
      </c>
      <c r="C262" s="103" t="s">
        <v>60</v>
      </c>
      <c r="D262" s="103" t="s">
        <v>1</v>
      </c>
      <c r="E262" s="103" t="s">
        <v>366</v>
      </c>
      <c r="F262" s="103" t="s">
        <v>42</v>
      </c>
      <c r="G262" s="103" t="s">
        <v>29</v>
      </c>
      <c r="H262" s="103" t="s">
        <v>43</v>
      </c>
      <c r="I262" s="105" t="s">
        <v>462</v>
      </c>
    </row>
    <row r="263" spans="1:9" ht="15.6" x14ac:dyDescent="0.3">
      <c r="A263" s="103" t="s">
        <v>461</v>
      </c>
      <c r="B263" s="103" t="s">
        <v>46</v>
      </c>
      <c r="C263" s="103" t="s">
        <v>47</v>
      </c>
      <c r="D263" s="103" t="s">
        <v>1</v>
      </c>
      <c r="E263" s="103" t="s">
        <v>364</v>
      </c>
      <c r="F263" s="103" t="s">
        <v>88</v>
      </c>
      <c r="G263" s="103" t="s">
        <v>150</v>
      </c>
      <c r="H263" s="103" t="s">
        <v>192</v>
      </c>
      <c r="I263" s="105" t="s">
        <v>448</v>
      </c>
    </row>
    <row r="264" spans="1:9" ht="15.6" x14ac:dyDescent="0.3">
      <c r="A264" s="103" t="s">
        <v>461</v>
      </c>
      <c r="B264" s="103" t="s">
        <v>31</v>
      </c>
      <c r="C264" s="103" t="s">
        <v>51</v>
      </c>
      <c r="D264" s="103" t="s">
        <v>1</v>
      </c>
      <c r="E264" s="103" t="s">
        <v>379</v>
      </c>
      <c r="F264" s="103" t="s">
        <v>36</v>
      </c>
      <c r="G264" s="103" t="s">
        <v>34</v>
      </c>
      <c r="H264" s="103" t="s">
        <v>202</v>
      </c>
      <c r="I264" s="105" t="s">
        <v>463</v>
      </c>
    </row>
    <row r="265" spans="1:9" ht="15.6" x14ac:dyDescent="0.3">
      <c r="A265" s="103" t="s">
        <v>461</v>
      </c>
      <c r="B265" s="103" t="s">
        <v>40</v>
      </c>
      <c r="C265" s="103" t="s">
        <v>44</v>
      </c>
      <c r="D265" s="103" t="s">
        <v>1</v>
      </c>
      <c r="E265" s="103" t="s">
        <v>362</v>
      </c>
      <c r="F265" s="103" t="s">
        <v>42</v>
      </c>
      <c r="G265" s="103" t="s">
        <v>29</v>
      </c>
      <c r="H265" s="103" t="s">
        <v>109</v>
      </c>
      <c r="I265" s="105" t="s">
        <v>464</v>
      </c>
    </row>
    <row r="266" spans="1:9" ht="15.6" x14ac:dyDescent="0.3">
      <c r="A266" s="103" t="s">
        <v>461</v>
      </c>
      <c r="B266" s="103" t="s">
        <v>31</v>
      </c>
      <c r="C266" s="103" t="s">
        <v>51</v>
      </c>
      <c r="D266" s="103" t="s">
        <v>1</v>
      </c>
      <c r="E266" s="103" t="s">
        <v>379</v>
      </c>
      <c r="F266" s="103" t="s">
        <v>38</v>
      </c>
      <c r="G266" s="103" t="s">
        <v>34</v>
      </c>
      <c r="H266" s="103" t="s">
        <v>205</v>
      </c>
      <c r="I266" s="105" t="s">
        <v>465</v>
      </c>
    </row>
    <row r="267" spans="1:9" ht="15.6" x14ac:dyDescent="0.3">
      <c r="A267" s="103" t="s">
        <v>461</v>
      </c>
      <c r="B267" s="103" t="s">
        <v>46</v>
      </c>
      <c r="C267" s="103" t="s">
        <v>47</v>
      </c>
      <c r="D267" s="103" t="s">
        <v>1</v>
      </c>
      <c r="E267" s="103" t="s">
        <v>364</v>
      </c>
      <c r="F267" s="103" t="s">
        <v>80</v>
      </c>
      <c r="G267" s="103" t="s">
        <v>150</v>
      </c>
      <c r="H267" s="103" t="s">
        <v>90</v>
      </c>
      <c r="I267" s="105" t="s">
        <v>466</v>
      </c>
    </row>
    <row r="268" spans="1:9" ht="15.6" x14ac:dyDescent="0.3">
      <c r="A268" s="103" t="s">
        <v>461</v>
      </c>
      <c r="B268" s="103" t="s">
        <v>26</v>
      </c>
      <c r="C268" s="103" t="s">
        <v>99</v>
      </c>
      <c r="D268" s="103" t="s">
        <v>1</v>
      </c>
      <c r="E268" s="103" t="s">
        <v>381</v>
      </c>
      <c r="F268" s="103" t="s">
        <v>167</v>
      </c>
      <c r="G268" s="103" t="s">
        <v>97</v>
      </c>
      <c r="H268" s="103" t="s">
        <v>209</v>
      </c>
      <c r="I268" s="105" t="s">
        <v>374</v>
      </c>
    </row>
    <row r="269" spans="1:9" ht="15.6" x14ac:dyDescent="0.3">
      <c r="A269" s="103" t="s">
        <v>461</v>
      </c>
      <c r="B269" s="103" t="s">
        <v>26</v>
      </c>
      <c r="C269" s="103" t="s">
        <v>57</v>
      </c>
      <c r="D269" s="103" t="s">
        <v>1</v>
      </c>
      <c r="E269" s="103" t="s">
        <v>359</v>
      </c>
      <c r="F269" s="103" t="s">
        <v>167</v>
      </c>
      <c r="G269" s="103" t="s">
        <v>29</v>
      </c>
      <c r="H269" s="103" t="s">
        <v>210</v>
      </c>
      <c r="I269" s="105" t="s">
        <v>467</v>
      </c>
    </row>
    <row r="270" spans="1:9" ht="15.6" x14ac:dyDescent="0.3">
      <c r="A270" s="103" t="s">
        <v>461</v>
      </c>
      <c r="B270" s="103" t="s">
        <v>31</v>
      </c>
      <c r="C270" s="103" t="s">
        <v>32</v>
      </c>
      <c r="D270" s="103" t="s">
        <v>1</v>
      </c>
      <c r="E270" s="103" t="s">
        <v>384</v>
      </c>
      <c r="F270" s="103" t="s">
        <v>36</v>
      </c>
      <c r="G270" s="103" t="s">
        <v>102</v>
      </c>
      <c r="H270" s="103" t="s">
        <v>207</v>
      </c>
      <c r="I270" s="104" t="s">
        <v>411</v>
      </c>
    </row>
    <row r="271" spans="1:9" ht="15.6" x14ac:dyDescent="0.3">
      <c r="A271" s="103" t="s">
        <v>461</v>
      </c>
      <c r="B271" s="103" t="s">
        <v>31</v>
      </c>
      <c r="C271" s="103" t="s">
        <v>32</v>
      </c>
      <c r="D271" s="103" t="s">
        <v>1</v>
      </c>
      <c r="E271" s="103" t="s">
        <v>384</v>
      </c>
      <c r="F271" s="103" t="s">
        <v>38</v>
      </c>
      <c r="G271" s="103" t="s">
        <v>102</v>
      </c>
      <c r="H271" s="103" t="s">
        <v>208</v>
      </c>
      <c r="I271" s="105" t="s">
        <v>468</v>
      </c>
    </row>
    <row r="272" spans="1:9" ht="15.6" x14ac:dyDescent="0.3">
      <c r="A272" s="103" t="s">
        <v>461</v>
      </c>
      <c r="B272" s="103" t="s">
        <v>40</v>
      </c>
      <c r="C272" s="103" t="s">
        <v>41</v>
      </c>
      <c r="D272" s="103" t="s">
        <v>1</v>
      </c>
      <c r="E272" s="103" t="s">
        <v>469</v>
      </c>
      <c r="F272" s="103" t="s">
        <v>42</v>
      </c>
      <c r="G272" s="103" t="s">
        <v>29</v>
      </c>
      <c r="H272" s="103" t="s">
        <v>129</v>
      </c>
      <c r="I272" s="104" t="s">
        <v>445</v>
      </c>
    </row>
    <row r="273" spans="1:9" ht="15.6" x14ac:dyDescent="0.3">
      <c r="A273" s="103" t="s">
        <v>461</v>
      </c>
      <c r="B273" s="103" t="s">
        <v>71</v>
      </c>
      <c r="C273" s="103" t="s">
        <v>72</v>
      </c>
      <c r="D273" s="103" t="s">
        <v>1</v>
      </c>
      <c r="E273" s="103" t="s">
        <v>364</v>
      </c>
      <c r="F273" s="103" t="s">
        <v>73</v>
      </c>
      <c r="G273" s="103" t="s">
        <v>74</v>
      </c>
      <c r="H273" s="103" t="s">
        <v>214</v>
      </c>
      <c r="I273" s="105" t="s">
        <v>470</v>
      </c>
    </row>
    <row r="274" spans="1:9" ht="15.6" x14ac:dyDescent="0.3">
      <c r="A274" s="101" t="s">
        <v>471</v>
      </c>
      <c r="B274" s="101" t="s">
        <v>64</v>
      </c>
      <c r="C274" s="101" t="s">
        <v>65</v>
      </c>
      <c r="D274" s="101" t="s">
        <v>1</v>
      </c>
      <c r="E274" s="101" t="s">
        <v>305</v>
      </c>
      <c r="F274" s="101" t="s">
        <v>167</v>
      </c>
      <c r="G274" s="101" t="s">
        <v>97</v>
      </c>
      <c r="H274" s="101" t="s">
        <v>220</v>
      </c>
      <c r="I274" s="102" t="s">
        <v>369</v>
      </c>
    </row>
    <row r="275" spans="1:9" ht="15.6" x14ac:dyDescent="0.3">
      <c r="A275" s="103" t="s">
        <v>471</v>
      </c>
      <c r="B275" s="103" t="s">
        <v>46</v>
      </c>
      <c r="C275" s="103" t="s">
        <v>47</v>
      </c>
      <c r="D275" s="103" t="s">
        <v>1</v>
      </c>
      <c r="E275" s="103" t="s">
        <v>364</v>
      </c>
      <c r="F275" s="103" t="s">
        <v>85</v>
      </c>
      <c r="G275" s="103" t="s">
        <v>125</v>
      </c>
      <c r="H275" s="103" t="s">
        <v>89</v>
      </c>
      <c r="I275" s="105" t="s">
        <v>472</v>
      </c>
    </row>
    <row r="276" spans="1:9" ht="15.6" x14ac:dyDescent="0.3">
      <c r="A276" s="103" t="s">
        <v>471</v>
      </c>
      <c r="B276" s="103" t="s">
        <v>46</v>
      </c>
      <c r="C276" s="103" t="s">
        <v>47</v>
      </c>
      <c r="D276" s="103" t="s">
        <v>1</v>
      </c>
      <c r="E276" s="103" t="s">
        <v>364</v>
      </c>
      <c r="F276" s="103" t="s">
        <v>88</v>
      </c>
      <c r="G276" s="103" t="s">
        <v>125</v>
      </c>
      <c r="H276" s="103" t="s">
        <v>215</v>
      </c>
      <c r="I276" s="105" t="s">
        <v>472</v>
      </c>
    </row>
    <row r="277" spans="1:9" ht="15.6" x14ac:dyDescent="0.3">
      <c r="A277" s="103" t="s">
        <v>471</v>
      </c>
      <c r="B277" s="103" t="s">
        <v>40</v>
      </c>
      <c r="C277" s="103" t="s">
        <v>41</v>
      </c>
      <c r="D277" s="103" t="s">
        <v>1</v>
      </c>
      <c r="E277" s="103" t="s">
        <v>361</v>
      </c>
      <c r="F277" s="103" t="s">
        <v>42</v>
      </c>
      <c r="G277" s="103" t="s">
        <v>29</v>
      </c>
      <c r="H277" s="103" t="s">
        <v>91</v>
      </c>
      <c r="I277" s="105" t="s">
        <v>385</v>
      </c>
    </row>
    <row r="278" spans="1:9" ht="15.6" x14ac:dyDescent="0.3">
      <c r="A278" s="103" t="s">
        <v>471</v>
      </c>
      <c r="B278" s="103" t="s">
        <v>26</v>
      </c>
      <c r="C278" s="103" t="s">
        <v>27</v>
      </c>
      <c r="D278" s="103" t="s">
        <v>1</v>
      </c>
      <c r="E278" s="103" t="s">
        <v>359</v>
      </c>
      <c r="F278" s="103" t="s">
        <v>167</v>
      </c>
      <c r="G278" s="103" t="s">
        <v>100</v>
      </c>
      <c r="H278" s="103" t="s">
        <v>216</v>
      </c>
      <c r="I278" s="105" t="s">
        <v>446</v>
      </c>
    </row>
    <row r="279" spans="1:9" ht="15.6" x14ac:dyDescent="0.3">
      <c r="A279" s="103" t="s">
        <v>471</v>
      </c>
      <c r="B279" s="103" t="s">
        <v>40</v>
      </c>
      <c r="C279" s="103" t="s">
        <v>60</v>
      </c>
      <c r="D279" s="103" t="s">
        <v>1</v>
      </c>
      <c r="E279" s="103" t="s">
        <v>366</v>
      </c>
      <c r="F279" s="103" t="s">
        <v>42</v>
      </c>
      <c r="G279" s="103" t="s">
        <v>29</v>
      </c>
      <c r="H279" s="103" t="s">
        <v>109</v>
      </c>
      <c r="I279" s="105" t="s">
        <v>464</v>
      </c>
    </row>
    <row r="280" spans="1:9" ht="15.6" x14ac:dyDescent="0.3">
      <c r="A280" s="103" t="s">
        <v>471</v>
      </c>
      <c r="B280" s="103" t="s">
        <v>31</v>
      </c>
      <c r="C280" s="103" t="s">
        <v>32</v>
      </c>
      <c r="D280" s="103" t="s">
        <v>1</v>
      </c>
      <c r="E280" s="103" t="s">
        <v>384</v>
      </c>
      <c r="F280" s="103" t="s">
        <v>33</v>
      </c>
      <c r="G280" s="103" t="s">
        <v>55</v>
      </c>
      <c r="H280" s="103" t="s">
        <v>217</v>
      </c>
      <c r="I280" s="104" t="s">
        <v>445</v>
      </c>
    </row>
    <row r="281" spans="1:9" ht="15.6" x14ac:dyDescent="0.3">
      <c r="A281" s="103" t="s">
        <v>471</v>
      </c>
      <c r="B281" s="103" t="s">
        <v>31</v>
      </c>
      <c r="C281" s="103" t="s">
        <v>32</v>
      </c>
      <c r="D281" s="103" t="s">
        <v>1</v>
      </c>
      <c r="E281" s="103" t="s">
        <v>384</v>
      </c>
      <c r="F281" s="103" t="s">
        <v>36</v>
      </c>
      <c r="G281" s="103" t="s">
        <v>55</v>
      </c>
      <c r="H281" s="103" t="s">
        <v>218</v>
      </c>
      <c r="I281" s="106" t="s">
        <v>433</v>
      </c>
    </row>
    <row r="282" spans="1:9" ht="15.6" x14ac:dyDescent="0.3">
      <c r="A282" s="103" t="s">
        <v>471</v>
      </c>
      <c r="B282" s="103" t="s">
        <v>31</v>
      </c>
      <c r="C282" s="103" t="s">
        <v>32</v>
      </c>
      <c r="D282" s="103" t="s">
        <v>1</v>
      </c>
      <c r="E282" s="103" t="s">
        <v>384</v>
      </c>
      <c r="F282" s="103" t="s">
        <v>38</v>
      </c>
      <c r="G282" s="103" t="s">
        <v>55</v>
      </c>
      <c r="H282" s="103" t="s">
        <v>219</v>
      </c>
      <c r="I282" s="105" t="s">
        <v>455</v>
      </c>
    </row>
    <row r="283" spans="1:9" ht="15.6" x14ac:dyDescent="0.3">
      <c r="A283" s="103" t="s">
        <v>471</v>
      </c>
      <c r="B283" s="103" t="s">
        <v>46</v>
      </c>
      <c r="C283" s="103" t="s">
        <v>47</v>
      </c>
      <c r="D283" s="103" t="s">
        <v>1</v>
      </c>
      <c r="E283" s="103" t="s">
        <v>364</v>
      </c>
      <c r="F283" s="103" t="s">
        <v>80</v>
      </c>
      <c r="G283" s="103" t="s">
        <v>125</v>
      </c>
      <c r="H283" s="103" t="s">
        <v>122</v>
      </c>
      <c r="I283" s="105" t="s">
        <v>473</v>
      </c>
    </row>
    <row r="284" spans="1:9" ht="15.6" x14ac:dyDescent="0.3">
      <c r="A284" s="103" t="s">
        <v>471</v>
      </c>
      <c r="B284" s="103" t="s">
        <v>71</v>
      </c>
      <c r="C284" s="103" t="s">
        <v>72</v>
      </c>
      <c r="D284" s="103" t="s">
        <v>1</v>
      </c>
      <c r="E284" s="103" t="s">
        <v>364</v>
      </c>
      <c r="F284" s="103" t="s">
        <v>73</v>
      </c>
      <c r="G284" s="103" t="s">
        <v>74</v>
      </c>
      <c r="H284" s="103" t="s">
        <v>214</v>
      </c>
      <c r="I284" s="105" t="s">
        <v>474</v>
      </c>
    </row>
    <row r="285" spans="1:9" ht="15.6" x14ac:dyDescent="0.3">
      <c r="A285" s="101" t="s">
        <v>475</v>
      </c>
      <c r="B285" s="101" t="s">
        <v>64</v>
      </c>
      <c r="C285" s="101" t="s">
        <v>65</v>
      </c>
      <c r="D285" s="101" t="s">
        <v>1</v>
      </c>
      <c r="E285" s="101" t="s">
        <v>298</v>
      </c>
      <c r="F285" s="101" t="s">
        <v>167</v>
      </c>
      <c r="G285" s="101" t="s">
        <v>34</v>
      </c>
      <c r="H285" s="101" t="s">
        <v>228</v>
      </c>
      <c r="I285" s="102" t="s">
        <v>369</v>
      </c>
    </row>
    <row r="286" spans="1:9" ht="15.6" x14ac:dyDescent="0.3">
      <c r="A286" s="103" t="s">
        <v>475</v>
      </c>
      <c r="B286" s="103" t="s">
        <v>46</v>
      </c>
      <c r="C286" s="103" t="s">
        <v>47</v>
      </c>
      <c r="D286" s="103" t="s">
        <v>1</v>
      </c>
      <c r="E286" s="103" t="s">
        <v>364</v>
      </c>
      <c r="F286" s="103" t="s">
        <v>85</v>
      </c>
      <c r="G286" s="103" t="s">
        <v>150</v>
      </c>
      <c r="H286" s="103" t="s">
        <v>89</v>
      </c>
      <c r="I286" s="105" t="s">
        <v>413</v>
      </c>
    </row>
    <row r="287" spans="1:9" ht="15.6" x14ac:dyDescent="0.3">
      <c r="A287" s="103" t="s">
        <v>475</v>
      </c>
      <c r="B287" s="103" t="s">
        <v>31</v>
      </c>
      <c r="C287" s="103" t="s">
        <v>32</v>
      </c>
      <c r="D287" s="103" t="s">
        <v>1</v>
      </c>
      <c r="E287" s="103" t="s">
        <v>384</v>
      </c>
      <c r="F287" s="103" t="s">
        <v>33</v>
      </c>
      <c r="G287" s="103" t="s">
        <v>100</v>
      </c>
      <c r="H287" s="103" t="s">
        <v>223</v>
      </c>
      <c r="I287" s="105" t="s">
        <v>419</v>
      </c>
    </row>
    <row r="288" spans="1:9" ht="15.6" x14ac:dyDescent="0.3">
      <c r="A288" s="103" t="s">
        <v>475</v>
      </c>
      <c r="B288" s="103" t="s">
        <v>31</v>
      </c>
      <c r="C288" s="103" t="s">
        <v>51</v>
      </c>
      <c r="D288" s="103" t="s">
        <v>1</v>
      </c>
      <c r="E288" s="103" t="s">
        <v>379</v>
      </c>
      <c r="F288" s="103" t="s">
        <v>33</v>
      </c>
      <c r="G288" s="103" t="s">
        <v>100</v>
      </c>
      <c r="H288" s="103" t="s">
        <v>223</v>
      </c>
      <c r="I288" s="105" t="s">
        <v>405</v>
      </c>
    </row>
    <row r="289" spans="1:9" ht="15.6" x14ac:dyDescent="0.3">
      <c r="A289" s="103" t="s">
        <v>475</v>
      </c>
      <c r="B289" s="103" t="s">
        <v>76</v>
      </c>
      <c r="C289" s="103" t="s">
        <v>77</v>
      </c>
      <c r="D289" s="103" t="s">
        <v>1</v>
      </c>
      <c r="E289" s="103" t="s">
        <v>398</v>
      </c>
      <c r="F289" s="103" t="s">
        <v>78</v>
      </c>
      <c r="G289" s="103" t="s">
        <v>55</v>
      </c>
      <c r="H289" s="103" t="s">
        <v>225</v>
      </c>
      <c r="I289" s="105" t="s">
        <v>386</v>
      </c>
    </row>
    <row r="290" spans="1:9" ht="15.6" x14ac:dyDescent="0.3">
      <c r="A290" s="103" t="s">
        <v>475</v>
      </c>
      <c r="B290" s="103" t="s">
        <v>40</v>
      </c>
      <c r="C290" s="103" t="s">
        <v>44</v>
      </c>
      <c r="D290" s="103" t="s">
        <v>1</v>
      </c>
      <c r="E290" s="103" t="s">
        <v>362</v>
      </c>
      <c r="F290" s="103" t="s">
        <v>42</v>
      </c>
      <c r="G290" s="103" t="s">
        <v>29</v>
      </c>
      <c r="H290" s="103" t="s">
        <v>43</v>
      </c>
      <c r="I290" s="105" t="s">
        <v>476</v>
      </c>
    </row>
    <row r="291" spans="1:9" ht="15.6" x14ac:dyDescent="0.3">
      <c r="A291" s="103" t="s">
        <v>475</v>
      </c>
      <c r="B291" s="103" t="s">
        <v>46</v>
      </c>
      <c r="C291" s="103" t="s">
        <v>47</v>
      </c>
      <c r="D291" s="103" t="s">
        <v>1</v>
      </c>
      <c r="E291" s="103" t="s">
        <v>364</v>
      </c>
      <c r="F291" s="103" t="s">
        <v>88</v>
      </c>
      <c r="G291" s="103" t="s">
        <v>150</v>
      </c>
      <c r="H291" s="103" t="s">
        <v>215</v>
      </c>
      <c r="I291" s="105" t="s">
        <v>413</v>
      </c>
    </row>
    <row r="292" spans="1:9" ht="15.6" x14ac:dyDescent="0.3">
      <c r="A292" s="103" t="s">
        <v>475</v>
      </c>
      <c r="B292" s="103" t="s">
        <v>31</v>
      </c>
      <c r="C292" s="103" t="s">
        <v>32</v>
      </c>
      <c r="D292" s="103" t="s">
        <v>1</v>
      </c>
      <c r="E292" s="103" t="s">
        <v>384</v>
      </c>
      <c r="F292" s="103" t="s">
        <v>36</v>
      </c>
      <c r="G292" s="103" t="s">
        <v>100</v>
      </c>
      <c r="H292" s="103" t="s">
        <v>177</v>
      </c>
      <c r="I292" s="105" t="s">
        <v>371</v>
      </c>
    </row>
    <row r="293" spans="1:9" ht="15.6" x14ac:dyDescent="0.3">
      <c r="A293" s="103" t="s">
        <v>475</v>
      </c>
      <c r="B293" s="103" t="s">
        <v>31</v>
      </c>
      <c r="C293" s="103" t="s">
        <v>51</v>
      </c>
      <c r="D293" s="103" t="s">
        <v>1</v>
      </c>
      <c r="E293" s="103" t="s">
        <v>379</v>
      </c>
      <c r="F293" s="103" t="s">
        <v>36</v>
      </c>
      <c r="G293" s="103" t="s">
        <v>100</v>
      </c>
      <c r="H293" s="103" t="s">
        <v>177</v>
      </c>
      <c r="I293" s="105" t="s">
        <v>448</v>
      </c>
    </row>
    <row r="294" spans="1:9" ht="15.6" x14ac:dyDescent="0.3">
      <c r="A294" s="103" t="s">
        <v>475</v>
      </c>
      <c r="B294" s="103" t="s">
        <v>26</v>
      </c>
      <c r="C294" s="103" t="s">
        <v>57</v>
      </c>
      <c r="D294" s="103" t="s">
        <v>1</v>
      </c>
      <c r="E294" s="103" t="s">
        <v>400</v>
      </c>
      <c r="F294" s="103" t="s">
        <v>167</v>
      </c>
      <c r="G294" s="103" t="s">
        <v>29</v>
      </c>
      <c r="H294" s="103" t="s">
        <v>227</v>
      </c>
      <c r="I294" s="105" t="s">
        <v>393</v>
      </c>
    </row>
    <row r="295" spans="1:9" ht="15.6" x14ac:dyDescent="0.3">
      <c r="A295" s="103" t="s">
        <v>475</v>
      </c>
      <c r="B295" s="103" t="s">
        <v>40</v>
      </c>
      <c r="C295" s="103" t="s">
        <v>41</v>
      </c>
      <c r="D295" s="103" t="s">
        <v>1</v>
      </c>
      <c r="E295" s="103" t="s">
        <v>361</v>
      </c>
      <c r="F295" s="103" t="s">
        <v>42</v>
      </c>
      <c r="G295" s="103" t="s">
        <v>29</v>
      </c>
      <c r="H295" s="103" t="s">
        <v>91</v>
      </c>
      <c r="I295" s="105" t="s">
        <v>463</v>
      </c>
    </row>
    <row r="296" spans="1:9" ht="15.6" x14ac:dyDescent="0.3">
      <c r="A296" s="103" t="s">
        <v>475</v>
      </c>
      <c r="B296" s="103" t="s">
        <v>40</v>
      </c>
      <c r="C296" s="103" t="s">
        <v>60</v>
      </c>
      <c r="D296" s="103" t="s">
        <v>1</v>
      </c>
      <c r="E296" s="103" t="s">
        <v>366</v>
      </c>
      <c r="F296" s="103" t="s">
        <v>42</v>
      </c>
      <c r="G296" s="103" t="s">
        <v>29</v>
      </c>
      <c r="H296" s="103" t="s">
        <v>91</v>
      </c>
      <c r="I296" s="105" t="s">
        <v>385</v>
      </c>
    </row>
    <row r="297" spans="1:9" ht="15.6" x14ac:dyDescent="0.3">
      <c r="A297" s="103" t="s">
        <v>475</v>
      </c>
      <c r="B297" s="103" t="s">
        <v>31</v>
      </c>
      <c r="C297" s="103" t="s">
        <v>32</v>
      </c>
      <c r="D297" s="103" t="s">
        <v>1</v>
      </c>
      <c r="E297" s="103" t="s">
        <v>384</v>
      </c>
      <c r="F297" s="103" t="s">
        <v>38</v>
      </c>
      <c r="G297" s="103" t="s">
        <v>100</v>
      </c>
      <c r="H297" s="103" t="s">
        <v>224</v>
      </c>
      <c r="I297" s="105" t="s">
        <v>477</v>
      </c>
    </row>
    <row r="298" spans="1:9" ht="15.6" x14ac:dyDescent="0.3">
      <c r="A298" s="103" t="s">
        <v>475</v>
      </c>
      <c r="B298" s="103" t="s">
        <v>31</v>
      </c>
      <c r="C298" s="103" t="s">
        <v>51</v>
      </c>
      <c r="D298" s="103" t="s">
        <v>1</v>
      </c>
      <c r="E298" s="103" t="s">
        <v>379</v>
      </c>
      <c r="F298" s="103" t="s">
        <v>38</v>
      </c>
      <c r="G298" s="103" t="s">
        <v>100</v>
      </c>
      <c r="H298" s="103" t="s">
        <v>224</v>
      </c>
      <c r="I298" s="105" t="s">
        <v>478</v>
      </c>
    </row>
    <row r="299" spans="1:9" ht="15.6" x14ac:dyDescent="0.3">
      <c r="A299" s="103" t="s">
        <v>475</v>
      </c>
      <c r="B299" s="103" t="s">
        <v>76</v>
      </c>
      <c r="C299" s="103" t="s">
        <v>77</v>
      </c>
      <c r="D299" s="103" t="s">
        <v>1</v>
      </c>
      <c r="E299" s="103" t="s">
        <v>398</v>
      </c>
      <c r="F299" s="103" t="s">
        <v>80</v>
      </c>
      <c r="G299" s="103" t="s">
        <v>55</v>
      </c>
      <c r="H299" s="103" t="s">
        <v>226</v>
      </c>
      <c r="I299" s="105" t="s">
        <v>479</v>
      </c>
    </row>
    <row r="300" spans="1:9" ht="15.6" x14ac:dyDescent="0.3">
      <c r="A300" s="103" t="s">
        <v>475</v>
      </c>
      <c r="B300" s="103" t="s">
        <v>46</v>
      </c>
      <c r="C300" s="103" t="s">
        <v>47</v>
      </c>
      <c r="D300" s="103" t="s">
        <v>1</v>
      </c>
      <c r="E300" s="103" t="s">
        <v>364</v>
      </c>
      <c r="F300" s="103" t="s">
        <v>80</v>
      </c>
      <c r="G300" s="103" t="s">
        <v>150</v>
      </c>
      <c r="H300" s="103" t="s">
        <v>90</v>
      </c>
      <c r="I300" s="105" t="s">
        <v>480</v>
      </c>
    </row>
    <row r="301" spans="1:9" ht="15.6" x14ac:dyDescent="0.3">
      <c r="A301" s="103" t="s">
        <v>475</v>
      </c>
      <c r="B301" s="103" t="s">
        <v>71</v>
      </c>
      <c r="C301" s="103" t="s">
        <v>72</v>
      </c>
      <c r="D301" s="103" t="s">
        <v>1</v>
      </c>
      <c r="E301" s="103" t="s">
        <v>364</v>
      </c>
      <c r="F301" s="103" t="s">
        <v>73</v>
      </c>
      <c r="G301" s="103" t="s">
        <v>74</v>
      </c>
      <c r="H301" s="103" t="s">
        <v>214</v>
      </c>
      <c r="I301" s="105" t="s">
        <v>374</v>
      </c>
    </row>
    <row r="302" spans="1:9" ht="15.6" x14ac:dyDescent="0.3">
      <c r="A302" s="103" t="s">
        <v>481</v>
      </c>
      <c r="B302" s="103" t="s">
        <v>40</v>
      </c>
      <c r="C302" s="103" t="s">
        <v>60</v>
      </c>
      <c r="D302" s="103" t="s">
        <v>1</v>
      </c>
      <c r="E302" s="103" t="s">
        <v>366</v>
      </c>
      <c r="F302" s="103" t="s">
        <v>101</v>
      </c>
      <c r="G302" s="103" t="s">
        <v>29</v>
      </c>
      <c r="H302" s="103" t="s">
        <v>178</v>
      </c>
      <c r="I302" s="105" t="s">
        <v>482</v>
      </c>
    </row>
    <row r="303" spans="1:9" ht="15.6" x14ac:dyDescent="0.3">
      <c r="A303" s="103" t="s">
        <v>481</v>
      </c>
      <c r="B303" s="103" t="s">
        <v>46</v>
      </c>
      <c r="C303" s="103" t="s">
        <v>47</v>
      </c>
      <c r="D303" s="103" t="s">
        <v>1</v>
      </c>
      <c r="E303" s="103" t="s">
        <v>364</v>
      </c>
      <c r="F303" s="103" t="s">
        <v>85</v>
      </c>
      <c r="G303" s="103" t="s">
        <v>150</v>
      </c>
      <c r="H303" s="103" t="s">
        <v>153</v>
      </c>
      <c r="I303" s="105" t="s">
        <v>483</v>
      </c>
    </row>
    <row r="304" spans="1:9" ht="15.6" x14ac:dyDescent="0.3">
      <c r="A304" s="103" t="s">
        <v>481</v>
      </c>
      <c r="B304" s="103" t="s">
        <v>40</v>
      </c>
      <c r="C304" s="103" t="s">
        <v>41</v>
      </c>
      <c r="D304" s="103" t="s">
        <v>1</v>
      </c>
      <c r="E304" s="103" t="s">
        <v>361</v>
      </c>
      <c r="F304" s="103" t="s">
        <v>101</v>
      </c>
      <c r="G304" s="103" t="s">
        <v>29</v>
      </c>
      <c r="H304" s="103" t="s">
        <v>179</v>
      </c>
      <c r="I304" s="105" t="s">
        <v>386</v>
      </c>
    </row>
    <row r="305" spans="1:9" ht="15.6" x14ac:dyDescent="0.3">
      <c r="A305" s="103" t="s">
        <v>481</v>
      </c>
      <c r="B305" s="103" t="s">
        <v>40</v>
      </c>
      <c r="C305" s="103" t="s">
        <v>44</v>
      </c>
      <c r="D305" s="103" t="s">
        <v>1</v>
      </c>
      <c r="E305" s="103" t="s">
        <v>362</v>
      </c>
      <c r="F305" s="103" t="s">
        <v>101</v>
      </c>
      <c r="G305" s="103" t="s">
        <v>29</v>
      </c>
      <c r="H305" s="103" t="s">
        <v>179</v>
      </c>
      <c r="I305" s="105" t="s">
        <v>386</v>
      </c>
    </row>
    <row r="306" spans="1:9" ht="15.6" x14ac:dyDescent="0.3">
      <c r="A306" s="103" t="s">
        <v>481</v>
      </c>
      <c r="B306" s="103" t="s">
        <v>31</v>
      </c>
      <c r="C306" s="103" t="s">
        <v>32</v>
      </c>
      <c r="D306" s="103" t="s">
        <v>1</v>
      </c>
      <c r="E306" s="103" t="s">
        <v>384</v>
      </c>
      <c r="F306" s="103" t="s">
        <v>33</v>
      </c>
      <c r="G306" s="103" t="s">
        <v>74</v>
      </c>
      <c r="H306" s="103" t="s">
        <v>170</v>
      </c>
      <c r="I306" s="105" t="s">
        <v>371</v>
      </c>
    </row>
    <row r="307" spans="1:9" ht="15.6" x14ac:dyDescent="0.3">
      <c r="A307" s="103" t="s">
        <v>481</v>
      </c>
      <c r="B307" s="103" t="s">
        <v>82</v>
      </c>
      <c r="C307" s="103" t="s">
        <v>123</v>
      </c>
      <c r="D307" s="103" t="s">
        <v>1</v>
      </c>
      <c r="E307" s="103" t="s">
        <v>450</v>
      </c>
      <c r="F307" s="103" t="s">
        <v>167</v>
      </c>
      <c r="G307" s="103" t="s">
        <v>34</v>
      </c>
      <c r="H307" s="103" t="s">
        <v>185</v>
      </c>
      <c r="I307" s="105" t="s">
        <v>395</v>
      </c>
    </row>
    <row r="308" spans="1:9" ht="15.6" x14ac:dyDescent="0.3">
      <c r="A308" s="103" t="s">
        <v>481</v>
      </c>
      <c r="B308" s="103" t="s">
        <v>46</v>
      </c>
      <c r="C308" s="103" t="s">
        <v>47</v>
      </c>
      <c r="D308" s="103" t="s">
        <v>1</v>
      </c>
      <c r="E308" s="103" t="s">
        <v>364</v>
      </c>
      <c r="F308" s="103" t="s">
        <v>88</v>
      </c>
      <c r="G308" s="103" t="s">
        <v>150</v>
      </c>
      <c r="H308" s="103" t="s">
        <v>191</v>
      </c>
      <c r="I308" s="105" t="s">
        <v>483</v>
      </c>
    </row>
    <row r="309" spans="1:9" ht="15.6" x14ac:dyDescent="0.3">
      <c r="A309" s="103" t="s">
        <v>481</v>
      </c>
      <c r="B309" s="103" t="s">
        <v>31</v>
      </c>
      <c r="C309" s="103" t="s">
        <v>32</v>
      </c>
      <c r="D309" s="103" t="s">
        <v>1</v>
      </c>
      <c r="E309" s="103" t="s">
        <v>384</v>
      </c>
      <c r="F309" s="103" t="s">
        <v>36</v>
      </c>
      <c r="G309" s="103" t="s">
        <v>74</v>
      </c>
      <c r="H309" s="103" t="s">
        <v>191</v>
      </c>
      <c r="I309" s="105" t="s">
        <v>472</v>
      </c>
    </row>
    <row r="310" spans="1:9" ht="15.6" x14ac:dyDescent="0.3">
      <c r="A310" s="103" t="s">
        <v>481</v>
      </c>
      <c r="B310" s="103" t="s">
        <v>31</v>
      </c>
      <c r="C310" s="103" t="s">
        <v>32</v>
      </c>
      <c r="D310" s="103" t="s">
        <v>1</v>
      </c>
      <c r="E310" s="103" t="s">
        <v>384</v>
      </c>
      <c r="F310" s="103" t="s">
        <v>38</v>
      </c>
      <c r="G310" s="103" t="s">
        <v>74</v>
      </c>
      <c r="H310" s="103" t="s">
        <v>192</v>
      </c>
      <c r="I310" s="105" t="s">
        <v>484</v>
      </c>
    </row>
    <row r="311" spans="1:9" ht="15.6" x14ac:dyDescent="0.3">
      <c r="A311" s="103" t="s">
        <v>481</v>
      </c>
      <c r="B311" s="103" t="s">
        <v>46</v>
      </c>
      <c r="C311" s="103" t="s">
        <v>47</v>
      </c>
      <c r="D311" s="103" t="s">
        <v>1</v>
      </c>
      <c r="E311" s="103" t="s">
        <v>364</v>
      </c>
      <c r="F311" s="103" t="s">
        <v>80</v>
      </c>
      <c r="G311" s="103" t="s">
        <v>150</v>
      </c>
      <c r="H311" s="103" t="s">
        <v>90</v>
      </c>
      <c r="I311" s="105" t="s">
        <v>480</v>
      </c>
    </row>
    <row r="312" spans="1:9" ht="15.6" x14ac:dyDescent="0.3">
      <c r="A312" s="103" t="s">
        <v>481</v>
      </c>
      <c r="B312" s="103" t="s">
        <v>71</v>
      </c>
      <c r="C312" s="103" t="s">
        <v>72</v>
      </c>
      <c r="D312" s="103" t="s">
        <v>1</v>
      </c>
      <c r="E312" s="103" t="s">
        <v>364</v>
      </c>
      <c r="F312" s="103" t="s">
        <v>73</v>
      </c>
      <c r="G312" s="103" t="s">
        <v>74</v>
      </c>
      <c r="H312" s="103" t="s">
        <v>189</v>
      </c>
      <c r="I312" s="105" t="s">
        <v>485</v>
      </c>
    </row>
    <row r="313" spans="1:9" ht="15.6" x14ac:dyDescent="0.3">
      <c r="A313" s="101" t="s">
        <v>486</v>
      </c>
      <c r="B313" s="101" t="s">
        <v>64</v>
      </c>
      <c r="C313" s="101" t="s">
        <v>65</v>
      </c>
      <c r="D313" s="101" t="s">
        <v>1</v>
      </c>
      <c r="E313" s="101" t="s">
        <v>288</v>
      </c>
      <c r="F313" s="101" t="s">
        <v>167</v>
      </c>
      <c r="G313" s="101" t="s">
        <v>97</v>
      </c>
      <c r="H313" s="101" t="s">
        <v>196</v>
      </c>
      <c r="I313" s="102" t="s">
        <v>369</v>
      </c>
    </row>
    <row r="314" spans="1:9" ht="15.6" x14ac:dyDescent="0.3">
      <c r="A314" s="103" t="s">
        <v>486</v>
      </c>
      <c r="B314" s="103" t="s">
        <v>40</v>
      </c>
      <c r="C314" s="103" t="s">
        <v>60</v>
      </c>
      <c r="D314" s="103" t="s">
        <v>1</v>
      </c>
      <c r="E314" s="103" t="s">
        <v>366</v>
      </c>
      <c r="F314" s="103" t="s">
        <v>101</v>
      </c>
      <c r="G314" s="103" t="s">
        <v>29</v>
      </c>
      <c r="H314" s="103" t="s">
        <v>178</v>
      </c>
      <c r="I314" s="104" t="s">
        <v>388</v>
      </c>
    </row>
    <row r="315" spans="1:9" ht="15.6" x14ac:dyDescent="0.3">
      <c r="A315" s="103" t="s">
        <v>486</v>
      </c>
      <c r="B315" s="103" t="s">
        <v>82</v>
      </c>
      <c r="C315" s="103" t="s">
        <v>123</v>
      </c>
      <c r="D315" s="103" t="s">
        <v>1</v>
      </c>
      <c r="E315" s="103" t="s">
        <v>450</v>
      </c>
      <c r="F315" s="103" t="s">
        <v>167</v>
      </c>
      <c r="G315" s="103" t="s">
        <v>53</v>
      </c>
      <c r="H315" s="103" t="s">
        <v>164</v>
      </c>
      <c r="I315" s="106" t="s">
        <v>430</v>
      </c>
    </row>
    <row r="316" spans="1:9" ht="15.6" x14ac:dyDescent="0.3">
      <c r="A316" s="103" t="s">
        <v>486</v>
      </c>
      <c r="B316" s="103" t="s">
        <v>26</v>
      </c>
      <c r="C316" s="103" t="s">
        <v>57</v>
      </c>
      <c r="D316" s="103" t="s">
        <v>1</v>
      </c>
      <c r="E316" s="103" t="s">
        <v>359</v>
      </c>
      <c r="F316" s="103" t="s">
        <v>167</v>
      </c>
      <c r="G316" s="103" t="s">
        <v>58</v>
      </c>
      <c r="H316" s="103" t="s">
        <v>130</v>
      </c>
      <c r="I316" s="104" t="s">
        <v>403</v>
      </c>
    </row>
    <row r="317" spans="1:9" ht="15.6" x14ac:dyDescent="0.3">
      <c r="A317" s="103" t="s">
        <v>486</v>
      </c>
      <c r="B317" s="103" t="s">
        <v>31</v>
      </c>
      <c r="C317" s="103" t="s">
        <v>51</v>
      </c>
      <c r="D317" s="103" t="s">
        <v>1</v>
      </c>
      <c r="E317" s="103" t="s">
        <v>379</v>
      </c>
      <c r="F317" s="103" t="s">
        <v>38</v>
      </c>
      <c r="G317" s="103" t="s">
        <v>102</v>
      </c>
      <c r="H317" s="103" t="s">
        <v>192</v>
      </c>
      <c r="I317" s="105" t="s">
        <v>458</v>
      </c>
    </row>
    <row r="318" spans="1:9" ht="15.6" x14ac:dyDescent="0.3">
      <c r="A318" s="103" t="s">
        <v>486</v>
      </c>
      <c r="B318" s="103" t="s">
        <v>31</v>
      </c>
      <c r="C318" s="103" t="s">
        <v>32</v>
      </c>
      <c r="D318" s="103" t="s">
        <v>1</v>
      </c>
      <c r="E318" s="103" t="s">
        <v>384</v>
      </c>
      <c r="F318" s="103" t="s">
        <v>38</v>
      </c>
      <c r="G318" s="103" t="s">
        <v>97</v>
      </c>
      <c r="H318" s="103" t="s">
        <v>224</v>
      </c>
      <c r="I318" s="105" t="s">
        <v>470</v>
      </c>
    </row>
    <row r="319" spans="1:9" ht="15.6" x14ac:dyDescent="0.3">
      <c r="A319" s="103" t="s">
        <v>486</v>
      </c>
      <c r="B319" s="103" t="s">
        <v>46</v>
      </c>
      <c r="C319" s="103" t="s">
        <v>47</v>
      </c>
      <c r="D319" s="103" t="s">
        <v>1</v>
      </c>
      <c r="E319" s="103" t="s">
        <v>364</v>
      </c>
      <c r="F319" s="103" t="s">
        <v>80</v>
      </c>
      <c r="G319" s="103" t="s">
        <v>150</v>
      </c>
      <c r="H319" s="103" t="s">
        <v>90</v>
      </c>
      <c r="I319" s="105" t="s">
        <v>487</v>
      </c>
    </row>
    <row r="320" spans="1:9" ht="15.6" x14ac:dyDescent="0.3">
      <c r="A320" s="103" t="s">
        <v>486</v>
      </c>
      <c r="B320" s="103" t="s">
        <v>71</v>
      </c>
      <c r="C320" s="103" t="s">
        <v>72</v>
      </c>
      <c r="D320" s="103" t="s">
        <v>1</v>
      </c>
      <c r="E320" s="103" t="s">
        <v>364</v>
      </c>
      <c r="F320" s="103" t="s">
        <v>73</v>
      </c>
      <c r="G320" s="103" t="s">
        <v>74</v>
      </c>
      <c r="H320" s="103" t="s">
        <v>189</v>
      </c>
      <c r="I320" s="106" t="s">
        <v>430</v>
      </c>
    </row>
    <row r="321" spans="1:9" ht="15.6" x14ac:dyDescent="0.3">
      <c r="A321" s="103" t="s">
        <v>488</v>
      </c>
      <c r="B321" s="103" t="s">
        <v>40</v>
      </c>
      <c r="C321" s="103" t="s">
        <v>60</v>
      </c>
      <c r="D321" s="103" t="s">
        <v>1</v>
      </c>
      <c r="E321" s="103" t="s">
        <v>366</v>
      </c>
      <c r="F321" s="103" t="s">
        <v>101</v>
      </c>
      <c r="G321" s="103" t="s">
        <v>29</v>
      </c>
      <c r="H321" s="103" t="s">
        <v>178</v>
      </c>
      <c r="I321" s="104" t="s">
        <v>388</v>
      </c>
    </row>
    <row r="322" spans="1:9" ht="15.6" x14ac:dyDescent="0.3">
      <c r="A322" s="103" t="s">
        <v>488</v>
      </c>
      <c r="B322" s="103" t="s">
        <v>82</v>
      </c>
      <c r="C322" s="103" t="s">
        <v>83</v>
      </c>
      <c r="D322" s="103" t="s">
        <v>1</v>
      </c>
      <c r="E322" s="103" t="s">
        <v>376</v>
      </c>
      <c r="F322" s="103" t="s">
        <v>167</v>
      </c>
      <c r="G322" s="103" t="s">
        <v>34</v>
      </c>
      <c r="H322" s="103" t="s">
        <v>164</v>
      </c>
      <c r="I322" s="106" t="s">
        <v>430</v>
      </c>
    </row>
    <row r="323" spans="1:9" ht="15.6" x14ac:dyDescent="0.3">
      <c r="A323" s="101" t="s">
        <v>489</v>
      </c>
      <c r="B323" s="101" t="s">
        <v>64</v>
      </c>
      <c r="C323" s="101" t="s">
        <v>65</v>
      </c>
      <c r="D323" s="101" t="s">
        <v>1</v>
      </c>
      <c r="E323" s="101" t="s">
        <v>298</v>
      </c>
      <c r="F323" s="101" t="s">
        <v>167</v>
      </c>
      <c r="G323" s="101" t="s">
        <v>53</v>
      </c>
      <c r="H323" s="101" t="s">
        <v>110</v>
      </c>
      <c r="I323" s="102" t="s">
        <v>369</v>
      </c>
    </row>
    <row r="324" spans="1:9" ht="15.6" x14ac:dyDescent="0.3">
      <c r="A324" s="103" t="s">
        <v>489</v>
      </c>
      <c r="B324" s="103" t="s">
        <v>40</v>
      </c>
      <c r="C324" s="103" t="s">
        <v>60</v>
      </c>
      <c r="D324" s="103" t="s">
        <v>1</v>
      </c>
      <c r="E324" s="103" t="s">
        <v>366</v>
      </c>
      <c r="F324" s="103" t="s">
        <v>101</v>
      </c>
      <c r="G324" s="103" t="s">
        <v>29</v>
      </c>
      <c r="H324" s="103" t="s">
        <v>178</v>
      </c>
      <c r="I324" s="106" t="s">
        <v>401</v>
      </c>
    </row>
    <row r="325" spans="1:9" ht="15.6" x14ac:dyDescent="0.3">
      <c r="A325" s="103" t="s">
        <v>489</v>
      </c>
      <c r="B325" s="103" t="s">
        <v>40</v>
      </c>
      <c r="C325" s="103" t="s">
        <v>41</v>
      </c>
      <c r="D325" s="103" t="s">
        <v>1</v>
      </c>
      <c r="E325" s="103" t="s">
        <v>361</v>
      </c>
      <c r="F325" s="103" t="s">
        <v>101</v>
      </c>
      <c r="G325" s="103" t="s">
        <v>29</v>
      </c>
      <c r="H325" s="103" t="s">
        <v>179</v>
      </c>
      <c r="I325" s="106" t="s">
        <v>444</v>
      </c>
    </row>
    <row r="326" spans="1:9" ht="15.6" x14ac:dyDescent="0.3">
      <c r="A326" s="103" t="s">
        <v>489</v>
      </c>
      <c r="B326" s="103" t="s">
        <v>40</v>
      </c>
      <c r="C326" s="103" t="s">
        <v>44</v>
      </c>
      <c r="D326" s="103" t="s">
        <v>1</v>
      </c>
      <c r="E326" s="103" t="s">
        <v>362</v>
      </c>
      <c r="F326" s="103" t="s">
        <v>101</v>
      </c>
      <c r="G326" s="103" t="s">
        <v>29</v>
      </c>
      <c r="H326" s="103" t="s">
        <v>179</v>
      </c>
      <c r="I326" s="106" t="s">
        <v>444</v>
      </c>
    </row>
    <row r="327" spans="1:9" ht="15.6" x14ac:dyDescent="0.3">
      <c r="A327" s="103" t="s">
        <v>489</v>
      </c>
      <c r="B327" s="103" t="s">
        <v>31</v>
      </c>
      <c r="C327" s="103" t="s">
        <v>51</v>
      </c>
      <c r="D327" s="103" t="s">
        <v>1</v>
      </c>
      <c r="E327" s="103" t="s">
        <v>379</v>
      </c>
      <c r="F327" s="103" t="s">
        <v>33</v>
      </c>
      <c r="G327" s="103" t="s">
        <v>74</v>
      </c>
      <c r="H327" s="103" t="s">
        <v>170</v>
      </c>
      <c r="I327" s="104" t="s">
        <v>370</v>
      </c>
    </row>
    <row r="328" spans="1:9" ht="15.6" x14ac:dyDescent="0.3">
      <c r="A328" s="103" t="s">
        <v>489</v>
      </c>
      <c r="B328" s="103" t="s">
        <v>26</v>
      </c>
      <c r="C328" s="103" t="s">
        <v>57</v>
      </c>
      <c r="D328" s="103" t="s">
        <v>1</v>
      </c>
      <c r="E328" s="103" t="s">
        <v>359</v>
      </c>
      <c r="F328" s="103" t="s">
        <v>167</v>
      </c>
      <c r="G328" s="103" t="s">
        <v>102</v>
      </c>
      <c r="H328" s="103" t="s">
        <v>130</v>
      </c>
      <c r="I328" s="106" t="s">
        <v>399</v>
      </c>
    </row>
    <row r="329" spans="1:9" ht="15.6" x14ac:dyDescent="0.3">
      <c r="A329" s="103" t="s">
        <v>489</v>
      </c>
      <c r="B329" s="103" t="s">
        <v>82</v>
      </c>
      <c r="C329" s="103" t="s">
        <v>83</v>
      </c>
      <c r="D329" s="103" t="s">
        <v>1</v>
      </c>
      <c r="E329" s="103" t="s">
        <v>490</v>
      </c>
      <c r="F329" s="103" t="s">
        <v>167</v>
      </c>
      <c r="G329" s="103" t="s">
        <v>74</v>
      </c>
      <c r="H329" s="103" t="s">
        <v>185</v>
      </c>
      <c r="I329" s="106" t="s">
        <v>399</v>
      </c>
    </row>
    <row r="330" spans="1:9" ht="15.6" x14ac:dyDescent="0.3">
      <c r="A330" s="103" t="s">
        <v>489</v>
      </c>
      <c r="B330" s="103" t="s">
        <v>26</v>
      </c>
      <c r="C330" s="103" t="s">
        <v>99</v>
      </c>
      <c r="D330" s="103" t="s">
        <v>1</v>
      </c>
      <c r="E330" s="103" t="s">
        <v>381</v>
      </c>
      <c r="F330" s="103" t="s">
        <v>167</v>
      </c>
      <c r="G330" s="103" t="s">
        <v>53</v>
      </c>
      <c r="H330" s="103" t="s">
        <v>176</v>
      </c>
      <c r="I330" s="104" t="s">
        <v>391</v>
      </c>
    </row>
    <row r="331" spans="1:9" ht="15.6" x14ac:dyDescent="0.3">
      <c r="A331" s="103" t="s">
        <v>489</v>
      </c>
      <c r="B331" s="103" t="s">
        <v>31</v>
      </c>
      <c r="C331" s="103" t="s">
        <v>51</v>
      </c>
      <c r="D331" s="103" t="s">
        <v>1</v>
      </c>
      <c r="E331" s="103" t="s">
        <v>379</v>
      </c>
      <c r="F331" s="103" t="s">
        <v>36</v>
      </c>
      <c r="G331" s="103" t="s">
        <v>74</v>
      </c>
      <c r="H331" s="103" t="s">
        <v>191</v>
      </c>
      <c r="I331" s="104" t="s">
        <v>382</v>
      </c>
    </row>
    <row r="332" spans="1:9" ht="15.6" x14ac:dyDescent="0.3">
      <c r="A332" s="103" t="s">
        <v>489</v>
      </c>
      <c r="B332" s="103" t="s">
        <v>31</v>
      </c>
      <c r="C332" s="103" t="s">
        <v>51</v>
      </c>
      <c r="D332" s="103" t="s">
        <v>1</v>
      </c>
      <c r="E332" s="103" t="s">
        <v>379</v>
      </c>
      <c r="F332" s="103" t="s">
        <v>38</v>
      </c>
      <c r="G332" s="103" t="s">
        <v>74</v>
      </c>
      <c r="H332" s="103" t="s">
        <v>192</v>
      </c>
      <c r="I332" s="105" t="s">
        <v>383</v>
      </c>
    </row>
    <row r="333" spans="1:9" ht="15.6" x14ac:dyDescent="0.3">
      <c r="A333" s="103" t="s">
        <v>489</v>
      </c>
      <c r="B333" s="103" t="s">
        <v>31</v>
      </c>
      <c r="C333" s="103" t="s">
        <v>32</v>
      </c>
      <c r="D333" s="103" t="s">
        <v>1</v>
      </c>
      <c r="E333" s="103" t="s">
        <v>384</v>
      </c>
      <c r="F333" s="103" t="s">
        <v>38</v>
      </c>
      <c r="G333" s="103" t="s">
        <v>55</v>
      </c>
      <c r="H333" s="103" t="s">
        <v>205</v>
      </c>
      <c r="I333" s="105" t="s">
        <v>491</v>
      </c>
    </row>
    <row r="334" spans="1:9" ht="15.6" x14ac:dyDescent="0.3">
      <c r="A334" s="103" t="s">
        <v>489</v>
      </c>
      <c r="B334" s="103" t="s">
        <v>46</v>
      </c>
      <c r="C334" s="103" t="s">
        <v>47</v>
      </c>
      <c r="D334" s="103" t="s">
        <v>1</v>
      </c>
      <c r="E334" s="103" t="s">
        <v>364</v>
      </c>
      <c r="F334" s="103" t="s">
        <v>80</v>
      </c>
      <c r="G334" s="103" t="s">
        <v>150</v>
      </c>
      <c r="H334" s="103" t="s">
        <v>90</v>
      </c>
      <c r="I334" s="105" t="s">
        <v>452</v>
      </c>
    </row>
    <row r="335" spans="1:9" ht="15.6" x14ac:dyDescent="0.3">
      <c r="A335" s="103" t="s">
        <v>489</v>
      </c>
      <c r="B335" s="103" t="s">
        <v>71</v>
      </c>
      <c r="C335" s="103" t="s">
        <v>72</v>
      </c>
      <c r="D335" s="103" t="s">
        <v>1</v>
      </c>
      <c r="E335" s="103" t="s">
        <v>364</v>
      </c>
      <c r="F335" s="103" t="s">
        <v>73</v>
      </c>
      <c r="G335" s="103" t="s">
        <v>74</v>
      </c>
      <c r="H335" s="103" t="s">
        <v>189</v>
      </c>
      <c r="I335" s="105" t="s">
        <v>392</v>
      </c>
    </row>
    <row r="336" spans="1:9" ht="15.6" x14ac:dyDescent="0.3">
      <c r="A336" s="101" t="s">
        <v>492</v>
      </c>
      <c r="B336" s="101" t="s">
        <v>64</v>
      </c>
      <c r="C336" s="101" t="s">
        <v>65</v>
      </c>
      <c r="D336" s="101" t="s">
        <v>1</v>
      </c>
      <c r="E336" s="101" t="s">
        <v>305</v>
      </c>
      <c r="F336" s="101" t="s">
        <v>167</v>
      </c>
      <c r="G336" s="101" t="s">
        <v>58</v>
      </c>
      <c r="H336" s="101" t="s">
        <v>110</v>
      </c>
      <c r="I336" s="102" t="s">
        <v>369</v>
      </c>
    </row>
    <row r="337" spans="1:9" ht="15.6" x14ac:dyDescent="0.3">
      <c r="A337" s="103" t="s">
        <v>492</v>
      </c>
      <c r="B337" s="103" t="s">
        <v>40</v>
      </c>
      <c r="C337" s="103" t="s">
        <v>60</v>
      </c>
      <c r="D337" s="103" t="s">
        <v>1</v>
      </c>
      <c r="E337" s="103" t="s">
        <v>366</v>
      </c>
      <c r="F337" s="103" t="s">
        <v>101</v>
      </c>
      <c r="G337" s="103" t="s">
        <v>29</v>
      </c>
      <c r="H337" s="103" t="s">
        <v>178</v>
      </c>
      <c r="I337" s="106" t="s">
        <v>401</v>
      </c>
    </row>
    <row r="338" spans="1:9" ht="15.6" x14ac:dyDescent="0.3">
      <c r="A338" s="103" t="s">
        <v>492</v>
      </c>
      <c r="B338" s="103" t="s">
        <v>82</v>
      </c>
      <c r="C338" s="103" t="s">
        <v>123</v>
      </c>
      <c r="D338" s="103" t="s">
        <v>1</v>
      </c>
      <c r="E338" s="103" t="s">
        <v>450</v>
      </c>
      <c r="F338" s="103" t="s">
        <v>167</v>
      </c>
      <c r="G338" s="103" t="s">
        <v>102</v>
      </c>
      <c r="H338" s="103" t="s">
        <v>164</v>
      </c>
      <c r="I338" s="105" t="s">
        <v>392</v>
      </c>
    </row>
    <row r="339" spans="1:9" ht="15.6" x14ac:dyDescent="0.3">
      <c r="A339" s="103" t="s">
        <v>492</v>
      </c>
      <c r="B339" s="103" t="s">
        <v>40</v>
      </c>
      <c r="C339" s="103" t="s">
        <v>41</v>
      </c>
      <c r="D339" s="103" t="s">
        <v>1</v>
      </c>
      <c r="E339" s="103" t="s">
        <v>361</v>
      </c>
      <c r="F339" s="103" t="s">
        <v>101</v>
      </c>
      <c r="G339" s="103" t="s">
        <v>29</v>
      </c>
      <c r="H339" s="103" t="s">
        <v>179</v>
      </c>
      <c r="I339" s="106" t="s">
        <v>444</v>
      </c>
    </row>
    <row r="340" spans="1:9" ht="15.6" x14ac:dyDescent="0.3">
      <c r="A340" s="103" t="s">
        <v>492</v>
      </c>
      <c r="B340" s="103" t="s">
        <v>40</v>
      </c>
      <c r="C340" s="103" t="s">
        <v>44</v>
      </c>
      <c r="D340" s="103" t="s">
        <v>1</v>
      </c>
      <c r="E340" s="103" t="s">
        <v>362</v>
      </c>
      <c r="F340" s="103" t="s">
        <v>42</v>
      </c>
      <c r="G340" s="103" t="s">
        <v>29</v>
      </c>
      <c r="H340" s="103" t="s">
        <v>238</v>
      </c>
      <c r="I340" s="105" t="s">
        <v>448</v>
      </c>
    </row>
    <row r="341" spans="1:9" ht="15.6" x14ac:dyDescent="0.3">
      <c r="A341" s="103" t="s">
        <v>492</v>
      </c>
      <c r="B341" s="103" t="s">
        <v>31</v>
      </c>
      <c r="C341" s="103" t="s">
        <v>32</v>
      </c>
      <c r="D341" s="103" t="s">
        <v>1</v>
      </c>
      <c r="E341" s="103" t="s">
        <v>384</v>
      </c>
      <c r="F341" s="103" t="s">
        <v>33</v>
      </c>
      <c r="G341" s="103" t="s">
        <v>102</v>
      </c>
      <c r="H341" s="103" t="s">
        <v>170</v>
      </c>
      <c r="I341" s="104" t="s">
        <v>370</v>
      </c>
    </row>
    <row r="342" spans="1:9" ht="15.6" x14ac:dyDescent="0.3">
      <c r="A342" s="103" t="s">
        <v>492</v>
      </c>
      <c r="B342" s="103" t="s">
        <v>26</v>
      </c>
      <c r="C342" s="103" t="s">
        <v>27</v>
      </c>
      <c r="D342" s="103" t="s">
        <v>1</v>
      </c>
      <c r="E342" s="103" t="s">
        <v>359</v>
      </c>
      <c r="F342" s="103" t="s">
        <v>167</v>
      </c>
      <c r="G342" s="103" t="s">
        <v>97</v>
      </c>
      <c r="H342" s="103" t="s">
        <v>130</v>
      </c>
      <c r="I342" s="106" t="s">
        <v>399</v>
      </c>
    </row>
    <row r="343" spans="1:9" ht="15.6" x14ac:dyDescent="0.3">
      <c r="A343" s="103" t="s">
        <v>492</v>
      </c>
      <c r="B343" s="103" t="s">
        <v>31</v>
      </c>
      <c r="C343" s="103" t="s">
        <v>32</v>
      </c>
      <c r="D343" s="103" t="s">
        <v>1</v>
      </c>
      <c r="E343" s="103" t="s">
        <v>384</v>
      </c>
      <c r="F343" s="103" t="s">
        <v>36</v>
      </c>
      <c r="G343" s="103" t="s">
        <v>102</v>
      </c>
      <c r="H343" s="103" t="s">
        <v>191</v>
      </c>
      <c r="I343" s="104" t="s">
        <v>382</v>
      </c>
    </row>
    <row r="344" spans="1:9" ht="15.6" x14ac:dyDescent="0.3">
      <c r="A344" s="103" t="s">
        <v>492</v>
      </c>
      <c r="B344" s="103" t="s">
        <v>31</v>
      </c>
      <c r="C344" s="103" t="s">
        <v>32</v>
      </c>
      <c r="D344" s="103" t="s">
        <v>1</v>
      </c>
      <c r="E344" s="103" t="s">
        <v>384</v>
      </c>
      <c r="F344" s="103" t="s">
        <v>38</v>
      </c>
      <c r="G344" s="103" t="s">
        <v>102</v>
      </c>
      <c r="H344" s="103" t="s">
        <v>192</v>
      </c>
      <c r="I344" s="105" t="s">
        <v>383</v>
      </c>
    </row>
    <row r="345" spans="1:9" ht="15.6" x14ac:dyDescent="0.3">
      <c r="A345" s="103" t="s">
        <v>492</v>
      </c>
      <c r="B345" s="103" t="s">
        <v>46</v>
      </c>
      <c r="C345" s="103" t="s">
        <v>47</v>
      </c>
      <c r="D345" s="103" t="s">
        <v>1</v>
      </c>
      <c r="E345" s="103" t="s">
        <v>364</v>
      </c>
      <c r="F345" s="103" t="s">
        <v>80</v>
      </c>
      <c r="G345" s="103" t="s">
        <v>150</v>
      </c>
      <c r="H345" s="103" t="s">
        <v>90</v>
      </c>
      <c r="I345" s="105" t="s">
        <v>452</v>
      </c>
    </row>
    <row r="346" spans="1:9" ht="15.6" x14ac:dyDescent="0.3">
      <c r="A346" s="103" t="s">
        <v>492</v>
      </c>
      <c r="B346" s="103" t="s">
        <v>71</v>
      </c>
      <c r="C346" s="103" t="s">
        <v>72</v>
      </c>
      <c r="D346" s="103" t="s">
        <v>1</v>
      </c>
      <c r="E346" s="103" t="s">
        <v>364</v>
      </c>
      <c r="F346" s="103" t="s">
        <v>73</v>
      </c>
      <c r="G346" s="103" t="s">
        <v>74</v>
      </c>
      <c r="H346" s="103" t="s">
        <v>189</v>
      </c>
      <c r="I346" s="105" t="s">
        <v>392</v>
      </c>
    </row>
    <row r="347" spans="1:9" ht="15.6" x14ac:dyDescent="0.3">
      <c r="A347" s="101" t="s">
        <v>493</v>
      </c>
      <c r="B347" s="101" t="s">
        <v>64</v>
      </c>
      <c r="C347" s="101" t="s">
        <v>65</v>
      </c>
      <c r="D347" s="101" t="s">
        <v>1</v>
      </c>
      <c r="E347" s="101" t="s">
        <v>298</v>
      </c>
      <c r="F347" s="101" t="s">
        <v>167</v>
      </c>
      <c r="G347" s="101" t="s">
        <v>53</v>
      </c>
      <c r="H347" s="101" t="s">
        <v>66</v>
      </c>
      <c r="I347" s="102" t="s">
        <v>369</v>
      </c>
    </row>
    <row r="348" spans="1:9" ht="15.6" x14ac:dyDescent="0.3">
      <c r="A348" s="103" t="s">
        <v>493</v>
      </c>
      <c r="B348" s="103" t="s">
        <v>40</v>
      </c>
      <c r="C348" s="103" t="s">
        <v>60</v>
      </c>
      <c r="D348" s="103" t="s">
        <v>1</v>
      </c>
      <c r="E348" s="103" t="s">
        <v>366</v>
      </c>
      <c r="F348" s="103" t="s">
        <v>101</v>
      </c>
      <c r="G348" s="103" t="s">
        <v>29</v>
      </c>
      <c r="H348" s="103" t="s">
        <v>178</v>
      </c>
      <c r="I348" s="106" t="s">
        <v>401</v>
      </c>
    </row>
    <row r="349" spans="1:9" ht="15.6" x14ac:dyDescent="0.3">
      <c r="A349" s="103" t="s">
        <v>493</v>
      </c>
      <c r="B349" s="103" t="s">
        <v>82</v>
      </c>
      <c r="C349" s="103" t="s">
        <v>83</v>
      </c>
      <c r="D349" s="103" t="s">
        <v>1</v>
      </c>
      <c r="E349" s="103" t="s">
        <v>494</v>
      </c>
      <c r="F349" s="103" t="s">
        <v>167</v>
      </c>
      <c r="G349" s="103" t="s">
        <v>34</v>
      </c>
      <c r="H349" s="103" t="s">
        <v>164</v>
      </c>
      <c r="I349" s="106" t="s">
        <v>428</v>
      </c>
    </row>
    <row r="350" spans="1:9" ht="15.6" x14ac:dyDescent="0.3">
      <c r="A350" s="103" t="s">
        <v>493</v>
      </c>
      <c r="B350" s="103" t="s">
        <v>76</v>
      </c>
      <c r="C350" s="103" t="s">
        <v>77</v>
      </c>
      <c r="D350" s="103" t="s">
        <v>1</v>
      </c>
      <c r="E350" s="103" t="s">
        <v>398</v>
      </c>
      <c r="F350" s="103" t="s">
        <v>78</v>
      </c>
      <c r="G350" s="103" t="s">
        <v>55</v>
      </c>
      <c r="H350" s="103" t="s">
        <v>240</v>
      </c>
      <c r="I350" s="106" t="s">
        <v>460</v>
      </c>
    </row>
    <row r="351" spans="1:9" ht="15.6" x14ac:dyDescent="0.3">
      <c r="A351" s="103" t="s">
        <v>493</v>
      </c>
      <c r="B351" s="103" t="s">
        <v>40</v>
      </c>
      <c r="C351" s="103" t="s">
        <v>41</v>
      </c>
      <c r="D351" s="103" t="s">
        <v>1</v>
      </c>
      <c r="E351" s="103" t="s">
        <v>361</v>
      </c>
      <c r="F351" s="103" t="s">
        <v>101</v>
      </c>
      <c r="G351" s="103" t="s">
        <v>29</v>
      </c>
      <c r="H351" s="103" t="s">
        <v>179</v>
      </c>
      <c r="I351" s="104" t="s">
        <v>403</v>
      </c>
    </row>
    <row r="352" spans="1:9" ht="15.6" x14ac:dyDescent="0.3">
      <c r="A352" s="103" t="s">
        <v>493</v>
      </c>
      <c r="B352" s="103" t="s">
        <v>40</v>
      </c>
      <c r="C352" s="103" t="s">
        <v>44</v>
      </c>
      <c r="D352" s="103" t="s">
        <v>1</v>
      </c>
      <c r="E352" s="103" t="s">
        <v>362</v>
      </c>
      <c r="F352" s="103" t="s">
        <v>101</v>
      </c>
      <c r="G352" s="103" t="s">
        <v>29</v>
      </c>
      <c r="H352" s="103" t="s">
        <v>179</v>
      </c>
      <c r="I352" s="104" t="s">
        <v>403</v>
      </c>
    </row>
    <row r="353" spans="1:9" ht="15.6" x14ac:dyDescent="0.3">
      <c r="A353" s="103" t="s">
        <v>493</v>
      </c>
      <c r="B353" s="103" t="s">
        <v>31</v>
      </c>
      <c r="C353" s="103" t="s">
        <v>51</v>
      </c>
      <c r="D353" s="103" t="s">
        <v>1</v>
      </c>
      <c r="E353" s="103" t="s">
        <v>379</v>
      </c>
      <c r="F353" s="103" t="s">
        <v>33</v>
      </c>
      <c r="G353" s="103" t="s">
        <v>102</v>
      </c>
      <c r="H353" s="103" t="s">
        <v>170</v>
      </c>
      <c r="I353" s="104" t="s">
        <v>370</v>
      </c>
    </row>
    <row r="354" spans="1:9" ht="15.6" x14ac:dyDescent="0.3">
      <c r="A354" s="103" t="s">
        <v>493</v>
      </c>
      <c r="B354" s="103" t="s">
        <v>26</v>
      </c>
      <c r="C354" s="103" t="s">
        <v>57</v>
      </c>
      <c r="D354" s="103" t="s">
        <v>1</v>
      </c>
      <c r="E354" s="103" t="s">
        <v>400</v>
      </c>
      <c r="F354" s="103" t="s">
        <v>167</v>
      </c>
      <c r="G354" s="103" t="s">
        <v>58</v>
      </c>
      <c r="H354" s="103" t="s">
        <v>130</v>
      </c>
      <c r="I354" s="106" t="s">
        <v>444</v>
      </c>
    </row>
    <row r="355" spans="1:9" ht="15.6" x14ac:dyDescent="0.3">
      <c r="A355" s="103" t="s">
        <v>493</v>
      </c>
      <c r="B355" s="103" t="s">
        <v>31</v>
      </c>
      <c r="C355" s="103" t="s">
        <v>32</v>
      </c>
      <c r="D355" s="103" t="s">
        <v>1</v>
      </c>
      <c r="E355" s="103" t="s">
        <v>384</v>
      </c>
      <c r="F355" s="103" t="s">
        <v>36</v>
      </c>
      <c r="G355" s="103" t="s">
        <v>74</v>
      </c>
      <c r="H355" s="103" t="s">
        <v>191</v>
      </c>
      <c r="I355" s="104" t="s">
        <v>388</v>
      </c>
    </row>
    <row r="356" spans="1:9" ht="15.6" x14ac:dyDescent="0.3">
      <c r="A356" s="103" t="s">
        <v>493</v>
      </c>
      <c r="B356" s="103" t="s">
        <v>31</v>
      </c>
      <c r="C356" s="103" t="s">
        <v>51</v>
      </c>
      <c r="D356" s="103" t="s">
        <v>1</v>
      </c>
      <c r="E356" s="103" t="s">
        <v>379</v>
      </c>
      <c r="F356" s="103" t="s">
        <v>36</v>
      </c>
      <c r="G356" s="103" t="s">
        <v>102</v>
      </c>
      <c r="H356" s="103" t="s">
        <v>191</v>
      </c>
      <c r="I356" s="104" t="s">
        <v>382</v>
      </c>
    </row>
    <row r="357" spans="1:9" ht="15.6" x14ac:dyDescent="0.3">
      <c r="A357" s="103" t="s">
        <v>493</v>
      </c>
      <c r="B357" s="103" t="s">
        <v>76</v>
      </c>
      <c r="C357" s="103" t="s">
        <v>77</v>
      </c>
      <c r="D357" s="103" t="s">
        <v>1</v>
      </c>
      <c r="E357" s="103" t="s">
        <v>398</v>
      </c>
      <c r="F357" s="103" t="s">
        <v>80</v>
      </c>
      <c r="G357" s="103" t="s">
        <v>55</v>
      </c>
      <c r="H357" s="103" t="s">
        <v>172</v>
      </c>
      <c r="I357" s="105" t="s">
        <v>404</v>
      </c>
    </row>
    <row r="358" spans="1:9" ht="15.6" x14ac:dyDescent="0.3">
      <c r="A358" s="103" t="s">
        <v>493</v>
      </c>
      <c r="B358" s="103" t="s">
        <v>31</v>
      </c>
      <c r="C358" s="103" t="s">
        <v>32</v>
      </c>
      <c r="D358" s="103" t="s">
        <v>1</v>
      </c>
      <c r="E358" s="103" t="s">
        <v>384</v>
      </c>
      <c r="F358" s="103" t="s">
        <v>38</v>
      </c>
      <c r="G358" s="103" t="s">
        <v>74</v>
      </c>
      <c r="H358" s="103" t="s">
        <v>192</v>
      </c>
      <c r="I358" s="105" t="s">
        <v>495</v>
      </c>
    </row>
    <row r="359" spans="1:9" ht="15.6" x14ac:dyDescent="0.3">
      <c r="A359" s="103" t="s">
        <v>493</v>
      </c>
      <c r="B359" s="103" t="s">
        <v>31</v>
      </c>
      <c r="C359" s="103" t="s">
        <v>51</v>
      </c>
      <c r="D359" s="103" t="s">
        <v>1</v>
      </c>
      <c r="E359" s="103" t="s">
        <v>379</v>
      </c>
      <c r="F359" s="103" t="s">
        <v>38</v>
      </c>
      <c r="G359" s="103" t="s">
        <v>102</v>
      </c>
      <c r="H359" s="103" t="s">
        <v>192</v>
      </c>
      <c r="I359" s="105" t="s">
        <v>383</v>
      </c>
    </row>
    <row r="360" spans="1:9" ht="15.6" x14ac:dyDescent="0.3">
      <c r="A360" s="103" t="s">
        <v>493</v>
      </c>
      <c r="B360" s="103" t="s">
        <v>46</v>
      </c>
      <c r="C360" s="103" t="s">
        <v>47</v>
      </c>
      <c r="D360" s="103" t="s">
        <v>1</v>
      </c>
      <c r="E360" s="103" t="s">
        <v>364</v>
      </c>
      <c r="F360" s="103" t="s">
        <v>80</v>
      </c>
      <c r="G360" s="103" t="s">
        <v>150</v>
      </c>
      <c r="H360" s="103" t="s">
        <v>90</v>
      </c>
      <c r="I360" s="105" t="s">
        <v>440</v>
      </c>
    </row>
    <row r="361" spans="1:9" ht="15.6" x14ac:dyDescent="0.3">
      <c r="A361" s="103" t="s">
        <v>493</v>
      </c>
      <c r="B361" s="103" t="s">
        <v>71</v>
      </c>
      <c r="C361" s="103" t="s">
        <v>72</v>
      </c>
      <c r="D361" s="103" t="s">
        <v>1</v>
      </c>
      <c r="E361" s="103" t="s">
        <v>364</v>
      </c>
      <c r="F361" s="103" t="s">
        <v>73</v>
      </c>
      <c r="G361" s="103" t="s">
        <v>74</v>
      </c>
      <c r="H361" s="103" t="s">
        <v>189</v>
      </c>
      <c r="I361" s="106" t="s">
        <v>428</v>
      </c>
    </row>
    <row r="362" spans="1:9" ht="15.6" x14ac:dyDescent="0.3">
      <c r="A362" s="103" t="s">
        <v>496</v>
      </c>
      <c r="B362" s="103" t="s">
        <v>40</v>
      </c>
      <c r="C362" s="103" t="s">
        <v>60</v>
      </c>
      <c r="D362" s="103" t="s">
        <v>1</v>
      </c>
      <c r="E362" s="103" t="s">
        <v>366</v>
      </c>
      <c r="F362" s="103" t="s">
        <v>101</v>
      </c>
      <c r="G362" s="103" t="s">
        <v>29</v>
      </c>
      <c r="H362" s="103" t="s">
        <v>178</v>
      </c>
      <c r="I362" s="104" t="s">
        <v>382</v>
      </c>
    </row>
    <row r="363" spans="1:9" ht="15.6" x14ac:dyDescent="0.3">
      <c r="A363" s="103" t="s">
        <v>496</v>
      </c>
      <c r="B363" s="103" t="s">
        <v>82</v>
      </c>
      <c r="C363" s="103" t="s">
        <v>123</v>
      </c>
      <c r="D363" s="103" t="s">
        <v>1</v>
      </c>
      <c r="E363" s="103" t="s">
        <v>450</v>
      </c>
      <c r="F363" s="103" t="s">
        <v>167</v>
      </c>
      <c r="G363" s="103" t="s">
        <v>58</v>
      </c>
      <c r="H363" s="103" t="s">
        <v>164</v>
      </c>
      <c r="I363" s="106" t="s">
        <v>428</v>
      </c>
    </row>
    <row r="364" spans="1:9" ht="15.6" x14ac:dyDescent="0.3">
      <c r="A364" s="103" t="s">
        <v>496</v>
      </c>
      <c r="B364" s="103" t="s">
        <v>40</v>
      </c>
      <c r="C364" s="103" t="s">
        <v>41</v>
      </c>
      <c r="D364" s="103" t="s">
        <v>1</v>
      </c>
      <c r="E364" s="103" t="s">
        <v>361</v>
      </c>
      <c r="F364" s="103" t="s">
        <v>101</v>
      </c>
      <c r="G364" s="103" t="s">
        <v>29</v>
      </c>
      <c r="H364" s="103" t="s">
        <v>179</v>
      </c>
      <c r="I364" s="104" t="s">
        <v>403</v>
      </c>
    </row>
    <row r="365" spans="1:9" ht="15.6" x14ac:dyDescent="0.3">
      <c r="A365" s="103" t="s">
        <v>496</v>
      </c>
      <c r="B365" s="103" t="s">
        <v>40</v>
      </c>
      <c r="C365" s="103" t="s">
        <v>44</v>
      </c>
      <c r="D365" s="103" t="s">
        <v>1</v>
      </c>
      <c r="E365" s="103" t="s">
        <v>362</v>
      </c>
      <c r="F365" s="103" t="s">
        <v>101</v>
      </c>
      <c r="G365" s="103" t="s">
        <v>29</v>
      </c>
      <c r="H365" s="103" t="s">
        <v>179</v>
      </c>
      <c r="I365" s="104" t="s">
        <v>403</v>
      </c>
    </row>
    <row r="366" spans="1:9" ht="15.6" x14ac:dyDescent="0.3">
      <c r="A366" s="103" t="s">
        <v>496</v>
      </c>
      <c r="B366" s="103" t="s">
        <v>31</v>
      </c>
      <c r="C366" s="103" t="s">
        <v>32</v>
      </c>
      <c r="D366" s="103" t="s">
        <v>1</v>
      </c>
      <c r="E366" s="103" t="s">
        <v>384</v>
      </c>
      <c r="F366" s="103" t="s">
        <v>36</v>
      </c>
      <c r="G366" s="103" t="s">
        <v>34</v>
      </c>
      <c r="H366" s="103" t="s">
        <v>191</v>
      </c>
      <c r="I366" s="104" t="s">
        <v>388</v>
      </c>
    </row>
    <row r="367" spans="1:9" ht="15.6" x14ac:dyDescent="0.3">
      <c r="A367" s="103" t="s">
        <v>496</v>
      </c>
      <c r="B367" s="103" t="s">
        <v>31</v>
      </c>
      <c r="C367" s="103" t="s">
        <v>32</v>
      </c>
      <c r="D367" s="103" t="s">
        <v>1</v>
      </c>
      <c r="E367" s="103" t="s">
        <v>384</v>
      </c>
      <c r="F367" s="103" t="s">
        <v>38</v>
      </c>
      <c r="G367" s="103" t="s">
        <v>34</v>
      </c>
      <c r="H367" s="103" t="s">
        <v>192</v>
      </c>
      <c r="I367" s="105" t="s">
        <v>495</v>
      </c>
    </row>
    <row r="368" spans="1:9" ht="15.6" x14ac:dyDescent="0.3">
      <c r="A368" s="103" t="s">
        <v>496</v>
      </c>
      <c r="B368" s="103" t="s">
        <v>46</v>
      </c>
      <c r="C368" s="103" t="s">
        <v>47</v>
      </c>
      <c r="D368" s="103" t="s">
        <v>1</v>
      </c>
      <c r="E368" s="103" t="s">
        <v>364</v>
      </c>
      <c r="F368" s="103" t="s">
        <v>80</v>
      </c>
      <c r="G368" s="103" t="s">
        <v>150</v>
      </c>
      <c r="H368" s="103" t="s">
        <v>90</v>
      </c>
      <c r="I368" s="105" t="s">
        <v>440</v>
      </c>
    </row>
    <row r="369" spans="1:9" ht="15.6" x14ac:dyDescent="0.3">
      <c r="A369" s="103" t="s">
        <v>496</v>
      </c>
      <c r="B369" s="103" t="s">
        <v>71</v>
      </c>
      <c r="C369" s="103" t="s">
        <v>72</v>
      </c>
      <c r="D369" s="103" t="s">
        <v>1</v>
      </c>
      <c r="E369" s="103" t="s">
        <v>364</v>
      </c>
      <c r="F369" s="103" t="s">
        <v>73</v>
      </c>
      <c r="G369" s="103" t="s">
        <v>74</v>
      </c>
      <c r="H369" s="103" t="s">
        <v>189</v>
      </c>
      <c r="I369" s="106" t="s">
        <v>428</v>
      </c>
    </row>
    <row r="370" spans="1:9" ht="15.6" x14ac:dyDescent="0.3">
      <c r="A370" s="101" t="s">
        <v>497</v>
      </c>
      <c r="B370" s="101" t="s">
        <v>64</v>
      </c>
      <c r="C370" s="101" t="s">
        <v>65</v>
      </c>
      <c r="D370" s="101" t="s">
        <v>1</v>
      </c>
      <c r="E370" s="101" t="s">
        <v>288</v>
      </c>
      <c r="F370" s="101" t="s">
        <v>167</v>
      </c>
      <c r="G370" s="101" t="s">
        <v>97</v>
      </c>
      <c r="H370" s="101" t="s">
        <v>66</v>
      </c>
      <c r="I370" s="102" t="s">
        <v>369</v>
      </c>
    </row>
    <row r="371" spans="1:9" ht="15.6" x14ac:dyDescent="0.3">
      <c r="A371" s="103" t="s">
        <v>497</v>
      </c>
      <c r="B371" s="103" t="s">
        <v>40</v>
      </c>
      <c r="C371" s="103" t="s">
        <v>60</v>
      </c>
      <c r="D371" s="103" t="s">
        <v>1</v>
      </c>
      <c r="E371" s="103" t="s">
        <v>366</v>
      </c>
      <c r="F371" s="103" t="s">
        <v>101</v>
      </c>
      <c r="G371" s="103" t="s">
        <v>29</v>
      </c>
      <c r="H371" s="103" t="s">
        <v>178</v>
      </c>
      <c r="I371" s="104" t="s">
        <v>382</v>
      </c>
    </row>
    <row r="372" spans="1:9" ht="15.6" x14ac:dyDescent="0.3">
      <c r="A372" s="103" t="s">
        <v>497</v>
      </c>
      <c r="B372" s="103" t="s">
        <v>40</v>
      </c>
      <c r="C372" s="103" t="s">
        <v>41</v>
      </c>
      <c r="D372" s="103" t="s">
        <v>1</v>
      </c>
      <c r="E372" s="103" t="s">
        <v>361</v>
      </c>
      <c r="F372" s="103" t="s">
        <v>101</v>
      </c>
      <c r="G372" s="103" t="s">
        <v>29</v>
      </c>
      <c r="H372" s="103" t="s">
        <v>179</v>
      </c>
      <c r="I372" s="104" t="s">
        <v>403</v>
      </c>
    </row>
    <row r="373" spans="1:9" ht="15.6" x14ac:dyDescent="0.3">
      <c r="A373" s="103" t="s">
        <v>497</v>
      </c>
      <c r="B373" s="103" t="s">
        <v>40</v>
      </c>
      <c r="C373" s="103" t="s">
        <v>44</v>
      </c>
      <c r="D373" s="103" t="s">
        <v>1</v>
      </c>
      <c r="E373" s="103" t="s">
        <v>362</v>
      </c>
      <c r="F373" s="103" t="s">
        <v>101</v>
      </c>
      <c r="G373" s="103" t="s">
        <v>29</v>
      </c>
      <c r="H373" s="103" t="s">
        <v>179</v>
      </c>
      <c r="I373" s="104" t="s">
        <v>403</v>
      </c>
    </row>
    <row r="374" spans="1:9" ht="15.6" x14ac:dyDescent="0.3">
      <c r="A374" s="103" t="s">
        <v>497</v>
      </c>
      <c r="B374" s="103" t="s">
        <v>26</v>
      </c>
      <c r="C374" s="103" t="s">
        <v>57</v>
      </c>
      <c r="D374" s="103" t="s">
        <v>1</v>
      </c>
      <c r="E374" s="103" t="s">
        <v>359</v>
      </c>
      <c r="F374" s="103" t="s">
        <v>167</v>
      </c>
      <c r="G374" s="103" t="s">
        <v>102</v>
      </c>
      <c r="H374" s="103" t="s">
        <v>130</v>
      </c>
      <c r="I374" s="106" t="s">
        <v>444</v>
      </c>
    </row>
    <row r="375" spans="1:9" ht="15.6" x14ac:dyDescent="0.3">
      <c r="A375" s="103" t="s">
        <v>497</v>
      </c>
      <c r="B375" s="103" t="s">
        <v>82</v>
      </c>
      <c r="C375" s="103" t="s">
        <v>123</v>
      </c>
      <c r="D375" s="103" t="s">
        <v>1</v>
      </c>
      <c r="E375" s="103" t="s">
        <v>450</v>
      </c>
      <c r="F375" s="103" t="s">
        <v>167</v>
      </c>
      <c r="G375" s="103" t="s">
        <v>74</v>
      </c>
      <c r="H375" s="103" t="s">
        <v>185</v>
      </c>
      <c r="I375" s="104" t="s">
        <v>391</v>
      </c>
    </row>
    <row r="376" spans="1:9" ht="15.6" x14ac:dyDescent="0.3">
      <c r="A376" s="103" t="s">
        <v>497</v>
      </c>
      <c r="B376" s="103" t="s">
        <v>31</v>
      </c>
      <c r="C376" s="103" t="s">
        <v>32</v>
      </c>
      <c r="D376" s="103" t="s">
        <v>1</v>
      </c>
      <c r="E376" s="103" t="s">
        <v>384</v>
      </c>
      <c r="F376" s="103" t="s">
        <v>36</v>
      </c>
      <c r="G376" s="103" t="s">
        <v>97</v>
      </c>
      <c r="H376" s="103" t="s">
        <v>191</v>
      </c>
      <c r="I376" s="104" t="s">
        <v>388</v>
      </c>
    </row>
    <row r="377" spans="1:9" ht="15.6" x14ac:dyDescent="0.3">
      <c r="A377" s="103" t="s">
        <v>497</v>
      </c>
      <c r="B377" s="103" t="s">
        <v>31</v>
      </c>
      <c r="C377" s="103" t="s">
        <v>51</v>
      </c>
      <c r="D377" s="103" t="s">
        <v>1</v>
      </c>
      <c r="E377" s="103" t="s">
        <v>379</v>
      </c>
      <c r="F377" s="103" t="s">
        <v>36</v>
      </c>
      <c r="G377" s="103" t="s">
        <v>100</v>
      </c>
      <c r="H377" s="103" t="s">
        <v>191</v>
      </c>
      <c r="I377" s="104" t="s">
        <v>388</v>
      </c>
    </row>
    <row r="378" spans="1:9" ht="15.6" x14ac:dyDescent="0.3">
      <c r="A378" s="103" t="s">
        <v>497</v>
      </c>
      <c r="B378" s="103" t="s">
        <v>31</v>
      </c>
      <c r="C378" s="103" t="s">
        <v>32</v>
      </c>
      <c r="D378" s="103" t="s">
        <v>1</v>
      </c>
      <c r="E378" s="103" t="s">
        <v>384</v>
      </c>
      <c r="F378" s="103" t="s">
        <v>38</v>
      </c>
      <c r="G378" s="103" t="s">
        <v>97</v>
      </c>
      <c r="H378" s="103" t="s">
        <v>192</v>
      </c>
      <c r="I378" s="105" t="s">
        <v>495</v>
      </c>
    </row>
    <row r="379" spans="1:9" ht="15.6" x14ac:dyDescent="0.3">
      <c r="A379" s="103" t="s">
        <v>497</v>
      </c>
      <c r="B379" s="103" t="s">
        <v>31</v>
      </c>
      <c r="C379" s="103" t="s">
        <v>51</v>
      </c>
      <c r="D379" s="103" t="s">
        <v>1</v>
      </c>
      <c r="E379" s="103" t="s">
        <v>379</v>
      </c>
      <c r="F379" s="103" t="s">
        <v>38</v>
      </c>
      <c r="G379" s="103" t="s">
        <v>100</v>
      </c>
      <c r="H379" s="103" t="s">
        <v>192</v>
      </c>
      <c r="I379" s="105" t="s">
        <v>495</v>
      </c>
    </row>
    <row r="380" spans="1:9" ht="15.6" x14ac:dyDescent="0.3">
      <c r="A380" s="103" t="s">
        <v>497</v>
      </c>
      <c r="B380" s="103" t="s">
        <v>46</v>
      </c>
      <c r="C380" s="103" t="s">
        <v>47</v>
      </c>
      <c r="D380" s="103" t="s">
        <v>1</v>
      </c>
      <c r="E380" s="103" t="s">
        <v>364</v>
      </c>
      <c r="F380" s="103" t="s">
        <v>80</v>
      </c>
      <c r="G380" s="103" t="s">
        <v>150</v>
      </c>
      <c r="H380" s="103" t="s">
        <v>90</v>
      </c>
      <c r="I380" s="105" t="s">
        <v>440</v>
      </c>
    </row>
    <row r="381" spans="1:9" ht="15.6" x14ac:dyDescent="0.3">
      <c r="A381" s="103" t="s">
        <v>497</v>
      </c>
      <c r="B381" s="103" t="s">
        <v>71</v>
      </c>
      <c r="C381" s="103" t="s">
        <v>72</v>
      </c>
      <c r="D381" s="103" t="s">
        <v>1</v>
      </c>
      <c r="E381" s="103" t="s">
        <v>364</v>
      </c>
      <c r="F381" s="103" t="s">
        <v>73</v>
      </c>
      <c r="G381" s="103" t="s">
        <v>74</v>
      </c>
      <c r="H381" s="103" t="s">
        <v>189</v>
      </c>
      <c r="I381" s="106" t="s">
        <v>428</v>
      </c>
    </row>
    <row r="382" spans="1:9" ht="15.6" x14ac:dyDescent="0.3">
      <c r="A382" s="103" t="s">
        <v>498</v>
      </c>
      <c r="B382" s="103" t="s">
        <v>40</v>
      </c>
      <c r="C382" s="103" t="s">
        <v>60</v>
      </c>
      <c r="D382" s="103" t="s">
        <v>1</v>
      </c>
      <c r="E382" s="103" t="s">
        <v>366</v>
      </c>
      <c r="F382" s="103" t="s">
        <v>101</v>
      </c>
      <c r="G382" s="103" t="s">
        <v>29</v>
      </c>
      <c r="H382" s="103" t="s">
        <v>178</v>
      </c>
      <c r="I382" s="104" t="s">
        <v>382</v>
      </c>
    </row>
    <row r="383" spans="1:9" ht="15.6" x14ac:dyDescent="0.3">
      <c r="A383" s="103" t="s">
        <v>498</v>
      </c>
      <c r="B383" s="103" t="s">
        <v>82</v>
      </c>
      <c r="C383" s="103" t="s">
        <v>83</v>
      </c>
      <c r="D383" s="103" t="s">
        <v>1</v>
      </c>
      <c r="E383" s="103" t="s">
        <v>376</v>
      </c>
      <c r="F383" s="103" t="s">
        <v>167</v>
      </c>
      <c r="G383" s="103" t="s">
        <v>74</v>
      </c>
      <c r="H383" s="103" t="s">
        <v>164</v>
      </c>
      <c r="I383" s="106" t="s">
        <v>428</v>
      </c>
    </row>
    <row r="384" spans="1:9" ht="15.6" x14ac:dyDescent="0.3">
      <c r="A384" s="101" t="s">
        <v>499</v>
      </c>
      <c r="B384" s="101" t="s">
        <v>64</v>
      </c>
      <c r="C384" s="101" t="s">
        <v>65</v>
      </c>
      <c r="D384" s="101" t="s">
        <v>1</v>
      </c>
      <c r="E384" s="101" t="s">
        <v>298</v>
      </c>
      <c r="F384" s="101" t="s">
        <v>167</v>
      </c>
      <c r="G384" s="101" t="s">
        <v>97</v>
      </c>
      <c r="H384" s="101" t="s">
        <v>66</v>
      </c>
      <c r="I384" s="102" t="s">
        <v>369</v>
      </c>
    </row>
    <row r="385" spans="1:9" ht="15.6" x14ac:dyDescent="0.3">
      <c r="A385" s="103" t="s">
        <v>499</v>
      </c>
      <c r="B385" s="103" t="s">
        <v>40</v>
      </c>
      <c r="C385" s="103" t="s">
        <v>60</v>
      </c>
      <c r="D385" s="103" t="s">
        <v>1</v>
      </c>
      <c r="E385" s="103" t="s">
        <v>366</v>
      </c>
      <c r="F385" s="103" t="s">
        <v>101</v>
      </c>
      <c r="G385" s="103" t="s">
        <v>29</v>
      </c>
      <c r="H385" s="103" t="s">
        <v>178</v>
      </c>
      <c r="I385" s="104" t="s">
        <v>382</v>
      </c>
    </row>
    <row r="386" spans="1:9" ht="15.6" x14ac:dyDescent="0.3">
      <c r="A386" s="103" t="s">
        <v>499</v>
      </c>
      <c r="B386" s="103" t="s">
        <v>40</v>
      </c>
      <c r="C386" s="103" t="s">
        <v>41</v>
      </c>
      <c r="D386" s="103" t="s">
        <v>1</v>
      </c>
      <c r="E386" s="103" t="s">
        <v>361</v>
      </c>
      <c r="F386" s="103" t="s">
        <v>101</v>
      </c>
      <c r="G386" s="103" t="s">
        <v>29</v>
      </c>
      <c r="H386" s="103" t="s">
        <v>179</v>
      </c>
      <c r="I386" s="104" t="s">
        <v>403</v>
      </c>
    </row>
    <row r="387" spans="1:9" ht="15.6" x14ac:dyDescent="0.3">
      <c r="A387" s="103" t="s">
        <v>499</v>
      </c>
      <c r="B387" s="103" t="s">
        <v>40</v>
      </c>
      <c r="C387" s="103" t="s">
        <v>44</v>
      </c>
      <c r="D387" s="103" t="s">
        <v>1</v>
      </c>
      <c r="E387" s="103" t="s">
        <v>362</v>
      </c>
      <c r="F387" s="103" t="s">
        <v>101</v>
      </c>
      <c r="G387" s="103" t="s">
        <v>29</v>
      </c>
      <c r="H387" s="103" t="s">
        <v>179</v>
      </c>
      <c r="I387" s="104" t="s">
        <v>403</v>
      </c>
    </row>
    <row r="388" spans="1:9" ht="15.6" x14ac:dyDescent="0.3">
      <c r="A388" s="103" t="s">
        <v>499</v>
      </c>
      <c r="B388" s="103" t="s">
        <v>26</v>
      </c>
      <c r="C388" s="103" t="s">
        <v>99</v>
      </c>
      <c r="D388" s="103" t="s">
        <v>1</v>
      </c>
      <c r="E388" s="103" t="s">
        <v>381</v>
      </c>
      <c r="F388" s="103" t="s">
        <v>167</v>
      </c>
      <c r="G388" s="103" t="s">
        <v>102</v>
      </c>
      <c r="H388" s="103" t="s">
        <v>130</v>
      </c>
      <c r="I388" s="106" t="s">
        <v>444</v>
      </c>
    </row>
    <row r="389" spans="1:9" ht="15.6" x14ac:dyDescent="0.3">
      <c r="A389" s="103" t="s">
        <v>499</v>
      </c>
      <c r="B389" s="103" t="s">
        <v>26</v>
      </c>
      <c r="C389" s="103" t="s">
        <v>57</v>
      </c>
      <c r="D389" s="103" t="s">
        <v>1</v>
      </c>
      <c r="E389" s="103" t="s">
        <v>359</v>
      </c>
      <c r="F389" s="103" t="s">
        <v>167</v>
      </c>
      <c r="G389" s="103" t="s">
        <v>53</v>
      </c>
      <c r="H389" s="103" t="s">
        <v>130</v>
      </c>
      <c r="I389" s="106" t="s">
        <v>444</v>
      </c>
    </row>
    <row r="390" spans="1:9" ht="15.6" x14ac:dyDescent="0.3">
      <c r="A390" s="103" t="s">
        <v>499</v>
      </c>
      <c r="B390" s="103" t="s">
        <v>31</v>
      </c>
      <c r="C390" s="103" t="s">
        <v>51</v>
      </c>
      <c r="D390" s="103" t="s">
        <v>1</v>
      </c>
      <c r="E390" s="103" t="s">
        <v>379</v>
      </c>
      <c r="F390" s="103" t="s">
        <v>36</v>
      </c>
      <c r="G390" s="103" t="s">
        <v>102</v>
      </c>
      <c r="H390" s="103" t="s">
        <v>191</v>
      </c>
      <c r="I390" s="104" t="s">
        <v>388</v>
      </c>
    </row>
    <row r="391" spans="1:9" ht="15.6" x14ac:dyDescent="0.3">
      <c r="A391" s="103" t="s">
        <v>499</v>
      </c>
      <c r="B391" s="103" t="s">
        <v>31</v>
      </c>
      <c r="C391" s="103" t="s">
        <v>51</v>
      </c>
      <c r="D391" s="103" t="s">
        <v>1</v>
      </c>
      <c r="E391" s="103" t="s">
        <v>379</v>
      </c>
      <c r="F391" s="103" t="s">
        <v>38</v>
      </c>
      <c r="G391" s="103" t="s">
        <v>102</v>
      </c>
      <c r="H391" s="103" t="s">
        <v>192</v>
      </c>
      <c r="I391" s="105" t="s">
        <v>495</v>
      </c>
    </row>
    <row r="392" spans="1:9" ht="15.6" x14ac:dyDescent="0.3">
      <c r="A392" s="103" t="s">
        <v>499</v>
      </c>
      <c r="B392" s="103" t="s">
        <v>31</v>
      </c>
      <c r="C392" s="103" t="s">
        <v>32</v>
      </c>
      <c r="D392" s="103" t="s">
        <v>1</v>
      </c>
      <c r="E392" s="103" t="s">
        <v>384</v>
      </c>
      <c r="F392" s="103" t="s">
        <v>38</v>
      </c>
      <c r="G392" s="103" t="s">
        <v>74</v>
      </c>
      <c r="H392" s="103" t="s">
        <v>224</v>
      </c>
      <c r="I392" s="105" t="s">
        <v>473</v>
      </c>
    </row>
    <row r="393" spans="1:9" ht="15.6" x14ac:dyDescent="0.3">
      <c r="A393" s="103" t="s">
        <v>499</v>
      </c>
      <c r="B393" s="103" t="s">
        <v>46</v>
      </c>
      <c r="C393" s="103" t="s">
        <v>47</v>
      </c>
      <c r="D393" s="103" t="s">
        <v>1</v>
      </c>
      <c r="E393" s="103" t="s">
        <v>364</v>
      </c>
      <c r="F393" s="103" t="s">
        <v>80</v>
      </c>
      <c r="G393" s="103" t="s">
        <v>150</v>
      </c>
      <c r="H393" s="103" t="s">
        <v>90</v>
      </c>
      <c r="I393" s="105" t="s">
        <v>440</v>
      </c>
    </row>
    <row r="394" spans="1:9" ht="15.6" x14ac:dyDescent="0.3">
      <c r="A394" s="103" t="s">
        <v>499</v>
      </c>
      <c r="B394" s="103" t="s">
        <v>71</v>
      </c>
      <c r="C394" s="103" t="s">
        <v>72</v>
      </c>
      <c r="D394" s="103" t="s">
        <v>1</v>
      </c>
      <c r="E394" s="103" t="s">
        <v>364</v>
      </c>
      <c r="F394" s="103" t="s">
        <v>73</v>
      </c>
      <c r="G394" s="103" t="s">
        <v>74</v>
      </c>
      <c r="H394" s="103" t="s">
        <v>189</v>
      </c>
      <c r="I394" s="106" t="s">
        <v>428</v>
      </c>
    </row>
    <row r="395" spans="1:9" ht="15.6" x14ac:dyDescent="0.3">
      <c r="A395" s="101" t="s">
        <v>500</v>
      </c>
      <c r="B395" s="101" t="s">
        <v>64</v>
      </c>
      <c r="C395" s="101" t="s">
        <v>65</v>
      </c>
      <c r="D395" s="101" t="s">
        <v>1</v>
      </c>
      <c r="E395" s="101" t="s">
        <v>305</v>
      </c>
      <c r="F395" s="101" t="s">
        <v>167</v>
      </c>
      <c r="G395" s="101" t="s">
        <v>98</v>
      </c>
      <c r="H395" s="101" t="s">
        <v>66</v>
      </c>
      <c r="I395" s="102" t="s">
        <v>369</v>
      </c>
    </row>
    <row r="396" spans="1:9" ht="15.6" x14ac:dyDescent="0.3">
      <c r="A396" s="103" t="s">
        <v>500</v>
      </c>
      <c r="B396" s="103" t="s">
        <v>40</v>
      </c>
      <c r="C396" s="103" t="s">
        <v>60</v>
      </c>
      <c r="D396" s="103" t="s">
        <v>1</v>
      </c>
      <c r="E396" s="103" t="s">
        <v>366</v>
      </c>
      <c r="F396" s="103" t="s">
        <v>101</v>
      </c>
      <c r="G396" s="103" t="s">
        <v>29</v>
      </c>
      <c r="H396" s="103" t="s">
        <v>178</v>
      </c>
      <c r="I396" s="104" t="s">
        <v>382</v>
      </c>
    </row>
    <row r="397" spans="1:9" ht="15.6" x14ac:dyDescent="0.3">
      <c r="A397" s="103" t="s">
        <v>500</v>
      </c>
      <c r="B397" s="103" t="s">
        <v>82</v>
      </c>
      <c r="C397" s="103" t="s">
        <v>123</v>
      </c>
      <c r="D397" s="103" t="s">
        <v>1</v>
      </c>
      <c r="E397" s="103" t="s">
        <v>450</v>
      </c>
      <c r="F397" s="103" t="s">
        <v>167</v>
      </c>
      <c r="G397" s="103" t="s">
        <v>102</v>
      </c>
      <c r="H397" s="103" t="s">
        <v>164</v>
      </c>
      <c r="I397" s="106" t="s">
        <v>428</v>
      </c>
    </row>
    <row r="398" spans="1:9" ht="15.6" x14ac:dyDescent="0.3">
      <c r="A398" s="103" t="s">
        <v>500</v>
      </c>
      <c r="B398" s="103" t="s">
        <v>40</v>
      </c>
      <c r="C398" s="103" t="s">
        <v>41</v>
      </c>
      <c r="D398" s="103" t="s">
        <v>1</v>
      </c>
      <c r="E398" s="103" t="s">
        <v>361</v>
      </c>
      <c r="F398" s="103" t="s">
        <v>101</v>
      </c>
      <c r="G398" s="103" t="s">
        <v>29</v>
      </c>
      <c r="H398" s="103" t="s">
        <v>179</v>
      </c>
      <c r="I398" s="104" t="s">
        <v>403</v>
      </c>
    </row>
    <row r="399" spans="1:9" ht="15.6" x14ac:dyDescent="0.3">
      <c r="A399" s="103" t="s">
        <v>500</v>
      </c>
      <c r="B399" s="103" t="s">
        <v>40</v>
      </c>
      <c r="C399" s="103" t="s">
        <v>44</v>
      </c>
      <c r="D399" s="103" t="s">
        <v>1</v>
      </c>
      <c r="E399" s="103" t="s">
        <v>362</v>
      </c>
      <c r="F399" s="103" t="s">
        <v>101</v>
      </c>
      <c r="G399" s="103" t="s">
        <v>29</v>
      </c>
      <c r="H399" s="103" t="s">
        <v>107</v>
      </c>
      <c r="I399" s="104" t="s">
        <v>403</v>
      </c>
    </row>
    <row r="400" spans="1:9" ht="15.6" x14ac:dyDescent="0.3">
      <c r="A400" s="103" t="s">
        <v>500</v>
      </c>
      <c r="B400" s="103" t="s">
        <v>26</v>
      </c>
      <c r="C400" s="103" t="s">
        <v>27</v>
      </c>
      <c r="D400" s="103" t="s">
        <v>1</v>
      </c>
      <c r="E400" s="103" t="s">
        <v>359</v>
      </c>
      <c r="F400" s="103" t="s">
        <v>167</v>
      </c>
      <c r="G400" s="103" t="s">
        <v>58</v>
      </c>
      <c r="H400" s="103" t="s">
        <v>130</v>
      </c>
      <c r="I400" s="106" t="s">
        <v>444</v>
      </c>
    </row>
    <row r="401" spans="1:9" ht="15.6" x14ac:dyDescent="0.3">
      <c r="A401" s="103" t="s">
        <v>500</v>
      </c>
      <c r="B401" s="103" t="s">
        <v>31</v>
      </c>
      <c r="C401" s="103" t="s">
        <v>32</v>
      </c>
      <c r="D401" s="103" t="s">
        <v>1</v>
      </c>
      <c r="E401" s="103" t="s">
        <v>384</v>
      </c>
      <c r="F401" s="103" t="s">
        <v>38</v>
      </c>
      <c r="G401" s="103" t="s">
        <v>102</v>
      </c>
      <c r="H401" s="103" t="s">
        <v>224</v>
      </c>
      <c r="I401" s="105" t="s">
        <v>473</v>
      </c>
    </row>
    <row r="402" spans="1:9" ht="15.6" x14ac:dyDescent="0.3">
      <c r="A402" s="103" t="s">
        <v>500</v>
      </c>
      <c r="B402" s="103" t="s">
        <v>46</v>
      </c>
      <c r="C402" s="103" t="s">
        <v>47</v>
      </c>
      <c r="D402" s="103" t="s">
        <v>1</v>
      </c>
      <c r="E402" s="103" t="s">
        <v>364</v>
      </c>
      <c r="F402" s="103" t="s">
        <v>80</v>
      </c>
      <c r="G402" s="103" t="s">
        <v>150</v>
      </c>
      <c r="H402" s="103" t="s">
        <v>90</v>
      </c>
      <c r="I402" s="105" t="s">
        <v>440</v>
      </c>
    </row>
    <row r="403" spans="1:9" ht="15.6" x14ac:dyDescent="0.3">
      <c r="A403" s="103" t="s">
        <v>500</v>
      </c>
      <c r="B403" s="103" t="s">
        <v>71</v>
      </c>
      <c r="C403" s="103" t="s">
        <v>72</v>
      </c>
      <c r="D403" s="103" t="s">
        <v>1</v>
      </c>
      <c r="E403" s="103" t="s">
        <v>364</v>
      </c>
      <c r="F403" s="103" t="s">
        <v>73</v>
      </c>
      <c r="G403" s="103" t="s">
        <v>74</v>
      </c>
      <c r="H403" s="103" t="s">
        <v>189</v>
      </c>
      <c r="I403" s="106" t="s">
        <v>428</v>
      </c>
    </row>
    <row r="404" spans="1:9" ht="15.6" x14ac:dyDescent="0.3">
      <c r="A404" s="101" t="s">
        <v>501</v>
      </c>
      <c r="B404" s="101" t="s">
        <v>64</v>
      </c>
      <c r="C404" s="101" t="s">
        <v>65</v>
      </c>
      <c r="D404" s="101" t="s">
        <v>1</v>
      </c>
      <c r="E404" s="101" t="s">
        <v>298</v>
      </c>
      <c r="F404" s="101" t="s">
        <v>167</v>
      </c>
      <c r="G404" s="101" t="s">
        <v>58</v>
      </c>
      <c r="H404" s="101" t="s">
        <v>66</v>
      </c>
      <c r="I404" s="102" t="s">
        <v>369</v>
      </c>
    </row>
    <row r="405" spans="1:9" ht="15.6" x14ac:dyDescent="0.3">
      <c r="A405" s="103" t="s">
        <v>501</v>
      </c>
      <c r="B405" s="103" t="s">
        <v>40</v>
      </c>
      <c r="C405" s="103" t="s">
        <v>60</v>
      </c>
      <c r="D405" s="103" t="s">
        <v>1</v>
      </c>
      <c r="E405" s="103" t="s">
        <v>366</v>
      </c>
      <c r="F405" s="103" t="s">
        <v>101</v>
      </c>
      <c r="G405" s="103" t="s">
        <v>29</v>
      </c>
      <c r="H405" s="103" t="s">
        <v>178</v>
      </c>
      <c r="I405" s="104" t="s">
        <v>382</v>
      </c>
    </row>
    <row r="406" spans="1:9" ht="15.6" x14ac:dyDescent="0.3">
      <c r="A406" s="103" t="s">
        <v>501</v>
      </c>
      <c r="B406" s="103" t="s">
        <v>40</v>
      </c>
      <c r="C406" s="103" t="s">
        <v>41</v>
      </c>
      <c r="D406" s="103" t="s">
        <v>1</v>
      </c>
      <c r="E406" s="103" t="s">
        <v>361</v>
      </c>
      <c r="F406" s="103" t="s">
        <v>101</v>
      </c>
      <c r="G406" s="103" t="s">
        <v>29</v>
      </c>
      <c r="H406" s="103" t="s">
        <v>179</v>
      </c>
      <c r="I406" s="104" t="s">
        <v>403</v>
      </c>
    </row>
    <row r="407" spans="1:9" ht="15.6" x14ac:dyDescent="0.3">
      <c r="A407" s="103" t="s">
        <v>501</v>
      </c>
      <c r="B407" s="103" t="s">
        <v>40</v>
      </c>
      <c r="C407" s="103" t="s">
        <v>44</v>
      </c>
      <c r="D407" s="103" t="s">
        <v>1</v>
      </c>
      <c r="E407" s="103" t="s">
        <v>362</v>
      </c>
      <c r="F407" s="103" t="s">
        <v>101</v>
      </c>
      <c r="G407" s="103" t="s">
        <v>29</v>
      </c>
      <c r="H407" s="103" t="s">
        <v>179</v>
      </c>
      <c r="I407" s="104" t="s">
        <v>403</v>
      </c>
    </row>
    <row r="408" spans="1:9" ht="15.6" x14ac:dyDescent="0.3">
      <c r="A408" s="103" t="s">
        <v>501</v>
      </c>
      <c r="B408" s="103" t="s">
        <v>26</v>
      </c>
      <c r="C408" s="103" t="s">
        <v>57</v>
      </c>
      <c r="D408" s="103" t="s">
        <v>1</v>
      </c>
      <c r="E408" s="103" t="s">
        <v>400</v>
      </c>
      <c r="F408" s="103" t="s">
        <v>167</v>
      </c>
      <c r="G408" s="103" t="s">
        <v>58</v>
      </c>
      <c r="H408" s="103" t="s">
        <v>130</v>
      </c>
      <c r="I408" s="106" t="s">
        <v>444</v>
      </c>
    </row>
    <row r="409" spans="1:9" ht="15.6" x14ac:dyDescent="0.3">
      <c r="A409" s="103" t="s">
        <v>501</v>
      </c>
      <c r="B409" s="103" t="s">
        <v>82</v>
      </c>
      <c r="C409" s="103" t="s">
        <v>83</v>
      </c>
      <c r="D409" s="103" t="s">
        <v>1</v>
      </c>
      <c r="E409" s="103" t="s">
        <v>494</v>
      </c>
      <c r="F409" s="103" t="s">
        <v>167</v>
      </c>
      <c r="G409" s="103" t="s">
        <v>29</v>
      </c>
      <c r="H409" s="103" t="s">
        <v>185</v>
      </c>
      <c r="I409" s="104" t="s">
        <v>391</v>
      </c>
    </row>
    <row r="410" spans="1:9" ht="15.6" x14ac:dyDescent="0.3">
      <c r="A410" s="103" t="s">
        <v>501</v>
      </c>
      <c r="B410" s="103" t="s">
        <v>76</v>
      </c>
      <c r="C410" s="103" t="s">
        <v>77</v>
      </c>
      <c r="D410" s="103" t="s">
        <v>1</v>
      </c>
      <c r="E410" s="103" t="s">
        <v>398</v>
      </c>
      <c r="F410" s="103" t="s">
        <v>78</v>
      </c>
      <c r="G410" s="103" t="s">
        <v>55</v>
      </c>
      <c r="H410" s="103" t="s">
        <v>138</v>
      </c>
      <c r="I410" s="104" t="s">
        <v>397</v>
      </c>
    </row>
    <row r="411" spans="1:9" ht="15.6" x14ac:dyDescent="0.3">
      <c r="A411" s="103" t="s">
        <v>501</v>
      </c>
      <c r="B411" s="103" t="s">
        <v>31</v>
      </c>
      <c r="C411" s="103" t="s">
        <v>32</v>
      </c>
      <c r="D411" s="103" t="s">
        <v>1</v>
      </c>
      <c r="E411" s="103" t="s">
        <v>384</v>
      </c>
      <c r="F411" s="103" t="s">
        <v>36</v>
      </c>
      <c r="G411" s="103" t="s">
        <v>74</v>
      </c>
      <c r="H411" s="103" t="s">
        <v>191</v>
      </c>
      <c r="I411" s="104" t="s">
        <v>388</v>
      </c>
    </row>
    <row r="412" spans="1:9" ht="15.6" x14ac:dyDescent="0.3">
      <c r="A412" s="103" t="s">
        <v>501</v>
      </c>
      <c r="B412" s="103" t="s">
        <v>31</v>
      </c>
      <c r="C412" s="103" t="s">
        <v>51</v>
      </c>
      <c r="D412" s="103" t="s">
        <v>1</v>
      </c>
      <c r="E412" s="103" t="s">
        <v>379</v>
      </c>
      <c r="F412" s="103" t="s">
        <v>36</v>
      </c>
      <c r="G412" s="103" t="s">
        <v>74</v>
      </c>
      <c r="H412" s="103" t="s">
        <v>191</v>
      </c>
      <c r="I412" s="104" t="s">
        <v>388</v>
      </c>
    </row>
    <row r="413" spans="1:9" ht="15.6" x14ac:dyDescent="0.3">
      <c r="A413" s="103" t="s">
        <v>501</v>
      </c>
      <c r="B413" s="103" t="s">
        <v>31</v>
      </c>
      <c r="C413" s="103" t="s">
        <v>32</v>
      </c>
      <c r="D413" s="103" t="s">
        <v>1</v>
      </c>
      <c r="E413" s="103" t="s">
        <v>384</v>
      </c>
      <c r="F413" s="103" t="s">
        <v>38</v>
      </c>
      <c r="G413" s="103" t="s">
        <v>74</v>
      </c>
      <c r="H413" s="103" t="s">
        <v>192</v>
      </c>
      <c r="I413" s="105" t="s">
        <v>495</v>
      </c>
    </row>
    <row r="414" spans="1:9" ht="15.6" x14ac:dyDescent="0.3">
      <c r="A414" s="103" t="s">
        <v>501</v>
      </c>
      <c r="B414" s="103" t="s">
        <v>31</v>
      </c>
      <c r="C414" s="103" t="s">
        <v>51</v>
      </c>
      <c r="D414" s="103" t="s">
        <v>1</v>
      </c>
      <c r="E414" s="103" t="s">
        <v>379</v>
      </c>
      <c r="F414" s="103" t="s">
        <v>38</v>
      </c>
      <c r="G414" s="103" t="s">
        <v>74</v>
      </c>
      <c r="H414" s="103" t="s">
        <v>192</v>
      </c>
      <c r="I414" s="105" t="s">
        <v>495</v>
      </c>
    </row>
    <row r="415" spans="1:9" ht="15.6" x14ac:dyDescent="0.3">
      <c r="A415" s="103" t="s">
        <v>501</v>
      </c>
      <c r="B415" s="103" t="s">
        <v>76</v>
      </c>
      <c r="C415" s="103" t="s">
        <v>77</v>
      </c>
      <c r="D415" s="103" t="s">
        <v>1</v>
      </c>
      <c r="E415" s="103" t="s">
        <v>398</v>
      </c>
      <c r="F415" s="103" t="s">
        <v>80</v>
      </c>
      <c r="G415" s="103" t="s">
        <v>55</v>
      </c>
      <c r="H415" s="103" t="s">
        <v>251</v>
      </c>
      <c r="I415" s="105" t="s">
        <v>473</v>
      </c>
    </row>
    <row r="416" spans="1:9" ht="15.6" x14ac:dyDescent="0.3">
      <c r="A416" s="103" t="s">
        <v>501</v>
      </c>
      <c r="B416" s="103" t="s">
        <v>46</v>
      </c>
      <c r="C416" s="103" t="s">
        <v>47</v>
      </c>
      <c r="D416" s="103" t="s">
        <v>1</v>
      </c>
      <c r="E416" s="103" t="s">
        <v>364</v>
      </c>
      <c r="F416" s="103" t="s">
        <v>80</v>
      </c>
      <c r="G416" s="103" t="s">
        <v>150</v>
      </c>
      <c r="H416" s="103" t="s">
        <v>90</v>
      </c>
      <c r="I416" s="105" t="s">
        <v>440</v>
      </c>
    </row>
    <row r="417" spans="1:9" ht="15.6" x14ac:dyDescent="0.3">
      <c r="A417" s="103" t="s">
        <v>501</v>
      </c>
      <c r="B417" s="103" t="s">
        <v>71</v>
      </c>
      <c r="C417" s="103" t="s">
        <v>72</v>
      </c>
      <c r="D417" s="103" t="s">
        <v>1</v>
      </c>
      <c r="E417" s="103" t="s">
        <v>364</v>
      </c>
      <c r="F417" s="103" t="s">
        <v>73</v>
      </c>
      <c r="G417" s="103" t="s">
        <v>74</v>
      </c>
      <c r="H417" s="103" t="s">
        <v>189</v>
      </c>
      <c r="I417" s="106" t="s">
        <v>428</v>
      </c>
    </row>
    <row r="418" spans="1:9" ht="15.6" x14ac:dyDescent="0.3">
      <c r="A418" s="103" t="s">
        <v>502</v>
      </c>
      <c r="B418" s="103" t="s">
        <v>40</v>
      </c>
      <c r="C418" s="103" t="s">
        <v>60</v>
      </c>
      <c r="D418" s="103" t="s">
        <v>1</v>
      </c>
      <c r="E418" s="103" t="s">
        <v>366</v>
      </c>
      <c r="F418" s="103" t="s">
        <v>101</v>
      </c>
      <c r="G418" s="103" t="s">
        <v>29</v>
      </c>
      <c r="H418" s="103" t="s">
        <v>178</v>
      </c>
      <c r="I418" s="104" t="s">
        <v>382</v>
      </c>
    </row>
    <row r="419" spans="1:9" ht="15.6" x14ac:dyDescent="0.3">
      <c r="A419" s="103" t="s">
        <v>502</v>
      </c>
      <c r="B419" s="103" t="s">
        <v>82</v>
      </c>
      <c r="C419" s="103" t="s">
        <v>123</v>
      </c>
      <c r="D419" s="103" t="s">
        <v>1</v>
      </c>
      <c r="E419" s="103" t="s">
        <v>450</v>
      </c>
      <c r="F419" s="103" t="s">
        <v>167</v>
      </c>
      <c r="G419" s="103" t="s">
        <v>97</v>
      </c>
      <c r="H419" s="103" t="s">
        <v>164</v>
      </c>
      <c r="I419" s="106" t="s">
        <v>428</v>
      </c>
    </row>
    <row r="420" spans="1:9" ht="15.6" x14ac:dyDescent="0.3">
      <c r="A420" s="103" t="s">
        <v>502</v>
      </c>
      <c r="B420" s="103" t="s">
        <v>40</v>
      </c>
      <c r="C420" s="103" t="s">
        <v>41</v>
      </c>
      <c r="D420" s="103" t="s">
        <v>1</v>
      </c>
      <c r="E420" s="103" t="s">
        <v>361</v>
      </c>
      <c r="F420" s="103" t="s">
        <v>101</v>
      </c>
      <c r="G420" s="103" t="s">
        <v>29</v>
      </c>
      <c r="H420" s="103" t="s">
        <v>179</v>
      </c>
      <c r="I420" s="104" t="s">
        <v>403</v>
      </c>
    </row>
    <row r="421" spans="1:9" ht="15.6" x14ac:dyDescent="0.3">
      <c r="A421" s="103" t="s">
        <v>502</v>
      </c>
      <c r="B421" s="103" t="s">
        <v>40</v>
      </c>
      <c r="C421" s="103" t="s">
        <v>44</v>
      </c>
      <c r="D421" s="103" t="s">
        <v>1</v>
      </c>
      <c r="E421" s="103" t="s">
        <v>362</v>
      </c>
      <c r="F421" s="103" t="s">
        <v>101</v>
      </c>
      <c r="G421" s="103" t="s">
        <v>29</v>
      </c>
      <c r="H421" s="103" t="s">
        <v>179</v>
      </c>
      <c r="I421" s="104" t="s">
        <v>403</v>
      </c>
    </row>
    <row r="422" spans="1:9" ht="15.6" x14ac:dyDescent="0.3">
      <c r="A422" s="103" t="s">
        <v>502</v>
      </c>
      <c r="B422" s="103" t="s">
        <v>31</v>
      </c>
      <c r="C422" s="103" t="s">
        <v>32</v>
      </c>
      <c r="D422" s="103" t="s">
        <v>1</v>
      </c>
      <c r="E422" s="103" t="s">
        <v>384</v>
      </c>
      <c r="F422" s="103" t="s">
        <v>36</v>
      </c>
      <c r="G422" s="103" t="s">
        <v>97</v>
      </c>
      <c r="H422" s="103" t="s">
        <v>191</v>
      </c>
      <c r="I422" s="104" t="s">
        <v>388</v>
      </c>
    </row>
    <row r="423" spans="1:9" ht="15.6" x14ac:dyDescent="0.3">
      <c r="A423" s="103" t="s">
        <v>502</v>
      </c>
      <c r="B423" s="103" t="s">
        <v>31</v>
      </c>
      <c r="C423" s="103" t="s">
        <v>32</v>
      </c>
      <c r="D423" s="103" t="s">
        <v>1</v>
      </c>
      <c r="E423" s="103" t="s">
        <v>384</v>
      </c>
      <c r="F423" s="103" t="s">
        <v>38</v>
      </c>
      <c r="G423" s="103" t="s">
        <v>97</v>
      </c>
      <c r="H423" s="103" t="s">
        <v>192</v>
      </c>
      <c r="I423" s="105" t="s">
        <v>495</v>
      </c>
    </row>
    <row r="424" spans="1:9" ht="15.6" x14ac:dyDescent="0.3">
      <c r="A424" s="103" t="s">
        <v>502</v>
      </c>
      <c r="B424" s="103" t="s">
        <v>46</v>
      </c>
      <c r="C424" s="103" t="s">
        <v>47</v>
      </c>
      <c r="D424" s="103" t="s">
        <v>1</v>
      </c>
      <c r="E424" s="103" t="s">
        <v>364</v>
      </c>
      <c r="F424" s="103" t="s">
        <v>80</v>
      </c>
      <c r="G424" s="103" t="s">
        <v>150</v>
      </c>
      <c r="H424" s="103" t="s">
        <v>90</v>
      </c>
      <c r="I424" s="105" t="s">
        <v>440</v>
      </c>
    </row>
    <row r="425" spans="1:9" ht="15.6" x14ac:dyDescent="0.3">
      <c r="A425" s="103" t="s">
        <v>502</v>
      </c>
      <c r="B425" s="103" t="s">
        <v>71</v>
      </c>
      <c r="C425" s="103" t="s">
        <v>72</v>
      </c>
      <c r="D425" s="103" t="s">
        <v>1</v>
      </c>
      <c r="E425" s="103" t="s">
        <v>364</v>
      </c>
      <c r="F425" s="103" t="s">
        <v>73</v>
      </c>
      <c r="G425" s="103" t="s">
        <v>74</v>
      </c>
      <c r="H425" s="103" t="s">
        <v>189</v>
      </c>
      <c r="I425" s="106" t="s">
        <v>428</v>
      </c>
    </row>
    <row r="426" spans="1:9" ht="15.6" x14ac:dyDescent="0.3">
      <c r="A426" s="101" t="s">
        <v>503</v>
      </c>
      <c r="B426" s="101" t="s">
        <v>64</v>
      </c>
      <c r="C426" s="101" t="s">
        <v>65</v>
      </c>
      <c r="D426" s="101" t="s">
        <v>1</v>
      </c>
      <c r="E426" s="101" t="s">
        <v>288</v>
      </c>
      <c r="F426" s="101" t="s">
        <v>167</v>
      </c>
      <c r="G426" s="101" t="s">
        <v>100</v>
      </c>
      <c r="H426" s="101" t="s">
        <v>196</v>
      </c>
      <c r="I426" s="102" t="s">
        <v>369</v>
      </c>
    </row>
    <row r="427" spans="1:9" ht="15.6" x14ac:dyDescent="0.3">
      <c r="A427" s="103" t="s">
        <v>503</v>
      </c>
      <c r="B427" s="103" t="s">
        <v>40</v>
      </c>
      <c r="C427" s="103" t="s">
        <v>60</v>
      </c>
      <c r="D427" s="103" t="s">
        <v>1</v>
      </c>
      <c r="E427" s="103" t="s">
        <v>366</v>
      </c>
      <c r="F427" s="103" t="s">
        <v>101</v>
      </c>
      <c r="G427" s="103" t="s">
        <v>29</v>
      </c>
      <c r="H427" s="103" t="s">
        <v>178</v>
      </c>
      <c r="I427" s="104" t="s">
        <v>388</v>
      </c>
    </row>
    <row r="428" spans="1:9" ht="15.6" x14ac:dyDescent="0.3">
      <c r="A428" s="103" t="s">
        <v>503</v>
      </c>
      <c r="B428" s="103" t="s">
        <v>82</v>
      </c>
      <c r="C428" s="103" t="s">
        <v>123</v>
      </c>
      <c r="D428" s="103" t="s">
        <v>1</v>
      </c>
      <c r="E428" s="103" t="s">
        <v>450</v>
      </c>
      <c r="F428" s="103" t="s">
        <v>167</v>
      </c>
      <c r="G428" s="103" t="s">
        <v>74</v>
      </c>
      <c r="H428" s="103" t="s">
        <v>164</v>
      </c>
      <c r="I428" s="106" t="s">
        <v>430</v>
      </c>
    </row>
    <row r="429" spans="1:9" ht="15.6" x14ac:dyDescent="0.3">
      <c r="A429" s="103" t="s">
        <v>503</v>
      </c>
      <c r="B429" s="103" t="s">
        <v>26</v>
      </c>
      <c r="C429" s="103" t="s">
        <v>57</v>
      </c>
      <c r="D429" s="103" t="s">
        <v>1</v>
      </c>
      <c r="E429" s="103" t="s">
        <v>359</v>
      </c>
      <c r="F429" s="103" t="s">
        <v>167</v>
      </c>
      <c r="G429" s="103" t="s">
        <v>74</v>
      </c>
      <c r="H429" s="103" t="s">
        <v>130</v>
      </c>
      <c r="I429" s="104" t="s">
        <v>403</v>
      </c>
    </row>
    <row r="430" spans="1:9" ht="15.6" x14ac:dyDescent="0.3">
      <c r="A430" s="103" t="s">
        <v>503</v>
      </c>
      <c r="B430" s="103" t="s">
        <v>31</v>
      </c>
      <c r="C430" s="103" t="s">
        <v>32</v>
      </c>
      <c r="D430" s="103" t="s">
        <v>1</v>
      </c>
      <c r="E430" s="103" t="s">
        <v>384</v>
      </c>
      <c r="F430" s="103" t="s">
        <v>38</v>
      </c>
      <c r="G430" s="103" t="s">
        <v>97</v>
      </c>
      <c r="H430" s="103" t="s">
        <v>192</v>
      </c>
      <c r="I430" s="105" t="s">
        <v>458</v>
      </c>
    </row>
    <row r="431" spans="1:9" ht="15.6" x14ac:dyDescent="0.3">
      <c r="A431" s="103" t="s">
        <v>503</v>
      </c>
      <c r="B431" s="103" t="s">
        <v>31</v>
      </c>
      <c r="C431" s="103" t="s">
        <v>51</v>
      </c>
      <c r="D431" s="103" t="s">
        <v>1</v>
      </c>
      <c r="E431" s="103" t="s">
        <v>379</v>
      </c>
      <c r="F431" s="103" t="s">
        <v>38</v>
      </c>
      <c r="G431" s="103" t="s">
        <v>34</v>
      </c>
      <c r="H431" s="103" t="s">
        <v>192</v>
      </c>
      <c r="I431" s="105" t="s">
        <v>458</v>
      </c>
    </row>
    <row r="432" spans="1:9" ht="15.6" x14ac:dyDescent="0.3">
      <c r="A432" s="103" t="s">
        <v>503</v>
      </c>
      <c r="B432" s="103" t="s">
        <v>46</v>
      </c>
      <c r="C432" s="103" t="s">
        <v>47</v>
      </c>
      <c r="D432" s="103" t="s">
        <v>1</v>
      </c>
      <c r="E432" s="103" t="s">
        <v>364</v>
      </c>
      <c r="F432" s="103" t="s">
        <v>80</v>
      </c>
      <c r="G432" s="103" t="s">
        <v>150</v>
      </c>
      <c r="H432" s="103" t="s">
        <v>90</v>
      </c>
      <c r="I432" s="105" t="s">
        <v>487</v>
      </c>
    </row>
    <row r="433" spans="1:9" ht="15.6" x14ac:dyDescent="0.3">
      <c r="A433" s="103" t="s">
        <v>503</v>
      </c>
      <c r="B433" s="103" t="s">
        <v>71</v>
      </c>
      <c r="C433" s="103" t="s">
        <v>72</v>
      </c>
      <c r="D433" s="103" t="s">
        <v>1</v>
      </c>
      <c r="E433" s="103" t="s">
        <v>364</v>
      </c>
      <c r="F433" s="103" t="s">
        <v>73</v>
      </c>
      <c r="G433" s="103" t="s">
        <v>74</v>
      </c>
      <c r="H433" s="103" t="s">
        <v>189</v>
      </c>
      <c r="I433" s="106" t="s">
        <v>430</v>
      </c>
    </row>
    <row r="434" spans="1:9" ht="15.6" x14ac:dyDescent="0.3">
      <c r="A434" s="103" t="s">
        <v>504</v>
      </c>
      <c r="B434" s="103" t="s">
        <v>40</v>
      </c>
      <c r="C434" s="103" t="s">
        <v>60</v>
      </c>
      <c r="D434" s="103" t="s">
        <v>1</v>
      </c>
      <c r="E434" s="103" t="s">
        <v>366</v>
      </c>
      <c r="F434" s="103" t="s">
        <v>101</v>
      </c>
      <c r="G434" s="103" t="s">
        <v>29</v>
      </c>
      <c r="H434" s="103" t="s">
        <v>178</v>
      </c>
      <c r="I434" s="104" t="s">
        <v>388</v>
      </c>
    </row>
    <row r="435" spans="1:9" ht="15.6" x14ac:dyDescent="0.3">
      <c r="A435" s="103" t="s">
        <v>504</v>
      </c>
      <c r="B435" s="103" t="s">
        <v>82</v>
      </c>
      <c r="C435" s="103" t="s">
        <v>83</v>
      </c>
      <c r="D435" s="103" t="s">
        <v>1</v>
      </c>
      <c r="E435" s="103" t="s">
        <v>376</v>
      </c>
      <c r="F435" s="103" t="s">
        <v>167</v>
      </c>
      <c r="G435" s="103" t="s">
        <v>34</v>
      </c>
      <c r="H435" s="103" t="s">
        <v>164</v>
      </c>
      <c r="I435" s="106" t="s">
        <v>430</v>
      </c>
    </row>
    <row r="436" spans="1:9" ht="15.6" x14ac:dyDescent="0.3">
      <c r="A436" s="101" t="s">
        <v>505</v>
      </c>
      <c r="B436" s="101" t="s">
        <v>64</v>
      </c>
      <c r="C436" s="101" t="s">
        <v>65</v>
      </c>
      <c r="D436" s="101" t="s">
        <v>1</v>
      </c>
      <c r="E436" s="101" t="s">
        <v>298</v>
      </c>
      <c r="F436" s="101" t="s">
        <v>167</v>
      </c>
      <c r="G436" s="101" t="s">
        <v>102</v>
      </c>
      <c r="H436" s="101" t="s">
        <v>66</v>
      </c>
      <c r="I436" s="102" t="s">
        <v>369</v>
      </c>
    </row>
    <row r="437" spans="1:9" ht="15.6" x14ac:dyDescent="0.3">
      <c r="A437" s="103" t="s">
        <v>505</v>
      </c>
      <c r="B437" s="103" t="s">
        <v>40</v>
      </c>
      <c r="C437" s="103" t="s">
        <v>60</v>
      </c>
      <c r="D437" s="103" t="s">
        <v>1</v>
      </c>
      <c r="E437" s="103" t="s">
        <v>366</v>
      </c>
      <c r="F437" s="103" t="s">
        <v>101</v>
      </c>
      <c r="G437" s="103" t="s">
        <v>29</v>
      </c>
      <c r="H437" s="103" t="s">
        <v>178</v>
      </c>
      <c r="I437" s="104" t="s">
        <v>382</v>
      </c>
    </row>
    <row r="438" spans="1:9" ht="15.6" x14ac:dyDescent="0.3">
      <c r="A438" s="103" t="s">
        <v>505</v>
      </c>
      <c r="B438" s="103" t="s">
        <v>82</v>
      </c>
      <c r="C438" s="103" t="s">
        <v>83</v>
      </c>
      <c r="D438" s="103" t="s">
        <v>1</v>
      </c>
      <c r="E438" s="103" t="s">
        <v>490</v>
      </c>
      <c r="F438" s="103" t="s">
        <v>167</v>
      </c>
      <c r="G438" s="103" t="s">
        <v>100</v>
      </c>
      <c r="H438" s="103" t="s">
        <v>164</v>
      </c>
      <c r="I438" s="106" t="s">
        <v>428</v>
      </c>
    </row>
    <row r="439" spans="1:9" ht="15.6" x14ac:dyDescent="0.3">
      <c r="A439" s="103" t="s">
        <v>505</v>
      </c>
      <c r="B439" s="103" t="s">
        <v>40</v>
      </c>
      <c r="C439" s="103" t="s">
        <v>41</v>
      </c>
      <c r="D439" s="103" t="s">
        <v>1</v>
      </c>
      <c r="E439" s="103" t="s">
        <v>361</v>
      </c>
      <c r="F439" s="103" t="s">
        <v>101</v>
      </c>
      <c r="G439" s="103" t="s">
        <v>29</v>
      </c>
      <c r="H439" s="103" t="s">
        <v>179</v>
      </c>
      <c r="I439" s="104" t="s">
        <v>403</v>
      </c>
    </row>
    <row r="440" spans="1:9" ht="15.6" x14ac:dyDescent="0.3">
      <c r="A440" s="103" t="s">
        <v>505</v>
      </c>
      <c r="B440" s="103" t="s">
        <v>40</v>
      </c>
      <c r="C440" s="103" t="s">
        <v>44</v>
      </c>
      <c r="D440" s="103" t="s">
        <v>1</v>
      </c>
      <c r="E440" s="103" t="s">
        <v>362</v>
      </c>
      <c r="F440" s="103" t="s">
        <v>101</v>
      </c>
      <c r="G440" s="103" t="s">
        <v>29</v>
      </c>
      <c r="H440" s="103" t="s">
        <v>179</v>
      </c>
      <c r="I440" s="104" t="s">
        <v>403</v>
      </c>
    </row>
    <row r="441" spans="1:9" ht="15.6" x14ac:dyDescent="0.3">
      <c r="A441" s="103" t="s">
        <v>505</v>
      </c>
      <c r="B441" s="103" t="s">
        <v>26</v>
      </c>
      <c r="C441" s="103" t="s">
        <v>99</v>
      </c>
      <c r="D441" s="103" t="s">
        <v>1</v>
      </c>
      <c r="E441" s="103" t="s">
        <v>381</v>
      </c>
      <c r="F441" s="103" t="s">
        <v>167</v>
      </c>
      <c r="G441" s="103" t="s">
        <v>74</v>
      </c>
      <c r="H441" s="103" t="s">
        <v>130</v>
      </c>
      <c r="I441" s="106" t="s">
        <v>444</v>
      </c>
    </row>
    <row r="442" spans="1:9" ht="15.6" x14ac:dyDescent="0.3">
      <c r="A442" s="103" t="s">
        <v>505</v>
      </c>
      <c r="B442" s="103" t="s">
        <v>26</v>
      </c>
      <c r="C442" s="103" t="s">
        <v>57</v>
      </c>
      <c r="D442" s="103" t="s">
        <v>1</v>
      </c>
      <c r="E442" s="103" t="s">
        <v>359</v>
      </c>
      <c r="F442" s="103" t="s">
        <v>167</v>
      </c>
      <c r="G442" s="103" t="s">
        <v>29</v>
      </c>
      <c r="H442" s="103" t="s">
        <v>130</v>
      </c>
      <c r="I442" s="106" t="s">
        <v>444</v>
      </c>
    </row>
    <row r="443" spans="1:9" ht="15.6" x14ac:dyDescent="0.3">
      <c r="A443" s="103" t="s">
        <v>505</v>
      </c>
      <c r="B443" s="103" t="s">
        <v>31</v>
      </c>
      <c r="C443" s="103" t="s">
        <v>51</v>
      </c>
      <c r="D443" s="103" t="s">
        <v>1</v>
      </c>
      <c r="E443" s="103" t="s">
        <v>379</v>
      </c>
      <c r="F443" s="103" t="s">
        <v>36</v>
      </c>
      <c r="G443" s="103" t="s">
        <v>102</v>
      </c>
      <c r="H443" s="103" t="s">
        <v>191</v>
      </c>
      <c r="I443" s="104" t="s">
        <v>388</v>
      </c>
    </row>
    <row r="444" spans="1:9" ht="15.6" x14ac:dyDescent="0.3">
      <c r="A444" s="103" t="s">
        <v>505</v>
      </c>
      <c r="B444" s="103" t="s">
        <v>31</v>
      </c>
      <c r="C444" s="103" t="s">
        <v>51</v>
      </c>
      <c r="D444" s="103" t="s">
        <v>1</v>
      </c>
      <c r="E444" s="103" t="s">
        <v>379</v>
      </c>
      <c r="F444" s="103" t="s">
        <v>38</v>
      </c>
      <c r="G444" s="103" t="s">
        <v>102</v>
      </c>
      <c r="H444" s="103" t="s">
        <v>192</v>
      </c>
      <c r="I444" s="105" t="s">
        <v>495</v>
      </c>
    </row>
    <row r="445" spans="1:9" ht="15.6" x14ac:dyDescent="0.3">
      <c r="A445" s="103" t="s">
        <v>505</v>
      </c>
      <c r="B445" s="103" t="s">
        <v>31</v>
      </c>
      <c r="C445" s="103" t="s">
        <v>32</v>
      </c>
      <c r="D445" s="103" t="s">
        <v>1</v>
      </c>
      <c r="E445" s="103" t="s">
        <v>384</v>
      </c>
      <c r="F445" s="103" t="s">
        <v>38</v>
      </c>
      <c r="G445" s="103" t="s">
        <v>102</v>
      </c>
      <c r="H445" s="103" t="s">
        <v>224</v>
      </c>
      <c r="I445" s="105" t="s">
        <v>473</v>
      </c>
    </row>
    <row r="446" spans="1:9" ht="15.6" x14ac:dyDescent="0.3">
      <c r="A446" s="103" t="s">
        <v>505</v>
      </c>
      <c r="B446" s="103" t="s">
        <v>46</v>
      </c>
      <c r="C446" s="103" t="s">
        <v>47</v>
      </c>
      <c r="D446" s="103" t="s">
        <v>1</v>
      </c>
      <c r="E446" s="103" t="s">
        <v>364</v>
      </c>
      <c r="F446" s="103" t="s">
        <v>80</v>
      </c>
      <c r="G446" s="103" t="s">
        <v>150</v>
      </c>
      <c r="H446" s="103" t="s">
        <v>90</v>
      </c>
      <c r="I446" s="105" t="s">
        <v>440</v>
      </c>
    </row>
    <row r="447" spans="1:9" ht="15.6" x14ac:dyDescent="0.3">
      <c r="A447" s="103" t="s">
        <v>505</v>
      </c>
      <c r="B447" s="103" t="s">
        <v>71</v>
      </c>
      <c r="C447" s="103" t="s">
        <v>72</v>
      </c>
      <c r="D447" s="103" t="s">
        <v>1</v>
      </c>
      <c r="E447" s="103" t="s">
        <v>364</v>
      </c>
      <c r="F447" s="103" t="s">
        <v>73</v>
      </c>
      <c r="G447" s="103" t="s">
        <v>74</v>
      </c>
      <c r="H447" s="103" t="s">
        <v>189</v>
      </c>
      <c r="I447" s="106" t="s">
        <v>428</v>
      </c>
    </row>
    <row r="448" spans="1:9" ht="15.6" x14ac:dyDescent="0.3">
      <c r="A448" s="101" t="s">
        <v>506</v>
      </c>
      <c r="B448" s="101" t="s">
        <v>64</v>
      </c>
      <c r="C448" s="101" t="s">
        <v>65</v>
      </c>
      <c r="D448" s="101" t="s">
        <v>1</v>
      </c>
      <c r="E448" s="101" t="s">
        <v>305</v>
      </c>
      <c r="F448" s="101" t="s">
        <v>167</v>
      </c>
      <c r="G448" s="101" t="s">
        <v>98</v>
      </c>
      <c r="H448" s="101" t="s">
        <v>66</v>
      </c>
      <c r="I448" s="102" t="s">
        <v>369</v>
      </c>
    </row>
    <row r="449" spans="1:9" ht="15.6" x14ac:dyDescent="0.3">
      <c r="A449" s="103" t="s">
        <v>506</v>
      </c>
      <c r="B449" s="103" t="s">
        <v>40</v>
      </c>
      <c r="C449" s="103" t="s">
        <v>60</v>
      </c>
      <c r="D449" s="103" t="s">
        <v>1</v>
      </c>
      <c r="E449" s="103" t="s">
        <v>366</v>
      </c>
      <c r="F449" s="103" t="s">
        <v>101</v>
      </c>
      <c r="G449" s="103" t="s">
        <v>29</v>
      </c>
      <c r="H449" s="103" t="s">
        <v>178</v>
      </c>
      <c r="I449" s="104" t="s">
        <v>382</v>
      </c>
    </row>
    <row r="450" spans="1:9" ht="15.6" x14ac:dyDescent="0.3">
      <c r="A450" s="103" t="s">
        <v>506</v>
      </c>
      <c r="B450" s="103" t="s">
        <v>82</v>
      </c>
      <c r="C450" s="103" t="s">
        <v>123</v>
      </c>
      <c r="D450" s="103" t="s">
        <v>1</v>
      </c>
      <c r="E450" s="103" t="s">
        <v>450</v>
      </c>
      <c r="F450" s="103" t="s">
        <v>167</v>
      </c>
      <c r="G450" s="103" t="s">
        <v>74</v>
      </c>
      <c r="H450" s="103" t="s">
        <v>164</v>
      </c>
      <c r="I450" s="106" t="s">
        <v>428</v>
      </c>
    </row>
    <row r="451" spans="1:9" ht="15.6" x14ac:dyDescent="0.3">
      <c r="A451" s="103" t="s">
        <v>506</v>
      </c>
      <c r="B451" s="103" t="s">
        <v>40</v>
      </c>
      <c r="C451" s="103" t="s">
        <v>41</v>
      </c>
      <c r="D451" s="103" t="s">
        <v>1</v>
      </c>
      <c r="E451" s="103" t="s">
        <v>361</v>
      </c>
      <c r="F451" s="103" t="s">
        <v>101</v>
      </c>
      <c r="G451" s="103" t="s">
        <v>29</v>
      </c>
      <c r="H451" s="103" t="s">
        <v>179</v>
      </c>
      <c r="I451" s="104" t="s">
        <v>403</v>
      </c>
    </row>
    <row r="452" spans="1:9" ht="15.6" x14ac:dyDescent="0.3">
      <c r="A452" s="103" t="s">
        <v>506</v>
      </c>
      <c r="B452" s="103" t="s">
        <v>40</v>
      </c>
      <c r="C452" s="103" t="s">
        <v>44</v>
      </c>
      <c r="D452" s="103" t="s">
        <v>1</v>
      </c>
      <c r="E452" s="103" t="s">
        <v>362</v>
      </c>
      <c r="F452" s="103" t="s">
        <v>101</v>
      </c>
      <c r="G452" s="103" t="s">
        <v>29</v>
      </c>
      <c r="H452" s="103" t="s">
        <v>107</v>
      </c>
      <c r="I452" s="104" t="s">
        <v>403</v>
      </c>
    </row>
    <row r="453" spans="1:9" ht="15.6" x14ac:dyDescent="0.3">
      <c r="A453" s="103" t="s">
        <v>506</v>
      </c>
      <c r="B453" s="103" t="s">
        <v>26</v>
      </c>
      <c r="C453" s="103" t="s">
        <v>27</v>
      </c>
      <c r="D453" s="103" t="s">
        <v>1</v>
      </c>
      <c r="E453" s="103" t="s">
        <v>359</v>
      </c>
      <c r="F453" s="103" t="s">
        <v>167</v>
      </c>
      <c r="G453" s="103" t="s">
        <v>53</v>
      </c>
      <c r="H453" s="103" t="s">
        <v>130</v>
      </c>
      <c r="I453" s="106" t="s">
        <v>444</v>
      </c>
    </row>
    <row r="454" spans="1:9" ht="15.6" x14ac:dyDescent="0.3">
      <c r="A454" s="103" t="s">
        <v>506</v>
      </c>
      <c r="B454" s="103" t="s">
        <v>31</v>
      </c>
      <c r="C454" s="103" t="s">
        <v>32</v>
      </c>
      <c r="D454" s="103" t="s">
        <v>1</v>
      </c>
      <c r="E454" s="103" t="s">
        <v>384</v>
      </c>
      <c r="F454" s="103" t="s">
        <v>36</v>
      </c>
      <c r="G454" s="103" t="s">
        <v>97</v>
      </c>
      <c r="H454" s="103" t="s">
        <v>191</v>
      </c>
      <c r="I454" s="104" t="s">
        <v>388</v>
      </c>
    </row>
    <row r="455" spans="1:9" ht="15.6" x14ac:dyDescent="0.3">
      <c r="A455" s="103" t="s">
        <v>506</v>
      </c>
      <c r="B455" s="103" t="s">
        <v>31</v>
      </c>
      <c r="C455" s="103" t="s">
        <v>32</v>
      </c>
      <c r="D455" s="103" t="s">
        <v>1</v>
      </c>
      <c r="E455" s="103" t="s">
        <v>384</v>
      </c>
      <c r="F455" s="103" t="s">
        <v>38</v>
      </c>
      <c r="G455" s="103" t="s">
        <v>97</v>
      </c>
      <c r="H455" s="103" t="s">
        <v>192</v>
      </c>
      <c r="I455" s="105" t="s">
        <v>495</v>
      </c>
    </row>
    <row r="456" spans="1:9" ht="15.6" x14ac:dyDescent="0.3">
      <c r="A456" s="103" t="s">
        <v>506</v>
      </c>
      <c r="B456" s="103" t="s">
        <v>46</v>
      </c>
      <c r="C456" s="103" t="s">
        <v>47</v>
      </c>
      <c r="D456" s="103" t="s">
        <v>1</v>
      </c>
      <c r="E456" s="103" t="s">
        <v>364</v>
      </c>
      <c r="F456" s="103" t="s">
        <v>80</v>
      </c>
      <c r="G456" s="103" t="s">
        <v>49</v>
      </c>
      <c r="H456" s="103" t="s">
        <v>90</v>
      </c>
      <c r="I456" s="105" t="s">
        <v>440</v>
      </c>
    </row>
    <row r="457" spans="1:9" ht="15.6" x14ac:dyDescent="0.3">
      <c r="A457" s="103" t="s">
        <v>506</v>
      </c>
      <c r="B457" s="103" t="s">
        <v>71</v>
      </c>
      <c r="C457" s="103" t="s">
        <v>72</v>
      </c>
      <c r="D457" s="103" t="s">
        <v>1</v>
      </c>
      <c r="E457" s="103" t="s">
        <v>364</v>
      </c>
      <c r="F457" s="103" t="s">
        <v>73</v>
      </c>
      <c r="G457" s="103" t="s">
        <v>74</v>
      </c>
      <c r="H457" s="103" t="s">
        <v>189</v>
      </c>
      <c r="I457" s="106" t="s">
        <v>428</v>
      </c>
    </row>
    <row r="458" spans="1:9" ht="15.6" x14ac:dyDescent="0.3">
      <c r="A458" s="101" t="s">
        <v>507</v>
      </c>
      <c r="B458" s="101" t="s">
        <v>64</v>
      </c>
      <c r="C458" s="101" t="s">
        <v>65</v>
      </c>
      <c r="D458" s="101" t="s">
        <v>1</v>
      </c>
      <c r="E458" s="101" t="s">
        <v>298</v>
      </c>
      <c r="F458" s="101" t="s">
        <v>167</v>
      </c>
      <c r="G458" s="101" t="s">
        <v>97</v>
      </c>
      <c r="H458" s="101" t="s">
        <v>66</v>
      </c>
      <c r="I458" s="102" t="s">
        <v>369</v>
      </c>
    </row>
    <row r="459" spans="1:9" ht="15.6" x14ac:dyDescent="0.3">
      <c r="A459" s="103" t="s">
        <v>507</v>
      </c>
      <c r="B459" s="103" t="s">
        <v>40</v>
      </c>
      <c r="C459" s="103" t="s">
        <v>60</v>
      </c>
      <c r="D459" s="103" t="s">
        <v>1</v>
      </c>
      <c r="E459" s="103" t="s">
        <v>366</v>
      </c>
      <c r="F459" s="103" t="s">
        <v>101</v>
      </c>
      <c r="G459" s="103" t="s">
        <v>29</v>
      </c>
      <c r="H459" s="103" t="s">
        <v>178</v>
      </c>
      <c r="I459" s="104" t="s">
        <v>382</v>
      </c>
    </row>
    <row r="460" spans="1:9" ht="15.6" x14ac:dyDescent="0.3">
      <c r="A460" s="103" t="s">
        <v>507</v>
      </c>
      <c r="B460" s="103" t="s">
        <v>76</v>
      </c>
      <c r="C460" s="103" t="s">
        <v>77</v>
      </c>
      <c r="D460" s="103" t="s">
        <v>1</v>
      </c>
      <c r="E460" s="103" t="s">
        <v>398</v>
      </c>
      <c r="F460" s="103" t="s">
        <v>78</v>
      </c>
      <c r="G460" s="103" t="s">
        <v>55</v>
      </c>
      <c r="H460" s="103" t="s">
        <v>240</v>
      </c>
      <c r="I460" s="106" t="s">
        <v>460</v>
      </c>
    </row>
    <row r="461" spans="1:9" ht="15.6" x14ac:dyDescent="0.3">
      <c r="A461" s="103" t="s">
        <v>507</v>
      </c>
      <c r="B461" s="103" t="s">
        <v>40</v>
      </c>
      <c r="C461" s="103" t="s">
        <v>41</v>
      </c>
      <c r="D461" s="103" t="s">
        <v>1</v>
      </c>
      <c r="E461" s="103" t="s">
        <v>361</v>
      </c>
      <c r="F461" s="103" t="s">
        <v>101</v>
      </c>
      <c r="G461" s="103" t="s">
        <v>29</v>
      </c>
      <c r="H461" s="103" t="s">
        <v>179</v>
      </c>
      <c r="I461" s="104" t="s">
        <v>403</v>
      </c>
    </row>
    <row r="462" spans="1:9" ht="15.6" x14ac:dyDescent="0.3">
      <c r="A462" s="103" t="s">
        <v>507</v>
      </c>
      <c r="B462" s="103" t="s">
        <v>40</v>
      </c>
      <c r="C462" s="103" t="s">
        <v>44</v>
      </c>
      <c r="D462" s="103" t="s">
        <v>1</v>
      </c>
      <c r="E462" s="103" t="s">
        <v>362</v>
      </c>
      <c r="F462" s="103" t="s">
        <v>101</v>
      </c>
      <c r="G462" s="103" t="s">
        <v>29</v>
      </c>
      <c r="H462" s="103" t="s">
        <v>179</v>
      </c>
      <c r="I462" s="104" t="s">
        <v>403</v>
      </c>
    </row>
    <row r="463" spans="1:9" ht="15.6" x14ac:dyDescent="0.3">
      <c r="A463" s="103" t="s">
        <v>507</v>
      </c>
      <c r="B463" s="103" t="s">
        <v>26</v>
      </c>
      <c r="C463" s="103" t="s">
        <v>57</v>
      </c>
      <c r="D463" s="103" t="s">
        <v>1</v>
      </c>
      <c r="E463" s="103" t="s">
        <v>400</v>
      </c>
      <c r="F463" s="103" t="s">
        <v>167</v>
      </c>
      <c r="G463" s="103" t="s">
        <v>97</v>
      </c>
      <c r="H463" s="103" t="s">
        <v>130</v>
      </c>
      <c r="I463" s="106" t="s">
        <v>444</v>
      </c>
    </row>
    <row r="464" spans="1:9" ht="15.6" x14ac:dyDescent="0.3">
      <c r="A464" s="103" t="s">
        <v>507</v>
      </c>
      <c r="B464" s="103" t="s">
        <v>82</v>
      </c>
      <c r="C464" s="103" t="s">
        <v>83</v>
      </c>
      <c r="D464" s="103" t="s">
        <v>1</v>
      </c>
      <c r="E464" s="103" t="s">
        <v>494</v>
      </c>
      <c r="F464" s="103" t="s">
        <v>167</v>
      </c>
      <c r="G464" s="103" t="s">
        <v>29</v>
      </c>
      <c r="H464" s="103" t="s">
        <v>185</v>
      </c>
      <c r="I464" s="104" t="s">
        <v>391</v>
      </c>
    </row>
    <row r="465" spans="1:9" ht="15.6" x14ac:dyDescent="0.3">
      <c r="A465" s="103" t="s">
        <v>507</v>
      </c>
      <c r="B465" s="103" t="s">
        <v>31</v>
      </c>
      <c r="C465" s="103" t="s">
        <v>32</v>
      </c>
      <c r="D465" s="103" t="s">
        <v>1</v>
      </c>
      <c r="E465" s="103" t="s">
        <v>384</v>
      </c>
      <c r="F465" s="103" t="s">
        <v>36</v>
      </c>
      <c r="G465" s="103" t="s">
        <v>34</v>
      </c>
      <c r="H465" s="103" t="s">
        <v>191</v>
      </c>
      <c r="I465" s="104" t="s">
        <v>388</v>
      </c>
    </row>
    <row r="466" spans="1:9" ht="15.6" x14ac:dyDescent="0.3">
      <c r="A466" s="103" t="s">
        <v>507</v>
      </c>
      <c r="B466" s="103" t="s">
        <v>31</v>
      </c>
      <c r="C466" s="103" t="s">
        <v>51</v>
      </c>
      <c r="D466" s="103" t="s">
        <v>1</v>
      </c>
      <c r="E466" s="103" t="s">
        <v>379</v>
      </c>
      <c r="F466" s="103" t="s">
        <v>36</v>
      </c>
      <c r="G466" s="103" t="s">
        <v>102</v>
      </c>
      <c r="H466" s="103" t="s">
        <v>191</v>
      </c>
      <c r="I466" s="104" t="s">
        <v>388</v>
      </c>
    </row>
    <row r="467" spans="1:9" ht="15.6" x14ac:dyDescent="0.3">
      <c r="A467" s="103" t="s">
        <v>507</v>
      </c>
      <c r="B467" s="103" t="s">
        <v>76</v>
      </c>
      <c r="C467" s="103" t="s">
        <v>77</v>
      </c>
      <c r="D467" s="103" t="s">
        <v>1</v>
      </c>
      <c r="E467" s="103" t="s">
        <v>398</v>
      </c>
      <c r="F467" s="103" t="s">
        <v>80</v>
      </c>
      <c r="G467" s="103" t="s">
        <v>55</v>
      </c>
      <c r="H467" s="103" t="s">
        <v>172</v>
      </c>
      <c r="I467" s="105" t="s">
        <v>404</v>
      </c>
    </row>
    <row r="468" spans="1:9" ht="15.6" x14ac:dyDescent="0.3">
      <c r="A468" s="103" t="s">
        <v>507</v>
      </c>
      <c r="B468" s="103" t="s">
        <v>31</v>
      </c>
      <c r="C468" s="103" t="s">
        <v>32</v>
      </c>
      <c r="D468" s="103" t="s">
        <v>1</v>
      </c>
      <c r="E468" s="103" t="s">
        <v>384</v>
      </c>
      <c r="F468" s="103" t="s">
        <v>38</v>
      </c>
      <c r="G468" s="103" t="s">
        <v>34</v>
      </c>
      <c r="H468" s="103" t="s">
        <v>192</v>
      </c>
      <c r="I468" s="105" t="s">
        <v>495</v>
      </c>
    </row>
    <row r="469" spans="1:9" ht="15.6" x14ac:dyDescent="0.3">
      <c r="A469" s="103" t="s">
        <v>507</v>
      </c>
      <c r="B469" s="103" t="s">
        <v>31</v>
      </c>
      <c r="C469" s="103" t="s">
        <v>51</v>
      </c>
      <c r="D469" s="103" t="s">
        <v>1</v>
      </c>
      <c r="E469" s="103" t="s">
        <v>379</v>
      </c>
      <c r="F469" s="103" t="s">
        <v>38</v>
      </c>
      <c r="G469" s="103" t="s">
        <v>102</v>
      </c>
      <c r="H469" s="103" t="s">
        <v>192</v>
      </c>
      <c r="I469" s="105" t="s">
        <v>495</v>
      </c>
    </row>
    <row r="470" spans="1:9" ht="15.6" x14ac:dyDescent="0.3">
      <c r="A470" s="103" t="s">
        <v>507</v>
      </c>
      <c r="B470" s="103" t="s">
        <v>46</v>
      </c>
      <c r="C470" s="103" t="s">
        <v>47</v>
      </c>
      <c r="D470" s="103" t="s">
        <v>1</v>
      </c>
      <c r="E470" s="103" t="s">
        <v>364</v>
      </c>
      <c r="F470" s="103" t="s">
        <v>80</v>
      </c>
      <c r="G470" s="103" t="s">
        <v>49</v>
      </c>
      <c r="H470" s="103" t="s">
        <v>90</v>
      </c>
      <c r="I470" s="105" t="s">
        <v>440</v>
      </c>
    </row>
    <row r="471" spans="1:9" ht="15.6" x14ac:dyDescent="0.3">
      <c r="A471" s="103" t="s">
        <v>507</v>
      </c>
      <c r="B471" s="103" t="s">
        <v>71</v>
      </c>
      <c r="C471" s="103" t="s">
        <v>72</v>
      </c>
      <c r="D471" s="103" t="s">
        <v>1</v>
      </c>
      <c r="E471" s="103" t="s">
        <v>364</v>
      </c>
      <c r="F471" s="103" t="s">
        <v>73</v>
      </c>
      <c r="G471" s="103" t="s">
        <v>74</v>
      </c>
      <c r="H471" s="103" t="s">
        <v>189</v>
      </c>
      <c r="I471" s="106" t="s">
        <v>428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DMM-CAI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2025-12-01T05:56:21Z</dcterms:created>
  <dcterms:modified xsi:type="dcterms:W3CDTF">2025-12-01T06:29:25Z</dcterms:modified>
</cp:coreProperties>
</file>