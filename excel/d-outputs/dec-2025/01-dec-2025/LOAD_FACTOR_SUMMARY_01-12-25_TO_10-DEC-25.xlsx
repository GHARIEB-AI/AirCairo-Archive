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2826AB9-6D4C-4969-A248-305EE2CD8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6" i="1" l="1"/>
  <c r="E76" i="1"/>
  <c r="C76" i="1"/>
  <c r="AJ76" i="1"/>
</calcChain>
</file>

<file path=xl/sharedStrings.xml><?xml version="1.0" encoding="utf-8"?>
<sst xmlns="http://schemas.openxmlformats.org/spreadsheetml/2006/main" count="629" uniqueCount="149">
  <si>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</si>
  <si>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</si>
  <si>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</si>
  <si>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</si>
  <si>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</si>
  <si>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</si>
  <si>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</si>
  <si>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</si>
  <si>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</si>
  <si>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</si>
  <si>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</si>
  <si>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</si>
  <si>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</si>
  <si>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</si>
  <si>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</si>
  <si>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</si>
  <si>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</si>
  <si>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</si>
  <si>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</si>
  <si>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</si>
  <si>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</si>
  <si>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</si>
  <si>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</si>
  <si>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</si>
  <si>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</si>
  <si>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</si>
  <si>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</si>
  <si>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</si>
  <si>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</si>
  <si>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</si>
  <si>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</si>
  <si>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</si>
  <si>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</si>
  <si>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</si>
  <si>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</si>
  <si>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</si>
  <si>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</si>
  <si>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SM460</t>
  </si>
  <si>
    <t>23:30</t>
  </si>
  <si>
    <t>JED-CAI</t>
  </si>
  <si>
    <t>320</t>
  </si>
  <si>
    <t>UPCOMING</t>
  </si>
  <si>
    <t>2025-11-22 00:00:00</t>
  </si>
  <si>
    <t>U1</t>
  </si>
  <si>
    <t>SM470</t>
  </si>
  <si>
    <t>22:10</t>
  </si>
  <si>
    <t>RUH-CAI</t>
  </si>
  <si>
    <t>I9</t>
  </si>
  <si>
    <t>SM476</t>
  </si>
  <si>
    <t>10:10</t>
  </si>
  <si>
    <t>2025-11-20 00:00:00</t>
  </si>
  <si>
    <t>W7</t>
  </si>
  <si>
    <t>SM478</t>
  </si>
  <si>
    <t>14:45</t>
  </si>
  <si>
    <t>X2</t>
  </si>
  <si>
    <t>SM480</t>
  </si>
  <si>
    <t>00:10</t>
  </si>
  <si>
    <t>2025-11-16 00:00:00</t>
  </si>
  <si>
    <t>W8</t>
  </si>
  <si>
    <t>TUESDAY</t>
  </si>
  <si>
    <t>SM424</t>
  </si>
  <si>
    <t>22:25</t>
  </si>
  <si>
    <t>O1</t>
  </si>
  <si>
    <t>SM434</t>
  </si>
  <si>
    <t>06:30</t>
  </si>
  <si>
    <t>DMM-CAI</t>
  </si>
  <si>
    <t>2025-11-21 00:00:00</t>
  </si>
  <si>
    <t>O6</t>
  </si>
  <si>
    <t>17:30</t>
  </si>
  <si>
    <t>U9</t>
  </si>
  <si>
    <t>21:55</t>
  </si>
  <si>
    <t>I7</t>
  </si>
  <si>
    <t>SM472</t>
  </si>
  <si>
    <t>05:30</t>
  </si>
  <si>
    <t>O9</t>
  </si>
  <si>
    <t>23:15</t>
  </si>
  <si>
    <t>U3</t>
  </si>
  <si>
    <t>13:25</t>
  </si>
  <si>
    <t>SM488</t>
  </si>
  <si>
    <t>06:40</t>
  </si>
  <si>
    <t>MED-CAI</t>
  </si>
  <si>
    <t>V9</t>
  </si>
  <si>
    <t>SM494</t>
  </si>
  <si>
    <t>2025-11-10 00:00:00</t>
  </si>
  <si>
    <t>CLOSED</t>
  </si>
  <si>
    <t>SM496</t>
  </si>
  <si>
    <t>01:10</t>
  </si>
  <si>
    <t>2025-11-13 00:00:00</t>
  </si>
  <si>
    <t>K6</t>
  </si>
  <si>
    <t>WEDNESDAY</t>
  </si>
  <si>
    <t>12:30</t>
  </si>
  <si>
    <t>2025-11-14 00:00:00</t>
  </si>
  <si>
    <t>Q8</t>
  </si>
  <si>
    <t>SM462</t>
  </si>
  <si>
    <t>14:40</t>
  </si>
  <si>
    <t>2025-11-23 00:00:00</t>
  </si>
  <si>
    <t>I8</t>
  </si>
  <si>
    <t>12:25</t>
  </si>
  <si>
    <t>U2</t>
  </si>
  <si>
    <t>X9</t>
  </si>
  <si>
    <t>THURSDAY</t>
  </si>
  <si>
    <t>SM432</t>
  </si>
  <si>
    <t>08:45</t>
  </si>
  <si>
    <t>I4</t>
  </si>
  <si>
    <t>SM450</t>
  </si>
  <si>
    <t>06:05</t>
  </si>
  <si>
    <t>I3</t>
  </si>
  <si>
    <t>02:45</t>
  </si>
  <si>
    <t>O8</t>
  </si>
  <si>
    <t>08:00</t>
  </si>
  <si>
    <t>I1</t>
  </si>
  <si>
    <t>14:00</t>
  </si>
  <si>
    <t>2025-11-19 00:00:00</t>
  </si>
  <si>
    <t>W9</t>
  </si>
  <si>
    <t>17:45</t>
  </si>
  <si>
    <t>U6</t>
  </si>
  <si>
    <t>12:55</t>
  </si>
  <si>
    <t>FRIDAY</t>
  </si>
  <si>
    <t>I2</t>
  </si>
  <si>
    <t>13:55</t>
  </si>
  <si>
    <t>22:30</t>
  </si>
  <si>
    <t>2025-11-11 00:00:00</t>
  </si>
  <si>
    <t>G9</t>
  </si>
  <si>
    <t>14:30</t>
  </si>
  <si>
    <t>17:40</t>
  </si>
  <si>
    <t>07:40</t>
  </si>
  <si>
    <t>11:00</t>
  </si>
  <si>
    <t>2025-11-15 00:00:00</t>
  </si>
  <si>
    <t>SATURDAY</t>
  </si>
  <si>
    <t>05:40</t>
  </si>
  <si>
    <t>16:20</t>
  </si>
  <si>
    <t>2025-11-18 00:00:00</t>
  </si>
  <si>
    <t>09:30</t>
  </si>
  <si>
    <t>SUNDAY</t>
  </si>
  <si>
    <t>02:00</t>
  </si>
  <si>
    <t>12:15</t>
  </si>
  <si>
    <t>S9</t>
  </si>
  <si>
    <t>15:00</t>
  </si>
  <si>
    <t>15:10</t>
  </si>
  <si>
    <t>Y6</t>
  </si>
  <si>
    <t>21:40</t>
  </si>
  <si>
    <t>U5</t>
  </si>
  <si>
    <t>U7</t>
  </si>
  <si>
    <t>2025-11-17 00:00:00</t>
  </si>
  <si>
    <t>O5</t>
  </si>
  <si>
    <t>I6</t>
  </si>
  <si>
    <t>U8</t>
  </si>
  <si>
    <t>O4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</si>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</sst>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97644-0C23-43B1-B630-E072C7EDF421}" name="LF_ALL_ROUTES" displayName="LF_ALL_ROUTES" ref="A1:AJ76" totalsRowCount="1" headerRowDxfId="37" totalsRowDxfId="0">
  <autoFilter ref="A1:AJ75" xr:uid="{CA297644-0C23-43B1-B630-E072C7EDF421}"/>
  <tableColumns count="36">
    <tableColumn id="1" xr3:uid="{163E43D1-10AD-41B8-BFE9-39803EC785F0}" name="Day" totalsRowLabel="TOTAL" totalsRowDxfId="36"/>
    <tableColumn id="2" xr3:uid="{BB720B8F-68A7-41F4-8634-929B04973BD9}" name="Flt Dt" dataDxfId="38" totalsRowDxfId="35"/>
    <tableColumn id="3" xr3:uid="{C14A6CF3-0BB1-4A9C-95C4-C34C1443590D}" name="Flt" totalsRowFunction="count" totalsRowDxfId="34"/>
    <tableColumn id="4" xr3:uid="{7C8D3B35-B272-4501-90B7-7ABDE2B62BCA}" name="DEP" totalsRowDxfId="33"/>
    <tableColumn id="5" xr3:uid="{E36E796D-47F4-4E21-B900-384A61D7A1F3}" name="Brd-Off" totalsRowFunction="count" totalsRowDxfId="32"/>
    <tableColumn id="6" xr3:uid="{4AF30C14-01B7-4F58-A7E4-2AD7C8EB8C7C}" name="Eqp" totalsRowDxfId="31"/>
    <tableColumn id="7" xr3:uid="{D56B9993-4C7E-4DA8-94D9-995E37965885}" name="LF%" totalsRowFunction="average" totalsRowDxfId="30"/>
    <tableColumn id="8" xr3:uid="{88C85375-DEC1-400E-96B0-5BD4EA8ABBDF}" name="CAP" totalsRowDxfId="29"/>
    <tableColumn id="9" xr3:uid="{202E3279-BABB-4A23-A6C2-DBAE8EEAC555}" name="BKG(Y)" totalsRowDxfId="28"/>
    <tableColumn id="10" xr3:uid="{D775C53F-B5A4-4B52-9ACB-B8EACA80C11E}" name="GRP(Y)" totalsRowDxfId="27"/>
    <tableColumn id="11" xr3:uid="{D4677953-E415-4FD4-803A-C8FDF91CDEC0}" name="FLT ST" totalsRowDxfId="26"/>
    <tableColumn id="12" xr3:uid="{1B5C873F-9090-4A58-9663-78DD9C91A364}" name="LST-SOLD" totalsRowDxfId="25"/>
    <tableColumn id="13" xr3:uid="{F46DF9CF-442F-4C08-AE6F-4E01459C54BA}" name="TO-DAY" totalsRowDxfId="24"/>
    <tableColumn id="14" xr3:uid="{6EFA71F5-1776-4D51-B403-DA86185418DD}" name="Y-DAY" totalsRowDxfId="23"/>
    <tableColumn id="15" xr3:uid="{35E9BC47-7692-4A63-818E-906456C3BF51}" name="WEEKLY" totalsRowDxfId="22"/>
    <tableColumn id="16" xr3:uid="{A958DF0E-0669-4987-B9FE-546813E998DB}" name="LOWEST AVAIL" totalsRowDxfId="21"/>
    <tableColumn id="17" xr3:uid="{65D9C406-E206-490C-8FB2-3D62B389BFEA}" name="Y" totalsRowDxfId="20"/>
    <tableColumn id="18" xr3:uid="{A40193F2-FAA4-45D5-ABB9-E8445C605107}" name="B" totalsRowDxfId="19"/>
    <tableColumn id="19" xr3:uid="{E2E9D251-62F6-4CDF-BCA2-2FA0643D0589}" name="M" totalsRowDxfId="18"/>
    <tableColumn id="20" xr3:uid="{9F3B275F-F5CB-4DE2-84BC-9255FEAAF55C}" name="H" totalsRowDxfId="17"/>
    <tableColumn id="21" xr3:uid="{56270055-6DDE-4638-BFF1-3343E657594F}" name="Q" totalsRowDxfId="16"/>
    <tableColumn id="22" xr3:uid="{F8853C64-9FFC-4C64-83AE-6F925954605F}" name="K" totalsRowDxfId="15"/>
    <tableColumn id="23" xr3:uid="{E2FCEA08-6F5B-4888-84A4-8F98148B63D0}" name="V" totalsRowDxfId="14"/>
    <tableColumn id="24" xr3:uid="{E68E0AC5-93FF-445A-9094-F8FD3CC9791C}" name="L" totalsRowDxfId="13"/>
    <tableColumn id="25" xr3:uid="{4F02478C-1473-43A8-B766-47DA4F38E885}" name="G" totalsRowDxfId="12"/>
    <tableColumn id="26" xr3:uid="{30C7C87F-4A5F-4EB3-B113-ED5B4F03B1E4}" name="S" totalsRowDxfId="11"/>
    <tableColumn id="27" xr3:uid="{B3FCBD09-6593-4545-A4DE-1D75D291A2B6}" name="W" totalsRowDxfId="10"/>
    <tableColumn id="28" xr3:uid="{024CD4D4-91C7-4652-ADF3-1FE60AF676B6}" name="T" totalsRowDxfId="9"/>
    <tableColumn id="29" xr3:uid="{A545118A-6A2F-458F-8E51-3983C524AFCD}" name="X" totalsRowDxfId="8"/>
    <tableColumn id="30" xr3:uid="{1CCB62EC-E574-4521-A5D7-DA48A0AF547B}" name="U" totalsRowDxfId="7"/>
    <tableColumn id="31" xr3:uid="{1E73388C-19D2-4EB1-A31B-E4ED09E0FF55}" name="O" totalsRowDxfId="6"/>
    <tableColumn id="32" xr3:uid="{94E706FC-57E3-4144-8232-25F0CF5A065D}" name="I" totalsRowDxfId="5"/>
    <tableColumn id="33" xr3:uid="{1F1B40B0-CED1-4764-84D3-DE5DB1D4C1B4}" name="E" totalsRowDxfId="4"/>
    <tableColumn id="34" xr3:uid="{412ACD67-0E8D-40EF-A291-C189EF446570}" name="A" totalsRowDxfId="3"/>
    <tableColumn id="35" xr3:uid="{141830FD-AF27-40E8-A21F-B73245DDEBDF}" name="P" totalsRowDxfId="2"/>
    <tableColumn id="36" xr3:uid="{9AE25DA6-809B-410B-821E-42165F2AF7A1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6"/>
  <sheetViews>
    <sheetView tabSelected="1" topLeftCell="A58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10937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45992</v>
      </c>
      <c r="C2" t="s">
        <v>37</v>
      </c>
      <c r="D2" t="s">
        <v>38</v>
      </c>
      <c r="E2" t="s">
        <v>39</v>
      </c>
      <c r="F2" t="s">
        <v>40</v>
      </c>
      <c r="G2">
        <v>0.9385</v>
      </c>
      <c r="H2">
        <v>179</v>
      </c>
      <c r="I2">
        <v>168</v>
      </c>
      <c r="J2">
        <v>116</v>
      </c>
      <c r="K2" t="s">
        <v>41</v>
      </c>
      <c r="L2" t="s">
        <v>42</v>
      </c>
      <c r="M2">
        <v>0</v>
      </c>
      <c r="N2">
        <v>7</v>
      </c>
      <c r="O2">
        <v>23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2</v>
      </c>
      <c r="AD2">
        <v>9</v>
      </c>
      <c r="AE2">
        <v>20</v>
      </c>
      <c r="AF2">
        <v>20</v>
      </c>
      <c r="AG2">
        <v>41</v>
      </c>
      <c r="AH2">
        <v>0</v>
      </c>
      <c r="AI2">
        <v>75</v>
      </c>
      <c r="AJ2">
        <v>0</v>
      </c>
    </row>
    <row r="3" spans="1:36" x14ac:dyDescent="0.3">
      <c r="A3" t="s">
        <v>36</v>
      </c>
      <c r="B3" s="2">
        <v>45992</v>
      </c>
      <c r="C3" t="s">
        <v>44</v>
      </c>
      <c r="D3" t="s">
        <v>45</v>
      </c>
      <c r="E3" t="s">
        <v>46</v>
      </c>
      <c r="F3" t="s">
        <v>40</v>
      </c>
      <c r="G3">
        <v>3.5700000000000003E-2</v>
      </c>
      <c r="H3">
        <v>168</v>
      </c>
      <c r="I3">
        <v>6</v>
      </c>
      <c r="J3">
        <v>0</v>
      </c>
      <c r="K3" t="s">
        <v>41</v>
      </c>
      <c r="L3" t="s">
        <v>42</v>
      </c>
      <c r="M3">
        <v>0</v>
      </c>
      <c r="N3">
        <v>1</v>
      </c>
      <c r="O3">
        <v>4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45992</v>
      </c>
      <c r="C4" t="s">
        <v>48</v>
      </c>
      <c r="D4" t="s">
        <v>49</v>
      </c>
      <c r="E4" t="s">
        <v>39</v>
      </c>
      <c r="F4" t="s">
        <v>40</v>
      </c>
      <c r="G4">
        <v>0.9274</v>
      </c>
      <c r="H4">
        <v>179</v>
      </c>
      <c r="I4">
        <v>166</v>
      </c>
      <c r="J4">
        <v>135</v>
      </c>
      <c r="K4" t="s">
        <v>41</v>
      </c>
      <c r="L4" t="s">
        <v>50</v>
      </c>
      <c r="M4">
        <v>0</v>
      </c>
      <c r="N4">
        <v>0</v>
      </c>
      <c r="O4">
        <v>47</v>
      </c>
      <c r="P4" t="s">
        <v>51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19</v>
      </c>
      <c r="AF4">
        <v>10</v>
      </c>
      <c r="AG4">
        <v>0</v>
      </c>
      <c r="AH4">
        <v>0</v>
      </c>
      <c r="AI4">
        <v>135</v>
      </c>
      <c r="AJ4">
        <v>0</v>
      </c>
    </row>
    <row r="5" spans="1:36" x14ac:dyDescent="0.3">
      <c r="A5" t="s">
        <v>36</v>
      </c>
      <c r="B5" s="2">
        <v>45992</v>
      </c>
      <c r="C5" t="s">
        <v>52</v>
      </c>
      <c r="D5" t="s">
        <v>53</v>
      </c>
      <c r="E5" t="s">
        <v>39</v>
      </c>
      <c r="F5" t="s">
        <v>40</v>
      </c>
      <c r="G5">
        <v>0.8659</v>
      </c>
      <c r="H5">
        <v>179</v>
      </c>
      <c r="I5">
        <v>155</v>
      </c>
      <c r="J5">
        <v>102</v>
      </c>
      <c r="K5" t="s">
        <v>41</v>
      </c>
      <c r="L5" t="s">
        <v>42</v>
      </c>
      <c r="M5">
        <v>0</v>
      </c>
      <c r="N5">
        <v>1</v>
      </c>
      <c r="O5">
        <v>28</v>
      </c>
      <c r="P5" t="s">
        <v>54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0</v>
      </c>
      <c r="AB5">
        <v>0</v>
      </c>
      <c r="AC5">
        <v>8</v>
      </c>
      <c r="AD5">
        <v>11</v>
      </c>
      <c r="AE5">
        <v>15</v>
      </c>
      <c r="AF5">
        <v>10</v>
      </c>
      <c r="AG5">
        <v>0</v>
      </c>
      <c r="AH5">
        <v>0</v>
      </c>
      <c r="AI5">
        <v>102</v>
      </c>
      <c r="AJ5">
        <v>4</v>
      </c>
    </row>
    <row r="6" spans="1:36" x14ac:dyDescent="0.3">
      <c r="A6" t="s">
        <v>36</v>
      </c>
      <c r="B6" s="2">
        <v>45992</v>
      </c>
      <c r="C6" t="s">
        <v>55</v>
      </c>
      <c r="D6" t="s">
        <v>56</v>
      </c>
      <c r="E6" t="s">
        <v>39</v>
      </c>
      <c r="F6" t="s">
        <v>40</v>
      </c>
      <c r="G6">
        <v>0.87709999999999999</v>
      </c>
      <c r="H6">
        <v>179</v>
      </c>
      <c r="I6">
        <v>157</v>
      </c>
      <c r="J6">
        <v>132</v>
      </c>
      <c r="K6" t="s">
        <v>41</v>
      </c>
      <c r="L6" t="s">
        <v>57</v>
      </c>
      <c r="M6">
        <v>0</v>
      </c>
      <c r="N6">
        <v>0</v>
      </c>
      <c r="O6">
        <v>5</v>
      </c>
      <c r="P6" t="s">
        <v>58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0</v>
      </c>
      <c r="AB6">
        <v>0</v>
      </c>
      <c r="AC6">
        <v>0</v>
      </c>
      <c r="AD6">
        <v>3</v>
      </c>
      <c r="AE6">
        <v>8</v>
      </c>
      <c r="AF6">
        <v>10</v>
      </c>
      <c r="AG6">
        <v>0</v>
      </c>
      <c r="AH6">
        <v>0</v>
      </c>
      <c r="AI6">
        <v>132</v>
      </c>
      <c r="AJ6">
        <v>0</v>
      </c>
    </row>
    <row r="7" spans="1:36" x14ac:dyDescent="0.3">
      <c r="A7" t="s">
        <v>59</v>
      </c>
      <c r="B7" s="2">
        <v>45993</v>
      </c>
      <c r="C7" t="s">
        <v>60</v>
      </c>
      <c r="D7" t="s">
        <v>61</v>
      </c>
      <c r="E7" t="s">
        <v>39</v>
      </c>
      <c r="F7" t="s">
        <v>40</v>
      </c>
      <c r="G7">
        <v>0.38550000000000001</v>
      </c>
      <c r="H7">
        <v>179</v>
      </c>
      <c r="I7">
        <v>69</v>
      </c>
      <c r="J7">
        <v>42</v>
      </c>
      <c r="K7" t="s">
        <v>41</v>
      </c>
      <c r="L7" t="s">
        <v>42</v>
      </c>
      <c r="M7">
        <v>0</v>
      </c>
      <c r="N7">
        <v>2</v>
      </c>
      <c r="O7">
        <v>14</v>
      </c>
      <c r="P7" t="s">
        <v>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14</v>
      </c>
      <c r="AF7">
        <v>10</v>
      </c>
      <c r="AG7">
        <v>0</v>
      </c>
      <c r="AH7">
        <v>0</v>
      </c>
      <c r="AI7">
        <v>42</v>
      </c>
      <c r="AJ7">
        <v>0</v>
      </c>
    </row>
    <row r="8" spans="1:36" x14ac:dyDescent="0.3">
      <c r="A8" t="s">
        <v>59</v>
      </c>
      <c r="B8" s="2">
        <v>45993</v>
      </c>
      <c r="C8" t="s">
        <v>63</v>
      </c>
      <c r="D8" t="s">
        <v>64</v>
      </c>
      <c r="E8" t="s">
        <v>65</v>
      </c>
      <c r="F8" t="s">
        <v>40</v>
      </c>
      <c r="G8">
        <v>0.29759999999999998</v>
      </c>
      <c r="H8">
        <v>168</v>
      </c>
      <c r="I8">
        <v>50</v>
      </c>
      <c r="J8">
        <v>0</v>
      </c>
      <c r="K8" t="s">
        <v>41</v>
      </c>
      <c r="L8" t="s">
        <v>66</v>
      </c>
      <c r="M8">
        <v>0</v>
      </c>
      <c r="N8">
        <v>0</v>
      </c>
      <c r="O8">
        <v>14</v>
      </c>
      <c r="P8" t="s">
        <v>67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</v>
      </c>
      <c r="AA8">
        <v>0</v>
      </c>
      <c r="AB8">
        <v>2</v>
      </c>
      <c r="AC8">
        <v>7</v>
      </c>
      <c r="AD8">
        <v>2</v>
      </c>
      <c r="AE8">
        <v>4</v>
      </c>
      <c r="AF8">
        <v>26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59</v>
      </c>
      <c r="B9" s="2">
        <v>45993</v>
      </c>
      <c r="C9" t="s">
        <v>37</v>
      </c>
      <c r="D9" t="s">
        <v>68</v>
      </c>
      <c r="E9" t="s">
        <v>39</v>
      </c>
      <c r="F9" t="s">
        <v>40</v>
      </c>
      <c r="G9">
        <v>0.65920000000000001</v>
      </c>
      <c r="H9">
        <v>179</v>
      </c>
      <c r="I9">
        <v>118</v>
      </c>
      <c r="J9">
        <v>96</v>
      </c>
      <c r="K9" t="s">
        <v>41</v>
      </c>
      <c r="L9" t="s">
        <v>42</v>
      </c>
      <c r="M9">
        <v>0</v>
      </c>
      <c r="N9">
        <v>1</v>
      </c>
      <c r="O9">
        <v>1</v>
      </c>
      <c r="P9" t="s">
        <v>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10</v>
      </c>
      <c r="AF9">
        <v>10</v>
      </c>
      <c r="AG9">
        <v>0</v>
      </c>
      <c r="AH9">
        <v>0</v>
      </c>
      <c r="AI9">
        <v>96</v>
      </c>
      <c r="AJ9">
        <v>1</v>
      </c>
    </row>
    <row r="10" spans="1:36" x14ac:dyDescent="0.3">
      <c r="A10" t="s">
        <v>59</v>
      </c>
      <c r="B10" s="2">
        <v>45993</v>
      </c>
      <c r="C10" t="s">
        <v>44</v>
      </c>
      <c r="D10" t="s">
        <v>70</v>
      </c>
      <c r="E10" t="s">
        <v>46</v>
      </c>
      <c r="F10" t="s">
        <v>40</v>
      </c>
      <c r="G10">
        <v>8.9300000000000004E-2</v>
      </c>
      <c r="H10">
        <v>168</v>
      </c>
      <c r="I10">
        <v>15</v>
      </c>
      <c r="J10">
        <v>0</v>
      </c>
      <c r="K10" t="s">
        <v>41</v>
      </c>
      <c r="L10" t="s">
        <v>42</v>
      </c>
      <c r="M10">
        <v>0</v>
      </c>
      <c r="N10">
        <v>1</v>
      </c>
      <c r="O10">
        <v>7</v>
      </c>
      <c r="P10" t="s">
        <v>71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13</v>
      </c>
      <c r="AG10">
        <v>0</v>
      </c>
      <c r="AH10">
        <v>0</v>
      </c>
      <c r="AI10">
        <v>0</v>
      </c>
      <c r="AJ10">
        <v>1</v>
      </c>
    </row>
    <row r="11" spans="1:36" x14ac:dyDescent="0.3">
      <c r="A11" t="s">
        <v>59</v>
      </c>
      <c r="B11" s="2">
        <v>45993</v>
      </c>
      <c r="C11" t="s">
        <v>72</v>
      </c>
      <c r="D11" t="s">
        <v>73</v>
      </c>
      <c r="E11" t="s">
        <v>39</v>
      </c>
      <c r="F11" t="s">
        <v>40</v>
      </c>
      <c r="G11">
        <v>0.18440000000000001</v>
      </c>
      <c r="H11">
        <v>179</v>
      </c>
      <c r="I11">
        <v>33</v>
      </c>
      <c r="J11">
        <v>0</v>
      </c>
      <c r="K11" t="s">
        <v>41</v>
      </c>
      <c r="L11" t="s">
        <v>42</v>
      </c>
      <c r="M11">
        <v>0</v>
      </c>
      <c r="N11">
        <v>4</v>
      </c>
      <c r="O11">
        <v>15</v>
      </c>
      <c r="P11" t="s">
        <v>74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30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59</v>
      </c>
      <c r="B12" s="2">
        <v>45993</v>
      </c>
      <c r="C12" t="s">
        <v>48</v>
      </c>
      <c r="D12" t="s">
        <v>75</v>
      </c>
      <c r="E12" t="s">
        <v>39</v>
      </c>
      <c r="F12" t="s">
        <v>40</v>
      </c>
      <c r="G12">
        <v>0.66479999999999995</v>
      </c>
      <c r="H12">
        <v>179</v>
      </c>
      <c r="I12">
        <v>119</v>
      </c>
      <c r="J12">
        <v>92</v>
      </c>
      <c r="K12" t="s">
        <v>41</v>
      </c>
      <c r="L12" t="s">
        <v>42</v>
      </c>
      <c r="M12">
        <v>0</v>
      </c>
      <c r="N12">
        <v>1</v>
      </c>
      <c r="O12">
        <v>11</v>
      </c>
      <c r="P12" t="s">
        <v>69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10</v>
      </c>
      <c r="AF12">
        <v>15</v>
      </c>
      <c r="AG12">
        <v>0</v>
      </c>
      <c r="AH12">
        <v>0</v>
      </c>
      <c r="AI12">
        <v>92</v>
      </c>
      <c r="AJ12">
        <v>0</v>
      </c>
    </row>
    <row r="13" spans="1:36" x14ac:dyDescent="0.3">
      <c r="A13" t="s">
        <v>59</v>
      </c>
      <c r="B13" s="2">
        <v>45993</v>
      </c>
      <c r="C13" t="s">
        <v>52</v>
      </c>
      <c r="D13" t="s">
        <v>53</v>
      </c>
      <c r="E13" t="s">
        <v>39</v>
      </c>
      <c r="F13" t="s">
        <v>40</v>
      </c>
      <c r="G13">
        <v>0.64249999999999996</v>
      </c>
      <c r="H13">
        <v>179</v>
      </c>
      <c r="I13">
        <v>115</v>
      </c>
      <c r="J13">
        <v>83</v>
      </c>
      <c r="K13" t="s">
        <v>41</v>
      </c>
      <c r="L13" t="s">
        <v>50</v>
      </c>
      <c r="M13">
        <v>0</v>
      </c>
      <c r="N13">
        <v>0</v>
      </c>
      <c r="O13">
        <v>12</v>
      </c>
      <c r="P13" t="s">
        <v>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0</v>
      </c>
      <c r="AD13">
        <v>8</v>
      </c>
      <c r="AE13">
        <v>10</v>
      </c>
      <c r="AF13">
        <v>10</v>
      </c>
      <c r="AG13">
        <v>0</v>
      </c>
      <c r="AH13">
        <v>0</v>
      </c>
      <c r="AI13">
        <v>84</v>
      </c>
      <c r="AJ13">
        <v>0</v>
      </c>
    </row>
    <row r="14" spans="1:36" x14ac:dyDescent="0.3">
      <c r="A14" t="s">
        <v>59</v>
      </c>
      <c r="B14" s="2">
        <v>45993</v>
      </c>
      <c r="C14" t="s">
        <v>55</v>
      </c>
      <c r="D14" t="s">
        <v>77</v>
      </c>
      <c r="E14" t="s">
        <v>39</v>
      </c>
      <c r="F14" t="s">
        <v>40</v>
      </c>
      <c r="G14">
        <v>0.63690000000000002</v>
      </c>
      <c r="H14">
        <v>179</v>
      </c>
      <c r="I14">
        <v>114</v>
      </c>
      <c r="J14">
        <v>90</v>
      </c>
      <c r="K14" t="s">
        <v>41</v>
      </c>
      <c r="L14" t="s">
        <v>42</v>
      </c>
      <c r="M14">
        <v>0</v>
      </c>
      <c r="N14">
        <v>2</v>
      </c>
      <c r="O14">
        <v>14</v>
      </c>
      <c r="P14" t="s">
        <v>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14</v>
      </c>
      <c r="AF14">
        <v>10</v>
      </c>
      <c r="AG14">
        <v>0</v>
      </c>
      <c r="AH14">
        <v>0</v>
      </c>
      <c r="AI14">
        <v>90</v>
      </c>
      <c r="AJ14">
        <v>0</v>
      </c>
    </row>
    <row r="15" spans="1:36" x14ac:dyDescent="0.3">
      <c r="A15" t="s">
        <v>59</v>
      </c>
      <c r="B15" s="2">
        <v>45993</v>
      </c>
      <c r="C15" t="s">
        <v>78</v>
      </c>
      <c r="D15" t="s">
        <v>79</v>
      </c>
      <c r="E15" t="s">
        <v>80</v>
      </c>
      <c r="F15" t="s">
        <v>40</v>
      </c>
      <c r="G15">
        <v>0.77980000000000005</v>
      </c>
      <c r="H15">
        <v>168</v>
      </c>
      <c r="I15">
        <v>131</v>
      </c>
      <c r="J15">
        <v>41</v>
      </c>
      <c r="K15" t="s">
        <v>41</v>
      </c>
      <c r="L15" t="s">
        <v>50</v>
      </c>
      <c r="M15">
        <v>0</v>
      </c>
      <c r="N15">
        <v>0</v>
      </c>
      <c r="O15">
        <v>57</v>
      </c>
      <c r="P15" t="s">
        <v>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  <c r="AD15">
        <v>10</v>
      </c>
      <c r="AE15">
        <v>10</v>
      </c>
      <c r="AF15">
        <v>10</v>
      </c>
      <c r="AG15">
        <v>0</v>
      </c>
      <c r="AH15">
        <v>0</v>
      </c>
      <c r="AI15">
        <v>41</v>
      </c>
      <c r="AJ15">
        <v>0</v>
      </c>
    </row>
    <row r="16" spans="1:36" x14ac:dyDescent="0.3">
      <c r="A16" t="s">
        <v>59</v>
      </c>
      <c r="B16" s="2">
        <v>45993</v>
      </c>
      <c r="C16" t="s">
        <v>82</v>
      </c>
      <c r="D16" t="s">
        <v>38</v>
      </c>
      <c r="E16" t="s">
        <v>80</v>
      </c>
      <c r="F16" t="s">
        <v>40</v>
      </c>
      <c r="G16">
        <v>1.006</v>
      </c>
      <c r="H16">
        <v>168</v>
      </c>
      <c r="I16">
        <v>169</v>
      </c>
      <c r="J16">
        <v>136</v>
      </c>
      <c r="K16" t="s">
        <v>41</v>
      </c>
      <c r="L16" t="s">
        <v>83</v>
      </c>
      <c r="M16">
        <v>0</v>
      </c>
      <c r="N16">
        <v>0</v>
      </c>
      <c r="O16">
        <v>0</v>
      </c>
      <c r="P16" t="s">
        <v>84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</v>
      </c>
      <c r="AA16">
        <v>0</v>
      </c>
      <c r="AB16">
        <v>0</v>
      </c>
      <c r="AC16">
        <v>0</v>
      </c>
      <c r="AD16">
        <v>0</v>
      </c>
      <c r="AE16">
        <v>9</v>
      </c>
      <c r="AF16">
        <v>17</v>
      </c>
      <c r="AG16">
        <v>46</v>
      </c>
      <c r="AH16">
        <v>0</v>
      </c>
      <c r="AI16">
        <v>90</v>
      </c>
      <c r="AJ16">
        <v>2</v>
      </c>
    </row>
    <row r="17" spans="1:36" x14ac:dyDescent="0.3">
      <c r="A17" t="s">
        <v>59</v>
      </c>
      <c r="B17" s="2">
        <v>45993</v>
      </c>
      <c r="C17" t="s">
        <v>85</v>
      </c>
      <c r="D17" t="s">
        <v>86</v>
      </c>
      <c r="E17" t="s">
        <v>80</v>
      </c>
      <c r="F17" t="s">
        <v>40</v>
      </c>
      <c r="G17">
        <v>0.96</v>
      </c>
      <c r="H17">
        <v>175</v>
      </c>
      <c r="I17">
        <v>168</v>
      </c>
      <c r="J17">
        <v>120</v>
      </c>
      <c r="K17" t="s">
        <v>41</v>
      </c>
      <c r="L17" t="s">
        <v>87</v>
      </c>
      <c r="M17">
        <v>0</v>
      </c>
      <c r="N17">
        <v>0</v>
      </c>
      <c r="O17">
        <v>0</v>
      </c>
      <c r="P17" t="s">
        <v>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0</v>
      </c>
      <c r="AB17">
        <v>0</v>
      </c>
      <c r="AC17">
        <v>9</v>
      </c>
      <c r="AD17">
        <v>8</v>
      </c>
      <c r="AE17">
        <v>8</v>
      </c>
      <c r="AF17">
        <v>17</v>
      </c>
      <c r="AG17">
        <v>29</v>
      </c>
      <c r="AH17">
        <v>0</v>
      </c>
      <c r="AI17">
        <v>90</v>
      </c>
      <c r="AJ17">
        <v>1</v>
      </c>
    </row>
    <row r="18" spans="1:36" x14ac:dyDescent="0.3">
      <c r="A18" t="s">
        <v>89</v>
      </c>
      <c r="B18" s="2">
        <v>45994</v>
      </c>
      <c r="C18" t="s">
        <v>37</v>
      </c>
      <c r="D18" t="s">
        <v>90</v>
      </c>
      <c r="E18" t="s">
        <v>39</v>
      </c>
      <c r="F18" t="s">
        <v>40</v>
      </c>
      <c r="G18">
        <v>0.93300000000000005</v>
      </c>
      <c r="H18">
        <v>179</v>
      </c>
      <c r="I18">
        <v>167</v>
      </c>
      <c r="J18">
        <v>150</v>
      </c>
      <c r="K18" t="s">
        <v>41</v>
      </c>
      <c r="L18" t="s">
        <v>91</v>
      </c>
      <c r="M18">
        <v>0</v>
      </c>
      <c r="N18">
        <v>0</v>
      </c>
      <c r="O18">
        <v>0</v>
      </c>
      <c r="P18" t="s">
        <v>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2</v>
      </c>
      <c r="AD18">
        <v>0</v>
      </c>
      <c r="AE18">
        <v>1</v>
      </c>
      <c r="AF18">
        <v>13</v>
      </c>
      <c r="AG18">
        <v>0</v>
      </c>
      <c r="AH18">
        <v>0</v>
      </c>
      <c r="AI18">
        <v>150</v>
      </c>
      <c r="AJ18">
        <v>0</v>
      </c>
    </row>
    <row r="19" spans="1:36" x14ac:dyDescent="0.3">
      <c r="A19" t="s">
        <v>89</v>
      </c>
      <c r="B19" s="2">
        <v>45994</v>
      </c>
      <c r="C19" t="s">
        <v>93</v>
      </c>
      <c r="D19" t="s">
        <v>94</v>
      </c>
      <c r="E19" t="s">
        <v>46</v>
      </c>
      <c r="F19" t="s">
        <v>40</v>
      </c>
      <c r="G19">
        <v>0.1429</v>
      </c>
      <c r="H19">
        <v>168</v>
      </c>
      <c r="I19">
        <v>24</v>
      </c>
      <c r="J19">
        <v>0</v>
      </c>
      <c r="K19" t="s">
        <v>41</v>
      </c>
      <c r="L19" t="s">
        <v>66</v>
      </c>
      <c r="M19">
        <v>0</v>
      </c>
      <c r="N19">
        <v>0</v>
      </c>
      <c r="O19">
        <v>12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89</v>
      </c>
      <c r="B20" s="2">
        <v>45994</v>
      </c>
      <c r="C20" t="s">
        <v>44</v>
      </c>
      <c r="D20" t="s">
        <v>45</v>
      </c>
      <c r="E20" t="s">
        <v>46</v>
      </c>
      <c r="F20" t="s">
        <v>40</v>
      </c>
      <c r="G20">
        <v>8.3299999999999999E-2</v>
      </c>
      <c r="H20">
        <v>168</v>
      </c>
      <c r="I20">
        <v>14</v>
      </c>
      <c r="J20">
        <v>0</v>
      </c>
      <c r="K20" t="s">
        <v>41</v>
      </c>
      <c r="L20" t="s">
        <v>95</v>
      </c>
      <c r="M20">
        <v>3</v>
      </c>
      <c r="N20">
        <v>5</v>
      </c>
      <c r="O20">
        <v>9</v>
      </c>
      <c r="P20" t="s">
        <v>96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12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89</v>
      </c>
      <c r="B21" s="2">
        <v>45994</v>
      </c>
      <c r="C21" t="s">
        <v>48</v>
      </c>
      <c r="D21" t="s">
        <v>97</v>
      </c>
      <c r="E21" t="s">
        <v>39</v>
      </c>
      <c r="F21" t="s">
        <v>40</v>
      </c>
      <c r="G21">
        <v>0.64249999999999996</v>
      </c>
      <c r="H21">
        <v>179</v>
      </c>
      <c r="I21">
        <v>115</v>
      </c>
      <c r="J21">
        <v>82</v>
      </c>
      <c r="K21" t="s">
        <v>41</v>
      </c>
      <c r="L21" t="s">
        <v>42</v>
      </c>
      <c r="M21">
        <v>0</v>
      </c>
      <c r="N21">
        <v>4</v>
      </c>
      <c r="O21">
        <v>12</v>
      </c>
      <c r="P21" t="s">
        <v>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0</v>
      </c>
      <c r="AB21">
        <v>0</v>
      </c>
      <c r="AC21">
        <v>0</v>
      </c>
      <c r="AD21">
        <v>9</v>
      </c>
      <c r="AE21">
        <v>10</v>
      </c>
      <c r="AF21">
        <v>10</v>
      </c>
      <c r="AG21">
        <v>0</v>
      </c>
      <c r="AH21">
        <v>0</v>
      </c>
      <c r="AI21">
        <v>82</v>
      </c>
      <c r="AJ21">
        <v>0</v>
      </c>
    </row>
    <row r="22" spans="1:36" x14ac:dyDescent="0.3">
      <c r="A22" t="s">
        <v>89</v>
      </c>
      <c r="B22" s="2">
        <v>45994</v>
      </c>
      <c r="C22" t="s">
        <v>52</v>
      </c>
      <c r="D22" t="s">
        <v>53</v>
      </c>
      <c r="E22" t="s">
        <v>39</v>
      </c>
      <c r="F22" t="s">
        <v>40</v>
      </c>
      <c r="G22">
        <v>0.64249999999999996</v>
      </c>
      <c r="H22">
        <v>179</v>
      </c>
      <c r="I22">
        <v>115</v>
      </c>
      <c r="J22">
        <v>84</v>
      </c>
      <c r="K22" t="s">
        <v>41</v>
      </c>
      <c r="L22" t="s">
        <v>66</v>
      </c>
      <c r="M22">
        <v>0</v>
      </c>
      <c r="N22">
        <v>0</v>
      </c>
      <c r="O22">
        <v>12</v>
      </c>
      <c r="P22" t="s">
        <v>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11</v>
      </c>
      <c r="AE22">
        <v>10</v>
      </c>
      <c r="AF22">
        <v>10</v>
      </c>
      <c r="AG22">
        <v>0</v>
      </c>
      <c r="AH22">
        <v>0</v>
      </c>
      <c r="AI22">
        <v>84</v>
      </c>
      <c r="AJ22">
        <v>0</v>
      </c>
    </row>
    <row r="23" spans="1:36" x14ac:dyDescent="0.3">
      <c r="A23" t="s">
        <v>100</v>
      </c>
      <c r="B23" s="2">
        <v>45995</v>
      </c>
      <c r="C23" t="s">
        <v>60</v>
      </c>
      <c r="D23" t="s">
        <v>86</v>
      </c>
      <c r="E23" t="s">
        <v>39</v>
      </c>
      <c r="F23" t="s">
        <v>40</v>
      </c>
      <c r="G23">
        <v>0.6089</v>
      </c>
      <c r="H23">
        <v>179</v>
      </c>
      <c r="I23">
        <v>109</v>
      </c>
      <c r="J23">
        <v>75</v>
      </c>
      <c r="K23" t="s">
        <v>41</v>
      </c>
      <c r="L23" t="s">
        <v>42</v>
      </c>
      <c r="M23">
        <v>0</v>
      </c>
      <c r="N23">
        <v>7</v>
      </c>
      <c r="O23">
        <v>16</v>
      </c>
      <c r="P23" t="s">
        <v>71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10</v>
      </c>
      <c r="AF23">
        <v>23</v>
      </c>
      <c r="AG23">
        <v>0</v>
      </c>
      <c r="AH23">
        <v>0</v>
      </c>
      <c r="AI23">
        <v>75</v>
      </c>
      <c r="AJ23">
        <v>0</v>
      </c>
    </row>
    <row r="24" spans="1:36" x14ac:dyDescent="0.3">
      <c r="A24" t="s">
        <v>100</v>
      </c>
      <c r="B24" s="2">
        <v>45995</v>
      </c>
      <c r="C24" t="s">
        <v>101</v>
      </c>
      <c r="D24" t="s">
        <v>102</v>
      </c>
      <c r="E24" t="s">
        <v>39</v>
      </c>
      <c r="F24" t="s">
        <v>40</v>
      </c>
      <c r="G24">
        <v>8.3799999999999999E-2</v>
      </c>
      <c r="H24">
        <v>179</v>
      </c>
      <c r="I24">
        <v>15</v>
      </c>
      <c r="J24">
        <v>0</v>
      </c>
      <c r="K24" t="s">
        <v>41</v>
      </c>
      <c r="L24" t="s">
        <v>50</v>
      </c>
      <c r="M24">
        <v>0</v>
      </c>
      <c r="N24">
        <v>0</v>
      </c>
      <c r="O24">
        <v>7</v>
      </c>
      <c r="P24" t="s">
        <v>74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15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100</v>
      </c>
      <c r="B25" s="2">
        <v>45995</v>
      </c>
      <c r="C25" t="s">
        <v>63</v>
      </c>
      <c r="D25" t="s">
        <v>45</v>
      </c>
      <c r="E25" t="s">
        <v>65</v>
      </c>
      <c r="F25" t="s">
        <v>40</v>
      </c>
      <c r="G25">
        <v>0.28570000000000001</v>
      </c>
      <c r="H25">
        <v>168</v>
      </c>
      <c r="I25">
        <v>48</v>
      </c>
      <c r="J25">
        <v>0</v>
      </c>
      <c r="K25" t="s">
        <v>41</v>
      </c>
      <c r="L25" t="s">
        <v>42</v>
      </c>
      <c r="M25">
        <v>0</v>
      </c>
      <c r="N25">
        <v>3</v>
      </c>
      <c r="O25">
        <v>11</v>
      </c>
      <c r="P25" t="s">
        <v>103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2</v>
      </c>
      <c r="AB25">
        <v>10</v>
      </c>
      <c r="AC25">
        <v>3</v>
      </c>
      <c r="AD25">
        <v>4</v>
      </c>
      <c r="AE25">
        <v>3</v>
      </c>
      <c r="AF25">
        <v>22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100</v>
      </c>
      <c r="B26" s="2">
        <v>45995</v>
      </c>
      <c r="C26" t="s">
        <v>104</v>
      </c>
      <c r="D26" t="s">
        <v>105</v>
      </c>
      <c r="E26" t="s">
        <v>39</v>
      </c>
      <c r="F26" t="s">
        <v>40</v>
      </c>
      <c r="G26">
        <v>0.36309999999999998</v>
      </c>
      <c r="H26">
        <v>179</v>
      </c>
      <c r="I26">
        <v>65</v>
      </c>
      <c r="J26">
        <v>37</v>
      </c>
      <c r="K26" t="s">
        <v>41</v>
      </c>
      <c r="L26" t="s">
        <v>66</v>
      </c>
      <c r="M26">
        <v>0</v>
      </c>
      <c r="N26">
        <v>0</v>
      </c>
      <c r="O26">
        <v>24</v>
      </c>
      <c r="P26" t="s">
        <v>106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27</v>
      </c>
      <c r="AG26">
        <v>0</v>
      </c>
      <c r="AH26">
        <v>0</v>
      </c>
      <c r="AI26">
        <v>37</v>
      </c>
      <c r="AJ26">
        <v>0</v>
      </c>
    </row>
    <row r="27" spans="1:36" x14ac:dyDescent="0.3">
      <c r="A27" t="s">
        <v>100</v>
      </c>
      <c r="B27" s="2">
        <v>45995</v>
      </c>
      <c r="C27" t="s">
        <v>93</v>
      </c>
      <c r="D27" t="s">
        <v>94</v>
      </c>
      <c r="E27" t="s">
        <v>46</v>
      </c>
      <c r="F27" t="s">
        <v>40</v>
      </c>
      <c r="G27">
        <v>0.16669999999999999</v>
      </c>
      <c r="H27">
        <v>168</v>
      </c>
      <c r="I27">
        <v>28</v>
      </c>
      <c r="J27">
        <v>0</v>
      </c>
      <c r="K27" t="s">
        <v>41</v>
      </c>
      <c r="L27" t="s">
        <v>42</v>
      </c>
      <c r="M27">
        <v>0</v>
      </c>
      <c r="N27">
        <v>4</v>
      </c>
      <c r="O27">
        <v>15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20</v>
      </c>
      <c r="AF27">
        <v>3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100</v>
      </c>
      <c r="B28" s="2">
        <v>45995</v>
      </c>
      <c r="C28" t="s">
        <v>72</v>
      </c>
      <c r="D28" t="s">
        <v>107</v>
      </c>
      <c r="E28" t="s">
        <v>39</v>
      </c>
      <c r="F28" t="s">
        <v>40</v>
      </c>
      <c r="G28">
        <v>0.1285</v>
      </c>
      <c r="H28">
        <v>179</v>
      </c>
      <c r="I28">
        <v>23</v>
      </c>
      <c r="J28">
        <v>0</v>
      </c>
      <c r="K28" t="s">
        <v>41</v>
      </c>
      <c r="L28" t="s">
        <v>66</v>
      </c>
      <c r="M28">
        <v>0</v>
      </c>
      <c r="N28">
        <v>0</v>
      </c>
      <c r="O28">
        <v>13</v>
      </c>
      <c r="P28" t="s">
        <v>108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20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100</v>
      </c>
      <c r="B29" s="2">
        <v>45995</v>
      </c>
      <c r="C29" t="s">
        <v>48</v>
      </c>
      <c r="D29" t="s">
        <v>109</v>
      </c>
      <c r="E29" t="s">
        <v>39</v>
      </c>
      <c r="F29" t="s">
        <v>40</v>
      </c>
      <c r="G29">
        <v>0.80449999999999999</v>
      </c>
      <c r="H29">
        <v>179</v>
      </c>
      <c r="I29">
        <v>144</v>
      </c>
      <c r="J29">
        <v>116</v>
      </c>
      <c r="K29" t="s">
        <v>41</v>
      </c>
      <c r="L29" t="s">
        <v>42</v>
      </c>
      <c r="M29">
        <v>0</v>
      </c>
      <c r="N29">
        <v>4</v>
      </c>
      <c r="O29">
        <v>91</v>
      </c>
      <c r="P29" t="s">
        <v>110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24</v>
      </c>
      <c r="AG29">
        <v>0</v>
      </c>
      <c r="AH29">
        <v>0</v>
      </c>
      <c r="AI29">
        <v>116</v>
      </c>
      <c r="AJ29">
        <v>0</v>
      </c>
    </row>
    <row r="30" spans="1:36" x14ac:dyDescent="0.3">
      <c r="A30" t="s">
        <v>100</v>
      </c>
      <c r="B30" s="2">
        <v>45995</v>
      </c>
      <c r="C30" t="s">
        <v>52</v>
      </c>
      <c r="D30" t="s">
        <v>111</v>
      </c>
      <c r="E30" t="s">
        <v>39</v>
      </c>
      <c r="F30" t="s">
        <v>40</v>
      </c>
      <c r="G30">
        <v>0.87150000000000005</v>
      </c>
      <c r="H30">
        <v>179</v>
      </c>
      <c r="I30">
        <v>156</v>
      </c>
      <c r="J30">
        <v>123</v>
      </c>
      <c r="K30" t="s">
        <v>41</v>
      </c>
      <c r="L30" t="s">
        <v>112</v>
      </c>
      <c r="M30">
        <v>0</v>
      </c>
      <c r="N30">
        <v>0</v>
      </c>
      <c r="O30">
        <v>48</v>
      </c>
      <c r="P30" t="s">
        <v>113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</v>
      </c>
      <c r="AA30">
        <v>0</v>
      </c>
      <c r="AB30">
        <v>0</v>
      </c>
      <c r="AC30">
        <v>0</v>
      </c>
      <c r="AD30">
        <v>5</v>
      </c>
      <c r="AE30">
        <v>10</v>
      </c>
      <c r="AF30">
        <v>10</v>
      </c>
      <c r="AG30">
        <v>34</v>
      </c>
      <c r="AH30">
        <v>0</v>
      </c>
      <c r="AI30">
        <v>89</v>
      </c>
      <c r="AJ30">
        <v>0</v>
      </c>
    </row>
    <row r="31" spans="1:36" x14ac:dyDescent="0.3">
      <c r="A31" t="s">
        <v>100</v>
      </c>
      <c r="B31" s="2">
        <v>45995</v>
      </c>
      <c r="C31" t="s">
        <v>55</v>
      </c>
      <c r="D31" t="s">
        <v>114</v>
      </c>
      <c r="E31" t="s">
        <v>39</v>
      </c>
      <c r="F31" t="s">
        <v>40</v>
      </c>
      <c r="G31">
        <v>0.78210000000000002</v>
      </c>
      <c r="H31">
        <v>179</v>
      </c>
      <c r="I31">
        <v>140</v>
      </c>
      <c r="J31">
        <v>99</v>
      </c>
      <c r="K31" t="s">
        <v>41</v>
      </c>
      <c r="L31" t="s">
        <v>42</v>
      </c>
      <c r="M31">
        <v>0</v>
      </c>
      <c r="N31">
        <v>5</v>
      </c>
      <c r="O31">
        <v>22</v>
      </c>
      <c r="P31" t="s">
        <v>115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</v>
      </c>
      <c r="AA31">
        <v>0</v>
      </c>
      <c r="AB31">
        <v>0</v>
      </c>
      <c r="AC31">
        <v>0</v>
      </c>
      <c r="AD31">
        <v>9</v>
      </c>
      <c r="AE31">
        <v>15</v>
      </c>
      <c r="AF31">
        <v>10</v>
      </c>
      <c r="AG31">
        <v>0</v>
      </c>
      <c r="AH31">
        <v>0</v>
      </c>
      <c r="AI31">
        <v>99</v>
      </c>
      <c r="AJ31">
        <v>0</v>
      </c>
    </row>
    <row r="32" spans="1:36" x14ac:dyDescent="0.3">
      <c r="A32" t="s">
        <v>100</v>
      </c>
      <c r="B32" s="2">
        <v>45995</v>
      </c>
      <c r="C32" t="s">
        <v>82</v>
      </c>
      <c r="D32" t="s">
        <v>116</v>
      </c>
      <c r="E32" t="s">
        <v>80</v>
      </c>
      <c r="F32" t="s">
        <v>40</v>
      </c>
      <c r="G32">
        <v>1.006</v>
      </c>
      <c r="H32">
        <v>168</v>
      </c>
      <c r="I32">
        <v>169</v>
      </c>
      <c r="J32">
        <v>135</v>
      </c>
      <c r="K32" t="s">
        <v>41</v>
      </c>
      <c r="L32" t="s">
        <v>50</v>
      </c>
      <c r="M32">
        <v>0</v>
      </c>
      <c r="N32">
        <v>0</v>
      </c>
      <c r="O32">
        <v>1</v>
      </c>
      <c r="P32" t="s">
        <v>84</v>
      </c>
      <c r="Q32">
        <v>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0</v>
      </c>
      <c r="AB32">
        <v>0</v>
      </c>
      <c r="AC32">
        <v>0</v>
      </c>
      <c r="AD32">
        <v>1</v>
      </c>
      <c r="AE32">
        <v>9</v>
      </c>
      <c r="AF32">
        <v>17</v>
      </c>
      <c r="AG32">
        <v>0</v>
      </c>
      <c r="AH32">
        <v>0</v>
      </c>
      <c r="AI32">
        <v>135</v>
      </c>
      <c r="AJ32">
        <v>0</v>
      </c>
    </row>
    <row r="33" spans="1:36" x14ac:dyDescent="0.3">
      <c r="A33" t="s">
        <v>117</v>
      </c>
      <c r="B33" s="2">
        <v>45996</v>
      </c>
      <c r="C33" t="s">
        <v>60</v>
      </c>
      <c r="D33" t="s">
        <v>107</v>
      </c>
      <c r="E33" t="s">
        <v>39</v>
      </c>
      <c r="F33" t="s">
        <v>40</v>
      </c>
      <c r="G33">
        <v>0.16200000000000001</v>
      </c>
      <c r="H33">
        <v>179</v>
      </c>
      <c r="I33">
        <v>29</v>
      </c>
      <c r="J33">
        <v>0</v>
      </c>
      <c r="K33" t="s">
        <v>41</v>
      </c>
      <c r="L33" t="s">
        <v>42</v>
      </c>
      <c r="M33">
        <v>0</v>
      </c>
      <c r="N33">
        <v>1</v>
      </c>
      <c r="O33">
        <v>19</v>
      </c>
      <c r="P33" t="s">
        <v>118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10</v>
      </c>
      <c r="AF33">
        <v>18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117</v>
      </c>
      <c r="B34" s="2">
        <v>45996</v>
      </c>
      <c r="C34" t="s">
        <v>63</v>
      </c>
      <c r="D34" t="s">
        <v>119</v>
      </c>
      <c r="E34" t="s">
        <v>65</v>
      </c>
      <c r="F34" t="s">
        <v>40</v>
      </c>
      <c r="G34">
        <v>0.33929999999999999</v>
      </c>
      <c r="H34">
        <v>168</v>
      </c>
      <c r="I34">
        <v>57</v>
      </c>
      <c r="J34">
        <v>0</v>
      </c>
      <c r="K34" t="s">
        <v>41</v>
      </c>
      <c r="L34" t="s">
        <v>66</v>
      </c>
      <c r="M34">
        <v>0</v>
      </c>
      <c r="N34">
        <v>0</v>
      </c>
      <c r="O34">
        <v>9</v>
      </c>
      <c r="P34" t="s">
        <v>110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</v>
      </c>
      <c r="AA34">
        <v>0</v>
      </c>
      <c r="AB34">
        <v>1</v>
      </c>
      <c r="AC34">
        <v>8</v>
      </c>
      <c r="AD34">
        <v>10</v>
      </c>
      <c r="AE34">
        <v>7</v>
      </c>
      <c r="AF34">
        <v>25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117</v>
      </c>
      <c r="B35" s="2">
        <v>45996</v>
      </c>
      <c r="C35" t="s">
        <v>37</v>
      </c>
      <c r="D35" t="s">
        <v>120</v>
      </c>
      <c r="E35" t="s">
        <v>39</v>
      </c>
      <c r="F35" t="s">
        <v>40</v>
      </c>
      <c r="G35">
        <v>0.91620000000000001</v>
      </c>
      <c r="H35">
        <v>179</v>
      </c>
      <c r="I35">
        <v>164</v>
      </c>
      <c r="J35">
        <v>140</v>
      </c>
      <c r="K35" t="s">
        <v>41</v>
      </c>
      <c r="L35" t="s">
        <v>121</v>
      </c>
      <c r="M35">
        <v>0</v>
      </c>
      <c r="N35">
        <v>0</v>
      </c>
      <c r="O35">
        <v>0</v>
      </c>
      <c r="P35" t="s">
        <v>122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9</v>
      </c>
      <c r="AF35">
        <v>10</v>
      </c>
      <c r="AG35">
        <v>0</v>
      </c>
      <c r="AH35">
        <v>0</v>
      </c>
      <c r="AI35">
        <v>140</v>
      </c>
      <c r="AJ35">
        <v>0</v>
      </c>
    </row>
    <row r="36" spans="1:36" x14ac:dyDescent="0.3">
      <c r="A36" t="s">
        <v>117</v>
      </c>
      <c r="B36" s="2">
        <v>45996</v>
      </c>
      <c r="C36" t="s">
        <v>93</v>
      </c>
      <c r="D36" t="s">
        <v>123</v>
      </c>
      <c r="E36" t="s">
        <v>46</v>
      </c>
      <c r="F36" t="s">
        <v>40</v>
      </c>
      <c r="G36">
        <v>0.15479999999999999</v>
      </c>
      <c r="H36">
        <v>168</v>
      </c>
      <c r="I36">
        <v>26</v>
      </c>
      <c r="J36">
        <v>0</v>
      </c>
      <c r="K36" t="s">
        <v>41</v>
      </c>
      <c r="L36" t="s">
        <v>66</v>
      </c>
      <c r="M36">
        <v>0</v>
      </c>
      <c r="N36">
        <v>0</v>
      </c>
      <c r="O36">
        <v>13</v>
      </c>
      <c r="P36" t="s">
        <v>47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7</v>
      </c>
      <c r="AF36">
        <v>17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117</v>
      </c>
      <c r="B37" s="2">
        <v>45996</v>
      </c>
      <c r="C37" t="s">
        <v>44</v>
      </c>
      <c r="D37" t="s">
        <v>45</v>
      </c>
      <c r="E37" t="s">
        <v>46</v>
      </c>
      <c r="F37" t="s">
        <v>40</v>
      </c>
      <c r="G37">
        <v>0.17860000000000001</v>
      </c>
      <c r="H37">
        <v>168</v>
      </c>
      <c r="I37">
        <v>30</v>
      </c>
      <c r="J37">
        <v>0</v>
      </c>
      <c r="K37" t="s">
        <v>41</v>
      </c>
      <c r="L37" t="s">
        <v>50</v>
      </c>
      <c r="M37">
        <v>0</v>
      </c>
      <c r="N37">
        <v>0</v>
      </c>
      <c r="O37">
        <v>25</v>
      </c>
      <c r="P37" t="s">
        <v>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13</v>
      </c>
      <c r="AF37">
        <v>17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117</v>
      </c>
      <c r="B38" s="2">
        <v>45996</v>
      </c>
      <c r="C38" t="s">
        <v>72</v>
      </c>
      <c r="D38" t="s">
        <v>124</v>
      </c>
      <c r="E38" t="s">
        <v>39</v>
      </c>
      <c r="F38" t="s">
        <v>40</v>
      </c>
      <c r="G38">
        <v>0.49159999999999998</v>
      </c>
      <c r="H38">
        <v>179</v>
      </c>
      <c r="I38">
        <v>88</v>
      </c>
      <c r="J38">
        <v>45</v>
      </c>
      <c r="K38" t="s">
        <v>41</v>
      </c>
      <c r="L38" t="s">
        <v>42</v>
      </c>
      <c r="M38">
        <v>0</v>
      </c>
      <c r="N38">
        <v>2</v>
      </c>
      <c r="O38">
        <v>61</v>
      </c>
      <c r="P38" t="s">
        <v>43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1</v>
      </c>
      <c r="AD38">
        <v>20</v>
      </c>
      <c r="AE38">
        <v>8</v>
      </c>
      <c r="AF38">
        <v>12</v>
      </c>
      <c r="AG38">
        <v>0</v>
      </c>
      <c r="AH38">
        <v>0</v>
      </c>
      <c r="AI38">
        <v>45</v>
      </c>
      <c r="AJ38">
        <v>0</v>
      </c>
    </row>
    <row r="39" spans="1:36" x14ac:dyDescent="0.3">
      <c r="A39" t="s">
        <v>117</v>
      </c>
      <c r="B39" s="2">
        <v>45996</v>
      </c>
      <c r="C39" t="s">
        <v>48</v>
      </c>
      <c r="D39" t="s">
        <v>125</v>
      </c>
      <c r="E39" t="s">
        <v>39</v>
      </c>
      <c r="F39" t="s">
        <v>40</v>
      </c>
      <c r="G39">
        <v>0.1173</v>
      </c>
      <c r="H39">
        <v>179</v>
      </c>
      <c r="I39">
        <v>21</v>
      </c>
      <c r="J39">
        <v>0</v>
      </c>
      <c r="K39" t="s">
        <v>41</v>
      </c>
      <c r="L39" t="s">
        <v>50</v>
      </c>
      <c r="M39">
        <v>0</v>
      </c>
      <c r="N39">
        <v>0</v>
      </c>
      <c r="O39">
        <v>1</v>
      </c>
      <c r="P39" t="s">
        <v>74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11</v>
      </c>
      <c r="AF39">
        <v>10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117</v>
      </c>
      <c r="B40" s="2">
        <v>45996</v>
      </c>
      <c r="C40" t="s">
        <v>52</v>
      </c>
      <c r="D40" t="s">
        <v>126</v>
      </c>
      <c r="E40" t="s">
        <v>39</v>
      </c>
      <c r="F40" t="s">
        <v>40</v>
      </c>
      <c r="G40">
        <v>0.16200000000000001</v>
      </c>
      <c r="H40">
        <v>179</v>
      </c>
      <c r="I40">
        <v>29</v>
      </c>
      <c r="J40">
        <v>0</v>
      </c>
      <c r="K40" t="s">
        <v>41</v>
      </c>
      <c r="L40" t="s">
        <v>42</v>
      </c>
      <c r="M40">
        <v>0</v>
      </c>
      <c r="N40">
        <v>3</v>
      </c>
      <c r="O40">
        <v>11</v>
      </c>
      <c r="P40" t="s">
        <v>62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19</v>
      </c>
      <c r="AF40">
        <v>10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117</v>
      </c>
      <c r="B41" s="2">
        <v>45996</v>
      </c>
      <c r="C41" t="s">
        <v>55</v>
      </c>
      <c r="D41" t="s">
        <v>53</v>
      </c>
      <c r="E41" t="s">
        <v>39</v>
      </c>
      <c r="F41" t="s">
        <v>40</v>
      </c>
      <c r="G41">
        <v>0.3911</v>
      </c>
      <c r="H41">
        <v>179</v>
      </c>
      <c r="I41">
        <v>70</v>
      </c>
      <c r="J41">
        <v>45</v>
      </c>
      <c r="K41" t="s">
        <v>41</v>
      </c>
      <c r="L41" t="s">
        <v>127</v>
      </c>
      <c r="M41">
        <v>0</v>
      </c>
      <c r="N41">
        <v>0</v>
      </c>
      <c r="O41">
        <v>0</v>
      </c>
      <c r="P41" t="s">
        <v>69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10</v>
      </c>
      <c r="AF41">
        <v>10</v>
      </c>
      <c r="AG41">
        <v>0</v>
      </c>
      <c r="AH41">
        <v>0</v>
      </c>
      <c r="AI41">
        <v>46</v>
      </c>
      <c r="AJ41">
        <v>0</v>
      </c>
    </row>
    <row r="42" spans="1:36" x14ac:dyDescent="0.3">
      <c r="A42" t="s">
        <v>128</v>
      </c>
      <c r="B42" s="2">
        <v>45997</v>
      </c>
      <c r="C42" t="s">
        <v>63</v>
      </c>
      <c r="D42" t="s">
        <v>45</v>
      </c>
      <c r="E42" t="s">
        <v>65</v>
      </c>
      <c r="F42" t="s">
        <v>40</v>
      </c>
      <c r="G42">
        <v>0.125</v>
      </c>
      <c r="H42">
        <v>168</v>
      </c>
      <c r="I42">
        <v>21</v>
      </c>
      <c r="J42">
        <v>0</v>
      </c>
      <c r="K42" t="s">
        <v>41</v>
      </c>
      <c r="L42" t="s">
        <v>66</v>
      </c>
      <c r="M42">
        <v>0</v>
      </c>
      <c r="N42">
        <v>0</v>
      </c>
      <c r="O42">
        <v>1</v>
      </c>
      <c r="P42" t="s">
        <v>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8</v>
      </c>
      <c r="AE42">
        <v>2</v>
      </c>
      <c r="AF42">
        <v>10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128</v>
      </c>
      <c r="B43" s="2">
        <v>45997</v>
      </c>
      <c r="C43" t="s">
        <v>104</v>
      </c>
      <c r="D43" t="s">
        <v>129</v>
      </c>
      <c r="E43" t="s">
        <v>39</v>
      </c>
      <c r="F43" t="s">
        <v>40</v>
      </c>
      <c r="G43">
        <v>0.35749999999999998</v>
      </c>
      <c r="H43">
        <v>179</v>
      </c>
      <c r="I43">
        <v>64</v>
      </c>
      <c r="J43">
        <v>29</v>
      </c>
      <c r="K43" t="s">
        <v>41</v>
      </c>
      <c r="L43" t="s">
        <v>42</v>
      </c>
      <c r="M43">
        <v>0</v>
      </c>
      <c r="N43">
        <v>5</v>
      </c>
      <c r="O43">
        <v>15</v>
      </c>
      <c r="P43" t="s">
        <v>69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2</v>
      </c>
      <c r="AE43">
        <v>20</v>
      </c>
      <c r="AF43">
        <v>10</v>
      </c>
      <c r="AG43">
        <v>0</v>
      </c>
      <c r="AH43">
        <v>0</v>
      </c>
      <c r="AI43">
        <v>29</v>
      </c>
      <c r="AJ43">
        <v>0</v>
      </c>
    </row>
    <row r="44" spans="1:36" x14ac:dyDescent="0.3">
      <c r="A44" t="s">
        <v>128</v>
      </c>
      <c r="B44" s="2">
        <v>45997</v>
      </c>
      <c r="C44" t="s">
        <v>93</v>
      </c>
      <c r="D44" t="s">
        <v>94</v>
      </c>
      <c r="E44" t="s">
        <v>46</v>
      </c>
      <c r="F44" t="s">
        <v>40</v>
      </c>
      <c r="G44">
        <v>7.7399999999999997E-2</v>
      </c>
      <c r="H44">
        <v>168</v>
      </c>
      <c r="I44">
        <v>13</v>
      </c>
      <c r="J44">
        <v>0</v>
      </c>
      <c r="K44" t="s">
        <v>41</v>
      </c>
      <c r="L44" t="s">
        <v>42</v>
      </c>
      <c r="M44">
        <v>0</v>
      </c>
      <c r="N44">
        <v>2</v>
      </c>
      <c r="O44">
        <v>4</v>
      </c>
      <c r="P44" t="s">
        <v>47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12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128</v>
      </c>
      <c r="B45" s="2">
        <v>45997</v>
      </c>
      <c r="C45" t="s">
        <v>48</v>
      </c>
      <c r="D45" t="s">
        <v>109</v>
      </c>
      <c r="E45" t="s">
        <v>39</v>
      </c>
      <c r="F45" t="s">
        <v>40</v>
      </c>
      <c r="G45">
        <v>0.8659</v>
      </c>
      <c r="H45">
        <v>179</v>
      </c>
      <c r="I45">
        <v>155</v>
      </c>
      <c r="J45">
        <v>113</v>
      </c>
      <c r="K45" t="s">
        <v>41</v>
      </c>
      <c r="L45" t="s">
        <v>42</v>
      </c>
      <c r="M45">
        <v>0</v>
      </c>
      <c r="N45">
        <v>1</v>
      </c>
      <c r="O45">
        <v>46</v>
      </c>
      <c r="P45" t="s">
        <v>98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1</v>
      </c>
      <c r="AD45">
        <v>9</v>
      </c>
      <c r="AE45">
        <v>20</v>
      </c>
      <c r="AF45">
        <v>10</v>
      </c>
      <c r="AG45">
        <v>0</v>
      </c>
      <c r="AH45">
        <v>0</v>
      </c>
      <c r="AI45">
        <v>113</v>
      </c>
      <c r="AJ45">
        <v>0</v>
      </c>
    </row>
    <row r="46" spans="1:36" x14ac:dyDescent="0.3">
      <c r="A46" t="s">
        <v>128</v>
      </c>
      <c r="B46" s="2">
        <v>45997</v>
      </c>
      <c r="C46" t="s">
        <v>52</v>
      </c>
      <c r="D46" t="s">
        <v>130</v>
      </c>
      <c r="E46" t="s">
        <v>39</v>
      </c>
      <c r="F46" t="s">
        <v>40</v>
      </c>
      <c r="G46">
        <v>1.0223</v>
      </c>
      <c r="H46">
        <v>179</v>
      </c>
      <c r="I46">
        <v>183</v>
      </c>
      <c r="J46">
        <v>178</v>
      </c>
      <c r="K46" t="s">
        <v>41</v>
      </c>
      <c r="L46" t="s">
        <v>131</v>
      </c>
      <c r="M46">
        <v>0</v>
      </c>
      <c r="N46">
        <v>0</v>
      </c>
      <c r="O46">
        <v>46</v>
      </c>
      <c r="P46" t="s">
        <v>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5</v>
      </c>
      <c r="AG46">
        <v>45</v>
      </c>
      <c r="AH46">
        <v>0</v>
      </c>
      <c r="AI46">
        <v>130</v>
      </c>
      <c r="AJ46">
        <v>3</v>
      </c>
    </row>
    <row r="47" spans="1:36" x14ac:dyDescent="0.3">
      <c r="A47" t="s">
        <v>128</v>
      </c>
      <c r="B47" s="2">
        <v>45997</v>
      </c>
      <c r="C47" t="s">
        <v>82</v>
      </c>
      <c r="D47" t="s">
        <v>132</v>
      </c>
      <c r="E47" t="s">
        <v>80</v>
      </c>
      <c r="F47" t="s">
        <v>40</v>
      </c>
      <c r="G47">
        <v>1.0417000000000001</v>
      </c>
      <c r="H47">
        <v>168</v>
      </c>
      <c r="I47">
        <v>175</v>
      </c>
      <c r="J47">
        <v>137</v>
      </c>
      <c r="K47" t="s">
        <v>41</v>
      </c>
      <c r="L47" t="s">
        <v>112</v>
      </c>
      <c r="M47">
        <v>0</v>
      </c>
      <c r="N47">
        <v>0</v>
      </c>
      <c r="O47">
        <v>8</v>
      </c>
      <c r="P47" t="s">
        <v>84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8</v>
      </c>
      <c r="AE47">
        <v>9</v>
      </c>
      <c r="AF47">
        <v>17</v>
      </c>
      <c r="AG47">
        <v>0</v>
      </c>
      <c r="AH47">
        <v>0</v>
      </c>
      <c r="AI47">
        <v>137</v>
      </c>
      <c r="AJ47">
        <v>2</v>
      </c>
    </row>
    <row r="48" spans="1:36" x14ac:dyDescent="0.3">
      <c r="A48" t="s">
        <v>133</v>
      </c>
      <c r="B48" s="2">
        <v>45998</v>
      </c>
      <c r="C48" t="s">
        <v>60</v>
      </c>
      <c r="D48" t="s">
        <v>134</v>
      </c>
      <c r="E48" t="s">
        <v>39</v>
      </c>
      <c r="F48" t="s">
        <v>40</v>
      </c>
      <c r="G48">
        <v>0.49719999999999998</v>
      </c>
      <c r="H48">
        <v>179</v>
      </c>
      <c r="I48">
        <v>89</v>
      </c>
      <c r="J48">
        <v>61</v>
      </c>
      <c r="K48" t="s">
        <v>41</v>
      </c>
      <c r="L48" t="s">
        <v>42</v>
      </c>
      <c r="M48">
        <v>0</v>
      </c>
      <c r="N48">
        <v>2</v>
      </c>
      <c r="O48">
        <v>9</v>
      </c>
      <c r="P48" t="s">
        <v>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</v>
      </c>
      <c r="AD48">
        <v>1</v>
      </c>
      <c r="AE48">
        <v>10</v>
      </c>
      <c r="AF48">
        <v>10</v>
      </c>
      <c r="AG48">
        <v>25</v>
      </c>
      <c r="AH48">
        <v>0</v>
      </c>
      <c r="AI48">
        <v>36</v>
      </c>
      <c r="AJ48">
        <v>0</v>
      </c>
    </row>
    <row r="49" spans="1:36" x14ac:dyDescent="0.3">
      <c r="A49" t="s">
        <v>133</v>
      </c>
      <c r="B49" s="2">
        <v>45998</v>
      </c>
      <c r="C49" t="s">
        <v>101</v>
      </c>
      <c r="D49" t="s">
        <v>109</v>
      </c>
      <c r="E49" t="s">
        <v>39</v>
      </c>
      <c r="F49" t="s">
        <v>40</v>
      </c>
      <c r="G49">
        <v>0.16669999999999999</v>
      </c>
      <c r="H49">
        <v>168</v>
      </c>
      <c r="I49">
        <v>28</v>
      </c>
      <c r="J49">
        <v>0</v>
      </c>
      <c r="K49" t="s">
        <v>41</v>
      </c>
      <c r="L49" t="s">
        <v>42</v>
      </c>
      <c r="M49">
        <v>0</v>
      </c>
      <c r="N49">
        <v>1</v>
      </c>
      <c r="O49">
        <v>18</v>
      </c>
      <c r="P49" t="s">
        <v>62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9</v>
      </c>
      <c r="AA49">
        <v>0</v>
      </c>
      <c r="AB49">
        <v>0</v>
      </c>
      <c r="AC49">
        <v>0</v>
      </c>
      <c r="AD49">
        <v>0</v>
      </c>
      <c r="AE49">
        <v>9</v>
      </c>
      <c r="AF49">
        <v>10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133</v>
      </c>
      <c r="B50" s="2">
        <v>45998</v>
      </c>
      <c r="C50" t="s">
        <v>37</v>
      </c>
      <c r="D50" t="s">
        <v>135</v>
      </c>
      <c r="E50" t="s">
        <v>39</v>
      </c>
      <c r="F50" t="s">
        <v>40</v>
      </c>
      <c r="G50">
        <v>0.86029999999999995</v>
      </c>
      <c r="H50">
        <v>179</v>
      </c>
      <c r="I50">
        <v>154</v>
      </c>
      <c r="J50">
        <v>130</v>
      </c>
      <c r="K50" t="s">
        <v>41</v>
      </c>
      <c r="L50" t="s">
        <v>42</v>
      </c>
      <c r="M50">
        <v>0</v>
      </c>
      <c r="N50">
        <v>1</v>
      </c>
      <c r="O50">
        <v>38</v>
      </c>
      <c r="P50" t="s">
        <v>136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0</v>
      </c>
      <c r="AC50">
        <v>0</v>
      </c>
      <c r="AD50">
        <v>3</v>
      </c>
      <c r="AE50">
        <v>9</v>
      </c>
      <c r="AF50">
        <v>9</v>
      </c>
      <c r="AG50">
        <v>0</v>
      </c>
      <c r="AH50">
        <v>0</v>
      </c>
      <c r="AI50">
        <v>130</v>
      </c>
      <c r="AJ50">
        <v>0</v>
      </c>
    </row>
    <row r="51" spans="1:36" x14ac:dyDescent="0.3">
      <c r="A51" t="s">
        <v>133</v>
      </c>
      <c r="B51" s="2">
        <v>45998</v>
      </c>
      <c r="C51" t="s">
        <v>93</v>
      </c>
      <c r="D51" t="s">
        <v>137</v>
      </c>
      <c r="E51" t="s">
        <v>46</v>
      </c>
      <c r="F51" t="s">
        <v>40</v>
      </c>
      <c r="G51">
        <v>4.1700000000000001E-2</v>
      </c>
      <c r="H51">
        <v>168</v>
      </c>
      <c r="I51">
        <v>7</v>
      </c>
      <c r="J51">
        <v>0</v>
      </c>
      <c r="K51" t="s">
        <v>41</v>
      </c>
      <c r="L51" t="s">
        <v>112</v>
      </c>
      <c r="M51">
        <v>0</v>
      </c>
      <c r="N51">
        <v>0</v>
      </c>
      <c r="O51">
        <v>1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6</v>
      </c>
      <c r="AG51">
        <v>0</v>
      </c>
      <c r="AH51">
        <v>0</v>
      </c>
      <c r="AI51">
        <v>0</v>
      </c>
      <c r="AJ51">
        <v>0</v>
      </c>
    </row>
    <row r="52" spans="1:36" x14ac:dyDescent="0.3">
      <c r="A52" t="s">
        <v>133</v>
      </c>
      <c r="B52" s="2">
        <v>45998</v>
      </c>
      <c r="C52" t="s">
        <v>48</v>
      </c>
      <c r="D52" t="s">
        <v>125</v>
      </c>
      <c r="E52" t="s">
        <v>39</v>
      </c>
      <c r="F52" t="s">
        <v>40</v>
      </c>
      <c r="G52">
        <v>0.1676</v>
      </c>
      <c r="H52">
        <v>179</v>
      </c>
      <c r="I52">
        <v>30</v>
      </c>
      <c r="J52">
        <v>0</v>
      </c>
      <c r="K52" t="s">
        <v>41</v>
      </c>
      <c r="L52" t="s">
        <v>42</v>
      </c>
      <c r="M52">
        <v>0</v>
      </c>
      <c r="N52">
        <v>2</v>
      </c>
      <c r="O52">
        <v>20</v>
      </c>
      <c r="P52" t="s">
        <v>69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10</v>
      </c>
      <c r="AF52">
        <v>20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133</v>
      </c>
      <c r="B53" s="2">
        <v>45998</v>
      </c>
      <c r="C53" t="s">
        <v>52</v>
      </c>
      <c r="D53" t="s">
        <v>138</v>
      </c>
      <c r="E53" t="s">
        <v>39</v>
      </c>
      <c r="F53" t="s">
        <v>40</v>
      </c>
      <c r="G53">
        <v>0.96650000000000003</v>
      </c>
      <c r="H53">
        <v>179</v>
      </c>
      <c r="I53">
        <v>173</v>
      </c>
      <c r="J53">
        <v>155</v>
      </c>
      <c r="K53" t="s">
        <v>41</v>
      </c>
      <c r="L53" t="s">
        <v>42</v>
      </c>
      <c r="M53">
        <v>0</v>
      </c>
      <c r="N53">
        <v>3</v>
      </c>
      <c r="O53">
        <v>3</v>
      </c>
      <c r="P53" t="s">
        <v>139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8</v>
      </c>
      <c r="AF53">
        <v>10</v>
      </c>
      <c r="AG53">
        <v>0</v>
      </c>
      <c r="AH53">
        <v>0</v>
      </c>
      <c r="AI53">
        <v>155</v>
      </c>
      <c r="AJ53">
        <v>0</v>
      </c>
    </row>
    <row r="54" spans="1:36" x14ac:dyDescent="0.3">
      <c r="A54" t="s">
        <v>133</v>
      </c>
      <c r="B54" s="2">
        <v>45998</v>
      </c>
      <c r="C54" t="s">
        <v>82</v>
      </c>
      <c r="D54" t="s">
        <v>140</v>
      </c>
      <c r="E54" t="s">
        <v>80</v>
      </c>
      <c r="F54" t="s">
        <v>40</v>
      </c>
      <c r="G54">
        <v>1.0595000000000001</v>
      </c>
      <c r="H54">
        <v>168</v>
      </c>
      <c r="I54">
        <v>178</v>
      </c>
      <c r="J54">
        <v>145</v>
      </c>
      <c r="K54" t="s">
        <v>41</v>
      </c>
      <c r="L54" t="s">
        <v>112</v>
      </c>
      <c r="M54">
        <v>0</v>
      </c>
      <c r="N54">
        <v>0</v>
      </c>
      <c r="O54">
        <v>11</v>
      </c>
      <c r="P54" t="s">
        <v>84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4</v>
      </c>
      <c r="AA54">
        <v>4</v>
      </c>
      <c r="AB54">
        <v>4</v>
      </c>
      <c r="AC54">
        <v>4</v>
      </c>
      <c r="AD54">
        <v>6</v>
      </c>
      <c r="AE54">
        <v>4</v>
      </c>
      <c r="AF54">
        <v>4</v>
      </c>
      <c r="AG54">
        <v>0</v>
      </c>
      <c r="AH54">
        <v>0</v>
      </c>
      <c r="AI54">
        <v>145</v>
      </c>
      <c r="AJ54">
        <v>0</v>
      </c>
    </row>
    <row r="55" spans="1:36" x14ac:dyDescent="0.3">
      <c r="A55" t="s">
        <v>36</v>
      </c>
      <c r="B55" s="2">
        <v>45999</v>
      </c>
      <c r="C55" t="s">
        <v>37</v>
      </c>
      <c r="D55" t="s">
        <v>38</v>
      </c>
      <c r="E55" t="s">
        <v>39</v>
      </c>
      <c r="F55" t="s">
        <v>40</v>
      </c>
      <c r="G55">
        <v>0.89390000000000003</v>
      </c>
      <c r="H55">
        <v>179</v>
      </c>
      <c r="I55">
        <v>160</v>
      </c>
      <c r="J55">
        <v>136</v>
      </c>
      <c r="K55" t="s">
        <v>41</v>
      </c>
      <c r="L55" t="s">
        <v>42</v>
      </c>
      <c r="M55">
        <v>0</v>
      </c>
      <c r="N55">
        <v>3</v>
      </c>
      <c r="O55">
        <v>15</v>
      </c>
      <c r="P55" t="s">
        <v>141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10</v>
      </c>
      <c r="AF55">
        <v>13</v>
      </c>
      <c r="AG55">
        <v>0</v>
      </c>
      <c r="AH55">
        <v>0</v>
      </c>
      <c r="AI55">
        <v>136</v>
      </c>
      <c r="AJ55">
        <v>0</v>
      </c>
    </row>
    <row r="56" spans="1:36" x14ac:dyDescent="0.3">
      <c r="A56" t="s">
        <v>36</v>
      </c>
      <c r="B56" s="2">
        <v>45999</v>
      </c>
      <c r="C56" t="s">
        <v>44</v>
      </c>
      <c r="D56" t="s">
        <v>45</v>
      </c>
      <c r="E56" t="s">
        <v>46</v>
      </c>
      <c r="F56" t="s">
        <v>40</v>
      </c>
      <c r="G56">
        <v>8.9300000000000004E-2</v>
      </c>
      <c r="H56">
        <v>168</v>
      </c>
      <c r="I56">
        <v>15</v>
      </c>
      <c r="J56">
        <v>0</v>
      </c>
      <c r="K56" t="s">
        <v>41</v>
      </c>
      <c r="L56" t="s">
        <v>112</v>
      </c>
      <c r="M56">
        <v>0</v>
      </c>
      <c r="N56">
        <v>0</v>
      </c>
      <c r="O56">
        <v>2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4</v>
      </c>
      <c r="AE56">
        <v>1</v>
      </c>
      <c r="AF56">
        <v>9</v>
      </c>
      <c r="AG56">
        <v>0</v>
      </c>
      <c r="AH56">
        <v>0</v>
      </c>
      <c r="AI56">
        <v>0</v>
      </c>
      <c r="AJ56">
        <v>0</v>
      </c>
    </row>
    <row r="57" spans="1:36" x14ac:dyDescent="0.3">
      <c r="A57" t="s">
        <v>36</v>
      </c>
      <c r="B57" s="2">
        <v>45999</v>
      </c>
      <c r="C57" t="s">
        <v>48</v>
      </c>
      <c r="D57" t="s">
        <v>49</v>
      </c>
      <c r="E57" t="s">
        <v>39</v>
      </c>
      <c r="F57" t="s">
        <v>40</v>
      </c>
      <c r="G57">
        <v>0.88270000000000004</v>
      </c>
      <c r="H57">
        <v>179</v>
      </c>
      <c r="I57">
        <v>158</v>
      </c>
      <c r="J57">
        <v>134</v>
      </c>
      <c r="K57" t="s">
        <v>41</v>
      </c>
      <c r="L57" t="s">
        <v>42</v>
      </c>
      <c r="M57">
        <v>0</v>
      </c>
      <c r="N57">
        <v>3</v>
      </c>
      <c r="O57">
        <v>13</v>
      </c>
      <c r="P57" t="s">
        <v>142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3</v>
      </c>
      <c r="AE57">
        <v>10</v>
      </c>
      <c r="AF57">
        <v>10</v>
      </c>
      <c r="AG57">
        <v>0</v>
      </c>
      <c r="AH57">
        <v>0</v>
      </c>
      <c r="AI57">
        <v>134</v>
      </c>
      <c r="AJ57">
        <v>0</v>
      </c>
    </row>
    <row r="58" spans="1:36" x14ac:dyDescent="0.3">
      <c r="A58" t="s">
        <v>36</v>
      </c>
      <c r="B58" s="2">
        <v>45999</v>
      </c>
      <c r="C58" t="s">
        <v>52</v>
      </c>
      <c r="D58" t="s">
        <v>53</v>
      </c>
      <c r="E58" t="s">
        <v>39</v>
      </c>
      <c r="F58" t="s">
        <v>40</v>
      </c>
      <c r="G58">
        <v>0.80449999999999999</v>
      </c>
      <c r="H58">
        <v>179</v>
      </c>
      <c r="I58">
        <v>144</v>
      </c>
      <c r="J58">
        <v>120</v>
      </c>
      <c r="K58" t="s">
        <v>41</v>
      </c>
      <c r="L58" t="s">
        <v>42</v>
      </c>
      <c r="M58">
        <v>0</v>
      </c>
      <c r="N58">
        <v>3</v>
      </c>
      <c r="O58">
        <v>6</v>
      </c>
      <c r="P58" t="s">
        <v>142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</v>
      </c>
      <c r="AE58">
        <v>10</v>
      </c>
      <c r="AF58">
        <v>10</v>
      </c>
      <c r="AG58">
        <v>0</v>
      </c>
      <c r="AH58">
        <v>0</v>
      </c>
      <c r="AI58">
        <v>120</v>
      </c>
      <c r="AJ58">
        <v>0</v>
      </c>
    </row>
    <row r="59" spans="1:36" x14ac:dyDescent="0.3">
      <c r="A59" t="s">
        <v>36</v>
      </c>
      <c r="B59" s="2">
        <v>45999</v>
      </c>
      <c r="C59" t="s">
        <v>55</v>
      </c>
      <c r="D59" t="s">
        <v>56</v>
      </c>
      <c r="E59" t="s">
        <v>39</v>
      </c>
      <c r="F59" t="s">
        <v>40</v>
      </c>
      <c r="G59">
        <v>0.86029999999999995</v>
      </c>
      <c r="H59">
        <v>179</v>
      </c>
      <c r="I59">
        <v>154</v>
      </c>
      <c r="J59">
        <v>133</v>
      </c>
      <c r="K59" t="s">
        <v>41</v>
      </c>
      <c r="L59" t="s">
        <v>66</v>
      </c>
      <c r="M59">
        <v>0</v>
      </c>
      <c r="N59">
        <v>0</v>
      </c>
      <c r="O59">
        <v>10</v>
      </c>
      <c r="P59" t="s">
        <v>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10</v>
      </c>
      <c r="AF59">
        <v>10</v>
      </c>
      <c r="AG59">
        <v>0</v>
      </c>
      <c r="AH59">
        <v>0</v>
      </c>
      <c r="AI59">
        <v>133</v>
      </c>
      <c r="AJ59">
        <v>0</v>
      </c>
    </row>
    <row r="60" spans="1:36" x14ac:dyDescent="0.3">
      <c r="A60" t="s">
        <v>59</v>
      </c>
      <c r="B60" s="2">
        <v>46000</v>
      </c>
      <c r="C60" t="s">
        <v>60</v>
      </c>
      <c r="D60" t="s">
        <v>61</v>
      </c>
      <c r="E60" t="s">
        <v>39</v>
      </c>
      <c r="F60" t="s">
        <v>40</v>
      </c>
      <c r="G60">
        <v>0.8659</v>
      </c>
      <c r="H60">
        <v>179</v>
      </c>
      <c r="I60">
        <v>155</v>
      </c>
      <c r="J60">
        <v>133</v>
      </c>
      <c r="K60" t="s">
        <v>41</v>
      </c>
      <c r="L60" t="s">
        <v>42</v>
      </c>
      <c r="M60">
        <v>0</v>
      </c>
      <c r="N60">
        <v>1</v>
      </c>
      <c r="O60">
        <v>14</v>
      </c>
      <c r="P60" t="s">
        <v>108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20</v>
      </c>
      <c r="AG60">
        <v>0</v>
      </c>
      <c r="AH60">
        <v>0</v>
      </c>
      <c r="AI60">
        <v>133</v>
      </c>
      <c r="AJ60">
        <v>0</v>
      </c>
    </row>
    <row r="61" spans="1:36" x14ac:dyDescent="0.3">
      <c r="A61" t="s">
        <v>59</v>
      </c>
      <c r="B61" s="2">
        <v>46000</v>
      </c>
      <c r="C61" t="s">
        <v>63</v>
      </c>
      <c r="D61" t="s">
        <v>64</v>
      </c>
      <c r="E61" t="s">
        <v>65</v>
      </c>
      <c r="F61" t="s">
        <v>40</v>
      </c>
      <c r="G61">
        <v>0.20830000000000001</v>
      </c>
      <c r="H61">
        <v>168</v>
      </c>
      <c r="I61">
        <v>35</v>
      </c>
      <c r="J61">
        <v>0</v>
      </c>
      <c r="K61" t="s">
        <v>41</v>
      </c>
      <c r="L61" t="s">
        <v>42</v>
      </c>
      <c r="M61">
        <v>0</v>
      </c>
      <c r="N61">
        <v>1</v>
      </c>
      <c r="O61">
        <v>9</v>
      </c>
      <c r="P61" t="s">
        <v>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7</v>
      </c>
      <c r="AA61">
        <v>0</v>
      </c>
      <c r="AB61">
        <v>0</v>
      </c>
      <c r="AC61">
        <v>7</v>
      </c>
      <c r="AD61">
        <v>4</v>
      </c>
      <c r="AE61">
        <v>0</v>
      </c>
      <c r="AF61">
        <v>17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59</v>
      </c>
      <c r="B62" s="2">
        <v>46000</v>
      </c>
      <c r="C62" t="s">
        <v>37</v>
      </c>
      <c r="D62" t="s">
        <v>68</v>
      </c>
      <c r="E62" t="s">
        <v>39</v>
      </c>
      <c r="F62" t="s">
        <v>40</v>
      </c>
      <c r="G62">
        <v>0.54190000000000005</v>
      </c>
      <c r="H62">
        <v>179</v>
      </c>
      <c r="I62">
        <v>97</v>
      </c>
      <c r="J62">
        <v>76</v>
      </c>
      <c r="K62" t="s">
        <v>41</v>
      </c>
      <c r="L62" t="s">
        <v>42</v>
      </c>
      <c r="M62">
        <v>0</v>
      </c>
      <c r="N62">
        <v>1</v>
      </c>
      <c r="O62">
        <v>3</v>
      </c>
      <c r="P62" t="s">
        <v>74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1</v>
      </c>
      <c r="AD62">
        <v>0</v>
      </c>
      <c r="AE62">
        <v>8</v>
      </c>
      <c r="AF62">
        <v>10</v>
      </c>
      <c r="AG62">
        <v>0</v>
      </c>
      <c r="AH62">
        <v>0</v>
      </c>
      <c r="AI62">
        <v>76</v>
      </c>
      <c r="AJ62">
        <v>0</v>
      </c>
    </row>
    <row r="63" spans="1:36" x14ac:dyDescent="0.3">
      <c r="A63" t="s">
        <v>59</v>
      </c>
      <c r="B63" s="2">
        <v>46000</v>
      </c>
      <c r="C63" t="s">
        <v>44</v>
      </c>
      <c r="D63" t="s">
        <v>70</v>
      </c>
      <c r="E63" t="s">
        <v>46</v>
      </c>
      <c r="F63" t="s">
        <v>40</v>
      </c>
      <c r="G63">
        <v>8.9300000000000004E-2</v>
      </c>
      <c r="H63">
        <v>168</v>
      </c>
      <c r="I63">
        <v>15</v>
      </c>
      <c r="J63">
        <v>0</v>
      </c>
      <c r="K63" t="s">
        <v>41</v>
      </c>
      <c r="L63" t="s">
        <v>66</v>
      </c>
      <c r="M63">
        <v>0</v>
      </c>
      <c r="N63">
        <v>0</v>
      </c>
      <c r="O63">
        <v>7</v>
      </c>
      <c r="P63" t="s">
        <v>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5</v>
      </c>
      <c r="AE63">
        <v>2</v>
      </c>
      <c r="AF63">
        <v>7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59</v>
      </c>
      <c r="B64" s="2">
        <v>46000</v>
      </c>
      <c r="C64" t="s">
        <v>72</v>
      </c>
      <c r="D64" t="s">
        <v>73</v>
      </c>
      <c r="E64" t="s">
        <v>39</v>
      </c>
      <c r="F64" t="s">
        <v>40</v>
      </c>
      <c r="G64">
        <v>0.1061</v>
      </c>
      <c r="H64">
        <v>179</v>
      </c>
      <c r="I64">
        <v>19</v>
      </c>
      <c r="J64">
        <v>0</v>
      </c>
      <c r="K64" t="s">
        <v>41</v>
      </c>
      <c r="L64" t="s">
        <v>42</v>
      </c>
      <c r="M64">
        <v>0</v>
      </c>
      <c r="N64">
        <v>2</v>
      </c>
      <c r="O64">
        <v>8</v>
      </c>
      <c r="P64" t="s">
        <v>106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17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59</v>
      </c>
      <c r="B65" s="2">
        <v>46000</v>
      </c>
      <c r="C65" t="s">
        <v>48</v>
      </c>
      <c r="D65" t="s">
        <v>75</v>
      </c>
      <c r="E65" t="s">
        <v>39</v>
      </c>
      <c r="F65" t="s">
        <v>40</v>
      </c>
      <c r="G65">
        <v>0.1173</v>
      </c>
      <c r="H65">
        <v>179</v>
      </c>
      <c r="I65">
        <v>21</v>
      </c>
      <c r="J65">
        <v>0</v>
      </c>
      <c r="K65" t="s">
        <v>41</v>
      </c>
      <c r="L65" t="s">
        <v>143</v>
      </c>
      <c r="M65">
        <v>0</v>
      </c>
      <c r="N65">
        <v>0</v>
      </c>
      <c r="O65">
        <v>9</v>
      </c>
      <c r="P65" t="s">
        <v>74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</v>
      </c>
      <c r="AE65">
        <v>9</v>
      </c>
      <c r="AF65">
        <v>10</v>
      </c>
      <c r="AG65">
        <v>0</v>
      </c>
      <c r="AH65">
        <v>0</v>
      </c>
      <c r="AI65">
        <v>0</v>
      </c>
      <c r="AJ65">
        <v>0</v>
      </c>
    </row>
    <row r="66" spans="1:36" x14ac:dyDescent="0.3">
      <c r="A66" t="s">
        <v>59</v>
      </c>
      <c r="B66" s="2">
        <v>46000</v>
      </c>
      <c r="C66" t="s">
        <v>52</v>
      </c>
      <c r="D66" t="s">
        <v>53</v>
      </c>
      <c r="E66" t="s">
        <v>39</v>
      </c>
      <c r="F66" t="s">
        <v>40</v>
      </c>
      <c r="G66">
        <v>0.82120000000000004</v>
      </c>
      <c r="H66">
        <v>179</v>
      </c>
      <c r="I66">
        <v>147</v>
      </c>
      <c r="J66">
        <v>132</v>
      </c>
      <c r="K66" t="s">
        <v>41</v>
      </c>
      <c r="L66" t="s">
        <v>57</v>
      </c>
      <c r="M66">
        <v>0</v>
      </c>
      <c r="N66">
        <v>0</v>
      </c>
      <c r="O66">
        <v>6</v>
      </c>
      <c r="P66" t="s">
        <v>144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10</v>
      </c>
      <c r="AG66">
        <v>45</v>
      </c>
      <c r="AH66">
        <v>0</v>
      </c>
      <c r="AI66">
        <v>87</v>
      </c>
      <c r="AJ66">
        <v>0</v>
      </c>
    </row>
    <row r="67" spans="1:36" x14ac:dyDescent="0.3">
      <c r="A67" t="s">
        <v>59</v>
      </c>
      <c r="B67" s="2">
        <v>46000</v>
      </c>
      <c r="C67" t="s">
        <v>55</v>
      </c>
      <c r="D67" t="s">
        <v>77</v>
      </c>
      <c r="E67" t="s">
        <v>39</v>
      </c>
      <c r="F67" t="s">
        <v>40</v>
      </c>
      <c r="G67">
        <v>0.58099999999999996</v>
      </c>
      <c r="H67">
        <v>179</v>
      </c>
      <c r="I67">
        <v>104</v>
      </c>
      <c r="J67">
        <v>90</v>
      </c>
      <c r="K67" t="s">
        <v>41</v>
      </c>
      <c r="L67" t="s">
        <v>42</v>
      </c>
      <c r="M67">
        <v>0</v>
      </c>
      <c r="N67">
        <v>1</v>
      </c>
      <c r="O67">
        <v>4</v>
      </c>
      <c r="P67" t="s">
        <v>145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14</v>
      </c>
      <c r="AG67">
        <v>0</v>
      </c>
      <c r="AH67">
        <v>0</v>
      </c>
      <c r="AI67">
        <v>90</v>
      </c>
      <c r="AJ67">
        <v>0</v>
      </c>
    </row>
    <row r="68" spans="1:36" x14ac:dyDescent="0.3">
      <c r="A68" t="s">
        <v>59</v>
      </c>
      <c r="B68" s="2">
        <v>46000</v>
      </c>
      <c r="C68" t="s">
        <v>78</v>
      </c>
      <c r="D68" t="s">
        <v>79</v>
      </c>
      <c r="E68" t="s">
        <v>80</v>
      </c>
      <c r="F68" t="s">
        <v>40</v>
      </c>
      <c r="G68">
        <v>1</v>
      </c>
      <c r="H68">
        <v>168</v>
      </c>
      <c r="I68">
        <v>168</v>
      </c>
      <c r="J68">
        <v>91</v>
      </c>
      <c r="K68" t="s">
        <v>41</v>
      </c>
      <c r="L68" t="s">
        <v>42</v>
      </c>
      <c r="M68">
        <v>0</v>
      </c>
      <c r="N68">
        <v>1</v>
      </c>
      <c r="O68">
        <v>57</v>
      </c>
      <c r="P68" t="s">
        <v>84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7</v>
      </c>
      <c r="Z68">
        <v>16</v>
      </c>
      <c r="AA68">
        <v>4</v>
      </c>
      <c r="AB68">
        <v>10</v>
      </c>
      <c r="AC68">
        <v>10</v>
      </c>
      <c r="AD68">
        <v>10</v>
      </c>
      <c r="AE68">
        <v>10</v>
      </c>
      <c r="AF68">
        <v>10</v>
      </c>
      <c r="AG68">
        <v>0</v>
      </c>
      <c r="AH68">
        <v>0</v>
      </c>
      <c r="AI68">
        <v>91</v>
      </c>
      <c r="AJ68">
        <v>0</v>
      </c>
    </row>
    <row r="69" spans="1:36" x14ac:dyDescent="0.3">
      <c r="A69" t="s">
        <v>59</v>
      </c>
      <c r="B69" s="2">
        <v>46000</v>
      </c>
      <c r="C69" t="s">
        <v>82</v>
      </c>
      <c r="D69" t="s">
        <v>38</v>
      </c>
      <c r="E69" t="s">
        <v>80</v>
      </c>
      <c r="F69" t="s">
        <v>40</v>
      </c>
      <c r="G69">
        <v>1.0119</v>
      </c>
      <c r="H69">
        <v>168</v>
      </c>
      <c r="I69">
        <v>170</v>
      </c>
      <c r="J69">
        <v>129</v>
      </c>
      <c r="K69" t="s">
        <v>41</v>
      </c>
      <c r="L69" t="s">
        <v>112</v>
      </c>
      <c r="M69">
        <v>0</v>
      </c>
      <c r="N69">
        <v>0</v>
      </c>
      <c r="O69">
        <v>44</v>
      </c>
      <c r="P69" t="s">
        <v>84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0</v>
      </c>
      <c r="AC69">
        <v>0</v>
      </c>
      <c r="AD69">
        <v>8</v>
      </c>
      <c r="AE69">
        <v>6</v>
      </c>
      <c r="AF69">
        <v>19</v>
      </c>
      <c r="AG69">
        <v>40</v>
      </c>
      <c r="AH69">
        <v>0</v>
      </c>
      <c r="AI69">
        <v>89</v>
      </c>
      <c r="AJ69">
        <v>4</v>
      </c>
    </row>
    <row r="70" spans="1:36" x14ac:dyDescent="0.3">
      <c r="A70" t="s">
        <v>59</v>
      </c>
      <c r="B70" s="2">
        <v>46000</v>
      </c>
      <c r="C70" t="s">
        <v>85</v>
      </c>
      <c r="D70" t="s">
        <v>86</v>
      </c>
      <c r="E70" t="s">
        <v>80</v>
      </c>
      <c r="F70" t="s">
        <v>40</v>
      </c>
      <c r="G70">
        <v>1</v>
      </c>
      <c r="H70">
        <v>168</v>
      </c>
      <c r="I70">
        <v>168</v>
      </c>
      <c r="J70">
        <v>132</v>
      </c>
      <c r="K70" t="s">
        <v>41</v>
      </c>
      <c r="L70" t="s">
        <v>66</v>
      </c>
      <c r="M70">
        <v>0</v>
      </c>
      <c r="N70">
        <v>0</v>
      </c>
      <c r="O70">
        <v>5</v>
      </c>
      <c r="P70" t="s">
        <v>84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2</v>
      </c>
      <c r="AD70">
        <v>8</v>
      </c>
      <c r="AE70">
        <v>8</v>
      </c>
      <c r="AF70">
        <v>17</v>
      </c>
      <c r="AG70">
        <v>0</v>
      </c>
      <c r="AH70">
        <v>0</v>
      </c>
      <c r="AI70">
        <v>132</v>
      </c>
      <c r="AJ70">
        <v>0</v>
      </c>
    </row>
    <row r="71" spans="1:36" x14ac:dyDescent="0.3">
      <c r="A71" t="s">
        <v>89</v>
      </c>
      <c r="B71" s="2">
        <v>46001</v>
      </c>
      <c r="C71" t="s">
        <v>37</v>
      </c>
      <c r="D71" t="s">
        <v>90</v>
      </c>
      <c r="E71" t="s">
        <v>39</v>
      </c>
      <c r="F71" t="s">
        <v>40</v>
      </c>
      <c r="G71">
        <v>0.18990000000000001</v>
      </c>
      <c r="H71">
        <v>179</v>
      </c>
      <c r="I71">
        <v>34</v>
      </c>
      <c r="J71">
        <v>3</v>
      </c>
      <c r="K71" t="s">
        <v>41</v>
      </c>
      <c r="L71" t="s">
        <v>42</v>
      </c>
      <c r="M71">
        <v>0</v>
      </c>
      <c r="N71">
        <v>3</v>
      </c>
      <c r="O71">
        <v>14</v>
      </c>
      <c r="P71" t="s">
        <v>62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19</v>
      </c>
      <c r="AF71">
        <v>10</v>
      </c>
      <c r="AG71">
        <v>0</v>
      </c>
      <c r="AH71">
        <v>0</v>
      </c>
      <c r="AI71">
        <v>3</v>
      </c>
      <c r="AJ71">
        <v>0</v>
      </c>
    </row>
    <row r="72" spans="1:36" x14ac:dyDescent="0.3">
      <c r="A72" t="s">
        <v>89</v>
      </c>
      <c r="B72" s="2">
        <v>46001</v>
      </c>
      <c r="C72" t="s">
        <v>93</v>
      </c>
      <c r="D72" t="s">
        <v>94</v>
      </c>
      <c r="E72" t="s">
        <v>46</v>
      </c>
      <c r="F72" t="s">
        <v>40</v>
      </c>
      <c r="G72">
        <v>0.13689999999999999</v>
      </c>
      <c r="H72">
        <v>168</v>
      </c>
      <c r="I72">
        <v>23</v>
      </c>
      <c r="J72">
        <v>0</v>
      </c>
      <c r="K72" t="s">
        <v>41</v>
      </c>
      <c r="L72" t="s">
        <v>112</v>
      </c>
      <c r="M72">
        <v>0</v>
      </c>
      <c r="N72">
        <v>0</v>
      </c>
      <c r="O72">
        <v>7</v>
      </c>
      <c r="P72" t="s">
        <v>47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5</v>
      </c>
      <c r="AF72">
        <v>15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 t="s">
        <v>89</v>
      </c>
      <c r="B73" s="2">
        <v>46001</v>
      </c>
      <c r="C73" t="s">
        <v>44</v>
      </c>
      <c r="D73" t="s">
        <v>45</v>
      </c>
      <c r="E73" t="s">
        <v>46</v>
      </c>
      <c r="F73" t="s">
        <v>40</v>
      </c>
      <c r="G73">
        <v>0.11899999999999999</v>
      </c>
      <c r="H73">
        <v>168</v>
      </c>
      <c r="I73">
        <v>20</v>
      </c>
      <c r="J73">
        <v>0</v>
      </c>
      <c r="K73" t="s">
        <v>41</v>
      </c>
      <c r="L73" t="s">
        <v>42</v>
      </c>
      <c r="M73">
        <v>0</v>
      </c>
      <c r="N73">
        <v>4</v>
      </c>
      <c r="O73">
        <v>8</v>
      </c>
      <c r="P73" t="s">
        <v>106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5</v>
      </c>
      <c r="AF73">
        <v>14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89</v>
      </c>
      <c r="B74" s="2">
        <v>46001</v>
      </c>
      <c r="C74" t="s">
        <v>48</v>
      </c>
      <c r="D74" t="s">
        <v>97</v>
      </c>
      <c r="E74" t="s">
        <v>39</v>
      </c>
      <c r="F74" t="s">
        <v>40</v>
      </c>
      <c r="G74">
        <v>0.92179999999999995</v>
      </c>
      <c r="H74">
        <v>179</v>
      </c>
      <c r="I74">
        <v>165</v>
      </c>
      <c r="J74">
        <v>137</v>
      </c>
      <c r="K74" t="s">
        <v>41</v>
      </c>
      <c r="L74" t="s">
        <v>42</v>
      </c>
      <c r="M74">
        <v>0</v>
      </c>
      <c r="N74">
        <v>2</v>
      </c>
      <c r="O74">
        <v>14</v>
      </c>
      <c r="P74" t="s">
        <v>146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</v>
      </c>
      <c r="AA74">
        <v>0</v>
      </c>
      <c r="AB74">
        <v>0</v>
      </c>
      <c r="AC74">
        <v>0</v>
      </c>
      <c r="AD74">
        <v>3</v>
      </c>
      <c r="AE74">
        <v>10</v>
      </c>
      <c r="AF74">
        <v>10</v>
      </c>
      <c r="AG74">
        <v>0</v>
      </c>
      <c r="AH74">
        <v>0</v>
      </c>
      <c r="AI74">
        <v>137</v>
      </c>
      <c r="AJ74">
        <v>0</v>
      </c>
    </row>
    <row r="75" spans="1:36" x14ac:dyDescent="0.3">
      <c r="A75" t="s">
        <v>89</v>
      </c>
      <c r="B75" s="2">
        <v>46001</v>
      </c>
      <c r="C75" t="s">
        <v>52</v>
      </c>
      <c r="D75" t="s">
        <v>53</v>
      </c>
      <c r="E75" t="s">
        <v>39</v>
      </c>
      <c r="F75" t="s">
        <v>40</v>
      </c>
      <c r="G75">
        <v>0.17879999999999999</v>
      </c>
      <c r="H75">
        <v>179</v>
      </c>
      <c r="I75">
        <v>32</v>
      </c>
      <c r="J75">
        <v>0</v>
      </c>
      <c r="K75" t="s">
        <v>41</v>
      </c>
      <c r="L75" t="s">
        <v>42</v>
      </c>
      <c r="M75">
        <v>0</v>
      </c>
      <c r="N75">
        <v>2</v>
      </c>
      <c r="O75">
        <v>8</v>
      </c>
      <c r="P75" t="s">
        <v>147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3</v>
      </c>
      <c r="AE75">
        <v>16</v>
      </c>
      <c r="AF75">
        <v>10</v>
      </c>
      <c r="AG75">
        <v>0</v>
      </c>
      <c r="AH75">
        <v>0</v>
      </c>
      <c r="AI75">
        <v>0</v>
      </c>
      <c r="AJ75">
        <v>0</v>
      </c>
    </row>
    <row r="76" spans="1:36" ht="18" x14ac:dyDescent="0.35">
      <c r="A76" s="3" t="s">
        <v>148</v>
      </c>
      <c r="B76" s="4"/>
      <c r="C76" s="3">
        <f>SUBTOTAL(103,LF_ALL_ROUTES[Flt])</f>
        <v>74</v>
      </c>
      <c r="D76" s="3"/>
      <c r="E76" s="3">
        <f>SUBTOTAL(103,LF_ALL_ROUTES[Brd-Off])</f>
        <v>74</v>
      </c>
      <c r="F76" s="3"/>
      <c r="G76" s="5">
        <f>SUBTOTAL(101,LF_ALL_ROUTES[LF%])</f>
        <v>0.52807837837837834</v>
      </c>
      <c r="H76" s="3"/>
      <c r="I76" s="3"/>
      <c r="J76" s="3"/>
      <c r="K76" s="3"/>
      <c r="L76" s="4"/>
      <c r="M76" s="3"/>
      <c r="N76" s="3"/>
      <c r="O76" s="3"/>
      <c r="P76" s="3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>
        <f>SUBTOTAL(109,LF_ALL_ROUTES[N])</f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2025-11-23T05:21:12Z</dcterms:created>
  <dcterms:modified xsi:type="dcterms:W3CDTF">2025-11-23T05:21:16Z</dcterms:modified>
</cp:coreProperties>
</file>