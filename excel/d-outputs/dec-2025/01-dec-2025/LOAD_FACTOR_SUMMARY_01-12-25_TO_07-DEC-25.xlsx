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234784F-9D30-436B-92F2-157312692FEC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8" i="1" l="1"/>
  <c r="E48" i="1"/>
  <c r="C48" i="1"/>
  <c r="AJ48" i="1"/>
</calcChain>
</file>

<file path=xl/sharedStrings.xml><?xml version="1.0" encoding="utf-8"?>
<sst xmlns="http://schemas.openxmlformats.org/spreadsheetml/2006/main" count="405" uniqueCount="133">
  <si>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</si>
  <si>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</si>
  <si>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</si>
  <si>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</si>
  <si>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</si>
  <si>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</si>
  <si>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</si>
  <si>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</si>
  <si>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</si>
  <si>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</si>
  <si>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</si>
  <si>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</si>
  <si>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</si>
  <si>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</si>
  <si>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</si>
  <si>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</si>
  <si>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</si>
  <si>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</si>
  <si>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</si>
  <si>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</si>
  <si>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</si>
  <si>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</si>
  <si>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</si>
  <si>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</si>
  <si>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</si>
  <si>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</si>
  <si>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</si>
  <si>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</si>
  <si>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</si>
  <si>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</si>
  <si>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</si>
  <si>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</si>
  <si>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</si>
  <si>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</si>
  <si>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</si>
  <si>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</si>
  <si>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</si>
  <si>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SM460</t>
  </si>
  <si>
    <t>23:30</t>
  </si>
  <si>
    <t>JED-CAI</t>
  </si>
  <si>
    <t>320</t>
  </si>
  <si>
    <t>UPCOMING</t>
  </si>
  <si>
    <t>2025-11-22 00:00:00</t>
  </si>
  <si>
    <t>U1</t>
  </si>
  <si>
    <t>SM470</t>
  </si>
  <si>
    <t>22:10</t>
  </si>
  <si>
    <t>RUH-CAI</t>
  </si>
  <si>
    <t>I9</t>
  </si>
  <si>
    <t>SM476</t>
  </si>
  <si>
    <t>10:10</t>
  </si>
  <si>
    <t>2025-11-20 00:00:00</t>
  </si>
  <si>
    <t>W7</t>
  </si>
  <si>
    <t>SM478</t>
  </si>
  <si>
    <t>14:45</t>
  </si>
  <si>
    <t>X2</t>
  </si>
  <si>
    <t>SM480</t>
  </si>
  <si>
    <t>00:10</t>
  </si>
  <si>
    <t>2025-11-16 00:00:00</t>
  </si>
  <si>
    <t>W8</t>
  </si>
  <si>
    <t>TUESDAY</t>
  </si>
  <si>
    <t>SM424</t>
  </si>
  <si>
    <t>22:25</t>
  </si>
  <si>
    <t>O1</t>
  </si>
  <si>
    <t>SM434</t>
  </si>
  <si>
    <t>06:30</t>
  </si>
  <si>
    <t>DMM-CAI</t>
  </si>
  <si>
    <t>2025-11-21 00:00:00</t>
  </si>
  <si>
    <t>O6</t>
  </si>
  <si>
    <t>17:30</t>
  </si>
  <si>
    <t>U9</t>
  </si>
  <si>
    <t>21:55</t>
  </si>
  <si>
    <t>I7</t>
  </si>
  <si>
    <t>SM472</t>
  </si>
  <si>
    <t>05:30</t>
  </si>
  <si>
    <t>O9</t>
  </si>
  <si>
    <t>23:15</t>
  </si>
  <si>
    <t>U3</t>
  </si>
  <si>
    <t>13:25</t>
  </si>
  <si>
    <t>SM488</t>
  </si>
  <si>
    <t>06:40</t>
  </si>
  <si>
    <t>MED-CAI</t>
  </si>
  <si>
    <t>V9</t>
  </si>
  <si>
    <t>SM494</t>
  </si>
  <si>
    <t>2025-11-10 00:00:00</t>
  </si>
  <si>
    <t>CLOSED</t>
  </si>
  <si>
    <t>SM496</t>
  </si>
  <si>
    <t>01:10</t>
  </si>
  <si>
    <t>2025-11-13 00:00:00</t>
  </si>
  <si>
    <t>K6</t>
  </si>
  <si>
    <t>WEDNESDAY</t>
  </si>
  <si>
    <t>12:30</t>
  </si>
  <si>
    <t>2025-11-14 00:00:00</t>
  </si>
  <si>
    <t>Q8</t>
  </si>
  <si>
    <t>SM462</t>
  </si>
  <si>
    <t>14:40</t>
  </si>
  <si>
    <t>2025-11-23 00:00:00</t>
  </si>
  <si>
    <t>I8</t>
  </si>
  <si>
    <t>12:25</t>
  </si>
  <si>
    <t>U2</t>
  </si>
  <si>
    <t>X9</t>
  </si>
  <si>
    <t>THURSDAY</t>
  </si>
  <si>
    <t>I4</t>
  </si>
  <si>
    <t>12:55</t>
  </si>
  <si>
    <t>FRIDAY</t>
  </si>
  <si>
    <t>02:45</t>
  </si>
  <si>
    <t>I2</t>
  </si>
  <si>
    <t>13:55</t>
  </si>
  <si>
    <t>22:30</t>
  </si>
  <si>
    <t>2025-11-11 00:00:00</t>
  </si>
  <si>
    <t>G9</t>
  </si>
  <si>
    <t>14:30</t>
  </si>
  <si>
    <t>17:40</t>
  </si>
  <si>
    <t>07:40</t>
  </si>
  <si>
    <t>11:00</t>
  </si>
  <si>
    <t>2025-11-15 00:00:00</t>
  </si>
  <si>
    <t>SATURDAY</t>
  </si>
  <si>
    <t>SM450</t>
  </si>
  <si>
    <t>05:40</t>
  </si>
  <si>
    <t>08:00</t>
  </si>
  <si>
    <t>16:20</t>
  </si>
  <si>
    <t>2025-11-18 00:00:00</t>
  </si>
  <si>
    <t>09:30</t>
  </si>
  <si>
    <t>2025-11-19 00:00:00</t>
  </si>
  <si>
    <t>SUNDAY</t>
  </si>
  <si>
    <t>02:00</t>
  </si>
  <si>
    <t>SM432</t>
  </si>
  <si>
    <t>12:15</t>
  </si>
  <si>
    <t>S9</t>
  </si>
  <si>
    <t>15:00</t>
  </si>
  <si>
    <t>15:10</t>
  </si>
  <si>
    <t>Y6</t>
  </si>
  <si>
    <t>21:40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</si>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</sst>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B9504-7028-400E-A724-92F64E2EA127}" name="LF_ALL_ROUTES" displayName="LF_ALL_ROUTES" ref="A1:AJ48" totalsRowCount="1" headerRowDxfId="37" totalsRowDxfId="0">
  <autoFilter ref="A1:AJ47" xr:uid="{CAEB9504-7028-400E-A724-92F64E2EA127}"/>
  <tableColumns count="36">
    <tableColumn id="1" xr3:uid="{5711AB52-208C-4D2C-BD1B-2EF3D91602D6}" name="Day" totalsRowLabel="TOTAL" totalsRowDxfId="36"/>
    <tableColumn id="2" xr3:uid="{CD35666D-6E96-4D67-9501-11AB9B5F7C73}" name="Flt Dt" dataDxfId="38" totalsRowDxfId="35"/>
    <tableColumn id="3" xr3:uid="{0EA008E6-BBFE-4822-9C2D-A15AD83AD478}" name="Flt" totalsRowFunction="count" totalsRowDxfId="34"/>
    <tableColumn id="4" xr3:uid="{7768BCC6-B9BE-449E-BA24-C3BBBD547061}" name="DEP" totalsRowDxfId="33"/>
    <tableColumn id="5" xr3:uid="{4F08B840-2E41-4A34-B822-484A270B30FB}" name="Brd-Off" totalsRowFunction="count" totalsRowDxfId="32"/>
    <tableColumn id="6" xr3:uid="{CB836652-259A-4E26-87B9-235D3D6119FB}" name="Eqp" totalsRowDxfId="31"/>
    <tableColumn id="7" xr3:uid="{2056FC06-5EC6-4DC9-9C96-B4A44ADAD93A}" name="LF%" totalsRowFunction="average" totalsRowDxfId="30"/>
    <tableColumn id="8" xr3:uid="{04C47634-6FDE-4C1B-83D3-8AFA132A5670}" name="CAP" totalsRowDxfId="29"/>
    <tableColumn id="9" xr3:uid="{CFA744D3-1028-465B-837B-4BC60AC07455}" name="BKG(Y)" totalsRowDxfId="28"/>
    <tableColumn id="10" xr3:uid="{51C740B9-8C3A-4301-A7E4-F8008BA0EBC8}" name="GRP(Y)" totalsRowDxfId="27"/>
    <tableColumn id="11" xr3:uid="{BF2DE94D-9250-48C9-B64F-A77C403160FA}" name="FLT ST" totalsRowDxfId="26"/>
    <tableColumn id="12" xr3:uid="{7F6466E7-1735-4E97-B1EE-91A1D78B3E46}" name="LST-SOLD" totalsRowDxfId="25"/>
    <tableColumn id="13" xr3:uid="{6E1A8C40-2976-48F4-8A1B-28FC66BF7C28}" name="TO-DAY" totalsRowDxfId="24"/>
    <tableColumn id="14" xr3:uid="{C5369288-8689-46CF-ADE5-AD81A4515445}" name="Y-DAY" totalsRowDxfId="23"/>
    <tableColumn id="15" xr3:uid="{2E0F6C4A-BC30-40C4-9D87-8304564EAC47}" name="WEEKLY" totalsRowDxfId="22"/>
    <tableColumn id="16" xr3:uid="{5D09EAAA-88E9-4B51-918C-B876C3D24745}" name="LOWEST AVAIL" totalsRowDxfId="21"/>
    <tableColumn id="17" xr3:uid="{0963B2E1-E0AD-4EF2-9BC0-1388E2FB9221}" name="Y" totalsRowDxfId="20"/>
    <tableColumn id="18" xr3:uid="{C2ACEEA8-51AD-4CE8-8913-5C162693938B}" name="B" totalsRowDxfId="19"/>
    <tableColumn id="19" xr3:uid="{24CD95DE-2F31-457C-A6AE-3E0576DC2AE5}" name="M" totalsRowDxfId="18"/>
    <tableColumn id="20" xr3:uid="{AD257E8B-45E9-4A75-AD48-9217417A0837}" name="H" totalsRowDxfId="17"/>
    <tableColumn id="21" xr3:uid="{EA4ECB73-45EB-4A45-853F-A05F9E235142}" name="Q" totalsRowDxfId="16"/>
    <tableColumn id="22" xr3:uid="{5352F8D9-EF33-4EB8-A2A0-7EA53638866D}" name="K" totalsRowDxfId="15"/>
    <tableColumn id="23" xr3:uid="{0260723B-3288-4E25-9213-18EDABFC80D6}" name="V" totalsRowDxfId="14"/>
    <tableColumn id="24" xr3:uid="{7EA60A66-D04A-422D-AE45-2BF065E0E46A}" name="L" totalsRowDxfId="13"/>
    <tableColumn id="25" xr3:uid="{81A2AA95-C078-4704-8408-DD52F4204875}" name="G" totalsRowDxfId="12"/>
    <tableColumn id="26" xr3:uid="{FE0BBC11-89E1-4C8A-8452-076EAE66DAD8}" name="S" totalsRowDxfId="11"/>
    <tableColumn id="27" xr3:uid="{9284ADE3-E3DC-4918-B512-37806A1659D9}" name="W" totalsRowDxfId="10"/>
    <tableColumn id="28" xr3:uid="{2860F1BE-8039-4C75-9B51-925E6832A67C}" name="T" totalsRowDxfId="9"/>
    <tableColumn id="29" xr3:uid="{ED32C387-8BF3-4887-AC11-66DB312E1C4C}" name="X" totalsRowDxfId="8"/>
    <tableColumn id="30" xr3:uid="{92A612C7-2D85-40F0-AAC6-FD112F9FD541}" name="U" totalsRowDxfId="7"/>
    <tableColumn id="31" xr3:uid="{D367CAF0-62E2-4571-9DEF-ACF316616ED8}" name="O" totalsRowDxfId="6"/>
    <tableColumn id="32" xr3:uid="{4268652F-922D-40AC-A191-04EBC6BCDD66}" name="I" totalsRowDxfId="5"/>
    <tableColumn id="33" xr3:uid="{90C6F571-4222-4D59-90A8-FB8C9962D5EE}" name="E" totalsRowDxfId="4"/>
    <tableColumn id="34" xr3:uid="{D0EAFEA6-B9BE-4833-8D89-1D3302DBD812}" name="A" totalsRowDxfId="3"/>
    <tableColumn id="35" xr3:uid="{EF43131A-57DA-4DB6-89E7-86847F2B6D53}" name="P" totalsRowDxfId="2"/>
    <tableColumn id="36" xr3:uid="{2F0304D4-C79A-46B6-9556-DE27BE369C16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8"/>
  <sheetViews>
    <sheetView tabSelected="1" topLeftCell="A36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10937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45992</v>
      </c>
      <c r="C2" t="s">
        <v>37</v>
      </c>
      <c r="D2" t="s">
        <v>38</v>
      </c>
      <c r="E2" t="s">
        <v>39</v>
      </c>
      <c r="F2" t="s">
        <v>40</v>
      </c>
      <c r="G2">
        <v>0.9385</v>
      </c>
      <c r="H2">
        <v>179</v>
      </c>
      <c r="I2">
        <v>168</v>
      </c>
      <c r="J2">
        <v>116</v>
      </c>
      <c r="K2" t="s">
        <v>41</v>
      </c>
      <c r="L2" t="s">
        <v>42</v>
      </c>
      <c r="M2">
        <v>0</v>
      </c>
      <c r="N2">
        <v>7</v>
      </c>
      <c r="O2">
        <v>23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2</v>
      </c>
      <c r="AD2">
        <v>9</v>
      </c>
      <c r="AE2">
        <v>20</v>
      </c>
      <c r="AF2">
        <v>20</v>
      </c>
      <c r="AG2">
        <v>41</v>
      </c>
      <c r="AH2">
        <v>0</v>
      </c>
      <c r="AI2">
        <v>75</v>
      </c>
      <c r="AJ2">
        <v>0</v>
      </c>
    </row>
    <row r="3" spans="1:36" x14ac:dyDescent="0.3">
      <c r="A3" t="s">
        <v>36</v>
      </c>
      <c r="B3" s="2">
        <v>45992</v>
      </c>
      <c r="C3" t="s">
        <v>44</v>
      </c>
      <c r="D3" t="s">
        <v>45</v>
      </c>
      <c r="E3" t="s">
        <v>46</v>
      </c>
      <c r="F3" t="s">
        <v>40</v>
      </c>
      <c r="G3">
        <v>4.1700000000000001E-2</v>
      </c>
      <c r="H3">
        <v>168</v>
      </c>
      <c r="I3">
        <v>7</v>
      </c>
      <c r="J3">
        <v>0</v>
      </c>
      <c r="K3" t="s">
        <v>41</v>
      </c>
      <c r="L3" t="s">
        <v>42</v>
      </c>
      <c r="M3">
        <v>0</v>
      </c>
      <c r="N3">
        <v>1</v>
      </c>
      <c r="O3">
        <v>4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5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45992</v>
      </c>
      <c r="C4" t="s">
        <v>48</v>
      </c>
      <c r="D4" t="s">
        <v>49</v>
      </c>
      <c r="E4" t="s">
        <v>39</v>
      </c>
      <c r="F4" t="s">
        <v>40</v>
      </c>
      <c r="G4">
        <v>0.9274</v>
      </c>
      <c r="H4">
        <v>179</v>
      </c>
      <c r="I4">
        <v>166</v>
      </c>
      <c r="J4">
        <v>135</v>
      </c>
      <c r="K4" t="s">
        <v>41</v>
      </c>
      <c r="L4" t="s">
        <v>50</v>
      </c>
      <c r="M4">
        <v>0</v>
      </c>
      <c r="N4">
        <v>0</v>
      </c>
      <c r="O4">
        <v>47</v>
      </c>
      <c r="P4" t="s">
        <v>51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19</v>
      </c>
      <c r="AF4">
        <v>10</v>
      </c>
      <c r="AG4">
        <v>0</v>
      </c>
      <c r="AH4">
        <v>0</v>
      </c>
      <c r="AI4">
        <v>135</v>
      </c>
      <c r="AJ4">
        <v>0</v>
      </c>
    </row>
    <row r="5" spans="1:36" x14ac:dyDescent="0.3">
      <c r="A5" t="s">
        <v>36</v>
      </c>
      <c r="B5" s="2">
        <v>45992</v>
      </c>
      <c r="C5" t="s">
        <v>52</v>
      </c>
      <c r="D5" t="s">
        <v>53</v>
      </c>
      <c r="E5" t="s">
        <v>39</v>
      </c>
      <c r="F5" t="s">
        <v>40</v>
      </c>
      <c r="G5">
        <v>0.8659</v>
      </c>
      <c r="H5">
        <v>179</v>
      </c>
      <c r="I5">
        <v>155</v>
      </c>
      <c r="J5">
        <v>102</v>
      </c>
      <c r="K5" t="s">
        <v>41</v>
      </c>
      <c r="L5" t="s">
        <v>42</v>
      </c>
      <c r="M5">
        <v>0</v>
      </c>
      <c r="N5">
        <v>1</v>
      </c>
      <c r="O5">
        <v>28</v>
      </c>
      <c r="P5" t="s">
        <v>54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</v>
      </c>
      <c r="AA5">
        <v>0</v>
      </c>
      <c r="AB5">
        <v>0</v>
      </c>
      <c r="AC5">
        <v>8</v>
      </c>
      <c r="AD5">
        <v>11</v>
      </c>
      <c r="AE5">
        <v>15</v>
      </c>
      <c r="AF5">
        <v>10</v>
      </c>
      <c r="AG5">
        <v>0</v>
      </c>
      <c r="AH5">
        <v>0</v>
      </c>
      <c r="AI5">
        <v>102</v>
      </c>
      <c r="AJ5">
        <v>4</v>
      </c>
    </row>
    <row r="6" spans="1:36" x14ac:dyDescent="0.3">
      <c r="A6" t="s">
        <v>36</v>
      </c>
      <c r="B6" s="2">
        <v>45992</v>
      </c>
      <c r="C6" t="s">
        <v>55</v>
      </c>
      <c r="D6" t="s">
        <v>56</v>
      </c>
      <c r="E6" t="s">
        <v>39</v>
      </c>
      <c r="F6" t="s">
        <v>40</v>
      </c>
      <c r="G6">
        <v>0.87709999999999999</v>
      </c>
      <c r="H6">
        <v>179</v>
      </c>
      <c r="I6">
        <v>157</v>
      </c>
      <c r="J6">
        <v>132</v>
      </c>
      <c r="K6" t="s">
        <v>41</v>
      </c>
      <c r="L6" t="s">
        <v>57</v>
      </c>
      <c r="M6">
        <v>0</v>
      </c>
      <c r="N6">
        <v>0</v>
      </c>
      <c r="O6">
        <v>5</v>
      </c>
      <c r="P6" t="s">
        <v>58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0</v>
      </c>
      <c r="AB6">
        <v>0</v>
      </c>
      <c r="AC6">
        <v>0</v>
      </c>
      <c r="AD6">
        <v>3</v>
      </c>
      <c r="AE6">
        <v>8</v>
      </c>
      <c r="AF6">
        <v>10</v>
      </c>
      <c r="AG6">
        <v>0</v>
      </c>
      <c r="AH6">
        <v>0</v>
      </c>
      <c r="AI6">
        <v>132</v>
      </c>
      <c r="AJ6">
        <v>0</v>
      </c>
    </row>
    <row r="7" spans="1:36" x14ac:dyDescent="0.3">
      <c r="A7" t="s">
        <v>59</v>
      </c>
      <c r="B7" s="2">
        <v>45993</v>
      </c>
      <c r="C7" t="s">
        <v>60</v>
      </c>
      <c r="D7" t="s">
        <v>61</v>
      </c>
      <c r="E7" t="s">
        <v>39</v>
      </c>
      <c r="F7" t="s">
        <v>40</v>
      </c>
      <c r="G7">
        <v>0.38550000000000001</v>
      </c>
      <c r="H7">
        <v>179</v>
      </c>
      <c r="I7">
        <v>69</v>
      </c>
      <c r="J7">
        <v>42</v>
      </c>
      <c r="K7" t="s">
        <v>41</v>
      </c>
      <c r="L7" t="s">
        <v>42</v>
      </c>
      <c r="M7">
        <v>0</v>
      </c>
      <c r="N7">
        <v>2</v>
      </c>
      <c r="O7">
        <v>14</v>
      </c>
      <c r="P7" t="s">
        <v>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14</v>
      </c>
      <c r="AF7">
        <v>10</v>
      </c>
      <c r="AG7">
        <v>0</v>
      </c>
      <c r="AH7">
        <v>0</v>
      </c>
      <c r="AI7">
        <v>42</v>
      </c>
      <c r="AJ7">
        <v>0</v>
      </c>
    </row>
    <row r="8" spans="1:36" x14ac:dyDescent="0.3">
      <c r="A8" t="s">
        <v>59</v>
      </c>
      <c r="B8" s="2">
        <v>45993</v>
      </c>
      <c r="C8" t="s">
        <v>63</v>
      </c>
      <c r="D8" t="s">
        <v>64</v>
      </c>
      <c r="E8" t="s">
        <v>65</v>
      </c>
      <c r="F8" t="s">
        <v>40</v>
      </c>
      <c r="G8">
        <v>0.29759999999999998</v>
      </c>
      <c r="H8">
        <v>168</v>
      </c>
      <c r="I8">
        <v>50</v>
      </c>
      <c r="J8">
        <v>0</v>
      </c>
      <c r="K8" t="s">
        <v>41</v>
      </c>
      <c r="L8" t="s">
        <v>66</v>
      </c>
      <c r="M8">
        <v>0</v>
      </c>
      <c r="N8">
        <v>0</v>
      </c>
      <c r="O8">
        <v>14</v>
      </c>
      <c r="P8" t="s">
        <v>67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</v>
      </c>
      <c r="AA8">
        <v>0</v>
      </c>
      <c r="AB8">
        <v>2</v>
      </c>
      <c r="AC8">
        <v>7</v>
      </c>
      <c r="AD8">
        <v>2</v>
      </c>
      <c r="AE8">
        <v>4</v>
      </c>
      <c r="AF8">
        <v>26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59</v>
      </c>
      <c r="B9" s="2">
        <v>45993</v>
      </c>
      <c r="C9" t="s">
        <v>37</v>
      </c>
      <c r="D9" t="s">
        <v>68</v>
      </c>
      <c r="E9" t="s">
        <v>39</v>
      </c>
      <c r="F9" t="s">
        <v>40</v>
      </c>
      <c r="G9">
        <v>0.65920000000000001</v>
      </c>
      <c r="H9">
        <v>179</v>
      </c>
      <c r="I9">
        <v>118</v>
      </c>
      <c r="J9">
        <v>96</v>
      </c>
      <c r="K9" t="s">
        <v>41</v>
      </c>
      <c r="L9" t="s">
        <v>42</v>
      </c>
      <c r="M9">
        <v>0</v>
      </c>
      <c r="N9">
        <v>1</v>
      </c>
      <c r="O9">
        <v>1</v>
      </c>
      <c r="P9" t="s">
        <v>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10</v>
      </c>
      <c r="AF9">
        <v>10</v>
      </c>
      <c r="AG9">
        <v>0</v>
      </c>
      <c r="AH9">
        <v>0</v>
      </c>
      <c r="AI9">
        <v>96</v>
      </c>
      <c r="AJ9">
        <v>1</v>
      </c>
    </row>
    <row r="10" spans="1:36" x14ac:dyDescent="0.3">
      <c r="A10" t="s">
        <v>59</v>
      </c>
      <c r="B10" s="2">
        <v>45993</v>
      </c>
      <c r="C10" t="s">
        <v>44</v>
      </c>
      <c r="D10" t="s">
        <v>70</v>
      </c>
      <c r="E10" t="s">
        <v>46</v>
      </c>
      <c r="F10" t="s">
        <v>40</v>
      </c>
      <c r="G10">
        <v>8.9300000000000004E-2</v>
      </c>
      <c r="H10">
        <v>168</v>
      </c>
      <c r="I10">
        <v>15</v>
      </c>
      <c r="J10">
        <v>0</v>
      </c>
      <c r="K10" t="s">
        <v>41</v>
      </c>
      <c r="L10" t="s">
        <v>42</v>
      </c>
      <c r="M10">
        <v>0</v>
      </c>
      <c r="N10">
        <v>1</v>
      </c>
      <c r="O10">
        <v>7</v>
      </c>
      <c r="P10" t="s">
        <v>71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13</v>
      </c>
      <c r="AG10">
        <v>0</v>
      </c>
      <c r="AH10">
        <v>0</v>
      </c>
      <c r="AI10">
        <v>0</v>
      </c>
      <c r="AJ10">
        <v>1</v>
      </c>
    </row>
    <row r="11" spans="1:36" x14ac:dyDescent="0.3">
      <c r="A11" t="s">
        <v>59</v>
      </c>
      <c r="B11" s="2">
        <v>45993</v>
      </c>
      <c r="C11" t="s">
        <v>72</v>
      </c>
      <c r="D11" t="s">
        <v>73</v>
      </c>
      <c r="E11" t="s">
        <v>39</v>
      </c>
      <c r="F11" t="s">
        <v>40</v>
      </c>
      <c r="G11">
        <v>0.18440000000000001</v>
      </c>
      <c r="H11">
        <v>179</v>
      </c>
      <c r="I11">
        <v>33</v>
      </c>
      <c r="J11">
        <v>0</v>
      </c>
      <c r="K11" t="s">
        <v>41</v>
      </c>
      <c r="L11" t="s">
        <v>42</v>
      </c>
      <c r="M11">
        <v>0</v>
      </c>
      <c r="N11">
        <v>4</v>
      </c>
      <c r="O11">
        <v>15</v>
      </c>
      <c r="P11" t="s">
        <v>74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30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59</v>
      </c>
      <c r="B12" s="2">
        <v>45993</v>
      </c>
      <c r="C12" t="s">
        <v>48</v>
      </c>
      <c r="D12" t="s">
        <v>75</v>
      </c>
      <c r="E12" t="s">
        <v>39</v>
      </c>
      <c r="F12" t="s">
        <v>40</v>
      </c>
      <c r="G12">
        <v>0.66479999999999995</v>
      </c>
      <c r="H12">
        <v>179</v>
      </c>
      <c r="I12">
        <v>119</v>
      </c>
      <c r="J12">
        <v>92</v>
      </c>
      <c r="K12" t="s">
        <v>41</v>
      </c>
      <c r="L12" t="s">
        <v>42</v>
      </c>
      <c r="M12">
        <v>0</v>
      </c>
      <c r="N12">
        <v>1</v>
      </c>
      <c r="O12">
        <v>11</v>
      </c>
      <c r="P12" t="s">
        <v>69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10</v>
      </c>
      <c r="AF12">
        <v>15</v>
      </c>
      <c r="AG12">
        <v>0</v>
      </c>
      <c r="AH12">
        <v>0</v>
      </c>
      <c r="AI12">
        <v>92</v>
      </c>
      <c r="AJ12">
        <v>0</v>
      </c>
    </row>
    <row r="13" spans="1:36" x14ac:dyDescent="0.3">
      <c r="A13" t="s">
        <v>59</v>
      </c>
      <c r="B13" s="2">
        <v>45993</v>
      </c>
      <c r="C13" t="s">
        <v>52</v>
      </c>
      <c r="D13" t="s">
        <v>53</v>
      </c>
      <c r="E13" t="s">
        <v>39</v>
      </c>
      <c r="F13" t="s">
        <v>40</v>
      </c>
      <c r="G13">
        <v>0.64249999999999996</v>
      </c>
      <c r="H13">
        <v>179</v>
      </c>
      <c r="I13">
        <v>115</v>
      </c>
      <c r="J13">
        <v>83</v>
      </c>
      <c r="K13" t="s">
        <v>41</v>
      </c>
      <c r="L13" t="s">
        <v>50</v>
      </c>
      <c r="M13">
        <v>0</v>
      </c>
      <c r="N13">
        <v>0</v>
      </c>
      <c r="O13">
        <v>12</v>
      </c>
      <c r="P13" t="s">
        <v>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C13">
        <v>0</v>
      </c>
      <c r="AD13">
        <v>8</v>
      </c>
      <c r="AE13">
        <v>10</v>
      </c>
      <c r="AF13">
        <v>10</v>
      </c>
      <c r="AG13">
        <v>0</v>
      </c>
      <c r="AH13">
        <v>0</v>
      </c>
      <c r="AI13">
        <v>84</v>
      </c>
      <c r="AJ13">
        <v>0</v>
      </c>
    </row>
    <row r="14" spans="1:36" x14ac:dyDescent="0.3">
      <c r="A14" t="s">
        <v>59</v>
      </c>
      <c r="B14" s="2">
        <v>45993</v>
      </c>
      <c r="C14" t="s">
        <v>55</v>
      </c>
      <c r="D14" t="s">
        <v>77</v>
      </c>
      <c r="E14" t="s">
        <v>39</v>
      </c>
      <c r="F14" t="s">
        <v>40</v>
      </c>
      <c r="G14">
        <v>0.63690000000000002</v>
      </c>
      <c r="H14">
        <v>179</v>
      </c>
      <c r="I14">
        <v>114</v>
      </c>
      <c r="J14">
        <v>90</v>
      </c>
      <c r="K14" t="s">
        <v>41</v>
      </c>
      <c r="L14" t="s">
        <v>42</v>
      </c>
      <c r="M14">
        <v>0</v>
      </c>
      <c r="N14">
        <v>2</v>
      </c>
      <c r="O14">
        <v>14</v>
      </c>
      <c r="P14" t="s">
        <v>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14</v>
      </c>
      <c r="AF14">
        <v>10</v>
      </c>
      <c r="AG14">
        <v>0</v>
      </c>
      <c r="AH14">
        <v>0</v>
      </c>
      <c r="AI14">
        <v>90</v>
      </c>
      <c r="AJ14">
        <v>0</v>
      </c>
    </row>
    <row r="15" spans="1:36" x14ac:dyDescent="0.3">
      <c r="A15" t="s">
        <v>59</v>
      </c>
      <c r="B15" s="2">
        <v>45993</v>
      </c>
      <c r="C15" t="s">
        <v>78</v>
      </c>
      <c r="D15" t="s">
        <v>79</v>
      </c>
      <c r="E15" t="s">
        <v>80</v>
      </c>
      <c r="F15" t="s">
        <v>40</v>
      </c>
      <c r="G15">
        <v>0.77980000000000005</v>
      </c>
      <c r="H15">
        <v>168</v>
      </c>
      <c r="I15">
        <v>131</v>
      </c>
      <c r="J15">
        <v>41</v>
      </c>
      <c r="K15" t="s">
        <v>41</v>
      </c>
      <c r="L15" t="s">
        <v>50</v>
      </c>
      <c r="M15">
        <v>0</v>
      </c>
      <c r="N15">
        <v>0</v>
      </c>
      <c r="O15">
        <v>57</v>
      </c>
      <c r="P15" t="s">
        <v>81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</v>
      </c>
      <c r="AF15">
        <v>10</v>
      </c>
      <c r="AG15">
        <v>0</v>
      </c>
      <c r="AH15">
        <v>0</v>
      </c>
      <c r="AI15">
        <v>41</v>
      </c>
      <c r="AJ15">
        <v>0</v>
      </c>
    </row>
    <row r="16" spans="1:36" x14ac:dyDescent="0.3">
      <c r="A16" t="s">
        <v>59</v>
      </c>
      <c r="B16" s="2">
        <v>45993</v>
      </c>
      <c r="C16" t="s">
        <v>82</v>
      </c>
      <c r="D16" t="s">
        <v>38</v>
      </c>
      <c r="E16" t="s">
        <v>80</v>
      </c>
      <c r="F16" t="s">
        <v>40</v>
      </c>
      <c r="G16">
        <v>1.006</v>
      </c>
      <c r="H16">
        <v>168</v>
      </c>
      <c r="I16">
        <v>169</v>
      </c>
      <c r="J16">
        <v>136</v>
      </c>
      <c r="K16" t="s">
        <v>41</v>
      </c>
      <c r="L16" t="s">
        <v>83</v>
      </c>
      <c r="M16">
        <v>0</v>
      </c>
      <c r="N16">
        <v>0</v>
      </c>
      <c r="O16">
        <v>0</v>
      </c>
      <c r="P16" t="s">
        <v>84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</v>
      </c>
      <c r="AA16">
        <v>0</v>
      </c>
      <c r="AB16">
        <v>0</v>
      </c>
      <c r="AC16">
        <v>0</v>
      </c>
      <c r="AD16">
        <v>0</v>
      </c>
      <c r="AE16">
        <v>9</v>
      </c>
      <c r="AF16">
        <v>17</v>
      </c>
      <c r="AG16">
        <v>46</v>
      </c>
      <c r="AH16">
        <v>0</v>
      </c>
      <c r="AI16">
        <v>90</v>
      </c>
      <c r="AJ16">
        <v>2</v>
      </c>
    </row>
    <row r="17" spans="1:36" x14ac:dyDescent="0.3">
      <c r="A17" t="s">
        <v>59</v>
      </c>
      <c r="B17" s="2">
        <v>45993</v>
      </c>
      <c r="C17" t="s">
        <v>85</v>
      </c>
      <c r="D17" t="s">
        <v>86</v>
      </c>
      <c r="E17" t="s">
        <v>80</v>
      </c>
      <c r="F17" t="s">
        <v>40</v>
      </c>
      <c r="G17">
        <v>0.96</v>
      </c>
      <c r="H17">
        <v>175</v>
      </c>
      <c r="I17">
        <v>168</v>
      </c>
      <c r="J17">
        <v>120</v>
      </c>
      <c r="K17" t="s">
        <v>41</v>
      </c>
      <c r="L17" t="s">
        <v>87</v>
      </c>
      <c r="M17">
        <v>0</v>
      </c>
      <c r="N17">
        <v>0</v>
      </c>
      <c r="O17">
        <v>0</v>
      </c>
      <c r="P17" t="s">
        <v>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0</v>
      </c>
      <c r="AB17">
        <v>0</v>
      </c>
      <c r="AC17">
        <v>9</v>
      </c>
      <c r="AD17">
        <v>8</v>
      </c>
      <c r="AE17">
        <v>8</v>
      </c>
      <c r="AF17">
        <v>17</v>
      </c>
      <c r="AG17">
        <v>29</v>
      </c>
      <c r="AH17">
        <v>0</v>
      </c>
      <c r="AI17">
        <v>90</v>
      </c>
      <c r="AJ17">
        <v>1</v>
      </c>
    </row>
    <row r="18" spans="1:36" x14ac:dyDescent="0.3">
      <c r="A18" t="s">
        <v>89</v>
      </c>
      <c r="B18" s="2">
        <v>45994</v>
      </c>
      <c r="C18" t="s">
        <v>37</v>
      </c>
      <c r="D18" t="s">
        <v>90</v>
      </c>
      <c r="E18" t="s">
        <v>39</v>
      </c>
      <c r="F18" t="s">
        <v>40</v>
      </c>
      <c r="G18">
        <v>0.93300000000000005</v>
      </c>
      <c r="H18">
        <v>179</v>
      </c>
      <c r="I18">
        <v>167</v>
      </c>
      <c r="J18">
        <v>150</v>
      </c>
      <c r="K18" t="s">
        <v>41</v>
      </c>
      <c r="L18" t="s">
        <v>91</v>
      </c>
      <c r="M18">
        <v>0</v>
      </c>
      <c r="N18">
        <v>0</v>
      </c>
      <c r="O18">
        <v>0</v>
      </c>
      <c r="P18" t="s">
        <v>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2</v>
      </c>
      <c r="AD18">
        <v>0</v>
      </c>
      <c r="AE18">
        <v>1</v>
      </c>
      <c r="AF18">
        <v>13</v>
      </c>
      <c r="AG18">
        <v>0</v>
      </c>
      <c r="AH18">
        <v>0</v>
      </c>
      <c r="AI18">
        <v>150</v>
      </c>
      <c r="AJ18">
        <v>0</v>
      </c>
    </row>
    <row r="19" spans="1:36" x14ac:dyDescent="0.3">
      <c r="A19" t="s">
        <v>89</v>
      </c>
      <c r="B19" s="2">
        <v>45994</v>
      </c>
      <c r="C19" t="s">
        <v>93</v>
      </c>
      <c r="D19" t="s">
        <v>94</v>
      </c>
      <c r="E19" t="s">
        <v>46</v>
      </c>
      <c r="F19" t="s">
        <v>40</v>
      </c>
      <c r="G19">
        <v>0.1429</v>
      </c>
      <c r="H19">
        <v>168</v>
      </c>
      <c r="I19">
        <v>24</v>
      </c>
      <c r="J19">
        <v>0</v>
      </c>
      <c r="K19" t="s">
        <v>41</v>
      </c>
      <c r="L19" t="s">
        <v>66</v>
      </c>
      <c r="M19">
        <v>0</v>
      </c>
      <c r="N19">
        <v>0</v>
      </c>
      <c r="O19">
        <v>12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89</v>
      </c>
      <c r="B20" s="2">
        <v>45994</v>
      </c>
      <c r="C20" t="s">
        <v>44</v>
      </c>
      <c r="D20" t="s">
        <v>45</v>
      </c>
      <c r="E20" t="s">
        <v>46</v>
      </c>
      <c r="F20" t="s">
        <v>40</v>
      </c>
      <c r="G20">
        <v>8.3299999999999999E-2</v>
      </c>
      <c r="H20">
        <v>168</v>
      </c>
      <c r="I20">
        <v>14</v>
      </c>
      <c r="J20">
        <v>0</v>
      </c>
      <c r="K20" t="s">
        <v>41</v>
      </c>
      <c r="L20" t="s">
        <v>95</v>
      </c>
      <c r="M20">
        <v>3</v>
      </c>
      <c r="N20">
        <v>5</v>
      </c>
      <c r="O20">
        <v>9</v>
      </c>
      <c r="P20" t="s">
        <v>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12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89</v>
      </c>
      <c r="B21" s="2">
        <v>45994</v>
      </c>
      <c r="C21" t="s">
        <v>48</v>
      </c>
      <c r="D21" t="s">
        <v>97</v>
      </c>
      <c r="E21" t="s">
        <v>39</v>
      </c>
      <c r="F21" t="s">
        <v>40</v>
      </c>
      <c r="G21">
        <v>0.64249999999999996</v>
      </c>
      <c r="H21">
        <v>179</v>
      </c>
      <c r="I21">
        <v>115</v>
      </c>
      <c r="J21">
        <v>82</v>
      </c>
      <c r="K21" t="s">
        <v>41</v>
      </c>
      <c r="L21" t="s">
        <v>42</v>
      </c>
      <c r="M21">
        <v>0</v>
      </c>
      <c r="N21">
        <v>4</v>
      </c>
      <c r="O21">
        <v>12</v>
      </c>
      <c r="P21" t="s">
        <v>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0</v>
      </c>
      <c r="AB21">
        <v>0</v>
      </c>
      <c r="AC21">
        <v>0</v>
      </c>
      <c r="AD21">
        <v>9</v>
      </c>
      <c r="AE21">
        <v>10</v>
      </c>
      <c r="AF21">
        <v>10</v>
      </c>
      <c r="AG21">
        <v>0</v>
      </c>
      <c r="AH21">
        <v>0</v>
      </c>
      <c r="AI21">
        <v>82</v>
      </c>
      <c r="AJ21">
        <v>0</v>
      </c>
    </row>
    <row r="22" spans="1:36" x14ac:dyDescent="0.3">
      <c r="A22" t="s">
        <v>89</v>
      </c>
      <c r="B22" s="2">
        <v>45994</v>
      </c>
      <c r="C22" t="s">
        <v>52</v>
      </c>
      <c r="D22" t="s">
        <v>53</v>
      </c>
      <c r="E22" t="s">
        <v>39</v>
      </c>
      <c r="F22" t="s">
        <v>40</v>
      </c>
      <c r="G22">
        <v>0.64249999999999996</v>
      </c>
      <c r="H22">
        <v>179</v>
      </c>
      <c r="I22">
        <v>115</v>
      </c>
      <c r="J22">
        <v>84</v>
      </c>
      <c r="K22" t="s">
        <v>41</v>
      </c>
      <c r="L22" t="s">
        <v>66</v>
      </c>
      <c r="M22">
        <v>0</v>
      </c>
      <c r="N22">
        <v>0</v>
      </c>
      <c r="O22">
        <v>12</v>
      </c>
      <c r="P22" t="s">
        <v>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11</v>
      </c>
      <c r="AE22">
        <v>10</v>
      </c>
      <c r="AF22">
        <v>10</v>
      </c>
      <c r="AG22">
        <v>0</v>
      </c>
      <c r="AH22">
        <v>0</v>
      </c>
      <c r="AI22">
        <v>84</v>
      </c>
      <c r="AJ22">
        <v>0</v>
      </c>
    </row>
    <row r="23" spans="1:36" x14ac:dyDescent="0.3">
      <c r="A23" t="s">
        <v>100</v>
      </c>
      <c r="B23" s="2">
        <v>45995</v>
      </c>
      <c r="C23" t="s">
        <v>63</v>
      </c>
      <c r="D23" t="s">
        <v>45</v>
      </c>
      <c r="E23" t="s">
        <v>65</v>
      </c>
      <c r="F23" t="s">
        <v>40</v>
      </c>
      <c r="G23">
        <v>0.28570000000000001</v>
      </c>
      <c r="H23">
        <v>168</v>
      </c>
      <c r="I23">
        <v>48</v>
      </c>
      <c r="J23">
        <v>0</v>
      </c>
      <c r="K23" t="s">
        <v>41</v>
      </c>
      <c r="L23" t="s">
        <v>42</v>
      </c>
      <c r="M23">
        <v>0</v>
      </c>
      <c r="N23">
        <v>3</v>
      </c>
      <c r="O23">
        <v>11</v>
      </c>
      <c r="P23" t="s">
        <v>101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4</v>
      </c>
      <c r="AA23">
        <v>2</v>
      </c>
      <c r="AB23">
        <v>10</v>
      </c>
      <c r="AC23">
        <v>3</v>
      </c>
      <c r="AD23">
        <v>4</v>
      </c>
      <c r="AE23">
        <v>3</v>
      </c>
      <c r="AF23">
        <v>22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100</v>
      </c>
      <c r="B24" s="2">
        <v>45995</v>
      </c>
      <c r="C24" t="s">
        <v>93</v>
      </c>
      <c r="D24" t="s">
        <v>94</v>
      </c>
      <c r="E24" t="s">
        <v>46</v>
      </c>
      <c r="F24" t="s">
        <v>40</v>
      </c>
      <c r="G24">
        <v>0.16669999999999999</v>
      </c>
      <c r="H24">
        <v>168</v>
      </c>
      <c r="I24">
        <v>28</v>
      </c>
      <c r="J24">
        <v>0</v>
      </c>
      <c r="K24" t="s">
        <v>41</v>
      </c>
      <c r="L24" t="s">
        <v>42</v>
      </c>
      <c r="M24">
        <v>0</v>
      </c>
      <c r="N24">
        <v>4</v>
      </c>
      <c r="O24">
        <v>15</v>
      </c>
      <c r="P24" t="s">
        <v>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</v>
      </c>
      <c r="AE24">
        <v>20</v>
      </c>
      <c r="AF24">
        <v>3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100</v>
      </c>
      <c r="B25" s="2">
        <v>45995</v>
      </c>
      <c r="C25" t="s">
        <v>82</v>
      </c>
      <c r="D25" t="s">
        <v>102</v>
      </c>
      <c r="E25" t="s">
        <v>80</v>
      </c>
      <c r="F25" t="s">
        <v>40</v>
      </c>
      <c r="G25">
        <v>1.006</v>
      </c>
      <c r="H25">
        <v>168</v>
      </c>
      <c r="I25">
        <v>169</v>
      </c>
      <c r="J25">
        <v>135</v>
      </c>
      <c r="K25" t="s">
        <v>41</v>
      </c>
      <c r="L25" t="s">
        <v>50</v>
      </c>
      <c r="M25">
        <v>0</v>
      </c>
      <c r="N25">
        <v>0</v>
      </c>
      <c r="O25">
        <v>1</v>
      </c>
      <c r="P25" t="s">
        <v>84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1</v>
      </c>
      <c r="AE25">
        <v>9</v>
      </c>
      <c r="AF25">
        <v>17</v>
      </c>
      <c r="AG25">
        <v>0</v>
      </c>
      <c r="AH25">
        <v>0</v>
      </c>
      <c r="AI25">
        <v>135</v>
      </c>
      <c r="AJ25">
        <v>0</v>
      </c>
    </row>
    <row r="26" spans="1:36" x14ac:dyDescent="0.3">
      <c r="A26" t="s">
        <v>103</v>
      </c>
      <c r="B26" s="2">
        <v>45996</v>
      </c>
      <c r="C26" t="s">
        <v>60</v>
      </c>
      <c r="D26" t="s">
        <v>104</v>
      </c>
      <c r="E26" t="s">
        <v>39</v>
      </c>
      <c r="F26" t="s">
        <v>40</v>
      </c>
      <c r="G26">
        <v>0.16200000000000001</v>
      </c>
      <c r="H26">
        <v>179</v>
      </c>
      <c r="I26">
        <v>29</v>
      </c>
      <c r="J26">
        <v>0</v>
      </c>
      <c r="K26" t="s">
        <v>41</v>
      </c>
      <c r="L26" t="s">
        <v>42</v>
      </c>
      <c r="M26">
        <v>0</v>
      </c>
      <c r="N26">
        <v>1</v>
      </c>
      <c r="O26">
        <v>19</v>
      </c>
      <c r="P26" t="s">
        <v>105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10</v>
      </c>
      <c r="AF26">
        <v>18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103</v>
      </c>
      <c r="B27" s="2">
        <v>45996</v>
      </c>
      <c r="C27" t="s">
        <v>63</v>
      </c>
      <c r="D27" t="s">
        <v>106</v>
      </c>
      <c r="E27" t="s">
        <v>65</v>
      </c>
      <c r="F27" t="s">
        <v>40</v>
      </c>
      <c r="G27">
        <v>0.34520000000000001</v>
      </c>
      <c r="H27">
        <v>168</v>
      </c>
      <c r="I27">
        <v>58</v>
      </c>
      <c r="J27">
        <v>0</v>
      </c>
      <c r="K27" t="s">
        <v>41</v>
      </c>
      <c r="L27" t="s">
        <v>95</v>
      </c>
      <c r="M27">
        <v>1</v>
      </c>
      <c r="N27">
        <v>0</v>
      </c>
      <c r="O27">
        <v>10</v>
      </c>
      <c r="P27" t="s">
        <v>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</v>
      </c>
      <c r="AA27">
        <v>0</v>
      </c>
      <c r="AB27">
        <v>1</v>
      </c>
      <c r="AC27">
        <v>8</v>
      </c>
      <c r="AD27">
        <v>10</v>
      </c>
      <c r="AE27">
        <v>7</v>
      </c>
      <c r="AF27">
        <v>26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103</v>
      </c>
      <c r="B28" s="2">
        <v>45996</v>
      </c>
      <c r="C28" t="s">
        <v>37</v>
      </c>
      <c r="D28" t="s">
        <v>107</v>
      </c>
      <c r="E28" t="s">
        <v>39</v>
      </c>
      <c r="F28" t="s">
        <v>40</v>
      </c>
      <c r="G28">
        <v>0.91620000000000001</v>
      </c>
      <c r="H28">
        <v>179</v>
      </c>
      <c r="I28">
        <v>164</v>
      </c>
      <c r="J28">
        <v>140</v>
      </c>
      <c r="K28" t="s">
        <v>41</v>
      </c>
      <c r="L28" t="s">
        <v>108</v>
      </c>
      <c r="M28">
        <v>0</v>
      </c>
      <c r="N28">
        <v>0</v>
      </c>
      <c r="O28">
        <v>0</v>
      </c>
      <c r="P28" t="s">
        <v>109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9</v>
      </c>
      <c r="AF28">
        <v>10</v>
      </c>
      <c r="AG28">
        <v>0</v>
      </c>
      <c r="AH28">
        <v>0</v>
      </c>
      <c r="AI28">
        <v>140</v>
      </c>
      <c r="AJ28">
        <v>0</v>
      </c>
    </row>
    <row r="29" spans="1:36" x14ac:dyDescent="0.3">
      <c r="A29" t="s">
        <v>103</v>
      </c>
      <c r="B29" s="2">
        <v>45996</v>
      </c>
      <c r="C29" t="s">
        <v>93</v>
      </c>
      <c r="D29" t="s">
        <v>110</v>
      </c>
      <c r="E29" t="s">
        <v>46</v>
      </c>
      <c r="F29" t="s">
        <v>40</v>
      </c>
      <c r="G29">
        <v>0.15479999999999999</v>
      </c>
      <c r="H29">
        <v>168</v>
      </c>
      <c r="I29">
        <v>26</v>
      </c>
      <c r="J29">
        <v>0</v>
      </c>
      <c r="K29" t="s">
        <v>41</v>
      </c>
      <c r="L29" t="s">
        <v>66</v>
      </c>
      <c r="M29">
        <v>0</v>
      </c>
      <c r="N29">
        <v>0</v>
      </c>
      <c r="O29">
        <v>13</v>
      </c>
      <c r="P29" t="s">
        <v>47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17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103</v>
      </c>
      <c r="B30" s="2">
        <v>45996</v>
      </c>
      <c r="C30" t="s">
        <v>44</v>
      </c>
      <c r="D30" t="s">
        <v>45</v>
      </c>
      <c r="E30" t="s">
        <v>46</v>
      </c>
      <c r="F30" t="s">
        <v>40</v>
      </c>
      <c r="G30">
        <v>0.17860000000000001</v>
      </c>
      <c r="H30">
        <v>168</v>
      </c>
      <c r="I30">
        <v>30</v>
      </c>
      <c r="J30">
        <v>0</v>
      </c>
      <c r="K30" t="s">
        <v>41</v>
      </c>
      <c r="L30" t="s">
        <v>50</v>
      </c>
      <c r="M30">
        <v>0</v>
      </c>
      <c r="N30">
        <v>0</v>
      </c>
      <c r="O30">
        <v>25</v>
      </c>
      <c r="P30" t="s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13</v>
      </c>
      <c r="AF30">
        <v>17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103</v>
      </c>
      <c r="B31" s="2">
        <v>45996</v>
      </c>
      <c r="C31" t="s">
        <v>72</v>
      </c>
      <c r="D31" t="s">
        <v>111</v>
      </c>
      <c r="E31" t="s">
        <v>39</v>
      </c>
      <c r="F31" t="s">
        <v>40</v>
      </c>
      <c r="G31">
        <v>0.49159999999999998</v>
      </c>
      <c r="H31">
        <v>179</v>
      </c>
      <c r="I31">
        <v>88</v>
      </c>
      <c r="J31">
        <v>45</v>
      </c>
      <c r="K31" t="s">
        <v>41</v>
      </c>
      <c r="L31" t="s">
        <v>42</v>
      </c>
      <c r="M31">
        <v>0</v>
      </c>
      <c r="N31">
        <v>2</v>
      </c>
      <c r="O31">
        <v>61</v>
      </c>
      <c r="P31" t="s">
        <v>43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v>0</v>
      </c>
      <c r="AC31">
        <v>1</v>
      </c>
      <c r="AD31">
        <v>20</v>
      </c>
      <c r="AE31">
        <v>8</v>
      </c>
      <c r="AF31">
        <v>12</v>
      </c>
      <c r="AG31">
        <v>0</v>
      </c>
      <c r="AH31">
        <v>0</v>
      </c>
      <c r="AI31">
        <v>45</v>
      </c>
      <c r="AJ31">
        <v>0</v>
      </c>
    </row>
    <row r="32" spans="1:36" x14ac:dyDescent="0.3">
      <c r="A32" t="s">
        <v>103</v>
      </c>
      <c r="B32" s="2">
        <v>45996</v>
      </c>
      <c r="C32" t="s">
        <v>48</v>
      </c>
      <c r="D32" t="s">
        <v>112</v>
      </c>
      <c r="E32" t="s">
        <v>39</v>
      </c>
      <c r="F32" t="s">
        <v>40</v>
      </c>
      <c r="G32">
        <v>0.1173</v>
      </c>
      <c r="H32">
        <v>179</v>
      </c>
      <c r="I32">
        <v>21</v>
      </c>
      <c r="J32">
        <v>0</v>
      </c>
      <c r="K32" t="s">
        <v>41</v>
      </c>
      <c r="L32" t="s">
        <v>50</v>
      </c>
      <c r="M32">
        <v>0</v>
      </c>
      <c r="N32">
        <v>0</v>
      </c>
      <c r="O32">
        <v>1</v>
      </c>
      <c r="P32" t="s">
        <v>74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11</v>
      </c>
      <c r="AF32">
        <v>10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103</v>
      </c>
      <c r="B33" s="2">
        <v>45996</v>
      </c>
      <c r="C33" t="s">
        <v>52</v>
      </c>
      <c r="D33" t="s">
        <v>113</v>
      </c>
      <c r="E33" t="s">
        <v>39</v>
      </c>
      <c r="F33" t="s">
        <v>40</v>
      </c>
      <c r="G33">
        <v>0.16200000000000001</v>
      </c>
      <c r="H33">
        <v>179</v>
      </c>
      <c r="I33">
        <v>29</v>
      </c>
      <c r="J33">
        <v>0</v>
      </c>
      <c r="K33" t="s">
        <v>41</v>
      </c>
      <c r="L33" t="s">
        <v>42</v>
      </c>
      <c r="M33">
        <v>0</v>
      </c>
      <c r="N33">
        <v>3</v>
      </c>
      <c r="O33">
        <v>11</v>
      </c>
      <c r="P33" t="s">
        <v>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19</v>
      </c>
      <c r="AF33">
        <v>10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103</v>
      </c>
      <c r="B34" s="2">
        <v>45996</v>
      </c>
      <c r="C34" t="s">
        <v>55</v>
      </c>
      <c r="D34" t="s">
        <v>53</v>
      </c>
      <c r="E34" t="s">
        <v>39</v>
      </c>
      <c r="F34" t="s">
        <v>40</v>
      </c>
      <c r="G34">
        <v>0.3911</v>
      </c>
      <c r="H34">
        <v>179</v>
      </c>
      <c r="I34">
        <v>70</v>
      </c>
      <c r="J34">
        <v>45</v>
      </c>
      <c r="K34" t="s">
        <v>41</v>
      </c>
      <c r="L34" t="s">
        <v>114</v>
      </c>
      <c r="M34">
        <v>0</v>
      </c>
      <c r="N34">
        <v>0</v>
      </c>
      <c r="O34">
        <v>0</v>
      </c>
      <c r="P34" t="s">
        <v>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</v>
      </c>
      <c r="AE34">
        <v>10</v>
      </c>
      <c r="AF34">
        <v>10</v>
      </c>
      <c r="AG34">
        <v>0</v>
      </c>
      <c r="AH34">
        <v>0</v>
      </c>
      <c r="AI34">
        <v>46</v>
      </c>
      <c r="AJ34">
        <v>0</v>
      </c>
    </row>
    <row r="35" spans="1:36" x14ac:dyDescent="0.3">
      <c r="A35" t="s">
        <v>115</v>
      </c>
      <c r="B35" s="2">
        <v>45997</v>
      </c>
      <c r="C35" t="s">
        <v>63</v>
      </c>
      <c r="D35" t="s">
        <v>45</v>
      </c>
      <c r="E35" t="s">
        <v>65</v>
      </c>
      <c r="F35" t="s">
        <v>40</v>
      </c>
      <c r="G35">
        <v>0.125</v>
      </c>
      <c r="H35">
        <v>168</v>
      </c>
      <c r="I35">
        <v>21</v>
      </c>
      <c r="J35">
        <v>0</v>
      </c>
      <c r="K35" t="s">
        <v>41</v>
      </c>
      <c r="L35" t="s">
        <v>66</v>
      </c>
      <c r="M35">
        <v>0</v>
      </c>
      <c r="N35">
        <v>0</v>
      </c>
      <c r="O35">
        <v>1</v>
      </c>
      <c r="P35" t="s">
        <v>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8</v>
      </c>
      <c r="AE35">
        <v>2</v>
      </c>
      <c r="AF35">
        <v>10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115</v>
      </c>
      <c r="B36" s="2">
        <v>45997</v>
      </c>
      <c r="C36" t="s">
        <v>116</v>
      </c>
      <c r="D36" t="s">
        <v>117</v>
      </c>
      <c r="E36" t="s">
        <v>39</v>
      </c>
      <c r="F36" t="s">
        <v>40</v>
      </c>
      <c r="G36">
        <v>0.35749999999999998</v>
      </c>
      <c r="H36">
        <v>179</v>
      </c>
      <c r="I36">
        <v>64</v>
      </c>
      <c r="J36">
        <v>29</v>
      </c>
      <c r="K36" t="s">
        <v>41</v>
      </c>
      <c r="L36" t="s">
        <v>42</v>
      </c>
      <c r="M36">
        <v>0</v>
      </c>
      <c r="N36">
        <v>5</v>
      </c>
      <c r="O36">
        <v>15</v>
      </c>
      <c r="P36" t="s">
        <v>69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0</v>
      </c>
      <c r="AB36">
        <v>0</v>
      </c>
      <c r="AC36">
        <v>0</v>
      </c>
      <c r="AD36">
        <v>2</v>
      </c>
      <c r="AE36">
        <v>20</v>
      </c>
      <c r="AF36">
        <v>10</v>
      </c>
      <c r="AG36">
        <v>0</v>
      </c>
      <c r="AH36">
        <v>0</v>
      </c>
      <c r="AI36">
        <v>29</v>
      </c>
      <c r="AJ36">
        <v>0</v>
      </c>
    </row>
    <row r="37" spans="1:36" x14ac:dyDescent="0.3">
      <c r="A37" t="s">
        <v>115</v>
      </c>
      <c r="B37" s="2">
        <v>45997</v>
      </c>
      <c r="C37" t="s">
        <v>93</v>
      </c>
      <c r="D37" t="s">
        <v>94</v>
      </c>
      <c r="E37" t="s">
        <v>46</v>
      </c>
      <c r="F37" t="s">
        <v>40</v>
      </c>
      <c r="G37">
        <v>7.7399999999999997E-2</v>
      </c>
      <c r="H37">
        <v>168</v>
      </c>
      <c r="I37">
        <v>13</v>
      </c>
      <c r="J37">
        <v>0</v>
      </c>
      <c r="K37" t="s">
        <v>41</v>
      </c>
      <c r="L37" t="s">
        <v>42</v>
      </c>
      <c r="M37">
        <v>0</v>
      </c>
      <c r="N37">
        <v>2</v>
      </c>
      <c r="O37">
        <v>4</v>
      </c>
      <c r="P37" t="s">
        <v>47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12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115</v>
      </c>
      <c r="B38" s="2">
        <v>45997</v>
      </c>
      <c r="C38" t="s">
        <v>48</v>
      </c>
      <c r="D38" t="s">
        <v>118</v>
      </c>
      <c r="E38" t="s">
        <v>39</v>
      </c>
      <c r="F38" t="s">
        <v>40</v>
      </c>
      <c r="G38">
        <v>0.8659</v>
      </c>
      <c r="H38">
        <v>179</v>
      </c>
      <c r="I38">
        <v>155</v>
      </c>
      <c r="J38">
        <v>113</v>
      </c>
      <c r="K38" t="s">
        <v>41</v>
      </c>
      <c r="L38" t="s">
        <v>42</v>
      </c>
      <c r="M38">
        <v>0</v>
      </c>
      <c r="N38">
        <v>1</v>
      </c>
      <c r="O38">
        <v>46</v>
      </c>
      <c r="P38" t="s">
        <v>98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1</v>
      </c>
      <c r="AD38">
        <v>9</v>
      </c>
      <c r="AE38">
        <v>20</v>
      </c>
      <c r="AF38">
        <v>10</v>
      </c>
      <c r="AG38">
        <v>0</v>
      </c>
      <c r="AH38">
        <v>0</v>
      </c>
      <c r="AI38">
        <v>113</v>
      </c>
      <c r="AJ38">
        <v>0</v>
      </c>
    </row>
    <row r="39" spans="1:36" x14ac:dyDescent="0.3">
      <c r="A39" t="s">
        <v>115</v>
      </c>
      <c r="B39" s="2">
        <v>45997</v>
      </c>
      <c r="C39" t="s">
        <v>52</v>
      </c>
      <c r="D39" t="s">
        <v>119</v>
      </c>
      <c r="E39" t="s">
        <v>39</v>
      </c>
      <c r="F39" t="s">
        <v>40</v>
      </c>
      <c r="G39">
        <v>1.0223</v>
      </c>
      <c r="H39">
        <v>179</v>
      </c>
      <c r="I39">
        <v>183</v>
      </c>
      <c r="J39">
        <v>178</v>
      </c>
      <c r="K39" t="s">
        <v>41</v>
      </c>
      <c r="L39" t="s">
        <v>120</v>
      </c>
      <c r="M39">
        <v>0</v>
      </c>
      <c r="N39">
        <v>0</v>
      </c>
      <c r="O39">
        <v>46</v>
      </c>
      <c r="P39" t="s">
        <v>84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</v>
      </c>
      <c r="AG39">
        <v>45</v>
      </c>
      <c r="AH39">
        <v>0</v>
      </c>
      <c r="AI39">
        <v>130</v>
      </c>
      <c r="AJ39">
        <v>3</v>
      </c>
    </row>
    <row r="40" spans="1:36" x14ac:dyDescent="0.3">
      <c r="A40" t="s">
        <v>115</v>
      </c>
      <c r="B40" s="2">
        <v>45997</v>
      </c>
      <c r="C40" t="s">
        <v>82</v>
      </c>
      <c r="D40" t="s">
        <v>121</v>
      </c>
      <c r="E40" t="s">
        <v>80</v>
      </c>
      <c r="F40" t="s">
        <v>40</v>
      </c>
      <c r="G40">
        <v>1.0417000000000001</v>
      </c>
      <c r="H40">
        <v>168</v>
      </c>
      <c r="I40">
        <v>175</v>
      </c>
      <c r="J40">
        <v>137</v>
      </c>
      <c r="K40" t="s">
        <v>41</v>
      </c>
      <c r="L40" t="s">
        <v>122</v>
      </c>
      <c r="M40">
        <v>0</v>
      </c>
      <c r="N40">
        <v>0</v>
      </c>
      <c r="O40">
        <v>8</v>
      </c>
      <c r="P40" t="s">
        <v>84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8</v>
      </c>
      <c r="AE40">
        <v>9</v>
      </c>
      <c r="AF40">
        <v>17</v>
      </c>
      <c r="AG40">
        <v>0</v>
      </c>
      <c r="AH40">
        <v>0</v>
      </c>
      <c r="AI40">
        <v>137</v>
      </c>
      <c r="AJ40">
        <v>2</v>
      </c>
    </row>
    <row r="41" spans="1:36" x14ac:dyDescent="0.3">
      <c r="A41" t="s">
        <v>123</v>
      </c>
      <c r="B41" s="2">
        <v>45998</v>
      </c>
      <c r="C41" t="s">
        <v>60</v>
      </c>
      <c r="D41" t="s">
        <v>124</v>
      </c>
      <c r="E41" t="s">
        <v>39</v>
      </c>
      <c r="F41" t="s">
        <v>40</v>
      </c>
      <c r="G41">
        <v>0.49719999999999998</v>
      </c>
      <c r="H41">
        <v>179</v>
      </c>
      <c r="I41">
        <v>89</v>
      </c>
      <c r="J41">
        <v>61</v>
      </c>
      <c r="K41" t="s">
        <v>41</v>
      </c>
      <c r="L41" t="s">
        <v>42</v>
      </c>
      <c r="M41">
        <v>0</v>
      </c>
      <c r="N41">
        <v>2</v>
      </c>
      <c r="O41">
        <v>9</v>
      </c>
      <c r="P41" t="s">
        <v>74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</v>
      </c>
      <c r="AD41">
        <v>1</v>
      </c>
      <c r="AE41">
        <v>10</v>
      </c>
      <c r="AF41">
        <v>10</v>
      </c>
      <c r="AG41">
        <v>25</v>
      </c>
      <c r="AH41">
        <v>0</v>
      </c>
      <c r="AI41">
        <v>36</v>
      </c>
      <c r="AJ41">
        <v>0</v>
      </c>
    </row>
    <row r="42" spans="1:36" x14ac:dyDescent="0.3">
      <c r="A42" t="s">
        <v>123</v>
      </c>
      <c r="B42" s="2">
        <v>45998</v>
      </c>
      <c r="C42" t="s">
        <v>125</v>
      </c>
      <c r="D42" t="s">
        <v>118</v>
      </c>
      <c r="E42" t="s">
        <v>39</v>
      </c>
      <c r="F42" t="s">
        <v>40</v>
      </c>
      <c r="G42">
        <v>0.16669999999999999</v>
      </c>
      <c r="H42">
        <v>168</v>
      </c>
      <c r="I42">
        <v>28</v>
      </c>
      <c r="J42">
        <v>0</v>
      </c>
      <c r="K42" t="s">
        <v>41</v>
      </c>
      <c r="L42" t="s">
        <v>42</v>
      </c>
      <c r="M42">
        <v>0</v>
      </c>
      <c r="N42">
        <v>1</v>
      </c>
      <c r="O42">
        <v>18</v>
      </c>
      <c r="P42" t="s">
        <v>62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9</v>
      </c>
      <c r="AA42">
        <v>0</v>
      </c>
      <c r="AB42">
        <v>0</v>
      </c>
      <c r="AC42">
        <v>0</v>
      </c>
      <c r="AD42">
        <v>0</v>
      </c>
      <c r="AE42">
        <v>9</v>
      </c>
      <c r="AF42">
        <v>10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123</v>
      </c>
      <c r="B43" s="2">
        <v>45998</v>
      </c>
      <c r="C43" t="s">
        <v>37</v>
      </c>
      <c r="D43" t="s">
        <v>126</v>
      </c>
      <c r="E43" t="s">
        <v>39</v>
      </c>
      <c r="F43" t="s">
        <v>40</v>
      </c>
      <c r="G43">
        <v>0.86029999999999995</v>
      </c>
      <c r="H43">
        <v>179</v>
      </c>
      <c r="I43">
        <v>154</v>
      </c>
      <c r="J43">
        <v>130</v>
      </c>
      <c r="K43" t="s">
        <v>41</v>
      </c>
      <c r="L43" t="s">
        <v>42</v>
      </c>
      <c r="M43">
        <v>0</v>
      </c>
      <c r="N43">
        <v>1</v>
      </c>
      <c r="O43">
        <v>38</v>
      </c>
      <c r="P43" t="s">
        <v>127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3</v>
      </c>
      <c r="AE43">
        <v>9</v>
      </c>
      <c r="AF43">
        <v>9</v>
      </c>
      <c r="AG43">
        <v>0</v>
      </c>
      <c r="AH43">
        <v>0</v>
      </c>
      <c r="AI43">
        <v>130</v>
      </c>
      <c r="AJ43">
        <v>0</v>
      </c>
    </row>
    <row r="44" spans="1:36" x14ac:dyDescent="0.3">
      <c r="A44" t="s">
        <v>123</v>
      </c>
      <c r="B44" s="2">
        <v>45998</v>
      </c>
      <c r="C44" t="s">
        <v>93</v>
      </c>
      <c r="D44" t="s">
        <v>128</v>
      </c>
      <c r="E44" t="s">
        <v>46</v>
      </c>
      <c r="F44" t="s">
        <v>40</v>
      </c>
      <c r="G44">
        <v>4.1700000000000001E-2</v>
      </c>
      <c r="H44">
        <v>168</v>
      </c>
      <c r="I44">
        <v>7</v>
      </c>
      <c r="J44">
        <v>0</v>
      </c>
      <c r="K44" t="s">
        <v>41</v>
      </c>
      <c r="L44" t="s">
        <v>122</v>
      </c>
      <c r="M44">
        <v>0</v>
      </c>
      <c r="N44">
        <v>0</v>
      </c>
      <c r="O44">
        <v>1</v>
      </c>
      <c r="P44" t="s">
        <v>47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6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123</v>
      </c>
      <c r="B45" s="2">
        <v>45998</v>
      </c>
      <c r="C45" t="s">
        <v>48</v>
      </c>
      <c r="D45" t="s">
        <v>112</v>
      </c>
      <c r="E45" t="s">
        <v>39</v>
      </c>
      <c r="F45" t="s">
        <v>40</v>
      </c>
      <c r="G45">
        <v>0.1676</v>
      </c>
      <c r="H45">
        <v>179</v>
      </c>
      <c r="I45">
        <v>30</v>
      </c>
      <c r="J45">
        <v>0</v>
      </c>
      <c r="K45" t="s">
        <v>41</v>
      </c>
      <c r="L45" t="s">
        <v>42</v>
      </c>
      <c r="M45">
        <v>0</v>
      </c>
      <c r="N45">
        <v>2</v>
      </c>
      <c r="O45">
        <v>20</v>
      </c>
      <c r="P45" t="s">
        <v>69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10</v>
      </c>
      <c r="AF45">
        <v>20</v>
      </c>
      <c r="AG45">
        <v>0</v>
      </c>
      <c r="AH45">
        <v>0</v>
      </c>
      <c r="AI45">
        <v>0</v>
      </c>
      <c r="AJ45">
        <v>0</v>
      </c>
    </row>
    <row r="46" spans="1:36" x14ac:dyDescent="0.3">
      <c r="A46" t="s">
        <v>123</v>
      </c>
      <c r="B46" s="2">
        <v>45998</v>
      </c>
      <c r="C46" t="s">
        <v>52</v>
      </c>
      <c r="D46" t="s">
        <v>129</v>
      </c>
      <c r="E46" t="s">
        <v>39</v>
      </c>
      <c r="F46" t="s">
        <v>40</v>
      </c>
      <c r="G46">
        <v>0.96650000000000003</v>
      </c>
      <c r="H46">
        <v>179</v>
      </c>
      <c r="I46">
        <v>173</v>
      </c>
      <c r="J46">
        <v>155</v>
      </c>
      <c r="K46" t="s">
        <v>41</v>
      </c>
      <c r="L46" t="s">
        <v>42</v>
      </c>
      <c r="M46">
        <v>0</v>
      </c>
      <c r="N46">
        <v>3</v>
      </c>
      <c r="O46">
        <v>3</v>
      </c>
      <c r="P46" t="s">
        <v>130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8</v>
      </c>
      <c r="AF46">
        <v>10</v>
      </c>
      <c r="AG46">
        <v>0</v>
      </c>
      <c r="AH46">
        <v>0</v>
      </c>
      <c r="AI46">
        <v>155</v>
      </c>
      <c r="AJ46">
        <v>0</v>
      </c>
    </row>
    <row r="47" spans="1:36" x14ac:dyDescent="0.3">
      <c r="A47" t="s">
        <v>123</v>
      </c>
      <c r="B47" s="2">
        <v>45998</v>
      </c>
      <c r="C47" t="s">
        <v>82</v>
      </c>
      <c r="D47" t="s">
        <v>131</v>
      </c>
      <c r="E47" t="s">
        <v>80</v>
      </c>
      <c r="F47" t="s">
        <v>40</v>
      </c>
      <c r="G47">
        <v>1.0595000000000001</v>
      </c>
      <c r="H47">
        <v>168</v>
      </c>
      <c r="I47">
        <v>178</v>
      </c>
      <c r="J47">
        <v>145</v>
      </c>
      <c r="K47" t="s">
        <v>41</v>
      </c>
      <c r="L47" t="s">
        <v>122</v>
      </c>
      <c r="M47">
        <v>0</v>
      </c>
      <c r="N47">
        <v>0</v>
      </c>
      <c r="O47">
        <v>11</v>
      </c>
      <c r="P47" t="s">
        <v>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</v>
      </c>
      <c r="Z47">
        <v>4</v>
      </c>
      <c r="AA47">
        <v>4</v>
      </c>
      <c r="AB47">
        <v>4</v>
      </c>
      <c r="AC47">
        <v>4</v>
      </c>
      <c r="AD47">
        <v>6</v>
      </c>
      <c r="AE47">
        <v>4</v>
      </c>
      <c r="AF47">
        <v>4</v>
      </c>
      <c r="AG47">
        <v>0</v>
      </c>
      <c r="AH47">
        <v>0</v>
      </c>
      <c r="AI47">
        <v>145</v>
      </c>
      <c r="AJ47">
        <v>0</v>
      </c>
    </row>
    <row r="48" spans="1:36" ht="18" x14ac:dyDescent="0.35">
      <c r="A48" s="3" t="s">
        <v>132</v>
      </c>
      <c r="B48" s="4"/>
      <c r="C48" s="3">
        <f>SUBTOTAL(103,LF_ALL_ROUTES[Flt])</f>
        <v>46</v>
      </c>
      <c r="D48" s="3"/>
      <c r="E48" s="3">
        <f>SUBTOTAL(103,LF_ALL_ROUTES[Brd-Off])</f>
        <v>46</v>
      </c>
      <c r="F48" s="3"/>
      <c r="G48" s="5">
        <f>SUBTOTAL(101,LF_ALL_ROUTES[LF%])</f>
        <v>0.52233260869565212</v>
      </c>
      <c r="H48" s="3"/>
      <c r="I48" s="3"/>
      <c r="J48" s="3"/>
      <c r="K48" s="3"/>
      <c r="L48" s="4"/>
      <c r="M48" s="3"/>
      <c r="N48" s="3"/>
      <c r="O48" s="3"/>
      <c r="P48" s="3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>
        <f>SUBTOTAL(109,LF_ALL_ROUTES[N])</f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2025-11-23T04:29:37Z</dcterms:created>
  <dcterms:modified xsi:type="dcterms:W3CDTF">2025-11-23T04:29:39Z</dcterms:modified>
</cp:coreProperties>
</file>