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tables/table9.xml" ContentType="application/vnd.openxmlformats-officedocument.spreadsheetml.table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F1A18515-2271-445C-809D-B57C8E3B1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JED-HBE" sheetId="5" r:id="rId5"/>
    <sheet name="JED-HBE LF LEGACY" sheetId="6" r:id="rId6"/>
    <sheet name="JED-HBE - FOCUS MODE" sheetId="7" r:id="rId7"/>
    <sheet name="JED-HBE - OAL Threats Alert" sheetId="8" r:id="rId8"/>
    <sheet name="JED-ATZ" sheetId="9" r:id="rId9"/>
    <sheet name="JED-ATZ LF LEGACY" sheetId="10" r:id="rId10"/>
    <sheet name="JED-ATZ - FOCUS MODE" sheetId="11" r:id="rId11"/>
    <sheet name="JED-ATZ - OAL Threats Aler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0" l="1"/>
  <c r="E11" i="10"/>
  <c r="G11" i="10"/>
  <c r="H11" i="10"/>
  <c r="I11" i="10"/>
  <c r="J11" i="10"/>
  <c r="M11" i="10"/>
  <c r="N11" i="10"/>
  <c r="O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C9" i="6"/>
  <c r="E9" i="6"/>
  <c r="G9" i="6"/>
  <c r="H9" i="6"/>
  <c r="I9" i="6"/>
  <c r="J9" i="6"/>
  <c r="M9" i="6"/>
  <c r="N9" i="6"/>
  <c r="O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C20" i="2"/>
  <c r="E20" i="2"/>
  <c r="G20" i="2"/>
  <c r="H20" i="2"/>
  <c r="I20" i="2"/>
  <c r="J20" i="2"/>
  <c r="M20" i="2"/>
  <c r="N20" i="2"/>
  <c r="O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16" authorId="0" shapeId="0" xr:uid="{D0F0BB7A-5E3C-46F1-AB27-7E5266766F6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B16" authorId="0" shapeId="0" xr:uid="{976C09B5-23F6-4459-9A97-223DD11C28B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C16" authorId="0" shapeId="0" xr:uid="{7940668B-EFD4-4463-B78F-5740665BF83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D16" authorId="0" shapeId="0" xr:uid="{5C23DBD9-8FA9-4A31-B98D-8803FA5AFA4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E16" authorId="0" shapeId="0" xr:uid="{7D7DA755-275D-44D6-BFC8-8FDD3888B8C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F16" authorId="0" shapeId="0" xr:uid="{A8823E75-7D72-4950-8571-464378063D1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G16" authorId="0" shapeId="0" xr:uid="{1F4AFF54-196D-4AA0-9CED-836EA306AF7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H16" authorId="0" shapeId="0" xr:uid="{C4EDD9ED-38E6-49A4-B01B-06EBDD567B0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A43" authorId="0" shapeId="0" xr:uid="{4AF258E8-A279-4992-A69F-2D76993E8E8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B43" authorId="0" shapeId="0" xr:uid="{188DA0F8-2ABB-48D3-B720-F8439C926BA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C43" authorId="0" shapeId="0" xr:uid="{E7241B8E-7C9A-4ACA-8334-4EF9D272D2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D43" authorId="0" shapeId="0" xr:uid="{5778F6A6-095F-4C27-8868-FD07EE88E35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E43" authorId="0" shapeId="0" xr:uid="{F17FA88E-68EC-4196-AA3F-91E135575F4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F43" authorId="0" shapeId="0" xr:uid="{E88AE2AC-AC14-47B3-9853-8ED9F2B6D58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G43" authorId="0" shapeId="0" xr:uid="{3FE48097-9F5A-46AC-8E5D-79889DC8298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H43" authorId="0" shapeId="0" xr:uid="{23D3B681-1EFF-4C7A-ACC1-B5C14977ECA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A44" authorId="0" shapeId="0" xr:uid="{EDE71603-F51B-436A-9251-994686C999C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B44" authorId="0" shapeId="0" xr:uid="{C3BE3024-7602-4EAE-A335-E8729A6F77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C44" authorId="0" shapeId="0" xr:uid="{CB808AD0-54C3-4318-8605-9014038F647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D44" authorId="0" shapeId="0" xr:uid="{4FEA055E-18EA-426D-909D-0D433F04F1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E44" authorId="0" shapeId="0" xr:uid="{0F0DADEC-FA6F-4E94-AF45-1428AB4A1A4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F44" authorId="0" shapeId="0" xr:uid="{69584B20-0CAD-4B1D-B71E-6C4F96F8D98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G44" authorId="0" shapeId="0" xr:uid="{E7F939F6-174E-492E-A269-4D42C68AD21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H44" authorId="0" shapeId="0" xr:uid="{B8AEEB25-EE2E-402A-8DBD-3DB23819BBF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A47" authorId="0" shapeId="0" xr:uid="{F9B2A445-A544-4E78-9D12-F038A34BAAA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B47" authorId="0" shapeId="0" xr:uid="{05F053C1-7243-4D90-9F4E-7BF2A92BA1F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C47" authorId="0" shapeId="0" xr:uid="{444E54F9-8E90-4D28-82C6-F32E6A67BD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D47" authorId="0" shapeId="0" xr:uid="{AC652D65-DF0B-4EA6-A0F9-A76EA00D5AF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E47" authorId="0" shapeId="0" xr:uid="{39203C61-A880-4C40-8F80-1196F2ABFAA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F47" authorId="0" shapeId="0" xr:uid="{B10CEF64-01AB-45A9-8C3B-C99D6651D26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G47" authorId="0" shapeId="0" xr:uid="{3F8D7FEC-1757-4B83-9C92-36FC906DD92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H47" authorId="0" shapeId="0" xr:uid="{4789F011-6A77-4616-AD64-45A8905E527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A70" authorId="0" shapeId="0" xr:uid="{846E7F3E-4991-4E57-AC40-817CF93419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B70" authorId="0" shapeId="0" xr:uid="{094A7BA7-6333-4564-A391-84920546573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C70" authorId="0" shapeId="0" xr:uid="{90AD30C4-0B04-4AE5-BA43-B05A3EA9AAC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D70" authorId="0" shapeId="0" xr:uid="{EA8B917C-7E78-46C5-825E-0E72E2F14FD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E70" authorId="0" shapeId="0" xr:uid="{D25E1244-FBF0-4CB9-8355-6CE5238B839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F70" authorId="0" shapeId="0" xr:uid="{B6F4D402-DB58-4EBF-9F56-E44E089A692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G70" authorId="0" shapeId="0" xr:uid="{4381CEF4-A984-4705-BB16-A3E78372E0C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H70" authorId="0" shapeId="0" xr:uid="{E5F9DC9C-AA32-4129-AA8D-7936A81408B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A71" authorId="0" shapeId="0" xr:uid="{7419875D-C31B-48FD-9315-6024DC35F26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B71" authorId="0" shapeId="0" xr:uid="{3C3CA15E-2B0C-4131-A05D-49A0C5343E6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C71" authorId="0" shapeId="0" xr:uid="{4C7FC2B4-86C9-4F34-B7D0-AD5E6C512BB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D71" authorId="0" shapeId="0" xr:uid="{3AB60893-E562-414D-A9FC-78446DA4F3F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E71" authorId="0" shapeId="0" xr:uid="{E0B0BD38-FAB3-4B80-9A75-CE1BBA5FBD6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F71" authorId="0" shapeId="0" xr:uid="{70028707-6FD7-4A48-85D3-502A4A89C0A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G71" authorId="0" shapeId="0" xr:uid="{DE806AFC-CF5F-4760-9DA1-6C8E6C59759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H71" authorId="0" shapeId="0" xr:uid="{F36B57E2-6667-4A2D-B812-F8D2E03B70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A81" authorId="0" shapeId="0" xr:uid="{EB337D09-1810-43F9-BD1B-AE7BBF58B4C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B81" authorId="0" shapeId="0" xr:uid="{8BF64E5D-8C42-43D0-BEFF-71547CA1B5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C81" authorId="0" shapeId="0" xr:uid="{BD318886-9890-470F-9C05-10F5D245547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D81" authorId="0" shapeId="0" xr:uid="{D2046A1A-36E2-4F72-B0AC-912B173F6AD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E81" authorId="0" shapeId="0" xr:uid="{7689BBD1-AB4A-4C98-8133-11233ED5A23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F81" authorId="0" shapeId="0" xr:uid="{DD2518F6-1E4C-4ED9-90D8-F2F07573EB3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G81" authorId="0" shapeId="0" xr:uid="{0A5C55DB-07A4-4F52-8210-4F2B266F500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H81" authorId="0" shapeId="0" xr:uid="{D7124D75-4B8B-483A-B3CC-8B9C97DCA35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A115" authorId="0" shapeId="0" xr:uid="{B6DC06F0-AD17-4245-9C55-CCD92F9A117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B115" authorId="0" shapeId="0" xr:uid="{FCEF96FD-A410-445E-B6BD-CC4AAB270D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C115" authorId="0" shapeId="0" xr:uid="{30D80466-95E7-4464-8E72-6D882DFFADB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D115" authorId="0" shapeId="0" xr:uid="{580D2540-8230-4FF4-97C0-F1BD8B6E128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E115" authorId="0" shapeId="0" xr:uid="{D5658B29-908E-4118-A2D6-8771FD64030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F115" authorId="0" shapeId="0" xr:uid="{0AA73EF5-8D02-4764-AE35-7333FBFDF55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G115" authorId="0" shapeId="0" xr:uid="{8B9B1F9B-8018-4950-A3B6-DA20A7BBC8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H115" authorId="0" shapeId="0" xr:uid="{E2B872A7-A7E1-4C8A-A7C9-2C99073BC98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A128" authorId="0" shapeId="0" xr:uid="{7BF61E44-A2C9-421B-852B-CC052652D7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B128" authorId="0" shapeId="0" xr:uid="{4CC80B14-04E9-482D-BF65-19552ABB45F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C128" authorId="0" shapeId="0" xr:uid="{8C835363-58F7-440B-A061-146A65CDFFD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D128" authorId="0" shapeId="0" xr:uid="{318C7316-95BF-4F84-88A1-C6A9059ACCC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E128" authorId="0" shapeId="0" xr:uid="{ED46C0E6-8142-47B6-988A-202DF51911B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F128" authorId="0" shapeId="0" xr:uid="{B601E225-9D2A-4451-A9C7-E667633494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G128" authorId="0" shapeId="0" xr:uid="{B4927675-EFF3-4B1D-996E-9C07B79E102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H128" authorId="0" shapeId="0" xr:uid="{93AFCEA2-AA3B-49DD-8EC3-C122CF23BF4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A129" authorId="0" shapeId="0" xr:uid="{EE241633-6DD9-465E-888C-90C941D60ED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B129" authorId="0" shapeId="0" xr:uid="{C39E6A26-9237-4B99-80B7-448591C3CB3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C129" authorId="0" shapeId="0" xr:uid="{D2DA03D6-8B01-4118-AE24-EB7F0342E6B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D129" authorId="0" shapeId="0" xr:uid="{2EDA6F91-6C2C-48E8-9687-A3B84A82BDA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E129" authorId="0" shapeId="0" xr:uid="{D7621F05-7626-4180-AB68-7B334702270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F129" authorId="0" shapeId="0" xr:uid="{106172C9-F0B9-443F-A312-561EF490B10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G129" authorId="0" shapeId="0" xr:uid="{B72D3F46-D1F8-447D-A1E2-AE733C8CE65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H129" authorId="0" shapeId="0" xr:uid="{4754D731-FD8F-4159-A69E-BDC657E7055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A130" authorId="0" shapeId="0" xr:uid="{EA2FC238-5267-4CC6-952A-75520EE785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B130" authorId="0" shapeId="0" xr:uid="{84E52E66-E981-450A-BA3E-75ECE03F9B8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C130" authorId="0" shapeId="0" xr:uid="{2EE50BB5-2F65-4994-8E7D-BAC6386628A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D130" authorId="0" shapeId="0" xr:uid="{7D612AD6-0479-4188-BB18-A5B971E5C3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E130" authorId="0" shapeId="0" xr:uid="{81B7B9E1-9C78-4332-86E3-00EB0031840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F130" authorId="0" shapeId="0" xr:uid="{839E76AA-992E-4DA1-A786-6054DC0AE60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G130" authorId="0" shapeId="0" xr:uid="{9D943012-A18F-4A9A-96CA-A0249415E48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H130" authorId="0" shapeId="0" xr:uid="{D6EE3AB3-264C-400E-ABB6-1ECE30FAA80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A141" authorId="0" shapeId="0" xr:uid="{91932802-22FF-4BC0-94D4-F058189809E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B141" authorId="0" shapeId="0" xr:uid="{E16F2F78-F030-49E3-B5F7-4146DA8CD43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C141" authorId="0" shapeId="0" xr:uid="{416B9BD0-3CA0-489C-957D-FC6F20B298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D141" authorId="0" shapeId="0" xr:uid="{0E6BDB6A-6BCF-4233-BFB1-71E1D763568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E141" authorId="0" shapeId="0" xr:uid="{31F883DC-AF45-4EB2-B064-0EDFE0A32DD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F141" authorId="0" shapeId="0" xr:uid="{3DBB053D-20D1-4DD0-B9BC-18DFF23C52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G141" authorId="0" shapeId="0" xr:uid="{E092EEF9-FC9D-41E3-8CEA-27D84314933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H141" authorId="0" shapeId="0" xr:uid="{1F0925BB-9B9A-4232-84BE-D6758F05F6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A202" authorId="0" shapeId="0" xr:uid="{E41D3373-5A74-46ED-9433-FB35E80064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B202" authorId="0" shapeId="0" xr:uid="{946AC0EA-04DF-4C1E-AE65-BBFBEC2548B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C202" authorId="0" shapeId="0" xr:uid="{78040075-BDEF-4649-87DA-A2BD9FFDAFF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D202" authorId="0" shapeId="0" xr:uid="{A5D1E6BF-C7F2-44CE-8252-FF567624835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E202" authorId="0" shapeId="0" xr:uid="{95548384-4DB0-42F4-BD99-EC65B965DB3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F202" authorId="0" shapeId="0" xr:uid="{06A84B37-56FF-4A32-95B4-FC238DA6E6F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G202" authorId="0" shapeId="0" xr:uid="{E1E9EA14-25D8-4ED1-BEE1-36A2171BDF8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H202" authorId="0" shapeId="0" xr:uid="{9C47348A-6159-4145-BBA4-9A1CB896A03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A203" authorId="0" shapeId="0" xr:uid="{34F01968-D91E-45B0-8C9E-D61A22C87F2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B203" authorId="0" shapeId="0" xr:uid="{B8FE7D60-F177-487A-8A01-34022C19BCA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C203" authorId="0" shapeId="0" xr:uid="{92D97BD1-9AAA-4C90-836F-79581A7431B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D203" authorId="0" shapeId="0" xr:uid="{0D8E14D2-B6BF-455E-A24B-C7E5353B82D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E203" authorId="0" shapeId="0" xr:uid="{C890DBEF-C352-49FF-85A1-1727C4FDB09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F203" authorId="0" shapeId="0" xr:uid="{08B7CF25-1886-4B10-B196-7887D1BC834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G203" authorId="0" shapeId="0" xr:uid="{FDA63936-9D27-4BA8-BDCA-96A0700CC30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H203" authorId="0" shapeId="0" xr:uid="{9EC59E06-37F2-47D1-AA4B-0E51F4A0DF3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A206" authorId="0" shapeId="0" xr:uid="{FF327678-4D6A-4A23-9F0C-82C1CE3F841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B206" authorId="0" shapeId="0" xr:uid="{530B6F44-45CF-47B4-9B46-B98F58FA9CA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C206" authorId="0" shapeId="0" xr:uid="{CA850A06-69F7-4EB0-8AAB-44C1090D7EB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D206" authorId="0" shapeId="0" xr:uid="{2628F2F4-84AF-4705-A5C0-BA9C64C76F8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E206" authorId="0" shapeId="0" xr:uid="{BD2A78AF-675F-4B97-9836-68E3D50D22D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F206" authorId="0" shapeId="0" xr:uid="{B19CF897-3747-4EA5-A0F7-4F9142A476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G206" authorId="0" shapeId="0" xr:uid="{235C627D-9241-415E-9604-D8D75845654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H206" authorId="0" shapeId="0" xr:uid="{CC119393-B15E-4A8F-8F0B-F2F966F9179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A207" authorId="0" shapeId="0" xr:uid="{7FDCF2DE-8D8F-4941-9E8C-AA29B5D61AC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B207" authorId="0" shapeId="0" xr:uid="{1B36A71A-A6D0-4DAB-82C3-5B37746F2B5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C207" authorId="0" shapeId="0" xr:uid="{3733D4D1-A698-4AE7-AE0F-931D4A67E99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D207" authorId="0" shapeId="0" xr:uid="{EB48475B-295A-4076-AC59-981D0D5380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E207" authorId="0" shapeId="0" xr:uid="{4709B8E1-F07B-4868-98DB-B52BFD21FF8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F207" authorId="0" shapeId="0" xr:uid="{01A1720D-8FC9-4CC6-BD73-5F627E19884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G207" authorId="0" shapeId="0" xr:uid="{BB9592D6-15F2-4113-8784-9AF50C0D12E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H207" authorId="0" shapeId="0" xr:uid="{103F6349-3B54-4786-A2F6-847D9F440C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A264" authorId="0" shapeId="0" xr:uid="{64515912-CB2E-4708-8502-528006313C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B264" authorId="0" shapeId="0" xr:uid="{4DFAFA83-A495-469A-AF2C-9F12D585211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C264" authorId="0" shapeId="0" xr:uid="{0702763E-918B-45E7-A630-7235F478E47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D264" authorId="0" shapeId="0" xr:uid="{ECE64156-3724-46AD-8217-61ECE8DA66C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E264" authorId="0" shapeId="0" xr:uid="{0F817BDB-444F-437E-9398-DDD0A750EB0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F264" authorId="0" shapeId="0" xr:uid="{07CF97B9-8EBE-4578-AD76-AEEDF183F11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G264" authorId="0" shapeId="0" xr:uid="{6432623F-02D1-4FC7-AE4B-F119C3C11E4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H264" authorId="0" shapeId="0" xr:uid="{01C1BC4A-3F9A-41F3-B3C2-163AA0A86E1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A265" authorId="0" shapeId="0" xr:uid="{837B9075-8A19-4ED4-9E71-8FB98AAE428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B265" authorId="0" shapeId="0" xr:uid="{51F70E34-9EF0-4301-8C28-2C3CFA8D3F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C265" authorId="0" shapeId="0" xr:uid="{FFA15C18-D188-4E18-A4B1-145BC1E869F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D265" authorId="0" shapeId="0" xr:uid="{291884DD-E600-4227-AA3E-8612AC8697A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E265" authorId="0" shapeId="0" xr:uid="{CACA10FC-AA98-4DA2-8D58-AE5F9ED7D75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F265" authorId="0" shapeId="0" xr:uid="{561253B5-7ABA-4321-ACDC-58740E55423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G265" authorId="0" shapeId="0" xr:uid="{E9EBA6D8-F99C-44F2-8F38-4000B27F0EE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H265" authorId="0" shapeId="0" xr:uid="{9AEEFFBE-8B58-4F5B-9452-298D2FDA471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98677FC9-51BC-4E39-9D68-3D9CF06CF8B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B2" authorId="0" shapeId="0" xr:uid="{AE0BC524-C2EE-4CA9-896D-3D5F4998AC0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C2" authorId="0" shapeId="0" xr:uid="{273CF8C6-563E-4A39-99CF-A9A9F31358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D2" authorId="0" shapeId="0" xr:uid="{A0C136E8-57D5-4B36-80B7-F61F6A4D9EB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E2" authorId="0" shapeId="0" xr:uid="{2F5BEED0-33BC-48BC-B82C-97EE8F8A730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F2" authorId="0" shapeId="0" xr:uid="{AA5F4329-5A64-4B7F-BFC1-C1B135AD5A1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G2" authorId="0" shapeId="0" xr:uid="{0152722B-D896-45AA-BA45-0F41176D834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H2" authorId="0" shapeId="0" xr:uid="{5B88B95E-A4A1-4689-954A-9378A7AC7AD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K1]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16-NOV]_x000D_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K2 &amp; L1 &amp; G3 &amp; S3 &amp; W4 &amp; T10 &amp; X12 &amp; U5 &amp; O6 &amp; I4 &amp; E45 &amp; P82 &amp; N1</t>
        </r>
      </text>
    </comment>
    <comment ref="A4" authorId="0" shapeId="0" xr:uid="{53A228EE-9EE9-496C-B48E-E6E9E862AC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B4" authorId="0" shapeId="0" xr:uid="{4D1B51F0-3C20-40FC-8DC3-A002090F4C3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C4" authorId="0" shapeId="0" xr:uid="{A5507971-F77A-42F6-AD91-52DD408F347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D4" authorId="0" shapeId="0" xr:uid="{7372B80F-DF7F-41C3-85DD-9C8C8EEA1BB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E4" authorId="0" shapeId="0" xr:uid="{55352F64-C0EF-4FC2-ACE3-B559972586F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F4" authorId="0" shapeId="0" xr:uid="{6CED51FF-F7E5-41C7-9ABE-EE63487EAF2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G4" authorId="0" shapeId="0" xr:uid="{AA551958-9613-48E4-84AA-1724E74962D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H4" authorId="0" shapeId="0" xr:uid="{242948CD-F6B1-4494-8A94-F9ED42B97B3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V3 &amp; G16 &amp; S17 &amp; W22 &amp; T10 &amp; X10 &amp; U17 &amp; O17 &amp; I17 &amp; P50</t>
        </r>
      </text>
    </comment>
    <comment ref="A5" authorId="0" shapeId="0" xr:uid="{921786EC-A42C-4AC6-A4B7-FAF31F07CD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B5" authorId="0" shapeId="0" xr:uid="{FAED70BD-14FF-4017-9F33-CFC68F58BC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C5" authorId="0" shapeId="0" xr:uid="{B0638CEB-23E3-4A09-BB15-DA7BFD5BE4D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D5" authorId="0" shapeId="0" xr:uid="{E41937B4-A49A-4133-92FA-C29C7EA04D8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E5" authorId="0" shapeId="0" xr:uid="{FA892EDE-C307-4774-B40C-C8D5D0C56F3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F5" authorId="0" shapeId="0" xr:uid="{B6182A7E-2B4E-42D3-BD5C-23AF10ABD3F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G5" authorId="0" shapeId="0" xr:uid="{5EE4C2B7-C2B2-47CD-82B4-91858549355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H5" authorId="0" shapeId="0" xr:uid="{08092575-77C1-41C8-99A5-C3143C9C5DA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K5 &amp; L6 &amp; S24 &amp; W5 &amp; P135 &amp; N4</t>
        </r>
      </text>
    </comment>
    <comment ref="A6" authorId="0" shapeId="0" xr:uid="{4DFC1F70-CA95-49FC-ABEE-195C48DF903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B6" authorId="0" shapeId="0" xr:uid="{367E3BA3-7646-47B8-83C7-608E389ECDE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C6" authorId="0" shapeId="0" xr:uid="{1FC94FD3-61DB-4D0F-A1D5-8A1FA6E998A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D6" authorId="0" shapeId="0" xr:uid="{89951754-7BD8-4A10-826E-33AA0739CC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E6" authorId="0" shapeId="0" xr:uid="{1E2AE132-1B8C-44CD-AA30-00AF6DF8D8D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F6" authorId="0" shapeId="0" xr:uid="{9178C479-3E4B-459D-9A49-AC35E2CC343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G6" authorId="0" shapeId="0" xr:uid="{E1C17E3B-6AD2-43F9-8D15-A0F75814B33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H6" authorId="0" shapeId="0" xr:uid="{9922CB7E-900E-4681-B029-8D9A9EAF21B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87.5%]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147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S10 &amp; W19 &amp; T17 &amp; X9 &amp; U20 &amp; O4 &amp; I5 &amp; P62</t>
        </r>
      </text>
    </comment>
    <comment ref="A14" authorId="0" shapeId="0" xr:uid="{53C418DC-C6F2-45EA-8747-12D75EBB688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B14" authorId="0" shapeId="0" xr:uid="{B82D8B77-0DF8-4F05-BFA4-01AD91B526C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C14" authorId="0" shapeId="0" xr:uid="{94F6E2B8-2569-47EE-A780-A8014F0FBC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D14" authorId="0" shapeId="0" xr:uid="{44A71A42-975A-40A1-AD5B-61FCC1C2D72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E14" authorId="0" shapeId="0" xr:uid="{3D475562-FC8B-4696-80E7-83DEA8B99FE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F14" authorId="0" shapeId="0" xr:uid="{13D23DB7-B085-4115-B08F-BBEF230B69D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G14" authorId="0" shapeId="0" xr:uid="{304D3C6E-45D4-41EA-8295-495DFAC553B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H14" authorId="0" shapeId="0" xr:uid="{55960D24-D64A-4FA8-807E-CCEF1CB8A7D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62.0%]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S14 &amp; W17 &amp; T33 &amp; X4 &amp; U5 &amp; O4 &amp; I4 &amp; P28 &amp; N2</t>
        </r>
      </text>
    </comment>
    <comment ref="A15" authorId="0" shapeId="0" xr:uid="{F612E5C5-BDD0-4F92-A9B5-5729C5AFEA9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B15" authorId="0" shapeId="0" xr:uid="{863E1BD7-52AC-4DB4-874E-8AA22AB7662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C15" authorId="0" shapeId="0" xr:uid="{62C991E0-90E3-49B9-87D5-5DCD49DB39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D15" authorId="0" shapeId="0" xr:uid="{FAC55E6E-8102-4336-85F7-3ABF4E7CAE1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E15" authorId="0" shapeId="0" xr:uid="{9A25CF78-F83E-4DA4-BD98-F2F75948D37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F15" authorId="0" shapeId="0" xr:uid="{D887093E-2D41-447A-A0DA-4FC4C21866B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G15" authorId="0" shapeId="0" xr:uid="{3E11687A-D1FD-40AB-B135-9C1B52FFDC1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H15" authorId="0" shapeId="0" xr:uid="{40DEC80B-61BA-4625-8F06-E6362B6E07A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G5 &amp; S32 &amp; W20 &amp; T16 &amp; X9 &amp; U5 &amp; O5 &amp; I5</t>
        </r>
      </text>
    </comment>
    <comment ref="A19" authorId="0" shapeId="0" xr:uid="{F96C67B5-38D3-4CA2-8673-8A61FB405D2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B19" authorId="0" shapeId="0" xr:uid="{E43F219B-1209-4811-8F77-3601355BD0D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C19" authorId="0" shapeId="0" xr:uid="{95788298-818A-4874-A55B-EB1BF483AB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D19" authorId="0" shapeId="0" xr:uid="{C4527964-2288-4C95-ADA0-0E3F13D96E0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E19" authorId="0" shapeId="0" xr:uid="{2FA88D55-4F76-42F5-8C6B-83B35C7712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F19" authorId="0" shapeId="0" xr:uid="{3F8BD0FB-5546-4622-87AB-D404E697DEB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G19" authorId="0" shapeId="0" xr:uid="{BE2893CF-2661-48B2-9EA0-5376EC6222C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H19" authorId="0" shapeId="0" xr:uid="{17080CA6-FC20-4D87-B431-853F782D3AA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L6 &amp; G3 &amp; S13 &amp; U3 &amp; O5 &amp; I7 &amp; P128</t>
        </r>
      </text>
    </comment>
    <comment ref="A20" authorId="0" shapeId="0" xr:uid="{D742257C-E6C2-45DE-A3B2-ED4A7C632C1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B20" authorId="0" shapeId="0" xr:uid="{0789DABE-65CB-44A2-9207-3EFB807E44B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C20" authorId="0" shapeId="0" xr:uid="{C37660CB-F09F-4B15-8ECD-6E590A8EF5B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D20" authorId="0" shapeId="0" xr:uid="{A55791DB-F2D2-4804-8395-0925FA99F62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E20" authorId="0" shapeId="0" xr:uid="{AD0AB9E1-74C8-4593-AE2B-6C711EFBEBD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F20" authorId="0" shapeId="0" xr:uid="{07E794CB-652E-4EF6-8971-BD624647FD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G20" authorId="0" shapeId="0" xr:uid="{90F91E39-ABA3-4FCB-BDCF-0B09B7AF25D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H20" authorId="0" shapeId="0" xr:uid="{36D1F98B-174A-4BC8-9F92-ECBA568773C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181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G4 &amp; S11 &amp; T7 &amp; X12 &amp; U5 &amp; O5 &amp; I7 &amp; P129</t>
        </r>
      </text>
    </comment>
    <comment ref="A22" authorId="0" shapeId="0" xr:uid="{66EB0227-042B-4F5A-B8C1-A55AF719C67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B22" authorId="0" shapeId="0" xr:uid="{A4F662E3-A193-4D35-B0F0-7946F5AE456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C22" authorId="0" shapeId="0" xr:uid="{E67779EF-F82A-4F4D-849B-E1F833E38A7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D22" authorId="0" shapeId="0" xr:uid="{00B9DD1D-7BA7-426B-8DDD-77BA9F8447D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E22" authorId="0" shapeId="0" xr:uid="{8E7674FF-D305-48D9-98FA-0F4B7E4262E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F22" authorId="0" shapeId="0" xr:uid="{A9BF39DD-586C-4FA5-8166-44E26E9CC40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G22" authorId="0" shapeId="0" xr:uid="{CB827465-E190-4004-8843-3A9FFC0BB9D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H22" authorId="0" shapeId="0" xr:uid="{2134544E-5EF9-434D-BAE6-B4BED459DC3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91.6%]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T3 &amp; X17 &amp; U10 &amp; O10 &amp; I15 &amp; P108</t>
        </r>
      </text>
    </comment>
    <comment ref="A23" authorId="0" shapeId="0" xr:uid="{D9C3F589-71E8-43EE-BAF1-A51133C6A1B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B23" authorId="0" shapeId="0" xr:uid="{BB403B3F-28C7-462A-AAEF-71C9C22834A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C23" authorId="0" shapeId="0" xr:uid="{314488C8-952C-4FF6-B735-2AE90C45C8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D23" authorId="0" shapeId="0" xr:uid="{8DBDD9F5-53A9-49E9-8870-461213C83CE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E23" authorId="0" shapeId="0" xr:uid="{AB8D435F-9F7C-40D0-BE9A-5A4DFE4E04D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F23" authorId="0" shapeId="0" xr:uid="{40C24187-52E9-40F2-9F75-9F728D16218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G23" authorId="0" shapeId="0" xr:uid="{46383A79-8785-4F16-9212-F0A7C2D8D84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H23" authorId="0" shapeId="0" xr:uid="{17277D4F-1E0F-43E4-A919-7DB88A53BAB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10]_x000D_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T8 &amp; X11 &amp; U18 &amp; O16 &amp; I11 &amp; P84 &amp; N4</t>
        </r>
      </text>
    </comment>
    <comment ref="A24" authorId="0" shapeId="0" xr:uid="{21C3DCFE-1CEA-4691-8668-4751B22C141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B24" authorId="0" shapeId="0" xr:uid="{540A7D12-CF50-4481-8CF3-C5AA4F3F2C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C24" authorId="0" shapeId="0" xr:uid="{A4509E43-D26C-4DDB-AE46-DB9B9352109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D24" authorId="0" shapeId="0" xr:uid="{00B269B7-5901-4ECC-85AC-71C3725F30C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E24" authorId="0" shapeId="0" xr:uid="{235B6DBB-77E0-4A79-B579-C7C6A391CC2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F24" authorId="0" shapeId="0" xr:uid="{0CD6CAAB-B6D8-485E-8B9C-464C08C0E8D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G24" authorId="0" shapeId="0" xr:uid="{D1A781FA-34FF-4792-8F42-B2CE06C8C7B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H24" authorId="0" shapeId="0" xr:uid="{B684DB4C-8889-43FC-A325-1C91EE50FD7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T4]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T6 &amp; X17 &amp; U25 &amp; O10 &amp; I10</t>
        </r>
      </text>
    </comment>
    <comment ref="A34" authorId="0" shapeId="0" xr:uid="{4C408B60-6945-45F1-BAAD-FBEA23692C0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B34" authorId="0" shapeId="0" xr:uid="{C170869F-56FE-4E41-8015-32B969F00D1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C34" authorId="0" shapeId="0" xr:uid="{070B235B-6357-49B4-A1C4-0B1169BFDB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D34" authorId="0" shapeId="0" xr:uid="{64AF17F1-0884-4AC7-ACE5-5E231C94540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E34" authorId="0" shapeId="0" xr:uid="{87703DC1-9F7D-4C55-8EC5-DB4363C4065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F34" authorId="0" shapeId="0" xr:uid="{26E50CE9-8D8F-4C2B-AE27-12321179AE2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G34" authorId="0" shapeId="0" xr:uid="{A29DD613-0617-4CBD-82AA-626066B62F4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H34" authorId="0" shapeId="0" xr:uid="{89333720-FAD6-45C5-ADE1-CE2686AC271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83.8%]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9]_x000D_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W5]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T5 &amp; X22 &amp; U10 &amp; O10 &amp; I5 &amp; P93</t>
        </r>
      </text>
    </comment>
    <comment ref="A37" authorId="0" shapeId="0" xr:uid="{795EE004-6761-4267-B722-BC579E94BB5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B37" authorId="0" shapeId="0" xr:uid="{6685D17E-38BE-493D-BCAB-FFDE140F1EC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C37" authorId="0" shapeId="0" xr:uid="{BC536F00-CBEC-415E-9568-43A85D4B996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D37" authorId="0" shapeId="0" xr:uid="{01EAC1CC-BE55-41C3-9203-2FD34C301F9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E37" authorId="0" shapeId="0" xr:uid="{64BF576E-7B6D-4500-970A-CB665249C4F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F37" authorId="0" shapeId="0" xr:uid="{231E8E9E-3C73-45F4-8283-BC5CE6E80B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G37" authorId="0" shapeId="0" xr:uid="{56A3C73D-F8A2-406B-8A0C-C73C29D68DA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H37" authorId="0" shapeId="0" xr:uid="{3C403923-AB8B-4750-819C-99A9024F8A7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33.5%]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60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S8 &amp; X3 &amp; U9 &amp; O10 &amp; I30</t>
        </r>
      </text>
    </comment>
    <comment ref="A38" authorId="0" shapeId="0" xr:uid="{2B4E6459-B56C-49E4-9F79-C271F93CB2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B38" authorId="0" shapeId="0" xr:uid="{34544C91-D2C7-46AA-B023-7D3BB0A1FC9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C38" authorId="0" shapeId="0" xr:uid="{9633F81F-B375-4AC3-AF8F-6457C9BE9DD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D38" authorId="0" shapeId="0" xr:uid="{79F04301-3D4F-4CBA-A1C4-EB7CD81F7E5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E38" authorId="0" shapeId="0" xr:uid="{B8BE9F38-4D47-4E72-8441-EE942D0E4A5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F38" authorId="0" shapeId="0" xr:uid="{A936E44A-406C-421D-BA26-1488875F68F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G38" authorId="0" shapeId="0" xr:uid="{8BCC89F9-34B8-4E24-8B4E-C67C3AE94FA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H38" authorId="0" shapeId="0" xr:uid="{BABD994E-E100-4447-9451-28FDA472436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55.9%]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31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O15 &amp; I30 &amp; P46</t>
        </r>
      </text>
    </comment>
    <comment ref="A39" authorId="0" shapeId="0" xr:uid="{544F5D07-C7E9-4EBB-99C7-BC393BEBD46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B39" authorId="0" shapeId="0" xr:uid="{4FC22C97-9FF5-42FA-A4C7-8A9BB557548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C39" authorId="0" shapeId="0" xr:uid="{3B95976C-6DE4-40A0-89FB-B30D4677CB1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D39" authorId="0" shapeId="0" xr:uid="{41BAAB50-5B7A-4838-91BF-FCAFB53C8F4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E39" authorId="0" shapeId="0" xr:uid="{852D2369-D016-4B3F-BE3A-75EEF80ACE6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F39" authorId="0" shapeId="0" xr:uid="{71D20CDA-0C04-4F1E-9B4E-7037436CB1F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G39" authorId="0" shapeId="0" xr:uid="{0AA14DEF-1B2D-46CF-BE4B-5BC1BD91688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H39" authorId="0" shapeId="0" xr:uid="{00B59B22-D50A-4417-8CC6-127C4FA55CC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68.2%]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122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X2 &amp; U5 &amp; O10 &amp; I15 &amp; P88</t>
        </r>
      </text>
    </comment>
    <comment ref="A40" authorId="0" shapeId="0" xr:uid="{600C16DA-34FA-4714-BA74-871A325E6CE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B40" authorId="0" shapeId="0" xr:uid="{220640D0-891D-49B4-9A45-582AFFAE517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C40" authorId="0" shapeId="0" xr:uid="{77E1709E-409D-4A3A-90E6-17D4DF50794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D40" authorId="0" shapeId="0" xr:uid="{9FAA673C-8527-4695-8C3C-A44B9B040AD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E40" authorId="0" shapeId="0" xr:uid="{61254BF9-07C2-4564-9FCD-B827D0A0848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F40" authorId="0" shapeId="0" xr:uid="{C1B4D480-F469-424F-B108-50C1E5A5F79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G40" authorId="0" shapeId="0" xr:uid="{2C594A0A-6C24-4913-AAF5-B1CCBF0BDFA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H40" authorId="0" shapeId="0" xr:uid="{6742B80F-CB87-4B75-AB83-A1073F4C18A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76.0%]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S5 &amp; X6 &amp; U13 &amp; O15 &amp; I15 &amp; P82</t>
        </r>
      </text>
    </comment>
    <comment ref="A41" authorId="0" shapeId="0" xr:uid="{98D10AF0-BC7C-485D-80F3-9A4C8AE9A40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B41" authorId="0" shapeId="0" xr:uid="{56818155-631E-42BA-B9E3-472D566B0C4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C41" authorId="0" shapeId="0" xr:uid="{A3851171-3705-4072-ACEF-E8348116F5C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D41" authorId="0" shapeId="0" xr:uid="{4736F1E5-EBE1-4B7B-B431-7563222B59B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E41" authorId="0" shapeId="0" xr:uid="{ED94B65E-7771-426F-B09A-81E35940E45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F41" authorId="0" shapeId="0" xr:uid="{31113927-6556-4222-9A9A-44F6A0063EE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G41" authorId="0" shapeId="0" xr:uid="{9BE4CA45-DF16-4B73-B0E6-DAD52636F86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H41" authorId="0" shapeId="0" xr:uid="{4CF1574A-9959-42B6-80AA-5705E1152D0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 &amp; U15 &amp; O15 &amp; I15 &amp; P117 &amp; N3</t>
        </r>
      </text>
    </comment>
    <comment ref="A42" authorId="0" shapeId="0" xr:uid="{A1B01539-2D4E-43C6-A0DE-80B29A822E1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B42" authorId="0" shapeId="0" xr:uid="{D9043FE1-D4A2-42DB-A707-BFE76F7A154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C42" authorId="0" shapeId="0" xr:uid="{72EB87CD-CC41-4C0F-9D11-F03DACAB042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D42" authorId="0" shapeId="0" xr:uid="{701C95B6-73F8-460E-9977-25D981FA083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E42" authorId="0" shapeId="0" xr:uid="{47E98300-C1E8-41BB-8C00-9F94201EC7E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F42" authorId="0" shapeId="0" xr:uid="{D97BD536-51C6-4AB3-8E43-759ED2AF75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G42" authorId="0" shapeId="0" xr:uid="{6ED85F8D-C416-4E5A-97E8-ABCF4B72DCE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  <comment ref="H42" authorId="0" shapeId="0" xr:uid="{5F1EB069-F6EF-4041-9D13-9B929148FD1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W2 &amp; X4 &amp; U17 &amp; O15 &amp; I9 &amp; P117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12" authorId="0" shapeId="0" xr:uid="{29007569-1635-4FAB-AA9F-8A635E2FF8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B12" authorId="0" shapeId="0" xr:uid="{E66F188B-B778-4F58-9962-A966C878794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C12" authorId="0" shapeId="0" xr:uid="{3D63C53C-F374-4C8C-813B-9477176AF85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D12" authorId="0" shapeId="0" xr:uid="{D4B10BC2-05E8-4C7B-93DD-86F241D6289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E12" authorId="0" shapeId="0" xr:uid="{FA3AED49-83DD-43E0-A3C5-902D13BF2BC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F12" authorId="0" shapeId="0" xr:uid="{B0A696CE-1A49-4346-BCDA-5D5BCA1C53F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G12" authorId="0" shapeId="0" xr:uid="{AF795699-08F2-4AAD-A999-C1FE8C8382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H12" authorId="0" shapeId="0" xr:uid="{2FAF4993-3F00-4B8F-870C-FF8345B16A0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A13" authorId="0" shapeId="0" xr:uid="{74931F6E-D964-4F19-A0D0-684EDABD775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B13" authorId="0" shapeId="0" xr:uid="{992C4128-9E9C-49CB-B119-204091A4BF7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C13" authorId="0" shapeId="0" xr:uid="{B29D4E20-351A-4736-B708-EA449EC965A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D13" authorId="0" shapeId="0" xr:uid="{18330A16-3908-41E1-99D7-CC3DFAA2243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E13" authorId="0" shapeId="0" xr:uid="{01C1A789-FD62-4CE1-A244-D3E2A3DC065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F13" authorId="0" shapeId="0" xr:uid="{52E7FFB9-F22F-407A-9DE9-CF73EC0DF4C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G13" authorId="0" shapeId="0" xr:uid="{97BB45E0-4E51-4A91-99B0-3477B475913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H13" authorId="0" shapeId="0" xr:uid="{D49D5919-18D4-4D84-9490-BF73BB8867D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A27" authorId="0" shapeId="0" xr:uid="{979D00F4-7712-469C-84B8-4BFC61A995F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B27" authorId="0" shapeId="0" xr:uid="{40EB2272-2CCF-4A3A-B189-41AA7405CB4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C27" authorId="0" shapeId="0" xr:uid="{9C263FEF-1708-4914-926A-6344449616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D27" authorId="0" shapeId="0" xr:uid="{CB07ADAA-70BE-4188-9C40-ADAEA7D7B7B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E27" authorId="0" shapeId="0" xr:uid="{7A80F25F-3E45-4BFC-B622-1E51908A4D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F27" authorId="0" shapeId="0" xr:uid="{9D978B50-0996-4191-A692-318887B65A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G27" authorId="0" shapeId="0" xr:uid="{0D2315B9-593C-4EC8-A34A-55E1B62B556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H27" authorId="0" shapeId="0" xr:uid="{6288C7FA-1E6C-459B-9291-032A0C56F19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A31" authorId="0" shapeId="0" xr:uid="{34A556E0-672D-4BA2-98F7-BD1E3A99DF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B31" authorId="0" shapeId="0" xr:uid="{8EAFA086-854D-45AD-9B62-DFB8BA1F648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C31" authorId="0" shapeId="0" xr:uid="{A82FC432-A718-40C4-BE56-F5FA48CD73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D31" authorId="0" shapeId="0" xr:uid="{E2320CA2-E877-422C-B7A5-7DE4E8FE104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E31" authorId="0" shapeId="0" xr:uid="{DD7FF941-7C18-49AD-857E-3817FCE1C8C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F31" authorId="0" shapeId="0" xr:uid="{B305FAC1-6E5C-4FF2-A655-D0DE4C388A0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G31" authorId="0" shapeId="0" xr:uid="{4C464143-DD43-4F54-8020-3300361E0C3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H31" authorId="0" shapeId="0" xr:uid="{59B440CB-98EB-4068-AD5A-0111AA09DF5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A48" authorId="0" shapeId="0" xr:uid="{17118FFE-7A8A-4F71-8FE6-15D697A368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B48" authorId="0" shapeId="0" xr:uid="{16D8A4AE-0025-4E27-883B-BEB68F5B77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C48" authorId="0" shapeId="0" xr:uid="{097124DF-4A83-4DB2-BF00-460E04249B2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D48" authorId="0" shapeId="0" xr:uid="{429FEE4A-42BD-4DF3-A387-C5D499AD13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E48" authorId="0" shapeId="0" xr:uid="{48612E18-6220-463F-A8B1-6C3791024F6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F48" authorId="0" shapeId="0" xr:uid="{8B3520FA-B25B-4816-A93A-71FF43EF4C4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G48" authorId="0" shapeId="0" xr:uid="{175D7582-46E0-4C1B-A71C-CC0F672FE32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H48" authorId="0" shapeId="0" xr:uid="{660A17FA-9A31-4469-AAFB-C91C2A084FD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A49" authorId="0" shapeId="0" xr:uid="{DD441831-40A9-4AFC-A120-D6BFF486226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B49" authorId="0" shapeId="0" xr:uid="{4A8DDC17-9F8B-4B40-B797-F42B507F811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C49" authorId="0" shapeId="0" xr:uid="{BBEF963D-AC63-43EF-A670-1EFF86DE31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D49" authorId="0" shapeId="0" xr:uid="{41D5FA4B-CBD7-4C32-A968-B7B10D6AA2C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E49" authorId="0" shapeId="0" xr:uid="{B7A712C8-487E-44C3-A5C6-7A413EA89B6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F49" authorId="0" shapeId="0" xr:uid="{90B6071F-479D-4673-820E-7CB05DCDE6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G49" authorId="0" shapeId="0" xr:uid="{068DED16-764C-4911-AF04-44DD737E56A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H49" authorId="0" shapeId="0" xr:uid="{F65EA221-8E8E-4B19-95DF-42905BC5171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A71" authorId="0" shapeId="0" xr:uid="{346A5A52-2294-4E2F-9AC3-75D2F40F7CC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B71" authorId="0" shapeId="0" xr:uid="{FE86F549-C247-40F7-B6A5-1A8AD970239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C71" authorId="0" shapeId="0" xr:uid="{F9D2E3D4-DE2B-46B8-9D75-43BA471CAEA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D71" authorId="0" shapeId="0" xr:uid="{950401B4-3065-477F-B916-BB0107FD8D4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E71" authorId="0" shapeId="0" xr:uid="{CF67D65E-9E44-4390-ABC6-90372555D17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F71" authorId="0" shapeId="0" xr:uid="{A447FE72-11A6-4439-A2BE-802C8A57905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G71" authorId="0" shapeId="0" xr:uid="{710B6928-73EB-4920-8DBB-C1F631B5A6A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H71" authorId="0" shapeId="0" xr:uid="{122A8A55-A2D4-4CAC-B600-291E3BDB892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456C9C0A-1556-4C78-8EF9-63DA3E475A2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B2" authorId="0" shapeId="0" xr:uid="{CACE452C-BCFE-491C-9E6E-3679DC4B785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C2" authorId="0" shapeId="0" xr:uid="{2AAC8CB6-2580-458B-A422-AEE2768CEA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D2" authorId="0" shapeId="0" xr:uid="{F4730E1D-873A-407C-BF1B-615A10A0C64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E2" authorId="0" shapeId="0" xr:uid="{60138488-499C-4DF3-BD4A-5F928E3268E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F2" authorId="0" shapeId="0" xr:uid="{BD5CB896-3670-42BA-8BB5-38686BEEE69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G2" authorId="0" shapeId="0" xr:uid="{3CDFBB69-CF56-4B48-9475-72677E6676A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H2" authorId="0" shapeId="0" xr:uid="{9F85B2A9-96AA-45F0-958E-D44A6BD5AE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L11 &amp; S16 &amp; W2 &amp; T15 &amp; X17 &amp; P118</t>
        </r>
      </text>
    </comment>
    <comment ref="A3" authorId="0" shapeId="0" xr:uid="{16BB4E3D-DA4A-4B51-9EAE-AAE003E5268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B3" authorId="0" shapeId="0" xr:uid="{1032EB79-2365-45B8-A8F3-CC1CC9931B9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C3" authorId="0" shapeId="0" xr:uid="{36ED29DC-2569-4D56-908E-712DAEF258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D3" authorId="0" shapeId="0" xr:uid="{9C3A592C-3EAF-4FA0-887C-33209A71A13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E3" authorId="0" shapeId="0" xr:uid="{170F98A4-7D5D-4472-BD71-40CE00A654C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F3" authorId="0" shapeId="0" xr:uid="{B8664375-F1A7-4ED3-A0E3-8559F201F7E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G3" authorId="0" shapeId="0" xr:uid="{B43A4FD1-3B68-406A-9C17-1FCDACF625C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H3" authorId="0" shapeId="0" xr:uid="{084D4011-C78A-4780-A94B-A97E883A671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V5 &amp; L14 &amp; S7 &amp; X14 &amp; P136</t>
        </r>
      </text>
    </comment>
    <comment ref="A15" authorId="0" shapeId="0" xr:uid="{2798E486-868F-428F-B3BB-F60C7E125F6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B15" authorId="0" shapeId="0" xr:uid="{75CBF6A2-464E-405A-A973-620BA0D966C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C15" authorId="0" shapeId="0" xr:uid="{3AACCCBD-6489-481F-ADD9-9E460C4DABA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D15" authorId="0" shapeId="0" xr:uid="{77A18FA6-7E28-4A7B-B7CF-A8B552FBF13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E15" authorId="0" shapeId="0" xr:uid="{F54AFAA7-09C9-47D2-B23E-89A7B93B5EB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F15" authorId="0" shapeId="0" xr:uid="{556A5FF3-6D2C-4720-AA0A-219BD8EF5D9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G15" authorId="0" shapeId="0" xr:uid="{8DE70316-F8A3-4F7A-8C05-B9195614A35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H15" authorId="0" shapeId="0" xr:uid="{C396E740-9594-439F-B959-E80F6378727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98.9%]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29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V18 &amp; L5 &amp; G5 &amp; S6 &amp; X9 &amp; P134</t>
        </r>
      </text>
    </comment>
    <comment ref="A16" authorId="0" shapeId="0" xr:uid="{AEAC50A1-E812-4619-8CAE-A4EAF63F724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B16" authorId="0" shapeId="0" xr:uid="{92368F31-7D85-45EC-86BC-FFE7F4C07C5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C16" authorId="0" shapeId="0" xr:uid="{72598837-1346-4CF4-BB21-76EFDF25EF7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D16" authorId="0" shapeId="0" xr:uid="{B7E9036A-9C50-4F1A-B700-87D580AF407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E16" authorId="0" shapeId="0" xr:uid="{CB0004E6-4DF1-42E4-A369-E021085D12D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F16" authorId="0" shapeId="0" xr:uid="{F2100CA9-DFC4-47DB-B253-92004E058D7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G16" authorId="0" shapeId="0" xr:uid="{BBA4CDBB-378F-4A61-BD73-926020CE7B1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H16" authorId="0" shapeId="0" xr:uid="{8381C617-89D8-49E6-BD9C-5074AE03F6A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15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K1 &amp; V4 &amp; L3 &amp; G5 &amp; S10 &amp; W12 &amp; T3 &amp; X5 &amp; P136</t>
        </r>
      </text>
    </comment>
    <comment ref="A28" authorId="0" shapeId="0" xr:uid="{2944A9F9-3115-4B13-84FE-688646CAD3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B28" authorId="0" shapeId="0" xr:uid="{DAE6FB90-DE14-463D-8E96-4751F96AB4E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C28" authorId="0" shapeId="0" xr:uid="{AF69646D-FB98-41CC-82D8-34481B10ECE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D28" authorId="0" shapeId="0" xr:uid="{62A07ADB-7FBB-4744-A8C5-2D67902F5A1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E28" authorId="0" shapeId="0" xr:uid="{304257D5-EC65-4407-9967-CEA22A060D0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F28" authorId="0" shapeId="0" xr:uid="{F986D7C8-2954-40E8-A9A9-A0755FF88D2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G28" authorId="0" shapeId="0" xr:uid="{491E4161-510E-488C-A6A5-7412917CB1F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H28" authorId="0" shapeId="0" xr:uid="{C319E5BF-C8CD-435A-9B3B-868159482FF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X10 &amp; U18 &amp; O7 &amp; I7 &amp; P124</t>
        </r>
      </text>
    </comment>
    <comment ref="A29" authorId="0" shapeId="0" xr:uid="{ED954CAB-8DC5-4D80-B132-AD7DCF7E180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B29" authorId="0" shapeId="0" xr:uid="{152C127C-7ECF-4C74-9142-A12C133FE54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C29" authorId="0" shapeId="0" xr:uid="{3821B45F-A4D0-480C-AA6E-34FF61F0ED9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D29" authorId="0" shapeId="0" xr:uid="{2B9C2ECA-66C9-451C-949E-567FBB60024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E29" authorId="0" shapeId="0" xr:uid="{9E021BEE-541B-480F-8FAD-C8FD75D199B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F29" authorId="0" shapeId="0" xr:uid="{7A5A5F53-B527-404F-9729-83391BFD579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G29" authorId="0" shapeId="0" xr:uid="{4E989FC5-59DE-4994-99E2-C5FE41E194F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H29" authorId="0" shapeId="0" xr:uid="{FB966A37-89DC-46CC-AAC6-BCD3B46C1FF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S22 &amp; W1 &amp; X11 &amp; P134</t>
        </r>
      </text>
    </comment>
    <comment ref="A42" authorId="0" shapeId="0" xr:uid="{6FBD19D6-1ADB-4A3F-8CFC-14E163F007A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B42" authorId="0" shapeId="0" xr:uid="{DB88E6C4-DE58-4C91-B658-95A23C5EBD4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C42" authorId="0" shapeId="0" xr:uid="{01483E6B-C381-4ACA-9BCD-D9CCA44DD35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D42" authorId="0" shapeId="0" xr:uid="{EFCD09CC-3ADD-46B2-9397-7859E720055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E42" authorId="0" shapeId="0" xr:uid="{686FFE68-AD13-4929-A562-00B29FF387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F42" authorId="0" shapeId="0" xr:uid="{CF404AA3-DA36-406B-A6D1-F16050C3CFD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G42" authorId="0" shapeId="0" xr:uid="{821494D0-28FD-4DAE-A70D-45EAFCE718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  <comment ref="H42" authorId="0" shapeId="0" xr:uid="{EB908438-B876-4EB5-BCFE-6EDCEA180A2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L7 &amp; S1 &amp; X11 &amp; P159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5332ED1D-6D9B-4F3A-9FBB-FC45D30B7F0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B2" authorId="0" shapeId="0" xr:uid="{20683483-8430-4FC2-A35F-D858553C286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C2" authorId="0" shapeId="0" xr:uid="{C6F1DC37-1AD5-4584-AA76-FBE0DEE015F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D2" authorId="0" shapeId="0" xr:uid="{8A71A296-1396-48FF-BF1F-D24A51E34F8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E2" authorId="0" shapeId="0" xr:uid="{DE080AE9-29CF-4106-A40A-066E6D3306F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F2" authorId="0" shapeId="0" xr:uid="{EA84B756-382F-4F11-823F-CAAC584E15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G2" authorId="0" shapeId="0" xr:uid="{2E68E157-AE9F-49C8-A3F7-4BD7B059811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H2" authorId="0" shapeId="0" xr:uid="{EF4264AC-2BB1-4A9A-BCE0-AF3B3E2538F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A3" authorId="0" shapeId="0" xr:uid="{9195BF6D-3F69-4E29-AEDB-146F7C95722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B3" authorId="0" shapeId="0" xr:uid="{60350FAF-1DBF-4C5A-B409-FCBE8E2FDEC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C3" authorId="0" shapeId="0" xr:uid="{0726FAFD-5876-46F0-8C6D-7FC4C1B5F1D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D3" authorId="0" shapeId="0" xr:uid="{1A4870E3-1121-43AA-A33D-1AB7B91A30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E3" authorId="0" shapeId="0" xr:uid="{0227A129-5ACA-49FE-8C90-B55594B20B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F3" authorId="0" shapeId="0" xr:uid="{BFA07621-EBD6-4B8E-9784-9118E1F81DE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G3" authorId="0" shapeId="0" xr:uid="{FE3DF8CD-7733-4980-9B7D-F27EC3053E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H3" authorId="0" shapeId="0" xr:uid="{D8F70BA5-7D66-4174-9A41-357800874C0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A19" authorId="0" shapeId="0" xr:uid="{D94B206F-FE21-4C46-9729-3EA084DEAA1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B19" authorId="0" shapeId="0" xr:uid="{A1D8E8BC-A8D4-4712-AAD0-912CC583CB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C19" authorId="0" shapeId="0" xr:uid="{037C9D83-9FAD-4AE8-8479-5BD4E0B4B9B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D19" authorId="0" shapeId="0" xr:uid="{B48F7D7D-98AE-4769-B364-75265F84BAD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E19" authorId="0" shapeId="0" xr:uid="{555EAB76-C6E1-4BDD-98CA-2913166BB81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F19" authorId="0" shapeId="0" xr:uid="{B107412F-42AB-44AF-BACD-F6E9889AE72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G19" authorId="0" shapeId="0" xr:uid="{01A84BF9-F36C-44A0-BBAA-612E89AB53D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H19" authorId="0" shapeId="0" xr:uid="{71D2FCE8-CDDE-46BF-A789-8934FF968AC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A20" authorId="0" shapeId="0" xr:uid="{591A88DE-513C-41F3-86CB-82B19383BCD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B20" authorId="0" shapeId="0" xr:uid="{E230D422-A7F3-4EA7-A8CF-4FE22B6E6B3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C20" authorId="0" shapeId="0" xr:uid="{D990AA51-7A91-49C0-977A-9819BFED095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D20" authorId="0" shapeId="0" xr:uid="{E7A09515-6E2B-4F5F-9283-60B69A33F8C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E20" authorId="0" shapeId="0" xr:uid="{2CC58709-E9E2-4122-A540-971D05CC080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F20" authorId="0" shapeId="0" xr:uid="{B4777D77-FF08-45E8-A122-D4B8FEA1B3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G20" authorId="0" shapeId="0" xr:uid="{D89FD026-734A-40DA-914D-D68A1A9B40C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H20" authorId="0" shapeId="0" xr:uid="{684E8F8D-6F95-4729-B35F-ABD1D81A70B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A33" authorId="0" shapeId="0" xr:uid="{9232F8CA-F42B-48CB-BF1C-250760F6509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B33" authorId="0" shapeId="0" xr:uid="{D76F109A-FF8D-470D-A792-1E480715B1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C33" authorId="0" shapeId="0" xr:uid="{7529C79C-36BB-44B9-92BB-D4926C19915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D33" authorId="0" shapeId="0" xr:uid="{5464E15D-1A3A-4A0A-BDF3-F1E807E7226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E33" authorId="0" shapeId="0" xr:uid="{FF43913C-DA46-4D50-BB91-72350852B5A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F33" authorId="0" shapeId="0" xr:uid="{E447195D-10F4-4948-9CEF-E80CEF2C155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G33" authorId="0" shapeId="0" xr:uid="{4494715A-431B-4729-860A-4295D3A134B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H33" authorId="0" shapeId="0" xr:uid="{64565F19-D6FB-450F-8877-D06DA3AE8D2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A34" authorId="0" shapeId="0" xr:uid="{A27A8A28-512F-4949-895D-1C68488A78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B34" authorId="0" shapeId="0" xr:uid="{30982652-4C27-4D94-B164-8356CDB726E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C34" authorId="0" shapeId="0" xr:uid="{81FAD245-047C-4FD4-80D7-23117B33D95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D34" authorId="0" shapeId="0" xr:uid="{3EB91A9D-DB21-47D0-A109-573687EDDE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E34" authorId="0" shapeId="0" xr:uid="{90A09DBF-1E2A-4D9F-B8B4-6549183DA8E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F34" authorId="0" shapeId="0" xr:uid="{78E69CFD-FC82-498E-B2E9-646E195C8BE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G34" authorId="0" shapeId="0" xr:uid="{3B8B0D9C-5FD4-4993-9D9E-1910525346B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H34" authorId="0" shapeId="0" xr:uid="{BE227C89-262C-4FCE-8045-729E4CAA05D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A35" authorId="0" shapeId="0" xr:uid="{26C3EE39-8007-47B2-BBA6-8479745A9D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B35" authorId="0" shapeId="0" xr:uid="{7446E58C-5680-4B70-B869-1C6A34E418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C35" authorId="0" shapeId="0" xr:uid="{43D3241A-5FCF-4964-AA84-FA669CE0DD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D35" authorId="0" shapeId="0" xr:uid="{F42EB520-F989-4094-8333-67D242536ED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E35" authorId="0" shapeId="0" xr:uid="{08FB3703-B72E-4439-8B6D-935F3D23F31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F35" authorId="0" shapeId="0" xr:uid="{5F01A106-A8BA-4768-9416-0BD4448D305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G35" authorId="0" shapeId="0" xr:uid="{E9B6E0CE-FCD8-451D-A474-6E28A3EDBB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H35" authorId="0" shapeId="0" xr:uid="{F3EBE59A-29B3-455E-AB98-F1C00DEB2A7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A48" authorId="0" shapeId="0" xr:uid="{B82AC83A-897A-46B5-BB01-81151E5EC29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B48" authorId="0" shapeId="0" xr:uid="{84585912-90FF-4BC8-8AB8-942D298C33A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C48" authorId="0" shapeId="0" xr:uid="{FCBC0F1A-3325-4A65-B14C-1AB1433DD3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D48" authorId="0" shapeId="0" xr:uid="{6809596F-49CE-4918-A08E-CA543C32E37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E48" authorId="0" shapeId="0" xr:uid="{362CE1B8-2E11-4060-A8B3-3DAAE26E2F3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F48" authorId="0" shapeId="0" xr:uid="{F0A9A729-6812-4FFB-A439-AD33824C84A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G48" authorId="0" shapeId="0" xr:uid="{164EBD0B-05B3-498D-993E-FC2236056AF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H48" authorId="0" shapeId="0" xr:uid="{EA51B947-0E3D-46AF-93F2-6677FE95027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A49" authorId="0" shapeId="0" xr:uid="{671BDBBD-CDCD-4683-AEEA-FE2EDB8285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B49" authorId="0" shapeId="0" xr:uid="{7F827005-AB50-4A59-86E2-8D598F6688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C49" authorId="0" shapeId="0" xr:uid="{7ED7AB87-7E40-4BAF-A720-18964A8FCF6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D49" authorId="0" shapeId="0" xr:uid="{A8E795A6-17D9-4AC5-80E6-98A7762977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E49" authorId="0" shapeId="0" xr:uid="{58542B1E-D135-4BAF-A81A-7745771A266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F49" authorId="0" shapeId="0" xr:uid="{318F122B-7577-40BC-AE61-FDA504D779F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G49" authorId="0" shapeId="0" xr:uid="{214C5A27-FEEC-4039-80BB-E8F5FF18AAE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H49" authorId="0" shapeId="0" xr:uid="{31BCC941-0338-4EF5-8E76-52C4BD663BE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E1037C8C-2688-4A2D-8091-5E75973F05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B2" authorId="0" shapeId="0" xr:uid="{7E8A48C8-2CDB-481D-8F60-18BC5034FE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C2" authorId="0" shapeId="0" xr:uid="{A7132D07-9961-4F5D-A64E-16B7698A37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D2" authorId="0" shapeId="0" xr:uid="{781E11CA-EA2C-420A-96B6-E7BD1C4DF07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E2" authorId="0" shapeId="0" xr:uid="{44F4F901-C902-41DC-8104-8C00FAEEE08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F2" authorId="0" shapeId="0" xr:uid="{ABC5F21B-FCAA-435F-9986-9D8B00D4C4F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G2" authorId="0" shapeId="0" xr:uid="{775252FC-C32C-4972-90A2-2164904BD0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H2" authorId="0" shapeId="0" xr:uid="{F5817050-0DDB-41BE-AA8D-9072E6C70EC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77.4%]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130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53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S2 &amp; W1 &amp; X13 &amp; U20 &amp; O40 &amp; I20 &amp; P34</t>
        </r>
      </text>
    </comment>
    <comment ref="A3" authorId="0" shapeId="0" xr:uid="{38749600-EE34-4729-ACCC-A77FC63EBB2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B3" authorId="0" shapeId="0" xr:uid="{B0FDFB2B-C0F1-4C53-9B65-1629C3DA996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C3" authorId="0" shapeId="0" xr:uid="{6EED18B5-0C93-4CE1-8E15-6028805E942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D3" authorId="0" shapeId="0" xr:uid="{4121D0ED-35A5-4AA3-80E1-7777008C314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E3" authorId="0" shapeId="0" xr:uid="{0BF45FDA-576D-4A30-8246-4D42E1C9055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F3" authorId="0" shapeId="0" xr:uid="{172B5E84-A948-49DD-8CBA-45D8199C415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G3" authorId="0" shapeId="0" xr:uid="{C3D2E861-DE4B-42DE-9680-8DE5CA48104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H3" authorId="0" shapeId="0" xr:uid="{49298067-C545-4AA1-9A29-8510B5ECA2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70.8%]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119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8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X2]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G1 &amp; S2 &amp; X6 &amp; U19 &amp; P91</t>
        </r>
      </text>
    </comment>
    <comment ref="A15" authorId="0" shapeId="0" xr:uid="{FCAD234D-D99F-4C93-B297-604086E045D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B15" authorId="0" shapeId="0" xr:uid="{FA736B1A-C985-4EAE-8133-ABF02A39172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C15" authorId="0" shapeId="0" xr:uid="{8A8135C0-EB57-4D20-B5F5-B3ABBD19F14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D15" authorId="0" shapeId="0" xr:uid="{E255630B-995D-43DA-A3C8-D90B4FA8043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E15" authorId="0" shapeId="0" xr:uid="{D3ABE2B8-876C-4F83-94F0-48D0DF2C7BC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F15" authorId="0" shapeId="0" xr:uid="{6FC1B541-D4A8-4E3B-9C5A-5480FF43B5A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G15" authorId="0" shapeId="0" xr:uid="{3CD36253-D48F-4BFE-BA29-FB9EFA32B97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H15" authorId="0" shapeId="0" xr:uid="{D506BEE0-0399-4A94-9151-58DD75B1DA5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156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U5 &amp; O4 &amp; I3 &amp; P144</t>
        </r>
      </text>
    </comment>
    <comment ref="A16" authorId="0" shapeId="0" xr:uid="{7B7BEFE4-849C-452B-86AF-7E2AE87FF1D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B16" authorId="0" shapeId="0" xr:uid="{F11AEDE2-E39F-40A8-BA5C-F0961119220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C16" authorId="0" shapeId="0" xr:uid="{3F3C5D34-6712-42DD-AFC3-2D17B3F101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D16" authorId="0" shapeId="0" xr:uid="{1E85FC36-DC17-4242-80CA-87CED0F841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E16" authorId="0" shapeId="0" xr:uid="{D4DF2D14-162F-4348-B7EF-B5268F5F8E7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F16" authorId="0" shapeId="0" xr:uid="{218A5F84-0D60-4952-A910-0CC446123E1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G16" authorId="0" shapeId="0" xr:uid="{053A9B53-F374-4C10-BC4E-68958603AD5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H16" authorId="0" shapeId="0" xr:uid="{EB01902D-2B8D-4AF7-B74E-E17043959B0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67.9%]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114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24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3]_x000D_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U9 &amp; O10 &amp; I14 &amp; E80 &amp; P1</t>
        </r>
      </text>
    </comment>
    <comment ref="A28" authorId="0" shapeId="0" xr:uid="{0BC432FF-536B-4CE1-B1EF-C32AE73F5B3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B28" authorId="0" shapeId="0" xr:uid="{47A0B4CC-5744-4C2C-9B5D-B34E7E28321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C28" authorId="0" shapeId="0" xr:uid="{F04EC8D2-FCE9-4077-BB7D-6BDF1CA48C9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D28" authorId="0" shapeId="0" xr:uid="{10A08DC9-B385-4B94-A5A2-00B43994AC9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E28" authorId="0" shapeId="0" xr:uid="{CE2F29C2-324E-4A71-B3B0-B6A268B6042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F28" authorId="0" shapeId="0" xr:uid="{01023094-5482-460D-9666-A3A12262BA4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G28" authorId="0" shapeId="0" xr:uid="{ECC9BB9E-D554-46CB-ACC2-3B7574365D5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H28" authorId="0" shapeId="0" xr:uid="{BDF9B7D1-4045-4821-9C44-9B91EE55FCF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19.1%]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32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20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5]_x000D_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U3 &amp; O2 &amp; I27</t>
        </r>
      </text>
    </comment>
    <comment ref="A29" authorId="0" shapeId="0" xr:uid="{4670FC4B-ACA0-4810-97B3-6731DF34775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B29" authorId="0" shapeId="0" xr:uid="{C43C6FFD-0E32-445A-A479-B4B679D1883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C29" authorId="0" shapeId="0" xr:uid="{849C7DC3-017F-4A59-9266-8D5EFB3237D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D29" authorId="0" shapeId="0" xr:uid="{2A936D74-D5E0-4A9E-8ED4-071EFC10712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E29" authorId="0" shapeId="0" xr:uid="{405476D6-A6C9-42E7-AF67-FDAF3DDB740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F29" authorId="0" shapeId="0" xr:uid="{C15A4518-4B0E-4785-BA02-1EF407D0A1A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G29" authorId="0" shapeId="0" xr:uid="{263ACD01-5C11-416C-A3B0-6F18F9CEC71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H29" authorId="0" shapeId="0" xr:uid="{84E488A0-CDB5-4A4A-9C42-5F2F9FEF26B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42.9%]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72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4]_x000D_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S1 &amp; W1 &amp; O5 &amp; I17 &amp; P48</t>
        </r>
      </text>
    </comment>
    <comment ref="A30" authorId="0" shapeId="0" xr:uid="{AD466862-B14D-4F31-8AB8-8B4FB75BAF5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B30" authorId="0" shapeId="0" xr:uid="{403F3047-C060-4045-871D-2C004254541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C30" authorId="0" shapeId="0" xr:uid="{9B74FEDD-EA28-4901-87AF-10F417D8D8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D30" authorId="0" shapeId="0" xr:uid="{49291209-7252-4D5D-854F-A3FD8F17A92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E30" authorId="0" shapeId="0" xr:uid="{A9D00129-8927-4E8F-98F8-E3E857473D6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F30" authorId="0" shapeId="0" xr:uid="{FD2EBCDB-ADAB-46B1-8D70-D520FDC7E2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G30" authorId="0" shapeId="0" xr:uid="{8492DD15-4C05-4656-B723-46C70D7599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H30" authorId="0" shapeId="0" xr:uid="{B898AAF4-8666-45AD-8109-4C018730F24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51.8%]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87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76 PAX]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8]_x000D_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O4 &amp; I45 &amp; P38</t>
        </r>
      </text>
    </comment>
    <comment ref="A42" authorId="0" shapeId="0" xr:uid="{073E79CD-1025-40B9-B53F-4424EBE165E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B42" authorId="0" shapeId="0" xr:uid="{1AC0D434-FB66-4953-BAC0-FB4475CE101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C42" authorId="0" shapeId="0" xr:uid="{077DD461-4E5E-4206-B6B8-A10744D7774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D42" authorId="0" shapeId="0" xr:uid="{6316A43B-D5F8-4E97-B6E7-2D4C73A6B25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E42" authorId="0" shapeId="0" xr:uid="{868AD333-64C6-41E4-90C3-52F63329433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F42" authorId="0" shapeId="0" xr:uid="{D306E39C-3A4C-4DDE-BF47-0C2EAB2FCE2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G42" authorId="0" shapeId="0" xr:uid="{E7A13B02-F751-40EC-8FD4-97ABCE294A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H42" authorId="0" shapeId="0" xr:uid="{26BFB99D-FBFC-457A-826C-36AB60CB35F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93.3%]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167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G3]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10-NOV]_x000D_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S4 &amp; U8 &amp; P155</t>
        </r>
      </text>
    </comment>
    <comment ref="A43" authorId="0" shapeId="0" xr:uid="{C0BEB74C-6455-4DD4-A8C2-3A4D4EBE15C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B43" authorId="0" shapeId="0" xr:uid="{252D06D4-839F-4765-8A7E-BAE8857630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C43" authorId="0" shapeId="0" xr:uid="{B8532D7B-4652-49BA-AB2A-76A23C38293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D43" authorId="0" shapeId="0" xr:uid="{BCCABF60-53F0-4F75-9DFB-7B59A46E4F6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E43" authorId="0" shapeId="0" xr:uid="{94CA6542-083F-4811-84FA-869B5C42C8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F43" authorId="0" shapeId="0" xr:uid="{46F2B9CE-CC44-4459-9425-C45E053C510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G43" authorId="0" shapeId="0" xr:uid="{BCCC1076-FC55-4F3C-B8E6-20EDF15194E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  <comment ref="H43" authorId="0" shapeId="0" xr:uid="{3A32119C-0DE6-47C1-A0FE-ED347CD927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97.8%]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175 PAX]_x000D_
_x000D_
[</t>
        </r>
        <r>
          <rPr>
            <b/>
            <sz val="8.5"/>
            <color indexed="21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21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12-NOV]_x000D_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L1 &amp; S1 &amp; X3 &amp; I3 &amp; P167</t>
        </r>
      </text>
    </comment>
  </commentList>
</comments>
</file>

<file path=xl/sharedStrings.xml><?xml version="1.0" encoding="utf-8"?>
<sst xmlns="http://schemas.openxmlformats.org/spreadsheetml/2006/main" count="5439" uniqueCount="560">
  <si>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</si>
  <si>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</si>
  <si>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</si>
  <si>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</si>
  <si>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</si>
  <si>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</si>
  <si>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</si>
  <si>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</si>
  <si>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</si>
  <si>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</si>
  <si>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</si>
  <si>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</si>
  <si>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</si>
  <si>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</si>
  <si>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</si>
  <si>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</si>
  <si>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</si>
  <si>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</si>
  <si>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</si>
  <si>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</si>
  <si>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</si>
  <si>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</si>
  <si>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</si>
  <si>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</si>
  <si>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</si>
  <si>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</si>
  <si>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</si>
  <si>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F3-755</t>
  </si>
  <si>
    <t>Cabin: 0 KG | Check-in: 15 KG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</si>
  <si>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</si>
  <si>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589 SAR</t>
  </si>
  <si>
    <t>F3-753</t>
  </si>
  <si>
    <r>
      <rPr>
        <b/>
        <i/>
        <sz val="13"/>
        <rFont val="Calibri"/>
        <family val="2"/>
      </rPr>
      <t>5</t>
    </r>
    <r>
      <rPr>
        <b/>
        <i/>
        <sz val="10"/>
        <rFont val="Calibri"/>
        <family val="2"/>
      </rPr>
      <t xml:space="preserve"> FOR SAME CLASS</t>
    </r>
  </si>
  <si>
    <t>639 SAR</t>
  </si>
  <si>
    <t>F3-763</t>
  </si>
  <si>
    <r>
      <rPr>
        <b/>
        <i/>
        <sz val="13"/>
        <rFont val="Calibri"/>
        <family val="2"/>
      </rPr>
      <t>11</t>
    </r>
    <r>
      <rPr>
        <b/>
        <i/>
        <sz val="10"/>
        <rFont val="Calibri"/>
        <family val="2"/>
      </rPr>
      <t xml:space="preserve"> FOR SAME CLASS</t>
    </r>
  </si>
  <si>
    <t>F3-761</t>
  </si>
  <si>
    <r>
      <rPr>
        <b/>
        <i/>
        <sz val="13"/>
        <rFont val="Calibri"/>
        <family val="2"/>
      </rPr>
      <t>13</t>
    </r>
    <r>
      <rPr>
        <b/>
        <i/>
        <sz val="10"/>
        <rFont val="Calibri"/>
        <family val="2"/>
      </rPr>
      <t xml:space="preserve"> FOR SAME CLASS</t>
    </r>
  </si>
  <si>
    <t>689 SAR</t>
  </si>
  <si>
    <t>flynas</t>
  </si>
  <si>
    <t>XY-567</t>
  </si>
  <si>
    <t>Cabin: 7 KG | Check-in: 20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</si>
  <si>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</si>
  <si>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669 SAR</t>
  </si>
  <si>
    <t>XY-569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</si>
  <si>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</si>
  <si>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t>XY-571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</si>
  <si>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</si>
  <si>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XY-573</t>
  </si>
  <si>
    <t>XY-577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</si>
  <si>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</si>
  <si>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t>XY-589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</si>
  <si>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</si>
  <si>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XY-565</t>
  </si>
  <si>
    <t>719 SAR</t>
  </si>
  <si>
    <t>Air Arabia Egypt</t>
  </si>
  <si>
    <t>E5-328</t>
  </si>
  <si>
    <t>Cabin: 10 KG | Check-in: 30 KG</t>
  </si>
  <si>
    <t>700 SAR</t>
  </si>
  <si>
    <t>E5-362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</si>
  <si>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</si>
  <si>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Nile Air</t>
  </si>
  <si>
    <t>NP-128</t>
  </si>
  <si>
    <t>Cabin: 7 KG | Check-in: 30 KG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</si>
  <si>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</si>
  <si>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834 SAR</t>
  </si>
  <si>
    <t>Air Cairo</t>
  </si>
  <si>
    <t>SM-478</t>
  </si>
  <si>
    <t>Cabin: 7 KG | Check-in: 40 KG</t>
  </si>
  <si>
    <t>1,066 SAR</t>
  </si>
  <si>
    <t>SM478</t>
  </si>
  <si>
    <t>K1</t>
  </si>
  <si>
    <t>K2 &amp; L1 &amp; G3 &amp; S3 &amp; W4 &amp; T10 &amp; X12 &amp; U5 &amp; O6 &amp; I4 &amp; E45 &amp; P82 &amp; N1</t>
  </si>
  <si>
    <t>SM450</t>
  </si>
  <si>
    <t>30KG + 7KG CABIN</t>
  </si>
  <si>
    <t>FULLY BOOKED</t>
  </si>
  <si>
    <t>CLOSED</t>
  </si>
  <si>
    <t>V3 &amp; G16 &amp; S17 &amp; W22 &amp; T10 &amp; X10 &amp; U17 &amp; O17 &amp; I17 &amp; P50</t>
  </si>
  <si>
    <t>SM476</t>
  </si>
  <si>
    <t>K5 &amp; L6 &amp; S24 &amp; W5 &amp; P135 &amp; N4</t>
  </si>
  <si>
    <t>EgyptAir</t>
  </si>
  <si>
    <t>MS-674</t>
  </si>
  <si>
    <t>Cabin: 7 KG | Check-in: 2 PIECE</t>
  </si>
  <si>
    <t>1,080 SAR</t>
  </si>
  <si>
    <t>MS-666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</si>
  <si>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</si>
  <si>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1,260 SAR</t>
  </si>
  <si>
    <t>MS-644</t>
  </si>
  <si>
    <t>1,264 SAR</t>
  </si>
  <si>
    <t>MS-664</t>
  </si>
  <si>
    <r>
      <rPr>
        <b/>
        <i/>
        <sz val="13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</si>
  <si>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t>1,844 SAR</t>
  </si>
  <si>
    <t>MS-668</t>
  </si>
  <si>
    <t>MS-672</t>
  </si>
  <si>
    <r>
      <rPr>
        <b/>
        <i/>
        <sz val="13"/>
        <rFont val="Calibri"/>
        <family val="2"/>
      </rPr>
      <t>3</t>
    </r>
    <r>
      <rPr>
        <b/>
        <i/>
        <sz val="10"/>
        <rFont val="Calibri"/>
        <family val="2"/>
      </rPr>
      <t xml:space="preserve"> FOR SAME CLASS</t>
    </r>
  </si>
  <si>
    <t>Saudia</t>
  </si>
  <si>
    <t>SV-301</t>
  </si>
  <si>
    <t>Cabin: 7 KG / Check-in: 23 KG</t>
  </si>
  <si>
    <t>1,193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</si>
  <si>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</si>
  <si>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</si>
  <si>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1,326 SAR</t>
  </si>
  <si>
    <t>SV-303</t>
  </si>
  <si>
    <t>SV-309</t>
  </si>
  <si>
    <t>SV-383</t>
  </si>
  <si>
    <t>SV-387</t>
  </si>
  <si>
    <t>SV-335</t>
  </si>
  <si>
    <t>1,586 SAR</t>
  </si>
  <si>
    <t>1,719 SAR</t>
  </si>
  <si>
    <t>SV-6891</t>
  </si>
  <si>
    <t>1,721 SAR</t>
  </si>
  <si>
    <t>SV-6893</t>
  </si>
  <si>
    <t>SV-305</t>
  </si>
  <si>
    <t>1,828 SAR</t>
  </si>
  <si>
    <t>1,961 SAR</t>
  </si>
  <si>
    <t>SV-389</t>
  </si>
  <si>
    <t>SV-6664</t>
  </si>
  <si>
    <t>1,944 SAR</t>
  </si>
  <si>
    <t>SV-6895</t>
  </si>
  <si>
    <t>Check-in: 15 KG</t>
  </si>
  <si>
    <t>539 SAR</t>
  </si>
  <si>
    <t>Cabin: 10 KG / Check-in: 25 KG</t>
  </si>
  <si>
    <r>
      <rPr>
        <i/>
        <sz val="13"/>
        <rFont val="Calibri"/>
        <family val="2"/>
      </rPr>
      <t>1</t>
    </r>
    <r>
      <rPr>
        <i/>
        <sz val="10"/>
        <rFont val="Calibri"/>
        <family val="2"/>
      </rPr>
      <t xml:space="preserve"> FOR SAME CLASS</t>
    </r>
  </si>
  <si>
    <t>Cabin: 10 KG / Check-in: 2 x 40 KG</t>
  </si>
  <si>
    <t>1,099 SAR</t>
  </si>
  <si>
    <r>
      <rPr>
        <i/>
        <sz val="13"/>
        <rFont val="Calibri"/>
        <family val="2"/>
      </rPr>
      <t>5</t>
    </r>
    <r>
      <rPr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</si>
  <si>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3</t>
    </r>
    <r>
      <rPr>
        <i/>
        <sz val="10"/>
        <rFont val="Calibri"/>
        <family val="2"/>
      </rPr>
      <t xml:space="preserve"> FOR SAME CLASS</t>
    </r>
  </si>
  <si>
    <t>739 SAR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</si>
  <si>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</si>
  <si>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789 SAR</t>
  </si>
  <si>
    <t>SM-432</t>
  </si>
  <si>
    <t>586 SAR</t>
  </si>
  <si>
    <t>SM432</t>
  </si>
  <si>
    <t>T1</t>
  </si>
  <si>
    <t>G1 &amp; S10 &amp; W19 &amp; T17 &amp; X9 &amp; U20 &amp; O4 &amp; I5 &amp; P62</t>
  </si>
  <si>
    <t>SM-424</t>
  </si>
  <si>
    <t>706 SAR</t>
  </si>
  <si>
    <t>SM424</t>
  </si>
  <si>
    <t>S1</t>
  </si>
  <si>
    <t>S14 &amp; W17 &amp; T33 &amp; X4 &amp; U5 &amp; O4 &amp; I4 &amp; P28 &amp; N2</t>
  </si>
  <si>
    <t>SM-476</t>
  </si>
  <si>
    <t>S5</t>
  </si>
  <si>
    <t>G5 &amp; S32 &amp; W20 &amp; T16 &amp; X9 &amp; U5 &amp; O5 &amp; I5</t>
  </si>
  <si>
    <t>SM-460</t>
  </si>
  <si>
    <t>781 SAR</t>
  </si>
  <si>
    <t>SM460</t>
  </si>
  <si>
    <t>G5</t>
  </si>
  <si>
    <t>L6 &amp; G3 &amp; S13 &amp; U3 &amp; O5 &amp; I7 &amp; P128</t>
  </si>
  <si>
    <t>L1 &amp; G4 &amp; S11 &amp; T7 &amp; X12 &amp; U5 &amp; O5 &amp; I7 &amp; P129</t>
  </si>
  <si>
    <t>Cabin: 7 KG / Check-in: 20 KG</t>
  </si>
  <si>
    <t>Cabin: 7 KG / Check-in: 30 KG</t>
  </si>
  <si>
    <t>Cabin: 7 KG / Check-in: 2 x 40 KG</t>
  </si>
  <si>
    <t>779 SAR</t>
  </si>
  <si>
    <t>XY-583</t>
  </si>
  <si>
    <t>769 SAR</t>
  </si>
  <si>
    <t>859 SAR</t>
  </si>
  <si>
    <r>
      <rPr>
        <b/>
        <i/>
        <sz val="13"/>
        <color rgb="FFBC0000"/>
        <rFont val="Calibri"/>
        <family val="2"/>
      </rPr>
      <t>2</t>
    </r>
    <r>
      <rPr>
        <b/>
        <i/>
        <sz val="10"/>
        <color rgb="FFBC0000"/>
        <rFont val="Calibri"/>
        <family val="2"/>
      </rPr>
      <t xml:space="preserve"> FOR SAME CLASS</t>
    </r>
  </si>
  <si>
    <t>599 SAR</t>
  </si>
  <si>
    <t>NP-228</t>
  </si>
  <si>
    <t>Cabin: 10 KG / Check-in: 30 KG</t>
  </si>
  <si>
    <t>605 SAR</t>
  </si>
  <si>
    <t>832 SAR</t>
  </si>
  <si>
    <t>Nesma Airlines</t>
  </si>
  <si>
    <t>NE-177</t>
  </si>
  <si>
    <t>645 SAR</t>
  </si>
  <si>
    <t>NE-171</t>
  </si>
  <si>
    <t>695 SAR</t>
  </si>
  <si>
    <t>MS-670</t>
  </si>
  <si>
    <t>MS-662</t>
  </si>
  <si>
    <t>1,407 SAR</t>
  </si>
  <si>
    <t>1,276 SAR</t>
  </si>
  <si>
    <t>1,321 SAR</t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</si>
  <si>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</si>
  <si>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1,524 SAR</t>
  </si>
  <si>
    <t>1,728 SAR</t>
  </si>
  <si>
    <t>1,773 SAR</t>
  </si>
  <si>
    <r>
      <rPr>
        <b/>
        <i/>
        <sz val="13"/>
        <rFont val="Calibri"/>
        <family val="2"/>
      </rPr>
      <t>6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</si>
  <si>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6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</si>
  <si>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color rgb="FFBC0000"/>
        <rFont val="Calibri"/>
        <family val="2"/>
      </rPr>
      <t>10</t>
    </r>
    <r>
      <rPr>
        <b/>
        <i/>
        <sz val="10"/>
        <color rgb="FFBC0000"/>
        <rFont val="Calibri"/>
        <family val="2"/>
      </rPr>
      <t xml:space="preserve"> FOR SAME CLASS</t>
    </r>
  </si>
  <si>
    <t>459 SAR</t>
  </si>
  <si>
    <r>
      <rPr>
        <i/>
        <sz val="13"/>
        <rFont val="Calibri"/>
        <family val="2"/>
      </rPr>
      <t>10</t>
    </r>
    <r>
      <rPr>
        <i/>
        <sz val="10"/>
        <rFont val="Calibri"/>
        <family val="2"/>
      </rPr>
      <t xml:space="preserve"> FOR SAME CLASS</t>
    </r>
  </si>
  <si>
    <t>609 SAR</t>
  </si>
  <si>
    <r>
      <rPr>
        <b/>
        <i/>
        <sz val="13"/>
        <rFont val="Calibri"/>
        <family val="2"/>
      </rPr>
      <t>10</t>
    </r>
    <r>
      <rPr>
        <b/>
        <i/>
        <sz val="10"/>
        <rFont val="Calibri"/>
        <family val="2"/>
      </rPr>
      <t xml:space="preserve"> FOR SAME CLASS</t>
    </r>
  </si>
  <si>
    <t>499 SAR</t>
  </si>
  <si>
    <t>649 SAR</t>
  </si>
  <si>
    <t>839 SAR</t>
  </si>
  <si>
    <r>
      <rPr>
        <b/>
        <i/>
        <sz val="13"/>
        <color rgb="FFBC0000"/>
        <rFont val="Calibri"/>
        <family val="2"/>
      </rPr>
      <t>8</t>
    </r>
    <r>
      <rPr>
        <b/>
        <i/>
        <sz val="10"/>
        <color rgb="FFBC0000"/>
        <rFont val="Calibri"/>
        <family val="2"/>
      </rPr>
      <t xml:space="preserve"> FOR SAME CLASS</t>
    </r>
  </si>
  <si>
    <t>509 SAR</t>
  </si>
  <si>
    <t>699 SAR</t>
  </si>
  <si>
    <r>
      <rPr>
        <i/>
        <sz val="13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</si>
  <si>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t>549 SAR</t>
  </si>
  <si>
    <t>568 SAR</t>
  </si>
  <si>
    <t>691 SAR</t>
  </si>
  <si>
    <t>592 SAR</t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</si>
  <si>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</si>
  <si>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716 SAR</t>
  </si>
  <si>
    <r>
      <rPr>
        <b/>
        <i/>
        <sz val="13"/>
        <color rgb="FFBC0000"/>
        <rFont val="Calibri"/>
        <family val="2"/>
      </rPr>
      <t>4</t>
    </r>
    <r>
      <rPr>
        <b/>
        <i/>
        <sz val="10"/>
        <color rgb="FFBC0000"/>
        <rFont val="Calibri"/>
        <family val="2"/>
      </rPr>
      <t xml:space="preserve"> FOR SAME CLASS</t>
    </r>
  </si>
  <si>
    <t>T4</t>
  </si>
  <si>
    <t>S1 &amp; T3 &amp; X17 &amp; U10 &amp; O10 &amp; I15 &amp; P108</t>
  </si>
  <si>
    <t>T2</t>
  </si>
  <si>
    <t>S2 &amp; T8 &amp; X11 &amp; U18 &amp; O16 &amp; I11 &amp; P84 &amp; N4</t>
  </si>
  <si>
    <t>SM-480</t>
  </si>
  <si>
    <t>SM480</t>
  </si>
  <si>
    <t>S2 &amp; T6 &amp; X17 &amp; U25 &amp; O10 &amp; I10</t>
  </si>
  <si>
    <t>646 SAR</t>
  </si>
  <si>
    <t>W5</t>
  </si>
  <si>
    <t>S5 &amp; T5 &amp; X22 &amp; U10 &amp; O10 &amp; I5 &amp; P93</t>
  </si>
  <si>
    <t>NE-173</t>
  </si>
  <si>
    <t>595 SAR</t>
  </si>
  <si>
    <r>
      <rPr>
        <b/>
        <i/>
        <sz val="13"/>
        <color rgb="FFBC0000"/>
        <rFont val="Calibri"/>
        <family val="2"/>
      </rPr>
      <t>6</t>
    </r>
    <r>
      <rPr>
        <b/>
        <i/>
        <sz val="10"/>
        <color rgb="FFBC0000"/>
        <rFont val="Calibri"/>
        <family val="2"/>
      </rPr>
      <t xml:space="preserve"> FOR SAME CLASS</t>
    </r>
  </si>
  <si>
    <t>842 SAR</t>
  </si>
  <si>
    <t>970 SAR</t>
  </si>
  <si>
    <t>1,642 SAR</t>
  </si>
  <si>
    <t>935 SAR</t>
  </si>
  <si>
    <t>980 SAR</t>
  </si>
  <si>
    <t>1,349 SAR</t>
  </si>
  <si>
    <t>1,486 SAR</t>
  </si>
  <si>
    <t>1,531 SAR</t>
  </si>
  <si>
    <t>389 SAR</t>
  </si>
  <si>
    <t>419 SAR</t>
  </si>
  <si>
    <t>569 SAR</t>
  </si>
  <si>
    <t>401 SAR</t>
  </si>
  <si>
    <t>NP-328</t>
  </si>
  <si>
    <t>449 SAR</t>
  </si>
  <si>
    <t>489 SAR</t>
  </si>
  <si>
    <t>679 SAR</t>
  </si>
  <si>
    <t>SM-472</t>
  </si>
  <si>
    <t>471 SAR</t>
  </si>
  <si>
    <t>SM472</t>
  </si>
  <si>
    <t>U1</t>
  </si>
  <si>
    <t>S8 &amp; X3 &amp; U9 &amp; O10 &amp; I30</t>
  </si>
  <si>
    <t>U9 &amp; O15 &amp; I30 &amp; P46</t>
  </si>
  <si>
    <t>526 SAR</t>
  </si>
  <si>
    <t>X3</t>
  </si>
  <si>
    <t>S2 &amp; X2 &amp; U5 &amp; O10 &amp; I15 &amp; P88</t>
  </si>
  <si>
    <t>X4</t>
  </si>
  <si>
    <t>S5 &amp; X6 &amp; U13 &amp; O15 &amp; I15 &amp; P82</t>
  </si>
  <si>
    <t>S2 &amp; X1 &amp; U15 &amp; O15 &amp; I15 &amp; P117 &amp; N3</t>
  </si>
  <si>
    <t>S1 &amp; W2 &amp; X4 &amp; U17 &amp; O15 &amp; I9 &amp; P117</t>
  </si>
  <si>
    <t>536 SAR</t>
  </si>
  <si>
    <t>660 SAR</t>
  </si>
  <si>
    <t>1,093 SAR</t>
  </si>
  <si>
    <t>1,138 SAR</t>
  </si>
  <si>
    <t>2,005 SAR</t>
  </si>
  <si>
    <t>2,050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</si>
  <si>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</si>
  <si>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</si>
  <si>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</si>
  <si>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</si>
  <si>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</si>
  <si>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</si>
  <si>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</si>
  <si>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</si>
  <si>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</si>
  <si>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</si>
  <si>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</si>
  <si>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</si>
  <si>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</si>
  <si>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</si>
  <si>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</si>
  <si>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</si>
  <si>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</si>
  <si>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</si>
  <si>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</si>
  <si>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</si>
  <si>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</si>
  <si>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</si>
  <si>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</si>
  <si>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</si>
  <si>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</si>
  <si>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</si>
  <si>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</si>
  <si>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</si>
  <si>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</si>
  <si>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</si>
  <si>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05:40</t>
  </si>
  <si>
    <t>320</t>
  </si>
  <si>
    <t>UPCOMING</t>
  </si>
  <si>
    <t>V3</t>
  </si>
  <si>
    <t>G16</t>
  </si>
  <si>
    <t>S17</t>
  </si>
  <si>
    <t>W22</t>
  </si>
  <si>
    <t>T10</t>
  </si>
  <si>
    <t>X10</t>
  </si>
  <si>
    <t>U17</t>
  </si>
  <si>
    <t>O17</t>
  </si>
  <si>
    <t>I17</t>
  </si>
  <si>
    <t>P50</t>
  </si>
  <si>
    <t>08:00</t>
  </si>
  <si>
    <t>K5</t>
  </si>
  <si>
    <t>L6</t>
  </si>
  <si>
    <t>S24</t>
  </si>
  <si>
    <t>P135</t>
  </si>
  <si>
    <t>N4</t>
  </si>
  <si>
    <t>16:20</t>
  </si>
  <si>
    <t>K2</t>
  </si>
  <si>
    <t>L1</t>
  </si>
  <si>
    <t>G3</t>
  </si>
  <si>
    <t>S3</t>
  </si>
  <si>
    <t>W4</t>
  </si>
  <si>
    <t>X12</t>
  </si>
  <si>
    <t>U5</t>
  </si>
  <si>
    <t>O6</t>
  </si>
  <si>
    <t>I4</t>
  </si>
  <si>
    <t>E45</t>
  </si>
  <si>
    <t>P82</t>
  </si>
  <si>
    <t>N1</t>
  </si>
  <si>
    <t>SUNDAY</t>
  </si>
  <si>
    <t>02:00</t>
  </si>
  <si>
    <t>S14</t>
  </si>
  <si>
    <t>W17</t>
  </si>
  <si>
    <t>T33</t>
  </si>
  <si>
    <t>O4</t>
  </si>
  <si>
    <t>P28</t>
  </si>
  <si>
    <t>N2</t>
  </si>
  <si>
    <t>07:40</t>
  </si>
  <si>
    <t>S32</t>
  </si>
  <si>
    <t>W20</t>
  </si>
  <si>
    <t>T16</t>
  </si>
  <si>
    <t>X9</t>
  </si>
  <si>
    <t>O5</t>
  </si>
  <si>
    <t>I5</t>
  </si>
  <si>
    <t>G1</t>
  </si>
  <si>
    <t>S10</t>
  </si>
  <si>
    <t>W19</t>
  </si>
  <si>
    <t>T17</t>
  </si>
  <si>
    <t>U20</t>
  </si>
  <si>
    <t>P62</t>
  </si>
  <si>
    <t>12:15</t>
  </si>
  <si>
    <t>S13</t>
  </si>
  <si>
    <t>U3</t>
  </si>
  <si>
    <t>I7</t>
  </si>
  <si>
    <t>P128</t>
  </si>
  <si>
    <t>15:10</t>
  </si>
  <si>
    <t>G4</t>
  </si>
  <si>
    <t>S11</t>
  </si>
  <si>
    <t>T7</t>
  </si>
  <si>
    <t>P129</t>
  </si>
  <si>
    <t>MONDAY</t>
  </si>
  <si>
    <t>00:10</t>
  </si>
  <si>
    <t>S2</t>
  </si>
  <si>
    <t>T6</t>
  </si>
  <si>
    <t>X17</t>
  </si>
  <si>
    <t>U25</t>
  </si>
  <si>
    <t>O10</t>
  </si>
  <si>
    <t>I10</t>
  </si>
  <si>
    <t>10:10</t>
  </si>
  <si>
    <t>T8</t>
  </si>
  <si>
    <t>X11</t>
  </si>
  <si>
    <t>U18</t>
  </si>
  <si>
    <t>O16</t>
  </si>
  <si>
    <t>I11</t>
  </si>
  <si>
    <t>P84</t>
  </si>
  <si>
    <t>14:45</t>
  </si>
  <si>
    <t>T5</t>
  </si>
  <si>
    <t>X22</t>
  </si>
  <si>
    <t>U10</t>
  </si>
  <si>
    <t>P93</t>
  </si>
  <si>
    <t>23:30</t>
  </si>
  <si>
    <t>T3</t>
  </si>
  <si>
    <t>I15</t>
  </si>
  <si>
    <t>P108</t>
  </si>
  <si>
    <t>TUESDAY</t>
  </si>
  <si>
    <t>05:30</t>
  </si>
  <si>
    <t>S8</t>
  </si>
  <si>
    <t>U9</t>
  </si>
  <si>
    <t>I30</t>
  </si>
  <si>
    <t>13:25</t>
  </si>
  <si>
    <t>X1</t>
  </si>
  <si>
    <t>U15</t>
  </si>
  <si>
    <t>O15</t>
  </si>
  <si>
    <t>P117</t>
  </si>
  <si>
    <t>N3</t>
  </si>
  <si>
    <t>X6</t>
  </si>
  <si>
    <t>U13</t>
  </si>
  <si>
    <t>17:30</t>
  </si>
  <si>
    <t>W2</t>
  </si>
  <si>
    <t>I9</t>
  </si>
  <si>
    <t>22:25</t>
  </si>
  <si>
    <t>X2</t>
  </si>
  <si>
    <t>P88</t>
  </si>
  <si>
    <t>23:15</t>
  </si>
  <si>
    <t>P46</t>
  </si>
  <si>
    <t>DATE</t>
  </si>
  <si>
    <t>ROUTE</t>
  </si>
  <si>
    <t>2025-11-22</t>
  </si>
  <si>
    <t>03:05</t>
  </si>
  <si>
    <t>07:15</t>
  </si>
  <si>
    <t>21:20</t>
  </si>
  <si>
    <t>21:40</t>
  </si>
  <si>
    <t>15:50</t>
  </si>
  <si>
    <t>12:25</t>
  </si>
  <si>
    <t>20:30</t>
  </si>
  <si>
    <t>09:30</t>
  </si>
  <si>
    <t>19:10</t>
  </si>
  <si>
    <t>18:55</t>
  </si>
  <si>
    <t>06:55</t>
  </si>
  <si>
    <t>05:10</t>
  </si>
  <si>
    <t>06:10</t>
  </si>
  <si>
    <t>16:00</t>
  </si>
  <si>
    <t>JED-HBE</t>
  </si>
  <si>
    <t>F3-773</t>
  </si>
  <si>
    <t>Hand baggage only</t>
  </si>
  <si>
    <t>849 SAR</t>
  </si>
  <si>
    <t>Cabin: 10 KG</t>
  </si>
  <si>
    <t>908 SAR</t>
  </si>
  <si>
    <t>Cabin: 10 KG / Check-in: 20 KG</t>
  </si>
  <si>
    <t>932 SAR</t>
  </si>
  <si>
    <t>Cabin: 10 KG / Check-in: 32 KG</t>
  </si>
  <si>
    <t>E5-326</t>
  </si>
  <si>
    <t>873 SAR</t>
  </si>
  <si>
    <t>938 SAR</t>
  </si>
  <si>
    <t>1,119 SAR</t>
  </si>
  <si>
    <t>MS-656</t>
  </si>
  <si>
    <r>
      <rPr>
        <b/>
        <i/>
        <sz val="13"/>
        <color rgb="FFBC0000"/>
        <rFont val="Calibri"/>
        <family val="2"/>
      </rPr>
      <t>5</t>
    </r>
    <r>
      <rPr>
        <b/>
        <i/>
        <sz val="10"/>
        <color rgb="FFBC0000"/>
        <rFont val="Calibri"/>
        <family val="2"/>
      </rPr>
      <t xml:space="preserve"> FOR SAME CLASS</t>
    </r>
  </si>
  <si>
    <t>1,191 SAR</t>
  </si>
  <si>
    <t>SV-411</t>
  </si>
  <si>
    <t>2,275 SAR</t>
  </si>
  <si>
    <t>2,403 SAR</t>
  </si>
  <si>
    <t>SM458</t>
  </si>
  <si>
    <t>L11 &amp; S16 &amp; W2 &amp; T15 &amp; X17 &amp; P118</t>
  </si>
  <si>
    <t>SM452</t>
  </si>
  <si>
    <t>K3 &amp; V5 &amp; L14 &amp; S7 &amp; X14 &amp; P136</t>
  </si>
  <si>
    <t>Indirect competition route JED – CAI - diversion ratio &amp; passenger leakage</t>
  </si>
  <si>
    <t>1 FOR SAME CLASS</t>
  </si>
  <si>
    <t>5 FOR SAME CLASS</t>
  </si>
  <si>
    <t>11 FOR SAME CLASS</t>
  </si>
  <si>
    <t>9 FOR SAME CLASS</t>
  </si>
  <si>
    <t>7 FOR SAME CLASS</t>
  </si>
  <si>
    <t>8 FOR SAME CLASS</t>
  </si>
  <si>
    <t>4 FOR SAME CLASS</t>
  </si>
  <si>
    <t>13 FOR SAME CLASS</t>
  </si>
  <si>
    <t>815 SAR</t>
  </si>
  <si>
    <t>879 SAR</t>
  </si>
  <si>
    <t>1,061 SAR</t>
  </si>
  <si>
    <t>SM-458</t>
  </si>
  <si>
    <t>952 SAR</t>
  </si>
  <si>
    <t>V2</t>
  </si>
  <si>
    <t>V18 &amp; L5 &amp; G5 &amp; S6 &amp; X9 &amp; P134</t>
  </si>
  <si>
    <t>K1 &amp; V4 &amp; L3 &amp; G5 &amp; S10 &amp; W12 &amp; T3 &amp; X5 &amp; P136</t>
  </si>
  <si>
    <t>2,044 SAR</t>
  </si>
  <si>
    <t>2,172 SAR</t>
  </si>
  <si>
    <t>3 FOR SAME CLASS</t>
  </si>
  <si>
    <t>2 FOR SAME CLASS</t>
  </si>
  <si>
    <t>E5-324</t>
  </si>
  <si>
    <t>580 SAR</t>
  </si>
  <si>
    <t>650 SAR</t>
  </si>
  <si>
    <t>S2 &amp; X10 &amp; U18 &amp; O7 &amp; I7 &amp; P124</t>
  </si>
  <si>
    <t>S22 &amp; W1 &amp; X11 &amp; P134</t>
  </si>
  <si>
    <t>10 FOR SAME CLASS</t>
  </si>
  <si>
    <t>15:30</t>
  </si>
  <si>
    <t>6 FOR SAME CLASS</t>
  </si>
  <si>
    <t>E5-392</t>
  </si>
  <si>
    <t>496 SAR</t>
  </si>
  <si>
    <t>550 SAR</t>
  </si>
  <si>
    <t>620 SAR</t>
  </si>
  <si>
    <t>726 SAR</t>
  </si>
  <si>
    <t>788 SAR</t>
  </si>
  <si>
    <t>519 SAR</t>
  </si>
  <si>
    <t>578 SAR</t>
  </si>
  <si>
    <t>602 SAR</t>
  </si>
  <si>
    <t>SM-452</t>
  </si>
  <si>
    <t>856 SAR</t>
  </si>
  <si>
    <t>L7 &amp; S1 &amp; X11 &amp; P159</t>
  </si>
  <si>
    <t>906 SAR</t>
  </si>
  <si>
    <t>SV-331</t>
  </si>
  <si>
    <t>01:05</t>
  </si>
  <si>
    <t>11:00</t>
  </si>
  <si>
    <t>L11</t>
  </si>
  <si>
    <t>S16</t>
  </si>
  <si>
    <t>T15</t>
  </si>
  <si>
    <t>P118</t>
  </si>
  <si>
    <t>19:00</t>
  </si>
  <si>
    <t>K3</t>
  </si>
  <si>
    <t>V5</t>
  </si>
  <si>
    <t>L14</t>
  </si>
  <si>
    <t>S7</t>
  </si>
  <si>
    <t>X14</t>
  </si>
  <si>
    <t>P136</t>
  </si>
  <si>
    <t>11:45</t>
  </si>
  <si>
    <t>V18</t>
  </si>
  <si>
    <t>L5</t>
  </si>
  <si>
    <t>S6</t>
  </si>
  <si>
    <t>P134</t>
  </si>
  <si>
    <t>16:30</t>
  </si>
  <si>
    <t>V4</t>
  </si>
  <si>
    <t>L3</t>
  </si>
  <si>
    <t>W12</t>
  </si>
  <si>
    <t>X5</t>
  </si>
  <si>
    <t>08:05</t>
  </si>
  <si>
    <t>O7</t>
  </si>
  <si>
    <t>P124</t>
  </si>
  <si>
    <t>S22</t>
  </si>
  <si>
    <t>W1</t>
  </si>
  <si>
    <t>17:00</t>
  </si>
  <si>
    <t>L7</t>
  </si>
  <si>
    <t>P159</t>
  </si>
  <si>
    <t>12:40</t>
  </si>
  <si>
    <t>14:30</t>
  </si>
  <si>
    <t>17:05</t>
  </si>
  <si>
    <t>JED-CAI AS ALTERNATIVE ROUTE</t>
  </si>
  <si>
    <t>JED-ATZ</t>
  </si>
  <si>
    <t>SM-454</t>
  </si>
  <si>
    <r>
      <rPr>
        <b/>
        <i/>
        <sz val="13"/>
        <color rgb="FFBC0000"/>
        <rFont val="Calibri"/>
        <family val="2"/>
      </rPr>
      <t>7</t>
    </r>
    <r>
      <rPr>
        <b/>
        <i/>
        <sz val="10"/>
        <color rgb="FFBC0000"/>
        <rFont val="Calibri"/>
        <family val="2"/>
      </rPr>
      <t xml:space="preserve"> FOR SAME CLASS</t>
    </r>
  </si>
  <si>
    <t>SM454</t>
  </si>
  <si>
    <t>X7</t>
  </si>
  <si>
    <t>S2 &amp; W1 &amp; X13 &amp; U20 &amp; O40 &amp; I20 &amp; P34</t>
  </si>
  <si>
    <t>SM-456</t>
  </si>
  <si>
    <t>SM456</t>
  </si>
  <si>
    <t>G1 &amp; S2 &amp; X6 &amp; U19 &amp; P91</t>
  </si>
  <si>
    <t>MS-8224</t>
  </si>
  <si>
    <t>Cabin: 7 KG | Check-in: 1 PIECE</t>
  </si>
  <si>
    <t>640 SAR</t>
  </si>
  <si>
    <t>F3-777</t>
  </si>
  <si>
    <t>329 SAR</t>
  </si>
  <si>
    <t>388 SAR</t>
  </si>
  <si>
    <t>412 SAR</t>
  </si>
  <si>
    <t>579 SAR</t>
  </si>
  <si>
    <t>436 SAR</t>
  </si>
  <si>
    <t>U5 &amp; O4 &amp; I3 &amp; P144</t>
  </si>
  <si>
    <t>SM-492</t>
  </si>
  <si>
    <t>SM492</t>
  </si>
  <si>
    <t>O2</t>
  </si>
  <si>
    <t>U9 &amp; O10 &amp; I14 &amp; E80 &amp; P1</t>
  </si>
  <si>
    <r>
      <rPr>
        <b/>
        <i/>
        <sz val="13"/>
        <color rgb="FFBC0000"/>
        <rFont val="Calibri"/>
        <family val="2"/>
      </rPr>
      <t>3</t>
    </r>
    <r>
      <rPr>
        <b/>
        <i/>
        <sz val="10"/>
        <color rgb="FFBC0000"/>
        <rFont val="Calibri"/>
        <family val="2"/>
      </rPr>
      <t xml:space="preserve"> FOR SAME CLASS</t>
    </r>
  </si>
  <si>
    <t>I3</t>
  </si>
  <si>
    <t>U3 &amp; O2 &amp; I27</t>
  </si>
  <si>
    <t>S1 &amp; W1 &amp; O5 &amp; I17 &amp; P48</t>
  </si>
  <si>
    <t>SM-422</t>
  </si>
  <si>
    <t>SM422</t>
  </si>
  <si>
    <t>O4 &amp; I45 &amp; P38</t>
  </si>
  <si>
    <t>S4 &amp; U8 &amp; P155</t>
  </si>
  <si>
    <t>L4</t>
  </si>
  <si>
    <t>L1 &amp; S1 &amp; X3 &amp; I3 &amp; P167</t>
  </si>
  <si>
    <t>11:05</t>
  </si>
  <si>
    <t>X13</t>
  </si>
  <si>
    <t>O40</t>
  </si>
  <si>
    <t>I20</t>
  </si>
  <si>
    <t>P34</t>
  </si>
  <si>
    <t>U19</t>
  </si>
  <si>
    <t>P91</t>
  </si>
  <si>
    <t>18:25</t>
  </si>
  <si>
    <t>I14</t>
  </si>
  <si>
    <t>E80</t>
  </si>
  <si>
    <t>P1</t>
  </si>
  <si>
    <t>20:25</t>
  </si>
  <si>
    <t>P144</t>
  </si>
  <si>
    <t>06:05</t>
  </si>
  <si>
    <t>P48</t>
  </si>
  <si>
    <t>12:10</t>
  </si>
  <si>
    <t>I45</t>
  </si>
  <si>
    <t>P38</t>
  </si>
  <si>
    <t>I27</t>
  </si>
  <si>
    <t>07:45</t>
  </si>
  <si>
    <t>S4</t>
  </si>
  <si>
    <t>U8</t>
  </si>
  <si>
    <t>P155</t>
  </si>
  <si>
    <t>22:50</t>
  </si>
  <si>
    <t>P167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</si>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</sst>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b/>
      <i/>
      <sz val="12"/>
      <name val="Calibri"/>
      <family val="2"/>
    </font>
    <font>
      <b/>
      <i/>
      <sz val="13"/>
      <name val="Calibri"/>
      <family val="2"/>
    </font>
    <font>
      <b/>
      <i/>
      <sz val="13"/>
      <color rgb="FF006100"/>
      <name val="Calibri"/>
      <family val="2"/>
    </font>
    <font>
      <b/>
      <i/>
      <sz val="14"/>
      <name val="Calibri"/>
      <family val="2"/>
    </font>
    <font>
      <i/>
      <sz val="12"/>
      <name val="Calibri"/>
      <family val="2"/>
    </font>
    <font>
      <sz val="12"/>
      <color theme="1"/>
      <name val="Calibri"/>
      <family val="2"/>
    </font>
    <font>
      <b/>
      <i/>
      <sz val="13"/>
      <color rgb="FF9C0006"/>
      <name val="Calibri"/>
      <family val="2"/>
    </font>
    <font>
      <i/>
      <sz val="18"/>
      <color rgb="FFFF0000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i/>
      <sz val="12"/>
      <color rgb="FF0070C0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48"/>
      <name val="Calibri"/>
      <family val="2"/>
    </font>
    <font>
      <b/>
      <sz val="8.5"/>
      <color indexed="21"/>
      <name val="Calibri"/>
      <family val="2"/>
    </font>
    <font>
      <b/>
      <sz val="8.5"/>
      <color indexed="10"/>
      <name val="Calibri"/>
      <family val="2"/>
    </font>
    <font>
      <b/>
      <sz val="10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168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168" fontId="14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168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8" fontId="11" fillId="8" borderId="2" xfId="0" applyNumberFormat="1" applyFont="1" applyFill="1" applyBorder="1" applyAlignment="1">
      <alignment horizontal="center" vertical="center"/>
    </xf>
    <xf numFmtId="49" fontId="15" fillId="8" borderId="9" xfId="0" applyNumberFormat="1" applyFont="1" applyFill="1" applyBorder="1" applyAlignment="1">
      <alignment horizontal="center" vertical="center"/>
    </xf>
    <xf numFmtId="169" fontId="16" fillId="8" borderId="10" xfId="0" applyNumberFormat="1" applyFont="1" applyFill="1" applyBorder="1" applyAlignment="1">
      <alignment horizontal="center" vertical="center"/>
    </xf>
    <xf numFmtId="1" fontId="15" fillId="8" borderId="10" xfId="0" applyNumberFormat="1" applyFont="1" applyFill="1" applyBorder="1" applyAlignment="1">
      <alignment horizontal="center" vertical="center"/>
    </xf>
    <xf numFmtId="16" fontId="15" fillId="8" borderId="10" xfId="0" applyNumberFormat="1" applyFont="1" applyFill="1" applyBorder="1" applyAlignment="1">
      <alignment horizontal="center" vertical="center"/>
    </xf>
    <xf numFmtId="49" fontId="17" fillId="8" borderId="10" xfId="0" applyNumberFormat="1" applyFont="1" applyFill="1" applyBorder="1" applyAlignment="1">
      <alignment horizontal="center" vertical="center"/>
    </xf>
    <xf numFmtId="168" fontId="15" fillId="8" borderId="10" xfId="0" applyNumberFormat="1" applyFont="1" applyFill="1" applyBorder="1" applyAlignment="1">
      <alignment horizontal="center" vertical="center"/>
    </xf>
    <xf numFmtId="49" fontId="15" fillId="8" borderId="11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168" fontId="14" fillId="9" borderId="2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49" fontId="15" fillId="9" borderId="9" xfId="0" applyNumberFormat="1" applyFont="1" applyFill="1" applyBorder="1" applyAlignment="1">
      <alignment horizontal="center" vertical="center"/>
    </xf>
    <xf numFmtId="169" fontId="16" fillId="9" borderId="10" xfId="0" applyNumberFormat="1" applyFont="1" applyFill="1" applyBorder="1" applyAlignment="1">
      <alignment horizontal="center" vertical="center"/>
    </xf>
    <xf numFmtId="1" fontId="15" fillId="9" borderId="10" xfId="0" applyNumberFormat="1" applyFont="1" applyFill="1" applyBorder="1" applyAlignment="1">
      <alignment horizontal="center" vertical="center"/>
    </xf>
    <xf numFmtId="16" fontId="15" fillId="9" borderId="10" xfId="0" applyNumberFormat="1" applyFont="1" applyFill="1" applyBorder="1" applyAlignment="1">
      <alignment horizontal="center" vertical="center"/>
    </xf>
    <xf numFmtId="49" fontId="17" fillId="9" borderId="10" xfId="0" applyNumberFormat="1" applyFont="1" applyFill="1" applyBorder="1" applyAlignment="1">
      <alignment horizontal="center" vertical="center"/>
    </xf>
    <xf numFmtId="168" fontId="15" fillId="9" borderId="10" xfId="0" applyNumberFormat="1" applyFont="1" applyFill="1" applyBorder="1" applyAlignment="1">
      <alignment horizontal="center" vertical="center"/>
    </xf>
    <xf numFmtId="49" fontId="15" fillId="9" borderId="11" xfId="0" applyNumberFormat="1" applyFont="1" applyFill="1" applyBorder="1" applyAlignment="1">
      <alignment horizontal="center" vertical="center"/>
    </xf>
    <xf numFmtId="49" fontId="14" fillId="10" borderId="2" xfId="0" applyNumberFormat="1" applyFont="1" applyFill="1" applyBorder="1" applyAlignment="1">
      <alignment horizontal="center" vertical="center"/>
    </xf>
    <xf numFmtId="168" fontId="14" fillId="10" borderId="2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49" fontId="15" fillId="10" borderId="9" xfId="0" applyNumberFormat="1" applyFont="1" applyFill="1" applyBorder="1" applyAlignment="1">
      <alignment horizontal="center" vertical="center"/>
    </xf>
    <xf numFmtId="169" fontId="16" fillId="10" borderId="10" xfId="0" applyNumberFormat="1" applyFont="1" applyFill="1" applyBorder="1" applyAlignment="1">
      <alignment horizontal="center" vertical="center"/>
    </xf>
    <xf numFmtId="1" fontId="15" fillId="10" borderId="10" xfId="0" applyNumberFormat="1" applyFont="1" applyFill="1" applyBorder="1" applyAlignment="1">
      <alignment horizontal="center" vertical="center"/>
    </xf>
    <xf numFmtId="16" fontId="15" fillId="10" borderId="10" xfId="0" applyNumberFormat="1" applyFont="1" applyFill="1" applyBorder="1" applyAlignment="1">
      <alignment horizontal="center" vertical="center"/>
    </xf>
    <xf numFmtId="49" fontId="17" fillId="10" borderId="10" xfId="0" applyNumberFormat="1" applyFont="1" applyFill="1" applyBorder="1" applyAlignment="1">
      <alignment horizontal="center" vertical="center"/>
    </xf>
    <xf numFmtId="168" fontId="15" fillId="10" borderId="10" xfId="0" applyNumberFormat="1" applyFont="1" applyFill="1" applyBorder="1" applyAlignment="1">
      <alignment horizontal="center" vertical="center"/>
    </xf>
    <xf numFmtId="49" fontId="15" fillId="10" borderId="11" xfId="0" applyNumberFormat="1" applyFont="1" applyFill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168" fontId="18" fillId="0" borderId="8" xfId="0" applyNumberFormat="1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168" fontId="14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7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9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8" fontId="11" fillId="12" borderId="2" xfId="0" applyNumberFormat="1" applyFont="1" applyFill="1" applyBorder="1" applyAlignment="1">
      <alignment horizontal="center" vertical="center"/>
    </xf>
    <xf numFmtId="49" fontId="15" fillId="12" borderId="9" xfId="0" applyNumberFormat="1" applyFont="1" applyFill="1" applyBorder="1" applyAlignment="1">
      <alignment horizontal="center" vertical="center"/>
    </xf>
    <xf numFmtId="169" fontId="16" fillId="12" borderId="10" xfId="0" applyNumberFormat="1" applyFont="1" applyFill="1" applyBorder="1" applyAlignment="1">
      <alignment horizontal="center" vertical="center"/>
    </xf>
    <xf numFmtId="1" fontId="15" fillId="12" borderId="10" xfId="0" applyNumberFormat="1" applyFont="1" applyFill="1" applyBorder="1" applyAlignment="1">
      <alignment horizontal="center" vertical="center"/>
    </xf>
    <xf numFmtId="16" fontId="15" fillId="12" borderId="10" xfId="0" applyNumberFormat="1" applyFont="1" applyFill="1" applyBorder="1" applyAlignment="1">
      <alignment horizontal="center" vertical="center"/>
    </xf>
    <xf numFmtId="49" fontId="17" fillId="12" borderId="10" xfId="0" applyNumberFormat="1" applyFont="1" applyFill="1" applyBorder="1" applyAlignment="1">
      <alignment horizontal="center" vertical="center"/>
    </xf>
    <xf numFmtId="168" fontId="15" fillId="12" borderId="10" xfId="0" applyNumberFormat="1" applyFont="1" applyFill="1" applyBorder="1" applyAlignment="1">
      <alignment horizontal="center" vertical="center"/>
    </xf>
    <xf numFmtId="49" fontId="15" fillId="12" borderId="11" xfId="0" applyNumberFormat="1" applyFont="1" applyFill="1" applyBorder="1" applyAlignment="1">
      <alignment horizontal="center" vertical="center"/>
    </xf>
    <xf numFmtId="49" fontId="14" fillId="8" borderId="2" xfId="0" applyNumberFormat="1" applyFont="1" applyFill="1" applyBorder="1" applyAlignment="1">
      <alignment horizontal="center" vertical="center"/>
    </xf>
    <xf numFmtId="168" fontId="14" fillId="8" borderId="2" xfId="0" applyNumberFormat="1" applyFont="1" applyFill="1" applyBorder="1" applyAlignment="1">
      <alignment horizontal="center" vertical="center"/>
    </xf>
    <xf numFmtId="169" fontId="15" fillId="8" borderId="10" xfId="0" applyNumberFormat="1" applyFont="1" applyFill="1" applyBorder="1" applyAlignment="1">
      <alignment horizontal="center" vertical="center"/>
    </xf>
    <xf numFmtId="169" fontId="20" fillId="10" borderId="10" xfId="0" applyNumberFormat="1" applyFont="1" applyFill="1" applyBorder="1" applyAlignment="1">
      <alignment horizontal="center" vertical="center"/>
    </xf>
    <xf numFmtId="49" fontId="14" fillId="13" borderId="2" xfId="0" applyNumberFormat="1" applyFont="1" applyFill="1" applyBorder="1" applyAlignment="1">
      <alignment horizontal="center" vertical="center"/>
    </xf>
    <xf numFmtId="168" fontId="14" fillId="13" borderId="2" xfId="0" applyNumberFormat="1" applyFont="1" applyFill="1" applyBorder="1" applyAlignment="1">
      <alignment horizontal="center" vertical="center"/>
    </xf>
    <xf numFmtId="49" fontId="15" fillId="13" borderId="9" xfId="0" applyNumberFormat="1" applyFont="1" applyFill="1" applyBorder="1" applyAlignment="1">
      <alignment horizontal="center" vertical="center"/>
    </xf>
    <xf numFmtId="169" fontId="16" fillId="13" borderId="10" xfId="0" applyNumberFormat="1" applyFont="1" applyFill="1" applyBorder="1" applyAlignment="1">
      <alignment horizontal="center" vertical="center"/>
    </xf>
    <xf numFmtId="1" fontId="15" fillId="13" borderId="10" xfId="0" applyNumberFormat="1" applyFont="1" applyFill="1" applyBorder="1" applyAlignment="1">
      <alignment horizontal="center" vertical="center"/>
    </xf>
    <xf numFmtId="16" fontId="15" fillId="13" borderId="10" xfId="0" applyNumberFormat="1" applyFont="1" applyFill="1" applyBorder="1" applyAlignment="1">
      <alignment horizontal="center" vertical="center"/>
    </xf>
    <xf numFmtId="49" fontId="17" fillId="13" borderId="10" xfId="0" applyNumberFormat="1" applyFont="1" applyFill="1" applyBorder="1" applyAlignment="1">
      <alignment horizontal="center" vertical="center"/>
    </xf>
    <xf numFmtId="168" fontId="15" fillId="13" borderId="10" xfId="0" applyNumberFormat="1" applyFont="1" applyFill="1" applyBorder="1" applyAlignment="1">
      <alignment horizontal="center" vertical="center"/>
    </xf>
    <xf numFmtId="49" fontId="15" fillId="13" borderId="11" xfId="0" applyNumberFormat="1" applyFont="1" applyFill="1" applyBorder="1" applyAlignment="1">
      <alignment horizontal="center" vertical="center"/>
    </xf>
    <xf numFmtId="49" fontId="14" fillId="12" borderId="2" xfId="0" applyNumberFormat="1" applyFont="1" applyFill="1" applyBorder="1" applyAlignment="1">
      <alignment horizontal="center" vertical="center"/>
    </xf>
    <xf numFmtId="168" fontId="14" fillId="12" borderId="2" xfId="0" applyNumberFormat="1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168" fontId="18" fillId="0" borderId="12" xfId="0" applyNumberFormat="1" applyFont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168" fontId="11" fillId="9" borderId="2" xfId="0" applyNumberFormat="1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horizontal="center" vertical="center"/>
    </xf>
    <xf numFmtId="168" fontId="14" fillId="14" borderId="2" xfId="0" applyNumberFormat="1" applyFont="1" applyFill="1" applyBorder="1" applyAlignment="1">
      <alignment horizontal="center" vertical="center"/>
    </xf>
    <xf numFmtId="49" fontId="15" fillId="14" borderId="9" xfId="0" applyNumberFormat="1" applyFont="1" applyFill="1" applyBorder="1" applyAlignment="1">
      <alignment horizontal="center" vertical="center"/>
    </xf>
    <xf numFmtId="169" fontId="16" fillId="14" borderId="10" xfId="0" applyNumberFormat="1" applyFont="1" applyFill="1" applyBorder="1" applyAlignment="1">
      <alignment horizontal="center" vertical="center"/>
    </xf>
    <xf numFmtId="1" fontId="15" fillId="14" borderId="10" xfId="0" applyNumberFormat="1" applyFont="1" applyFill="1" applyBorder="1" applyAlignment="1">
      <alignment horizontal="center" vertical="center"/>
    </xf>
    <xf numFmtId="16" fontId="15" fillId="14" borderId="10" xfId="0" applyNumberFormat="1" applyFont="1" applyFill="1" applyBorder="1" applyAlignment="1">
      <alignment horizontal="center" vertical="center"/>
    </xf>
    <xf numFmtId="49" fontId="17" fillId="14" borderId="10" xfId="0" applyNumberFormat="1" applyFont="1" applyFill="1" applyBorder="1" applyAlignment="1">
      <alignment horizontal="center" vertical="center"/>
    </xf>
    <xf numFmtId="168" fontId="15" fillId="14" borderId="10" xfId="0" applyNumberFormat="1" applyFont="1" applyFill="1" applyBorder="1" applyAlignment="1">
      <alignment horizontal="center" vertical="center"/>
    </xf>
    <xf numFmtId="49" fontId="15" fillId="14" borderId="11" xfId="0" applyNumberFormat="1" applyFont="1" applyFill="1" applyBorder="1" applyAlignment="1">
      <alignment horizontal="center" vertical="center"/>
    </xf>
    <xf numFmtId="169" fontId="20" fillId="13" borderId="10" xfId="0" applyNumberFormat="1" applyFont="1" applyFill="1" applyBorder="1" applyAlignment="1">
      <alignment horizontal="center" vertical="center"/>
    </xf>
    <xf numFmtId="49" fontId="14" fillId="15" borderId="2" xfId="0" applyNumberFormat="1" applyFont="1" applyFill="1" applyBorder="1" applyAlignment="1">
      <alignment horizontal="center" vertical="center"/>
    </xf>
    <xf numFmtId="168" fontId="14" fillId="15" borderId="2" xfId="0" applyNumberFormat="1" applyFont="1" applyFill="1" applyBorder="1" applyAlignment="1">
      <alignment horizontal="center" vertical="center"/>
    </xf>
    <xf numFmtId="49" fontId="15" fillId="15" borderId="9" xfId="0" applyNumberFormat="1" applyFont="1" applyFill="1" applyBorder="1" applyAlignment="1">
      <alignment horizontal="center" vertical="center"/>
    </xf>
    <xf numFmtId="169" fontId="15" fillId="15" borderId="10" xfId="0" applyNumberFormat="1" applyFont="1" applyFill="1" applyBorder="1" applyAlignment="1">
      <alignment horizontal="center" vertical="center"/>
    </xf>
    <xf numFmtId="1" fontId="15" fillId="15" borderId="10" xfId="0" applyNumberFormat="1" applyFont="1" applyFill="1" applyBorder="1" applyAlignment="1">
      <alignment horizontal="center" vertical="center"/>
    </xf>
    <xf numFmtId="16" fontId="15" fillId="15" borderId="10" xfId="0" applyNumberFormat="1" applyFont="1" applyFill="1" applyBorder="1" applyAlignment="1">
      <alignment horizontal="center" vertical="center"/>
    </xf>
    <xf numFmtId="49" fontId="17" fillId="15" borderId="10" xfId="0" applyNumberFormat="1" applyFont="1" applyFill="1" applyBorder="1" applyAlignment="1">
      <alignment horizontal="center" vertical="center"/>
    </xf>
    <xf numFmtId="168" fontId="15" fillId="15" borderId="10" xfId="0" applyNumberFormat="1" applyFont="1" applyFill="1" applyBorder="1" applyAlignment="1">
      <alignment horizontal="center" vertical="center"/>
    </xf>
    <xf numFmtId="49" fontId="15" fillId="15" borderId="11" xfId="0" applyNumberFormat="1" applyFont="1" applyFill="1" applyBorder="1" applyAlignment="1">
      <alignment horizontal="center" vertical="center"/>
    </xf>
    <xf numFmtId="169" fontId="20" fillId="12" borderId="10" xfId="0" applyNumberFormat="1" applyFont="1" applyFill="1" applyBorder="1" applyAlignment="1">
      <alignment horizontal="center" vertical="center"/>
    </xf>
    <xf numFmtId="49" fontId="14" fillId="16" borderId="2" xfId="0" applyNumberFormat="1" applyFont="1" applyFill="1" applyBorder="1" applyAlignment="1">
      <alignment horizontal="center" vertical="center"/>
    </xf>
    <xf numFmtId="168" fontId="14" fillId="16" borderId="2" xfId="0" applyNumberFormat="1" applyFont="1" applyFill="1" applyBorder="1" applyAlignment="1">
      <alignment horizontal="center" vertical="center"/>
    </xf>
    <xf numFmtId="49" fontId="15" fillId="16" borderId="9" xfId="0" applyNumberFormat="1" applyFont="1" applyFill="1" applyBorder="1" applyAlignment="1">
      <alignment horizontal="center" vertical="center"/>
    </xf>
    <xf numFmtId="169" fontId="15" fillId="16" borderId="10" xfId="0" applyNumberFormat="1" applyFont="1" applyFill="1" applyBorder="1" applyAlignment="1">
      <alignment horizontal="center" vertical="center"/>
    </xf>
    <xf numFmtId="1" fontId="15" fillId="16" borderId="10" xfId="0" applyNumberFormat="1" applyFont="1" applyFill="1" applyBorder="1" applyAlignment="1">
      <alignment horizontal="center" vertical="center"/>
    </xf>
    <xf numFmtId="16" fontId="15" fillId="16" borderId="10" xfId="0" applyNumberFormat="1" applyFont="1" applyFill="1" applyBorder="1" applyAlignment="1">
      <alignment horizontal="center" vertical="center"/>
    </xf>
    <xf numFmtId="49" fontId="17" fillId="16" borderId="10" xfId="0" applyNumberFormat="1" applyFont="1" applyFill="1" applyBorder="1" applyAlignment="1">
      <alignment horizontal="center" vertical="center"/>
    </xf>
    <xf numFmtId="168" fontId="15" fillId="16" borderId="10" xfId="0" applyNumberFormat="1" applyFont="1" applyFill="1" applyBorder="1" applyAlignment="1">
      <alignment horizontal="center" vertical="center"/>
    </xf>
    <xf numFmtId="49" fontId="15" fillId="16" borderId="11" xfId="0" applyNumberFormat="1" applyFont="1" applyFill="1" applyBorder="1" applyAlignment="1">
      <alignment horizontal="center" vertical="center"/>
    </xf>
    <xf numFmtId="169" fontId="15" fillId="9" borderId="10" xfId="0" applyNumberFormat="1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169" fontId="16" fillId="15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171" fontId="23" fillId="0" borderId="26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172" fontId="23" fillId="0" borderId="24" xfId="0" applyNumberFormat="1" applyFont="1" applyBorder="1" applyAlignment="1">
      <alignment horizontal="center" vertical="center"/>
    </xf>
    <xf numFmtId="173" fontId="23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172" fontId="24" fillId="0" borderId="24" xfId="0" applyNumberFormat="1" applyFont="1" applyBorder="1" applyAlignment="1">
      <alignment horizontal="center" vertical="center"/>
    </xf>
    <xf numFmtId="173" fontId="24" fillId="0" borderId="25" xfId="0" applyNumberFormat="1" applyFont="1" applyBorder="1" applyAlignment="1">
      <alignment horizontal="center" vertical="center"/>
    </xf>
    <xf numFmtId="172" fontId="24" fillId="0" borderId="27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73" fontId="24" fillId="0" borderId="28" xfId="0" applyNumberFormat="1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2" fontId="23" fillId="0" borderId="27" xfId="0" applyNumberFormat="1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73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171" fontId="24" fillId="0" borderId="29" xfId="0" applyNumberFormat="1" applyFont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8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8" fontId="11" fillId="16" borderId="2" xfId="0" applyNumberFormat="1" applyFont="1" applyFill="1" applyBorder="1" applyAlignment="1">
      <alignment horizontal="center" vertical="center"/>
    </xf>
    <xf numFmtId="169" fontId="16" fillId="16" borderId="10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5" fillId="0" borderId="25" xfId="0" applyFont="1" applyBorder="1" applyAlignment="1">
      <alignment horizontal="center" vertical="center"/>
    </xf>
    <xf numFmtId="0" fontId="0" fillId="0" borderId="26" xfId="0" applyBorder="1"/>
    <xf numFmtId="171" fontId="23" fillId="0" borderId="29" xfId="0" applyNumberFormat="1" applyFont="1" applyBorder="1" applyAlignment="1">
      <alignment horizontal="center" vertical="center"/>
    </xf>
    <xf numFmtId="169" fontId="15" fillId="12" borderId="10" xfId="0" applyNumberFormat="1" applyFont="1" applyFill="1" applyBorder="1" applyAlignment="1">
      <alignment horizontal="center" vertical="center"/>
    </xf>
    <xf numFmtId="169" fontId="15" fillId="13" borderId="10" xfId="0" applyNumberFormat="1" applyFont="1" applyFill="1" applyBorder="1" applyAlignment="1">
      <alignment horizontal="center" vertical="center"/>
    </xf>
    <xf numFmtId="169" fontId="20" fillId="14" borderId="10" xfId="0" applyNumberFormat="1" applyFont="1" applyFill="1" applyBorder="1" applyAlignment="1">
      <alignment horizontal="center" vertical="center"/>
    </xf>
    <xf numFmtId="169" fontId="20" fillId="16" borderId="10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8" fontId="11" fillId="13" borderId="2" xfId="0" applyNumberFormat="1" applyFont="1" applyFill="1" applyBorder="1" applyAlignment="1">
      <alignment horizontal="center" vertical="center"/>
    </xf>
    <xf numFmtId="0" fontId="21" fillId="0" borderId="16" xfId="0" applyFont="1" applyBorder="1"/>
    <xf numFmtId="0" fontId="0" fillId="0" borderId="17" xfId="0" applyBorder="1"/>
    <xf numFmtId="0" fontId="0" fillId="0" borderId="18" xfId="0" applyBorder="1"/>
    <xf numFmtId="165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8" fillId="4" borderId="2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7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/>
    </xf>
    <xf numFmtId="0" fontId="0" fillId="0" borderId="16" xfId="0" applyBorder="1"/>
    <xf numFmtId="18" fontId="3" fillId="3" borderId="0" xfId="0" applyNumberFormat="1" applyFont="1" applyFill="1" applyAlignment="1">
      <alignment horizontal="left" vertical="center"/>
    </xf>
    <xf numFmtId="49" fontId="25" fillId="0" borderId="30" xfId="0" applyNumberFormat="1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30" fillId="0" borderId="0" xfId="0" applyFont="1" applyAlignment="1">
      <alignment horizontal="center" vertical="center"/>
    </xf>
    <xf numFmtId="0" fontId="30" fillId="0" borderId="0" xfId="0" applyFont="1"/>
    <xf numFmtId="170" fontId="30" fillId="0" borderId="0" xfId="0" applyNumberFormat="1" applyFont="1" applyAlignment="1">
      <alignment horizontal="center" vertical="center"/>
    </xf>
    <xf numFmtId="15" fontId="30" fillId="0" borderId="0" xfId="0" applyNumberFormat="1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169" fontId="30" fillId="0" borderId="0" xfId="0" applyNumberFormat="1" applyFont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16" fontId="30" fillId="0" borderId="0" xfId="0" applyNumberFormat="1" applyFont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15" fontId="31" fillId="18" borderId="0" xfId="0" applyNumberFormat="1" applyFont="1" applyFill="1" applyAlignment="1">
      <alignment horizontal="center" vertical="center"/>
    </xf>
    <xf numFmtId="169" fontId="31" fillId="18" borderId="0" xfId="0" applyNumberFormat="1" applyFont="1" applyFill="1" applyAlignment="1">
      <alignment horizontal="center" vertical="center"/>
    </xf>
    <xf numFmtId="1" fontId="31" fillId="18" borderId="0" xfId="0" applyNumberFormat="1" applyFont="1" applyFill="1" applyAlignment="1">
      <alignment horizontal="center" vertical="center"/>
    </xf>
    <xf numFmtId="0" fontId="31" fillId="18" borderId="0" xfId="0" applyNumberFormat="1" applyFont="1" applyFill="1" applyAlignment="1">
      <alignment horizontal="center" vertical="center"/>
    </xf>
    <xf numFmtId="0" fontId="19" fillId="11" borderId="34" xfId="0" applyFont="1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9" fillId="11" borderId="36" xfId="0" applyFont="1" applyFill="1" applyBorder="1" applyAlignment="1">
      <alignment horizontal="center" vertical="center"/>
    </xf>
  </cellXfs>
  <cellStyles count="1">
    <cellStyle name="Normal" xfId="0" builtinId="0"/>
  </cellStyles>
  <dxfs count="22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0" totalsRowCount="1" headerRowDxfId="224" dataDxfId="187" totalsRowDxfId="150">
  <tableColumns count="36">
    <tableColumn id="1" xr3:uid="{00000000-0010-0000-0000-000001000000}" name="Day" totalsRowLabel="TOTAL" dataDxfId="223" totalsRowDxfId="186"/>
    <tableColumn id="2" xr3:uid="{00000000-0010-0000-0000-000002000000}" name="Flt Dt" dataDxfId="222" totalsRowDxfId="185"/>
    <tableColumn id="3" xr3:uid="{00000000-0010-0000-0000-000003000000}" name="Flt" totalsRowFunction="count" dataDxfId="221" totalsRowDxfId="184"/>
    <tableColumn id="4" xr3:uid="{00000000-0010-0000-0000-000004000000}" name="DEP" dataDxfId="220" totalsRowDxfId="183"/>
    <tableColumn id="5" xr3:uid="{00000000-0010-0000-0000-000005000000}" name="Brd-Off" totalsRowFunction="count" dataDxfId="219" totalsRowDxfId="182"/>
    <tableColumn id="6" xr3:uid="{00000000-0010-0000-0000-000006000000}" name="Eqp" dataDxfId="218" totalsRowDxfId="181"/>
    <tableColumn id="7" xr3:uid="{00000000-0010-0000-0000-000007000000}" name="LF%" totalsRowFunction="average" dataDxfId="217" totalsRowDxfId="180"/>
    <tableColumn id="8" xr3:uid="{00000000-0010-0000-0000-000008000000}" name="CAP" totalsRowFunction="sum" dataDxfId="216" totalsRowDxfId="179"/>
    <tableColumn id="9" xr3:uid="{00000000-0010-0000-0000-000009000000}" name="BKG(Y)" totalsRowFunction="sum" dataDxfId="215" totalsRowDxfId="178"/>
    <tableColumn id="10" xr3:uid="{00000000-0010-0000-0000-00000A000000}" name="GRP(Y)" totalsRowFunction="sum" dataDxfId="214" totalsRowDxfId="177"/>
    <tableColumn id="11" xr3:uid="{00000000-0010-0000-0000-00000B000000}" name="FLT ST" dataDxfId="213" totalsRowDxfId="176"/>
    <tableColumn id="12" xr3:uid="{00000000-0010-0000-0000-00000C000000}" name="LST-SOLD" dataDxfId="212" totalsRowDxfId="175"/>
    <tableColumn id="13" xr3:uid="{00000000-0010-0000-0000-00000D000000}" name="TO-DAY" totalsRowFunction="sum" dataDxfId="211" totalsRowDxfId="174"/>
    <tableColumn id="14" xr3:uid="{00000000-0010-0000-0000-00000E000000}" name="Y-DAY" totalsRowFunction="sum" dataDxfId="210" totalsRowDxfId="173"/>
    <tableColumn id="15" xr3:uid="{00000000-0010-0000-0000-00000F000000}" name="WEEKLY" totalsRowFunction="sum" dataDxfId="209" totalsRowDxfId="172"/>
    <tableColumn id="16" xr3:uid="{00000000-0010-0000-0000-000010000000}" name="LOWEST AVAIL" dataDxfId="208" totalsRowDxfId="171"/>
    <tableColumn id="17" xr3:uid="{00000000-0010-0000-0000-000011000000}" name="Y" totalsRowFunction="sum" dataDxfId="207" totalsRowDxfId="170"/>
    <tableColumn id="18" xr3:uid="{00000000-0010-0000-0000-000012000000}" name="B" totalsRowFunction="sum" dataDxfId="206" totalsRowDxfId="169"/>
    <tableColumn id="19" xr3:uid="{00000000-0010-0000-0000-000013000000}" name="M" totalsRowFunction="sum" dataDxfId="205" totalsRowDxfId="168"/>
    <tableColumn id="20" xr3:uid="{00000000-0010-0000-0000-000014000000}" name="H" totalsRowFunction="sum" dataDxfId="204" totalsRowDxfId="167"/>
    <tableColumn id="21" xr3:uid="{00000000-0010-0000-0000-000015000000}" name="Q" totalsRowFunction="sum" dataDxfId="203" totalsRowDxfId="166"/>
    <tableColumn id="22" xr3:uid="{00000000-0010-0000-0000-000016000000}" name="K" totalsRowFunction="sum" dataDxfId="202" totalsRowDxfId="165"/>
    <tableColumn id="23" xr3:uid="{00000000-0010-0000-0000-000017000000}" name="V" totalsRowFunction="sum" dataDxfId="201" totalsRowDxfId="164"/>
    <tableColumn id="24" xr3:uid="{00000000-0010-0000-0000-000018000000}" name="L" totalsRowFunction="sum" dataDxfId="200" totalsRowDxfId="163"/>
    <tableColumn id="25" xr3:uid="{00000000-0010-0000-0000-000019000000}" name="G" totalsRowFunction="sum" dataDxfId="199" totalsRowDxfId="162"/>
    <tableColumn id="26" xr3:uid="{00000000-0010-0000-0000-00001A000000}" name="S" totalsRowFunction="sum" dataDxfId="198" totalsRowDxfId="161"/>
    <tableColumn id="27" xr3:uid="{00000000-0010-0000-0000-00001B000000}" name="W" totalsRowFunction="sum" dataDxfId="197" totalsRowDxfId="160"/>
    <tableColumn id="28" xr3:uid="{00000000-0010-0000-0000-00001C000000}" name="T" totalsRowFunction="sum" dataDxfId="196" totalsRowDxfId="159"/>
    <tableColumn id="29" xr3:uid="{00000000-0010-0000-0000-00001D000000}" name="X" totalsRowFunction="sum" dataDxfId="195" totalsRowDxfId="158"/>
    <tableColumn id="30" xr3:uid="{00000000-0010-0000-0000-00001E000000}" name="U" totalsRowFunction="sum" dataDxfId="194" totalsRowDxfId="157"/>
    <tableColumn id="31" xr3:uid="{00000000-0010-0000-0000-00001F000000}" name="O" totalsRowFunction="sum" dataDxfId="193" totalsRowDxfId="156"/>
    <tableColumn id="32" xr3:uid="{00000000-0010-0000-0000-000020000000}" name="I" totalsRowFunction="sum" dataDxfId="192" totalsRowDxfId="155"/>
    <tableColumn id="33" xr3:uid="{00000000-0010-0000-0000-000021000000}" name="E" totalsRowFunction="sum" dataDxfId="191" totalsRowDxfId="154"/>
    <tableColumn id="34" xr3:uid="{00000000-0010-0000-0000-000022000000}" name="A" totalsRowFunction="sum" dataDxfId="190" totalsRowDxfId="153"/>
    <tableColumn id="35" xr3:uid="{00000000-0010-0000-0000-000023000000}" name="P" totalsRowFunction="sum" dataDxfId="189" totalsRowDxfId="152"/>
    <tableColumn id="36" xr3:uid="{00000000-0010-0000-0000-000024000000}" name="N" totalsRowFunction="count" dataDxfId="188" totalsRow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265" totalsRowShown="0">
  <autoFilter ref="A1:H26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42" totalsRowShown="0">
  <autoFilter ref="A1:H4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HBE_LF_LEGACY" displayName="JED_HBE_LF_LEGACY" ref="A1:AJ9" totalsRowCount="1" headerRowDxfId="149" dataDxfId="112" totalsRowDxfId="75">
  <tableColumns count="36">
    <tableColumn id="1" xr3:uid="{00000000-0010-0000-0300-000001000000}" name="Day" totalsRowLabel="TOTAL" dataDxfId="148" totalsRowDxfId="111"/>
    <tableColumn id="2" xr3:uid="{00000000-0010-0000-0300-000002000000}" name="Flt Dt" dataDxfId="147" totalsRowDxfId="110"/>
    <tableColumn id="3" xr3:uid="{00000000-0010-0000-0300-000003000000}" name="Flt" totalsRowFunction="count" dataDxfId="146" totalsRowDxfId="109"/>
    <tableColumn id="4" xr3:uid="{00000000-0010-0000-0300-000004000000}" name="DEP" dataDxfId="145" totalsRowDxfId="108"/>
    <tableColumn id="5" xr3:uid="{00000000-0010-0000-0300-000005000000}" name="Brd-Off" totalsRowFunction="count" dataDxfId="144" totalsRowDxfId="107"/>
    <tableColumn id="6" xr3:uid="{00000000-0010-0000-0300-000006000000}" name="Eqp" dataDxfId="143" totalsRowDxfId="106"/>
    <tableColumn id="7" xr3:uid="{00000000-0010-0000-0300-000007000000}" name="LF%" totalsRowFunction="average" dataDxfId="142" totalsRowDxfId="105"/>
    <tableColumn id="8" xr3:uid="{00000000-0010-0000-0300-000008000000}" name="CAP" totalsRowFunction="sum" dataDxfId="141" totalsRowDxfId="104"/>
    <tableColumn id="9" xr3:uid="{00000000-0010-0000-0300-000009000000}" name="BKG(Y)" totalsRowFunction="sum" dataDxfId="140" totalsRowDxfId="103"/>
    <tableColumn id="10" xr3:uid="{00000000-0010-0000-0300-00000A000000}" name="GRP(Y)" totalsRowFunction="sum" dataDxfId="139" totalsRowDxfId="102"/>
    <tableColumn id="11" xr3:uid="{00000000-0010-0000-0300-00000B000000}" name="FLT ST" dataDxfId="138" totalsRowDxfId="101"/>
    <tableColumn id="12" xr3:uid="{00000000-0010-0000-0300-00000C000000}" name="LST-SOLD" dataDxfId="137" totalsRowDxfId="100"/>
    <tableColumn id="13" xr3:uid="{00000000-0010-0000-0300-00000D000000}" name="TO-DAY" totalsRowFunction="sum" dataDxfId="136" totalsRowDxfId="99"/>
    <tableColumn id="14" xr3:uid="{00000000-0010-0000-0300-00000E000000}" name="Y-DAY" totalsRowFunction="sum" dataDxfId="135" totalsRowDxfId="98"/>
    <tableColumn id="15" xr3:uid="{00000000-0010-0000-0300-00000F000000}" name="WEEKLY" totalsRowFunction="sum" dataDxfId="134" totalsRowDxfId="97"/>
    <tableColumn id="16" xr3:uid="{00000000-0010-0000-0300-000010000000}" name="LOWEST AVAIL" dataDxfId="133" totalsRowDxfId="96"/>
    <tableColumn id="17" xr3:uid="{00000000-0010-0000-0300-000011000000}" name="Y" totalsRowFunction="sum" dataDxfId="132" totalsRowDxfId="95"/>
    <tableColumn id="18" xr3:uid="{00000000-0010-0000-0300-000012000000}" name="B" totalsRowFunction="sum" dataDxfId="131" totalsRowDxfId="94"/>
    <tableColumn id="19" xr3:uid="{00000000-0010-0000-0300-000013000000}" name="M" totalsRowFunction="sum" dataDxfId="130" totalsRowDxfId="93"/>
    <tableColumn id="20" xr3:uid="{00000000-0010-0000-0300-000014000000}" name="H" totalsRowFunction="sum" dataDxfId="129" totalsRowDxfId="92"/>
    <tableColumn id="21" xr3:uid="{00000000-0010-0000-0300-000015000000}" name="Q" totalsRowFunction="sum" dataDxfId="128" totalsRowDxfId="91"/>
    <tableColumn id="22" xr3:uid="{00000000-0010-0000-0300-000016000000}" name="K" totalsRowFunction="sum" dataDxfId="127" totalsRowDxfId="90"/>
    <tableColumn id="23" xr3:uid="{00000000-0010-0000-0300-000017000000}" name="V" totalsRowFunction="sum" dataDxfId="126" totalsRowDxfId="89"/>
    <tableColumn id="24" xr3:uid="{00000000-0010-0000-0300-000018000000}" name="L" totalsRowFunction="sum" dataDxfId="125" totalsRowDxfId="88"/>
    <tableColumn id="25" xr3:uid="{00000000-0010-0000-0300-000019000000}" name="G" totalsRowFunction="sum" dataDxfId="124" totalsRowDxfId="87"/>
    <tableColumn id="26" xr3:uid="{00000000-0010-0000-0300-00001A000000}" name="S" totalsRowFunction="sum" dataDxfId="123" totalsRowDxfId="86"/>
    <tableColumn id="27" xr3:uid="{00000000-0010-0000-0300-00001B000000}" name="W" totalsRowFunction="sum" dataDxfId="122" totalsRowDxfId="85"/>
    <tableColumn id="28" xr3:uid="{00000000-0010-0000-0300-00001C000000}" name="T" totalsRowFunction="sum" dataDxfId="121" totalsRowDxfId="84"/>
    <tableColumn id="29" xr3:uid="{00000000-0010-0000-0300-00001D000000}" name="X" totalsRowFunction="sum" dataDxfId="120" totalsRowDxfId="83"/>
    <tableColumn id="30" xr3:uid="{00000000-0010-0000-0300-00001E000000}" name="U" totalsRowFunction="sum" dataDxfId="119" totalsRowDxfId="82"/>
    <tableColumn id="31" xr3:uid="{00000000-0010-0000-0300-00001F000000}" name="O" totalsRowFunction="sum" dataDxfId="118" totalsRowDxfId="81"/>
    <tableColumn id="32" xr3:uid="{00000000-0010-0000-0300-000020000000}" name="I" totalsRowFunction="sum" dataDxfId="117" totalsRowDxfId="80"/>
    <tableColumn id="33" xr3:uid="{00000000-0010-0000-0300-000021000000}" name="E" totalsRowFunction="sum" dataDxfId="116" totalsRowDxfId="79"/>
    <tableColumn id="34" xr3:uid="{00000000-0010-0000-0300-000022000000}" name="A" totalsRowFunction="sum" dataDxfId="115" totalsRowDxfId="78"/>
    <tableColumn id="35" xr3:uid="{00000000-0010-0000-0300-000023000000}" name="P" totalsRowFunction="sum" dataDxfId="114" totalsRowDxfId="77"/>
    <tableColumn id="36" xr3:uid="{00000000-0010-0000-0300-000024000000}" name="N" totalsRowFunction="count" dataDxfId="113" totalsRow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87" totalsRowShown="0">
  <autoFilter ref="A1:H87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hreatsAlert_JED_HBE" displayName="ThreatsAlert_JED_HBE" ref="A1:H54" totalsRowShown="0">
  <autoFilter ref="A1:H5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JED_ATZ_LF_LEGACY" displayName="JED_ATZ_LF_LEGACY" ref="A1:AJ11" totalsRowCount="1" headerRowDxfId="74" dataDxfId="37" totalsRowDxfId="0">
  <tableColumns count="36">
    <tableColumn id="1" xr3:uid="{00000000-0010-0000-0600-000001000000}" name="Day" totalsRowLabel="TOTAL" dataDxfId="73" totalsRowDxfId="36"/>
    <tableColumn id="2" xr3:uid="{00000000-0010-0000-0600-000002000000}" name="Flt Dt" dataDxfId="72" totalsRowDxfId="35"/>
    <tableColumn id="3" xr3:uid="{00000000-0010-0000-0600-000003000000}" name="Flt" totalsRowFunction="count" dataDxfId="71" totalsRowDxfId="34"/>
    <tableColumn id="4" xr3:uid="{00000000-0010-0000-0600-000004000000}" name="DEP" dataDxfId="70" totalsRowDxfId="33"/>
    <tableColumn id="5" xr3:uid="{00000000-0010-0000-0600-000005000000}" name="Brd-Off" totalsRowFunction="count" dataDxfId="69" totalsRowDxfId="32"/>
    <tableColumn id="6" xr3:uid="{00000000-0010-0000-0600-000006000000}" name="Eqp" dataDxfId="68" totalsRowDxfId="31"/>
    <tableColumn id="7" xr3:uid="{00000000-0010-0000-0600-000007000000}" name="LF%" totalsRowFunction="average" dataDxfId="67" totalsRowDxfId="30"/>
    <tableColumn id="8" xr3:uid="{00000000-0010-0000-0600-000008000000}" name="CAP" totalsRowFunction="sum" dataDxfId="66" totalsRowDxfId="29"/>
    <tableColumn id="9" xr3:uid="{00000000-0010-0000-0600-000009000000}" name="BKG(Y)" totalsRowFunction="sum" dataDxfId="65" totalsRowDxfId="28"/>
    <tableColumn id="10" xr3:uid="{00000000-0010-0000-0600-00000A000000}" name="GRP(Y)" totalsRowFunction="sum" dataDxfId="64" totalsRowDxfId="27"/>
    <tableColumn id="11" xr3:uid="{00000000-0010-0000-0600-00000B000000}" name="FLT ST" dataDxfId="63" totalsRowDxfId="26"/>
    <tableColumn id="12" xr3:uid="{00000000-0010-0000-0600-00000C000000}" name="LST-SOLD" dataDxfId="62" totalsRowDxfId="25"/>
    <tableColumn id="13" xr3:uid="{00000000-0010-0000-0600-00000D000000}" name="TO-DAY" totalsRowFunction="sum" dataDxfId="61" totalsRowDxfId="24"/>
    <tableColumn id="14" xr3:uid="{00000000-0010-0000-0600-00000E000000}" name="Y-DAY" totalsRowFunction="sum" dataDxfId="60" totalsRowDxfId="23"/>
    <tableColumn id="15" xr3:uid="{00000000-0010-0000-0600-00000F000000}" name="WEEKLY" totalsRowFunction="sum" dataDxfId="59" totalsRowDxfId="22"/>
    <tableColumn id="16" xr3:uid="{00000000-0010-0000-0600-000010000000}" name="LOWEST AVAIL" dataDxfId="58" totalsRowDxfId="21"/>
    <tableColumn id="17" xr3:uid="{00000000-0010-0000-0600-000011000000}" name="Y" totalsRowFunction="sum" dataDxfId="57" totalsRowDxfId="20"/>
    <tableColumn id="18" xr3:uid="{00000000-0010-0000-0600-000012000000}" name="B" totalsRowFunction="sum" dataDxfId="56" totalsRowDxfId="19"/>
    <tableColumn id="19" xr3:uid="{00000000-0010-0000-0600-000013000000}" name="M" totalsRowFunction="sum" dataDxfId="55" totalsRowDxfId="18"/>
    <tableColumn id="20" xr3:uid="{00000000-0010-0000-0600-000014000000}" name="H" totalsRowFunction="sum" dataDxfId="54" totalsRowDxfId="17"/>
    <tableColumn id="21" xr3:uid="{00000000-0010-0000-0600-000015000000}" name="Q" totalsRowFunction="sum" dataDxfId="53" totalsRowDxfId="16"/>
    <tableColumn id="22" xr3:uid="{00000000-0010-0000-0600-000016000000}" name="K" totalsRowFunction="sum" dataDxfId="52" totalsRowDxfId="15"/>
    <tableColumn id="23" xr3:uid="{00000000-0010-0000-0600-000017000000}" name="V" totalsRowFunction="sum" dataDxfId="51" totalsRowDxfId="14"/>
    <tableColumn id="24" xr3:uid="{00000000-0010-0000-0600-000018000000}" name="L" totalsRowFunction="sum" dataDxfId="50" totalsRowDxfId="13"/>
    <tableColumn id="25" xr3:uid="{00000000-0010-0000-0600-000019000000}" name="G" totalsRowFunction="sum" dataDxfId="49" totalsRowDxfId="12"/>
    <tableColumn id="26" xr3:uid="{00000000-0010-0000-0600-00001A000000}" name="S" totalsRowFunction="sum" dataDxfId="48" totalsRowDxfId="11"/>
    <tableColumn id="27" xr3:uid="{00000000-0010-0000-0600-00001B000000}" name="W" totalsRowFunction="sum" dataDxfId="47" totalsRowDxfId="10"/>
    <tableColumn id="28" xr3:uid="{00000000-0010-0000-0600-00001C000000}" name="T" totalsRowFunction="sum" dataDxfId="46" totalsRowDxfId="9"/>
    <tableColumn id="29" xr3:uid="{00000000-0010-0000-0600-00001D000000}" name="X" totalsRowFunction="sum" dataDxfId="45" totalsRowDxfId="8"/>
    <tableColumn id="30" xr3:uid="{00000000-0010-0000-0600-00001E000000}" name="U" totalsRowFunction="sum" dataDxfId="44" totalsRowDxfId="7"/>
    <tableColumn id="31" xr3:uid="{00000000-0010-0000-0600-00001F000000}" name="O" totalsRowFunction="sum" dataDxfId="43" totalsRowDxfId="6"/>
    <tableColumn id="32" xr3:uid="{00000000-0010-0000-0600-000020000000}" name="I" totalsRowFunction="sum" dataDxfId="42" totalsRowDxfId="5"/>
    <tableColumn id="33" xr3:uid="{00000000-0010-0000-0600-000021000000}" name="E" totalsRowFunction="sum" dataDxfId="41" totalsRowDxfId="4"/>
    <tableColumn id="34" xr3:uid="{00000000-0010-0000-0600-000022000000}" name="A" totalsRowFunction="sum" dataDxfId="40" totalsRowDxfId="3"/>
    <tableColumn id="35" xr3:uid="{00000000-0010-0000-0600-000023000000}" name="P" totalsRowFunction="sum" dataDxfId="39" totalsRowDxfId="2"/>
    <tableColumn id="36" xr3:uid="{00000000-0010-0000-0600-000024000000}" name="N" totalsRowFunction="count" dataDxfId="38" totalsRow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TZ" displayName="FocusMode_JED_ATZ" ref="A1:H61" totalsRowShown="0">
  <autoFilter ref="A1:H61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hreatsAlert_JED_ATZ" displayName="ThreatsAlert_JED_ATZ" ref="A1:H55" totalsRowShown="0">
  <autoFilter ref="A1:H55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78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6.88671875" bestFit="1" customWidth="1"/>
  </cols>
  <sheetData>
    <row r="1" spans="1:92" ht="28.8" customHeight="1" x14ac:dyDescent="0.3">
      <c r="A1" s="189" t="s">
        <v>0</v>
      </c>
      <c r="B1" s="188"/>
      <c r="C1" s="188"/>
      <c r="D1" s="188"/>
      <c r="E1" s="188"/>
      <c r="F1" s="1" t="s">
        <v>1</v>
      </c>
      <c r="G1" s="2" t="s">
        <v>2</v>
      </c>
      <c r="H1" s="187">
        <v>45983</v>
      </c>
      <c r="I1" s="188"/>
      <c r="J1" s="188"/>
      <c r="K1" s="188"/>
      <c r="L1" s="188"/>
      <c r="M1" s="1" t="s">
        <v>3</v>
      </c>
      <c r="N1" s="199">
        <v>45986</v>
      </c>
      <c r="O1" s="188"/>
      <c r="P1" s="188"/>
      <c r="Q1" s="188"/>
      <c r="R1" s="18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5" t="s">
        <v>4</v>
      </c>
      <c r="B2" s="188"/>
      <c r="C2" s="188"/>
      <c r="D2" s="188"/>
      <c r="E2" s="188"/>
      <c r="F2" s="188"/>
      <c r="G2" s="197">
        <v>45981.106065521722</v>
      </c>
      <c r="H2" s="188"/>
      <c r="I2" s="188"/>
      <c r="J2" s="188"/>
      <c r="K2" s="201">
        <v>45981.106065521999</v>
      </c>
      <c r="L2" s="188"/>
      <c r="M2" s="188"/>
      <c r="N2" s="188"/>
      <c r="O2" s="188"/>
      <c r="P2" s="188"/>
      <c r="Q2" s="188"/>
      <c r="R2" s="18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6" t="s">
        <v>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8" t="s">
        <v>6</v>
      </c>
      <c r="B4" s="191"/>
      <c r="C4" s="191"/>
      <c r="D4" s="191"/>
      <c r="E4" s="191"/>
      <c r="F4" s="192"/>
      <c r="G4" s="4">
        <v>45983</v>
      </c>
      <c r="H4" s="193" t="s">
        <v>7</v>
      </c>
      <c r="I4" s="191"/>
      <c r="J4" s="191"/>
      <c r="K4" s="191"/>
      <c r="L4" s="191"/>
      <c r="M4" s="191"/>
      <c r="N4" s="191"/>
      <c r="O4" s="191"/>
      <c r="P4" s="191"/>
      <c r="Q4" s="191"/>
      <c r="R4" s="19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0.12847222222222221</v>
      </c>
      <c r="D6" s="8" t="s">
        <v>28</v>
      </c>
      <c r="E6" s="8" t="s">
        <v>29</v>
      </c>
      <c r="F6" s="8" t="s">
        <v>30</v>
      </c>
      <c r="G6" s="200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31</v>
      </c>
      <c r="C7" s="16">
        <v>0.30208333333333331</v>
      </c>
      <c r="D7" s="15" t="s">
        <v>28</v>
      </c>
      <c r="E7" s="15" t="s">
        <v>32</v>
      </c>
      <c r="F7" s="15" t="s">
        <v>33</v>
      </c>
      <c r="G7" s="185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34</v>
      </c>
      <c r="C8" s="16">
        <v>0.88888888888888884</v>
      </c>
      <c r="D8" s="15" t="s">
        <v>28</v>
      </c>
      <c r="E8" s="15" t="s">
        <v>35</v>
      </c>
      <c r="F8" s="15" t="s">
        <v>33</v>
      </c>
      <c r="G8" s="185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5" t="s">
        <v>26</v>
      </c>
      <c r="B9" s="15" t="s">
        <v>36</v>
      </c>
      <c r="C9" s="16">
        <v>0.78819444444444453</v>
      </c>
      <c r="D9" s="15" t="s">
        <v>28</v>
      </c>
      <c r="E9" s="15" t="s">
        <v>37</v>
      </c>
      <c r="F9" s="15" t="s">
        <v>38</v>
      </c>
      <c r="G9" s="185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7" t="s">
        <v>39</v>
      </c>
      <c r="B10" s="17" t="s">
        <v>40</v>
      </c>
      <c r="C10" s="18">
        <v>0.90277777777777779</v>
      </c>
      <c r="D10" s="17" t="s">
        <v>41</v>
      </c>
      <c r="E10" s="17" t="s">
        <v>42</v>
      </c>
      <c r="F10" s="17" t="s">
        <v>43</v>
      </c>
      <c r="G10" s="185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39</v>
      </c>
      <c r="B11" s="15" t="s">
        <v>44</v>
      </c>
      <c r="C11" s="16">
        <v>0.65972222222222221</v>
      </c>
      <c r="D11" s="15" t="s">
        <v>41</v>
      </c>
      <c r="E11" s="15" t="s">
        <v>45</v>
      </c>
      <c r="F11" s="15" t="s">
        <v>43</v>
      </c>
      <c r="G11" s="185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5" t="s">
        <v>39</v>
      </c>
      <c r="B12" s="15" t="s">
        <v>46</v>
      </c>
      <c r="C12" s="16">
        <v>0.51736111111111105</v>
      </c>
      <c r="D12" s="15" t="s">
        <v>41</v>
      </c>
      <c r="E12" s="15" t="s">
        <v>47</v>
      </c>
      <c r="F12" s="15" t="s">
        <v>43</v>
      </c>
      <c r="G12" s="185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5" t="s">
        <v>39</v>
      </c>
      <c r="B13" s="15" t="s">
        <v>48</v>
      </c>
      <c r="C13" s="16">
        <v>0.85416666666666663</v>
      </c>
      <c r="D13" s="15" t="s">
        <v>41</v>
      </c>
      <c r="E13" s="15" t="s">
        <v>47</v>
      </c>
      <c r="F13" s="15" t="s">
        <v>43</v>
      </c>
      <c r="G13" s="185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5" t="s">
        <v>39</v>
      </c>
      <c r="B14" s="15" t="s">
        <v>49</v>
      </c>
      <c r="C14" s="16">
        <v>0.39583333333333331</v>
      </c>
      <c r="D14" s="15" t="s">
        <v>41</v>
      </c>
      <c r="E14" s="15" t="s">
        <v>50</v>
      </c>
      <c r="F14" s="15" t="s">
        <v>43</v>
      </c>
      <c r="G14" s="185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5" t="s">
        <v>39</v>
      </c>
      <c r="B15" s="15" t="s">
        <v>51</v>
      </c>
      <c r="C15" s="16">
        <v>0.79861111111111116</v>
      </c>
      <c r="D15" s="15" t="s">
        <v>41</v>
      </c>
      <c r="E15" s="15" t="s">
        <v>52</v>
      </c>
      <c r="F15" s="15" t="s">
        <v>43</v>
      </c>
      <c r="G15" s="185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5" t="s">
        <v>39</v>
      </c>
      <c r="B16" s="15" t="s">
        <v>53</v>
      </c>
      <c r="C16" s="16">
        <v>0.25694444444444448</v>
      </c>
      <c r="D16" s="15" t="s">
        <v>41</v>
      </c>
      <c r="E16" s="15" t="s">
        <v>50</v>
      </c>
      <c r="F16" s="15" t="s">
        <v>54</v>
      </c>
      <c r="G16" s="185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7" t="s">
        <v>55</v>
      </c>
      <c r="B17" s="17" t="s">
        <v>56</v>
      </c>
      <c r="C17" s="18">
        <v>0.28819444444444448</v>
      </c>
      <c r="D17" s="17" t="s">
        <v>57</v>
      </c>
      <c r="E17" s="17" t="s">
        <v>42</v>
      </c>
      <c r="F17" s="17" t="s">
        <v>58</v>
      </c>
      <c r="G17" s="185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5" t="s">
        <v>55</v>
      </c>
      <c r="B18" s="15" t="s">
        <v>59</v>
      </c>
      <c r="C18" s="16">
        <v>0.21527777777777779</v>
      </c>
      <c r="D18" s="15" t="s">
        <v>57</v>
      </c>
      <c r="E18" s="15" t="s">
        <v>60</v>
      </c>
      <c r="F18" s="15" t="s">
        <v>58</v>
      </c>
      <c r="G18" s="185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7" t="s">
        <v>61</v>
      </c>
      <c r="B19" s="17" t="s">
        <v>62</v>
      </c>
      <c r="C19" s="18">
        <v>0.66666666666666663</v>
      </c>
      <c r="D19" s="17" t="s">
        <v>63</v>
      </c>
      <c r="E19" s="17" t="s">
        <v>64</v>
      </c>
      <c r="F19" s="17" t="s">
        <v>65</v>
      </c>
      <c r="G19" s="185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9" t="s">
        <v>66</v>
      </c>
      <c r="B20" s="19" t="s">
        <v>67</v>
      </c>
      <c r="C20" s="20">
        <v>0.68055555555555547</v>
      </c>
      <c r="D20" s="19" t="s">
        <v>68</v>
      </c>
      <c r="E20" s="19" t="s">
        <v>29</v>
      </c>
      <c r="F20" s="19" t="s">
        <v>69</v>
      </c>
      <c r="G20" s="185"/>
      <c r="H20" s="21" t="s">
        <v>70</v>
      </c>
      <c r="I20" s="22">
        <v>0.99439999999999995</v>
      </c>
      <c r="J20" s="23">
        <v>178</v>
      </c>
      <c r="K20" s="24">
        <v>45977</v>
      </c>
      <c r="L20" s="23">
        <v>3</v>
      </c>
      <c r="M20" s="23">
        <v>0</v>
      </c>
      <c r="N20" s="23">
        <v>0</v>
      </c>
      <c r="O20" s="25" t="s">
        <v>71</v>
      </c>
      <c r="P20" s="26">
        <v>0.68055555555555547</v>
      </c>
      <c r="Q20" s="23">
        <v>179</v>
      </c>
      <c r="R20" s="27" t="s">
        <v>72</v>
      </c>
    </row>
    <row r="21" spans="1:18" ht="15" customHeight="1" x14ac:dyDescent="0.3">
      <c r="A21" s="28" t="s">
        <v>66</v>
      </c>
      <c r="B21" s="28" t="s">
        <v>73</v>
      </c>
      <c r="C21" s="29">
        <v>0.2361111111111111</v>
      </c>
      <c r="D21" s="28" t="s">
        <v>74</v>
      </c>
      <c r="E21" s="30"/>
      <c r="F21" s="28" t="s">
        <v>75</v>
      </c>
      <c r="G21" s="185"/>
      <c r="H21" s="31" t="s">
        <v>73</v>
      </c>
      <c r="I21" s="32">
        <v>1</v>
      </c>
      <c r="J21" s="33">
        <v>179</v>
      </c>
      <c r="K21" s="34">
        <v>45971</v>
      </c>
      <c r="L21" s="33">
        <v>0</v>
      </c>
      <c r="M21" s="33">
        <v>0</v>
      </c>
      <c r="N21" s="33">
        <v>0</v>
      </c>
      <c r="O21" s="35" t="s">
        <v>76</v>
      </c>
      <c r="P21" s="36">
        <v>0.2361111111111111</v>
      </c>
      <c r="Q21" s="33">
        <v>179</v>
      </c>
      <c r="R21" s="37" t="s">
        <v>77</v>
      </c>
    </row>
    <row r="22" spans="1:18" ht="15" customHeight="1" x14ac:dyDescent="0.3">
      <c r="A22" s="38" t="s">
        <v>66</v>
      </c>
      <c r="B22" s="38" t="s">
        <v>78</v>
      </c>
      <c r="C22" s="39">
        <v>0.33333333333333331</v>
      </c>
      <c r="D22" s="38" t="s">
        <v>74</v>
      </c>
      <c r="E22" s="40"/>
      <c r="F22" s="38" t="s">
        <v>75</v>
      </c>
      <c r="G22" s="185"/>
      <c r="H22" s="41" t="s">
        <v>78</v>
      </c>
      <c r="I22" s="42">
        <v>1</v>
      </c>
      <c r="J22" s="43">
        <v>179</v>
      </c>
      <c r="K22" s="44">
        <v>45979</v>
      </c>
      <c r="L22" s="43">
        <v>4</v>
      </c>
      <c r="M22" s="43">
        <v>0</v>
      </c>
      <c r="N22" s="43">
        <v>0</v>
      </c>
      <c r="O22" s="45" t="s">
        <v>76</v>
      </c>
      <c r="P22" s="46">
        <v>0.33333333333333331</v>
      </c>
      <c r="Q22" s="43">
        <v>179</v>
      </c>
      <c r="R22" s="47" t="s">
        <v>79</v>
      </c>
    </row>
    <row r="23" spans="1:18" ht="15" customHeight="1" x14ac:dyDescent="0.3">
      <c r="A23" s="17" t="s">
        <v>80</v>
      </c>
      <c r="B23" s="17" t="s">
        <v>81</v>
      </c>
      <c r="C23" s="18">
        <v>0.22916666666666671</v>
      </c>
      <c r="D23" s="17" t="s">
        <v>82</v>
      </c>
      <c r="E23" s="17" t="s">
        <v>64</v>
      </c>
      <c r="F23" s="17" t="s">
        <v>83</v>
      </c>
      <c r="G23" s="185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5" t="s">
        <v>80</v>
      </c>
      <c r="B24" s="15" t="s">
        <v>84</v>
      </c>
      <c r="C24" s="16">
        <v>0.27777777777777779</v>
      </c>
      <c r="D24" s="15" t="s">
        <v>82</v>
      </c>
      <c r="E24" s="15" t="s">
        <v>85</v>
      </c>
      <c r="F24" s="15" t="s">
        <v>86</v>
      </c>
      <c r="G24" s="185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5" t="s">
        <v>80</v>
      </c>
      <c r="B25" s="15" t="s">
        <v>87</v>
      </c>
      <c r="C25" s="16">
        <v>1.388888888888889E-2</v>
      </c>
      <c r="D25" s="15" t="s">
        <v>82</v>
      </c>
      <c r="E25" s="15" t="s">
        <v>85</v>
      </c>
      <c r="F25" s="15" t="s">
        <v>88</v>
      </c>
      <c r="G25" s="185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5" t="s">
        <v>80</v>
      </c>
      <c r="B26" s="15" t="s">
        <v>89</v>
      </c>
      <c r="C26" s="16">
        <v>0.14583333333333329</v>
      </c>
      <c r="D26" s="15" t="s">
        <v>82</v>
      </c>
      <c r="E26" s="15" t="s">
        <v>90</v>
      </c>
      <c r="F26" s="15" t="s">
        <v>91</v>
      </c>
      <c r="G26" s="185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15" t="s">
        <v>80</v>
      </c>
      <c r="B27" s="15" t="s">
        <v>92</v>
      </c>
      <c r="C27" s="16">
        <v>0.54166666666666663</v>
      </c>
      <c r="D27" s="15" t="s">
        <v>82</v>
      </c>
      <c r="E27" s="15" t="s">
        <v>32</v>
      </c>
      <c r="F27" s="15" t="s">
        <v>91</v>
      </c>
      <c r="G27" s="185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5" t="s">
        <v>80</v>
      </c>
      <c r="B28" s="15" t="s">
        <v>93</v>
      </c>
      <c r="C28" s="16">
        <v>0.77083333333333337</v>
      </c>
      <c r="D28" s="15" t="s">
        <v>82</v>
      </c>
      <c r="E28" s="15" t="s">
        <v>94</v>
      </c>
      <c r="F28" s="15" t="s">
        <v>91</v>
      </c>
      <c r="G28" s="185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7" t="s">
        <v>95</v>
      </c>
      <c r="B29" s="17" t="s">
        <v>96</v>
      </c>
      <c r="C29" s="18">
        <v>0.37847222222222232</v>
      </c>
      <c r="D29" s="17" t="s">
        <v>97</v>
      </c>
      <c r="E29" s="17" t="s">
        <v>64</v>
      </c>
      <c r="F29" s="17" t="s">
        <v>98</v>
      </c>
      <c r="G29" s="185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48" t="s">
        <v>95</v>
      </c>
      <c r="B30" s="48" t="s">
        <v>96</v>
      </c>
      <c r="C30" s="49">
        <v>0.37847222222222232</v>
      </c>
      <c r="D30" s="48" t="s">
        <v>99</v>
      </c>
      <c r="E30" s="48" t="s">
        <v>100</v>
      </c>
      <c r="F30" s="48" t="s">
        <v>101</v>
      </c>
      <c r="G30" s="185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5" t="s">
        <v>95</v>
      </c>
      <c r="B31" s="15" t="s">
        <v>102</v>
      </c>
      <c r="C31" s="16">
        <v>0.71875</v>
      </c>
      <c r="D31" s="15" t="s">
        <v>97</v>
      </c>
      <c r="E31" s="15" t="s">
        <v>85</v>
      </c>
      <c r="F31" s="15" t="s">
        <v>98</v>
      </c>
      <c r="G31" s="185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48" t="s">
        <v>95</v>
      </c>
      <c r="B32" s="48" t="s">
        <v>102</v>
      </c>
      <c r="C32" s="49">
        <v>0.71875</v>
      </c>
      <c r="D32" s="48" t="s">
        <v>99</v>
      </c>
      <c r="E32" s="48" t="s">
        <v>100</v>
      </c>
      <c r="F32" s="48" t="s">
        <v>101</v>
      </c>
      <c r="G32" s="185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5" t="s">
        <v>95</v>
      </c>
      <c r="B33" s="15" t="s">
        <v>103</v>
      </c>
      <c r="C33" s="16">
        <v>6.9444444444444441E-3</v>
      </c>
      <c r="D33" s="15" t="s">
        <v>97</v>
      </c>
      <c r="E33" s="15" t="s">
        <v>85</v>
      </c>
      <c r="F33" s="15" t="s">
        <v>98</v>
      </c>
      <c r="G33" s="185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48" t="s">
        <v>95</v>
      </c>
      <c r="B34" s="48" t="s">
        <v>103</v>
      </c>
      <c r="C34" s="49">
        <v>6.9444444444444441E-3</v>
      </c>
      <c r="D34" s="48" t="s">
        <v>99</v>
      </c>
      <c r="E34" s="48" t="s">
        <v>100</v>
      </c>
      <c r="F34" s="48" t="s">
        <v>101</v>
      </c>
      <c r="G34" s="185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5" t="s">
        <v>95</v>
      </c>
      <c r="B35" s="15" t="s">
        <v>104</v>
      </c>
      <c r="C35" s="16">
        <v>0.1423611111111111</v>
      </c>
      <c r="D35" s="15" t="s">
        <v>97</v>
      </c>
      <c r="E35" s="15" t="s">
        <v>85</v>
      </c>
      <c r="F35" s="15" t="s">
        <v>98</v>
      </c>
      <c r="G35" s="185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48" t="s">
        <v>95</v>
      </c>
      <c r="B36" s="48" t="s">
        <v>104</v>
      </c>
      <c r="C36" s="49">
        <v>0.1423611111111111</v>
      </c>
      <c r="D36" s="48" t="s">
        <v>99</v>
      </c>
      <c r="E36" s="48" t="s">
        <v>100</v>
      </c>
      <c r="F36" s="48" t="s">
        <v>101</v>
      </c>
      <c r="G36" s="185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5" t="s">
        <v>95</v>
      </c>
      <c r="B37" s="15" t="s">
        <v>105</v>
      </c>
      <c r="C37" s="16">
        <v>0.93055555555555547</v>
      </c>
      <c r="D37" s="15" t="s">
        <v>97</v>
      </c>
      <c r="E37" s="15" t="s">
        <v>85</v>
      </c>
      <c r="F37" s="15" t="s">
        <v>98</v>
      </c>
      <c r="G37" s="185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48" t="s">
        <v>95</v>
      </c>
      <c r="B38" s="48" t="s">
        <v>105</v>
      </c>
      <c r="C38" s="49">
        <v>0.93055555555555547</v>
      </c>
      <c r="D38" s="48" t="s">
        <v>99</v>
      </c>
      <c r="E38" s="48" t="s">
        <v>100</v>
      </c>
      <c r="F38" s="48" t="s">
        <v>101</v>
      </c>
      <c r="G38" s="185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5" t="s">
        <v>95</v>
      </c>
      <c r="B39" s="15" t="s">
        <v>106</v>
      </c>
      <c r="C39" s="16">
        <v>0.24305555555555561</v>
      </c>
      <c r="D39" s="15" t="s">
        <v>97</v>
      </c>
      <c r="E39" s="15" t="s">
        <v>85</v>
      </c>
      <c r="F39" s="15" t="s">
        <v>107</v>
      </c>
      <c r="G39" s="185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48" t="s">
        <v>95</v>
      </c>
      <c r="B40" s="48" t="s">
        <v>106</v>
      </c>
      <c r="C40" s="49">
        <v>0.24305555555555561</v>
      </c>
      <c r="D40" s="48" t="s">
        <v>99</v>
      </c>
      <c r="E40" s="48" t="s">
        <v>100</v>
      </c>
      <c r="F40" s="48" t="s">
        <v>108</v>
      </c>
      <c r="G40" s="185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5" t="s">
        <v>95</v>
      </c>
      <c r="B41" s="15" t="s">
        <v>109</v>
      </c>
      <c r="C41" s="16">
        <v>0.30208333333333331</v>
      </c>
      <c r="D41" s="15" t="s">
        <v>99</v>
      </c>
      <c r="E41" s="15" t="s">
        <v>52</v>
      </c>
      <c r="F41" s="15" t="s">
        <v>110</v>
      </c>
      <c r="G41" s="185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5" t="s">
        <v>95</v>
      </c>
      <c r="B42" s="15" t="s">
        <v>111</v>
      </c>
      <c r="C42" s="16">
        <v>0.12847222222222221</v>
      </c>
      <c r="D42" s="15" t="s">
        <v>99</v>
      </c>
      <c r="E42" s="15" t="s">
        <v>52</v>
      </c>
      <c r="F42" s="15" t="s">
        <v>110</v>
      </c>
      <c r="G42" s="185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5" t="s">
        <v>95</v>
      </c>
      <c r="B43" s="15" t="s">
        <v>112</v>
      </c>
      <c r="C43" s="16">
        <v>0.61111111111111105</v>
      </c>
      <c r="D43" s="15" t="s">
        <v>97</v>
      </c>
      <c r="E43" s="15" t="s">
        <v>85</v>
      </c>
      <c r="F43" s="15" t="s">
        <v>113</v>
      </c>
      <c r="G43" s="185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48" t="s">
        <v>95</v>
      </c>
      <c r="B44" s="48" t="s">
        <v>112</v>
      </c>
      <c r="C44" s="49">
        <v>0.61111111111111105</v>
      </c>
      <c r="D44" s="48" t="s">
        <v>99</v>
      </c>
      <c r="E44" s="48" t="s">
        <v>100</v>
      </c>
      <c r="F44" s="48" t="s">
        <v>114</v>
      </c>
      <c r="G44" s="185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15" t="s">
        <v>95</v>
      </c>
      <c r="B45" s="15" t="s">
        <v>115</v>
      </c>
      <c r="C45" s="16">
        <v>0.82986111111111116</v>
      </c>
      <c r="D45" s="15" t="s">
        <v>97</v>
      </c>
      <c r="E45" s="15" t="s">
        <v>85</v>
      </c>
      <c r="F45" s="15" t="s">
        <v>113</v>
      </c>
      <c r="G45" s="185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</row>
    <row r="46" spans="1:18" ht="15" customHeight="1" x14ac:dyDescent="0.3">
      <c r="A46" s="48" t="s">
        <v>95</v>
      </c>
      <c r="B46" s="48" t="s">
        <v>115</v>
      </c>
      <c r="C46" s="49">
        <v>0.82986111111111116</v>
      </c>
      <c r="D46" s="48" t="s">
        <v>99</v>
      </c>
      <c r="E46" s="48" t="s">
        <v>100</v>
      </c>
      <c r="F46" s="48" t="s">
        <v>114</v>
      </c>
      <c r="G46" s="185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5" customHeight="1" x14ac:dyDescent="0.3">
      <c r="A47" s="15" t="s">
        <v>95</v>
      </c>
      <c r="B47" s="15" t="s">
        <v>116</v>
      </c>
      <c r="C47" s="16">
        <v>0.88888888888888884</v>
      </c>
      <c r="D47" s="15" t="s">
        <v>99</v>
      </c>
      <c r="E47" s="15" t="s">
        <v>52</v>
      </c>
      <c r="F47" s="15" t="s">
        <v>117</v>
      </c>
      <c r="G47" s="185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</row>
    <row r="48" spans="1:18" ht="15" customHeight="1" thickBot="1" x14ac:dyDescent="0.35">
      <c r="A48" s="50" t="s">
        <v>95</v>
      </c>
      <c r="B48" s="50" t="s">
        <v>118</v>
      </c>
      <c r="C48" s="51">
        <v>0.78819444444444453</v>
      </c>
      <c r="D48" s="50" t="s">
        <v>99</v>
      </c>
      <c r="E48" s="50" t="s">
        <v>52</v>
      </c>
      <c r="F48" s="50" t="s">
        <v>117</v>
      </c>
      <c r="G48" s="186"/>
      <c r="H48" s="52"/>
      <c r="I48" s="53"/>
      <c r="J48" s="53"/>
      <c r="K48" s="53"/>
      <c r="L48" s="53"/>
      <c r="M48" s="53"/>
      <c r="N48" s="53"/>
      <c r="O48" s="54"/>
      <c r="P48" s="53"/>
      <c r="Q48" s="55"/>
      <c r="R48" s="56"/>
    </row>
    <row r="49" spans="1:18" ht="17.399999999999999" customHeight="1" thickBot="1" x14ac:dyDescent="0.35">
      <c r="A49" s="219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1"/>
    </row>
    <row r="50" spans="1:18" ht="22.05" customHeight="1" thickTop="1" thickBot="1" x14ac:dyDescent="0.35">
      <c r="A50" s="190" t="s">
        <v>6</v>
      </c>
      <c r="B50" s="191"/>
      <c r="C50" s="191"/>
      <c r="D50" s="191"/>
      <c r="E50" s="191"/>
      <c r="F50" s="192"/>
      <c r="G50" s="57">
        <v>45984</v>
      </c>
      <c r="H50" s="194" t="s">
        <v>7</v>
      </c>
      <c r="I50" s="191"/>
      <c r="J50" s="191"/>
      <c r="K50" s="191"/>
      <c r="L50" s="191"/>
      <c r="M50" s="191"/>
      <c r="N50" s="191"/>
      <c r="O50" s="191"/>
      <c r="P50" s="191"/>
      <c r="Q50" s="191"/>
      <c r="R50" s="192"/>
    </row>
    <row r="51" spans="1:18" ht="24" customHeight="1" x14ac:dyDescent="0.3">
      <c r="A51" s="58" t="s">
        <v>8</v>
      </c>
      <c r="B51" s="58" t="s">
        <v>9</v>
      </c>
      <c r="C51" s="59" t="s">
        <v>10</v>
      </c>
      <c r="D51" s="58" t="s">
        <v>11</v>
      </c>
      <c r="E51" s="58" t="s">
        <v>12</v>
      </c>
      <c r="F51" s="60" t="s">
        <v>13</v>
      </c>
      <c r="G51" s="61" t="s">
        <v>14</v>
      </c>
      <c r="H51" s="58" t="s">
        <v>15</v>
      </c>
      <c r="I51" s="62" t="s">
        <v>16</v>
      </c>
      <c r="J51" s="63" t="s">
        <v>17</v>
      </c>
      <c r="K51" s="64" t="s">
        <v>18</v>
      </c>
      <c r="L51" s="63" t="s">
        <v>19</v>
      </c>
      <c r="M51" s="63" t="s">
        <v>20</v>
      </c>
      <c r="N51" s="63" t="s">
        <v>21</v>
      </c>
      <c r="O51" s="58" t="s">
        <v>22</v>
      </c>
      <c r="P51" s="59" t="s">
        <v>23</v>
      </c>
      <c r="Q51" s="63" t="s">
        <v>24</v>
      </c>
      <c r="R51" s="58" t="s">
        <v>25</v>
      </c>
    </row>
    <row r="52" spans="1:18" ht="15" customHeight="1" x14ac:dyDescent="0.3">
      <c r="A52" s="8" t="s">
        <v>26</v>
      </c>
      <c r="B52" s="8" t="s">
        <v>36</v>
      </c>
      <c r="C52" s="9">
        <v>0.78819444444444453</v>
      </c>
      <c r="D52" s="8" t="s">
        <v>119</v>
      </c>
      <c r="E52" s="8" t="s">
        <v>29</v>
      </c>
      <c r="F52" s="8" t="s">
        <v>120</v>
      </c>
      <c r="G52" s="200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48" t="s">
        <v>26</v>
      </c>
      <c r="B53" s="48" t="s">
        <v>36</v>
      </c>
      <c r="C53" s="49">
        <v>0.78819444444444453</v>
      </c>
      <c r="D53" s="48" t="s">
        <v>121</v>
      </c>
      <c r="E53" s="48" t="s">
        <v>122</v>
      </c>
      <c r="F53" s="48" t="s">
        <v>38</v>
      </c>
      <c r="G53" s="185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48" t="s">
        <v>26</v>
      </c>
      <c r="B54" s="48" t="s">
        <v>36</v>
      </c>
      <c r="C54" s="49">
        <v>0.78819444444444453</v>
      </c>
      <c r="D54" s="48" t="s">
        <v>123</v>
      </c>
      <c r="E54" s="48" t="s">
        <v>122</v>
      </c>
      <c r="F54" s="48" t="s">
        <v>124</v>
      </c>
      <c r="G54" s="185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5" t="s">
        <v>26</v>
      </c>
      <c r="B55" s="15" t="s">
        <v>34</v>
      </c>
      <c r="C55" s="16">
        <v>0.88888888888888884</v>
      </c>
      <c r="D55" s="15" t="s">
        <v>119</v>
      </c>
      <c r="E55" s="15" t="s">
        <v>32</v>
      </c>
      <c r="F55" s="15" t="s">
        <v>120</v>
      </c>
      <c r="G55" s="185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48" t="s">
        <v>26</v>
      </c>
      <c r="B56" s="48" t="s">
        <v>34</v>
      </c>
      <c r="C56" s="49">
        <v>0.88888888888888884</v>
      </c>
      <c r="D56" s="48" t="s">
        <v>121</v>
      </c>
      <c r="E56" s="48" t="s">
        <v>125</v>
      </c>
      <c r="F56" s="48" t="s">
        <v>38</v>
      </c>
      <c r="G56" s="185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48" t="s">
        <v>26</v>
      </c>
      <c r="B57" s="48" t="s">
        <v>34</v>
      </c>
      <c r="C57" s="49">
        <v>0.88888888888888884</v>
      </c>
      <c r="D57" s="48" t="s">
        <v>123</v>
      </c>
      <c r="E57" s="48" t="s">
        <v>125</v>
      </c>
      <c r="F57" s="48" t="s">
        <v>124</v>
      </c>
      <c r="G57" s="185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5" t="s">
        <v>26</v>
      </c>
      <c r="B58" s="15" t="s">
        <v>27</v>
      </c>
      <c r="C58" s="16">
        <v>0.12847222222222221</v>
      </c>
      <c r="D58" s="15" t="s">
        <v>119</v>
      </c>
      <c r="E58" s="15" t="s">
        <v>94</v>
      </c>
      <c r="F58" s="15" t="s">
        <v>30</v>
      </c>
      <c r="G58" s="185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48" t="s">
        <v>26</v>
      </c>
      <c r="B59" s="48" t="s">
        <v>27</v>
      </c>
      <c r="C59" s="49">
        <v>0.12847222222222221</v>
      </c>
      <c r="D59" s="48" t="s">
        <v>121</v>
      </c>
      <c r="E59" s="48" t="s">
        <v>126</v>
      </c>
      <c r="F59" s="48" t="s">
        <v>127</v>
      </c>
      <c r="G59" s="185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48" t="s">
        <v>26</v>
      </c>
      <c r="B60" s="48" t="s">
        <v>27</v>
      </c>
      <c r="C60" s="49">
        <v>0.12847222222222221</v>
      </c>
      <c r="D60" s="48" t="s">
        <v>123</v>
      </c>
      <c r="E60" s="48" t="s">
        <v>126</v>
      </c>
      <c r="F60" s="48" t="s">
        <v>124</v>
      </c>
      <c r="G60" s="185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5" t="s">
        <v>26</v>
      </c>
      <c r="B61" s="15" t="s">
        <v>31</v>
      </c>
      <c r="C61" s="16">
        <v>0.30208333333333331</v>
      </c>
      <c r="D61" s="15" t="s">
        <v>119</v>
      </c>
      <c r="E61" s="15" t="s">
        <v>60</v>
      </c>
      <c r="F61" s="15" t="s">
        <v>33</v>
      </c>
      <c r="G61" s="185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48" t="s">
        <v>26</v>
      </c>
      <c r="B62" s="48" t="s">
        <v>31</v>
      </c>
      <c r="C62" s="49">
        <v>0.30208333333333331</v>
      </c>
      <c r="D62" s="48" t="s">
        <v>121</v>
      </c>
      <c r="E62" s="48" t="s">
        <v>128</v>
      </c>
      <c r="F62" s="48" t="s">
        <v>129</v>
      </c>
      <c r="G62" s="185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48" t="s">
        <v>26</v>
      </c>
      <c r="B63" s="48" t="s">
        <v>31</v>
      </c>
      <c r="C63" s="49">
        <v>0.30208333333333331</v>
      </c>
      <c r="D63" s="48" t="s">
        <v>123</v>
      </c>
      <c r="E63" s="48" t="s">
        <v>128</v>
      </c>
      <c r="F63" s="48" t="s">
        <v>124</v>
      </c>
      <c r="G63" s="185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65" t="s">
        <v>66</v>
      </c>
      <c r="B64" s="65" t="s">
        <v>130</v>
      </c>
      <c r="C64" s="66">
        <v>0.33333333333333331</v>
      </c>
      <c r="D64" s="65" t="s">
        <v>68</v>
      </c>
      <c r="E64" s="65" t="s">
        <v>29</v>
      </c>
      <c r="F64" s="65" t="s">
        <v>131</v>
      </c>
      <c r="G64" s="185"/>
      <c r="H64" s="67" t="s">
        <v>132</v>
      </c>
      <c r="I64" s="68">
        <v>0.875</v>
      </c>
      <c r="J64" s="69">
        <v>147</v>
      </c>
      <c r="K64" s="70">
        <v>45980</v>
      </c>
      <c r="L64" s="69">
        <v>30</v>
      </c>
      <c r="M64" s="69">
        <v>0</v>
      </c>
      <c r="N64" s="69">
        <v>6</v>
      </c>
      <c r="O64" s="71" t="s">
        <v>133</v>
      </c>
      <c r="P64" s="72">
        <v>0.33333333333333331</v>
      </c>
      <c r="Q64" s="69">
        <v>168</v>
      </c>
      <c r="R64" s="73" t="s">
        <v>134</v>
      </c>
    </row>
    <row r="65" spans="1:18" ht="15" customHeight="1" x14ac:dyDescent="0.3">
      <c r="A65" s="74" t="s">
        <v>66</v>
      </c>
      <c r="B65" s="74" t="s">
        <v>135</v>
      </c>
      <c r="C65" s="75">
        <v>8.3333333333333329E-2</v>
      </c>
      <c r="D65" s="74" t="s">
        <v>68</v>
      </c>
      <c r="E65" s="74" t="s">
        <v>47</v>
      </c>
      <c r="F65" s="74" t="s">
        <v>136</v>
      </c>
      <c r="G65" s="185"/>
      <c r="H65" s="21" t="s">
        <v>137</v>
      </c>
      <c r="I65" s="76">
        <v>0.62009999999999998</v>
      </c>
      <c r="J65" s="23">
        <v>111</v>
      </c>
      <c r="K65" s="24">
        <v>45980</v>
      </c>
      <c r="L65" s="23">
        <v>50</v>
      </c>
      <c r="M65" s="23">
        <v>0</v>
      </c>
      <c r="N65" s="23">
        <v>7</v>
      </c>
      <c r="O65" s="25" t="s">
        <v>138</v>
      </c>
      <c r="P65" s="26">
        <v>8.3333333333333329E-2</v>
      </c>
      <c r="Q65" s="23">
        <v>179</v>
      </c>
      <c r="R65" s="27" t="s">
        <v>139</v>
      </c>
    </row>
    <row r="66" spans="1:18" ht="15" customHeight="1" x14ac:dyDescent="0.3">
      <c r="A66" s="38" t="s">
        <v>66</v>
      </c>
      <c r="B66" s="38" t="s">
        <v>140</v>
      </c>
      <c r="C66" s="39">
        <v>0.31944444444444448</v>
      </c>
      <c r="D66" s="38" t="s">
        <v>68</v>
      </c>
      <c r="E66" s="38" t="s">
        <v>32</v>
      </c>
      <c r="F66" s="38" t="s">
        <v>136</v>
      </c>
      <c r="G66" s="185"/>
      <c r="H66" s="41" t="s">
        <v>78</v>
      </c>
      <c r="I66" s="77">
        <v>0.54190000000000005</v>
      </c>
      <c r="J66" s="43">
        <v>97</v>
      </c>
      <c r="K66" s="44">
        <v>45979</v>
      </c>
      <c r="L66" s="43">
        <v>34</v>
      </c>
      <c r="M66" s="43">
        <v>0</v>
      </c>
      <c r="N66" s="43">
        <v>0</v>
      </c>
      <c r="O66" s="45" t="s">
        <v>141</v>
      </c>
      <c r="P66" s="46">
        <v>0.31944444444444448</v>
      </c>
      <c r="Q66" s="43">
        <v>179</v>
      </c>
      <c r="R66" s="47" t="s">
        <v>142</v>
      </c>
    </row>
    <row r="67" spans="1:18" ht="15" customHeight="1" x14ac:dyDescent="0.3">
      <c r="A67" s="78" t="s">
        <v>66</v>
      </c>
      <c r="B67" s="78" t="s">
        <v>143</v>
      </c>
      <c r="C67" s="79">
        <v>0.51041666666666663</v>
      </c>
      <c r="D67" s="78" t="s">
        <v>68</v>
      </c>
      <c r="E67" s="78" t="s">
        <v>32</v>
      </c>
      <c r="F67" s="78" t="s">
        <v>144</v>
      </c>
      <c r="G67" s="185"/>
      <c r="H67" s="80" t="s">
        <v>145</v>
      </c>
      <c r="I67" s="81">
        <v>0.92179999999999995</v>
      </c>
      <c r="J67" s="82">
        <v>165</v>
      </c>
      <c r="K67" s="83">
        <v>45980</v>
      </c>
      <c r="L67" s="82">
        <v>8</v>
      </c>
      <c r="M67" s="82">
        <v>0</v>
      </c>
      <c r="N67" s="82">
        <v>3</v>
      </c>
      <c r="O67" s="84" t="s">
        <v>146</v>
      </c>
      <c r="P67" s="85">
        <v>0.51041666666666663</v>
      </c>
      <c r="Q67" s="82">
        <v>179</v>
      </c>
      <c r="R67" s="86" t="s">
        <v>147</v>
      </c>
    </row>
    <row r="68" spans="1:18" ht="15" customHeight="1" x14ac:dyDescent="0.3">
      <c r="A68" s="87" t="s">
        <v>66</v>
      </c>
      <c r="B68" s="87" t="s">
        <v>70</v>
      </c>
      <c r="C68" s="88">
        <v>0.63194444444444442</v>
      </c>
      <c r="D68" s="87" t="s">
        <v>74</v>
      </c>
      <c r="E68" s="89"/>
      <c r="F68" s="87" t="s">
        <v>75</v>
      </c>
      <c r="G68" s="185"/>
      <c r="H68" s="67" t="s">
        <v>70</v>
      </c>
      <c r="I68" s="68">
        <v>1.0112000000000001</v>
      </c>
      <c r="J68" s="69">
        <v>181</v>
      </c>
      <c r="K68" s="70">
        <v>45980</v>
      </c>
      <c r="L68" s="69">
        <v>12</v>
      </c>
      <c r="M68" s="69">
        <v>0</v>
      </c>
      <c r="N68" s="69">
        <v>3</v>
      </c>
      <c r="O68" s="71" t="s">
        <v>76</v>
      </c>
      <c r="P68" s="72">
        <v>0.63194444444444442</v>
      </c>
      <c r="Q68" s="69">
        <v>179</v>
      </c>
      <c r="R68" s="73" t="s">
        <v>148</v>
      </c>
    </row>
    <row r="69" spans="1:18" ht="15" customHeight="1" x14ac:dyDescent="0.3">
      <c r="A69" s="17" t="s">
        <v>39</v>
      </c>
      <c r="B69" s="17" t="s">
        <v>53</v>
      </c>
      <c r="C69" s="18">
        <v>0.25694444444444448</v>
      </c>
      <c r="D69" s="17" t="s">
        <v>149</v>
      </c>
      <c r="E69" s="17" t="s">
        <v>29</v>
      </c>
      <c r="F69" s="17" t="s">
        <v>30</v>
      </c>
      <c r="G69" s="185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48" t="s">
        <v>39</v>
      </c>
      <c r="B70" s="48" t="s">
        <v>53</v>
      </c>
      <c r="C70" s="49">
        <v>0.25694444444444448</v>
      </c>
      <c r="D70" s="48" t="s">
        <v>150</v>
      </c>
      <c r="E70" s="48" t="s">
        <v>122</v>
      </c>
      <c r="F70" s="48" t="s">
        <v>38</v>
      </c>
      <c r="G70" s="185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48" t="s">
        <v>39</v>
      </c>
      <c r="B71" s="48" t="s">
        <v>53</v>
      </c>
      <c r="C71" s="49">
        <v>0.25694444444444448</v>
      </c>
      <c r="D71" s="48" t="s">
        <v>151</v>
      </c>
      <c r="E71" s="48" t="s">
        <v>122</v>
      </c>
      <c r="F71" s="48" t="s">
        <v>152</v>
      </c>
      <c r="G71" s="185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5" t="s">
        <v>39</v>
      </c>
      <c r="B72" s="15" t="s">
        <v>40</v>
      </c>
      <c r="C72" s="16">
        <v>0.90277777777777779</v>
      </c>
      <c r="D72" s="15" t="s">
        <v>149</v>
      </c>
      <c r="E72" s="15" t="s">
        <v>60</v>
      </c>
      <c r="F72" s="15" t="s">
        <v>30</v>
      </c>
      <c r="G72" s="185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48" t="s">
        <v>39</v>
      </c>
      <c r="B73" s="48" t="s">
        <v>40</v>
      </c>
      <c r="C73" s="49">
        <v>0.90277777777777779</v>
      </c>
      <c r="D73" s="48" t="s">
        <v>150</v>
      </c>
      <c r="E73" s="48" t="s">
        <v>128</v>
      </c>
      <c r="F73" s="48" t="s">
        <v>38</v>
      </c>
      <c r="G73" s="185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x14ac:dyDescent="0.3">
      <c r="A74" s="48" t="s">
        <v>39</v>
      </c>
      <c r="B74" s="48" t="s">
        <v>40</v>
      </c>
      <c r="C74" s="49">
        <v>0.90277777777777779</v>
      </c>
      <c r="D74" s="48" t="s">
        <v>151</v>
      </c>
      <c r="E74" s="48" t="s">
        <v>128</v>
      </c>
      <c r="F74" s="48" t="s">
        <v>152</v>
      </c>
      <c r="G74" s="185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5" t="s">
        <v>39</v>
      </c>
      <c r="B75" s="15" t="s">
        <v>48</v>
      </c>
      <c r="C75" s="16">
        <v>0.85416666666666663</v>
      </c>
      <c r="D75" s="15" t="s">
        <v>149</v>
      </c>
      <c r="E75" s="15" t="s">
        <v>60</v>
      </c>
      <c r="F75" s="15" t="s">
        <v>30</v>
      </c>
      <c r="G75" s="185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48" t="s">
        <v>39</v>
      </c>
      <c r="B76" s="48" t="s">
        <v>48</v>
      </c>
      <c r="C76" s="49">
        <v>0.85416666666666663</v>
      </c>
      <c r="D76" s="48" t="s">
        <v>150</v>
      </c>
      <c r="E76" s="48" t="s">
        <v>128</v>
      </c>
      <c r="F76" s="48" t="s">
        <v>38</v>
      </c>
      <c r="G76" s="185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48" t="s">
        <v>39</v>
      </c>
      <c r="B77" s="48" t="s">
        <v>48</v>
      </c>
      <c r="C77" s="49">
        <v>0.85416666666666663</v>
      </c>
      <c r="D77" s="48" t="s">
        <v>151</v>
      </c>
      <c r="E77" s="48" t="s">
        <v>128</v>
      </c>
      <c r="F77" s="48" t="s">
        <v>152</v>
      </c>
      <c r="G77" s="185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5" t="s">
        <v>39</v>
      </c>
      <c r="B78" s="15" t="s">
        <v>153</v>
      </c>
      <c r="C78" s="16">
        <v>0.30208333333333331</v>
      </c>
      <c r="D78" s="15" t="s">
        <v>149</v>
      </c>
      <c r="E78" s="15" t="s">
        <v>94</v>
      </c>
      <c r="F78" s="15" t="s">
        <v>30</v>
      </c>
      <c r="G78" s="185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48" t="s">
        <v>39</v>
      </c>
      <c r="B79" s="48" t="s">
        <v>153</v>
      </c>
      <c r="C79" s="49">
        <v>0.30208333333333331</v>
      </c>
      <c r="D79" s="48" t="s">
        <v>150</v>
      </c>
      <c r="E79" s="48" t="s">
        <v>126</v>
      </c>
      <c r="F79" s="48" t="s">
        <v>38</v>
      </c>
      <c r="G79" s="185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48" t="s">
        <v>39</v>
      </c>
      <c r="B80" s="48" t="s">
        <v>153</v>
      </c>
      <c r="C80" s="49">
        <v>0.30208333333333331</v>
      </c>
      <c r="D80" s="48" t="s">
        <v>151</v>
      </c>
      <c r="E80" s="48" t="s">
        <v>126</v>
      </c>
      <c r="F80" s="48" t="s">
        <v>152</v>
      </c>
      <c r="G80" s="185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15" t="s">
        <v>39</v>
      </c>
      <c r="B81" s="15" t="s">
        <v>51</v>
      </c>
      <c r="C81" s="16">
        <v>0.79861111111111116</v>
      </c>
      <c r="D81" s="15" t="s">
        <v>149</v>
      </c>
      <c r="E81" s="15" t="s">
        <v>60</v>
      </c>
      <c r="F81" s="15" t="s">
        <v>30</v>
      </c>
      <c r="G81" s="185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48" t="s">
        <v>39</v>
      </c>
      <c r="B82" s="48" t="s">
        <v>51</v>
      </c>
      <c r="C82" s="49">
        <v>0.79861111111111116</v>
      </c>
      <c r="D82" s="48" t="s">
        <v>150</v>
      </c>
      <c r="E82" s="48" t="s">
        <v>128</v>
      </c>
      <c r="F82" s="48" t="s">
        <v>38</v>
      </c>
      <c r="G82" s="185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</row>
    <row r="83" spans="1:18" ht="15" customHeight="1" x14ac:dyDescent="0.3">
      <c r="A83" s="48" t="s">
        <v>39</v>
      </c>
      <c r="B83" s="48" t="s">
        <v>51</v>
      </c>
      <c r="C83" s="49">
        <v>0.79861111111111116</v>
      </c>
      <c r="D83" s="48" t="s">
        <v>151</v>
      </c>
      <c r="E83" s="48" t="s">
        <v>128</v>
      </c>
      <c r="F83" s="48" t="s">
        <v>152</v>
      </c>
      <c r="G83" s="185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5" t="s">
        <v>39</v>
      </c>
      <c r="B84" s="15" t="s">
        <v>44</v>
      </c>
      <c r="C84" s="16">
        <v>0.64583333333333337</v>
      </c>
      <c r="D84" s="15" t="s">
        <v>149</v>
      </c>
      <c r="E84" s="15" t="s">
        <v>60</v>
      </c>
      <c r="F84" s="15" t="s">
        <v>43</v>
      </c>
      <c r="G84" s="185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48" t="s">
        <v>39</v>
      </c>
      <c r="B85" s="48" t="s">
        <v>44</v>
      </c>
      <c r="C85" s="49">
        <v>0.64583333333333337</v>
      </c>
      <c r="D85" s="48" t="s">
        <v>150</v>
      </c>
      <c r="E85" s="48" t="s">
        <v>128</v>
      </c>
      <c r="F85" s="48" t="s">
        <v>154</v>
      </c>
      <c r="G85" s="185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48" t="s">
        <v>39</v>
      </c>
      <c r="B86" s="48" t="s">
        <v>44</v>
      </c>
      <c r="C86" s="49">
        <v>0.64583333333333337</v>
      </c>
      <c r="D86" s="48" t="s">
        <v>151</v>
      </c>
      <c r="E86" s="48" t="s">
        <v>128</v>
      </c>
      <c r="F86" s="48" t="s">
        <v>155</v>
      </c>
      <c r="G86" s="185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15" t="s">
        <v>39</v>
      </c>
      <c r="B87" s="15" t="s">
        <v>46</v>
      </c>
      <c r="C87" s="16">
        <v>0.51736111111111105</v>
      </c>
      <c r="D87" s="15" t="s">
        <v>149</v>
      </c>
      <c r="E87" s="15" t="s">
        <v>60</v>
      </c>
      <c r="F87" s="15" t="s">
        <v>43</v>
      </c>
      <c r="G87" s="185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48" t="s">
        <v>39</v>
      </c>
      <c r="B88" s="48" t="s">
        <v>46</v>
      </c>
      <c r="C88" s="49">
        <v>0.51736111111111105</v>
      </c>
      <c r="D88" s="48" t="s">
        <v>150</v>
      </c>
      <c r="E88" s="48" t="s">
        <v>128</v>
      </c>
      <c r="F88" s="48" t="s">
        <v>154</v>
      </c>
      <c r="G88" s="185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48" t="s">
        <v>39</v>
      </c>
      <c r="B89" s="48" t="s">
        <v>46</v>
      </c>
      <c r="C89" s="49">
        <v>0.51736111111111105</v>
      </c>
      <c r="D89" s="48" t="s">
        <v>151</v>
      </c>
      <c r="E89" s="48" t="s">
        <v>128</v>
      </c>
      <c r="F89" s="48" t="s">
        <v>155</v>
      </c>
      <c r="G89" s="185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5" customHeight="1" x14ac:dyDescent="0.3">
      <c r="A90" s="15" t="s">
        <v>39</v>
      </c>
      <c r="B90" s="15" t="s">
        <v>49</v>
      </c>
      <c r="C90" s="16">
        <v>0.39583333333333331</v>
      </c>
      <c r="D90" s="15" t="s">
        <v>149</v>
      </c>
      <c r="E90" s="15" t="s">
        <v>60</v>
      </c>
      <c r="F90" s="15" t="s">
        <v>43</v>
      </c>
      <c r="G90" s="185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</row>
    <row r="91" spans="1:18" ht="15" customHeight="1" x14ac:dyDescent="0.3">
      <c r="A91" s="48" t="s">
        <v>39</v>
      </c>
      <c r="B91" s="48" t="s">
        <v>49</v>
      </c>
      <c r="C91" s="49">
        <v>0.39583333333333331</v>
      </c>
      <c r="D91" s="48" t="s">
        <v>150</v>
      </c>
      <c r="E91" s="48" t="s">
        <v>128</v>
      </c>
      <c r="F91" s="48" t="s">
        <v>154</v>
      </c>
      <c r="G91" s="185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</row>
    <row r="92" spans="1:18" ht="15" customHeight="1" x14ac:dyDescent="0.3">
      <c r="A92" s="48" t="s">
        <v>39</v>
      </c>
      <c r="B92" s="48" t="s">
        <v>49</v>
      </c>
      <c r="C92" s="49">
        <v>0.39583333333333331</v>
      </c>
      <c r="D92" s="48" t="s">
        <v>151</v>
      </c>
      <c r="E92" s="48" t="s">
        <v>128</v>
      </c>
      <c r="F92" s="48" t="s">
        <v>155</v>
      </c>
      <c r="G92" s="185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</row>
    <row r="93" spans="1:18" ht="15" customHeight="1" x14ac:dyDescent="0.3">
      <c r="A93" s="17" t="s">
        <v>61</v>
      </c>
      <c r="B93" s="17" t="s">
        <v>62</v>
      </c>
      <c r="C93" s="18">
        <v>0.66666666666666663</v>
      </c>
      <c r="D93" s="17" t="s">
        <v>63</v>
      </c>
      <c r="E93" s="17" t="s">
        <v>156</v>
      </c>
      <c r="F93" s="17" t="s">
        <v>157</v>
      </c>
      <c r="G93" s="185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5" t="s">
        <v>61</v>
      </c>
      <c r="B94" s="15" t="s">
        <v>158</v>
      </c>
      <c r="C94" s="16">
        <v>0.38194444444444442</v>
      </c>
      <c r="D94" s="15" t="s">
        <v>63</v>
      </c>
      <c r="E94" s="15" t="s">
        <v>94</v>
      </c>
      <c r="F94" s="15" t="s">
        <v>157</v>
      </c>
      <c r="G94" s="185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7" t="s">
        <v>55</v>
      </c>
      <c r="B95" s="17" t="s">
        <v>56</v>
      </c>
      <c r="C95" s="18">
        <v>0.3888888888888889</v>
      </c>
      <c r="D95" s="17" t="s">
        <v>159</v>
      </c>
      <c r="E95" s="17" t="s">
        <v>42</v>
      </c>
      <c r="F95" s="17" t="s">
        <v>160</v>
      </c>
      <c r="G95" s="185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48" t="s">
        <v>55</v>
      </c>
      <c r="B96" s="48" t="s">
        <v>56</v>
      </c>
      <c r="C96" s="49">
        <v>0.3888888888888889</v>
      </c>
      <c r="D96" s="48" t="s">
        <v>123</v>
      </c>
      <c r="E96" s="48" t="s">
        <v>128</v>
      </c>
      <c r="F96" s="48" t="s">
        <v>161</v>
      </c>
      <c r="G96" s="185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</row>
    <row r="97" spans="1:18" ht="15" customHeight="1" x14ac:dyDescent="0.3">
      <c r="A97" s="17" t="s">
        <v>162</v>
      </c>
      <c r="B97" s="17" t="s">
        <v>163</v>
      </c>
      <c r="C97" s="18">
        <v>0.34722222222222232</v>
      </c>
      <c r="D97" s="17" t="s">
        <v>63</v>
      </c>
      <c r="E97" s="17" t="s">
        <v>64</v>
      </c>
      <c r="F97" s="17" t="s">
        <v>164</v>
      </c>
      <c r="G97" s="185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</row>
    <row r="98" spans="1:18" ht="15" customHeight="1" x14ac:dyDescent="0.3">
      <c r="A98" s="15" t="s">
        <v>162</v>
      </c>
      <c r="B98" s="15" t="s">
        <v>165</v>
      </c>
      <c r="C98" s="16">
        <v>0.27430555555555552</v>
      </c>
      <c r="D98" s="15" t="s">
        <v>63</v>
      </c>
      <c r="E98" s="15" t="s">
        <v>85</v>
      </c>
      <c r="F98" s="15" t="s">
        <v>166</v>
      </c>
      <c r="G98" s="185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</row>
    <row r="99" spans="1:18" ht="15" customHeight="1" x14ac:dyDescent="0.3">
      <c r="A99" s="17" t="s">
        <v>80</v>
      </c>
      <c r="B99" s="17" t="s">
        <v>81</v>
      </c>
      <c r="C99" s="18">
        <v>0.22222222222222221</v>
      </c>
      <c r="D99" s="17" t="s">
        <v>82</v>
      </c>
      <c r="E99" s="17" t="s">
        <v>64</v>
      </c>
      <c r="F99" s="17" t="s">
        <v>83</v>
      </c>
      <c r="G99" s="185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</row>
    <row r="100" spans="1:18" ht="15" customHeight="1" x14ac:dyDescent="0.3">
      <c r="A100" s="15" t="s">
        <v>80</v>
      </c>
      <c r="B100" s="15" t="s">
        <v>167</v>
      </c>
      <c r="C100" s="16">
        <v>0.97569444444444453</v>
      </c>
      <c r="D100" s="15" t="s">
        <v>82</v>
      </c>
      <c r="E100" s="15" t="s">
        <v>85</v>
      </c>
      <c r="F100" s="15" t="s">
        <v>86</v>
      </c>
      <c r="G100" s="185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</row>
    <row r="101" spans="1:18" ht="15" customHeight="1" x14ac:dyDescent="0.3">
      <c r="A101" s="15" t="s">
        <v>80</v>
      </c>
      <c r="B101" s="15" t="s">
        <v>168</v>
      </c>
      <c r="C101" s="16">
        <v>0.4861111111111111</v>
      </c>
      <c r="D101" s="15" t="s">
        <v>82</v>
      </c>
      <c r="E101" s="15" t="s">
        <v>85</v>
      </c>
      <c r="F101" s="15" t="s">
        <v>169</v>
      </c>
      <c r="G101" s="185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</row>
    <row r="102" spans="1:18" ht="15" customHeight="1" x14ac:dyDescent="0.3">
      <c r="A102" s="15" t="s">
        <v>80</v>
      </c>
      <c r="B102" s="15" t="s">
        <v>84</v>
      </c>
      <c r="C102" s="16">
        <v>0.2638888888888889</v>
      </c>
      <c r="D102" s="15" t="s">
        <v>82</v>
      </c>
      <c r="E102" s="15" t="s">
        <v>85</v>
      </c>
      <c r="F102" s="15" t="s">
        <v>169</v>
      </c>
      <c r="G102" s="185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</row>
    <row r="103" spans="1:18" ht="15" customHeight="1" x14ac:dyDescent="0.3">
      <c r="A103" s="15" t="s">
        <v>80</v>
      </c>
      <c r="B103" s="15" t="s">
        <v>89</v>
      </c>
      <c r="C103" s="16">
        <v>0.14583333333333329</v>
      </c>
      <c r="D103" s="15" t="s">
        <v>82</v>
      </c>
      <c r="E103" s="15" t="s">
        <v>90</v>
      </c>
      <c r="F103" s="15" t="s">
        <v>91</v>
      </c>
      <c r="G103" s="185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</row>
    <row r="104" spans="1:18" ht="15" customHeight="1" x14ac:dyDescent="0.3">
      <c r="A104" s="15" t="s">
        <v>80</v>
      </c>
      <c r="B104" s="15" t="s">
        <v>93</v>
      </c>
      <c r="C104" s="16">
        <v>0.77430555555555547</v>
      </c>
      <c r="D104" s="15" t="s">
        <v>82</v>
      </c>
      <c r="E104" s="15" t="s">
        <v>85</v>
      </c>
      <c r="F104" s="15" t="s">
        <v>91</v>
      </c>
      <c r="G104" s="185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</row>
    <row r="105" spans="1:18" ht="15" customHeight="1" x14ac:dyDescent="0.3">
      <c r="A105" s="17" t="s">
        <v>95</v>
      </c>
      <c r="B105" s="17" t="s">
        <v>103</v>
      </c>
      <c r="C105" s="18">
        <v>6.9444444444444441E-3</v>
      </c>
      <c r="D105" s="17" t="s">
        <v>97</v>
      </c>
      <c r="E105" s="17" t="s">
        <v>64</v>
      </c>
      <c r="F105" s="17" t="s">
        <v>170</v>
      </c>
      <c r="G105" s="185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</row>
    <row r="106" spans="1:18" ht="15" customHeight="1" x14ac:dyDescent="0.3">
      <c r="A106" s="48" t="s">
        <v>95</v>
      </c>
      <c r="B106" s="48" t="s">
        <v>103</v>
      </c>
      <c r="C106" s="49">
        <v>6.9444444444444441E-3</v>
      </c>
      <c r="D106" s="48" t="s">
        <v>99</v>
      </c>
      <c r="E106" s="48" t="s">
        <v>100</v>
      </c>
      <c r="F106" s="48" t="s">
        <v>171</v>
      </c>
      <c r="G106" s="185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</row>
    <row r="107" spans="1:18" ht="15" customHeight="1" x14ac:dyDescent="0.3">
      <c r="A107" s="15" t="s">
        <v>95</v>
      </c>
      <c r="B107" s="15" t="s">
        <v>104</v>
      </c>
      <c r="C107" s="16">
        <v>0.1423611111111111</v>
      </c>
      <c r="D107" s="15" t="s">
        <v>97</v>
      </c>
      <c r="E107" s="15" t="s">
        <v>85</v>
      </c>
      <c r="F107" s="15" t="s">
        <v>170</v>
      </c>
      <c r="G107" s="185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</row>
    <row r="108" spans="1:18" ht="15" customHeight="1" x14ac:dyDescent="0.3">
      <c r="A108" s="48" t="s">
        <v>95</v>
      </c>
      <c r="B108" s="48" t="s">
        <v>104</v>
      </c>
      <c r="C108" s="49">
        <v>0.1423611111111111</v>
      </c>
      <c r="D108" s="48" t="s">
        <v>99</v>
      </c>
      <c r="E108" s="48" t="s">
        <v>100</v>
      </c>
      <c r="F108" s="48" t="s">
        <v>171</v>
      </c>
      <c r="G108" s="185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x14ac:dyDescent="0.3">
      <c r="A109" s="15" t="s">
        <v>95</v>
      </c>
      <c r="B109" s="15" t="s">
        <v>105</v>
      </c>
      <c r="C109" s="16">
        <v>0.93055555555555547</v>
      </c>
      <c r="D109" s="15" t="s">
        <v>97</v>
      </c>
      <c r="E109" s="15" t="s">
        <v>50</v>
      </c>
      <c r="F109" s="15" t="s">
        <v>170</v>
      </c>
      <c r="G109" s="185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</row>
    <row r="110" spans="1:18" ht="15" customHeight="1" x14ac:dyDescent="0.3">
      <c r="A110" s="48" t="s">
        <v>95</v>
      </c>
      <c r="B110" s="48" t="s">
        <v>105</v>
      </c>
      <c r="C110" s="49">
        <v>0.93055555555555547</v>
      </c>
      <c r="D110" s="48" t="s">
        <v>99</v>
      </c>
      <c r="E110" s="48" t="s">
        <v>172</v>
      </c>
      <c r="F110" s="48" t="s">
        <v>171</v>
      </c>
      <c r="G110" s="185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</row>
    <row r="111" spans="1:18" ht="15" customHeight="1" x14ac:dyDescent="0.3">
      <c r="A111" s="15" t="s">
        <v>95</v>
      </c>
      <c r="B111" s="15" t="s">
        <v>116</v>
      </c>
      <c r="C111" s="16">
        <v>0.88888888888888884</v>
      </c>
      <c r="D111" s="15" t="s">
        <v>99</v>
      </c>
      <c r="E111" s="15" t="s">
        <v>52</v>
      </c>
      <c r="F111" s="15" t="s">
        <v>173</v>
      </c>
      <c r="G111" s="185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</row>
    <row r="112" spans="1:18" ht="15" customHeight="1" x14ac:dyDescent="0.3">
      <c r="A112" s="15" t="s">
        <v>95</v>
      </c>
      <c r="B112" s="15" t="s">
        <v>109</v>
      </c>
      <c r="C112" s="16">
        <v>0.30208333333333331</v>
      </c>
      <c r="D112" s="15" t="s">
        <v>99</v>
      </c>
      <c r="E112" s="15" t="s">
        <v>52</v>
      </c>
      <c r="F112" s="15" t="s">
        <v>110</v>
      </c>
      <c r="G112" s="185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</row>
    <row r="113" spans="1:18" ht="15" customHeight="1" x14ac:dyDescent="0.3">
      <c r="A113" s="15" t="s">
        <v>95</v>
      </c>
      <c r="B113" s="15" t="s">
        <v>111</v>
      </c>
      <c r="C113" s="16">
        <v>0.12847222222222221</v>
      </c>
      <c r="D113" s="15" t="s">
        <v>99</v>
      </c>
      <c r="E113" s="15" t="s">
        <v>52</v>
      </c>
      <c r="F113" s="15" t="s">
        <v>110</v>
      </c>
      <c r="G113" s="185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</row>
    <row r="114" spans="1:18" ht="15" customHeight="1" x14ac:dyDescent="0.3">
      <c r="A114" s="15" t="s">
        <v>95</v>
      </c>
      <c r="B114" s="15" t="s">
        <v>118</v>
      </c>
      <c r="C114" s="16">
        <v>0.78819444444444453</v>
      </c>
      <c r="D114" s="15" t="s">
        <v>99</v>
      </c>
      <c r="E114" s="15" t="s">
        <v>52</v>
      </c>
      <c r="F114" s="15" t="s">
        <v>110</v>
      </c>
      <c r="G114" s="185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</row>
    <row r="115" spans="1:18" ht="15" customHeight="1" x14ac:dyDescent="0.3">
      <c r="A115" s="15" t="s">
        <v>95</v>
      </c>
      <c r="B115" s="15" t="s">
        <v>96</v>
      </c>
      <c r="C115" s="16">
        <v>0.37847222222222232</v>
      </c>
      <c r="D115" s="15" t="s">
        <v>97</v>
      </c>
      <c r="E115" s="15" t="s">
        <v>47</v>
      </c>
      <c r="F115" s="15" t="s">
        <v>174</v>
      </c>
      <c r="G115" s="185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</row>
    <row r="116" spans="1:18" ht="15" customHeight="1" x14ac:dyDescent="0.3">
      <c r="A116" s="48" t="s">
        <v>95</v>
      </c>
      <c r="B116" s="48" t="s">
        <v>96</v>
      </c>
      <c r="C116" s="49">
        <v>0.37847222222222232</v>
      </c>
      <c r="D116" s="48" t="s">
        <v>99</v>
      </c>
      <c r="E116" s="48" t="s">
        <v>122</v>
      </c>
      <c r="F116" s="48" t="s">
        <v>175</v>
      </c>
      <c r="G116" s="185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</row>
    <row r="117" spans="1:18" ht="15" customHeight="1" x14ac:dyDescent="0.3">
      <c r="A117" s="15" t="s">
        <v>95</v>
      </c>
      <c r="B117" s="15" t="s">
        <v>112</v>
      </c>
      <c r="C117" s="16">
        <v>0.61111111111111105</v>
      </c>
      <c r="D117" s="15" t="s">
        <v>97</v>
      </c>
      <c r="E117" s="15" t="s">
        <v>85</v>
      </c>
      <c r="F117" s="15" t="s">
        <v>174</v>
      </c>
      <c r="G117" s="185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</row>
    <row r="118" spans="1:18" ht="15" customHeight="1" x14ac:dyDescent="0.3">
      <c r="A118" s="48" t="s">
        <v>95</v>
      </c>
      <c r="B118" s="48" t="s">
        <v>112</v>
      </c>
      <c r="C118" s="49">
        <v>0.61111111111111105</v>
      </c>
      <c r="D118" s="48" t="s">
        <v>99</v>
      </c>
      <c r="E118" s="48" t="s">
        <v>100</v>
      </c>
      <c r="F118" s="48" t="s">
        <v>175</v>
      </c>
      <c r="G118" s="185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</row>
    <row r="119" spans="1:18" ht="15" customHeight="1" x14ac:dyDescent="0.3">
      <c r="A119" s="15" t="s">
        <v>95</v>
      </c>
      <c r="B119" s="15" t="s">
        <v>106</v>
      </c>
      <c r="C119" s="16">
        <v>0.23958333333333329</v>
      </c>
      <c r="D119" s="15" t="s">
        <v>97</v>
      </c>
      <c r="E119" s="15" t="s">
        <v>176</v>
      </c>
      <c r="F119" s="15" t="s">
        <v>174</v>
      </c>
      <c r="G119" s="185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</row>
    <row r="120" spans="1:18" ht="15" customHeight="1" x14ac:dyDescent="0.3">
      <c r="A120" s="48" t="s">
        <v>95</v>
      </c>
      <c r="B120" s="48" t="s">
        <v>106</v>
      </c>
      <c r="C120" s="49">
        <v>0.23958333333333329</v>
      </c>
      <c r="D120" s="48" t="s">
        <v>99</v>
      </c>
      <c r="E120" s="48" t="s">
        <v>177</v>
      </c>
      <c r="F120" s="48" t="s">
        <v>175</v>
      </c>
      <c r="G120" s="185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</row>
    <row r="121" spans="1:18" ht="15" customHeight="1" x14ac:dyDescent="0.3">
      <c r="A121" s="15" t="s">
        <v>95</v>
      </c>
      <c r="B121" s="15" t="s">
        <v>115</v>
      </c>
      <c r="C121" s="16">
        <v>0.82986111111111116</v>
      </c>
      <c r="D121" s="15" t="s">
        <v>97</v>
      </c>
      <c r="E121" s="15" t="s">
        <v>85</v>
      </c>
      <c r="F121" s="15" t="s">
        <v>174</v>
      </c>
      <c r="G121" s="185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</row>
    <row r="122" spans="1:18" ht="15" customHeight="1" thickBot="1" x14ac:dyDescent="0.35">
      <c r="A122" s="90" t="s">
        <v>95</v>
      </c>
      <c r="B122" s="90" t="s">
        <v>115</v>
      </c>
      <c r="C122" s="91">
        <v>0.82986111111111116</v>
      </c>
      <c r="D122" s="90" t="s">
        <v>99</v>
      </c>
      <c r="E122" s="90" t="s">
        <v>100</v>
      </c>
      <c r="F122" s="90" t="s">
        <v>175</v>
      </c>
      <c r="G122" s="186"/>
      <c r="H122" s="52"/>
      <c r="I122" s="53"/>
      <c r="J122" s="53"/>
      <c r="K122" s="53"/>
      <c r="L122" s="53"/>
      <c r="M122" s="53"/>
      <c r="N122" s="53"/>
      <c r="O122" s="54"/>
      <c r="P122" s="53"/>
      <c r="Q122" s="55"/>
      <c r="R122" s="56"/>
    </row>
    <row r="123" spans="1:18" ht="17.399999999999999" customHeight="1" thickBot="1" x14ac:dyDescent="0.35">
      <c r="A123" s="219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1"/>
    </row>
    <row r="124" spans="1:18" ht="22.05" customHeight="1" thickTop="1" thickBot="1" x14ac:dyDescent="0.35">
      <c r="A124" s="190" t="s">
        <v>6</v>
      </c>
      <c r="B124" s="191"/>
      <c r="C124" s="191"/>
      <c r="D124" s="191"/>
      <c r="E124" s="191"/>
      <c r="F124" s="192"/>
      <c r="G124" s="57">
        <v>45985</v>
      </c>
      <c r="H124" s="194" t="s">
        <v>7</v>
      </c>
      <c r="I124" s="191"/>
      <c r="J124" s="191"/>
      <c r="K124" s="191"/>
      <c r="L124" s="191"/>
      <c r="M124" s="191"/>
      <c r="N124" s="191"/>
      <c r="O124" s="191"/>
      <c r="P124" s="191"/>
      <c r="Q124" s="191"/>
      <c r="R124" s="192"/>
    </row>
    <row r="125" spans="1:18" ht="24" customHeight="1" x14ac:dyDescent="0.3">
      <c r="A125" s="58" t="s">
        <v>8</v>
      </c>
      <c r="B125" s="58" t="s">
        <v>9</v>
      </c>
      <c r="C125" s="59" t="s">
        <v>10</v>
      </c>
      <c r="D125" s="58" t="s">
        <v>11</v>
      </c>
      <c r="E125" s="58" t="s">
        <v>12</v>
      </c>
      <c r="F125" s="60" t="s">
        <v>13</v>
      </c>
      <c r="G125" s="61" t="s">
        <v>14</v>
      </c>
      <c r="H125" s="58" t="s">
        <v>15</v>
      </c>
      <c r="I125" s="62" t="s">
        <v>16</v>
      </c>
      <c r="J125" s="63" t="s">
        <v>17</v>
      </c>
      <c r="K125" s="64" t="s">
        <v>18</v>
      </c>
      <c r="L125" s="63" t="s">
        <v>19</v>
      </c>
      <c r="M125" s="63" t="s">
        <v>20</v>
      </c>
      <c r="N125" s="63" t="s">
        <v>21</v>
      </c>
      <c r="O125" s="58" t="s">
        <v>22</v>
      </c>
      <c r="P125" s="59" t="s">
        <v>23</v>
      </c>
      <c r="Q125" s="63" t="s">
        <v>24</v>
      </c>
      <c r="R125" s="58" t="s">
        <v>25</v>
      </c>
    </row>
    <row r="126" spans="1:18" ht="15" customHeight="1" x14ac:dyDescent="0.3">
      <c r="A126" s="8" t="s">
        <v>26</v>
      </c>
      <c r="B126" s="8" t="s">
        <v>27</v>
      </c>
      <c r="C126" s="9">
        <v>0.12847222222222221</v>
      </c>
      <c r="D126" s="8" t="s">
        <v>119</v>
      </c>
      <c r="E126" s="8" t="s">
        <v>178</v>
      </c>
      <c r="F126" s="8" t="s">
        <v>179</v>
      </c>
      <c r="G126" s="184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</row>
    <row r="127" spans="1:18" ht="15" customHeight="1" x14ac:dyDescent="0.3">
      <c r="A127" s="48" t="s">
        <v>26</v>
      </c>
      <c r="B127" s="48" t="s">
        <v>27</v>
      </c>
      <c r="C127" s="49">
        <v>0.12847222222222221</v>
      </c>
      <c r="D127" s="48" t="s">
        <v>121</v>
      </c>
      <c r="E127" s="48" t="s">
        <v>180</v>
      </c>
      <c r="F127" s="48" t="s">
        <v>181</v>
      </c>
      <c r="G127" s="185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</row>
    <row r="128" spans="1:18" ht="15" customHeight="1" x14ac:dyDescent="0.3">
      <c r="A128" s="48" t="s">
        <v>26</v>
      </c>
      <c r="B128" s="48" t="s">
        <v>27</v>
      </c>
      <c r="C128" s="49">
        <v>0.12847222222222221</v>
      </c>
      <c r="D128" s="48" t="s">
        <v>123</v>
      </c>
      <c r="E128" s="48" t="s">
        <v>180</v>
      </c>
      <c r="F128" s="48" t="s">
        <v>124</v>
      </c>
      <c r="G128" s="185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</row>
    <row r="129" spans="1:18" ht="15" customHeight="1" x14ac:dyDescent="0.3">
      <c r="A129" s="15" t="s">
        <v>26</v>
      </c>
      <c r="B129" s="15" t="s">
        <v>31</v>
      </c>
      <c r="C129" s="16">
        <v>0.30208333333333331</v>
      </c>
      <c r="D129" s="15" t="s">
        <v>119</v>
      </c>
      <c r="E129" s="15" t="s">
        <v>182</v>
      </c>
      <c r="F129" s="15" t="s">
        <v>183</v>
      </c>
      <c r="G129" s="185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</row>
    <row r="130" spans="1:18" ht="15" customHeight="1" x14ac:dyDescent="0.3">
      <c r="A130" s="48" t="s">
        <v>26</v>
      </c>
      <c r="B130" s="48" t="s">
        <v>31</v>
      </c>
      <c r="C130" s="49">
        <v>0.30208333333333331</v>
      </c>
      <c r="D130" s="48" t="s">
        <v>121</v>
      </c>
      <c r="E130" s="48" t="s">
        <v>180</v>
      </c>
      <c r="F130" s="48" t="s">
        <v>184</v>
      </c>
      <c r="G130" s="185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</row>
    <row r="131" spans="1:18" ht="15" customHeight="1" x14ac:dyDescent="0.3">
      <c r="A131" s="48" t="s">
        <v>26</v>
      </c>
      <c r="B131" s="48" t="s">
        <v>31</v>
      </c>
      <c r="C131" s="49">
        <v>0.30208333333333331</v>
      </c>
      <c r="D131" s="48" t="s">
        <v>123</v>
      </c>
      <c r="E131" s="48" t="s">
        <v>180</v>
      </c>
      <c r="F131" s="48" t="s">
        <v>124</v>
      </c>
      <c r="G131" s="185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</row>
    <row r="132" spans="1:18" ht="15" customHeight="1" x14ac:dyDescent="0.3">
      <c r="A132" s="15" t="s">
        <v>26</v>
      </c>
      <c r="B132" s="15" t="s">
        <v>34</v>
      </c>
      <c r="C132" s="16">
        <v>0.88888888888888884</v>
      </c>
      <c r="D132" s="15" t="s">
        <v>119</v>
      </c>
      <c r="E132" s="15" t="s">
        <v>32</v>
      </c>
      <c r="F132" s="15" t="s">
        <v>183</v>
      </c>
      <c r="G132" s="185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</row>
    <row r="133" spans="1:18" ht="15" customHeight="1" x14ac:dyDescent="0.3">
      <c r="A133" s="48" t="s">
        <v>26</v>
      </c>
      <c r="B133" s="48" t="s">
        <v>34</v>
      </c>
      <c r="C133" s="49">
        <v>0.88888888888888884</v>
      </c>
      <c r="D133" s="48" t="s">
        <v>121</v>
      </c>
      <c r="E133" s="48" t="s">
        <v>125</v>
      </c>
      <c r="F133" s="48" t="s">
        <v>184</v>
      </c>
      <c r="G133" s="185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</row>
    <row r="134" spans="1:18" ht="15" customHeight="1" x14ac:dyDescent="0.3">
      <c r="A134" s="48" t="s">
        <v>26</v>
      </c>
      <c r="B134" s="48" t="s">
        <v>34</v>
      </c>
      <c r="C134" s="49">
        <v>0.88888888888888884</v>
      </c>
      <c r="D134" s="48" t="s">
        <v>123</v>
      </c>
      <c r="E134" s="48" t="s">
        <v>125</v>
      </c>
      <c r="F134" s="48" t="s">
        <v>124</v>
      </c>
      <c r="G134" s="185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</row>
    <row r="135" spans="1:18" ht="15" customHeight="1" x14ac:dyDescent="0.3">
      <c r="A135" s="15" t="s">
        <v>26</v>
      </c>
      <c r="B135" s="15" t="s">
        <v>36</v>
      </c>
      <c r="C135" s="16">
        <v>0.78819444444444453</v>
      </c>
      <c r="D135" s="15" t="s">
        <v>119</v>
      </c>
      <c r="E135" s="15" t="s">
        <v>182</v>
      </c>
      <c r="F135" s="15" t="s">
        <v>38</v>
      </c>
      <c r="G135" s="185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</row>
    <row r="136" spans="1:18" ht="15" customHeight="1" x14ac:dyDescent="0.3">
      <c r="A136" s="48" t="s">
        <v>26</v>
      </c>
      <c r="B136" s="48" t="s">
        <v>36</v>
      </c>
      <c r="C136" s="49">
        <v>0.78819444444444453</v>
      </c>
      <c r="D136" s="48" t="s">
        <v>121</v>
      </c>
      <c r="E136" s="48" t="s">
        <v>180</v>
      </c>
      <c r="F136" s="48" t="s">
        <v>185</v>
      </c>
      <c r="G136" s="185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</row>
    <row r="137" spans="1:18" ht="15" customHeight="1" x14ac:dyDescent="0.3">
      <c r="A137" s="48" t="s">
        <v>26</v>
      </c>
      <c r="B137" s="48" t="s">
        <v>36</v>
      </c>
      <c r="C137" s="49">
        <v>0.78819444444444453</v>
      </c>
      <c r="D137" s="48" t="s">
        <v>123</v>
      </c>
      <c r="E137" s="48" t="s">
        <v>180</v>
      </c>
      <c r="F137" s="48" t="s">
        <v>124</v>
      </c>
      <c r="G137" s="185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</row>
    <row r="138" spans="1:18" ht="15" customHeight="1" x14ac:dyDescent="0.3">
      <c r="A138" s="17" t="s">
        <v>39</v>
      </c>
      <c r="B138" s="17" t="s">
        <v>53</v>
      </c>
      <c r="C138" s="18">
        <v>0.25694444444444448</v>
      </c>
      <c r="D138" s="17" t="s">
        <v>149</v>
      </c>
      <c r="E138" s="17" t="s">
        <v>186</v>
      </c>
      <c r="F138" s="17" t="s">
        <v>187</v>
      </c>
      <c r="G138" s="185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</row>
    <row r="139" spans="1:18" ht="15" customHeight="1" x14ac:dyDescent="0.3">
      <c r="A139" s="48" t="s">
        <v>39</v>
      </c>
      <c r="B139" s="48" t="s">
        <v>53</v>
      </c>
      <c r="C139" s="49">
        <v>0.25694444444444448</v>
      </c>
      <c r="D139" s="48" t="s">
        <v>150</v>
      </c>
      <c r="E139" s="48" t="s">
        <v>172</v>
      </c>
      <c r="F139" s="48" t="s">
        <v>181</v>
      </c>
      <c r="G139" s="185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</row>
    <row r="140" spans="1:18" ht="15" customHeight="1" x14ac:dyDescent="0.3">
      <c r="A140" s="48" t="s">
        <v>39</v>
      </c>
      <c r="B140" s="48" t="s">
        <v>53</v>
      </c>
      <c r="C140" s="49">
        <v>0.25694444444444448</v>
      </c>
      <c r="D140" s="48" t="s">
        <v>151</v>
      </c>
      <c r="E140" s="48" t="s">
        <v>172</v>
      </c>
      <c r="F140" s="48" t="s">
        <v>188</v>
      </c>
      <c r="G140" s="185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</row>
    <row r="141" spans="1:18" ht="15" customHeight="1" x14ac:dyDescent="0.3">
      <c r="A141" s="15" t="s">
        <v>39</v>
      </c>
      <c r="B141" s="15" t="s">
        <v>40</v>
      </c>
      <c r="C141" s="16">
        <v>0.90277777777777779</v>
      </c>
      <c r="D141" s="15" t="s">
        <v>149</v>
      </c>
      <c r="E141" s="15" t="s">
        <v>32</v>
      </c>
      <c r="F141" s="15" t="s">
        <v>187</v>
      </c>
      <c r="G141" s="185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</row>
    <row r="142" spans="1:18" ht="15" customHeight="1" x14ac:dyDescent="0.3">
      <c r="A142" s="48" t="s">
        <v>39</v>
      </c>
      <c r="B142" s="48" t="s">
        <v>40</v>
      </c>
      <c r="C142" s="49">
        <v>0.90277777777777779</v>
      </c>
      <c r="D142" s="48" t="s">
        <v>150</v>
      </c>
      <c r="E142" s="48" t="s">
        <v>125</v>
      </c>
      <c r="F142" s="48" t="s">
        <v>181</v>
      </c>
      <c r="G142" s="185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</row>
    <row r="143" spans="1:18" ht="15" customHeight="1" x14ac:dyDescent="0.3">
      <c r="A143" s="48" t="s">
        <v>39</v>
      </c>
      <c r="B143" s="48" t="s">
        <v>40</v>
      </c>
      <c r="C143" s="49">
        <v>0.90277777777777779</v>
      </c>
      <c r="D143" s="48" t="s">
        <v>151</v>
      </c>
      <c r="E143" s="48" t="s">
        <v>125</v>
      </c>
      <c r="F143" s="48" t="s">
        <v>188</v>
      </c>
      <c r="G143" s="185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</row>
    <row r="144" spans="1:18" ht="15" customHeight="1" x14ac:dyDescent="0.3">
      <c r="A144" s="15" t="s">
        <v>39</v>
      </c>
      <c r="B144" s="15" t="s">
        <v>44</v>
      </c>
      <c r="C144" s="16">
        <v>0.64583333333333337</v>
      </c>
      <c r="D144" s="15" t="s">
        <v>149</v>
      </c>
      <c r="E144" s="15" t="s">
        <v>90</v>
      </c>
      <c r="F144" s="15" t="s">
        <v>187</v>
      </c>
      <c r="G144" s="185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</row>
    <row r="145" spans="1:18" ht="15" customHeight="1" x14ac:dyDescent="0.3">
      <c r="A145" s="48" t="s">
        <v>39</v>
      </c>
      <c r="B145" s="48" t="s">
        <v>44</v>
      </c>
      <c r="C145" s="49">
        <v>0.64583333333333337</v>
      </c>
      <c r="D145" s="48" t="s">
        <v>150</v>
      </c>
      <c r="E145" s="48" t="s">
        <v>189</v>
      </c>
      <c r="F145" s="48" t="s">
        <v>181</v>
      </c>
      <c r="G145" s="185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</row>
    <row r="146" spans="1:18" ht="15" customHeight="1" x14ac:dyDescent="0.3">
      <c r="A146" s="48" t="s">
        <v>39</v>
      </c>
      <c r="B146" s="48" t="s">
        <v>44</v>
      </c>
      <c r="C146" s="49">
        <v>0.64583333333333337</v>
      </c>
      <c r="D146" s="48" t="s">
        <v>151</v>
      </c>
      <c r="E146" s="48" t="s">
        <v>189</v>
      </c>
      <c r="F146" s="48" t="s">
        <v>188</v>
      </c>
      <c r="G146" s="185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</row>
    <row r="147" spans="1:18" ht="15" customHeight="1" x14ac:dyDescent="0.3">
      <c r="A147" s="15" t="s">
        <v>39</v>
      </c>
      <c r="B147" s="15" t="s">
        <v>46</v>
      </c>
      <c r="C147" s="16">
        <v>0.51736111111111105</v>
      </c>
      <c r="D147" s="15" t="s">
        <v>149</v>
      </c>
      <c r="E147" s="15" t="s">
        <v>176</v>
      </c>
      <c r="F147" s="15" t="s">
        <v>187</v>
      </c>
      <c r="G147" s="185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</row>
    <row r="148" spans="1:18" ht="15" customHeight="1" x14ac:dyDescent="0.3">
      <c r="A148" s="48" t="s">
        <v>39</v>
      </c>
      <c r="B148" s="48" t="s">
        <v>46</v>
      </c>
      <c r="C148" s="49">
        <v>0.51736111111111105</v>
      </c>
      <c r="D148" s="48" t="s">
        <v>150</v>
      </c>
      <c r="E148" s="48" t="s">
        <v>177</v>
      </c>
      <c r="F148" s="48" t="s">
        <v>181</v>
      </c>
      <c r="G148" s="185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</row>
    <row r="149" spans="1:18" ht="15" customHeight="1" x14ac:dyDescent="0.3">
      <c r="A149" s="48" t="s">
        <v>39</v>
      </c>
      <c r="B149" s="48" t="s">
        <v>46</v>
      </c>
      <c r="C149" s="49">
        <v>0.51736111111111105</v>
      </c>
      <c r="D149" s="48" t="s">
        <v>151</v>
      </c>
      <c r="E149" s="48" t="s">
        <v>177</v>
      </c>
      <c r="F149" s="48" t="s">
        <v>188</v>
      </c>
      <c r="G149" s="185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</row>
    <row r="150" spans="1:18" ht="15" customHeight="1" x14ac:dyDescent="0.3">
      <c r="A150" s="15" t="s">
        <v>39</v>
      </c>
      <c r="B150" s="15" t="s">
        <v>51</v>
      </c>
      <c r="C150" s="16">
        <v>0.79861111111111116</v>
      </c>
      <c r="D150" s="15" t="s">
        <v>149</v>
      </c>
      <c r="E150" s="15" t="s">
        <v>60</v>
      </c>
      <c r="F150" s="15" t="s">
        <v>187</v>
      </c>
      <c r="G150" s="185"/>
      <c r="H150" s="10"/>
      <c r="I150" s="11"/>
      <c r="J150" s="11"/>
      <c r="K150" s="11"/>
      <c r="L150" s="11"/>
      <c r="M150" s="11"/>
      <c r="N150" s="11"/>
      <c r="O150" s="12"/>
      <c r="P150" s="11"/>
      <c r="Q150" s="13"/>
      <c r="R150" s="14"/>
    </row>
    <row r="151" spans="1:18" ht="15" customHeight="1" x14ac:dyDescent="0.3">
      <c r="A151" s="48" t="s">
        <v>39</v>
      </c>
      <c r="B151" s="48" t="s">
        <v>51</v>
      </c>
      <c r="C151" s="49">
        <v>0.79861111111111116</v>
      </c>
      <c r="D151" s="48" t="s">
        <v>150</v>
      </c>
      <c r="E151" s="48" t="s">
        <v>128</v>
      </c>
      <c r="F151" s="48" t="s">
        <v>181</v>
      </c>
      <c r="G151" s="185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</row>
    <row r="152" spans="1:18" ht="15" customHeight="1" x14ac:dyDescent="0.3">
      <c r="A152" s="48" t="s">
        <v>39</v>
      </c>
      <c r="B152" s="48" t="s">
        <v>51</v>
      </c>
      <c r="C152" s="49">
        <v>0.79861111111111116</v>
      </c>
      <c r="D152" s="48" t="s">
        <v>151</v>
      </c>
      <c r="E152" s="48" t="s">
        <v>128</v>
      </c>
      <c r="F152" s="48" t="s">
        <v>188</v>
      </c>
      <c r="G152" s="185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</row>
    <row r="153" spans="1:18" ht="15" customHeight="1" x14ac:dyDescent="0.3">
      <c r="A153" s="15" t="s">
        <v>39</v>
      </c>
      <c r="B153" s="15" t="s">
        <v>48</v>
      </c>
      <c r="C153" s="16">
        <v>0.85416666666666663</v>
      </c>
      <c r="D153" s="15" t="s">
        <v>149</v>
      </c>
      <c r="E153" s="15" t="s">
        <v>60</v>
      </c>
      <c r="F153" s="15" t="s">
        <v>190</v>
      </c>
      <c r="G153" s="185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</row>
    <row r="154" spans="1:18" ht="15" customHeight="1" x14ac:dyDescent="0.3">
      <c r="A154" s="48" t="s">
        <v>39</v>
      </c>
      <c r="B154" s="48" t="s">
        <v>48</v>
      </c>
      <c r="C154" s="49">
        <v>0.85416666666666663</v>
      </c>
      <c r="D154" s="48" t="s">
        <v>150</v>
      </c>
      <c r="E154" s="48" t="s">
        <v>128</v>
      </c>
      <c r="F154" s="48" t="s">
        <v>184</v>
      </c>
      <c r="G154" s="185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</row>
    <row r="155" spans="1:18" ht="15" customHeight="1" x14ac:dyDescent="0.3">
      <c r="A155" s="48" t="s">
        <v>39</v>
      </c>
      <c r="B155" s="48" t="s">
        <v>48</v>
      </c>
      <c r="C155" s="49">
        <v>0.85416666666666663</v>
      </c>
      <c r="D155" s="48" t="s">
        <v>151</v>
      </c>
      <c r="E155" s="48" t="s">
        <v>128</v>
      </c>
      <c r="F155" s="48" t="s">
        <v>127</v>
      </c>
      <c r="G155" s="185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</row>
    <row r="156" spans="1:18" ht="15" customHeight="1" x14ac:dyDescent="0.3">
      <c r="A156" s="15" t="s">
        <v>39</v>
      </c>
      <c r="B156" s="15" t="s">
        <v>49</v>
      </c>
      <c r="C156" s="16">
        <v>0.39583333333333331</v>
      </c>
      <c r="D156" s="15" t="s">
        <v>149</v>
      </c>
      <c r="E156" s="15" t="s">
        <v>60</v>
      </c>
      <c r="F156" s="15" t="s">
        <v>190</v>
      </c>
      <c r="G156" s="185"/>
      <c r="H156" s="10"/>
      <c r="I156" s="11"/>
      <c r="J156" s="11"/>
      <c r="K156" s="11"/>
      <c r="L156" s="11"/>
      <c r="M156" s="11"/>
      <c r="N156" s="11"/>
      <c r="O156" s="12"/>
      <c r="P156" s="11"/>
      <c r="Q156" s="13"/>
      <c r="R156" s="14"/>
    </row>
    <row r="157" spans="1:18" ht="15" customHeight="1" x14ac:dyDescent="0.3">
      <c r="A157" s="48" t="s">
        <v>39</v>
      </c>
      <c r="B157" s="48" t="s">
        <v>49</v>
      </c>
      <c r="C157" s="49">
        <v>0.39583333333333331</v>
      </c>
      <c r="D157" s="48" t="s">
        <v>150</v>
      </c>
      <c r="E157" s="48" t="s">
        <v>128</v>
      </c>
      <c r="F157" s="48" t="s">
        <v>184</v>
      </c>
      <c r="G157" s="185"/>
      <c r="H157" s="10"/>
      <c r="I157" s="11"/>
      <c r="J157" s="11"/>
      <c r="K157" s="11"/>
      <c r="L157" s="11"/>
      <c r="M157" s="11"/>
      <c r="N157" s="11"/>
      <c r="O157" s="12"/>
      <c r="P157" s="11"/>
      <c r="Q157" s="13"/>
      <c r="R157" s="14"/>
    </row>
    <row r="158" spans="1:18" ht="15" customHeight="1" x14ac:dyDescent="0.3">
      <c r="A158" s="48" t="s">
        <v>39</v>
      </c>
      <c r="B158" s="48" t="s">
        <v>49</v>
      </c>
      <c r="C158" s="49">
        <v>0.39583333333333331</v>
      </c>
      <c r="D158" s="48" t="s">
        <v>151</v>
      </c>
      <c r="E158" s="48" t="s">
        <v>128</v>
      </c>
      <c r="F158" s="48" t="s">
        <v>127</v>
      </c>
      <c r="G158" s="185"/>
      <c r="H158" s="10"/>
      <c r="I158" s="11"/>
      <c r="J158" s="11"/>
      <c r="K158" s="11"/>
      <c r="L158" s="11"/>
      <c r="M158" s="11"/>
      <c r="N158" s="11"/>
      <c r="O158" s="12"/>
      <c r="P158" s="11"/>
      <c r="Q158" s="13"/>
      <c r="R158" s="14"/>
    </row>
    <row r="159" spans="1:18" ht="15" customHeight="1" x14ac:dyDescent="0.3">
      <c r="A159" s="15" t="s">
        <v>39</v>
      </c>
      <c r="B159" s="15" t="s">
        <v>153</v>
      </c>
      <c r="C159" s="16">
        <v>0.46875</v>
      </c>
      <c r="D159" s="15" t="s">
        <v>149</v>
      </c>
      <c r="E159" s="15" t="s">
        <v>60</v>
      </c>
      <c r="F159" s="15" t="s">
        <v>190</v>
      </c>
      <c r="G159" s="185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</row>
    <row r="160" spans="1:18" ht="15" customHeight="1" x14ac:dyDescent="0.3">
      <c r="A160" s="48" t="s">
        <v>39</v>
      </c>
      <c r="B160" s="48" t="s">
        <v>153</v>
      </c>
      <c r="C160" s="49">
        <v>0.46875</v>
      </c>
      <c r="D160" s="48" t="s">
        <v>150</v>
      </c>
      <c r="E160" s="48" t="s">
        <v>128</v>
      </c>
      <c r="F160" s="48" t="s">
        <v>184</v>
      </c>
      <c r="G160" s="185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</row>
    <row r="161" spans="1:18" ht="15" customHeight="1" x14ac:dyDescent="0.3">
      <c r="A161" s="48" t="s">
        <v>39</v>
      </c>
      <c r="B161" s="48" t="s">
        <v>153</v>
      </c>
      <c r="C161" s="49">
        <v>0.46875</v>
      </c>
      <c r="D161" s="48" t="s">
        <v>151</v>
      </c>
      <c r="E161" s="48" t="s">
        <v>128</v>
      </c>
      <c r="F161" s="48" t="s">
        <v>127</v>
      </c>
      <c r="G161" s="185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</row>
    <row r="162" spans="1:18" ht="15" customHeight="1" x14ac:dyDescent="0.3">
      <c r="A162" s="17" t="s">
        <v>55</v>
      </c>
      <c r="B162" s="17" t="s">
        <v>59</v>
      </c>
      <c r="C162" s="18">
        <v>0.1736111111111111</v>
      </c>
      <c r="D162" s="17" t="s">
        <v>159</v>
      </c>
      <c r="E162" s="17" t="s">
        <v>42</v>
      </c>
      <c r="F162" s="17" t="s">
        <v>191</v>
      </c>
      <c r="G162" s="185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</row>
    <row r="163" spans="1:18" ht="15" customHeight="1" x14ac:dyDescent="0.3">
      <c r="A163" s="48" t="s">
        <v>55</v>
      </c>
      <c r="B163" s="48" t="s">
        <v>59</v>
      </c>
      <c r="C163" s="49">
        <v>0.1736111111111111</v>
      </c>
      <c r="D163" s="48" t="s">
        <v>123</v>
      </c>
      <c r="E163" s="48" t="s">
        <v>128</v>
      </c>
      <c r="F163" s="48" t="s">
        <v>192</v>
      </c>
      <c r="G163" s="185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</row>
    <row r="164" spans="1:18" ht="15" customHeight="1" x14ac:dyDescent="0.3">
      <c r="A164" s="15" t="s">
        <v>55</v>
      </c>
      <c r="B164" s="15" t="s">
        <v>56</v>
      </c>
      <c r="C164" s="16">
        <v>0.3923611111111111</v>
      </c>
      <c r="D164" s="15" t="s">
        <v>159</v>
      </c>
      <c r="E164" s="15" t="s">
        <v>45</v>
      </c>
      <c r="F164" s="15" t="s">
        <v>193</v>
      </c>
      <c r="G164" s="185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</row>
    <row r="165" spans="1:18" ht="15" customHeight="1" x14ac:dyDescent="0.3">
      <c r="A165" s="48" t="s">
        <v>55</v>
      </c>
      <c r="B165" s="48" t="s">
        <v>56</v>
      </c>
      <c r="C165" s="49">
        <v>0.3923611111111111</v>
      </c>
      <c r="D165" s="48" t="s">
        <v>123</v>
      </c>
      <c r="E165" s="48" t="s">
        <v>194</v>
      </c>
      <c r="F165" s="48" t="s">
        <v>195</v>
      </c>
      <c r="G165" s="185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</row>
    <row r="166" spans="1:18" ht="15" customHeight="1" x14ac:dyDescent="0.3">
      <c r="A166" s="92" t="s">
        <v>66</v>
      </c>
      <c r="B166" s="92" t="s">
        <v>143</v>
      </c>
      <c r="C166" s="93">
        <v>0.97916666666666663</v>
      </c>
      <c r="D166" s="92" t="s">
        <v>68</v>
      </c>
      <c r="E166" s="92" t="s">
        <v>196</v>
      </c>
      <c r="F166" s="92" t="s">
        <v>131</v>
      </c>
      <c r="G166" s="185"/>
      <c r="H166" s="31" t="s">
        <v>145</v>
      </c>
      <c r="I166" s="32">
        <v>0.91620000000000001</v>
      </c>
      <c r="J166" s="33">
        <v>164</v>
      </c>
      <c r="K166" s="34">
        <v>45980</v>
      </c>
      <c r="L166" s="33">
        <v>23</v>
      </c>
      <c r="M166" s="33">
        <v>0</v>
      </c>
      <c r="N166" s="33">
        <v>8</v>
      </c>
      <c r="O166" s="35" t="s">
        <v>197</v>
      </c>
      <c r="P166" s="36">
        <v>0.97916666666666663</v>
      </c>
      <c r="Q166" s="33">
        <v>179</v>
      </c>
      <c r="R166" s="37" t="s">
        <v>198</v>
      </c>
    </row>
    <row r="167" spans="1:18" ht="15" customHeight="1" x14ac:dyDescent="0.3">
      <c r="A167" s="94" t="s">
        <v>66</v>
      </c>
      <c r="B167" s="94" t="s">
        <v>140</v>
      </c>
      <c r="C167" s="95">
        <v>0.4236111111111111</v>
      </c>
      <c r="D167" s="94" t="s">
        <v>68</v>
      </c>
      <c r="E167" s="94" t="s">
        <v>94</v>
      </c>
      <c r="F167" s="94" t="s">
        <v>131</v>
      </c>
      <c r="G167" s="185"/>
      <c r="H167" s="96" t="s">
        <v>78</v>
      </c>
      <c r="I167" s="97">
        <v>0.86029999999999995</v>
      </c>
      <c r="J167" s="98">
        <v>154</v>
      </c>
      <c r="K167" s="99">
        <v>45980</v>
      </c>
      <c r="L167" s="98">
        <v>33</v>
      </c>
      <c r="M167" s="98">
        <v>0</v>
      </c>
      <c r="N167" s="98">
        <v>10</v>
      </c>
      <c r="O167" s="100" t="s">
        <v>199</v>
      </c>
      <c r="P167" s="101">
        <v>0.4236111111111111</v>
      </c>
      <c r="Q167" s="98">
        <v>179</v>
      </c>
      <c r="R167" s="102" t="s">
        <v>200</v>
      </c>
    </row>
    <row r="168" spans="1:18" ht="15" customHeight="1" x14ac:dyDescent="0.3">
      <c r="A168" s="78" t="s">
        <v>66</v>
      </c>
      <c r="B168" s="78" t="s">
        <v>201</v>
      </c>
      <c r="C168" s="79">
        <v>6.9444444444444441E-3</v>
      </c>
      <c r="D168" s="78" t="s">
        <v>68</v>
      </c>
      <c r="E168" s="78" t="s">
        <v>52</v>
      </c>
      <c r="F168" s="78" t="s">
        <v>131</v>
      </c>
      <c r="G168" s="185"/>
      <c r="H168" s="80" t="s">
        <v>202</v>
      </c>
      <c r="I168" s="103">
        <v>0.3911</v>
      </c>
      <c r="J168" s="82">
        <v>70</v>
      </c>
      <c r="K168" s="83">
        <v>45980</v>
      </c>
      <c r="L168" s="82">
        <v>43</v>
      </c>
      <c r="M168" s="82">
        <v>0</v>
      </c>
      <c r="N168" s="82">
        <v>7</v>
      </c>
      <c r="O168" s="84" t="s">
        <v>197</v>
      </c>
      <c r="P168" s="85">
        <v>6.9444444444444441E-3</v>
      </c>
      <c r="Q168" s="82">
        <v>179</v>
      </c>
      <c r="R168" s="86" t="s">
        <v>203</v>
      </c>
    </row>
    <row r="169" spans="1:18" ht="15" customHeight="1" x14ac:dyDescent="0.3">
      <c r="A169" s="104" t="s">
        <v>66</v>
      </c>
      <c r="B169" s="104" t="s">
        <v>67</v>
      </c>
      <c r="C169" s="105">
        <v>0.61458333333333337</v>
      </c>
      <c r="D169" s="104" t="s">
        <v>68</v>
      </c>
      <c r="E169" s="104" t="s">
        <v>32</v>
      </c>
      <c r="F169" s="104" t="s">
        <v>204</v>
      </c>
      <c r="G169" s="185"/>
      <c r="H169" s="106" t="s">
        <v>70</v>
      </c>
      <c r="I169" s="107">
        <v>0.83799999999999997</v>
      </c>
      <c r="J169" s="108">
        <v>150</v>
      </c>
      <c r="K169" s="109">
        <v>45980</v>
      </c>
      <c r="L169" s="108">
        <v>32</v>
      </c>
      <c r="M169" s="108">
        <v>0</v>
      </c>
      <c r="N169" s="108">
        <v>9</v>
      </c>
      <c r="O169" s="110" t="s">
        <v>205</v>
      </c>
      <c r="P169" s="111">
        <v>0.61458333333333337</v>
      </c>
      <c r="Q169" s="108">
        <v>179</v>
      </c>
      <c r="R169" s="112" t="s">
        <v>206</v>
      </c>
    </row>
    <row r="170" spans="1:18" ht="15" customHeight="1" x14ac:dyDescent="0.3">
      <c r="A170" s="17" t="s">
        <v>162</v>
      </c>
      <c r="B170" s="17" t="s">
        <v>207</v>
      </c>
      <c r="C170" s="18">
        <v>0.20833333333333329</v>
      </c>
      <c r="D170" s="17" t="s">
        <v>63</v>
      </c>
      <c r="E170" s="17" t="s">
        <v>64</v>
      </c>
      <c r="F170" s="17" t="s">
        <v>208</v>
      </c>
      <c r="G170" s="185"/>
      <c r="H170" s="10"/>
      <c r="I170" s="11"/>
      <c r="J170" s="11"/>
      <c r="K170" s="11"/>
      <c r="L170" s="11"/>
      <c r="M170" s="11"/>
      <c r="N170" s="11"/>
      <c r="O170" s="12"/>
      <c r="P170" s="11"/>
      <c r="Q170" s="13"/>
      <c r="R170" s="14"/>
    </row>
    <row r="171" spans="1:18" ht="15" customHeight="1" x14ac:dyDescent="0.3">
      <c r="A171" s="17" t="s">
        <v>61</v>
      </c>
      <c r="B171" s="17" t="s">
        <v>62</v>
      </c>
      <c r="C171" s="18">
        <v>0.66666666666666663</v>
      </c>
      <c r="D171" s="17" t="s">
        <v>63</v>
      </c>
      <c r="E171" s="17" t="s">
        <v>209</v>
      </c>
      <c r="F171" s="17" t="s">
        <v>157</v>
      </c>
      <c r="G171" s="185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</row>
    <row r="172" spans="1:18" ht="15" customHeight="1" x14ac:dyDescent="0.3">
      <c r="A172" s="15" t="s">
        <v>61</v>
      </c>
      <c r="B172" s="15" t="s">
        <v>158</v>
      </c>
      <c r="C172" s="16">
        <v>0.3125</v>
      </c>
      <c r="D172" s="15" t="s">
        <v>63</v>
      </c>
      <c r="E172" s="15" t="s">
        <v>50</v>
      </c>
      <c r="F172" s="15" t="s">
        <v>157</v>
      </c>
      <c r="G172" s="185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</row>
    <row r="173" spans="1:18" ht="15" customHeight="1" x14ac:dyDescent="0.3">
      <c r="A173" s="17" t="s">
        <v>80</v>
      </c>
      <c r="B173" s="17" t="s">
        <v>89</v>
      </c>
      <c r="C173" s="18">
        <v>0.14583333333333329</v>
      </c>
      <c r="D173" s="17" t="s">
        <v>82</v>
      </c>
      <c r="E173" s="17" t="s">
        <v>64</v>
      </c>
      <c r="F173" s="17" t="s">
        <v>210</v>
      </c>
      <c r="G173" s="185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</row>
    <row r="174" spans="1:18" ht="15" customHeight="1" x14ac:dyDescent="0.3">
      <c r="A174" s="15" t="s">
        <v>80</v>
      </c>
      <c r="B174" s="15" t="s">
        <v>81</v>
      </c>
      <c r="C174" s="16">
        <v>0.22916666666666671</v>
      </c>
      <c r="D174" s="15" t="s">
        <v>82</v>
      </c>
      <c r="E174" s="15" t="s">
        <v>85</v>
      </c>
      <c r="F174" s="15" t="s">
        <v>210</v>
      </c>
      <c r="G174" s="185"/>
      <c r="H174" s="10"/>
      <c r="I174" s="11"/>
      <c r="J174" s="11"/>
      <c r="K174" s="11"/>
      <c r="L174" s="11"/>
      <c r="M174" s="11"/>
      <c r="N174" s="11"/>
      <c r="O174" s="12"/>
      <c r="P174" s="11"/>
      <c r="Q174" s="13"/>
      <c r="R174" s="14"/>
    </row>
    <row r="175" spans="1:18" ht="15" customHeight="1" x14ac:dyDescent="0.3">
      <c r="A175" s="15" t="s">
        <v>80</v>
      </c>
      <c r="B175" s="15" t="s">
        <v>87</v>
      </c>
      <c r="C175" s="16">
        <v>1.388888888888889E-2</v>
      </c>
      <c r="D175" s="15" t="s">
        <v>82</v>
      </c>
      <c r="E175" s="15" t="s">
        <v>85</v>
      </c>
      <c r="F175" s="15" t="s">
        <v>211</v>
      </c>
      <c r="G175" s="185"/>
      <c r="H175" s="10"/>
      <c r="I175" s="11"/>
      <c r="J175" s="11"/>
      <c r="K175" s="11"/>
      <c r="L175" s="11"/>
      <c r="M175" s="11"/>
      <c r="N175" s="11"/>
      <c r="O175" s="12"/>
      <c r="P175" s="11"/>
      <c r="Q175" s="13"/>
      <c r="R175" s="14"/>
    </row>
    <row r="176" spans="1:18" ht="15" customHeight="1" x14ac:dyDescent="0.3">
      <c r="A176" s="15" t="s">
        <v>80</v>
      </c>
      <c r="B176" s="15" t="s">
        <v>92</v>
      </c>
      <c r="C176" s="16">
        <v>0.55208333333333337</v>
      </c>
      <c r="D176" s="15" t="s">
        <v>82</v>
      </c>
      <c r="E176" s="15" t="s">
        <v>85</v>
      </c>
      <c r="F176" s="15" t="s">
        <v>211</v>
      </c>
      <c r="G176" s="185"/>
      <c r="H176" s="10"/>
      <c r="I176" s="11"/>
      <c r="J176" s="11"/>
      <c r="K176" s="11"/>
      <c r="L176" s="11"/>
      <c r="M176" s="11"/>
      <c r="N176" s="11"/>
      <c r="O176" s="12"/>
      <c r="P176" s="11"/>
      <c r="Q176" s="13"/>
      <c r="R176" s="14"/>
    </row>
    <row r="177" spans="1:18" ht="15" customHeight="1" x14ac:dyDescent="0.3">
      <c r="A177" s="15" t="s">
        <v>80</v>
      </c>
      <c r="B177" s="15" t="s">
        <v>84</v>
      </c>
      <c r="C177" s="16">
        <v>0.27777777777777779</v>
      </c>
      <c r="D177" s="15" t="s">
        <v>82</v>
      </c>
      <c r="E177" s="15" t="s">
        <v>85</v>
      </c>
      <c r="F177" s="15" t="s">
        <v>83</v>
      </c>
      <c r="G177" s="185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</row>
    <row r="178" spans="1:18" ht="15" customHeight="1" x14ac:dyDescent="0.3">
      <c r="A178" s="15" t="s">
        <v>80</v>
      </c>
      <c r="B178" s="15" t="s">
        <v>93</v>
      </c>
      <c r="C178" s="16">
        <v>0.77430555555555547</v>
      </c>
      <c r="D178" s="15" t="s">
        <v>82</v>
      </c>
      <c r="E178" s="15" t="s">
        <v>85</v>
      </c>
      <c r="F178" s="15" t="s">
        <v>212</v>
      </c>
      <c r="G178" s="185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</row>
    <row r="179" spans="1:18" ht="15" customHeight="1" x14ac:dyDescent="0.3">
      <c r="A179" s="15" t="s">
        <v>80</v>
      </c>
      <c r="B179" s="15" t="s">
        <v>167</v>
      </c>
      <c r="C179" s="16">
        <v>0.95833333333333337</v>
      </c>
      <c r="D179" s="15" t="s">
        <v>82</v>
      </c>
      <c r="E179" s="15" t="s">
        <v>32</v>
      </c>
      <c r="F179" s="15" t="s">
        <v>91</v>
      </c>
      <c r="G179" s="185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</row>
    <row r="180" spans="1:18" ht="15" customHeight="1" x14ac:dyDescent="0.3">
      <c r="A180" s="17" t="s">
        <v>95</v>
      </c>
      <c r="B180" s="17" t="s">
        <v>105</v>
      </c>
      <c r="C180" s="18">
        <v>0.93055555555555547</v>
      </c>
      <c r="D180" s="17" t="s">
        <v>97</v>
      </c>
      <c r="E180" s="17" t="s">
        <v>64</v>
      </c>
      <c r="F180" s="17" t="s">
        <v>213</v>
      </c>
      <c r="G180" s="185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</row>
    <row r="181" spans="1:18" ht="15" customHeight="1" x14ac:dyDescent="0.3">
      <c r="A181" s="48" t="s">
        <v>95</v>
      </c>
      <c r="B181" s="48" t="s">
        <v>105</v>
      </c>
      <c r="C181" s="49">
        <v>0.93055555555555547</v>
      </c>
      <c r="D181" s="48" t="s">
        <v>99</v>
      </c>
      <c r="E181" s="48" t="s">
        <v>100</v>
      </c>
      <c r="F181" s="48" t="s">
        <v>214</v>
      </c>
      <c r="G181" s="185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</row>
    <row r="182" spans="1:18" ht="15" customHeight="1" x14ac:dyDescent="0.3">
      <c r="A182" s="15" t="s">
        <v>95</v>
      </c>
      <c r="B182" s="15" t="s">
        <v>96</v>
      </c>
      <c r="C182" s="16">
        <v>0.37847222222222232</v>
      </c>
      <c r="D182" s="15" t="s">
        <v>97</v>
      </c>
      <c r="E182" s="15" t="s">
        <v>85</v>
      </c>
      <c r="F182" s="15" t="s">
        <v>170</v>
      </c>
      <c r="G182" s="185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</row>
    <row r="183" spans="1:18" ht="15" customHeight="1" x14ac:dyDescent="0.3">
      <c r="A183" s="48" t="s">
        <v>95</v>
      </c>
      <c r="B183" s="48" t="s">
        <v>96</v>
      </c>
      <c r="C183" s="49">
        <v>0.37847222222222232</v>
      </c>
      <c r="D183" s="48" t="s">
        <v>99</v>
      </c>
      <c r="E183" s="48" t="s">
        <v>100</v>
      </c>
      <c r="F183" s="48" t="s">
        <v>171</v>
      </c>
      <c r="G183" s="185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</row>
    <row r="184" spans="1:18" ht="15" customHeight="1" x14ac:dyDescent="0.3">
      <c r="A184" s="15" t="s">
        <v>95</v>
      </c>
      <c r="B184" s="15" t="s">
        <v>103</v>
      </c>
      <c r="C184" s="16">
        <v>6.9444444444444441E-3</v>
      </c>
      <c r="D184" s="15" t="s">
        <v>97</v>
      </c>
      <c r="E184" s="15" t="s">
        <v>85</v>
      </c>
      <c r="F184" s="15" t="s">
        <v>170</v>
      </c>
      <c r="G184" s="185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</row>
    <row r="185" spans="1:18" ht="15" customHeight="1" x14ac:dyDescent="0.3">
      <c r="A185" s="48" t="s">
        <v>95</v>
      </c>
      <c r="B185" s="48" t="s">
        <v>103</v>
      </c>
      <c r="C185" s="49">
        <v>6.9444444444444441E-3</v>
      </c>
      <c r="D185" s="48" t="s">
        <v>99</v>
      </c>
      <c r="E185" s="48" t="s">
        <v>100</v>
      </c>
      <c r="F185" s="48" t="s">
        <v>171</v>
      </c>
      <c r="G185" s="185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</row>
    <row r="186" spans="1:18" ht="15" customHeight="1" x14ac:dyDescent="0.3">
      <c r="A186" s="15" t="s">
        <v>95</v>
      </c>
      <c r="B186" s="15" t="s">
        <v>106</v>
      </c>
      <c r="C186" s="16">
        <v>0.23958333333333329</v>
      </c>
      <c r="D186" s="15" t="s">
        <v>97</v>
      </c>
      <c r="E186" s="15" t="s">
        <v>85</v>
      </c>
      <c r="F186" s="15" t="s">
        <v>170</v>
      </c>
      <c r="G186" s="185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</row>
    <row r="187" spans="1:18" ht="15" customHeight="1" x14ac:dyDescent="0.3">
      <c r="A187" s="48" t="s">
        <v>95</v>
      </c>
      <c r="B187" s="48" t="s">
        <v>106</v>
      </c>
      <c r="C187" s="49">
        <v>0.23958333333333329</v>
      </c>
      <c r="D187" s="48" t="s">
        <v>99</v>
      </c>
      <c r="E187" s="48" t="s">
        <v>100</v>
      </c>
      <c r="F187" s="48" t="s">
        <v>171</v>
      </c>
      <c r="G187" s="185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</row>
    <row r="188" spans="1:18" ht="15" customHeight="1" x14ac:dyDescent="0.3">
      <c r="A188" s="15" t="s">
        <v>95</v>
      </c>
      <c r="B188" s="15" t="s">
        <v>104</v>
      </c>
      <c r="C188" s="16">
        <v>0.1423611111111111</v>
      </c>
      <c r="D188" s="15" t="s">
        <v>97</v>
      </c>
      <c r="E188" s="15" t="s">
        <v>85</v>
      </c>
      <c r="F188" s="15" t="s">
        <v>170</v>
      </c>
      <c r="G188" s="185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</row>
    <row r="189" spans="1:18" ht="15" customHeight="1" x14ac:dyDescent="0.3">
      <c r="A189" s="48" t="s">
        <v>95</v>
      </c>
      <c r="B189" s="48" t="s">
        <v>104</v>
      </c>
      <c r="C189" s="49">
        <v>0.1423611111111111</v>
      </c>
      <c r="D189" s="48" t="s">
        <v>99</v>
      </c>
      <c r="E189" s="48" t="s">
        <v>100</v>
      </c>
      <c r="F189" s="48" t="s">
        <v>171</v>
      </c>
      <c r="G189" s="185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</row>
    <row r="190" spans="1:18" ht="15" customHeight="1" x14ac:dyDescent="0.3">
      <c r="A190" s="15" t="s">
        <v>95</v>
      </c>
      <c r="B190" s="15" t="s">
        <v>111</v>
      </c>
      <c r="C190" s="16">
        <v>0.12847222222222221</v>
      </c>
      <c r="D190" s="15" t="s">
        <v>99</v>
      </c>
      <c r="E190" s="15" t="s">
        <v>52</v>
      </c>
      <c r="F190" s="15" t="s">
        <v>215</v>
      </c>
      <c r="G190" s="185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</row>
    <row r="191" spans="1:18" ht="15" customHeight="1" x14ac:dyDescent="0.3">
      <c r="A191" s="15" t="s">
        <v>95</v>
      </c>
      <c r="B191" s="15" t="s">
        <v>102</v>
      </c>
      <c r="C191" s="16">
        <v>0.71875</v>
      </c>
      <c r="D191" s="15" t="s">
        <v>97</v>
      </c>
      <c r="E191" s="15" t="s">
        <v>85</v>
      </c>
      <c r="F191" s="15" t="s">
        <v>216</v>
      </c>
      <c r="G191" s="185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</row>
    <row r="192" spans="1:18" ht="15" customHeight="1" x14ac:dyDescent="0.3">
      <c r="A192" s="48" t="s">
        <v>95</v>
      </c>
      <c r="B192" s="48" t="s">
        <v>102</v>
      </c>
      <c r="C192" s="49">
        <v>0.71875</v>
      </c>
      <c r="D192" s="48" t="s">
        <v>99</v>
      </c>
      <c r="E192" s="48" t="s">
        <v>100</v>
      </c>
      <c r="F192" s="48" t="s">
        <v>217</v>
      </c>
      <c r="G192" s="185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</row>
    <row r="193" spans="1:18" ht="15" customHeight="1" x14ac:dyDescent="0.3">
      <c r="A193" s="15" t="s">
        <v>95</v>
      </c>
      <c r="B193" s="15" t="s">
        <v>112</v>
      </c>
      <c r="C193" s="16">
        <v>0.61111111111111105</v>
      </c>
      <c r="D193" s="15" t="s">
        <v>97</v>
      </c>
      <c r="E193" s="15" t="s">
        <v>85</v>
      </c>
      <c r="F193" s="15" t="s">
        <v>216</v>
      </c>
      <c r="G193" s="185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</row>
    <row r="194" spans="1:18" ht="15" customHeight="1" x14ac:dyDescent="0.3">
      <c r="A194" s="48" t="s">
        <v>95</v>
      </c>
      <c r="B194" s="48" t="s">
        <v>112</v>
      </c>
      <c r="C194" s="49">
        <v>0.61111111111111105</v>
      </c>
      <c r="D194" s="48" t="s">
        <v>99</v>
      </c>
      <c r="E194" s="48" t="s">
        <v>100</v>
      </c>
      <c r="F194" s="48" t="s">
        <v>217</v>
      </c>
      <c r="G194" s="185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</row>
    <row r="195" spans="1:18" ht="15" customHeight="1" x14ac:dyDescent="0.3">
      <c r="A195" s="15" t="s">
        <v>95</v>
      </c>
      <c r="B195" s="15" t="s">
        <v>116</v>
      </c>
      <c r="C195" s="16">
        <v>0.88888888888888884</v>
      </c>
      <c r="D195" s="15" t="s">
        <v>99</v>
      </c>
      <c r="E195" s="15" t="s">
        <v>52</v>
      </c>
      <c r="F195" s="15" t="s">
        <v>173</v>
      </c>
      <c r="G195" s="185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</row>
    <row r="196" spans="1:18" ht="15" customHeight="1" x14ac:dyDescent="0.3">
      <c r="A196" s="15" t="s">
        <v>95</v>
      </c>
      <c r="B196" s="15" t="s">
        <v>109</v>
      </c>
      <c r="C196" s="16">
        <v>0.30208333333333331</v>
      </c>
      <c r="D196" s="15" t="s">
        <v>99</v>
      </c>
      <c r="E196" s="15" t="s">
        <v>52</v>
      </c>
      <c r="F196" s="15" t="s">
        <v>173</v>
      </c>
      <c r="G196" s="185"/>
      <c r="H196" s="10"/>
      <c r="I196" s="11"/>
      <c r="J196" s="11"/>
      <c r="K196" s="11"/>
      <c r="L196" s="11"/>
      <c r="M196" s="11"/>
      <c r="N196" s="11"/>
      <c r="O196" s="12"/>
      <c r="P196" s="11"/>
      <c r="Q196" s="13"/>
      <c r="R196" s="14"/>
    </row>
    <row r="197" spans="1:18" ht="15" customHeight="1" x14ac:dyDescent="0.3">
      <c r="A197" s="15" t="s">
        <v>95</v>
      </c>
      <c r="B197" s="15" t="s">
        <v>115</v>
      </c>
      <c r="C197" s="16">
        <v>0.82986111111111116</v>
      </c>
      <c r="D197" s="15" t="s">
        <v>97</v>
      </c>
      <c r="E197" s="15" t="s">
        <v>85</v>
      </c>
      <c r="F197" s="15" t="s">
        <v>174</v>
      </c>
      <c r="G197" s="185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</row>
    <row r="198" spans="1:18" ht="15" customHeight="1" x14ac:dyDescent="0.3">
      <c r="A198" s="48" t="s">
        <v>95</v>
      </c>
      <c r="B198" s="48" t="s">
        <v>115</v>
      </c>
      <c r="C198" s="49">
        <v>0.82986111111111116</v>
      </c>
      <c r="D198" s="48" t="s">
        <v>99</v>
      </c>
      <c r="E198" s="48" t="s">
        <v>100</v>
      </c>
      <c r="F198" s="48" t="s">
        <v>175</v>
      </c>
      <c r="G198" s="185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</row>
    <row r="199" spans="1:18" ht="15" customHeight="1" thickBot="1" x14ac:dyDescent="0.35">
      <c r="A199" s="50" t="s">
        <v>95</v>
      </c>
      <c r="B199" s="50" t="s">
        <v>118</v>
      </c>
      <c r="C199" s="51">
        <v>0.78819444444444453</v>
      </c>
      <c r="D199" s="50" t="s">
        <v>99</v>
      </c>
      <c r="E199" s="50" t="s">
        <v>52</v>
      </c>
      <c r="F199" s="50" t="s">
        <v>117</v>
      </c>
      <c r="G199" s="186"/>
      <c r="H199" s="52"/>
      <c r="I199" s="53"/>
      <c r="J199" s="53"/>
      <c r="K199" s="53"/>
      <c r="L199" s="53"/>
      <c r="M199" s="53"/>
      <c r="N199" s="53"/>
      <c r="O199" s="54"/>
      <c r="P199" s="53"/>
      <c r="Q199" s="55"/>
      <c r="R199" s="56"/>
    </row>
    <row r="200" spans="1:18" ht="17.399999999999999" customHeight="1" thickBot="1" x14ac:dyDescent="0.35">
      <c r="A200" s="21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1"/>
    </row>
    <row r="201" spans="1:18" ht="22.05" customHeight="1" thickTop="1" thickBot="1" x14ac:dyDescent="0.35">
      <c r="A201" s="190" t="s">
        <v>6</v>
      </c>
      <c r="B201" s="191"/>
      <c r="C201" s="191"/>
      <c r="D201" s="191"/>
      <c r="E201" s="191"/>
      <c r="F201" s="192"/>
      <c r="G201" s="57">
        <v>45986</v>
      </c>
      <c r="H201" s="194" t="s">
        <v>7</v>
      </c>
      <c r="I201" s="191"/>
      <c r="J201" s="191"/>
      <c r="K201" s="191"/>
      <c r="L201" s="191"/>
      <c r="M201" s="191"/>
      <c r="N201" s="191"/>
      <c r="O201" s="191"/>
      <c r="P201" s="191"/>
      <c r="Q201" s="191"/>
      <c r="R201" s="192"/>
    </row>
    <row r="202" spans="1:18" ht="24" customHeight="1" x14ac:dyDescent="0.3">
      <c r="A202" s="58" t="s">
        <v>8</v>
      </c>
      <c r="B202" s="58" t="s">
        <v>9</v>
      </c>
      <c r="C202" s="59" t="s">
        <v>10</v>
      </c>
      <c r="D202" s="58" t="s">
        <v>11</v>
      </c>
      <c r="E202" s="58" t="s">
        <v>12</v>
      </c>
      <c r="F202" s="60" t="s">
        <v>13</v>
      </c>
      <c r="G202" s="61" t="s">
        <v>14</v>
      </c>
      <c r="H202" s="58" t="s">
        <v>15</v>
      </c>
      <c r="I202" s="62" t="s">
        <v>16</v>
      </c>
      <c r="J202" s="63" t="s">
        <v>17</v>
      </c>
      <c r="K202" s="64" t="s">
        <v>18</v>
      </c>
      <c r="L202" s="63" t="s">
        <v>19</v>
      </c>
      <c r="M202" s="63" t="s">
        <v>20</v>
      </c>
      <c r="N202" s="63" t="s">
        <v>21</v>
      </c>
      <c r="O202" s="58" t="s">
        <v>22</v>
      </c>
      <c r="P202" s="59" t="s">
        <v>23</v>
      </c>
      <c r="Q202" s="63" t="s">
        <v>24</v>
      </c>
      <c r="R202" s="58" t="s">
        <v>25</v>
      </c>
    </row>
    <row r="203" spans="1:18" ht="15" customHeight="1" x14ac:dyDescent="0.3">
      <c r="A203" s="8" t="s">
        <v>26</v>
      </c>
      <c r="B203" s="8" t="s">
        <v>27</v>
      </c>
      <c r="C203" s="9">
        <v>0.12847222222222221</v>
      </c>
      <c r="D203" s="8" t="s">
        <v>119</v>
      </c>
      <c r="E203" s="8" t="s">
        <v>156</v>
      </c>
      <c r="F203" s="8" t="s">
        <v>218</v>
      </c>
      <c r="G203" s="184"/>
      <c r="H203" s="10"/>
      <c r="I203" s="11"/>
      <c r="J203" s="11"/>
      <c r="K203" s="11"/>
      <c r="L203" s="11"/>
      <c r="M203" s="11"/>
      <c r="N203" s="11"/>
      <c r="O203" s="12"/>
      <c r="P203" s="11"/>
      <c r="Q203" s="13"/>
      <c r="R203" s="14"/>
    </row>
    <row r="204" spans="1:18" ht="15" customHeight="1" x14ac:dyDescent="0.3">
      <c r="A204" s="48" t="s">
        <v>26</v>
      </c>
      <c r="B204" s="48" t="s">
        <v>27</v>
      </c>
      <c r="C204" s="49">
        <v>0.12847222222222221</v>
      </c>
      <c r="D204" s="48" t="s">
        <v>121</v>
      </c>
      <c r="E204" s="48" t="s">
        <v>189</v>
      </c>
      <c r="F204" s="48" t="s">
        <v>120</v>
      </c>
      <c r="G204" s="185"/>
      <c r="H204" s="10"/>
      <c r="I204" s="11"/>
      <c r="J204" s="11"/>
      <c r="K204" s="11"/>
      <c r="L204" s="11"/>
      <c r="M204" s="11"/>
      <c r="N204" s="11"/>
      <c r="O204" s="12"/>
      <c r="P204" s="11"/>
      <c r="Q204" s="13"/>
      <c r="R204" s="14"/>
    </row>
    <row r="205" spans="1:18" ht="15" customHeight="1" x14ac:dyDescent="0.3">
      <c r="A205" s="48" t="s">
        <v>26</v>
      </c>
      <c r="B205" s="48" t="s">
        <v>27</v>
      </c>
      <c r="C205" s="49">
        <v>0.12847222222222221</v>
      </c>
      <c r="D205" s="48" t="s">
        <v>123</v>
      </c>
      <c r="E205" s="48" t="s">
        <v>189</v>
      </c>
      <c r="F205" s="48" t="s">
        <v>124</v>
      </c>
      <c r="G205" s="185"/>
      <c r="H205" s="10"/>
      <c r="I205" s="11"/>
      <c r="J205" s="11"/>
      <c r="K205" s="11"/>
      <c r="L205" s="11"/>
      <c r="M205" s="11"/>
      <c r="N205" s="11"/>
      <c r="O205" s="12"/>
      <c r="P205" s="11"/>
      <c r="Q205" s="13"/>
      <c r="R205" s="14"/>
    </row>
    <row r="206" spans="1:18" ht="15" customHeight="1" x14ac:dyDescent="0.3">
      <c r="A206" s="15" t="s">
        <v>26</v>
      </c>
      <c r="B206" s="15" t="s">
        <v>31</v>
      </c>
      <c r="C206" s="16">
        <v>0.30208333333333331</v>
      </c>
      <c r="D206" s="15" t="s">
        <v>119</v>
      </c>
      <c r="E206" s="15" t="s">
        <v>90</v>
      </c>
      <c r="F206" s="15" t="s">
        <v>219</v>
      </c>
      <c r="G206" s="185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</row>
    <row r="207" spans="1:18" ht="15" customHeight="1" x14ac:dyDescent="0.3">
      <c r="A207" s="48" t="s">
        <v>26</v>
      </c>
      <c r="B207" s="48" t="s">
        <v>31</v>
      </c>
      <c r="C207" s="49">
        <v>0.30208333333333331</v>
      </c>
      <c r="D207" s="48" t="s">
        <v>121</v>
      </c>
      <c r="E207" s="48" t="s">
        <v>189</v>
      </c>
      <c r="F207" s="48" t="s">
        <v>220</v>
      </c>
      <c r="G207" s="185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</row>
    <row r="208" spans="1:18" ht="15" customHeight="1" x14ac:dyDescent="0.3">
      <c r="A208" s="48" t="s">
        <v>26</v>
      </c>
      <c r="B208" s="48" t="s">
        <v>31</v>
      </c>
      <c r="C208" s="49">
        <v>0.30208333333333331</v>
      </c>
      <c r="D208" s="48" t="s">
        <v>123</v>
      </c>
      <c r="E208" s="48" t="s">
        <v>189</v>
      </c>
      <c r="F208" s="48" t="s">
        <v>124</v>
      </c>
      <c r="G208" s="185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</row>
    <row r="209" spans="1:18" ht="15" customHeight="1" x14ac:dyDescent="0.3">
      <c r="A209" s="15" t="s">
        <v>26</v>
      </c>
      <c r="B209" s="15" t="s">
        <v>36</v>
      </c>
      <c r="C209" s="16">
        <v>0.78819444444444453</v>
      </c>
      <c r="D209" s="15" t="s">
        <v>119</v>
      </c>
      <c r="E209" s="15" t="s">
        <v>60</v>
      </c>
      <c r="F209" s="15" t="s">
        <v>219</v>
      </c>
      <c r="G209" s="185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</row>
    <row r="210" spans="1:18" ht="15" customHeight="1" x14ac:dyDescent="0.3">
      <c r="A210" s="48" t="s">
        <v>26</v>
      </c>
      <c r="B210" s="48" t="s">
        <v>36</v>
      </c>
      <c r="C210" s="49">
        <v>0.78819444444444453</v>
      </c>
      <c r="D210" s="48" t="s">
        <v>121</v>
      </c>
      <c r="E210" s="48" t="s">
        <v>128</v>
      </c>
      <c r="F210" s="48" t="s">
        <v>220</v>
      </c>
      <c r="G210" s="185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</row>
    <row r="211" spans="1:18" ht="15" customHeight="1" x14ac:dyDescent="0.3">
      <c r="A211" s="48" t="s">
        <v>26</v>
      </c>
      <c r="B211" s="48" t="s">
        <v>36</v>
      </c>
      <c r="C211" s="49">
        <v>0.78819444444444453</v>
      </c>
      <c r="D211" s="48" t="s">
        <v>123</v>
      </c>
      <c r="E211" s="48" t="s">
        <v>128</v>
      </c>
      <c r="F211" s="48" t="s">
        <v>124</v>
      </c>
      <c r="G211" s="185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</row>
    <row r="212" spans="1:18" ht="15" customHeight="1" x14ac:dyDescent="0.3">
      <c r="A212" s="15" t="s">
        <v>26</v>
      </c>
      <c r="B212" s="15" t="s">
        <v>34</v>
      </c>
      <c r="C212" s="16">
        <v>0.88888888888888884</v>
      </c>
      <c r="D212" s="15" t="s">
        <v>119</v>
      </c>
      <c r="E212" s="15" t="s">
        <v>45</v>
      </c>
      <c r="F212" s="15" t="s">
        <v>219</v>
      </c>
      <c r="G212" s="185"/>
      <c r="H212" s="10"/>
      <c r="I212" s="11"/>
      <c r="J212" s="11"/>
      <c r="K212" s="11"/>
      <c r="L212" s="11"/>
      <c r="M212" s="11"/>
      <c r="N212" s="11"/>
      <c r="O212" s="12"/>
      <c r="P212" s="11"/>
      <c r="Q212" s="13"/>
      <c r="R212" s="14"/>
    </row>
    <row r="213" spans="1:18" ht="15" customHeight="1" x14ac:dyDescent="0.3">
      <c r="A213" s="48" t="s">
        <v>26</v>
      </c>
      <c r="B213" s="48" t="s">
        <v>34</v>
      </c>
      <c r="C213" s="49">
        <v>0.88888888888888884</v>
      </c>
      <c r="D213" s="48" t="s">
        <v>121</v>
      </c>
      <c r="E213" s="48" t="s">
        <v>194</v>
      </c>
      <c r="F213" s="48" t="s">
        <v>220</v>
      </c>
      <c r="G213" s="185"/>
      <c r="H213" s="10"/>
      <c r="I213" s="11"/>
      <c r="J213" s="11"/>
      <c r="K213" s="11"/>
      <c r="L213" s="11"/>
      <c r="M213" s="11"/>
      <c r="N213" s="11"/>
      <c r="O213" s="12"/>
      <c r="P213" s="11"/>
      <c r="Q213" s="13"/>
      <c r="R213" s="14"/>
    </row>
    <row r="214" spans="1:18" ht="15" customHeight="1" x14ac:dyDescent="0.3">
      <c r="A214" s="48" t="s">
        <v>26</v>
      </c>
      <c r="B214" s="48" t="s">
        <v>34</v>
      </c>
      <c r="C214" s="49">
        <v>0.88888888888888884</v>
      </c>
      <c r="D214" s="48" t="s">
        <v>123</v>
      </c>
      <c r="E214" s="48" t="s">
        <v>194</v>
      </c>
      <c r="F214" s="48" t="s">
        <v>124</v>
      </c>
      <c r="G214" s="185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</row>
    <row r="215" spans="1:18" ht="15" customHeight="1" x14ac:dyDescent="0.3">
      <c r="A215" s="17" t="s">
        <v>61</v>
      </c>
      <c r="B215" s="17" t="s">
        <v>62</v>
      </c>
      <c r="C215" s="18">
        <v>0.66666666666666663</v>
      </c>
      <c r="D215" s="17" t="s">
        <v>63</v>
      </c>
      <c r="E215" s="17" t="s">
        <v>29</v>
      </c>
      <c r="F215" s="17" t="s">
        <v>221</v>
      </c>
      <c r="G215" s="185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</row>
    <row r="216" spans="1:18" ht="15" customHeight="1" x14ac:dyDescent="0.3">
      <c r="A216" s="15" t="s">
        <v>61</v>
      </c>
      <c r="B216" s="15" t="s">
        <v>222</v>
      </c>
      <c r="C216" s="16">
        <v>4.5138888888888888E-2</v>
      </c>
      <c r="D216" s="15" t="s">
        <v>63</v>
      </c>
      <c r="E216" s="15" t="s">
        <v>47</v>
      </c>
      <c r="F216" s="15" t="s">
        <v>221</v>
      </c>
      <c r="G216" s="185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</row>
    <row r="217" spans="1:18" ht="15" customHeight="1" x14ac:dyDescent="0.3">
      <c r="A217" s="15" t="s">
        <v>61</v>
      </c>
      <c r="B217" s="15" t="s">
        <v>158</v>
      </c>
      <c r="C217" s="16">
        <v>0.36458333333333331</v>
      </c>
      <c r="D217" s="15" t="s">
        <v>63</v>
      </c>
      <c r="E217" s="15" t="s">
        <v>45</v>
      </c>
      <c r="F217" s="15" t="s">
        <v>157</v>
      </c>
      <c r="G217" s="185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</row>
    <row r="218" spans="1:18" ht="15" customHeight="1" x14ac:dyDescent="0.3">
      <c r="A218" s="17" t="s">
        <v>39</v>
      </c>
      <c r="B218" s="17" t="s">
        <v>40</v>
      </c>
      <c r="C218" s="18">
        <v>0.90277777777777779</v>
      </c>
      <c r="D218" s="17" t="s">
        <v>149</v>
      </c>
      <c r="E218" s="17" t="s">
        <v>209</v>
      </c>
      <c r="F218" s="17" t="s">
        <v>223</v>
      </c>
      <c r="G218" s="185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</row>
    <row r="219" spans="1:18" ht="15" customHeight="1" x14ac:dyDescent="0.3">
      <c r="A219" s="48" t="s">
        <v>39</v>
      </c>
      <c r="B219" s="48" t="s">
        <v>40</v>
      </c>
      <c r="C219" s="49">
        <v>0.90277777777777779</v>
      </c>
      <c r="D219" s="48" t="s">
        <v>150</v>
      </c>
      <c r="E219" s="48" t="s">
        <v>177</v>
      </c>
      <c r="F219" s="48" t="s">
        <v>190</v>
      </c>
      <c r="G219" s="185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</row>
    <row r="220" spans="1:18" ht="15" customHeight="1" x14ac:dyDescent="0.3">
      <c r="A220" s="48" t="s">
        <v>39</v>
      </c>
      <c r="B220" s="48" t="s">
        <v>40</v>
      </c>
      <c r="C220" s="49">
        <v>0.90277777777777779</v>
      </c>
      <c r="D220" s="48" t="s">
        <v>151</v>
      </c>
      <c r="E220" s="48" t="s">
        <v>177</v>
      </c>
      <c r="F220" s="48" t="s">
        <v>33</v>
      </c>
      <c r="G220" s="185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</row>
    <row r="221" spans="1:18" ht="15" customHeight="1" x14ac:dyDescent="0.3">
      <c r="A221" s="15" t="s">
        <v>39</v>
      </c>
      <c r="B221" s="15" t="s">
        <v>44</v>
      </c>
      <c r="C221" s="16">
        <v>0.64583333333333337</v>
      </c>
      <c r="D221" s="15" t="s">
        <v>149</v>
      </c>
      <c r="E221" s="15" t="s">
        <v>90</v>
      </c>
      <c r="F221" s="15" t="s">
        <v>223</v>
      </c>
      <c r="G221" s="185"/>
      <c r="H221" s="10"/>
      <c r="I221" s="11"/>
      <c r="J221" s="11"/>
      <c r="K221" s="11"/>
      <c r="L221" s="11"/>
      <c r="M221" s="11"/>
      <c r="N221" s="11"/>
      <c r="O221" s="12"/>
      <c r="P221" s="11"/>
      <c r="Q221" s="13"/>
      <c r="R221" s="14"/>
    </row>
    <row r="222" spans="1:18" ht="15" customHeight="1" x14ac:dyDescent="0.3">
      <c r="A222" s="48" t="s">
        <v>39</v>
      </c>
      <c r="B222" s="48" t="s">
        <v>44</v>
      </c>
      <c r="C222" s="49">
        <v>0.64583333333333337</v>
      </c>
      <c r="D222" s="48" t="s">
        <v>150</v>
      </c>
      <c r="E222" s="48" t="s">
        <v>189</v>
      </c>
      <c r="F222" s="48" t="s">
        <v>190</v>
      </c>
      <c r="G222" s="185"/>
      <c r="H222" s="10"/>
      <c r="I222" s="11"/>
      <c r="J222" s="11"/>
      <c r="K222" s="11"/>
      <c r="L222" s="11"/>
      <c r="M222" s="11"/>
      <c r="N222" s="11"/>
      <c r="O222" s="12"/>
      <c r="P222" s="11"/>
      <c r="Q222" s="13"/>
      <c r="R222" s="14"/>
    </row>
    <row r="223" spans="1:18" ht="15" customHeight="1" x14ac:dyDescent="0.3">
      <c r="A223" s="48" t="s">
        <v>39</v>
      </c>
      <c r="B223" s="48" t="s">
        <v>44</v>
      </c>
      <c r="C223" s="49">
        <v>0.64583333333333337</v>
      </c>
      <c r="D223" s="48" t="s">
        <v>151</v>
      </c>
      <c r="E223" s="48" t="s">
        <v>189</v>
      </c>
      <c r="F223" s="48" t="s">
        <v>33</v>
      </c>
      <c r="G223" s="185"/>
      <c r="H223" s="10"/>
      <c r="I223" s="11"/>
      <c r="J223" s="11"/>
      <c r="K223" s="11"/>
      <c r="L223" s="11"/>
      <c r="M223" s="11"/>
      <c r="N223" s="11"/>
      <c r="O223" s="12"/>
      <c r="P223" s="11"/>
      <c r="Q223" s="13"/>
      <c r="R223" s="14"/>
    </row>
    <row r="224" spans="1:18" ht="15" customHeight="1" x14ac:dyDescent="0.3">
      <c r="A224" s="15" t="s">
        <v>39</v>
      </c>
      <c r="B224" s="15" t="s">
        <v>46</v>
      </c>
      <c r="C224" s="16">
        <v>0.51736111111111105</v>
      </c>
      <c r="D224" s="15" t="s">
        <v>149</v>
      </c>
      <c r="E224" s="15" t="s">
        <v>90</v>
      </c>
      <c r="F224" s="15" t="s">
        <v>223</v>
      </c>
      <c r="G224" s="185"/>
      <c r="H224" s="10"/>
      <c r="I224" s="11"/>
      <c r="J224" s="11"/>
      <c r="K224" s="11"/>
      <c r="L224" s="11"/>
      <c r="M224" s="11"/>
      <c r="N224" s="11"/>
      <c r="O224" s="12"/>
      <c r="P224" s="11"/>
      <c r="Q224" s="13"/>
      <c r="R224" s="14"/>
    </row>
    <row r="225" spans="1:18" ht="15" customHeight="1" x14ac:dyDescent="0.3">
      <c r="A225" s="48" t="s">
        <v>39</v>
      </c>
      <c r="B225" s="48" t="s">
        <v>46</v>
      </c>
      <c r="C225" s="49">
        <v>0.51736111111111105</v>
      </c>
      <c r="D225" s="48" t="s">
        <v>150</v>
      </c>
      <c r="E225" s="48" t="s">
        <v>189</v>
      </c>
      <c r="F225" s="48" t="s">
        <v>190</v>
      </c>
      <c r="G225" s="185"/>
      <c r="H225" s="10"/>
      <c r="I225" s="11"/>
      <c r="J225" s="11"/>
      <c r="K225" s="11"/>
      <c r="L225" s="11"/>
      <c r="M225" s="11"/>
      <c r="N225" s="11"/>
      <c r="O225" s="12"/>
      <c r="P225" s="11"/>
      <c r="Q225" s="13"/>
      <c r="R225" s="14"/>
    </row>
    <row r="226" spans="1:18" ht="15" customHeight="1" x14ac:dyDescent="0.3">
      <c r="A226" s="48" t="s">
        <v>39</v>
      </c>
      <c r="B226" s="48" t="s">
        <v>46</v>
      </c>
      <c r="C226" s="49">
        <v>0.51736111111111105</v>
      </c>
      <c r="D226" s="48" t="s">
        <v>151</v>
      </c>
      <c r="E226" s="48" t="s">
        <v>189</v>
      </c>
      <c r="F226" s="48" t="s">
        <v>33</v>
      </c>
      <c r="G226" s="185"/>
      <c r="H226" s="10"/>
      <c r="I226" s="11"/>
      <c r="J226" s="11"/>
      <c r="K226" s="11"/>
      <c r="L226" s="11"/>
      <c r="M226" s="11"/>
      <c r="N226" s="11"/>
      <c r="O226" s="12"/>
      <c r="P226" s="11"/>
      <c r="Q226" s="13"/>
      <c r="R226" s="14"/>
    </row>
    <row r="227" spans="1:18" ht="15" customHeight="1" x14ac:dyDescent="0.3">
      <c r="A227" s="15" t="s">
        <v>39</v>
      </c>
      <c r="B227" s="15" t="s">
        <v>48</v>
      </c>
      <c r="C227" s="16">
        <v>0.85416666666666663</v>
      </c>
      <c r="D227" s="15" t="s">
        <v>149</v>
      </c>
      <c r="E227" s="15" t="s">
        <v>50</v>
      </c>
      <c r="F227" s="15" t="s">
        <v>223</v>
      </c>
      <c r="G227" s="185"/>
      <c r="H227" s="10"/>
      <c r="I227" s="11"/>
      <c r="J227" s="11"/>
      <c r="K227" s="11"/>
      <c r="L227" s="11"/>
      <c r="M227" s="11"/>
      <c r="N227" s="11"/>
      <c r="O227" s="12"/>
      <c r="P227" s="11"/>
      <c r="Q227" s="13"/>
      <c r="R227" s="14"/>
    </row>
    <row r="228" spans="1:18" ht="15" customHeight="1" x14ac:dyDescent="0.3">
      <c r="A228" s="48" t="s">
        <v>39</v>
      </c>
      <c r="B228" s="48" t="s">
        <v>48</v>
      </c>
      <c r="C228" s="49">
        <v>0.85416666666666663</v>
      </c>
      <c r="D228" s="48" t="s">
        <v>150</v>
      </c>
      <c r="E228" s="48" t="s">
        <v>172</v>
      </c>
      <c r="F228" s="48" t="s">
        <v>190</v>
      </c>
      <c r="G228" s="185"/>
      <c r="H228" s="10"/>
      <c r="I228" s="11"/>
      <c r="J228" s="11"/>
      <c r="K228" s="11"/>
      <c r="L228" s="11"/>
      <c r="M228" s="11"/>
      <c r="N228" s="11"/>
      <c r="O228" s="12"/>
      <c r="P228" s="11"/>
      <c r="Q228" s="13"/>
      <c r="R228" s="14"/>
    </row>
    <row r="229" spans="1:18" ht="15" customHeight="1" x14ac:dyDescent="0.3">
      <c r="A229" s="48" t="s">
        <v>39</v>
      </c>
      <c r="B229" s="48" t="s">
        <v>48</v>
      </c>
      <c r="C229" s="49">
        <v>0.85416666666666663</v>
      </c>
      <c r="D229" s="48" t="s">
        <v>151</v>
      </c>
      <c r="E229" s="48" t="s">
        <v>172</v>
      </c>
      <c r="F229" s="48" t="s">
        <v>33</v>
      </c>
      <c r="G229" s="185"/>
      <c r="H229" s="10"/>
      <c r="I229" s="11"/>
      <c r="J229" s="11"/>
      <c r="K229" s="11"/>
      <c r="L229" s="11"/>
      <c r="M229" s="11"/>
      <c r="N229" s="11"/>
      <c r="O229" s="12"/>
      <c r="P229" s="11"/>
      <c r="Q229" s="13"/>
      <c r="R229" s="14"/>
    </row>
    <row r="230" spans="1:18" ht="15" customHeight="1" x14ac:dyDescent="0.3">
      <c r="A230" s="15" t="s">
        <v>39</v>
      </c>
      <c r="B230" s="15" t="s">
        <v>153</v>
      </c>
      <c r="C230" s="16">
        <v>0.30208333333333331</v>
      </c>
      <c r="D230" s="15" t="s">
        <v>149</v>
      </c>
      <c r="E230" s="15" t="s">
        <v>90</v>
      </c>
      <c r="F230" s="15" t="s">
        <v>223</v>
      </c>
      <c r="G230" s="185"/>
      <c r="H230" s="10"/>
      <c r="I230" s="11"/>
      <c r="J230" s="11"/>
      <c r="K230" s="11"/>
      <c r="L230" s="11"/>
      <c r="M230" s="11"/>
      <c r="N230" s="11"/>
      <c r="O230" s="12"/>
      <c r="P230" s="11"/>
      <c r="Q230" s="13"/>
      <c r="R230" s="14"/>
    </row>
    <row r="231" spans="1:18" ht="15" customHeight="1" x14ac:dyDescent="0.3">
      <c r="A231" s="48" t="s">
        <v>39</v>
      </c>
      <c r="B231" s="48" t="s">
        <v>153</v>
      </c>
      <c r="C231" s="49">
        <v>0.30208333333333331</v>
      </c>
      <c r="D231" s="48" t="s">
        <v>150</v>
      </c>
      <c r="E231" s="48" t="s">
        <v>189</v>
      </c>
      <c r="F231" s="48" t="s">
        <v>190</v>
      </c>
      <c r="G231" s="185"/>
      <c r="H231" s="10"/>
      <c r="I231" s="11"/>
      <c r="J231" s="11"/>
      <c r="K231" s="11"/>
      <c r="L231" s="11"/>
      <c r="M231" s="11"/>
      <c r="N231" s="11"/>
      <c r="O231" s="12"/>
      <c r="P231" s="11"/>
      <c r="Q231" s="13"/>
      <c r="R231" s="14"/>
    </row>
    <row r="232" spans="1:18" ht="15" customHeight="1" x14ac:dyDescent="0.3">
      <c r="A232" s="48" t="s">
        <v>39</v>
      </c>
      <c r="B232" s="48" t="s">
        <v>153</v>
      </c>
      <c r="C232" s="49">
        <v>0.30208333333333331</v>
      </c>
      <c r="D232" s="48" t="s">
        <v>151</v>
      </c>
      <c r="E232" s="48" t="s">
        <v>189</v>
      </c>
      <c r="F232" s="48" t="s">
        <v>33</v>
      </c>
      <c r="G232" s="185"/>
      <c r="H232" s="10"/>
      <c r="I232" s="11"/>
      <c r="J232" s="11"/>
      <c r="K232" s="11"/>
      <c r="L232" s="11"/>
      <c r="M232" s="11"/>
      <c r="N232" s="11"/>
      <c r="O232" s="12"/>
      <c r="P232" s="11"/>
      <c r="Q232" s="13"/>
      <c r="R232" s="14"/>
    </row>
    <row r="233" spans="1:18" ht="15" customHeight="1" x14ac:dyDescent="0.3">
      <c r="A233" s="15" t="s">
        <v>39</v>
      </c>
      <c r="B233" s="15" t="s">
        <v>51</v>
      </c>
      <c r="C233" s="16">
        <v>0.79861111111111116</v>
      </c>
      <c r="D233" s="15" t="s">
        <v>149</v>
      </c>
      <c r="E233" s="15" t="s">
        <v>32</v>
      </c>
      <c r="F233" s="15" t="s">
        <v>223</v>
      </c>
      <c r="G233" s="185"/>
      <c r="H233" s="10"/>
      <c r="I233" s="11"/>
      <c r="J233" s="11"/>
      <c r="K233" s="11"/>
      <c r="L233" s="11"/>
      <c r="M233" s="11"/>
      <c r="N233" s="11"/>
      <c r="O233" s="12"/>
      <c r="P233" s="11"/>
      <c r="Q233" s="13"/>
      <c r="R233" s="14"/>
    </row>
    <row r="234" spans="1:18" ht="15" customHeight="1" x14ac:dyDescent="0.3">
      <c r="A234" s="48" t="s">
        <v>39</v>
      </c>
      <c r="B234" s="48" t="s">
        <v>51</v>
      </c>
      <c r="C234" s="49">
        <v>0.79861111111111116</v>
      </c>
      <c r="D234" s="48" t="s">
        <v>150</v>
      </c>
      <c r="E234" s="48" t="s">
        <v>125</v>
      </c>
      <c r="F234" s="48" t="s">
        <v>190</v>
      </c>
      <c r="G234" s="185"/>
      <c r="H234" s="10"/>
      <c r="I234" s="11"/>
      <c r="J234" s="11"/>
      <c r="K234" s="11"/>
      <c r="L234" s="11"/>
      <c r="M234" s="11"/>
      <c r="N234" s="11"/>
      <c r="O234" s="12"/>
      <c r="P234" s="11"/>
      <c r="Q234" s="13"/>
      <c r="R234" s="14"/>
    </row>
    <row r="235" spans="1:18" ht="15" customHeight="1" x14ac:dyDescent="0.3">
      <c r="A235" s="48" t="s">
        <v>39</v>
      </c>
      <c r="B235" s="48" t="s">
        <v>51</v>
      </c>
      <c r="C235" s="49">
        <v>0.79861111111111116</v>
      </c>
      <c r="D235" s="48" t="s">
        <v>151</v>
      </c>
      <c r="E235" s="48" t="s">
        <v>125</v>
      </c>
      <c r="F235" s="48" t="s">
        <v>33</v>
      </c>
      <c r="G235" s="185"/>
      <c r="H235" s="10"/>
      <c r="I235" s="11"/>
      <c r="J235" s="11"/>
      <c r="K235" s="11"/>
      <c r="L235" s="11"/>
      <c r="M235" s="11"/>
      <c r="N235" s="11"/>
      <c r="O235" s="12"/>
      <c r="P235" s="11"/>
      <c r="Q235" s="13"/>
      <c r="R235" s="14"/>
    </row>
    <row r="236" spans="1:18" ht="15" customHeight="1" x14ac:dyDescent="0.3">
      <c r="A236" s="15" t="s">
        <v>39</v>
      </c>
      <c r="B236" s="15" t="s">
        <v>53</v>
      </c>
      <c r="C236" s="16">
        <v>0.25694444444444448</v>
      </c>
      <c r="D236" s="15" t="s">
        <v>149</v>
      </c>
      <c r="E236" s="15" t="s">
        <v>60</v>
      </c>
      <c r="F236" s="15" t="s">
        <v>224</v>
      </c>
      <c r="G236" s="185"/>
      <c r="H236" s="10"/>
      <c r="I236" s="11"/>
      <c r="J236" s="11"/>
      <c r="K236" s="11"/>
      <c r="L236" s="11"/>
      <c r="M236" s="11"/>
      <c r="N236" s="11"/>
      <c r="O236" s="12"/>
      <c r="P236" s="11"/>
      <c r="Q236" s="13"/>
      <c r="R236" s="14"/>
    </row>
    <row r="237" spans="1:18" ht="15" customHeight="1" x14ac:dyDescent="0.3">
      <c r="A237" s="48" t="s">
        <v>39</v>
      </c>
      <c r="B237" s="48" t="s">
        <v>53</v>
      </c>
      <c r="C237" s="49">
        <v>0.25694444444444448</v>
      </c>
      <c r="D237" s="48" t="s">
        <v>150</v>
      </c>
      <c r="E237" s="48" t="s">
        <v>128</v>
      </c>
      <c r="F237" s="48" t="s">
        <v>30</v>
      </c>
      <c r="G237" s="185"/>
      <c r="H237" s="10"/>
      <c r="I237" s="11"/>
      <c r="J237" s="11"/>
      <c r="K237" s="11"/>
      <c r="L237" s="11"/>
      <c r="M237" s="11"/>
      <c r="N237" s="11"/>
      <c r="O237" s="12"/>
      <c r="P237" s="11"/>
      <c r="Q237" s="13"/>
      <c r="R237" s="14"/>
    </row>
    <row r="238" spans="1:18" ht="15" customHeight="1" x14ac:dyDescent="0.3">
      <c r="A238" s="48" t="s">
        <v>39</v>
      </c>
      <c r="B238" s="48" t="s">
        <v>53</v>
      </c>
      <c r="C238" s="49">
        <v>0.25694444444444448</v>
      </c>
      <c r="D238" s="48" t="s">
        <v>151</v>
      </c>
      <c r="E238" s="48" t="s">
        <v>128</v>
      </c>
      <c r="F238" s="48" t="s">
        <v>225</v>
      </c>
      <c r="G238" s="185"/>
      <c r="H238" s="10"/>
      <c r="I238" s="11"/>
      <c r="J238" s="11"/>
      <c r="K238" s="11"/>
      <c r="L238" s="11"/>
      <c r="M238" s="11"/>
      <c r="N238" s="11"/>
      <c r="O238" s="12"/>
      <c r="P238" s="11"/>
      <c r="Q238" s="13"/>
      <c r="R238" s="14"/>
    </row>
    <row r="239" spans="1:18" ht="15" customHeight="1" x14ac:dyDescent="0.3">
      <c r="A239" s="15" t="s">
        <v>39</v>
      </c>
      <c r="B239" s="15" t="s">
        <v>49</v>
      </c>
      <c r="C239" s="16">
        <v>0.39583333333333331</v>
      </c>
      <c r="D239" s="15" t="s">
        <v>149</v>
      </c>
      <c r="E239" s="15" t="s">
        <v>47</v>
      </c>
      <c r="F239" s="15" t="s">
        <v>224</v>
      </c>
      <c r="G239" s="185"/>
      <c r="H239" s="10"/>
      <c r="I239" s="11"/>
      <c r="J239" s="11"/>
      <c r="K239" s="11"/>
      <c r="L239" s="11"/>
      <c r="M239" s="11"/>
      <c r="N239" s="11"/>
      <c r="O239" s="12"/>
      <c r="P239" s="11"/>
      <c r="Q239" s="13"/>
      <c r="R239" s="14"/>
    </row>
    <row r="240" spans="1:18" ht="15" customHeight="1" x14ac:dyDescent="0.3">
      <c r="A240" s="48" t="s">
        <v>39</v>
      </c>
      <c r="B240" s="48" t="s">
        <v>49</v>
      </c>
      <c r="C240" s="49">
        <v>0.39583333333333331</v>
      </c>
      <c r="D240" s="48" t="s">
        <v>150</v>
      </c>
      <c r="E240" s="48" t="s">
        <v>122</v>
      </c>
      <c r="F240" s="48" t="s">
        <v>30</v>
      </c>
      <c r="G240" s="185"/>
      <c r="H240" s="10"/>
      <c r="I240" s="11"/>
      <c r="J240" s="11"/>
      <c r="K240" s="11"/>
      <c r="L240" s="11"/>
      <c r="M240" s="11"/>
      <c r="N240" s="11"/>
      <c r="O240" s="12"/>
      <c r="P240" s="11"/>
      <c r="Q240" s="13"/>
      <c r="R240" s="14"/>
    </row>
    <row r="241" spans="1:18" ht="15" customHeight="1" x14ac:dyDescent="0.3">
      <c r="A241" s="48" t="s">
        <v>39</v>
      </c>
      <c r="B241" s="48" t="s">
        <v>49</v>
      </c>
      <c r="C241" s="49">
        <v>0.39583333333333331</v>
      </c>
      <c r="D241" s="48" t="s">
        <v>151</v>
      </c>
      <c r="E241" s="48" t="s">
        <v>122</v>
      </c>
      <c r="F241" s="48" t="s">
        <v>225</v>
      </c>
      <c r="G241" s="185"/>
      <c r="H241" s="10"/>
      <c r="I241" s="11"/>
      <c r="J241" s="11"/>
      <c r="K241" s="11"/>
      <c r="L241" s="11"/>
      <c r="M241" s="11"/>
      <c r="N241" s="11"/>
      <c r="O241" s="12"/>
      <c r="P241" s="11"/>
      <c r="Q241" s="13"/>
      <c r="R241" s="14"/>
    </row>
    <row r="242" spans="1:18" ht="15" customHeight="1" x14ac:dyDescent="0.3">
      <c r="A242" s="65" t="s">
        <v>66</v>
      </c>
      <c r="B242" s="65" t="s">
        <v>226</v>
      </c>
      <c r="C242" s="66">
        <v>0.22916666666666671</v>
      </c>
      <c r="D242" s="65" t="s">
        <v>68</v>
      </c>
      <c r="E242" s="65" t="s">
        <v>29</v>
      </c>
      <c r="F242" s="65" t="s">
        <v>227</v>
      </c>
      <c r="G242" s="185"/>
      <c r="H242" s="67" t="s">
        <v>228</v>
      </c>
      <c r="I242" s="113">
        <v>0.3352</v>
      </c>
      <c r="J242" s="69">
        <v>60</v>
      </c>
      <c r="K242" s="70">
        <v>45980</v>
      </c>
      <c r="L242" s="69">
        <v>43</v>
      </c>
      <c r="M242" s="69">
        <v>0</v>
      </c>
      <c r="N242" s="69">
        <v>6</v>
      </c>
      <c r="O242" s="71" t="s">
        <v>229</v>
      </c>
      <c r="P242" s="72">
        <v>0.22916666666666671</v>
      </c>
      <c r="Q242" s="69">
        <v>179</v>
      </c>
      <c r="R242" s="73" t="s">
        <v>230</v>
      </c>
    </row>
    <row r="243" spans="1:18" ht="15" customHeight="1" x14ac:dyDescent="0.3">
      <c r="A243" s="114" t="s">
        <v>66</v>
      </c>
      <c r="B243" s="114" t="s">
        <v>140</v>
      </c>
      <c r="C243" s="115">
        <v>0.96875</v>
      </c>
      <c r="D243" s="114" t="s">
        <v>68</v>
      </c>
      <c r="E243" s="114" t="s">
        <v>47</v>
      </c>
      <c r="F243" s="114" t="s">
        <v>227</v>
      </c>
      <c r="G243" s="185"/>
      <c r="H243" s="116" t="s">
        <v>78</v>
      </c>
      <c r="I243" s="117">
        <v>0.55869999999999997</v>
      </c>
      <c r="J243" s="118">
        <v>100</v>
      </c>
      <c r="K243" s="119">
        <v>45980</v>
      </c>
      <c r="L243" s="118">
        <v>31</v>
      </c>
      <c r="M243" s="118">
        <v>0</v>
      </c>
      <c r="N243" s="118">
        <v>7</v>
      </c>
      <c r="O243" s="120" t="s">
        <v>229</v>
      </c>
      <c r="P243" s="121">
        <v>0.96875</v>
      </c>
      <c r="Q243" s="118">
        <v>179</v>
      </c>
      <c r="R243" s="122" t="s">
        <v>231</v>
      </c>
    </row>
    <row r="244" spans="1:18" ht="15" customHeight="1" x14ac:dyDescent="0.3">
      <c r="A244" s="74" t="s">
        <v>66</v>
      </c>
      <c r="B244" s="74" t="s">
        <v>135</v>
      </c>
      <c r="C244" s="75">
        <v>0.93402777777777779</v>
      </c>
      <c r="D244" s="74" t="s">
        <v>68</v>
      </c>
      <c r="E244" s="74" t="s">
        <v>94</v>
      </c>
      <c r="F244" s="74" t="s">
        <v>232</v>
      </c>
      <c r="G244" s="185"/>
      <c r="H244" s="21" t="s">
        <v>137</v>
      </c>
      <c r="I244" s="76">
        <v>0.68159999999999998</v>
      </c>
      <c r="J244" s="23">
        <v>122</v>
      </c>
      <c r="K244" s="24">
        <v>45980</v>
      </c>
      <c r="L244" s="23">
        <v>24</v>
      </c>
      <c r="M244" s="23">
        <v>0</v>
      </c>
      <c r="N244" s="23">
        <v>2</v>
      </c>
      <c r="O244" s="25" t="s">
        <v>233</v>
      </c>
      <c r="P244" s="26">
        <v>0.93402777777777779</v>
      </c>
      <c r="Q244" s="23">
        <v>179</v>
      </c>
      <c r="R244" s="27" t="s">
        <v>234</v>
      </c>
    </row>
    <row r="245" spans="1:18" ht="15" customHeight="1" x14ac:dyDescent="0.3">
      <c r="A245" s="28" t="s">
        <v>66</v>
      </c>
      <c r="B245" s="28" t="s">
        <v>67</v>
      </c>
      <c r="C245" s="29">
        <v>0.61458333333333337</v>
      </c>
      <c r="D245" s="28" t="s">
        <v>68</v>
      </c>
      <c r="E245" s="28" t="s">
        <v>52</v>
      </c>
      <c r="F245" s="28" t="s">
        <v>232</v>
      </c>
      <c r="G245" s="185"/>
      <c r="H245" s="31" t="s">
        <v>70</v>
      </c>
      <c r="I245" s="123">
        <v>0.75980000000000003</v>
      </c>
      <c r="J245" s="33">
        <v>136</v>
      </c>
      <c r="K245" s="34">
        <v>45980</v>
      </c>
      <c r="L245" s="33">
        <v>25</v>
      </c>
      <c r="M245" s="33">
        <v>0</v>
      </c>
      <c r="N245" s="33">
        <v>3</v>
      </c>
      <c r="O245" s="35" t="s">
        <v>235</v>
      </c>
      <c r="P245" s="36">
        <v>0.61458333333333337</v>
      </c>
      <c r="Q245" s="33">
        <v>179</v>
      </c>
      <c r="R245" s="37" t="s">
        <v>236</v>
      </c>
    </row>
    <row r="246" spans="1:18" ht="15" customHeight="1" x14ac:dyDescent="0.3">
      <c r="A246" s="38" t="s">
        <v>66</v>
      </c>
      <c r="B246" s="38" t="s">
        <v>202</v>
      </c>
      <c r="C246" s="39">
        <v>0.55902777777777779</v>
      </c>
      <c r="D246" s="38" t="s">
        <v>74</v>
      </c>
      <c r="E246" s="40"/>
      <c r="F246" s="38" t="s">
        <v>75</v>
      </c>
      <c r="G246" s="185"/>
      <c r="H246" s="41" t="s">
        <v>202</v>
      </c>
      <c r="I246" s="42">
        <v>0.9385</v>
      </c>
      <c r="J246" s="43">
        <v>168</v>
      </c>
      <c r="K246" s="44">
        <v>45979</v>
      </c>
      <c r="L246" s="43">
        <v>27</v>
      </c>
      <c r="M246" s="43">
        <v>0</v>
      </c>
      <c r="N246" s="43">
        <v>0</v>
      </c>
      <c r="O246" s="45" t="s">
        <v>76</v>
      </c>
      <c r="P246" s="46">
        <v>0.55902777777777779</v>
      </c>
      <c r="Q246" s="43">
        <v>179</v>
      </c>
      <c r="R246" s="47" t="s">
        <v>237</v>
      </c>
    </row>
    <row r="247" spans="1:18" ht="15" customHeight="1" x14ac:dyDescent="0.3">
      <c r="A247" s="104" t="s">
        <v>66</v>
      </c>
      <c r="B247" s="104" t="s">
        <v>145</v>
      </c>
      <c r="C247" s="105">
        <v>0.72916666666666663</v>
      </c>
      <c r="D247" s="104" t="s">
        <v>74</v>
      </c>
      <c r="E247" s="124"/>
      <c r="F247" s="104" t="s">
        <v>75</v>
      </c>
      <c r="G247" s="185"/>
      <c r="H247" s="106" t="s">
        <v>145</v>
      </c>
      <c r="I247" s="125">
        <v>0.92179999999999995</v>
      </c>
      <c r="J247" s="108">
        <v>165</v>
      </c>
      <c r="K247" s="109">
        <v>45980</v>
      </c>
      <c r="L247" s="108">
        <v>24</v>
      </c>
      <c r="M247" s="108">
        <v>0</v>
      </c>
      <c r="N247" s="108">
        <v>4</v>
      </c>
      <c r="O247" s="110" t="s">
        <v>76</v>
      </c>
      <c r="P247" s="111">
        <v>0.72916666666666663</v>
      </c>
      <c r="Q247" s="108">
        <v>179</v>
      </c>
      <c r="R247" s="112" t="s">
        <v>238</v>
      </c>
    </row>
    <row r="248" spans="1:18" ht="15" customHeight="1" x14ac:dyDescent="0.3">
      <c r="A248" s="17" t="s">
        <v>55</v>
      </c>
      <c r="B248" s="17" t="s">
        <v>59</v>
      </c>
      <c r="C248" s="18">
        <v>0.22222222222222221</v>
      </c>
      <c r="D248" s="17" t="s">
        <v>159</v>
      </c>
      <c r="E248" s="17" t="s">
        <v>42</v>
      </c>
      <c r="F248" s="17" t="s">
        <v>239</v>
      </c>
      <c r="G248" s="185"/>
      <c r="H248" s="10"/>
      <c r="I248" s="11"/>
      <c r="J248" s="11"/>
      <c r="K248" s="11"/>
      <c r="L248" s="11"/>
      <c r="M248" s="11"/>
      <c r="N248" s="11"/>
      <c r="O248" s="12"/>
      <c r="P248" s="11"/>
      <c r="Q248" s="13"/>
      <c r="R248" s="14"/>
    </row>
    <row r="249" spans="1:18" ht="15" customHeight="1" x14ac:dyDescent="0.3">
      <c r="A249" s="48" t="s">
        <v>55</v>
      </c>
      <c r="B249" s="48" t="s">
        <v>59</v>
      </c>
      <c r="C249" s="49">
        <v>0.22222222222222221</v>
      </c>
      <c r="D249" s="48" t="s">
        <v>123</v>
      </c>
      <c r="E249" s="48" t="s">
        <v>128</v>
      </c>
      <c r="F249" s="48" t="s">
        <v>240</v>
      </c>
      <c r="G249" s="185"/>
      <c r="H249" s="10"/>
      <c r="I249" s="11"/>
      <c r="J249" s="11"/>
      <c r="K249" s="11"/>
      <c r="L249" s="11"/>
      <c r="M249" s="11"/>
      <c r="N249" s="11"/>
      <c r="O249" s="12"/>
      <c r="P249" s="11"/>
      <c r="Q249" s="13"/>
      <c r="R249" s="14"/>
    </row>
    <row r="250" spans="1:18" ht="15" customHeight="1" x14ac:dyDescent="0.3">
      <c r="A250" s="17" t="s">
        <v>162</v>
      </c>
      <c r="B250" s="17" t="s">
        <v>165</v>
      </c>
      <c r="C250" s="18">
        <v>0.27430555555555552</v>
      </c>
      <c r="D250" s="17" t="s">
        <v>63</v>
      </c>
      <c r="E250" s="17" t="s">
        <v>64</v>
      </c>
      <c r="F250" s="17" t="s">
        <v>208</v>
      </c>
      <c r="G250" s="185"/>
      <c r="H250" s="10"/>
      <c r="I250" s="11"/>
      <c r="J250" s="11"/>
      <c r="K250" s="11"/>
      <c r="L250" s="11"/>
      <c r="M250" s="11"/>
      <c r="N250" s="11"/>
      <c r="O250" s="12"/>
      <c r="P250" s="11"/>
      <c r="Q250" s="13"/>
      <c r="R250" s="14"/>
    </row>
    <row r="251" spans="1:18" ht="15" customHeight="1" x14ac:dyDescent="0.3">
      <c r="A251" s="15" t="s">
        <v>162</v>
      </c>
      <c r="B251" s="15" t="s">
        <v>207</v>
      </c>
      <c r="C251" s="16">
        <v>0.73958333333333337</v>
      </c>
      <c r="D251" s="15" t="s">
        <v>63</v>
      </c>
      <c r="E251" s="15" t="s">
        <v>85</v>
      </c>
      <c r="F251" s="15" t="s">
        <v>164</v>
      </c>
      <c r="G251" s="185"/>
      <c r="H251" s="10"/>
      <c r="I251" s="11"/>
      <c r="J251" s="11"/>
      <c r="K251" s="11"/>
      <c r="L251" s="11"/>
      <c r="M251" s="11"/>
      <c r="N251" s="11"/>
      <c r="O251" s="12"/>
      <c r="P251" s="11"/>
      <c r="Q251" s="13"/>
      <c r="R251" s="14"/>
    </row>
    <row r="252" spans="1:18" ht="15" customHeight="1" x14ac:dyDescent="0.3">
      <c r="A252" s="17" t="s">
        <v>95</v>
      </c>
      <c r="B252" s="17" t="s">
        <v>96</v>
      </c>
      <c r="C252" s="18">
        <v>0.37847222222222232</v>
      </c>
      <c r="D252" s="17" t="s">
        <v>97</v>
      </c>
      <c r="E252" s="17" t="s">
        <v>64</v>
      </c>
      <c r="F252" s="17" t="s">
        <v>213</v>
      </c>
      <c r="G252" s="185"/>
      <c r="H252" s="10"/>
      <c r="I252" s="11"/>
      <c r="J252" s="11"/>
      <c r="K252" s="11"/>
      <c r="L252" s="11"/>
      <c r="M252" s="11"/>
      <c r="N252" s="11"/>
      <c r="O252" s="12"/>
      <c r="P252" s="11"/>
      <c r="Q252" s="13"/>
      <c r="R252" s="14"/>
    </row>
    <row r="253" spans="1:18" ht="15" customHeight="1" x14ac:dyDescent="0.3">
      <c r="A253" s="48" t="s">
        <v>95</v>
      </c>
      <c r="B253" s="48" t="s">
        <v>96</v>
      </c>
      <c r="C253" s="49">
        <v>0.37847222222222232</v>
      </c>
      <c r="D253" s="48" t="s">
        <v>99</v>
      </c>
      <c r="E253" s="48" t="s">
        <v>100</v>
      </c>
      <c r="F253" s="48" t="s">
        <v>214</v>
      </c>
      <c r="G253" s="185"/>
      <c r="H253" s="10"/>
      <c r="I253" s="11"/>
      <c r="J253" s="11"/>
      <c r="K253" s="11"/>
      <c r="L253" s="11"/>
      <c r="M253" s="11"/>
      <c r="N253" s="11"/>
      <c r="O253" s="12"/>
      <c r="P253" s="11"/>
      <c r="Q253" s="13"/>
      <c r="R253" s="14"/>
    </row>
    <row r="254" spans="1:18" ht="15" customHeight="1" x14ac:dyDescent="0.3">
      <c r="A254" s="15" t="s">
        <v>95</v>
      </c>
      <c r="B254" s="15" t="s">
        <v>103</v>
      </c>
      <c r="C254" s="16">
        <v>6.9444444444444441E-3</v>
      </c>
      <c r="D254" s="15" t="s">
        <v>97</v>
      </c>
      <c r="E254" s="15" t="s">
        <v>85</v>
      </c>
      <c r="F254" s="15" t="s">
        <v>213</v>
      </c>
      <c r="G254" s="185"/>
      <c r="H254" s="10"/>
      <c r="I254" s="11"/>
      <c r="J254" s="11"/>
      <c r="K254" s="11"/>
      <c r="L254" s="11"/>
      <c r="M254" s="11"/>
      <c r="N254" s="11"/>
      <c r="O254" s="12"/>
      <c r="P254" s="11"/>
      <c r="Q254" s="13"/>
      <c r="R254" s="14"/>
    </row>
    <row r="255" spans="1:18" ht="15" customHeight="1" x14ac:dyDescent="0.3">
      <c r="A255" s="48" t="s">
        <v>95</v>
      </c>
      <c r="B255" s="48" t="s">
        <v>103</v>
      </c>
      <c r="C255" s="49">
        <v>6.9444444444444441E-3</v>
      </c>
      <c r="D255" s="48" t="s">
        <v>99</v>
      </c>
      <c r="E255" s="48" t="s">
        <v>100</v>
      </c>
      <c r="F255" s="48" t="s">
        <v>214</v>
      </c>
      <c r="G255" s="185"/>
      <c r="H255" s="10"/>
      <c r="I255" s="11"/>
      <c r="J255" s="11"/>
      <c r="K255" s="11"/>
      <c r="L255" s="11"/>
      <c r="M255" s="11"/>
      <c r="N255" s="11"/>
      <c r="O255" s="12"/>
      <c r="P255" s="11"/>
      <c r="Q255" s="13"/>
      <c r="R255" s="14"/>
    </row>
    <row r="256" spans="1:18" ht="15" customHeight="1" x14ac:dyDescent="0.3">
      <c r="A256" s="15" t="s">
        <v>95</v>
      </c>
      <c r="B256" s="15" t="s">
        <v>106</v>
      </c>
      <c r="C256" s="16">
        <v>0.23958333333333329</v>
      </c>
      <c r="D256" s="15" t="s">
        <v>97</v>
      </c>
      <c r="E256" s="15" t="s">
        <v>85</v>
      </c>
      <c r="F256" s="15" t="s">
        <v>213</v>
      </c>
      <c r="G256" s="185"/>
      <c r="H256" s="10"/>
      <c r="I256" s="11"/>
      <c r="J256" s="11"/>
      <c r="K256" s="11"/>
      <c r="L256" s="11"/>
      <c r="M256" s="11"/>
      <c r="N256" s="11"/>
      <c r="O256" s="12"/>
      <c r="P256" s="11"/>
      <c r="Q256" s="13"/>
      <c r="R256" s="14"/>
    </row>
    <row r="257" spans="1:18" ht="15" customHeight="1" x14ac:dyDescent="0.3">
      <c r="A257" s="48" t="s">
        <v>95</v>
      </c>
      <c r="B257" s="48" t="s">
        <v>106</v>
      </c>
      <c r="C257" s="49">
        <v>0.23958333333333329</v>
      </c>
      <c r="D257" s="48" t="s">
        <v>99</v>
      </c>
      <c r="E257" s="48" t="s">
        <v>100</v>
      </c>
      <c r="F257" s="48" t="s">
        <v>214</v>
      </c>
      <c r="G257" s="185"/>
      <c r="H257" s="10"/>
      <c r="I257" s="11"/>
      <c r="J257" s="11"/>
      <c r="K257" s="11"/>
      <c r="L257" s="11"/>
      <c r="M257" s="11"/>
      <c r="N257" s="11"/>
      <c r="O257" s="12"/>
      <c r="P257" s="11"/>
      <c r="Q257" s="13"/>
      <c r="R257" s="14"/>
    </row>
    <row r="258" spans="1:18" ht="15" customHeight="1" x14ac:dyDescent="0.3">
      <c r="A258" s="15" t="s">
        <v>95</v>
      </c>
      <c r="B258" s="15" t="s">
        <v>104</v>
      </c>
      <c r="C258" s="16">
        <v>0.1423611111111111</v>
      </c>
      <c r="D258" s="15" t="s">
        <v>97</v>
      </c>
      <c r="E258" s="15" t="s">
        <v>85</v>
      </c>
      <c r="F258" s="15" t="s">
        <v>213</v>
      </c>
      <c r="G258" s="185"/>
      <c r="H258" s="10"/>
      <c r="I258" s="11"/>
      <c r="J258" s="11"/>
      <c r="K258" s="11"/>
      <c r="L258" s="11"/>
      <c r="M258" s="11"/>
      <c r="N258" s="11"/>
      <c r="O258" s="12"/>
      <c r="P258" s="11"/>
      <c r="Q258" s="13"/>
      <c r="R258" s="14"/>
    </row>
    <row r="259" spans="1:18" ht="15" customHeight="1" x14ac:dyDescent="0.3">
      <c r="A259" s="48" t="s">
        <v>95</v>
      </c>
      <c r="B259" s="48" t="s">
        <v>104</v>
      </c>
      <c r="C259" s="49">
        <v>0.1423611111111111</v>
      </c>
      <c r="D259" s="48" t="s">
        <v>99</v>
      </c>
      <c r="E259" s="48" t="s">
        <v>100</v>
      </c>
      <c r="F259" s="48" t="s">
        <v>214</v>
      </c>
      <c r="G259" s="185"/>
      <c r="H259" s="10"/>
      <c r="I259" s="11"/>
      <c r="J259" s="11"/>
      <c r="K259" s="11"/>
      <c r="L259" s="11"/>
      <c r="M259" s="11"/>
      <c r="N259" s="11"/>
      <c r="O259" s="12"/>
      <c r="P259" s="11"/>
      <c r="Q259" s="13"/>
      <c r="R259" s="14"/>
    </row>
    <row r="260" spans="1:18" ht="15" customHeight="1" x14ac:dyDescent="0.3">
      <c r="A260" s="15" t="s">
        <v>95</v>
      </c>
      <c r="B260" s="15" t="s">
        <v>105</v>
      </c>
      <c r="C260" s="16">
        <v>0.93055555555555547</v>
      </c>
      <c r="D260" s="15" t="s">
        <v>97</v>
      </c>
      <c r="E260" s="15" t="s">
        <v>85</v>
      </c>
      <c r="F260" s="15" t="s">
        <v>213</v>
      </c>
      <c r="G260" s="185"/>
      <c r="H260" s="10"/>
      <c r="I260" s="11"/>
      <c r="J260" s="11"/>
      <c r="K260" s="11"/>
      <c r="L260" s="11"/>
      <c r="M260" s="11"/>
      <c r="N260" s="11"/>
      <c r="O260" s="12"/>
      <c r="P260" s="11"/>
      <c r="Q260" s="13"/>
      <c r="R260" s="14"/>
    </row>
    <row r="261" spans="1:18" ht="15" customHeight="1" x14ac:dyDescent="0.3">
      <c r="A261" s="48" t="s">
        <v>95</v>
      </c>
      <c r="B261" s="48" t="s">
        <v>105</v>
      </c>
      <c r="C261" s="49">
        <v>0.93055555555555547</v>
      </c>
      <c r="D261" s="48" t="s">
        <v>99</v>
      </c>
      <c r="E261" s="48" t="s">
        <v>100</v>
      </c>
      <c r="F261" s="48" t="s">
        <v>214</v>
      </c>
      <c r="G261" s="185"/>
      <c r="H261" s="10"/>
      <c r="I261" s="11"/>
      <c r="J261" s="11"/>
      <c r="K261" s="11"/>
      <c r="L261" s="11"/>
      <c r="M261" s="11"/>
      <c r="N261" s="11"/>
      <c r="O261" s="12"/>
      <c r="P261" s="11"/>
      <c r="Q261" s="13"/>
      <c r="R261" s="14"/>
    </row>
    <row r="262" spans="1:18" ht="15" customHeight="1" x14ac:dyDescent="0.3">
      <c r="A262" s="15" t="s">
        <v>95</v>
      </c>
      <c r="B262" s="15" t="s">
        <v>102</v>
      </c>
      <c r="C262" s="16">
        <v>0.71875</v>
      </c>
      <c r="D262" s="15" t="s">
        <v>97</v>
      </c>
      <c r="E262" s="15" t="s">
        <v>85</v>
      </c>
      <c r="F262" s="15" t="s">
        <v>241</v>
      </c>
      <c r="G262" s="185"/>
      <c r="H262" s="10"/>
      <c r="I262" s="11"/>
      <c r="J262" s="11"/>
      <c r="K262" s="11"/>
      <c r="L262" s="11"/>
      <c r="M262" s="11"/>
      <c r="N262" s="11"/>
      <c r="O262" s="12"/>
      <c r="P262" s="11"/>
      <c r="Q262" s="13"/>
      <c r="R262" s="14"/>
    </row>
    <row r="263" spans="1:18" ht="15" customHeight="1" x14ac:dyDescent="0.3">
      <c r="A263" s="48" t="s">
        <v>95</v>
      </c>
      <c r="B263" s="48" t="s">
        <v>102</v>
      </c>
      <c r="C263" s="49">
        <v>0.71875</v>
      </c>
      <c r="D263" s="48" t="s">
        <v>99</v>
      </c>
      <c r="E263" s="48" t="s">
        <v>100</v>
      </c>
      <c r="F263" s="48" t="s">
        <v>242</v>
      </c>
      <c r="G263" s="185"/>
      <c r="H263" s="10"/>
      <c r="I263" s="11"/>
      <c r="J263" s="11"/>
      <c r="K263" s="11"/>
      <c r="L263" s="11"/>
      <c r="M263" s="11"/>
      <c r="N263" s="11"/>
      <c r="O263" s="12"/>
      <c r="P263" s="11"/>
      <c r="Q263" s="13"/>
      <c r="R263" s="14"/>
    </row>
    <row r="264" spans="1:18" ht="15" customHeight="1" x14ac:dyDescent="0.3">
      <c r="A264" s="15" t="s">
        <v>95</v>
      </c>
      <c r="B264" s="15" t="s">
        <v>115</v>
      </c>
      <c r="C264" s="16">
        <v>0.82986111111111116</v>
      </c>
      <c r="D264" s="15" t="s">
        <v>97</v>
      </c>
      <c r="E264" s="15" t="s">
        <v>85</v>
      </c>
      <c r="F264" s="15" t="s">
        <v>241</v>
      </c>
      <c r="G264" s="185"/>
      <c r="H264" s="10"/>
      <c r="I264" s="11"/>
      <c r="J264" s="11"/>
      <c r="K264" s="11"/>
      <c r="L264" s="11"/>
      <c r="M264" s="11"/>
      <c r="N264" s="11"/>
      <c r="O264" s="12"/>
      <c r="P264" s="11"/>
      <c r="Q264" s="13"/>
      <c r="R264" s="14"/>
    </row>
    <row r="265" spans="1:18" ht="15" customHeight="1" x14ac:dyDescent="0.3">
      <c r="A265" s="48" t="s">
        <v>95</v>
      </c>
      <c r="B265" s="48" t="s">
        <v>115</v>
      </c>
      <c r="C265" s="49">
        <v>0.82986111111111116</v>
      </c>
      <c r="D265" s="48" t="s">
        <v>99</v>
      </c>
      <c r="E265" s="48" t="s">
        <v>100</v>
      </c>
      <c r="F265" s="48" t="s">
        <v>242</v>
      </c>
      <c r="G265" s="185"/>
      <c r="H265" s="10"/>
      <c r="I265" s="11"/>
      <c r="J265" s="11"/>
      <c r="K265" s="11"/>
      <c r="L265" s="11"/>
      <c r="M265" s="11"/>
      <c r="N265" s="11"/>
      <c r="O265" s="12"/>
      <c r="P265" s="11"/>
      <c r="Q265" s="13"/>
      <c r="R265" s="14"/>
    </row>
    <row r="266" spans="1:18" ht="15" customHeight="1" x14ac:dyDescent="0.3">
      <c r="A266" s="15" t="s">
        <v>95</v>
      </c>
      <c r="B266" s="15" t="s">
        <v>116</v>
      </c>
      <c r="C266" s="16">
        <v>0.88888888888888884</v>
      </c>
      <c r="D266" s="15" t="s">
        <v>99</v>
      </c>
      <c r="E266" s="15" t="s">
        <v>52</v>
      </c>
      <c r="F266" s="15" t="s">
        <v>215</v>
      </c>
      <c r="G266" s="185"/>
      <c r="H266" s="10"/>
      <c r="I266" s="11"/>
      <c r="J266" s="11"/>
      <c r="K266" s="11"/>
      <c r="L266" s="11"/>
      <c r="M266" s="11"/>
      <c r="N266" s="11"/>
      <c r="O266" s="12"/>
      <c r="P266" s="11"/>
      <c r="Q266" s="13"/>
      <c r="R266" s="14"/>
    </row>
    <row r="267" spans="1:18" ht="15" customHeight="1" x14ac:dyDescent="0.3">
      <c r="A267" s="15" t="s">
        <v>95</v>
      </c>
      <c r="B267" s="15" t="s">
        <v>109</v>
      </c>
      <c r="C267" s="16">
        <v>0.30208333333333331</v>
      </c>
      <c r="D267" s="15" t="s">
        <v>99</v>
      </c>
      <c r="E267" s="15" t="s">
        <v>52</v>
      </c>
      <c r="F267" s="15" t="s">
        <v>215</v>
      </c>
      <c r="G267" s="185"/>
      <c r="H267" s="10"/>
      <c r="I267" s="11"/>
      <c r="J267" s="11"/>
      <c r="K267" s="11"/>
      <c r="L267" s="11"/>
      <c r="M267" s="11"/>
      <c r="N267" s="11"/>
      <c r="O267" s="12"/>
      <c r="P267" s="11"/>
      <c r="Q267" s="13"/>
      <c r="R267" s="14"/>
    </row>
    <row r="268" spans="1:18" ht="15" customHeight="1" x14ac:dyDescent="0.3">
      <c r="A268" s="15" t="s">
        <v>95</v>
      </c>
      <c r="B268" s="15" t="s">
        <v>111</v>
      </c>
      <c r="C268" s="16">
        <v>0.12847222222222221</v>
      </c>
      <c r="D268" s="15" t="s">
        <v>99</v>
      </c>
      <c r="E268" s="15" t="s">
        <v>52</v>
      </c>
      <c r="F268" s="15" t="s">
        <v>215</v>
      </c>
      <c r="G268" s="185"/>
      <c r="H268" s="10"/>
      <c r="I268" s="11"/>
      <c r="J268" s="11"/>
      <c r="K268" s="11"/>
      <c r="L268" s="11"/>
      <c r="M268" s="11"/>
      <c r="N268" s="11"/>
      <c r="O268" s="12"/>
      <c r="P268" s="11"/>
      <c r="Q268" s="13"/>
      <c r="R268" s="14"/>
    </row>
    <row r="269" spans="1:18" ht="15" customHeight="1" x14ac:dyDescent="0.3">
      <c r="A269" s="15" t="s">
        <v>95</v>
      </c>
      <c r="B269" s="15" t="s">
        <v>118</v>
      </c>
      <c r="C269" s="16">
        <v>0.78819444444444453</v>
      </c>
      <c r="D269" s="15" t="s">
        <v>99</v>
      </c>
      <c r="E269" s="15" t="s">
        <v>52</v>
      </c>
      <c r="F269" s="15" t="s">
        <v>215</v>
      </c>
      <c r="G269" s="185"/>
      <c r="H269" s="10"/>
      <c r="I269" s="11"/>
      <c r="J269" s="11"/>
      <c r="K269" s="11"/>
      <c r="L269" s="11"/>
      <c r="M269" s="11"/>
      <c r="N269" s="11"/>
      <c r="O269" s="12"/>
      <c r="P269" s="11"/>
      <c r="Q269" s="13"/>
      <c r="R269" s="14"/>
    </row>
    <row r="270" spans="1:18" ht="15" customHeight="1" x14ac:dyDescent="0.3">
      <c r="A270" s="15" t="s">
        <v>95</v>
      </c>
      <c r="B270" s="15" t="s">
        <v>112</v>
      </c>
      <c r="C270" s="16">
        <v>0.61111111111111105</v>
      </c>
      <c r="D270" s="15" t="s">
        <v>97</v>
      </c>
      <c r="E270" s="15" t="s">
        <v>90</v>
      </c>
      <c r="F270" s="15" t="s">
        <v>243</v>
      </c>
      <c r="G270" s="185"/>
      <c r="H270" s="10"/>
      <c r="I270" s="11"/>
      <c r="J270" s="11"/>
      <c r="K270" s="11"/>
      <c r="L270" s="11"/>
      <c r="M270" s="11"/>
      <c r="N270" s="11"/>
      <c r="O270" s="12"/>
      <c r="P270" s="11"/>
      <c r="Q270" s="13"/>
      <c r="R270" s="14"/>
    </row>
    <row r="271" spans="1:18" ht="15" customHeight="1" x14ac:dyDescent="0.3">
      <c r="A271" s="48" t="s">
        <v>95</v>
      </c>
      <c r="B271" s="48" t="s">
        <v>112</v>
      </c>
      <c r="C271" s="49">
        <v>0.61111111111111105</v>
      </c>
      <c r="D271" s="48" t="s">
        <v>99</v>
      </c>
      <c r="E271" s="48" t="s">
        <v>189</v>
      </c>
      <c r="F271" s="48" t="s">
        <v>244</v>
      </c>
      <c r="G271" s="185"/>
      <c r="H271" s="10"/>
      <c r="I271" s="11"/>
      <c r="J271" s="11"/>
      <c r="K271" s="11"/>
      <c r="L271" s="11"/>
      <c r="M271" s="11"/>
      <c r="N271" s="11"/>
      <c r="O271" s="12"/>
      <c r="P271" s="11"/>
      <c r="Q271" s="13"/>
      <c r="R271" s="14"/>
    </row>
    <row r="272" spans="1:18" ht="15" customHeight="1" x14ac:dyDescent="0.3">
      <c r="A272" s="17" t="s">
        <v>80</v>
      </c>
      <c r="B272" s="17" t="s">
        <v>168</v>
      </c>
      <c r="C272" s="18">
        <v>0.4861111111111111</v>
      </c>
      <c r="D272" s="17" t="s">
        <v>82</v>
      </c>
      <c r="E272" s="17" t="s">
        <v>64</v>
      </c>
      <c r="F272" s="17" t="s">
        <v>211</v>
      </c>
      <c r="G272" s="185"/>
      <c r="H272" s="10"/>
      <c r="I272" s="11"/>
      <c r="J272" s="11"/>
      <c r="K272" s="11"/>
      <c r="L272" s="11"/>
      <c r="M272" s="11"/>
      <c r="N272" s="11"/>
      <c r="O272" s="12"/>
      <c r="P272" s="11"/>
      <c r="Q272" s="13"/>
      <c r="R272" s="14"/>
    </row>
    <row r="273" spans="1:18" ht="15" customHeight="1" x14ac:dyDescent="0.3">
      <c r="A273" s="15" t="s">
        <v>80</v>
      </c>
      <c r="B273" s="15" t="s">
        <v>92</v>
      </c>
      <c r="C273" s="16">
        <v>0.51388888888888895</v>
      </c>
      <c r="D273" s="15" t="s">
        <v>82</v>
      </c>
      <c r="E273" s="15" t="s">
        <v>85</v>
      </c>
      <c r="F273" s="15" t="s">
        <v>211</v>
      </c>
      <c r="G273" s="185"/>
      <c r="H273" s="10"/>
      <c r="I273" s="11"/>
      <c r="J273" s="11"/>
      <c r="K273" s="11"/>
      <c r="L273" s="11"/>
      <c r="M273" s="11"/>
      <c r="N273" s="11"/>
      <c r="O273" s="12"/>
      <c r="P273" s="11"/>
      <c r="Q273" s="13"/>
      <c r="R273" s="14"/>
    </row>
    <row r="274" spans="1:18" ht="15" customHeight="1" x14ac:dyDescent="0.3">
      <c r="A274" s="15" t="s">
        <v>80</v>
      </c>
      <c r="B274" s="15" t="s">
        <v>81</v>
      </c>
      <c r="C274" s="16">
        <v>0.22222222222222221</v>
      </c>
      <c r="D274" s="15" t="s">
        <v>82</v>
      </c>
      <c r="E274" s="15" t="s">
        <v>85</v>
      </c>
      <c r="F274" s="15" t="s">
        <v>83</v>
      </c>
      <c r="G274" s="185"/>
      <c r="H274" s="10"/>
      <c r="I274" s="11"/>
      <c r="J274" s="11"/>
      <c r="K274" s="11"/>
      <c r="L274" s="11"/>
      <c r="M274" s="11"/>
      <c r="N274" s="11"/>
      <c r="O274" s="12"/>
      <c r="P274" s="11"/>
      <c r="Q274" s="13"/>
      <c r="R274" s="14"/>
    </row>
    <row r="275" spans="1:18" ht="15" customHeight="1" x14ac:dyDescent="0.3">
      <c r="A275" s="15" t="s">
        <v>80</v>
      </c>
      <c r="B275" s="15" t="s">
        <v>87</v>
      </c>
      <c r="C275" s="16">
        <v>1.388888888888889E-2</v>
      </c>
      <c r="D275" s="15" t="s">
        <v>82</v>
      </c>
      <c r="E275" s="15" t="s">
        <v>85</v>
      </c>
      <c r="F275" s="15" t="s">
        <v>86</v>
      </c>
      <c r="G275" s="185"/>
      <c r="H275" s="10"/>
      <c r="I275" s="11"/>
      <c r="J275" s="11"/>
      <c r="K275" s="11"/>
      <c r="L275" s="11"/>
      <c r="M275" s="11"/>
      <c r="N275" s="11"/>
      <c r="O275" s="12"/>
      <c r="P275" s="11"/>
      <c r="Q275" s="13"/>
      <c r="R275" s="14"/>
    </row>
    <row r="276" spans="1:18" ht="15" customHeight="1" x14ac:dyDescent="0.3">
      <c r="A276" s="15" t="s">
        <v>80</v>
      </c>
      <c r="B276" s="15" t="s">
        <v>89</v>
      </c>
      <c r="C276" s="16">
        <v>0.14583333333333329</v>
      </c>
      <c r="D276" s="15" t="s">
        <v>82</v>
      </c>
      <c r="E276" s="15" t="s">
        <v>85</v>
      </c>
      <c r="F276" s="15" t="s">
        <v>86</v>
      </c>
      <c r="G276" s="185"/>
      <c r="H276" s="10"/>
      <c r="I276" s="11"/>
      <c r="J276" s="11"/>
      <c r="K276" s="11"/>
      <c r="L276" s="11"/>
      <c r="M276" s="11"/>
      <c r="N276" s="11"/>
      <c r="O276" s="12"/>
      <c r="P276" s="11"/>
      <c r="Q276" s="13"/>
      <c r="R276" s="14"/>
    </row>
    <row r="277" spans="1:18" ht="15" customHeight="1" x14ac:dyDescent="0.3">
      <c r="A277" s="15" t="s">
        <v>80</v>
      </c>
      <c r="B277" s="15" t="s">
        <v>84</v>
      </c>
      <c r="C277" s="16">
        <v>0.27777777777777779</v>
      </c>
      <c r="D277" s="15" t="s">
        <v>82</v>
      </c>
      <c r="E277" s="15" t="s">
        <v>85</v>
      </c>
      <c r="F277" s="15" t="s">
        <v>169</v>
      </c>
      <c r="G277" s="185"/>
      <c r="H277" s="10"/>
      <c r="I277" s="11"/>
      <c r="J277" s="11"/>
      <c r="K277" s="11"/>
      <c r="L277" s="11"/>
      <c r="M277" s="11"/>
      <c r="N277" s="11"/>
      <c r="O277" s="12"/>
      <c r="P277" s="11"/>
      <c r="Q277" s="13"/>
      <c r="R277" s="14"/>
    </row>
    <row r="278" spans="1:18" ht="15" customHeight="1" x14ac:dyDescent="0.3">
      <c r="A278" s="50" t="s">
        <v>80</v>
      </c>
      <c r="B278" s="50" t="s">
        <v>93</v>
      </c>
      <c r="C278" s="51">
        <v>0.77430555555555547</v>
      </c>
      <c r="D278" s="50" t="s">
        <v>82</v>
      </c>
      <c r="E278" s="50" t="s">
        <v>85</v>
      </c>
      <c r="F278" s="50" t="s">
        <v>91</v>
      </c>
      <c r="G278" s="186"/>
      <c r="H278" s="52"/>
      <c r="I278" s="53"/>
      <c r="J278" s="53"/>
      <c r="K278" s="53"/>
      <c r="L278" s="53"/>
      <c r="M278" s="53"/>
      <c r="N278" s="53"/>
      <c r="O278" s="54"/>
      <c r="P278" s="53"/>
      <c r="Q278" s="55"/>
      <c r="R278" s="56"/>
    </row>
  </sheetData>
  <mergeCells count="22">
    <mergeCell ref="G6:G48"/>
    <mergeCell ref="A201:F201"/>
    <mergeCell ref="A49:R49"/>
    <mergeCell ref="H124:R124"/>
    <mergeCell ref="A123:R123"/>
    <mergeCell ref="A124:F124"/>
    <mergeCell ref="G203:G278"/>
    <mergeCell ref="H1:L1"/>
    <mergeCell ref="A1:E1"/>
    <mergeCell ref="A50:F50"/>
    <mergeCell ref="H4:R4"/>
    <mergeCell ref="H50:R50"/>
    <mergeCell ref="A2:F2"/>
    <mergeCell ref="A3:R3"/>
    <mergeCell ref="H201:R201"/>
    <mergeCell ref="G2:J2"/>
    <mergeCell ref="A4:F4"/>
    <mergeCell ref="G126:G199"/>
    <mergeCell ref="N1:R1"/>
    <mergeCell ref="A200:R200"/>
    <mergeCell ref="G52:G12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0"/>
  <sheetViews>
    <sheetView workbookViewId="0"/>
  </sheetViews>
  <sheetFormatPr defaultRowHeight="15.6" outlineLevelCol="1" x14ac:dyDescent="0.3"/>
  <cols>
    <col min="1" max="1" width="11.6640625" style="206" bestFit="1" customWidth="1"/>
    <col min="2" max="2" width="11.109375" style="206" bestFit="1" customWidth="1"/>
    <col min="3" max="3" width="7.88671875" style="206" bestFit="1" customWidth="1"/>
    <col min="4" max="4" width="6.77734375" style="206" bestFit="1" customWidth="1"/>
    <col min="5" max="5" width="8.6640625" style="206" bestFit="1" customWidth="1"/>
    <col min="6" max="6" width="5.21875" style="206" bestFit="1" customWidth="1"/>
    <col min="7" max="7" width="10" style="206" bestFit="1" customWidth="1"/>
    <col min="8" max="10" width="8.5546875" style="206" bestFit="1" customWidth="1"/>
    <col min="11" max="11" width="12.21875" style="206" bestFit="1" customWidth="1"/>
    <col min="12" max="12" width="10.109375" style="206" bestFit="1" customWidth="1"/>
    <col min="13" max="13" width="8.77734375" style="206" bestFit="1" customWidth="1" outlineLevel="1"/>
    <col min="14" max="14" width="7.33203125" style="206" bestFit="1" customWidth="1" outlineLevel="1"/>
    <col min="15" max="15" width="9.109375" style="206" bestFit="1" customWidth="1" outlineLevel="1"/>
    <col min="16" max="16" width="15.33203125" style="206" bestFit="1" customWidth="1"/>
    <col min="17" max="21" width="3.88671875" style="206" bestFit="1" customWidth="1"/>
    <col min="22" max="22" width="4" style="206" bestFit="1" customWidth="1"/>
    <col min="23" max="23" width="4.109375" style="206" bestFit="1" customWidth="1"/>
    <col min="24" max="24" width="3.88671875" style="206" bestFit="1" customWidth="1"/>
    <col min="25" max="25" width="5.33203125" style="206" bestFit="1" customWidth="1"/>
    <col min="26" max="26" width="4.88671875" style="206" bestFit="1" customWidth="1"/>
    <col min="27" max="27" width="5.88671875" style="206" bestFit="1" customWidth="1"/>
    <col min="28" max="28" width="5" style="206" bestFit="1" customWidth="1"/>
    <col min="29" max="29" width="5.109375" style="206" bestFit="1" customWidth="1"/>
    <col min="30" max="31" width="5.33203125" style="206" bestFit="1" customWidth="1"/>
    <col min="32" max="32" width="4.44140625" style="206" bestFit="1" customWidth="1"/>
    <col min="33" max="33" width="5" style="206" bestFit="1" customWidth="1"/>
    <col min="34" max="34" width="3.88671875" style="206" bestFit="1" customWidth="1"/>
    <col min="35" max="35" width="6.21875" style="206" bestFit="1" customWidth="1"/>
    <col min="36" max="36" width="4.21875" style="206" bestFit="1" customWidth="1"/>
    <col min="37" max="16384" width="8.88671875" style="206"/>
  </cols>
  <sheetData>
    <row r="1" spans="1:36" x14ac:dyDescent="0.3">
      <c r="A1" s="205" t="s">
        <v>245</v>
      </c>
      <c r="B1" s="205" t="s">
        <v>246</v>
      </c>
      <c r="C1" s="205" t="s">
        <v>247</v>
      </c>
      <c r="D1" s="205" t="s">
        <v>23</v>
      </c>
      <c r="E1" s="205" t="s">
        <v>248</v>
      </c>
      <c r="F1" s="205" t="s">
        <v>249</v>
      </c>
      <c r="G1" s="205" t="s">
        <v>16</v>
      </c>
      <c r="H1" s="205" t="s">
        <v>250</v>
      </c>
      <c r="I1" s="205" t="s">
        <v>251</v>
      </c>
      <c r="J1" s="205" t="s">
        <v>252</v>
      </c>
      <c r="K1" s="205" t="s">
        <v>253</v>
      </c>
      <c r="L1" s="205" t="s">
        <v>18</v>
      </c>
      <c r="M1" s="205" t="s">
        <v>20</v>
      </c>
      <c r="N1" s="205" t="s">
        <v>21</v>
      </c>
      <c r="O1" s="205" t="s">
        <v>19</v>
      </c>
      <c r="P1" s="205" t="s">
        <v>22</v>
      </c>
      <c r="Q1" s="205" t="s">
        <v>254</v>
      </c>
      <c r="R1" s="205" t="s">
        <v>255</v>
      </c>
      <c r="S1" s="205" t="s">
        <v>256</v>
      </c>
      <c r="T1" s="205" t="s">
        <v>257</v>
      </c>
      <c r="U1" s="205" t="s">
        <v>258</v>
      </c>
      <c r="V1" s="205" t="s">
        <v>259</v>
      </c>
      <c r="W1" s="205" t="s">
        <v>260</v>
      </c>
      <c r="X1" s="205" t="s">
        <v>261</v>
      </c>
      <c r="Y1" s="205" t="s">
        <v>262</v>
      </c>
      <c r="Z1" s="205" t="s">
        <v>263</v>
      </c>
      <c r="AA1" s="205" t="s">
        <v>264</v>
      </c>
      <c r="AB1" s="205" t="s">
        <v>265</v>
      </c>
      <c r="AC1" s="205" t="s">
        <v>266</v>
      </c>
      <c r="AD1" s="205" t="s">
        <v>267</v>
      </c>
      <c r="AE1" s="205" t="s">
        <v>268</v>
      </c>
      <c r="AF1" s="205" t="s">
        <v>269</v>
      </c>
      <c r="AG1" s="205" t="s">
        <v>270</v>
      </c>
      <c r="AH1" s="205" t="s">
        <v>271</v>
      </c>
      <c r="AI1" s="205" t="s">
        <v>272</v>
      </c>
      <c r="AJ1" s="205" t="s">
        <v>273</v>
      </c>
    </row>
    <row r="2" spans="1:36" x14ac:dyDescent="0.3">
      <c r="A2" s="207" t="s">
        <v>274</v>
      </c>
      <c r="B2" s="208">
        <v>45983</v>
      </c>
      <c r="C2" s="209" t="s">
        <v>73</v>
      </c>
      <c r="D2" s="210" t="s">
        <v>275</v>
      </c>
      <c r="E2" s="209" t="s">
        <v>1</v>
      </c>
      <c r="F2" s="209" t="s">
        <v>276</v>
      </c>
      <c r="G2" s="211">
        <v>1</v>
      </c>
      <c r="H2" s="212">
        <v>179</v>
      </c>
      <c r="I2" s="212">
        <v>179</v>
      </c>
      <c r="J2" s="212">
        <v>50</v>
      </c>
      <c r="K2" s="209" t="s">
        <v>277</v>
      </c>
      <c r="L2" s="213">
        <v>45971</v>
      </c>
      <c r="M2" s="212">
        <v>0</v>
      </c>
      <c r="N2" s="212">
        <v>0</v>
      </c>
      <c r="O2" s="212">
        <v>0</v>
      </c>
      <c r="P2" s="209" t="s">
        <v>76</v>
      </c>
      <c r="Q2" s="205"/>
      <c r="R2" s="205"/>
      <c r="S2" s="205"/>
      <c r="T2" s="205"/>
      <c r="U2" s="205"/>
      <c r="V2" s="205"/>
      <c r="W2" s="212" t="s">
        <v>278</v>
      </c>
      <c r="X2" s="205"/>
      <c r="Y2" s="212" t="s">
        <v>279</v>
      </c>
      <c r="Z2" s="212" t="s">
        <v>280</v>
      </c>
      <c r="AA2" s="212" t="s">
        <v>281</v>
      </c>
      <c r="AB2" s="212" t="s">
        <v>282</v>
      </c>
      <c r="AC2" s="212" t="s">
        <v>283</v>
      </c>
      <c r="AD2" s="212" t="s">
        <v>284</v>
      </c>
      <c r="AE2" s="212" t="s">
        <v>285</v>
      </c>
      <c r="AF2" s="212" t="s">
        <v>286</v>
      </c>
      <c r="AG2" s="205"/>
      <c r="AH2" s="205"/>
      <c r="AI2" s="212" t="s">
        <v>287</v>
      </c>
      <c r="AJ2" s="205"/>
    </row>
    <row r="3" spans="1:36" x14ac:dyDescent="0.3">
      <c r="A3" s="207" t="s">
        <v>274</v>
      </c>
      <c r="B3" s="208">
        <v>45983</v>
      </c>
      <c r="C3" s="209" t="s">
        <v>78</v>
      </c>
      <c r="D3" s="210" t="s">
        <v>288</v>
      </c>
      <c r="E3" s="209" t="s">
        <v>1</v>
      </c>
      <c r="F3" s="209" t="s">
        <v>276</v>
      </c>
      <c r="G3" s="211">
        <v>1</v>
      </c>
      <c r="H3" s="212">
        <v>179</v>
      </c>
      <c r="I3" s="212">
        <v>179</v>
      </c>
      <c r="J3" s="212">
        <v>134</v>
      </c>
      <c r="K3" s="209" t="s">
        <v>277</v>
      </c>
      <c r="L3" s="213">
        <v>45979</v>
      </c>
      <c r="M3" s="212">
        <v>0</v>
      </c>
      <c r="N3" s="212">
        <v>0</v>
      </c>
      <c r="O3" s="212">
        <v>4</v>
      </c>
      <c r="P3" s="209" t="s">
        <v>76</v>
      </c>
      <c r="Q3" s="205"/>
      <c r="R3" s="205"/>
      <c r="S3" s="205"/>
      <c r="T3" s="205"/>
      <c r="U3" s="205"/>
      <c r="V3" s="212" t="s">
        <v>289</v>
      </c>
      <c r="W3" s="205"/>
      <c r="X3" s="212" t="s">
        <v>290</v>
      </c>
      <c r="Y3" s="205"/>
      <c r="Z3" s="212" t="s">
        <v>291</v>
      </c>
      <c r="AA3" s="212" t="s">
        <v>205</v>
      </c>
      <c r="AB3" s="205"/>
      <c r="AC3" s="205"/>
      <c r="AD3" s="205"/>
      <c r="AE3" s="205"/>
      <c r="AF3" s="205"/>
      <c r="AG3" s="205"/>
      <c r="AH3" s="205"/>
      <c r="AI3" s="212" t="s">
        <v>292</v>
      </c>
      <c r="AJ3" s="212" t="s">
        <v>293</v>
      </c>
    </row>
    <row r="4" spans="1:36" x14ac:dyDescent="0.3">
      <c r="A4" s="207" t="s">
        <v>274</v>
      </c>
      <c r="B4" s="208">
        <v>45983</v>
      </c>
      <c r="C4" s="209" t="s">
        <v>70</v>
      </c>
      <c r="D4" s="210" t="s">
        <v>294</v>
      </c>
      <c r="E4" s="209" t="s">
        <v>1</v>
      </c>
      <c r="F4" s="209" t="s">
        <v>276</v>
      </c>
      <c r="G4" s="211">
        <v>0.99439999999999995</v>
      </c>
      <c r="H4" s="212">
        <v>179</v>
      </c>
      <c r="I4" s="212">
        <v>178</v>
      </c>
      <c r="J4" s="212">
        <v>127</v>
      </c>
      <c r="K4" s="209" t="s">
        <v>277</v>
      </c>
      <c r="L4" s="213">
        <v>45977</v>
      </c>
      <c r="M4" s="212">
        <v>0</v>
      </c>
      <c r="N4" s="212">
        <v>0</v>
      </c>
      <c r="O4" s="212">
        <v>3</v>
      </c>
      <c r="P4" s="209" t="s">
        <v>71</v>
      </c>
      <c r="Q4" s="205"/>
      <c r="R4" s="205"/>
      <c r="S4" s="205"/>
      <c r="T4" s="205"/>
      <c r="U4" s="205"/>
      <c r="V4" s="212" t="s">
        <v>295</v>
      </c>
      <c r="W4" s="205"/>
      <c r="X4" s="212" t="s">
        <v>296</v>
      </c>
      <c r="Y4" s="212" t="s">
        <v>297</v>
      </c>
      <c r="Z4" s="212" t="s">
        <v>298</v>
      </c>
      <c r="AA4" s="212" t="s">
        <v>299</v>
      </c>
      <c r="AB4" s="212" t="s">
        <v>282</v>
      </c>
      <c r="AC4" s="212" t="s">
        <v>300</v>
      </c>
      <c r="AD4" s="212" t="s">
        <v>301</v>
      </c>
      <c r="AE4" s="212" t="s">
        <v>302</v>
      </c>
      <c r="AF4" s="212" t="s">
        <v>303</v>
      </c>
      <c r="AG4" s="212" t="s">
        <v>304</v>
      </c>
      <c r="AH4" s="205"/>
      <c r="AI4" s="212" t="s">
        <v>305</v>
      </c>
      <c r="AJ4" s="212" t="s">
        <v>306</v>
      </c>
    </row>
    <row r="5" spans="1:36" x14ac:dyDescent="0.3">
      <c r="A5" s="207" t="s">
        <v>307</v>
      </c>
      <c r="B5" s="208">
        <v>45984</v>
      </c>
      <c r="C5" s="209" t="s">
        <v>137</v>
      </c>
      <c r="D5" s="210" t="s">
        <v>308</v>
      </c>
      <c r="E5" s="209" t="s">
        <v>1</v>
      </c>
      <c r="F5" s="209" t="s">
        <v>276</v>
      </c>
      <c r="G5" s="211">
        <v>0.62009999999999998</v>
      </c>
      <c r="H5" s="212">
        <v>179</v>
      </c>
      <c r="I5" s="212">
        <v>111</v>
      </c>
      <c r="J5" s="212">
        <v>28</v>
      </c>
      <c r="K5" s="209" t="s">
        <v>277</v>
      </c>
      <c r="L5" s="213">
        <v>45980</v>
      </c>
      <c r="M5" s="212">
        <v>0</v>
      </c>
      <c r="N5" s="212">
        <v>7</v>
      </c>
      <c r="O5" s="212">
        <v>50</v>
      </c>
      <c r="P5" s="209" t="s">
        <v>138</v>
      </c>
      <c r="Q5" s="205"/>
      <c r="R5" s="205"/>
      <c r="S5" s="205"/>
      <c r="T5" s="205"/>
      <c r="U5" s="205"/>
      <c r="V5" s="205"/>
      <c r="W5" s="205"/>
      <c r="X5" s="205"/>
      <c r="Y5" s="205"/>
      <c r="Z5" s="212" t="s">
        <v>309</v>
      </c>
      <c r="AA5" s="212" t="s">
        <v>310</v>
      </c>
      <c r="AB5" s="212" t="s">
        <v>311</v>
      </c>
      <c r="AC5" s="212" t="s">
        <v>235</v>
      </c>
      <c r="AD5" s="212" t="s">
        <v>301</v>
      </c>
      <c r="AE5" s="212" t="s">
        <v>312</v>
      </c>
      <c r="AF5" s="212" t="s">
        <v>303</v>
      </c>
      <c r="AG5" s="205"/>
      <c r="AH5" s="205"/>
      <c r="AI5" s="212" t="s">
        <v>313</v>
      </c>
      <c r="AJ5" s="212" t="s">
        <v>314</v>
      </c>
    </row>
    <row r="6" spans="1:36" x14ac:dyDescent="0.3">
      <c r="A6" s="207" t="s">
        <v>307</v>
      </c>
      <c r="B6" s="208">
        <v>45984</v>
      </c>
      <c r="C6" s="209" t="s">
        <v>78</v>
      </c>
      <c r="D6" s="210" t="s">
        <v>315</v>
      </c>
      <c r="E6" s="209" t="s">
        <v>1</v>
      </c>
      <c r="F6" s="209" t="s">
        <v>276</v>
      </c>
      <c r="G6" s="211">
        <v>0.54190000000000005</v>
      </c>
      <c r="H6" s="212">
        <v>179</v>
      </c>
      <c r="I6" s="212">
        <v>97</v>
      </c>
      <c r="J6" s="212">
        <v>0</v>
      </c>
      <c r="K6" s="209" t="s">
        <v>277</v>
      </c>
      <c r="L6" s="213">
        <v>45979</v>
      </c>
      <c r="M6" s="212">
        <v>0</v>
      </c>
      <c r="N6" s="212">
        <v>0</v>
      </c>
      <c r="O6" s="212">
        <v>34</v>
      </c>
      <c r="P6" s="209" t="s">
        <v>141</v>
      </c>
      <c r="Q6" s="205"/>
      <c r="R6" s="205"/>
      <c r="S6" s="205"/>
      <c r="T6" s="205"/>
      <c r="U6" s="205"/>
      <c r="V6" s="205"/>
      <c r="W6" s="205"/>
      <c r="X6" s="205"/>
      <c r="Y6" s="212" t="s">
        <v>146</v>
      </c>
      <c r="Z6" s="212" t="s">
        <v>316</v>
      </c>
      <c r="AA6" s="212" t="s">
        <v>317</v>
      </c>
      <c r="AB6" s="212" t="s">
        <v>318</v>
      </c>
      <c r="AC6" s="212" t="s">
        <v>319</v>
      </c>
      <c r="AD6" s="212" t="s">
        <v>301</v>
      </c>
      <c r="AE6" s="212" t="s">
        <v>320</v>
      </c>
      <c r="AF6" s="212" t="s">
        <v>321</v>
      </c>
      <c r="AG6" s="205"/>
      <c r="AH6" s="205"/>
      <c r="AI6" s="205"/>
      <c r="AJ6" s="205"/>
    </row>
    <row r="7" spans="1:36" x14ac:dyDescent="0.3">
      <c r="A7" s="207" t="s">
        <v>307</v>
      </c>
      <c r="B7" s="208">
        <v>45984</v>
      </c>
      <c r="C7" s="209" t="s">
        <v>132</v>
      </c>
      <c r="D7" s="210" t="s">
        <v>288</v>
      </c>
      <c r="E7" s="209" t="s">
        <v>1</v>
      </c>
      <c r="F7" s="209" t="s">
        <v>276</v>
      </c>
      <c r="G7" s="211">
        <v>0.875</v>
      </c>
      <c r="H7" s="212">
        <v>168</v>
      </c>
      <c r="I7" s="212">
        <v>147</v>
      </c>
      <c r="J7" s="212">
        <v>62</v>
      </c>
      <c r="K7" s="209" t="s">
        <v>277</v>
      </c>
      <c r="L7" s="213">
        <v>45980</v>
      </c>
      <c r="M7" s="212">
        <v>0</v>
      </c>
      <c r="N7" s="212">
        <v>6</v>
      </c>
      <c r="O7" s="212">
        <v>30</v>
      </c>
      <c r="P7" s="209" t="s">
        <v>133</v>
      </c>
      <c r="Q7" s="205"/>
      <c r="R7" s="205"/>
      <c r="S7" s="205"/>
      <c r="T7" s="205"/>
      <c r="U7" s="205"/>
      <c r="V7" s="205"/>
      <c r="W7" s="205"/>
      <c r="X7" s="205"/>
      <c r="Y7" s="212" t="s">
        <v>322</v>
      </c>
      <c r="Z7" s="212" t="s">
        <v>323</v>
      </c>
      <c r="AA7" s="212" t="s">
        <v>324</v>
      </c>
      <c r="AB7" s="212" t="s">
        <v>325</v>
      </c>
      <c r="AC7" s="212" t="s">
        <v>319</v>
      </c>
      <c r="AD7" s="212" t="s">
        <v>326</v>
      </c>
      <c r="AE7" s="212" t="s">
        <v>312</v>
      </c>
      <c r="AF7" s="212" t="s">
        <v>321</v>
      </c>
      <c r="AG7" s="205"/>
      <c r="AH7" s="205"/>
      <c r="AI7" s="212" t="s">
        <v>327</v>
      </c>
      <c r="AJ7" s="205"/>
    </row>
    <row r="8" spans="1:36" x14ac:dyDescent="0.3">
      <c r="A8" s="207" t="s">
        <v>307</v>
      </c>
      <c r="B8" s="208">
        <v>45984</v>
      </c>
      <c r="C8" s="209" t="s">
        <v>145</v>
      </c>
      <c r="D8" s="210" t="s">
        <v>328</v>
      </c>
      <c r="E8" s="209" t="s">
        <v>1</v>
      </c>
      <c r="F8" s="209" t="s">
        <v>276</v>
      </c>
      <c r="G8" s="211">
        <v>0.92179999999999995</v>
      </c>
      <c r="H8" s="212">
        <v>179</v>
      </c>
      <c r="I8" s="212">
        <v>165</v>
      </c>
      <c r="J8" s="212">
        <v>128</v>
      </c>
      <c r="K8" s="209" t="s">
        <v>277</v>
      </c>
      <c r="L8" s="213">
        <v>45980</v>
      </c>
      <c r="M8" s="212">
        <v>0</v>
      </c>
      <c r="N8" s="212">
        <v>3</v>
      </c>
      <c r="O8" s="212">
        <v>8</v>
      </c>
      <c r="P8" s="209" t="s">
        <v>146</v>
      </c>
      <c r="Q8" s="205"/>
      <c r="R8" s="205"/>
      <c r="S8" s="205"/>
      <c r="T8" s="205"/>
      <c r="U8" s="205"/>
      <c r="V8" s="205"/>
      <c r="W8" s="205"/>
      <c r="X8" s="212" t="s">
        <v>290</v>
      </c>
      <c r="Y8" s="212" t="s">
        <v>297</v>
      </c>
      <c r="Z8" s="212" t="s">
        <v>329</v>
      </c>
      <c r="AA8" s="205"/>
      <c r="AB8" s="205"/>
      <c r="AC8" s="205"/>
      <c r="AD8" s="212" t="s">
        <v>330</v>
      </c>
      <c r="AE8" s="212" t="s">
        <v>320</v>
      </c>
      <c r="AF8" s="212" t="s">
        <v>331</v>
      </c>
      <c r="AG8" s="205"/>
      <c r="AH8" s="205"/>
      <c r="AI8" s="212" t="s">
        <v>332</v>
      </c>
      <c r="AJ8" s="205"/>
    </row>
    <row r="9" spans="1:36" x14ac:dyDescent="0.3">
      <c r="A9" s="207" t="s">
        <v>307</v>
      </c>
      <c r="B9" s="208">
        <v>45984</v>
      </c>
      <c r="C9" s="209" t="s">
        <v>70</v>
      </c>
      <c r="D9" s="210" t="s">
        <v>333</v>
      </c>
      <c r="E9" s="209" t="s">
        <v>1</v>
      </c>
      <c r="F9" s="209" t="s">
        <v>276</v>
      </c>
      <c r="G9" s="211">
        <v>1.0112000000000001</v>
      </c>
      <c r="H9" s="212">
        <v>179</v>
      </c>
      <c r="I9" s="212">
        <v>181</v>
      </c>
      <c r="J9" s="212">
        <v>128</v>
      </c>
      <c r="K9" s="209" t="s">
        <v>277</v>
      </c>
      <c r="L9" s="213">
        <v>45980</v>
      </c>
      <c r="M9" s="212">
        <v>0</v>
      </c>
      <c r="N9" s="212">
        <v>3</v>
      </c>
      <c r="O9" s="212">
        <v>12</v>
      </c>
      <c r="P9" s="209" t="s">
        <v>76</v>
      </c>
      <c r="Q9" s="205"/>
      <c r="R9" s="205"/>
      <c r="S9" s="205"/>
      <c r="T9" s="205"/>
      <c r="U9" s="205"/>
      <c r="V9" s="205"/>
      <c r="W9" s="205"/>
      <c r="X9" s="212" t="s">
        <v>296</v>
      </c>
      <c r="Y9" s="212" t="s">
        <v>334</v>
      </c>
      <c r="Z9" s="212" t="s">
        <v>335</v>
      </c>
      <c r="AA9" s="205"/>
      <c r="AB9" s="212" t="s">
        <v>336</v>
      </c>
      <c r="AC9" s="212" t="s">
        <v>300</v>
      </c>
      <c r="AD9" s="212" t="s">
        <v>301</v>
      </c>
      <c r="AE9" s="212" t="s">
        <v>320</v>
      </c>
      <c r="AF9" s="212" t="s">
        <v>331</v>
      </c>
      <c r="AG9" s="205"/>
      <c r="AH9" s="205"/>
      <c r="AI9" s="212" t="s">
        <v>337</v>
      </c>
      <c r="AJ9" s="205"/>
    </row>
    <row r="10" spans="1:36" x14ac:dyDescent="0.3">
      <c r="A10" s="207" t="s">
        <v>338</v>
      </c>
      <c r="B10" s="208">
        <v>45985</v>
      </c>
      <c r="C10" s="209" t="s">
        <v>202</v>
      </c>
      <c r="D10" s="210" t="s">
        <v>339</v>
      </c>
      <c r="E10" s="209" t="s">
        <v>1</v>
      </c>
      <c r="F10" s="209" t="s">
        <v>276</v>
      </c>
      <c r="G10" s="211">
        <v>0.3911</v>
      </c>
      <c r="H10" s="212">
        <v>179</v>
      </c>
      <c r="I10" s="212">
        <v>70</v>
      </c>
      <c r="J10" s="212">
        <v>0</v>
      </c>
      <c r="K10" s="209" t="s">
        <v>277</v>
      </c>
      <c r="L10" s="213">
        <v>45980</v>
      </c>
      <c r="M10" s="212">
        <v>0</v>
      </c>
      <c r="N10" s="212">
        <v>7</v>
      </c>
      <c r="O10" s="212">
        <v>43</v>
      </c>
      <c r="P10" s="209" t="s">
        <v>197</v>
      </c>
      <c r="Q10" s="205"/>
      <c r="R10" s="205"/>
      <c r="S10" s="205"/>
      <c r="T10" s="205"/>
      <c r="U10" s="205"/>
      <c r="V10" s="205"/>
      <c r="W10" s="205"/>
      <c r="X10" s="205"/>
      <c r="Y10" s="205"/>
      <c r="Z10" s="212" t="s">
        <v>340</v>
      </c>
      <c r="AA10" s="205"/>
      <c r="AB10" s="212" t="s">
        <v>341</v>
      </c>
      <c r="AC10" s="212" t="s">
        <v>342</v>
      </c>
      <c r="AD10" s="212" t="s">
        <v>343</v>
      </c>
      <c r="AE10" s="212" t="s">
        <v>344</v>
      </c>
      <c r="AF10" s="212" t="s">
        <v>345</v>
      </c>
      <c r="AG10" s="205"/>
      <c r="AH10" s="205"/>
      <c r="AI10" s="205"/>
      <c r="AJ10" s="205"/>
    </row>
    <row r="11" spans="1:36" x14ac:dyDescent="0.3">
      <c r="A11" s="207" t="s">
        <v>338</v>
      </c>
      <c r="B11" s="208">
        <v>45985</v>
      </c>
      <c r="C11" s="209" t="s">
        <v>78</v>
      </c>
      <c r="D11" s="210" t="s">
        <v>346</v>
      </c>
      <c r="E11" s="209" t="s">
        <v>1</v>
      </c>
      <c r="F11" s="209" t="s">
        <v>276</v>
      </c>
      <c r="G11" s="211">
        <v>0.86029999999999995</v>
      </c>
      <c r="H11" s="212">
        <v>179</v>
      </c>
      <c r="I11" s="212">
        <v>154</v>
      </c>
      <c r="J11" s="212">
        <v>84</v>
      </c>
      <c r="K11" s="209" t="s">
        <v>277</v>
      </c>
      <c r="L11" s="213">
        <v>45980</v>
      </c>
      <c r="M11" s="212">
        <v>0</v>
      </c>
      <c r="N11" s="212">
        <v>10</v>
      </c>
      <c r="O11" s="212">
        <v>33</v>
      </c>
      <c r="P11" s="209" t="s">
        <v>199</v>
      </c>
      <c r="Q11" s="205"/>
      <c r="R11" s="205"/>
      <c r="S11" s="205"/>
      <c r="T11" s="205"/>
      <c r="U11" s="205"/>
      <c r="V11" s="205"/>
      <c r="W11" s="205"/>
      <c r="X11" s="205"/>
      <c r="Y11" s="205"/>
      <c r="Z11" s="212" t="s">
        <v>340</v>
      </c>
      <c r="AA11" s="205"/>
      <c r="AB11" s="212" t="s">
        <v>347</v>
      </c>
      <c r="AC11" s="212" t="s">
        <v>348</v>
      </c>
      <c r="AD11" s="212" t="s">
        <v>349</v>
      </c>
      <c r="AE11" s="212" t="s">
        <v>350</v>
      </c>
      <c r="AF11" s="212" t="s">
        <v>351</v>
      </c>
      <c r="AG11" s="205"/>
      <c r="AH11" s="205"/>
      <c r="AI11" s="212" t="s">
        <v>352</v>
      </c>
      <c r="AJ11" s="212" t="s">
        <v>293</v>
      </c>
    </row>
    <row r="12" spans="1:36" x14ac:dyDescent="0.3">
      <c r="A12" s="207" t="s">
        <v>338</v>
      </c>
      <c r="B12" s="208">
        <v>45985</v>
      </c>
      <c r="C12" s="209" t="s">
        <v>70</v>
      </c>
      <c r="D12" s="210" t="s">
        <v>353</v>
      </c>
      <c r="E12" s="209" t="s">
        <v>1</v>
      </c>
      <c r="F12" s="209" t="s">
        <v>276</v>
      </c>
      <c r="G12" s="211">
        <v>0.83799999999999997</v>
      </c>
      <c r="H12" s="212">
        <v>179</v>
      </c>
      <c r="I12" s="212">
        <v>150</v>
      </c>
      <c r="J12" s="212">
        <v>93</v>
      </c>
      <c r="K12" s="209" t="s">
        <v>277</v>
      </c>
      <c r="L12" s="213">
        <v>45980</v>
      </c>
      <c r="M12" s="212">
        <v>0</v>
      </c>
      <c r="N12" s="212">
        <v>9</v>
      </c>
      <c r="O12" s="212">
        <v>32</v>
      </c>
      <c r="P12" s="209" t="s">
        <v>205</v>
      </c>
      <c r="Q12" s="205"/>
      <c r="R12" s="205"/>
      <c r="S12" s="205"/>
      <c r="T12" s="205"/>
      <c r="U12" s="205"/>
      <c r="V12" s="205"/>
      <c r="W12" s="205"/>
      <c r="X12" s="205"/>
      <c r="Y12" s="205"/>
      <c r="Z12" s="212" t="s">
        <v>141</v>
      </c>
      <c r="AA12" s="205"/>
      <c r="AB12" s="212" t="s">
        <v>354</v>
      </c>
      <c r="AC12" s="212" t="s">
        <v>355</v>
      </c>
      <c r="AD12" s="212" t="s">
        <v>356</v>
      </c>
      <c r="AE12" s="212" t="s">
        <v>344</v>
      </c>
      <c r="AF12" s="212" t="s">
        <v>321</v>
      </c>
      <c r="AG12" s="205"/>
      <c r="AH12" s="205"/>
      <c r="AI12" s="212" t="s">
        <v>357</v>
      </c>
      <c r="AJ12" s="205"/>
    </row>
    <row r="13" spans="1:36" x14ac:dyDescent="0.3">
      <c r="A13" s="207" t="s">
        <v>338</v>
      </c>
      <c r="B13" s="208">
        <v>45985</v>
      </c>
      <c r="C13" s="209" t="s">
        <v>145</v>
      </c>
      <c r="D13" s="210" t="s">
        <v>358</v>
      </c>
      <c r="E13" s="209" t="s">
        <v>1</v>
      </c>
      <c r="F13" s="209" t="s">
        <v>276</v>
      </c>
      <c r="G13" s="211">
        <v>0.91620000000000001</v>
      </c>
      <c r="H13" s="212">
        <v>179</v>
      </c>
      <c r="I13" s="212">
        <v>164</v>
      </c>
      <c r="J13" s="212">
        <v>108</v>
      </c>
      <c r="K13" s="209" t="s">
        <v>277</v>
      </c>
      <c r="L13" s="213">
        <v>45980</v>
      </c>
      <c r="M13" s="212">
        <v>0</v>
      </c>
      <c r="N13" s="212">
        <v>8</v>
      </c>
      <c r="O13" s="212">
        <v>23</v>
      </c>
      <c r="P13" s="209" t="s">
        <v>197</v>
      </c>
      <c r="Q13" s="205"/>
      <c r="R13" s="205"/>
      <c r="S13" s="205"/>
      <c r="T13" s="205"/>
      <c r="U13" s="205"/>
      <c r="V13" s="205"/>
      <c r="W13" s="205"/>
      <c r="X13" s="205"/>
      <c r="Y13" s="205"/>
      <c r="Z13" s="212" t="s">
        <v>138</v>
      </c>
      <c r="AA13" s="205"/>
      <c r="AB13" s="212" t="s">
        <v>359</v>
      </c>
      <c r="AC13" s="212" t="s">
        <v>342</v>
      </c>
      <c r="AD13" s="212" t="s">
        <v>356</v>
      </c>
      <c r="AE13" s="212" t="s">
        <v>344</v>
      </c>
      <c r="AF13" s="212" t="s">
        <v>360</v>
      </c>
      <c r="AG13" s="205"/>
      <c r="AH13" s="205"/>
      <c r="AI13" s="212" t="s">
        <v>361</v>
      </c>
      <c r="AJ13" s="205"/>
    </row>
    <row r="14" spans="1:36" x14ac:dyDescent="0.3">
      <c r="A14" s="207" t="s">
        <v>362</v>
      </c>
      <c r="B14" s="208">
        <v>45986</v>
      </c>
      <c r="C14" s="209" t="s">
        <v>228</v>
      </c>
      <c r="D14" s="210" t="s">
        <v>363</v>
      </c>
      <c r="E14" s="209" t="s">
        <v>1</v>
      </c>
      <c r="F14" s="209" t="s">
        <v>276</v>
      </c>
      <c r="G14" s="211">
        <v>0.3352</v>
      </c>
      <c r="H14" s="212">
        <v>179</v>
      </c>
      <c r="I14" s="212">
        <v>60</v>
      </c>
      <c r="J14" s="212">
        <v>0</v>
      </c>
      <c r="K14" s="209" t="s">
        <v>277</v>
      </c>
      <c r="L14" s="213">
        <v>45980</v>
      </c>
      <c r="M14" s="212">
        <v>0</v>
      </c>
      <c r="N14" s="212">
        <v>6</v>
      </c>
      <c r="O14" s="212">
        <v>43</v>
      </c>
      <c r="P14" s="209" t="s">
        <v>229</v>
      </c>
      <c r="Q14" s="205"/>
      <c r="R14" s="205"/>
      <c r="S14" s="205"/>
      <c r="T14" s="205"/>
      <c r="U14" s="205"/>
      <c r="V14" s="205"/>
      <c r="W14" s="205"/>
      <c r="X14" s="205"/>
      <c r="Y14" s="205"/>
      <c r="Z14" s="212" t="s">
        <v>364</v>
      </c>
      <c r="AA14" s="205"/>
      <c r="AB14" s="205"/>
      <c r="AC14" s="212" t="s">
        <v>233</v>
      </c>
      <c r="AD14" s="212" t="s">
        <v>365</v>
      </c>
      <c r="AE14" s="212" t="s">
        <v>344</v>
      </c>
      <c r="AF14" s="212" t="s">
        <v>366</v>
      </c>
      <c r="AG14" s="205"/>
      <c r="AH14" s="205"/>
      <c r="AI14" s="205"/>
      <c r="AJ14" s="205"/>
    </row>
    <row r="15" spans="1:36" x14ac:dyDescent="0.3">
      <c r="A15" s="207" t="s">
        <v>362</v>
      </c>
      <c r="B15" s="208">
        <v>45986</v>
      </c>
      <c r="C15" s="209" t="s">
        <v>202</v>
      </c>
      <c r="D15" s="210" t="s">
        <v>367</v>
      </c>
      <c r="E15" s="209" t="s">
        <v>1</v>
      </c>
      <c r="F15" s="209" t="s">
        <v>276</v>
      </c>
      <c r="G15" s="211">
        <v>0.9385</v>
      </c>
      <c r="H15" s="212">
        <v>179</v>
      </c>
      <c r="I15" s="212">
        <v>168</v>
      </c>
      <c r="J15" s="212">
        <v>117</v>
      </c>
      <c r="K15" s="209" t="s">
        <v>277</v>
      </c>
      <c r="L15" s="213">
        <v>45979</v>
      </c>
      <c r="M15" s="212">
        <v>0</v>
      </c>
      <c r="N15" s="212">
        <v>0</v>
      </c>
      <c r="O15" s="212">
        <v>27</v>
      </c>
      <c r="P15" s="209" t="s">
        <v>76</v>
      </c>
      <c r="Q15" s="205"/>
      <c r="R15" s="205"/>
      <c r="S15" s="205"/>
      <c r="T15" s="205"/>
      <c r="U15" s="205"/>
      <c r="V15" s="205"/>
      <c r="W15" s="205"/>
      <c r="X15" s="205"/>
      <c r="Y15" s="205"/>
      <c r="Z15" s="212" t="s">
        <v>340</v>
      </c>
      <c r="AA15" s="205"/>
      <c r="AB15" s="205"/>
      <c r="AC15" s="212" t="s">
        <v>368</v>
      </c>
      <c r="AD15" s="212" t="s">
        <v>369</v>
      </c>
      <c r="AE15" s="212" t="s">
        <v>370</v>
      </c>
      <c r="AF15" s="212" t="s">
        <v>360</v>
      </c>
      <c r="AG15" s="205"/>
      <c r="AH15" s="205"/>
      <c r="AI15" s="212" t="s">
        <v>371</v>
      </c>
      <c r="AJ15" s="212" t="s">
        <v>372</v>
      </c>
    </row>
    <row r="16" spans="1:36" x14ac:dyDescent="0.3">
      <c r="A16" s="207" t="s">
        <v>362</v>
      </c>
      <c r="B16" s="208">
        <v>45986</v>
      </c>
      <c r="C16" s="209" t="s">
        <v>70</v>
      </c>
      <c r="D16" s="210" t="s">
        <v>353</v>
      </c>
      <c r="E16" s="209" t="s">
        <v>1</v>
      </c>
      <c r="F16" s="209" t="s">
        <v>276</v>
      </c>
      <c r="G16" s="211">
        <v>0.75980000000000003</v>
      </c>
      <c r="H16" s="212">
        <v>179</v>
      </c>
      <c r="I16" s="212">
        <v>136</v>
      </c>
      <c r="J16" s="212">
        <v>82</v>
      </c>
      <c r="K16" s="209" t="s">
        <v>277</v>
      </c>
      <c r="L16" s="213">
        <v>45980</v>
      </c>
      <c r="M16" s="212">
        <v>0</v>
      </c>
      <c r="N16" s="212">
        <v>3</v>
      </c>
      <c r="O16" s="212">
        <v>25</v>
      </c>
      <c r="P16" s="209" t="s">
        <v>235</v>
      </c>
      <c r="Q16" s="205"/>
      <c r="R16" s="205"/>
      <c r="S16" s="205"/>
      <c r="T16" s="205"/>
      <c r="U16" s="205"/>
      <c r="V16" s="205"/>
      <c r="W16" s="205"/>
      <c r="X16" s="205"/>
      <c r="Y16" s="205"/>
      <c r="Z16" s="212" t="s">
        <v>141</v>
      </c>
      <c r="AA16" s="205"/>
      <c r="AB16" s="205"/>
      <c r="AC16" s="212" t="s">
        <v>373</v>
      </c>
      <c r="AD16" s="212" t="s">
        <v>374</v>
      </c>
      <c r="AE16" s="212" t="s">
        <v>370</v>
      </c>
      <c r="AF16" s="212" t="s">
        <v>360</v>
      </c>
      <c r="AG16" s="205"/>
      <c r="AH16" s="205"/>
      <c r="AI16" s="212" t="s">
        <v>305</v>
      </c>
      <c r="AJ16" s="205"/>
    </row>
    <row r="17" spans="1:36" x14ac:dyDescent="0.3">
      <c r="A17" s="207" t="s">
        <v>362</v>
      </c>
      <c r="B17" s="208">
        <v>45986</v>
      </c>
      <c r="C17" s="209" t="s">
        <v>145</v>
      </c>
      <c r="D17" s="210" t="s">
        <v>375</v>
      </c>
      <c r="E17" s="209" t="s">
        <v>1</v>
      </c>
      <c r="F17" s="209" t="s">
        <v>276</v>
      </c>
      <c r="G17" s="211">
        <v>0.92179999999999995</v>
      </c>
      <c r="H17" s="212">
        <v>179</v>
      </c>
      <c r="I17" s="212">
        <v>165</v>
      </c>
      <c r="J17" s="212">
        <v>117</v>
      </c>
      <c r="K17" s="209" t="s">
        <v>277</v>
      </c>
      <c r="L17" s="213">
        <v>45980</v>
      </c>
      <c r="M17" s="212">
        <v>0</v>
      </c>
      <c r="N17" s="212">
        <v>4</v>
      </c>
      <c r="O17" s="212">
        <v>24</v>
      </c>
      <c r="P17" s="209" t="s">
        <v>76</v>
      </c>
      <c r="Q17" s="205"/>
      <c r="R17" s="205"/>
      <c r="S17" s="205"/>
      <c r="T17" s="205"/>
      <c r="U17" s="205"/>
      <c r="V17" s="205"/>
      <c r="W17" s="205"/>
      <c r="X17" s="205"/>
      <c r="Y17" s="205"/>
      <c r="Z17" s="212" t="s">
        <v>138</v>
      </c>
      <c r="AA17" s="212" t="s">
        <v>376</v>
      </c>
      <c r="AB17" s="205"/>
      <c r="AC17" s="212" t="s">
        <v>235</v>
      </c>
      <c r="AD17" s="212" t="s">
        <v>284</v>
      </c>
      <c r="AE17" s="212" t="s">
        <v>370</v>
      </c>
      <c r="AF17" s="212" t="s">
        <v>377</v>
      </c>
      <c r="AG17" s="205"/>
      <c r="AH17" s="205"/>
      <c r="AI17" s="212" t="s">
        <v>371</v>
      </c>
      <c r="AJ17" s="205"/>
    </row>
    <row r="18" spans="1:36" x14ac:dyDescent="0.3">
      <c r="A18" s="207" t="s">
        <v>362</v>
      </c>
      <c r="B18" s="208">
        <v>45986</v>
      </c>
      <c r="C18" s="209" t="s">
        <v>137</v>
      </c>
      <c r="D18" s="210" t="s">
        <v>378</v>
      </c>
      <c r="E18" s="209" t="s">
        <v>1</v>
      </c>
      <c r="F18" s="209" t="s">
        <v>276</v>
      </c>
      <c r="G18" s="211">
        <v>0.68159999999999998</v>
      </c>
      <c r="H18" s="212">
        <v>179</v>
      </c>
      <c r="I18" s="212">
        <v>122</v>
      </c>
      <c r="J18" s="212">
        <v>88</v>
      </c>
      <c r="K18" s="209" t="s">
        <v>277</v>
      </c>
      <c r="L18" s="213">
        <v>45980</v>
      </c>
      <c r="M18" s="212">
        <v>0</v>
      </c>
      <c r="N18" s="212">
        <v>2</v>
      </c>
      <c r="O18" s="212">
        <v>24</v>
      </c>
      <c r="P18" s="209" t="s">
        <v>233</v>
      </c>
      <c r="Q18" s="205"/>
      <c r="R18" s="205"/>
      <c r="S18" s="205"/>
      <c r="T18" s="205"/>
      <c r="U18" s="205"/>
      <c r="V18" s="205"/>
      <c r="W18" s="205"/>
      <c r="X18" s="205"/>
      <c r="Y18" s="205"/>
      <c r="Z18" s="212" t="s">
        <v>340</v>
      </c>
      <c r="AA18" s="205"/>
      <c r="AB18" s="205"/>
      <c r="AC18" s="212" t="s">
        <v>379</v>
      </c>
      <c r="AD18" s="212" t="s">
        <v>301</v>
      </c>
      <c r="AE18" s="212" t="s">
        <v>344</v>
      </c>
      <c r="AF18" s="212" t="s">
        <v>360</v>
      </c>
      <c r="AG18" s="205"/>
      <c r="AH18" s="205"/>
      <c r="AI18" s="212" t="s">
        <v>380</v>
      </c>
      <c r="AJ18" s="205"/>
    </row>
    <row r="19" spans="1:36" x14ac:dyDescent="0.3">
      <c r="A19" s="207" t="s">
        <v>362</v>
      </c>
      <c r="B19" s="208">
        <v>45986</v>
      </c>
      <c r="C19" s="209" t="s">
        <v>78</v>
      </c>
      <c r="D19" s="210" t="s">
        <v>381</v>
      </c>
      <c r="E19" s="209" t="s">
        <v>1</v>
      </c>
      <c r="F19" s="209" t="s">
        <v>276</v>
      </c>
      <c r="G19" s="211">
        <v>0.55869999999999997</v>
      </c>
      <c r="H19" s="212">
        <v>179</v>
      </c>
      <c r="I19" s="212">
        <v>100</v>
      </c>
      <c r="J19" s="212">
        <v>46</v>
      </c>
      <c r="K19" s="209" t="s">
        <v>277</v>
      </c>
      <c r="L19" s="213">
        <v>45980</v>
      </c>
      <c r="M19" s="212">
        <v>0</v>
      </c>
      <c r="N19" s="212">
        <v>7</v>
      </c>
      <c r="O19" s="212">
        <v>31</v>
      </c>
      <c r="P19" s="209" t="s">
        <v>229</v>
      </c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12" t="s">
        <v>365</v>
      </c>
      <c r="AE19" s="212" t="s">
        <v>370</v>
      </c>
      <c r="AF19" s="212" t="s">
        <v>366</v>
      </c>
      <c r="AG19" s="205"/>
      <c r="AH19" s="205"/>
      <c r="AI19" s="212" t="s">
        <v>382</v>
      </c>
      <c r="AJ19" s="205"/>
    </row>
    <row r="20" spans="1:36" ht="21" x14ac:dyDescent="0.3">
      <c r="A20" s="214" t="s">
        <v>559</v>
      </c>
      <c r="B20" s="215"/>
      <c r="C20" s="214">
        <f>SUBTOTAL(103,JED_CAI_LF_LEGACY[Flt])</f>
        <v>18</v>
      </c>
      <c r="D20" s="214"/>
      <c r="E20" s="214">
        <f>SUBTOTAL(103,JED_CAI_LF_LEGACY[Brd-Off])</f>
        <v>18</v>
      </c>
      <c r="F20" s="214"/>
      <c r="G20" s="216">
        <f>SUBTOTAL(101,JED_CAI_LF_LEGACY[LF%])</f>
        <v>0.78697777777777767</v>
      </c>
      <c r="H20" s="217">
        <f>SUBTOTAL(109,JED_CAI_LF_LEGACY[CAP])</f>
        <v>3211</v>
      </c>
      <c r="I20" s="217">
        <f>SUBTOTAL(109,JED_CAI_LF_LEGACY[BKG(Y)])</f>
        <v>2526</v>
      </c>
      <c r="J20" s="217">
        <f>SUBTOTAL(109,JED_CAI_LF_LEGACY[GRP(Y)])</f>
        <v>1392</v>
      </c>
      <c r="K20" s="214"/>
      <c r="L20" s="215"/>
      <c r="M20" s="217">
        <f>SUBTOTAL(109,JED_CAI_LF_LEGACY[TO-DAY])</f>
        <v>0</v>
      </c>
      <c r="N20" s="217">
        <f>SUBTOTAL(109,JED_CAI_LF_LEGACY[Y-DAY])</f>
        <v>75</v>
      </c>
      <c r="O20" s="217">
        <f>SUBTOTAL(109,JED_CAI_LF_LEGACY[WEEKLY])</f>
        <v>446</v>
      </c>
      <c r="P20" s="218"/>
      <c r="Q20" s="214">
        <f>SUBTOTAL(109,JED_CAI_LF_LEGACY[Y])</f>
        <v>0</v>
      </c>
      <c r="R20" s="214">
        <f>SUBTOTAL(109,JED_CAI_LF_LEGACY[B])</f>
        <v>0</v>
      </c>
      <c r="S20" s="214">
        <f>SUBTOTAL(109,JED_CAI_LF_LEGACY[M])</f>
        <v>0</v>
      </c>
      <c r="T20" s="214">
        <f>SUBTOTAL(109,JED_CAI_LF_LEGACY[H])</f>
        <v>0</v>
      </c>
      <c r="U20" s="214">
        <f>SUBTOTAL(109,JED_CAI_LF_LEGACY[Q])</f>
        <v>0</v>
      </c>
      <c r="V20" s="214">
        <f>SUBTOTAL(109,JED_CAI_LF_LEGACY[K])</f>
        <v>0</v>
      </c>
      <c r="W20" s="214">
        <f>SUBTOTAL(109,JED_CAI_LF_LEGACY[V])</f>
        <v>0</v>
      </c>
      <c r="X20" s="214">
        <f>SUBTOTAL(109,JED_CAI_LF_LEGACY[L])</f>
        <v>0</v>
      </c>
      <c r="Y20" s="214">
        <f>SUBTOTAL(109,JED_CAI_LF_LEGACY[G])</f>
        <v>0</v>
      </c>
      <c r="Z20" s="217">
        <f>SUBTOTAL(109,JED_CAI_LF_LEGACY[S])</f>
        <v>0</v>
      </c>
      <c r="AA20" s="214">
        <f>SUBTOTAL(109,JED_CAI_LF_LEGACY[W])</f>
        <v>0</v>
      </c>
      <c r="AB20" s="214">
        <f>SUBTOTAL(109,JED_CAI_LF_LEGACY[T])</f>
        <v>0</v>
      </c>
      <c r="AC20" s="217">
        <f>SUBTOTAL(109,JED_CAI_LF_LEGACY[X])</f>
        <v>0</v>
      </c>
      <c r="AD20" s="217">
        <f>SUBTOTAL(109,JED_CAI_LF_LEGACY[U])</f>
        <v>0</v>
      </c>
      <c r="AE20" s="217">
        <f>SUBTOTAL(109,JED_CAI_LF_LEGACY[O])</f>
        <v>0</v>
      </c>
      <c r="AF20" s="217">
        <f>SUBTOTAL(109,JED_CAI_LF_LEGACY[I])</f>
        <v>0</v>
      </c>
      <c r="AG20" s="214">
        <f>SUBTOTAL(109,JED_CAI_LF_LEGACY[E])</f>
        <v>0</v>
      </c>
      <c r="AH20" s="214">
        <f>SUBTOTAL(109,JED_CAI_LF_LEGACY[A])</f>
        <v>0</v>
      </c>
      <c r="AI20" s="217">
        <f>SUBTOTAL(109,JED_CAI_LF_LEGACY[P])</f>
        <v>0</v>
      </c>
      <c r="AJ20" s="214">
        <f>SUBTOTAL(103,JED_CAI_LF_LEGACY[N])</f>
        <v>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5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127" t="s">
        <v>383</v>
      </c>
      <c r="B1" s="128" t="s">
        <v>8</v>
      </c>
      <c r="C1" s="128" t="s">
        <v>9</v>
      </c>
      <c r="D1" s="128" t="s">
        <v>384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0" t="s">
        <v>385</v>
      </c>
      <c r="B2" s="131" t="s">
        <v>26</v>
      </c>
      <c r="C2" s="132" t="s">
        <v>27</v>
      </c>
      <c r="D2" s="131" t="s">
        <v>1</v>
      </c>
      <c r="E2" s="131" t="s">
        <v>386</v>
      </c>
      <c r="F2" s="131" t="s">
        <v>28</v>
      </c>
      <c r="G2" s="133">
        <v>1</v>
      </c>
      <c r="H2" s="134">
        <v>589</v>
      </c>
    </row>
    <row r="3" spans="1:8" ht="19.8" customHeight="1" x14ac:dyDescent="0.3">
      <c r="A3" s="130" t="s">
        <v>385</v>
      </c>
      <c r="B3" s="131" t="s">
        <v>26</v>
      </c>
      <c r="C3" s="132" t="s">
        <v>31</v>
      </c>
      <c r="D3" s="131" t="s">
        <v>1</v>
      </c>
      <c r="E3" s="131" t="s">
        <v>387</v>
      </c>
      <c r="F3" s="131" t="s">
        <v>28</v>
      </c>
      <c r="G3" s="133">
        <v>5</v>
      </c>
      <c r="H3" s="134">
        <v>639</v>
      </c>
    </row>
    <row r="4" spans="1:8" ht="19.8" customHeight="1" x14ac:dyDescent="0.3">
      <c r="A4" s="130" t="s">
        <v>385</v>
      </c>
      <c r="B4" s="131" t="s">
        <v>26</v>
      </c>
      <c r="C4" s="132" t="s">
        <v>34</v>
      </c>
      <c r="D4" s="131" t="s">
        <v>1</v>
      </c>
      <c r="E4" s="131" t="s">
        <v>388</v>
      </c>
      <c r="F4" s="131" t="s">
        <v>28</v>
      </c>
      <c r="G4" s="133">
        <v>11</v>
      </c>
      <c r="H4" s="134">
        <v>639</v>
      </c>
    </row>
    <row r="5" spans="1:8" ht="19.8" customHeight="1" x14ac:dyDescent="0.3">
      <c r="A5" s="130" t="s">
        <v>385</v>
      </c>
      <c r="B5" s="131" t="s">
        <v>39</v>
      </c>
      <c r="C5" s="132" t="s">
        <v>40</v>
      </c>
      <c r="D5" s="131" t="s">
        <v>1</v>
      </c>
      <c r="E5" s="131" t="s">
        <v>389</v>
      </c>
      <c r="F5" s="131" t="s">
        <v>41</v>
      </c>
      <c r="G5" s="133">
        <v>9</v>
      </c>
      <c r="H5" s="134">
        <v>669</v>
      </c>
    </row>
    <row r="6" spans="1:8" ht="19.8" customHeight="1" x14ac:dyDescent="0.3">
      <c r="A6" s="130" t="s">
        <v>385</v>
      </c>
      <c r="B6" s="131" t="s">
        <v>39</v>
      </c>
      <c r="C6" s="132" t="s">
        <v>44</v>
      </c>
      <c r="D6" s="131" t="s">
        <v>1</v>
      </c>
      <c r="E6" s="131" t="s">
        <v>390</v>
      </c>
      <c r="F6" s="131" t="s">
        <v>41</v>
      </c>
      <c r="G6" s="133">
        <v>7</v>
      </c>
      <c r="H6" s="134">
        <v>669</v>
      </c>
    </row>
    <row r="7" spans="1:8" ht="19.8" customHeight="1" x14ac:dyDescent="0.3">
      <c r="A7" s="130" t="s">
        <v>385</v>
      </c>
      <c r="B7" s="131" t="s">
        <v>39</v>
      </c>
      <c r="C7" s="132" t="s">
        <v>46</v>
      </c>
      <c r="D7" s="131" t="s">
        <v>1</v>
      </c>
      <c r="E7" s="131" t="s">
        <v>391</v>
      </c>
      <c r="F7" s="131" t="s">
        <v>41</v>
      </c>
      <c r="G7" s="133">
        <v>1</v>
      </c>
      <c r="H7" s="134">
        <v>669</v>
      </c>
    </row>
    <row r="8" spans="1:8" ht="19.8" customHeight="1" x14ac:dyDescent="0.3">
      <c r="A8" s="130" t="s">
        <v>385</v>
      </c>
      <c r="B8" s="131" t="s">
        <v>39</v>
      </c>
      <c r="C8" s="132" t="s">
        <v>48</v>
      </c>
      <c r="D8" s="131" t="s">
        <v>1</v>
      </c>
      <c r="E8" s="131" t="s">
        <v>392</v>
      </c>
      <c r="F8" s="131" t="s">
        <v>41</v>
      </c>
      <c r="G8" s="133">
        <v>1</v>
      </c>
      <c r="H8" s="134">
        <v>669</v>
      </c>
    </row>
    <row r="9" spans="1:8" ht="19.8" customHeight="1" x14ac:dyDescent="0.3">
      <c r="A9" s="130" t="s">
        <v>385</v>
      </c>
      <c r="B9" s="131" t="s">
        <v>39</v>
      </c>
      <c r="C9" s="132" t="s">
        <v>49</v>
      </c>
      <c r="D9" s="131" t="s">
        <v>1</v>
      </c>
      <c r="E9" s="131" t="s">
        <v>393</v>
      </c>
      <c r="F9" s="131" t="s">
        <v>41</v>
      </c>
      <c r="G9" s="133">
        <v>8</v>
      </c>
      <c r="H9" s="134">
        <v>669</v>
      </c>
    </row>
    <row r="10" spans="1:8" ht="19.8" customHeight="1" x14ac:dyDescent="0.3">
      <c r="A10" s="130" t="s">
        <v>385</v>
      </c>
      <c r="B10" s="131" t="s">
        <v>39</v>
      </c>
      <c r="C10" s="132" t="s">
        <v>51</v>
      </c>
      <c r="D10" s="131" t="s">
        <v>1</v>
      </c>
      <c r="E10" s="131" t="s">
        <v>394</v>
      </c>
      <c r="F10" s="131" t="s">
        <v>41</v>
      </c>
      <c r="G10" s="133">
        <v>4</v>
      </c>
      <c r="H10" s="134">
        <v>669</v>
      </c>
    </row>
    <row r="11" spans="1:8" ht="19.8" customHeight="1" x14ac:dyDescent="0.3">
      <c r="A11" s="130" t="s">
        <v>385</v>
      </c>
      <c r="B11" s="131" t="s">
        <v>26</v>
      </c>
      <c r="C11" s="132" t="s">
        <v>36</v>
      </c>
      <c r="D11" s="131" t="s">
        <v>1</v>
      </c>
      <c r="E11" s="131" t="s">
        <v>395</v>
      </c>
      <c r="F11" s="131" t="s">
        <v>28</v>
      </c>
      <c r="G11" s="133">
        <v>13</v>
      </c>
      <c r="H11" s="134">
        <v>689</v>
      </c>
    </row>
    <row r="12" spans="1:8" ht="19.8" customHeight="1" x14ac:dyDescent="0.3">
      <c r="A12" s="130" t="s">
        <v>385</v>
      </c>
      <c r="B12" s="131" t="s">
        <v>55</v>
      </c>
      <c r="C12" s="132" t="s">
        <v>56</v>
      </c>
      <c r="D12" s="131" t="s">
        <v>1</v>
      </c>
      <c r="E12" s="131" t="s">
        <v>396</v>
      </c>
      <c r="F12" s="131" t="s">
        <v>57</v>
      </c>
      <c r="G12" s="133">
        <v>9</v>
      </c>
      <c r="H12" s="134">
        <v>700</v>
      </c>
    </row>
    <row r="13" spans="1:8" ht="19.8" customHeight="1" x14ac:dyDescent="0.3">
      <c r="A13" s="130" t="s">
        <v>385</v>
      </c>
      <c r="B13" s="131" t="s">
        <v>55</v>
      </c>
      <c r="C13" s="132" t="s">
        <v>59</v>
      </c>
      <c r="D13" s="131" t="s">
        <v>1</v>
      </c>
      <c r="E13" s="131" t="s">
        <v>397</v>
      </c>
      <c r="F13" s="131" t="s">
        <v>57</v>
      </c>
      <c r="G13" s="133">
        <v>9</v>
      </c>
      <c r="H13" s="134">
        <v>700</v>
      </c>
    </row>
    <row r="14" spans="1:8" ht="19.8" customHeight="1" x14ac:dyDescent="0.3">
      <c r="A14" s="130" t="s">
        <v>385</v>
      </c>
      <c r="B14" s="131" t="s">
        <v>39</v>
      </c>
      <c r="C14" s="132" t="s">
        <v>53</v>
      </c>
      <c r="D14" s="131" t="s">
        <v>1</v>
      </c>
      <c r="E14" s="131" t="s">
        <v>398</v>
      </c>
      <c r="F14" s="131" t="s">
        <v>41</v>
      </c>
      <c r="G14" s="133">
        <v>8</v>
      </c>
      <c r="H14" s="134">
        <v>719</v>
      </c>
    </row>
    <row r="15" spans="1:8" ht="19.8" customHeight="1" x14ac:dyDescent="0.3">
      <c r="A15" s="130" t="s">
        <v>385</v>
      </c>
      <c r="B15" s="131" t="s">
        <v>61</v>
      </c>
      <c r="C15" s="132" t="s">
        <v>62</v>
      </c>
      <c r="D15" s="131" t="s">
        <v>1</v>
      </c>
      <c r="E15" s="131" t="s">
        <v>399</v>
      </c>
      <c r="F15" s="131" t="s">
        <v>63</v>
      </c>
      <c r="G15" s="133">
        <v>9</v>
      </c>
      <c r="H15" s="134">
        <v>834</v>
      </c>
    </row>
    <row r="16" spans="1:8" ht="19.8" customHeight="1" x14ac:dyDescent="0.3">
      <c r="A16" s="135" t="s">
        <v>385</v>
      </c>
      <c r="B16" s="136" t="s">
        <v>66</v>
      </c>
      <c r="C16" s="137" t="s">
        <v>67</v>
      </c>
      <c r="D16" s="136" t="s">
        <v>1</v>
      </c>
      <c r="E16" s="136" t="s">
        <v>294</v>
      </c>
      <c r="F16" s="136" t="s">
        <v>68</v>
      </c>
      <c r="G16" s="138">
        <v>1</v>
      </c>
      <c r="H16" s="139" t="s">
        <v>69</v>
      </c>
    </row>
    <row r="17" spans="1:8" ht="19.8" customHeight="1" x14ac:dyDescent="0.3">
      <c r="A17" s="140">
        <v>45983</v>
      </c>
      <c r="B17" s="131" t="s">
        <v>80</v>
      </c>
      <c r="C17" s="132" t="s">
        <v>81</v>
      </c>
      <c r="D17" s="131" t="s">
        <v>1</v>
      </c>
      <c r="E17" s="141">
        <v>1.229166666666667</v>
      </c>
      <c r="F17" s="131" t="s">
        <v>82</v>
      </c>
      <c r="G17" s="133">
        <v>9</v>
      </c>
      <c r="H17" s="142" t="s">
        <v>83</v>
      </c>
    </row>
    <row r="18" spans="1:8" ht="19.8" customHeight="1" x14ac:dyDescent="0.3">
      <c r="A18" s="140">
        <v>45983</v>
      </c>
      <c r="B18" s="131" t="s">
        <v>95</v>
      </c>
      <c r="C18" s="132" t="s">
        <v>96</v>
      </c>
      <c r="D18" s="131" t="s">
        <v>1</v>
      </c>
      <c r="E18" s="141">
        <v>1.3784722222222221</v>
      </c>
      <c r="F18" s="131" t="s">
        <v>97</v>
      </c>
      <c r="G18" s="133">
        <v>9</v>
      </c>
      <c r="H18" s="142" t="s">
        <v>98</v>
      </c>
    </row>
    <row r="19" spans="1:8" ht="19.8" customHeight="1" x14ac:dyDescent="0.3">
      <c r="A19" s="140">
        <v>45983</v>
      </c>
      <c r="B19" s="131" t="s">
        <v>95</v>
      </c>
      <c r="C19" s="132" t="s">
        <v>102</v>
      </c>
      <c r="D19" s="131" t="s">
        <v>1</v>
      </c>
      <c r="E19" s="141">
        <v>1.71875</v>
      </c>
      <c r="F19" s="131" t="s">
        <v>97</v>
      </c>
      <c r="G19" s="133">
        <v>9</v>
      </c>
      <c r="H19" s="142" t="s">
        <v>98</v>
      </c>
    </row>
    <row r="20" spans="1:8" ht="19.8" customHeight="1" x14ac:dyDescent="0.3">
      <c r="A20" s="140">
        <v>45983</v>
      </c>
      <c r="B20" s="131" t="s">
        <v>95</v>
      </c>
      <c r="C20" s="132" t="s">
        <v>103</v>
      </c>
      <c r="D20" s="131" t="s">
        <v>1</v>
      </c>
      <c r="E20" s="141">
        <v>1.006944444444444</v>
      </c>
      <c r="F20" s="131" t="s">
        <v>97</v>
      </c>
      <c r="G20" s="133">
        <v>9</v>
      </c>
      <c r="H20" s="142" t="s">
        <v>98</v>
      </c>
    </row>
    <row r="21" spans="1:8" ht="19.8" customHeight="1" x14ac:dyDescent="0.3">
      <c r="A21" s="140">
        <v>45983</v>
      </c>
      <c r="B21" s="131" t="s">
        <v>95</v>
      </c>
      <c r="C21" s="132" t="s">
        <v>104</v>
      </c>
      <c r="D21" s="131" t="s">
        <v>1</v>
      </c>
      <c r="E21" s="141">
        <v>1.1423611111111109</v>
      </c>
      <c r="F21" s="131" t="s">
        <v>97</v>
      </c>
      <c r="G21" s="133">
        <v>9</v>
      </c>
      <c r="H21" s="142" t="s">
        <v>98</v>
      </c>
    </row>
    <row r="22" spans="1:8" ht="19.8" customHeight="1" x14ac:dyDescent="0.3">
      <c r="A22" s="140">
        <v>45983</v>
      </c>
      <c r="B22" s="131" t="s">
        <v>95</v>
      </c>
      <c r="C22" s="132" t="s">
        <v>105</v>
      </c>
      <c r="D22" s="131" t="s">
        <v>1</v>
      </c>
      <c r="E22" s="141">
        <v>1.930555555555556</v>
      </c>
      <c r="F22" s="131" t="s">
        <v>97</v>
      </c>
      <c r="G22" s="133">
        <v>9</v>
      </c>
      <c r="H22" s="142" t="s">
        <v>98</v>
      </c>
    </row>
    <row r="23" spans="1:8" ht="19.8" customHeight="1" x14ac:dyDescent="0.3">
      <c r="A23" s="140">
        <v>45983</v>
      </c>
      <c r="B23" s="131" t="s">
        <v>80</v>
      </c>
      <c r="C23" s="132" t="s">
        <v>84</v>
      </c>
      <c r="D23" s="131" t="s">
        <v>1</v>
      </c>
      <c r="E23" s="141">
        <v>1.2777777777777779</v>
      </c>
      <c r="F23" s="131" t="s">
        <v>82</v>
      </c>
      <c r="G23" s="133">
        <v>9</v>
      </c>
      <c r="H23" s="142" t="s">
        <v>86</v>
      </c>
    </row>
    <row r="24" spans="1:8" ht="19.8" customHeight="1" x14ac:dyDescent="0.3">
      <c r="A24" s="140">
        <v>45983</v>
      </c>
      <c r="B24" s="131" t="s">
        <v>80</v>
      </c>
      <c r="C24" s="132" t="s">
        <v>87</v>
      </c>
      <c r="D24" s="131" t="s">
        <v>1</v>
      </c>
      <c r="E24" s="141">
        <v>1.0138888888888891</v>
      </c>
      <c r="F24" s="131" t="s">
        <v>82</v>
      </c>
      <c r="G24" s="133">
        <v>9</v>
      </c>
      <c r="H24" s="142" t="s">
        <v>88</v>
      </c>
    </row>
    <row r="25" spans="1:8" ht="19.8" customHeight="1" x14ac:dyDescent="0.3">
      <c r="A25" s="140">
        <v>45983</v>
      </c>
      <c r="B25" s="131" t="s">
        <v>95</v>
      </c>
      <c r="C25" s="132" t="s">
        <v>96</v>
      </c>
      <c r="D25" s="131" t="s">
        <v>1</v>
      </c>
      <c r="E25" s="141">
        <v>1.3784722222222221</v>
      </c>
      <c r="F25" s="131" t="s">
        <v>99</v>
      </c>
      <c r="G25" s="133">
        <v>9</v>
      </c>
      <c r="H25" s="142" t="s">
        <v>101</v>
      </c>
    </row>
    <row r="26" spans="1:8" ht="19.8" customHeight="1" x14ac:dyDescent="0.3">
      <c r="A26" s="140">
        <v>45983</v>
      </c>
      <c r="B26" s="131" t="s">
        <v>95</v>
      </c>
      <c r="C26" s="132" t="s">
        <v>102</v>
      </c>
      <c r="D26" s="131" t="s">
        <v>1</v>
      </c>
      <c r="E26" s="141">
        <v>1.71875</v>
      </c>
      <c r="F26" s="131" t="s">
        <v>99</v>
      </c>
      <c r="G26" s="133">
        <v>9</v>
      </c>
      <c r="H26" s="142" t="s">
        <v>101</v>
      </c>
    </row>
    <row r="27" spans="1:8" ht="19.8" customHeight="1" x14ac:dyDescent="0.3">
      <c r="A27" s="140">
        <v>45983</v>
      </c>
      <c r="B27" s="131" t="s">
        <v>95</v>
      </c>
      <c r="C27" s="132" t="s">
        <v>103</v>
      </c>
      <c r="D27" s="131" t="s">
        <v>1</v>
      </c>
      <c r="E27" s="141">
        <v>1.006944444444444</v>
      </c>
      <c r="F27" s="131" t="s">
        <v>99</v>
      </c>
      <c r="G27" s="133">
        <v>9</v>
      </c>
      <c r="H27" s="142" t="s">
        <v>101</v>
      </c>
    </row>
    <row r="28" spans="1:8" ht="19.8" customHeight="1" x14ac:dyDescent="0.3">
      <c r="A28" s="140">
        <v>45983</v>
      </c>
      <c r="B28" s="131" t="s">
        <v>95</v>
      </c>
      <c r="C28" s="132" t="s">
        <v>104</v>
      </c>
      <c r="D28" s="131" t="s">
        <v>1</v>
      </c>
      <c r="E28" s="141">
        <v>1.1423611111111109</v>
      </c>
      <c r="F28" s="131" t="s">
        <v>99</v>
      </c>
      <c r="G28" s="133">
        <v>9</v>
      </c>
      <c r="H28" s="142" t="s">
        <v>101</v>
      </c>
    </row>
    <row r="29" spans="1:8" ht="19.8" customHeight="1" x14ac:dyDescent="0.3">
      <c r="A29" s="140">
        <v>45983</v>
      </c>
      <c r="B29" s="131" t="s">
        <v>95</v>
      </c>
      <c r="C29" s="132" t="s">
        <v>105</v>
      </c>
      <c r="D29" s="131" t="s">
        <v>1</v>
      </c>
      <c r="E29" s="141">
        <v>1.930555555555556</v>
      </c>
      <c r="F29" s="131" t="s">
        <v>99</v>
      </c>
      <c r="G29" s="133">
        <v>9</v>
      </c>
      <c r="H29" s="142" t="s">
        <v>101</v>
      </c>
    </row>
    <row r="30" spans="1:8" ht="19.8" customHeight="1" x14ac:dyDescent="0.3">
      <c r="A30" s="140">
        <v>45983</v>
      </c>
      <c r="B30" s="131" t="s">
        <v>95</v>
      </c>
      <c r="C30" s="132" t="s">
        <v>106</v>
      </c>
      <c r="D30" s="131" t="s">
        <v>1</v>
      </c>
      <c r="E30" s="141">
        <v>1.243055555555556</v>
      </c>
      <c r="F30" s="131" t="s">
        <v>97</v>
      </c>
      <c r="G30" s="133">
        <v>9</v>
      </c>
      <c r="H30" s="142" t="s">
        <v>107</v>
      </c>
    </row>
    <row r="31" spans="1:8" ht="19.8" customHeight="1" x14ac:dyDescent="0.3">
      <c r="A31" s="140">
        <v>45983</v>
      </c>
      <c r="B31" s="131" t="s">
        <v>95</v>
      </c>
      <c r="C31" s="132" t="s">
        <v>106</v>
      </c>
      <c r="D31" s="131" t="s">
        <v>1</v>
      </c>
      <c r="E31" s="141">
        <v>1.243055555555556</v>
      </c>
      <c r="F31" s="131" t="s">
        <v>99</v>
      </c>
      <c r="G31" s="133">
        <v>9</v>
      </c>
      <c r="H31" s="142" t="s">
        <v>108</v>
      </c>
    </row>
    <row r="32" spans="1:8" ht="19.8" customHeight="1" x14ac:dyDescent="0.3">
      <c r="A32" s="140">
        <v>45983</v>
      </c>
      <c r="B32" s="131" t="s">
        <v>95</v>
      </c>
      <c r="C32" s="132" t="s">
        <v>109</v>
      </c>
      <c r="D32" s="131" t="s">
        <v>1</v>
      </c>
      <c r="E32" s="141">
        <v>1.302083333333333</v>
      </c>
      <c r="F32" s="131" t="s">
        <v>99</v>
      </c>
      <c r="G32" s="133">
        <v>4</v>
      </c>
      <c r="H32" s="142" t="s">
        <v>110</v>
      </c>
    </row>
    <row r="33" spans="1:8" ht="19.8" customHeight="1" x14ac:dyDescent="0.3">
      <c r="A33" s="140">
        <v>45983</v>
      </c>
      <c r="B33" s="131" t="s">
        <v>95</v>
      </c>
      <c r="C33" s="132" t="s">
        <v>111</v>
      </c>
      <c r="D33" s="131" t="s">
        <v>1</v>
      </c>
      <c r="E33" s="141">
        <v>1.1284722222222221</v>
      </c>
      <c r="F33" s="131" t="s">
        <v>99</v>
      </c>
      <c r="G33" s="133">
        <v>4</v>
      </c>
      <c r="H33" s="142" t="s">
        <v>110</v>
      </c>
    </row>
    <row r="34" spans="1:8" ht="19.8" customHeight="1" x14ac:dyDescent="0.3">
      <c r="A34" s="140">
        <v>45983</v>
      </c>
      <c r="B34" s="131" t="s">
        <v>95</v>
      </c>
      <c r="C34" s="132" t="s">
        <v>112</v>
      </c>
      <c r="D34" s="131" t="s">
        <v>1</v>
      </c>
      <c r="E34" s="141">
        <v>1.6111111111111109</v>
      </c>
      <c r="F34" s="131" t="s">
        <v>97</v>
      </c>
      <c r="G34" s="133">
        <v>9</v>
      </c>
      <c r="H34" s="142" t="s">
        <v>113</v>
      </c>
    </row>
    <row r="35" spans="1:8" ht="19.8" customHeight="1" x14ac:dyDescent="0.3">
      <c r="A35" s="140">
        <v>45983</v>
      </c>
      <c r="B35" s="131" t="s">
        <v>95</v>
      </c>
      <c r="C35" s="132" t="s">
        <v>115</v>
      </c>
      <c r="D35" s="131" t="s">
        <v>1</v>
      </c>
      <c r="E35" s="141">
        <v>1.8298611111111109</v>
      </c>
      <c r="F35" s="131" t="s">
        <v>97</v>
      </c>
      <c r="G35" s="133">
        <v>9</v>
      </c>
      <c r="H35" s="142" t="s">
        <v>113</v>
      </c>
    </row>
    <row r="36" spans="1:8" ht="19.8" customHeight="1" x14ac:dyDescent="0.3">
      <c r="A36" s="140">
        <v>45983</v>
      </c>
      <c r="B36" s="131" t="s">
        <v>80</v>
      </c>
      <c r="C36" s="132" t="s">
        <v>89</v>
      </c>
      <c r="D36" s="131" t="s">
        <v>1</v>
      </c>
      <c r="E36" s="141">
        <v>1.145833333333333</v>
      </c>
      <c r="F36" s="131" t="s">
        <v>82</v>
      </c>
      <c r="G36" s="133">
        <v>2</v>
      </c>
      <c r="H36" s="142" t="s">
        <v>91</v>
      </c>
    </row>
    <row r="37" spans="1:8" ht="19.8" customHeight="1" x14ac:dyDescent="0.3">
      <c r="A37" s="140">
        <v>45983</v>
      </c>
      <c r="B37" s="131" t="s">
        <v>80</v>
      </c>
      <c r="C37" s="132" t="s">
        <v>92</v>
      </c>
      <c r="D37" s="131" t="s">
        <v>1</v>
      </c>
      <c r="E37" s="141">
        <v>1.541666666666667</v>
      </c>
      <c r="F37" s="131" t="s">
        <v>82</v>
      </c>
      <c r="G37" s="133">
        <v>5</v>
      </c>
      <c r="H37" s="142" t="s">
        <v>91</v>
      </c>
    </row>
    <row r="38" spans="1:8" ht="19.8" customHeight="1" x14ac:dyDescent="0.3">
      <c r="A38" s="140">
        <v>45983</v>
      </c>
      <c r="B38" s="131" t="s">
        <v>80</v>
      </c>
      <c r="C38" s="132" t="s">
        <v>93</v>
      </c>
      <c r="D38" s="131" t="s">
        <v>1</v>
      </c>
      <c r="E38" s="141">
        <v>1.770833333333333</v>
      </c>
      <c r="F38" s="131" t="s">
        <v>82</v>
      </c>
      <c r="G38" s="133">
        <v>3</v>
      </c>
      <c r="H38" s="142" t="s">
        <v>91</v>
      </c>
    </row>
    <row r="39" spans="1:8" ht="19.8" customHeight="1" x14ac:dyDescent="0.3">
      <c r="A39" s="140">
        <v>45983</v>
      </c>
      <c r="B39" s="131" t="s">
        <v>95</v>
      </c>
      <c r="C39" s="132" t="s">
        <v>116</v>
      </c>
      <c r="D39" s="131" t="s">
        <v>1</v>
      </c>
      <c r="E39" s="141">
        <v>1.8888888888888891</v>
      </c>
      <c r="F39" s="131" t="s">
        <v>99</v>
      </c>
      <c r="G39" s="133">
        <v>4</v>
      </c>
      <c r="H39" s="142" t="s">
        <v>117</v>
      </c>
    </row>
    <row r="40" spans="1:8" ht="19.8" customHeight="1" x14ac:dyDescent="0.3">
      <c r="A40" s="140">
        <v>45983</v>
      </c>
      <c r="B40" s="131" t="s">
        <v>95</v>
      </c>
      <c r="C40" s="132" t="s">
        <v>118</v>
      </c>
      <c r="D40" s="131" t="s">
        <v>1</v>
      </c>
      <c r="E40" s="141">
        <v>1.788194444444444</v>
      </c>
      <c r="F40" s="131" t="s">
        <v>99</v>
      </c>
      <c r="G40" s="133">
        <v>4</v>
      </c>
      <c r="H40" s="142" t="s">
        <v>117</v>
      </c>
    </row>
    <row r="41" spans="1:8" ht="19.8" customHeight="1" x14ac:dyDescent="0.3">
      <c r="A41" s="140">
        <v>45983</v>
      </c>
      <c r="B41" s="131" t="s">
        <v>95</v>
      </c>
      <c r="C41" s="132" t="s">
        <v>112</v>
      </c>
      <c r="D41" s="131" t="s">
        <v>1</v>
      </c>
      <c r="E41" s="141">
        <v>1.6111111111111109</v>
      </c>
      <c r="F41" s="131" t="s">
        <v>99</v>
      </c>
      <c r="G41" s="133">
        <v>9</v>
      </c>
      <c r="H41" s="142" t="s">
        <v>114</v>
      </c>
    </row>
    <row r="42" spans="1:8" ht="19.8" customHeight="1" x14ac:dyDescent="0.3">
      <c r="A42" s="140">
        <v>45983</v>
      </c>
      <c r="B42" s="131" t="s">
        <v>95</v>
      </c>
      <c r="C42" s="132" t="s">
        <v>115</v>
      </c>
      <c r="D42" s="131" t="s">
        <v>1</v>
      </c>
      <c r="E42" s="141">
        <v>1.8298611111111109</v>
      </c>
      <c r="F42" s="131" t="s">
        <v>99</v>
      </c>
      <c r="G42" s="133">
        <v>9</v>
      </c>
      <c r="H42" s="142" t="s">
        <v>114</v>
      </c>
    </row>
    <row r="43" spans="1:8" ht="19.8" customHeight="1" x14ac:dyDescent="0.3">
      <c r="A43" s="143">
        <v>45983</v>
      </c>
      <c r="B43" s="136" t="s">
        <v>66</v>
      </c>
      <c r="C43" s="137" t="s">
        <v>73</v>
      </c>
      <c r="D43" s="136" t="s">
        <v>1</v>
      </c>
      <c r="E43" s="144">
        <v>1.2361111111111109</v>
      </c>
      <c r="F43" s="136" t="s">
        <v>74</v>
      </c>
      <c r="G43" s="136"/>
      <c r="H43" s="139" t="s">
        <v>75</v>
      </c>
    </row>
    <row r="44" spans="1:8" ht="19.8" customHeight="1" x14ac:dyDescent="0.3">
      <c r="A44" s="145">
        <v>45983</v>
      </c>
      <c r="B44" s="146" t="s">
        <v>66</v>
      </c>
      <c r="C44" s="147" t="s">
        <v>78</v>
      </c>
      <c r="D44" s="146" t="s">
        <v>1</v>
      </c>
      <c r="E44" s="148">
        <v>1.333333333333333</v>
      </c>
      <c r="F44" s="146" t="s">
        <v>74</v>
      </c>
      <c r="G44" s="146"/>
      <c r="H44" s="149" t="s">
        <v>75</v>
      </c>
    </row>
    <row r="45" spans="1:8" ht="19.8" customHeight="1" x14ac:dyDescent="0.3">
      <c r="A45" s="140">
        <v>45984</v>
      </c>
      <c r="B45" s="131" t="s">
        <v>26</v>
      </c>
      <c r="C45" s="132" t="s">
        <v>36</v>
      </c>
      <c r="D45" s="131" t="s">
        <v>1</v>
      </c>
      <c r="E45" s="141">
        <v>1.788194444444444</v>
      </c>
      <c r="F45" s="131" t="s">
        <v>119</v>
      </c>
      <c r="G45" s="133">
        <v>1</v>
      </c>
      <c r="H45" s="134">
        <v>539</v>
      </c>
    </row>
    <row r="46" spans="1:8" ht="19.8" customHeight="1" x14ac:dyDescent="0.3">
      <c r="A46" s="140">
        <v>45984</v>
      </c>
      <c r="B46" s="131" t="s">
        <v>26</v>
      </c>
      <c r="C46" s="132" t="s">
        <v>34</v>
      </c>
      <c r="D46" s="131" t="s">
        <v>1</v>
      </c>
      <c r="E46" s="141">
        <v>1.8888888888888891</v>
      </c>
      <c r="F46" s="131" t="s">
        <v>119</v>
      </c>
      <c r="G46" s="133">
        <v>5</v>
      </c>
      <c r="H46" s="134">
        <v>539</v>
      </c>
    </row>
    <row r="47" spans="1:8" ht="19.8" customHeight="1" x14ac:dyDescent="0.3">
      <c r="A47" s="143">
        <v>45984</v>
      </c>
      <c r="B47" s="136" t="s">
        <v>66</v>
      </c>
      <c r="C47" s="137" t="s">
        <v>130</v>
      </c>
      <c r="D47" s="136" t="s">
        <v>1</v>
      </c>
      <c r="E47" s="144">
        <v>1.333333333333333</v>
      </c>
      <c r="F47" s="136" t="s">
        <v>68</v>
      </c>
      <c r="G47" s="138">
        <v>1</v>
      </c>
      <c r="H47" s="150">
        <v>586</v>
      </c>
    </row>
    <row r="48" spans="1:8" ht="19.8" customHeight="1" x14ac:dyDescent="0.3">
      <c r="A48" s="140">
        <v>45984</v>
      </c>
      <c r="B48" s="131" t="s">
        <v>26</v>
      </c>
      <c r="C48" s="132" t="s">
        <v>27</v>
      </c>
      <c r="D48" s="131" t="s">
        <v>1</v>
      </c>
      <c r="E48" s="141">
        <v>1.1284722222222221</v>
      </c>
      <c r="F48" s="131" t="s">
        <v>119</v>
      </c>
      <c r="G48" s="133">
        <v>3</v>
      </c>
      <c r="H48" s="134">
        <v>589</v>
      </c>
    </row>
    <row r="49" spans="1:8" ht="19.8" customHeight="1" x14ac:dyDescent="0.3">
      <c r="A49" s="140">
        <v>45984</v>
      </c>
      <c r="B49" s="131" t="s">
        <v>39</v>
      </c>
      <c r="C49" s="132" t="s">
        <v>53</v>
      </c>
      <c r="D49" s="131" t="s">
        <v>1</v>
      </c>
      <c r="E49" s="141">
        <v>1.256944444444444</v>
      </c>
      <c r="F49" s="131" t="s">
        <v>149</v>
      </c>
      <c r="G49" s="133">
        <v>1</v>
      </c>
      <c r="H49" s="134">
        <v>589</v>
      </c>
    </row>
    <row r="50" spans="1:8" ht="19.8" customHeight="1" x14ac:dyDescent="0.3">
      <c r="A50" s="140">
        <v>45984</v>
      </c>
      <c r="B50" s="131" t="s">
        <v>39</v>
      </c>
      <c r="C50" s="132" t="s">
        <v>40</v>
      </c>
      <c r="D50" s="131" t="s">
        <v>1</v>
      </c>
      <c r="E50" s="141">
        <v>1.9027777777777779</v>
      </c>
      <c r="F50" s="131" t="s">
        <v>149</v>
      </c>
      <c r="G50" s="133">
        <v>9</v>
      </c>
      <c r="H50" s="134">
        <v>589</v>
      </c>
    </row>
    <row r="51" spans="1:8" ht="19.8" customHeight="1" x14ac:dyDescent="0.3">
      <c r="A51" s="140">
        <v>45984</v>
      </c>
      <c r="B51" s="131" t="s">
        <v>39</v>
      </c>
      <c r="C51" s="132" t="s">
        <v>48</v>
      </c>
      <c r="D51" s="131" t="s">
        <v>1</v>
      </c>
      <c r="E51" s="141">
        <v>1.854166666666667</v>
      </c>
      <c r="F51" s="131" t="s">
        <v>149</v>
      </c>
      <c r="G51" s="133">
        <v>9</v>
      </c>
      <c r="H51" s="134">
        <v>589</v>
      </c>
    </row>
    <row r="52" spans="1:8" ht="19.8" customHeight="1" x14ac:dyDescent="0.3">
      <c r="A52" s="140">
        <v>45984</v>
      </c>
      <c r="B52" s="131" t="s">
        <v>39</v>
      </c>
      <c r="C52" s="132" t="s">
        <v>153</v>
      </c>
      <c r="D52" s="131" t="s">
        <v>1</v>
      </c>
      <c r="E52" s="141">
        <v>1.302083333333333</v>
      </c>
      <c r="F52" s="131" t="s">
        <v>149</v>
      </c>
      <c r="G52" s="133">
        <v>3</v>
      </c>
      <c r="H52" s="134">
        <v>589</v>
      </c>
    </row>
    <row r="53" spans="1:8" ht="19.8" customHeight="1" x14ac:dyDescent="0.3">
      <c r="A53" s="140">
        <v>45984</v>
      </c>
      <c r="B53" s="131" t="s">
        <v>39</v>
      </c>
      <c r="C53" s="132" t="s">
        <v>51</v>
      </c>
      <c r="D53" s="131" t="s">
        <v>1</v>
      </c>
      <c r="E53" s="141">
        <v>1.7986111111111109</v>
      </c>
      <c r="F53" s="131" t="s">
        <v>149</v>
      </c>
      <c r="G53" s="133">
        <v>9</v>
      </c>
      <c r="H53" s="134">
        <v>589</v>
      </c>
    </row>
    <row r="54" spans="1:8" ht="19.8" customHeight="1" x14ac:dyDescent="0.3">
      <c r="A54" s="140">
        <v>45984</v>
      </c>
      <c r="B54" s="131" t="s">
        <v>61</v>
      </c>
      <c r="C54" s="132" t="s">
        <v>62</v>
      </c>
      <c r="D54" s="131" t="s">
        <v>1</v>
      </c>
      <c r="E54" s="141">
        <v>1.666666666666667</v>
      </c>
      <c r="F54" s="131" t="s">
        <v>63</v>
      </c>
      <c r="G54" s="133">
        <v>2</v>
      </c>
      <c r="H54" s="134">
        <v>599</v>
      </c>
    </row>
    <row r="55" spans="1:8" ht="19.8" customHeight="1" x14ac:dyDescent="0.3">
      <c r="A55" s="140">
        <v>45984</v>
      </c>
      <c r="B55" s="131" t="s">
        <v>61</v>
      </c>
      <c r="C55" s="132" t="s">
        <v>158</v>
      </c>
      <c r="D55" s="131" t="s">
        <v>1</v>
      </c>
      <c r="E55" s="141">
        <v>1.381944444444444</v>
      </c>
      <c r="F55" s="131" t="s">
        <v>63</v>
      </c>
      <c r="G55" s="133">
        <v>3</v>
      </c>
      <c r="H55" s="134">
        <v>599</v>
      </c>
    </row>
    <row r="56" spans="1:8" ht="19.8" customHeight="1" x14ac:dyDescent="0.3">
      <c r="A56" s="140">
        <v>45984</v>
      </c>
      <c r="B56" s="131" t="s">
        <v>55</v>
      </c>
      <c r="C56" s="132" t="s">
        <v>56</v>
      </c>
      <c r="D56" s="131" t="s">
        <v>1</v>
      </c>
      <c r="E56" s="141">
        <v>1.3888888888888891</v>
      </c>
      <c r="F56" s="131" t="s">
        <v>159</v>
      </c>
      <c r="G56" s="133">
        <v>9</v>
      </c>
      <c r="H56" s="134">
        <v>605</v>
      </c>
    </row>
    <row r="57" spans="1:8" ht="19.8" customHeight="1" x14ac:dyDescent="0.3">
      <c r="A57" s="140">
        <v>45984</v>
      </c>
      <c r="B57" s="131" t="s">
        <v>26</v>
      </c>
      <c r="C57" s="132" t="s">
        <v>31</v>
      </c>
      <c r="D57" s="131" t="s">
        <v>1</v>
      </c>
      <c r="E57" s="141">
        <v>1.302083333333333</v>
      </c>
      <c r="F57" s="131" t="s">
        <v>119</v>
      </c>
      <c r="G57" s="133">
        <v>9</v>
      </c>
      <c r="H57" s="134">
        <v>639</v>
      </c>
    </row>
    <row r="58" spans="1:8" ht="19.8" customHeight="1" x14ac:dyDescent="0.3">
      <c r="A58" s="140">
        <v>45984</v>
      </c>
      <c r="B58" s="131" t="s">
        <v>162</v>
      </c>
      <c r="C58" s="132" t="s">
        <v>163</v>
      </c>
      <c r="D58" s="131" t="s">
        <v>1</v>
      </c>
      <c r="E58" s="141">
        <v>1.3472222222222221</v>
      </c>
      <c r="F58" s="131" t="s">
        <v>63</v>
      </c>
      <c r="G58" s="133">
        <v>9</v>
      </c>
      <c r="H58" s="134">
        <v>645</v>
      </c>
    </row>
    <row r="59" spans="1:8" ht="19.8" customHeight="1" x14ac:dyDescent="0.3">
      <c r="A59" s="140">
        <v>45984</v>
      </c>
      <c r="B59" s="131" t="s">
        <v>39</v>
      </c>
      <c r="C59" s="132" t="s">
        <v>44</v>
      </c>
      <c r="D59" s="131" t="s">
        <v>1</v>
      </c>
      <c r="E59" s="141">
        <v>1.645833333333333</v>
      </c>
      <c r="F59" s="131" t="s">
        <v>149</v>
      </c>
      <c r="G59" s="133">
        <v>9</v>
      </c>
      <c r="H59" s="134">
        <v>669</v>
      </c>
    </row>
    <row r="60" spans="1:8" ht="19.8" customHeight="1" x14ac:dyDescent="0.3">
      <c r="A60" s="140">
        <v>45984</v>
      </c>
      <c r="B60" s="131" t="s">
        <v>39</v>
      </c>
      <c r="C60" s="132" t="s">
        <v>46</v>
      </c>
      <c r="D60" s="131" t="s">
        <v>1</v>
      </c>
      <c r="E60" s="141">
        <v>1.5173611111111109</v>
      </c>
      <c r="F60" s="131" t="s">
        <v>149</v>
      </c>
      <c r="G60" s="133">
        <v>9</v>
      </c>
      <c r="H60" s="134">
        <v>669</v>
      </c>
    </row>
    <row r="61" spans="1:8" ht="19.8" customHeight="1" x14ac:dyDescent="0.3">
      <c r="A61" s="140">
        <v>45984</v>
      </c>
      <c r="B61" s="131" t="s">
        <v>39</v>
      </c>
      <c r="C61" s="132" t="s">
        <v>49</v>
      </c>
      <c r="D61" s="131" t="s">
        <v>1</v>
      </c>
      <c r="E61" s="141">
        <v>1.395833333333333</v>
      </c>
      <c r="F61" s="131" t="s">
        <v>149</v>
      </c>
      <c r="G61" s="133">
        <v>9</v>
      </c>
      <c r="H61" s="134">
        <v>669</v>
      </c>
    </row>
    <row r="62" spans="1:8" ht="19.8" customHeight="1" x14ac:dyDescent="0.3">
      <c r="A62" s="140">
        <v>45984</v>
      </c>
      <c r="B62" s="131" t="s">
        <v>26</v>
      </c>
      <c r="C62" s="132" t="s">
        <v>36</v>
      </c>
      <c r="D62" s="131" t="s">
        <v>1</v>
      </c>
      <c r="E62" s="141">
        <v>1.788194444444444</v>
      </c>
      <c r="F62" s="131" t="s">
        <v>121</v>
      </c>
      <c r="G62" s="133">
        <v>1</v>
      </c>
      <c r="H62" s="134">
        <v>689</v>
      </c>
    </row>
    <row r="63" spans="1:8" ht="19.8" customHeight="1" x14ac:dyDescent="0.3">
      <c r="A63" s="140">
        <v>45984</v>
      </c>
      <c r="B63" s="131" t="s">
        <v>26</v>
      </c>
      <c r="C63" s="132" t="s">
        <v>34</v>
      </c>
      <c r="D63" s="131" t="s">
        <v>1</v>
      </c>
      <c r="E63" s="141">
        <v>1.8888888888888891</v>
      </c>
      <c r="F63" s="131" t="s">
        <v>121</v>
      </c>
      <c r="G63" s="133">
        <v>5</v>
      </c>
      <c r="H63" s="134">
        <v>689</v>
      </c>
    </row>
    <row r="64" spans="1:8" ht="19.8" customHeight="1" x14ac:dyDescent="0.3">
      <c r="A64" s="140">
        <v>45984</v>
      </c>
      <c r="B64" s="131" t="s">
        <v>39</v>
      </c>
      <c r="C64" s="132" t="s">
        <v>53</v>
      </c>
      <c r="D64" s="131" t="s">
        <v>1</v>
      </c>
      <c r="E64" s="141">
        <v>1.256944444444444</v>
      </c>
      <c r="F64" s="131" t="s">
        <v>150</v>
      </c>
      <c r="G64" s="133">
        <v>1</v>
      </c>
      <c r="H64" s="134">
        <v>689</v>
      </c>
    </row>
    <row r="65" spans="1:8" ht="19.8" customHeight="1" x14ac:dyDescent="0.3">
      <c r="A65" s="140">
        <v>45984</v>
      </c>
      <c r="B65" s="131" t="s">
        <v>39</v>
      </c>
      <c r="C65" s="132" t="s">
        <v>40</v>
      </c>
      <c r="D65" s="131" t="s">
        <v>1</v>
      </c>
      <c r="E65" s="141">
        <v>1.9027777777777779</v>
      </c>
      <c r="F65" s="131" t="s">
        <v>150</v>
      </c>
      <c r="G65" s="133">
        <v>9</v>
      </c>
      <c r="H65" s="134">
        <v>689</v>
      </c>
    </row>
    <row r="66" spans="1:8" ht="19.8" customHeight="1" x14ac:dyDescent="0.3">
      <c r="A66" s="140">
        <v>45984</v>
      </c>
      <c r="B66" s="131" t="s">
        <v>39</v>
      </c>
      <c r="C66" s="132" t="s">
        <v>48</v>
      </c>
      <c r="D66" s="131" t="s">
        <v>1</v>
      </c>
      <c r="E66" s="141">
        <v>1.854166666666667</v>
      </c>
      <c r="F66" s="131" t="s">
        <v>150</v>
      </c>
      <c r="G66" s="133">
        <v>9</v>
      </c>
      <c r="H66" s="134">
        <v>689</v>
      </c>
    </row>
    <row r="67" spans="1:8" ht="19.8" customHeight="1" x14ac:dyDescent="0.3">
      <c r="A67" s="140">
        <v>45984</v>
      </c>
      <c r="B67" s="131" t="s">
        <v>39</v>
      </c>
      <c r="C67" s="132" t="s">
        <v>153</v>
      </c>
      <c r="D67" s="131" t="s">
        <v>1</v>
      </c>
      <c r="E67" s="141">
        <v>1.302083333333333</v>
      </c>
      <c r="F67" s="131" t="s">
        <v>150</v>
      </c>
      <c r="G67" s="133">
        <v>3</v>
      </c>
      <c r="H67" s="134">
        <v>689</v>
      </c>
    </row>
    <row r="68" spans="1:8" ht="19.8" customHeight="1" x14ac:dyDescent="0.3">
      <c r="A68" s="140">
        <v>45984</v>
      </c>
      <c r="B68" s="131" t="s">
        <v>39</v>
      </c>
      <c r="C68" s="132" t="s">
        <v>51</v>
      </c>
      <c r="D68" s="131" t="s">
        <v>1</v>
      </c>
      <c r="E68" s="141">
        <v>1.7986111111111109</v>
      </c>
      <c r="F68" s="131" t="s">
        <v>150</v>
      </c>
      <c r="G68" s="133">
        <v>9</v>
      </c>
      <c r="H68" s="134">
        <v>689</v>
      </c>
    </row>
    <row r="69" spans="1:8" ht="19.8" customHeight="1" x14ac:dyDescent="0.3">
      <c r="A69" s="140">
        <v>45984</v>
      </c>
      <c r="B69" s="131" t="s">
        <v>162</v>
      </c>
      <c r="C69" s="132" t="s">
        <v>165</v>
      </c>
      <c r="D69" s="131" t="s">
        <v>1</v>
      </c>
      <c r="E69" s="141">
        <v>1.274305555555556</v>
      </c>
      <c r="F69" s="131" t="s">
        <v>63</v>
      </c>
      <c r="G69" s="133">
        <v>9</v>
      </c>
      <c r="H69" s="134">
        <v>695</v>
      </c>
    </row>
    <row r="70" spans="1:8" ht="19.8" customHeight="1" x14ac:dyDescent="0.3">
      <c r="A70" s="143">
        <v>45984</v>
      </c>
      <c r="B70" s="136" t="s">
        <v>66</v>
      </c>
      <c r="C70" s="137" t="s">
        <v>135</v>
      </c>
      <c r="D70" s="136" t="s">
        <v>1</v>
      </c>
      <c r="E70" s="144">
        <v>1.083333333333333</v>
      </c>
      <c r="F70" s="136" t="s">
        <v>68</v>
      </c>
      <c r="G70" s="138">
        <v>1</v>
      </c>
      <c r="H70" s="150">
        <v>706</v>
      </c>
    </row>
    <row r="71" spans="1:8" ht="19.8" customHeight="1" x14ac:dyDescent="0.3">
      <c r="A71" s="143">
        <v>45984</v>
      </c>
      <c r="B71" s="136" t="s">
        <v>66</v>
      </c>
      <c r="C71" s="137" t="s">
        <v>140</v>
      </c>
      <c r="D71" s="136" t="s">
        <v>1</v>
      </c>
      <c r="E71" s="144">
        <v>1.319444444444444</v>
      </c>
      <c r="F71" s="136" t="s">
        <v>68</v>
      </c>
      <c r="G71" s="138">
        <v>5</v>
      </c>
      <c r="H71" s="150">
        <v>706</v>
      </c>
    </row>
    <row r="72" spans="1:8" ht="19.8" customHeight="1" x14ac:dyDescent="0.3">
      <c r="A72" s="140">
        <v>45984</v>
      </c>
      <c r="B72" s="131" t="s">
        <v>26</v>
      </c>
      <c r="C72" s="132" t="s">
        <v>27</v>
      </c>
      <c r="D72" s="131" t="s">
        <v>1</v>
      </c>
      <c r="E72" s="141">
        <v>1.1284722222222221</v>
      </c>
      <c r="F72" s="131" t="s">
        <v>121</v>
      </c>
      <c r="G72" s="133">
        <v>3</v>
      </c>
      <c r="H72" s="134">
        <v>739</v>
      </c>
    </row>
    <row r="73" spans="1:8" ht="19.8" customHeight="1" x14ac:dyDescent="0.3">
      <c r="A73" s="140">
        <v>45984</v>
      </c>
      <c r="B73" s="131" t="s">
        <v>39</v>
      </c>
      <c r="C73" s="132" t="s">
        <v>44</v>
      </c>
      <c r="D73" s="131" t="s">
        <v>1</v>
      </c>
      <c r="E73" s="141">
        <v>1.645833333333333</v>
      </c>
      <c r="F73" s="131" t="s">
        <v>150</v>
      </c>
      <c r="G73" s="133">
        <v>9</v>
      </c>
      <c r="H73" s="134">
        <v>769</v>
      </c>
    </row>
    <row r="74" spans="1:8" ht="19.8" customHeight="1" x14ac:dyDescent="0.3">
      <c r="A74" s="140">
        <v>45984</v>
      </c>
      <c r="B74" s="131" t="s">
        <v>39</v>
      </c>
      <c r="C74" s="132" t="s">
        <v>46</v>
      </c>
      <c r="D74" s="131" t="s">
        <v>1</v>
      </c>
      <c r="E74" s="141">
        <v>1.5173611111111109</v>
      </c>
      <c r="F74" s="131" t="s">
        <v>150</v>
      </c>
      <c r="G74" s="133">
        <v>9</v>
      </c>
      <c r="H74" s="134">
        <v>769</v>
      </c>
    </row>
    <row r="75" spans="1:8" ht="19.8" customHeight="1" x14ac:dyDescent="0.3">
      <c r="A75" s="140">
        <v>45984</v>
      </c>
      <c r="B75" s="131" t="s">
        <v>39</v>
      </c>
      <c r="C75" s="132" t="s">
        <v>49</v>
      </c>
      <c r="D75" s="131" t="s">
        <v>1</v>
      </c>
      <c r="E75" s="141">
        <v>1.395833333333333</v>
      </c>
      <c r="F75" s="131" t="s">
        <v>150</v>
      </c>
      <c r="G75" s="133">
        <v>9</v>
      </c>
      <c r="H75" s="134">
        <v>769</v>
      </c>
    </row>
    <row r="76" spans="1:8" ht="19.8" customHeight="1" x14ac:dyDescent="0.3">
      <c r="A76" s="140">
        <v>45984</v>
      </c>
      <c r="B76" s="131" t="s">
        <v>39</v>
      </c>
      <c r="C76" s="132" t="s">
        <v>53</v>
      </c>
      <c r="D76" s="131" t="s">
        <v>1</v>
      </c>
      <c r="E76" s="141">
        <v>1.256944444444444</v>
      </c>
      <c r="F76" s="131" t="s">
        <v>151</v>
      </c>
      <c r="G76" s="133">
        <v>1</v>
      </c>
      <c r="H76" s="134">
        <v>779</v>
      </c>
    </row>
    <row r="77" spans="1:8" ht="19.8" customHeight="1" x14ac:dyDescent="0.3">
      <c r="A77" s="140">
        <v>45984</v>
      </c>
      <c r="B77" s="131" t="s">
        <v>39</v>
      </c>
      <c r="C77" s="132" t="s">
        <v>40</v>
      </c>
      <c r="D77" s="131" t="s">
        <v>1</v>
      </c>
      <c r="E77" s="141">
        <v>1.9027777777777779</v>
      </c>
      <c r="F77" s="131" t="s">
        <v>151</v>
      </c>
      <c r="G77" s="133">
        <v>9</v>
      </c>
      <c r="H77" s="134">
        <v>779</v>
      </c>
    </row>
    <row r="78" spans="1:8" ht="19.8" customHeight="1" x14ac:dyDescent="0.3">
      <c r="A78" s="140">
        <v>45984</v>
      </c>
      <c r="B78" s="131" t="s">
        <v>39</v>
      </c>
      <c r="C78" s="132" t="s">
        <v>48</v>
      </c>
      <c r="D78" s="131" t="s">
        <v>1</v>
      </c>
      <c r="E78" s="141">
        <v>1.854166666666667</v>
      </c>
      <c r="F78" s="131" t="s">
        <v>151</v>
      </c>
      <c r="G78" s="133">
        <v>9</v>
      </c>
      <c r="H78" s="134">
        <v>779</v>
      </c>
    </row>
    <row r="79" spans="1:8" ht="19.8" customHeight="1" x14ac:dyDescent="0.3">
      <c r="A79" s="140">
        <v>45984</v>
      </c>
      <c r="B79" s="131" t="s">
        <v>39</v>
      </c>
      <c r="C79" s="132" t="s">
        <v>153</v>
      </c>
      <c r="D79" s="131" t="s">
        <v>1</v>
      </c>
      <c r="E79" s="141">
        <v>1.302083333333333</v>
      </c>
      <c r="F79" s="131" t="s">
        <v>151</v>
      </c>
      <c r="G79" s="133">
        <v>3</v>
      </c>
      <c r="H79" s="134">
        <v>779</v>
      </c>
    </row>
    <row r="80" spans="1:8" ht="19.8" customHeight="1" x14ac:dyDescent="0.3">
      <c r="A80" s="140">
        <v>45984</v>
      </c>
      <c r="B80" s="131" t="s">
        <v>39</v>
      </c>
      <c r="C80" s="132" t="s">
        <v>51</v>
      </c>
      <c r="D80" s="131" t="s">
        <v>1</v>
      </c>
      <c r="E80" s="141">
        <v>1.7986111111111109</v>
      </c>
      <c r="F80" s="131" t="s">
        <v>151</v>
      </c>
      <c r="G80" s="133">
        <v>9</v>
      </c>
      <c r="H80" s="134">
        <v>779</v>
      </c>
    </row>
    <row r="81" spans="1:8" ht="19.8" customHeight="1" x14ac:dyDescent="0.3">
      <c r="A81" s="143">
        <v>45984</v>
      </c>
      <c r="B81" s="136" t="s">
        <v>66</v>
      </c>
      <c r="C81" s="137" t="s">
        <v>143</v>
      </c>
      <c r="D81" s="136" t="s">
        <v>1</v>
      </c>
      <c r="E81" s="144">
        <v>1.510416666666667</v>
      </c>
      <c r="F81" s="136" t="s">
        <v>68</v>
      </c>
      <c r="G81" s="138">
        <v>5</v>
      </c>
      <c r="H81" s="150">
        <v>781</v>
      </c>
    </row>
    <row r="82" spans="1:8" ht="19.8" customHeight="1" x14ac:dyDescent="0.3">
      <c r="A82" s="140">
        <v>45984</v>
      </c>
      <c r="B82" s="131" t="s">
        <v>26</v>
      </c>
      <c r="C82" s="132" t="s">
        <v>31</v>
      </c>
      <c r="D82" s="131" t="s">
        <v>1</v>
      </c>
      <c r="E82" s="141">
        <v>1.302083333333333</v>
      </c>
      <c r="F82" s="131" t="s">
        <v>121</v>
      </c>
      <c r="G82" s="133">
        <v>9</v>
      </c>
      <c r="H82" s="134">
        <v>789</v>
      </c>
    </row>
    <row r="83" spans="1:8" ht="19.8" customHeight="1" x14ac:dyDescent="0.3">
      <c r="A83" s="140">
        <v>45984</v>
      </c>
      <c r="B83" s="131" t="s">
        <v>55</v>
      </c>
      <c r="C83" s="132" t="s">
        <v>56</v>
      </c>
      <c r="D83" s="131" t="s">
        <v>1</v>
      </c>
      <c r="E83" s="141">
        <v>1.3888888888888891</v>
      </c>
      <c r="F83" s="131" t="s">
        <v>123</v>
      </c>
      <c r="G83" s="133">
        <v>9</v>
      </c>
      <c r="H83" s="134">
        <v>832</v>
      </c>
    </row>
    <row r="84" spans="1:8" ht="19.8" customHeight="1" x14ac:dyDescent="0.3">
      <c r="A84" s="140">
        <v>45984</v>
      </c>
      <c r="B84" s="131" t="s">
        <v>39</v>
      </c>
      <c r="C84" s="132" t="s">
        <v>44</v>
      </c>
      <c r="D84" s="131" t="s">
        <v>1</v>
      </c>
      <c r="E84" s="141">
        <v>1.645833333333333</v>
      </c>
      <c r="F84" s="131" t="s">
        <v>151</v>
      </c>
      <c r="G84" s="133">
        <v>9</v>
      </c>
      <c r="H84" s="134">
        <v>859</v>
      </c>
    </row>
    <row r="85" spans="1:8" ht="19.8" customHeight="1" x14ac:dyDescent="0.3">
      <c r="A85" s="140">
        <v>45984</v>
      </c>
      <c r="B85" s="131" t="s">
        <v>39</v>
      </c>
      <c r="C85" s="132" t="s">
        <v>46</v>
      </c>
      <c r="D85" s="131" t="s">
        <v>1</v>
      </c>
      <c r="E85" s="141">
        <v>1.5173611111111109</v>
      </c>
      <c r="F85" s="131" t="s">
        <v>151</v>
      </c>
      <c r="G85" s="133">
        <v>9</v>
      </c>
      <c r="H85" s="134">
        <v>859</v>
      </c>
    </row>
    <row r="86" spans="1:8" ht="19.8" customHeight="1" x14ac:dyDescent="0.3">
      <c r="A86" s="140">
        <v>45984</v>
      </c>
      <c r="B86" s="131" t="s">
        <v>39</v>
      </c>
      <c r="C86" s="132" t="s">
        <v>49</v>
      </c>
      <c r="D86" s="131" t="s">
        <v>1</v>
      </c>
      <c r="E86" s="141">
        <v>1.395833333333333</v>
      </c>
      <c r="F86" s="131" t="s">
        <v>151</v>
      </c>
      <c r="G86" s="133">
        <v>9</v>
      </c>
      <c r="H86" s="134">
        <v>859</v>
      </c>
    </row>
    <row r="87" spans="1:8" ht="19.8" customHeight="1" x14ac:dyDescent="0.3">
      <c r="A87" s="140">
        <v>45984</v>
      </c>
      <c r="B87" s="131" t="s">
        <v>80</v>
      </c>
      <c r="C87" s="132" t="s">
        <v>81</v>
      </c>
      <c r="D87" s="131" t="s">
        <v>1</v>
      </c>
      <c r="E87" s="141">
        <v>1.2222222222222221</v>
      </c>
      <c r="F87" s="131" t="s">
        <v>82</v>
      </c>
      <c r="G87" s="133">
        <v>9</v>
      </c>
      <c r="H87" s="142" t="s">
        <v>83</v>
      </c>
    </row>
    <row r="88" spans="1:8" ht="19.8" customHeight="1" x14ac:dyDescent="0.3">
      <c r="A88" s="140">
        <v>45984</v>
      </c>
      <c r="B88" s="131" t="s">
        <v>26</v>
      </c>
      <c r="C88" s="132" t="s">
        <v>31</v>
      </c>
      <c r="D88" s="131" t="s">
        <v>1</v>
      </c>
      <c r="E88" s="141">
        <v>1.302083333333333</v>
      </c>
      <c r="F88" s="131" t="s">
        <v>123</v>
      </c>
      <c r="G88" s="133">
        <v>9</v>
      </c>
      <c r="H88" s="142" t="s">
        <v>124</v>
      </c>
    </row>
    <row r="89" spans="1:8" ht="19.8" customHeight="1" x14ac:dyDescent="0.3">
      <c r="A89" s="140">
        <v>45984</v>
      </c>
      <c r="B89" s="131" t="s">
        <v>26</v>
      </c>
      <c r="C89" s="132" t="s">
        <v>27</v>
      </c>
      <c r="D89" s="131" t="s">
        <v>1</v>
      </c>
      <c r="E89" s="141">
        <v>1.1284722222222221</v>
      </c>
      <c r="F89" s="131" t="s">
        <v>123</v>
      </c>
      <c r="G89" s="133">
        <v>3</v>
      </c>
      <c r="H89" s="142" t="s">
        <v>124</v>
      </c>
    </row>
    <row r="90" spans="1:8" ht="19.8" customHeight="1" x14ac:dyDescent="0.3">
      <c r="A90" s="140">
        <v>45984</v>
      </c>
      <c r="B90" s="131" t="s">
        <v>26</v>
      </c>
      <c r="C90" s="132" t="s">
        <v>36</v>
      </c>
      <c r="D90" s="131" t="s">
        <v>1</v>
      </c>
      <c r="E90" s="141">
        <v>1.788194444444444</v>
      </c>
      <c r="F90" s="131" t="s">
        <v>123</v>
      </c>
      <c r="G90" s="133">
        <v>1</v>
      </c>
      <c r="H90" s="142" t="s">
        <v>124</v>
      </c>
    </row>
    <row r="91" spans="1:8" ht="19.8" customHeight="1" x14ac:dyDescent="0.3">
      <c r="A91" s="140">
        <v>45984</v>
      </c>
      <c r="B91" s="131" t="s">
        <v>26</v>
      </c>
      <c r="C91" s="132" t="s">
        <v>34</v>
      </c>
      <c r="D91" s="131" t="s">
        <v>1</v>
      </c>
      <c r="E91" s="141">
        <v>1.8888888888888891</v>
      </c>
      <c r="F91" s="131" t="s">
        <v>123</v>
      </c>
      <c r="G91" s="133">
        <v>5</v>
      </c>
      <c r="H91" s="142" t="s">
        <v>124</v>
      </c>
    </row>
    <row r="92" spans="1:8" ht="19.8" customHeight="1" x14ac:dyDescent="0.3">
      <c r="A92" s="140">
        <v>45984</v>
      </c>
      <c r="B92" s="131" t="s">
        <v>80</v>
      </c>
      <c r="C92" s="132" t="s">
        <v>167</v>
      </c>
      <c r="D92" s="131" t="s">
        <v>1</v>
      </c>
      <c r="E92" s="141">
        <v>1.975694444444444</v>
      </c>
      <c r="F92" s="131" t="s">
        <v>82</v>
      </c>
      <c r="G92" s="133">
        <v>9</v>
      </c>
      <c r="H92" s="142" t="s">
        <v>86</v>
      </c>
    </row>
    <row r="93" spans="1:8" ht="19.8" customHeight="1" x14ac:dyDescent="0.3">
      <c r="A93" s="140">
        <v>45984</v>
      </c>
      <c r="B93" s="131" t="s">
        <v>95</v>
      </c>
      <c r="C93" s="132" t="s">
        <v>103</v>
      </c>
      <c r="D93" s="131" t="s">
        <v>1</v>
      </c>
      <c r="E93" s="141">
        <v>1.006944444444444</v>
      </c>
      <c r="F93" s="131" t="s">
        <v>97</v>
      </c>
      <c r="G93" s="133">
        <v>9</v>
      </c>
      <c r="H93" s="142" t="s">
        <v>170</v>
      </c>
    </row>
    <row r="94" spans="1:8" ht="19.8" customHeight="1" x14ac:dyDescent="0.3">
      <c r="A94" s="140">
        <v>45984</v>
      </c>
      <c r="B94" s="131" t="s">
        <v>95</v>
      </c>
      <c r="C94" s="132" t="s">
        <v>104</v>
      </c>
      <c r="D94" s="131" t="s">
        <v>1</v>
      </c>
      <c r="E94" s="141">
        <v>1.1423611111111109</v>
      </c>
      <c r="F94" s="131" t="s">
        <v>97</v>
      </c>
      <c r="G94" s="133">
        <v>9</v>
      </c>
      <c r="H94" s="142" t="s">
        <v>170</v>
      </c>
    </row>
    <row r="95" spans="1:8" ht="19.8" customHeight="1" x14ac:dyDescent="0.3">
      <c r="A95" s="140">
        <v>45984</v>
      </c>
      <c r="B95" s="131" t="s">
        <v>95</v>
      </c>
      <c r="C95" s="132" t="s">
        <v>105</v>
      </c>
      <c r="D95" s="131" t="s">
        <v>1</v>
      </c>
      <c r="E95" s="141">
        <v>1.930555555555556</v>
      </c>
      <c r="F95" s="131" t="s">
        <v>97</v>
      </c>
      <c r="G95" s="133">
        <v>8</v>
      </c>
      <c r="H95" s="142" t="s">
        <v>170</v>
      </c>
    </row>
    <row r="96" spans="1:8" ht="19.8" customHeight="1" x14ac:dyDescent="0.3">
      <c r="A96" s="140">
        <v>45984</v>
      </c>
      <c r="B96" s="131" t="s">
        <v>95</v>
      </c>
      <c r="C96" s="132" t="s">
        <v>103</v>
      </c>
      <c r="D96" s="131" t="s">
        <v>1</v>
      </c>
      <c r="E96" s="141">
        <v>1.006944444444444</v>
      </c>
      <c r="F96" s="131" t="s">
        <v>99</v>
      </c>
      <c r="G96" s="133">
        <v>9</v>
      </c>
      <c r="H96" s="142" t="s">
        <v>171</v>
      </c>
    </row>
    <row r="97" spans="1:8" ht="19.8" customHeight="1" x14ac:dyDescent="0.3">
      <c r="A97" s="140">
        <v>45984</v>
      </c>
      <c r="B97" s="131" t="s">
        <v>95</v>
      </c>
      <c r="C97" s="132" t="s">
        <v>104</v>
      </c>
      <c r="D97" s="131" t="s">
        <v>1</v>
      </c>
      <c r="E97" s="141">
        <v>1.1423611111111109</v>
      </c>
      <c r="F97" s="131" t="s">
        <v>99</v>
      </c>
      <c r="G97" s="133">
        <v>9</v>
      </c>
      <c r="H97" s="142" t="s">
        <v>171</v>
      </c>
    </row>
    <row r="98" spans="1:8" ht="19.8" customHeight="1" x14ac:dyDescent="0.3">
      <c r="A98" s="140">
        <v>45984</v>
      </c>
      <c r="B98" s="131" t="s">
        <v>95</v>
      </c>
      <c r="C98" s="132" t="s">
        <v>105</v>
      </c>
      <c r="D98" s="131" t="s">
        <v>1</v>
      </c>
      <c r="E98" s="141">
        <v>1.930555555555556</v>
      </c>
      <c r="F98" s="131" t="s">
        <v>99</v>
      </c>
      <c r="G98" s="133">
        <v>8</v>
      </c>
      <c r="H98" s="142" t="s">
        <v>171</v>
      </c>
    </row>
    <row r="99" spans="1:8" ht="19.8" customHeight="1" x14ac:dyDescent="0.3">
      <c r="A99" s="140">
        <v>45984</v>
      </c>
      <c r="B99" s="131" t="s">
        <v>80</v>
      </c>
      <c r="C99" s="132" t="s">
        <v>168</v>
      </c>
      <c r="D99" s="131" t="s">
        <v>1</v>
      </c>
      <c r="E99" s="141">
        <v>1.4861111111111109</v>
      </c>
      <c r="F99" s="131" t="s">
        <v>82</v>
      </c>
      <c r="G99" s="133">
        <v>9</v>
      </c>
      <c r="H99" s="142" t="s">
        <v>169</v>
      </c>
    </row>
    <row r="100" spans="1:8" ht="19.8" customHeight="1" x14ac:dyDescent="0.3">
      <c r="A100" s="140">
        <v>45984</v>
      </c>
      <c r="B100" s="131" t="s">
        <v>80</v>
      </c>
      <c r="C100" s="132" t="s">
        <v>84</v>
      </c>
      <c r="D100" s="131" t="s">
        <v>1</v>
      </c>
      <c r="E100" s="141">
        <v>1.2638888888888891</v>
      </c>
      <c r="F100" s="131" t="s">
        <v>82</v>
      </c>
      <c r="G100" s="133">
        <v>9</v>
      </c>
      <c r="H100" s="142" t="s">
        <v>169</v>
      </c>
    </row>
    <row r="101" spans="1:8" ht="19.8" customHeight="1" x14ac:dyDescent="0.3">
      <c r="A101" s="140">
        <v>45984</v>
      </c>
      <c r="B101" s="131" t="s">
        <v>95</v>
      </c>
      <c r="C101" s="132" t="s">
        <v>116</v>
      </c>
      <c r="D101" s="131" t="s">
        <v>1</v>
      </c>
      <c r="E101" s="141">
        <v>1.8888888888888891</v>
      </c>
      <c r="F101" s="131" t="s">
        <v>99</v>
      </c>
      <c r="G101" s="133">
        <v>4</v>
      </c>
      <c r="H101" s="142" t="s">
        <v>173</v>
      </c>
    </row>
    <row r="102" spans="1:8" ht="19.8" customHeight="1" x14ac:dyDescent="0.3">
      <c r="A102" s="140">
        <v>45984</v>
      </c>
      <c r="B102" s="131" t="s">
        <v>95</v>
      </c>
      <c r="C102" s="132" t="s">
        <v>109</v>
      </c>
      <c r="D102" s="131" t="s">
        <v>1</v>
      </c>
      <c r="E102" s="141">
        <v>1.302083333333333</v>
      </c>
      <c r="F102" s="131" t="s">
        <v>99</v>
      </c>
      <c r="G102" s="133">
        <v>4</v>
      </c>
      <c r="H102" s="142" t="s">
        <v>110</v>
      </c>
    </row>
    <row r="103" spans="1:8" ht="19.8" customHeight="1" x14ac:dyDescent="0.3">
      <c r="A103" s="140">
        <v>45984</v>
      </c>
      <c r="B103" s="131" t="s">
        <v>95</v>
      </c>
      <c r="C103" s="132" t="s">
        <v>111</v>
      </c>
      <c r="D103" s="131" t="s">
        <v>1</v>
      </c>
      <c r="E103" s="141">
        <v>1.1284722222222221</v>
      </c>
      <c r="F103" s="131" t="s">
        <v>99</v>
      </c>
      <c r="G103" s="133">
        <v>4</v>
      </c>
      <c r="H103" s="142" t="s">
        <v>110</v>
      </c>
    </row>
    <row r="104" spans="1:8" ht="19.8" customHeight="1" x14ac:dyDescent="0.3">
      <c r="A104" s="140">
        <v>45984</v>
      </c>
      <c r="B104" s="131" t="s">
        <v>95</v>
      </c>
      <c r="C104" s="132" t="s">
        <v>118</v>
      </c>
      <c r="D104" s="131" t="s">
        <v>1</v>
      </c>
      <c r="E104" s="141">
        <v>1.788194444444444</v>
      </c>
      <c r="F104" s="131" t="s">
        <v>99</v>
      </c>
      <c r="G104" s="133">
        <v>4</v>
      </c>
      <c r="H104" s="142" t="s">
        <v>110</v>
      </c>
    </row>
    <row r="105" spans="1:8" ht="19.8" customHeight="1" x14ac:dyDescent="0.3">
      <c r="A105" s="140">
        <v>45984</v>
      </c>
      <c r="B105" s="131" t="s">
        <v>95</v>
      </c>
      <c r="C105" s="132" t="s">
        <v>96</v>
      </c>
      <c r="D105" s="131" t="s">
        <v>1</v>
      </c>
      <c r="E105" s="141">
        <v>1.3784722222222221</v>
      </c>
      <c r="F105" s="131" t="s">
        <v>97</v>
      </c>
      <c r="G105" s="133">
        <v>1</v>
      </c>
      <c r="H105" s="142" t="s">
        <v>174</v>
      </c>
    </row>
    <row r="106" spans="1:8" ht="19.8" customHeight="1" x14ac:dyDescent="0.3">
      <c r="A106" s="140">
        <v>45984</v>
      </c>
      <c r="B106" s="131" t="s">
        <v>95</v>
      </c>
      <c r="C106" s="132" t="s">
        <v>112</v>
      </c>
      <c r="D106" s="131" t="s">
        <v>1</v>
      </c>
      <c r="E106" s="141">
        <v>1.6111111111111109</v>
      </c>
      <c r="F106" s="131" t="s">
        <v>97</v>
      </c>
      <c r="G106" s="133">
        <v>9</v>
      </c>
      <c r="H106" s="142" t="s">
        <v>174</v>
      </c>
    </row>
    <row r="107" spans="1:8" ht="19.8" customHeight="1" x14ac:dyDescent="0.3">
      <c r="A107" s="140">
        <v>45984</v>
      </c>
      <c r="B107" s="131" t="s">
        <v>95</v>
      </c>
      <c r="C107" s="132" t="s">
        <v>106</v>
      </c>
      <c r="D107" s="131" t="s">
        <v>1</v>
      </c>
      <c r="E107" s="141">
        <v>1.239583333333333</v>
      </c>
      <c r="F107" s="131" t="s">
        <v>97</v>
      </c>
      <c r="G107" s="133">
        <v>6</v>
      </c>
      <c r="H107" s="142" t="s">
        <v>174</v>
      </c>
    </row>
    <row r="108" spans="1:8" ht="19.8" customHeight="1" x14ac:dyDescent="0.3">
      <c r="A108" s="140">
        <v>45984</v>
      </c>
      <c r="B108" s="131" t="s">
        <v>95</v>
      </c>
      <c r="C108" s="132" t="s">
        <v>115</v>
      </c>
      <c r="D108" s="131" t="s">
        <v>1</v>
      </c>
      <c r="E108" s="141">
        <v>1.8298611111111109</v>
      </c>
      <c r="F108" s="131" t="s">
        <v>97</v>
      </c>
      <c r="G108" s="133">
        <v>9</v>
      </c>
      <c r="H108" s="142" t="s">
        <v>174</v>
      </c>
    </row>
    <row r="109" spans="1:8" ht="19.8" customHeight="1" x14ac:dyDescent="0.3">
      <c r="A109" s="140">
        <v>45984</v>
      </c>
      <c r="B109" s="131" t="s">
        <v>95</v>
      </c>
      <c r="C109" s="132" t="s">
        <v>96</v>
      </c>
      <c r="D109" s="131" t="s">
        <v>1</v>
      </c>
      <c r="E109" s="141">
        <v>1.3784722222222221</v>
      </c>
      <c r="F109" s="131" t="s">
        <v>99</v>
      </c>
      <c r="G109" s="133">
        <v>1</v>
      </c>
      <c r="H109" s="142" t="s">
        <v>175</v>
      </c>
    </row>
    <row r="110" spans="1:8" ht="19.8" customHeight="1" x14ac:dyDescent="0.3">
      <c r="A110" s="140">
        <v>45984</v>
      </c>
      <c r="B110" s="131" t="s">
        <v>95</v>
      </c>
      <c r="C110" s="132" t="s">
        <v>112</v>
      </c>
      <c r="D110" s="131" t="s">
        <v>1</v>
      </c>
      <c r="E110" s="141">
        <v>1.6111111111111109</v>
      </c>
      <c r="F110" s="131" t="s">
        <v>99</v>
      </c>
      <c r="G110" s="133">
        <v>9</v>
      </c>
      <c r="H110" s="142" t="s">
        <v>175</v>
      </c>
    </row>
    <row r="111" spans="1:8" ht="19.8" customHeight="1" x14ac:dyDescent="0.3">
      <c r="A111" s="140">
        <v>45984</v>
      </c>
      <c r="B111" s="131" t="s">
        <v>95</v>
      </c>
      <c r="C111" s="132" t="s">
        <v>106</v>
      </c>
      <c r="D111" s="131" t="s">
        <v>1</v>
      </c>
      <c r="E111" s="141">
        <v>1.239583333333333</v>
      </c>
      <c r="F111" s="131" t="s">
        <v>99</v>
      </c>
      <c r="G111" s="133">
        <v>6</v>
      </c>
      <c r="H111" s="142" t="s">
        <v>175</v>
      </c>
    </row>
    <row r="112" spans="1:8" ht="19.8" customHeight="1" x14ac:dyDescent="0.3">
      <c r="A112" s="140">
        <v>45984</v>
      </c>
      <c r="B112" s="131" t="s">
        <v>95</v>
      </c>
      <c r="C112" s="132" t="s">
        <v>115</v>
      </c>
      <c r="D112" s="131" t="s">
        <v>1</v>
      </c>
      <c r="E112" s="141">
        <v>1.8298611111111109</v>
      </c>
      <c r="F112" s="131" t="s">
        <v>99</v>
      </c>
      <c r="G112" s="133">
        <v>9</v>
      </c>
      <c r="H112" s="142" t="s">
        <v>175</v>
      </c>
    </row>
    <row r="113" spans="1:8" ht="19.8" customHeight="1" x14ac:dyDescent="0.3">
      <c r="A113" s="140">
        <v>45984</v>
      </c>
      <c r="B113" s="131" t="s">
        <v>80</v>
      </c>
      <c r="C113" s="132" t="s">
        <v>89</v>
      </c>
      <c r="D113" s="131" t="s">
        <v>1</v>
      </c>
      <c r="E113" s="141">
        <v>1.145833333333333</v>
      </c>
      <c r="F113" s="131" t="s">
        <v>82</v>
      </c>
      <c r="G113" s="133">
        <v>2</v>
      </c>
      <c r="H113" s="142" t="s">
        <v>91</v>
      </c>
    </row>
    <row r="114" spans="1:8" ht="19.8" customHeight="1" x14ac:dyDescent="0.3">
      <c r="A114" s="140">
        <v>45984</v>
      </c>
      <c r="B114" s="131" t="s">
        <v>80</v>
      </c>
      <c r="C114" s="132" t="s">
        <v>93</v>
      </c>
      <c r="D114" s="131" t="s">
        <v>1</v>
      </c>
      <c r="E114" s="141">
        <v>1.774305555555556</v>
      </c>
      <c r="F114" s="131" t="s">
        <v>82</v>
      </c>
      <c r="G114" s="133">
        <v>9</v>
      </c>
      <c r="H114" s="142" t="s">
        <v>91</v>
      </c>
    </row>
    <row r="115" spans="1:8" ht="19.8" customHeight="1" x14ac:dyDescent="0.3">
      <c r="A115" s="145">
        <v>45984</v>
      </c>
      <c r="B115" s="146" t="s">
        <v>66</v>
      </c>
      <c r="C115" s="147" t="s">
        <v>70</v>
      </c>
      <c r="D115" s="146" t="s">
        <v>1</v>
      </c>
      <c r="E115" s="148">
        <v>1.631944444444444</v>
      </c>
      <c r="F115" s="146" t="s">
        <v>74</v>
      </c>
      <c r="G115" s="146"/>
      <c r="H115" s="149" t="s">
        <v>75</v>
      </c>
    </row>
    <row r="116" spans="1:8" ht="19.8" customHeight="1" x14ac:dyDescent="0.3">
      <c r="A116" s="140">
        <v>45985</v>
      </c>
      <c r="B116" s="131" t="s">
        <v>26</v>
      </c>
      <c r="C116" s="132" t="s">
        <v>27</v>
      </c>
      <c r="D116" s="131" t="s">
        <v>1</v>
      </c>
      <c r="E116" s="141">
        <v>1.1284722222222221</v>
      </c>
      <c r="F116" s="131" t="s">
        <v>119</v>
      </c>
      <c r="G116" s="133">
        <v>10</v>
      </c>
      <c r="H116" s="134">
        <v>459</v>
      </c>
    </row>
    <row r="117" spans="1:8" ht="19.8" customHeight="1" x14ac:dyDescent="0.3">
      <c r="A117" s="140">
        <v>45985</v>
      </c>
      <c r="B117" s="131" t="s">
        <v>26</v>
      </c>
      <c r="C117" s="132" t="s">
        <v>31</v>
      </c>
      <c r="D117" s="131" t="s">
        <v>1</v>
      </c>
      <c r="E117" s="141">
        <v>1.302083333333333</v>
      </c>
      <c r="F117" s="131" t="s">
        <v>119</v>
      </c>
      <c r="G117" s="133">
        <v>10</v>
      </c>
      <c r="H117" s="134">
        <v>499</v>
      </c>
    </row>
    <row r="118" spans="1:8" ht="19.8" customHeight="1" x14ac:dyDescent="0.3">
      <c r="A118" s="140">
        <v>45985</v>
      </c>
      <c r="B118" s="131" t="s">
        <v>26</v>
      </c>
      <c r="C118" s="132" t="s">
        <v>34</v>
      </c>
      <c r="D118" s="131" t="s">
        <v>1</v>
      </c>
      <c r="E118" s="141">
        <v>1.8888888888888891</v>
      </c>
      <c r="F118" s="131" t="s">
        <v>119</v>
      </c>
      <c r="G118" s="133">
        <v>5</v>
      </c>
      <c r="H118" s="134">
        <v>499</v>
      </c>
    </row>
    <row r="119" spans="1:8" ht="19.8" customHeight="1" x14ac:dyDescent="0.3">
      <c r="A119" s="140">
        <v>45985</v>
      </c>
      <c r="B119" s="131" t="s">
        <v>39</v>
      </c>
      <c r="C119" s="132" t="s">
        <v>53</v>
      </c>
      <c r="D119" s="131" t="s">
        <v>1</v>
      </c>
      <c r="E119" s="141">
        <v>1.256944444444444</v>
      </c>
      <c r="F119" s="131" t="s">
        <v>149</v>
      </c>
      <c r="G119" s="133">
        <v>8</v>
      </c>
      <c r="H119" s="134">
        <v>509</v>
      </c>
    </row>
    <row r="120" spans="1:8" ht="19.8" customHeight="1" x14ac:dyDescent="0.3">
      <c r="A120" s="140">
        <v>45985</v>
      </c>
      <c r="B120" s="131" t="s">
        <v>39</v>
      </c>
      <c r="C120" s="132" t="s">
        <v>40</v>
      </c>
      <c r="D120" s="131" t="s">
        <v>1</v>
      </c>
      <c r="E120" s="141">
        <v>1.9027777777777779</v>
      </c>
      <c r="F120" s="131" t="s">
        <v>149</v>
      </c>
      <c r="G120" s="133">
        <v>5</v>
      </c>
      <c r="H120" s="134">
        <v>509</v>
      </c>
    </row>
    <row r="121" spans="1:8" ht="19.8" customHeight="1" x14ac:dyDescent="0.3">
      <c r="A121" s="140">
        <v>45985</v>
      </c>
      <c r="B121" s="131" t="s">
        <v>39</v>
      </c>
      <c r="C121" s="132" t="s">
        <v>44</v>
      </c>
      <c r="D121" s="131" t="s">
        <v>1</v>
      </c>
      <c r="E121" s="141">
        <v>1.645833333333333</v>
      </c>
      <c r="F121" s="131" t="s">
        <v>149</v>
      </c>
      <c r="G121" s="133">
        <v>2</v>
      </c>
      <c r="H121" s="134">
        <v>509</v>
      </c>
    </row>
    <row r="122" spans="1:8" ht="19.8" customHeight="1" x14ac:dyDescent="0.3">
      <c r="A122" s="140">
        <v>45985</v>
      </c>
      <c r="B122" s="131" t="s">
        <v>39</v>
      </c>
      <c r="C122" s="132" t="s">
        <v>46</v>
      </c>
      <c r="D122" s="131" t="s">
        <v>1</v>
      </c>
      <c r="E122" s="141">
        <v>1.5173611111111109</v>
      </c>
      <c r="F122" s="131" t="s">
        <v>149</v>
      </c>
      <c r="G122" s="133">
        <v>6</v>
      </c>
      <c r="H122" s="134">
        <v>509</v>
      </c>
    </row>
    <row r="123" spans="1:8" ht="19.8" customHeight="1" x14ac:dyDescent="0.3">
      <c r="A123" s="140">
        <v>45985</v>
      </c>
      <c r="B123" s="131" t="s">
        <v>39</v>
      </c>
      <c r="C123" s="132" t="s">
        <v>51</v>
      </c>
      <c r="D123" s="131" t="s">
        <v>1</v>
      </c>
      <c r="E123" s="141">
        <v>1.7986111111111109</v>
      </c>
      <c r="F123" s="131" t="s">
        <v>149</v>
      </c>
      <c r="G123" s="133">
        <v>9</v>
      </c>
      <c r="H123" s="134">
        <v>509</v>
      </c>
    </row>
    <row r="124" spans="1:8" ht="19.8" customHeight="1" x14ac:dyDescent="0.3">
      <c r="A124" s="140">
        <v>45985</v>
      </c>
      <c r="B124" s="131" t="s">
        <v>39</v>
      </c>
      <c r="C124" s="132" t="s">
        <v>48</v>
      </c>
      <c r="D124" s="131" t="s">
        <v>1</v>
      </c>
      <c r="E124" s="141">
        <v>1.854166666666667</v>
      </c>
      <c r="F124" s="131" t="s">
        <v>149</v>
      </c>
      <c r="G124" s="133">
        <v>9</v>
      </c>
      <c r="H124" s="134">
        <v>549</v>
      </c>
    </row>
    <row r="125" spans="1:8" ht="19.8" customHeight="1" x14ac:dyDescent="0.3">
      <c r="A125" s="140">
        <v>45985</v>
      </c>
      <c r="B125" s="131" t="s">
        <v>39</v>
      </c>
      <c r="C125" s="132" t="s">
        <v>49</v>
      </c>
      <c r="D125" s="131" t="s">
        <v>1</v>
      </c>
      <c r="E125" s="141">
        <v>1.395833333333333</v>
      </c>
      <c r="F125" s="131" t="s">
        <v>149</v>
      </c>
      <c r="G125" s="133">
        <v>9</v>
      </c>
      <c r="H125" s="134">
        <v>549</v>
      </c>
    </row>
    <row r="126" spans="1:8" ht="19.8" customHeight="1" x14ac:dyDescent="0.3">
      <c r="A126" s="140">
        <v>45985</v>
      </c>
      <c r="B126" s="131" t="s">
        <v>39</v>
      </c>
      <c r="C126" s="132" t="s">
        <v>153</v>
      </c>
      <c r="D126" s="131" t="s">
        <v>1</v>
      </c>
      <c r="E126" s="141">
        <v>1.46875</v>
      </c>
      <c r="F126" s="131" t="s">
        <v>149</v>
      </c>
      <c r="G126" s="133">
        <v>9</v>
      </c>
      <c r="H126" s="134">
        <v>549</v>
      </c>
    </row>
    <row r="127" spans="1:8" ht="19.8" customHeight="1" x14ac:dyDescent="0.3">
      <c r="A127" s="140">
        <v>45985</v>
      </c>
      <c r="B127" s="131" t="s">
        <v>55</v>
      </c>
      <c r="C127" s="132" t="s">
        <v>59</v>
      </c>
      <c r="D127" s="131" t="s">
        <v>1</v>
      </c>
      <c r="E127" s="141">
        <v>1.1736111111111109</v>
      </c>
      <c r="F127" s="131" t="s">
        <v>159</v>
      </c>
      <c r="G127" s="133">
        <v>9</v>
      </c>
      <c r="H127" s="134">
        <v>568</v>
      </c>
    </row>
    <row r="128" spans="1:8" ht="19.8" customHeight="1" x14ac:dyDescent="0.3">
      <c r="A128" s="143">
        <v>45985</v>
      </c>
      <c r="B128" s="136" t="s">
        <v>66</v>
      </c>
      <c r="C128" s="137" t="s">
        <v>143</v>
      </c>
      <c r="D128" s="136" t="s">
        <v>1</v>
      </c>
      <c r="E128" s="144">
        <v>1.979166666666667</v>
      </c>
      <c r="F128" s="136" t="s">
        <v>68</v>
      </c>
      <c r="G128" s="138">
        <v>4</v>
      </c>
      <c r="H128" s="150">
        <v>586</v>
      </c>
    </row>
    <row r="129" spans="1:8" ht="19.8" customHeight="1" x14ac:dyDescent="0.3">
      <c r="A129" s="143">
        <v>45985</v>
      </c>
      <c r="B129" s="136" t="s">
        <v>66</v>
      </c>
      <c r="C129" s="137" t="s">
        <v>140</v>
      </c>
      <c r="D129" s="136" t="s">
        <v>1</v>
      </c>
      <c r="E129" s="144">
        <v>1.4236111111111109</v>
      </c>
      <c r="F129" s="136" t="s">
        <v>68</v>
      </c>
      <c r="G129" s="138">
        <v>3</v>
      </c>
      <c r="H129" s="150">
        <v>586</v>
      </c>
    </row>
    <row r="130" spans="1:8" ht="19.8" customHeight="1" x14ac:dyDescent="0.3">
      <c r="A130" s="143">
        <v>45985</v>
      </c>
      <c r="B130" s="136" t="s">
        <v>66</v>
      </c>
      <c r="C130" s="137" t="s">
        <v>201</v>
      </c>
      <c r="D130" s="136" t="s">
        <v>1</v>
      </c>
      <c r="E130" s="144">
        <v>1.006944444444444</v>
      </c>
      <c r="F130" s="136" t="s">
        <v>68</v>
      </c>
      <c r="G130" s="138">
        <v>4</v>
      </c>
      <c r="H130" s="150">
        <v>586</v>
      </c>
    </row>
    <row r="131" spans="1:8" ht="19.8" customHeight="1" x14ac:dyDescent="0.3">
      <c r="A131" s="140">
        <v>45985</v>
      </c>
      <c r="B131" s="131" t="s">
        <v>55</v>
      </c>
      <c r="C131" s="132" t="s">
        <v>56</v>
      </c>
      <c r="D131" s="131" t="s">
        <v>1</v>
      </c>
      <c r="E131" s="141">
        <v>1.3923611111111109</v>
      </c>
      <c r="F131" s="131" t="s">
        <v>159</v>
      </c>
      <c r="G131" s="133">
        <v>7</v>
      </c>
      <c r="H131" s="134">
        <v>592</v>
      </c>
    </row>
    <row r="132" spans="1:8" ht="19.8" customHeight="1" x14ac:dyDescent="0.3">
      <c r="A132" s="140">
        <v>45985</v>
      </c>
      <c r="B132" s="131" t="s">
        <v>162</v>
      </c>
      <c r="C132" s="132" t="s">
        <v>207</v>
      </c>
      <c r="D132" s="131" t="s">
        <v>1</v>
      </c>
      <c r="E132" s="141">
        <v>1.208333333333333</v>
      </c>
      <c r="F132" s="131" t="s">
        <v>63</v>
      </c>
      <c r="G132" s="133">
        <v>9</v>
      </c>
      <c r="H132" s="134">
        <v>595</v>
      </c>
    </row>
    <row r="133" spans="1:8" ht="19.8" customHeight="1" x14ac:dyDescent="0.3">
      <c r="A133" s="140">
        <v>45985</v>
      </c>
      <c r="B133" s="131" t="s">
        <v>61</v>
      </c>
      <c r="C133" s="132" t="s">
        <v>62</v>
      </c>
      <c r="D133" s="131" t="s">
        <v>1</v>
      </c>
      <c r="E133" s="141">
        <v>1.666666666666667</v>
      </c>
      <c r="F133" s="131" t="s">
        <v>63</v>
      </c>
      <c r="G133" s="133">
        <v>6</v>
      </c>
      <c r="H133" s="134">
        <v>599</v>
      </c>
    </row>
    <row r="134" spans="1:8" ht="19.8" customHeight="1" x14ac:dyDescent="0.3">
      <c r="A134" s="140">
        <v>45985</v>
      </c>
      <c r="B134" s="131" t="s">
        <v>61</v>
      </c>
      <c r="C134" s="132" t="s">
        <v>158</v>
      </c>
      <c r="D134" s="131" t="s">
        <v>1</v>
      </c>
      <c r="E134" s="141">
        <v>1.3125</v>
      </c>
      <c r="F134" s="131" t="s">
        <v>63</v>
      </c>
      <c r="G134" s="133">
        <v>8</v>
      </c>
      <c r="H134" s="134">
        <v>599</v>
      </c>
    </row>
    <row r="135" spans="1:8" ht="19.8" customHeight="1" x14ac:dyDescent="0.3">
      <c r="A135" s="140">
        <v>45985</v>
      </c>
      <c r="B135" s="131" t="s">
        <v>26</v>
      </c>
      <c r="C135" s="132" t="s">
        <v>27</v>
      </c>
      <c r="D135" s="131" t="s">
        <v>1</v>
      </c>
      <c r="E135" s="141">
        <v>1.1284722222222221</v>
      </c>
      <c r="F135" s="131" t="s">
        <v>121</v>
      </c>
      <c r="G135" s="133">
        <v>10</v>
      </c>
      <c r="H135" s="134">
        <v>609</v>
      </c>
    </row>
    <row r="136" spans="1:8" ht="19.8" customHeight="1" x14ac:dyDescent="0.3">
      <c r="A136" s="140">
        <v>45985</v>
      </c>
      <c r="B136" s="131" t="s">
        <v>39</v>
      </c>
      <c r="C136" s="132" t="s">
        <v>53</v>
      </c>
      <c r="D136" s="131" t="s">
        <v>1</v>
      </c>
      <c r="E136" s="141">
        <v>1.256944444444444</v>
      </c>
      <c r="F136" s="131" t="s">
        <v>150</v>
      </c>
      <c r="G136" s="133">
        <v>8</v>
      </c>
      <c r="H136" s="134">
        <v>609</v>
      </c>
    </row>
    <row r="137" spans="1:8" ht="19.8" customHeight="1" x14ac:dyDescent="0.3">
      <c r="A137" s="140">
        <v>45985</v>
      </c>
      <c r="B137" s="131" t="s">
        <v>39</v>
      </c>
      <c r="C137" s="132" t="s">
        <v>40</v>
      </c>
      <c r="D137" s="131" t="s">
        <v>1</v>
      </c>
      <c r="E137" s="141">
        <v>1.9027777777777779</v>
      </c>
      <c r="F137" s="131" t="s">
        <v>150</v>
      </c>
      <c r="G137" s="133">
        <v>5</v>
      </c>
      <c r="H137" s="134">
        <v>609</v>
      </c>
    </row>
    <row r="138" spans="1:8" ht="19.8" customHeight="1" x14ac:dyDescent="0.3">
      <c r="A138" s="140">
        <v>45985</v>
      </c>
      <c r="B138" s="131" t="s">
        <v>39</v>
      </c>
      <c r="C138" s="132" t="s">
        <v>44</v>
      </c>
      <c r="D138" s="131" t="s">
        <v>1</v>
      </c>
      <c r="E138" s="141">
        <v>1.645833333333333</v>
      </c>
      <c r="F138" s="131" t="s">
        <v>150</v>
      </c>
      <c r="G138" s="133">
        <v>2</v>
      </c>
      <c r="H138" s="134">
        <v>609</v>
      </c>
    </row>
    <row r="139" spans="1:8" ht="19.8" customHeight="1" x14ac:dyDescent="0.3">
      <c r="A139" s="140">
        <v>45985</v>
      </c>
      <c r="B139" s="131" t="s">
        <v>39</v>
      </c>
      <c r="C139" s="132" t="s">
        <v>46</v>
      </c>
      <c r="D139" s="131" t="s">
        <v>1</v>
      </c>
      <c r="E139" s="141">
        <v>1.5173611111111109</v>
      </c>
      <c r="F139" s="131" t="s">
        <v>150</v>
      </c>
      <c r="G139" s="133">
        <v>6</v>
      </c>
      <c r="H139" s="134">
        <v>609</v>
      </c>
    </row>
    <row r="140" spans="1:8" ht="19.8" customHeight="1" x14ac:dyDescent="0.3">
      <c r="A140" s="140">
        <v>45985</v>
      </c>
      <c r="B140" s="131" t="s">
        <v>39</v>
      </c>
      <c r="C140" s="132" t="s">
        <v>51</v>
      </c>
      <c r="D140" s="131" t="s">
        <v>1</v>
      </c>
      <c r="E140" s="141">
        <v>1.7986111111111109</v>
      </c>
      <c r="F140" s="131" t="s">
        <v>150</v>
      </c>
      <c r="G140" s="133">
        <v>9</v>
      </c>
      <c r="H140" s="134">
        <v>609</v>
      </c>
    </row>
    <row r="141" spans="1:8" ht="19.8" customHeight="1" x14ac:dyDescent="0.3">
      <c r="A141" s="143">
        <v>45985</v>
      </c>
      <c r="B141" s="136" t="s">
        <v>66</v>
      </c>
      <c r="C141" s="137" t="s">
        <v>67</v>
      </c>
      <c r="D141" s="136" t="s">
        <v>1</v>
      </c>
      <c r="E141" s="144">
        <v>1.614583333333333</v>
      </c>
      <c r="F141" s="136" t="s">
        <v>68</v>
      </c>
      <c r="G141" s="138">
        <v>5</v>
      </c>
      <c r="H141" s="150">
        <v>646</v>
      </c>
    </row>
    <row r="142" spans="1:8" ht="19.8" customHeight="1" x14ac:dyDescent="0.3">
      <c r="A142" s="140">
        <v>45985</v>
      </c>
      <c r="B142" s="131" t="s">
        <v>26</v>
      </c>
      <c r="C142" s="132" t="s">
        <v>31</v>
      </c>
      <c r="D142" s="131" t="s">
        <v>1</v>
      </c>
      <c r="E142" s="141">
        <v>1.302083333333333</v>
      </c>
      <c r="F142" s="131" t="s">
        <v>121</v>
      </c>
      <c r="G142" s="133">
        <v>10</v>
      </c>
      <c r="H142" s="134">
        <v>649</v>
      </c>
    </row>
    <row r="143" spans="1:8" ht="19.8" customHeight="1" x14ac:dyDescent="0.3">
      <c r="A143" s="140">
        <v>45985</v>
      </c>
      <c r="B143" s="131" t="s">
        <v>26</v>
      </c>
      <c r="C143" s="132" t="s">
        <v>34</v>
      </c>
      <c r="D143" s="131" t="s">
        <v>1</v>
      </c>
      <c r="E143" s="141">
        <v>1.8888888888888891</v>
      </c>
      <c r="F143" s="131" t="s">
        <v>121</v>
      </c>
      <c r="G143" s="133">
        <v>5</v>
      </c>
      <c r="H143" s="134">
        <v>649</v>
      </c>
    </row>
    <row r="144" spans="1:8" ht="19.8" customHeight="1" x14ac:dyDescent="0.3">
      <c r="A144" s="140">
        <v>45985</v>
      </c>
      <c r="B144" s="131" t="s">
        <v>39</v>
      </c>
      <c r="C144" s="132" t="s">
        <v>48</v>
      </c>
      <c r="D144" s="131" t="s">
        <v>1</v>
      </c>
      <c r="E144" s="141">
        <v>1.854166666666667</v>
      </c>
      <c r="F144" s="131" t="s">
        <v>150</v>
      </c>
      <c r="G144" s="133">
        <v>9</v>
      </c>
      <c r="H144" s="134">
        <v>649</v>
      </c>
    </row>
    <row r="145" spans="1:8" ht="19.8" customHeight="1" x14ac:dyDescent="0.3">
      <c r="A145" s="140">
        <v>45985</v>
      </c>
      <c r="B145" s="131" t="s">
        <v>39</v>
      </c>
      <c r="C145" s="132" t="s">
        <v>49</v>
      </c>
      <c r="D145" s="131" t="s">
        <v>1</v>
      </c>
      <c r="E145" s="141">
        <v>1.395833333333333</v>
      </c>
      <c r="F145" s="131" t="s">
        <v>150</v>
      </c>
      <c r="G145" s="133">
        <v>9</v>
      </c>
      <c r="H145" s="134">
        <v>649</v>
      </c>
    </row>
    <row r="146" spans="1:8" ht="19.8" customHeight="1" x14ac:dyDescent="0.3">
      <c r="A146" s="140">
        <v>45985</v>
      </c>
      <c r="B146" s="131" t="s">
        <v>39</v>
      </c>
      <c r="C146" s="132" t="s">
        <v>153</v>
      </c>
      <c r="D146" s="131" t="s">
        <v>1</v>
      </c>
      <c r="E146" s="141">
        <v>1.46875</v>
      </c>
      <c r="F146" s="131" t="s">
        <v>150</v>
      </c>
      <c r="G146" s="133">
        <v>9</v>
      </c>
      <c r="H146" s="134">
        <v>649</v>
      </c>
    </row>
    <row r="147" spans="1:8" ht="19.8" customHeight="1" x14ac:dyDescent="0.3">
      <c r="A147" s="140">
        <v>45985</v>
      </c>
      <c r="B147" s="131" t="s">
        <v>26</v>
      </c>
      <c r="C147" s="132" t="s">
        <v>36</v>
      </c>
      <c r="D147" s="131" t="s">
        <v>1</v>
      </c>
      <c r="E147" s="141">
        <v>1.788194444444444</v>
      </c>
      <c r="F147" s="131" t="s">
        <v>119</v>
      </c>
      <c r="G147" s="133">
        <v>10</v>
      </c>
      <c r="H147" s="134">
        <v>689</v>
      </c>
    </row>
    <row r="148" spans="1:8" ht="19.8" customHeight="1" x14ac:dyDescent="0.3">
      <c r="A148" s="140">
        <v>45985</v>
      </c>
      <c r="B148" s="131" t="s">
        <v>55</v>
      </c>
      <c r="C148" s="132" t="s">
        <v>59</v>
      </c>
      <c r="D148" s="131" t="s">
        <v>1</v>
      </c>
      <c r="E148" s="141">
        <v>1.1736111111111109</v>
      </c>
      <c r="F148" s="131" t="s">
        <v>123</v>
      </c>
      <c r="G148" s="133">
        <v>9</v>
      </c>
      <c r="H148" s="134">
        <v>691</v>
      </c>
    </row>
    <row r="149" spans="1:8" ht="19.8" customHeight="1" x14ac:dyDescent="0.3">
      <c r="A149" s="140">
        <v>45985</v>
      </c>
      <c r="B149" s="131" t="s">
        <v>39</v>
      </c>
      <c r="C149" s="132" t="s">
        <v>53</v>
      </c>
      <c r="D149" s="131" t="s">
        <v>1</v>
      </c>
      <c r="E149" s="141">
        <v>1.256944444444444</v>
      </c>
      <c r="F149" s="131" t="s">
        <v>151</v>
      </c>
      <c r="G149" s="133">
        <v>8</v>
      </c>
      <c r="H149" s="134">
        <v>699</v>
      </c>
    </row>
    <row r="150" spans="1:8" ht="19.8" customHeight="1" x14ac:dyDescent="0.3">
      <c r="A150" s="140">
        <v>45985</v>
      </c>
      <c r="B150" s="131" t="s">
        <v>39</v>
      </c>
      <c r="C150" s="132" t="s">
        <v>40</v>
      </c>
      <c r="D150" s="131" t="s">
        <v>1</v>
      </c>
      <c r="E150" s="141">
        <v>1.9027777777777779</v>
      </c>
      <c r="F150" s="131" t="s">
        <v>151</v>
      </c>
      <c r="G150" s="133">
        <v>5</v>
      </c>
      <c r="H150" s="134">
        <v>699</v>
      </c>
    </row>
    <row r="151" spans="1:8" ht="19.8" customHeight="1" x14ac:dyDescent="0.3">
      <c r="A151" s="140">
        <v>45985</v>
      </c>
      <c r="B151" s="131" t="s">
        <v>39</v>
      </c>
      <c r="C151" s="132" t="s">
        <v>44</v>
      </c>
      <c r="D151" s="131" t="s">
        <v>1</v>
      </c>
      <c r="E151" s="141">
        <v>1.645833333333333</v>
      </c>
      <c r="F151" s="131" t="s">
        <v>151</v>
      </c>
      <c r="G151" s="133">
        <v>2</v>
      </c>
      <c r="H151" s="134">
        <v>699</v>
      </c>
    </row>
    <row r="152" spans="1:8" ht="19.8" customHeight="1" x14ac:dyDescent="0.3">
      <c r="A152" s="140">
        <v>45985</v>
      </c>
      <c r="B152" s="131" t="s">
        <v>39</v>
      </c>
      <c r="C152" s="132" t="s">
        <v>46</v>
      </c>
      <c r="D152" s="131" t="s">
        <v>1</v>
      </c>
      <c r="E152" s="141">
        <v>1.5173611111111109</v>
      </c>
      <c r="F152" s="131" t="s">
        <v>151</v>
      </c>
      <c r="G152" s="133">
        <v>6</v>
      </c>
      <c r="H152" s="134">
        <v>699</v>
      </c>
    </row>
    <row r="153" spans="1:8" ht="19.8" customHeight="1" x14ac:dyDescent="0.3">
      <c r="A153" s="140">
        <v>45985</v>
      </c>
      <c r="B153" s="131" t="s">
        <v>39</v>
      </c>
      <c r="C153" s="132" t="s">
        <v>51</v>
      </c>
      <c r="D153" s="131" t="s">
        <v>1</v>
      </c>
      <c r="E153" s="141">
        <v>1.7986111111111109</v>
      </c>
      <c r="F153" s="131" t="s">
        <v>151</v>
      </c>
      <c r="G153" s="133">
        <v>9</v>
      </c>
      <c r="H153" s="134">
        <v>699</v>
      </c>
    </row>
    <row r="154" spans="1:8" ht="19.8" customHeight="1" x14ac:dyDescent="0.3">
      <c r="A154" s="140">
        <v>45985</v>
      </c>
      <c r="B154" s="131" t="s">
        <v>55</v>
      </c>
      <c r="C154" s="132" t="s">
        <v>56</v>
      </c>
      <c r="D154" s="131" t="s">
        <v>1</v>
      </c>
      <c r="E154" s="141">
        <v>1.3923611111111109</v>
      </c>
      <c r="F154" s="131" t="s">
        <v>123</v>
      </c>
      <c r="G154" s="133">
        <v>7</v>
      </c>
      <c r="H154" s="134">
        <v>716</v>
      </c>
    </row>
    <row r="155" spans="1:8" ht="19.8" customHeight="1" x14ac:dyDescent="0.3">
      <c r="A155" s="140">
        <v>45985</v>
      </c>
      <c r="B155" s="131" t="s">
        <v>39</v>
      </c>
      <c r="C155" s="132" t="s">
        <v>48</v>
      </c>
      <c r="D155" s="131" t="s">
        <v>1</v>
      </c>
      <c r="E155" s="141">
        <v>1.854166666666667</v>
      </c>
      <c r="F155" s="131" t="s">
        <v>151</v>
      </c>
      <c r="G155" s="133">
        <v>9</v>
      </c>
      <c r="H155" s="134">
        <v>739</v>
      </c>
    </row>
    <row r="156" spans="1:8" ht="19.8" customHeight="1" x14ac:dyDescent="0.3">
      <c r="A156" s="140">
        <v>45985</v>
      </c>
      <c r="B156" s="131" t="s">
        <v>39</v>
      </c>
      <c r="C156" s="132" t="s">
        <v>49</v>
      </c>
      <c r="D156" s="131" t="s">
        <v>1</v>
      </c>
      <c r="E156" s="141">
        <v>1.395833333333333</v>
      </c>
      <c r="F156" s="131" t="s">
        <v>151</v>
      </c>
      <c r="G156" s="133">
        <v>9</v>
      </c>
      <c r="H156" s="134">
        <v>739</v>
      </c>
    </row>
    <row r="157" spans="1:8" ht="19.8" customHeight="1" x14ac:dyDescent="0.3">
      <c r="A157" s="140">
        <v>45985</v>
      </c>
      <c r="B157" s="131" t="s">
        <v>39</v>
      </c>
      <c r="C157" s="132" t="s">
        <v>153</v>
      </c>
      <c r="D157" s="131" t="s">
        <v>1</v>
      </c>
      <c r="E157" s="141">
        <v>1.46875</v>
      </c>
      <c r="F157" s="131" t="s">
        <v>151</v>
      </c>
      <c r="G157" s="133">
        <v>9</v>
      </c>
      <c r="H157" s="134">
        <v>739</v>
      </c>
    </row>
    <row r="158" spans="1:8" ht="19.8" customHeight="1" x14ac:dyDescent="0.3">
      <c r="A158" s="140">
        <v>45985</v>
      </c>
      <c r="B158" s="131" t="s">
        <v>26</v>
      </c>
      <c r="C158" s="132" t="s">
        <v>36</v>
      </c>
      <c r="D158" s="131" t="s">
        <v>1</v>
      </c>
      <c r="E158" s="141">
        <v>1.788194444444444</v>
      </c>
      <c r="F158" s="131" t="s">
        <v>121</v>
      </c>
      <c r="G158" s="133">
        <v>10</v>
      </c>
      <c r="H158" s="134">
        <v>839</v>
      </c>
    </row>
    <row r="159" spans="1:8" ht="19.8" customHeight="1" x14ac:dyDescent="0.3">
      <c r="A159" s="140">
        <v>45985</v>
      </c>
      <c r="B159" s="131" t="s">
        <v>80</v>
      </c>
      <c r="C159" s="132" t="s">
        <v>89</v>
      </c>
      <c r="D159" s="131" t="s">
        <v>1</v>
      </c>
      <c r="E159" s="141">
        <v>1.145833333333333</v>
      </c>
      <c r="F159" s="131" t="s">
        <v>82</v>
      </c>
      <c r="G159" s="133">
        <v>9</v>
      </c>
      <c r="H159" s="134">
        <v>842</v>
      </c>
    </row>
    <row r="160" spans="1:8" ht="19.8" customHeight="1" x14ac:dyDescent="0.3">
      <c r="A160" s="140">
        <v>45985</v>
      </c>
      <c r="B160" s="131" t="s">
        <v>80</v>
      </c>
      <c r="C160" s="132" t="s">
        <v>81</v>
      </c>
      <c r="D160" s="131" t="s">
        <v>1</v>
      </c>
      <c r="E160" s="141">
        <v>1.229166666666667</v>
      </c>
      <c r="F160" s="131" t="s">
        <v>82</v>
      </c>
      <c r="G160" s="133">
        <v>9</v>
      </c>
      <c r="H160" s="134">
        <v>842</v>
      </c>
    </row>
    <row r="161" spans="1:8" ht="19.8" customHeight="1" x14ac:dyDescent="0.3">
      <c r="A161" s="140">
        <v>45985</v>
      </c>
      <c r="B161" s="131" t="s">
        <v>95</v>
      </c>
      <c r="C161" s="132" t="s">
        <v>105</v>
      </c>
      <c r="D161" s="131" t="s">
        <v>1</v>
      </c>
      <c r="E161" s="141">
        <v>1.930555555555556</v>
      </c>
      <c r="F161" s="131" t="s">
        <v>97</v>
      </c>
      <c r="G161" s="133">
        <v>9</v>
      </c>
      <c r="H161" s="134">
        <v>935</v>
      </c>
    </row>
    <row r="162" spans="1:8" ht="19.8" customHeight="1" x14ac:dyDescent="0.3">
      <c r="A162" s="140">
        <v>45985</v>
      </c>
      <c r="B162" s="131" t="s">
        <v>80</v>
      </c>
      <c r="C162" s="132" t="s">
        <v>87</v>
      </c>
      <c r="D162" s="131" t="s">
        <v>1</v>
      </c>
      <c r="E162" s="141">
        <v>1.0138888888888891</v>
      </c>
      <c r="F162" s="131" t="s">
        <v>82</v>
      </c>
      <c r="G162" s="133">
        <v>9</v>
      </c>
      <c r="H162" s="134">
        <v>970</v>
      </c>
    </row>
    <row r="163" spans="1:8" ht="19.8" customHeight="1" x14ac:dyDescent="0.3">
      <c r="A163" s="140">
        <v>45985</v>
      </c>
      <c r="B163" s="131" t="s">
        <v>80</v>
      </c>
      <c r="C163" s="132" t="s">
        <v>92</v>
      </c>
      <c r="D163" s="131" t="s">
        <v>1</v>
      </c>
      <c r="E163" s="141">
        <v>1.552083333333333</v>
      </c>
      <c r="F163" s="131" t="s">
        <v>82</v>
      </c>
      <c r="G163" s="133">
        <v>9</v>
      </c>
      <c r="H163" s="134">
        <v>970</v>
      </c>
    </row>
    <row r="164" spans="1:8" ht="19.8" customHeight="1" x14ac:dyDescent="0.3">
      <c r="A164" s="140">
        <v>45985</v>
      </c>
      <c r="B164" s="131" t="s">
        <v>95</v>
      </c>
      <c r="C164" s="132" t="s">
        <v>105</v>
      </c>
      <c r="D164" s="131" t="s">
        <v>1</v>
      </c>
      <c r="E164" s="141">
        <v>1.930555555555556</v>
      </c>
      <c r="F164" s="131" t="s">
        <v>99</v>
      </c>
      <c r="G164" s="133">
        <v>9</v>
      </c>
      <c r="H164" s="134">
        <v>980</v>
      </c>
    </row>
    <row r="165" spans="1:8" ht="19.8" customHeight="1" x14ac:dyDescent="0.3">
      <c r="A165" s="140">
        <v>45985</v>
      </c>
      <c r="B165" s="131" t="s">
        <v>80</v>
      </c>
      <c r="C165" s="132" t="s">
        <v>84</v>
      </c>
      <c r="D165" s="131" t="s">
        <v>1</v>
      </c>
      <c r="E165" s="141">
        <v>1.2777777777777779</v>
      </c>
      <c r="F165" s="131" t="s">
        <v>82</v>
      </c>
      <c r="G165" s="133">
        <v>9</v>
      </c>
      <c r="H165" s="142" t="s">
        <v>83</v>
      </c>
    </row>
    <row r="166" spans="1:8" ht="19.8" customHeight="1" x14ac:dyDescent="0.3">
      <c r="A166" s="140">
        <v>45985</v>
      </c>
      <c r="B166" s="131" t="s">
        <v>26</v>
      </c>
      <c r="C166" s="132" t="s">
        <v>31</v>
      </c>
      <c r="D166" s="131" t="s">
        <v>1</v>
      </c>
      <c r="E166" s="141">
        <v>1.302083333333333</v>
      </c>
      <c r="F166" s="131" t="s">
        <v>123</v>
      </c>
      <c r="G166" s="133">
        <v>10</v>
      </c>
      <c r="H166" s="142" t="s">
        <v>124</v>
      </c>
    </row>
    <row r="167" spans="1:8" ht="19.8" customHeight="1" x14ac:dyDescent="0.3">
      <c r="A167" s="140">
        <v>45985</v>
      </c>
      <c r="B167" s="131" t="s">
        <v>26</v>
      </c>
      <c r="C167" s="132" t="s">
        <v>27</v>
      </c>
      <c r="D167" s="131" t="s">
        <v>1</v>
      </c>
      <c r="E167" s="141">
        <v>1.1284722222222221</v>
      </c>
      <c r="F167" s="131" t="s">
        <v>123</v>
      </c>
      <c r="G167" s="133">
        <v>10</v>
      </c>
      <c r="H167" s="142" t="s">
        <v>124</v>
      </c>
    </row>
    <row r="168" spans="1:8" ht="19.8" customHeight="1" x14ac:dyDescent="0.3">
      <c r="A168" s="140">
        <v>45985</v>
      </c>
      <c r="B168" s="131" t="s">
        <v>26</v>
      </c>
      <c r="C168" s="132" t="s">
        <v>36</v>
      </c>
      <c r="D168" s="131" t="s">
        <v>1</v>
      </c>
      <c r="E168" s="141">
        <v>1.788194444444444</v>
      </c>
      <c r="F168" s="131" t="s">
        <v>123</v>
      </c>
      <c r="G168" s="133">
        <v>10</v>
      </c>
      <c r="H168" s="142" t="s">
        <v>124</v>
      </c>
    </row>
    <row r="169" spans="1:8" ht="19.8" customHeight="1" x14ac:dyDescent="0.3">
      <c r="A169" s="140">
        <v>45985</v>
      </c>
      <c r="B169" s="131" t="s">
        <v>26</v>
      </c>
      <c r="C169" s="132" t="s">
        <v>34</v>
      </c>
      <c r="D169" s="131" t="s">
        <v>1</v>
      </c>
      <c r="E169" s="141">
        <v>1.8888888888888891</v>
      </c>
      <c r="F169" s="131" t="s">
        <v>123</v>
      </c>
      <c r="G169" s="133">
        <v>5</v>
      </c>
      <c r="H169" s="142" t="s">
        <v>124</v>
      </c>
    </row>
    <row r="170" spans="1:8" ht="19.8" customHeight="1" x14ac:dyDescent="0.3">
      <c r="A170" s="140">
        <v>45985</v>
      </c>
      <c r="B170" s="131" t="s">
        <v>95</v>
      </c>
      <c r="C170" s="132" t="s">
        <v>96</v>
      </c>
      <c r="D170" s="131" t="s">
        <v>1</v>
      </c>
      <c r="E170" s="141">
        <v>1.3784722222222221</v>
      </c>
      <c r="F170" s="131" t="s">
        <v>97</v>
      </c>
      <c r="G170" s="133">
        <v>9</v>
      </c>
      <c r="H170" s="142" t="s">
        <v>170</v>
      </c>
    </row>
    <row r="171" spans="1:8" ht="19.8" customHeight="1" x14ac:dyDescent="0.3">
      <c r="A171" s="140">
        <v>45985</v>
      </c>
      <c r="B171" s="131" t="s">
        <v>95</v>
      </c>
      <c r="C171" s="132" t="s">
        <v>103</v>
      </c>
      <c r="D171" s="131" t="s">
        <v>1</v>
      </c>
      <c r="E171" s="141">
        <v>1.006944444444444</v>
      </c>
      <c r="F171" s="131" t="s">
        <v>97</v>
      </c>
      <c r="G171" s="133">
        <v>9</v>
      </c>
      <c r="H171" s="142" t="s">
        <v>170</v>
      </c>
    </row>
    <row r="172" spans="1:8" ht="19.8" customHeight="1" x14ac:dyDescent="0.3">
      <c r="A172" s="140">
        <v>45985</v>
      </c>
      <c r="B172" s="131" t="s">
        <v>95</v>
      </c>
      <c r="C172" s="132" t="s">
        <v>106</v>
      </c>
      <c r="D172" s="131" t="s">
        <v>1</v>
      </c>
      <c r="E172" s="141">
        <v>1.239583333333333</v>
      </c>
      <c r="F172" s="131" t="s">
        <v>97</v>
      </c>
      <c r="G172" s="133">
        <v>9</v>
      </c>
      <c r="H172" s="142" t="s">
        <v>170</v>
      </c>
    </row>
    <row r="173" spans="1:8" ht="19.8" customHeight="1" x14ac:dyDescent="0.3">
      <c r="A173" s="140">
        <v>45985</v>
      </c>
      <c r="B173" s="131" t="s">
        <v>95</v>
      </c>
      <c r="C173" s="132" t="s">
        <v>104</v>
      </c>
      <c r="D173" s="131" t="s">
        <v>1</v>
      </c>
      <c r="E173" s="141">
        <v>1.1423611111111109</v>
      </c>
      <c r="F173" s="131" t="s">
        <v>97</v>
      </c>
      <c r="G173" s="133">
        <v>9</v>
      </c>
      <c r="H173" s="142" t="s">
        <v>170</v>
      </c>
    </row>
    <row r="174" spans="1:8" ht="19.8" customHeight="1" x14ac:dyDescent="0.3">
      <c r="A174" s="140">
        <v>45985</v>
      </c>
      <c r="B174" s="131" t="s">
        <v>95</v>
      </c>
      <c r="C174" s="132" t="s">
        <v>96</v>
      </c>
      <c r="D174" s="131" t="s">
        <v>1</v>
      </c>
      <c r="E174" s="141">
        <v>1.3784722222222221</v>
      </c>
      <c r="F174" s="131" t="s">
        <v>99</v>
      </c>
      <c r="G174" s="133">
        <v>9</v>
      </c>
      <c r="H174" s="142" t="s">
        <v>171</v>
      </c>
    </row>
    <row r="175" spans="1:8" ht="19.8" customHeight="1" x14ac:dyDescent="0.3">
      <c r="A175" s="140">
        <v>45985</v>
      </c>
      <c r="B175" s="131" t="s">
        <v>95</v>
      </c>
      <c r="C175" s="132" t="s">
        <v>103</v>
      </c>
      <c r="D175" s="131" t="s">
        <v>1</v>
      </c>
      <c r="E175" s="141">
        <v>1.006944444444444</v>
      </c>
      <c r="F175" s="131" t="s">
        <v>99</v>
      </c>
      <c r="G175" s="133">
        <v>9</v>
      </c>
      <c r="H175" s="142" t="s">
        <v>171</v>
      </c>
    </row>
    <row r="176" spans="1:8" ht="19.8" customHeight="1" x14ac:dyDescent="0.3">
      <c r="A176" s="140">
        <v>45985</v>
      </c>
      <c r="B176" s="131" t="s">
        <v>95</v>
      </c>
      <c r="C176" s="132" t="s">
        <v>106</v>
      </c>
      <c r="D176" s="131" t="s">
        <v>1</v>
      </c>
      <c r="E176" s="141">
        <v>1.239583333333333</v>
      </c>
      <c r="F176" s="131" t="s">
        <v>99</v>
      </c>
      <c r="G176" s="133">
        <v>9</v>
      </c>
      <c r="H176" s="142" t="s">
        <v>171</v>
      </c>
    </row>
    <row r="177" spans="1:8" ht="19.8" customHeight="1" x14ac:dyDescent="0.3">
      <c r="A177" s="140">
        <v>45985</v>
      </c>
      <c r="B177" s="131" t="s">
        <v>95</v>
      </c>
      <c r="C177" s="132" t="s">
        <v>104</v>
      </c>
      <c r="D177" s="131" t="s">
        <v>1</v>
      </c>
      <c r="E177" s="141">
        <v>1.1423611111111109</v>
      </c>
      <c r="F177" s="131" t="s">
        <v>99</v>
      </c>
      <c r="G177" s="133">
        <v>9</v>
      </c>
      <c r="H177" s="142" t="s">
        <v>171</v>
      </c>
    </row>
    <row r="178" spans="1:8" ht="19.8" customHeight="1" x14ac:dyDescent="0.3">
      <c r="A178" s="140">
        <v>45985</v>
      </c>
      <c r="B178" s="131" t="s">
        <v>95</v>
      </c>
      <c r="C178" s="132" t="s">
        <v>111</v>
      </c>
      <c r="D178" s="131" t="s">
        <v>1</v>
      </c>
      <c r="E178" s="141">
        <v>1.1284722222222221</v>
      </c>
      <c r="F178" s="131" t="s">
        <v>99</v>
      </c>
      <c r="G178" s="133">
        <v>4</v>
      </c>
      <c r="H178" s="142" t="s">
        <v>215</v>
      </c>
    </row>
    <row r="179" spans="1:8" ht="19.8" customHeight="1" x14ac:dyDescent="0.3">
      <c r="A179" s="140">
        <v>45985</v>
      </c>
      <c r="B179" s="131" t="s">
        <v>95</v>
      </c>
      <c r="C179" s="132" t="s">
        <v>102</v>
      </c>
      <c r="D179" s="131" t="s">
        <v>1</v>
      </c>
      <c r="E179" s="141">
        <v>1.71875</v>
      </c>
      <c r="F179" s="131" t="s">
        <v>97</v>
      </c>
      <c r="G179" s="133">
        <v>9</v>
      </c>
      <c r="H179" s="142" t="s">
        <v>216</v>
      </c>
    </row>
    <row r="180" spans="1:8" ht="19.8" customHeight="1" x14ac:dyDescent="0.3">
      <c r="A180" s="140">
        <v>45985</v>
      </c>
      <c r="B180" s="131" t="s">
        <v>95</v>
      </c>
      <c r="C180" s="132" t="s">
        <v>112</v>
      </c>
      <c r="D180" s="131" t="s">
        <v>1</v>
      </c>
      <c r="E180" s="141">
        <v>1.6111111111111109</v>
      </c>
      <c r="F180" s="131" t="s">
        <v>97</v>
      </c>
      <c r="G180" s="133">
        <v>9</v>
      </c>
      <c r="H180" s="142" t="s">
        <v>216</v>
      </c>
    </row>
    <row r="181" spans="1:8" ht="19.8" customHeight="1" x14ac:dyDescent="0.3">
      <c r="A181" s="140">
        <v>45985</v>
      </c>
      <c r="B181" s="131" t="s">
        <v>95</v>
      </c>
      <c r="C181" s="132" t="s">
        <v>116</v>
      </c>
      <c r="D181" s="131" t="s">
        <v>1</v>
      </c>
      <c r="E181" s="141">
        <v>1.8888888888888891</v>
      </c>
      <c r="F181" s="131" t="s">
        <v>99</v>
      </c>
      <c r="G181" s="133">
        <v>4</v>
      </c>
      <c r="H181" s="142" t="s">
        <v>173</v>
      </c>
    </row>
    <row r="182" spans="1:8" ht="19.8" customHeight="1" x14ac:dyDescent="0.3">
      <c r="A182" s="140">
        <v>45985</v>
      </c>
      <c r="B182" s="131" t="s">
        <v>95</v>
      </c>
      <c r="C182" s="132" t="s">
        <v>109</v>
      </c>
      <c r="D182" s="131" t="s">
        <v>1</v>
      </c>
      <c r="E182" s="141">
        <v>1.302083333333333</v>
      </c>
      <c r="F182" s="131" t="s">
        <v>99</v>
      </c>
      <c r="G182" s="133">
        <v>4</v>
      </c>
      <c r="H182" s="142" t="s">
        <v>173</v>
      </c>
    </row>
    <row r="183" spans="1:8" ht="19.8" customHeight="1" x14ac:dyDescent="0.3">
      <c r="A183" s="140">
        <v>45985</v>
      </c>
      <c r="B183" s="131" t="s">
        <v>95</v>
      </c>
      <c r="C183" s="132" t="s">
        <v>102</v>
      </c>
      <c r="D183" s="131" t="s">
        <v>1</v>
      </c>
      <c r="E183" s="141">
        <v>1.71875</v>
      </c>
      <c r="F183" s="131" t="s">
        <v>99</v>
      </c>
      <c r="G183" s="133">
        <v>9</v>
      </c>
      <c r="H183" s="142" t="s">
        <v>217</v>
      </c>
    </row>
    <row r="184" spans="1:8" ht="19.8" customHeight="1" x14ac:dyDescent="0.3">
      <c r="A184" s="140">
        <v>45985</v>
      </c>
      <c r="B184" s="131" t="s">
        <v>95</v>
      </c>
      <c r="C184" s="132" t="s">
        <v>112</v>
      </c>
      <c r="D184" s="131" t="s">
        <v>1</v>
      </c>
      <c r="E184" s="141">
        <v>1.6111111111111109</v>
      </c>
      <c r="F184" s="131" t="s">
        <v>99</v>
      </c>
      <c r="G184" s="133">
        <v>9</v>
      </c>
      <c r="H184" s="142" t="s">
        <v>217</v>
      </c>
    </row>
    <row r="185" spans="1:8" ht="19.8" customHeight="1" x14ac:dyDescent="0.3">
      <c r="A185" s="140">
        <v>45985</v>
      </c>
      <c r="B185" s="131" t="s">
        <v>80</v>
      </c>
      <c r="C185" s="132" t="s">
        <v>93</v>
      </c>
      <c r="D185" s="131" t="s">
        <v>1</v>
      </c>
      <c r="E185" s="141">
        <v>1.774305555555556</v>
      </c>
      <c r="F185" s="131" t="s">
        <v>82</v>
      </c>
      <c r="G185" s="133">
        <v>9</v>
      </c>
      <c r="H185" s="142" t="s">
        <v>212</v>
      </c>
    </row>
    <row r="186" spans="1:8" ht="19.8" customHeight="1" x14ac:dyDescent="0.3">
      <c r="A186" s="140">
        <v>45985</v>
      </c>
      <c r="B186" s="131" t="s">
        <v>95</v>
      </c>
      <c r="C186" s="132" t="s">
        <v>115</v>
      </c>
      <c r="D186" s="131" t="s">
        <v>1</v>
      </c>
      <c r="E186" s="141">
        <v>1.8298611111111109</v>
      </c>
      <c r="F186" s="131" t="s">
        <v>97</v>
      </c>
      <c r="G186" s="133">
        <v>9</v>
      </c>
      <c r="H186" s="142" t="s">
        <v>174</v>
      </c>
    </row>
    <row r="187" spans="1:8" ht="19.8" customHeight="1" x14ac:dyDescent="0.3">
      <c r="A187" s="140">
        <v>45985</v>
      </c>
      <c r="B187" s="131" t="s">
        <v>95</v>
      </c>
      <c r="C187" s="132" t="s">
        <v>115</v>
      </c>
      <c r="D187" s="131" t="s">
        <v>1</v>
      </c>
      <c r="E187" s="141">
        <v>1.8298611111111109</v>
      </c>
      <c r="F187" s="131" t="s">
        <v>99</v>
      </c>
      <c r="G187" s="133">
        <v>9</v>
      </c>
      <c r="H187" s="142" t="s">
        <v>175</v>
      </c>
    </row>
    <row r="188" spans="1:8" ht="19.8" customHeight="1" x14ac:dyDescent="0.3">
      <c r="A188" s="140">
        <v>45985</v>
      </c>
      <c r="B188" s="131" t="s">
        <v>80</v>
      </c>
      <c r="C188" s="132" t="s">
        <v>167</v>
      </c>
      <c r="D188" s="131" t="s">
        <v>1</v>
      </c>
      <c r="E188" s="141">
        <v>1.958333333333333</v>
      </c>
      <c r="F188" s="131" t="s">
        <v>82</v>
      </c>
      <c r="G188" s="133">
        <v>5</v>
      </c>
      <c r="H188" s="142" t="s">
        <v>91</v>
      </c>
    </row>
    <row r="189" spans="1:8" ht="19.8" customHeight="1" x14ac:dyDescent="0.3">
      <c r="A189" s="151">
        <v>45985</v>
      </c>
      <c r="B189" s="152" t="s">
        <v>95</v>
      </c>
      <c r="C189" s="153" t="s">
        <v>118</v>
      </c>
      <c r="D189" s="152" t="s">
        <v>1</v>
      </c>
      <c r="E189" s="154">
        <v>1.788194444444444</v>
      </c>
      <c r="F189" s="152" t="s">
        <v>99</v>
      </c>
      <c r="G189" s="155">
        <v>4</v>
      </c>
      <c r="H189" s="156" t="s">
        <v>117</v>
      </c>
    </row>
    <row r="190" spans="1:8" ht="19.8" customHeight="1" x14ac:dyDescent="0.3">
      <c r="A190" s="140">
        <v>45986</v>
      </c>
      <c r="B190" s="131" t="s">
        <v>26</v>
      </c>
      <c r="C190" s="132" t="s">
        <v>27</v>
      </c>
      <c r="D190" s="131" t="s">
        <v>1</v>
      </c>
      <c r="E190" s="141">
        <v>1.1284722222222221</v>
      </c>
      <c r="F190" s="131" t="s">
        <v>119</v>
      </c>
      <c r="G190" s="133">
        <v>2</v>
      </c>
      <c r="H190" s="134">
        <v>389</v>
      </c>
    </row>
    <row r="191" spans="1:8" ht="19.8" customHeight="1" x14ac:dyDescent="0.3">
      <c r="A191" s="140">
        <v>45986</v>
      </c>
      <c r="B191" s="131" t="s">
        <v>61</v>
      </c>
      <c r="C191" s="132" t="s">
        <v>62</v>
      </c>
      <c r="D191" s="131" t="s">
        <v>1</v>
      </c>
      <c r="E191" s="141">
        <v>1.666666666666667</v>
      </c>
      <c r="F191" s="131" t="s">
        <v>63</v>
      </c>
      <c r="G191" s="133">
        <v>1</v>
      </c>
      <c r="H191" s="134">
        <v>401</v>
      </c>
    </row>
    <row r="192" spans="1:8" ht="19.8" customHeight="1" x14ac:dyDescent="0.3">
      <c r="A192" s="140">
        <v>45986</v>
      </c>
      <c r="B192" s="131" t="s">
        <v>61</v>
      </c>
      <c r="C192" s="132" t="s">
        <v>222</v>
      </c>
      <c r="D192" s="131" t="s">
        <v>1</v>
      </c>
      <c r="E192" s="141">
        <v>1.0451388888888891</v>
      </c>
      <c r="F192" s="131" t="s">
        <v>63</v>
      </c>
      <c r="G192" s="133">
        <v>1</v>
      </c>
      <c r="H192" s="134">
        <v>401</v>
      </c>
    </row>
    <row r="193" spans="1:8" ht="19.8" customHeight="1" x14ac:dyDescent="0.3">
      <c r="A193" s="140">
        <v>45986</v>
      </c>
      <c r="B193" s="131" t="s">
        <v>26</v>
      </c>
      <c r="C193" s="132" t="s">
        <v>31</v>
      </c>
      <c r="D193" s="131" t="s">
        <v>1</v>
      </c>
      <c r="E193" s="141">
        <v>1.302083333333333</v>
      </c>
      <c r="F193" s="131" t="s">
        <v>119</v>
      </c>
      <c r="G193" s="133">
        <v>2</v>
      </c>
      <c r="H193" s="134">
        <v>419</v>
      </c>
    </row>
    <row r="194" spans="1:8" ht="19.8" customHeight="1" x14ac:dyDescent="0.3">
      <c r="A194" s="140">
        <v>45986</v>
      </c>
      <c r="B194" s="131" t="s">
        <v>26</v>
      </c>
      <c r="C194" s="132" t="s">
        <v>36</v>
      </c>
      <c r="D194" s="131" t="s">
        <v>1</v>
      </c>
      <c r="E194" s="141">
        <v>1.788194444444444</v>
      </c>
      <c r="F194" s="131" t="s">
        <v>119</v>
      </c>
      <c r="G194" s="133">
        <v>9</v>
      </c>
      <c r="H194" s="134">
        <v>419</v>
      </c>
    </row>
    <row r="195" spans="1:8" ht="19.8" customHeight="1" x14ac:dyDescent="0.3">
      <c r="A195" s="140">
        <v>45986</v>
      </c>
      <c r="B195" s="131" t="s">
        <v>26</v>
      </c>
      <c r="C195" s="132" t="s">
        <v>34</v>
      </c>
      <c r="D195" s="131" t="s">
        <v>1</v>
      </c>
      <c r="E195" s="141">
        <v>1.8888888888888891</v>
      </c>
      <c r="F195" s="131" t="s">
        <v>119</v>
      </c>
      <c r="G195" s="133">
        <v>7</v>
      </c>
      <c r="H195" s="134">
        <v>419</v>
      </c>
    </row>
    <row r="196" spans="1:8" ht="19.8" customHeight="1" x14ac:dyDescent="0.3">
      <c r="A196" s="140">
        <v>45986</v>
      </c>
      <c r="B196" s="131" t="s">
        <v>39</v>
      </c>
      <c r="C196" s="132" t="s">
        <v>40</v>
      </c>
      <c r="D196" s="131" t="s">
        <v>1</v>
      </c>
      <c r="E196" s="141">
        <v>1.9027777777777779</v>
      </c>
      <c r="F196" s="131" t="s">
        <v>149</v>
      </c>
      <c r="G196" s="133">
        <v>6</v>
      </c>
      <c r="H196" s="134">
        <v>449</v>
      </c>
    </row>
    <row r="197" spans="1:8" ht="19.8" customHeight="1" x14ac:dyDescent="0.3">
      <c r="A197" s="140">
        <v>45986</v>
      </c>
      <c r="B197" s="131" t="s">
        <v>39</v>
      </c>
      <c r="C197" s="132" t="s">
        <v>44</v>
      </c>
      <c r="D197" s="131" t="s">
        <v>1</v>
      </c>
      <c r="E197" s="141">
        <v>1.645833333333333</v>
      </c>
      <c r="F197" s="131" t="s">
        <v>149</v>
      </c>
      <c r="G197" s="133">
        <v>2</v>
      </c>
      <c r="H197" s="134">
        <v>449</v>
      </c>
    </row>
    <row r="198" spans="1:8" ht="19.8" customHeight="1" x14ac:dyDescent="0.3">
      <c r="A198" s="140">
        <v>45986</v>
      </c>
      <c r="B198" s="131" t="s">
        <v>39</v>
      </c>
      <c r="C198" s="132" t="s">
        <v>46</v>
      </c>
      <c r="D198" s="131" t="s">
        <v>1</v>
      </c>
      <c r="E198" s="141">
        <v>1.5173611111111109</v>
      </c>
      <c r="F198" s="131" t="s">
        <v>149</v>
      </c>
      <c r="G198" s="133">
        <v>2</v>
      </c>
      <c r="H198" s="134">
        <v>449</v>
      </c>
    </row>
    <row r="199" spans="1:8" ht="19.8" customHeight="1" x14ac:dyDescent="0.3">
      <c r="A199" s="140">
        <v>45986</v>
      </c>
      <c r="B199" s="131" t="s">
        <v>39</v>
      </c>
      <c r="C199" s="132" t="s">
        <v>48</v>
      </c>
      <c r="D199" s="131" t="s">
        <v>1</v>
      </c>
      <c r="E199" s="141">
        <v>1.854166666666667</v>
      </c>
      <c r="F199" s="131" t="s">
        <v>149</v>
      </c>
      <c r="G199" s="133">
        <v>8</v>
      </c>
      <c r="H199" s="134">
        <v>449</v>
      </c>
    </row>
    <row r="200" spans="1:8" ht="19.8" customHeight="1" x14ac:dyDescent="0.3">
      <c r="A200" s="140">
        <v>45986</v>
      </c>
      <c r="B200" s="131" t="s">
        <v>39</v>
      </c>
      <c r="C200" s="132" t="s">
        <v>153</v>
      </c>
      <c r="D200" s="131" t="s">
        <v>1</v>
      </c>
      <c r="E200" s="141">
        <v>1.302083333333333</v>
      </c>
      <c r="F200" s="131" t="s">
        <v>149</v>
      </c>
      <c r="G200" s="133">
        <v>2</v>
      </c>
      <c r="H200" s="134">
        <v>449</v>
      </c>
    </row>
    <row r="201" spans="1:8" ht="19.8" customHeight="1" x14ac:dyDescent="0.3">
      <c r="A201" s="140">
        <v>45986</v>
      </c>
      <c r="B201" s="131" t="s">
        <v>39</v>
      </c>
      <c r="C201" s="132" t="s">
        <v>51</v>
      </c>
      <c r="D201" s="131" t="s">
        <v>1</v>
      </c>
      <c r="E201" s="141">
        <v>1.7986111111111109</v>
      </c>
      <c r="F201" s="131" t="s">
        <v>149</v>
      </c>
      <c r="G201" s="133">
        <v>5</v>
      </c>
      <c r="H201" s="134">
        <v>449</v>
      </c>
    </row>
    <row r="202" spans="1:8" ht="19.8" customHeight="1" x14ac:dyDescent="0.3">
      <c r="A202" s="143">
        <v>45986</v>
      </c>
      <c r="B202" s="136" t="s">
        <v>66</v>
      </c>
      <c r="C202" s="137" t="s">
        <v>226</v>
      </c>
      <c r="D202" s="136" t="s">
        <v>1</v>
      </c>
      <c r="E202" s="144">
        <v>1.229166666666667</v>
      </c>
      <c r="F202" s="136" t="s">
        <v>68</v>
      </c>
      <c r="G202" s="138">
        <v>1</v>
      </c>
      <c r="H202" s="150">
        <v>471</v>
      </c>
    </row>
    <row r="203" spans="1:8" ht="19.8" customHeight="1" x14ac:dyDescent="0.3">
      <c r="A203" s="143">
        <v>45986</v>
      </c>
      <c r="B203" s="136" t="s">
        <v>66</v>
      </c>
      <c r="C203" s="137" t="s">
        <v>140</v>
      </c>
      <c r="D203" s="136" t="s">
        <v>1</v>
      </c>
      <c r="E203" s="144">
        <v>1.96875</v>
      </c>
      <c r="F203" s="136" t="s">
        <v>68</v>
      </c>
      <c r="G203" s="138">
        <v>1</v>
      </c>
      <c r="H203" s="150">
        <v>471</v>
      </c>
    </row>
    <row r="204" spans="1:8" ht="19.8" customHeight="1" x14ac:dyDescent="0.3">
      <c r="A204" s="140">
        <v>45986</v>
      </c>
      <c r="B204" s="131" t="s">
        <v>39</v>
      </c>
      <c r="C204" s="132" t="s">
        <v>53</v>
      </c>
      <c r="D204" s="131" t="s">
        <v>1</v>
      </c>
      <c r="E204" s="141">
        <v>1.256944444444444</v>
      </c>
      <c r="F204" s="131" t="s">
        <v>149</v>
      </c>
      <c r="G204" s="133">
        <v>9</v>
      </c>
      <c r="H204" s="134">
        <v>489</v>
      </c>
    </row>
    <row r="205" spans="1:8" ht="19.8" customHeight="1" x14ac:dyDescent="0.3">
      <c r="A205" s="140">
        <v>45986</v>
      </c>
      <c r="B205" s="131" t="s">
        <v>39</v>
      </c>
      <c r="C205" s="132" t="s">
        <v>49</v>
      </c>
      <c r="D205" s="131" t="s">
        <v>1</v>
      </c>
      <c r="E205" s="141">
        <v>1.395833333333333</v>
      </c>
      <c r="F205" s="131" t="s">
        <v>149</v>
      </c>
      <c r="G205" s="133">
        <v>1</v>
      </c>
      <c r="H205" s="134">
        <v>489</v>
      </c>
    </row>
    <row r="206" spans="1:8" ht="19.8" customHeight="1" x14ac:dyDescent="0.3">
      <c r="A206" s="143">
        <v>45986</v>
      </c>
      <c r="B206" s="136" t="s">
        <v>66</v>
      </c>
      <c r="C206" s="137" t="s">
        <v>135</v>
      </c>
      <c r="D206" s="136" t="s">
        <v>1</v>
      </c>
      <c r="E206" s="144">
        <v>1.9340277777777779</v>
      </c>
      <c r="F206" s="136" t="s">
        <v>68</v>
      </c>
      <c r="G206" s="138">
        <v>3</v>
      </c>
      <c r="H206" s="150">
        <v>526</v>
      </c>
    </row>
    <row r="207" spans="1:8" ht="19.8" customHeight="1" x14ac:dyDescent="0.3">
      <c r="A207" s="143">
        <v>45986</v>
      </c>
      <c r="B207" s="136" t="s">
        <v>66</v>
      </c>
      <c r="C207" s="137" t="s">
        <v>67</v>
      </c>
      <c r="D207" s="136" t="s">
        <v>1</v>
      </c>
      <c r="E207" s="144">
        <v>1.614583333333333</v>
      </c>
      <c r="F207" s="136" t="s">
        <v>68</v>
      </c>
      <c r="G207" s="138">
        <v>4</v>
      </c>
      <c r="H207" s="150">
        <v>526</v>
      </c>
    </row>
    <row r="208" spans="1:8" ht="19.8" customHeight="1" x14ac:dyDescent="0.3">
      <c r="A208" s="140">
        <v>45986</v>
      </c>
      <c r="B208" s="131" t="s">
        <v>55</v>
      </c>
      <c r="C208" s="132" t="s">
        <v>59</v>
      </c>
      <c r="D208" s="131" t="s">
        <v>1</v>
      </c>
      <c r="E208" s="141">
        <v>1.2222222222222221</v>
      </c>
      <c r="F208" s="131" t="s">
        <v>159</v>
      </c>
      <c r="G208" s="133">
        <v>9</v>
      </c>
      <c r="H208" s="134">
        <v>536</v>
      </c>
    </row>
    <row r="209" spans="1:8" ht="19.8" customHeight="1" x14ac:dyDescent="0.3">
      <c r="A209" s="140">
        <v>45986</v>
      </c>
      <c r="B209" s="131" t="s">
        <v>26</v>
      </c>
      <c r="C209" s="132" t="s">
        <v>27</v>
      </c>
      <c r="D209" s="131" t="s">
        <v>1</v>
      </c>
      <c r="E209" s="141">
        <v>1.1284722222222221</v>
      </c>
      <c r="F209" s="131" t="s">
        <v>121</v>
      </c>
      <c r="G209" s="133">
        <v>2</v>
      </c>
      <c r="H209" s="134">
        <v>539</v>
      </c>
    </row>
    <row r="210" spans="1:8" ht="19.8" customHeight="1" x14ac:dyDescent="0.3">
      <c r="A210" s="140">
        <v>45986</v>
      </c>
      <c r="B210" s="131" t="s">
        <v>39</v>
      </c>
      <c r="C210" s="132" t="s">
        <v>40</v>
      </c>
      <c r="D210" s="131" t="s">
        <v>1</v>
      </c>
      <c r="E210" s="141">
        <v>1.9027777777777779</v>
      </c>
      <c r="F210" s="131" t="s">
        <v>150</v>
      </c>
      <c r="G210" s="133">
        <v>6</v>
      </c>
      <c r="H210" s="134">
        <v>549</v>
      </c>
    </row>
    <row r="211" spans="1:8" ht="19.8" customHeight="1" x14ac:dyDescent="0.3">
      <c r="A211" s="140">
        <v>45986</v>
      </c>
      <c r="B211" s="131" t="s">
        <v>39</v>
      </c>
      <c r="C211" s="132" t="s">
        <v>44</v>
      </c>
      <c r="D211" s="131" t="s">
        <v>1</v>
      </c>
      <c r="E211" s="141">
        <v>1.645833333333333</v>
      </c>
      <c r="F211" s="131" t="s">
        <v>150</v>
      </c>
      <c r="G211" s="133">
        <v>2</v>
      </c>
      <c r="H211" s="134">
        <v>549</v>
      </c>
    </row>
    <row r="212" spans="1:8" ht="19.8" customHeight="1" x14ac:dyDescent="0.3">
      <c r="A212" s="140">
        <v>45986</v>
      </c>
      <c r="B212" s="131" t="s">
        <v>39</v>
      </c>
      <c r="C212" s="132" t="s">
        <v>46</v>
      </c>
      <c r="D212" s="131" t="s">
        <v>1</v>
      </c>
      <c r="E212" s="141">
        <v>1.5173611111111109</v>
      </c>
      <c r="F212" s="131" t="s">
        <v>150</v>
      </c>
      <c r="G212" s="133">
        <v>2</v>
      </c>
      <c r="H212" s="134">
        <v>549</v>
      </c>
    </row>
    <row r="213" spans="1:8" ht="19.8" customHeight="1" x14ac:dyDescent="0.3">
      <c r="A213" s="140">
        <v>45986</v>
      </c>
      <c r="B213" s="131" t="s">
        <v>39</v>
      </c>
      <c r="C213" s="132" t="s">
        <v>48</v>
      </c>
      <c r="D213" s="131" t="s">
        <v>1</v>
      </c>
      <c r="E213" s="141">
        <v>1.854166666666667</v>
      </c>
      <c r="F213" s="131" t="s">
        <v>150</v>
      </c>
      <c r="G213" s="133">
        <v>8</v>
      </c>
      <c r="H213" s="134">
        <v>549</v>
      </c>
    </row>
    <row r="214" spans="1:8" ht="19.8" customHeight="1" x14ac:dyDescent="0.3">
      <c r="A214" s="140">
        <v>45986</v>
      </c>
      <c r="B214" s="131" t="s">
        <v>39</v>
      </c>
      <c r="C214" s="132" t="s">
        <v>153</v>
      </c>
      <c r="D214" s="131" t="s">
        <v>1</v>
      </c>
      <c r="E214" s="141">
        <v>1.302083333333333</v>
      </c>
      <c r="F214" s="131" t="s">
        <v>150</v>
      </c>
      <c r="G214" s="133">
        <v>2</v>
      </c>
      <c r="H214" s="134">
        <v>549</v>
      </c>
    </row>
    <row r="215" spans="1:8" ht="19.8" customHeight="1" x14ac:dyDescent="0.3">
      <c r="A215" s="140">
        <v>45986</v>
      </c>
      <c r="B215" s="131" t="s">
        <v>39</v>
      </c>
      <c r="C215" s="132" t="s">
        <v>51</v>
      </c>
      <c r="D215" s="131" t="s">
        <v>1</v>
      </c>
      <c r="E215" s="141">
        <v>1.7986111111111109</v>
      </c>
      <c r="F215" s="131" t="s">
        <v>150</v>
      </c>
      <c r="G215" s="133">
        <v>5</v>
      </c>
      <c r="H215" s="134">
        <v>549</v>
      </c>
    </row>
    <row r="216" spans="1:8" ht="19.8" customHeight="1" x14ac:dyDescent="0.3">
      <c r="A216" s="140">
        <v>45986</v>
      </c>
      <c r="B216" s="131" t="s">
        <v>26</v>
      </c>
      <c r="C216" s="132" t="s">
        <v>31</v>
      </c>
      <c r="D216" s="131" t="s">
        <v>1</v>
      </c>
      <c r="E216" s="141">
        <v>1.302083333333333</v>
      </c>
      <c r="F216" s="131" t="s">
        <v>121</v>
      </c>
      <c r="G216" s="133">
        <v>2</v>
      </c>
      <c r="H216" s="134">
        <v>569</v>
      </c>
    </row>
    <row r="217" spans="1:8" ht="19.8" customHeight="1" x14ac:dyDescent="0.3">
      <c r="A217" s="140">
        <v>45986</v>
      </c>
      <c r="B217" s="131" t="s">
        <v>26</v>
      </c>
      <c r="C217" s="132" t="s">
        <v>36</v>
      </c>
      <c r="D217" s="131" t="s">
        <v>1</v>
      </c>
      <c r="E217" s="141">
        <v>1.788194444444444</v>
      </c>
      <c r="F217" s="131" t="s">
        <v>121</v>
      </c>
      <c r="G217" s="133">
        <v>9</v>
      </c>
      <c r="H217" s="134">
        <v>569</v>
      </c>
    </row>
    <row r="218" spans="1:8" ht="19.8" customHeight="1" x14ac:dyDescent="0.3">
      <c r="A218" s="140">
        <v>45986</v>
      </c>
      <c r="B218" s="131" t="s">
        <v>26</v>
      </c>
      <c r="C218" s="132" t="s">
        <v>34</v>
      </c>
      <c r="D218" s="131" t="s">
        <v>1</v>
      </c>
      <c r="E218" s="141">
        <v>1.8888888888888891</v>
      </c>
      <c r="F218" s="131" t="s">
        <v>121</v>
      </c>
      <c r="G218" s="133">
        <v>7</v>
      </c>
      <c r="H218" s="134">
        <v>569</v>
      </c>
    </row>
    <row r="219" spans="1:8" ht="19.8" customHeight="1" x14ac:dyDescent="0.3">
      <c r="A219" s="140">
        <v>45986</v>
      </c>
      <c r="B219" s="131" t="s">
        <v>39</v>
      </c>
      <c r="C219" s="132" t="s">
        <v>53</v>
      </c>
      <c r="D219" s="131" t="s">
        <v>1</v>
      </c>
      <c r="E219" s="141">
        <v>1.256944444444444</v>
      </c>
      <c r="F219" s="131" t="s">
        <v>150</v>
      </c>
      <c r="G219" s="133">
        <v>9</v>
      </c>
      <c r="H219" s="134">
        <v>589</v>
      </c>
    </row>
    <row r="220" spans="1:8" ht="19.8" customHeight="1" x14ac:dyDescent="0.3">
      <c r="A220" s="140">
        <v>45986</v>
      </c>
      <c r="B220" s="131" t="s">
        <v>39</v>
      </c>
      <c r="C220" s="132" t="s">
        <v>49</v>
      </c>
      <c r="D220" s="131" t="s">
        <v>1</v>
      </c>
      <c r="E220" s="141">
        <v>1.395833333333333</v>
      </c>
      <c r="F220" s="131" t="s">
        <v>150</v>
      </c>
      <c r="G220" s="133">
        <v>1</v>
      </c>
      <c r="H220" s="134">
        <v>589</v>
      </c>
    </row>
    <row r="221" spans="1:8" ht="19.8" customHeight="1" x14ac:dyDescent="0.3">
      <c r="A221" s="140">
        <v>45986</v>
      </c>
      <c r="B221" s="131" t="s">
        <v>162</v>
      </c>
      <c r="C221" s="132" t="s">
        <v>165</v>
      </c>
      <c r="D221" s="131" t="s">
        <v>1</v>
      </c>
      <c r="E221" s="141">
        <v>1.274305555555556</v>
      </c>
      <c r="F221" s="131" t="s">
        <v>63</v>
      </c>
      <c r="G221" s="133">
        <v>9</v>
      </c>
      <c r="H221" s="134">
        <v>595</v>
      </c>
    </row>
    <row r="222" spans="1:8" ht="19.8" customHeight="1" x14ac:dyDescent="0.3">
      <c r="A222" s="140">
        <v>45986</v>
      </c>
      <c r="B222" s="131" t="s">
        <v>61</v>
      </c>
      <c r="C222" s="132" t="s">
        <v>158</v>
      </c>
      <c r="D222" s="131" t="s">
        <v>1</v>
      </c>
      <c r="E222" s="141">
        <v>1.364583333333333</v>
      </c>
      <c r="F222" s="131" t="s">
        <v>63</v>
      </c>
      <c r="G222" s="133">
        <v>7</v>
      </c>
      <c r="H222" s="134">
        <v>599</v>
      </c>
    </row>
    <row r="223" spans="1:8" ht="19.8" customHeight="1" x14ac:dyDescent="0.3">
      <c r="A223" s="140">
        <v>45986</v>
      </c>
      <c r="B223" s="131" t="s">
        <v>39</v>
      </c>
      <c r="C223" s="132" t="s">
        <v>40</v>
      </c>
      <c r="D223" s="131" t="s">
        <v>1</v>
      </c>
      <c r="E223" s="141">
        <v>1.9027777777777779</v>
      </c>
      <c r="F223" s="131" t="s">
        <v>151</v>
      </c>
      <c r="G223" s="133">
        <v>6</v>
      </c>
      <c r="H223" s="134">
        <v>639</v>
      </c>
    </row>
    <row r="224" spans="1:8" ht="19.8" customHeight="1" x14ac:dyDescent="0.3">
      <c r="A224" s="140">
        <v>45986</v>
      </c>
      <c r="B224" s="131" t="s">
        <v>39</v>
      </c>
      <c r="C224" s="132" t="s">
        <v>44</v>
      </c>
      <c r="D224" s="131" t="s">
        <v>1</v>
      </c>
      <c r="E224" s="141">
        <v>1.645833333333333</v>
      </c>
      <c r="F224" s="131" t="s">
        <v>151</v>
      </c>
      <c r="G224" s="133">
        <v>2</v>
      </c>
      <c r="H224" s="134">
        <v>639</v>
      </c>
    </row>
    <row r="225" spans="1:8" ht="19.8" customHeight="1" x14ac:dyDescent="0.3">
      <c r="A225" s="140">
        <v>45986</v>
      </c>
      <c r="B225" s="131" t="s">
        <v>39</v>
      </c>
      <c r="C225" s="132" t="s">
        <v>46</v>
      </c>
      <c r="D225" s="131" t="s">
        <v>1</v>
      </c>
      <c r="E225" s="141">
        <v>1.5173611111111109</v>
      </c>
      <c r="F225" s="131" t="s">
        <v>151</v>
      </c>
      <c r="G225" s="133">
        <v>2</v>
      </c>
      <c r="H225" s="134">
        <v>639</v>
      </c>
    </row>
    <row r="226" spans="1:8" ht="19.8" customHeight="1" x14ac:dyDescent="0.3">
      <c r="A226" s="140">
        <v>45986</v>
      </c>
      <c r="B226" s="131" t="s">
        <v>39</v>
      </c>
      <c r="C226" s="132" t="s">
        <v>48</v>
      </c>
      <c r="D226" s="131" t="s">
        <v>1</v>
      </c>
      <c r="E226" s="141">
        <v>1.854166666666667</v>
      </c>
      <c r="F226" s="131" t="s">
        <v>151</v>
      </c>
      <c r="G226" s="133">
        <v>8</v>
      </c>
      <c r="H226" s="134">
        <v>639</v>
      </c>
    </row>
    <row r="227" spans="1:8" ht="19.8" customHeight="1" x14ac:dyDescent="0.3">
      <c r="A227" s="140">
        <v>45986</v>
      </c>
      <c r="B227" s="131" t="s">
        <v>39</v>
      </c>
      <c r="C227" s="132" t="s">
        <v>153</v>
      </c>
      <c r="D227" s="131" t="s">
        <v>1</v>
      </c>
      <c r="E227" s="141">
        <v>1.302083333333333</v>
      </c>
      <c r="F227" s="131" t="s">
        <v>151</v>
      </c>
      <c r="G227" s="133">
        <v>2</v>
      </c>
      <c r="H227" s="134">
        <v>639</v>
      </c>
    </row>
    <row r="228" spans="1:8" ht="19.8" customHeight="1" x14ac:dyDescent="0.3">
      <c r="A228" s="140">
        <v>45986</v>
      </c>
      <c r="B228" s="131" t="s">
        <v>39</v>
      </c>
      <c r="C228" s="132" t="s">
        <v>51</v>
      </c>
      <c r="D228" s="131" t="s">
        <v>1</v>
      </c>
      <c r="E228" s="141">
        <v>1.7986111111111109</v>
      </c>
      <c r="F228" s="131" t="s">
        <v>151</v>
      </c>
      <c r="G228" s="133">
        <v>5</v>
      </c>
      <c r="H228" s="134">
        <v>639</v>
      </c>
    </row>
    <row r="229" spans="1:8" ht="19.8" customHeight="1" x14ac:dyDescent="0.3">
      <c r="A229" s="140">
        <v>45986</v>
      </c>
      <c r="B229" s="131" t="s">
        <v>162</v>
      </c>
      <c r="C229" s="132" t="s">
        <v>207</v>
      </c>
      <c r="D229" s="131" t="s">
        <v>1</v>
      </c>
      <c r="E229" s="141">
        <v>1.739583333333333</v>
      </c>
      <c r="F229" s="131" t="s">
        <v>63</v>
      </c>
      <c r="G229" s="133">
        <v>9</v>
      </c>
      <c r="H229" s="134">
        <v>645</v>
      </c>
    </row>
    <row r="230" spans="1:8" ht="19.8" customHeight="1" x14ac:dyDescent="0.3">
      <c r="A230" s="140">
        <v>45986</v>
      </c>
      <c r="B230" s="131" t="s">
        <v>55</v>
      </c>
      <c r="C230" s="132" t="s">
        <v>59</v>
      </c>
      <c r="D230" s="131" t="s">
        <v>1</v>
      </c>
      <c r="E230" s="141">
        <v>1.2222222222222221</v>
      </c>
      <c r="F230" s="131" t="s">
        <v>123</v>
      </c>
      <c r="G230" s="133">
        <v>9</v>
      </c>
      <c r="H230" s="134">
        <v>660</v>
      </c>
    </row>
    <row r="231" spans="1:8" ht="19.8" customHeight="1" x14ac:dyDescent="0.3">
      <c r="A231" s="140">
        <v>45986</v>
      </c>
      <c r="B231" s="131" t="s">
        <v>39</v>
      </c>
      <c r="C231" s="132" t="s">
        <v>53</v>
      </c>
      <c r="D231" s="131" t="s">
        <v>1</v>
      </c>
      <c r="E231" s="141">
        <v>1.256944444444444</v>
      </c>
      <c r="F231" s="131" t="s">
        <v>151</v>
      </c>
      <c r="G231" s="133">
        <v>9</v>
      </c>
      <c r="H231" s="134">
        <v>679</v>
      </c>
    </row>
    <row r="232" spans="1:8" ht="19.8" customHeight="1" x14ac:dyDescent="0.3">
      <c r="A232" s="140">
        <v>45986</v>
      </c>
      <c r="B232" s="131" t="s">
        <v>39</v>
      </c>
      <c r="C232" s="132" t="s">
        <v>49</v>
      </c>
      <c r="D232" s="131" t="s">
        <v>1</v>
      </c>
      <c r="E232" s="141">
        <v>1.395833333333333</v>
      </c>
      <c r="F232" s="131" t="s">
        <v>151</v>
      </c>
      <c r="G232" s="133">
        <v>1</v>
      </c>
      <c r="H232" s="134">
        <v>679</v>
      </c>
    </row>
    <row r="233" spans="1:8" ht="19.8" customHeight="1" x14ac:dyDescent="0.3">
      <c r="A233" s="140">
        <v>45986</v>
      </c>
      <c r="B233" s="131" t="s">
        <v>95</v>
      </c>
      <c r="C233" s="132" t="s">
        <v>96</v>
      </c>
      <c r="D233" s="131" t="s">
        <v>1</v>
      </c>
      <c r="E233" s="141">
        <v>1.3784722222222221</v>
      </c>
      <c r="F233" s="131" t="s">
        <v>97</v>
      </c>
      <c r="G233" s="133">
        <v>9</v>
      </c>
      <c r="H233" s="134">
        <v>935</v>
      </c>
    </row>
    <row r="234" spans="1:8" ht="19.8" customHeight="1" x14ac:dyDescent="0.3">
      <c r="A234" s="140">
        <v>45986</v>
      </c>
      <c r="B234" s="131" t="s">
        <v>95</v>
      </c>
      <c r="C234" s="132" t="s">
        <v>103</v>
      </c>
      <c r="D234" s="131" t="s">
        <v>1</v>
      </c>
      <c r="E234" s="141">
        <v>1.006944444444444</v>
      </c>
      <c r="F234" s="131" t="s">
        <v>97</v>
      </c>
      <c r="G234" s="133">
        <v>9</v>
      </c>
      <c r="H234" s="134">
        <v>935</v>
      </c>
    </row>
    <row r="235" spans="1:8" ht="19.8" customHeight="1" x14ac:dyDescent="0.3">
      <c r="A235" s="140">
        <v>45986</v>
      </c>
      <c r="B235" s="131" t="s">
        <v>95</v>
      </c>
      <c r="C235" s="132" t="s">
        <v>106</v>
      </c>
      <c r="D235" s="131" t="s">
        <v>1</v>
      </c>
      <c r="E235" s="141">
        <v>1.239583333333333</v>
      </c>
      <c r="F235" s="131" t="s">
        <v>97</v>
      </c>
      <c r="G235" s="133">
        <v>9</v>
      </c>
      <c r="H235" s="134">
        <v>935</v>
      </c>
    </row>
    <row r="236" spans="1:8" ht="19.8" customHeight="1" x14ac:dyDescent="0.3">
      <c r="A236" s="140">
        <v>45986</v>
      </c>
      <c r="B236" s="131" t="s">
        <v>95</v>
      </c>
      <c r="C236" s="132" t="s">
        <v>104</v>
      </c>
      <c r="D236" s="131" t="s">
        <v>1</v>
      </c>
      <c r="E236" s="141">
        <v>1.1423611111111109</v>
      </c>
      <c r="F236" s="131" t="s">
        <v>97</v>
      </c>
      <c r="G236" s="133">
        <v>9</v>
      </c>
      <c r="H236" s="134">
        <v>935</v>
      </c>
    </row>
    <row r="237" spans="1:8" ht="19.8" customHeight="1" x14ac:dyDescent="0.3">
      <c r="A237" s="140">
        <v>45986</v>
      </c>
      <c r="B237" s="131" t="s">
        <v>95</v>
      </c>
      <c r="C237" s="132" t="s">
        <v>105</v>
      </c>
      <c r="D237" s="131" t="s">
        <v>1</v>
      </c>
      <c r="E237" s="141">
        <v>1.930555555555556</v>
      </c>
      <c r="F237" s="131" t="s">
        <v>97</v>
      </c>
      <c r="G237" s="133">
        <v>9</v>
      </c>
      <c r="H237" s="134">
        <v>935</v>
      </c>
    </row>
    <row r="238" spans="1:8" ht="19.8" customHeight="1" x14ac:dyDescent="0.3">
      <c r="A238" s="140">
        <v>45986</v>
      </c>
      <c r="B238" s="131" t="s">
        <v>80</v>
      </c>
      <c r="C238" s="132" t="s">
        <v>168</v>
      </c>
      <c r="D238" s="131" t="s">
        <v>1</v>
      </c>
      <c r="E238" s="141">
        <v>1.4861111111111109</v>
      </c>
      <c r="F238" s="131" t="s">
        <v>82</v>
      </c>
      <c r="G238" s="133">
        <v>9</v>
      </c>
      <c r="H238" s="134">
        <v>970</v>
      </c>
    </row>
    <row r="239" spans="1:8" ht="19.8" customHeight="1" x14ac:dyDescent="0.3">
      <c r="A239" s="140">
        <v>45986</v>
      </c>
      <c r="B239" s="131" t="s">
        <v>80</v>
      </c>
      <c r="C239" s="132" t="s">
        <v>92</v>
      </c>
      <c r="D239" s="131" t="s">
        <v>1</v>
      </c>
      <c r="E239" s="141">
        <v>1.5138888888888891</v>
      </c>
      <c r="F239" s="131" t="s">
        <v>82</v>
      </c>
      <c r="G239" s="133">
        <v>9</v>
      </c>
      <c r="H239" s="134">
        <v>970</v>
      </c>
    </row>
    <row r="240" spans="1:8" ht="19.8" customHeight="1" x14ac:dyDescent="0.3">
      <c r="A240" s="140">
        <v>45986</v>
      </c>
      <c r="B240" s="131" t="s">
        <v>95</v>
      </c>
      <c r="C240" s="132" t="s">
        <v>96</v>
      </c>
      <c r="D240" s="131" t="s">
        <v>1</v>
      </c>
      <c r="E240" s="141">
        <v>1.3784722222222221</v>
      </c>
      <c r="F240" s="131" t="s">
        <v>99</v>
      </c>
      <c r="G240" s="133">
        <v>9</v>
      </c>
      <c r="H240" s="134">
        <v>980</v>
      </c>
    </row>
    <row r="241" spans="1:8" ht="19.8" customHeight="1" x14ac:dyDescent="0.3">
      <c r="A241" s="140">
        <v>45986</v>
      </c>
      <c r="B241" s="131" t="s">
        <v>95</v>
      </c>
      <c r="C241" s="132" t="s">
        <v>103</v>
      </c>
      <c r="D241" s="131" t="s">
        <v>1</v>
      </c>
      <c r="E241" s="141">
        <v>1.006944444444444</v>
      </c>
      <c r="F241" s="131" t="s">
        <v>99</v>
      </c>
      <c r="G241" s="133">
        <v>9</v>
      </c>
      <c r="H241" s="134">
        <v>980</v>
      </c>
    </row>
    <row r="242" spans="1:8" ht="19.8" customHeight="1" x14ac:dyDescent="0.3">
      <c r="A242" s="140">
        <v>45986</v>
      </c>
      <c r="B242" s="131" t="s">
        <v>95</v>
      </c>
      <c r="C242" s="132" t="s">
        <v>106</v>
      </c>
      <c r="D242" s="131" t="s">
        <v>1</v>
      </c>
      <c r="E242" s="141">
        <v>1.239583333333333</v>
      </c>
      <c r="F242" s="131" t="s">
        <v>99</v>
      </c>
      <c r="G242" s="133">
        <v>9</v>
      </c>
      <c r="H242" s="134">
        <v>980</v>
      </c>
    </row>
    <row r="243" spans="1:8" ht="19.8" customHeight="1" x14ac:dyDescent="0.3">
      <c r="A243" s="140">
        <v>45986</v>
      </c>
      <c r="B243" s="131" t="s">
        <v>95</v>
      </c>
      <c r="C243" s="132" t="s">
        <v>104</v>
      </c>
      <c r="D243" s="131" t="s">
        <v>1</v>
      </c>
      <c r="E243" s="141">
        <v>1.1423611111111109</v>
      </c>
      <c r="F243" s="131" t="s">
        <v>99</v>
      </c>
      <c r="G243" s="133">
        <v>9</v>
      </c>
      <c r="H243" s="134">
        <v>980</v>
      </c>
    </row>
    <row r="244" spans="1:8" ht="19.8" customHeight="1" x14ac:dyDescent="0.3">
      <c r="A244" s="140">
        <v>45986</v>
      </c>
      <c r="B244" s="131" t="s">
        <v>95</v>
      </c>
      <c r="C244" s="132" t="s">
        <v>105</v>
      </c>
      <c r="D244" s="131" t="s">
        <v>1</v>
      </c>
      <c r="E244" s="141">
        <v>1.930555555555556</v>
      </c>
      <c r="F244" s="131" t="s">
        <v>99</v>
      </c>
      <c r="G244" s="133">
        <v>9</v>
      </c>
      <c r="H244" s="134">
        <v>980</v>
      </c>
    </row>
    <row r="245" spans="1:8" ht="19.8" customHeight="1" x14ac:dyDescent="0.3">
      <c r="A245" s="140">
        <v>45986</v>
      </c>
      <c r="B245" s="131" t="s">
        <v>80</v>
      </c>
      <c r="C245" s="132" t="s">
        <v>81</v>
      </c>
      <c r="D245" s="131" t="s">
        <v>1</v>
      </c>
      <c r="E245" s="141">
        <v>1.2222222222222221</v>
      </c>
      <c r="F245" s="131" t="s">
        <v>82</v>
      </c>
      <c r="G245" s="133">
        <v>9</v>
      </c>
      <c r="H245" s="142" t="s">
        <v>83</v>
      </c>
    </row>
    <row r="246" spans="1:8" ht="19.8" customHeight="1" x14ac:dyDescent="0.3">
      <c r="A246" s="140">
        <v>45986</v>
      </c>
      <c r="B246" s="131" t="s">
        <v>95</v>
      </c>
      <c r="C246" s="132" t="s">
        <v>102</v>
      </c>
      <c r="D246" s="131" t="s">
        <v>1</v>
      </c>
      <c r="E246" s="141">
        <v>1.71875</v>
      </c>
      <c r="F246" s="131" t="s">
        <v>97</v>
      </c>
      <c r="G246" s="133">
        <v>9</v>
      </c>
      <c r="H246" s="142" t="s">
        <v>241</v>
      </c>
    </row>
    <row r="247" spans="1:8" ht="19.8" customHeight="1" x14ac:dyDescent="0.3">
      <c r="A247" s="140">
        <v>45986</v>
      </c>
      <c r="B247" s="131" t="s">
        <v>95</v>
      </c>
      <c r="C247" s="132" t="s">
        <v>115</v>
      </c>
      <c r="D247" s="131" t="s">
        <v>1</v>
      </c>
      <c r="E247" s="141">
        <v>1.8298611111111109</v>
      </c>
      <c r="F247" s="131" t="s">
        <v>97</v>
      </c>
      <c r="G247" s="133">
        <v>9</v>
      </c>
      <c r="H247" s="142" t="s">
        <v>241</v>
      </c>
    </row>
    <row r="248" spans="1:8" ht="19.8" customHeight="1" x14ac:dyDescent="0.3">
      <c r="A248" s="140">
        <v>45986</v>
      </c>
      <c r="B248" s="131" t="s">
        <v>26</v>
      </c>
      <c r="C248" s="132" t="s">
        <v>31</v>
      </c>
      <c r="D248" s="131" t="s">
        <v>1</v>
      </c>
      <c r="E248" s="141">
        <v>1.302083333333333</v>
      </c>
      <c r="F248" s="131" t="s">
        <v>123</v>
      </c>
      <c r="G248" s="133">
        <v>2</v>
      </c>
      <c r="H248" s="142" t="s">
        <v>124</v>
      </c>
    </row>
    <row r="249" spans="1:8" ht="19.8" customHeight="1" x14ac:dyDescent="0.3">
      <c r="A249" s="140">
        <v>45986</v>
      </c>
      <c r="B249" s="131" t="s">
        <v>26</v>
      </c>
      <c r="C249" s="132" t="s">
        <v>27</v>
      </c>
      <c r="D249" s="131" t="s">
        <v>1</v>
      </c>
      <c r="E249" s="141">
        <v>1.1284722222222221</v>
      </c>
      <c r="F249" s="131" t="s">
        <v>123</v>
      </c>
      <c r="G249" s="133">
        <v>2</v>
      </c>
      <c r="H249" s="142" t="s">
        <v>124</v>
      </c>
    </row>
    <row r="250" spans="1:8" ht="19.8" customHeight="1" x14ac:dyDescent="0.3">
      <c r="A250" s="140">
        <v>45986</v>
      </c>
      <c r="B250" s="131" t="s">
        <v>26</v>
      </c>
      <c r="C250" s="132" t="s">
        <v>36</v>
      </c>
      <c r="D250" s="131" t="s">
        <v>1</v>
      </c>
      <c r="E250" s="141">
        <v>1.788194444444444</v>
      </c>
      <c r="F250" s="131" t="s">
        <v>123</v>
      </c>
      <c r="G250" s="133">
        <v>9</v>
      </c>
      <c r="H250" s="142" t="s">
        <v>124</v>
      </c>
    </row>
    <row r="251" spans="1:8" ht="19.8" customHeight="1" x14ac:dyDescent="0.3">
      <c r="A251" s="140">
        <v>45986</v>
      </c>
      <c r="B251" s="131" t="s">
        <v>26</v>
      </c>
      <c r="C251" s="132" t="s">
        <v>34</v>
      </c>
      <c r="D251" s="131" t="s">
        <v>1</v>
      </c>
      <c r="E251" s="141">
        <v>1.8888888888888891</v>
      </c>
      <c r="F251" s="131" t="s">
        <v>123</v>
      </c>
      <c r="G251" s="133">
        <v>7</v>
      </c>
      <c r="H251" s="142" t="s">
        <v>124</v>
      </c>
    </row>
    <row r="252" spans="1:8" ht="19.8" customHeight="1" x14ac:dyDescent="0.3">
      <c r="A252" s="140">
        <v>45986</v>
      </c>
      <c r="B252" s="131" t="s">
        <v>95</v>
      </c>
      <c r="C252" s="132" t="s">
        <v>102</v>
      </c>
      <c r="D252" s="131" t="s">
        <v>1</v>
      </c>
      <c r="E252" s="141">
        <v>1.71875</v>
      </c>
      <c r="F252" s="131" t="s">
        <v>99</v>
      </c>
      <c r="G252" s="133">
        <v>9</v>
      </c>
      <c r="H252" s="142" t="s">
        <v>242</v>
      </c>
    </row>
    <row r="253" spans="1:8" ht="19.8" customHeight="1" x14ac:dyDescent="0.3">
      <c r="A253" s="140">
        <v>45986</v>
      </c>
      <c r="B253" s="131" t="s">
        <v>95</v>
      </c>
      <c r="C253" s="132" t="s">
        <v>115</v>
      </c>
      <c r="D253" s="131" t="s">
        <v>1</v>
      </c>
      <c r="E253" s="141">
        <v>1.8298611111111109</v>
      </c>
      <c r="F253" s="131" t="s">
        <v>99</v>
      </c>
      <c r="G253" s="133">
        <v>9</v>
      </c>
      <c r="H253" s="142" t="s">
        <v>242</v>
      </c>
    </row>
    <row r="254" spans="1:8" ht="19.8" customHeight="1" x14ac:dyDescent="0.3">
      <c r="A254" s="140">
        <v>45986</v>
      </c>
      <c r="B254" s="131" t="s">
        <v>80</v>
      </c>
      <c r="C254" s="132" t="s">
        <v>87</v>
      </c>
      <c r="D254" s="131" t="s">
        <v>1</v>
      </c>
      <c r="E254" s="141">
        <v>1.0138888888888891</v>
      </c>
      <c r="F254" s="131" t="s">
        <v>82</v>
      </c>
      <c r="G254" s="133">
        <v>9</v>
      </c>
      <c r="H254" s="142" t="s">
        <v>86</v>
      </c>
    </row>
    <row r="255" spans="1:8" ht="19.8" customHeight="1" x14ac:dyDescent="0.3">
      <c r="A255" s="140">
        <v>45986</v>
      </c>
      <c r="B255" s="131" t="s">
        <v>80</v>
      </c>
      <c r="C255" s="132" t="s">
        <v>89</v>
      </c>
      <c r="D255" s="131" t="s">
        <v>1</v>
      </c>
      <c r="E255" s="141">
        <v>1.145833333333333</v>
      </c>
      <c r="F255" s="131" t="s">
        <v>82</v>
      </c>
      <c r="G255" s="133">
        <v>9</v>
      </c>
      <c r="H255" s="142" t="s">
        <v>86</v>
      </c>
    </row>
    <row r="256" spans="1:8" ht="19.8" customHeight="1" x14ac:dyDescent="0.3">
      <c r="A256" s="140">
        <v>45986</v>
      </c>
      <c r="B256" s="131" t="s">
        <v>95</v>
      </c>
      <c r="C256" s="132" t="s">
        <v>116</v>
      </c>
      <c r="D256" s="131" t="s">
        <v>1</v>
      </c>
      <c r="E256" s="141">
        <v>1.8888888888888891</v>
      </c>
      <c r="F256" s="131" t="s">
        <v>99</v>
      </c>
      <c r="G256" s="133">
        <v>4</v>
      </c>
      <c r="H256" s="142" t="s">
        <v>215</v>
      </c>
    </row>
    <row r="257" spans="1:8" ht="19.8" customHeight="1" x14ac:dyDescent="0.3">
      <c r="A257" s="140">
        <v>45986</v>
      </c>
      <c r="B257" s="131" t="s">
        <v>95</v>
      </c>
      <c r="C257" s="132" t="s">
        <v>109</v>
      </c>
      <c r="D257" s="131" t="s">
        <v>1</v>
      </c>
      <c r="E257" s="141">
        <v>1.302083333333333</v>
      </c>
      <c r="F257" s="131" t="s">
        <v>99</v>
      </c>
      <c r="G257" s="133">
        <v>4</v>
      </c>
      <c r="H257" s="142" t="s">
        <v>215</v>
      </c>
    </row>
    <row r="258" spans="1:8" ht="19.8" customHeight="1" x14ac:dyDescent="0.3">
      <c r="A258" s="140">
        <v>45986</v>
      </c>
      <c r="B258" s="131" t="s">
        <v>95</v>
      </c>
      <c r="C258" s="132" t="s">
        <v>111</v>
      </c>
      <c r="D258" s="131" t="s">
        <v>1</v>
      </c>
      <c r="E258" s="141">
        <v>1.1284722222222221</v>
      </c>
      <c r="F258" s="131" t="s">
        <v>99</v>
      </c>
      <c r="G258" s="133">
        <v>4</v>
      </c>
      <c r="H258" s="142" t="s">
        <v>215</v>
      </c>
    </row>
    <row r="259" spans="1:8" ht="19.8" customHeight="1" x14ac:dyDescent="0.3">
      <c r="A259" s="140">
        <v>45986</v>
      </c>
      <c r="B259" s="131" t="s">
        <v>95</v>
      </c>
      <c r="C259" s="132" t="s">
        <v>118</v>
      </c>
      <c r="D259" s="131" t="s">
        <v>1</v>
      </c>
      <c r="E259" s="141">
        <v>1.788194444444444</v>
      </c>
      <c r="F259" s="131" t="s">
        <v>99</v>
      </c>
      <c r="G259" s="133">
        <v>4</v>
      </c>
      <c r="H259" s="142" t="s">
        <v>215</v>
      </c>
    </row>
    <row r="260" spans="1:8" ht="19.8" customHeight="1" x14ac:dyDescent="0.3">
      <c r="A260" s="140">
        <v>45986</v>
      </c>
      <c r="B260" s="131" t="s">
        <v>80</v>
      </c>
      <c r="C260" s="132" t="s">
        <v>84</v>
      </c>
      <c r="D260" s="131" t="s">
        <v>1</v>
      </c>
      <c r="E260" s="141">
        <v>1.2777777777777779</v>
      </c>
      <c r="F260" s="131" t="s">
        <v>82</v>
      </c>
      <c r="G260" s="133">
        <v>9</v>
      </c>
      <c r="H260" s="142" t="s">
        <v>169</v>
      </c>
    </row>
    <row r="261" spans="1:8" ht="19.8" customHeight="1" x14ac:dyDescent="0.3">
      <c r="A261" s="140">
        <v>45986</v>
      </c>
      <c r="B261" s="131" t="s">
        <v>80</v>
      </c>
      <c r="C261" s="132" t="s">
        <v>93</v>
      </c>
      <c r="D261" s="131" t="s">
        <v>1</v>
      </c>
      <c r="E261" s="141">
        <v>1.774305555555556</v>
      </c>
      <c r="F261" s="131" t="s">
        <v>82</v>
      </c>
      <c r="G261" s="133">
        <v>9</v>
      </c>
      <c r="H261" s="142" t="s">
        <v>91</v>
      </c>
    </row>
    <row r="262" spans="1:8" ht="19.8" customHeight="1" x14ac:dyDescent="0.3">
      <c r="A262" s="140">
        <v>45986</v>
      </c>
      <c r="B262" s="131" t="s">
        <v>95</v>
      </c>
      <c r="C262" s="132" t="s">
        <v>112</v>
      </c>
      <c r="D262" s="131" t="s">
        <v>1</v>
      </c>
      <c r="E262" s="141">
        <v>1.6111111111111109</v>
      </c>
      <c r="F262" s="131" t="s">
        <v>97</v>
      </c>
      <c r="G262" s="133">
        <v>2</v>
      </c>
      <c r="H262" s="142" t="s">
        <v>243</v>
      </c>
    </row>
    <row r="263" spans="1:8" ht="19.8" customHeight="1" x14ac:dyDescent="0.3">
      <c r="A263" s="140">
        <v>45986</v>
      </c>
      <c r="B263" s="131" t="s">
        <v>95</v>
      </c>
      <c r="C263" s="132" t="s">
        <v>112</v>
      </c>
      <c r="D263" s="131" t="s">
        <v>1</v>
      </c>
      <c r="E263" s="141">
        <v>1.6111111111111109</v>
      </c>
      <c r="F263" s="131" t="s">
        <v>99</v>
      </c>
      <c r="G263" s="133">
        <v>2</v>
      </c>
      <c r="H263" s="142" t="s">
        <v>244</v>
      </c>
    </row>
    <row r="264" spans="1:8" ht="19.8" customHeight="1" x14ac:dyDescent="0.3">
      <c r="A264" s="143">
        <v>45986</v>
      </c>
      <c r="B264" s="136" t="s">
        <v>66</v>
      </c>
      <c r="C264" s="137" t="s">
        <v>202</v>
      </c>
      <c r="D264" s="136" t="s">
        <v>1</v>
      </c>
      <c r="E264" s="144">
        <v>1.5590277777777779</v>
      </c>
      <c r="F264" s="136" t="s">
        <v>74</v>
      </c>
      <c r="G264" s="136"/>
      <c r="H264" s="139" t="s">
        <v>75</v>
      </c>
    </row>
    <row r="265" spans="1:8" ht="19.8" customHeight="1" x14ac:dyDescent="0.3">
      <c r="A265" s="145">
        <v>45986</v>
      </c>
      <c r="B265" s="146" t="s">
        <v>66</v>
      </c>
      <c r="C265" s="147" t="s">
        <v>145</v>
      </c>
      <c r="D265" s="146" t="s">
        <v>1</v>
      </c>
      <c r="E265" s="148">
        <v>1.729166666666667</v>
      </c>
      <c r="F265" s="146" t="s">
        <v>74</v>
      </c>
      <c r="G265" s="146"/>
      <c r="H265" s="149" t="s">
        <v>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127" t="s">
        <v>383</v>
      </c>
      <c r="B1" s="128" t="s">
        <v>8</v>
      </c>
      <c r="C1" s="128" t="s">
        <v>9</v>
      </c>
      <c r="D1" s="128" t="s">
        <v>384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5" t="s">
        <v>385</v>
      </c>
      <c r="B2" s="136" t="s">
        <v>66</v>
      </c>
      <c r="C2" s="137" t="s">
        <v>67</v>
      </c>
      <c r="D2" s="136" t="s">
        <v>1</v>
      </c>
      <c r="E2" s="136" t="s">
        <v>294</v>
      </c>
      <c r="F2" s="136" t="s">
        <v>68</v>
      </c>
      <c r="G2" s="138">
        <v>1</v>
      </c>
      <c r="H2" s="139" t="s">
        <v>69</v>
      </c>
    </row>
    <row r="3" spans="1:8" ht="19.8" customHeight="1" x14ac:dyDescent="0.3">
      <c r="A3" s="140">
        <v>45983</v>
      </c>
      <c r="B3" s="131" t="s">
        <v>80</v>
      </c>
      <c r="C3" s="132" t="s">
        <v>81</v>
      </c>
      <c r="D3" s="131" t="s">
        <v>1</v>
      </c>
      <c r="E3" s="141">
        <v>1.229166666666667</v>
      </c>
      <c r="F3" s="131" t="s">
        <v>82</v>
      </c>
      <c r="G3" s="133">
        <v>9</v>
      </c>
      <c r="H3" s="142" t="s">
        <v>83</v>
      </c>
    </row>
    <row r="4" spans="1:8" ht="19.8" customHeight="1" x14ac:dyDescent="0.3">
      <c r="A4" s="143">
        <v>45983</v>
      </c>
      <c r="B4" s="136" t="s">
        <v>66</v>
      </c>
      <c r="C4" s="137" t="s">
        <v>73</v>
      </c>
      <c r="D4" s="136" t="s">
        <v>1</v>
      </c>
      <c r="E4" s="144">
        <v>1.2361111111111109</v>
      </c>
      <c r="F4" s="136" t="s">
        <v>74</v>
      </c>
      <c r="G4" s="136"/>
      <c r="H4" s="139" t="s">
        <v>75</v>
      </c>
    </row>
    <row r="5" spans="1:8" ht="19.8" customHeight="1" x14ac:dyDescent="0.3">
      <c r="A5" s="145">
        <v>45983</v>
      </c>
      <c r="B5" s="146" t="s">
        <v>66</v>
      </c>
      <c r="C5" s="147" t="s">
        <v>78</v>
      </c>
      <c r="D5" s="146" t="s">
        <v>1</v>
      </c>
      <c r="E5" s="148">
        <v>1.333333333333333</v>
      </c>
      <c r="F5" s="146" t="s">
        <v>74</v>
      </c>
      <c r="G5" s="146"/>
      <c r="H5" s="149" t="s">
        <v>75</v>
      </c>
    </row>
    <row r="6" spans="1:8" ht="19.8" customHeight="1" x14ac:dyDescent="0.3">
      <c r="A6" s="143">
        <v>45984</v>
      </c>
      <c r="B6" s="136" t="s">
        <v>66</v>
      </c>
      <c r="C6" s="137" t="s">
        <v>130</v>
      </c>
      <c r="D6" s="136" t="s">
        <v>1</v>
      </c>
      <c r="E6" s="144">
        <v>1.333333333333333</v>
      </c>
      <c r="F6" s="136" t="s">
        <v>68</v>
      </c>
      <c r="G6" s="138">
        <v>1</v>
      </c>
      <c r="H6" s="150">
        <v>586</v>
      </c>
    </row>
    <row r="7" spans="1:8" ht="19.8" customHeight="1" x14ac:dyDescent="0.3">
      <c r="A7" s="140">
        <v>45984</v>
      </c>
      <c r="B7" s="131" t="s">
        <v>162</v>
      </c>
      <c r="C7" s="132" t="s">
        <v>163</v>
      </c>
      <c r="D7" s="131" t="s">
        <v>1</v>
      </c>
      <c r="E7" s="141">
        <v>1.3472222222222221</v>
      </c>
      <c r="F7" s="131" t="s">
        <v>63</v>
      </c>
      <c r="G7" s="133">
        <v>9</v>
      </c>
      <c r="H7" s="134">
        <v>645</v>
      </c>
    </row>
    <row r="8" spans="1:8" ht="19.8" customHeight="1" x14ac:dyDescent="0.3">
      <c r="A8" s="140">
        <v>45984</v>
      </c>
      <c r="B8" s="131" t="s">
        <v>39</v>
      </c>
      <c r="C8" s="132" t="s">
        <v>53</v>
      </c>
      <c r="D8" s="131" t="s">
        <v>1</v>
      </c>
      <c r="E8" s="141">
        <v>1.256944444444444</v>
      </c>
      <c r="F8" s="131" t="s">
        <v>150</v>
      </c>
      <c r="G8" s="133">
        <v>1</v>
      </c>
      <c r="H8" s="134">
        <v>689</v>
      </c>
    </row>
    <row r="9" spans="1:8" ht="19.8" customHeight="1" x14ac:dyDescent="0.3">
      <c r="A9" s="140">
        <v>45984</v>
      </c>
      <c r="B9" s="131" t="s">
        <v>39</v>
      </c>
      <c r="C9" s="132" t="s">
        <v>40</v>
      </c>
      <c r="D9" s="131" t="s">
        <v>1</v>
      </c>
      <c r="E9" s="141">
        <v>1.9027777777777779</v>
      </c>
      <c r="F9" s="131" t="s">
        <v>150</v>
      </c>
      <c r="G9" s="133">
        <v>9</v>
      </c>
      <c r="H9" s="134">
        <v>689</v>
      </c>
    </row>
    <row r="10" spans="1:8" ht="19.8" customHeight="1" x14ac:dyDescent="0.3">
      <c r="A10" s="140">
        <v>45984</v>
      </c>
      <c r="B10" s="131" t="s">
        <v>39</v>
      </c>
      <c r="C10" s="132" t="s">
        <v>48</v>
      </c>
      <c r="D10" s="131" t="s">
        <v>1</v>
      </c>
      <c r="E10" s="141">
        <v>1.854166666666667</v>
      </c>
      <c r="F10" s="131" t="s">
        <v>150</v>
      </c>
      <c r="G10" s="133">
        <v>9</v>
      </c>
      <c r="H10" s="134">
        <v>689</v>
      </c>
    </row>
    <row r="11" spans="1:8" ht="19.8" customHeight="1" x14ac:dyDescent="0.3">
      <c r="A11" s="140">
        <v>45984</v>
      </c>
      <c r="B11" s="131" t="s">
        <v>39</v>
      </c>
      <c r="C11" s="132" t="s">
        <v>153</v>
      </c>
      <c r="D11" s="131" t="s">
        <v>1</v>
      </c>
      <c r="E11" s="141">
        <v>1.302083333333333</v>
      </c>
      <c r="F11" s="131" t="s">
        <v>150</v>
      </c>
      <c r="G11" s="133">
        <v>3</v>
      </c>
      <c r="H11" s="134">
        <v>689</v>
      </c>
    </row>
    <row r="12" spans="1:8" ht="19.8" customHeight="1" x14ac:dyDescent="0.3">
      <c r="A12" s="140">
        <v>45984</v>
      </c>
      <c r="B12" s="131" t="s">
        <v>39</v>
      </c>
      <c r="C12" s="132" t="s">
        <v>51</v>
      </c>
      <c r="D12" s="131" t="s">
        <v>1</v>
      </c>
      <c r="E12" s="141">
        <v>1.7986111111111109</v>
      </c>
      <c r="F12" s="131" t="s">
        <v>150</v>
      </c>
      <c r="G12" s="133">
        <v>9</v>
      </c>
      <c r="H12" s="134">
        <v>689</v>
      </c>
    </row>
    <row r="13" spans="1:8" ht="19.8" customHeight="1" x14ac:dyDescent="0.3">
      <c r="A13" s="140">
        <v>45984</v>
      </c>
      <c r="B13" s="131" t="s">
        <v>162</v>
      </c>
      <c r="C13" s="132" t="s">
        <v>165</v>
      </c>
      <c r="D13" s="131" t="s">
        <v>1</v>
      </c>
      <c r="E13" s="141">
        <v>1.274305555555556</v>
      </c>
      <c r="F13" s="131" t="s">
        <v>63</v>
      </c>
      <c r="G13" s="133">
        <v>9</v>
      </c>
      <c r="H13" s="134">
        <v>695</v>
      </c>
    </row>
    <row r="14" spans="1:8" ht="19.8" customHeight="1" x14ac:dyDescent="0.3">
      <c r="A14" s="143">
        <v>45984</v>
      </c>
      <c r="B14" s="136" t="s">
        <v>66</v>
      </c>
      <c r="C14" s="137" t="s">
        <v>135</v>
      </c>
      <c r="D14" s="136" t="s">
        <v>1</v>
      </c>
      <c r="E14" s="144">
        <v>1.083333333333333</v>
      </c>
      <c r="F14" s="136" t="s">
        <v>68</v>
      </c>
      <c r="G14" s="138">
        <v>1</v>
      </c>
      <c r="H14" s="150">
        <v>706</v>
      </c>
    </row>
    <row r="15" spans="1:8" ht="19.8" customHeight="1" x14ac:dyDescent="0.3">
      <c r="A15" s="143">
        <v>45984</v>
      </c>
      <c r="B15" s="136" t="s">
        <v>66</v>
      </c>
      <c r="C15" s="137" t="s">
        <v>140</v>
      </c>
      <c r="D15" s="136" t="s">
        <v>1</v>
      </c>
      <c r="E15" s="144">
        <v>1.319444444444444</v>
      </c>
      <c r="F15" s="136" t="s">
        <v>68</v>
      </c>
      <c r="G15" s="138">
        <v>5</v>
      </c>
      <c r="H15" s="150">
        <v>706</v>
      </c>
    </row>
    <row r="16" spans="1:8" ht="19.8" customHeight="1" x14ac:dyDescent="0.3">
      <c r="A16" s="140">
        <v>45984</v>
      </c>
      <c r="B16" s="131" t="s">
        <v>39</v>
      </c>
      <c r="C16" s="132" t="s">
        <v>44</v>
      </c>
      <c r="D16" s="131" t="s">
        <v>1</v>
      </c>
      <c r="E16" s="141">
        <v>1.645833333333333</v>
      </c>
      <c r="F16" s="131" t="s">
        <v>150</v>
      </c>
      <c r="G16" s="133">
        <v>9</v>
      </c>
      <c r="H16" s="134">
        <v>769</v>
      </c>
    </row>
    <row r="17" spans="1:8" ht="19.8" customHeight="1" x14ac:dyDescent="0.3">
      <c r="A17" s="140">
        <v>45984</v>
      </c>
      <c r="B17" s="131" t="s">
        <v>39</v>
      </c>
      <c r="C17" s="132" t="s">
        <v>46</v>
      </c>
      <c r="D17" s="131" t="s">
        <v>1</v>
      </c>
      <c r="E17" s="141">
        <v>1.5173611111111109</v>
      </c>
      <c r="F17" s="131" t="s">
        <v>150</v>
      </c>
      <c r="G17" s="133">
        <v>9</v>
      </c>
      <c r="H17" s="134">
        <v>769</v>
      </c>
    </row>
    <row r="18" spans="1:8" ht="19.8" customHeight="1" x14ac:dyDescent="0.3">
      <c r="A18" s="140">
        <v>45984</v>
      </c>
      <c r="B18" s="131" t="s">
        <v>39</v>
      </c>
      <c r="C18" s="132" t="s">
        <v>49</v>
      </c>
      <c r="D18" s="131" t="s">
        <v>1</v>
      </c>
      <c r="E18" s="141">
        <v>1.395833333333333</v>
      </c>
      <c r="F18" s="131" t="s">
        <v>150</v>
      </c>
      <c r="G18" s="133">
        <v>9</v>
      </c>
      <c r="H18" s="134">
        <v>769</v>
      </c>
    </row>
    <row r="19" spans="1:8" ht="19.8" customHeight="1" x14ac:dyDescent="0.3">
      <c r="A19" s="143">
        <v>45984</v>
      </c>
      <c r="B19" s="136" t="s">
        <v>66</v>
      </c>
      <c r="C19" s="137" t="s">
        <v>143</v>
      </c>
      <c r="D19" s="136" t="s">
        <v>1</v>
      </c>
      <c r="E19" s="144">
        <v>1.510416666666667</v>
      </c>
      <c r="F19" s="136" t="s">
        <v>68</v>
      </c>
      <c r="G19" s="138">
        <v>5</v>
      </c>
      <c r="H19" s="150">
        <v>781</v>
      </c>
    </row>
    <row r="20" spans="1:8" ht="19.8" customHeight="1" x14ac:dyDescent="0.3">
      <c r="A20" s="145">
        <v>45984</v>
      </c>
      <c r="B20" s="146" t="s">
        <v>66</v>
      </c>
      <c r="C20" s="147" t="s">
        <v>70</v>
      </c>
      <c r="D20" s="146" t="s">
        <v>1</v>
      </c>
      <c r="E20" s="148">
        <v>1.631944444444444</v>
      </c>
      <c r="F20" s="146" t="s">
        <v>74</v>
      </c>
      <c r="G20" s="146"/>
      <c r="H20" s="149" t="s">
        <v>75</v>
      </c>
    </row>
    <row r="21" spans="1:8" ht="19.8" customHeight="1" x14ac:dyDescent="0.3">
      <c r="A21" s="140">
        <v>45985</v>
      </c>
      <c r="B21" s="131" t="s">
        <v>55</v>
      </c>
      <c r="C21" s="132" t="s">
        <v>59</v>
      </c>
      <c r="D21" s="131" t="s">
        <v>1</v>
      </c>
      <c r="E21" s="141">
        <v>1.1736111111111109</v>
      </c>
      <c r="F21" s="131" t="s">
        <v>159</v>
      </c>
      <c r="G21" s="133">
        <v>9</v>
      </c>
      <c r="H21" s="134">
        <v>568</v>
      </c>
    </row>
    <row r="22" spans="1:8" ht="19.8" customHeight="1" x14ac:dyDescent="0.3">
      <c r="A22" s="143">
        <v>45985</v>
      </c>
      <c r="B22" s="136" t="s">
        <v>66</v>
      </c>
      <c r="C22" s="137" t="s">
        <v>143</v>
      </c>
      <c r="D22" s="136" t="s">
        <v>1</v>
      </c>
      <c r="E22" s="144">
        <v>1.979166666666667</v>
      </c>
      <c r="F22" s="136" t="s">
        <v>68</v>
      </c>
      <c r="G22" s="138">
        <v>4</v>
      </c>
      <c r="H22" s="150">
        <v>586</v>
      </c>
    </row>
    <row r="23" spans="1:8" ht="19.8" customHeight="1" x14ac:dyDescent="0.3">
      <c r="A23" s="143">
        <v>45985</v>
      </c>
      <c r="B23" s="136" t="s">
        <v>66</v>
      </c>
      <c r="C23" s="137" t="s">
        <v>140</v>
      </c>
      <c r="D23" s="136" t="s">
        <v>1</v>
      </c>
      <c r="E23" s="144">
        <v>1.4236111111111109</v>
      </c>
      <c r="F23" s="136" t="s">
        <v>68</v>
      </c>
      <c r="G23" s="138">
        <v>3</v>
      </c>
      <c r="H23" s="150">
        <v>586</v>
      </c>
    </row>
    <row r="24" spans="1:8" ht="19.8" customHeight="1" x14ac:dyDescent="0.3">
      <c r="A24" s="143">
        <v>45985</v>
      </c>
      <c r="B24" s="136" t="s">
        <v>66</v>
      </c>
      <c r="C24" s="137" t="s">
        <v>201</v>
      </c>
      <c r="D24" s="136" t="s">
        <v>1</v>
      </c>
      <c r="E24" s="144">
        <v>1.006944444444444</v>
      </c>
      <c r="F24" s="136" t="s">
        <v>68</v>
      </c>
      <c r="G24" s="138">
        <v>4</v>
      </c>
      <c r="H24" s="150">
        <v>586</v>
      </c>
    </row>
    <row r="25" spans="1:8" ht="19.8" customHeight="1" x14ac:dyDescent="0.3">
      <c r="A25" s="140">
        <v>45985</v>
      </c>
      <c r="B25" s="131" t="s">
        <v>55</v>
      </c>
      <c r="C25" s="132" t="s">
        <v>56</v>
      </c>
      <c r="D25" s="131" t="s">
        <v>1</v>
      </c>
      <c r="E25" s="141">
        <v>1.3923611111111109</v>
      </c>
      <c r="F25" s="131" t="s">
        <v>159</v>
      </c>
      <c r="G25" s="133">
        <v>7</v>
      </c>
      <c r="H25" s="134">
        <v>592</v>
      </c>
    </row>
    <row r="26" spans="1:8" ht="19.8" customHeight="1" x14ac:dyDescent="0.3">
      <c r="A26" s="140">
        <v>45985</v>
      </c>
      <c r="B26" s="131" t="s">
        <v>162</v>
      </c>
      <c r="C26" s="132" t="s">
        <v>207</v>
      </c>
      <c r="D26" s="131" t="s">
        <v>1</v>
      </c>
      <c r="E26" s="141">
        <v>1.208333333333333</v>
      </c>
      <c r="F26" s="131" t="s">
        <v>63</v>
      </c>
      <c r="G26" s="133">
        <v>9</v>
      </c>
      <c r="H26" s="134">
        <v>595</v>
      </c>
    </row>
    <row r="27" spans="1:8" ht="19.8" customHeight="1" x14ac:dyDescent="0.3">
      <c r="A27" s="140">
        <v>45985</v>
      </c>
      <c r="B27" s="131" t="s">
        <v>61</v>
      </c>
      <c r="C27" s="132" t="s">
        <v>62</v>
      </c>
      <c r="D27" s="131" t="s">
        <v>1</v>
      </c>
      <c r="E27" s="141">
        <v>1.666666666666667</v>
      </c>
      <c r="F27" s="131" t="s">
        <v>63</v>
      </c>
      <c r="G27" s="133">
        <v>6</v>
      </c>
      <c r="H27" s="134">
        <v>599</v>
      </c>
    </row>
    <row r="28" spans="1:8" ht="19.8" customHeight="1" x14ac:dyDescent="0.3">
      <c r="A28" s="140">
        <v>45985</v>
      </c>
      <c r="B28" s="131" t="s">
        <v>61</v>
      </c>
      <c r="C28" s="132" t="s">
        <v>158</v>
      </c>
      <c r="D28" s="131" t="s">
        <v>1</v>
      </c>
      <c r="E28" s="141">
        <v>1.3125</v>
      </c>
      <c r="F28" s="131" t="s">
        <v>63</v>
      </c>
      <c r="G28" s="133">
        <v>8</v>
      </c>
      <c r="H28" s="134">
        <v>599</v>
      </c>
    </row>
    <row r="29" spans="1:8" ht="19.8" customHeight="1" x14ac:dyDescent="0.3">
      <c r="A29" s="140">
        <v>45985</v>
      </c>
      <c r="B29" s="131" t="s">
        <v>39</v>
      </c>
      <c r="C29" s="132" t="s">
        <v>53</v>
      </c>
      <c r="D29" s="131" t="s">
        <v>1</v>
      </c>
      <c r="E29" s="141">
        <v>1.256944444444444</v>
      </c>
      <c r="F29" s="131" t="s">
        <v>150</v>
      </c>
      <c r="G29" s="133">
        <v>8</v>
      </c>
      <c r="H29" s="134">
        <v>609</v>
      </c>
    </row>
    <row r="30" spans="1:8" ht="19.8" customHeight="1" x14ac:dyDescent="0.3">
      <c r="A30" s="140">
        <v>45985</v>
      </c>
      <c r="B30" s="131" t="s">
        <v>39</v>
      </c>
      <c r="C30" s="132" t="s">
        <v>40</v>
      </c>
      <c r="D30" s="131" t="s">
        <v>1</v>
      </c>
      <c r="E30" s="141">
        <v>1.9027777777777779</v>
      </c>
      <c r="F30" s="131" t="s">
        <v>150</v>
      </c>
      <c r="G30" s="133">
        <v>5</v>
      </c>
      <c r="H30" s="134">
        <v>609</v>
      </c>
    </row>
    <row r="31" spans="1:8" ht="19.8" customHeight="1" x14ac:dyDescent="0.3">
      <c r="A31" s="140">
        <v>45985</v>
      </c>
      <c r="B31" s="131" t="s">
        <v>39</v>
      </c>
      <c r="C31" s="132" t="s">
        <v>44</v>
      </c>
      <c r="D31" s="131" t="s">
        <v>1</v>
      </c>
      <c r="E31" s="141">
        <v>1.645833333333333</v>
      </c>
      <c r="F31" s="131" t="s">
        <v>150</v>
      </c>
      <c r="G31" s="133">
        <v>2</v>
      </c>
      <c r="H31" s="134">
        <v>609</v>
      </c>
    </row>
    <row r="32" spans="1:8" ht="19.8" customHeight="1" x14ac:dyDescent="0.3">
      <c r="A32" s="140">
        <v>45985</v>
      </c>
      <c r="B32" s="131" t="s">
        <v>39</v>
      </c>
      <c r="C32" s="132" t="s">
        <v>46</v>
      </c>
      <c r="D32" s="131" t="s">
        <v>1</v>
      </c>
      <c r="E32" s="141">
        <v>1.5173611111111109</v>
      </c>
      <c r="F32" s="131" t="s">
        <v>150</v>
      </c>
      <c r="G32" s="133">
        <v>6</v>
      </c>
      <c r="H32" s="134">
        <v>609</v>
      </c>
    </row>
    <row r="33" spans="1:8" ht="19.8" customHeight="1" x14ac:dyDescent="0.3">
      <c r="A33" s="140">
        <v>45985</v>
      </c>
      <c r="B33" s="131" t="s">
        <v>39</v>
      </c>
      <c r="C33" s="132" t="s">
        <v>51</v>
      </c>
      <c r="D33" s="131" t="s">
        <v>1</v>
      </c>
      <c r="E33" s="141">
        <v>1.7986111111111109</v>
      </c>
      <c r="F33" s="131" t="s">
        <v>150</v>
      </c>
      <c r="G33" s="133">
        <v>9</v>
      </c>
      <c r="H33" s="134">
        <v>609</v>
      </c>
    </row>
    <row r="34" spans="1:8" ht="19.8" customHeight="1" x14ac:dyDescent="0.3">
      <c r="A34" s="145">
        <v>45985</v>
      </c>
      <c r="B34" s="146" t="s">
        <v>66</v>
      </c>
      <c r="C34" s="147" t="s">
        <v>67</v>
      </c>
      <c r="D34" s="146" t="s">
        <v>1</v>
      </c>
      <c r="E34" s="148">
        <v>1.614583333333333</v>
      </c>
      <c r="F34" s="146" t="s">
        <v>68</v>
      </c>
      <c r="G34" s="157">
        <v>5</v>
      </c>
      <c r="H34" s="158">
        <v>646</v>
      </c>
    </row>
    <row r="35" spans="1:8" ht="19.8" customHeight="1" x14ac:dyDescent="0.3">
      <c r="A35" s="140">
        <v>45986</v>
      </c>
      <c r="B35" s="131" t="s">
        <v>61</v>
      </c>
      <c r="C35" s="132" t="s">
        <v>62</v>
      </c>
      <c r="D35" s="131" t="s">
        <v>1</v>
      </c>
      <c r="E35" s="141">
        <v>1.666666666666667</v>
      </c>
      <c r="F35" s="131" t="s">
        <v>63</v>
      </c>
      <c r="G35" s="133">
        <v>1</v>
      </c>
      <c r="H35" s="134">
        <v>401</v>
      </c>
    </row>
    <row r="36" spans="1:8" ht="19.8" customHeight="1" x14ac:dyDescent="0.3">
      <c r="A36" s="140">
        <v>45986</v>
      </c>
      <c r="B36" s="131" t="s">
        <v>61</v>
      </c>
      <c r="C36" s="132" t="s">
        <v>222</v>
      </c>
      <c r="D36" s="131" t="s">
        <v>1</v>
      </c>
      <c r="E36" s="141">
        <v>1.0451388888888891</v>
      </c>
      <c r="F36" s="131" t="s">
        <v>63</v>
      </c>
      <c r="G36" s="133">
        <v>1</v>
      </c>
      <c r="H36" s="134">
        <v>401</v>
      </c>
    </row>
    <row r="37" spans="1:8" ht="19.8" customHeight="1" x14ac:dyDescent="0.3">
      <c r="A37" s="143">
        <v>45986</v>
      </c>
      <c r="B37" s="136" t="s">
        <v>66</v>
      </c>
      <c r="C37" s="137" t="s">
        <v>226</v>
      </c>
      <c r="D37" s="136" t="s">
        <v>1</v>
      </c>
      <c r="E37" s="144">
        <v>1.229166666666667</v>
      </c>
      <c r="F37" s="136" t="s">
        <v>68</v>
      </c>
      <c r="G37" s="138">
        <v>1</v>
      </c>
      <c r="H37" s="150">
        <v>471</v>
      </c>
    </row>
    <row r="38" spans="1:8" ht="19.8" customHeight="1" x14ac:dyDescent="0.3">
      <c r="A38" s="143">
        <v>45986</v>
      </c>
      <c r="B38" s="136" t="s">
        <v>66</v>
      </c>
      <c r="C38" s="137" t="s">
        <v>140</v>
      </c>
      <c r="D38" s="136" t="s">
        <v>1</v>
      </c>
      <c r="E38" s="144">
        <v>1.96875</v>
      </c>
      <c r="F38" s="136" t="s">
        <v>68</v>
      </c>
      <c r="G38" s="138">
        <v>1</v>
      </c>
      <c r="H38" s="150">
        <v>471</v>
      </c>
    </row>
    <row r="39" spans="1:8" ht="19.8" customHeight="1" x14ac:dyDescent="0.3">
      <c r="A39" s="143">
        <v>45986</v>
      </c>
      <c r="B39" s="136" t="s">
        <v>66</v>
      </c>
      <c r="C39" s="137" t="s">
        <v>135</v>
      </c>
      <c r="D39" s="136" t="s">
        <v>1</v>
      </c>
      <c r="E39" s="144">
        <v>1.9340277777777779</v>
      </c>
      <c r="F39" s="136" t="s">
        <v>68</v>
      </c>
      <c r="G39" s="138">
        <v>3</v>
      </c>
      <c r="H39" s="150">
        <v>526</v>
      </c>
    </row>
    <row r="40" spans="1:8" ht="19.8" customHeight="1" x14ac:dyDescent="0.3">
      <c r="A40" s="143">
        <v>45986</v>
      </c>
      <c r="B40" s="136" t="s">
        <v>66</v>
      </c>
      <c r="C40" s="137" t="s">
        <v>67</v>
      </c>
      <c r="D40" s="136" t="s">
        <v>1</v>
      </c>
      <c r="E40" s="144">
        <v>1.614583333333333</v>
      </c>
      <c r="F40" s="136" t="s">
        <v>68</v>
      </c>
      <c r="G40" s="138">
        <v>4</v>
      </c>
      <c r="H40" s="150">
        <v>526</v>
      </c>
    </row>
    <row r="41" spans="1:8" ht="19.8" customHeight="1" x14ac:dyDescent="0.3">
      <c r="A41" s="143">
        <v>45986</v>
      </c>
      <c r="B41" s="136" t="s">
        <v>66</v>
      </c>
      <c r="C41" s="137" t="s">
        <v>202</v>
      </c>
      <c r="D41" s="136" t="s">
        <v>1</v>
      </c>
      <c r="E41" s="144">
        <v>1.5590277777777779</v>
      </c>
      <c r="F41" s="136" t="s">
        <v>74</v>
      </c>
      <c r="G41" s="136"/>
      <c r="H41" s="139" t="s">
        <v>75</v>
      </c>
    </row>
    <row r="42" spans="1:8" ht="19.8" customHeight="1" x14ac:dyDescent="0.3">
      <c r="A42" s="145">
        <v>45986</v>
      </c>
      <c r="B42" s="146" t="s">
        <v>66</v>
      </c>
      <c r="C42" s="147" t="s">
        <v>145</v>
      </c>
      <c r="D42" s="146" t="s">
        <v>1</v>
      </c>
      <c r="E42" s="148">
        <v>1.729166666666667</v>
      </c>
      <c r="F42" s="146" t="s">
        <v>74</v>
      </c>
      <c r="G42" s="146"/>
      <c r="H42" s="149" t="s">
        <v>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100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2.88671875" bestFit="1" customWidth="1"/>
    <col min="5" max="5" width="20.1093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4.6640625" bestFit="1" customWidth="1"/>
  </cols>
  <sheetData>
    <row r="1" spans="1:92" ht="28.8" customHeight="1" x14ac:dyDescent="0.3">
      <c r="A1" s="189" t="s">
        <v>0</v>
      </c>
      <c r="B1" s="188"/>
      <c r="C1" s="188"/>
      <c r="D1" s="188"/>
      <c r="E1" s="188"/>
      <c r="F1" s="1" t="s">
        <v>400</v>
      </c>
      <c r="G1" s="2" t="s">
        <v>2</v>
      </c>
      <c r="H1" s="187">
        <v>45983</v>
      </c>
      <c r="I1" s="188"/>
      <c r="J1" s="188"/>
      <c r="K1" s="188"/>
      <c r="L1" s="188"/>
      <c r="M1" s="1" t="s">
        <v>3</v>
      </c>
      <c r="N1" s="199">
        <v>45986</v>
      </c>
      <c r="O1" s="188"/>
      <c r="P1" s="188"/>
      <c r="Q1" s="188"/>
      <c r="R1" s="18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5" t="s">
        <v>4</v>
      </c>
      <c r="B2" s="188"/>
      <c r="C2" s="188"/>
      <c r="D2" s="188"/>
      <c r="E2" s="188"/>
      <c r="F2" s="188"/>
      <c r="G2" s="197">
        <v>45981.106098954457</v>
      </c>
      <c r="H2" s="188"/>
      <c r="I2" s="188"/>
      <c r="J2" s="188"/>
      <c r="K2" s="201">
        <v>45981.106098954697</v>
      </c>
      <c r="L2" s="188"/>
      <c r="M2" s="188"/>
      <c r="N2" s="188"/>
      <c r="O2" s="188"/>
      <c r="P2" s="188"/>
      <c r="Q2" s="188"/>
      <c r="R2" s="18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6" t="s">
        <v>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8" t="s">
        <v>6</v>
      </c>
      <c r="B4" s="191"/>
      <c r="C4" s="191"/>
      <c r="D4" s="191"/>
      <c r="E4" s="191"/>
      <c r="F4" s="192"/>
      <c r="G4" s="4">
        <v>45983</v>
      </c>
      <c r="H4" s="193" t="s">
        <v>7</v>
      </c>
      <c r="I4" s="191"/>
      <c r="J4" s="191"/>
      <c r="K4" s="191"/>
      <c r="L4" s="191"/>
      <c r="M4" s="191"/>
      <c r="N4" s="191"/>
      <c r="O4" s="191"/>
      <c r="P4" s="191"/>
      <c r="Q4" s="191"/>
      <c r="R4" s="19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401</v>
      </c>
      <c r="C6" s="9">
        <v>0.25694444444444448</v>
      </c>
      <c r="D6" s="8" t="s">
        <v>402</v>
      </c>
      <c r="E6" s="8" t="s">
        <v>29</v>
      </c>
      <c r="F6" s="8" t="s">
        <v>403</v>
      </c>
      <c r="G6" s="200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48" t="s">
        <v>26</v>
      </c>
      <c r="B7" s="48" t="s">
        <v>401</v>
      </c>
      <c r="C7" s="49">
        <v>0.25694444444444448</v>
      </c>
      <c r="D7" s="48" t="s">
        <v>404</v>
      </c>
      <c r="E7" s="48" t="s">
        <v>122</v>
      </c>
      <c r="F7" s="48" t="s">
        <v>405</v>
      </c>
      <c r="G7" s="185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48" t="s">
        <v>26</v>
      </c>
      <c r="B8" s="48" t="s">
        <v>401</v>
      </c>
      <c r="C8" s="49">
        <v>0.25694444444444448</v>
      </c>
      <c r="D8" s="48" t="s">
        <v>406</v>
      </c>
      <c r="E8" s="48" t="s">
        <v>122</v>
      </c>
      <c r="F8" s="48" t="s">
        <v>407</v>
      </c>
      <c r="G8" s="185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48" t="s">
        <v>26</v>
      </c>
      <c r="B9" s="48" t="s">
        <v>401</v>
      </c>
      <c r="C9" s="49">
        <v>0.25694444444444448</v>
      </c>
      <c r="D9" s="48" t="s">
        <v>408</v>
      </c>
      <c r="E9" s="48" t="s">
        <v>122</v>
      </c>
      <c r="F9" s="48" t="s">
        <v>124</v>
      </c>
      <c r="G9" s="185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7" t="s">
        <v>55</v>
      </c>
      <c r="B10" s="17" t="s">
        <v>409</v>
      </c>
      <c r="C10" s="18">
        <v>0.52777777777777779</v>
      </c>
      <c r="D10" s="17" t="s">
        <v>404</v>
      </c>
      <c r="E10" s="17" t="s">
        <v>156</v>
      </c>
      <c r="F10" s="17" t="s">
        <v>410</v>
      </c>
      <c r="G10" s="185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48" t="s">
        <v>55</v>
      </c>
      <c r="B11" s="48" t="s">
        <v>409</v>
      </c>
      <c r="C11" s="49">
        <v>0.52777777777777779</v>
      </c>
      <c r="D11" s="48" t="s">
        <v>406</v>
      </c>
      <c r="E11" s="48" t="s">
        <v>189</v>
      </c>
      <c r="F11" s="48" t="s">
        <v>411</v>
      </c>
      <c r="G11" s="185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48" t="s">
        <v>55</v>
      </c>
      <c r="B12" s="48" t="s">
        <v>409</v>
      </c>
      <c r="C12" s="49">
        <v>0.52777777777777779</v>
      </c>
      <c r="D12" s="48" t="s">
        <v>123</v>
      </c>
      <c r="E12" s="48" t="s">
        <v>189</v>
      </c>
      <c r="F12" s="48" t="s">
        <v>412</v>
      </c>
      <c r="G12" s="185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7" t="s">
        <v>80</v>
      </c>
      <c r="B13" s="17" t="s">
        <v>413</v>
      </c>
      <c r="C13" s="18">
        <v>0.60416666666666663</v>
      </c>
      <c r="D13" s="17" t="s">
        <v>82</v>
      </c>
      <c r="E13" s="17" t="s">
        <v>414</v>
      </c>
      <c r="F13" s="17" t="s">
        <v>415</v>
      </c>
      <c r="G13" s="185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7" t="s">
        <v>95</v>
      </c>
      <c r="B14" s="17" t="s">
        <v>416</v>
      </c>
      <c r="C14" s="18">
        <v>0.71180555555555547</v>
      </c>
      <c r="D14" s="17" t="s">
        <v>97</v>
      </c>
      <c r="E14" s="17" t="s">
        <v>29</v>
      </c>
      <c r="F14" s="17" t="s">
        <v>417</v>
      </c>
      <c r="G14" s="185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48" t="s">
        <v>95</v>
      </c>
      <c r="B15" s="48" t="s">
        <v>416</v>
      </c>
      <c r="C15" s="49">
        <v>0.71180555555555547</v>
      </c>
      <c r="D15" s="48" t="s">
        <v>99</v>
      </c>
      <c r="E15" s="48" t="s">
        <v>122</v>
      </c>
      <c r="F15" s="48" t="s">
        <v>418</v>
      </c>
      <c r="G15" s="185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59" t="s">
        <v>66</v>
      </c>
      <c r="B16" s="159" t="s">
        <v>419</v>
      </c>
      <c r="C16" s="160">
        <v>0.45833333333333331</v>
      </c>
      <c r="D16" s="159" t="s">
        <v>74</v>
      </c>
      <c r="E16" s="161"/>
      <c r="F16" s="159" t="s">
        <v>75</v>
      </c>
      <c r="G16" s="185"/>
      <c r="H16" s="106" t="s">
        <v>419</v>
      </c>
      <c r="I16" s="125">
        <v>1</v>
      </c>
      <c r="J16" s="108">
        <v>179</v>
      </c>
      <c r="K16" s="109">
        <v>45980</v>
      </c>
      <c r="L16" s="108">
        <v>12</v>
      </c>
      <c r="M16" s="108">
        <v>0</v>
      </c>
      <c r="N16" s="108">
        <v>2</v>
      </c>
      <c r="O16" s="110" t="s">
        <v>76</v>
      </c>
      <c r="P16" s="111">
        <v>0.45833333333333331</v>
      </c>
      <c r="Q16" s="108">
        <v>179</v>
      </c>
      <c r="R16" s="112" t="s">
        <v>420</v>
      </c>
    </row>
    <row r="17" spans="1:18" ht="15" customHeight="1" x14ac:dyDescent="0.3">
      <c r="A17" s="94" t="s">
        <v>66</v>
      </c>
      <c r="B17" s="94" t="s">
        <v>421</v>
      </c>
      <c r="C17" s="95">
        <v>0.79166666666666663</v>
      </c>
      <c r="D17" s="94" t="s">
        <v>74</v>
      </c>
      <c r="E17" s="162"/>
      <c r="F17" s="94" t="s">
        <v>75</v>
      </c>
      <c r="G17" s="185"/>
      <c r="H17" s="96" t="s">
        <v>421</v>
      </c>
      <c r="I17" s="97">
        <v>1</v>
      </c>
      <c r="J17" s="98">
        <v>179</v>
      </c>
      <c r="K17" s="99">
        <v>45980</v>
      </c>
      <c r="L17" s="98">
        <v>8</v>
      </c>
      <c r="M17" s="98">
        <v>0</v>
      </c>
      <c r="N17" s="98">
        <v>2</v>
      </c>
      <c r="O17" s="100" t="s">
        <v>76</v>
      </c>
      <c r="P17" s="101">
        <v>0.79166666666666663</v>
      </c>
      <c r="Q17" s="98">
        <v>179</v>
      </c>
      <c r="R17" s="102" t="s">
        <v>422</v>
      </c>
    </row>
    <row r="18" spans="1:18" ht="18" x14ac:dyDescent="0.3">
      <c r="A18" s="202" t="s">
        <v>423</v>
      </c>
      <c r="B18" s="203"/>
      <c r="C18" s="203"/>
      <c r="D18" s="203"/>
      <c r="E18" s="203"/>
      <c r="F18" s="204"/>
      <c r="G18" s="185"/>
      <c r="H18" s="163"/>
      <c r="I18" s="163"/>
      <c r="J18" s="163"/>
      <c r="K18" s="163"/>
      <c r="L18" s="163"/>
      <c r="M18" s="163"/>
      <c r="N18" s="163"/>
      <c r="O18" s="164"/>
      <c r="P18" s="163"/>
      <c r="Q18" s="126"/>
      <c r="R18" s="126"/>
    </row>
    <row r="19" spans="1:18" ht="15" customHeight="1" x14ac:dyDescent="0.3">
      <c r="A19" s="15" t="s">
        <v>26</v>
      </c>
      <c r="B19" s="15" t="s">
        <v>27</v>
      </c>
      <c r="C19" s="16" t="s">
        <v>386</v>
      </c>
      <c r="D19" s="15" t="s">
        <v>28</v>
      </c>
      <c r="E19" s="15" t="s">
        <v>424</v>
      </c>
      <c r="F19" s="15" t="s">
        <v>30</v>
      </c>
      <c r="G19" s="185"/>
      <c r="H19" s="163"/>
      <c r="I19" s="163"/>
      <c r="J19" s="163"/>
      <c r="K19" s="163"/>
      <c r="L19" s="163"/>
      <c r="M19" s="163"/>
      <c r="N19" s="163"/>
      <c r="O19" s="164"/>
      <c r="P19" s="163"/>
      <c r="Q19" s="126"/>
      <c r="R19" s="126"/>
    </row>
    <row r="20" spans="1:18" ht="15" customHeight="1" x14ac:dyDescent="0.3">
      <c r="A20" s="15" t="s">
        <v>26</v>
      </c>
      <c r="B20" s="15" t="s">
        <v>31</v>
      </c>
      <c r="C20" s="16" t="s">
        <v>387</v>
      </c>
      <c r="D20" s="15" t="s">
        <v>28</v>
      </c>
      <c r="E20" s="15" t="s">
        <v>425</v>
      </c>
      <c r="F20" s="15" t="s">
        <v>33</v>
      </c>
      <c r="G20" s="185"/>
      <c r="H20" s="163"/>
      <c r="I20" s="163"/>
      <c r="J20" s="163"/>
      <c r="K20" s="163"/>
      <c r="L20" s="163"/>
      <c r="M20" s="163"/>
      <c r="N20" s="163"/>
      <c r="O20" s="164"/>
      <c r="P20" s="163"/>
      <c r="Q20" s="126"/>
      <c r="R20" s="126"/>
    </row>
    <row r="21" spans="1:18" ht="15" customHeight="1" x14ac:dyDescent="0.3">
      <c r="A21" s="15" t="s">
        <v>26</v>
      </c>
      <c r="B21" s="15" t="s">
        <v>34</v>
      </c>
      <c r="C21" s="16" t="s">
        <v>388</v>
      </c>
      <c r="D21" s="15" t="s">
        <v>28</v>
      </c>
      <c r="E21" s="15" t="s">
        <v>426</v>
      </c>
      <c r="F21" s="15" t="s">
        <v>33</v>
      </c>
      <c r="G21" s="185"/>
      <c r="H21" s="163"/>
      <c r="I21" s="163"/>
      <c r="J21" s="163"/>
      <c r="K21" s="163"/>
      <c r="L21" s="163"/>
      <c r="M21" s="163"/>
      <c r="N21" s="163"/>
      <c r="O21" s="164"/>
      <c r="P21" s="163"/>
      <c r="Q21" s="126"/>
      <c r="R21" s="126"/>
    </row>
    <row r="22" spans="1:18" ht="15" customHeight="1" x14ac:dyDescent="0.3">
      <c r="A22" s="15" t="s">
        <v>39</v>
      </c>
      <c r="B22" s="15" t="s">
        <v>40</v>
      </c>
      <c r="C22" s="16" t="s">
        <v>389</v>
      </c>
      <c r="D22" s="15" t="s">
        <v>41</v>
      </c>
      <c r="E22" s="15" t="s">
        <v>427</v>
      </c>
      <c r="F22" s="15" t="s">
        <v>43</v>
      </c>
      <c r="G22" s="185"/>
      <c r="H22" s="163"/>
      <c r="I22" s="163"/>
      <c r="J22" s="163"/>
      <c r="K22" s="163"/>
      <c r="L22" s="163"/>
      <c r="M22" s="163"/>
      <c r="N22" s="163"/>
      <c r="O22" s="164"/>
      <c r="P22" s="163"/>
      <c r="Q22" s="126"/>
      <c r="R22" s="126"/>
    </row>
    <row r="23" spans="1:18" ht="15" customHeight="1" x14ac:dyDescent="0.3">
      <c r="A23" s="15" t="s">
        <v>39</v>
      </c>
      <c r="B23" s="15" t="s">
        <v>44</v>
      </c>
      <c r="C23" s="16" t="s">
        <v>390</v>
      </c>
      <c r="D23" s="15" t="s">
        <v>41</v>
      </c>
      <c r="E23" s="15" t="s">
        <v>428</v>
      </c>
      <c r="F23" s="15" t="s">
        <v>43</v>
      </c>
      <c r="G23" s="185"/>
      <c r="H23" s="163"/>
      <c r="I23" s="163"/>
      <c r="J23" s="163"/>
      <c r="K23" s="163"/>
      <c r="L23" s="163"/>
      <c r="M23" s="163"/>
      <c r="N23" s="163"/>
      <c r="O23" s="164"/>
      <c r="P23" s="163"/>
      <c r="Q23" s="126"/>
      <c r="R23" s="126"/>
    </row>
    <row r="24" spans="1:18" ht="15" customHeight="1" x14ac:dyDescent="0.3">
      <c r="A24" s="15" t="s">
        <v>39</v>
      </c>
      <c r="B24" s="15" t="s">
        <v>46</v>
      </c>
      <c r="C24" s="16" t="s">
        <v>391</v>
      </c>
      <c r="D24" s="15" t="s">
        <v>41</v>
      </c>
      <c r="E24" s="15" t="s">
        <v>424</v>
      </c>
      <c r="F24" s="15" t="s">
        <v>43</v>
      </c>
      <c r="G24" s="185"/>
      <c r="H24" s="163"/>
      <c r="I24" s="163"/>
      <c r="J24" s="163"/>
      <c r="K24" s="163"/>
      <c r="L24" s="163"/>
      <c r="M24" s="163"/>
      <c r="N24" s="163"/>
      <c r="O24" s="164"/>
      <c r="P24" s="163"/>
      <c r="Q24" s="126"/>
      <c r="R24" s="126"/>
    </row>
    <row r="25" spans="1:18" ht="15" customHeight="1" x14ac:dyDescent="0.3">
      <c r="A25" s="15" t="s">
        <v>39</v>
      </c>
      <c r="B25" s="15" t="s">
        <v>48</v>
      </c>
      <c r="C25" s="16" t="s">
        <v>392</v>
      </c>
      <c r="D25" s="15" t="s">
        <v>41</v>
      </c>
      <c r="E25" s="15" t="s">
        <v>424</v>
      </c>
      <c r="F25" s="15" t="s">
        <v>43</v>
      </c>
      <c r="G25" s="185"/>
      <c r="H25" s="163"/>
      <c r="I25" s="163"/>
      <c r="J25" s="163"/>
      <c r="K25" s="163"/>
      <c r="L25" s="163"/>
      <c r="M25" s="163"/>
      <c r="N25" s="163"/>
      <c r="O25" s="164"/>
      <c r="P25" s="163"/>
      <c r="Q25" s="126"/>
      <c r="R25" s="126"/>
    </row>
    <row r="26" spans="1:18" ht="15" customHeight="1" x14ac:dyDescent="0.3">
      <c r="A26" s="15" t="s">
        <v>39</v>
      </c>
      <c r="B26" s="15" t="s">
        <v>49</v>
      </c>
      <c r="C26" s="16" t="s">
        <v>393</v>
      </c>
      <c r="D26" s="15" t="s">
        <v>41</v>
      </c>
      <c r="E26" s="15" t="s">
        <v>429</v>
      </c>
      <c r="F26" s="15" t="s">
        <v>43</v>
      </c>
      <c r="G26" s="185"/>
      <c r="H26" s="163"/>
      <c r="I26" s="163"/>
      <c r="J26" s="163"/>
      <c r="K26" s="163"/>
      <c r="L26" s="163"/>
      <c r="M26" s="163"/>
      <c r="N26" s="163"/>
      <c r="O26" s="164"/>
      <c r="P26" s="163"/>
      <c r="Q26" s="126"/>
      <c r="R26" s="126"/>
    </row>
    <row r="27" spans="1:18" ht="15" customHeight="1" x14ac:dyDescent="0.3">
      <c r="A27" s="15" t="s">
        <v>39</v>
      </c>
      <c r="B27" s="15" t="s">
        <v>51</v>
      </c>
      <c r="C27" s="16" t="s">
        <v>394</v>
      </c>
      <c r="D27" s="15" t="s">
        <v>41</v>
      </c>
      <c r="E27" s="15" t="s">
        <v>430</v>
      </c>
      <c r="F27" s="15" t="s">
        <v>43</v>
      </c>
      <c r="G27" s="185"/>
      <c r="H27" s="163"/>
      <c r="I27" s="163"/>
      <c r="J27" s="163"/>
      <c r="K27" s="163"/>
      <c r="L27" s="163"/>
      <c r="M27" s="163"/>
      <c r="N27" s="163"/>
      <c r="O27" s="164"/>
      <c r="P27" s="163"/>
      <c r="Q27" s="126"/>
      <c r="R27" s="126"/>
    </row>
    <row r="28" spans="1:18" ht="15" customHeight="1" thickBot="1" x14ac:dyDescent="0.35">
      <c r="A28" s="50" t="s">
        <v>26</v>
      </c>
      <c r="B28" s="50" t="s">
        <v>36</v>
      </c>
      <c r="C28" s="51" t="s">
        <v>395</v>
      </c>
      <c r="D28" s="50" t="s">
        <v>28</v>
      </c>
      <c r="E28" s="50" t="s">
        <v>431</v>
      </c>
      <c r="F28" s="50" t="s">
        <v>38</v>
      </c>
      <c r="G28" s="186"/>
      <c r="H28" s="165"/>
      <c r="I28" s="165"/>
      <c r="J28" s="165"/>
      <c r="K28" s="165"/>
      <c r="L28" s="165"/>
      <c r="M28" s="165"/>
      <c r="N28" s="165"/>
      <c r="O28" s="166"/>
      <c r="P28" s="165"/>
      <c r="Q28" s="167"/>
      <c r="R28" s="167"/>
    </row>
    <row r="29" spans="1:18" ht="17.399999999999999" customHeight="1" thickBot="1" x14ac:dyDescent="0.35">
      <c r="A29" s="219"/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1"/>
    </row>
    <row r="30" spans="1:18" ht="22.05" customHeight="1" thickTop="1" thickBot="1" x14ac:dyDescent="0.35">
      <c r="A30" s="190" t="s">
        <v>6</v>
      </c>
      <c r="B30" s="191"/>
      <c r="C30" s="191"/>
      <c r="D30" s="191"/>
      <c r="E30" s="191"/>
      <c r="F30" s="192"/>
      <c r="G30" s="57">
        <v>45984</v>
      </c>
      <c r="H30" s="194" t="s">
        <v>7</v>
      </c>
      <c r="I30" s="191"/>
      <c r="J30" s="191"/>
      <c r="K30" s="191"/>
      <c r="L30" s="191"/>
      <c r="M30" s="191"/>
      <c r="N30" s="191"/>
      <c r="O30" s="191"/>
      <c r="P30" s="191"/>
      <c r="Q30" s="191"/>
      <c r="R30" s="192"/>
    </row>
    <row r="31" spans="1:18" ht="24" customHeight="1" x14ac:dyDescent="0.3">
      <c r="A31" s="58" t="s">
        <v>8</v>
      </c>
      <c r="B31" s="58" t="s">
        <v>9</v>
      </c>
      <c r="C31" s="59" t="s">
        <v>10</v>
      </c>
      <c r="D31" s="58" t="s">
        <v>11</v>
      </c>
      <c r="E31" s="58" t="s">
        <v>12</v>
      </c>
      <c r="F31" s="60" t="s">
        <v>13</v>
      </c>
      <c r="G31" s="61" t="s">
        <v>14</v>
      </c>
      <c r="H31" s="58" t="s">
        <v>15</v>
      </c>
      <c r="I31" s="62" t="s">
        <v>16</v>
      </c>
      <c r="J31" s="63" t="s">
        <v>17</v>
      </c>
      <c r="K31" s="64" t="s">
        <v>18</v>
      </c>
      <c r="L31" s="63" t="s">
        <v>19</v>
      </c>
      <c r="M31" s="63" t="s">
        <v>20</v>
      </c>
      <c r="N31" s="63" t="s">
        <v>21</v>
      </c>
      <c r="O31" s="58" t="s">
        <v>22</v>
      </c>
      <c r="P31" s="59" t="s">
        <v>23</v>
      </c>
      <c r="Q31" s="63" t="s">
        <v>24</v>
      </c>
      <c r="R31" s="58" t="s">
        <v>25</v>
      </c>
    </row>
    <row r="32" spans="1:18" ht="15" customHeight="1" x14ac:dyDescent="0.3">
      <c r="A32" s="8" t="s">
        <v>55</v>
      </c>
      <c r="B32" s="8" t="s">
        <v>409</v>
      </c>
      <c r="C32" s="9">
        <v>0.52777777777777779</v>
      </c>
      <c r="D32" s="8" t="s">
        <v>404</v>
      </c>
      <c r="E32" s="8" t="s">
        <v>186</v>
      </c>
      <c r="F32" s="8" t="s">
        <v>432</v>
      </c>
      <c r="G32" s="184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48" t="s">
        <v>55</v>
      </c>
      <c r="B33" s="48" t="s">
        <v>409</v>
      </c>
      <c r="C33" s="49">
        <v>0.52777777777777779</v>
      </c>
      <c r="D33" s="48" t="s">
        <v>406</v>
      </c>
      <c r="E33" s="48" t="s">
        <v>172</v>
      </c>
      <c r="F33" s="48" t="s">
        <v>433</v>
      </c>
      <c r="G33" s="185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48" t="s">
        <v>55</v>
      </c>
      <c r="B34" s="48" t="s">
        <v>409</v>
      </c>
      <c r="C34" s="49">
        <v>0.52777777777777779</v>
      </c>
      <c r="D34" s="48" t="s">
        <v>123</v>
      </c>
      <c r="E34" s="48" t="s">
        <v>172</v>
      </c>
      <c r="F34" s="48" t="s">
        <v>434</v>
      </c>
      <c r="G34" s="185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68" t="s">
        <v>66</v>
      </c>
      <c r="B35" s="168" t="s">
        <v>435</v>
      </c>
      <c r="C35" s="169">
        <v>0.48958333333333331</v>
      </c>
      <c r="D35" s="168" t="s">
        <v>68</v>
      </c>
      <c r="E35" s="168" t="s">
        <v>156</v>
      </c>
      <c r="F35" s="168" t="s">
        <v>436</v>
      </c>
      <c r="G35" s="185"/>
      <c r="H35" s="116" t="s">
        <v>419</v>
      </c>
      <c r="I35" s="170">
        <v>0.98880000000000001</v>
      </c>
      <c r="J35" s="118">
        <v>177</v>
      </c>
      <c r="K35" s="119">
        <v>45980</v>
      </c>
      <c r="L35" s="118">
        <v>29</v>
      </c>
      <c r="M35" s="118">
        <v>0</v>
      </c>
      <c r="N35" s="118">
        <v>7</v>
      </c>
      <c r="O35" s="120" t="s">
        <v>437</v>
      </c>
      <c r="P35" s="121">
        <v>0.48958333333333331</v>
      </c>
      <c r="Q35" s="118">
        <v>179</v>
      </c>
      <c r="R35" s="122" t="s">
        <v>438</v>
      </c>
    </row>
    <row r="36" spans="1:18" ht="15" customHeight="1" x14ac:dyDescent="0.3">
      <c r="A36" s="94" t="s">
        <v>66</v>
      </c>
      <c r="B36" s="94" t="s">
        <v>421</v>
      </c>
      <c r="C36" s="95">
        <v>0.6875</v>
      </c>
      <c r="D36" s="94" t="s">
        <v>74</v>
      </c>
      <c r="E36" s="162"/>
      <c r="F36" s="94" t="s">
        <v>75</v>
      </c>
      <c r="G36" s="185"/>
      <c r="H36" s="96" t="s">
        <v>421</v>
      </c>
      <c r="I36" s="97">
        <v>1</v>
      </c>
      <c r="J36" s="98">
        <v>179</v>
      </c>
      <c r="K36" s="99">
        <v>45980</v>
      </c>
      <c r="L36" s="98">
        <v>15</v>
      </c>
      <c r="M36" s="98">
        <v>0</v>
      </c>
      <c r="N36" s="98">
        <v>2</v>
      </c>
      <c r="O36" s="100" t="s">
        <v>76</v>
      </c>
      <c r="P36" s="101">
        <v>0.6875</v>
      </c>
      <c r="Q36" s="98">
        <v>179</v>
      </c>
      <c r="R36" s="102" t="s">
        <v>439</v>
      </c>
    </row>
    <row r="37" spans="1:18" ht="15" customHeight="1" x14ac:dyDescent="0.3">
      <c r="A37" s="17" t="s">
        <v>95</v>
      </c>
      <c r="B37" s="17" t="s">
        <v>416</v>
      </c>
      <c r="C37" s="18">
        <v>0.71180555555555547</v>
      </c>
      <c r="D37" s="17" t="s">
        <v>97</v>
      </c>
      <c r="E37" s="17" t="s">
        <v>64</v>
      </c>
      <c r="F37" s="17" t="s">
        <v>440</v>
      </c>
      <c r="G37" s="185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48" t="s">
        <v>95</v>
      </c>
      <c r="B38" s="48" t="s">
        <v>416</v>
      </c>
      <c r="C38" s="49">
        <v>0.71180555555555547</v>
      </c>
      <c r="D38" s="48" t="s">
        <v>99</v>
      </c>
      <c r="E38" s="48" t="s">
        <v>100</v>
      </c>
      <c r="F38" s="48" t="s">
        <v>441</v>
      </c>
      <c r="G38" s="185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8" x14ac:dyDescent="0.3">
      <c r="A39" s="202" t="s">
        <v>423</v>
      </c>
      <c r="B39" s="203"/>
      <c r="C39" s="203"/>
      <c r="D39" s="203"/>
      <c r="E39" s="203"/>
      <c r="F39" s="204"/>
      <c r="G39" s="185"/>
      <c r="H39" s="163"/>
      <c r="I39" s="163"/>
      <c r="J39" s="163"/>
      <c r="K39" s="163"/>
      <c r="L39" s="163"/>
      <c r="M39" s="163"/>
      <c r="N39" s="163"/>
      <c r="O39" s="164"/>
      <c r="P39" s="163"/>
      <c r="Q39" s="126"/>
      <c r="R39" s="126"/>
    </row>
    <row r="40" spans="1:18" ht="15" customHeight="1" x14ac:dyDescent="0.3">
      <c r="A40" s="15" t="s">
        <v>26</v>
      </c>
      <c r="B40" s="15" t="s">
        <v>36</v>
      </c>
      <c r="C40" s="16" t="s">
        <v>395</v>
      </c>
      <c r="D40" s="15" t="s">
        <v>119</v>
      </c>
      <c r="E40" s="15" t="s">
        <v>424</v>
      </c>
      <c r="F40" s="15" t="s">
        <v>120</v>
      </c>
      <c r="G40" s="185"/>
      <c r="H40" s="163"/>
      <c r="I40" s="163"/>
      <c r="J40" s="163"/>
      <c r="K40" s="163"/>
      <c r="L40" s="163"/>
      <c r="M40" s="163"/>
      <c r="N40" s="163"/>
      <c r="O40" s="164"/>
      <c r="P40" s="163"/>
      <c r="Q40" s="126"/>
      <c r="R40" s="126"/>
    </row>
    <row r="41" spans="1:18" ht="15" customHeight="1" x14ac:dyDescent="0.3">
      <c r="A41" s="15" t="s">
        <v>26</v>
      </c>
      <c r="B41" s="15" t="s">
        <v>34</v>
      </c>
      <c r="C41" s="16" t="s">
        <v>388</v>
      </c>
      <c r="D41" s="15" t="s">
        <v>119</v>
      </c>
      <c r="E41" s="15" t="s">
        <v>425</v>
      </c>
      <c r="F41" s="15" t="s">
        <v>120</v>
      </c>
      <c r="G41" s="185"/>
      <c r="H41" s="163"/>
      <c r="I41" s="163"/>
      <c r="J41" s="163"/>
      <c r="K41" s="163"/>
      <c r="L41" s="163"/>
      <c r="M41" s="163"/>
      <c r="N41" s="163"/>
      <c r="O41" s="164"/>
      <c r="P41" s="163"/>
      <c r="Q41" s="126"/>
      <c r="R41" s="126"/>
    </row>
    <row r="42" spans="1:18" ht="15" customHeight="1" x14ac:dyDescent="0.3">
      <c r="A42" s="15" t="s">
        <v>66</v>
      </c>
      <c r="B42" s="15" t="s">
        <v>130</v>
      </c>
      <c r="C42" s="16" t="s">
        <v>288</v>
      </c>
      <c r="D42" s="15" t="s">
        <v>68</v>
      </c>
      <c r="E42" s="15" t="s">
        <v>424</v>
      </c>
      <c r="F42" s="15" t="s">
        <v>131</v>
      </c>
      <c r="G42" s="185"/>
      <c r="H42" s="163"/>
      <c r="I42" s="163"/>
      <c r="J42" s="163"/>
      <c r="K42" s="163"/>
      <c r="L42" s="163"/>
      <c r="M42" s="163"/>
      <c r="N42" s="163"/>
      <c r="O42" s="164"/>
      <c r="P42" s="163"/>
      <c r="Q42" s="126"/>
      <c r="R42" s="126"/>
    </row>
    <row r="43" spans="1:18" ht="15" customHeight="1" x14ac:dyDescent="0.3">
      <c r="A43" s="15" t="s">
        <v>26</v>
      </c>
      <c r="B43" s="15" t="s">
        <v>27</v>
      </c>
      <c r="C43" s="16" t="s">
        <v>386</v>
      </c>
      <c r="D43" s="15" t="s">
        <v>119</v>
      </c>
      <c r="E43" s="15" t="s">
        <v>442</v>
      </c>
      <c r="F43" s="15" t="s">
        <v>30</v>
      </c>
      <c r="G43" s="185"/>
      <c r="H43" s="163"/>
      <c r="I43" s="163"/>
      <c r="J43" s="163"/>
      <c r="K43" s="163"/>
      <c r="L43" s="163"/>
      <c r="M43" s="163"/>
      <c r="N43" s="163"/>
      <c r="O43" s="164"/>
      <c r="P43" s="163"/>
      <c r="Q43" s="126"/>
      <c r="R43" s="126"/>
    </row>
    <row r="44" spans="1:18" ht="15" customHeight="1" x14ac:dyDescent="0.3">
      <c r="A44" s="15" t="s">
        <v>39</v>
      </c>
      <c r="B44" s="15" t="s">
        <v>53</v>
      </c>
      <c r="C44" s="16" t="s">
        <v>398</v>
      </c>
      <c r="D44" s="15" t="s">
        <v>149</v>
      </c>
      <c r="E44" s="15" t="s">
        <v>424</v>
      </c>
      <c r="F44" s="15" t="s">
        <v>30</v>
      </c>
      <c r="G44" s="185"/>
      <c r="H44" s="163"/>
      <c r="I44" s="163"/>
      <c r="J44" s="163"/>
      <c r="K44" s="163"/>
      <c r="L44" s="163"/>
      <c r="M44" s="163"/>
      <c r="N44" s="163"/>
      <c r="O44" s="164"/>
      <c r="P44" s="163"/>
      <c r="Q44" s="126"/>
      <c r="R44" s="126"/>
    </row>
    <row r="45" spans="1:18" ht="15" customHeight="1" x14ac:dyDescent="0.3">
      <c r="A45" s="15" t="s">
        <v>39</v>
      </c>
      <c r="B45" s="15" t="s">
        <v>40</v>
      </c>
      <c r="C45" s="16" t="s">
        <v>389</v>
      </c>
      <c r="D45" s="15" t="s">
        <v>149</v>
      </c>
      <c r="E45" s="15" t="s">
        <v>427</v>
      </c>
      <c r="F45" s="15" t="s">
        <v>30</v>
      </c>
      <c r="G45" s="185"/>
      <c r="H45" s="163"/>
      <c r="I45" s="163"/>
      <c r="J45" s="163"/>
      <c r="K45" s="163"/>
      <c r="L45" s="163"/>
      <c r="M45" s="163"/>
      <c r="N45" s="163"/>
      <c r="O45" s="164"/>
      <c r="P45" s="163"/>
      <c r="Q45" s="126"/>
      <c r="R45" s="126"/>
    </row>
    <row r="46" spans="1:18" ht="15" customHeight="1" x14ac:dyDescent="0.3">
      <c r="A46" s="15" t="s">
        <v>39</v>
      </c>
      <c r="B46" s="15" t="s">
        <v>48</v>
      </c>
      <c r="C46" s="16" t="s">
        <v>392</v>
      </c>
      <c r="D46" s="15" t="s">
        <v>149</v>
      </c>
      <c r="E46" s="15" t="s">
        <v>427</v>
      </c>
      <c r="F46" s="15" t="s">
        <v>30</v>
      </c>
      <c r="G46" s="185"/>
      <c r="H46" s="163"/>
      <c r="I46" s="163"/>
      <c r="J46" s="163"/>
      <c r="K46" s="163"/>
      <c r="L46" s="163"/>
      <c r="M46" s="163"/>
      <c r="N46" s="163"/>
      <c r="O46" s="164"/>
      <c r="P46" s="163"/>
      <c r="Q46" s="126"/>
      <c r="R46" s="126"/>
    </row>
    <row r="47" spans="1:18" ht="15" customHeight="1" x14ac:dyDescent="0.3">
      <c r="A47" s="15" t="s">
        <v>39</v>
      </c>
      <c r="B47" s="15" t="s">
        <v>153</v>
      </c>
      <c r="C47" s="16" t="s">
        <v>387</v>
      </c>
      <c r="D47" s="15" t="s">
        <v>149</v>
      </c>
      <c r="E47" s="15" t="s">
        <v>442</v>
      </c>
      <c r="F47" s="15" t="s">
        <v>30</v>
      </c>
      <c r="G47" s="185"/>
      <c r="H47" s="163"/>
      <c r="I47" s="163"/>
      <c r="J47" s="163"/>
      <c r="K47" s="163"/>
      <c r="L47" s="163"/>
      <c r="M47" s="163"/>
      <c r="N47" s="163"/>
      <c r="O47" s="164"/>
      <c r="P47" s="163"/>
      <c r="Q47" s="126"/>
      <c r="R47" s="126"/>
    </row>
    <row r="48" spans="1:18" ht="15" customHeight="1" x14ac:dyDescent="0.3">
      <c r="A48" s="15" t="s">
        <v>39</v>
      </c>
      <c r="B48" s="15" t="s">
        <v>51</v>
      </c>
      <c r="C48" s="16" t="s">
        <v>394</v>
      </c>
      <c r="D48" s="15" t="s">
        <v>149</v>
      </c>
      <c r="E48" s="15" t="s">
        <v>427</v>
      </c>
      <c r="F48" s="15" t="s">
        <v>30</v>
      </c>
      <c r="G48" s="185"/>
      <c r="H48" s="163"/>
      <c r="I48" s="163"/>
      <c r="J48" s="163"/>
      <c r="K48" s="163"/>
      <c r="L48" s="163"/>
      <c r="M48" s="163"/>
      <c r="N48" s="163"/>
      <c r="O48" s="164"/>
      <c r="P48" s="163"/>
      <c r="Q48" s="126"/>
      <c r="R48" s="126"/>
    </row>
    <row r="49" spans="1:18" ht="15" customHeight="1" thickBot="1" x14ac:dyDescent="0.35">
      <c r="A49" s="50" t="s">
        <v>61</v>
      </c>
      <c r="B49" s="50" t="s">
        <v>62</v>
      </c>
      <c r="C49" s="51" t="s">
        <v>399</v>
      </c>
      <c r="D49" s="50" t="s">
        <v>63</v>
      </c>
      <c r="E49" s="50" t="s">
        <v>443</v>
      </c>
      <c r="F49" s="50" t="s">
        <v>157</v>
      </c>
      <c r="G49" s="186"/>
      <c r="H49" s="165"/>
      <c r="I49" s="165"/>
      <c r="J49" s="165"/>
      <c r="K49" s="165"/>
      <c r="L49" s="165"/>
      <c r="M49" s="165"/>
      <c r="N49" s="165"/>
      <c r="O49" s="166"/>
      <c r="P49" s="165"/>
      <c r="Q49" s="167"/>
      <c r="R49" s="167"/>
    </row>
    <row r="50" spans="1:18" ht="17.399999999999999" customHeight="1" thickBot="1" x14ac:dyDescent="0.35">
      <c r="A50" s="21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1"/>
    </row>
    <row r="51" spans="1:18" ht="22.05" customHeight="1" thickTop="1" thickBot="1" x14ac:dyDescent="0.35">
      <c r="A51" s="190" t="s">
        <v>6</v>
      </c>
      <c r="B51" s="191"/>
      <c r="C51" s="191"/>
      <c r="D51" s="191"/>
      <c r="E51" s="191"/>
      <c r="F51" s="192"/>
      <c r="G51" s="57">
        <v>45985</v>
      </c>
      <c r="H51" s="194" t="s">
        <v>7</v>
      </c>
      <c r="I51" s="191"/>
      <c r="J51" s="191"/>
      <c r="K51" s="191"/>
      <c r="L51" s="191"/>
      <c r="M51" s="191"/>
      <c r="N51" s="191"/>
      <c r="O51" s="191"/>
      <c r="P51" s="191"/>
      <c r="Q51" s="191"/>
      <c r="R51" s="192"/>
    </row>
    <row r="52" spans="1:18" ht="24" customHeight="1" x14ac:dyDescent="0.3">
      <c r="A52" s="58" t="s">
        <v>8</v>
      </c>
      <c r="B52" s="58" t="s">
        <v>9</v>
      </c>
      <c r="C52" s="59" t="s">
        <v>10</v>
      </c>
      <c r="D52" s="58" t="s">
        <v>11</v>
      </c>
      <c r="E52" s="58" t="s">
        <v>12</v>
      </c>
      <c r="F52" s="60" t="s">
        <v>13</v>
      </c>
      <c r="G52" s="61" t="s">
        <v>14</v>
      </c>
      <c r="H52" s="58" t="s">
        <v>15</v>
      </c>
      <c r="I52" s="62" t="s">
        <v>16</v>
      </c>
      <c r="J52" s="63" t="s">
        <v>17</v>
      </c>
      <c r="K52" s="64" t="s">
        <v>18</v>
      </c>
      <c r="L52" s="63" t="s">
        <v>19</v>
      </c>
      <c r="M52" s="63" t="s">
        <v>20</v>
      </c>
      <c r="N52" s="63" t="s">
        <v>21</v>
      </c>
      <c r="O52" s="58" t="s">
        <v>22</v>
      </c>
      <c r="P52" s="59" t="s">
        <v>23</v>
      </c>
      <c r="Q52" s="63" t="s">
        <v>24</v>
      </c>
      <c r="R52" s="58" t="s">
        <v>25</v>
      </c>
    </row>
    <row r="53" spans="1:18" ht="15" customHeight="1" x14ac:dyDescent="0.3">
      <c r="A53" s="8" t="s">
        <v>55</v>
      </c>
      <c r="B53" s="8" t="s">
        <v>444</v>
      </c>
      <c r="C53" s="9">
        <v>0.2951388888888889</v>
      </c>
      <c r="D53" s="8" t="s">
        <v>404</v>
      </c>
      <c r="E53" s="8" t="s">
        <v>414</v>
      </c>
      <c r="F53" s="8" t="s">
        <v>232</v>
      </c>
      <c r="G53" s="184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48" t="s">
        <v>55</v>
      </c>
      <c r="B54" s="48" t="s">
        <v>444</v>
      </c>
      <c r="C54" s="49">
        <v>0.2951388888888889</v>
      </c>
      <c r="D54" s="48" t="s">
        <v>406</v>
      </c>
      <c r="E54" s="48" t="s">
        <v>125</v>
      </c>
      <c r="F54" s="48" t="s">
        <v>445</v>
      </c>
      <c r="G54" s="185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48" t="s">
        <v>55</v>
      </c>
      <c r="B55" s="48" t="s">
        <v>444</v>
      </c>
      <c r="C55" s="49">
        <v>0.2951388888888889</v>
      </c>
      <c r="D55" s="48" t="s">
        <v>123</v>
      </c>
      <c r="E55" s="48" t="s">
        <v>125</v>
      </c>
      <c r="F55" s="48" t="s">
        <v>446</v>
      </c>
      <c r="G55" s="185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7" t="s">
        <v>95</v>
      </c>
      <c r="B56" s="17" t="s">
        <v>416</v>
      </c>
      <c r="C56" s="18">
        <v>0.71180555555555547</v>
      </c>
      <c r="D56" s="17" t="s">
        <v>97</v>
      </c>
      <c r="E56" s="17" t="s">
        <v>64</v>
      </c>
      <c r="F56" s="17" t="s">
        <v>440</v>
      </c>
      <c r="G56" s="185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48" t="s">
        <v>95</v>
      </c>
      <c r="B57" s="48" t="s">
        <v>416</v>
      </c>
      <c r="C57" s="49">
        <v>0.71180555555555547</v>
      </c>
      <c r="D57" s="48" t="s">
        <v>99</v>
      </c>
      <c r="E57" s="48" t="s">
        <v>100</v>
      </c>
      <c r="F57" s="48" t="s">
        <v>441</v>
      </c>
      <c r="G57" s="185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65" t="s">
        <v>66</v>
      </c>
      <c r="B58" s="65" t="s">
        <v>419</v>
      </c>
      <c r="C58" s="66">
        <v>0.33680555555555558</v>
      </c>
      <c r="D58" s="65" t="s">
        <v>74</v>
      </c>
      <c r="E58" s="171"/>
      <c r="F58" s="65" t="s">
        <v>75</v>
      </c>
      <c r="G58" s="185"/>
      <c r="H58" s="67" t="s">
        <v>419</v>
      </c>
      <c r="I58" s="68">
        <v>1</v>
      </c>
      <c r="J58" s="69">
        <v>168</v>
      </c>
      <c r="K58" s="70">
        <v>45980</v>
      </c>
      <c r="L58" s="69">
        <v>4</v>
      </c>
      <c r="M58" s="69">
        <v>0</v>
      </c>
      <c r="N58" s="69">
        <v>1</v>
      </c>
      <c r="O58" s="71" t="s">
        <v>76</v>
      </c>
      <c r="P58" s="72">
        <v>0.33680555555555558</v>
      </c>
      <c r="Q58" s="69">
        <v>168</v>
      </c>
      <c r="R58" s="73" t="s">
        <v>447</v>
      </c>
    </row>
    <row r="59" spans="1:18" ht="15" customHeight="1" x14ac:dyDescent="0.3">
      <c r="A59" s="78" t="s">
        <v>66</v>
      </c>
      <c r="B59" s="78" t="s">
        <v>421</v>
      </c>
      <c r="C59" s="79">
        <v>0.64583333333333337</v>
      </c>
      <c r="D59" s="78" t="s">
        <v>74</v>
      </c>
      <c r="E59" s="172"/>
      <c r="F59" s="78" t="s">
        <v>75</v>
      </c>
      <c r="G59" s="185"/>
      <c r="H59" s="80" t="s">
        <v>421</v>
      </c>
      <c r="I59" s="81">
        <v>1</v>
      </c>
      <c r="J59" s="82">
        <v>168</v>
      </c>
      <c r="K59" s="83">
        <v>45980</v>
      </c>
      <c r="L59" s="82">
        <v>12</v>
      </c>
      <c r="M59" s="82">
        <v>0</v>
      </c>
      <c r="N59" s="82">
        <v>1</v>
      </c>
      <c r="O59" s="84" t="s">
        <v>76</v>
      </c>
      <c r="P59" s="85">
        <v>0.64583333333333337</v>
      </c>
      <c r="Q59" s="82">
        <v>168</v>
      </c>
      <c r="R59" s="86" t="s">
        <v>448</v>
      </c>
    </row>
    <row r="60" spans="1:18" ht="18" x14ac:dyDescent="0.3">
      <c r="A60" s="202" t="s">
        <v>423</v>
      </c>
      <c r="B60" s="203"/>
      <c r="C60" s="203"/>
      <c r="D60" s="203"/>
      <c r="E60" s="203"/>
      <c r="F60" s="204"/>
      <c r="G60" s="185"/>
      <c r="H60" s="163"/>
      <c r="I60" s="163"/>
      <c r="J60" s="163"/>
      <c r="K60" s="163"/>
      <c r="L60" s="163"/>
      <c r="M60" s="163"/>
      <c r="N60" s="163"/>
      <c r="O60" s="164"/>
      <c r="P60" s="163"/>
      <c r="Q60" s="126"/>
      <c r="R60" s="126"/>
    </row>
    <row r="61" spans="1:18" ht="15" customHeight="1" x14ac:dyDescent="0.3">
      <c r="A61" s="15" t="s">
        <v>26</v>
      </c>
      <c r="B61" s="15" t="s">
        <v>27</v>
      </c>
      <c r="C61" s="16" t="s">
        <v>386</v>
      </c>
      <c r="D61" s="15" t="s">
        <v>119</v>
      </c>
      <c r="E61" s="15" t="s">
        <v>449</v>
      </c>
      <c r="F61" s="15" t="s">
        <v>179</v>
      </c>
      <c r="G61" s="185"/>
      <c r="H61" s="163"/>
      <c r="I61" s="163"/>
      <c r="J61" s="163"/>
      <c r="K61" s="163"/>
      <c r="L61" s="163"/>
      <c r="M61" s="163"/>
      <c r="N61" s="163"/>
      <c r="O61" s="164"/>
      <c r="P61" s="163"/>
      <c r="Q61" s="126"/>
      <c r="R61" s="126"/>
    </row>
    <row r="62" spans="1:18" ht="15" customHeight="1" x14ac:dyDescent="0.3">
      <c r="A62" s="15" t="s">
        <v>26</v>
      </c>
      <c r="B62" s="15" t="s">
        <v>31</v>
      </c>
      <c r="C62" s="16" t="s">
        <v>387</v>
      </c>
      <c r="D62" s="15" t="s">
        <v>119</v>
      </c>
      <c r="E62" s="15" t="s">
        <v>449</v>
      </c>
      <c r="F62" s="15" t="s">
        <v>183</v>
      </c>
      <c r="G62" s="185"/>
      <c r="H62" s="163"/>
      <c r="I62" s="163"/>
      <c r="J62" s="163"/>
      <c r="K62" s="163"/>
      <c r="L62" s="163"/>
      <c r="M62" s="163"/>
      <c r="N62" s="163"/>
      <c r="O62" s="164"/>
      <c r="P62" s="163"/>
      <c r="Q62" s="126"/>
      <c r="R62" s="126"/>
    </row>
    <row r="63" spans="1:18" ht="15" customHeight="1" x14ac:dyDescent="0.3">
      <c r="A63" s="15" t="s">
        <v>26</v>
      </c>
      <c r="B63" s="15" t="s">
        <v>34</v>
      </c>
      <c r="C63" s="16" t="s">
        <v>388</v>
      </c>
      <c r="D63" s="15" t="s">
        <v>119</v>
      </c>
      <c r="E63" s="15" t="s">
        <v>425</v>
      </c>
      <c r="F63" s="15" t="s">
        <v>183</v>
      </c>
      <c r="G63" s="185"/>
      <c r="H63" s="163"/>
      <c r="I63" s="163"/>
      <c r="J63" s="163"/>
      <c r="K63" s="163"/>
      <c r="L63" s="163"/>
      <c r="M63" s="163"/>
      <c r="N63" s="163"/>
      <c r="O63" s="164"/>
      <c r="P63" s="163"/>
      <c r="Q63" s="126"/>
      <c r="R63" s="126"/>
    </row>
    <row r="64" spans="1:18" ht="15" customHeight="1" x14ac:dyDescent="0.3">
      <c r="A64" s="15" t="s">
        <v>39</v>
      </c>
      <c r="B64" s="15" t="s">
        <v>53</v>
      </c>
      <c r="C64" s="16" t="s">
        <v>398</v>
      </c>
      <c r="D64" s="15" t="s">
        <v>149</v>
      </c>
      <c r="E64" s="15" t="s">
        <v>429</v>
      </c>
      <c r="F64" s="15" t="s">
        <v>187</v>
      </c>
      <c r="G64" s="185"/>
      <c r="H64" s="163"/>
      <c r="I64" s="163"/>
      <c r="J64" s="163"/>
      <c r="K64" s="163"/>
      <c r="L64" s="163"/>
      <c r="M64" s="163"/>
      <c r="N64" s="163"/>
      <c r="O64" s="164"/>
      <c r="P64" s="163"/>
      <c r="Q64" s="126"/>
      <c r="R64" s="126"/>
    </row>
    <row r="65" spans="1:18" ht="15" customHeight="1" x14ac:dyDescent="0.3">
      <c r="A65" s="15" t="s">
        <v>39</v>
      </c>
      <c r="B65" s="15" t="s">
        <v>40</v>
      </c>
      <c r="C65" s="16" t="s">
        <v>389</v>
      </c>
      <c r="D65" s="15" t="s">
        <v>149</v>
      </c>
      <c r="E65" s="15" t="s">
        <v>425</v>
      </c>
      <c r="F65" s="15" t="s">
        <v>187</v>
      </c>
      <c r="G65" s="185"/>
      <c r="H65" s="163"/>
      <c r="I65" s="163"/>
      <c r="J65" s="163"/>
      <c r="K65" s="163"/>
      <c r="L65" s="163"/>
      <c r="M65" s="163"/>
      <c r="N65" s="163"/>
      <c r="O65" s="164"/>
      <c r="P65" s="163"/>
      <c r="Q65" s="126"/>
      <c r="R65" s="126"/>
    </row>
    <row r="66" spans="1:18" ht="15" customHeight="1" x14ac:dyDescent="0.3">
      <c r="A66" s="15" t="s">
        <v>39</v>
      </c>
      <c r="B66" s="15" t="s">
        <v>44</v>
      </c>
      <c r="C66" s="16" t="s">
        <v>450</v>
      </c>
      <c r="D66" s="15" t="s">
        <v>149</v>
      </c>
      <c r="E66" s="15" t="s">
        <v>443</v>
      </c>
      <c r="F66" s="15" t="s">
        <v>187</v>
      </c>
      <c r="G66" s="185"/>
      <c r="H66" s="163"/>
      <c r="I66" s="163"/>
      <c r="J66" s="163"/>
      <c r="K66" s="163"/>
      <c r="L66" s="163"/>
      <c r="M66" s="163"/>
      <c r="N66" s="163"/>
      <c r="O66" s="164"/>
      <c r="P66" s="163"/>
      <c r="Q66" s="126"/>
      <c r="R66" s="126"/>
    </row>
    <row r="67" spans="1:18" ht="15" customHeight="1" x14ac:dyDescent="0.3">
      <c r="A67" s="15" t="s">
        <v>39</v>
      </c>
      <c r="B67" s="15" t="s">
        <v>46</v>
      </c>
      <c r="C67" s="16" t="s">
        <v>391</v>
      </c>
      <c r="D67" s="15" t="s">
        <v>149</v>
      </c>
      <c r="E67" s="15" t="s">
        <v>451</v>
      </c>
      <c r="F67" s="15" t="s">
        <v>187</v>
      </c>
      <c r="G67" s="185"/>
      <c r="H67" s="163"/>
      <c r="I67" s="163"/>
      <c r="J67" s="163"/>
      <c r="K67" s="163"/>
      <c r="L67" s="163"/>
      <c r="M67" s="163"/>
      <c r="N67" s="163"/>
      <c r="O67" s="164"/>
      <c r="P67" s="163"/>
      <c r="Q67" s="126"/>
      <c r="R67" s="126"/>
    </row>
    <row r="68" spans="1:18" ht="15" customHeight="1" x14ac:dyDescent="0.3">
      <c r="A68" s="15" t="s">
        <v>39</v>
      </c>
      <c r="B68" s="15" t="s">
        <v>51</v>
      </c>
      <c r="C68" s="16" t="s">
        <v>394</v>
      </c>
      <c r="D68" s="15" t="s">
        <v>149</v>
      </c>
      <c r="E68" s="15" t="s">
        <v>427</v>
      </c>
      <c r="F68" s="15" t="s">
        <v>187</v>
      </c>
      <c r="G68" s="185"/>
      <c r="H68" s="163"/>
      <c r="I68" s="163"/>
      <c r="J68" s="163"/>
      <c r="K68" s="163"/>
      <c r="L68" s="163"/>
      <c r="M68" s="163"/>
      <c r="N68" s="163"/>
      <c r="O68" s="164"/>
      <c r="P68" s="163"/>
      <c r="Q68" s="126"/>
      <c r="R68" s="126"/>
    </row>
    <row r="69" spans="1:18" ht="15" customHeight="1" x14ac:dyDescent="0.3">
      <c r="A69" s="15" t="s">
        <v>39</v>
      </c>
      <c r="B69" s="15" t="s">
        <v>48</v>
      </c>
      <c r="C69" s="16" t="s">
        <v>392</v>
      </c>
      <c r="D69" s="15" t="s">
        <v>149</v>
      </c>
      <c r="E69" s="15" t="s">
        <v>427</v>
      </c>
      <c r="F69" s="15" t="s">
        <v>190</v>
      </c>
      <c r="G69" s="185"/>
      <c r="H69" s="163"/>
      <c r="I69" s="163"/>
      <c r="J69" s="163"/>
      <c r="K69" s="163"/>
      <c r="L69" s="163"/>
      <c r="M69" s="163"/>
      <c r="N69" s="163"/>
      <c r="O69" s="164"/>
      <c r="P69" s="163"/>
      <c r="Q69" s="126"/>
      <c r="R69" s="126"/>
    </row>
    <row r="70" spans="1:18" ht="15" customHeight="1" thickBot="1" x14ac:dyDescent="0.35">
      <c r="A70" s="50" t="s">
        <v>39</v>
      </c>
      <c r="B70" s="50" t="s">
        <v>49</v>
      </c>
      <c r="C70" s="51" t="s">
        <v>393</v>
      </c>
      <c r="D70" s="50" t="s">
        <v>149</v>
      </c>
      <c r="E70" s="50" t="s">
        <v>427</v>
      </c>
      <c r="F70" s="50" t="s">
        <v>190</v>
      </c>
      <c r="G70" s="186"/>
      <c r="H70" s="165"/>
      <c r="I70" s="165"/>
      <c r="J70" s="165"/>
      <c r="K70" s="165"/>
      <c r="L70" s="165"/>
      <c r="M70" s="165"/>
      <c r="N70" s="165"/>
      <c r="O70" s="166"/>
      <c r="P70" s="165"/>
      <c r="Q70" s="167"/>
      <c r="R70" s="167"/>
    </row>
    <row r="71" spans="1:18" ht="17.399999999999999" customHeight="1" thickBot="1" x14ac:dyDescent="0.35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1"/>
    </row>
    <row r="72" spans="1:18" ht="22.05" customHeight="1" thickTop="1" thickBot="1" x14ac:dyDescent="0.35">
      <c r="A72" s="190" t="s">
        <v>6</v>
      </c>
      <c r="B72" s="191"/>
      <c r="C72" s="191"/>
      <c r="D72" s="191"/>
      <c r="E72" s="191"/>
      <c r="F72" s="192"/>
      <c r="G72" s="57">
        <v>45986</v>
      </c>
      <c r="H72" s="194" t="s">
        <v>7</v>
      </c>
      <c r="I72" s="191"/>
      <c r="J72" s="191"/>
      <c r="K72" s="191"/>
      <c r="L72" s="191"/>
      <c r="M72" s="191"/>
      <c r="N72" s="191"/>
      <c r="O72" s="191"/>
      <c r="P72" s="191"/>
      <c r="Q72" s="191"/>
      <c r="R72" s="192"/>
    </row>
    <row r="73" spans="1:18" ht="24" customHeight="1" x14ac:dyDescent="0.3">
      <c r="A73" s="58" t="s">
        <v>8</v>
      </c>
      <c r="B73" s="58" t="s">
        <v>9</v>
      </c>
      <c r="C73" s="59" t="s">
        <v>10</v>
      </c>
      <c r="D73" s="58" t="s">
        <v>11</v>
      </c>
      <c r="E73" s="58" t="s">
        <v>12</v>
      </c>
      <c r="F73" s="60" t="s">
        <v>13</v>
      </c>
      <c r="G73" s="61" t="s">
        <v>14</v>
      </c>
      <c r="H73" s="58" t="s">
        <v>15</v>
      </c>
      <c r="I73" s="62" t="s">
        <v>16</v>
      </c>
      <c r="J73" s="63" t="s">
        <v>17</v>
      </c>
      <c r="K73" s="64" t="s">
        <v>18</v>
      </c>
      <c r="L73" s="63" t="s">
        <v>19</v>
      </c>
      <c r="M73" s="63" t="s">
        <v>20</v>
      </c>
      <c r="N73" s="63" t="s">
        <v>21</v>
      </c>
      <c r="O73" s="58" t="s">
        <v>22</v>
      </c>
      <c r="P73" s="59" t="s">
        <v>23</v>
      </c>
      <c r="Q73" s="63" t="s">
        <v>24</v>
      </c>
      <c r="R73" s="58" t="s">
        <v>25</v>
      </c>
    </row>
    <row r="74" spans="1:18" ht="15" customHeight="1" x14ac:dyDescent="0.3">
      <c r="A74" s="8" t="s">
        <v>55</v>
      </c>
      <c r="B74" s="8" t="s">
        <v>452</v>
      </c>
      <c r="C74" s="9">
        <v>0.1875</v>
      </c>
      <c r="D74" s="8" t="s">
        <v>404</v>
      </c>
      <c r="E74" s="8" t="s">
        <v>42</v>
      </c>
      <c r="F74" s="8" t="s">
        <v>453</v>
      </c>
      <c r="G74" s="184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48" t="s">
        <v>55</v>
      </c>
      <c r="B75" s="48" t="s">
        <v>452</v>
      </c>
      <c r="C75" s="49">
        <v>0.1875</v>
      </c>
      <c r="D75" s="48" t="s">
        <v>406</v>
      </c>
      <c r="E75" s="48" t="s">
        <v>128</v>
      </c>
      <c r="F75" s="48" t="s">
        <v>454</v>
      </c>
      <c r="G75" s="185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48" t="s">
        <v>55</v>
      </c>
      <c r="B76" s="48" t="s">
        <v>452</v>
      </c>
      <c r="C76" s="49">
        <v>0.1875</v>
      </c>
      <c r="D76" s="48" t="s">
        <v>123</v>
      </c>
      <c r="E76" s="48" t="s">
        <v>128</v>
      </c>
      <c r="F76" s="48" t="s">
        <v>455</v>
      </c>
      <c r="G76" s="185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15" t="s">
        <v>55</v>
      </c>
      <c r="B77" s="15" t="s">
        <v>409</v>
      </c>
      <c r="C77" s="16">
        <v>0.52777777777777779</v>
      </c>
      <c r="D77" s="15" t="s">
        <v>404</v>
      </c>
      <c r="E77" s="15" t="s">
        <v>60</v>
      </c>
      <c r="F77" s="15" t="s">
        <v>240</v>
      </c>
      <c r="G77" s="185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48" t="s">
        <v>55</v>
      </c>
      <c r="B78" s="48" t="s">
        <v>409</v>
      </c>
      <c r="C78" s="49">
        <v>0.52777777777777779</v>
      </c>
      <c r="D78" s="48" t="s">
        <v>406</v>
      </c>
      <c r="E78" s="48" t="s">
        <v>128</v>
      </c>
      <c r="F78" s="48" t="s">
        <v>456</v>
      </c>
      <c r="G78" s="185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48" t="s">
        <v>55</v>
      </c>
      <c r="B79" s="48" t="s">
        <v>409</v>
      </c>
      <c r="C79" s="49">
        <v>0.52777777777777779</v>
      </c>
      <c r="D79" s="48" t="s">
        <v>123</v>
      </c>
      <c r="E79" s="48" t="s">
        <v>128</v>
      </c>
      <c r="F79" s="48" t="s">
        <v>457</v>
      </c>
      <c r="G79" s="185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17" t="s">
        <v>26</v>
      </c>
      <c r="B80" s="17" t="s">
        <v>401</v>
      </c>
      <c r="C80" s="18">
        <v>0.25694444444444448</v>
      </c>
      <c r="D80" s="17" t="s">
        <v>402</v>
      </c>
      <c r="E80" s="17" t="s">
        <v>414</v>
      </c>
      <c r="F80" s="17" t="s">
        <v>458</v>
      </c>
      <c r="G80" s="185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48" t="s">
        <v>26</v>
      </c>
      <c r="B81" s="48" t="s">
        <v>401</v>
      </c>
      <c r="C81" s="49">
        <v>0.25694444444444448</v>
      </c>
      <c r="D81" s="48" t="s">
        <v>404</v>
      </c>
      <c r="E81" s="48" t="s">
        <v>125</v>
      </c>
      <c r="F81" s="48" t="s">
        <v>459</v>
      </c>
      <c r="G81" s="185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48" t="s">
        <v>26</v>
      </c>
      <c r="B82" s="48" t="s">
        <v>401</v>
      </c>
      <c r="C82" s="49">
        <v>0.25694444444444448</v>
      </c>
      <c r="D82" s="48" t="s">
        <v>406</v>
      </c>
      <c r="E82" s="48" t="s">
        <v>125</v>
      </c>
      <c r="F82" s="48" t="s">
        <v>460</v>
      </c>
      <c r="G82" s="185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</row>
    <row r="83" spans="1:18" ht="15" customHeight="1" x14ac:dyDescent="0.3">
      <c r="A83" s="48" t="s">
        <v>26</v>
      </c>
      <c r="B83" s="48" t="s">
        <v>401</v>
      </c>
      <c r="C83" s="49">
        <v>0.25694444444444448</v>
      </c>
      <c r="D83" s="48" t="s">
        <v>408</v>
      </c>
      <c r="E83" s="48" t="s">
        <v>125</v>
      </c>
      <c r="F83" s="48" t="s">
        <v>154</v>
      </c>
      <c r="G83" s="185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68" t="s">
        <v>66</v>
      </c>
      <c r="B84" s="168" t="s">
        <v>461</v>
      </c>
      <c r="C84" s="169">
        <v>0.70833333333333337</v>
      </c>
      <c r="D84" s="168" t="s">
        <v>68</v>
      </c>
      <c r="E84" s="168" t="s">
        <v>29</v>
      </c>
      <c r="F84" s="168" t="s">
        <v>462</v>
      </c>
      <c r="G84" s="185"/>
      <c r="H84" s="116" t="s">
        <v>421</v>
      </c>
      <c r="I84" s="170">
        <v>0.99439999999999995</v>
      </c>
      <c r="J84" s="118">
        <v>178</v>
      </c>
      <c r="K84" s="119">
        <v>45980</v>
      </c>
      <c r="L84" s="118">
        <v>7</v>
      </c>
      <c r="M84" s="118">
        <v>0</v>
      </c>
      <c r="N84" s="118">
        <v>5</v>
      </c>
      <c r="O84" s="120" t="s">
        <v>296</v>
      </c>
      <c r="P84" s="121">
        <v>0.70833333333333337</v>
      </c>
      <c r="Q84" s="118">
        <v>179</v>
      </c>
      <c r="R84" s="122" t="s">
        <v>463</v>
      </c>
    </row>
    <row r="85" spans="1:18" ht="15" customHeight="1" x14ac:dyDescent="0.3">
      <c r="A85" s="17" t="s">
        <v>80</v>
      </c>
      <c r="B85" s="17" t="s">
        <v>413</v>
      </c>
      <c r="C85" s="18">
        <v>0.60416666666666663</v>
      </c>
      <c r="D85" s="17" t="s">
        <v>82</v>
      </c>
      <c r="E85" s="17" t="s">
        <v>64</v>
      </c>
      <c r="F85" s="17" t="s">
        <v>464</v>
      </c>
      <c r="G85" s="185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17" t="s">
        <v>95</v>
      </c>
      <c r="B86" s="17" t="s">
        <v>465</v>
      </c>
      <c r="C86" s="18">
        <v>0.34027777777777768</v>
      </c>
      <c r="D86" s="17" t="s">
        <v>97</v>
      </c>
      <c r="E86" s="17" t="s">
        <v>64</v>
      </c>
      <c r="F86" s="17" t="s">
        <v>440</v>
      </c>
      <c r="G86" s="185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48" t="s">
        <v>95</v>
      </c>
      <c r="B87" s="48" t="s">
        <v>465</v>
      </c>
      <c r="C87" s="49">
        <v>0.34027777777777768</v>
      </c>
      <c r="D87" s="48" t="s">
        <v>99</v>
      </c>
      <c r="E87" s="48" t="s">
        <v>100</v>
      </c>
      <c r="F87" s="48" t="s">
        <v>441</v>
      </c>
      <c r="G87" s="185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15" t="s">
        <v>95</v>
      </c>
      <c r="B88" s="15" t="s">
        <v>416</v>
      </c>
      <c r="C88" s="16">
        <v>0.71180555555555547</v>
      </c>
      <c r="D88" s="15" t="s">
        <v>97</v>
      </c>
      <c r="E88" s="15" t="s">
        <v>85</v>
      </c>
      <c r="F88" s="15" t="s">
        <v>440</v>
      </c>
      <c r="G88" s="185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48" t="s">
        <v>95</v>
      </c>
      <c r="B89" s="48" t="s">
        <v>416</v>
      </c>
      <c r="C89" s="49">
        <v>0.71180555555555547</v>
      </c>
      <c r="D89" s="48" t="s">
        <v>99</v>
      </c>
      <c r="E89" s="48" t="s">
        <v>100</v>
      </c>
      <c r="F89" s="48" t="s">
        <v>441</v>
      </c>
      <c r="G89" s="185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8" x14ac:dyDescent="0.3">
      <c r="A90" s="202" t="s">
        <v>423</v>
      </c>
      <c r="B90" s="203"/>
      <c r="C90" s="203"/>
      <c r="D90" s="203"/>
      <c r="E90" s="203"/>
      <c r="F90" s="204"/>
      <c r="G90" s="185"/>
      <c r="H90" s="163"/>
      <c r="I90" s="163"/>
      <c r="J90" s="163"/>
      <c r="K90" s="163"/>
      <c r="L90" s="163"/>
      <c r="M90" s="163"/>
      <c r="N90" s="163"/>
      <c r="O90" s="164"/>
      <c r="P90" s="163"/>
      <c r="Q90" s="126"/>
      <c r="R90" s="126"/>
    </row>
    <row r="91" spans="1:18" ht="15" customHeight="1" x14ac:dyDescent="0.3">
      <c r="A91" s="15" t="s">
        <v>26</v>
      </c>
      <c r="B91" s="15" t="s">
        <v>27</v>
      </c>
      <c r="C91" s="16" t="s">
        <v>386</v>
      </c>
      <c r="D91" s="15" t="s">
        <v>119</v>
      </c>
      <c r="E91" s="15" t="s">
        <v>443</v>
      </c>
      <c r="F91" s="15" t="s">
        <v>218</v>
      </c>
      <c r="G91" s="185"/>
      <c r="H91" s="163"/>
      <c r="I91" s="163"/>
      <c r="J91" s="163"/>
      <c r="K91" s="163"/>
      <c r="L91" s="163"/>
      <c r="M91" s="163"/>
      <c r="N91" s="163"/>
      <c r="O91" s="164"/>
      <c r="P91" s="163"/>
      <c r="Q91" s="126"/>
      <c r="R91" s="126"/>
    </row>
    <row r="92" spans="1:18" ht="15" customHeight="1" x14ac:dyDescent="0.3">
      <c r="A92" s="15" t="s">
        <v>61</v>
      </c>
      <c r="B92" s="15" t="s">
        <v>62</v>
      </c>
      <c r="C92" s="16" t="s">
        <v>399</v>
      </c>
      <c r="D92" s="15" t="s">
        <v>63</v>
      </c>
      <c r="E92" s="15" t="s">
        <v>424</v>
      </c>
      <c r="F92" s="15" t="s">
        <v>221</v>
      </c>
      <c r="G92" s="185"/>
      <c r="H92" s="163"/>
      <c r="I92" s="163"/>
      <c r="J92" s="163"/>
      <c r="K92" s="163"/>
      <c r="L92" s="163"/>
      <c r="M92" s="163"/>
      <c r="N92" s="163"/>
      <c r="O92" s="164"/>
      <c r="P92" s="163"/>
      <c r="Q92" s="126"/>
      <c r="R92" s="126"/>
    </row>
    <row r="93" spans="1:18" ht="15" customHeight="1" x14ac:dyDescent="0.3">
      <c r="A93" s="15" t="s">
        <v>61</v>
      </c>
      <c r="B93" s="15" t="s">
        <v>222</v>
      </c>
      <c r="C93" s="16" t="s">
        <v>466</v>
      </c>
      <c r="D93" s="15" t="s">
        <v>63</v>
      </c>
      <c r="E93" s="15" t="s">
        <v>424</v>
      </c>
      <c r="F93" s="15" t="s">
        <v>221</v>
      </c>
      <c r="G93" s="185"/>
      <c r="H93" s="163"/>
      <c r="I93" s="163"/>
      <c r="J93" s="163"/>
      <c r="K93" s="163"/>
      <c r="L93" s="163"/>
      <c r="M93" s="163"/>
      <c r="N93" s="163"/>
      <c r="O93" s="164"/>
      <c r="P93" s="163"/>
      <c r="Q93" s="126"/>
      <c r="R93" s="126"/>
    </row>
    <row r="94" spans="1:18" ht="15" customHeight="1" x14ac:dyDescent="0.3">
      <c r="A94" s="15" t="s">
        <v>26</v>
      </c>
      <c r="B94" s="15" t="s">
        <v>31</v>
      </c>
      <c r="C94" s="16" t="s">
        <v>387</v>
      </c>
      <c r="D94" s="15" t="s">
        <v>119</v>
      </c>
      <c r="E94" s="15" t="s">
        <v>443</v>
      </c>
      <c r="F94" s="15" t="s">
        <v>219</v>
      </c>
      <c r="G94" s="185"/>
      <c r="H94" s="163"/>
      <c r="I94" s="163"/>
      <c r="J94" s="163"/>
      <c r="K94" s="163"/>
      <c r="L94" s="163"/>
      <c r="M94" s="163"/>
      <c r="N94" s="163"/>
      <c r="O94" s="164"/>
      <c r="P94" s="163"/>
      <c r="Q94" s="126"/>
      <c r="R94" s="126"/>
    </row>
    <row r="95" spans="1:18" ht="15" customHeight="1" x14ac:dyDescent="0.3">
      <c r="A95" s="15" t="s">
        <v>26</v>
      </c>
      <c r="B95" s="15" t="s">
        <v>36</v>
      </c>
      <c r="C95" s="16" t="s">
        <v>395</v>
      </c>
      <c r="D95" s="15" t="s">
        <v>119</v>
      </c>
      <c r="E95" s="15" t="s">
        <v>427</v>
      </c>
      <c r="F95" s="15" t="s">
        <v>219</v>
      </c>
      <c r="G95" s="185"/>
      <c r="H95" s="163"/>
      <c r="I95" s="163"/>
      <c r="J95" s="163"/>
      <c r="K95" s="163"/>
      <c r="L95" s="163"/>
      <c r="M95" s="163"/>
      <c r="N95" s="163"/>
      <c r="O95" s="164"/>
      <c r="P95" s="163"/>
      <c r="Q95" s="126"/>
      <c r="R95" s="126"/>
    </row>
    <row r="96" spans="1:18" ht="15" customHeight="1" x14ac:dyDescent="0.3">
      <c r="A96" s="15" t="s">
        <v>26</v>
      </c>
      <c r="B96" s="15" t="s">
        <v>34</v>
      </c>
      <c r="C96" s="16" t="s">
        <v>388</v>
      </c>
      <c r="D96" s="15" t="s">
        <v>119</v>
      </c>
      <c r="E96" s="15" t="s">
        <v>428</v>
      </c>
      <c r="F96" s="15" t="s">
        <v>219</v>
      </c>
      <c r="G96" s="185"/>
      <c r="H96" s="163"/>
      <c r="I96" s="163"/>
      <c r="J96" s="163"/>
      <c r="K96" s="163"/>
      <c r="L96" s="163"/>
      <c r="M96" s="163"/>
      <c r="N96" s="163"/>
      <c r="O96" s="164"/>
      <c r="P96" s="163"/>
      <c r="Q96" s="126"/>
      <c r="R96" s="126"/>
    </row>
    <row r="97" spans="1:18" ht="15" customHeight="1" x14ac:dyDescent="0.3">
      <c r="A97" s="15" t="s">
        <v>39</v>
      </c>
      <c r="B97" s="15" t="s">
        <v>40</v>
      </c>
      <c r="C97" s="16" t="s">
        <v>389</v>
      </c>
      <c r="D97" s="15" t="s">
        <v>149</v>
      </c>
      <c r="E97" s="15" t="s">
        <v>451</v>
      </c>
      <c r="F97" s="15" t="s">
        <v>223</v>
      </c>
      <c r="G97" s="185"/>
      <c r="H97" s="163"/>
      <c r="I97" s="163"/>
      <c r="J97" s="163"/>
      <c r="K97" s="163"/>
      <c r="L97" s="163"/>
      <c r="M97" s="163"/>
      <c r="N97" s="163"/>
      <c r="O97" s="164"/>
      <c r="P97" s="163"/>
      <c r="Q97" s="126"/>
      <c r="R97" s="126"/>
    </row>
    <row r="98" spans="1:18" ht="15" customHeight="1" x14ac:dyDescent="0.3">
      <c r="A98" s="15" t="s">
        <v>39</v>
      </c>
      <c r="B98" s="15" t="s">
        <v>44</v>
      </c>
      <c r="C98" s="16" t="s">
        <v>450</v>
      </c>
      <c r="D98" s="15" t="s">
        <v>149</v>
      </c>
      <c r="E98" s="15" t="s">
        <v>443</v>
      </c>
      <c r="F98" s="15" t="s">
        <v>223</v>
      </c>
      <c r="G98" s="185"/>
      <c r="H98" s="163"/>
      <c r="I98" s="163"/>
      <c r="J98" s="163"/>
      <c r="K98" s="163"/>
      <c r="L98" s="163"/>
      <c r="M98" s="163"/>
      <c r="N98" s="163"/>
      <c r="O98" s="164"/>
      <c r="P98" s="163"/>
      <c r="Q98" s="126"/>
      <c r="R98" s="126"/>
    </row>
    <row r="99" spans="1:18" ht="15" customHeight="1" x14ac:dyDescent="0.3">
      <c r="A99" s="15" t="s">
        <v>39</v>
      </c>
      <c r="B99" s="15" t="s">
        <v>46</v>
      </c>
      <c r="C99" s="16" t="s">
        <v>391</v>
      </c>
      <c r="D99" s="15" t="s">
        <v>149</v>
      </c>
      <c r="E99" s="15" t="s">
        <v>443</v>
      </c>
      <c r="F99" s="15" t="s">
        <v>223</v>
      </c>
      <c r="G99" s="185"/>
      <c r="H99" s="163"/>
      <c r="I99" s="163"/>
      <c r="J99" s="163"/>
      <c r="K99" s="163"/>
      <c r="L99" s="163"/>
      <c r="M99" s="163"/>
      <c r="N99" s="163"/>
      <c r="O99" s="164"/>
      <c r="P99" s="163"/>
      <c r="Q99" s="126"/>
      <c r="R99" s="126"/>
    </row>
    <row r="100" spans="1:18" ht="15" customHeight="1" x14ac:dyDescent="0.3">
      <c r="A100" s="50" t="s">
        <v>39</v>
      </c>
      <c r="B100" s="50" t="s">
        <v>48</v>
      </c>
      <c r="C100" s="51" t="s">
        <v>392</v>
      </c>
      <c r="D100" s="50" t="s">
        <v>149</v>
      </c>
      <c r="E100" s="50" t="s">
        <v>429</v>
      </c>
      <c r="F100" s="50" t="s">
        <v>223</v>
      </c>
      <c r="G100" s="186"/>
      <c r="H100" s="165"/>
      <c r="I100" s="165"/>
      <c r="J100" s="165"/>
      <c r="K100" s="165"/>
      <c r="L100" s="165"/>
      <c r="M100" s="165"/>
      <c r="N100" s="165"/>
      <c r="O100" s="166"/>
      <c r="P100" s="165"/>
      <c r="Q100" s="167"/>
      <c r="R100" s="167"/>
    </row>
  </sheetData>
  <mergeCells count="26">
    <mergeCell ref="A72:F72"/>
    <mergeCell ref="N1:R1"/>
    <mergeCell ref="A29:R29"/>
    <mergeCell ref="H72:R72"/>
    <mergeCell ref="K2:R2"/>
    <mergeCell ref="A30:F30"/>
    <mergeCell ref="A39:F39"/>
    <mergeCell ref="A51:F51"/>
    <mergeCell ref="A60:F60"/>
    <mergeCell ref="G6:G28"/>
    <mergeCell ref="H30:R30"/>
    <mergeCell ref="G53:G70"/>
    <mergeCell ref="A90:F90"/>
    <mergeCell ref="G74:G100"/>
    <mergeCell ref="H1:L1"/>
    <mergeCell ref="A1:E1"/>
    <mergeCell ref="A18:F18"/>
    <mergeCell ref="H4:R4"/>
    <mergeCell ref="A50:R50"/>
    <mergeCell ref="A2:F2"/>
    <mergeCell ref="A3:R3"/>
    <mergeCell ref="A71:R71"/>
    <mergeCell ref="G2:J2"/>
    <mergeCell ref="H51:R51"/>
    <mergeCell ref="A4:F4"/>
    <mergeCell ref="G32:G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9"/>
  <sheetViews>
    <sheetView workbookViewId="0"/>
  </sheetViews>
  <sheetFormatPr defaultRowHeight="15.6" outlineLevelCol="1" x14ac:dyDescent="0.3"/>
  <cols>
    <col min="1" max="1" width="11.6640625" style="206" bestFit="1" customWidth="1"/>
    <col min="2" max="2" width="11.109375" style="206" bestFit="1" customWidth="1"/>
    <col min="3" max="3" width="7.88671875" style="206" bestFit="1" customWidth="1"/>
    <col min="4" max="4" width="6.77734375" style="206" bestFit="1" customWidth="1"/>
    <col min="5" max="5" width="9.44140625" style="206" bestFit="1" customWidth="1"/>
    <col min="6" max="6" width="5.21875" style="206" bestFit="1" customWidth="1"/>
    <col min="7" max="7" width="10" style="206" bestFit="1" customWidth="1"/>
    <col min="8" max="9" width="8.5546875" style="206" bestFit="1" customWidth="1"/>
    <col min="10" max="10" width="8" style="206" bestFit="1" customWidth="1"/>
    <col min="11" max="11" width="12.21875" style="206" bestFit="1" customWidth="1"/>
    <col min="12" max="12" width="10.109375" style="206" bestFit="1" customWidth="1"/>
    <col min="13" max="13" width="8.77734375" style="206" bestFit="1" customWidth="1" outlineLevel="1"/>
    <col min="14" max="14" width="7.33203125" style="206" bestFit="1" customWidth="1" outlineLevel="1"/>
    <col min="15" max="15" width="9.109375" style="206" bestFit="1" customWidth="1" outlineLevel="1"/>
    <col min="16" max="16" width="15.33203125" style="206" bestFit="1" customWidth="1"/>
    <col min="17" max="21" width="3.88671875" style="206" bestFit="1" customWidth="1"/>
    <col min="22" max="22" width="4" style="206" bestFit="1" customWidth="1"/>
    <col min="23" max="23" width="5.21875" style="206" bestFit="1" customWidth="1"/>
    <col min="24" max="24" width="4.77734375" style="206" bestFit="1" customWidth="1"/>
    <col min="25" max="25" width="4.21875" style="206" bestFit="1" customWidth="1"/>
    <col min="26" max="26" width="4.88671875" style="206" bestFit="1" customWidth="1"/>
    <col min="27" max="27" width="5.88671875" style="206" bestFit="1" customWidth="1"/>
    <col min="28" max="28" width="5" style="206" bestFit="1" customWidth="1"/>
    <col min="29" max="29" width="5.109375" style="206" bestFit="1" customWidth="1"/>
    <col min="30" max="30" width="5.33203125" style="206" bestFit="1" customWidth="1"/>
    <col min="31" max="31" width="4.21875" style="206" bestFit="1" customWidth="1"/>
    <col min="32" max="34" width="3.88671875" style="206" bestFit="1" customWidth="1"/>
    <col min="35" max="35" width="6.21875" style="206" bestFit="1" customWidth="1"/>
    <col min="36" max="36" width="3.88671875" style="206" bestFit="1" customWidth="1"/>
    <col min="37" max="16384" width="8.88671875" style="206"/>
  </cols>
  <sheetData>
    <row r="1" spans="1:36" x14ac:dyDescent="0.3">
      <c r="A1" s="205" t="s">
        <v>245</v>
      </c>
      <c r="B1" s="205" t="s">
        <v>246</v>
      </c>
      <c r="C1" s="205" t="s">
        <v>247</v>
      </c>
      <c r="D1" s="205" t="s">
        <v>23</v>
      </c>
      <c r="E1" s="205" t="s">
        <v>248</v>
      </c>
      <c r="F1" s="205" t="s">
        <v>249</v>
      </c>
      <c r="G1" s="205" t="s">
        <v>16</v>
      </c>
      <c r="H1" s="205" t="s">
        <v>250</v>
      </c>
      <c r="I1" s="205" t="s">
        <v>251</v>
      </c>
      <c r="J1" s="205" t="s">
        <v>252</v>
      </c>
      <c r="K1" s="205" t="s">
        <v>253</v>
      </c>
      <c r="L1" s="205" t="s">
        <v>18</v>
      </c>
      <c r="M1" s="205" t="s">
        <v>20</v>
      </c>
      <c r="N1" s="205" t="s">
        <v>21</v>
      </c>
      <c r="O1" s="205" t="s">
        <v>19</v>
      </c>
      <c r="P1" s="205" t="s">
        <v>22</v>
      </c>
      <c r="Q1" s="205" t="s">
        <v>254</v>
      </c>
      <c r="R1" s="205" t="s">
        <v>255</v>
      </c>
      <c r="S1" s="205" t="s">
        <v>256</v>
      </c>
      <c r="T1" s="205" t="s">
        <v>257</v>
      </c>
      <c r="U1" s="205" t="s">
        <v>258</v>
      </c>
      <c r="V1" s="205" t="s">
        <v>259</v>
      </c>
      <c r="W1" s="205" t="s">
        <v>260</v>
      </c>
      <c r="X1" s="205" t="s">
        <v>261</v>
      </c>
      <c r="Y1" s="205" t="s">
        <v>262</v>
      </c>
      <c r="Z1" s="205" t="s">
        <v>263</v>
      </c>
      <c r="AA1" s="205" t="s">
        <v>264</v>
      </c>
      <c r="AB1" s="205" t="s">
        <v>265</v>
      </c>
      <c r="AC1" s="205" t="s">
        <v>266</v>
      </c>
      <c r="AD1" s="205" t="s">
        <v>267</v>
      </c>
      <c r="AE1" s="205" t="s">
        <v>268</v>
      </c>
      <c r="AF1" s="205" t="s">
        <v>269</v>
      </c>
      <c r="AG1" s="205" t="s">
        <v>270</v>
      </c>
      <c r="AH1" s="205" t="s">
        <v>271</v>
      </c>
      <c r="AI1" s="205" t="s">
        <v>272</v>
      </c>
      <c r="AJ1" s="205" t="s">
        <v>273</v>
      </c>
    </row>
    <row r="2" spans="1:36" x14ac:dyDescent="0.3">
      <c r="A2" s="207" t="s">
        <v>274</v>
      </c>
      <c r="B2" s="208">
        <v>45983</v>
      </c>
      <c r="C2" s="209" t="s">
        <v>419</v>
      </c>
      <c r="D2" s="210" t="s">
        <v>467</v>
      </c>
      <c r="E2" s="209" t="s">
        <v>400</v>
      </c>
      <c r="F2" s="209" t="s">
        <v>276</v>
      </c>
      <c r="G2" s="211">
        <v>1</v>
      </c>
      <c r="H2" s="212">
        <v>179</v>
      </c>
      <c r="I2" s="212">
        <v>179</v>
      </c>
      <c r="J2" s="212">
        <v>118</v>
      </c>
      <c r="K2" s="209" t="s">
        <v>277</v>
      </c>
      <c r="L2" s="213">
        <v>45980</v>
      </c>
      <c r="M2" s="212">
        <v>0</v>
      </c>
      <c r="N2" s="212">
        <v>2</v>
      </c>
      <c r="O2" s="212">
        <v>12</v>
      </c>
      <c r="P2" s="209" t="s">
        <v>76</v>
      </c>
      <c r="Q2" s="205"/>
      <c r="R2" s="205"/>
      <c r="S2" s="205"/>
      <c r="T2" s="205"/>
      <c r="U2" s="205"/>
      <c r="V2" s="205"/>
      <c r="W2" s="205"/>
      <c r="X2" s="212" t="s">
        <v>468</v>
      </c>
      <c r="Y2" s="205"/>
      <c r="Z2" s="212" t="s">
        <v>469</v>
      </c>
      <c r="AA2" s="212" t="s">
        <v>376</v>
      </c>
      <c r="AB2" s="212" t="s">
        <v>470</v>
      </c>
      <c r="AC2" s="212" t="s">
        <v>342</v>
      </c>
      <c r="AD2" s="205"/>
      <c r="AE2" s="205"/>
      <c r="AF2" s="205"/>
      <c r="AG2" s="205"/>
      <c r="AH2" s="205"/>
      <c r="AI2" s="212" t="s">
        <v>471</v>
      </c>
      <c r="AJ2" s="205"/>
    </row>
    <row r="3" spans="1:36" x14ac:dyDescent="0.3">
      <c r="A3" s="207" t="s">
        <v>274</v>
      </c>
      <c r="B3" s="208">
        <v>45983</v>
      </c>
      <c r="C3" s="209" t="s">
        <v>421</v>
      </c>
      <c r="D3" s="210" t="s">
        <v>472</v>
      </c>
      <c r="E3" s="209" t="s">
        <v>400</v>
      </c>
      <c r="F3" s="209" t="s">
        <v>276</v>
      </c>
      <c r="G3" s="211">
        <v>1</v>
      </c>
      <c r="H3" s="212">
        <v>179</v>
      </c>
      <c r="I3" s="212">
        <v>179</v>
      </c>
      <c r="J3" s="212">
        <v>136</v>
      </c>
      <c r="K3" s="209" t="s">
        <v>277</v>
      </c>
      <c r="L3" s="213">
        <v>45980</v>
      </c>
      <c r="M3" s="212">
        <v>0</v>
      </c>
      <c r="N3" s="212">
        <v>2</v>
      </c>
      <c r="O3" s="212">
        <v>8</v>
      </c>
      <c r="P3" s="209" t="s">
        <v>76</v>
      </c>
      <c r="Q3" s="205"/>
      <c r="R3" s="205"/>
      <c r="S3" s="205"/>
      <c r="T3" s="205"/>
      <c r="U3" s="205"/>
      <c r="V3" s="212" t="s">
        <v>473</v>
      </c>
      <c r="W3" s="212" t="s">
        <v>474</v>
      </c>
      <c r="X3" s="212" t="s">
        <v>475</v>
      </c>
      <c r="Y3" s="205"/>
      <c r="Z3" s="212" t="s">
        <v>476</v>
      </c>
      <c r="AA3" s="205"/>
      <c r="AB3" s="205"/>
      <c r="AC3" s="212" t="s">
        <v>477</v>
      </c>
      <c r="AD3" s="205"/>
      <c r="AE3" s="205"/>
      <c r="AF3" s="205"/>
      <c r="AG3" s="205"/>
      <c r="AH3" s="205"/>
      <c r="AI3" s="212" t="s">
        <v>478</v>
      </c>
      <c r="AJ3" s="205"/>
    </row>
    <row r="4" spans="1:36" x14ac:dyDescent="0.3">
      <c r="A4" s="207" t="s">
        <v>307</v>
      </c>
      <c r="B4" s="208">
        <v>45984</v>
      </c>
      <c r="C4" s="209" t="s">
        <v>419</v>
      </c>
      <c r="D4" s="210" t="s">
        <v>479</v>
      </c>
      <c r="E4" s="209" t="s">
        <v>400</v>
      </c>
      <c r="F4" s="209" t="s">
        <v>276</v>
      </c>
      <c r="G4" s="211">
        <v>0.98880000000000001</v>
      </c>
      <c r="H4" s="212">
        <v>179</v>
      </c>
      <c r="I4" s="212">
        <v>177</v>
      </c>
      <c r="J4" s="212">
        <v>134</v>
      </c>
      <c r="K4" s="209" t="s">
        <v>277</v>
      </c>
      <c r="L4" s="213">
        <v>45980</v>
      </c>
      <c r="M4" s="212">
        <v>0</v>
      </c>
      <c r="N4" s="212">
        <v>7</v>
      </c>
      <c r="O4" s="212">
        <v>29</v>
      </c>
      <c r="P4" s="209" t="s">
        <v>437</v>
      </c>
      <c r="Q4" s="205"/>
      <c r="R4" s="205"/>
      <c r="S4" s="205"/>
      <c r="T4" s="205"/>
      <c r="U4" s="205"/>
      <c r="V4" s="205"/>
      <c r="W4" s="212" t="s">
        <v>480</v>
      </c>
      <c r="X4" s="212" t="s">
        <v>481</v>
      </c>
      <c r="Y4" s="212" t="s">
        <v>146</v>
      </c>
      <c r="Z4" s="212" t="s">
        <v>482</v>
      </c>
      <c r="AA4" s="205"/>
      <c r="AB4" s="205"/>
      <c r="AC4" s="212" t="s">
        <v>319</v>
      </c>
      <c r="AD4" s="205"/>
      <c r="AE4" s="205"/>
      <c r="AF4" s="205"/>
      <c r="AG4" s="205"/>
      <c r="AH4" s="205"/>
      <c r="AI4" s="212" t="s">
        <v>483</v>
      </c>
      <c r="AJ4" s="205"/>
    </row>
    <row r="5" spans="1:36" x14ac:dyDescent="0.3">
      <c r="A5" s="207" t="s">
        <v>307</v>
      </c>
      <c r="B5" s="208">
        <v>45984</v>
      </c>
      <c r="C5" s="209" t="s">
        <v>421</v>
      </c>
      <c r="D5" s="210" t="s">
        <v>484</v>
      </c>
      <c r="E5" s="209" t="s">
        <v>400</v>
      </c>
      <c r="F5" s="209" t="s">
        <v>276</v>
      </c>
      <c r="G5" s="211">
        <v>1</v>
      </c>
      <c r="H5" s="212">
        <v>179</v>
      </c>
      <c r="I5" s="212">
        <v>179</v>
      </c>
      <c r="J5" s="212">
        <v>136</v>
      </c>
      <c r="K5" s="209" t="s">
        <v>277</v>
      </c>
      <c r="L5" s="213">
        <v>45980</v>
      </c>
      <c r="M5" s="212">
        <v>0</v>
      </c>
      <c r="N5" s="212">
        <v>2</v>
      </c>
      <c r="O5" s="212">
        <v>15</v>
      </c>
      <c r="P5" s="209" t="s">
        <v>76</v>
      </c>
      <c r="Q5" s="205"/>
      <c r="R5" s="205"/>
      <c r="S5" s="205"/>
      <c r="T5" s="205"/>
      <c r="U5" s="205"/>
      <c r="V5" s="212" t="s">
        <v>71</v>
      </c>
      <c r="W5" s="212" t="s">
        <v>485</v>
      </c>
      <c r="X5" s="212" t="s">
        <v>486</v>
      </c>
      <c r="Y5" s="212" t="s">
        <v>146</v>
      </c>
      <c r="Z5" s="212" t="s">
        <v>323</v>
      </c>
      <c r="AA5" s="212" t="s">
        <v>487</v>
      </c>
      <c r="AB5" s="212" t="s">
        <v>359</v>
      </c>
      <c r="AC5" s="212" t="s">
        <v>488</v>
      </c>
      <c r="AD5" s="205"/>
      <c r="AE5" s="205"/>
      <c r="AF5" s="205"/>
      <c r="AG5" s="205"/>
      <c r="AH5" s="205"/>
      <c r="AI5" s="212" t="s">
        <v>478</v>
      </c>
      <c r="AJ5" s="205"/>
    </row>
    <row r="6" spans="1:36" x14ac:dyDescent="0.3">
      <c r="A6" s="207" t="s">
        <v>338</v>
      </c>
      <c r="B6" s="208">
        <v>45985</v>
      </c>
      <c r="C6" s="209" t="s">
        <v>419</v>
      </c>
      <c r="D6" s="210" t="s">
        <v>489</v>
      </c>
      <c r="E6" s="209" t="s">
        <v>400</v>
      </c>
      <c r="F6" s="209" t="s">
        <v>276</v>
      </c>
      <c r="G6" s="211">
        <v>1</v>
      </c>
      <c r="H6" s="212">
        <v>168</v>
      </c>
      <c r="I6" s="212">
        <v>168</v>
      </c>
      <c r="J6" s="212">
        <v>124</v>
      </c>
      <c r="K6" s="209" t="s">
        <v>277</v>
      </c>
      <c r="L6" s="213">
        <v>45980</v>
      </c>
      <c r="M6" s="212">
        <v>0</v>
      </c>
      <c r="N6" s="212">
        <v>1</v>
      </c>
      <c r="O6" s="212">
        <v>4</v>
      </c>
      <c r="P6" s="209" t="s">
        <v>76</v>
      </c>
      <c r="Q6" s="205"/>
      <c r="R6" s="205"/>
      <c r="S6" s="205"/>
      <c r="T6" s="205"/>
      <c r="U6" s="205"/>
      <c r="V6" s="205"/>
      <c r="W6" s="205"/>
      <c r="X6" s="205"/>
      <c r="Y6" s="205"/>
      <c r="Z6" s="212" t="s">
        <v>340</v>
      </c>
      <c r="AA6" s="205"/>
      <c r="AB6" s="205"/>
      <c r="AC6" s="212" t="s">
        <v>283</v>
      </c>
      <c r="AD6" s="212" t="s">
        <v>349</v>
      </c>
      <c r="AE6" s="212" t="s">
        <v>490</v>
      </c>
      <c r="AF6" s="212" t="s">
        <v>331</v>
      </c>
      <c r="AG6" s="205"/>
      <c r="AH6" s="205"/>
      <c r="AI6" s="212" t="s">
        <v>491</v>
      </c>
      <c r="AJ6" s="205"/>
    </row>
    <row r="7" spans="1:36" x14ac:dyDescent="0.3">
      <c r="A7" s="207" t="s">
        <v>338</v>
      </c>
      <c r="B7" s="208">
        <v>45985</v>
      </c>
      <c r="C7" s="209" t="s">
        <v>421</v>
      </c>
      <c r="D7" s="210" t="s">
        <v>450</v>
      </c>
      <c r="E7" s="209" t="s">
        <v>400</v>
      </c>
      <c r="F7" s="209" t="s">
        <v>276</v>
      </c>
      <c r="G7" s="211">
        <v>1</v>
      </c>
      <c r="H7" s="212">
        <v>168</v>
      </c>
      <c r="I7" s="212">
        <v>168</v>
      </c>
      <c r="J7" s="212">
        <v>134</v>
      </c>
      <c r="K7" s="209" t="s">
        <v>277</v>
      </c>
      <c r="L7" s="213">
        <v>45980</v>
      </c>
      <c r="M7" s="212">
        <v>0</v>
      </c>
      <c r="N7" s="212">
        <v>1</v>
      </c>
      <c r="O7" s="212">
        <v>12</v>
      </c>
      <c r="P7" s="209" t="s">
        <v>76</v>
      </c>
      <c r="Q7" s="205"/>
      <c r="R7" s="205"/>
      <c r="S7" s="205"/>
      <c r="T7" s="205"/>
      <c r="U7" s="205"/>
      <c r="V7" s="205"/>
      <c r="W7" s="205"/>
      <c r="X7" s="205"/>
      <c r="Y7" s="205"/>
      <c r="Z7" s="212" t="s">
        <v>492</v>
      </c>
      <c r="AA7" s="212" t="s">
        <v>493</v>
      </c>
      <c r="AB7" s="205"/>
      <c r="AC7" s="212" t="s">
        <v>348</v>
      </c>
      <c r="AD7" s="205"/>
      <c r="AE7" s="205"/>
      <c r="AF7" s="205"/>
      <c r="AG7" s="205"/>
      <c r="AH7" s="205"/>
      <c r="AI7" s="212" t="s">
        <v>483</v>
      </c>
      <c r="AJ7" s="205"/>
    </row>
    <row r="8" spans="1:36" x14ac:dyDescent="0.3">
      <c r="A8" s="207" t="s">
        <v>362</v>
      </c>
      <c r="B8" s="208">
        <v>45986</v>
      </c>
      <c r="C8" s="209" t="s">
        <v>421</v>
      </c>
      <c r="D8" s="210" t="s">
        <v>494</v>
      </c>
      <c r="E8" s="209" t="s">
        <v>400</v>
      </c>
      <c r="F8" s="209" t="s">
        <v>276</v>
      </c>
      <c r="G8" s="211">
        <v>0.99439999999999995</v>
      </c>
      <c r="H8" s="212">
        <v>179</v>
      </c>
      <c r="I8" s="212">
        <v>178</v>
      </c>
      <c r="J8" s="212">
        <v>159</v>
      </c>
      <c r="K8" s="209" t="s">
        <v>277</v>
      </c>
      <c r="L8" s="213">
        <v>45980</v>
      </c>
      <c r="M8" s="212">
        <v>0</v>
      </c>
      <c r="N8" s="212">
        <v>5</v>
      </c>
      <c r="O8" s="212">
        <v>7</v>
      </c>
      <c r="P8" s="209" t="s">
        <v>296</v>
      </c>
      <c r="Q8" s="205"/>
      <c r="R8" s="205"/>
      <c r="S8" s="205"/>
      <c r="T8" s="205"/>
      <c r="U8" s="205"/>
      <c r="V8" s="205"/>
      <c r="W8" s="205"/>
      <c r="X8" s="212" t="s">
        <v>495</v>
      </c>
      <c r="Y8" s="205"/>
      <c r="Z8" s="212" t="s">
        <v>138</v>
      </c>
      <c r="AA8" s="205"/>
      <c r="AB8" s="205"/>
      <c r="AC8" s="212" t="s">
        <v>348</v>
      </c>
      <c r="AD8" s="205"/>
      <c r="AE8" s="205"/>
      <c r="AF8" s="205"/>
      <c r="AG8" s="205"/>
      <c r="AH8" s="205"/>
      <c r="AI8" s="212" t="s">
        <v>496</v>
      </c>
      <c r="AJ8" s="205"/>
    </row>
    <row r="9" spans="1:36" ht="21" x14ac:dyDescent="0.3">
      <c r="A9" s="214" t="s">
        <v>559</v>
      </c>
      <c r="B9" s="215"/>
      <c r="C9" s="214">
        <f>SUBTOTAL(103,JED_HBE_LF_LEGACY[Flt])</f>
        <v>7</v>
      </c>
      <c r="D9" s="214"/>
      <c r="E9" s="214">
        <f>SUBTOTAL(103,JED_HBE_LF_LEGACY[Brd-Off])</f>
        <v>7</v>
      </c>
      <c r="F9" s="214"/>
      <c r="G9" s="216">
        <f>SUBTOTAL(101,JED_HBE_LF_LEGACY[LF%])</f>
        <v>0.99759999999999993</v>
      </c>
      <c r="H9" s="217">
        <f>SUBTOTAL(109,JED_HBE_LF_LEGACY[CAP])</f>
        <v>1231</v>
      </c>
      <c r="I9" s="217">
        <f>SUBTOTAL(109,JED_HBE_LF_LEGACY[BKG(Y)])</f>
        <v>1228</v>
      </c>
      <c r="J9" s="217">
        <f>SUBTOTAL(109,JED_HBE_LF_LEGACY[GRP(Y)])</f>
        <v>941</v>
      </c>
      <c r="K9" s="214"/>
      <c r="L9" s="215"/>
      <c r="M9" s="217">
        <f>SUBTOTAL(109,JED_HBE_LF_LEGACY[TO-DAY])</f>
        <v>0</v>
      </c>
      <c r="N9" s="217">
        <f>SUBTOTAL(109,JED_HBE_LF_LEGACY[Y-DAY])</f>
        <v>20</v>
      </c>
      <c r="O9" s="217">
        <f>SUBTOTAL(109,JED_HBE_LF_LEGACY[WEEKLY])</f>
        <v>87</v>
      </c>
      <c r="P9" s="218"/>
      <c r="Q9" s="214">
        <f>SUBTOTAL(109,JED_HBE_LF_LEGACY[Y])</f>
        <v>0</v>
      </c>
      <c r="R9" s="214">
        <f>SUBTOTAL(109,JED_HBE_LF_LEGACY[B])</f>
        <v>0</v>
      </c>
      <c r="S9" s="214">
        <f>SUBTOTAL(109,JED_HBE_LF_LEGACY[M])</f>
        <v>0</v>
      </c>
      <c r="T9" s="214">
        <f>SUBTOTAL(109,JED_HBE_LF_LEGACY[H])</f>
        <v>0</v>
      </c>
      <c r="U9" s="214">
        <f>SUBTOTAL(109,JED_HBE_LF_LEGACY[Q])</f>
        <v>0</v>
      </c>
      <c r="V9" s="214">
        <f>SUBTOTAL(109,JED_HBE_LF_LEGACY[K])</f>
        <v>0</v>
      </c>
      <c r="W9" s="214">
        <f>SUBTOTAL(109,JED_HBE_LF_LEGACY[V])</f>
        <v>0</v>
      </c>
      <c r="X9" s="217">
        <f>SUBTOTAL(109,JED_HBE_LF_LEGACY[L])</f>
        <v>0</v>
      </c>
      <c r="Y9" s="214">
        <f>SUBTOTAL(109,JED_HBE_LF_LEGACY[G])</f>
        <v>0</v>
      </c>
      <c r="Z9" s="217">
        <f>SUBTOTAL(109,JED_HBE_LF_LEGACY[S])</f>
        <v>0</v>
      </c>
      <c r="AA9" s="214">
        <f>SUBTOTAL(109,JED_HBE_LF_LEGACY[W])</f>
        <v>0</v>
      </c>
      <c r="AB9" s="214">
        <f>SUBTOTAL(109,JED_HBE_LF_LEGACY[T])</f>
        <v>0</v>
      </c>
      <c r="AC9" s="217">
        <f>SUBTOTAL(109,JED_HBE_LF_LEGACY[X])</f>
        <v>0</v>
      </c>
      <c r="AD9" s="214">
        <f>SUBTOTAL(109,JED_HBE_LF_LEGACY[U])</f>
        <v>0</v>
      </c>
      <c r="AE9" s="214">
        <f>SUBTOTAL(109,JED_HBE_LF_LEGACY[O])</f>
        <v>0</v>
      </c>
      <c r="AF9" s="214">
        <f>SUBTOTAL(109,JED_HBE_LF_LEGACY[I])</f>
        <v>0</v>
      </c>
      <c r="AG9" s="214">
        <f>SUBTOTAL(109,JED_HBE_LF_LEGACY[E])</f>
        <v>0</v>
      </c>
      <c r="AH9" s="214">
        <f>SUBTOTAL(109,JED_HBE_LF_LEGACY[A])</f>
        <v>0</v>
      </c>
      <c r="AI9" s="217">
        <f>SUBTOTAL(109,JED_HBE_LF_LEGACY[P])</f>
        <v>0</v>
      </c>
      <c r="AJ9" s="214">
        <f>SUBTOTAL(103,JED_HBE_LF_LEGACY[N])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127" t="s">
        <v>383</v>
      </c>
      <c r="B1" s="128" t="s">
        <v>8</v>
      </c>
      <c r="C1" s="128" t="s">
        <v>9</v>
      </c>
      <c r="D1" s="128" t="s">
        <v>384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0" t="s">
        <v>385</v>
      </c>
      <c r="B2" s="131" t="s">
        <v>26</v>
      </c>
      <c r="C2" s="132" t="s">
        <v>401</v>
      </c>
      <c r="D2" s="131" t="s">
        <v>400</v>
      </c>
      <c r="E2" s="131" t="s">
        <v>398</v>
      </c>
      <c r="F2" s="131" t="s">
        <v>402</v>
      </c>
      <c r="G2" s="133">
        <v>1</v>
      </c>
      <c r="H2" s="134">
        <v>849</v>
      </c>
    </row>
    <row r="3" spans="1:8" ht="19.8" customHeight="1" x14ac:dyDescent="0.3">
      <c r="A3" s="130" t="s">
        <v>385</v>
      </c>
      <c r="B3" s="131" t="s">
        <v>55</v>
      </c>
      <c r="C3" s="132" t="s">
        <v>409</v>
      </c>
      <c r="D3" s="131" t="s">
        <v>400</v>
      </c>
      <c r="E3" s="131" t="s">
        <v>497</v>
      </c>
      <c r="F3" s="131" t="s">
        <v>404</v>
      </c>
      <c r="G3" s="133">
        <v>2</v>
      </c>
      <c r="H3" s="134">
        <v>873</v>
      </c>
    </row>
    <row r="4" spans="1:8" ht="19.8" customHeight="1" x14ac:dyDescent="0.3">
      <c r="A4" s="130" t="s">
        <v>385</v>
      </c>
      <c r="B4" s="131" t="s">
        <v>26</v>
      </c>
      <c r="C4" s="132" t="s">
        <v>401</v>
      </c>
      <c r="D4" s="131" t="s">
        <v>400</v>
      </c>
      <c r="E4" s="131" t="s">
        <v>398</v>
      </c>
      <c r="F4" s="131" t="s">
        <v>404</v>
      </c>
      <c r="G4" s="133">
        <v>1</v>
      </c>
      <c r="H4" s="134">
        <v>908</v>
      </c>
    </row>
    <row r="5" spans="1:8" ht="19.8" customHeight="1" x14ac:dyDescent="0.3">
      <c r="A5" s="130" t="s">
        <v>385</v>
      </c>
      <c r="B5" s="131" t="s">
        <v>26</v>
      </c>
      <c r="C5" s="132" t="s">
        <v>401</v>
      </c>
      <c r="D5" s="131" t="s">
        <v>400</v>
      </c>
      <c r="E5" s="131" t="s">
        <v>398</v>
      </c>
      <c r="F5" s="131" t="s">
        <v>406</v>
      </c>
      <c r="G5" s="133">
        <v>1</v>
      </c>
      <c r="H5" s="134">
        <v>932</v>
      </c>
    </row>
    <row r="6" spans="1:8" ht="19.8" customHeight="1" x14ac:dyDescent="0.3">
      <c r="A6" s="130" t="s">
        <v>385</v>
      </c>
      <c r="B6" s="131" t="s">
        <v>55</v>
      </c>
      <c r="C6" s="132" t="s">
        <v>409</v>
      </c>
      <c r="D6" s="131" t="s">
        <v>400</v>
      </c>
      <c r="E6" s="131" t="s">
        <v>497</v>
      </c>
      <c r="F6" s="131" t="s">
        <v>406</v>
      </c>
      <c r="G6" s="133">
        <v>2</v>
      </c>
      <c r="H6" s="134">
        <v>938</v>
      </c>
    </row>
    <row r="7" spans="1:8" ht="19.8" customHeight="1" x14ac:dyDescent="0.3">
      <c r="A7" s="130" t="s">
        <v>385</v>
      </c>
      <c r="B7" s="131" t="s">
        <v>26</v>
      </c>
      <c r="C7" s="132" t="s">
        <v>401</v>
      </c>
      <c r="D7" s="131" t="s">
        <v>400</v>
      </c>
      <c r="E7" s="131" t="s">
        <v>398</v>
      </c>
      <c r="F7" s="131" t="s">
        <v>408</v>
      </c>
      <c r="G7" s="133">
        <v>1</v>
      </c>
      <c r="H7" s="142" t="s">
        <v>124</v>
      </c>
    </row>
    <row r="8" spans="1:8" ht="19.8" customHeight="1" x14ac:dyDescent="0.3">
      <c r="A8" s="130" t="s">
        <v>385</v>
      </c>
      <c r="B8" s="131" t="s">
        <v>55</v>
      </c>
      <c r="C8" s="132" t="s">
        <v>409</v>
      </c>
      <c r="D8" s="131" t="s">
        <v>400</v>
      </c>
      <c r="E8" s="131" t="s">
        <v>497</v>
      </c>
      <c r="F8" s="131" t="s">
        <v>123</v>
      </c>
      <c r="G8" s="133">
        <v>2</v>
      </c>
      <c r="H8" s="142" t="s">
        <v>412</v>
      </c>
    </row>
    <row r="9" spans="1:8" ht="19.8" customHeight="1" x14ac:dyDescent="0.3">
      <c r="A9" s="130" t="s">
        <v>385</v>
      </c>
      <c r="B9" s="131" t="s">
        <v>80</v>
      </c>
      <c r="C9" s="132" t="s">
        <v>413</v>
      </c>
      <c r="D9" s="131" t="s">
        <v>400</v>
      </c>
      <c r="E9" s="131" t="s">
        <v>498</v>
      </c>
      <c r="F9" s="131" t="s">
        <v>82</v>
      </c>
      <c r="G9" s="133">
        <v>5</v>
      </c>
      <c r="H9" s="142" t="s">
        <v>415</v>
      </c>
    </row>
    <row r="10" spans="1:8" ht="19.8" customHeight="1" x14ac:dyDescent="0.3">
      <c r="A10" s="130" t="s">
        <v>385</v>
      </c>
      <c r="B10" s="131" t="s">
        <v>95</v>
      </c>
      <c r="C10" s="132" t="s">
        <v>416</v>
      </c>
      <c r="D10" s="131" t="s">
        <v>400</v>
      </c>
      <c r="E10" s="131" t="s">
        <v>499</v>
      </c>
      <c r="F10" s="131" t="s">
        <v>97</v>
      </c>
      <c r="G10" s="133">
        <v>1</v>
      </c>
      <c r="H10" s="142" t="s">
        <v>417</v>
      </c>
    </row>
    <row r="11" spans="1:8" ht="19.8" customHeight="1" x14ac:dyDescent="0.3">
      <c r="A11" s="130" t="s">
        <v>385</v>
      </c>
      <c r="B11" s="131" t="s">
        <v>95</v>
      </c>
      <c r="C11" s="132" t="s">
        <v>416</v>
      </c>
      <c r="D11" s="131" t="s">
        <v>400</v>
      </c>
      <c r="E11" s="131" t="s">
        <v>499</v>
      </c>
      <c r="F11" s="131" t="s">
        <v>99</v>
      </c>
      <c r="G11" s="133">
        <v>1</v>
      </c>
      <c r="H11" s="142" t="s">
        <v>418</v>
      </c>
    </row>
    <row r="12" spans="1:8" ht="19.8" customHeight="1" x14ac:dyDescent="0.3">
      <c r="A12" s="135" t="s">
        <v>385</v>
      </c>
      <c r="B12" s="136" t="s">
        <v>66</v>
      </c>
      <c r="C12" s="137" t="s">
        <v>419</v>
      </c>
      <c r="D12" s="136" t="s">
        <v>400</v>
      </c>
      <c r="E12" s="136" t="s">
        <v>467</v>
      </c>
      <c r="F12" s="136" t="s">
        <v>74</v>
      </c>
      <c r="G12" s="136"/>
      <c r="H12" s="139" t="s">
        <v>75</v>
      </c>
    </row>
    <row r="13" spans="1:8" ht="19.8" customHeight="1" x14ac:dyDescent="0.3">
      <c r="A13" s="143">
        <v>45983</v>
      </c>
      <c r="B13" s="136" t="s">
        <v>66</v>
      </c>
      <c r="C13" s="137" t="s">
        <v>421</v>
      </c>
      <c r="D13" s="136" t="s">
        <v>400</v>
      </c>
      <c r="E13" s="144">
        <v>1.791666666666667</v>
      </c>
      <c r="F13" s="136" t="s">
        <v>74</v>
      </c>
      <c r="G13" s="136"/>
      <c r="H13" s="139" t="s">
        <v>75</v>
      </c>
    </row>
    <row r="14" spans="1:8" ht="19.8" customHeight="1" x14ac:dyDescent="0.3">
      <c r="A14" s="173"/>
      <c r="B14" s="174"/>
      <c r="C14" s="174"/>
      <c r="D14" s="174"/>
      <c r="E14" s="174"/>
      <c r="F14" s="175" t="s">
        <v>500</v>
      </c>
      <c r="G14" s="174"/>
      <c r="H14" s="176"/>
    </row>
    <row r="15" spans="1:8" ht="19.8" customHeight="1" x14ac:dyDescent="0.3">
      <c r="A15" s="140">
        <v>45983</v>
      </c>
      <c r="B15" s="131" t="s">
        <v>26</v>
      </c>
      <c r="C15" s="132" t="s">
        <v>27</v>
      </c>
      <c r="D15" s="131" t="s">
        <v>1</v>
      </c>
      <c r="E15" s="141">
        <v>1.1284722222222221</v>
      </c>
      <c r="F15" s="131" t="s">
        <v>28</v>
      </c>
      <c r="G15" s="133">
        <v>1</v>
      </c>
      <c r="H15" s="134">
        <v>589</v>
      </c>
    </row>
    <row r="16" spans="1:8" ht="19.8" customHeight="1" x14ac:dyDescent="0.3">
      <c r="A16" s="140">
        <v>45983</v>
      </c>
      <c r="B16" s="131" t="s">
        <v>26</v>
      </c>
      <c r="C16" s="132" t="s">
        <v>31</v>
      </c>
      <c r="D16" s="131" t="s">
        <v>1</v>
      </c>
      <c r="E16" s="141">
        <v>1.302083333333333</v>
      </c>
      <c r="F16" s="131" t="s">
        <v>28</v>
      </c>
      <c r="G16" s="133">
        <v>5</v>
      </c>
      <c r="H16" s="134">
        <v>639</v>
      </c>
    </row>
    <row r="17" spans="1:8" ht="19.8" customHeight="1" x14ac:dyDescent="0.3">
      <c r="A17" s="140">
        <v>45983</v>
      </c>
      <c r="B17" s="131" t="s">
        <v>26</v>
      </c>
      <c r="C17" s="132" t="s">
        <v>34</v>
      </c>
      <c r="D17" s="131" t="s">
        <v>1</v>
      </c>
      <c r="E17" s="141">
        <v>1.8888888888888891</v>
      </c>
      <c r="F17" s="131" t="s">
        <v>28</v>
      </c>
      <c r="G17" s="133">
        <v>11</v>
      </c>
      <c r="H17" s="134">
        <v>639</v>
      </c>
    </row>
    <row r="18" spans="1:8" ht="19.8" customHeight="1" x14ac:dyDescent="0.3">
      <c r="A18" s="140">
        <v>45983</v>
      </c>
      <c r="B18" s="131" t="s">
        <v>39</v>
      </c>
      <c r="C18" s="132" t="s">
        <v>40</v>
      </c>
      <c r="D18" s="131" t="s">
        <v>1</v>
      </c>
      <c r="E18" s="141">
        <v>1.9027777777777779</v>
      </c>
      <c r="F18" s="131" t="s">
        <v>41</v>
      </c>
      <c r="G18" s="133">
        <v>9</v>
      </c>
      <c r="H18" s="134">
        <v>669</v>
      </c>
    </row>
    <row r="19" spans="1:8" ht="19.8" customHeight="1" x14ac:dyDescent="0.3">
      <c r="A19" s="140">
        <v>45983</v>
      </c>
      <c r="B19" s="131" t="s">
        <v>39</v>
      </c>
      <c r="C19" s="132" t="s">
        <v>44</v>
      </c>
      <c r="D19" s="131" t="s">
        <v>1</v>
      </c>
      <c r="E19" s="141">
        <v>1.6597222222222221</v>
      </c>
      <c r="F19" s="131" t="s">
        <v>41</v>
      </c>
      <c r="G19" s="133">
        <v>7</v>
      </c>
      <c r="H19" s="134">
        <v>669</v>
      </c>
    </row>
    <row r="20" spans="1:8" ht="19.8" customHeight="1" x14ac:dyDescent="0.3">
      <c r="A20" s="140">
        <v>45983</v>
      </c>
      <c r="B20" s="131" t="s">
        <v>39</v>
      </c>
      <c r="C20" s="132" t="s">
        <v>46</v>
      </c>
      <c r="D20" s="131" t="s">
        <v>1</v>
      </c>
      <c r="E20" s="141">
        <v>1.5173611111111109</v>
      </c>
      <c r="F20" s="131" t="s">
        <v>41</v>
      </c>
      <c r="G20" s="133">
        <v>1</v>
      </c>
      <c r="H20" s="134">
        <v>669</v>
      </c>
    </row>
    <row r="21" spans="1:8" ht="19.8" customHeight="1" x14ac:dyDescent="0.3">
      <c r="A21" s="140">
        <v>45983</v>
      </c>
      <c r="B21" s="131" t="s">
        <v>39</v>
      </c>
      <c r="C21" s="132" t="s">
        <v>48</v>
      </c>
      <c r="D21" s="131" t="s">
        <v>1</v>
      </c>
      <c r="E21" s="141">
        <v>1.854166666666667</v>
      </c>
      <c r="F21" s="131" t="s">
        <v>41</v>
      </c>
      <c r="G21" s="133">
        <v>1</v>
      </c>
      <c r="H21" s="134">
        <v>669</v>
      </c>
    </row>
    <row r="22" spans="1:8" ht="19.8" customHeight="1" x14ac:dyDescent="0.3">
      <c r="A22" s="140">
        <v>45983</v>
      </c>
      <c r="B22" s="131" t="s">
        <v>39</v>
      </c>
      <c r="C22" s="132" t="s">
        <v>49</v>
      </c>
      <c r="D22" s="131" t="s">
        <v>1</v>
      </c>
      <c r="E22" s="141">
        <v>1.395833333333333</v>
      </c>
      <c r="F22" s="131" t="s">
        <v>41</v>
      </c>
      <c r="G22" s="133">
        <v>8</v>
      </c>
      <c r="H22" s="134">
        <v>669</v>
      </c>
    </row>
    <row r="23" spans="1:8" ht="19.8" customHeight="1" x14ac:dyDescent="0.3">
      <c r="A23" s="140">
        <v>45983</v>
      </c>
      <c r="B23" s="131" t="s">
        <v>39</v>
      </c>
      <c r="C23" s="132" t="s">
        <v>51</v>
      </c>
      <c r="D23" s="131" t="s">
        <v>1</v>
      </c>
      <c r="E23" s="141">
        <v>1.7986111111111109</v>
      </c>
      <c r="F23" s="131" t="s">
        <v>41</v>
      </c>
      <c r="G23" s="133">
        <v>4</v>
      </c>
      <c r="H23" s="134">
        <v>669</v>
      </c>
    </row>
    <row r="24" spans="1:8" ht="19.8" customHeight="1" x14ac:dyDescent="0.3">
      <c r="A24" s="151">
        <v>45983</v>
      </c>
      <c r="B24" s="152" t="s">
        <v>26</v>
      </c>
      <c r="C24" s="153" t="s">
        <v>36</v>
      </c>
      <c r="D24" s="152" t="s">
        <v>1</v>
      </c>
      <c r="E24" s="154">
        <v>1.788194444444444</v>
      </c>
      <c r="F24" s="152" t="s">
        <v>28</v>
      </c>
      <c r="G24" s="155">
        <v>13</v>
      </c>
      <c r="H24" s="177">
        <v>689</v>
      </c>
    </row>
    <row r="25" spans="1:8" ht="19.8" customHeight="1" x14ac:dyDescent="0.3">
      <c r="A25" s="140">
        <v>45984</v>
      </c>
      <c r="B25" s="131" t="s">
        <v>55</v>
      </c>
      <c r="C25" s="132" t="s">
        <v>409</v>
      </c>
      <c r="D25" s="131" t="s">
        <v>400</v>
      </c>
      <c r="E25" s="141">
        <v>1.5277777777777779</v>
      </c>
      <c r="F25" s="131" t="s">
        <v>404</v>
      </c>
      <c r="G25" s="133">
        <v>8</v>
      </c>
      <c r="H25" s="134">
        <v>815</v>
      </c>
    </row>
    <row r="26" spans="1:8" ht="19.8" customHeight="1" x14ac:dyDescent="0.3">
      <c r="A26" s="140">
        <v>45984</v>
      </c>
      <c r="B26" s="131" t="s">
        <v>55</v>
      </c>
      <c r="C26" s="132" t="s">
        <v>409</v>
      </c>
      <c r="D26" s="131" t="s">
        <v>400</v>
      </c>
      <c r="E26" s="141">
        <v>1.5277777777777779</v>
      </c>
      <c r="F26" s="131" t="s">
        <v>406</v>
      </c>
      <c r="G26" s="133">
        <v>8</v>
      </c>
      <c r="H26" s="134">
        <v>879</v>
      </c>
    </row>
    <row r="27" spans="1:8" ht="19.8" customHeight="1" x14ac:dyDescent="0.3">
      <c r="A27" s="143">
        <v>45984</v>
      </c>
      <c r="B27" s="136" t="s">
        <v>66</v>
      </c>
      <c r="C27" s="137" t="s">
        <v>435</v>
      </c>
      <c r="D27" s="136" t="s">
        <v>400</v>
      </c>
      <c r="E27" s="144">
        <v>1.489583333333333</v>
      </c>
      <c r="F27" s="136" t="s">
        <v>68</v>
      </c>
      <c r="G27" s="138">
        <v>2</v>
      </c>
      <c r="H27" s="150">
        <v>952</v>
      </c>
    </row>
    <row r="28" spans="1:8" ht="19.8" customHeight="1" x14ac:dyDescent="0.3">
      <c r="A28" s="140">
        <v>45984</v>
      </c>
      <c r="B28" s="131" t="s">
        <v>55</v>
      </c>
      <c r="C28" s="132" t="s">
        <v>409</v>
      </c>
      <c r="D28" s="131" t="s">
        <v>400</v>
      </c>
      <c r="E28" s="141">
        <v>1.5277777777777779</v>
      </c>
      <c r="F28" s="131" t="s">
        <v>123</v>
      </c>
      <c r="G28" s="133">
        <v>8</v>
      </c>
      <c r="H28" s="142" t="s">
        <v>434</v>
      </c>
    </row>
    <row r="29" spans="1:8" ht="19.8" customHeight="1" x14ac:dyDescent="0.3">
      <c r="A29" s="140">
        <v>45984</v>
      </c>
      <c r="B29" s="131" t="s">
        <v>95</v>
      </c>
      <c r="C29" s="132" t="s">
        <v>416</v>
      </c>
      <c r="D29" s="131" t="s">
        <v>400</v>
      </c>
      <c r="E29" s="141">
        <v>1.711805555555556</v>
      </c>
      <c r="F29" s="131" t="s">
        <v>97</v>
      </c>
      <c r="G29" s="133">
        <v>9</v>
      </c>
      <c r="H29" s="142" t="s">
        <v>440</v>
      </c>
    </row>
    <row r="30" spans="1:8" ht="19.8" customHeight="1" x14ac:dyDescent="0.3">
      <c r="A30" s="140">
        <v>45984</v>
      </c>
      <c r="B30" s="131" t="s">
        <v>95</v>
      </c>
      <c r="C30" s="132" t="s">
        <v>416</v>
      </c>
      <c r="D30" s="131" t="s">
        <v>400</v>
      </c>
      <c r="E30" s="141">
        <v>1.711805555555556</v>
      </c>
      <c r="F30" s="131" t="s">
        <v>99</v>
      </c>
      <c r="G30" s="133">
        <v>9</v>
      </c>
      <c r="H30" s="142" t="s">
        <v>441</v>
      </c>
    </row>
    <row r="31" spans="1:8" ht="19.8" customHeight="1" x14ac:dyDescent="0.3">
      <c r="A31" s="143">
        <v>45984</v>
      </c>
      <c r="B31" s="136" t="s">
        <v>66</v>
      </c>
      <c r="C31" s="137" t="s">
        <v>421</v>
      </c>
      <c r="D31" s="136" t="s">
        <v>400</v>
      </c>
      <c r="E31" s="144">
        <v>1.6875</v>
      </c>
      <c r="F31" s="136" t="s">
        <v>74</v>
      </c>
      <c r="G31" s="136"/>
      <c r="H31" s="139" t="s">
        <v>75</v>
      </c>
    </row>
    <row r="32" spans="1:8" ht="19.8" customHeight="1" x14ac:dyDescent="0.3">
      <c r="A32" s="173"/>
      <c r="B32" s="174"/>
      <c r="C32" s="174"/>
      <c r="D32" s="174"/>
      <c r="E32" s="174"/>
      <c r="F32" s="175" t="s">
        <v>500</v>
      </c>
      <c r="G32" s="174"/>
      <c r="H32" s="176"/>
    </row>
    <row r="33" spans="1:8" ht="19.8" customHeight="1" x14ac:dyDescent="0.3">
      <c r="A33" s="140">
        <v>45984</v>
      </c>
      <c r="B33" s="131" t="s">
        <v>26</v>
      </c>
      <c r="C33" s="132" t="s">
        <v>36</v>
      </c>
      <c r="D33" s="131" t="s">
        <v>1</v>
      </c>
      <c r="E33" s="141">
        <v>1.788194444444444</v>
      </c>
      <c r="F33" s="131" t="s">
        <v>119</v>
      </c>
      <c r="G33" s="133">
        <v>1</v>
      </c>
      <c r="H33" s="134">
        <v>539</v>
      </c>
    </row>
    <row r="34" spans="1:8" ht="19.8" customHeight="1" x14ac:dyDescent="0.3">
      <c r="A34" s="140">
        <v>45984</v>
      </c>
      <c r="B34" s="131" t="s">
        <v>26</v>
      </c>
      <c r="C34" s="132" t="s">
        <v>34</v>
      </c>
      <c r="D34" s="131" t="s">
        <v>1</v>
      </c>
      <c r="E34" s="141">
        <v>1.8888888888888891</v>
      </c>
      <c r="F34" s="131" t="s">
        <v>119</v>
      </c>
      <c r="G34" s="133">
        <v>5</v>
      </c>
      <c r="H34" s="134">
        <v>539</v>
      </c>
    </row>
    <row r="35" spans="1:8" ht="19.8" customHeight="1" x14ac:dyDescent="0.3">
      <c r="A35" s="140">
        <v>45984</v>
      </c>
      <c r="B35" s="131" t="s">
        <v>66</v>
      </c>
      <c r="C35" s="132" t="s">
        <v>130</v>
      </c>
      <c r="D35" s="131" t="s">
        <v>1</v>
      </c>
      <c r="E35" s="141">
        <v>1.333333333333333</v>
      </c>
      <c r="F35" s="131" t="s">
        <v>68</v>
      </c>
      <c r="G35" s="133">
        <v>1</v>
      </c>
      <c r="H35" s="134">
        <v>586</v>
      </c>
    </row>
    <row r="36" spans="1:8" ht="19.8" customHeight="1" x14ac:dyDescent="0.3">
      <c r="A36" s="140">
        <v>45984</v>
      </c>
      <c r="B36" s="131" t="s">
        <v>26</v>
      </c>
      <c r="C36" s="132" t="s">
        <v>27</v>
      </c>
      <c r="D36" s="131" t="s">
        <v>1</v>
      </c>
      <c r="E36" s="141">
        <v>1.1284722222222221</v>
      </c>
      <c r="F36" s="131" t="s">
        <v>119</v>
      </c>
      <c r="G36" s="133">
        <v>3</v>
      </c>
      <c r="H36" s="134">
        <v>589</v>
      </c>
    </row>
    <row r="37" spans="1:8" ht="19.8" customHeight="1" x14ac:dyDescent="0.3">
      <c r="A37" s="140">
        <v>45984</v>
      </c>
      <c r="B37" s="131" t="s">
        <v>39</v>
      </c>
      <c r="C37" s="132" t="s">
        <v>53</v>
      </c>
      <c r="D37" s="131" t="s">
        <v>1</v>
      </c>
      <c r="E37" s="141">
        <v>1.256944444444444</v>
      </c>
      <c r="F37" s="131" t="s">
        <v>149</v>
      </c>
      <c r="G37" s="133">
        <v>1</v>
      </c>
      <c r="H37" s="134">
        <v>589</v>
      </c>
    </row>
    <row r="38" spans="1:8" ht="19.8" customHeight="1" x14ac:dyDescent="0.3">
      <c r="A38" s="140">
        <v>45984</v>
      </c>
      <c r="B38" s="131" t="s">
        <v>39</v>
      </c>
      <c r="C38" s="132" t="s">
        <v>40</v>
      </c>
      <c r="D38" s="131" t="s">
        <v>1</v>
      </c>
      <c r="E38" s="141">
        <v>1.9027777777777779</v>
      </c>
      <c r="F38" s="131" t="s">
        <v>149</v>
      </c>
      <c r="G38" s="133">
        <v>9</v>
      </c>
      <c r="H38" s="134">
        <v>589</v>
      </c>
    </row>
    <row r="39" spans="1:8" ht="19.8" customHeight="1" x14ac:dyDescent="0.3">
      <c r="A39" s="140">
        <v>45984</v>
      </c>
      <c r="B39" s="131" t="s">
        <v>39</v>
      </c>
      <c r="C39" s="132" t="s">
        <v>48</v>
      </c>
      <c r="D39" s="131" t="s">
        <v>1</v>
      </c>
      <c r="E39" s="141">
        <v>1.854166666666667</v>
      </c>
      <c r="F39" s="131" t="s">
        <v>149</v>
      </c>
      <c r="G39" s="133">
        <v>9</v>
      </c>
      <c r="H39" s="134">
        <v>589</v>
      </c>
    </row>
    <row r="40" spans="1:8" ht="19.8" customHeight="1" x14ac:dyDescent="0.3">
      <c r="A40" s="140">
        <v>45984</v>
      </c>
      <c r="B40" s="131" t="s">
        <v>39</v>
      </c>
      <c r="C40" s="132" t="s">
        <v>153</v>
      </c>
      <c r="D40" s="131" t="s">
        <v>1</v>
      </c>
      <c r="E40" s="141">
        <v>1.302083333333333</v>
      </c>
      <c r="F40" s="131" t="s">
        <v>149</v>
      </c>
      <c r="G40" s="133">
        <v>3</v>
      </c>
      <c r="H40" s="134">
        <v>589</v>
      </c>
    </row>
    <row r="41" spans="1:8" ht="19.8" customHeight="1" x14ac:dyDescent="0.3">
      <c r="A41" s="140">
        <v>45984</v>
      </c>
      <c r="B41" s="131" t="s">
        <v>39</v>
      </c>
      <c r="C41" s="132" t="s">
        <v>51</v>
      </c>
      <c r="D41" s="131" t="s">
        <v>1</v>
      </c>
      <c r="E41" s="141">
        <v>1.7986111111111109</v>
      </c>
      <c r="F41" s="131" t="s">
        <v>149</v>
      </c>
      <c r="G41" s="133">
        <v>9</v>
      </c>
      <c r="H41" s="134">
        <v>589</v>
      </c>
    </row>
    <row r="42" spans="1:8" ht="19.8" customHeight="1" x14ac:dyDescent="0.3">
      <c r="A42" s="151">
        <v>45984</v>
      </c>
      <c r="B42" s="152" t="s">
        <v>61</v>
      </c>
      <c r="C42" s="153" t="s">
        <v>62</v>
      </c>
      <c r="D42" s="152" t="s">
        <v>1</v>
      </c>
      <c r="E42" s="154">
        <v>1.666666666666667</v>
      </c>
      <c r="F42" s="152" t="s">
        <v>63</v>
      </c>
      <c r="G42" s="155">
        <v>2</v>
      </c>
      <c r="H42" s="177">
        <v>599</v>
      </c>
    </row>
    <row r="43" spans="1:8" ht="19.8" customHeight="1" x14ac:dyDescent="0.3">
      <c r="A43" s="140">
        <v>45985</v>
      </c>
      <c r="B43" s="131" t="s">
        <v>55</v>
      </c>
      <c r="C43" s="132" t="s">
        <v>444</v>
      </c>
      <c r="D43" s="131" t="s">
        <v>400</v>
      </c>
      <c r="E43" s="141">
        <v>1.2951388888888891</v>
      </c>
      <c r="F43" s="131" t="s">
        <v>404</v>
      </c>
      <c r="G43" s="133">
        <v>5</v>
      </c>
      <c r="H43" s="134">
        <v>526</v>
      </c>
    </row>
    <row r="44" spans="1:8" ht="19.8" customHeight="1" x14ac:dyDescent="0.3">
      <c r="A44" s="140">
        <v>45985</v>
      </c>
      <c r="B44" s="131" t="s">
        <v>55</v>
      </c>
      <c r="C44" s="132" t="s">
        <v>444</v>
      </c>
      <c r="D44" s="131" t="s">
        <v>400</v>
      </c>
      <c r="E44" s="141">
        <v>1.2951388888888891</v>
      </c>
      <c r="F44" s="131" t="s">
        <v>406</v>
      </c>
      <c r="G44" s="133">
        <v>5</v>
      </c>
      <c r="H44" s="134">
        <v>580</v>
      </c>
    </row>
    <row r="45" spans="1:8" ht="19.8" customHeight="1" x14ac:dyDescent="0.3">
      <c r="A45" s="140">
        <v>45985</v>
      </c>
      <c r="B45" s="131" t="s">
        <v>55</v>
      </c>
      <c r="C45" s="132" t="s">
        <v>444</v>
      </c>
      <c r="D45" s="131" t="s">
        <v>400</v>
      </c>
      <c r="E45" s="141">
        <v>1.2951388888888891</v>
      </c>
      <c r="F45" s="131" t="s">
        <v>123</v>
      </c>
      <c r="G45" s="133">
        <v>5</v>
      </c>
      <c r="H45" s="134">
        <v>650</v>
      </c>
    </row>
    <row r="46" spans="1:8" ht="19.8" customHeight="1" x14ac:dyDescent="0.3">
      <c r="A46" s="140">
        <v>45985</v>
      </c>
      <c r="B46" s="131" t="s">
        <v>95</v>
      </c>
      <c r="C46" s="132" t="s">
        <v>416</v>
      </c>
      <c r="D46" s="131" t="s">
        <v>400</v>
      </c>
      <c r="E46" s="141">
        <v>1.711805555555556</v>
      </c>
      <c r="F46" s="131" t="s">
        <v>97</v>
      </c>
      <c r="G46" s="133">
        <v>9</v>
      </c>
      <c r="H46" s="142" t="s">
        <v>440</v>
      </c>
    </row>
    <row r="47" spans="1:8" ht="19.8" customHeight="1" x14ac:dyDescent="0.3">
      <c r="A47" s="140">
        <v>45985</v>
      </c>
      <c r="B47" s="131" t="s">
        <v>95</v>
      </c>
      <c r="C47" s="132" t="s">
        <v>416</v>
      </c>
      <c r="D47" s="131" t="s">
        <v>400</v>
      </c>
      <c r="E47" s="141">
        <v>1.711805555555556</v>
      </c>
      <c r="F47" s="131" t="s">
        <v>99</v>
      </c>
      <c r="G47" s="133">
        <v>9</v>
      </c>
      <c r="H47" s="142" t="s">
        <v>441</v>
      </c>
    </row>
    <row r="48" spans="1:8" ht="19.8" customHeight="1" x14ac:dyDescent="0.3">
      <c r="A48" s="143">
        <v>45985</v>
      </c>
      <c r="B48" s="136" t="s">
        <v>66</v>
      </c>
      <c r="C48" s="137" t="s">
        <v>419</v>
      </c>
      <c r="D48" s="136" t="s">
        <v>400</v>
      </c>
      <c r="E48" s="144">
        <v>1.336805555555556</v>
      </c>
      <c r="F48" s="136" t="s">
        <v>74</v>
      </c>
      <c r="G48" s="136"/>
      <c r="H48" s="139" t="s">
        <v>75</v>
      </c>
    </row>
    <row r="49" spans="1:8" ht="19.8" customHeight="1" x14ac:dyDescent="0.3">
      <c r="A49" s="143">
        <v>45985</v>
      </c>
      <c r="B49" s="136" t="s">
        <v>66</v>
      </c>
      <c r="C49" s="137" t="s">
        <v>421</v>
      </c>
      <c r="D49" s="136" t="s">
        <v>400</v>
      </c>
      <c r="E49" s="144">
        <v>1.645833333333333</v>
      </c>
      <c r="F49" s="136" t="s">
        <v>74</v>
      </c>
      <c r="G49" s="136"/>
      <c r="H49" s="139" t="s">
        <v>75</v>
      </c>
    </row>
    <row r="50" spans="1:8" ht="19.8" customHeight="1" x14ac:dyDescent="0.3">
      <c r="A50" s="173"/>
      <c r="B50" s="174"/>
      <c r="C50" s="174"/>
      <c r="D50" s="174"/>
      <c r="E50" s="174"/>
      <c r="F50" s="175" t="s">
        <v>500</v>
      </c>
      <c r="G50" s="174"/>
      <c r="H50" s="176"/>
    </row>
    <row r="51" spans="1:8" ht="19.8" customHeight="1" x14ac:dyDescent="0.3">
      <c r="A51" s="140">
        <v>45985</v>
      </c>
      <c r="B51" s="131" t="s">
        <v>26</v>
      </c>
      <c r="C51" s="132" t="s">
        <v>27</v>
      </c>
      <c r="D51" s="131" t="s">
        <v>1</v>
      </c>
      <c r="E51" s="141">
        <v>1.1284722222222221</v>
      </c>
      <c r="F51" s="131" t="s">
        <v>119</v>
      </c>
      <c r="G51" s="133">
        <v>10</v>
      </c>
      <c r="H51" s="134">
        <v>459</v>
      </c>
    </row>
    <row r="52" spans="1:8" ht="19.8" customHeight="1" x14ac:dyDescent="0.3">
      <c r="A52" s="140">
        <v>45985</v>
      </c>
      <c r="B52" s="131" t="s">
        <v>26</v>
      </c>
      <c r="C52" s="132" t="s">
        <v>31</v>
      </c>
      <c r="D52" s="131" t="s">
        <v>1</v>
      </c>
      <c r="E52" s="141">
        <v>1.302083333333333</v>
      </c>
      <c r="F52" s="131" t="s">
        <v>119</v>
      </c>
      <c r="G52" s="133">
        <v>10</v>
      </c>
      <c r="H52" s="134">
        <v>499</v>
      </c>
    </row>
    <row r="53" spans="1:8" ht="19.8" customHeight="1" x14ac:dyDescent="0.3">
      <c r="A53" s="140">
        <v>45985</v>
      </c>
      <c r="B53" s="131" t="s">
        <v>26</v>
      </c>
      <c r="C53" s="132" t="s">
        <v>34</v>
      </c>
      <c r="D53" s="131" t="s">
        <v>1</v>
      </c>
      <c r="E53" s="141">
        <v>1.8888888888888891</v>
      </c>
      <c r="F53" s="131" t="s">
        <v>119</v>
      </c>
      <c r="G53" s="133">
        <v>5</v>
      </c>
      <c r="H53" s="134">
        <v>499</v>
      </c>
    </row>
    <row r="54" spans="1:8" ht="19.8" customHeight="1" x14ac:dyDescent="0.3">
      <c r="A54" s="140">
        <v>45985</v>
      </c>
      <c r="B54" s="131" t="s">
        <v>39</v>
      </c>
      <c r="C54" s="132" t="s">
        <v>53</v>
      </c>
      <c r="D54" s="131" t="s">
        <v>1</v>
      </c>
      <c r="E54" s="141">
        <v>1.256944444444444</v>
      </c>
      <c r="F54" s="131" t="s">
        <v>149</v>
      </c>
      <c r="G54" s="133">
        <v>8</v>
      </c>
      <c r="H54" s="134">
        <v>509</v>
      </c>
    </row>
    <row r="55" spans="1:8" ht="19.8" customHeight="1" x14ac:dyDescent="0.3">
      <c r="A55" s="140">
        <v>45985</v>
      </c>
      <c r="B55" s="131" t="s">
        <v>39</v>
      </c>
      <c r="C55" s="132" t="s">
        <v>40</v>
      </c>
      <c r="D55" s="131" t="s">
        <v>1</v>
      </c>
      <c r="E55" s="141">
        <v>1.9027777777777779</v>
      </c>
      <c r="F55" s="131" t="s">
        <v>149</v>
      </c>
      <c r="G55" s="133">
        <v>5</v>
      </c>
      <c r="H55" s="134">
        <v>509</v>
      </c>
    </row>
    <row r="56" spans="1:8" ht="19.8" customHeight="1" x14ac:dyDescent="0.3">
      <c r="A56" s="140">
        <v>45985</v>
      </c>
      <c r="B56" s="131" t="s">
        <v>39</v>
      </c>
      <c r="C56" s="132" t="s">
        <v>44</v>
      </c>
      <c r="D56" s="131" t="s">
        <v>1</v>
      </c>
      <c r="E56" s="141">
        <v>1.645833333333333</v>
      </c>
      <c r="F56" s="131" t="s">
        <v>149</v>
      </c>
      <c r="G56" s="133">
        <v>2</v>
      </c>
      <c r="H56" s="134">
        <v>509</v>
      </c>
    </row>
    <row r="57" spans="1:8" ht="19.8" customHeight="1" x14ac:dyDescent="0.3">
      <c r="A57" s="140">
        <v>45985</v>
      </c>
      <c r="B57" s="131" t="s">
        <v>39</v>
      </c>
      <c r="C57" s="132" t="s">
        <v>46</v>
      </c>
      <c r="D57" s="131" t="s">
        <v>1</v>
      </c>
      <c r="E57" s="141">
        <v>1.5173611111111109</v>
      </c>
      <c r="F57" s="131" t="s">
        <v>149</v>
      </c>
      <c r="G57" s="133">
        <v>6</v>
      </c>
      <c r="H57" s="134">
        <v>509</v>
      </c>
    </row>
    <row r="58" spans="1:8" ht="19.8" customHeight="1" x14ac:dyDescent="0.3">
      <c r="A58" s="140">
        <v>45985</v>
      </c>
      <c r="B58" s="131" t="s">
        <v>39</v>
      </c>
      <c r="C58" s="132" t="s">
        <v>51</v>
      </c>
      <c r="D58" s="131" t="s">
        <v>1</v>
      </c>
      <c r="E58" s="141">
        <v>1.7986111111111109</v>
      </c>
      <c r="F58" s="131" t="s">
        <v>149</v>
      </c>
      <c r="G58" s="133">
        <v>9</v>
      </c>
      <c r="H58" s="134">
        <v>509</v>
      </c>
    </row>
    <row r="59" spans="1:8" ht="19.8" customHeight="1" x14ac:dyDescent="0.3">
      <c r="A59" s="140">
        <v>45985</v>
      </c>
      <c r="B59" s="131" t="s">
        <v>39</v>
      </c>
      <c r="C59" s="132" t="s">
        <v>48</v>
      </c>
      <c r="D59" s="131" t="s">
        <v>1</v>
      </c>
      <c r="E59" s="141">
        <v>1.854166666666667</v>
      </c>
      <c r="F59" s="131" t="s">
        <v>149</v>
      </c>
      <c r="G59" s="133">
        <v>9</v>
      </c>
      <c r="H59" s="134">
        <v>549</v>
      </c>
    </row>
    <row r="60" spans="1:8" ht="19.8" customHeight="1" x14ac:dyDescent="0.3">
      <c r="A60" s="151">
        <v>45985</v>
      </c>
      <c r="B60" s="152" t="s">
        <v>39</v>
      </c>
      <c r="C60" s="153" t="s">
        <v>49</v>
      </c>
      <c r="D60" s="152" t="s">
        <v>1</v>
      </c>
      <c r="E60" s="154">
        <v>1.395833333333333</v>
      </c>
      <c r="F60" s="152" t="s">
        <v>149</v>
      </c>
      <c r="G60" s="155">
        <v>9</v>
      </c>
      <c r="H60" s="177">
        <v>549</v>
      </c>
    </row>
    <row r="61" spans="1:8" ht="19.8" customHeight="1" x14ac:dyDescent="0.3">
      <c r="A61" s="140">
        <v>45986</v>
      </c>
      <c r="B61" s="131" t="s">
        <v>55</v>
      </c>
      <c r="C61" s="132" t="s">
        <v>452</v>
      </c>
      <c r="D61" s="131" t="s">
        <v>400</v>
      </c>
      <c r="E61" s="141">
        <v>1.1875</v>
      </c>
      <c r="F61" s="131" t="s">
        <v>404</v>
      </c>
      <c r="G61" s="133">
        <v>9</v>
      </c>
      <c r="H61" s="134">
        <v>496</v>
      </c>
    </row>
    <row r="62" spans="1:8" ht="19.8" customHeight="1" x14ac:dyDescent="0.3">
      <c r="A62" s="140">
        <v>45986</v>
      </c>
      <c r="B62" s="131" t="s">
        <v>26</v>
      </c>
      <c r="C62" s="132" t="s">
        <v>401</v>
      </c>
      <c r="D62" s="131" t="s">
        <v>400</v>
      </c>
      <c r="E62" s="141">
        <v>1.256944444444444</v>
      </c>
      <c r="F62" s="131" t="s">
        <v>402</v>
      </c>
      <c r="G62" s="133">
        <v>5</v>
      </c>
      <c r="H62" s="134">
        <v>519</v>
      </c>
    </row>
    <row r="63" spans="1:8" ht="19.8" customHeight="1" x14ac:dyDescent="0.3">
      <c r="A63" s="140">
        <v>45986</v>
      </c>
      <c r="B63" s="131" t="s">
        <v>55</v>
      </c>
      <c r="C63" s="132" t="s">
        <v>452</v>
      </c>
      <c r="D63" s="131" t="s">
        <v>400</v>
      </c>
      <c r="E63" s="141">
        <v>1.1875</v>
      </c>
      <c r="F63" s="131" t="s">
        <v>406</v>
      </c>
      <c r="G63" s="133">
        <v>9</v>
      </c>
      <c r="H63" s="134">
        <v>550</v>
      </c>
    </row>
    <row r="64" spans="1:8" ht="19.8" customHeight="1" x14ac:dyDescent="0.3">
      <c r="A64" s="140">
        <v>45986</v>
      </c>
      <c r="B64" s="131" t="s">
        <v>26</v>
      </c>
      <c r="C64" s="132" t="s">
        <v>401</v>
      </c>
      <c r="D64" s="131" t="s">
        <v>400</v>
      </c>
      <c r="E64" s="141">
        <v>1.256944444444444</v>
      </c>
      <c r="F64" s="131" t="s">
        <v>404</v>
      </c>
      <c r="G64" s="133">
        <v>5</v>
      </c>
      <c r="H64" s="134">
        <v>578</v>
      </c>
    </row>
    <row r="65" spans="1:8" ht="19.8" customHeight="1" x14ac:dyDescent="0.3">
      <c r="A65" s="140">
        <v>45986</v>
      </c>
      <c r="B65" s="131" t="s">
        <v>26</v>
      </c>
      <c r="C65" s="132" t="s">
        <v>401</v>
      </c>
      <c r="D65" s="131" t="s">
        <v>400</v>
      </c>
      <c r="E65" s="141">
        <v>1.256944444444444</v>
      </c>
      <c r="F65" s="131" t="s">
        <v>406</v>
      </c>
      <c r="G65" s="133">
        <v>5</v>
      </c>
      <c r="H65" s="134">
        <v>602</v>
      </c>
    </row>
    <row r="66" spans="1:8" ht="19.8" customHeight="1" x14ac:dyDescent="0.3">
      <c r="A66" s="140">
        <v>45986</v>
      </c>
      <c r="B66" s="131" t="s">
        <v>55</v>
      </c>
      <c r="C66" s="132" t="s">
        <v>452</v>
      </c>
      <c r="D66" s="131" t="s">
        <v>400</v>
      </c>
      <c r="E66" s="141">
        <v>1.1875</v>
      </c>
      <c r="F66" s="131" t="s">
        <v>123</v>
      </c>
      <c r="G66" s="133">
        <v>9</v>
      </c>
      <c r="H66" s="134">
        <v>620</v>
      </c>
    </row>
    <row r="67" spans="1:8" ht="19.8" customHeight="1" x14ac:dyDescent="0.3">
      <c r="A67" s="140">
        <v>45986</v>
      </c>
      <c r="B67" s="131" t="s">
        <v>55</v>
      </c>
      <c r="C67" s="132" t="s">
        <v>409</v>
      </c>
      <c r="D67" s="131" t="s">
        <v>400</v>
      </c>
      <c r="E67" s="141">
        <v>1.5277777777777779</v>
      </c>
      <c r="F67" s="131" t="s">
        <v>404</v>
      </c>
      <c r="G67" s="133">
        <v>9</v>
      </c>
      <c r="H67" s="134">
        <v>660</v>
      </c>
    </row>
    <row r="68" spans="1:8" ht="19.8" customHeight="1" x14ac:dyDescent="0.3">
      <c r="A68" s="140">
        <v>45986</v>
      </c>
      <c r="B68" s="131" t="s">
        <v>55</v>
      </c>
      <c r="C68" s="132" t="s">
        <v>409</v>
      </c>
      <c r="D68" s="131" t="s">
        <v>400</v>
      </c>
      <c r="E68" s="141">
        <v>1.5277777777777779</v>
      </c>
      <c r="F68" s="131" t="s">
        <v>406</v>
      </c>
      <c r="G68" s="133">
        <v>9</v>
      </c>
      <c r="H68" s="134">
        <v>726</v>
      </c>
    </row>
    <row r="69" spans="1:8" ht="19.8" customHeight="1" x14ac:dyDescent="0.3">
      <c r="A69" s="140">
        <v>45986</v>
      </c>
      <c r="B69" s="131" t="s">
        <v>26</v>
      </c>
      <c r="C69" s="132" t="s">
        <v>401</v>
      </c>
      <c r="D69" s="131" t="s">
        <v>400</v>
      </c>
      <c r="E69" s="141">
        <v>1.256944444444444</v>
      </c>
      <c r="F69" s="131" t="s">
        <v>408</v>
      </c>
      <c r="G69" s="133">
        <v>5</v>
      </c>
      <c r="H69" s="134">
        <v>769</v>
      </c>
    </row>
    <row r="70" spans="1:8" ht="19.8" customHeight="1" x14ac:dyDescent="0.3">
      <c r="A70" s="140">
        <v>45986</v>
      </c>
      <c r="B70" s="131" t="s">
        <v>55</v>
      </c>
      <c r="C70" s="132" t="s">
        <v>409</v>
      </c>
      <c r="D70" s="131" t="s">
        <v>400</v>
      </c>
      <c r="E70" s="141">
        <v>1.5277777777777779</v>
      </c>
      <c r="F70" s="131" t="s">
        <v>123</v>
      </c>
      <c r="G70" s="133">
        <v>9</v>
      </c>
      <c r="H70" s="134">
        <v>788</v>
      </c>
    </row>
    <row r="71" spans="1:8" ht="19.8" customHeight="1" x14ac:dyDescent="0.3">
      <c r="A71" s="143">
        <v>45986</v>
      </c>
      <c r="B71" s="136" t="s">
        <v>66</v>
      </c>
      <c r="C71" s="137" t="s">
        <v>461</v>
      </c>
      <c r="D71" s="136" t="s">
        <v>400</v>
      </c>
      <c r="E71" s="144">
        <v>1.708333333333333</v>
      </c>
      <c r="F71" s="136" t="s">
        <v>68</v>
      </c>
      <c r="G71" s="138">
        <v>1</v>
      </c>
      <c r="H71" s="150">
        <v>856</v>
      </c>
    </row>
    <row r="72" spans="1:8" ht="19.8" customHeight="1" x14ac:dyDescent="0.3">
      <c r="A72" s="140">
        <v>45986</v>
      </c>
      <c r="B72" s="131" t="s">
        <v>80</v>
      </c>
      <c r="C72" s="132" t="s">
        <v>413</v>
      </c>
      <c r="D72" s="131" t="s">
        <v>400</v>
      </c>
      <c r="E72" s="141">
        <v>1.604166666666667</v>
      </c>
      <c r="F72" s="131" t="s">
        <v>82</v>
      </c>
      <c r="G72" s="133">
        <v>9</v>
      </c>
      <c r="H72" s="134">
        <v>906</v>
      </c>
    </row>
    <row r="73" spans="1:8" ht="19.8" customHeight="1" x14ac:dyDescent="0.3">
      <c r="A73" s="140">
        <v>45986</v>
      </c>
      <c r="B73" s="131" t="s">
        <v>95</v>
      </c>
      <c r="C73" s="132" t="s">
        <v>465</v>
      </c>
      <c r="D73" s="131" t="s">
        <v>400</v>
      </c>
      <c r="E73" s="141">
        <v>1.3402777777777779</v>
      </c>
      <c r="F73" s="131" t="s">
        <v>97</v>
      </c>
      <c r="G73" s="133">
        <v>9</v>
      </c>
      <c r="H73" s="142" t="s">
        <v>440</v>
      </c>
    </row>
    <row r="74" spans="1:8" ht="19.8" customHeight="1" x14ac:dyDescent="0.3">
      <c r="A74" s="140">
        <v>45986</v>
      </c>
      <c r="B74" s="131" t="s">
        <v>95</v>
      </c>
      <c r="C74" s="132" t="s">
        <v>416</v>
      </c>
      <c r="D74" s="131" t="s">
        <v>400</v>
      </c>
      <c r="E74" s="141">
        <v>1.711805555555556</v>
      </c>
      <c r="F74" s="131" t="s">
        <v>97</v>
      </c>
      <c r="G74" s="133">
        <v>9</v>
      </c>
      <c r="H74" s="142" t="s">
        <v>440</v>
      </c>
    </row>
    <row r="75" spans="1:8" ht="19.8" customHeight="1" x14ac:dyDescent="0.3">
      <c r="A75" s="140">
        <v>45986</v>
      </c>
      <c r="B75" s="131" t="s">
        <v>95</v>
      </c>
      <c r="C75" s="132" t="s">
        <v>465</v>
      </c>
      <c r="D75" s="131" t="s">
        <v>400</v>
      </c>
      <c r="E75" s="141">
        <v>1.3402777777777779</v>
      </c>
      <c r="F75" s="131" t="s">
        <v>99</v>
      </c>
      <c r="G75" s="133">
        <v>9</v>
      </c>
      <c r="H75" s="142" t="s">
        <v>441</v>
      </c>
    </row>
    <row r="76" spans="1:8" ht="19.8" customHeight="1" x14ac:dyDescent="0.3">
      <c r="A76" s="140">
        <v>45986</v>
      </c>
      <c r="B76" s="131" t="s">
        <v>95</v>
      </c>
      <c r="C76" s="132" t="s">
        <v>416</v>
      </c>
      <c r="D76" s="131" t="s">
        <v>400</v>
      </c>
      <c r="E76" s="141">
        <v>1.711805555555556</v>
      </c>
      <c r="F76" s="131" t="s">
        <v>99</v>
      </c>
      <c r="G76" s="133">
        <v>9</v>
      </c>
      <c r="H76" s="142" t="s">
        <v>441</v>
      </c>
    </row>
    <row r="77" spans="1:8" ht="19.8" customHeight="1" x14ac:dyDescent="0.3">
      <c r="A77" s="173"/>
      <c r="B77" s="174"/>
      <c r="C77" s="174"/>
      <c r="D77" s="174"/>
      <c r="E77" s="174"/>
      <c r="F77" s="175" t="s">
        <v>500</v>
      </c>
      <c r="G77" s="174"/>
      <c r="H77" s="176"/>
    </row>
    <row r="78" spans="1:8" ht="19.8" customHeight="1" x14ac:dyDescent="0.3">
      <c r="A78" s="140">
        <v>45986</v>
      </c>
      <c r="B78" s="131" t="s">
        <v>26</v>
      </c>
      <c r="C78" s="132" t="s">
        <v>27</v>
      </c>
      <c r="D78" s="131" t="s">
        <v>1</v>
      </c>
      <c r="E78" s="141">
        <v>1.1284722222222221</v>
      </c>
      <c r="F78" s="131" t="s">
        <v>119</v>
      </c>
      <c r="G78" s="133">
        <v>2</v>
      </c>
      <c r="H78" s="134">
        <v>389</v>
      </c>
    </row>
    <row r="79" spans="1:8" ht="19.8" customHeight="1" x14ac:dyDescent="0.3">
      <c r="A79" s="140">
        <v>45986</v>
      </c>
      <c r="B79" s="131" t="s">
        <v>61</v>
      </c>
      <c r="C79" s="132" t="s">
        <v>62</v>
      </c>
      <c r="D79" s="131" t="s">
        <v>1</v>
      </c>
      <c r="E79" s="141">
        <v>1.666666666666667</v>
      </c>
      <c r="F79" s="131" t="s">
        <v>63</v>
      </c>
      <c r="G79" s="133">
        <v>1</v>
      </c>
      <c r="H79" s="134">
        <v>401</v>
      </c>
    </row>
    <row r="80" spans="1:8" ht="19.8" customHeight="1" x14ac:dyDescent="0.3">
      <c r="A80" s="140">
        <v>45986</v>
      </c>
      <c r="B80" s="131" t="s">
        <v>61</v>
      </c>
      <c r="C80" s="132" t="s">
        <v>222</v>
      </c>
      <c r="D80" s="131" t="s">
        <v>1</v>
      </c>
      <c r="E80" s="141">
        <v>1.0451388888888891</v>
      </c>
      <c r="F80" s="131" t="s">
        <v>63</v>
      </c>
      <c r="G80" s="133">
        <v>1</v>
      </c>
      <c r="H80" s="134">
        <v>401</v>
      </c>
    </row>
    <row r="81" spans="1:8" ht="19.8" customHeight="1" x14ac:dyDescent="0.3">
      <c r="A81" s="140">
        <v>45986</v>
      </c>
      <c r="B81" s="131" t="s">
        <v>26</v>
      </c>
      <c r="C81" s="132" t="s">
        <v>31</v>
      </c>
      <c r="D81" s="131" t="s">
        <v>1</v>
      </c>
      <c r="E81" s="141">
        <v>1.302083333333333</v>
      </c>
      <c r="F81" s="131" t="s">
        <v>119</v>
      </c>
      <c r="G81" s="133">
        <v>2</v>
      </c>
      <c r="H81" s="134">
        <v>419</v>
      </c>
    </row>
    <row r="82" spans="1:8" ht="19.8" customHeight="1" x14ac:dyDescent="0.3">
      <c r="A82" s="140">
        <v>45986</v>
      </c>
      <c r="B82" s="131" t="s">
        <v>26</v>
      </c>
      <c r="C82" s="132" t="s">
        <v>36</v>
      </c>
      <c r="D82" s="131" t="s">
        <v>1</v>
      </c>
      <c r="E82" s="141">
        <v>1.788194444444444</v>
      </c>
      <c r="F82" s="131" t="s">
        <v>119</v>
      </c>
      <c r="G82" s="133">
        <v>9</v>
      </c>
      <c r="H82" s="134">
        <v>419</v>
      </c>
    </row>
    <row r="83" spans="1:8" ht="19.8" customHeight="1" x14ac:dyDescent="0.3">
      <c r="A83" s="140">
        <v>45986</v>
      </c>
      <c r="B83" s="131" t="s">
        <v>26</v>
      </c>
      <c r="C83" s="132" t="s">
        <v>34</v>
      </c>
      <c r="D83" s="131" t="s">
        <v>1</v>
      </c>
      <c r="E83" s="141">
        <v>1.8888888888888891</v>
      </c>
      <c r="F83" s="131" t="s">
        <v>119</v>
      </c>
      <c r="G83" s="133">
        <v>7</v>
      </c>
      <c r="H83" s="134">
        <v>419</v>
      </c>
    </row>
    <row r="84" spans="1:8" ht="19.8" customHeight="1" x14ac:dyDescent="0.3">
      <c r="A84" s="140">
        <v>45986</v>
      </c>
      <c r="B84" s="131" t="s">
        <v>39</v>
      </c>
      <c r="C84" s="132" t="s">
        <v>40</v>
      </c>
      <c r="D84" s="131" t="s">
        <v>1</v>
      </c>
      <c r="E84" s="141">
        <v>1.9027777777777779</v>
      </c>
      <c r="F84" s="131" t="s">
        <v>149</v>
      </c>
      <c r="G84" s="133">
        <v>6</v>
      </c>
      <c r="H84" s="134">
        <v>449</v>
      </c>
    </row>
    <row r="85" spans="1:8" ht="19.8" customHeight="1" x14ac:dyDescent="0.3">
      <c r="A85" s="140">
        <v>45986</v>
      </c>
      <c r="B85" s="131" t="s">
        <v>39</v>
      </c>
      <c r="C85" s="132" t="s">
        <v>44</v>
      </c>
      <c r="D85" s="131" t="s">
        <v>1</v>
      </c>
      <c r="E85" s="141">
        <v>1.645833333333333</v>
      </c>
      <c r="F85" s="131" t="s">
        <v>149</v>
      </c>
      <c r="G85" s="133">
        <v>2</v>
      </c>
      <c r="H85" s="134">
        <v>449</v>
      </c>
    </row>
    <row r="86" spans="1:8" ht="19.8" customHeight="1" x14ac:dyDescent="0.3">
      <c r="A86" s="140">
        <v>45986</v>
      </c>
      <c r="B86" s="131" t="s">
        <v>39</v>
      </c>
      <c r="C86" s="132" t="s">
        <v>46</v>
      </c>
      <c r="D86" s="131" t="s">
        <v>1</v>
      </c>
      <c r="E86" s="141">
        <v>1.5173611111111109</v>
      </c>
      <c r="F86" s="131" t="s">
        <v>149</v>
      </c>
      <c r="G86" s="133">
        <v>2</v>
      </c>
      <c r="H86" s="134">
        <v>449</v>
      </c>
    </row>
    <row r="87" spans="1:8" ht="19.8" customHeight="1" x14ac:dyDescent="0.3">
      <c r="A87" s="151">
        <v>45986</v>
      </c>
      <c r="B87" s="152" t="s">
        <v>39</v>
      </c>
      <c r="C87" s="153" t="s">
        <v>48</v>
      </c>
      <c r="D87" s="152" t="s">
        <v>1</v>
      </c>
      <c r="E87" s="154">
        <v>1.854166666666667</v>
      </c>
      <c r="F87" s="152" t="s">
        <v>149</v>
      </c>
      <c r="G87" s="155">
        <v>8</v>
      </c>
      <c r="H87" s="177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4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127" t="s">
        <v>383</v>
      </c>
      <c r="B1" s="128" t="s">
        <v>8</v>
      </c>
      <c r="C1" s="128" t="s">
        <v>9</v>
      </c>
      <c r="D1" s="128" t="s">
        <v>384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5" t="s">
        <v>385</v>
      </c>
      <c r="B2" s="136" t="s">
        <v>66</v>
      </c>
      <c r="C2" s="137" t="s">
        <v>419</v>
      </c>
      <c r="D2" s="136" t="s">
        <v>400</v>
      </c>
      <c r="E2" s="136" t="s">
        <v>467</v>
      </c>
      <c r="F2" s="136" t="s">
        <v>74</v>
      </c>
      <c r="G2" s="136"/>
      <c r="H2" s="139" t="s">
        <v>75</v>
      </c>
    </row>
    <row r="3" spans="1:8" ht="19.8" customHeight="1" x14ac:dyDescent="0.3">
      <c r="A3" s="143">
        <v>45983</v>
      </c>
      <c r="B3" s="136" t="s">
        <v>66</v>
      </c>
      <c r="C3" s="137" t="s">
        <v>421</v>
      </c>
      <c r="D3" s="136" t="s">
        <v>400</v>
      </c>
      <c r="E3" s="144">
        <v>1.791666666666667</v>
      </c>
      <c r="F3" s="136" t="s">
        <v>74</v>
      </c>
      <c r="G3" s="136"/>
      <c r="H3" s="139" t="s">
        <v>75</v>
      </c>
    </row>
    <row r="4" spans="1:8" ht="19.8" customHeight="1" x14ac:dyDescent="0.3">
      <c r="A4" s="173"/>
      <c r="B4" s="174"/>
      <c r="C4" s="174"/>
      <c r="D4" s="174"/>
      <c r="E4" s="174"/>
      <c r="F4" s="175" t="s">
        <v>500</v>
      </c>
      <c r="G4" s="174"/>
      <c r="H4" s="176"/>
    </row>
    <row r="5" spans="1:8" ht="19.8" customHeight="1" x14ac:dyDescent="0.3">
      <c r="A5" s="140">
        <v>45983</v>
      </c>
      <c r="B5" s="131" t="s">
        <v>26</v>
      </c>
      <c r="C5" s="132" t="s">
        <v>27</v>
      </c>
      <c r="D5" s="131" t="s">
        <v>1</v>
      </c>
      <c r="E5" s="141">
        <v>1.1284722222222221</v>
      </c>
      <c r="F5" s="131" t="s">
        <v>28</v>
      </c>
      <c r="G5" s="133">
        <v>1</v>
      </c>
      <c r="H5" s="134">
        <v>589</v>
      </c>
    </row>
    <row r="6" spans="1:8" ht="19.8" customHeight="1" x14ac:dyDescent="0.3">
      <c r="A6" s="140">
        <v>45983</v>
      </c>
      <c r="B6" s="131" t="s">
        <v>26</v>
      </c>
      <c r="C6" s="132" t="s">
        <v>31</v>
      </c>
      <c r="D6" s="131" t="s">
        <v>1</v>
      </c>
      <c r="E6" s="141">
        <v>1.302083333333333</v>
      </c>
      <c r="F6" s="131" t="s">
        <v>28</v>
      </c>
      <c r="G6" s="133">
        <v>5</v>
      </c>
      <c r="H6" s="134">
        <v>639</v>
      </c>
    </row>
    <row r="7" spans="1:8" ht="19.8" customHeight="1" x14ac:dyDescent="0.3">
      <c r="A7" s="140">
        <v>45983</v>
      </c>
      <c r="B7" s="131" t="s">
        <v>26</v>
      </c>
      <c r="C7" s="132" t="s">
        <v>34</v>
      </c>
      <c r="D7" s="131" t="s">
        <v>1</v>
      </c>
      <c r="E7" s="141">
        <v>1.8888888888888891</v>
      </c>
      <c r="F7" s="131" t="s">
        <v>28</v>
      </c>
      <c r="G7" s="133">
        <v>11</v>
      </c>
      <c r="H7" s="134">
        <v>639</v>
      </c>
    </row>
    <row r="8" spans="1:8" ht="19.8" customHeight="1" x14ac:dyDescent="0.3">
      <c r="A8" s="140">
        <v>45983</v>
      </c>
      <c r="B8" s="131" t="s">
        <v>39</v>
      </c>
      <c r="C8" s="132" t="s">
        <v>40</v>
      </c>
      <c r="D8" s="131" t="s">
        <v>1</v>
      </c>
      <c r="E8" s="141">
        <v>1.9027777777777779</v>
      </c>
      <c r="F8" s="131" t="s">
        <v>41</v>
      </c>
      <c r="G8" s="133">
        <v>9</v>
      </c>
      <c r="H8" s="134">
        <v>669</v>
      </c>
    </row>
    <row r="9" spans="1:8" ht="19.8" customHeight="1" x14ac:dyDescent="0.3">
      <c r="A9" s="140">
        <v>45983</v>
      </c>
      <c r="B9" s="131" t="s">
        <v>39</v>
      </c>
      <c r="C9" s="132" t="s">
        <v>44</v>
      </c>
      <c r="D9" s="131" t="s">
        <v>1</v>
      </c>
      <c r="E9" s="141">
        <v>1.6597222222222221</v>
      </c>
      <c r="F9" s="131" t="s">
        <v>41</v>
      </c>
      <c r="G9" s="133">
        <v>7</v>
      </c>
      <c r="H9" s="134">
        <v>669</v>
      </c>
    </row>
    <row r="10" spans="1:8" ht="19.8" customHeight="1" x14ac:dyDescent="0.3">
      <c r="A10" s="140">
        <v>45983</v>
      </c>
      <c r="B10" s="131" t="s">
        <v>39</v>
      </c>
      <c r="C10" s="132" t="s">
        <v>46</v>
      </c>
      <c r="D10" s="131" t="s">
        <v>1</v>
      </c>
      <c r="E10" s="141">
        <v>1.5173611111111109</v>
      </c>
      <c r="F10" s="131" t="s">
        <v>41</v>
      </c>
      <c r="G10" s="133">
        <v>1</v>
      </c>
      <c r="H10" s="134">
        <v>669</v>
      </c>
    </row>
    <row r="11" spans="1:8" ht="19.8" customHeight="1" x14ac:dyDescent="0.3">
      <c r="A11" s="140">
        <v>45983</v>
      </c>
      <c r="B11" s="131" t="s">
        <v>39</v>
      </c>
      <c r="C11" s="132" t="s">
        <v>48</v>
      </c>
      <c r="D11" s="131" t="s">
        <v>1</v>
      </c>
      <c r="E11" s="141">
        <v>1.854166666666667</v>
      </c>
      <c r="F11" s="131" t="s">
        <v>41</v>
      </c>
      <c r="G11" s="133">
        <v>1</v>
      </c>
      <c r="H11" s="134">
        <v>669</v>
      </c>
    </row>
    <row r="12" spans="1:8" ht="19.8" customHeight="1" x14ac:dyDescent="0.3">
      <c r="A12" s="140">
        <v>45983</v>
      </c>
      <c r="B12" s="131" t="s">
        <v>39</v>
      </c>
      <c r="C12" s="132" t="s">
        <v>49</v>
      </c>
      <c r="D12" s="131" t="s">
        <v>1</v>
      </c>
      <c r="E12" s="141">
        <v>1.395833333333333</v>
      </c>
      <c r="F12" s="131" t="s">
        <v>41</v>
      </c>
      <c r="G12" s="133">
        <v>8</v>
      </c>
      <c r="H12" s="134">
        <v>669</v>
      </c>
    </row>
    <row r="13" spans="1:8" ht="19.8" customHeight="1" x14ac:dyDescent="0.3">
      <c r="A13" s="140">
        <v>45983</v>
      </c>
      <c r="B13" s="131" t="s">
        <v>39</v>
      </c>
      <c r="C13" s="132" t="s">
        <v>51</v>
      </c>
      <c r="D13" s="131" t="s">
        <v>1</v>
      </c>
      <c r="E13" s="141">
        <v>1.7986111111111109</v>
      </c>
      <c r="F13" s="131" t="s">
        <v>41</v>
      </c>
      <c r="G13" s="133">
        <v>4</v>
      </c>
      <c r="H13" s="134">
        <v>669</v>
      </c>
    </row>
    <row r="14" spans="1:8" ht="19.8" customHeight="1" x14ac:dyDescent="0.3">
      <c r="A14" s="151">
        <v>45983</v>
      </c>
      <c r="B14" s="152" t="s">
        <v>26</v>
      </c>
      <c r="C14" s="153" t="s">
        <v>36</v>
      </c>
      <c r="D14" s="152" t="s">
        <v>1</v>
      </c>
      <c r="E14" s="154">
        <v>1.788194444444444</v>
      </c>
      <c r="F14" s="152" t="s">
        <v>28</v>
      </c>
      <c r="G14" s="155">
        <v>13</v>
      </c>
      <c r="H14" s="177">
        <v>689</v>
      </c>
    </row>
    <row r="15" spans="1:8" ht="19.8" customHeight="1" x14ac:dyDescent="0.3">
      <c r="A15" s="143">
        <v>45984</v>
      </c>
      <c r="B15" s="136" t="s">
        <v>66</v>
      </c>
      <c r="C15" s="137" t="s">
        <v>435</v>
      </c>
      <c r="D15" s="136" t="s">
        <v>400</v>
      </c>
      <c r="E15" s="144">
        <v>1.489583333333333</v>
      </c>
      <c r="F15" s="136" t="s">
        <v>68</v>
      </c>
      <c r="G15" s="138">
        <v>2</v>
      </c>
      <c r="H15" s="150">
        <v>952</v>
      </c>
    </row>
    <row r="16" spans="1:8" ht="19.8" customHeight="1" x14ac:dyDescent="0.3">
      <c r="A16" s="143">
        <v>45984</v>
      </c>
      <c r="B16" s="136" t="s">
        <v>66</v>
      </c>
      <c r="C16" s="137" t="s">
        <v>421</v>
      </c>
      <c r="D16" s="136" t="s">
        <v>400</v>
      </c>
      <c r="E16" s="144">
        <v>1.6875</v>
      </c>
      <c r="F16" s="136" t="s">
        <v>74</v>
      </c>
      <c r="G16" s="136"/>
      <c r="H16" s="139" t="s">
        <v>75</v>
      </c>
    </row>
    <row r="17" spans="1:8" ht="19.8" customHeight="1" x14ac:dyDescent="0.3">
      <c r="A17" s="173"/>
      <c r="B17" s="174"/>
      <c r="C17" s="174"/>
      <c r="D17" s="174"/>
      <c r="E17" s="174"/>
      <c r="F17" s="175" t="s">
        <v>500</v>
      </c>
      <c r="G17" s="174"/>
      <c r="H17" s="176"/>
    </row>
    <row r="18" spans="1:8" ht="19.8" customHeight="1" x14ac:dyDescent="0.3">
      <c r="A18" s="140">
        <v>45984</v>
      </c>
      <c r="B18" s="131" t="s">
        <v>26</v>
      </c>
      <c r="C18" s="132" t="s">
        <v>36</v>
      </c>
      <c r="D18" s="131" t="s">
        <v>1</v>
      </c>
      <c r="E18" s="141">
        <v>1.788194444444444</v>
      </c>
      <c r="F18" s="131" t="s">
        <v>119</v>
      </c>
      <c r="G18" s="133">
        <v>1</v>
      </c>
      <c r="H18" s="134">
        <v>539</v>
      </c>
    </row>
    <row r="19" spans="1:8" ht="19.8" customHeight="1" x14ac:dyDescent="0.3">
      <c r="A19" s="140">
        <v>45984</v>
      </c>
      <c r="B19" s="131" t="s">
        <v>26</v>
      </c>
      <c r="C19" s="132" t="s">
        <v>34</v>
      </c>
      <c r="D19" s="131" t="s">
        <v>1</v>
      </c>
      <c r="E19" s="141">
        <v>1.8888888888888891</v>
      </c>
      <c r="F19" s="131" t="s">
        <v>119</v>
      </c>
      <c r="G19" s="133">
        <v>5</v>
      </c>
      <c r="H19" s="134">
        <v>539</v>
      </c>
    </row>
    <row r="20" spans="1:8" ht="19.8" customHeight="1" x14ac:dyDescent="0.3">
      <c r="A20" s="140">
        <v>45984</v>
      </c>
      <c r="B20" s="131" t="s">
        <v>66</v>
      </c>
      <c r="C20" s="132" t="s">
        <v>130</v>
      </c>
      <c r="D20" s="131" t="s">
        <v>1</v>
      </c>
      <c r="E20" s="141">
        <v>1.333333333333333</v>
      </c>
      <c r="F20" s="131" t="s">
        <v>68</v>
      </c>
      <c r="G20" s="133">
        <v>1</v>
      </c>
      <c r="H20" s="134">
        <v>586</v>
      </c>
    </row>
    <row r="21" spans="1:8" ht="19.8" customHeight="1" x14ac:dyDescent="0.3">
      <c r="A21" s="140">
        <v>45984</v>
      </c>
      <c r="B21" s="131" t="s">
        <v>26</v>
      </c>
      <c r="C21" s="132" t="s">
        <v>27</v>
      </c>
      <c r="D21" s="131" t="s">
        <v>1</v>
      </c>
      <c r="E21" s="141">
        <v>1.1284722222222221</v>
      </c>
      <c r="F21" s="131" t="s">
        <v>119</v>
      </c>
      <c r="G21" s="133">
        <v>3</v>
      </c>
      <c r="H21" s="134">
        <v>589</v>
      </c>
    </row>
    <row r="22" spans="1:8" ht="19.8" customHeight="1" x14ac:dyDescent="0.3">
      <c r="A22" s="140">
        <v>45984</v>
      </c>
      <c r="B22" s="131" t="s">
        <v>39</v>
      </c>
      <c r="C22" s="132" t="s">
        <v>53</v>
      </c>
      <c r="D22" s="131" t="s">
        <v>1</v>
      </c>
      <c r="E22" s="141">
        <v>1.256944444444444</v>
      </c>
      <c r="F22" s="131" t="s">
        <v>149</v>
      </c>
      <c r="G22" s="133">
        <v>1</v>
      </c>
      <c r="H22" s="134">
        <v>589</v>
      </c>
    </row>
    <row r="23" spans="1:8" ht="19.8" customHeight="1" x14ac:dyDescent="0.3">
      <c r="A23" s="140">
        <v>45984</v>
      </c>
      <c r="B23" s="131" t="s">
        <v>39</v>
      </c>
      <c r="C23" s="132" t="s">
        <v>40</v>
      </c>
      <c r="D23" s="131" t="s">
        <v>1</v>
      </c>
      <c r="E23" s="141">
        <v>1.9027777777777779</v>
      </c>
      <c r="F23" s="131" t="s">
        <v>149</v>
      </c>
      <c r="G23" s="133">
        <v>9</v>
      </c>
      <c r="H23" s="134">
        <v>589</v>
      </c>
    </row>
    <row r="24" spans="1:8" ht="19.8" customHeight="1" x14ac:dyDescent="0.3">
      <c r="A24" s="140">
        <v>45984</v>
      </c>
      <c r="B24" s="131" t="s">
        <v>39</v>
      </c>
      <c r="C24" s="132" t="s">
        <v>48</v>
      </c>
      <c r="D24" s="131" t="s">
        <v>1</v>
      </c>
      <c r="E24" s="141">
        <v>1.854166666666667</v>
      </c>
      <c r="F24" s="131" t="s">
        <v>149</v>
      </c>
      <c r="G24" s="133">
        <v>9</v>
      </c>
      <c r="H24" s="134">
        <v>589</v>
      </c>
    </row>
    <row r="25" spans="1:8" ht="19.8" customHeight="1" x14ac:dyDescent="0.3">
      <c r="A25" s="140">
        <v>45984</v>
      </c>
      <c r="B25" s="131" t="s">
        <v>39</v>
      </c>
      <c r="C25" s="132" t="s">
        <v>153</v>
      </c>
      <c r="D25" s="131" t="s">
        <v>1</v>
      </c>
      <c r="E25" s="141">
        <v>1.302083333333333</v>
      </c>
      <c r="F25" s="131" t="s">
        <v>149</v>
      </c>
      <c r="G25" s="133">
        <v>3</v>
      </c>
      <c r="H25" s="134">
        <v>589</v>
      </c>
    </row>
    <row r="26" spans="1:8" ht="19.8" customHeight="1" x14ac:dyDescent="0.3">
      <c r="A26" s="140">
        <v>45984</v>
      </c>
      <c r="B26" s="131" t="s">
        <v>39</v>
      </c>
      <c r="C26" s="132" t="s">
        <v>51</v>
      </c>
      <c r="D26" s="131" t="s">
        <v>1</v>
      </c>
      <c r="E26" s="141">
        <v>1.7986111111111109</v>
      </c>
      <c r="F26" s="131" t="s">
        <v>149</v>
      </c>
      <c r="G26" s="133">
        <v>9</v>
      </c>
      <c r="H26" s="134">
        <v>589</v>
      </c>
    </row>
    <row r="27" spans="1:8" ht="19.8" customHeight="1" x14ac:dyDescent="0.3">
      <c r="A27" s="151">
        <v>45984</v>
      </c>
      <c r="B27" s="152" t="s">
        <v>61</v>
      </c>
      <c r="C27" s="153" t="s">
        <v>62</v>
      </c>
      <c r="D27" s="152" t="s">
        <v>1</v>
      </c>
      <c r="E27" s="154">
        <v>1.666666666666667</v>
      </c>
      <c r="F27" s="152" t="s">
        <v>63</v>
      </c>
      <c r="G27" s="155">
        <v>2</v>
      </c>
      <c r="H27" s="177">
        <v>599</v>
      </c>
    </row>
    <row r="28" spans="1:8" ht="19.8" customHeight="1" x14ac:dyDescent="0.3">
      <c r="A28" s="143">
        <v>45985</v>
      </c>
      <c r="B28" s="136" t="s">
        <v>66</v>
      </c>
      <c r="C28" s="137" t="s">
        <v>419</v>
      </c>
      <c r="D28" s="136" t="s">
        <v>400</v>
      </c>
      <c r="E28" s="144">
        <v>1.336805555555556</v>
      </c>
      <c r="F28" s="136" t="s">
        <v>74</v>
      </c>
      <c r="G28" s="136"/>
      <c r="H28" s="139" t="s">
        <v>75</v>
      </c>
    </row>
    <row r="29" spans="1:8" ht="19.8" customHeight="1" x14ac:dyDescent="0.3">
      <c r="A29" s="143">
        <v>45985</v>
      </c>
      <c r="B29" s="136" t="s">
        <v>66</v>
      </c>
      <c r="C29" s="137" t="s">
        <v>421</v>
      </c>
      <c r="D29" s="136" t="s">
        <v>400</v>
      </c>
      <c r="E29" s="144">
        <v>1.645833333333333</v>
      </c>
      <c r="F29" s="136" t="s">
        <v>74</v>
      </c>
      <c r="G29" s="136"/>
      <c r="H29" s="139" t="s">
        <v>75</v>
      </c>
    </row>
    <row r="30" spans="1:8" ht="19.8" customHeight="1" x14ac:dyDescent="0.3">
      <c r="A30" s="173"/>
      <c r="B30" s="174"/>
      <c r="C30" s="174"/>
      <c r="D30" s="174"/>
      <c r="E30" s="174"/>
      <c r="F30" s="175" t="s">
        <v>500</v>
      </c>
      <c r="G30" s="174"/>
      <c r="H30" s="176"/>
    </row>
    <row r="31" spans="1:8" ht="19.8" customHeight="1" x14ac:dyDescent="0.3">
      <c r="A31" s="140">
        <v>45985</v>
      </c>
      <c r="B31" s="131" t="s">
        <v>26</v>
      </c>
      <c r="C31" s="132" t="s">
        <v>27</v>
      </c>
      <c r="D31" s="131" t="s">
        <v>1</v>
      </c>
      <c r="E31" s="141">
        <v>1.1284722222222221</v>
      </c>
      <c r="F31" s="131" t="s">
        <v>119</v>
      </c>
      <c r="G31" s="133">
        <v>10</v>
      </c>
      <c r="H31" s="134">
        <v>459</v>
      </c>
    </row>
    <row r="32" spans="1:8" ht="19.8" customHeight="1" x14ac:dyDescent="0.3">
      <c r="A32" s="140">
        <v>45985</v>
      </c>
      <c r="B32" s="131" t="s">
        <v>26</v>
      </c>
      <c r="C32" s="132" t="s">
        <v>31</v>
      </c>
      <c r="D32" s="131" t="s">
        <v>1</v>
      </c>
      <c r="E32" s="141">
        <v>1.302083333333333</v>
      </c>
      <c r="F32" s="131" t="s">
        <v>119</v>
      </c>
      <c r="G32" s="133">
        <v>10</v>
      </c>
      <c r="H32" s="134">
        <v>499</v>
      </c>
    </row>
    <row r="33" spans="1:8" ht="19.8" customHeight="1" x14ac:dyDescent="0.3">
      <c r="A33" s="140">
        <v>45985</v>
      </c>
      <c r="B33" s="131" t="s">
        <v>26</v>
      </c>
      <c r="C33" s="132" t="s">
        <v>34</v>
      </c>
      <c r="D33" s="131" t="s">
        <v>1</v>
      </c>
      <c r="E33" s="141">
        <v>1.8888888888888891</v>
      </c>
      <c r="F33" s="131" t="s">
        <v>119</v>
      </c>
      <c r="G33" s="133">
        <v>5</v>
      </c>
      <c r="H33" s="134">
        <v>499</v>
      </c>
    </row>
    <row r="34" spans="1:8" ht="19.8" customHeight="1" x14ac:dyDescent="0.3">
      <c r="A34" s="140">
        <v>45985</v>
      </c>
      <c r="B34" s="131" t="s">
        <v>39</v>
      </c>
      <c r="C34" s="132" t="s">
        <v>53</v>
      </c>
      <c r="D34" s="131" t="s">
        <v>1</v>
      </c>
      <c r="E34" s="141">
        <v>1.256944444444444</v>
      </c>
      <c r="F34" s="131" t="s">
        <v>149</v>
      </c>
      <c r="G34" s="133">
        <v>8</v>
      </c>
      <c r="H34" s="134">
        <v>509</v>
      </c>
    </row>
    <row r="35" spans="1:8" ht="19.8" customHeight="1" x14ac:dyDescent="0.3">
      <c r="A35" s="140">
        <v>45985</v>
      </c>
      <c r="B35" s="131" t="s">
        <v>39</v>
      </c>
      <c r="C35" s="132" t="s">
        <v>40</v>
      </c>
      <c r="D35" s="131" t="s">
        <v>1</v>
      </c>
      <c r="E35" s="141">
        <v>1.9027777777777779</v>
      </c>
      <c r="F35" s="131" t="s">
        <v>149</v>
      </c>
      <c r="G35" s="133">
        <v>5</v>
      </c>
      <c r="H35" s="134">
        <v>509</v>
      </c>
    </row>
    <row r="36" spans="1:8" ht="19.8" customHeight="1" x14ac:dyDescent="0.3">
      <c r="A36" s="140">
        <v>45985</v>
      </c>
      <c r="B36" s="131" t="s">
        <v>39</v>
      </c>
      <c r="C36" s="132" t="s">
        <v>44</v>
      </c>
      <c r="D36" s="131" t="s">
        <v>1</v>
      </c>
      <c r="E36" s="141">
        <v>1.645833333333333</v>
      </c>
      <c r="F36" s="131" t="s">
        <v>149</v>
      </c>
      <c r="G36" s="133">
        <v>2</v>
      </c>
      <c r="H36" s="134">
        <v>509</v>
      </c>
    </row>
    <row r="37" spans="1:8" ht="19.8" customHeight="1" x14ac:dyDescent="0.3">
      <c r="A37" s="140">
        <v>45985</v>
      </c>
      <c r="B37" s="131" t="s">
        <v>39</v>
      </c>
      <c r="C37" s="132" t="s">
        <v>46</v>
      </c>
      <c r="D37" s="131" t="s">
        <v>1</v>
      </c>
      <c r="E37" s="141">
        <v>1.5173611111111109</v>
      </c>
      <c r="F37" s="131" t="s">
        <v>149</v>
      </c>
      <c r="G37" s="133">
        <v>6</v>
      </c>
      <c r="H37" s="134">
        <v>509</v>
      </c>
    </row>
    <row r="38" spans="1:8" ht="19.8" customHeight="1" x14ac:dyDescent="0.3">
      <c r="A38" s="140">
        <v>45985</v>
      </c>
      <c r="B38" s="131" t="s">
        <v>39</v>
      </c>
      <c r="C38" s="132" t="s">
        <v>51</v>
      </c>
      <c r="D38" s="131" t="s">
        <v>1</v>
      </c>
      <c r="E38" s="141">
        <v>1.7986111111111109</v>
      </c>
      <c r="F38" s="131" t="s">
        <v>149</v>
      </c>
      <c r="G38" s="133">
        <v>9</v>
      </c>
      <c r="H38" s="134">
        <v>509</v>
      </c>
    </row>
    <row r="39" spans="1:8" ht="19.8" customHeight="1" x14ac:dyDescent="0.3">
      <c r="A39" s="140">
        <v>45985</v>
      </c>
      <c r="B39" s="131" t="s">
        <v>39</v>
      </c>
      <c r="C39" s="132" t="s">
        <v>48</v>
      </c>
      <c r="D39" s="131" t="s">
        <v>1</v>
      </c>
      <c r="E39" s="141">
        <v>1.854166666666667</v>
      </c>
      <c r="F39" s="131" t="s">
        <v>149</v>
      </c>
      <c r="G39" s="133">
        <v>9</v>
      </c>
      <c r="H39" s="134">
        <v>549</v>
      </c>
    </row>
    <row r="40" spans="1:8" ht="19.8" customHeight="1" x14ac:dyDescent="0.3">
      <c r="A40" s="151">
        <v>45985</v>
      </c>
      <c r="B40" s="152" t="s">
        <v>39</v>
      </c>
      <c r="C40" s="153" t="s">
        <v>49</v>
      </c>
      <c r="D40" s="152" t="s">
        <v>1</v>
      </c>
      <c r="E40" s="154">
        <v>1.395833333333333</v>
      </c>
      <c r="F40" s="152" t="s">
        <v>149</v>
      </c>
      <c r="G40" s="155">
        <v>9</v>
      </c>
      <c r="H40" s="177">
        <v>549</v>
      </c>
    </row>
    <row r="41" spans="1:8" ht="19.8" customHeight="1" x14ac:dyDescent="0.3">
      <c r="A41" s="140">
        <v>45986</v>
      </c>
      <c r="B41" s="131" t="s">
        <v>26</v>
      </c>
      <c r="C41" s="132" t="s">
        <v>401</v>
      </c>
      <c r="D41" s="131" t="s">
        <v>400</v>
      </c>
      <c r="E41" s="141">
        <v>1.256944444444444</v>
      </c>
      <c r="F41" s="131" t="s">
        <v>408</v>
      </c>
      <c r="G41" s="133">
        <v>5</v>
      </c>
      <c r="H41" s="134">
        <v>769</v>
      </c>
    </row>
    <row r="42" spans="1:8" ht="19.8" customHeight="1" x14ac:dyDescent="0.3">
      <c r="A42" s="143">
        <v>45986</v>
      </c>
      <c r="B42" s="136" t="s">
        <v>66</v>
      </c>
      <c r="C42" s="137" t="s">
        <v>461</v>
      </c>
      <c r="D42" s="136" t="s">
        <v>400</v>
      </c>
      <c r="E42" s="144">
        <v>1.708333333333333</v>
      </c>
      <c r="F42" s="136" t="s">
        <v>68</v>
      </c>
      <c r="G42" s="138">
        <v>1</v>
      </c>
      <c r="H42" s="150">
        <v>856</v>
      </c>
    </row>
    <row r="43" spans="1:8" ht="19.8" customHeight="1" x14ac:dyDescent="0.3">
      <c r="A43" s="140">
        <v>45986</v>
      </c>
      <c r="B43" s="131" t="s">
        <v>80</v>
      </c>
      <c r="C43" s="132" t="s">
        <v>413</v>
      </c>
      <c r="D43" s="131" t="s">
        <v>400</v>
      </c>
      <c r="E43" s="141">
        <v>1.604166666666667</v>
      </c>
      <c r="F43" s="131" t="s">
        <v>82</v>
      </c>
      <c r="G43" s="133">
        <v>9</v>
      </c>
      <c r="H43" s="134">
        <v>906</v>
      </c>
    </row>
    <row r="44" spans="1:8" ht="19.8" customHeight="1" x14ac:dyDescent="0.3">
      <c r="A44" s="173"/>
      <c r="B44" s="174"/>
      <c r="C44" s="174"/>
      <c r="D44" s="174"/>
      <c r="E44" s="174"/>
      <c r="F44" s="175" t="s">
        <v>500</v>
      </c>
      <c r="G44" s="174"/>
      <c r="H44" s="176"/>
    </row>
    <row r="45" spans="1:8" ht="19.8" customHeight="1" x14ac:dyDescent="0.3">
      <c r="A45" s="140">
        <v>45986</v>
      </c>
      <c r="B45" s="131" t="s">
        <v>26</v>
      </c>
      <c r="C45" s="132" t="s">
        <v>27</v>
      </c>
      <c r="D45" s="131" t="s">
        <v>1</v>
      </c>
      <c r="E45" s="141">
        <v>1.1284722222222221</v>
      </c>
      <c r="F45" s="131" t="s">
        <v>119</v>
      </c>
      <c r="G45" s="133">
        <v>2</v>
      </c>
      <c r="H45" s="134">
        <v>389</v>
      </c>
    </row>
    <row r="46" spans="1:8" ht="19.8" customHeight="1" x14ac:dyDescent="0.3">
      <c r="A46" s="140">
        <v>45986</v>
      </c>
      <c r="B46" s="131" t="s">
        <v>61</v>
      </c>
      <c r="C46" s="132" t="s">
        <v>62</v>
      </c>
      <c r="D46" s="131" t="s">
        <v>1</v>
      </c>
      <c r="E46" s="141">
        <v>1.666666666666667</v>
      </c>
      <c r="F46" s="131" t="s">
        <v>63</v>
      </c>
      <c r="G46" s="133">
        <v>1</v>
      </c>
      <c r="H46" s="134">
        <v>401</v>
      </c>
    </row>
    <row r="47" spans="1:8" ht="19.8" customHeight="1" x14ac:dyDescent="0.3">
      <c r="A47" s="140">
        <v>45986</v>
      </c>
      <c r="B47" s="131" t="s">
        <v>61</v>
      </c>
      <c r="C47" s="132" t="s">
        <v>222</v>
      </c>
      <c r="D47" s="131" t="s">
        <v>1</v>
      </c>
      <c r="E47" s="141">
        <v>1.0451388888888891</v>
      </c>
      <c r="F47" s="131" t="s">
        <v>63</v>
      </c>
      <c r="G47" s="133">
        <v>1</v>
      </c>
      <c r="H47" s="134">
        <v>401</v>
      </c>
    </row>
    <row r="48" spans="1:8" ht="19.8" customHeight="1" x14ac:dyDescent="0.3">
      <c r="A48" s="140">
        <v>45986</v>
      </c>
      <c r="B48" s="131" t="s">
        <v>26</v>
      </c>
      <c r="C48" s="132" t="s">
        <v>31</v>
      </c>
      <c r="D48" s="131" t="s">
        <v>1</v>
      </c>
      <c r="E48" s="141">
        <v>1.302083333333333</v>
      </c>
      <c r="F48" s="131" t="s">
        <v>119</v>
      </c>
      <c r="G48" s="133">
        <v>2</v>
      </c>
      <c r="H48" s="134">
        <v>419</v>
      </c>
    </row>
    <row r="49" spans="1:8" ht="19.8" customHeight="1" x14ac:dyDescent="0.3">
      <c r="A49" s="140">
        <v>45986</v>
      </c>
      <c r="B49" s="131" t="s">
        <v>26</v>
      </c>
      <c r="C49" s="132" t="s">
        <v>36</v>
      </c>
      <c r="D49" s="131" t="s">
        <v>1</v>
      </c>
      <c r="E49" s="141">
        <v>1.788194444444444</v>
      </c>
      <c r="F49" s="131" t="s">
        <v>119</v>
      </c>
      <c r="G49" s="133">
        <v>9</v>
      </c>
      <c r="H49" s="134">
        <v>419</v>
      </c>
    </row>
    <row r="50" spans="1:8" ht="19.8" customHeight="1" x14ac:dyDescent="0.3">
      <c r="A50" s="140">
        <v>45986</v>
      </c>
      <c r="B50" s="131" t="s">
        <v>26</v>
      </c>
      <c r="C50" s="132" t="s">
        <v>34</v>
      </c>
      <c r="D50" s="131" t="s">
        <v>1</v>
      </c>
      <c r="E50" s="141">
        <v>1.8888888888888891</v>
      </c>
      <c r="F50" s="131" t="s">
        <v>119</v>
      </c>
      <c r="G50" s="133">
        <v>7</v>
      </c>
      <c r="H50" s="134">
        <v>419</v>
      </c>
    </row>
    <row r="51" spans="1:8" ht="19.8" customHeight="1" x14ac:dyDescent="0.3">
      <c r="A51" s="140">
        <v>45986</v>
      </c>
      <c r="B51" s="131" t="s">
        <v>39</v>
      </c>
      <c r="C51" s="132" t="s">
        <v>40</v>
      </c>
      <c r="D51" s="131" t="s">
        <v>1</v>
      </c>
      <c r="E51" s="141">
        <v>1.9027777777777779</v>
      </c>
      <c r="F51" s="131" t="s">
        <v>149</v>
      </c>
      <c r="G51" s="133">
        <v>6</v>
      </c>
      <c r="H51" s="134">
        <v>449</v>
      </c>
    </row>
    <row r="52" spans="1:8" ht="19.8" customHeight="1" x14ac:dyDescent="0.3">
      <c r="A52" s="140">
        <v>45986</v>
      </c>
      <c r="B52" s="131" t="s">
        <v>39</v>
      </c>
      <c r="C52" s="132" t="s">
        <v>44</v>
      </c>
      <c r="D52" s="131" t="s">
        <v>1</v>
      </c>
      <c r="E52" s="141">
        <v>1.645833333333333</v>
      </c>
      <c r="F52" s="131" t="s">
        <v>149</v>
      </c>
      <c r="G52" s="133">
        <v>2</v>
      </c>
      <c r="H52" s="134">
        <v>449</v>
      </c>
    </row>
    <row r="53" spans="1:8" ht="19.8" customHeight="1" x14ac:dyDescent="0.3">
      <c r="A53" s="140">
        <v>45986</v>
      </c>
      <c r="B53" s="131" t="s">
        <v>39</v>
      </c>
      <c r="C53" s="132" t="s">
        <v>46</v>
      </c>
      <c r="D53" s="131" t="s">
        <v>1</v>
      </c>
      <c r="E53" s="141">
        <v>1.5173611111111109</v>
      </c>
      <c r="F53" s="131" t="s">
        <v>149</v>
      </c>
      <c r="G53" s="133">
        <v>2</v>
      </c>
      <c r="H53" s="134">
        <v>449</v>
      </c>
    </row>
    <row r="54" spans="1:8" ht="19.8" customHeight="1" x14ac:dyDescent="0.3">
      <c r="A54" s="151">
        <v>45986</v>
      </c>
      <c r="B54" s="152" t="s">
        <v>39</v>
      </c>
      <c r="C54" s="153" t="s">
        <v>48</v>
      </c>
      <c r="D54" s="152" t="s">
        <v>1</v>
      </c>
      <c r="E54" s="154">
        <v>1.854166666666667</v>
      </c>
      <c r="F54" s="152" t="s">
        <v>149</v>
      </c>
      <c r="G54" s="155">
        <v>8</v>
      </c>
      <c r="H54" s="177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7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31.21875" bestFit="1" customWidth="1"/>
    <col min="5" max="5" width="20.1093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4.6640625" bestFit="1" customWidth="1"/>
  </cols>
  <sheetData>
    <row r="1" spans="1:92" ht="28.8" customHeight="1" x14ac:dyDescent="0.3">
      <c r="A1" s="189" t="s">
        <v>0</v>
      </c>
      <c r="B1" s="188"/>
      <c r="C1" s="188"/>
      <c r="D1" s="188"/>
      <c r="E1" s="188"/>
      <c r="F1" s="1" t="s">
        <v>501</v>
      </c>
      <c r="G1" s="2" t="s">
        <v>2</v>
      </c>
      <c r="H1" s="187">
        <v>45983</v>
      </c>
      <c r="I1" s="188"/>
      <c r="J1" s="188"/>
      <c r="K1" s="188"/>
      <c r="L1" s="188"/>
      <c r="M1" s="1" t="s">
        <v>3</v>
      </c>
      <c r="N1" s="199">
        <v>45986</v>
      </c>
      <c r="O1" s="188"/>
      <c r="P1" s="188"/>
      <c r="Q1" s="188"/>
      <c r="R1" s="18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5" t="s">
        <v>4</v>
      </c>
      <c r="B2" s="188"/>
      <c r="C2" s="188"/>
      <c r="D2" s="188"/>
      <c r="E2" s="188"/>
      <c r="F2" s="188"/>
      <c r="G2" s="197">
        <v>45981.106112510693</v>
      </c>
      <c r="H2" s="188"/>
      <c r="I2" s="188"/>
      <c r="J2" s="188"/>
      <c r="K2" s="201">
        <v>45981.106112510948</v>
      </c>
      <c r="L2" s="188"/>
      <c r="M2" s="188"/>
      <c r="N2" s="188"/>
      <c r="O2" s="188"/>
      <c r="P2" s="188"/>
      <c r="Q2" s="188"/>
      <c r="R2" s="18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6" t="s">
        <v>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8" t="s">
        <v>6</v>
      </c>
      <c r="B4" s="191"/>
      <c r="C4" s="191"/>
      <c r="D4" s="191"/>
      <c r="E4" s="191"/>
      <c r="F4" s="192"/>
      <c r="G4" s="4">
        <v>45983</v>
      </c>
      <c r="H4" s="193" t="s">
        <v>7</v>
      </c>
      <c r="I4" s="191"/>
      <c r="J4" s="191"/>
      <c r="K4" s="191"/>
      <c r="L4" s="191"/>
      <c r="M4" s="191"/>
      <c r="N4" s="191"/>
      <c r="O4" s="191"/>
      <c r="P4" s="191"/>
      <c r="Q4" s="191"/>
      <c r="R4" s="19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2" t="s">
        <v>66</v>
      </c>
      <c r="B6" s="92" t="s">
        <v>502</v>
      </c>
      <c r="C6" s="93">
        <v>0.46180555555555558</v>
      </c>
      <c r="D6" s="92" t="s">
        <v>68</v>
      </c>
      <c r="E6" s="92" t="s">
        <v>503</v>
      </c>
      <c r="F6" s="92" t="s">
        <v>232</v>
      </c>
      <c r="G6" s="184"/>
      <c r="H6" s="31" t="s">
        <v>504</v>
      </c>
      <c r="I6" s="123">
        <v>0.77380000000000004</v>
      </c>
      <c r="J6" s="33">
        <v>130</v>
      </c>
      <c r="K6" s="34">
        <v>45980</v>
      </c>
      <c r="L6" s="33">
        <v>53</v>
      </c>
      <c r="M6" s="33">
        <v>0</v>
      </c>
      <c r="N6" s="33">
        <v>7</v>
      </c>
      <c r="O6" s="35" t="s">
        <v>505</v>
      </c>
      <c r="P6" s="36">
        <v>0.46180555555555558</v>
      </c>
      <c r="Q6" s="33">
        <v>168</v>
      </c>
      <c r="R6" s="37" t="s">
        <v>506</v>
      </c>
    </row>
    <row r="7" spans="1:92" ht="15" customHeight="1" x14ac:dyDescent="0.3">
      <c r="A7" s="87" t="s">
        <v>66</v>
      </c>
      <c r="B7" s="87" t="s">
        <v>507</v>
      </c>
      <c r="C7" s="88">
        <v>0.6875</v>
      </c>
      <c r="D7" s="87" t="s">
        <v>68</v>
      </c>
      <c r="E7" s="87" t="s">
        <v>90</v>
      </c>
      <c r="F7" s="87" t="s">
        <v>232</v>
      </c>
      <c r="G7" s="185"/>
      <c r="H7" s="67" t="s">
        <v>508</v>
      </c>
      <c r="I7" s="178">
        <v>0.70830000000000004</v>
      </c>
      <c r="J7" s="69">
        <v>119</v>
      </c>
      <c r="K7" s="70">
        <v>45980</v>
      </c>
      <c r="L7" s="69">
        <v>8</v>
      </c>
      <c r="M7" s="69">
        <v>0</v>
      </c>
      <c r="N7" s="69">
        <v>1</v>
      </c>
      <c r="O7" s="71" t="s">
        <v>379</v>
      </c>
      <c r="P7" s="72">
        <v>0.6875</v>
      </c>
      <c r="Q7" s="69">
        <v>168</v>
      </c>
      <c r="R7" s="73" t="s">
        <v>509</v>
      </c>
    </row>
    <row r="8" spans="1:92" ht="15" customHeight="1" x14ac:dyDescent="0.3">
      <c r="A8" s="17" t="s">
        <v>80</v>
      </c>
      <c r="B8" s="17" t="s">
        <v>510</v>
      </c>
      <c r="C8" s="18">
        <v>0.46180555555555558</v>
      </c>
      <c r="D8" s="17" t="s">
        <v>511</v>
      </c>
      <c r="E8" s="17" t="s">
        <v>196</v>
      </c>
      <c r="F8" s="17" t="s">
        <v>512</v>
      </c>
      <c r="G8" s="185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8" x14ac:dyDescent="0.3">
      <c r="A9" s="202" t="s">
        <v>423</v>
      </c>
      <c r="B9" s="203"/>
      <c r="C9" s="203"/>
      <c r="D9" s="203"/>
      <c r="E9" s="203"/>
      <c r="F9" s="204"/>
      <c r="G9" s="185"/>
      <c r="H9" s="163"/>
      <c r="I9" s="163"/>
      <c r="J9" s="163"/>
      <c r="K9" s="163"/>
      <c r="L9" s="163"/>
      <c r="M9" s="163"/>
      <c r="N9" s="163"/>
      <c r="O9" s="164"/>
      <c r="P9" s="163"/>
      <c r="Q9" s="126"/>
      <c r="R9" s="126"/>
    </row>
    <row r="10" spans="1:92" ht="15" customHeight="1" x14ac:dyDescent="0.3">
      <c r="A10" s="15" t="s">
        <v>26</v>
      </c>
      <c r="B10" s="15" t="s">
        <v>27</v>
      </c>
      <c r="C10" s="16" t="s">
        <v>386</v>
      </c>
      <c r="D10" s="15" t="s">
        <v>28</v>
      </c>
      <c r="E10" s="15" t="s">
        <v>424</v>
      </c>
      <c r="F10" s="15" t="s">
        <v>30</v>
      </c>
      <c r="G10" s="185"/>
      <c r="H10" s="163"/>
      <c r="I10" s="163"/>
      <c r="J10" s="163"/>
      <c r="K10" s="163"/>
      <c r="L10" s="163"/>
      <c r="M10" s="163"/>
      <c r="N10" s="163"/>
      <c r="O10" s="164"/>
      <c r="P10" s="163"/>
      <c r="Q10" s="126"/>
      <c r="R10" s="126"/>
    </row>
    <row r="11" spans="1:92" ht="15" customHeight="1" x14ac:dyDescent="0.3">
      <c r="A11" s="15" t="s">
        <v>26</v>
      </c>
      <c r="B11" s="15" t="s">
        <v>31</v>
      </c>
      <c r="C11" s="16" t="s">
        <v>387</v>
      </c>
      <c r="D11" s="15" t="s">
        <v>28</v>
      </c>
      <c r="E11" s="15" t="s">
        <v>425</v>
      </c>
      <c r="F11" s="15" t="s">
        <v>33</v>
      </c>
      <c r="G11" s="185"/>
      <c r="H11" s="163"/>
      <c r="I11" s="163"/>
      <c r="J11" s="163"/>
      <c r="K11" s="163"/>
      <c r="L11" s="163"/>
      <c r="M11" s="163"/>
      <c r="N11" s="163"/>
      <c r="O11" s="164"/>
      <c r="P11" s="163"/>
      <c r="Q11" s="126"/>
      <c r="R11" s="126"/>
    </row>
    <row r="12" spans="1:92" ht="15" customHeight="1" x14ac:dyDescent="0.3">
      <c r="A12" s="15" t="s">
        <v>26</v>
      </c>
      <c r="B12" s="15" t="s">
        <v>34</v>
      </c>
      <c r="C12" s="16" t="s">
        <v>388</v>
      </c>
      <c r="D12" s="15" t="s">
        <v>28</v>
      </c>
      <c r="E12" s="15" t="s">
        <v>426</v>
      </c>
      <c r="F12" s="15" t="s">
        <v>33</v>
      </c>
      <c r="G12" s="185"/>
      <c r="H12" s="163"/>
      <c r="I12" s="163"/>
      <c r="J12" s="163"/>
      <c r="K12" s="163"/>
      <c r="L12" s="163"/>
      <c r="M12" s="163"/>
      <c r="N12" s="163"/>
      <c r="O12" s="164"/>
      <c r="P12" s="163"/>
      <c r="Q12" s="126"/>
      <c r="R12" s="126"/>
    </row>
    <row r="13" spans="1:92" ht="15" customHeight="1" x14ac:dyDescent="0.3">
      <c r="A13" s="15" t="s">
        <v>39</v>
      </c>
      <c r="B13" s="15" t="s">
        <v>40</v>
      </c>
      <c r="C13" s="16" t="s">
        <v>389</v>
      </c>
      <c r="D13" s="15" t="s">
        <v>41</v>
      </c>
      <c r="E13" s="15" t="s">
        <v>427</v>
      </c>
      <c r="F13" s="15" t="s">
        <v>43</v>
      </c>
      <c r="G13" s="185"/>
      <c r="H13" s="163"/>
      <c r="I13" s="163"/>
      <c r="J13" s="163"/>
      <c r="K13" s="163"/>
      <c r="L13" s="163"/>
      <c r="M13" s="163"/>
      <c r="N13" s="163"/>
      <c r="O13" s="164"/>
      <c r="P13" s="163"/>
      <c r="Q13" s="126"/>
      <c r="R13" s="126"/>
    </row>
    <row r="14" spans="1:92" ht="15" customHeight="1" x14ac:dyDescent="0.3">
      <c r="A14" s="15" t="s">
        <v>39</v>
      </c>
      <c r="B14" s="15" t="s">
        <v>44</v>
      </c>
      <c r="C14" s="16" t="s">
        <v>390</v>
      </c>
      <c r="D14" s="15" t="s">
        <v>41</v>
      </c>
      <c r="E14" s="15" t="s">
        <v>428</v>
      </c>
      <c r="F14" s="15" t="s">
        <v>43</v>
      </c>
      <c r="G14" s="185"/>
      <c r="H14" s="163"/>
      <c r="I14" s="163"/>
      <c r="J14" s="163"/>
      <c r="K14" s="163"/>
      <c r="L14" s="163"/>
      <c r="M14" s="163"/>
      <c r="N14" s="163"/>
      <c r="O14" s="164"/>
      <c r="P14" s="163"/>
      <c r="Q14" s="126"/>
      <c r="R14" s="126"/>
    </row>
    <row r="15" spans="1:92" ht="15" customHeight="1" x14ac:dyDescent="0.3">
      <c r="A15" s="15" t="s">
        <v>39</v>
      </c>
      <c r="B15" s="15" t="s">
        <v>46</v>
      </c>
      <c r="C15" s="16" t="s">
        <v>391</v>
      </c>
      <c r="D15" s="15" t="s">
        <v>41</v>
      </c>
      <c r="E15" s="15" t="s">
        <v>424</v>
      </c>
      <c r="F15" s="15" t="s">
        <v>43</v>
      </c>
      <c r="G15" s="185"/>
      <c r="H15" s="163"/>
      <c r="I15" s="163"/>
      <c r="J15" s="163"/>
      <c r="K15" s="163"/>
      <c r="L15" s="163"/>
      <c r="M15" s="163"/>
      <c r="N15" s="163"/>
      <c r="O15" s="164"/>
      <c r="P15" s="163"/>
      <c r="Q15" s="126"/>
      <c r="R15" s="126"/>
    </row>
    <row r="16" spans="1:92" ht="15" customHeight="1" x14ac:dyDescent="0.3">
      <c r="A16" s="15" t="s">
        <v>39</v>
      </c>
      <c r="B16" s="15" t="s">
        <v>48</v>
      </c>
      <c r="C16" s="16" t="s">
        <v>392</v>
      </c>
      <c r="D16" s="15" t="s">
        <v>41</v>
      </c>
      <c r="E16" s="15" t="s">
        <v>424</v>
      </c>
      <c r="F16" s="15" t="s">
        <v>43</v>
      </c>
      <c r="G16" s="185"/>
      <c r="H16" s="163"/>
      <c r="I16" s="163"/>
      <c r="J16" s="163"/>
      <c r="K16" s="163"/>
      <c r="L16" s="163"/>
      <c r="M16" s="163"/>
      <c r="N16" s="163"/>
      <c r="O16" s="164"/>
      <c r="P16" s="163"/>
      <c r="Q16" s="126"/>
      <c r="R16" s="126"/>
    </row>
    <row r="17" spans="1:18" ht="15" customHeight="1" x14ac:dyDescent="0.3">
      <c r="A17" s="15" t="s">
        <v>39</v>
      </c>
      <c r="B17" s="15" t="s">
        <v>49</v>
      </c>
      <c r="C17" s="16" t="s">
        <v>393</v>
      </c>
      <c r="D17" s="15" t="s">
        <v>41</v>
      </c>
      <c r="E17" s="15" t="s">
        <v>429</v>
      </c>
      <c r="F17" s="15" t="s">
        <v>43</v>
      </c>
      <c r="G17" s="185"/>
      <c r="H17" s="163"/>
      <c r="I17" s="163"/>
      <c r="J17" s="163"/>
      <c r="K17" s="163"/>
      <c r="L17" s="163"/>
      <c r="M17" s="163"/>
      <c r="N17" s="163"/>
      <c r="O17" s="164"/>
      <c r="P17" s="163"/>
      <c r="Q17" s="126"/>
      <c r="R17" s="126"/>
    </row>
    <row r="18" spans="1:18" ht="15" customHeight="1" x14ac:dyDescent="0.3">
      <c r="A18" s="15" t="s">
        <v>39</v>
      </c>
      <c r="B18" s="15" t="s">
        <v>51</v>
      </c>
      <c r="C18" s="16" t="s">
        <v>394</v>
      </c>
      <c r="D18" s="15" t="s">
        <v>41</v>
      </c>
      <c r="E18" s="15" t="s">
        <v>430</v>
      </c>
      <c r="F18" s="15" t="s">
        <v>43</v>
      </c>
      <c r="G18" s="185"/>
      <c r="H18" s="163"/>
      <c r="I18" s="163"/>
      <c r="J18" s="163"/>
      <c r="K18" s="163"/>
      <c r="L18" s="163"/>
      <c r="M18" s="163"/>
      <c r="N18" s="163"/>
      <c r="O18" s="164"/>
      <c r="P18" s="163"/>
      <c r="Q18" s="126"/>
      <c r="R18" s="126"/>
    </row>
    <row r="19" spans="1:18" ht="15" customHeight="1" thickBot="1" x14ac:dyDescent="0.35">
      <c r="A19" s="50" t="s">
        <v>26</v>
      </c>
      <c r="B19" s="50" t="s">
        <v>36</v>
      </c>
      <c r="C19" s="51" t="s">
        <v>395</v>
      </c>
      <c r="D19" s="50" t="s">
        <v>28</v>
      </c>
      <c r="E19" s="50" t="s">
        <v>431</v>
      </c>
      <c r="F19" s="50" t="s">
        <v>38</v>
      </c>
      <c r="G19" s="186"/>
      <c r="H19" s="165"/>
      <c r="I19" s="165"/>
      <c r="J19" s="165"/>
      <c r="K19" s="165"/>
      <c r="L19" s="165"/>
      <c r="M19" s="165"/>
      <c r="N19" s="165"/>
      <c r="O19" s="166"/>
      <c r="P19" s="165"/>
      <c r="Q19" s="167"/>
      <c r="R19" s="167"/>
    </row>
    <row r="20" spans="1:18" ht="17.399999999999999" customHeight="1" thickBot="1" x14ac:dyDescent="0.35">
      <c r="A20" s="219"/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1"/>
    </row>
    <row r="21" spans="1:18" ht="22.05" customHeight="1" thickTop="1" thickBot="1" x14ac:dyDescent="0.35">
      <c r="A21" s="190" t="s">
        <v>6</v>
      </c>
      <c r="B21" s="191"/>
      <c r="C21" s="191"/>
      <c r="D21" s="191"/>
      <c r="E21" s="191"/>
      <c r="F21" s="192"/>
      <c r="G21" s="57">
        <v>45984</v>
      </c>
      <c r="H21" s="194" t="s">
        <v>7</v>
      </c>
      <c r="I21" s="191"/>
      <c r="J21" s="191"/>
      <c r="K21" s="191"/>
      <c r="L21" s="191"/>
      <c r="M21" s="191"/>
      <c r="N21" s="191"/>
      <c r="O21" s="191"/>
      <c r="P21" s="191"/>
      <c r="Q21" s="191"/>
      <c r="R21" s="192"/>
    </row>
    <row r="22" spans="1:18" ht="24" customHeight="1" x14ac:dyDescent="0.3">
      <c r="A22" s="58" t="s">
        <v>8</v>
      </c>
      <c r="B22" s="58" t="s">
        <v>9</v>
      </c>
      <c r="C22" s="59" t="s">
        <v>10</v>
      </c>
      <c r="D22" s="58" t="s">
        <v>11</v>
      </c>
      <c r="E22" s="58" t="s">
        <v>12</v>
      </c>
      <c r="F22" s="60" t="s">
        <v>13</v>
      </c>
      <c r="G22" s="61" t="s">
        <v>14</v>
      </c>
      <c r="H22" s="58" t="s">
        <v>15</v>
      </c>
      <c r="I22" s="62" t="s">
        <v>16</v>
      </c>
      <c r="J22" s="63" t="s">
        <v>17</v>
      </c>
      <c r="K22" s="64" t="s">
        <v>18</v>
      </c>
      <c r="L22" s="63" t="s">
        <v>19</v>
      </c>
      <c r="M22" s="63" t="s">
        <v>20</v>
      </c>
      <c r="N22" s="63" t="s">
        <v>21</v>
      </c>
      <c r="O22" s="58" t="s">
        <v>22</v>
      </c>
      <c r="P22" s="59" t="s">
        <v>23</v>
      </c>
      <c r="Q22" s="63" t="s">
        <v>24</v>
      </c>
      <c r="R22" s="58" t="s">
        <v>25</v>
      </c>
    </row>
    <row r="23" spans="1:18" ht="15" customHeight="1" x14ac:dyDescent="0.3">
      <c r="A23" s="8" t="s">
        <v>26</v>
      </c>
      <c r="B23" s="8" t="s">
        <v>513</v>
      </c>
      <c r="C23" s="9">
        <v>0.28472222222222221</v>
      </c>
      <c r="D23" s="8" t="s">
        <v>402</v>
      </c>
      <c r="E23" s="8" t="s">
        <v>42</v>
      </c>
      <c r="F23" s="8" t="s">
        <v>514</v>
      </c>
      <c r="G23" s="200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48" t="s">
        <v>26</v>
      </c>
      <c r="B24" s="48" t="s">
        <v>513</v>
      </c>
      <c r="C24" s="49">
        <v>0.28472222222222221</v>
      </c>
      <c r="D24" s="48" t="s">
        <v>404</v>
      </c>
      <c r="E24" s="48" t="s">
        <v>128</v>
      </c>
      <c r="F24" s="48" t="s">
        <v>515</v>
      </c>
      <c r="G24" s="185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48" t="s">
        <v>26</v>
      </c>
      <c r="B25" s="48" t="s">
        <v>513</v>
      </c>
      <c r="C25" s="49">
        <v>0.28472222222222221</v>
      </c>
      <c r="D25" s="48" t="s">
        <v>406</v>
      </c>
      <c r="E25" s="48" t="s">
        <v>128</v>
      </c>
      <c r="F25" s="48" t="s">
        <v>516</v>
      </c>
      <c r="G25" s="185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48" t="s">
        <v>26</v>
      </c>
      <c r="B26" s="48" t="s">
        <v>513</v>
      </c>
      <c r="C26" s="49">
        <v>0.28472222222222221</v>
      </c>
      <c r="D26" s="48" t="s">
        <v>408</v>
      </c>
      <c r="E26" s="48" t="s">
        <v>128</v>
      </c>
      <c r="F26" s="48" t="s">
        <v>517</v>
      </c>
      <c r="G26" s="185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92" t="s">
        <v>66</v>
      </c>
      <c r="B27" s="92" t="s">
        <v>507</v>
      </c>
      <c r="C27" s="93">
        <v>0.85069444444444453</v>
      </c>
      <c r="D27" s="92" t="s">
        <v>68</v>
      </c>
      <c r="E27" s="92" t="s">
        <v>209</v>
      </c>
      <c r="F27" s="92" t="s">
        <v>518</v>
      </c>
      <c r="G27" s="185"/>
      <c r="H27" s="31" t="s">
        <v>508</v>
      </c>
      <c r="I27" s="32">
        <v>0.92859999999999998</v>
      </c>
      <c r="J27" s="33">
        <v>156</v>
      </c>
      <c r="K27" s="34">
        <v>45980</v>
      </c>
      <c r="L27" s="33">
        <v>6</v>
      </c>
      <c r="M27" s="33">
        <v>0</v>
      </c>
      <c r="N27" s="33">
        <v>2</v>
      </c>
      <c r="O27" s="35" t="s">
        <v>302</v>
      </c>
      <c r="P27" s="36">
        <v>0.85069444444444453</v>
      </c>
      <c r="Q27" s="33">
        <v>168</v>
      </c>
      <c r="R27" s="37" t="s">
        <v>519</v>
      </c>
    </row>
    <row r="28" spans="1:18" ht="15" customHeight="1" x14ac:dyDescent="0.3">
      <c r="A28" s="78" t="s">
        <v>66</v>
      </c>
      <c r="B28" s="78" t="s">
        <v>520</v>
      </c>
      <c r="C28" s="79">
        <v>0.76736111111111116</v>
      </c>
      <c r="D28" s="78" t="s">
        <v>68</v>
      </c>
      <c r="E28" s="78" t="s">
        <v>90</v>
      </c>
      <c r="F28" s="78" t="s">
        <v>518</v>
      </c>
      <c r="G28" s="185"/>
      <c r="H28" s="80" t="s">
        <v>521</v>
      </c>
      <c r="I28" s="179">
        <v>0.67859999999999998</v>
      </c>
      <c r="J28" s="82">
        <v>114</v>
      </c>
      <c r="K28" s="83">
        <v>45980</v>
      </c>
      <c r="L28" s="82">
        <v>24</v>
      </c>
      <c r="M28" s="82">
        <v>0</v>
      </c>
      <c r="N28" s="82">
        <v>3</v>
      </c>
      <c r="O28" s="84" t="s">
        <v>522</v>
      </c>
      <c r="P28" s="85">
        <v>0.76736111111111116</v>
      </c>
      <c r="Q28" s="82">
        <v>168</v>
      </c>
      <c r="R28" s="86" t="s">
        <v>523</v>
      </c>
    </row>
    <row r="29" spans="1:18" ht="18" x14ac:dyDescent="0.3">
      <c r="A29" s="202" t="s">
        <v>423</v>
      </c>
      <c r="B29" s="203"/>
      <c r="C29" s="203"/>
      <c r="D29" s="203"/>
      <c r="E29" s="203"/>
      <c r="F29" s="204"/>
      <c r="G29" s="185"/>
      <c r="H29" s="163"/>
      <c r="I29" s="163"/>
      <c r="J29" s="163"/>
      <c r="K29" s="163"/>
      <c r="L29" s="163"/>
      <c r="M29" s="163"/>
      <c r="N29" s="163"/>
      <c r="O29" s="164"/>
      <c r="P29" s="163"/>
      <c r="Q29" s="126"/>
      <c r="R29" s="126"/>
    </row>
    <row r="30" spans="1:18" ht="15" customHeight="1" x14ac:dyDescent="0.3">
      <c r="A30" s="15" t="s">
        <v>26</v>
      </c>
      <c r="B30" s="15" t="s">
        <v>36</v>
      </c>
      <c r="C30" s="16" t="s">
        <v>395</v>
      </c>
      <c r="D30" s="15" t="s">
        <v>119</v>
      </c>
      <c r="E30" s="15" t="s">
        <v>424</v>
      </c>
      <c r="F30" s="15" t="s">
        <v>120</v>
      </c>
      <c r="G30" s="185"/>
      <c r="H30" s="163"/>
      <c r="I30" s="163"/>
      <c r="J30" s="163"/>
      <c r="K30" s="163"/>
      <c r="L30" s="163"/>
      <c r="M30" s="163"/>
      <c r="N30" s="163"/>
      <c r="O30" s="164"/>
      <c r="P30" s="163"/>
      <c r="Q30" s="126"/>
      <c r="R30" s="126"/>
    </row>
    <row r="31" spans="1:18" ht="15" customHeight="1" x14ac:dyDescent="0.3">
      <c r="A31" s="15" t="s">
        <v>26</v>
      </c>
      <c r="B31" s="15" t="s">
        <v>34</v>
      </c>
      <c r="C31" s="16" t="s">
        <v>388</v>
      </c>
      <c r="D31" s="15" t="s">
        <v>119</v>
      </c>
      <c r="E31" s="15" t="s">
        <v>425</v>
      </c>
      <c r="F31" s="15" t="s">
        <v>120</v>
      </c>
      <c r="G31" s="185"/>
      <c r="H31" s="163"/>
      <c r="I31" s="163"/>
      <c r="J31" s="163"/>
      <c r="K31" s="163"/>
      <c r="L31" s="163"/>
      <c r="M31" s="163"/>
      <c r="N31" s="163"/>
      <c r="O31" s="164"/>
      <c r="P31" s="163"/>
      <c r="Q31" s="126"/>
      <c r="R31" s="126"/>
    </row>
    <row r="32" spans="1:18" ht="15" customHeight="1" x14ac:dyDescent="0.3">
      <c r="A32" s="15" t="s">
        <v>66</v>
      </c>
      <c r="B32" s="15" t="s">
        <v>130</v>
      </c>
      <c r="C32" s="16" t="s">
        <v>288</v>
      </c>
      <c r="D32" s="15" t="s">
        <v>68</v>
      </c>
      <c r="E32" s="15" t="s">
        <v>424</v>
      </c>
      <c r="F32" s="15" t="s">
        <v>131</v>
      </c>
      <c r="G32" s="185"/>
      <c r="H32" s="163"/>
      <c r="I32" s="163"/>
      <c r="J32" s="163"/>
      <c r="K32" s="163"/>
      <c r="L32" s="163"/>
      <c r="M32" s="163"/>
      <c r="N32" s="163"/>
      <c r="O32" s="164"/>
      <c r="P32" s="163"/>
      <c r="Q32" s="126"/>
      <c r="R32" s="126"/>
    </row>
    <row r="33" spans="1:18" ht="15" customHeight="1" x14ac:dyDescent="0.3">
      <c r="A33" s="15" t="s">
        <v>26</v>
      </c>
      <c r="B33" s="15" t="s">
        <v>27</v>
      </c>
      <c r="C33" s="16" t="s">
        <v>386</v>
      </c>
      <c r="D33" s="15" t="s">
        <v>119</v>
      </c>
      <c r="E33" s="15" t="s">
        <v>442</v>
      </c>
      <c r="F33" s="15" t="s">
        <v>30</v>
      </c>
      <c r="G33" s="185"/>
      <c r="H33" s="163"/>
      <c r="I33" s="163"/>
      <c r="J33" s="163"/>
      <c r="K33" s="163"/>
      <c r="L33" s="163"/>
      <c r="M33" s="163"/>
      <c r="N33" s="163"/>
      <c r="O33" s="164"/>
      <c r="P33" s="163"/>
      <c r="Q33" s="126"/>
      <c r="R33" s="126"/>
    </row>
    <row r="34" spans="1:18" ht="15" customHeight="1" x14ac:dyDescent="0.3">
      <c r="A34" s="15" t="s">
        <v>39</v>
      </c>
      <c r="B34" s="15" t="s">
        <v>53</v>
      </c>
      <c r="C34" s="16" t="s">
        <v>398</v>
      </c>
      <c r="D34" s="15" t="s">
        <v>149</v>
      </c>
      <c r="E34" s="15" t="s">
        <v>424</v>
      </c>
      <c r="F34" s="15" t="s">
        <v>30</v>
      </c>
      <c r="G34" s="185"/>
      <c r="H34" s="163"/>
      <c r="I34" s="163"/>
      <c r="J34" s="163"/>
      <c r="K34" s="163"/>
      <c r="L34" s="163"/>
      <c r="M34" s="163"/>
      <c r="N34" s="163"/>
      <c r="O34" s="164"/>
      <c r="P34" s="163"/>
      <c r="Q34" s="126"/>
      <c r="R34" s="126"/>
    </row>
    <row r="35" spans="1:18" ht="15" customHeight="1" x14ac:dyDescent="0.3">
      <c r="A35" s="15" t="s">
        <v>39</v>
      </c>
      <c r="B35" s="15" t="s">
        <v>40</v>
      </c>
      <c r="C35" s="16" t="s">
        <v>389</v>
      </c>
      <c r="D35" s="15" t="s">
        <v>149</v>
      </c>
      <c r="E35" s="15" t="s">
        <v>427</v>
      </c>
      <c r="F35" s="15" t="s">
        <v>30</v>
      </c>
      <c r="G35" s="185"/>
      <c r="H35" s="163"/>
      <c r="I35" s="163"/>
      <c r="J35" s="163"/>
      <c r="K35" s="163"/>
      <c r="L35" s="163"/>
      <c r="M35" s="163"/>
      <c r="N35" s="163"/>
      <c r="O35" s="164"/>
      <c r="P35" s="163"/>
      <c r="Q35" s="126"/>
      <c r="R35" s="126"/>
    </row>
    <row r="36" spans="1:18" ht="15" customHeight="1" x14ac:dyDescent="0.3">
      <c r="A36" s="15" t="s">
        <v>39</v>
      </c>
      <c r="B36" s="15" t="s">
        <v>48</v>
      </c>
      <c r="C36" s="16" t="s">
        <v>392</v>
      </c>
      <c r="D36" s="15" t="s">
        <v>149</v>
      </c>
      <c r="E36" s="15" t="s">
        <v>427</v>
      </c>
      <c r="F36" s="15" t="s">
        <v>30</v>
      </c>
      <c r="G36" s="185"/>
      <c r="H36" s="163"/>
      <c r="I36" s="163"/>
      <c r="J36" s="163"/>
      <c r="K36" s="163"/>
      <c r="L36" s="163"/>
      <c r="M36" s="163"/>
      <c r="N36" s="163"/>
      <c r="O36" s="164"/>
      <c r="P36" s="163"/>
      <c r="Q36" s="126"/>
      <c r="R36" s="126"/>
    </row>
    <row r="37" spans="1:18" ht="15" customHeight="1" x14ac:dyDescent="0.3">
      <c r="A37" s="15" t="s">
        <v>39</v>
      </c>
      <c r="B37" s="15" t="s">
        <v>153</v>
      </c>
      <c r="C37" s="16" t="s">
        <v>387</v>
      </c>
      <c r="D37" s="15" t="s">
        <v>149</v>
      </c>
      <c r="E37" s="15" t="s">
        <v>442</v>
      </c>
      <c r="F37" s="15" t="s">
        <v>30</v>
      </c>
      <c r="G37" s="185"/>
      <c r="H37" s="163"/>
      <c r="I37" s="163"/>
      <c r="J37" s="163"/>
      <c r="K37" s="163"/>
      <c r="L37" s="163"/>
      <c r="M37" s="163"/>
      <c r="N37" s="163"/>
      <c r="O37" s="164"/>
      <c r="P37" s="163"/>
      <c r="Q37" s="126"/>
      <c r="R37" s="126"/>
    </row>
    <row r="38" spans="1:18" ht="15" customHeight="1" x14ac:dyDescent="0.3">
      <c r="A38" s="15" t="s">
        <v>39</v>
      </c>
      <c r="B38" s="15" t="s">
        <v>51</v>
      </c>
      <c r="C38" s="16" t="s">
        <v>394</v>
      </c>
      <c r="D38" s="15" t="s">
        <v>149</v>
      </c>
      <c r="E38" s="15" t="s">
        <v>427</v>
      </c>
      <c r="F38" s="15" t="s">
        <v>30</v>
      </c>
      <c r="G38" s="185"/>
      <c r="H38" s="163"/>
      <c r="I38" s="163"/>
      <c r="J38" s="163"/>
      <c r="K38" s="163"/>
      <c r="L38" s="163"/>
      <c r="M38" s="163"/>
      <c r="N38" s="163"/>
      <c r="O38" s="164"/>
      <c r="P38" s="163"/>
      <c r="Q38" s="126"/>
      <c r="R38" s="126"/>
    </row>
    <row r="39" spans="1:18" ht="15" customHeight="1" thickBot="1" x14ac:dyDescent="0.35">
      <c r="A39" s="50" t="s">
        <v>61</v>
      </c>
      <c r="B39" s="50" t="s">
        <v>62</v>
      </c>
      <c r="C39" s="51" t="s">
        <v>399</v>
      </c>
      <c r="D39" s="50" t="s">
        <v>63</v>
      </c>
      <c r="E39" s="50" t="s">
        <v>443</v>
      </c>
      <c r="F39" s="50" t="s">
        <v>157</v>
      </c>
      <c r="G39" s="186"/>
      <c r="H39" s="165"/>
      <c r="I39" s="165"/>
      <c r="J39" s="165"/>
      <c r="K39" s="165"/>
      <c r="L39" s="165"/>
      <c r="M39" s="165"/>
      <c r="N39" s="165"/>
      <c r="O39" s="166"/>
      <c r="P39" s="165"/>
      <c r="Q39" s="167"/>
      <c r="R39" s="167"/>
    </row>
    <row r="40" spans="1:18" ht="17.399999999999999" customHeight="1" thickBot="1" x14ac:dyDescent="0.35">
      <c r="A40" s="219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1"/>
    </row>
    <row r="41" spans="1:18" ht="22.05" customHeight="1" thickTop="1" thickBot="1" x14ac:dyDescent="0.35">
      <c r="A41" s="190" t="s">
        <v>6</v>
      </c>
      <c r="B41" s="191"/>
      <c r="C41" s="191"/>
      <c r="D41" s="191"/>
      <c r="E41" s="191"/>
      <c r="F41" s="192"/>
      <c r="G41" s="57">
        <v>45985</v>
      </c>
      <c r="H41" s="194" t="s">
        <v>7</v>
      </c>
      <c r="I41" s="191"/>
      <c r="J41" s="191"/>
      <c r="K41" s="191"/>
      <c r="L41" s="191"/>
      <c r="M41" s="191"/>
      <c r="N41" s="191"/>
      <c r="O41" s="191"/>
      <c r="P41" s="191"/>
      <c r="Q41" s="191"/>
      <c r="R41" s="192"/>
    </row>
    <row r="42" spans="1:18" ht="24" customHeight="1" x14ac:dyDescent="0.3">
      <c r="A42" s="58" t="s">
        <v>8</v>
      </c>
      <c r="B42" s="58" t="s">
        <v>9</v>
      </c>
      <c r="C42" s="59" t="s">
        <v>10</v>
      </c>
      <c r="D42" s="58" t="s">
        <v>11</v>
      </c>
      <c r="E42" s="58" t="s">
        <v>12</v>
      </c>
      <c r="F42" s="60" t="s">
        <v>13</v>
      </c>
      <c r="G42" s="61" t="s">
        <v>14</v>
      </c>
      <c r="H42" s="58" t="s">
        <v>15</v>
      </c>
      <c r="I42" s="62" t="s">
        <v>16</v>
      </c>
      <c r="J42" s="63" t="s">
        <v>17</v>
      </c>
      <c r="K42" s="64" t="s">
        <v>18</v>
      </c>
      <c r="L42" s="63" t="s">
        <v>19</v>
      </c>
      <c r="M42" s="63" t="s">
        <v>20</v>
      </c>
      <c r="N42" s="63" t="s">
        <v>21</v>
      </c>
      <c r="O42" s="58" t="s">
        <v>22</v>
      </c>
      <c r="P42" s="59" t="s">
        <v>23</v>
      </c>
      <c r="Q42" s="63" t="s">
        <v>24</v>
      </c>
      <c r="R42" s="58" t="s">
        <v>25</v>
      </c>
    </row>
    <row r="43" spans="1:18" ht="15" customHeight="1" x14ac:dyDescent="0.3">
      <c r="A43" s="65" t="s">
        <v>66</v>
      </c>
      <c r="B43" s="65" t="s">
        <v>502</v>
      </c>
      <c r="C43" s="66">
        <v>0.85416666666666663</v>
      </c>
      <c r="D43" s="65" t="s">
        <v>68</v>
      </c>
      <c r="E43" s="65" t="s">
        <v>524</v>
      </c>
      <c r="F43" s="65" t="s">
        <v>221</v>
      </c>
      <c r="G43" s="184"/>
      <c r="H43" s="67" t="s">
        <v>504</v>
      </c>
      <c r="I43" s="113">
        <v>0.1905</v>
      </c>
      <c r="J43" s="69">
        <v>32</v>
      </c>
      <c r="K43" s="70">
        <v>45980</v>
      </c>
      <c r="L43" s="69">
        <v>20</v>
      </c>
      <c r="M43" s="69">
        <v>0</v>
      </c>
      <c r="N43" s="69">
        <v>5</v>
      </c>
      <c r="O43" s="71" t="s">
        <v>525</v>
      </c>
      <c r="P43" s="72">
        <v>0.85416666666666663</v>
      </c>
      <c r="Q43" s="69">
        <v>168</v>
      </c>
      <c r="R43" s="73" t="s">
        <v>526</v>
      </c>
    </row>
    <row r="44" spans="1:18" ht="15" customHeight="1" x14ac:dyDescent="0.3">
      <c r="A44" s="94" t="s">
        <v>66</v>
      </c>
      <c r="B44" s="94" t="s">
        <v>520</v>
      </c>
      <c r="C44" s="95">
        <v>0.25347222222222221</v>
      </c>
      <c r="D44" s="94" t="s">
        <v>68</v>
      </c>
      <c r="E44" s="94" t="s">
        <v>45</v>
      </c>
      <c r="F44" s="94" t="s">
        <v>221</v>
      </c>
      <c r="G44" s="185"/>
      <c r="H44" s="96" t="s">
        <v>521</v>
      </c>
      <c r="I44" s="180">
        <v>0.42859999999999998</v>
      </c>
      <c r="J44" s="98">
        <v>72</v>
      </c>
      <c r="K44" s="99">
        <v>45980</v>
      </c>
      <c r="L44" s="98">
        <v>16</v>
      </c>
      <c r="M44" s="98">
        <v>0</v>
      </c>
      <c r="N44" s="98">
        <v>4</v>
      </c>
      <c r="O44" s="100" t="s">
        <v>331</v>
      </c>
      <c r="P44" s="101">
        <v>0.25347222222222221</v>
      </c>
      <c r="Q44" s="98">
        <v>168</v>
      </c>
      <c r="R44" s="102" t="s">
        <v>527</v>
      </c>
    </row>
    <row r="45" spans="1:18" ht="15" customHeight="1" x14ac:dyDescent="0.3">
      <c r="A45" s="114" t="s">
        <v>66</v>
      </c>
      <c r="B45" s="114" t="s">
        <v>528</v>
      </c>
      <c r="C45" s="115">
        <v>0.50694444444444442</v>
      </c>
      <c r="D45" s="114" t="s">
        <v>68</v>
      </c>
      <c r="E45" s="114" t="s">
        <v>176</v>
      </c>
      <c r="F45" s="114" t="s">
        <v>518</v>
      </c>
      <c r="G45" s="185"/>
      <c r="H45" s="116" t="s">
        <v>529</v>
      </c>
      <c r="I45" s="181">
        <v>0.51790000000000003</v>
      </c>
      <c r="J45" s="118">
        <v>87</v>
      </c>
      <c r="K45" s="119">
        <v>45980</v>
      </c>
      <c r="L45" s="118">
        <v>76</v>
      </c>
      <c r="M45" s="118">
        <v>0</v>
      </c>
      <c r="N45" s="118">
        <v>8</v>
      </c>
      <c r="O45" s="120" t="s">
        <v>302</v>
      </c>
      <c r="P45" s="121">
        <v>0.50694444444444442</v>
      </c>
      <c r="Q45" s="118">
        <v>168</v>
      </c>
      <c r="R45" s="122" t="s">
        <v>530</v>
      </c>
    </row>
    <row r="46" spans="1:18" ht="15" customHeight="1" x14ac:dyDescent="0.3">
      <c r="A46" s="17" t="s">
        <v>80</v>
      </c>
      <c r="B46" s="17" t="s">
        <v>510</v>
      </c>
      <c r="C46" s="18">
        <v>0.85416666666666663</v>
      </c>
      <c r="D46" s="17" t="s">
        <v>511</v>
      </c>
      <c r="E46" s="17" t="s">
        <v>196</v>
      </c>
      <c r="F46" s="17" t="s">
        <v>512</v>
      </c>
      <c r="G46" s="185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8" x14ac:dyDescent="0.3">
      <c r="A47" s="202" t="s">
        <v>423</v>
      </c>
      <c r="B47" s="203"/>
      <c r="C47" s="203"/>
      <c r="D47" s="203"/>
      <c r="E47" s="203"/>
      <c r="F47" s="204"/>
      <c r="G47" s="185"/>
      <c r="H47" s="163"/>
      <c r="I47" s="163"/>
      <c r="J47" s="163"/>
      <c r="K47" s="163"/>
      <c r="L47" s="163"/>
      <c r="M47" s="163"/>
      <c r="N47" s="163"/>
      <c r="O47" s="164"/>
      <c r="P47" s="163"/>
      <c r="Q47" s="126"/>
      <c r="R47" s="126"/>
    </row>
    <row r="48" spans="1:18" ht="15" customHeight="1" x14ac:dyDescent="0.3">
      <c r="A48" s="15" t="s">
        <v>26</v>
      </c>
      <c r="B48" s="15" t="s">
        <v>27</v>
      </c>
      <c r="C48" s="16" t="s">
        <v>386</v>
      </c>
      <c r="D48" s="15" t="s">
        <v>119</v>
      </c>
      <c r="E48" s="15" t="s">
        <v>449</v>
      </c>
      <c r="F48" s="15" t="s">
        <v>179</v>
      </c>
      <c r="G48" s="185"/>
      <c r="H48" s="163"/>
      <c r="I48" s="163"/>
      <c r="J48" s="163"/>
      <c r="K48" s="163"/>
      <c r="L48" s="163"/>
      <c r="M48" s="163"/>
      <c r="N48" s="163"/>
      <c r="O48" s="164"/>
      <c r="P48" s="163"/>
      <c r="Q48" s="126"/>
      <c r="R48" s="126"/>
    </row>
    <row r="49" spans="1:18" ht="15" customHeight="1" x14ac:dyDescent="0.3">
      <c r="A49" s="15" t="s">
        <v>26</v>
      </c>
      <c r="B49" s="15" t="s">
        <v>31</v>
      </c>
      <c r="C49" s="16" t="s">
        <v>387</v>
      </c>
      <c r="D49" s="15" t="s">
        <v>119</v>
      </c>
      <c r="E49" s="15" t="s">
        <v>449</v>
      </c>
      <c r="F49" s="15" t="s">
        <v>183</v>
      </c>
      <c r="G49" s="185"/>
      <c r="H49" s="163"/>
      <c r="I49" s="163"/>
      <c r="J49" s="163"/>
      <c r="K49" s="163"/>
      <c r="L49" s="163"/>
      <c r="M49" s="163"/>
      <c r="N49" s="163"/>
      <c r="O49" s="164"/>
      <c r="P49" s="163"/>
      <c r="Q49" s="126"/>
      <c r="R49" s="126"/>
    </row>
    <row r="50" spans="1:18" ht="15" customHeight="1" x14ac:dyDescent="0.3">
      <c r="A50" s="15" t="s">
        <v>26</v>
      </c>
      <c r="B50" s="15" t="s">
        <v>34</v>
      </c>
      <c r="C50" s="16" t="s">
        <v>388</v>
      </c>
      <c r="D50" s="15" t="s">
        <v>119</v>
      </c>
      <c r="E50" s="15" t="s">
        <v>425</v>
      </c>
      <c r="F50" s="15" t="s">
        <v>183</v>
      </c>
      <c r="G50" s="185"/>
      <c r="H50" s="163"/>
      <c r="I50" s="163"/>
      <c r="J50" s="163"/>
      <c r="K50" s="163"/>
      <c r="L50" s="163"/>
      <c r="M50" s="163"/>
      <c r="N50" s="163"/>
      <c r="O50" s="164"/>
      <c r="P50" s="163"/>
      <c r="Q50" s="126"/>
      <c r="R50" s="126"/>
    </row>
    <row r="51" spans="1:18" ht="15" customHeight="1" x14ac:dyDescent="0.3">
      <c r="A51" s="15" t="s">
        <v>39</v>
      </c>
      <c r="B51" s="15" t="s">
        <v>53</v>
      </c>
      <c r="C51" s="16" t="s">
        <v>398</v>
      </c>
      <c r="D51" s="15" t="s">
        <v>149</v>
      </c>
      <c r="E51" s="15" t="s">
        <v>429</v>
      </c>
      <c r="F51" s="15" t="s">
        <v>187</v>
      </c>
      <c r="G51" s="185"/>
      <c r="H51" s="163"/>
      <c r="I51" s="163"/>
      <c r="J51" s="163"/>
      <c r="K51" s="163"/>
      <c r="L51" s="163"/>
      <c r="M51" s="163"/>
      <c r="N51" s="163"/>
      <c r="O51" s="164"/>
      <c r="P51" s="163"/>
      <c r="Q51" s="126"/>
      <c r="R51" s="126"/>
    </row>
    <row r="52" spans="1:18" ht="15" customHeight="1" x14ac:dyDescent="0.3">
      <c r="A52" s="15" t="s">
        <v>39</v>
      </c>
      <c r="B52" s="15" t="s">
        <v>40</v>
      </c>
      <c r="C52" s="16" t="s">
        <v>389</v>
      </c>
      <c r="D52" s="15" t="s">
        <v>149</v>
      </c>
      <c r="E52" s="15" t="s">
        <v>425</v>
      </c>
      <c r="F52" s="15" t="s">
        <v>187</v>
      </c>
      <c r="G52" s="185"/>
      <c r="H52" s="163"/>
      <c r="I52" s="163"/>
      <c r="J52" s="163"/>
      <c r="K52" s="163"/>
      <c r="L52" s="163"/>
      <c r="M52" s="163"/>
      <c r="N52" s="163"/>
      <c r="O52" s="164"/>
      <c r="P52" s="163"/>
      <c r="Q52" s="126"/>
      <c r="R52" s="126"/>
    </row>
    <row r="53" spans="1:18" ht="15" customHeight="1" x14ac:dyDescent="0.3">
      <c r="A53" s="15" t="s">
        <v>39</v>
      </c>
      <c r="B53" s="15" t="s">
        <v>44</v>
      </c>
      <c r="C53" s="16" t="s">
        <v>450</v>
      </c>
      <c r="D53" s="15" t="s">
        <v>149</v>
      </c>
      <c r="E53" s="15" t="s">
        <v>443</v>
      </c>
      <c r="F53" s="15" t="s">
        <v>187</v>
      </c>
      <c r="G53" s="185"/>
      <c r="H53" s="163"/>
      <c r="I53" s="163"/>
      <c r="J53" s="163"/>
      <c r="K53" s="163"/>
      <c r="L53" s="163"/>
      <c r="M53" s="163"/>
      <c r="N53" s="163"/>
      <c r="O53" s="164"/>
      <c r="P53" s="163"/>
      <c r="Q53" s="126"/>
      <c r="R53" s="126"/>
    </row>
    <row r="54" spans="1:18" ht="15" customHeight="1" x14ac:dyDescent="0.3">
      <c r="A54" s="15" t="s">
        <v>39</v>
      </c>
      <c r="B54" s="15" t="s">
        <v>46</v>
      </c>
      <c r="C54" s="16" t="s">
        <v>391</v>
      </c>
      <c r="D54" s="15" t="s">
        <v>149</v>
      </c>
      <c r="E54" s="15" t="s">
        <v>451</v>
      </c>
      <c r="F54" s="15" t="s">
        <v>187</v>
      </c>
      <c r="G54" s="185"/>
      <c r="H54" s="163"/>
      <c r="I54" s="163"/>
      <c r="J54" s="163"/>
      <c r="K54" s="163"/>
      <c r="L54" s="163"/>
      <c r="M54" s="163"/>
      <c r="N54" s="163"/>
      <c r="O54" s="164"/>
      <c r="P54" s="163"/>
      <c r="Q54" s="126"/>
      <c r="R54" s="126"/>
    </row>
    <row r="55" spans="1:18" ht="15" customHeight="1" x14ac:dyDescent="0.3">
      <c r="A55" s="15" t="s">
        <v>39</v>
      </c>
      <c r="B55" s="15" t="s">
        <v>51</v>
      </c>
      <c r="C55" s="16" t="s">
        <v>394</v>
      </c>
      <c r="D55" s="15" t="s">
        <v>149</v>
      </c>
      <c r="E55" s="15" t="s">
        <v>427</v>
      </c>
      <c r="F55" s="15" t="s">
        <v>187</v>
      </c>
      <c r="G55" s="185"/>
      <c r="H55" s="163"/>
      <c r="I55" s="163"/>
      <c r="J55" s="163"/>
      <c r="K55" s="163"/>
      <c r="L55" s="163"/>
      <c r="M55" s="163"/>
      <c r="N55" s="163"/>
      <c r="O55" s="164"/>
      <c r="P55" s="163"/>
      <c r="Q55" s="126"/>
      <c r="R55" s="126"/>
    </row>
    <row r="56" spans="1:18" ht="15" customHeight="1" x14ac:dyDescent="0.3">
      <c r="A56" s="15" t="s">
        <v>39</v>
      </c>
      <c r="B56" s="15" t="s">
        <v>48</v>
      </c>
      <c r="C56" s="16" t="s">
        <v>392</v>
      </c>
      <c r="D56" s="15" t="s">
        <v>149</v>
      </c>
      <c r="E56" s="15" t="s">
        <v>427</v>
      </c>
      <c r="F56" s="15" t="s">
        <v>190</v>
      </c>
      <c r="G56" s="185"/>
      <c r="H56" s="163"/>
      <c r="I56" s="163"/>
      <c r="J56" s="163"/>
      <c r="K56" s="163"/>
      <c r="L56" s="163"/>
      <c r="M56" s="163"/>
      <c r="N56" s="163"/>
      <c r="O56" s="164"/>
      <c r="P56" s="163"/>
      <c r="Q56" s="126"/>
      <c r="R56" s="126"/>
    </row>
    <row r="57" spans="1:18" ht="15" customHeight="1" thickBot="1" x14ac:dyDescent="0.35">
      <c r="A57" s="50" t="s">
        <v>39</v>
      </c>
      <c r="B57" s="50" t="s">
        <v>49</v>
      </c>
      <c r="C57" s="51" t="s">
        <v>393</v>
      </c>
      <c r="D57" s="50" t="s">
        <v>149</v>
      </c>
      <c r="E57" s="50" t="s">
        <v>427</v>
      </c>
      <c r="F57" s="50" t="s">
        <v>190</v>
      </c>
      <c r="G57" s="186"/>
      <c r="H57" s="165"/>
      <c r="I57" s="165"/>
      <c r="J57" s="165"/>
      <c r="K57" s="165"/>
      <c r="L57" s="165"/>
      <c r="M57" s="165"/>
      <c r="N57" s="165"/>
      <c r="O57" s="166"/>
      <c r="P57" s="165"/>
      <c r="Q57" s="167"/>
      <c r="R57" s="167"/>
    </row>
    <row r="58" spans="1:18" ht="17.399999999999999" customHeight="1" thickBot="1" x14ac:dyDescent="0.35">
      <c r="A58" s="219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1"/>
    </row>
    <row r="59" spans="1:18" ht="22.05" customHeight="1" thickTop="1" thickBot="1" x14ac:dyDescent="0.35">
      <c r="A59" s="190" t="s">
        <v>6</v>
      </c>
      <c r="B59" s="191"/>
      <c r="C59" s="191"/>
      <c r="D59" s="191"/>
      <c r="E59" s="191"/>
      <c r="F59" s="192"/>
      <c r="G59" s="57">
        <v>45986</v>
      </c>
      <c r="H59" s="194" t="s">
        <v>7</v>
      </c>
      <c r="I59" s="191"/>
      <c r="J59" s="191"/>
      <c r="K59" s="191"/>
      <c r="L59" s="191"/>
      <c r="M59" s="191"/>
      <c r="N59" s="191"/>
      <c r="O59" s="191"/>
      <c r="P59" s="191"/>
      <c r="Q59" s="191"/>
      <c r="R59" s="192"/>
    </row>
    <row r="60" spans="1:18" ht="24" customHeight="1" x14ac:dyDescent="0.3">
      <c r="A60" s="58" t="s">
        <v>8</v>
      </c>
      <c r="B60" s="58" t="s">
        <v>9</v>
      </c>
      <c r="C60" s="59" t="s">
        <v>10</v>
      </c>
      <c r="D60" s="58" t="s">
        <v>11</v>
      </c>
      <c r="E60" s="58" t="s">
        <v>12</v>
      </c>
      <c r="F60" s="60" t="s">
        <v>13</v>
      </c>
      <c r="G60" s="61" t="s">
        <v>14</v>
      </c>
      <c r="H60" s="58" t="s">
        <v>15</v>
      </c>
      <c r="I60" s="62" t="s">
        <v>16</v>
      </c>
      <c r="J60" s="63" t="s">
        <v>17</v>
      </c>
      <c r="K60" s="64" t="s">
        <v>18</v>
      </c>
      <c r="L60" s="63" t="s">
        <v>19</v>
      </c>
      <c r="M60" s="63" t="s">
        <v>20</v>
      </c>
      <c r="N60" s="63" t="s">
        <v>21</v>
      </c>
      <c r="O60" s="58" t="s">
        <v>22</v>
      </c>
      <c r="P60" s="59" t="s">
        <v>23</v>
      </c>
      <c r="Q60" s="63" t="s">
        <v>24</v>
      </c>
      <c r="R60" s="58" t="s">
        <v>25</v>
      </c>
    </row>
    <row r="61" spans="1:18" ht="15" customHeight="1" x14ac:dyDescent="0.3">
      <c r="A61" s="182" t="s">
        <v>66</v>
      </c>
      <c r="B61" s="182" t="s">
        <v>502</v>
      </c>
      <c r="C61" s="183">
        <v>0.32291666666666669</v>
      </c>
      <c r="D61" s="182" t="s">
        <v>68</v>
      </c>
      <c r="E61" s="182" t="s">
        <v>524</v>
      </c>
      <c r="F61" s="182" t="s">
        <v>144</v>
      </c>
      <c r="G61" s="184"/>
      <c r="H61" s="80" t="s">
        <v>504</v>
      </c>
      <c r="I61" s="81">
        <v>0.93300000000000005</v>
      </c>
      <c r="J61" s="82">
        <v>167</v>
      </c>
      <c r="K61" s="83">
        <v>45971</v>
      </c>
      <c r="L61" s="82">
        <v>0</v>
      </c>
      <c r="M61" s="82">
        <v>0</v>
      </c>
      <c r="N61" s="82">
        <v>0</v>
      </c>
      <c r="O61" s="84" t="s">
        <v>297</v>
      </c>
      <c r="P61" s="85">
        <v>0.32291666666666669</v>
      </c>
      <c r="Q61" s="82">
        <v>179</v>
      </c>
      <c r="R61" s="86" t="s">
        <v>531</v>
      </c>
    </row>
    <row r="62" spans="1:18" ht="15" customHeight="1" x14ac:dyDescent="0.3">
      <c r="A62" s="94" t="s">
        <v>66</v>
      </c>
      <c r="B62" s="94" t="s">
        <v>507</v>
      </c>
      <c r="C62" s="95">
        <v>0.95138888888888884</v>
      </c>
      <c r="D62" s="94" t="s">
        <v>68</v>
      </c>
      <c r="E62" s="94" t="s">
        <v>52</v>
      </c>
      <c r="F62" s="94" t="s">
        <v>462</v>
      </c>
      <c r="G62" s="185"/>
      <c r="H62" s="96" t="s">
        <v>508</v>
      </c>
      <c r="I62" s="97">
        <v>0.97770000000000001</v>
      </c>
      <c r="J62" s="98">
        <v>175</v>
      </c>
      <c r="K62" s="99">
        <v>45973</v>
      </c>
      <c r="L62" s="98">
        <v>0</v>
      </c>
      <c r="M62" s="98">
        <v>0</v>
      </c>
      <c r="N62" s="98">
        <v>0</v>
      </c>
      <c r="O62" s="100" t="s">
        <v>532</v>
      </c>
      <c r="P62" s="101">
        <v>0.95138888888888884</v>
      </c>
      <c r="Q62" s="98">
        <v>179</v>
      </c>
      <c r="R62" s="102" t="s">
        <v>533</v>
      </c>
    </row>
    <row r="63" spans="1:18" ht="15" customHeight="1" x14ac:dyDescent="0.3">
      <c r="A63" s="17" t="s">
        <v>80</v>
      </c>
      <c r="B63" s="17" t="s">
        <v>510</v>
      </c>
      <c r="C63" s="18">
        <v>0.32291666666666669</v>
      </c>
      <c r="D63" s="17" t="s">
        <v>82</v>
      </c>
      <c r="E63" s="17" t="s">
        <v>196</v>
      </c>
      <c r="F63" s="17" t="s">
        <v>411</v>
      </c>
      <c r="G63" s="185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8" x14ac:dyDescent="0.3">
      <c r="A64" s="202" t="s">
        <v>423</v>
      </c>
      <c r="B64" s="203"/>
      <c r="C64" s="203"/>
      <c r="D64" s="203"/>
      <c r="E64" s="203"/>
      <c r="F64" s="204"/>
      <c r="G64" s="185"/>
      <c r="H64" s="163"/>
      <c r="I64" s="163"/>
      <c r="J64" s="163"/>
      <c r="K64" s="163"/>
      <c r="L64" s="163"/>
      <c r="M64" s="163"/>
      <c r="N64" s="163"/>
      <c r="O64" s="164"/>
      <c r="P64" s="163"/>
      <c r="Q64" s="126"/>
      <c r="R64" s="126"/>
    </row>
    <row r="65" spans="1:18" ht="15" customHeight="1" x14ac:dyDescent="0.3">
      <c r="A65" s="15" t="s">
        <v>26</v>
      </c>
      <c r="B65" s="15" t="s">
        <v>27</v>
      </c>
      <c r="C65" s="16" t="s">
        <v>386</v>
      </c>
      <c r="D65" s="15" t="s">
        <v>119</v>
      </c>
      <c r="E65" s="15" t="s">
        <v>443</v>
      </c>
      <c r="F65" s="15" t="s">
        <v>218</v>
      </c>
      <c r="G65" s="185"/>
      <c r="H65" s="163"/>
      <c r="I65" s="163"/>
      <c r="J65" s="163"/>
      <c r="K65" s="163"/>
      <c r="L65" s="163"/>
      <c r="M65" s="163"/>
      <c r="N65" s="163"/>
      <c r="O65" s="164"/>
      <c r="P65" s="163"/>
      <c r="Q65" s="126"/>
      <c r="R65" s="126"/>
    </row>
    <row r="66" spans="1:18" ht="15" customHeight="1" x14ac:dyDescent="0.3">
      <c r="A66" s="15" t="s">
        <v>61</v>
      </c>
      <c r="B66" s="15" t="s">
        <v>62</v>
      </c>
      <c r="C66" s="16" t="s">
        <v>399</v>
      </c>
      <c r="D66" s="15" t="s">
        <v>63</v>
      </c>
      <c r="E66" s="15" t="s">
        <v>424</v>
      </c>
      <c r="F66" s="15" t="s">
        <v>221</v>
      </c>
      <c r="G66" s="185"/>
      <c r="H66" s="163"/>
      <c r="I66" s="163"/>
      <c r="J66" s="163"/>
      <c r="K66" s="163"/>
      <c r="L66" s="163"/>
      <c r="M66" s="163"/>
      <c r="N66" s="163"/>
      <c r="O66" s="164"/>
      <c r="P66" s="163"/>
      <c r="Q66" s="126"/>
      <c r="R66" s="126"/>
    </row>
    <row r="67" spans="1:18" ht="15" customHeight="1" x14ac:dyDescent="0.3">
      <c r="A67" s="15" t="s">
        <v>61</v>
      </c>
      <c r="B67" s="15" t="s">
        <v>222</v>
      </c>
      <c r="C67" s="16" t="s">
        <v>466</v>
      </c>
      <c r="D67" s="15" t="s">
        <v>63</v>
      </c>
      <c r="E67" s="15" t="s">
        <v>424</v>
      </c>
      <c r="F67" s="15" t="s">
        <v>221</v>
      </c>
      <c r="G67" s="185"/>
      <c r="H67" s="163"/>
      <c r="I67" s="163"/>
      <c r="J67" s="163"/>
      <c r="K67" s="163"/>
      <c r="L67" s="163"/>
      <c r="M67" s="163"/>
      <c r="N67" s="163"/>
      <c r="O67" s="164"/>
      <c r="P67" s="163"/>
      <c r="Q67" s="126"/>
      <c r="R67" s="126"/>
    </row>
    <row r="68" spans="1:18" ht="15" customHeight="1" x14ac:dyDescent="0.3">
      <c r="A68" s="15" t="s">
        <v>26</v>
      </c>
      <c r="B68" s="15" t="s">
        <v>31</v>
      </c>
      <c r="C68" s="16" t="s">
        <v>387</v>
      </c>
      <c r="D68" s="15" t="s">
        <v>119</v>
      </c>
      <c r="E68" s="15" t="s">
        <v>443</v>
      </c>
      <c r="F68" s="15" t="s">
        <v>219</v>
      </c>
      <c r="G68" s="185"/>
      <c r="H68" s="163"/>
      <c r="I68" s="163"/>
      <c r="J68" s="163"/>
      <c r="K68" s="163"/>
      <c r="L68" s="163"/>
      <c r="M68" s="163"/>
      <c r="N68" s="163"/>
      <c r="O68" s="164"/>
      <c r="P68" s="163"/>
      <c r="Q68" s="126"/>
      <c r="R68" s="126"/>
    </row>
    <row r="69" spans="1:18" ht="15" customHeight="1" x14ac:dyDescent="0.3">
      <c r="A69" s="15" t="s">
        <v>26</v>
      </c>
      <c r="B69" s="15" t="s">
        <v>36</v>
      </c>
      <c r="C69" s="16" t="s">
        <v>395</v>
      </c>
      <c r="D69" s="15" t="s">
        <v>119</v>
      </c>
      <c r="E69" s="15" t="s">
        <v>427</v>
      </c>
      <c r="F69" s="15" t="s">
        <v>219</v>
      </c>
      <c r="G69" s="185"/>
      <c r="H69" s="163"/>
      <c r="I69" s="163"/>
      <c r="J69" s="163"/>
      <c r="K69" s="163"/>
      <c r="L69" s="163"/>
      <c r="M69" s="163"/>
      <c r="N69" s="163"/>
      <c r="O69" s="164"/>
      <c r="P69" s="163"/>
      <c r="Q69" s="126"/>
      <c r="R69" s="126"/>
    </row>
    <row r="70" spans="1:18" ht="15" customHeight="1" x14ac:dyDescent="0.3">
      <c r="A70" s="15" t="s">
        <v>26</v>
      </c>
      <c r="B70" s="15" t="s">
        <v>34</v>
      </c>
      <c r="C70" s="16" t="s">
        <v>388</v>
      </c>
      <c r="D70" s="15" t="s">
        <v>119</v>
      </c>
      <c r="E70" s="15" t="s">
        <v>428</v>
      </c>
      <c r="F70" s="15" t="s">
        <v>219</v>
      </c>
      <c r="G70" s="185"/>
      <c r="H70" s="163"/>
      <c r="I70" s="163"/>
      <c r="J70" s="163"/>
      <c r="K70" s="163"/>
      <c r="L70" s="163"/>
      <c r="M70" s="163"/>
      <c r="N70" s="163"/>
      <c r="O70" s="164"/>
      <c r="P70" s="163"/>
      <c r="Q70" s="126"/>
      <c r="R70" s="126"/>
    </row>
    <row r="71" spans="1:18" ht="15" customHeight="1" x14ac:dyDescent="0.3">
      <c r="A71" s="15" t="s">
        <v>39</v>
      </c>
      <c r="B71" s="15" t="s">
        <v>40</v>
      </c>
      <c r="C71" s="16" t="s">
        <v>389</v>
      </c>
      <c r="D71" s="15" t="s">
        <v>149</v>
      </c>
      <c r="E71" s="15" t="s">
        <v>451</v>
      </c>
      <c r="F71" s="15" t="s">
        <v>223</v>
      </c>
      <c r="G71" s="185"/>
      <c r="H71" s="163"/>
      <c r="I71" s="163"/>
      <c r="J71" s="163"/>
      <c r="K71" s="163"/>
      <c r="L71" s="163"/>
      <c r="M71" s="163"/>
      <c r="N71" s="163"/>
      <c r="O71" s="164"/>
      <c r="P71" s="163"/>
      <c r="Q71" s="126"/>
      <c r="R71" s="126"/>
    </row>
    <row r="72" spans="1:18" ht="15" customHeight="1" x14ac:dyDescent="0.3">
      <c r="A72" s="15" t="s">
        <v>39</v>
      </c>
      <c r="B72" s="15" t="s">
        <v>44</v>
      </c>
      <c r="C72" s="16" t="s">
        <v>450</v>
      </c>
      <c r="D72" s="15" t="s">
        <v>149</v>
      </c>
      <c r="E72" s="15" t="s">
        <v>443</v>
      </c>
      <c r="F72" s="15" t="s">
        <v>223</v>
      </c>
      <c r="G72" s="185"/>
      <c r="H72" s="163"/>
      <c r="I72" s="163"/>
      <c r="J72" s="163"/>
      <c r="K72" s="163"/>
      <c r="L72" s="163"/>
      <c r="M72" s="163"/>
      <c r="N72" s="163"/>
      <c r="O72" s="164"/>
      <c r="P72" s="163"/>
      <c r="Q72" s="126"/>
      <c r="R72" s="126"/>
    </row>
    <row r="73" spans="1:18" ht="15" customHeight="1" x14ac:dyDescent="0.3">
      <c r="A73" s="15" t="s">
        <v>39</v>
      </c>
      <c r="B73" s="15" t="s">
        <v>46</v>
      </c>
      <c r="C73" s="16" t="s">
        <v>391</v>
      </c>
      <c r="D73" s="15" t="s">
        <v>149</v>
      </c>
      <c r="E73" s="15" t="s">
        <v>443</v>
      </c>
      <c r="F73" s="15" t="s">
        <v>223</v>
      </c>
      <c r="G73" s="185"/>
      <c r="H73" s="163"/>
      <c r="I73" s="163"/>
      <c r="J73" s="163"/>
      <c r="K73" s="163"/>
      <c r="L73" s="163"/>
      <c r="M73" s="163"/>
      <c r="N73" s="163"/>
      <c r="O73" s="164"/>
      <c r="P73" s="163"/>
      <c r="Q73" s="126"/>
      <c r="R73" s="126"/>
    </row>
    <row r="74" spans="1:18" ht="15" customHeight="1" x14ac:dyDescent="0.3">
      <c r="A74" s="50" t="s">
        <v>39</v>
      </c>
      <c r="B74" s="50" t="s">
        <v>48</v>
      </c>
      <c r="C74" s="51" t="s">
        <v>392</v>
      </c>
      <c r="D74" s="50" t="s">
        <v>149</v>
      </c>
      <c r="E74" s="50" t="s">
        <v>429</v>
      </c>
      <c r="F74" s="50" t="s">
        <v>223</v>
      </c>
      <c r="G74" s="186"/>
      <c r="H74" s="165"/>
      <c r="I74" s="165"/>
      <c r="J74" s="165"/>
      <c r="K74" s="165"/>
      <c r="L74" s="165"/>
      <c r="M74" s="165"/>
      <c r="N74" s="165"/>
      <c r="O74" s="166"/>
      <c r="P74" s="165"/>
      <c r="Q74" s="167"/>
      <c r="R74" s="167"/>
    </row>
  </sheetData>
  <mergeCells count="26">
    <mergeCell ref="G61:G74"/>
    <mergeCell ref="A9:F9"/>
    <mergeCell ref="K2:R2"/>
    <mergeCell ref="A58:R58"/>
    <mergeCell ref="A64:F64"/>
    <mergeCell ref="A40:R40"/>
    <mergeCell ref="A59:F59"/>
    <mergeCell ref="G6:G19"/>
    <mergeCell ref="H59:R59"/>
    <mergeCell ref="G2:J2"/>
    <mergeCell ref="A4:F4"/>
    <mergeCell ref="A29:F29"/>
    <mergeCell ref="N1:R1"/>
    <mergeCell ref="A20:R20"/>
    <mergeCell ref="A41:F41"/>
    <mergeCell ref="G43:G57"/>
    <mergeCell ref="H1:L1"/>
    <mergeCell ref="A1:E1"/>
    <mergeCell ref="H41:R41"/>
    <mergeCell ref="A21:F21"/>
    <mergeCell ref="H4:R4"/>
    <mergeCell ref="A2:F2"/>
    <mergeCell ref="A3:R3"/>
    <mergeCell ref="G23:G39"/>
    <mergeCell ref="A47:F47"/>
    <mergeCell ref="H21:R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1"/>
  <sheetViews>
    <sheetView workbookViewId="0"/>
  </sheetViews>
  <sheetFormatPr defaultRowHeight="15.6" outlineLevelCol="1" x14ac:dyDescent="0.3"/>
  <cols>
    <col min="1" max="1" width="11.6640625" style="206" bestFit="1" customWidth="1"/>
    <col min="2" max="2" width="11.109375" style="206" bestFit="1" customWidth="1"/>
    <col min="3" max="3" width="7.88671875" style="206" bestFit="1" customWidth="1"/>
    <col min="4" max="4" width="6.77734375" style="206" bestFit="1" customWidth="1"/>
    <col min="5" max="5" width="9.21875" style="206" bestFit="1" customWidth="1"/>
    <col min="6" max="6" width="5.21875" style="206" bestFit="1" customWidth="1"/>
    <col min="7" max="7" width="10" style="206" bestFit="1" customWidth="1"/>
    <col min="8" max="9" width="8.5546875" style="206" bestFit="1" customWidth="1"/>
    <col min="10" max="10" width="8" style="206" bestFit="1" customWidth="1"/>
    <col min="11" max="11" width="12.21875" style="206" bestFit="1" customWidth="1"/>
    <col min="12" max="12" width="10.109375" style="206" bestFit="1" customWidth="1"/>
    <col min="13" max="13" width="8.77734375" style="206" bestFit="1" customWidth="1" outlineLevel="1"/>
    <col min="14" max="14" width="7.33203125" style="206" bestFit="1" customWidth="1" outlineLevel="1"/>
    <col min="15" max="15" width="9.109375" style="206" bestFit="1" customWidth="1" outlineLevel="1"/>
    <col min="16" max="16" width="15.33203125" style="206" bestFit="1" customWidth="1"/>
    <col min="17" max="24" width="3.88671875" style="206" bestFit="1" customWidth="1"/>
    <col min="25" max="25" width="4.21875" style="206" bestFit="1" customWidth="1"/>
    <col min="26" max="26" width="3.88671875" style="206" bestFit="1" customWidth="1"/>
    <col min="27" max="27" width="4.77734375" style="206" bestFit="1" customWidth="1"/>
    <col min="28" max="28" width="3.88671875" style="206" bestFit="1" customWidth="1"/>
    <col min="29" max="29" width="5.109375" style="206" bestFit="1" customWidth="1"/>
    <col min="30" max="31" width="5.33203125" style="206" bestFit="1" customWidth="1"/>
    <col min="32" max="32" width="4.44140625" style="206" bestFit="1" customWidth="1"/>
    <col min="33" max="33" width="5" style="206" bestFit="1" customWidth="1"/>
    <col min="34" max="34" width="3.88671875" style="206" bestFit="1" customWidth="1"/>
    <col min="35" max="35" width="6.21875" style="206" bestFit="1" customWidth="1"/>
    <col min="36" max="36" width="3.88671875" style="206" bestFit="1" customWidth="1"/>
    <col min="37" max="16384" width="8.88671875" style="206"/>
  </cols>
  <sheetData>
    <row r="1" spans="1:36" x14ac:dyDescent="0.3">
      <c r="A1" s="205" t="s">
        <v>245</v>
      </c>
      <c r="B1" s="205" t="s">
        <v>246</v>
      </c>
      <c r="C1" s="205" t="s">
        <v>247</v>
      </c>
      <c r="D1" s="205" t="s">
        <v>23</v>
      </c>
      <c r="E1" s="205" t="s">
        <v>248</v>
      </c>
      <c r="F1" s="205" t="s">
        <v>249</v>
      </c>
      <c r="G1" s="205" t="s">
        <v>16</v>
      </c>
      <c r="H1" s="205" t="s">
        <v>250</v>
      </c>
      <c r="I1" s="205" t="s">
        <v>251</v>
      </c>
      <c r="J1" s="205" t="s">
        <v>252</v>
      </c>
      <c r="K1" s="205" t="s">
        <v>253</v>
      </c>
      <c r="L1" s="205" t="s">
        <v>18</v>
      </c>
      <c r="M1" s="205" t="s">
        <v>20</v>
      </c>
      <c r="N1" s="205" t="s">
        <v>21</v>
      </c>
      <c r="O1" s="205" t="s">
        <v>19</v>
      </c>
      <c r="P1" s="205" t="s">
        <v>22</v>
      </c>
      <c r="Q1" s="205" t="s">
        <v>254</v>
      </c>
      <c r="R1" s="205" t="s">
        <v>255</v>
      </c>
      <c r="S1" s="205" t="s">
        <v>256</v>
      </c>
      <c r="T1" s="205" t="s">
        <v>257</v>
      </c>
      <c r="U1" s="205" t="s">
        <v>258</v>
      </c>
      <c r="V1" s="205" t="s">
        <v>259</v>
      </c>
      <c r="W1" s="205" t="s">
        <v>260</v>
      </c>
      <c r="X1" s="205" t="s">
        <v>261</v>
      </c>
      <c r="Y1" s="205" t="s">
        <v>262</v>
      </c>
      <c r="Z1" s="205" t="s">
        <v>263</v>
      </c>
      <c r="AA1" s="205" t="s">
        <v>264</v>
      </c>
      <c r="AB1" s="205" t="s">
        <v>265</v>
      </c>
      <c r="AC1" s="205" t="s">
        <v>266</v>
      </c>
      <c r="AD1" s="205" t="s">
        <v>267</v>
      </c>
      <c r="AE1" s="205" t="s">
        <v>268</v>
      </c>
      <c r="AF1" s="205" t="s">
        <v>269</v>
      </c>
      <c r="AG1" s="205" t="s">
        <v>270</v>
      </c>
      <c r="AH1" s="205" t="s">
        <v>271</v>
      </c>
      <c r="AI1" s="205" t="s">
        <v>272</v>
      </c>
      <c r="AJ1" s="205" t="s">
        <v>273</v>
      </c>
    </row>
    <row r="2" spans="1:36" x14ac:dyDescent="0.3">
      <c r="A2" s="207" t="s">
        <v>274</v>
      </c>
      <c r="B2" s="208">
        <v>45983</v>
      </c>
      <c r="C2" s="209" t="s">
        <v>504</v>
      </c>
      <c r="D2" s="210" t="s">
        <v>534</v>
      </c>
      <c r="E2" s="209" t="s">
        <v>501</v>
      </c>
      <c r="F2" s="209" t="s">
        <v>276</v>
      </c>
      <c r="G2" s="211">
        <v>0.77380000000000004</v>
      </c>
      <c r="H2" s="212">
        <v>168</v>
      </c>
      <c r="I2" s="212">
        <v>130</v>
      </c>
      <c r="J2" s="212">
        <v>34</v>
      </c>
      <c r="K2" s="209" t="s">
        <v>277</v>
      </c>
      <c r="L2" s="213">
        <v>45980</v>
      </c>
      <c r="M2" s="212">
        <v>0</v>
      </c>
      <c r="N2" s="212">
        <v>7</v>
      </c>
      <c r="O2" s="212">
        <v>53</v>
      </c>
      <c r="P2" s="209" t="s">
        <v>505</v>
      </c>
      <c r="Q2" s="205"/>
      <c r="R2" s="205"/>
      <c r="S2" s="205"/>
      <c r="T2" s="205"/>
      <c r="U2" s="205"/>
      <c r="V2" s="205"/>
      <c r="W2" s="205"/>
      <c r="X2" s="205"/>
      <c r="Y2" s="205"/>
      <c r="Z2" s="212" t="s">
        <v>340</v>
      </c>
      <c r="AA2" s="212" t="s">
        <v>493</v>
      </c>
      <c r="AB2" s="205"/>
      <c r="AC2" s="212" t="s">
        <v>535</v>
      </c>
      <c r="AD2" s="212" t="s">
        <v>326</v>
      </c>
      <c r="AE2" s="212" t="s">
        <v>536</v>
      </c>
      <c r="AF2" s="212" t="s">
        <v>537</v>
      </c>
      <c r="AG2" s="205"/>
      <c r="AH2" s="205"/>
      <c r="AI2" s="212" t="s">
        <v>538</v>
      </c>
      <c r="AJ2" s="205"/>
    </row>
    <row r="3" spans="1:36" x14ac:dyDescent="0.3">
      <c r="A3" s="207" t="s">
        <v>274</v>
      </c>
      <c r="B3" s="208">
        <v>45983</v>
      </c>
      <c r="C3" s="209" t="s">
        <v>508</v>
      </c>
      <c r="D3" s="210" t="s">
        <v>484</v>
      </c>
      <c r="E3" s="209" t="s">
        <v>501</v>
      </c>
      <c r="F3" s="209" t="s">
        <v>276</v>
      </c>
      <c r="G3" s="211">
        <v>0.70830000000000004</v>
      </c>
      <c r="H3" s="212">
        <v>168</v>
      </c>
      <c r="I3" s="212">
        <v>119</v>
      </c>
      <c r="J3" s="212">
        <v>89</v>
      </c>
      <c r="K3" s="209" t="s">
        <v>277</v>
      </c>
      <c r="L3" s="213">
        <v>45980</v>
      </c>
      <c r="M3" s="212">
        <v>0</v>
      </c>
      <c r="N3" s="212">
        <v>1</v>
      </c>
      <c r="O3" s="212">
        <v>8</v>
      </c>
      <c r="P3" s="209" t="s">
        <v>379</v>
      </c>
      <c r="Q3" s="205"/>
      <c r="R3" s="205"/>
      <c r="S3" s="205"/>
      <c r="T3" s="205"/>
      <c r="U3" s="205"/>
      <c r="V3" s="205"/>
      <c r="W3" s="205"/>
      <c r="X3" s="205"/>
      <c r="Y3" s="212" t="s">
        <v>322</v>
      </c>
      <c r="Z3" s="212" t="s">
        <v>340</v>
      </c>
      <c r="AA3" s="205"/>
      <c r="AB3" s="205"/>
      <c r="AC3" s="212" t="s">
        <v>373</v>
      </c>
      <c r="AD3" s="212" t="s">
        <v>539</v>
      </c>
      <c r="AE3" s="205"/>
      <c r="AF3" s="205"/>
      <c r="AG3" s="205"/>
      <c r="AH3" s="205"/>
      <c r="AI3" s="212" t="s">
        <v>540</v>
      </c>
      <c r="AJ3" s="205"/>
    </row>
    <row r="4" spans="1:36" x14ac:dyDescent="0.3">
      <c r="A4" s="207" t="s">
        <v>307</v>
      </c>
      <c r="B4" s="208">
        <v>45984</v>
      </c>
      <c r="C4" s="209" t="s">
        <v>521</v>
      </c>
      <c r="D4" s="210" t="s">
        <v>541</v>
      </c>
      <c r="E4" s="209" t="s">
        <v>501</v>
      </c>
      <c r="F4" s="209" t="s">
        <v>276</v>
      </c>
      <c r="G4" s="211">
        <v>0.67859999999999998</v>
      </c>
      <c r="H4" s="212">
        <v>168</v>
      </c>
      <c r="I4" s="212">
        <v>114</v>
      </c>
      <c r="J4" s="212">
        <v>81</v>
      </c>
      <c r="K4" s="209" t="s">
        <v>277</v>
      </c>
      <c r="L4" s="213">
        <v>45980</v>
      </c>
      <c r="M4" s="212">
        <v>0</v>
      </c>
      <c r="N4" s="212">
        <v>3</v>
      </c>
      <c r="O4" s="212">
        <v>24</v>
      </c>
      <c r="P4" s="209" t="s">
        <v>522</v>
      </c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12" t="s">
        <v>365</v>
      </c>
      <c r="AE4" s="212" t="s">
        <v>344</v>
      </c>
      <c r="AF4" s="212" t="s">
        <v>542</v>
      </c>
      <c r="AG4" s="212" t="s">
        <v>543</v>
      </c>
      <c r="AH4" s="205"/>
      <c r="AI4" s="212" t="s">
        <v>544</v>
      </c>
      <c r="AJ4" s="205"/>
    </row>
    <row r="5" spans="1:36" x14ac:dyDescent="0.3">
      <c r="A5" s="207" t="s">
        <v>307</v>
      </c>
      <c r="B5" s="208">
        <v>45984</v>
      </c>
      <c r="C5" s="209" t="s">
        <v>508</v>
      </c>
      <c r="D5" s="210" t="s">
        <v>545</v>
      </c>
      <c r="E5" s="209" t="s">
        <v>501</v>
      </c>
      <c r="F5" s="209" t="s">
        <v>276</v>
      </c>
      <c r="G5" s="211">
        <v>0.92859999999999998</v>
      </c>
      <c r="H5" s="212">
        <v>168</v>
      </c>
      <c r="I5" s="212">
        <v>156</v>
      </c>
      <c r="J5" s="212">
        <v>144</v>
      </c>
      <c r="K5" s="209" t="s">
        <v>277</v>
      </c>
      <c r="L5" s="213">
        <v>45980</v>
      </c>
      <c r="M5" s="212">
        <v>0</v>
      </c>
      <c r="N5" s="212">
        <v>2</v>
      </c>
      <c r="O5" s="212">
        <v>6</v>
      </c>
      <c r="P5" s="209" t="s">
        <v>302</v>
      </c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12" t="s">
        <v>301</v>
      </c>
      <c r="AE5" s="212" t="s">
        <v>312</v>
      </c>
      <c r="AF5" s="212" t="s">
        <v>525</v>
      </c>
      <c r="AG5" s="205"/>
      <c r="AH5" s="205"/>
      <c r="AI5" s="212" t="s">
        <v>546</v>
      </c>
      <c r="AJ5" s="205"/>
    </row>
    <row r="6" spans="1:36" x14ac:dyDescent="0.3">
      <c r="A6" s="207" t="s">
        <v>338</v>
      </c>
      <c r="B6" s="208">
        <v>45985</v>
      </c>
      <c r="C6" s="209" t="s">
        <v>521</v>
      </c>
      <c r="D6" s="210" t="s">
        <v>547</v>
      </c>
      <c r="E6" s="209" t="s">
        <v>501</v>
      </c>
      <c r="F6" s="209" t="s">
        <v>276</v>
      </c>
      <c r="G6" s="211">
        <v>0.42859999999999998</v>
      </c>
      <c r="H6" s="212">
        <v>168</v>
      </c>
      <c r="I6" s="212">
        <v>72</v>
      </c>
      <c r="J6" s="212">
        <v>48</v>
      </c>
      <c r="K6" s="209" t="s">
        <v>277</v>
      </c>
      <c r="L6" s="213">
        <v>45980</v>
      </c>
      <c r="M6" s="212">
        <v>0</v>
      </c>
      <c r="N6" s="212">
        <v>4</v>
      </c>
      <c r="O6" s="212">
        <v>16</v>
      </c>
      <c r="P6" s="209" t="s">
        <v>331</v>
      </c>
      <c r="Q6" s="205"/>
      <c r="R6" s="205"/>
      <c r="S6" s="205"/>
      <c r="T6" s="205"/>
      <c r="U6" s="205"/>
      <c r="V6" s="205"/>
      <c r="W6" s="205"/>
      <c r="X6" s="205"/>
      <c r="Y6" s="205"/>
      <c r="Z6" s="212" t="s">
        <v>138</v>
      </c>
      <c r="AA6" s="212" t="s">
        <v>493</v>
      </c>
      <c r="AB6" s="205"/>
      <c r="AC6" s="205"/>
      <c r="AD6" s="205"/>
      <c r="AE6" s="212" t="s">
        <v>320</v>
      </c>
      <c r="AF6" s="212" t="s">
        <v>286</v>
      </c>
      <c r="AG6" s="205"/>
      <c r="AH6" s="205"/>
      <c r="AI6" s="212" t="s">
        <v>548</v>
      </c>
      <c r="AJ6" s="205"/>
    </row>
    <row r="7" spans="1:36" x14ac:dyDescent="0.3">
      <c r="A7" s="207" t="s">
        <v>338</v>
      </c>
      <c r="B7" s="208">
        <v>45985</v>
      </c>
      <c r="C7" s="209" t="s">
        <v>529</v>
      </c>
      <c r="D7" s="210" t="s">
        <v>549</v>
      </c>
      <c r="E7" s="209" t="s">
        <v>501</v>
      </c>
      <c r="F7" s="209" t="s">
        <v>276</v>
      </c>
      <c r="G7" s="211">
        <v>0.51790000000000003</v>
      </c>
      <c r="H7" s="212">
        <v>168</v>
      </c>
      <c r="I7" s="212">
        <v>87</v>
      </c>
      <c r="J7" s="212">
        <v>38</v>
      </c>
      <c r="K7" s="209" t="s">
        <v>277</v>
      </c>
      <c r="L7" s="213">
        <v>45980</v>
      </c>
      <c r="M7" s="212">
        <v>0</v>
      </c>
      <c r="N7" s="212">
        <v>8</v>
      </c>
      <c r="O7" s="212">
        <v>76</v>
      </c>
      <c r="P7" s="209" t="s">
        <v>302</v>
      </c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12" t="s">
        <v>312</v>
      </c>
      <c r="AF7" s="212" t="s">
        <v>550</v>
      </c>
      <c r="AG7" s="205"/>
      <c r="AH7" s="205"/>
      <c r="AI7" s="212" t="s">
        <v>551</v>
      </c>
      <c r="AJ7" s="205"/>
    </row>
    <row r="8" spans="1:36" x14ac:dyDescent="0.3">
      <c r="A8" s="207" t="s">
        <v>338</v>
      </c>
      <c r="B8" s="208">
        <v>45985</v>
      </c>
      <c r="C8" s="209" t="s">
        <v>504</v>
      </c>
      <c r="D8" s="210" t="s">
        <v>392</v>
      </c>
      <c r="E8" s="209" t="s">
        <v>501</v>
      </c>
      <c r="F8" s="209" t="s">
        <v>276</v>
      </c>
      <c r="G8" s="211">
        <v>0.1905</v>
      </c>
      <c r="H8" s="212">
        <v>168</v>
      </c>
      <c r="I8" s="212">
        <v>32</v>
      </c>
      <c r="J8" s="212">
        <v>0</v>
      </c>
      <c r="K8" s="209" t="s">
        <v>277</v>
      </c>
      <c r="L8" s="213">
        <v>45980</v>
      </c>
      <c r="M8" s="212">
        <v>0</v>
      </c>
      <c r="N8" s="212">
        <v>5</v>
      </c>
      <c r="O8" s="212">
        <v>20</v>
      </c>
      <c r="P8" s="209" t="s">
        <v>525</v>
      </c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12" t="s">
        <v>330</v>
      </c>
      <c r="AE8" s="212" t="s">
        <v>522</v>
      </c>
      <c r="AF8" s="212" t="s">
        <v>552</v>
      </c>
      <c r="AG8" s="205"/>
      <c r="AH8" s="205"/>
      <c r="AI8" s="205"/>
      <c r="AJ8" s="205"/>
    </row>
    <row r="9" spans="1:36" x14ac:dyDescent="0.3">
      <c r="A9" s="207" t="s">
        <v>362</v>
      </c>
      <c r="B9" s="208">
        <v>45986</v>
      </c>
      <c r="C9" s="209" t="s">
        <v>504</v>
      </c>
      <c r="D9" s="210" t="s">
        <v>553</v>
      </c>
      <c r="E9" s="209" t="s">
        <v>501</v>
      </c>
      <c r="F9" s="209" t="s">
        <v>276</v>
      </c>
      <c r="G9" s="211">
        <v>0.93300000000000005</v>
      </c>
      <c r="H9" s="212">
        <v>179</v>
      </c>
      <c r="I9" s="212">
        <v>167</v>
      </c>
      <c r="J9" s="212">
        <v>155</v>
      </c>
      <c r="K9" s="209" t="s">
        <v>277</v>
      </c>
      <c r="L9" s="213">
        <v>45971</v>
      </c>
      <c r="M9" s="212">
        <v>0</v>
      </c>
      <c r="N9" s="212">
        <v>0</v>
      </c>
      <c r="O9" s="212">
        <v>0</v>
      </c>
      <c r="P9" s="209" t="s">
        <v>297</v>
      </c>
      <c r="Q9" s="205"/>
      <c r="R9" s="205"/>
      <c r="S9" s="205"/>
      <c r="T9" s="205"/>
      <c r="U9" s="205"/>
      <c r="V9" s="205"/>
      <c r="W9" s="205"/>
      <c r="X9" s="205"/>
      <c r="Y9" s="205"/>
      <c r="Z9" s="212" t="s">
        <v>554</v>
      </c>
      <c r="AA9" s="205"/>
      <c r="AB9" s="205"/>
      <c r="AC9" s="205"/>
      <c r="AD9" s="212" t="s">
        <v>555</v>
      </c>
      <c r="AE9" s="205"/>
      <c r="AF9" s="205"/>
      <c r="AG9" s="205"/>
      <c r="AH9" s="205"/>
      <c r="AI9" s="212" t="s">
        <v>556</v>
      </c>
      <c r="AJ9" s="205"/>
    </row>
    <row r="10" spans="1:36" x14ac:dyDescent="0.3">
      <c r="A10" s="207" t="s">
        <v>362</v>
      </c>
      <c r="B10" s="208">
        <v>45986</v>
      </c>
      <c r="C10" s="209" t="s">
        <v>508</v>
      </c>
      <c r="D10" s="210" t="s">
        <v>557</v>
      </c>
      <c r="E10" s="209" t="s">
        <v>501</v>
      </c>
      <c r="F10" s="209" t="s">
        <v>276</v>
      </c>
      <c r="G10" s="211">
        <v>0.97770000000000001</v>
      </c>
      <c r="H10" s="212">
        <v>179</v>
      </c>
      <c r="I10" s="212">
        <v>175</v>
      </c>
      <c r="J10" s="212">
        <v>167</v>
      </c>
      <c r="K10" s="209" t="s">
        <v>277</v>
      </c>
      <c r="L10" s="213">
        <v>45973</v>
      </c>
      <c r="M10" s="212">
        <v>0</v>
      </c>
      <c r="N10" s="212">
        <v>0</v>
      </c>
      <c r="O10" s="212">
        <v>0</v>
      </c>
      <c r="P10" s="209" t="s">
        <v>532</v>
      </c>
      <c r="Q10" s="205"/>
      <c r="R10" s="205"/>
      <c r="S10" s="205"/>
      <c r="T10" s="205"/>
      <c r="U10" s="205"/>
      <c r="V10" s="205"/>
      <c r="W10" s="205"/>
      <c r="X10" s="212" t="s">
        <v>296</v>
      </c>
      <c r="Y10" s="205"/>
      <c r="Z10" s="212" t="s">
        <v>138</v>
      </c>
      <c r="AA10" s="205"/>
      <c r="AB10" s="205"/>
      <c r="AC10" s="212" t="s">
        <v>233</v>
      </c>
      <c r="AD10" s="205"/>
      <c r="AE10" s="205"/>
      <c r="AF10" s="212" t="s">
        <v>525</v>
      </c>
      <c r="AG10" s="205"/>
      <c r="AH10" s="205"/>
      <c r="AI10" s="212" t="s">
        <v>558</v>
      </c>
      <c r="AJ10" s="205"/>
    </row>
    <row r="11" spans="1:36" ht="21" x14ac:dyDescent="0.3">
      <c r="A11" s="214" t="s">
        <v>559</v>
      </c>
      <c r="B11" s="215"/>
      <c r="C11" s="214">
        <f>SUBTOTAL(103,JED_ATZ_LF_LEGACY[Flt])</f>
        <v>9</v>
      </c>
      <c r="D11" s="214"/>
      <c r="E11" s="214">
        <f>SUBTOTAL(103,JED_ATZ_LF_LEGACY[Brd-Off])</f>
        <v>9</v>
      </c>
      <c r="F11" s="214"/>
      <c r="G11" s="216">
        <f>SUBTOTAL(101,JED_ATZ_LF_LEGACY[LF%])</f>
        <v>0.68188888888888899</v>
      </c>
      <c r="H11" s="217">
        <f>SUBTOTAL(109,JED_ATZ_LF_LEGACY[CAP])</f>
        <v>1534</v>
      </c>
      <c r="I11" s="217">
        <f>SUBTOTAL(109,JED_ATZ_LF_LEGACY[BKG(Y)])</f>
        <v>1052</v>
      </c>
      <c r="J11" s="217">
        <f>SUBTOTAL(109,JED_ATZ_LF_LEGACY[GRP(Y)])</f>
        <v>756</v>
      </c>
      <c r="K11" s="214"/>
      <c r="L11" s="215"/>
      <c r="M11" s="217">
        <f>SUBTOTAL(109,JED_ATZ_LF_LEGACY[TO-DAY])</f>
        <v>0</v>
      </c>
      <c r="N11" s="217">
        <f>SUBTOTAL(109,JED_ATZ_LF_LEGACY[Y-DAY])</f>
        <v>30</v>
      </c>
      <c r="O11" s="217">
        <f>SUBTOTAL(109,JED_ATZ_LF_LEGACY[WEEKLY])</f>
        <v>203</v>
      </c>
      <c r="P11" s="218"/>
      <c r="Q11" s="214">
        <f>SUBTOTAL(109,JED_ATZ_LF_LEGACY[Y])</f>
        <v>0</v>
      </c>
      <c r="R11" s="214">
        <f>SUBTOTAL(109,JED_ATZ_LF_LEGACY[B])</f>
        <v>0</v>
      </c>
      <c r="S11" s="214">
        <f>SUBTOTAL(109,JED_ATZ_LF_LEGACY[M])</f>
        <v>0</v>
      </c>
      <c r="T11" s="214">
        <f>SUBTOTAL(109,JED_ATZ_LF_LEGACY[H])</f>
        <v>0</v>
      </c>
      <c r="U11" s="214">
        <f>SUBTOTAL(109,JED_ATZ_LF_LEGACY[Q])</f>
        <v>0</v>
      </c>
      <c r="V11" s="214">
        <f>SUBTOTAL(109,JED_ATZ_LF_LEGACY[K])</f>
        <v>0</v>
      </c>
      <c r="W11" s="214">
        <f>SUBTOTAL(109,JED_ATZ_LF_LEGACY[V])</f>
        <v>0</v>
      </c>
      <c r="X11" s="214">
        <f>SUBTOTAL(109,JED_ATZ_LF_LEGACY[L])</f>
        <v>0</v>
      </c>
      <c r="Y11" s="214">
        <f>SUBTOTAL(109,JED_ATZ_LF_LEGACY[G])</f>
        <v>0</v>
      </c>
      <c r="Z11" s="217">
        <f>SUBTOTAL(109,JED_ATZ_LF_LEGACY[S])</f>
        <v>0</v>
      </c>
      <c r="AA11" s="214">
        <f>SUBTOTAL(109,JED_ATZ_LF_LEGACY[W])</f>
        <v>0</v>
      </c>
      <c r="AB11" s="214">
        <f>SUBTOTAL(109,JED_ATZ_LF_LEGACY[T])</f>
        <v>0</v>
      </c>
      <c r="AC11" s="214">
        <f>SUBTOTAL(109,JED_ATZ_LF_LEGACY[X])</f>
        <v>0</v>
      </c>
      <c r="AD11" s="214">
        <f>SUBTOTAL(109,JED_ATZ_LF_LEGACY[U])</f>
        <v>0</v>
      </c>
      <c r="AE11" s="217">
        <f>SUBTOTAL(109,JED_ATZ_LF_LEGACY[O])</f>
        <v>0</v>
      </c>
      <c r="AF11" s="217">
        <f>SUBTOTAL(109,JED_ATZ_LF_LEGACY[I])</f>
        <v>0</v>
      </c>
      <c r="AG11" s="214">
        <f>SUBTOTAL(109,JED_ATZ_LF_LEGACY[E])</f>
        <v>0</v>
      </c>
      <c r="AH11" s="214">
        <f>SUBTOTAL(109,JED_ATZ_LF_LEGACY[A])</f>
        <v>0</v>
      </c>
      <c r="AI11" s="217">
        <f>SUBTOTAL(109,JED_ATZ_LF_LEGACY[P])</f>
        <v>0</v>
      </c>
      <c r="AJ11" s="214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1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127" t="s">
        <v>383</v>
      </c>
      <c r="B1" s="128" t="s">
        <v>8</v>
      </c>
      <c r="C1" s="128" t="s">
        <v>9</v>
      </c>
      <c r="D1" s="128" t="s">
        <v>384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5" t="s">
        <v>385</v>
      </c>
      <c r="B2" s="136" t="s">
        <v>66</v>
      </c>
      <c r="C2" s="137" t="s">
        <v>502</v>
      </c>
      <c r="D2" s="136" t="s">
        <v>501</v>
      </c>
      <c r="E2" s="136" t="s">
        <v>534</v>
      </c>
      <c r="F2" s="136" t="s">
        <v>68</v>
      </c>
      <c r="G2" s="138">
        <v>7</v>
      </c>
      <c r="H2" s="150">
        <v>526</v>
      </c>
    </row>
    <row r="3" spans="1:8" ht="19.8" customHeight="1" x14ac:dyDescent="0.3">
      <c r="A3" s="143">
        <v>45983</v>
      </c>
      <c r="B3" s="136" t="s">
        <v>66</v>
      </c>
      <c r="C3" s="137" t="s">
        <v>507</v>
      </c>
      <c r="D3" s="136" t="s">
        <v>501</v>
      </c>
      <c r="E3" s="144">
        <v>1.6875</v>
      </c>
      <c r="F3" s="136" t="s">
        <v>68</v>
      </c>
      <c r="G3" s="138">
        <v>2</v>
      </c>
      <c r="H3" s="150">
        <v>526</v>
      </c>
    </row>
    <row r="4" spans="1:8" ht="19.8" customHeight="1" x14ac:dyDescent="0.3">
      <c r="A4" s="140">
        <v>45983</v>
      </c>
      <c r="B4" s="131" t="s">
        <v>80</v>
      </c>
      <c r="C4" s="132" t="s">
        <v>510</v>
      </c>
      <c r="D4" s="131" t="s">
        <v>501</v>
      </c>
      <c r="E4" s="141">
        <v>1.461805555555556</v>
      </c>
      <c r="F4" s="131" t="s">
        <v>511</v>
      </c>
      <c r="G4" s="133">
        <v>4</v>
      </c>
      <c r="H4" s="134">
        <v>640</v>
      </c>
    </row>
    <row r="5" spans="1:8" ht="19.8" customHeight="1" x14ac:dyDescent="0.3">
      <c r="A5" s="173"/>
      <c r="B5" s="174"/>
      <c r="C5" s="174"/>
      <c r="D5" s="174"/>
      <c r="E5" s="174"/>
      <c r="F5" s="175" t="s">
        <v>500</v>
      </c>
      <c r="G5" s="174"/>
      <c r="H5" s="176"/>
    </row>
    <row r="6" spans="1:8" ht="19.8" customHeight="1" x14ac:dyDescent="0.3">
      <c r="A6" s="140">
        <v>45983</v>
      </c>
      <c r="B6" s="131" t="s">
        <v>26</v>
      </c>
      <c r="C6" s="132" t="s">
        <v>27</v>
      </c>
      <c r="D6" s="131" t="s">
        <v>1</v>
      </c>
      <c r="E6" s="141">
        <v>1.1284722222222221</v>
      </c>
      <c r="F6" s="131" t="s">
        <v>28</v>
      </c>
      <c r="G6" s="133">
        <v>1</v>
      </c>
      <c r="H6" s="134">
        <v>589</v>
      </c>
    </row>
    <row r="7" spans="1:8" ht="19.8" customHeight="1" x14ac:dyDescent="0.3">
      <c r="A7" s="140">
        <v>45983</v>
      </c>
      <c r="B7" s="131" t="s">
        <v>26</v>
      </c>
      <c r="C7" s="132" t="s">
        <v>31</v>
      </c>
      <c r="D7" s="131" t="s">
        <v>1</v>
      </c>
      <c r="E7" s="141">
        <v>1.302083333333333</v>
      </c>
      <c r="F7" s="131" t="s">
        <v>28</v>
      </c>
      <c r="G7" s="133">
        <v>5</v>
      </c>
      <c r="H7" s="134">
        <v>639</v>
      </c>
    </row>
    <row r="8" spans="1:8" ht="19.8" customHeight="1" x14ac:dyDescent="0.3">
      <c r="A8" s="140">
        <v>45983</v>
      </c>
      <c r="B8" s="131" t="s">
        <v>26</v>
      </c>
      <c r="C8" s="132" t="s">
        <v>34</v>
      </c>
      <c r="D8" s="131" t="s">
        <v>1</v>
      </c>
      <c r="E8" s="141">
        <v>1.8888888888888891</v>
      </c>
      <c r="F8" s="131" t="s">
        <v>28</v>
      </c>
      <c r="G8" s="133">
        <v>11</v>
      </c>
      <c r="H8" s="134">
        <v>639</v>
      </c>
    </row>
    <row r="9" spans="1:8" ht="19.8" customHeight="1" x14ac:dyDescent="0.3">
      <c r="A9" s="140">
        <v>45983</v>
      </c>
      <c r="B9" s="131" t="s">
        <v>39</v>
      </c>
      <c r="C9" s="132" t="s">
        <v>40</v>
      </c>
      <c r="D9" s="131" t="s">
        <v>1</v>
      </c>
      <c r="E9" s="141">
        <v>1.9027777777777779</v>
      </c>
      <c r="F9" s="131" t="s">
        <v>41</v>
      </c>
      <c r="G9" s="133">
        <v>9</v>
      </c>
      <c r="H9" s="134">
        <v>669</v>
      </c>
    </row>
    <row r="10" spans="1:8" ht="19.8" customHeight="1" x14ac:dyDescent="0.3">
      <c r="A10" s="140">
        <v>45983</v>
      </c>
      <c r="B10" s="131" t="s">
        <v>39</v>
      </c>
      <c r="C10" s="132" t="s">
        <v>44</v>
      </c>
      <c r="D10" s="131" t="s">
        <v>1</v>
      </c>
      <c r="E10" s="141">
        <v>1.6597222222222221</v>
      </c>
      <c r="F10" s="131" t="s">
        <v>41</v>
      </c>
      <c r="G10" s="133">
        <v>7</v>
      </c>
      <c r="H10" s="134">
        <v>669</v>
      </c>
    </row>
    <row r="11" spans="1:8" ht="19.8" customHeight="1" x14ac:dyDescent="0.3">
      <c r="A11" s="140">
        <v>45983</v>
      </c>
      <c r="B11" s="131" t="s">
        <v>39</v>
      </c>
      <c r="C11" s="132" t="s">
        <v>46</v>
      </c>
      <c r="D11" s="131" t="s">
        <v>1</v>
      </c>
      <c r="E11" s="141">
        <v>1.5173611111111109</v>
      </c>
      <c r="F11" s="131" t="s">
        <v>41</v>
      </c>
      <c r="G11" s="133">
        <v>1</v>
      </c>
      <c r="H11" s="134">
        <v>669</v>
      </c>
    </row>
    <row r="12" spans="1:8" ht="19.8" customHeight="1" x14ac:dyDescent="0.3">
      <c r="A12" s="140">
        <v>45983</v>
      </c>
      <c r="B12" s="131" t="s">
        <v>39</v>
      </c>
      <c r="C12" s="132" t="s">
        <v>48</v>
      </c>
      <c r="D12" s="131" t="s">
        <v>1</v>
      </c>
      <c r="E12" s="141">
        <v>1.854166666666667</v>
      </c>
      <c r="F12" s="131" t="s">
        <v>41</v>
      </c>
      <c r="G12" s="133">
        <v>1</v>
      </c>
      <c r="H12" s="134">
        <v>669</v>
      </c>
    </row>
    <row r="13" spans="1:8" ht="19.8" customHeight="1" x14ac:dyDescent="0.3">
      <c r="A13" s="140">
        <v>45983</v>
      </c>
      <c r="B13" s="131" t="s">
        <v>39</v>
      </c>
      <c r="C13" s="132" t="s">
        <v>49</v>
      </c>
      <c r="D13" s="131" t="s">
        <v>1</v>
      </c>
      <c r="E13" s="141">
        <v>1.395833333333333</v>
      </c>
      <c r="F13" s="131" t="s">
        <v>41</v>
      </c>
      <c r="G13" s="133">
        <v>8</v>
      </c>
      <c r="H13" s="134">
        <v>669</v>
      </c>
    </row>
    <row r="14" spans="1:8" ht="19.8" customHeight="1" x14ac:dyDescent="0.3">
      <c r="A14" s="140">
        <v>45983</v>
      </c>
      <c r="B14" s="131" t="s">
        <v>39</v>
      </c>
      <c r="C14" s="132" t="s">
        <v>51</v>
      </c>
      <c r="D14" s="131" t="s">
        <v>1</v>
      </c>
      <c r="E14" s="141">
        <v>1.7986111111111109</v>
      </c>
      <c r="F14" s="131" t="s">
        <v>41</v>
      </c>
      <c r="G14" s="133">
        <v>4</v>
      </c>
      <c r="H14" s="134">
        <v>669</v>
      </c>
    </row>
    <row r="15" spans="1:8" ht="19.8" customHeight="1" x14ac:dyDescent="0.3">
      <c r="A15" s="151">
        <v>45983</v>
      </c>
      <c r="B15" s="152" t="s">
        <v>26</v>
      </c>
      <c r="C15" s="153" t="s">
        <v>36</v>
      </c>
      <c r="D15" s="152" t="s">
        <v>1</v>
      </c>
      <c r="E15" s="154">
        <v>1.788194444444444</v>
      </c>
      <c r="F15" s="152" t="s">
        <v>28</v>
      </c>
      <c r="G15" s="155">
        <v>13</v>
      </c>
      <c r="H15" s="177">
        <v>689</v>
      </c>
    </row>
    <row r="16" spans="1:8" ht="19.8" customHeight="1" x14ac:dyDescent="0.3">
      <c r="A16" s="140">
        <v>45984</v>
      </c>
      <c r="B16" s="131" t="s">
        <v>26</v>
      </c>
      <c r="C16" s="132" t="s">
        <v>513</v>
      </c>
      <c r="D16" s="131" t="s">
        <v>501</v>
      </c>
      <c r="E16" s="141">
        <v>1.2847222222222221</v>
      </c>
      <c r="F16" s="131" t="s">
        <v>402</v>
      </c>
      <c r="G16" s="133">
        <v>9</v>
      </c>
      <c r="H16" s="134">
        <v>329</v>
      </c>
    </row>
    <row r="17" spans="1:8" ht="19.8" customHeight="1" x14ac:dyDescent="0.3">
      <c r="A17" s="140">
        <v>45984</v>
      </c>
      <c r="B17" s="131" t="s">
        <v>26</v>
      </c>
      <c r="C17" s="132" t="s">
        <v>513</v>
      </c>
      <c r="D17" s="131" t="s">
        <v>501</v>
      </c>
      <c r="E17" s="141">
        <v>1.2847222222222221</v>
      </c>
      <c r="F17" s="131" t="s">
        <v>404</v>
      </c>
      <c r="G17" s="133">
        <v>9</v>
      </c>
      <c r="H17" s="134">
        <v>388</v>
      </c>
    </row>
    <row r="18" spans="1:8" ht="19.8" customHeight="1" x14ac:dyDescent="0.3">
      <c r="A18" s="140">
        <v>45984</v>
      </c>
      <c r="B18" s="131" t="s">
        <v>26</v>
      </c>
      <c r="C18" s="132" t="s">
        <v>513</v>
      </c>
      <c r="D18" s="131" t="s">
        <v>501</v>
      </c>
      <c r="E18" s="141">
        <v>1.2847222222222221</v>
      </c>
      <c r="F18" s="131" t="s">
        <v>406</v>
      </c>
      <c r="G18" s="133">
        <v>9</v>
      </c>
      <c r="H18" s="134">
        <v>412</v>
      </c>
    </row>
    <row r="19" spans="1:8" ht="19.8" customHeight="1" x14ac:dyDescent="0.3">
      <c r="A19" s="143">
        <v>45984</v>
      </c>
      <c r="B19" s="136" t="s">
        <v>66</v>
      </c>
      <c r="C19" s="137" t="s">
        <v>507</v>
      </c>
      <c r="D19" s="136" t="s">
        <v>501</v>
      </c>
      <c r="E19" s="144">
        <v>1.850694444444444</v>
      </c>
      <c r="F19" s="136" t="s">
        <v>68</v>
      </c>
      <c r="G19" s="138">
        <v>6</v>
      </c>
      <c r="H19" s="150">
        <v>436</v>
      </c>
    </row>
    <row r="20" spans="1:8" ht="19.8" customHeight="1" x14ac:dyDescent="0.3">
      <c r="A20" s="143">
        <v>45984</v>
      </c>
      <c r="B20" s="136" t="s">
        <v>66</v>
      </c>
      <c r="C20" s="137" t="s">
        <v>520</v>
      </c>
      <c r="D20" s="136" t="s">
        <v>501</v>
      </c>
      <c r="E20" s="144">
        <v>1.7673611111111109</v>
      </c>
      <c r="F20" s="136" t="s">
        <v>68</v>
      </c>
      <c r="G20" s="138">
        <v>2</v>
      </c>
      <c r="H20" s="150">
        <v>436</v>
      </c>
    </row>
    <row r="21" spans="1:8" ht="19.8" customHeight="1" x14ac:dyDescent="0.3">
      <c r="A21" s="140">
        <v>45984</v>
      </c>
      <c r="B21" s="131" t="s">
        <v>26</v>
      </c>
      <c r="C21" s="132" t="s">
        <v>513</v>
      </c>
      <c r="D21" s="131" t="s">
        <v>501</v>
      </c>
      <c r="E21" s="141">
        <v>1.2847222222222221</v>
      </c>
      <c r="F21" s="131" t="s">
        <v>408</v>
      </c>
      <c r="G21" s="133">
        <v>9</v>
      </c>
      <c r="H21" s="134">
        <v>579</v>
      </c>
    </row>
    <row r="22" spans="1:8" ht="19.8" customHeight="1" x14ac:dyDescent="0.3">
      <c r="A22" s="173"/>
      <c r="B22" s="174"/>
      <c r="C22" s="174"/>
      <c r="D22" s="174"/>
      <c r="E22" s="174"/>
      <c r="F22" s="175" t="s">
        <v>500</v>
      </c>
      <c r="G22" s="174"/>
      <c r="H22" s="176"/>
    </row>
    <row r="23" spans="1:8" ht="19.8" customHeight="1" x14ac:dyDescent="0.3">
      <c r="A23" s="140">
        <v>45984</v>
      </c>
      <c r="B23" s="131" t="s">
        <v>26</v>
      </c>
      <c r="C23" s="132" t="s">
        <v>36</v>
      </c>
      <c r="D23" s="131" t="s">
        <v>1</v>
      </c>
      <c r="E23" s="141">
        <v>1.788194444444444</v>
      </c>
      <c r="F23" s="131" t="s">
        <v>119</v>
      </c>
      <c r="G23" s="133">
        <v>1</v>
      </c>
      <c r="H23" s="134">
        <v>539</v>
      </c>
    </row>
    <row r="24" spans="1:8" ht="19.8" customHeight="1" x14ac:dyDescent="0.3">
      <c r="A24" s="140">
        <v>45984</v>
      </c>
      <c r="B24" s="131" t="s">
        <v>26</v>
      </c>
      <c r="C24" s="132" t="s">
        <v>34</v>
      </c>
      <c r="D24" s="131" t="s">
        <v>1</v>
      </c>
      <c r="E24" s="141">
        <v>1.8888888888888891</v>
      </c>
      <c r="F24" s="131" t="s">
        <v>119</v>
      </c>
      <c r="G24" s="133">
        <v>5</v>
      </c>
      <c r="H24" s="134">
        <v>539</v>
      </c>
    </row>
    <row r="25" spans="1:8" ht="19.8" customHeight="1" x14ac:dyDescent="0.3">
      <c r="A25" s="140">
        <v>45984</v>
      </c>
      <c r="B25" s="131" t="s">
        <v>66</v>
      </c>
      <c r="C25" s="132" t="s">
        <v>130</v>
      </c>
      <c r="D25" s="131" t="s">
        <v>1</v>
      </c>
      <c r="E25" s="141">
        <v>1.333333333333333</v>
      </c>
      <c r="F25" s="131" t="s">
        <v>68</v>
      </c>
      <c r="G25" s="133">
        <v>1</v>
      </c>
      <c r="H25" s="134">
        <v>586</v>
      </c>
    </row>
    <row r="26" spans="1:8" ht="19.8" customHeight="1" x14ac:dyDescent="0.3">
      <c r="A26" s="140">
        <v>45984</v>
      </c>
      <c r="B26" s="131" t="s">
        <v>26</v>
      </c>
      <c r="C26" s="132" t="s">
        <v>27</v>
      </c>
      <c r="D26" s="131" t="s">
        <v>1</v>
      </c>
      <c r="E26" s="141">
        <v>1.1284722222222221</v>
      </c>
      <c r="F26" s="131" t="s">
        <v>119</v>
      </c>
      <c r="G26" s="133">
        <v>3</v>
      </c>
      <c r="H26" s="134">
        <v>589</v>
      </c>
    </row>
    <row r="27" spans="1:8" ht="19.8" customHeight="1" x14ac:dyDescent="0.3">
      <c r="A27" s="140">
        <v>45984</v>
      </c>
      <c r="B27" s="131" t="s">
        <v>39</v>
      </c>
      <c r="C27" s="132" t="s">
        <v>53</v>
      </c>
      <c r="D27" s="131" t="s">
        <v>1</v>
      </c>
      <c r="E27" s="141">
        <v>1.256944444444444</v>
      </c>
      <c r="F27" s="131" t="s">
        <v>149</v>
      </c>
      <c r="G27" s="133">
        <v>1</v>
      </c>
      <c r="H27" s="134">
        <v>589</v>
      </c>
    </row>
    <row r="28" spans="1:8" ht="19.8" customHeight="1" x14ac:dyDescent="0.3">
      <c r="A28" s="140">
        <v>45984</v>
      </c>
      <c r="B28" s="131" t="s">
        <v>39</v>
      </c>
      <c r="C28" s="132" t="s">
        <v>40</v>
      </c>
      <c r="D28" s="131" t="s">
        <v>1</v>
      </c>
      <c r="E28" s="141">
        <v>1.9027777777777779</v>
      </c>
      <c r="F28" s="131" t="s">
        <v>149</v>
      </c>
      <c r="G28" s="133">
        <v>9</v>
      </c>
      <c r="H28" s="134">
        <v>589</v>
      </c>
    </row>
    <row r="29" spans="1:8" ht="19.8" customHeight="1" x14ac:dyDescent="0.3">
      <c r="A29" s="140">
        <v>45984</v>
      </c>
      <c r="B29" s="131" t="s">
        <v>39</v>
      </c>
      <c r="C29" s="132" t="s">
        <v>48</v>
      </c>
      <c r="D29" s="131" t="s">
        <v>1</v>
      </c>
      <c r="E29" s="141">
        <v>1.854166666666667</v>
      </c>
      <c r="F29" s="131" t="s">
        <v>149</v>
      </c>
      <c r="G29" s="133">
        <v>9</v>
      </c>
      <c r="H29" s="134">
        <v>589</v>
      </c>
    </row>
    <row r="30" spans="1:8" ht="19.8" customHeight="1" x14ac:dyDescent="0.3">
      <c r="A30" s="140">
        <v>45984</v>
      </c>
      <c r="B30" s="131" t="s">
        <v>39</v>
      </c>
      <c r="C30" s="132" t="s">
        <v>153</v>
      </c>
      <c r="D30" s="131" t="s">
        <v>1</v>
      </c>
      <c r="E30" s="141">
        <v>1.302083333333333</v>
      </c>
      <c r="F30" s="131" t="s">
        <v>149</v>
      </c>
      <c r="G30" s="133">
        <v>3</v>
      </c>
      <c r="H30" s="134">
        <v>589</v>
      </c>
    </row>
    <row r="31" spans="1:8" ht="19.8" customHeight="1" x14ac:dyDescent="0.3">
      <c r="A31" s="140">
        <v>45984</v>
      </c>
      <c r="B31" s="131" t="s">
        <v>39</v>
      </c>
      <c r="C31" s="132" t="s">
        <v>51</v>
      </c>
      <c r="D31" s="131" t="s">
        <v>1</v>
      </c>
      <c r="E31" s="141">
        <v>1.7986111111111109</v>
      </c>
      <c r="F31" s="131" t="s">
        <v>149</v>
      </c>
      <c r="G31" s="133">
        <v>9</v>
      </c>
      <c r="H31" s="134">
        <v>589</v>
      </c>
    </row>
    <row r="32" spans="1:8" ht="19.8" customHeight="1" x14ac:dyDescent="0.3">
      <c r="A32" s="151">
        <v>45984</v>
      </c>
      <c r="B32" s="152" t="s">
        <v>61</v>
      </c>
      <c r="C32" s="153" t="s">
        <v>62</v>
      </c>
      <c r="D32" s="152" t="s">
        <v>1</v>
      </c>
      <c r="E32" s="154">
        <v>1.666666666666667</v>
      </c>
      <c r="F32" s="152" t="s">
        <v>63</v>
      </c>
      <c r="G32" s="155">
        <v>2</v>
      </c>
      <c r="H32" s="177">
        <v>599</v>
      </c>
    </row>
    <row r="33" spans="1:8" ht="19.8" customHeight="1" x14ac:dyDescent="0.3">
      <c r="A33" s="143">
        <v>45985</v>
      </c>
      <c r="B33" s="136" t="s">
        <v>66</v>
      </c>
      <c r="C33" s="137" t="s">
        <v>502</v>
      </c>
      <c r="D33" s="136" t="s">
        <v>501</v>
      </c>
      <c r="E33" s="144">
        <v>1.854166666666667</v>
      </c>
      <c r="F33" s="136" t="s">
        <v>68</v>
      </c>
      <c r="G33" s="138">
        <v>3</v>
      </c>
      <c r="H33" s="150">
        <v>401</v>
      </c>
    </row>
    <row r="34" spans="1:8" ht="19.8" customHeight="1" x14ac:dyDescent="0.3">
      <c r="A34" s="143">
        <v>45985</v>
      </c>
      <c r="B34" s="136" t="s">
        <v>66</v>
      </c>
      <c r="C34" s="137" t="s">
        <v>520</v>
      </c>
      <c r="D34" s="136" t="s">
        <v>501</v>
      </c>
      <c r="E34" s="144">
        <v>1.2534722222222221</v>
      </c>
      <c r="F34" s="136" t="s">
        <v>68</v>
      </c>
      <c r="G34" s="138">
        <v>7</v>
      </c>
      <c r="H34" s="150">
        <v>401</v>
      </c>
    </row>
    <row r="35" spans="1:8" ht="19.8" customHeight="1" x14ac:dyDescent="0.3">
      <c r="A35" s="143">
        <v>45985</v>
      </c>
      <c r="B35" s="136" t="s">
        <v>66</v>
      </c>
      <c r="C35" s="137" t="s">
        <v>528</v>
      </c>
      <c r="D35" s="136" t="s">
        <v>501</v>
      </c>
      <c r="E35" s="144">
        <v>1.506944444444444</v>
      </c>
      <c r="F35" s="136" t="s">
        <v>68</v>
      </c>
      <c r="G35" s="138">
        <v>6</v>
      </c>
      <c r="H35" s="150">
        <v>436</v>
      </c>
    </row>
    <row r="36" spans="1:8" ht="19.8" customHeight="1" x14ac:dyDescent="0.3">
      <c r="A36" s="140">
        <v>45985</v>
      </c>
      <c r="B36" s="131" t="s">
        <v>80</v>
      </c>
      <c r="C36" s="132" t="s">
        <v>510</v>
      </c>
      <c r="D36" s="131" t="s">
        <v>501</v>
      </c>
      <c r="E36" s="141">
        <v>1.854166666666667</v>
      </c>
      <c r="F36" s="131" t="s">
        <v>511</v>
      </c>
      <c r="G36" s="133">
        <v>4</v>
      </c>
      <c r="H36" s="134">
        <v>640</v>
      </c>
    </row>
    <row r="37" spans="1:8" ht="19.8" customHeight="1" x14ac:dyDescent="0.3">
      <c r="A37" s="173"/>
      <c r="B37" s="174"/>
      <c r="C37" s="174"/>
      <c r="D37" s="174"/>
      <c r="E37" s="174"/>
      <c r="F37" s="175" t="s">
        <v>500</v>
      </c>
      <c r="G37" s="174"/>
      <c r="H37" s="176"/>
    </row>
    <row r="38" spans="1:8" ht="19.8" customHeight="1" x14ac:dyDescent="0.3">
      <c r="A38" s="140">
        <v>45985</v>
      </c>
      <c r="B38" s="131" t="s">
        <v>26</v>
      </c>
      <c r="C38" s="132" t="s">
        <v>27</v>
      </c>
      <c r="D38" s="131" t="s">
        <v>1</v>
      </c>
      <c r="E38" s="141">
        <v>1.1284722222222221</v>
      </c>
      <c r="F38" s="131" t="s">
        <v>119</v>
      </c>
      <c r="G38" s="133">
        <v>10</v>
      </c>
      <c r="H38" s="134">
        <v>459</v>
      </c>
    </row>
    <row r="39" spans="1:8" ht="19.8" customHeight="1" x14ac:dyDescent="0.3">
      <c r="A39" s="140">
        <v>45985</v>
      </c>
      <c r="B39" s="131" t="s">
        <v>26</v>
      </c>
      <c r="C39" s="132" t="s">
        <v>31</v>
      </c>
      <c r="D39" s="131" t="s">
        <v>1</v>
      </c>
      <c r="E39" s="141">
        <v>1.302083333333333</v>
      </c>
      <c r="F39" s="131" t="s">
        <v>119</v>
      </c>
      <c r="G39" s="133">
        <v>10</v>
      </c>
      <c r="H39" s="134">
        <v>499</v>
      </c>
    </row>
    <row r="40" spans="1:8" ht="19.8" customHeight="1" x14ac:dyDescent="0.3">
      <c r="A40" s="140">
        <v>45985</v>
      </c>
      <c r="B40" s="131" t="s">
        <v>26</v>
      </c>
      <c r="C40" s="132" t="s">
        <v>34</v>
      </c>
      <c r="D40" s="131" t="s">
        <v>1</v>
      </c>
      <c r="E40" s="141">
        <v>1.8888888888888891</v>
      </c>
      <c r="F40" s="131" t="s">
        <v>119</v>
      </c>
      <c r="G40" s="133">
        <v>5</v>
      </c>
      <c r="H40" s="134">
        <v>499</v>
      </c>
    </row>
    <row r="41" spans="1:8" ht="19.8" customHeight="1" x14ac:dyDescent="0.3">
      <c r="A41" s="140">
        <v>45985</v>
      </c>
      <c r="B41" s="131" t="s">
        <v>39</v>
      </c>
      <c r="C41" s="132" t="s">
        <v>53</v>
      </c>
      <c r="D41" s="131" t="s">
        <v>1</v>
      </c>
      <c r="E41" s="141">
        <v>1.256944444444444</v>
      </c>
      <c r="F41" s="131" t="s">
        <v>149</v>
      </c>
      <c r="G41" s="133">
        <v>8</v>
      </c>
      <c r="H41" s="134">
        <v>509</v>
      </c>
    </row>
    <row r="42" spans="1:8" ht="19.8" customHeight="1" x14ac:dyDescent="0.3">
      <c r="A42" s="140">
        <v>45985</v>
      </c>
      <c r="B42" s="131" t="s">
        <v>39</v>
      </c>
      <c r="C42" s="132" t="s">
        <v>40</v>
      </c>
      <c r="D42" s="131" t="s">
        <v>1</v>
      </c>
      <c r="E42" s="141">
        <v>1.9027777777777779</v>
      </c>
      <c r="F42" s="131" t="s">
        <v>149</v>
      </c>
      <c r="G42" s="133">
        <v>5</v>
      </c>
      <c r="H42" s="134">
        <v>509</v>
      </c>
    </row>
    <row r="43" spans="1:8" ht="19.8" customHeight="1" x14ac:dyDescent="0.3">
      <c r="A43" s="140">
        <v>45985</v>
      </c>
      <c r="B43" s="131" t="s">
        <v>39</v>
      </c>
      <c r="C43" s="132" t="s">
        <v>44</v>
      </c>
      <c r="D43" s="131" t="s">
        <v>1</v>
      </c>
      <c r="E43" s="141">
        <v>1.645833333333333</v>
      </c>
      <c r="F43" s="131" t="s">
        <v>149</v>
      </c>
      <c r="G43" s="133">
        <v>2</v>
      </c>
      <c r="H43" s="134">
        <v>509</v>
      </c>
    </row>
    <row r="44" spans="1:8" ht="19.8" customHeight="1" x14ac:dyDescent="0.3">
      <c r="A44" s="140">
        <v>45985</v>
      </c>
      <c r="B44" s="131" t="s">
        <v>39</v>
      </c>
      <c r="C44" s="132" t="s">
        <v>46</v>
      </c>
      <c r="D44" s="131" t="s">
        <v>1</v>
      </c>
      <c r="E44" s="141">
        <v>1.5173611111111109</v>
      </c>
      <c r="F44" s="131" t="s">
        <v>149</v>
      </c>
      <c r="G44" s="133">
        <v>6</v>
      </c>
      <c r="H44" s="134">
        <v>509</v>
      </c>
    </row>
    <row r="45" spans="1:8" ht="19.8" customHeight="1" x14ac:dyDescent="0.3">
      <c r="A45" s="140">
        <v>45985</v>
      </c>
      <c r="B45" s="131" t="s">
        <v>39</v>
      </c>
      <c r="C45" s="132" t="s">
        <v>51</v>
      </c>
      <c r="D45" s="131" t="s">
        <v>1</v>
      </c>
      <c r="E45" s="141">
        <v>1.7986111111111109</v>
      </c>
      <c r="F45" s="131" t="s">
        <v>149</v>
      </c>
      <c r="G45" s="133">
        <v>9</v>
      </c>
      <c r="H45" s="134">
        <v>509</v>
      </c>
    </row>
    <row r="46" spans="1:8" ht="19.8" customHeight="1" x14ac:dyDescent="0.3">
      <c r="A46" s="140">
        <v>45985</v>
      </c>
      <c r="B46" s="131" t="s">
        <v>39</v>
      </c>
      <c r="C46" s="132" t="s">
        <v>48</v>
      </c>
      <c r="D46" s="131" t="s">
        <v>1</v>
      </c>
      <c r="E46" s="141">
        <v>1.854166666666667</v>
      </c>
      <c r="F46" s="131" t="s">
        <v>149</v>
      </c>
      <c r="G46" s="133">
        <v>9</v>
      </c>
      <c r="H46" s="134">
        <v>549</v>
      </c>
    </row>
    <row r="47" spans="1:8" ht="19.8" customHeight="1" x14ac:dyDescent="0.3">
      <c r="A47" s="151">
        <v>45985</v>
      </c>
      <c r="B47" s="152" t="s">
        <v>39</v>
      </c>
      <c r="C47" s="153" t="s">
        <v>49</v>
      </c>
      <c r="D47" s="152" t="s">
        <v>1</v>
      </c>
      <c r="E47" s="154">
        <v>1.395833333333333</v>
      </c>
      <c r="F47" s="152" t="s">
        <v>149</v>
      </c>
      <c r="G47" s="155">
        <v>9</v>
      </c>
      <c r="H47" s="177">
        <v>549</v>
      </c>
    </row>
    <row r="48" spans="1:8" ht="19.8" customHeight="1" x14ac:dyDescent="0.3">
      <c r="A48" s="143">
        <v>45986</v>
      </c>
      <c r="B48" s="136" t="s">
        <v>66</v>
      </c>
      <c r="C48" s="137" t="s">
        <v>502</v>
      </c>
      <c r="D48" s="136" t="s">
        <v>501</v>
      </c>
      <c r="E48" s="144">
        <v>1.322916666666667</v>
      </c>
      <c r="F48" s="136" t="s">
        <v>68</v>
      </c>
      <c r="G48" s="138">
        <v>3</v>
      </c>
      <c r="H48" s="150">
        <v>781</v>
      </c>
    </row>
    <row r="49" spans="1:8" ht="19.8" customHeight="1" x14ac:dyDescent="0.3">
      <c r="A49" s="143">
        <v>45986</v>
      </c>
      <c r="B49" s="136" t="s">
        <v>66</v>
      </c>
      <c r="C49" s="137" t="s">
        <v>507</v>
      </c>
      <c r="D49" s="136" t="s">
        <v>501</v>
      </c>
      <c r="E49" s="144">
        <v>1.9513888888888891</v>
      </c>
      <c r="F49" s="136" t="s">
        <v>68</v>
      </c>
      <c r="G49" s="138">
        <v>4</v>
      </c>
      <c r="H49" s="150">
        <v>856</v>
      </c>
    </row>
    <row r="50" spans="1:8" ht="19.8" customHeight="1" x14ac:dyDescent="0.3">
      <c r="A50" s="140">
        <v>45986</v>
      </c>
      <c r="B50" s="131" t="s">
        <v>80</v>
      </c>
      <c r="C50" s="132" t="s">
        <v>510</v>
      </c>
      <c r="D50" s="131" t="s">
        <v>501</v>
      </c>
      <c r="E50" s="141">
        <v>1.322916666666667</v>
      </c>
      <c r="F50" s="131" t="s">
        <v>82</v>
      </c>
      <c r="G50" s="133">
        <v>4</v>
      </c>
      <c r="H50" s="134">
        <v>938</v>
      </c>
    </row>
    <row r="51" spans="1:8" ht="19.8" customHeight="1" x14ac:dyDescent="0.3">
      <c r="A51" s="173"/>
      <c r="B51" s="174"/>
      <c r="C51" s="174"/>
      <c r="D51" s="174"/>
      <c r="E51" s="174"/>
      <c r="F51" s="175" t="s">
        <v>500</v>
      </c>
      <c r="G51" s="174"/>
      <c r="H51" s="176"/>
    </row>
    <row r="52" spans="1:8" ht="19.8" customHeight="1" x14ac:dyDescent="0.3">
      <c r="A52" s="140">
        <v>45986</v>
      </c>
      <c r="B52" s="131" t="s">
        <v>26</v>
      </c>
      <c r="C52" s="132" t="s">
        <v>27</v>
      </c>
      <c r="D52" s="131" t="s">
        <v>1</v>
      </c>
      <c r="E52" s="141">
        <v>1.1284722222222221</v>
      </c>
      <c r="F52" s="131" t="s">
        <v>119</v>
      </c>
      <c r="G52" s="133">
        <v>2</v>
      </c>
      <c r="H52" s="134">
        <v>389</v>
      </c>
    </row>
    <row r="53" spans="1:8" ht="19.8" customHeight="1" x14ac:dyDescent="0.3">
      <c r="A53" s="140">
        <v>45986</v>
      </c>
      <c r="B53" s="131" t="s">
        <v>61</v>
      </c>
      <c r="C53" s="132" t="s">
        <v>62</v>
      </c>
      <c r="D53" s="131" t="s">
        <v>1</v>
      </c>
      <c r="E53" s="141">
        <v>1.666666666666667</v>
      </c>
      <c r="F53" s="131" t="s">
        <v>63</v>
      </c>
      <c r="G53" s="133">
        <v>1</v>
      </c>
      <c r="H53" s="134">
        <v>401</v>
      </c>
    </row>
    <row r="54" spans="1:8" ht="19.8" customHeight="1" x14ac:dyDescent="0.3">
      <c r="A54" s="140">
        <v>45986</v>
      </c>
      <c r="B54" s="131" t="s">
        <v>61</v>
      </c>
      <c r="C54" s="132" t="s">
        <v>222</v>
      </c>
      <c r="D54" s="131" t="s">
        <v>1</v>
      </c>
      <c r="E54" s="141">
        <v>1.0451388888888891</v>
      </c>
      <c r="F54" s="131" t="s">
        <v>63</v>
      </c>
      <c r="G54" s="133">
        <v>1</v>
      </c>
      <c r="H54" s="134">
        <v>401</v>
      </c>
    </row>
    <row r="55" spans="1:8" ht="19.8" customHeight="1" x14ac:dyDescent="0.3">
      <c r="A55" s="140">
        <v>45986</v>
      </c>
      <c r="B55" s="131" t="s">
        <v>26</v>
      </c>
      <c r="C55" s="132" t="s">
        <v>31</v>
      </c>
      <c r="D55" s="131" t="s">
        <v>1</v>
      </c>
      <c r="E55" s="141">
        <v>1.302083333333333</v>
      </c>
      <c r="F55" s="131" t="s">
        <v>119</v>
      </c>
      <c r="G55" s="133">
        <v>2</v>
      </c>
      <c r="H55" s="134">
        <v>419</v>
      </c>
    </row>
    <row r="56" spans="1:8" ht="19.8" customHeight="1" x14ac:dyDescent="0.3">
      <c r="A56" s="140">
        <v>45986</v>
      </c>
      <c r="B56" s="131" t="s">
        <v>26</v>
      </c>
      <c r="C56" s="132" t="s">
        <v>36</v>
      </c>
      <c r="D56" s="131" t="s">
        <v>1</v>
      </c>
      <c r="E56" s="141">
        <v>1.788194444444444</v>
      </c>
      <c r="F56" s="131" t="s">
        <v>119</v>
      </c>
      <c r="G56" s="133">
        <v>9</v>
      </c>
      <c r="H56" s="134">
        <v>419</v>
      </c>
    </row>
    <row r="57" spans="1:8" ht="19.8" customHeight="1" x14ac:dyDescent="0.3">
      <c r="A57" s="140">
        <v>45986</v>
      </c>
      <c r="B57" s="131" t="s">
        <v>26</v>
      </c>
      <c r="C57" s="132" t="s">
        <v>34</v>
      </c>
      <c r="D57" s="131" t="s">
        <v>1</v>
      </c>
      <c r="E57" s="141">
        <v>1.8888888888888891</v>
      </c>
      <c r="F57" s="131" t="s">
        <v>119</v>
      </c>
      <c r="G57" s="133">
        <v>7</v>
      </c>
      <c r="H57" s="134">
        <v>419</v>
      </c>
    </row>
    <row r="58" spans="1:8" ht="19.8" customHeight="1" x14ac:dyDescent="0.3">
      <c r="A58" s="140">
        <v>45986</v>
      </c>
      <c r="B58" s="131" t="s">
        <v>39</v>
      </c>
      <c r="C58" s="132" t="s">
        <v>40</v>
      </c>
      <c r="D58" s="131" t="s">
        <v>1</v>
      </c>
      <c r="E58" s="141">
        <v>1.9027777777777779</v>
      </c>
      <c r="F58" s="131" t="s">
        <v>149</v>
      </c>
      <c r="G58" s="133">
        <v>6</v>
      </c>
      <c r="H58" s="134">
        <v>449</v>
      </c>
    </row>
    <row r="59" spans="1:8" ht="19.8" customHeight="1" x14ac:dyDescent="0.3">
      <c r="A59" s="140">
        <v>45986</v>
      </c>
      <c r="B59" s="131" t="s">
        <v>39</v>
      </c>
      <c r="C59" s="132" t="s">
        <v>44</v>
      </c>
      <c r="D59" s="131" t="s">
        <v>1</v>
      </c>
      <c r="E59" s="141">
        <v>1.645833333333333</v>
      </c>
      <c r="F59" s="131" t="s">
        <v>149</v>
      </c>
      <c r="G59" s="133">
        <v>2</v>
      </c>
      <c r="H59" s="134">
        <v>449</v>
      </c>
    </row>
    <row r="60" spans="1:8" ht="19.8" customHeight="1" x14ac:dyDescent="0.3">
      <c r="A60" s="140">
        <v>45986</v>
      </c>
      <c r="B60" s="131" t="s">
        <v>39</v>
      </c>
      <c r="C60" s="132" t="s">
        <v>46</v>
      </c>
      <c r="D60" s="131" t="s">
        <v>1</v>
      </c>
      <c r="E60" s="141">
        <v>1.5173611111111109</v>
      </c>
      <c r="F60" s="131" t="s">
        <v>149</v>
      </c>
      <c r="G60" s="133">
        <v>2</v>
      </c>
      <c r="H60" s="134">
        <v>449</v>
      </c>
    </row>
    <row r="61" spans="1:8" ht="19.8" customHeight="1" x14ac:dyDescent="0.3">
      <c r="A61" s="151">
        <v>45986</v>
      </c>
      <c r="B61" s="152" t="s">
        <v>39</v>
      </c>
      <c r="C61" s="153" t="s">
        <v>48</v>
      </c>
      <c r="D61" s="152" t="s">
        <v>1</v>
      </c>
      <c r="E61" s="154">
        <v>1.854166666666667</v>
      </c>
      <c r="F61" s="152" t="s">
        <v>149</v>
      </c>
      <c r="G61" s="155">
        <v>8</v>
      </c>
      <c r="H61" s="177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127" t="s">
        <v>383</v>
      </c>
      <c r="B1" s="128" t="s">
        <v>8</v>
      </c>
      <c r="C1" s="128" t="s">
        <v>9</v>
      </c>
      <c r="D1" s="128" t="s">
        <v>384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5" t="s">
        <v>385</v>
      </c>
      <c r="B2" s="136" t="s">
        <v>66</v>
      </c>
      <c r="C2" s="137" t="s">
        <v>502</v>
      </c>
      <c r="D2" s="136" t="s">
        <v>501</v>
      </c>
      <c r="E2" s="136" t="s">
        <v>534</v>
      </c>
      <c r="F2" s="136" t="s">
        <v>68</v>
      </c>
      <c r="G2" s="138">
        <v>7</v>
      </c>
      <c r="H2" s="150">
        <v>526</v>
      </c>
    </row>
    <row r="3" spans="1:8" ht="19.8" customHeight="1" x14ac:dyDescent="0.3">
      <c r="A3" s="143">
        <v>45983</v>
      </c>
      <c r="B3" s="136" t="s">
        <v>66</v>
      </c>
      <c r="C3" s="137" t="s">
        <v>507</v>
      </c>
      <c r="D3" s="136" t="s">
        <v>501</v>
      </c>
      <c r="E3" s="144">
        <v>1.6875</v>
      </c>
      <c r="F3" s="136" t="s">
        <v>68</v>
      </c>
      <c r="G3" s="138">
        <v>2</v>
      </c>
      <c r="H3" s="150">
        <v>526</v>
      </c>
    </row>
    <row r="4" spans="1:8" ht="19.8" customHeight="1" x14ac:dyDescent="0.3">
      <c r="A4" s="173"/>
      <c r="B4" s="174"/>
      <c r="C4" s="174"/>
      <c r="D4" s="174"/>
      <c r="E4" s="174"/>
      <c r="F4" s="175" t="s">
        <v>500</v>
      </c>
      <c r="G4" s="174"/>
      <c r="H4" s="176"/>
    </row>
    <row r="5" spans="1:8" ht="19.8" customHeight="1" x14ac:dyDescent="0.3">
      <c r="A5" s="140">
        <v>45983</v>
      </c>
      <c r="B5" s="131" t="s">
        <v>26</v>
      </c>
      <c r="C5" s="132" t="s">
        <v>27</v>
      </c>
      <c r="D5" s="131" t="s">
        <v>1</v>
      </c>
      <c r="E5" s="141">
        <v>1.1284722222222221</v>
      </c>
      <c r="F5" s="131" t="s">
        <v>28</v>
      </c>
      <c r="G5" s="133">
        <v>1</v>
      </c>
      <c r="H5" s="134">
        <v>589</v>
      </c>
    </row>
    <row r="6" spans="1:8" ht="19.8" customHeight="1" x14ac:dyDescent="0.3">
      <c r="A6" s="140">
        <v>45983</v>
      </c>
      <c r="B6" s="131" t="s">
        <v>26</v>
      </c>
      <c r="C6" s="132" t="s">
        <v>31</v>
      </c>
      <c r="D6" s="131" t="s">
        <v>1</v>
      </c>
      <c r="E6" s="141">
        <v>1.302083333333333</v>
      </c>
      <c r="F6" s="131" t="s">
        <v>28</v>
      </c>
      <c r="G6" s="133">
        <v>5</v>
      </c>
      <c r="H6" s="134">
        <v>639</v>
      </c>
    </row>
    <row r="7" spans="1:8" ht="19.8" customHeight="1" x14ac:dyDescent="0.3">
      <c r="A7" s="140">
        <v>45983</v>
      </c>
      <c r="B7" s="131" t="s">
        <v>26</v>
      </c>
      <c r="C7" s="132" t="s">
        <v>34</v>
      </c>
      <c r="D7" s="131" t="s">
        <v>1</v>
      </c>
      <c r="E7" s="141">
        <v>1.8888888888888891</v>
      </c>
      <c r="F7" s="131" t="s">
        <v>28</v>
      </c>
      <c r="G7" s="133">
        <v>11</v>
      </c>
      <c r="H7" s="134">
        <v>639</v>
      </c>
    </row>
    <row r="8" spans="1:8" ht="19.8" customHeight="1" x14ac:dyDescent="0.3">
      <c r="A8" s="140">
        <v>45983</v>
      </c>
      <c r="B8" s="131" t="s">
        <v>39</v>
      </c>
      <c r="C8" s="132" t="s">
        <v>40</v>
      </c>
      <c r="D8" s="131" t="s">
        <v>1</v>
      </c>
      <c r="E8" s="141">
        <v>1.9027777777777779</v>
      </c>
      <c r="F8" s="131" t="s">
        <v>41</v>
      </c>
      <c r="G8" s="133">
        <v>9</v>
      </c>
      <c r="H8" s="134">
        <v>669</v>
      </c>
    </row>
    <row r="9" spans="1:8" ht="19.8" customHeight="1" x14ac:dyDescent="0.3">
      <c r="A9" s="140">
        <v>45983</v>
      </c>
      <c r="B9" s="131" t="s">
        <v>39</v>
      </c>
      <c r="C9" s="132" t="s">
        <v>44</v>
      </c>
      <c r="D9" s="131" t="s">
        <v>1</v>
      </c>
      <c r="E9" s="141">
        <v>1.6597222222222221</v>
      </c>
      <c r="F9" s="131" t="s">
        <v>41</v>
      </c>
      <c r="G9" s="133">
        <v>7</v>
      </c>
      <c r="H9" s="134">
        <v>669</v>
      </c>
    </row>
    <row r="10" spans="1:8" ht="19.8" customHeight="1" x14ac:dyDescent="0.3">
      <c r="A10" s="140">
        <v>45983</v>
      </c>
      <c r="B10" s="131" t="s">
        <v>39</v>
      </c>
      <c r="C10" s="132" t="s">
        <v>46</v>
      </c>
      <c r="D10" s="131" t="s">
        <v>1</v>
      </c>
      <c r="E10" s="141">
        <v>1.5173611111111109</v>
      </c>
      <c r="F10" s="131" t="s">
        <v>41</v>
      </c>
      <c r="G10" s="133">
        <v>1</v>
      </c>
      <c r="H10" s="134">
        <v>669</v>
      </c>
    </row>
    <row r="11" spans="1:8" ht="19.8" customHeight="1" x14ac:dyDescent="0.3">
      <c r="A11" s="140">
        <v>45983</v>
      </c>
      <c r="B11" s="131" t="s">
        <v>39</v>
      </c>
      <c r="C11" s="132" t="s">
        <v>48</v>
      </c>
      <c r="D11" s="131" t="s">
        <v>1</v>
      </c>
      <c r="E11" s="141">
        <v>1.854166666666667</v>
      </c>
      <c r="F11" s="131" t="s">
        <v>41</v>
      </c>
      <c r="G11" s="133">
        <v>1</v>
      </c>
      <c r="H11" s="134">
        <v>669</v>
      </c>
    </row>
    <row r="12" spans="1:8" ht="19.8" customHeight="1" x14ac:dyDescent="0.3">
      <c r="A12" s="140">
        <v>45983</v>
      </c>
      <c r="B12" s="131" t="s">
        <v>39</v>
      </c>
      <c r="C12" s="132" t="s">
        <v>49</v>
      </c>
      <c r="D12" s="131" t="s">
        <v>1</v>
      </c>
      <c r="E12" s="141">
        <v>1.395833333333333</v>
      </c>
      <c r="F12" s="131" t="s">
        <v>41</v>
      </c>
      <c r="G12" s="133">
        <v>8</v>
      </c>
      <c r="H12" s="134">
        <v>669</v>
      </c>
    </row>
    <row r="13" spans="1:8" ht="19.8" customHeight="1" x14ac:dyDescent="0.3">
      <c r="A13" s="140">
        <v>45983</v>
      </c>
      <c r="B13" s="131" t="s">
        <v>39</v>
      </c>
      <c r="C13" s="132" t="s">
        <v>51</v>
      </c>
      <c r="D13" s="131" t="s">
        <v>1</v>
      </c>
      <c r="E13" s="141">
        <v>1.7986111111111109</v>
      </c>
      <c r="F13" s="131" t="s">
        <v>41</v>
      </c>
      <c r="G13" s="133">
        <v>4</v>
      </c>
      <c r="H13" s="134">
        <v>669</v>
      </c>
    </row>
    <row r="14" spans="1:8" ht="19.8" customHeight="1" x14ac:dyDescent="0.3">
      <c r="A14" s="151">
        <v>45983</v>
      </c>
      <c r="B14" s="152" t="s">
        <v>26</v>
      </c>
      <c r="C14" s="153" t="s">
        <v>36</v>
      </c>
      <c r="D14" s="152" t="s">
        <v>1</v>
      </c>
      <c r="E14" s="154">
        <v>1.788194444444444</v>
      </c>
      <c r="F14" s="152" t="s">
        <v>28</v>
      </c>
      <c r="G14" s="155">
        <v>13</v>
      </c>
      <c r="H14" s="177">
        <v>689</v>
      </c>
    </row>
    <row r="15" spans="1:8" ht="19.8" customHeight="1" x14ac:dyDescent="0.3">
      <c r="A15" s="143">
        <v>45984</v>
      </c>
      <c r="B15" s="136" t="s">
        <v>66</v>
      </c>
      <c r="C15" s="137" t="s">
        <v>507</v>
      </c>
      <c r="D15" s="136" t="s">
        <v>501</v>
      </c>
      <c r="E15" s="144">
        <v>1.850694444444444</v>
      </c>
      <c r="F15" s="136" t="s">
        <v>68</v>
      </c>
      <c r="G15" s="138">
        <v>6</v>
      </c>
      <c r="H15" s="150">
        <v>436</v>
      </c>
    </row>
    <row r="16" spans="1:8" ht="19.8" customHeight="1" x14ac:dyDescent="0.3">
      <c r="A16" s="143">
        <v>45984</v>
      </c>
      <c r="B16" s="136" t="s">
        <v>66</v>
      </c>
      <c r="C16" s="137" t="s">
        <v>520</v>
      </c>
      <c r="D16" s="136" t="s">
        <v>501</v>
      </c>
      <c r="E16" s="144">
        <v>1.7673611111111109</v>
      </c>
      <c r="F16" s="136" t="s">
        <v>68</v>
      </c>
      <c r="G16" s="138">
        <v>2</v>
      </c>
      <c r="H16" s="150">
        <v>436</v>
      </c>
    </row>
    <row r="17" spans="1:8" ht="19.8" customHeight="1" x14ac:dyDescent="0.3">
      <c r="A17" s="173"/>
      <c r="B17" s="174"/>
      <c r="C17" s="174"/>
      <c r="D17" s="174"/>
      <c r="E17" s="174"/>
      <c r="F17" s="175" t="s">
        <v>500</v>
      </c>
      <c r="G17" s="174"/>
      <c r="H17" s="176"/>
    </row>
    <row r="18" spans="1:8" ht="19.8" customHeight="1" x14ac:dyDescent="0.3">
      <c r="A18" s="140">
        <v>45984</v>
      </c>
      <c r="B18" s="131" t="s">
        <v>26</v>
      </c>
      <c r="C18" s="132" t="s">
        <v>36</v>
      </c>
      <c r="D18" s="131" t="s">
        <v>1</v>
      </c>
      <c r="E18" s="141">
        <v>1.788194444444444</v>
      </c>
      <c r="F18" s="131" t="s">
        <v>119</v>
      </c>
      <c r="G18" s="133">
        <v>1</v>
      </c>
      <c r="H18" s="134">
        <v>539</v>
      </c>
    </row>
    <row r="19" spans="1:8" ht="19.8" customHeight="1" x14ac:dyDescent="0.3">
      <c r="A19" s="140">
        <v>45984</v>
      </c>
      <c r="B19" s="131" t="s">
        <v>26</v>
      </c>
      <c r="C19" s="132" t="s">
        <v>34</v>
      </c>
      <c r="D19" s="131" t="s">
        <v>1</v>
      </c>
      <c r="E19" s="141">
        <v>1.8888888888888891</v>
      </c>
      <c r="F19" s="131" t="s">
        <v>119</v>
      </c>
      <c r="G19" s="133">
        <v>5</v>
      </c>
      <c r="H19" s="134">
        <v>539</v>
      </c>
    </row>
    <row r="20" spans="1:8" ht="19.8" customHeight="1" x14ac:dyDescent="0.3">
      <c r="A20" s="140">
        <v>45984</v>
      </c>
      <c r="B20" s="131" t="s">
        <v>66</v>
      </c>
      <c r="C20" s="132" t="s">
        <v>130</v>
      </c>
      <c r="D20" s="131" t="s">
        <v>1</v>
      </c>
      <c r="E20" s="141">
        <v>1.333333333333333</v>
      </c>
      <c r="F20" s="131" t="s">
        <v>68</v>
      </c>
      <c r="G20" s="133">
        <v>1</v>
      </c>
      <c r="H20" s="134">
        <v>586</v>
      </c>
    </row>
    <row r="21" spans="1:8" ht="19.8" customHeight="1" x14ac:dyDescent="0.3">
      <c r="A21" s="140">
        <v>45984</v>
      </c>
      <c r="B21" s="131" t="s">
        <v>26</v>
      </c>
      <c r="C21" s="132" t="s">
        <v>27</v>
      </c>
      <c r="D21" s="131" t="s">
        <v>1</v>
      </c>
      <c r="E21" s="141">
        <v>1.1284722222222221</v>
      </c>
      <c r="F21" s="131" t="s">
        <v>119</v>
      </c>
      <c r="G21" s="133">
        <v>3</v>
      </c>
      <c r="H21" s="134">
        <v>589</v>
      </c>
    </row>
    <row r="22" spans="1:8" ht="19.8" customHeight="1" x14ac:dyDescent="0.3">
      <c r="A22" s="140">
        <v>45984</v>
      </c>
      <c r="B22" s="131" t="s">
        <v>39</v>
      </c>
      <c r="C22" s="132" t="s">
        <v>53</v>
      </c>
      <c r="D22" s="131" t="s">
        <v>1</v>
      </c>
      <c r="E22" s="141">
        <v>1.256944444444444</v>
      </c>
      <c r="F22" s="131" t="s">
        <v>149</v>
      </c>
      <c r="G22" s="133">
        <v>1</v>
      </c>
      <c r="H22" s="134">
        <v>589</v>
      </c>
    </row>
    <row r="23" spans="1:8" ht="19.8" customHeight="1" x14ac:dyDescent="0.3">
      <c r="A23" s="140">
        <v>45984</v>
      </c>
      <c r="B23" s="131" t="s">
        <v>39</v>
      </c>
      <c r="C23" s="132" t="s">
        <v>40</v>
      </c>
      <c r="D23" s="131" t="s">
        <v>1</v>
      </c>
      <c r="E23" s="141">
        <v>1.9027777777777779</v>
      </c>
      <c r="F23" s="131" t="s">
        <v>149</v>
      </c>
      <c r="G23" s="133">
        <v>9</v>
      </c>
      <c r="H23" s="134">
        <v>589</v>
      </c>
    </row>
    <row r="24" spans="1:8" ht="19.8" customHeight="1" x14ac:dyDescent="0.3">
      <c r="A24" s="140">
        <v>45984</v>
      </c>
      <c r="B24" s="131" t="s">
        <v>39</v>
      </c>
      <c r="C24" s="132" t="s">
        <v>48</v>
      </c>
      <c r="D24" s="131" t="s">
        <v>1</v>
      </c>
      <c r="E24" s="141">
        <v>1.854166666666667</v>
      </c>
      <c r="F24" s="131" t="s">
        <v>149</v>
      </c>
      <c r="G24" s="133">
        <v>9</v>
      </c>
      <c r="H24" s="134">
        <v>589</v>
      </c>
    </row>
    <row r="25" spans="1:8" ht="19.8" customHeight="1" x14ac:dyDescent="0.3">
      <c r="A25" s="140">
        <v>45984</v>
      </c>
      <c r="B25" s="131" t="s">
        <v>39</v>
      </c>
      <c r="C25" s="132" t="s">
        <v>153</v>
      </c>
      <c r="D25" s="131" t="s">
        <v>1</v>
      </c>
      <c r="E25" s="141">
        <v>1.302083333333333</v>
      </c>
      <c r="F25" s="131" t="s">
        <v>149</v>
      </c>
      <c r="G25" s="133">
        <v>3</v>
      </c>
      <c r="H25" s="134">
        <v>589</v>
      </c>
    </row>
    <row r="26" spans="1:8" ht="19.8" customHeight="1" x14ac:dyDescent="0.3">
      <c r="A26" s="140">
        <v>45984</v>
      </c>
      <c r="B26" s="131" t="s">
        <v>39</v>
      </c>
      <c r="C26" s="132" t="s">
        <v>51</v>
      </c>
      <c r="D26" s="131" t="s">
        <v>1</v>
      </c>
      <c r="E26" s="141">
        <v>1.7986111111111109</v>
      </c>
      <c r="F26" s="131" t="s">
        <v>149</v>
      </c>
      <c r="G26" s="133">
        <v>9</v>
      </c>
      <c r="H26" s="134">
        <v>589</v>
      </c>
    </row>
    <row r="27" spans="1:8" ht="19.8" customHeight="1" x14ac:dyDescent="0.3">
      <c r="A27" s="151">
        <v>45984</v>
      </c>
      <c r="B27" s="152" t="s">
        <v>61</v>
      </c>
      <c r="C27" s="153" t="s">
        <v>62</v>
      </c>
      <c r="D27" s="152" t="s">
        <v>1</v>
      </c>
      <c r="E27" s="154">
        <v>1.666666666666667</v>
      </c>
      <c r="F27" s="152" t="s">
        <v>63</v>
      </c>
      <c r="G27" s="155">
        <v>2</v>
      </c>
      <c r="H27" s="177">
        <v>599</v>
      </c>
    </row>
    <row r="28" spans="1:8" ht="19.8" customHeight="1" x14ac:dyDescent="0.3">
      <c r="A28" s="143">
        <v>45985</v>
      </c>
      <c r="B28" s="136" t="s">
        <v>66</v>
      </c>
      <c r="C28" s="137" t="s">
        <v>502</v>
      </c>
      <c r="D28" s="136" t="s">
        <v>501</v>
      </c>
      <c r="E28" s="144">
        <v>1.854166666666667</v>
      </c>
      <c r="F28" s="136" t="s">
        <v>68</v>
      </c>
      <c r="G28" s="138">
        <v>3</v>
      </c>
      <c r="H28" s="150">
        <v>401</v>
      </c>
    </row>
    <row r="29" spans="1:8" ht="19.8" customHeight="1" x14ac:dyDescent="0.3">
      <c r="A29" s="143">
        <v>45985</v>
      </c>
      <c r="B29" s="136" t="s">
        <v>66</v>
      </c>
      <c r="C29" s="137" t="s">
        <v>520</v>
      </c>
      <c r="D29" s="136" t="s">
        <v>501</v>
      </c>
      <c r="E29" s="144">
        <v>1.2534722222222221</v>
      </c>
      <c r="F29" s="136" t="s">
        <v>68</v>
      </c>
      <c r="G29" s="138">
        <v>7</v>
      </c>
      <c r="H29" s="150">
        <v>401</v>
      </c>
    </row>
    <row r="30" spans="1:8" ht="19.8" customHeight="1" x14ac:dyDescent="0.3">
      <c r="A30" s="143">
        <v>45985</v>
      </c>
      <c r="B30" s="136" t="s">
        <v>66</v>
      </c>
      <c r="C30" s="137" t="s">
        <v>528</v>
      </c>
      <c r="D30" s="136" t="s">
        <v>501</v>
      </c>
      <c r="E30" s="144">
        <v>1.506944444444444</v>
      </c>
      <c r="F30" s="136" t="s">
        <v>68</v>
      </c>
      <c r="G30" s="138">
        <v>6</v>
      </c>
      <c r="H30" s="150">
        <v>436</v>
      </c>
    </row>
    <row r="31" spans="1:8" ht="19.8" customHeight="1" x14ac:dyDescent="0.3">
      <c r="A31" s="173"/>
      <c r="B31" s="174"/>
      <c r="C31" s="174"/>
      <c r="D31" s="174"/>
      <c r="E31" s="174"/>
      <c r="F31" s="175" t="s">
        <v>500</v>
      </c>
      <c r="G31" s="174"/>
      <c r="H31" s="176"/>
    </row>
    <row r="32" spans="1:8" ht="19.8" customHeight="1" x14ac:dyDescent="0.3">
      <c r="A32" s="140">
        <v>45985</v>
      </c>
      <c r="B32" s="131" t="s">
        <v>26</v>
      </c>
      <c r="C32" s="132" t="s">
        <v>27</v>
      </c>
      <c r="D32" s="131" t="s">
        <v>1</v>
      </c>
      <c r="E32" s="141">
        <v>1.1284722222222221</v>
      </c>
      <c r="F32" s="131" t="s">
        <v>119</v>
      </c>
      <c r="G32" s="133">
        <v>10</v>
      </c>
      <c r="H32" s="134">
        <v>459</v>
      </c>
    </row>
    <row r="33" spans="1:8" ht="19.8" customHeight="1" x14ac:dyDescent="0.3">
      <c r="A33" s="140">
        <v>45985</v>
      </c>
      <c r="B33" s="131" t="s">
        <v>26</v>
      </c>
      <c r="C33" s="132" t="s">
        <v>31</v>
      </c>
      <c r="D33" s="131" t="s">
        <v>1</v>
      </c>
      <c r="E33" s="141">
        <v>1.302083333333333</v>
      </c>
      <c r="F33" s="131" t="s">
        <v>119</v>
      </c>
      <c r="G33" s="133">
        <v>10</v>
      </c>
      <c r="H33" s="134">
        <v>499</v>
      </c>
    </row>
    <row r="34" spans="1:8" ht="19.8" customHeight="1" x14ac:dyDescent="0.3">
      <c r="A34" s="140">
        <v>45985</v>
      </c>
      <c r="B34" s="131" t="s">
        <v>26</v>
      </c>
      <c r="C34" s="132" t="s">
        <v>34</v>
      </c>
      <c r="D34" s="131" t="s">
        <v>1</v>
      </c>
      <c r="E34" s="141">
        <v>1.8888888888888891</v>
      </c>
      <c r="F34" s="131" t="s">
        <v>119</v>
      </c>
      <c r="G34" s="133">
        <v>5</v>
      </c>
      <c r="H34" s="134">
        <v>499</v>
      </c>
    </row>
    <row r="35" spans="1:8" ht="19.8" customHeight="1" x14ac:dyDescent="0.3">
      <c r="A35" s="140">
        <v>45985</v>
      </c>
      <c r="B35" s="131" t="s">
        <v>39</v>
      </c>
      <c r="C35" s="132" t="s">
        <v>53</v>
      </c>
      <c r="D35" s="131" t="s">
        <v>1</v>
      </c>
      <c r="E35" s="141">
        <v>1.256944444444444</v>
      </c>
      <c r="F35" s="131" t="s">
        <v>149</v>
      </c>
      <c r="G35" s="133">
        <v>8</v>
      </c>
      <c r="H35" s="134">
        <v>509</v>
      </c>
    </row>
    <row r="36" spans="1:8" ht="19.8" customHeight="1" x14ac:dyDescent="0.3">
      <c r="A36" s="140">
        <v>45985</v>
      </c>
      <c r="B36" s="131" t="s">
        <v>39</v>
      </c>
      <c r="C36" s="132" t="s">
        <v>40</v>
      </c>
      <c r="D36" s="131" t="s">
        <v>1</v>
      </c>
      <c r="E36" s="141">
        <v>1.9027777777777779</v>
      </c>
      <c r="F36" s="131" t="s">
        <v>149</v>
      </c>
      <c r="G36" s="133">
        <v>5</v>
      </c>
      <c r="H36" s="134">
        <v>509</v>
      </c>
    </row>
    <row r="37" spans="1:8" ht="19.8" customHeight="1" x14ac:dyDescent="0.3">
      <c r="A37" s="140">
        <v>45985</v>
      </c>
      <c r="B37" s="131" t="s">
        <v>39</v>
      </c>
      <c r="C37" s="132" t="s">
        <v>44</v>
      </c>
      <c r="D37" s="131" t="s">
        <v>1</v>
      </c>
      <c r="E37" s="141">
        <v>1.645833333333333</v>
      </c>
      <c r="F37" s="131" t="s">
        <v>149</v>
      </c>
      <c r="G37" s="133">
        <v>2</v>
      </c>
      <c r="H37" s="134">
        <v>509</v>
      </c>
    </row>
    <row r="38" spans="1:8" ht="19.8" customHeight="1" x14ac:dyDescent="0.3">
      <c r="A38" s="140">
        <v>45985</v>
      </c>
      <c r="B38" s="131" t="s">
        <v>39</v>
      </c>
      <c r="C38" s="132" t="s">
        <v>46</v>
      </c>
      <c r="D38" s="131" t="s">
        <v>1</v>
      </c>
      <c r="E38" s="141">
        <v>1.5173611111111109</v>
      </c>
      <c r="F38" s="131" t="s">
        <v>149</v>
      </c>
      <c r="G38" s="133">
        <v>6</v>
      </c>
      <c r="H38" s="134">
        <v>509</v>
      </c>
    </row>
    <row r="39" spans="1:8" ht="19.8" customHeight="1" x14ac:dyDescent="0.3">
      <c r="A39" s="140">
        <v>45985</v>
      </c>
      <c r="B39" s="131" t="s">
        <v>39</v>
      </c>
      <c r="C39" s="132" t="s">
        <v>51</v>
      </c>
      <c r="D39" s="131" t="s">
        <v>1</v>
      </c>
      <c r="E39" s="141">
        <v>1.7986111111111109</v>
      </c>
      <c r="F39" s="131" t="s">
        <v>149</v>
      </c>
      <c r="G39" s="133">
        <v>9</v>
      </c>
      <c r="H39" s="134">
        <v>509</v>
      </c>
    </row>
    <row r="40" spans="1:8" ht="19.8" customHeight="1" x14ac:dyDescent="0.3">
      <c r="A40" s="140">
        <v>45985</v>
      </c>
      <c r="B40" s="131" t="s">
        <v>39</v>
      </c>
      <c r="C40" s="132" t="s">
        <v>48</v>
      </c>
      <c r="D40" s="131" t="s">
        <v>1</v>
      </c>
      <c r="E40" s="141">
        <v>1.854166666666667</v>
      </c>
      <c r="F40" s="131" t="s">
        <v>149</v>
      </c>
      <c r="G40" s="133">
        <v>9</v>
      </c>
      <c r="H40" s="134">
        <v>549</v>
      </c>
    </row>
    <row r="41" spans="1:8" ht="19.8" customHeight="1" x14ac:dyDescent="0.3">
      <c r="A41" s="151">
        <v>45985</v>
      </c>
      <c r="B41" s="152" t="s">
        <v>39</v>
      </c>
      <c r="C41" s="153" t="s">
        <v>49</v>
      </c>
      <c r="D41" s="152" t="s">
        <v>1</v>
      </c>
      <c r="E41" s="154">
        <v>1.395833333333333</v>
      </c>
      <c r="F41" s="152" t="s">
        <v>149</v>
      </c>
      <c r="G41" s="155">
        <v>9</v>
      </c>
      <c r="H41" s="177">
        <v>549</v>
      </c>
    </row>
    <row r="42" spans="1:8" ht="19.8" customHeight="1" x14ac:dyDescent="0.3">
      <c r="A42" s="143">
        <v>45986</v>
      </c>
      <c r="B42" s="136" t="s">
        <v>66</v>
      </c>
      <c r="C42" s="137" t="s">
        <v>502</v>
      </c>
      <c r="D42" s="136" t="s">
        <v>501</v>
      </c>
      <c r="E42" s="144">
        <v>1.322916666666667</v>
      </c>
      <c r="F42" s="136" t="s">
        <v>68</v>
      </c>
      <c r="G42" s="138">
        <v>3</v>
      </c>
      <c r="H42" s="150">
        <v>781</v>
      </c>
    </row>
    <row r="43" spans="1:8" ht="19.8" customHeight="1" x14ac:dyDescent="0.3">
      <c r="A43" s="143">
        <v>45986</v>
      </c>
      <c r="B43" s="136" t="s">
        <v>66</v>
      </c>
      <c r="C43" s="137" t="s">
        <v>507</v>
      </c>
      <c r="D43" s="136" t="s">
        <v>501</v>
      </c>
      <c r="E43" s="144">
        <v>1.9513888888888891</v>
      </c>
      <c r="F43" s="136" t="s">
        <v>68</v>
      </c>
      <c r="G43" s="138">
        <v>4</v>
      </c>
      <c r="H43" s="150">
        <v>856</v>
      </c>
    </row>
    <row r="44" spans="1:8" ht="19.8" customHeight="1" x14ac:dyDescent="0.3">
      <c r="A44" s="140">
        <v>45986</v>
      </c>
      <c r="B44" s="131" t="s">
        <v>80</v>
      </c>
      <c r="C44" s="132" t="s">
        <v>510</v>
      </c>
      <c r="D44" s="131" t="s">
        <v>501</v>
      </c>
      <c r="E44" s="141">
        <v>1.322916666666667</v>
      </c>
      <c r="F44" s="131" t="s">
        <v>82</v>
      </c>
      <c r="G44" s="133">
        <v>4</v>
      </c>
      <c r="H44" s="134">
        <v>938</v>
      </c>
    </row>
    <row r="45" spans="1:8" ht="19.8" customHeight="1" x14ac:dyDescent="0.3">
      <c r="A45" s="173"/>
      <c r="B45" s="174"/>
      <c r="C45" s="174"/>
      <c r="D45" s="174"/>
      <c r="E45" s="174"/>
      <c r="F45" s="175" t="s">
        <v>500</v>
      </c>
      <c r="G45" s="174"/>
      <c r="H45" s="176"/>
    </row>
    <row r="46" spans="1:8" ht="19.8" customHeight="1" x14ac:dyDescent="0.3">
      <c r="A46" s="140">
        <v>45986</v>
      </c>
      <c r="B46" s="131" t="s">
        <v>26</v>
      </c>
      <c r="C46" s="132" t="s">
        <v>27</v>
      </c>
      <c r="D46" s="131" t="s">
        <v>1</v>
      </c>
      <c r="E46" s="141">
        <v>1.1284722222222221</v>
      </c>
      <c r="F46" s="131" t="s">
        <v>119</v>
      </c>
      <c r="G46" s="133">
        <v>2</v>
      </c>
      <c r="H46" s="134">
        <v>389</v>
      </c>
    </row>
    <row r="47" spans="1:8" ht="19.8" customHeight="1" x14ac:dyDescent="0.3">
      <c r="A47" s="140">
        <v>45986</v>
      </c>
      <c r="B47" s="131" t="s">
        <v>61</v>
      </c>
      <c r="C47" s="132" t="s">
        <v>62</v>
      </c>
      <c r="D47" s="131" t="s">
        <v>1</v>
      </c>
      <c r="E47" s="141">
        <v>1.666666666666667</v>
      </c>
      <c r="F47" s="131" t="s">
        <v>63</v>
      </c>
      <c r="G47" s="133">
        <v>1</v>
      </c>
      <c r="H47" s="134">
        <v>401</v>
      </c>
    </row>
    <row r="48" spans="1:8" ht="19.8" customHeight="1" x14ac:dyDescent="0.3">
      <c r="A48" s="140">
        <v>45986</v>
      </c>
      <c r="B48" s="131" t="s">
        <v>61</v>
      </c>
      <c r="C48" s="132" t="s">
        <v>222</v>
      </c>
      <c r="D48" s="131" t="s">
        <v>1</v>
      </c>
      <c r="E48" s="141">
        <v>1.0451388888888891</v>
      </c>
      <c r="F48" s="131" t="s">
        <v>63</v>
      </c>
      <c r="G48" s="133">
        <v>1</v>
      </c>
      <c r="H48" s="134">
        <v>401</v>
      </c>
    </row>
    <row r="49" spans="1:8" ht="19.8" customHeight="1" x14ac:dyDescent="0.3">
      <c r="A49" s="140">
        <v>45986</v>
      </c>
      <c r="B49" s="131" t="s">
        <v>26</v>
      </c>
      <c r="C49" s="132" t="s">
        <v>31</v>
      </c>
      <c r="D49" s="131" t="s">
        <v>1</v>
      </c>
      <c r="E49" s="141">
        <v>1.302083333333333</v>
      </c>
      <c r="F49" s="131" t="s">
        <v>119</v>
      </c>
      <c r="G49" s="133">
        <v>2</v>
      </c>
      <c r="H49" s="134">
        <v>419</v>
      </c>
    </row>
    <row r="50" spans="1:8" ht="19.8" customHeight="1" x14ac:dyDescent="0.3">
      <c r="A50" s="140">
        <v>45986</v>
      </c>
      <c r="B50" s="131" t="s">
        <v>26</v>
      </c>
      <c r="C50" s="132" t="s">
        <v>36</v>
      </c>
      <c r="D50" s="131" t="s">
        <v>1</v>
      </c>
      <c r="E50" s="141">
        <v>1.788194444444444</v>
      </c>
      <c r="F50" s="131" t="s">
        <v>119</v>
      </c>
      <c r="G50" s="133">
        <v>9</v>
      </c>
      <c r="H50" s="134">
        <v>419</v>
      </c>
    </row>
    <row r="51" spans="1:8" ht="19.8" customHeight="1" x14ac:dyDescent="0.3">
      <c r="A51" s="140">
        <v>45986</v>
      </c>
      <c r="B51" s="131" t="s">
        <v>26</v>
      </c>
      <c r="C51" s="132" t="s">
        <v>34</v>
      </c>
      <c r="D51" s="131" t="s">
        <v>1</v>
      </c>
      <c r="E51" s="141">
        <v>1.8888888888888891</v>
      </c>
      <c r="F51" s="131" t="s">
        <v>119</v>
      </c>
      <c r="G51" s="133">
        <v>7</v>
      </c>
      <c r="H51" s="134">
        <v>419</v>
      </c>
    </row>
    <row r="52" spans="1:8" ht="19.8" customHeight="1" x14ac:dyDescent="0.3">
      <c r="A52" s="140">
        <v>45986</v>
      </c>
      <c r="B52" s="131" t="s">
        <v>39</v>
      </c>
      <c r="C52" s="132" t="s">
        <v>40</v>
      </c>
      <c r="D52" s="131" t="s">
        <v>1</v>
      </c>
      <c r="E52" s="141">
        <v>1.9027777777777779</v>
      </c>
      <c r="F52" s="131" t="s">
        <v>149</v>
      </c>
      <c r="G52" s="133">
        <v>6</v>
      </c>
      <c r="H52" s="134">
        <v>449</v>
      </c>
    </row>
    <row r="53" spans="1:8" ht="19.8" customHeight="1" x14ac:dyDescent="0.3">
      <c r="A53" s="140">
        <v>45986</v>
      </c>
      <c r="B53" s="131" t="s">
        <v>39</v>
      </c>
      <c r="C53" s="132" t="s">
        <v>44</v>
      </c>
      <c r="D53" s="131" t="s">
        <v>1</v>
      </c>
      <c r="E53" s="141">
        <v>1.645833333333333</v>
      </c>
      <c r="F53" s="131" t="s">
        <v>149</v>
      </c>
      <c r="G53" s="133">
        <v>2</v>
      </c>
      <c r="H53" s="134">
        <v>449</v>
      </c>
    </row>
    <row r="54" spans="1:8" ht="19.8" customHeight="1" x14ac:dyDescent="0.3">
      <c r="A54" s="140">
        <v>45986</v>
      </c>
      <c r="B54" s="131" t="s">
        <v>39</v>
      </c>
      <c r="C54" s="132" t="s">
        <v>46</v>
      </c>
      <c r="D54" s="131" t="s">
        <v>1</v>
      </c>
      <c r="E54" s="141">
        <v>1.5173611111111109</v>
      </c>
      <c r="F54" s="131" t="s">
        <v>149</v>
      </c>
      <c r="G54" s="133">
        <v>2</v>
      </c>
      <c r="H54" s="134">
        <v>449</v>
      </c>
    </row>
    <row r="55" spans="1:8" ht="19.8" customHeight="1" x14ac:dyDescent="0.3">
      <c r="A55" s="151">
        <v>45986</v>
      </c>
      <c r="B55" s="152" t="s">
        <v>39</v>
      </c>
      <c r="C55" s="153" t="s">
        <v>48</v>
      </c>
      <c r="D55" s="152" t="s">
        <v>1</v>
      </c>
      <c r="E55" s="154">
        <v>1.854166666666667</v>
      </c>
      <c r="F55" s="152" t="s">
        <v>149</v>
      </c>
      <c r="G55" s="155">
        <v>8</v>
      </c>
      <c r="H55" s="177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JED-CAI</vt:lpstr>
      <vt:lpstr>JED-CAI LF LEGACY</vt:lpstr>
      <vt:lpstr>JED-CAI - FOCUS MODE</vt:lpstr>
      <vt:lpstr>JED-CAI - OAL Threats Alert</vt:lpstr>
      <vt:lpstr>JED-HBE</vt:lpstr>
      <vt:lpstr>JED-HBE LF LEGACY</vt:lpstr>
      <vt:lpstr>JED-HBE - FOCUS MODE</vt:lpstr>
      <vt:lpstr>JED-HBE - OAL Threats Alert</vt:lpstr>
      <vt:lpstr>JED-ATZ</vt:lpstr>
      <vt:lpstr>JED-ATZ LF LEGACY</vt:lpstr>
      <vt:lpstr>JED-ATZ - FOCUS MODE</vt:lpstr>
      <vt:lpstr>JED-ATZ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2025-11-19T23:32:44Z</dcterms:created>
  <dcterms:modified xsi:type="dcterms:W3CDTF">2025-11-19T23:36:32Z</dcterms:modified>
</cp:coreProperties>
</file>